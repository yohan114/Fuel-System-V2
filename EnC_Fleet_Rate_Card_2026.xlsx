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w testing fuel server\"/>
    </mc:Choice>
  </mc:AlternateContent>
  <xr:revisionPtr revIDLastSave="0" documentId="8_{EBE62453-9F39-4717-8ECE-78CB7960BBC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Cover &amp; Legend" sheetId="1" r:id="rId1"/>
    <sheet name="Fleet Rate Card" sheetId="2" r:id="rId2"/>
    <sheet name="Portable Equipment" sheetId="3" r:id="rId3"/>
    <sheet name="Category Summary" sheetId="4" r:id="rId4"/>
  </sheets>
  <definedNames>
    <definedName name="_xlnm._FilterDatabase" localSheetId="1" hidden="1">'Fleet Rate Card'!$A$7:$N$525</definedName>
    <definedName name="_xlnm._FilterDatabase" localSheetId="2" hidden="1">'Portable Equipment'!$B$5:$E$46</definedName>
    <definedName name="_xlnm.Print_Titles" localSheetId="1">'Fleet Rate Card'!$6:$7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4" l="1"/>
  <c r="G35" i="4"/>
  <c r="F35" i="4"/>
  <c r="E35" i="4"/>
  <c r="D35" i="4"/>
  <c r="H34" i="4" a="1"/>
  <c r="H34" i="4" s="1"/>
  <c r="G34" i="4" a="1"/>
  <c r="G34" i="4" s="1"/>
  <c r="F34" i="4"/>
  <c r="E34" i="4"/>
  <c r="D34" i="4"/>
  <c r="C34" i="4"/>
  <c r="H33" i="4" a="1"/>
  <c r="H33" i="4" s="1"/>
  <c r="G33" i="4" a="1"/>
  <c r="G33" i="4" s="1"/>
  <c r="F33" i="4"/>
  <c r="E33" i="4"/>
  <c r="D33" i="4"/>
  <c r="C33" i="4"/>
  <c r="H32" i="4" a="1"/>
  <c r="H32" i="4" s="1"/>
  <c r="G32" i="4" a="1"/>
  <c r="G32" i="4" s="1"/>
  <c r="F32" i="4"/>
  <c r="E32" i="4"/>
  <c r="D32" i="4"/>
  <c r="C32" i="4"/>
  <c r="H31" i="4" a="1"/>
  <c r="H31" i="4" s="1"/>
  <c r="G31" i="4" a="1"/>
  <c r="G31" i="4" s="1"/>
  <c r="F31" i="4"/>
  <c r="E31" i="4"/>
  <c r="D31" i="4"/>
  <c r="C31" i="4"/>
  <c r="H30" i="4" a="1"/>
  <c r="H30" i="4" s="1"/>
  <c r="G30" i="4" a="1"/>
  <c r="G30" i="4" s="1"/>
  <c r="F30" i="4"/>
  <c r="E30" i="4"/>
  <c r="D30" i="4"/>
  <c r="C30" i="4"/>
  <c r="H29" i="4" a="1"/>
  <c r="H29" i="4" s="1"/>
  <c r="G29" i="4" a="1"/>
  <c r="G29" i="4" s="1"/>
  <c r="F29" i="4"/>
  <c r="E29" i="4"/>
  <c r="D29" i="4"/>
  <c r="C29" i="4"/>
  <c r="H28" i="4" a="1"/>
  <c r="H28" i="4" s="1"/>
  <c r="G28" i="4" a="1"/>
  <c r="G28" i="4" s="1"/>
  <c r="F28" i="4"/>
  <c r="E28" i="4"/>
  <c r="D28" i="4"/>
  <c r="C28" i="4"/>
  <c r="H27" i="4" a="1"/>
  <c r="H27" i="4" s="1"/>
  <c r="G27" i="4" a="1"/>
  <c r="G27" i="4" s="1"/>
  <c r="F27" i="4"/>
  <c r="E27" i="4"/>
  <c r="D27" i="4"/>
  <c r="C27" i="4"/>
  <c r="H26" i="4" a="1"/>
  <c r="H26" i="4" s="1"/>
  <c r="G26" i="4" a="1"/>
  <c r="G26" i="4" s="1"/>
  <c r="F26" i="4"/>
  <c r="E26" i="4"/>
  <c r="D26" i="4"/>
  <c r="C26" i="4"/>
  <c r="H25" i="4" a="1"/>
  <c r="H25" i="4" s="1"/>
  <c r="G25" i="4" a="1"/>
  <c r="G25" i="4" s="1"/>
  <c r="F25" i="4"/>
  <c r="E25" i="4"/>
  <c r="D25" i="4"/>
  <c r="C25" i="4"/>
  <c r="H24" i="4" a="1"/>
  <c r="H24" i="4" s="1"/>
  <c r="G24" i="4" a="1"/>
  <c r="G24" i="4" s="1"/>
  <c r="F24" i="4"/>
  <c r="E24" i="4"/>
  <c r="D24" i="4"/>
  <c r="C24" i="4"/>
  <c r="H23" i="4" a="1"/>
  <c r="H23" i="4" s="1"/>
  <c r="G23" i="4" a="1"/>
  <c r="G23" i="4" s="1"/>
  <c r="F23" i="4"/>
  <c r="E23" i="4"/>
  <c r="D23" i="4"/>
  <c r="C23" i="4"/>
  <c r="H22" i="4" a="1"/>
  <c r="H22" i="4" s="1"/>
  <c r="G22" i="4" a="1"/>
  <c r="G22" i="4" s="1"/>
  <c r="F22" i="4"/>
  <c r="E22" i="4"/>
  <c r="D22" i="4"/>
  <c r="C22" i="4"/>
  <c r="H21" i="4" a="1"/>
  <c r="H21" i="4" s="1"/>
  <c r="G21" i="4" a="1"/>
  <c r="G21" i="4" s="1"/>
  <c r="F21" i="4"/>
  <c r="E21" i="4"/>
  <c r="D21" i="4"/>
  <c r="C21" i="4"/>
  <c r="H20" i="4" a="1"/>
  <c r="H20" i="4" s="1"/>
  <c r="G20" i="4" a="1"/>
  <c r="G20" i="4" s="1"/>
  <c r="F20" i="4"/>
  <c r="E20" i="4"/>
  <c r="D20" i="4"/>
  <c r="C20" i="4"/>
  <c r="H19" i="4" a="1"/>
  <c r="H19" i="4" s="1"/>
  <c r="G19" i="4" a="1"/>
  <c r="G19" i="4" s="1"/>
  <c r="F19" i="4"/>
  <c r="E19" i="4"/>
  <c r="D19" i="4"/>
  <c r="C19" i="4"/>
  <c r="H18" i="4" a="1"/>
  <c r="H18" i="4" s="1"/>
  <c r="G18" i="4" a="1"/>
  <c r="G18" i="4" s="1"/>
  <c r="F18" i="4"/>
  <c r="E18" i="4"/>
  <c r="D18" i="4"/>
  <c r="C18" i="4"/>
  <c r="H17" i="4" a="1"/>
  <c r="H17" i="4" s="1"/>
  <c r="G17" i="4" a="1"/>
  <c r="G17" i="4" s="1"/>
  <c r="F17" i="4"/>
  <c r="E17" i="4"/>
  <c r="D17" i="4"/>
  <c r="C17" i="4"/>
  <c r="H16" i="4" a="1"/>
  <c r="H16" i="4" s="1"/>
  <c r="G16" i="4" a="1"/>
  <c r="G16" i="4" s="1"/>
  <c r="F16" i="4"/>
  <c r="E16" i="4"/>
  <c r="D16" i="4"/>
  <c r="C16" i="4"/>
  <c r="H15" i="4" a="1"/>
  <c r="H15" i="4" s="1"/>
  <c r="G15" i="4" a="1"/>
  <c r="G15" i="4" s="1"/>
  <c r="F15" i="4"/>
  <c r="E15" i="4"/>
  <c r="D15" i="4"/>
  <c r="C15" i="4"/>
  <c r="H14" i="4" a="1"/>
  <c r="H14" i="4" s="1"/>
  <c r="G14" i="4" a="1"/>
  <c r="G14" i="4" s="1"/>
  <c r="F14" i="4"/>
  <c r="E14" i="4"/>
  <c r="D14" i="4"/>
  <c r="C14" i="4"/>
  <c r="H13" i="4" a="1"/>
  <c r="H13" i="4" s="1"/>
  <c r="G13" i="4" a="1"/>
  <c r="G13" i="4" s="1"/>
  <c r="F13" i="4"/>
  <c r="E13" i="4"/>
  <c r="D13" i="4"/>
  <c r="C13" i="4"/>
  <c r="H12" i="4" a="1"/>
  <c r="H12" i="4" s="1"/>
  <c r="G12" i="4" a="1"/>
  <c r="G12" i="4" s="1"/>
  <c r="F12" i="4"/>
  <c r="E12" i="4"/>
  <c r="D12" i="4"/>
  <c r="C12" i="4"/>
  <c r="H11" i="4" a="1"/>
  <c r="H11" i="4" s="1"/>
  <c r="G11" i="4" a="1"/>
  <c r="G11" i="4" s="1"/>
  <c r="F11" i="4"/>
  <c r="E11" i="4"/>
  <c r="D11" i="4"/>
  <c r="C11" i="4"/>
  <c r="H10" i="4" a="1"/>
  <c r="H10" i="4" s="1"/>
  <c r="G10" i="4" a="1"/>
  <c r="G10" i="4" s="1"/>
  <c r="F10" i="4"/>
  <c r="E10" i="4"/>
  <c r="D10" i="4"/>
  <c r="C10" i="4"/>
  <c r="H9" i="4" a="1"/>
  <c r="H9" i="4" s="1"/>
  <c r="G9" i="4" a="1"/>
  <c r="G9" i="4" s="1"/>
  <c r="F9" i="4"/>
  <c r="E9" i="4"/>
  <c r="D9" i="4"/>
  <c r="C9" i="4"/>
  <c r="H8" i="4" a="1"/>
  <c r="H8" i="4" s="1"/>
  <c r="G8" i="4" a="1"/>
  <c r="G8" i="4" s="1"/>
  <c r="F8" i="4"/>
  <c r="E8" i="4"/>
  <c r="D8" i="4"/>
  <c r="C8" i="4"/>
  <c r="H7" i="4" a="1"/>
  <c r="H7" i="4" s="1"/>
  <c r="G7" i="4" a="1"/>
  <c r="G7" i="4" s="1"/>
  <c r="F7" i="4"/>
  <c r="E7" i="4"/>
  <c r="D7" i="4"/>
  <c r="C7" i="4"/>
  <c r="H6" i="4" a="1"/>
  <c r="H6" i="4" s="1"/>
  <c r="G6" i="4" a="1"/>
  <c r="G6" i="4" s="1"/>
  <c r="F6" i="4"/>
  <c r="E6" i="4"/>
  <c r="D6" i="4"/>
  <c r="C6" i="4"/>
  <c r="C21" i="1"/>
  <c r="C20" i="1"/>
  <c r="C19" i="1"/>
  <c r="C18" i="1"/>
  <c r="C35" i="4" l="1"/>
</calcChain>
</file>

<file path=xl/sharedStrings.xml><?xml version="1.0" encoding="utf-8"?>
<sst xmlns="http://schemas.openxmlformats.org/spreadsheetml/2006/main" count="2765" uniqueCount="1162">
  <si>
    <t>EDWARD &amp; CHRISTIE GROUP (PVT) LTD</t>
  </si>
  <si>
    <t>FLEET HIRE RATE CARD  ·  2026</t>
  </si>
  <si>
    <t>Badalgama Workshop  ·  Negombo  ·  Sri Lanka        All rates in Sri Lankan Rupees (LKR), exclusive of SSCL &amp; VAT unless stated.</t>
  </si>
  <si>
    <t>RATE BASIS — WHAT EACH PRICE INCLUDES</t>
  </si>
  <si>
    <t>Tier</t>
  </si>
  <si>
    <t>Includes</t>
  </si>
  <si>
    <t>Description</t>
  </si>
  <si>
    <t>Dry</t>
  </si>
  <si>
    <t>Machine / vehicle only.</t>
  </si>
  <si>
    <t>Customer supplies the operator AND the fuel. E&amp;C provides the bare unit.</t>
  </si>
  <si>
    <t>Wet (Driver only)</t>
  </si>
  <si>
    <t>Machine + E&amp;C operator / driver.</t>
  </si>
  <si>
    <t>Customer supplies the fuel only. Labour is included; diesel is billed to / arranged by the customer.</t>
  </si>
  <si>
    <t>Fully Wet (Driver + Fuel)</t>
  </si>
  <si>
    <t>Machine + operator + fuel — all-inclusive.</t>
  </si>
  <si>
    <t>E&amp;C provides everything: the unit, the driver and the fuel. The simplest single rate for the customer.</t>
  </si>
  <si>
    <t>BILLING BASIS</t>
  </si>
  <si>
    <t>Hourly</t>
  </si>
  <si>
    <t>Per machine-hour. Standard for site plant (excavators, loaders, rollers, etc.).</t>
  </si>
  <si>
    <t>Per Day</t>
  </si>
  <si>
    <t>Per working day. Used for daily-hire plant and portable equipment.</t>
  </si>
  <si>
    <t>Per KM</t>
  </si>
  <si>
    <t>Per kilometre. Applies to road-registered vehicles only (tippers, prime movers, cabs, lorries, bikes). Blank = not applicable.</t>
  </si>
  <si>
    <t>FLEET AT A GLANCE</t>
  </si>
  <si>
    <t>Total fleet units</t>
  </si>
  <si>
    <t>Equipment categories</t>
  </si>
  <si>
    <t>Road-registered (per-KM) units</t>
  </si>
  <si>
    <t>Portable equipment items</t>
  </si>
  <si>
    <t>Generated:</t>
  </si>
  <si>
    <t>17 June 2026</t>
  </si>
  <si>
    <t>UNIT DETAILS</t>
  </si>
  <si>
    <t>HOURLY RATE (Rs.)</t>
  </si>
  <si>
    <t>PER DAY RATE (Rs.)</t>
  </si>
  <si>
    <t>PER KM RATE (Rs.)</t>
  </si>
  <si>
    <t>E&amp;C Code</t>
  </si>
  <si>
    <t>Reg No.</t>
  </si>
  <si>
    <t>Category</t>
  </si>
  <si>
    <t>Model</t>
  </si>
  <si>
    <t>Year</t>
  </si>
  <si>
    <t>Wet
(Driver)</t>
  </si>
  <si>
    <t>Fully Wet
(Driver+Fuel)</t>
  </si>
  <si>
    <t>LB-01</t>
  </si>
  <si>
    <t>ZA-2609</t>
  </si>
  <si>
    <t>Backhoe Loader</t>
  </si>
  <si>
    <t>JCB 3DX</t>
  </si>
  <si>
    <t>2012</t>
  </si>
  <si>
    <t>LB-02</t>
  </si>
  <si>
    <t>ZA-2963</t>
  </si>
  <si>
    <t>LB-03</t>
  </si>
  <si>
    <t>ZA-2964</t>
  </si>
  <si>
    <t>LB-04</t>
  </si>
  <si>
    <t>RS-0401</t>
  </si>
  <si>
    <t>JCB SLP3CX</t>
  </si>
  <si>
    <t>1999</t>
  </si>
  <si>
    <t>LB-05</t>
  </si>
  <si>
    <t>RS-0483</t>
  </si>
  <si>
    <t>2006</t>
  </si>
  <si>
    <t>LB-06</t>
  </si>
  <si>
    <t>ZA-0447</t>
  </si>
  <si>
    <t>JCB 3CX</t>
  </si>
  <si>
    <t>2002</t>
  </si>
  <si>
    <t>LB-07</t>
  </si>
  <si>
    <t>ZA-2608</t>
  </si>
  <si>
    <t>JCB JCB 3CX</t>
  </si>
  <si>
    <t>2004</t>
  </si>
  <si>
    <t>LB-08</t>
  </si>
  <si>
    <t>ZA-6068</t>
  </si>
  <si>
    <t>JCB JCB 3DX</t>
  </si>
  <si>
    <t>2015</t>
  </si>
  <si>
    <t>LB-09</t>
  </si>
  <si>
    <t>ZA-6069</t>
  </si>
  <si>
    <t>LB-10</t>
  </si>
  <si>
    <t>ZA-7034</t>
  </si>
  <si>
    <t>2016</t>
  </si>
  <si>
    <t>LB-11</t>
  </si>
  <si>
    <t>ZA-7092</t>
  </si>
  <si>
    <t>LB-12</t>
  </si>
  <si>
    <t>ZA-8337</t>
  </si>
  <si>
    <t>LB-13</t>
  </si>
  <si>
    <t>ZA-7965</t>
  </si>
  <si>
    <t>LB-14</t>
  </si>
  <si>
    <t>ZA-7968</t>
  </si>
  <si>
    <t>LB-15</t>
  </si>
  <si>
    <t>ZB-1047</t>
  </si>
  <si>
    <t>J.C.B 570ST</t>
  </si>
  <si>
    <t>2019</t>
  </si>
  <si>
    <t>LB-16</t>
  </si>
  <si>
    <t>ZB-1547</t>
  </si>
  <si>
    <t>J.C.B 3DX</t>
  </si>
  <si>
    <t>2020</t>
  </si>
  <si>
    <t>LB-17</t>
  </si>
  <si>
    <t>ZB-1546</t>
  </si>
  <si>
    <t>LB-18</t>
  </si>
  <si>
    <t>ZB-1548</t>
  </si>
  <si>
    <t>LB-19</t>
  </si>
  <si>
    <t>ZB-1978</t>
  </si>
  <si>
    <t>J.C.B JCB 3DX</t>
  </si>
  <si>
    <t>LB-20</t>
  </si>
  <si>
    <t>ZB-1979</t>
  </si>
  <si>
    <t>LB-21</t>
  </si>
  <si>
    <t>ZB-1980</t>
  </si>
  <si>
    <t>LB-22</t>
  </si>
  <si>
    <t>ZB-2586</t>
  </si>
  <si>
    <t>BOB CAT B760</t>
  </si>
  <si>
    <t>2021</t>
  </si>
  <si>
    <t>LB-23</t>
  </si>
  <si>
    <t>ZB-2587</t>
  </si>
  <si>
    <t>LB-24</t>
  </si>
  <si>
    <t>ZB-2583</t>
  </si>
  <si>
    <t>LD-01</t>
  </si>
  <si>
    <t>—</t>
  </si>
  <si>
    <t>Wheel Loader</t>
  </si>
  <si>
    <t>CAT 910E</t>
  </si>
  <si>
    <t>2009</t>
  </si>
  <si>
    <t>LD-02</t>
  </si>
  <si>
    <t>CAT CAT910</t>
  </si>
  <si>
    <t>2010</t>
  </si>
  <si>
    <t>LD-03</t>
  </si>
  <si>
    <t>KOMATSU WA100</t>
  </si>
  <si>
    <t>LD-04</t>
  </si>
  <si>
    <t>KOMATSU 924F</t>
  </si>
  <si>
    <t>2013</t>
  </si>
  <si>
    <t>LD-05</t>
  </si>
  <si>
    <t>KOMATSU WA150</t>
  </si>
  <si>
    <t>2014</t>
  </si>
  <si>
    <t>LD-06</t>
  </si>
  <si>
    <t>ZA-3116</t>
  </si>
  <si>
    <t>KOMATSU 510</t>
  </si>
  <si>
    <t>LD-07</t>
  </si>
  <si>
    <t>KOMATSU WA-80SS</t>
  </si>
  <si>
    <t>LD-08</t>
  </si>
  <si>
    <t>SANTUI SL30W</t>
  </si>
  <si>
    <t>LD-09</t>
  </si>
  <si>
    <t>SHANTUI SL-50WN</t>
  </si>
  <si>
    <t>TM-01</t>
  </si>
  <si>
    <t>LK-5048</t>
  </si>
  <si>
    <t>Truck Mixer</t>
  </si>
  <si>
    <t>MITSUBISHI KC-FH217C</t>
  </si>
  <si>
    <t>1996</t>
  </si>
  <si>
    <t>TM-03</t>
  </si>
  <si>
    <t>LK-5047</t>
  </si>
  <si>
    <t>ISUZU KC-NRR33C20</t>
  </si>
  <si>
    <t>TM-04</t>
  </si>
  <si>
    <t>LL-0690</t>
  </si>
  <si>
    <t>ISUZU KK-NRR35C4 FORWARD</t>
  </si>
  <si>
    <t>2000</t>
  </si>
  <si>
    <t>TM-05</t>
  </si>
  <si>
    <t>LH-5474</t>
  </si>
  <si>
    <t>MITSUBISHI KC-FE517BN</t>
  </si>
  <si>
    <t>TM-06</t>
  </si>
  <si>
    <t>LH-5475</t>
  </si>
  <si>
    <t>MITSUBISHI U.FE315BN</t>
  </si>
  <si>
    <t>1991</t>
  </si>
  <si>
    <t>TM-08</t>
  </si>
  <si>
    <t>LJ-8055</t>
  </si>
  <si>
    <t>TM-09</t>
  </si>
  <si>
    <t>ZA-6255</t>
  </si>
  <si>
    <t>MITSUBISHI KK-FE73EB CANTER</t>
  </si>
  <si>
    <t>2003</t>
  </si>
  <si>
    <t>TM-10</t>
  </si>
  <si>
    <t>ZA-6395</t>
  </si>
  <si>
    <t>ASHOK LEYLAND TUSKER SUPER 1613</t>
  </si>
  <si>
    <t>TM-11</t>
  </si>
  <si>
    <t>ZA-7291</t>
  </si>
  <si>
    <t>ELCHER TERRA 16</t>
  </si>
  <si>
    <t>TM-12</t>
  </si>
  <si>
    <t>ZA-7290</t>
  </si>
  <si>
    <t>TM-14</t>
  </si>
  <si>
    <t>ZA-7810</t>
  </si>
  <si>
    <t>TATA LPK 2518</t>
  </si>
  <si>
    <t>TM-15</t>
  </si>
  <si>
    <t>ZA-7925</t>
  </si>
  <si>
    <t>TATA LPK 1618</t>
  </si>
  <si>
    <t>TM-16</t>
  </si>
  <si>
    <t>ZA-8033</t>
  </si>
  <si>
    <t>TM-18</t>
  </si>
  <si>
    <t>ZA-8511</t>
  </si>
  <si>
    <t>2017</t>
  </si>
  <si>
    <t>TM-19</t>
  </si>
  <si>
    <t>ZA-8445</t>
  </si>
  <si>
    <t>TM-21</t>
  </si>
  <si>
    <t>ZA-0050</t>
  </si>
  <si>
    <t>TM-13</t>
  </si>
  <si>
    <t>Fiori</t>
  </si>
  <si>
    <t>Self Loader Mixer</t>
  </si>
  <si>
    <t>FIORI 8FO8H01246</t>
  </si>
  <si>
    <t>TM-17</t>
  </si>
  <si>
    <t>FIORI 8FO8H01252</t>
  </si>
  <si>
    <t>TM-20</t>
  </si>
  <si>
    <t>FIORI BF08H01307</t>
  </si>
  <si>
    <t>2018</t>
  </si>
  <si>
    <t>SR-01</t>
  </si>
  <si>
    <t>Static Roller</t>
  </si>
  <si>
    <t>CASE —</t>
  </si>
  <si>
    <t>SR-02</t>
  </si>
  <si>
    <t>(Unknown) R12</t>
  </si>
  <si>
    <t>SR-03</t>
  </si>
  <si>
    <t>(Unknown) —</t>
  </si>
  <si>
    <t>SR-04</t>
  </si>
  <si>
    <t>SR-05</t>
  </si>
  <si>
    <t>SAKAI SW-900</t>
  </si>
  <si>
    <t>SR-06</t>
  </si>
  <si>
    <t>SR-07</t>
  </si>
  <si>
    <t>IR 2860-01</t>
  </si>
  <si>
    <t>SR-08</t>
  </si>
  <si>
    <t>CASE 1107EXD</t>
  </si>
  <si>
    <t>SR-09</t>
  </si>
  <si>
    <t>SR-10</t>
  </si>
  <si>
    <t>MACADAM —</t>
  </si>
  <si>
    <t>SR-11</t>
  </si>
  <si>
    <t>HAMM HAMM 311D</t>
  </si>
  <si>
    <t>SR-12</t>
  </si>
  <si>
    <t>SR-13</t>
  </si>
  <si>
    <t>DYNAPAC CA250D</t>
  </si>
  <si>
    <t>SR-14</t>
  </si>
  <si>
    <t>SAKAI R2V</t>
  </si>
  <si>
    <t>SR-15</t>
  </si>
  <si>
    <t>MACADAM 1107EXD</t>
  </si>
  <si>
    <t>SR-16</t>
  </si>
  <si>
    <t>DYNAPAC CA30D</t>
  </si>
  <si>
    <t>SR-17</t>
  </si>
  <si>
    <t>DYNAPAC CC425</t>
  </si>
  <si>
    <t>SR-18</t>
  </si>
  <si>
    <t>SR-19</t>
  </si>
  <si>
    <t>VR-01</t>
  </si>
  <si>
    <t>Vibrating Roller</t>
  </si>
  <si>
    <t>VR-02</t>
  </si>
  <si>
    <t>KOMATSU SL203468</t>
  </si>
  <si>
    <t>VR-03</t>
  </si>
  <si>
    <t>VR-04</t>
  </si>
  <si>
    <t>VR-05</t>
  </si>
  <si>
    <t>VR-06</t>
  </si>
  <si>
    <t>BOMAG —</t>
  </si>
  <si>
    <t>VR-07</t>
  </si>
  <si>
    <t>CAT 1650NK0285</t>
  </si>
  <si>
    <t>VR-08</t>
  </si>
  <si>
    <t>ATLAS —</t>
  </si>
  <si>
    <t>VR-09</t>
  </si>
  <si>
    <t>DYNAPAC CC142 II</t>
  </si>
  <si>
    <t>VR-10</t>
  </si>
  <si>
    <t>BOMAG BW 138 AD-05</t>
  </si>
  <si>
    <t>VR-11</t>
  </si>
  <si>
    <t>DYNAPAC CC1300</t>
  </si>
  <si>
    <t>VR-12</t>
  </si>
  <si>
    <t>VR-13</t>
  </si>
  <si>
    <t>HAMM —</t>
  </si>
  <si>
    <t>VR-14</t>
  </si>
  <si>
    <t>BOMAG BW-138 AD</t>
  </si>
  <si>
    <t>VR-15</t>
  </si>
  <si>
    <t>KOMATSU —</t>
  </si>
  <si>
    <t>VR-16</t>
  </si>
  <si>
    <t>VR-17</t>
  </si>
  <si>
    <t>VR-18</t>
  </si>
  <si>
    <t>BOMAG SA-00-350</t>
  </si>
  <si>
    <t>VR-19</t>
  </si>
  <si>
    <t>VR-20</t>
  </si>
  <si>
    <t>SAKAI SW-300</t>
  </si>
  <si>
    <t>VR-21</t>
  </si>
  <si>
    <t>TACOM TFR60TDS</t>
  </si>
  <si>
    <t>VR-22</t>
  </si>
  <si>
    <t>VR-23</t>
  </si>
  <si>
    <t>VR-24</t>
  </si>
  <si>
    <t>BOMAG BW 75 H</t>
  </si>
  <si>
    <t>VR-25</t>
  </si>
  <si>
    <t>VR-26</t>
  </si>
  <si>
    <t>VR-27</t>
  </si>
  <si>
    <t>VR-28</t>
  </si>
  <si>
    <t>VR-29</t>
  </si>
  <si>
    <t>VR-30</t>
  </si>
  <si>
    <t>VR-31</t>
  </si>
  <si>
    <t>VR-32</t>
  </si>
  <si>
    <t>TACOM BW 75 H</t>
  </si>
  <si>
    <t>VR-33</t>
  </si>
  <si>
    <t>TACOM —</t>
  </si>
  <si>
    <t>VR-34</t>
  </si>
  <si>
    <t>VR-35</t>
  </si>
  <si>
    <t>VR-36</t>
  </si>
  <si>
    <t>VR-37</t>
  </si>
  <si>
    <t>SAKAI —</t>
  </si>
  <si>
    <t>VR-38</t>
  </si>
  <si>
    <t>VR-39</t>
  </si>
  <si>
    <t>VR-40</t>
  </si>
  <si>
    <t>VR-41</t>
  </si>
  <si>
    <t>VR-42</t>
  </si>
  <si>
    <t>VR-43</t>
  </si>
  <si>
    <t>VR-44</t>
  </si>
  <si>
    <t>CAT CB-504C</t>
  </si>
  <si>
    <t>VR-45</t>
  </si>
  <si>
    <t>SAKAI TW-41</t>
  </si>
  <si>
    <t>VR-46</t>
  </si>
  <si>
    <t>VR-47</t>
  </si>
  <si>
    <t>VR-48</t>
  </si>
  <si>
    <t>VR-49</t>
  </si>
  <si>
    <t>VR-50</t>
  </si>
  <si>
    <t>VR-51</t>
  </si>
  <si>
    <t>VR-52</t>
  </si>
  <si>
    <t>VR-53</t>
  </si>
  <si>
    <t>VR-54</t>
  </si>
  <si>
    <t>VR-55</t>
  </si>
  <si>
    <t>VR-56</t>
  </si>
  <si>
    <t>(Unknown) CC-1250</t>
  </si>
  <si>
    <t>VR-57</t>
  </si>
  <si>
    <t>VR-58</t>
  </si>
  <si>
    <t>VR-59</t>
  </si>
  <si>
    <t>VR-60</t>
  </si>
  <si>
    <t>VR-61</t>
  </si>
  <si>
    <t>VR-62</t>
  </si>
  <si>
    <t>VR-63</t>
  </si>
  <si>
    <t>VR-64</t>
  </si>
  <si>
    <t>VR-65</t>
  </si>
  <si>
    <t>VR-66</t>
  </si>
  <si>
    <t>VR-67</t>
  </si>
  <si>
    <t>VR-68</t>
  </si>
  <si>
    <t>VR-69</t>
  </si>
  <si>
    <t>VR-70</t>
  </si>
  <si>
    <t>VR-71</t>
  </si>
  <si>
    <t>PTR-01</t>
  </si>
  <si>
    <t>Pneumatic Roller</t>
  </si>
  <si>
    <t>KAWASAKI KR-20 D</t>
  </si>
  <si>
    <t>PTR-02</t>
  </si>
  <si>
    <t>SAKAI 6BD1LJ-01</t>
  </si>
  <si>
    <t>PTR-03</t>
  </si>
  <si>
    <t>PTR-04</t>
  </si>
  <si>
    <t>DYNAPAC CP-201W</t>
  </si>
  <si>
    <t>PTR-05</t>
  </si>
  <si>
    <t>PTR-06</t>
  </si>
  <si>
    <t>KTDTO RT-200W</t>
  </si>
  <si>
    <t>PTR-07</t>
  </si>
  <si>
    <t>FURUKAWA FT-20W</t>
  </si>
  <si>
    <t>PTR-08</t>
  </si>
  <si>
    <t>KOMATSU J.W 200</t>
  </si>
  <si>
    <t>PTR-09</t>
  </si>
  <si>
    <t>SAKAI C200</t>
  </si>
  <si>
    <t>PTR-10</t>
  </si>
  <si>
    <t>SAKAI TS200</t>
  </si>
  <si>
    <t>1990</t>
  </si>
  <si>
    <t>MG-01</t>
  </si>
  <si>
    <t>Motor Grader</t>
  </si>
  <si>
    <t>MG-02</t>
  </si>
  <si>
    <t>MG-03</t>
  </si>
  <si>
    <t>MITSUBISHI 452-65-147</t>
  </si>
  <si>
    <t>MG-04</t>
  </si>
  <si>
    <t>MG-05</t>
  </si>
  <si>
    <t>KOMATSU 2501</t>
  </si>
  <si>
    <t>MG-06</t>
  </si>
  <si>
    <t>MITSUBISHI 320-11-21GD</t>
  </si>
  <si>
    <t>MG-07</t>
  </si>
  <si>
    <t>ZA-4344</t>
  </si>
  <si>
    <t>MG-08</t>
  </si>
  <si>
    <t>ZB-2561</t>
  </si>
  <si>
    <t>SANY STG170C-8</t>
  </si>
  <si>
    <t>MG-09</t>
  </si>
  <si>
    <t>ZB-2562</t>
  </si>
  <si>
    <t>MG-10</t>
  </si>
  <si>
    <t>ZB-2559</t>
  </si>
  <si>
    <t>MG-11</t>
  </si>
  <si>
    <t>MITSUBHISHI MG 230</t>
  </si>
  <si>
    <t>MG-12</t>
  </si>
  <si>
    <t>ZB-2564</t>
  </si>
  <si>
    <t>MG-13</t>
  </si>
  <si>
    <t>ZB-2585</t>
  </si>
  <si>
    <t>SANY STG170C-9</t>
  </si>
  <si>
    <t>MG-14</t>
  </si>
  <si>
    <t>MITSUBISHI 2GB00258</t>
  </si>
  <si>
    <t>MG-15</t>
  </si>
  <si>
    <t>MITSUBISHI 2GB01241</t>
  </si>
  <si>
    <t>2008</t>
  </si>
  <si>
    <t>MG-16</t>
  </si>
  <si>
    <t>CATERPILLER *CAT0140HC5HM03479*</t>
  </si>
  <si>
    <t>SL-01</t>
  </si>
  <si>
    <t>Skid Steer</t>
  </si>
  <si>
    <t>BOB CAT —</t>
  </si>
  <si>
    <t>SL-02</t>
  </si>
  <si>
    <t>BOB CAT S130</t>
  </si>
  <si>
    <t>SL-03</t>
  </si>
  <si>
    <t>SL-04</t>
  </si>
  <si>
    <t>SL-05</t>
  </si>
  <si>
    <t>SL-06</t>
  </si>
  <si>
    <t>SL-07</t>
  </si>
  <si>
    <t>SL-08</t>
  </si>
  <si>
    <t>CAT 216B3</t>
  </si>
  <si>
    <t>SL-09</t>
  </si>
  <si>
    <t>SL-10</t>
  </si>
  <si>
    <t>BOB CAT S450 S-450</t>
  </si>
  <si>
    <t>SL-11</t>
  </si>
  <si>
    <t>BOB CAT S-450</t>
  </si>
  <si>
    <t>SL-12</t>
  </si>
  <si>
    <t>SL-13</t>
  </si>
  <si>
    <t>SL-14</t>
  </si>
  <si>
    <t>BOB CAT S-16</t>
  </si>
  <si>
    <t>SL-15</t>
  </si>
  <si>
    <t>SL-16</t>
  </si>
  <si>
    <t>SL-17</t>
  </si>
  <si>
    <t>SL-18</t>
  </si>
  <si>
    <t>SL-19</t>
  </si>
  <si>
    <t>BOB CAT S770</t>
  </si>
  <si>
    <t>SL-20</t>
  </si>
  <si>
    <t>SL-21</t>
  </si>
  <si>
    <t>SL-22</t>
  </si>
  <si>
    <t>SL-23</t>
  </si>
  <si>
    <t>SL-24</t>
  </si>
  <si>
    <t>SL-25</t>
  </si>
  <si>
    <t>AP-01</t>
  </si>
  <si>
    <t>Asphalt Paver</t>
  </si>
  <si>
    <t>SUMITOMO HA45C-2065</t>
  </si>
  <si>
    <t>AP-02</t>
  </si>
  <si>
    <t>MITSUBISHI MF40WH</t>
  </si>
  <si>
    <t>AP-03</t>
  </si>
  <si>
    <t>MITSUBISHI MF-55WH</t>
  </si>
  <si>
    <t>AP-04</t>
  </si>
  <si>
    <t>MITSUBISHI MF60WD</t>
  </si>
  <si>
    <t>AP-05</t>
  </si>
  <si>
    <t>NIGATA —</t>
  </si>
  <si>
    <t>AP-06</t>
  </si>
  <si>
    <t>AP-07</t>
  </si>
  <si>
    <t>AP-08</t>
  </si>
  <si>
    <t>VOLVO P6820C</t>
  </si>
  <si>
    <t>AP-09</t>
  </si>
  <si>
    <t>SUMITOMO HA60W-7</t>
  </si>
  <si>
    <t>AP-10</t>
  </si>
  <si>
    <t>DYNAPAC SD2500C</t>
  </si>
  <si>
    <t>AP-11</t>
  </si>
  <si>
    <t>SUMITOMO HA60W-5</t>
  </si>
  <si>
    <t>BS-01</t>
  </si>
  <si>
    <t>43-3416</t>
  </si>
  <si>
    <t>Bitumen Bowser</t>
  </si>
  <si>
    <t>ASHOK LEYLAND COMET SUPER</t>
  </si>
  <si>
    <t>1992</t>
  </si>
  <si>
    <t>BS-02</t>
  </si>
  <si>
    <t>LL-0623</t>
  </si>
  <si>
    <t>TATA LPT 709</t>
  </si>
  <si>
    <t>BS-04</t>
  </si>
  <si>
    <t>LM-2298</t>
  </si>
  <si>
    <t>FOTON BJ1056R</t>
  </si>
  <si>
    <t>BS-05</t>
  </si>
  <si>
    <t>ZB-1469</t>
  </si>
  <si>
    <t>DFAC EQ1110SJ8BDC</t>
  </si>
  <si>
    <t>CR-01</t>
  </si>
  <si>
    <t>ZA-8395</t>
  </si>
  <si>
    <t>Mobile Crane</t>
  </si>
  <si>
    <t>TADANO TR-350M-3-00101</t>
  </si>
  <si>
    <t>1998</t>
  </si>
  <si>
    <t>CR-02</t>
  </si>
  <si>
    <t>ZA-9716</t>
  </si>
  <si>
    <t>KOBELCO RK 250</t>
  </si>
  <si>
    <t>1995</t>
  </si>
  <si>
    <t>BM-01</t>
  </si>
  <si>
    <t>48-4849</t>
  </si>
  <si>
    <t>Boom Truck</t>
  </si>
  <si>
    <t>FREIGHT ROVER —</t>
  </si>
  <si>
    <t>BM-02</t>
  </si>
  <si>
    <t>LC-0434</t>
  </si>
  <si>
    <t>TATA LPT1613</t>
  </si>
  <si>
    <t>BM-03</t>
  </si>
  <si>
    <t>LN-8277</t>
  </si>
  <si>
    <t>ISUZU PJ.CYZ51V5.OIOA</t>
  </si>
  <si>
    <t>2005</t>
  </si>
  <si>
    <t>BM-04</t>
  </si>
  <si>
    <t>LN-8278</t>
  </si>
  <si>
    <t>ISUZU KL.FSR34LARFORWARD</t>
  </si>
  <si>
    <t>BD-01</t>
  </si>
  <si>
    <t>LL-1782</t>
  </si>
  <si>
    <t>Prime Mover / Bed</t>
  </si>
  <si>
    <t>ISUZU GIGA</t>
  </si>
  <si>
    <t>BD-02</t>
  </si>
  <si>
    <t>GL-0019</t>
  </si>
  <si>
    <t>RENAULT —</t>
  </si>
  <si>
    <t>BD-03</t>
  </si>
  <si>
    <t>LY-1614</t>
  </si>
  <si>
    <t>TATA LPS4018</t>
  </si>
  <si>
    <t>2011</t>
  </si>
  <si>
    <t>BD-04</t>
  </si>
  <si>
    <t>LY-4524</t>
  </si>
  <si>
    <t>RENAULT PREMIUM</t>
  </si>
  <si>
    <t>BD-05</t>
  </si>
  <si>
    <t>LM-6653</t>
  </si>
  <si>
    <t>ASHOK LELAND TAURUS 2518</t>
  </si>
  <si>
    <t>BD-06</t>
  </si>
  <si>
    <t>325-5120</t>
  </si>
  <si>
    <t>ASHOK LELAND CAROO 709</t>
  </si>
  <si>
    <t>BD-08</t>
  </si>
  <si>
    <t>LN-8279</t>
  </si>
  <si>
    <t>HINO PROFLA</t>
  </si>
  <si>
    <t>BM-05</t>
  </si>
  <si>
    <t>LK-5041</t>
  </si>
  <si>
    <t>TATA LPT2516</t>
  </si>
  <si>
    <t>PC-01</t>
  </si>
  <si>
    <t>ZA-8373</t>
  </si>
  <si>
    <t>Pump Truck (Concrete)</t>
  </si>
  <si>
    <t>HINO FS1EWY</t>
  </si>
  <si>
    <t>PC-02</t>
  </si>
  <si>
    <t>ZB-1496</t>
  </si>
  <si>
    <t>SANY LZZ1BCKH2KW579978</t>
  </si>
  <si>
    <t>DC-06</t>
  </si>
  <si>
    <t>PA-4193</t>
  </si>
  <si>
    <t>Double Cab (Pickup)</t>
  </si>
  <si>
    <t>TOYOTA HILUX</t>
  </si>
  <si>
    <t>DC-07</t>
  </si>
  <si>
    <t>51-8083</t>
  </si>
  <si>
    <t>DATZEN MOTOR PIC-UP</t>
  </si>
  <si>
    <t>DC-08</t>
  </si>
  <si>
    <t>59-5421</t>
  </si>
  <si>
    <t>ISUZU MOTOR PIC-UP</t>
  </si>
  <si>
    <t>1997</t>
  </si>
  <si>
    <t>DC-10</t>
  </si>
  <si>
    <t>28-4314</t>
  </si>
  <si>
    <t>1985</t>
  </si>
  <si>
    <t>DC-11</t>
  </si>
  <si>
    <t>HU-5097</t>
  </si>
  <si>
    <t>MITSUBISHI L 200</t>
  </si>
  <si>
    <t>DC-12</t>
  </si>
  <si>
    <t>253-2574</t>
  </si>
  <si>
    <t>MITSUBISHI MOTOR PIC-UP</t>
  </si>
  <si>
    <t>DC-14</t>
  </si>
  <si>
    <t>PD-6917</t>
  </si>
  <si>
    <t>MAHINDRA BOLERO CAMPER GOLD</t>
  </si>
  <si>
    <t>DC-15</t>
  </si>
  <si>
    <t>PE-6582</t>
  </si>
  <si>
    <t>DC-16</t>
  </si>
  <si>
    <t>PA-4102</t>
  </si>
  <si>
    <t>VOLKSWAGON T5 TRANSPORTER</t>
  </si>
  <si>
    <t>DC-18</t>
  </si>
  <si>
    <t>PE-5879</t>
  </si>
  <si>
    <t>TOYOTA HILUX VIGO</t>
  </si>
  <si>
    <t>DC-19</t>
  </si>
  <si>
    <t>PD-8451</t>
  </si>
  <si>
    <t>2007</t>
  </si>
  <si>
    <t>DC-20</t>
  </si>
  <si>
    <t>PH-0765</t>
  </si>
  <si>
    <t>DC-21</t>
  </si>
  <si>
    <t>PH-3945</t>
  </si>
  <si>
    <t>MAHINDRA IMPERIO DCVX</t>
  </si>
  <si>
    <t>DC-22</t>
  </si>
  <si>
    <t>PE-3911</t>
  </si>
  <si>
    <t>DC-23</t>
  </si>
  <si>
    <t>PD-4739</t>
  </si>
  <si>
    <t>DC-24</t>
  </si>
  <si>
    <t>PC-7812</t>
  </si>
  <si>
    <t>TOYOTA HILUX HL2 D-4D 4*4</t>
  </si>
  <si>
    <t>DC-25</t>
  </si>
  <si>
    <t>PJ-5688</t>
  </si>
  <si>
    <t>DC-26</t>
  </si>
  <si>
    <t>PJ-7604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</si>
  <si>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</si>
  <si>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</si>
  <si>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</si>
  <si>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</si>
  <si>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</si>
  <si>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</si>
  <si>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</si>
  <si>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</si>
  <si>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DC-31</t>
  </si>
  <si>
    <t>PI-3982</t>
  </si>
  <si>
    <t>TOYOTA HILUX CUN126R DTTLH</t>
  </si>
  <si>
    <t>DC-32</t>
  </si>
  <si>
    <t>PH-9072</t>
  </si>
  <si>
    <t>TOYOTA —</t>
  </si>
  <si>
    <t>PV-01</t>
  </si>
  <si>
    <t>51-7158</t>
  </si>
  <si>
    <t>Van</t>
  </si>
  <si>
    <t>TOYOTA LITEACE</t>
  </si>
  <si>
    <t>1987</t>
  </si>
  <si>
    <t>PE-7986</t>
  </si>
  <si>
    <t>TOYOTA KDH200V</t>
  </si>
  <si>
    <t>54-7084</t>
  </si>
  <si>
    <t>TOYOTA TOYOTA TOWNACE</t>
  </si>
  <si>
    <t>1989</t>
  </si>
  <si>
    <t>HCC-01</t>
  </si>
  <si>
    <t>PA-4879</t>
  </si>
  <si>
    <t>Crew Cab</t>
  </si>
  <si>
    <t>TOYOTA KO-LY132</t>
  </si>
  <si>
    <t>HCC-02</t>
  </si>
  <si>
    <t>PA-6398</t>
  </si>
  <si>
    <t>TOYOTA KC-LY101</t>
  </si>
  <si>
    <t>HCC-03</t>
  </si>
  <si>
    <t>PA-6399</t>
  </si>
  <si>
    <t>TOYOTA KC-LY111</t>
  </si>
  <si>
    <t>HCC-04</t>
  </si>
  <si>
    <t>325-3448</t>
  </si>
  <si>
    <t>TOYOTA BU19</t>
  </si>
  <si>
    <t>1973</t>
  </si>
  <si>
    <t>HCC-05</t>
  </si>
  <si>
    <t>PH-6742</t>
  </si>
  <si>
    <t>JMC JX1032DSR</t>
  </si>
  <si>
    <t>HCC-06</t>
  </si>
  <si>
    <t>PH-6744</t>
  </si>
  <si>
    <t>HCC-07</t>
  </si>
  <si>
    <t>PH-6747</t>
  </si>
  <si>
    <t>HCC-08</t>
  </si>
  <si>
    <t>LN-1867</t>
  </si>
  <si>
    <t>JMC 1X1041DSLA2RS</t>
  </si>
  <si>
    <t>HCC-09</t>
  </si>
  <si>
    <t>PJ-6376</t>
  </si>
  <si>
    <t>HCC-10</t>
  </si>
  <si>
    <t>40-8060</t>
  </si>
  <si>
    <t>DATSUN AGY720-921207</t>
  </si>
  <si>
    <t>1984</t>
  </si>
  <si>
    <t>HCC-11</t>
  </si>
  <si>
    <t>LO-9810</t>
  </si>
  <si>
    <t>ISUZU PR75KJ7104331</t>
  </si>
  <si>
    <t>SC-02</t>
  </si>
  <si>
    <t>LB-4824</t>
  </si>
  <si>
    <t>Single Cab</t>
  </si>
  <si>
    <t>TATA 207 DI</t>
  </si>
  <si>
    <t>SC-04</t>
  </si>
  <si>
    <t>PT-1569</t>
  </si>
  <si>
    <t>TATA 207DI/28</t>
  </si>
  <si>
    <t>SC-05</t>
  </si>
  <si>
    <t>PV-6889</t>
  </si>
  <si>
    <t>SC-06</t>
  </si>
  <si>
    <t>PY-2408</t>
  </si>
  <si>
    <t>TATA 207 RX PICKUP</t>
  </si>
  <si>
    <t>SC-07</t>
  </si>
  <si>
    <t>PX-2180</t>
  </si>
  <si>
    <t>DFSK EQ1020DR</t>
  </si>
  <si>
    <t>SC-08</t>
  </si>
  <si>
    <t>PR-1504</t>
  </si>
  <si>
    <t>TATA ACE</t>
  </si>
  <si>
    <t>SC-09</t>
  </si>
  <si>
    <t>PR-1469</t>
  </si>
  <si>
    <t>SC-10</t>
  </si>
  <si>
    <t>DAH-2228</t>
  </si>
  <si>
    <t>MAHINDRA BMT PLUS MTI</t>
  </si>
  <si>
    <t>SC-11</t>
  </si>
  <si>
    <t>DAH-2229</t>
  </si>
  <si>
    <t>SC-12</t>
  </si>
  <si>
    <t>DAH-2230</t>
  </si>
  <si>
    <t>SC-13</t>
  </si>
  <si>
    <t>DAH-2231</t>
  </si>
  <si>
    <t>SC-14</t>
  </si>
  <si>
    <t>DAH-2491</t>
  </si>
  <si>
    <t>TATA YODHA BSIV</t>
  </si>
  <si>
    <t>SC-15</t>
  </si>
  <si>
    <t>47-5112</t>
  </si>
  <si>
    <t>LITEACE ACE</t>
  </si>
  <si>
    <t>DT-01</t>
  </si>
  <si>
    <t>LB-9496</t>
  </si>
  <si>
    <t>Dump Truck (Tipper)</t>
  </si>
  <si>
    <t>ASHOK LELAND COMET</t>
  </si>
  <si>
    <t>DT-02</t>
  </si>
  <si>
    <t>LL-0920</t>
  </si>
  <si>
    <t>TATA LPK 407</t>
  </si>
  <si>
    <t>DT-03</t>
  </si>
  <si>
    <t>LK-4057</t>
  </si>
  <si>
    <t>ASHOK LELAND COMMET TIPPER 1613</t>
  </si>
  <si>
    <t>DT-04</t>
  </si>
  <si>
    <t>HS-1794</t>
  </si>
  <si>
    <t>DT-05</t>
  </si>
  <si>
    <t>HS-1773</t>
  </si>
  <si>
    <t>DT-07</t>
  </si>
  <si>
    <t>LI-7618</t>
  </si>
  <si>
    <t>TATA LPK 1615</t>
  </si>
  <si>
    <t>DT-08</t>
  </si>
  <si>
    <t>LI-7620</t>
  </si>
  <si>
    <t>TATA LPK1618</t>
  </si>
  <si>
    <t>DT-09</t>
  </si>
  <si>
    <t>LI-7701</t>
  </si>
  <si>
    <t>DT-10</t>
  </si>
  <si>
    <t>LK-6740</t>
  </si>
  <si>
    <t>DT-11</t>
  </si>
  <si>
    <t>LK-6738</t>
  </si>
  <si>
    <t>DT-12</t>
  </si>
  <si>
    <t>LK-2276</t>
  </si>
  <si>
    <t>TATA LPK 909</t>
  </si>
  <si>
    <t>DT-13</t>
  </si>
  <si>
    <t>LK-2366</t>
  </si>
  <si>
    <t>DT-14</t>
  </si>
  <si>
    <t>LK-4056</t>
  </si>
  <si>
    <t>DT-15</t>
  </si>
  <si>
    <t>LM-5722</t>
  </si>
  <si>
    <t>DT-16</t>
  </si>
  <si>
    <t>LK-4059</t>
  </si>
  <si>
    <t>ASHOK LELAND TAURUS 2516</t>
  </si>
  <si>
    <t>DT-17</t>
  </si>
  <si>
    <t>LI-3402</t>
  </si>
  <si>
    <t>ELCHER TERRA16 HDR</t>
  </si>
  <si>
    <t>DT-18</t>
  </si>
  <si>
    <t>LM-5721</t>
  </si>
  <si>
    <t>DT-19</t>
  </si>
  <si>
    <t>LI-3396</t>
  </si>
  <si>
    <t>DT-20</t>
  </si>
  <si>
    <t>LI-3401</t>
  </si>
  <si>
    <t>DT-21</t>
  </si>
  <si>
    <t>LI-3395</t>
  </si>
  <si>
    <t>DT-22</t>
  </si>
  <si>
    <t>LH-5586</t>
  </si>
  <si>
    <t>ASHOK LELAND TAURUS</t>
  </si>
  <si>
    <t>DT-23</t>
  </si>
  <si>
    <t>LK-5586</t>
  </si>
  <si>
    <t>DT-24</t>
  </si>
  <si>
    <t>LI-2427</t>
  </si>
  <si>
    <t>DT-25</t>
  </si>
  <si>
    <t>LK-4058</t>
  </si>
  <si>
    <t>DT-26</t>
  </si>
  <si>
    <t>LK-4061</t>
  </si>
  <si>
    <t>DT-27</t>
  </si>
  <si>
    <t>LL-0936</t>
  </si>
  <si>
    <t>ASHOK LELAND LPK 407</t>
  </si>
  <si>
    <t>DT-28</t>
  </si>
  <si>
    <t>LJ-5203</t>
  </si>
  <si>
    <t>DT-29</t>
  </si>
  <si>
    <t>LJ-5559</t>
  </si>
  <si>
    <t>DT-30</t>
  </si>
  <si>
    <t>LI-3851</t>
  </si>
  <si>
    <t>DT-31</t>
  </si>
  <si>
    <t>LE-4986</t>
  </si>
  <si>
    <t>ELCHER 20.16</t>
  </si>
  <si>
    <t>DT-32</t>
  </si>
  <si>
    <t>LM-5719</t>
  </si>
  <si>
    <t>DT-33</t>
  </si>
  <si>
    <t>LM-5723</t>
  </si>
  <si>
    <t>DT-34</t>
  </si>
  <si>
    <t>LM-5720</t>
  </si>
  <si>
    <t>DT-35</t>
  </si>
  <si>
    <t>LM-7940</t>
  </si>
  <si>
    <t>DT-36</t>
  </si>
  <si>
    <t>LM-7948</t>
  </si>
  <si>
    <t>DT-37</t>
  </si>
  <si>
    <t>LM-7949</t>
  </si>
  <si>
    <t>DT-38</t>
  </si>
  <si>
    <t>LM-7942</t>
  </si>
  <si>
    <t>DT-39</t>
  </si>
  <si>
    <t>LM-7951</t>
  </si>
  <si>
    <t>DT-40</t>
  </si>
  <si>
    <t>LN-9046</t>
  </si>
  <si>
    <t>TATA 10.80 TIPPER</t>
  </si>
  <si>
    <t>DT-41</t>
  </si>
  <si>
    <t>HO-9850</t>
  </si>
  <si>
    <t>DT-42</t>
  </si>
  <si>
    <t>LO-4822</t>
  </si>
  <si>
    <t>DT-43</t>
  </si>
  <si>
    <t>LO-4823</t>
  </si>
  <si>
    <t>DT-44</t>
  </si>
  <si>
    <t>LO-4824</t>
  </si>
  <si>
    <t>DT-45</t>
  </si>
  <si>
    <t>LO-4816</t>
  </si>
  <si>
    <t>DT-46</t>
  </si>
  <si>
    <t>LO-4821</t>
  </si>
  <si>
    <t>DT-47</t>
  </si>
  <si>
    <t>LO-5983</t>
  </si>
  <si>
    <t>TATA LPK1615TC</t>
  </si>
  <si>
    <t>DT-48</t>
  </si>
  <si>
    <t>LO-5986</t>
  </si>
  <si>
    <t>DT-49</t>
  </si>
  <si>
    <t>LO-5984</t>
  </si>
  <si>
    <t>DT-50</t>
  </si>
  <si>
    <t>LO-5985</t>
  </si>
  <si>
    <t>DT-51</t>
  </si>
  <si>
    <t>LO-5981</t>
  </si>
  <si>
    <t>DT-52</t>
  </si>
  <si>
    <t>LA-4229</t>
  </si>
  <si>
    <t>TATA COMMET TIPPER 1613</t>
  </si>
  <si>
    <t>DT-53</t>
  </si>
  <si>
    <t>LO-7183</t>
  </si>
  <si>
    <t>DT-54</t>
  </si>
  <si>
    <t>LO-7180</t>
  </si>
  <si>
    <t>DT-55</t>
  </si>
  <si>
    <t>LO-7182</t>
  </si>
  <si>
    <t>DT-56</t>
  </si>
  <si>
    <t>LO-7181</t>
  </si>
  <si>
    <t>DT-57</t>
  </si>
  <si>
    <t>LO-7184</t>
  </si>
  <si>
    <t>DT-58</t>
  </si>
  <si>
    <t>LO-8349</t>
  </si>
  <si>
    <t>DT-59</t>
  </si>
  <si>
    <t>LO-8348</t>
  </si>
  <si>
    <t>DT-60</t>
  </si>
  <si>
    <t>LO-8350</t>
  </si>
  <si>
    <t>DT-61</t>
  </si>
  <si>
    <t>LP-1581</t>
  </si>
  <si>
    <t>DT-62</t>
  </si>
  <si>
    <t>LP-1573</t>
  </si>
  <si>
    <t>DT-63</t>
  </si>
  <si>
    <t>LP-1567</t>
  </si>
  <si>
    <t>DT-64</t>
  </si>
  <si>
    <t>LP-1576</t>
  </si>
  <si>
    <t>DT-65</t>
  </si>
  <si>
    <t>LP-1571</t>
  </si>
  <si>
    <t>DT-66</t>
  </si>
  <si>
    <t>LP-1582</t>
  </si>
  <si>
    <t>DT-67</t>
  </si>
  <si>
    <t>LP-1572</t>
  </si>
  <si>
    <t>DT-68</t>
  </si>
  <si>
    <t>LP-1569</t>
  </si>
  <si>
    <t>DT-69</t>
  </si>
  <si>
    <t>LP-1579</t>
  </si>
  <si>
    <t>DT-70</t>
  </si>
  <si>
    <t>LP-1574</t>
  </si>
  <si>
    <t>DT-71</t>
  </si>
  <si>
    <t>LP-1578</t>
  </si>
  <si>
    <t>DT-72</t>
  </si>
  <si>
    <t>LP-1580</t>
  </si>
  <si>
    <t>DT-73</t>
  </si>
  <si>
    <t>LP-1568</t>
  </si>
  <si>
    <t>DT-74</t>
  </si>
  <si>
    <t>LP-1577</t>
  </si>
  <si>
    <t>DT-75</t>
  </si>
  <si>
    <t>LP-1566</t>
  </si>
  <si>
    <t>DT-76</t>
  </si>
  <si>
    <t>LP-1710</t>
  </si>
  <si>
    <t>DT-77</t>
  </si>
  <si>
    <t>LP-1719</t>
  </si>
  <si>
    <t>DT-78</t>
  </si>
  <si>
    <t>LP-1709</t>
  </si>
  <si>
    <t>DT-79</t>
  </si>
  <si>
    <t>LP-1713</t>
  </si>
  <si>
    <t>DT-80</t>
  </si>
  <si>
    <t>LP-1720</t>
  </si>
  <si>
    <t>DT-81</t>
  </si>
  <si>
    <t>LP-1715</t>
  </si>
  <si>
    <t>DT-82</t>
  </si>
  <si>
    <t>LP-1716</t>
  </si>
  <si>
    <t>DT-83</t>
  </si>
  <si>
    <t>LP-1712</t>
  </si>
  <si>
    <t>DT-84</t>
  </si>
  <si>
    <t>LP-1711</t>
  </si>
  <si>
    <t>DT-85</t>
  </si>
  <si>
    <t>LP-1718</t>
  </si>
  <si>
    <t>RY-2390</t>
  </si>
  <si>
    <t>Trailer</t>
  </si>
  <si>
    <t>LOCALLY BUILT Tractor trailer</t>
  </si>
  <si>
    <t>TANKER Tractor trailer</t>
  </si>
  <si>
    <t>RY-0614</t>
  </si>
  <si>
    <t>WIMALAORO Tractor trailer</t>
  </si>
  <si>
    <t>RV-1990</t>
  </si>
  <si>
    <t>LX-1679</t>
  </si>
  <si>
    <t>Lorry Trailer</t>
  </si>
  <si>
    <t>TANTRI TFB40</t>
  </si>
  <si>
    <t>HD-9005</t>
  </si>
  <si>
    <t>TANTRI TSK 20</t>
  </si>
  <si>
    <t>LX-1045</t>
  </si>
  <si>
    <t>DB-01</t>
  </si>
  <si>
    <t>LA-9208</t>
  </si>
  <si>
    <t>Diesel Bowser</t>
  </si>
  <si>
    <t>DB-02</t>
  </si>
  <si>
    <t>68-5115</t>
  </si>
  <si>
    <t>ISUZU 207 DI</t>
  </si>
  <si>
    <t>DB-03</t>
  </si>
  <si>
    <t>40-2955</t>
  </si>
  <si>
    <t>NISSAN ATLAS</t>
  </si>
  <si>
    <t>DB-04</t>
  </si>
  <si>
    <t>41-1130</t>
  </si>
  <si>
    <t>ISUZU —</t>
  </si>
  <si>
    <t>DB-05</t>
  </si>
  <si>
    <t>LA-1359</t>
  </si>
  <si>
    <t>TATA —</t>
  </si>
  <si>
    <t>HEX-01</t>
  </si>
  <si>
    <t>Excavator</t>
  </si>
  <si>
    <t>VOLVO EC210V</t>
  </si>
  <si>
    <t>HEX-02</t>
  </si>
  <si>
    <t>KOMATSU PC-100</t>
  </si>
  <si>
    <t>HEX-03</t>
  </si>
  <si>
    <t>HITACHI UH045</t>
  </si>
  <si>
    <t>HEX-04</t>
  </si>
  <si>
    <t>HEX-05</t>
  </si>
  <si>
    <t>KOMATSU PC60</t>
  </si>
  <si>
    <t>HEX-06</t>
  </si>
  <si>
    <t>KOMATSU PCS50UU-01</t>
  </si>
  <si>
    <t>HEX-07</t>
  </si>
  <si>
    <t>KOBELKO YD-00418</t>
  </si>
  <si>
    <t>HEX-09</t>
  </si>
  <si>
    <t>KOMATSU PC27R-8</t>
  </si>
  <si>
    <t>HEX-12</t>
  </si>
  <si>
    <t>HEX-13</t>
  </si>
  <si>
    <t>KUBOTA U-25-35</t>
  </si>
  <si>
    <t>HEX-14</t>
  </si>
  <si>
    <t>CAT 303 CR</t>
  </si>
  <si>
    <t>HEX-15</t>
  </si>
  <si>
    <t>KUBOTA KX-040</t>
  </si>
  <si>
    <t>HEX-17</t>
  </si>
  <si>
    <t>HYUNDAI 0BEX220LC-9S</t>
  </si>
  <si>
    <t>HEX-18</t>
  </si>
  <si>
    <t>HITHACHI EX75UR-3</t>
  </si>
  <si>
    <t>HEX-19</t>
  </si>
  <si>
    <t>KOMATSU PC-120-6EO</t>
  </si>
  <si>
    <t>HEX-20</t>
  </si>
  <si>
    <t>KOMATSU PC-40MR-02</t>
  </si>
  <si>
    <t>HEX-21</t>
  </si>
  <si>
    <t>KOBELKO SK115SR</t>
  </si>
  <si>
    <t>HEX-22</t>
  </si>
  <si>
    <t>CATAPILLAR 314C</t>
  </si>
  <si>
    <t>HEX-23</t>
  </si>
  <si>
    <t>KOBELKO 200</t>
  </si>
  <si>
    <t>HEX-24</t>
  </si>
  <si>
    <t>KOMATSU PC-40MR-1</t>
  </si>
  <si>
    <t>HEX-25</t>
  </si>
  <si>
    <t>14160</t>
  </si>
  <si>
    <t>HYUNDAI R230LM</t>
  </si>
  <si>
    <t>HEX-26</t>
  </si>
  <si>
    <t>HYUNDAI ROBEX330LC-9S</t>
  </si>
  <si>
    <t>HEX-27</t>
  </si>
  <si>
    <t>HYUNDAI E55W</t>
  </si>
  <si>
    <t>HEX-28</t>
  </si>
  <si>
    <t>KOMATSU PC-60-6</t>
  </si>
  <si>
    <t>HEX-29</t>
  </si>
  <si>
    <t>CAT CAT308CCR</t>
  </si>
  <si>
    <t>HEX-31</t>
  </si>
  <si>
    <t>KOMATSU PC-30</t>
  </si>
  <si>
    <t>HEX-32</t>
  </si>
  <si>
    <t>HEX-33</t>
  </si>
  <si>
    <t>HEX-34</t>
  </si>
  <si>
    <t>HYUNDAI R220LC-9S</t>
  </si>
  <si>
    <t>HEX-35</t>
  </si>
  <si>
    <t>HEX-36</t>
  </si>
  <si>
    <t>HEX-37</t>
  </si>
  <si>
    <t>HYUNDAI (ROBEX330LC-96)</t>
  </si>
  <si>
    <t>HEX-38</t>
  </si>
  <si>
    <t>HEX-39</t>
  </si>
  <si>
    <t>HEX-40</t>
  </si>
  <si>
    <t>SANTUI SE210</t>
  </si>
  <si>
    <t>HEX-41</t>
  </si>
  <si>
    <t>HYUNDAI 220LC-7</t>
  </si>
  <si>
    <t>HEX-42</t>
  </si>
  <si>
    <t>CASE CX220C LC HD</t>
  </si>
  <si>
    <t>HEX-43</t>
  </si>
  <si>
    <t>HEX-44</t>
  </si>
  <si>
    <t>KOBELCO SX 120</t>
  </si>
  <si>
    <t>HEX-45</t>
  </si>
  <si>
    <t>HEX-46</t>
  </si>
  <si>
    <t>WB-01</t>
  </si>
  <si>
    <t>48-8072</t>
  </si>
  <si>
    <t>Water Bowser</t>
  </si>
  <si>
    <t>TATA S1313/42 TANKER</t>
  </si>
  <si>
    <t>WB-02</t>
  </si>
  <si>
    <t>43-1191</t>
  </si>
  <si>
    <t>TATA 1210SE-CLOSED</t>
  </si>
  <si>
    <t>WB-03</t>
  </si>
  <si>
    <t>ASHOK LEYLAND COMET</t>
  </si>
  <si>
    <t>WB-04</t>
  </si>
  <si>
    <t>LI-3405</t>
  </si>
  <si>
    <t>WB-05</t>
  </si>
  <si>
    <t>WB-06</t>
  </si>
  <si>
    <t>227-7971</t>
  </si>
  <si>
    <t>ASHOK LEYLAND IVECO-CARGO</t>
  </si>
  <si>
    <t>WB-08</t>
  </si>
  <si>
    <t>WB-09</t>
  </si>
  <si>
    <t>RY-0299</t>
  </si>
  <si>
    <t>WB-10</t>
  </si>
  <si>
    <t>RY-0301</t>
  </si>
  <si>
    <t>WB-11</t>
  </si>
  <si>
    <t>RY-0304</t>
  </si>
  <si>
    <t>WB-12</t>
  </si>
  <si>
    <t>RY-2392</t>
  </si>
  <si>
    <t>WB-13</t>
  </si>
  <si>
    <t>WB-14</t>
  </si>
  <si>
    <t>WB-15</t>
  </si>
  <si>
    <t>WB-16</t>
  </si>
  <si>
    <t>WB-17</t>
  </si>
  <si>
    <t>WB-18</t>
  </si>
  <si>
    <t>LO-1059</t>
  </si>
  <si>
    <t>TATA LPT1615TC</t>
  </si>
  <si>
    <t>WB-19</t>
  </si>
  <si>
    <t>WB-20</t>
  </si>
  <si>
    <t>LD-8875</t>
  </si>
  <si>
    <t>FT-02</t>
  </si>
  <si>
    <t>49-2289</t>
  </si>
  <si>
    <t>Farm Tractor</t>
  </si>
  <si>
    <t>MASSEY FURGUSON 135</t>
  </si>
  <si>
    <t>1974</t>
  </si>
  <si>
    <t>FT-03</t>
  </si>
  <si>
    <t>RA-3051</t>
  </si>
  <si>
    <t>TAFE 45DI</t>
  </si>
  <si>
    <t>FT-04</t>
  </si>
  <si>
    <t>RA-3052</t>
  </si>
  <si>
    <t>FT-05</t>
  </si>
  <si>
    <t>RF-0748</t>
  </si>
  <si>
    <t>MASSEY FEROUSON MF 240</t>
  </si>
  <si>
    <t>FT-06</t>
  </si>
  <si>
    <t>RD-3536</t>
  </si>
  <si>
    <t>MAHINDRA 575DI</t>
  </si>
  <si>
    <t>FT-07</t>
  </si>
  <si>
    <t>RC-9894</t>
  </si>
  <si>
    <t>FT-08</t>
  </si>
  <si>
    <t>RD-3537</t>
  </si>
  <si>
    <t>FT-09</t>
  </si>
  <si>
    <t>49-5294</t>
  </si>
  <si>
    <t>MASSEY FURGUSON 45DI</t>
  </si>
  <si>
    <t>1980</t>
  </si>
  <si>
    <t>FT-10</t>
  </si>
  <si>
    <t>RD-6318</t>
  </si>
  <si>
    <t>MAHINDRA 275 DI</t>
  </si>
  <si>
    <t>FT-11</t>
  </si>
  <si>
    <t>49-2288</t>
  </si>
  <si>
    <t>MB-05</t>
  </si>
  <si>
    <t>HO-0217</t>
  </si>
  <si>
    <t>Motor Bicycle</t>
  </si>
  <si>
    <t>BAJAJ BAJAJ BOXERCT-DELUXE</t>
  </si>
  <si>
    <t>MB-07</t>
  </si>
  <si>
    <t>MP-3092</t>
  </si>
  <si>
    <t>TVS STAR CITY</t>
  </si>
  <si>
    <t>MB-08</t>
  </si>
  <si>
    <t>MV-4276</t>
  </si>
  <si>
    <t>BAJAJ CT100</t>
  </si>
  <si>
    <t>MB-09</t>
  </si>
  <si>
    <t>MV-5841</t>
  </si>
  <si>
    <t>BAJAJ CD DREAM DLX 110</t>
  </si>
  <si>
    <t>MB-10</t>
  </si>
  <si>
    <t>BEF-7850</t>
  </si>
  <si>
    <t>BAJAJ DISCOVER 125</t>
  </si>
  <si>
    <t>MB-11</t>
  </si>
  <si>
    <t>BET-3726</t>
  </si>
  <si>
    <t>BAJAJ PLATINA</t>
  </si>
  <si>
    <t>MB-13</t>
  </si>
  <si>
    <t>TS-5399</t>
  </si>
  <si>
    <t>BAJAJ DISCOVER DTSI</t>
  </si>
  <si>
    <t>MB-14</t>
  </si>
  <si>
    <t>XG-6801</t>
  </si>
  <si>
    <t>BAJAJ PLATINA BM 125</t>
  </si>
  <si>
    <t>MB-15</t>
  </si>
  <si>
    <t>BEF-7836</t>
  </si>
  <si>
    <t>MB-16</t>
  </si>
  <si>
    <t>XP-8682</t>
  </si>
  <si>
    <t>HONDA CB-125T</t>
  </si>
  <si>
    <t>MB-17</t>
  </si>
  <si>
    <t>XW-9221</t>
  </si>
  <si>
    <t>MB-18</t>
  </si>
  <si>
    <t>WQ-9941</t>
  </si>
  <si>
    <t>MB-19</t>
  </si>
  <si>
    <t>BET-3772</t>
  </si>
  <si>
    <t>MB-20</t>
  </si>
  <si>
    <t>XW-9217</t>
  </si>
  <si>
    <t>BAJAJ —</t>
  </si>
  <si>
    <t>MB-21</t>
  </si>
  <si>
    <t>XW-9222</t>
  </si>
  <si>
    <t>MB-22</t>
  </si>
  <si>
    <t>BAB-8828</t>
  </si>
  <si>
    <t>MB-23</t>
  </si>
  <si>
    <t>BAB-8832</t>
  </si>
  <si>
    <t>MB-25</t>
  </si>
  <si>
    <t>BDJ-2374</t>
  </si>
  <si>
    <t>MB-26</t>
  </si>
  <si>
    <t>BDI-8546</t>
  </si>
  <si>
    <t>MB-27</t>
  </si>
  <si>
    <t>BDI-8556</t>
  </si>
  <si>
    <t>MB-28</t>
  </si>
  <si>
    <t>BDJ-2375</t>
  </si>
  <si>
    <t>MB-29</t>
  </si>
  <si>
    <t>BCN-9805</t>
  </si>
  <si>
    <t>BAJAJ DISCOVER 125 M</t>
  </si>
  <si>
    <t>MB-30</t>
  </si>
  <si>
    <t>BCN-9802</t>
  </si>
  <si>
    <t>MB-31</t>
  </si>
  <si>
    <t>BAB-8839</t>
  </si>
  <si>
    <t>MB-32</t>
  </si>
  <si>
    <t>BAN-2012</t>
  </si>
  <si>
    <t>MB-33</t>
  </si>
  <si>
    <t>BAN-2021</t>
  </si>
  <si>
    <t>MB-34</t>
  </si>
  <si>
    <t>WQ-9935</t>
  </si>
  <si>
    <t>MB-35</t>
  </si>
  <si>
    <t>BEB-3132</t>
  </si>
  <si>
    <t>PLATINA PLATINA</t>
  </si>
  <si>
    <t>MB-36</t>
  </si>
  <si>
    <t>BIE-8589</t>
  </si>
  <si>
    <t>DISCOVERY —</t>
  </si>
  <si>
    <t>MB-37</t>
  </si>
  <si>
    <t>BET-8556</t>
  </si>
  <si>
    <t>PLATINA —</t>
  </si>
  <si>
    <t>BIE-8552</t>
  </si>
  <si>
    <t>ME4JC65BJJT080434</t>
  </si>
  <si>
    <t>BFR-4276</t>
  </si>
  <si>
    <t>ME4JC679MJ8001960</t>
  </si>
  <si>
    <t>BHT-3482</t>
  </si>
  <si>
    <t>MD2A15BY8JWK40326</t>
  </si>
  <si>
    <t>BGI-5000</t>
  </si>
  <si>
    <t>BII-2125</t>
  </si>
  <si>
    <t>BIG-4988</t>
  </si>
  <si>
    <t>BGY-6440</t>
  </si>
  <si>
    <t>BGY-6446</t>
  </si>
  <si>
    <t>AA01-1115643</t>
  </si>
  <si>
    <t>BGY-6445</t>
  </si>
  <si>
    <t>ME4JC65BKKG000814</t>
  </si>
  <si>
    <t>BID-8738</t>
  </si>
  <si>
    <t>HONDA —</t>
  </si>
  <si>
    <t>MD2A15BYJJWL41226</t>
  </si>
  <si>
    <t>TB-01</t>
  </si>
  <si>
    <t>Tractor Bowser</t>
  </si>
  <si>
    <t>TRACTOR TRILER TRACTOR BOWSER</t>
  </si>
  <si>
    <t>TB-04</t>
  </si>
  <si>
    <t>TB-09</t>
  </si>
  <si>
    <t>TB-10</t>
  </si>
  <si>
    <t>LOCALLY BUILT TRACTOR BOWSER</t>
  </si>
  <si>
    <t>TB-11</t>
  </si>
  <si>
    <t>TB-12</t>
  </si>
  <si>
    <t>TANKER TRACTOR BOWSER</t>
  </si>
  <si>
    <t>TB-15</t>
  </si>
  <si>
    <t>TB-16</t>
  </si>
  <si>
    <t>TB-17</t>
  </si>
  <si>
    <t>TB-18</t>
  </si>
  <si>
    <t>FL-01</t>
  </si>
  <si>
    <t>Forklift</t>
  </si>
  <si>
    <t>BARROL FORK LIFT —</t>
  </si>
  <si>
    <t>FL-02</t>
  </si>
  <si>
    <t>BLADE FOCK LIFT —</t>
  </si>
  <si>
    <t>FL-03</t>
  </si>
  <si>
    <t>Capacity / Specification</t>
  </si>
  <si>
    <t>Day Rate — Wet (Rs.)</t>
  </si>
  <si>
    <t>Day Rate — Dry (Rs.)</t>
  </si>
  <si>
    <t>Air Compressor</t>
  </si>
  <si>
    <t>10–15 HP (industrial)</t>
  </si>
  <si>
    <t>185 cfm (towable diesel)</t>
  </si>
  <si>
    <t>2–3 HP (portable, electric)</t>
  </si>
  <si>
    <t>375 cfm (towable diesel)</t>
  </si>
  <si>
    <t>5–7 HP (belt-drive, petrol)</t>
  </si>
  <si>
    <t>Angle Grinder</t>
  </si>
  <si>
    <t>4–5" (100–125 mm)</t>
  </si>
  <si>
    <t>7–9" (180–230 mm)</t>
  </si>
  <si>
    <t>Circular Saw</t>
  </si>
  <si>
    <t>14" cut-off / metal saw</t>
  </si>
  <si>
    <t>7" (185 mm, hand-held)</t>
  </si>
  <si>
    <t>9" (235 mm, hand-held)</t>
  </si>
  <si>
    <t>Concrete Mixer</t>
  </si>
  <si>
    <t>10/7 cu.ft drum (diesel, one-bag)</t>
  </si>
  <si>
    <t>10/7 cu.ft with hopper / hoist</t>
  </si>
  <si>
    <t>5/3.5 cu.ft (petrol, half-bag)</t>
  </si>
  <si>
    <t>Engine Water Pump</t>
  </si>
  <si>
    <t>2" (petrol, self-priming)</t>
  </si>
  <si>
    <t>3" (petrol, self-priming)</t>
  </si>
  <si>
    <t>3" trash pump (solids-handling)</t>
  </si>
  <si>
    <t>4" (diesel)</t>
  </si>
  <si>
    <t>Generator</t>
  </si>
  <si>
    <t>10 kVA (diesel, 1-ph)</t>
  </si>
  <si>
    <t>100–125 kVA (soundproof)</t>
  </si>
  <si>
    <t>150 kVA (soundproof)</t>
  </si>
  <si>
    <t>20–25 kVA (diesel, 3-ph)</t>
  </si>
  <si>
    <t>30–50 kVA (diesel, 3-ph)</t>
  </si>
  <si>
    <t>3–5 kVA (petrol, 1-ph)</t>
  </si>
  <si>
    <t>60–80 kVA (soundproof)</t>
  </si>
  <si>
    <t>Light Plant</t>
  </si>
  <si>
    <t>4×1000 W metal-halide tower (diesel)</t>
  </si>
  <si>
    <t>4×400 W LED tower (mobile, diesel)</t>
  </si>
  <si>
    <t>Poker / Concrete Vibrator</t>
  </si>
  <si>
    <t>Electric drive unit + shaft</t>
  </si>
  <si>
    <t>Needle/shaft only (35–60 mm)</t>
  </si>
  <si>
    <t>Petrol drive unit + shaft</t>
  </si>
  <si>
    <t>Power Tool — Other</t>
  </si>
  <si>
    <t>Hand / hammer / impact drill</t>
  </si>
  <si>
    <t>Plate compactor (forward)</t>
  </si>
  <si>
    <t>Power trowel (concrete)</t>
  </si>
  <si>
    <t>Rotary Hammer</t>
  </si>
  <si>
    <t>2–4 kg (SDS-plus)</t>
  </si>
  <si>
    <t>5–7 kg (SDS-max)</t>
  </si>
  <si>
    <t>Demolition breaker 10–16 kg</t>
  </si>
  <si>
    <t>Submersible Pump</t>
  </si>
  <si>
    <t>1" (dewatering, electric)</t>
  </si>
  <si>
    <t>2" (dewatering, electric)</t>
  </si>
  <si>
    <t>3" (dewatering, electric)</t>
  </si>
  <si>
    <t>4" (dewatering, electric)</t>
  </si>
  <si>
    <t>6" (high-volume)</t>
  </si>
  <si>
    <t>Welding Plant</t>
  </si>
  <si>
    <t>300 A diesel (engine-driven)</t>
  </si>
  <si>
    <t>CATEGORY SUMMARY  —  UNIT COUNTS &amp; AVERAGE DAY RATES</t>
  </si>
  <si>
    <t>Live figures pulled from the Fleet Rate Card sheet. Day rates in LKR.</t>
  </si>
  <si>
    <t>Units</t>
  </si>
  <si>
    <t>Avg Day
Dry</t>
  </si>
  <si>
    <t>Avg Day
Wet</t>
  </si>
  <si>
    <t>Avg Day
Fully Wet</t>
  </si>
  <si>
    <t>Min Day
Fully Wet</t>
  </si>
  <si>
    <t>Max Day
Fully Wet</t>
  </si>
  <si>
    <t>TOTAL / FLEET AVG</t>
  </si>
  <si>
    <t>EDWARD &amp; CHRISTIE  —  FLEET HIRE RATE CARD 2026   (all rates, excl. SSCL/VAT)</t>
  </si>
  <si>
    <t>PORTABLE EQUIPMENT  —  PER-DAY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</si>
</sst>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—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i/>
      <sz val="9"/>
      <color rgb="FF6B6258"/>
      <name val="Arial"/>
      <charset val="1"/>
    </font>
    <font>
      <b/>
      <sz val="11"/>
      <color rgb="FFFFFFFF"/>
      <name val="Arial"/>
      <charset val="1"/>
    </font>
    <font>
      <b/>
      <sz val="11"/>
      <color rgb="FFE26B0A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color rgb="FFE26B0A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4110F"/>
      <name val="Arial"/>
      <charset val="1"/>
    </font>
    <font>
      <sz val="9"/>
      <name val="Arial"/>
      <charset val="1"/>
    </font>
    <font>
      <b/>
      <sz val="9"/>
      <color rgb="FFE26B0A"/>
      <name val="Arial"/>
      <charset val="1"/>
    </font>
    <font>
      <b/>
      <sz val="10"/>
      <color rgb="FF14110F"/>
      <name val="Arial"/>
      <charset val="1"/>
    </font>
    <font>
      <b/>
      <sz val="10"/>
      <color rgb="FFE26B0A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4110F"/>
        <bgColor rgb="FF000000"/>
      </patternFill>
    </fill>
    <fill>
      <patternFill patternType="solid">
        <fgColor rgb="FFF58220"/>
        <bgColor rgb="FFE26B0A"/>
      </patternFill>
    </fill>
    <fill>
      <patternFill patternType="solid">
        <fgColor rgb="FF243A5E"/>
        <bgColor rgb="FF3D3630"/>
      </patternFill>
    </fill>
    <fill>
      <patternFill patternType="solid">
        <fgColor rgb="FFFEF3E7"/>
        <bgColor rgb="FFF7F4EF"/>
      </patternFill>
    </fill>
    <fill>
      <patternFill patternType="solid">
        <fgColor rgb="FFF7F4EF"/>
        <bgColor rgb="FFFEF3E7"/>
      </patternFill>
    </fill>
    <fill>
      <patternFill patternType="solid">
        <fgColor rgb="FFE26B0A"/>
        <bgColor rgb="FFF58220"/>
      </patternFill>
    </fill>
    <fill>
      <patternFill patternType="solid">
        <fgColor rgb="FF3D3630"/>
        <bgColor rgb="FF333300"/>
      </patternFill>
    </fill>
    <fill>
      <patternFill patternType="solid">
        <fgColor rgb="FFFFFFFF"/>
        <bgColor rgb="FFF7F4EF"/>
      </patternFill>
    </fill>
  </fills>
  <borders count="3">
    <border>
      <left/>
      <right/>
      <top/>
      <bottom/>
      <diagonal/>
    </border>
    <border>
      <left style="thin">
        <color rgb="FFD9D4CB"/>
      </left>
      <right style="thin">
        <color rgb="FFD9D4CB"/>
      </right>
      <top style="thin">
        <color rgb="FFD9D4CB"/>
      </top>
      <bottom style="thin">
        <color rgb="FFD9D4CB"/>
      </bottom>
      <diagonal/>
    </border>
    <border>
      <left style="thin">
        <color rgb="FFD9D4CB"/>
      </left>
      <right/>
      <top style="thin">
        <color rgb="FFD9D4CB"/>
      </top>
      <bottom style="thin">
        <color rgb="FFD9D4C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3" fillId="0" borderId="0" xfId="0" applyFont="1"/>
    <xf numFmtId="0" fontId="10" fillId="8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164" fontId="12" fillId="6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/>
    </xf>
    <xf numFmtId="164" fontId="12" fillId="9" borderId="1" xfId="0" applyNumberFormat="1" applyFont="1" applyFill="1" applyBorder="1" applyAlignment="1">
      <alignment horizontal="right" vertical="center"/>
    </xf>
    <xf numFmtId="164" fontId="13" fillId="9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15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164" fontId="15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E7"/>
      <rgbColor rgb="FFF7F4EF"/>
      <rgbColor rgb="FF660066"/>
      <rgbColor rgb="FFFF8080"/>
      <rgbColor rgb="FF0066CC"/>
      <rgbColor rgb="FFD9D4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8220"/>
      <rgbColor rgb="FFE26B0A"/>
      <rgbColor rgb="FF6B6258"/>
      <rgbColor rgb="FF969696"/>
      <rgbColor rgb="FF243A5E"/>
      <rgbColor rgb="FF339966"/>
      <rgbColor rgb="FF14110F"/>
      <rgbColor rgb="FF333300"/>
      <rgbColor rgb="FF993300"/>
      <rgbColor rgb="FF993366"/>
      <rgbColor rgb="FF333399"/>
      <rgbColor rgb="FF3D36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30" customWidth="1"/>
    <col min="4" max="6" width="16" customWidth="1"/>
  </cols>
  <sheetData>
    <row r="2" spans="2:6" ht="37.5" customHeight="1" x14ac:dyDescent="0.3">
      <c r="B2" s="36" t="s">
        <v>0</v>
      </c>
      <c r="C2" s="36"/>
      <c r="D2" s="36"/>
      <c r="E2" s="36"/>
      <c r="F2" s="36"/>
    </row>
    <row r="3" spans="2:6" ht="24" customHeight="1" x14ac:dyDescent="0.3">
      <c r="B3" s="37" t="s">
        <v>1</v>
      </c>
      <c r="C3" s="37"/>
      <c r="D3" s="37"/>
      <c r="E3" s="37"/>
      <c r="F3" s="37"/>
    </row>
    <row r="4" spans="2:6" ht="18" customHeight="1" x14ac:dyDescent="0.3">
      <c r="B4" s="38" t="s">
        <v>2</v>
      </c>
      <c r="C4" s="38"/>
      <c r="D4" s="38"/>
      <c r="E4" s="38"/>
      <c r="F4" s="38"/>
    </row>
    <row r="6" spans="2:6" ht="21.75" customHeight="1" x14ac:dyDescent="0.3">
      <c r="B6" s="39" t="s">
        <v>3</v>
      </c>
      <c r="C6" s="39"/>
      <c r="D6" s="39"/>
      <c r="E6" s="39"/>
      <c r="F6" s="39"/>
    </row>
    <row r="7" spans="2:6" ht="18" customHeight="1" x14ac:dyDescent="0.3">
      <c r="B7" s="1" t="s">
        <v>4</v>
      </c>
      <c r="C7" s="1" t="s">
        <v>5</v>
      </c>
      <c r="D7" s="40" t="s">
        <v>6</v>
      </c>
      <c r="E7" s="40"/>
      <c r="F7" s="40"/>
    </row>
    <row r="8" spans="2:6" ht="33.75" customHeight="1" x14ac:dyDescent="0.3">
      <c r="B8" s="2" t="s">
        <v>7</v>
      </c>
      <c r="C8" s="3" t="s">
        <v>8</v>
      </c>
      <c r="D8" s="41" t="s">
        <v>9</v>
      </c>
      <c r="E8" s="41"/>
      <c r="F8" s="41"/>
    </row>
    <row r="9" spans="2:6" ht="33.75" customHeight="1" x14ac:dyDescent="0.3">
      <c r="B9" s="2" t="s">
        <v>10</v>
      </c>
      <c r="C9" s="3" t="s">
        <v>11</v>
      </c>
      <c r="D9" s="41" t="s">
        <v>12</v>
      </c>
      <c r="E9" s="41"/>
      <c r="F9" s="41"/>
    </row>
    <row r="10" spans="2:6" ht="33.75" customHeight="1" x14ac:dyDescent="0.3">
      <c r="B10" s="2" t="s">
        <v>13</v>
      </c>
      <c r="C10" s="3" t="s">
        <v>14</v>
      </c>
      <c r="D10" s="41" t="s">
        <v>15</v>
      </c>
      <c r="E10" s="41"/>
      <c r="F10" s="41"/>
    </row>
    <row r="12" spans="2:6" ht="21.75" customHeight="1" x14ac:dyDescent="0.3">
      <c r="B12" s="39" t="s">
        <v>16</v>
      </c>
      <c r="C12" s="39"/>
      <c r="D12" s="39"/>
      <c r="E12" s="39"/>
      <c r="F12" s="39"/>
    </row>
    <row r="13" spans="2:6" ht="27.75" customHeight="1" x14ac:dyDescent="0.3">
      <c r="B13" s="2" t="s">
        <v>17</v>
      </c>
      <c r="C13" s="41" t="s">
        <v>18</v>
      </c>
      <c r="D13" s="41"/>
      <c r="E13" s="41"/>
      <c r="F13" s="41"/>
    </row>
    <row r="14" spans="2:6" ht="27.75" customHeight="1" x14ac:dyDescent="0.3">
      <c r="B14" s="2" t="s">
        <v>19</v>
      </c>
      <c r="C14" s="41" t="s">
        <v>20</v>
      </c>
      <c r="D14" s="41"/>
      <c r="E14" s="41"/>
      <c r="F14" s="41"/>
    </row>
    <row r="15" spans="2:6" ht="27.75" customHeight="1" x14ac:dyDescent="0.3">
      <c r="B15" s="2" t="s">
        <v>21</v>
      </c>
      <c r="C15" s="41" t="s">
        <v>22</v>
      </c>
      <c r="D15" s="41"/>
      <c r="E15" s="41"/>
      <c r="F15" s="41"/>
    </row>
    <row r="17" spans="2:6" ht="21.75" customHeight="1" x14ac:dyDescent="0.3">
      <c r="B17" s="39" t="s">
        <v>23</v>
      </c>
      <c r="C17" s="39"/>
      <c r="D17" s="39"/>
      <c r="E17" s="39"/>
      <c r="F17" s="39"/>
    </row>
    <row r="18" spans="2:6" ht="19.5" customHeight="1" x14ac:dyDescent="0.3">
      <c r="B18" s="4" t="s">
        <v>24</v>
      </c>
      <c r="C18" s="42">
        <f>COUNTIF('Fleet Rate Card'!C8:C525,"?*")</f>
        <v>518</v>
      </c>
      <c r="D18" s="42"/>
    </row>
    <row r="19" spans="2:6" ht="19.5" customHeight="1" x14ac:dyDescent="0.3">
      <c r="B19" s="4" t="s">
        <v>25</v>
      </c>
      <c r="C19" s="42">
        <f>SUMPRODUCT((COUNTIF('Category Summary'!B6:B34,'Category Summary'!B6:B34)&gt;0)*1)</f>
        <v>29</v>
      </c>
      <c r="D19" s="42"/>
    </row>
    <row r="20" spans="2:6" ht="19.5" customHeight="1" x14ac:dyDescent="0.3">
      <c r="B20" s="4" t="s">
        <v>26</v>
      </c>
      <c r="C20" s="42">
        <f>COUNT('Fleet Rate Card'!N8:N525)</f>
        <v>210</v>
      </c>
      <c r="D20" s="42"/>
    </row>
    <row r="21" spans="2:6" ht="19.5" customHeight="1" x14ac:dyDescent="0.3">
      <c r="B21" s="4" t="s">
        <v>27</v>
      </c>
      <c r="C21" s="42">
        <f>COUNTIF('Portable Equipment'!B6:B200,"?*")</f>
        <v>41</v>
      </c>
      <c r="D21" s="42"/>
    </row>
    <row r="23" spans="2:6" ht="15" customHeight="1" x14ac:dyDescent="0.3">
      <c r="B23" s="5" t="s">
        <v>28</v>
      </c>
      <c r="C23" s="5" t="s">
        <v>29</v>
      </c>
    </row>
  </sheetData>
  <mergeCells count="17">
    <mergeCell ref="C20:D20"/>
    <mergeCell ref="C21:D21"/>
    <mergeCell ref="C14:F14"/>
    <mergeCell ref="C15:F15"/>
    <mergeCell ref="B17:F17"/>
    <mergeCell ref="C18:D18"/>
    <mergeCell ref="C19:D19"/>
    <mergeCell ref="D8:F8"/>
    <mergeCell ref="D9:F9"/>
    <mergeCell ref="D10:F10"/>
    <mergeCell ref="B12:F12"/>
    <mergeCell ref="C13:F13"/>
    <mergeCell ref="B2:F2"/>
    <mergeCell ref="B3:F3"/>
    <mergeCell ref="B4:F4"/>
    <mergeCell ref="B6:F6"/>
    <mergeCell ref="D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5"/>
  <sheetViews>
    <sheetView showGridLines="0" zoomScaleNormal="100" workbookViewId="0">
      <pane xSplit="2" ySplit="7" topLeftCell="C80" activePane="bottomRight" state="frozen"/>
      <selection pane="topRight" activeCell="C1" sqref="C1"/>
      <selection pane="bottomLeft" activeCell="A8" sqref="A8"/>
      <selection pane="bottomRight" activeCell="H31" sqref="H31"/>
    </sheetView>
  </sheetViews>
  <sheetFormatPr defaultColWidth="8.6640625" defaultRowHeight="14.4" x14ac:dyDescent="0.3"/>
  <cols>
    <col min="1" max="1" width="11" customWidth="1"/>
    <col min="2" max="2" width="12" customWidth="1"/>
    <col min="3" max="3" width="22" customWidth="1"/>
    <col min="4" max="4" width="30" customWidth="1"/>
    <col min="5" max="5" width="7" customWidth="1"/>
    <col min="6" max="6" width="9" customWidth="1"/>
    <col min="7" max="7" width="11" customWidth="1"/>
    <col min="8" max="8" width="13" customWidth="1"/>
    <col min="9" max="9" width="9" customWidth="1"/>
    <col min="10" max="10" width="11" customWidth="1"/>
    <col min="11" max="11" width="13" customWidth="1"/>
    <col min="12" max="12" width="9" customWidth="1"/>
    <col min="13" max="13" width="11" customWidth="1"/>
    <col min="14" max="14" width="13" customWidth="1"/>
  </cols>
  <sheetData>
    <row r="1" spans="1:14" ht="24" customHeight="1" x14ac:dyDescent="0.3">
      <c r="A1" s="32" t="s">
        <v>1160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idden="1" x14ac:dyDescent="0.3"/>
    <row r="3" spans="1:14" hidden="1" x14ac:dyDescent="0.3"/>
    <row r="4" spans="1:14" hidden="1" x14ac:dyDescent="0.3"/>
    <row r="6" spans="1:14" ht="34.200000000000003" customHeight="1" x14ac:dyDescent="0.3">
      <c r="A6" s="33" t="s">
        <v>30</v>
      </c>
      <c r="B6" s="33"/>
      <c r="C6" s="33"/>
      <c r="D6" s="33"/>
      <c r="E6" s="33"/>
      <c r="F6" s="34" t="s">
        <v>31</v>
      </c>
      <c r="G6" s="34"/>
      <c r="H6" s="34"/>
      <c r="I6" s="35" t="s">
        <v>32</v>
      </c>
      <c r="J6" s="35"/>
      <c r="K6" s="35"/>
      <c r="L6" s="34" t="s">
        <v>33</v>
      </c>
      <c r="M6" s="34"/>
      <c r="N6" s="34"/>
    </row>
    <row r="7" spans="1:14" ht="30" customHeight="1" x14ac:dyDescent="0.3">
      <c r="A7" s="6" t="s">
        <v>34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7</v>
      </c>
      <c r="G7" s="6" t="s">
        <v>39</v>
      </c>
      <c r="H7" s="6" t="s">
        <v>40</v>
      </c>
      <c r="I7" s="6" t="s">
        <v>7</v>
      </c>
      <c r="J7" s="6" t="s">
        <v>39</v>
      </c>
      <c r="K7" s="6" t="s">
        <v>40</v>
      </c>
      <c r="L7" s="6" t="s">
        <v>7</v>
      </c>
      <c r="M7" s="6" t="s">
        <v>39</v>
      </c>
      <c r="N7" s="6" t="s">
        <v>40</v>
      </c>
    </row>
    <row r="8" spans="1:14" ht="15" customHeight="1" x14ac:dyDescent="0.3">
      <c r="A8" s="7" t="s">
        <v>41</v>
      </c>
      <c r="B8" s="8" t="s">
        <v>42</v>
      </c>
      <c r="C8" s="9" t="s">
        <v>43</v>
      </c>
      <c r="D8" s="9" t="s">
        <v>44</v>
      </c>
      <c r="E8" s="8" t="s">
        <v>45</v>
      </c>
      <c r="F8" s="10">
        <v>1640</v>
      </c>
      <c r="G8" s="10">
        <v>2400</v>
      </c>
      <c r="H8" s="11">
        <v>3400</v>
      </c>
      <c r="I8" s="10">
        <v>6200</v>
      </c>
      <c r="J8" s="10">
        <v>9300</v>
      </c>
      <c r="K8" s="11">
        <v>12900</v>
      </c>
      <c r="L8" s="10"/>
      <c r="M8" s="10"/>
      <c r="N8" s="11"/>
    </row>
    <row r="9" spans="1:14" ht="15" customHeight="1" x14ac:dyDescent="0.3">
      <c r="A9" s="7" t="s">
        <v>46</v>
      </c>
      <c r="B9" s="8" t="s">
        <v>47</v>
      </c>
      <c r="C9" s="9" t="s">
        <v>43</v>
      </c>
      <c r="D9" s="9" t="s">
        <v>44</v>
      </c>
      <c r="E9" s="8" t="s">
        <v>45</v>
      </c>
      <c r="F9" s="10">
        <v>2000</v>
      </c>
      <c r="G9" s="10">
        <v>2800</v>
      </c>
      <c r="H9" s="11">
        <v>4150</v>
      </c>
      <c r="I9" s="10">
        <v>7600</v>
      </c>
      <c r="J9" s="10">
        <v>10700</v>
      </c>
      <c r="K9" s="11">
        <v>15800</v>
      </c>
      <c r="L9" s="10"/>
      <c r="M9" s="10"/>
      <c r="N9" s="11"/>
    </row>
    <row r="10" spans="1:14" ht="15" customHeight="1" x14ac:dyDescent="0.3">
      <c r="A10" s="7" t="s">
        <v>48</v>
      </c>
      <c r="B10" s="8" t="s">
        <v>49</v>
      </c>
      <c r="C10" s="9" t="s">
        <v>43</v>
      </c>
      <c r="D10" s="9" t="s">
        <v>44</v>
      </c>
      <c r="E10" s="8" t="s">
        <v>45</v>
      </c>
      <c r="F10" s="10">
        <v>2000</v>
      </c>
      <c r="G10" s="10">
        <v>2800</v>
      </c>
      <c r="H10" s="11">
        <v>4150</v>
      </c>
      <c r="I10" s="10">
        <v>7600</v>
      </c>
      <c r="J10" s="10">
        <v>10700</v>
      </c>
      <c r="K10" s="11">
        <v>15800</v>
      </c>
      <c r="L10" s="10"/>
      <c r="M10" s="10"/>
      <c r="N10" s="11"/>
    </row>
    <row r="11" spans="1:14" ht="15" customHeight="1" x14ac:dyDescent="0.3">
      <c r="A11" s="7" t="s">
        <v>50</v>
      </c>
      <c r="B11" s="8" t="s">
        <v>51</v>
      </c>
      <c r="C11" s="9" t="s">
        <v>43</v>
      </c>
      <c r="D11" s="9" t="s">
        <v>52</v>
      </c>
      <c r="E11" s="8" t="s">
        <v>53</v>
      </c>
      <c r="F11" s="10">
        <v>1160</v>
      </c>
      <c r="G11" s="10">
        <v>1950</v>
      </c>
      <c r="H11" s="11">
        <v>2410</v>
      </c>
      <c r="I11" s="10">
        <v>4400</v>
      </c>
      <c r="J11" s="10">
        <v>7500</v>
      </c>
      <c r="K11" s="11">
        <v>9200</v>
      </c>
      <c r="L11" s="10"/>
      <c r="M11" s="10"/>
      <c r="N11" s="11"/>
    </row>
    <row r="12" spans="1:14" ht="15" customHeight="1" x14ac:dyDescent="0.3">
      <c r="A12" s="7" t="s">
        <v>54</v>
      </c>
      <c r="B12" s="8" t="s">
        <v>55</v>
      </c>
      <c r="C12" s="9" t="s">
        <v>43</v>
      </c>
      <c r="D12" s="9" t="s">
        <v>44</v>
      </c>
      <c r="E12" s="8" t="s">
        <v>56</v>
      </c>
      <c r="F12" s="10">
        <v>1440</v>
      </c>
      <c r="G12" s="10">
        <v>2200</v>
      </c>
      <c r="H12" s="11">
        <v>2990</v>
      </c>
      <c r="I12" s="10">
        <v>5500</v>
      </c>
      <c r="J12" s="10">
        <v>8600</v>
      </c>
      <c r="K12" s="11">
        <v>11400</v>
      </c>
      <c r="L12" s="10"/>
      <c r="M12" s="10"/>
      <c r="N12" s="11"/>
    </row>
    <row r="13" spans="1:14" ht="15" customHeight="1" x14ac:dyDescent="0.3">
      <c r="A13" s="7" t="s">
        <v>57</v>
      </c>
      <c r="B13" s="8" t="s">
        <v>58</v>
      </c>
      <c r="C13" s="9" t="s">
        <v>43</v>
      </c>
      <c r="D13" s="9" t="s">
        <v>59</v>
      </c>
      <c r="E13" s="8" t="s">
        <v>60</v>
      </c>
      <c r="F13" s="10">
        <v>1300</v>
      </c>
      <c r="G13" s="10">
        <v>2100</v>
      </c>
      <c r="H13" s="11">
        <v>2700</v>
      </c>
      <c r="I13" s="10">
        <v>4900</v>
      </c>
      <c r="J13" s="10">
        <v>8000</v>
      </c>
      <c r="K13" s="11">
        <v>10300</v>
      </c>
      <c r="L13" s="10"/>
      <c r="M13" s="10"/>
      <c r="N13" s="11"/>
    </row>
    <row r="14" spans="1:14" ht="15" customHeight="1" x14ac:dyDescent="0.3">
      <c r="A14" s="7" t="s">
        <v>61</v>
      </c>
      <c r="B14" s="8" t="s">
        <v>62</v>
      </c>
      <c r="C14" s="9" t="s">
        <v>43</v>
      </c>
      <c r="D14" s="9" t="s">
        <v>63</v>
      </c>
      <c r="E14" s="8" t="s">
        <v>64</v>
      </c>
      <c r="F14" s="10">
        <v>1300</v>
      </c>
      <c r="G14" s="10">
        <v>2100</v>
      </c>
      <c r="H14" s="11">
        <v>2700</v>
      </c>
      <c r="I14" s="10">
        <v>4900</v>
      </c>
      <c r="J14" s="10">
        <v>8000</v>
      </c>
      <c r="K14" s="11">
        <v>10300</v>
      </c>
      <c r="L14" s="10"/>
      <c r="M14" s="10"/>
      <c r="N14" s="11"/>
    </row>
    <row r="15" spans="1:14" ht="15" customHeight="1" x14ac:dyDescent="0.3">
      <c r="A15" s="7" t="s">
        <v>65</v>
      </c>
      <c r="B15" s="8" t="s">
        <v>66</v>
      </c>
      <c r="C15" s="9" t="s">
        <v>43</v>
      </c>
      <c r="D15" s="9" t="s">
        <v>67</v>
      </c>
      <c r="E15" s="8" t="s">
        <v>68</v>
      </c>
      <c r="F15" s="10">
        <v>1840</v>
      </c>
      <c r="G15" s="10">
        <v>2600</v>
      </c>
      <c r="H15" s="11">
        <v>3820</v>
      </c>
      <c r="I15" s="10">
        <v>7000</v>
      </c>
      <c r="J15" s="10">
        <v>10100</v>
      </c>
      <c r="K15" s="11">
        <v>14500</v>
      </c>
      <c r="L15" s="10"/>
      <c r="M15" s="10"/>
      <c r="N15" s="11"/>
    </row>
    <row r="16" spans="1:14" ht="15" customHeight="1" x14ac:dyDescent="0.3">
      <c r="A16" s="7" t="s">
        <v>69</v>
      </c>
      <c r="B16" s="8" t="s">
        <v>70</v>
      </c>
      <c r="C16" s="9" t="s">
        <v>43</v>
      </c>
      <c r="D16" s="9" t="s">
        <v>44</v>
      </c>
      <c r="E16" s="8" t="s">
        <v>68</v>
      </c>
      <c r="F16" s="10">
        <v>2000</v>
      </c>
      <c r="G16" s="10">
        <v>2800</v>
      </c>
      <c r="H16" s="11">
        <v>4150</v>
      </c>
      <c r="I16" s="10">
        <v>7600</v>
      </c>
      <c r="J16" s="10">
        <v>10700</v>
      </c>
      <c r="K16" s="11">
        <v>15800</v>
      </c>
      <c r="L16" s="10"/>
      <c r="M16" s="10"/>
      <c r="N16" s="11"/>
    </row>
    <row r="17" spans="1:14" ht="15" customHeight="1" x14ac:dyDescent="0.3">
      <c r="A17" s="7" t="s">
        <v>71</v>
      </c>
      <c r="B17" s="8" t="s">
        <v>72</v>
      </c>
      <c r="C17" s="9" t="s">
        <v>43</v>
      </c>
      <c r="D17" s="9" t="s">
        <v>67</v>
      </c>
      <c r="E17" s="8" t="s">
        <v>73</v>
      </c>
      <c r="F17" s="10">
        <v>1840</v>
      </c>
      <c r="G17" s="10">
        <v>2600</v>
      </c>
      <c r="H17" s="11">
        <v>3820</v>
      </c>
      <c r="I17" s="10">
        <v>7000</v>
      </c>
      <c r="J17" s="10">
        <v>10100</v>
      </c>
      <c r="K17" s="11">
        <v>14500</v>
      </c>
      <c r="L17" s="10"/>
      <c r="M17" s="10"/>
      <c r="N17" s="11"/>
    </row>
    <row r="18" spans="1:14" ht="15" customHeight="1" x14ac:dyDescent="0.3">
      <c r="A18" s="7" t="s">
        <v>74</v>
      </c>
      <c r="B18" s="8" t="s">
        <v>75</v>
      </c>
      <c r="C18" s="9" t="s">
        <v>43</v>
      </c>
      <c r="D18" s="9" t="s">
        <v>44</v>
      </c>
      <c r="E18" s="8" t="s">
        <v>73</v>
      </c>
      <c r="F18" s="10">
        <v>2000</v>
      </c>
      <c r="G18" s="10">
        <v>2800</v>
      </c>
      <c r="H18" s="11">
        <v>4150</v>
      </c>
      <c r="I18" s="10">
        <v>7600</v>
      </c>
      <c r="J18" s="10">
        <v>10700</v>
      </c>
      <c r="K18" s="11">
        <v>15800</v>
      </c>
      <c r="L18" s="10"/>
      <c r="M18" s="10"/>
      <c r="N18" s="11"/>
    </row>
    <row r="19" spans="1:14" ht="15" customHeight="1" x14ac:dyDescent="0.3">
      <c r="A19" s="7" t="s">
        <v>76</v>
      </c>
      <c r="B19" s="8" t="s">
        <v>77</v>
      </c>
      <c r="C19" s="9" t="s">
        <v>43</v>
      </c>
      <c r="D19" s="9" t="s">
        <v>44</v>
      </c>
      <c r="E19" s="8" t="s">
        <v>73</v>
      </c>
      <c r="F19" s="10">
        <v>1840</v>
      </c>
      <c r="G19" s="10">
        <v>2600</v>
      </c>
      <c r="H19" s="11">
        <v>3820</v>
      </c>
      <c r="I19" s="10">
        <v>7000</v>
      </c>
      <c r="J19" s="10">
        <v>10100</v>
      </c>
      <c r="K19" s="11">
        <v>14500</v>
      </c>
      <c r="L19" s="10"/>
      <c r="M19" s="10"/>
      <c r="N19" s="11"/>
    </row>
    <row r="20" spans="1:14" ht="15" customHeight="1" x14ac:dyDescent="0.3">
      <c r="A20" s="7" t="s">
        <v>78</v>
      </c>
      <c r="B20" s="8" t="s">
        <v>79</v>
      </c>
      <c r="C20" s="9" t="s">
        <v>43</v>
      </c>
      <c r="D20" s="9" t="s">
        <v>44</v>
      </c>
      <c r="E20" s="8" t="s">
        <v>73</v>
      </c>
      <c r="F20" s="10">
        <v>2000</v>
      </c>
      <c r="G20" s="10">
        <v>2800</v>
      </c>
      <c r="H20" s="11">
        <v>4150</v>
      </c>
      <c r="I20" s="10">
        <v>7600</v>
      </c>
      <c r="J20" s="10">
        <v>10700</v>
      </c>
      <c r="K20" s="11">
        <v>15800</v>
      </c>
      <c r="L20" s="10"/>
      <c r="M20" s="10"/>
      <c r="N20" s="11"/>
    </row>
    <row r="21" spans="1:14" ht="15" customHeight="1" x14ac:dyDescent="0.3">
      <c r="A21" s="7" t="s">
        <v>80</v>
      </c>
      <c r="B21" s="8" t="s">
        <v>81</v>
      </c>
      <c r="C21" s="9" t="s">
        <v>43</v>
      </c>
      <c r="D21" s="9" t="s">
        <v>67</v>
      </c>
      <c r="E21" s="8" t="s">
        <v>73</v>
      </c>
      <c r="F21" s="10">
        <v>1840</v>
      </c>
      <c r="G21" s="10">
        <v>2600</v>
      </c>
      <c r="H21" s="11">
        <v>3820</v>
      </c>
      <c r="I21" s="10">
        <v>7000</v>
      </c>
      <c r="J21" s="10">
        <v>10100</v>
      </c>
      <c r="K21" s="11">
        <v>14500</v>
      </c>
      <c r="L21" s="10"/>
      <c r="M21" s="10"/>
      <c r="N21" s="11"/>
    </row>
    <row r="22" spans="1:14" ht="15" customHeight="1" x14ac:dyDescent="0.3">
      <c r="A22" s="7" t="s">
        <v>82</v>
      </c>
      <c r="B22" s="8" t="s">
        <v>83</v>
      </c>
      <c r="C22" s="9" t="s">
        <v>43</v>
      </c>
      <c r="D22" s="9" t="s">
        <v>84</v>
      </c>
      <c r="E22" s="8" t="s">
        <v>85</v>
      </c>
      <c r="F22" s="10">
        <v>1840</v>
      </c>
      <c r="G22" s="10">
        <v>2600</v>
      </c>
      <c r="H22" s="11">
        <v>3820</v>
      </c>
      <c r="I22" s="10">
        <v>7000</v>
      </c>
      <c r="J22" s="10">
        <v>10100</v>
      </c>
      <c r="K22" s="11">
        <v>14500</v>
      </c>
      <c r="L22" s="10"/>
      <c r="M22" s="10"/>
      <c r="N22" s="11"/>
    </row>
    <row r="23" spans="1:14" ht="15" customHeight="1" x14ac:dyDescent="0.3">
      <c r="A23" s="7" t="s">
        <v>86</v>
      </c>
      <c r="B23" s="8" t="s">
        <v>87</v>
      </c>
      <c r="C23" s="9" t="s">
        <v>43</v>
      </c>
      <c r="D23" s="9" t="s">
        <v>88</v>
      </c>
      <c r="E23" s="8" t="s">
        <v>89</v>
      </c>
      <c r="F23" s="10">
        <v>2000</v>
      </c>
      <c r="G23" s="10">
        <v>2800</v>
      </c>
      <c r="H23" s="11">
        <v>4150</v>
      </c>
      <c r="I23" s="10">
        <v>7600</v>
      </c>
      <c r="J23" s="10">
        <v>10700</v>
      </c>
      <c r="K23" s="11">
        <v>15800</v>
      </c>
      <c r="L23" s="10"/>
      <c r="M23" s="10"/>
      <c r="N23" s="11"/>
    </row>
    <row r="24" spans="1:14" ht="15" customHeight="1" x14ac:dyDescent="0.3">
      <c r="A24" s="7" t="s">
        <v>90</v>
      </c>
      <c r="B24" s="8" t="s">
        <v>91</v>
      </c>
      <c r="C24" s="9" t="s">
        <v>43</v>
      </c>
      <c r="D24" s="9" t="s">
        <v>88</v>
      </c>
      <c r="E24" s="8" t="s">
        <v>89</v>
      </c>
      <c r="F24" s="10">
        <v>1840</v>
      </c>
      <c r="G24" s="10">
        <v>2600</v>
      </c>
      <c r="H24" s="11">
        <v>3820</v>
      </c>
      <c r="I24" s="10">
        <v>7000</v>
      </c>
      <c r="J24" s="10">
        <v>10100</v>
      </c>
      <c r="K24" s="11">
        <v>14500</v>
      </c>
      <c r="L24" s="10"/>
      <c r="M24" s="10"/>
      <c r="N24" s="11"/>
    </row>
    <row r="25" spans="1:14" ht="15" customHeight="1" x14ac:dyDescent="0.3">
      <c r="A25" s="7" t="s">
        <v>92</v>
      </c>
      <c r="B25" s="8" t="s">
        <v>93</v>
      </c>
      <c r="C25" s="9" t="s">
        <v>43</v>
      </c>
      <c r="D25" s="9" t="s">
        <v>88</v>
      </c>
      <c r="E25" s="8" t="s">
        <v>89</v>
      </c>
      <c r="F25" s="10">
        <v>1840</v>
      </c>
      <c r="G25" s="10">
        <v>2600</v>
      </c>
      <c r="H25" s="11">
        <v>3820</v>
      </c>
      <c r="I25" s="10">
        <v>7000</v>
      </c>
      <c r="J25" s="10">
        <v>10100</v>
      </c>
      <c r="K25" s="11">
        <v>14500</v>
      </c>
      <c r="L25" s="10"/>
      <c r="M25" s="10"/>
      <c r="N25" s="11"/>
    </row>
    <row r="26" spans="1:14" ht="15" customHeight="1" x14ac:dyDescent="0.3">
      <c r="A26" s="7" t="s">
        <v>94</v>
      </c>
      <c r="B26" s="8" t="s">
        <v>95</v>
      </c>
      <c r="C26" s="9" t="s">
        <v>43</v>
      </c>
      <c r="D26" s="9" t="s">
        <v>96</v>
      </c>
      <c r="E26" s="8" t="s">
        <v>89</v>
      </c>
      <c r="F26" s="10">
        <v>1840</v>
      </c>
      <c r="G26" s="10">
        <v>2600</v>
      </c>
      <c r="H26" s="11">
        <v>3820</v>
      </c>
      <c r="I26" s="10">
        <v>7000</v>
      </c>
      <c r="J26" s="10">
        <v>10100</v>
      </c>
      <c r="K26" s="11">
        <v>14500</v>
      </c>
      <c r="L26" s="10"/>
      <c r="M26" s="10"/>
      <c r="N26" s="11"/>
    </row>
    <row r="27" spans="1:14" ht="15" customHeight="1" x14ac:dyDescent="0.3">
      <c r="A27" s="7" t="s">
        <v>97</v>
      </c>
      <c r="B27" s="8" t="s">
        <v>98</v>
      </c>
      <c r="C27" s="9" t="s">
        <v>43</v>
      </c>
      <c r="D27" s="9" t="s">
        <v>88</v>
      </c>
      <c r="E27" s="8" t="s">
        <v>89</v>
      </c>
      <c r="F27" s="10">
        <v>1640</v>
      </c>
      <c r="G27" s="10">
        <v>2400</v>
      </c>
      <c r="H27" s="11">
        <v>3400</v>
      </c>
      <c r="I27" s="10">
        <v>6200</v>
      </c>
      <c r="J27" s="10">
        <v>9300</v>
      </c>
      <c r="K27" s="11">
        <v>12900</v>
      </c>
      <c r="L27" s="10"/>
      <c r="M27" s="10"/>
      <c r="N27" s="11"/>
    </row>
    <row r="28" spans="1:14" ht="15" customHeight="1" x14ac:dyDescent="0.3">
      <c r="A28" s="7" t="s">
        <v>99</v>
      </c>
      <c r="B28" s="8" t="s">
        <v>100</v>
      </c>
      <c r="C28" s="9" t="s">
        <v>43</v>
      </c>
      <c r="D28" s="9" t="s">
        <v>88</v>
      </c>
      <c r="E28" s="8" t="s">
        <v>89</v>
      </c>
      <c r="F28" s="10">
        <v>1640</v>
      </c>
      <c r="G28" s="10">
        <v>2400</v>
      </c>
      <c r="H28" s="11">
        <v>3400</v>
      </c>
      <c r="I28" s="10">
        <v>6200</v>
      </c>
      <c r="J28" s="10">
        <v>9300</v>
      </c>
      <c r="K28" s="11">
        <v>12900</v>
      </c>
      <c r="L28" s="10"/>
      <c r="M28" s="10"/>
      <c r="N28" s="11"/>
    </row>
    <row r="29" spans="1:14" ht="15" customHeight="1" x14ac:dyDescent="0.3">
      <c r="A29" s="7" t="s">
        <v>101</v>
      </c>
      <c r="B29" s="8" t="s">
        <v>102</v>
      </c>
      <c r="C29" s="9" t="s">
        <v>43</v>
      </c>
      <c r="D29" s="9" t="s">
        <v>103</v>
      </c>
      <c r="E29" s="8" t="s">
        <v>104</v>
      </c>
      <c r="F29" s="10">
        <v>2000</v>
      </c>
      <c r="G29" s="10">
        <v>2800</v>
      </c>
      <c r="H29" s="11">
        <v>4150</v>
      </c>
      <c r="I29" s="10">
        <v>7600</v>
      </c>
      <c r="J29" s="10">
        <v>10700</v>
      </c>
      <c r="K29" s="11">
        <v>15800</v>
      </c>
      <c r="L29" s="10"/>
      <c r="M29" s="10"/>
      <c r="N29" s="11"/>
    </row>
    <row r="30" spans="1:14" ht="15" customHeight="1" x14ac:dyDescent="0.3">
      <c r="A30" s="7" t="s">
        <v>105</v>
      </c>
      <c r="B30" s="8" t="s">
        <v>106</v>
      </c>
      <c r="C30" s="9" t="s">
        <v>43</v>
      </c>
      <c r="D30" s="9" t="s">
        <v>103</v>
      </c>
      <c r="E30" s="8" t="s">
        <v>104</v>
      </c>
      <c r="F30" s="10">
        <v>2000</v>
      </c>
      <c r="G30" s="10">
        <v>2800</v>
      </c>
      <c r="H30" s="11">
        <v>4150</v>
      </c>
      <c r="I30" s="10">
        <v>7600</v>
      </c>
      <c r="J30" s="10">
        <v>10700</v>
      </c>
      <c r="K30" s="11">
        <v>15800</v>
      </c>
      <c r="L30" s="10"/>
      <c r="M30" s="10"/>
      <c r="N30" s="11"/>
    </row>
    <row r="31" spans="1:14" ht="15" customHeight="1" x14ac:dyDescent="0.3">
      <c r="A31" s="7" t="s">
        <v>107</v>
      </c>
      <c r="B31" s="8" t="s">
        <v>108</v>
      </c>
      <c r="C31" s="9" t="s">
        <v>43</v>
      </c>
      <c r="D31" s="9" t="s">
        <v>103</v>
      </c>
      <c r="E31" s="8" t="s">
        <v>104</v>
      </c>
      <c r="F31" s="10">
        <v>2000</v>
      </c>
      <c r="G31" s="10">
        <v>2800</v>
      </c>
      <c r="H31" s="11">
        <v>4150</v>
      </c>
      <c r="I31" s="10">
        <v>7600</v>
      </c>
      <c r="J31" s="10">
        <v>10700</v>
      </c>
      <c r="K31" s="11">
        <v>15800</v>
      </c>
      <c r="L31" s="10"/>
      <c r="M31" s="10"/>
      <c r="N31" s="11"/>
    </row>
    <row r="32" spans="1:14" ht="15" customHeight="1" x14ac:dyDescent="0.3">
      <c r="A32" s="12" t="s">
        <v>109</v>
      </c>
      <c r="B32" s="13" t="s">
        <v>110</v>
      </c>
      <c r="C32" s="14" t="s">
        <v>111</v>
      </c>
      <c r="D32" s="14" t="s">
        <v>112</v>
      </c>
      <c r="E32" s="13" t="s">
        <v>113</v>
      </c>
      <c r="F32" s="15">
        <v>2740</v>
      </c>
      <c r="G32" s="15">
        <v>3500</v>
      </c>
      <c r="H32" s="16">
        <v>6080</v>
      </c>
      <c r="I32" s="15">
        <v>10400</v>
      </c>
      <c r="J32" s="15">
        <v>13500</v>
      </c>
      <c r="K32" s="16">
        <v>23100</v>
      </c>
      <c r="L32" s="15"/>
      <c r="M32" s="15"/>
      <c r="N32" s="16"/>
    </row>
    <row r="33" spans="1:14" ht="15" customHeight="1" x14ac:dyDescent="0.3">
      <c r="A33" s="12" t="s">
        <v>114</v>
      </c>
      <c r="B33" s="13" t="s">
        <v>110</v>
      </c>
      <c r="C33" s="14" t="s">
        <v>111</v>
      </c>
      <c r="D33" s="14" t="s">
        <v>115</v>
      </c>
      <c r="E33" s="13" t="s">
        <v>116</v>
      </c>
      <c r="F33" s="15">
        <v>3120</v>
      </c>
      <c r="G33" s="15">
        <v>3900</v>
      </c>
      <c r="H33" s="16">
        <v>6930</v>
      </c>
      <c r="I33" s="15">
        <v>11900</v>
      </c>
      <c r="J33" s="15">
        <v>15000</v>
      </c>
      <c r="K33" s="16">
        <v>26300</v>
      </c>
      <c r="L33" s="15"/>
      <c r="M33" s="15"/>
      <c r="N33" s="16"/>
    </row>
    <row r="34" spans="1:14" ht="15" customHeight="1" x14ac:dyDescent="0.3">
      <c r="A34" s="12" t="s">
        <v>117</v>
      </c>
      <c r="B34" s="13" t="s">
        <v>110</v>
      </c>
      <c r="C34" s="14" t="s">
        <v>111</v>
      </c>
      <c r="D34" s="14" t="s">
        <v>118</v>
      </c>
      <c r="E34" s="13" t="s">
        <v>45</v>
      </c>
      <c r="F34" s="15">
        <v>3120</v>
      </c>
      <c r="G34" s="15">
        <v>3900</v>
      </c>
      <c r="H34" s="16">
        <v>6930</v>
      </c>
      <c r="I34" s="15">
        <v>11900</v>
      </c>
      <c r="J34" s="15">
        <v>15000</v>
      </c>
      <c r="K34" s="16">
        <v>26300</v>
      </c>
      <c r="L34" s="15"/>
      <c r="M34" s="15"/>
      <c r="N34" s="16"/>
    </row>
    <row r="35" spans="1:14" ht="15" customHeight="1" x14ac:dyDescent="0.3">
      <c r="A35" s="12" t="s">
        <v>119</v>
      </c>
      <c r="B35" s="13" t="s">
        <v>110</v>
      </c>
      <c r="C35" s="14" t="s">
        <v>111</v>
      </c>
      <c r="D35" s="14" t="s">
        <v>120</v>
      </c>
      <c r="E35" s="13" t="s">
        <v>121</v>
      </c>
      <c r="F35" s="15">
        <v>3120</v>
      </c>
      <c r="G35" s="15">
        <v>3900</v>
      </c>
      <c r="H35" s="16">
        <v>6930</v>
      </c>
      <c r="I35" s="15">
        <v>11900</v>
      </c>
      <c r="J35" s="15">
        <v>15000</v>
      </c>
      <c r="K35" s="16">
        <v>26300</v>
      </c>
      <c r="L35" s="15"/>
      <c r="M35" s="15"/>
      <c r="N35" s="16"/>
    </row>
    <row r="36" spans="1:14" ht="15" customHeight="1" x14ac:dyDescent="0.3">
      <c r="A36" s="12" t="s">
        <v>122</v>
      </c>
      <c r="B36" s="13" t="s">
        <v>110</v>
      </c>
      <c r="C36" s="14" t="s">
        <v>111</v>
      </c>
      <c r="D36" s="14" t="s">
        <v>123</v>
      </c>
      <c r="E36" s="13" t="s">
        <v>124</v>
      </c>
      <c r="F36" s="15">
        <v>3120</v>
      </c>
      <c r="G36" s="15">
        <v>3900</v>
      </c>
      <c r="H36" s="16">
        <v>6930</v>
      </c>
      <c r="I36" s="15">
        <v>11900</v>
      </c>
      <c r="J36" s="15">
        <v>15000</v>
      </c>
      <c r="K36" s="16">
        <v>26300</v>
      </c>
      <c r="L36" s="15"/>
      <c r="M36" s="15"/>
      <c r="N36" s="16"/>
    </row>
    <row r="37" spans="1:14" ht="15" customHeight="1" x14ac:dyDescent="0.3">
      <c r="A37" s="12" t="s">
        <v>125</v>
      </c>
      <c r="B37" s="13" t="s">
        <v>126</v>
      </c>
      <c r="C37" s="14" t="s">
        <v>111</v>
      </c>
      <c r="D37" s="14" t="s">
        <v>127</v>
      </c>
      <c r="E37" s="13" t="s">
        <v>121</v>
      </c>
      <c r="F37" s="15">
        <v>3120</v>
      </c>
      <c r="G37" s="15">
        <v>3900</v>
      </c>
      <c r="H37" s="16">
        <v>6930</v>
      </c>
      <c r="I37" s="15">
        <v>11900</v>
      </c>
      <c r="J37" s="15">
        <v>15000</v>
      </c>
      <c r="K37" s="16">
        <v>26300</v>
      </c>
      <c r="L37" s="15"/>
      <c r="M37" s="15"/>
      <c r="N37" s="16"/>
    </row>
    <row r="38" spans="1:14" ht="15" customHeight="1" x14ac:dyDescent="0.3">
      <c r="A38" s="12" t="s">
        <v>128</v>
      </c>
      <c r="B38" s="13" t="s">
        <v>110</v>
      </c>
      <c r="C38" s="14" t="s">
        <v>111</v>
      </c>
      <c r="D38" s="14" t="s">
        <v>129</v>
      </c>
      <c r="E38" s="13" t="s">
        <v>68</v>
      </c>
      <c r="F38" s="15">
        <v>3500</v>
      </c>
      <c r="G38" s="15">
        <v>4300</v>
      </c>
      <c r="H38" s="16">
        <v>7770</v>
      </c>
      <c r="I38" s="15">
        <v>13300</v>
      </c>
      <c r="J38" s="15">
        <v>16400</v>
      </c>
      <c r="K38" s="16">
        <v>29500</v>
      </c>
      <c r="L38" s="15"/>
      <c r="M38" s="15"/>
      <c r="N38" s="16"/>
    </row>
    <row r="39" spans="1:14" ht="15" customHeight="1" x14ac:dyDescent="0.3">
      <c r="A39" s="12" t="s">
        <v>130</v>
      </c>
      <c r="B39" s="13" t="s">
        <v>110</v>
      </c>
      <c r="C39" s="14" t="s">
        <v>111</v>
      </c>
      <c r="D39" s="14" t="s">
        <v>131</v>
      </c>
      <c r="E39" s="13" t="s">
        <v>124</v>
      </c>
      <c r="F39" s="15">
        <v>3120</v>
      </c>
      <c r="G39" s="15">
        <v>3900</v>
      </c>
      <c r="H39" s="16">
        <v>6930</v>
      </c>
      <c r="I39" s="15">
        <v>11900</v>
      </c>
      <c r="J39" s="15">
        <v>15000</v>
      </c>
      <c r="K39" s="16">
        <v>26300</v>
      </c>
      <c r="L39" s="15"/>
      <c r="M39" s="15"/>
      <c r="N39" s="16"/>
    </row>
    <row r="40" spans="1:14" ht="15" customHeight="1" x14ac:dyDescent="0.3">
      <c r="A40" s="12" t="s">
        <v>132</v>
      </c>
      <c r="B40" s="13" t="s">
        <v>110</v>
      </c>
      <c r="C40" s="14" t="s">
        <v>111</v>
      </c>
      <c r="D40" s="14" t="s">
        <v>133</v>
      </c>
      <c r="E40" s="13" t="s">
        <v>89</v>
      </c>
      <c r="F40" s="15">
        <v>3800</v>
      </c>
      <c r="G40" s="15">
        <v>4600</v>
      </c>
      <c r="H40" s="16">
        <v>8450</v>
      </c>
      <c r="I40" s="15">
        <v>14400</v>
      </c>
      <c r="J40" s="15">
        <v>17500</v>
      </c>
      <c r="K40" s="16">
        <v>32100</v>
      </c>
      <c r="L40" s="15"/>
      <c r="M40" s="15"/>
      <c r="N40" s="16"/>
    </row>
    <row r="41" spans="1:14" ht="15" customHeight="1" x14ac:dyDescent="0.3">
      <c r="A41" s="7" t="s">
        <v>134</v>
      </c>
      <c r="B41" s="8" t="s">
        <v>135</v>
      </c>
      <c r="C41" s="9" t="s">
        <v>136</v>
      </c>
      <c r="D41" s="9" t="s">
        <v>137</v>
      </c>
      <c r="E41" s="8" t="s">
        <v>138</v>
      </c>
      <c r="F41" s="10">
        <v>1420</v>
      </c>
      <c r="G41" s="10">
        <v>2200</v>
      </c>
      <c r="H41" s="11">
        <v>2810</v>
      </c>
      <c r="I41" s="10">
        <v>5400</v>
      </c>
      <c r="J41" s="10">
        <v>8500</v>
      </c>
      <c r="K41" s="11">
        <v>10700</v>
      </c>
      <c r="L41" s="10"/>
      <c r="M41" s="10"/>
      <c r="N41" s="11"/>
    </row>
    <row r="42" spans="1:14" ht="15" customHeight="1" x14ac:dyDescent="0.3">
      <c r="A42" s="7" t="s">
        <v>139</v>
      </c>
      <c r="B42" s="8" t="s">
        <v>140</v>
      </c>
      <c r="C42" s="9" t="s">
        <v>136</v>
      </c>
      <c r="D42" s="9" t="s">
        <v>141</v>
      </c>
      <c r="E42" s="8" t="s">
        <v>138</v>
      </c>
      <c r="F42" s="10">
        <v>1420</v>
      </c>
      <c r="G42" s="10">
        <v>2200</v>
      </c>
      <c r="H42" s="11">
        <v>2810</v>
      </c>
      <c r="I42" s="10">
        <v>5400</v>
      </c>
      <c r="J42" s="10">
        <v>8500</v>
      </c>
      <c r="K42" s="11">
        <v>10700</v>
      </c>
      <c r="L42" s="10"/>
      <c r="M42" s="10"/>
      <c r="N42" s="11"/>
    </row>
    <row r="43" spans="1:14" ht="15" customHeight="1" x14ac:dyDescent="0.3">
      <c r="A43" s="7" t="s">
        <v>142</v>
      </c>
      <c r="B43" s="8" t="s">
        <v>143</v>
      </c>
      <c r="C43" s="9" t="s">
        <v>136</v>
      </c>
      <c r="D43" s="9" t="s">
        <v>144</v>
      </c>
      <c r="E43" s="8" t="s">
        <v>145</v>
      </c>
      <c r="F43" s="10">
        <v>1590</v>
      </c>
      <c r="G43" s="10">
        <v>2350</v>
      </c>
      <c r="H43" s="11">
        <v>3150</v>
      </c>
      <c r="I43" s="10">
        <v>6000</v>
      </c>
      <c r="J43" s="10">
        <v>9100</v>
      </c>
      <c r="K43" s="11">
        <v>12000</v>
      </c>
      <c r="L43" s="10"/>
      <c r="M43" s="10"/>
      <c r="N43" s="11"/>
    </row>
    <row r="44" spans="1:14" ht="15" customHeight="1" x14ac:dyDescent="0.3">
      <c r="A44" s="7" t="s">
        <v>146</v>
      </c>
      <c r="B44" s="8" t="s">
        <v>147</v>
      </c>
      <c r="C44" s="9" t="s">
        <v>136</v>
      </c>
      <c r="D44" s="9" t="s">
        <v>148</v>
      </c>
      <c r="E44" s="8" t="s">
        <v>138</v>
      </c>
      <c r="F44" s="10">
        <v>1420</v>
      </c>
      <c r="G44" s="10">
        <v>2200</v>
      </c>
      <c r="H44" s="11">
        <v>2810</v>
      </c>
      <c r="I44" s="10">
        <v>5400</v>
      </c>
      <c r="J44" s="10">
        <v>8500</v>
      </c>
      <c r="K44" s="11">
        <v>10700</v>
      </c>
      <c r="L44" s="10"/>
      <c r="M44" s="10"/>
      <c r="N44" s="11"/>
    </row>
    <row r="45" spans="1:14" ht="15" customHeight="1" x14ac:dyDescent="0.3">
      <c r="A45" s="7" t="s">
        <v>149</v>
      </c>
      <c r="B45" s="8" t="s">
        <v>150</v>
      </c>
      <c r="C45" s="9" t="s">
        <v>136</v>
      </c>
      <c r="D45" s="9" t="s">
        <v>151</v>
      </c>
      <c r="E45" s="8" t="s">
        <v>152</v>
      </c>
      <c r="F45" s="10">
        <v>1420</v>
      </c>
      <c r="G45" s="10">
        <v>2200</v>
      </c>
      <c r="H45" s="11">
        <v>2810</v>
      </c>
      <c r="I45" s="10">
        <v>5400</v>
      </c>
      <c r="J45" s="10">
        <v>8500</v>
      </c>
      <c r="K45" s="11">
        <v>10700</v>
      </c>
      <c r="L45" s="10"/>
      <c r="M45" s="10"/>
      <c r="N45" s="11"/>
    </row>
    <row r="46" spans="1:14" ht="15" customHeight="1" x14ac:dyDescent="0.3">
      <c r="A46" s="7" t="s">
        <v>153</v>
      </c>
      <c r="B46" s="8" t="s">
        <v>154</v>
      </c>
      <c r="C46" s="9" t="s">
        <v>136</v>
      </c>
      <c r="D46" s="9" t="s">
        <v>141</v>
      </c>
      <c r="E46" s="8" t="s">
        <v>138</v>
      </c>
      <c r="F46" s="10">
        <v>1420</v>
      </c>
      <c r="G46" s="10">
        <v>2200</v>
      </c>
      <c r="H46" s="11">
        <v>2810</v>
      </c>
      <c r="I46" s="10">
        <v>5400</v>
      </c>
      <c r="J46" s="10">
        <v>8500</v>
      </c>
      <c r="K46" s="11">
        <v>10700</v>
      </c>
      <c r="L46" s="10"/>
      <c r="M46" s="10"/>
      <c r="N46" s="11"/>
    </row>
    <row r="47" spans="1:14" ht="15" customHeight="1" x14ac:dyDescent="0.3">
      <c r="A47" s="7" t="s">
        <v>155</v>
      </c>
      <c r="B47" s="8" t="s">
        <v>156</v>
      </c>
      <c r="C47" s="9" t="s">
        <v>136</v>
      </c>
      <c r="D47" s="9" t="s">
        <v>157</v>
      </c>
      <c r="E47" s="8" t="s">
        <v>158</v>
      </c>
      <c r="F47" s="10">
        <v>1590</v>
      </c>
      <c r="G47" s="10">
        <v>2350</v>
      </c>
      <c r="H47" s="11">
        <v>3150</v>
      </c>
      <c r="I47" s="10">
        <v>6000</v>
      </c>
      <c r="J47" s="10">
        <v>9100</v>
      </c>
      <c r="K47" s="11">
        <v>12000</v>
      </c>
      <c r="L47" s="10"/>
      <c r="M47" s="10"/>
      <c r="N47" s="11"/>
    </row>
    <row r="48" spans="1:14" ht="15" customHeight="1" x14ac:dyDescent="0.3">
      <c r="A48" s="7" t="s">
        <v>159</v>
      </c>
      <c r="B48" s="8" t="s">
        <v>160</v>
      </c>
      <c r="C48" s="9" t="s">
        <v>136</v>
      </c>
      <c r="D48" s="9" t="s">
        <v>161</v>
      </c>
      <c r="E48" s="8" t="s">
        <v>68</v>
      </c>
      <c r="F48" s="10">
        <v>2250</v>
      </c>
      <c r="G48" s="10">
        <v>3050</v>
      </c>
      <c r="H48" s="11">
        <v>4460</v>
      </c>
      <c r="I48" s="10">
        <v>8600</v>
      </c>
      <c r="J48" s="10">
        <v>11700</v>
      </c>
      <c r="K48" s="11">
        <v>16900</v>
      </c>
      <c r="L48" s="10"/>
      <c r="M48" s="10"/>
      <c r="N48" s="11"/>
    </row>
    <row r="49" spans="1:14" ht="15" customHeight="1" x14ac:dyDescent="0.3">
      <c r="A49" s="7" t="s">
        <v>162</v>
      </c>
      <c r="B49" s="8" t="s">
        <v>163</v>
      </c>
      <c r="C49" s="9" t="s">
        <v>136</v>
      </c>
      <c r="D49" s="9" t="s">
        <v>164</v>
      </c>
      <c r="E49" s="8" t="s">
        <v>73</v>
      </c>
      <c r="F49" s="10">
        <v>2250</v>
      </c>
      <c r="G49" s="10">
        <v>3050</v>
      </c>
      <c r="H49" s="11">
        <v>4460</v>
      </c>
      <c r="I49" s="10">
        <v>8600</v>
      </c>
      <c r="J49" s="10">
        <v>11700</v>
      </c>
      <c r="K49" s="11">
        <v>16900</v>
      </c>
      <c r="L49" s="10"/>
      <c r="M49" s="10"/>
      <c r="N49" s="11"/>
    </row>
    <row r="50" spans="1:14" ht="15" customHeight="1" x14ac:dyDescent="0.3">
      <c r="A50" s="7" t="s">
        <v>165</v>
      </c>
      <c r="B50" s="8" t="s">
        <v>166</v>
      </c>
      <c r="C50" s="9" t="s">
        <v>136</v>
      </c>
      <c r="D50" s="9" t="s">
        <v>164</v>
      </c>
      <c r="E50" s="8" t="s">
        <v>73</v>
      </c>
      <c r="F50" s="10">
        <v>2250</v>
      </c>
      <c r="G50" s="10">
        <v>3050</v>
      </c>
      <c r="H50" s="11">
        <v>4460</v>
      </c>
      <c r="I50" s="10">
        <v>8600</v>
      </c>
      <c r="J50" s="10">
        <v>11700</v>
      </c>
      <c r="K50" s="11">
        <v>16900</v>
      </c>
      <c r="L50" s="10"/>
      <c r="M50" s="10"/>
      <c r="N50" s="11"/>
    </row>
    <row r="51" spans="1:14" ht="15" customHeight="1" x14ac:dyDescent="0.3">
      <c r="A51" s="7" t="s">
        <v>167</v>
      </c>
      <c r="B51" s="8" t="s">
        <v>168</v>
      </c>
      <c r="C51" s="9" t="s">
        <v>136</v>
      </c>
      <c r="D51" s="9" t="s">
        <v>169</v>
      </c>
      <c r="E51" s="8" t="s">
        <v>73</v>
      </c>
      <c r="F51" s="10">
        <v>2250</v>
      </c>
      <c r="G51" s="10">
        <v>3050</v>
      </c>
      <c r="H51" s="11">
        <v>4460</v>
      </c>
      <c r="I51" s="10">
        <v>8600</v>
      </c>
      <c r="J51" s="10">
        <v>11700</v>
      </c>
      <c r="K51" s="11">
        <v>16900</v>
      </c>
      <c r="L51" s="10"/>
      <c r="M51" s="10"/>
      <c r="N51" s="11"/>
    </row>
    <row r="52" spans="1:14" ht="15" customHeight="1" x14ac:dyDescent="0.3">
      <c r="A52" s="7" t="s">
        <v>170</v>
      </c>
      <c r="B52" s="8" t="s">
        <v>171</v>
      </c>
      <c r="C52" s="9" t="s">
        <v>136</v>
      </c>
      <c r="D52" s="9" t="s">
        <v>172</v>
      </c>
      <c r="E52" s="8" t="s">
        <v>73</v>
      </c>
      <c r="F52" s="10">
        <v>2250</v>
      </c>
      <c r="G52" s="10">
        <v>3050</v>
      </c>
      <c r="H52" s="11">
        <v>4460</v>
      </c>
      <c r="I52" s="10">
        <v>8600</v>
      </c>
      <c r="J52" s="10">
        <v>11700</v>
      </c>
      <c r="K52" s="11">
        <v>16900</v>
      </c>
      <c r="L52" s="10"/>
      <c r="M52" s="10"/>
      <c r="N52" s="11"/>
    </row>
    <row r="53" spans="1:14" ht="15" customHeight="1" x14ac:dyDescent="0.3">
      <c r="A53" s="7" t="s">
        <v>173</v>
      </c>
      <c r="B53" s="8" t="s">
        <v>174</v>
      </c>
      <c r="C53" s="9" t="s">
        <v>136</v>
      </c>
      <c r="D53" s="9" t="s">
        <v>169</v>
      </c>
      <c r="E53" s="8" t="s">
        <v>73</v>
      </c>
      <c r="F53" s="10">
        <v>2250</v>
      </c>
      <c r="G53" s="10">
        <v>3050</v>
      </c>
      <c r="H53" s="11">
        <v>4460</v>
      </c>
      <c r="I53" s="10">
        <v>8600</v>
      </c>
      <c r="J53" s="10">
        <v>11700</v>
      </c>
      <c r="K53" s="11">
        <v>16900</v>
      </c>
      <c r="L53" s="10"/>
      <c r="M53" s="10"/>
      <c r="N53" s="11"/>
    </row>
    <row r="54" spans="1:14" ht="15" customHeight="1" x14ac:dyDescent="0.3">
      <c r="A54" s="7" t="s">
        <v>175</v>
      </c>
      <c r="B54" s="8" t="s">
        <v>176</v>
      </c>
      <c r="C54" s="9" t="s">
        <v>136</v>
      </c>
      <c r="D54" s="9" t="s">
        <v>172</v>
      </c>
      <c r="E54" s="8" t="s">
        <v>177</v>
      </c>
      <c r="F54" s="10">
        <v>2250</v>
      </c>
      <c r="G54" s="10">
        <v>3050</v>
      </c>
      <c r="H54" s="11">
        <v>4460</v>
      </c>
      <c r="I54" s="10">
        <v>8600</v>
      </c>
      <c r="J54" s="10">
        <v>11700</v>
      </c>
      <c r="K54" s="11">
        <v>16900</v>
      </c>
      <c r="L54" s="10"/>
      <c r="M54" s="10"/>
      <c r="N54" s="11"/>
    </row>
    <row r="55" spans="1:14" ht="15" customHeight="1" x14ac:dyDescent="0.3">
      <c r="A55" s="7" t="s">
        <v>178</v>
      </c>
      <c r="B55" s="8" t="s">
        <v>179</v>
      </c>
      <c r="C55" s="9" t="s">
        <v>136</v>
      </c>
      <c r="D55" s="9" t="s">
        <v>169</v>
      </c>
      <c r="E55" s="8" t="s">
        <v>177</v>
      </c>
      <c r="F55" s="10">
        <v>2250</v>
      </c>
      <c r="G55" s="10">
        <v>3050</v>
      </c>
      <c r="H55" s="11">
        <v>4460</v>
      </c>
      <c r="I55" s="10">
        <v>8600</v>
      </c>
      <c r="J55" s="10">
        <v>11700</v>
      </c>
      <c r="K55" s="11">
        <v>16900</v>
      </c>
      <c r="L55" s="10"/>
      <c r="M55" s="10"/>
      <c r="N55" s="11"/>
    </row>
    <row r="56" spans="1:14" ht="15" customHeight="1" x14ac:dyDescent="0.3">
      <c r="A56" s="7" t="s">
        <v>180</v>
      </c>
      <c r="B56" s="8" t="s">
        <v>181</v>
      </c>
      <c r="C56" s="9" t="s">
        <v>136</v>
      </c>
      <c r="D56" s="9" t="s">
        <v>169</v>
      </c>
      <c r="E56" s="8" t="s">
        <v>177</v>
      </c>
      <c r="F56" s="10">
        <v>2250</v>
      </c>
      <c r="G56" s="10">
        <v>3050</v>
      </c>
      <c r="H56" s="11">
        <v>4460</v>
      </c>
      <c r="I56" s="10">
        <v>8600</v>
      </c>
      <c r="J56" s="10">
        <v>11700</v>
      </c>
      <c r="K56" s="11">
        <v>16900</v>
      </c>
      <c r="L56" s="10"/>
      <c r="M56" s="10"/>
      <c r="N56" s="11"/>
    </row>
    <row r="57" spans="1:14" ht="15" customHeight="1" x14ac:dyDescent="0.3">
      <c r="A57" s="12" t="s">
        <v>182</v>
      </c>
      <c r="B57" s="13" t="s">
        <v>183</v>
      </c>
      <c r="C57" s="14" t="s">
        <v>184</v>
      </c>
      <c r="D57" s="14" t="s">
        <v>185</v>
      </c>
      <c r="E57" s="13" t="s">
        <v>177</v>
      </c>
      <c r="F57" s="15">
        <v>2440</v>
      </c>
      <c r="G57" s="15">
        <v>3200</v>
      </c>
      <c r="H57" s="16">
        <v>4880</v>
      </c>
      <c r="I57" s="15">
        <v>9300</v>
      </c>
      <c r="J57" s="15">
        <v>12400</v>
      </c>
      <c r="K57" s="16">
        <v>18500</v>
      </c>
      <c r="L57" s="15"/>
      <c r="M57" s="15"/>
      <c r="N57" s="16"/>
    </row>
    <row r="58" spans="1:14" ht="15" customHeight="1" x14ac:dyDescent="0.3">
      <c r="A58" s="12" t="s">
        <v>186</v>
      </c>
      <c r="B58" s="13" t="s">
        <v>183</v>
      </c>
      <c r="C58" s="14" t="s">
        <v>184</v>
      </c>
      <c r="D58" s="14" t="s">
        <v>187</v>
      </c>
      <c r="E58" s="13" t="s">
        <v>177</v>
      </c>
      <c r="F58" s="15">
        <v>2440</v>
      </c>
      <c r="G58" s="15">
        <v>3200</v>
      </c>
      <c r="H58" s="16">
        <v>4880</v>
      </c>
      <c r="I58" s="15">
        <v>9300</v>
      </c>
      <c r="J58" s="15">
        <v>12400</v>
      </c>
      <c r="K58" s="16">
        <v>18500</v>
      </c>
      <c r="L58" s="15"/>
      <c r="M58" s="15"/>
      <c r="N58" s="16"/>
    </row>
    <row r="59" spans="1:14" ht="15" customHeight="1" x14ac:dyDescent="0.3">
      <c r="A59" s="12" t="s">
        <v>188</v>
      </c>
      <c r="B59" s="13" t="s">
        <v>183</v>
      </c>
      <c r="C59" s="14" t="s">
        <v>184</v>
      </c>
      <c r="D59" s="14" t="s">
        <v>189</v>
      </c>
      <c r="E59" s="13" t="s">
        <v>190</v>
      </c>
      <c r="F59" s="15">
        <v>2440</v>
      </c>
      <c r="G59" s="15">
        <v>3200</v>
      </c>
      <c r="H59" s="16">
        <v>4880</v>
      </c>
      <c r="I59" s="15">
        <v>9300</v>
      </c>
      <c r="J59" s="15">
        <v>12400</v>
      </c>
      <c r="K59" s="16">
        <v>18500</v>
      </c>
      <c r="L59" s="15"/>
      <c r="M59" s="15"/>
      <c r="N59" s="16"/>
    </row>
    <row r="60" spans="1:14" ht="15" customHeight="1" x14ac:dyDescent="0.3">
      <c r="A60" s="7" t="s">
        <v>191</v>
      </c>
      <c r="B60" s="8" t="s">
        <v>110</v>
      </c>
      <c r="C60" s="9" t="s">
        <v>192</v>
      </c>
      <c r="D60" s="9" t="s">
        <v>193</v>
      </c>
      <c r="E60" s="8" t="s">
        <v>45</v>
      </c>
      <c r="F60" s="10">
        <v>1890</v>
      </c>
      <c r="G60" s="10">
        <v>2650</v>
      </c>
      <c r="H60" s="11">
        <v>3770</v>
      </c>
      <c r="I60" s="10">
        <v>7200</v>
      </c>
      <c r="J60" s="10">
        <v>10300</v>
      </c>
      <c r="K60" s="11">
        <v>14300</v>
      </c>
      <c r="L60" s="10"/>
      <c r="M60" s="10"/>
      <c r="N60" s="11"/>
    </row>
    <row r="61" spans="1:14" ht="15" customHeight="1" x14ac:dyDescent="0.3">
      <c r="A61" s="7" t="s">
        <v>194</v>
      </c>
      <c r="B61" s="8" t="s">
        <v>110</v>
      </c>
      <c r="C61" s="9" t="s">
        <v>192</v>
      </c>
      <c r="D61" s="9" t="s">
        <v>195</v>
      </c>
      <c r="E61" s="8" t="s">
        <v>113</v>
      </c>
      <c r="F61" s="10">
        <v>1890</v>
      </c>
      <c r="G61" s="10">
        <v>2650</v>
      </c>
      <c r="H61" s="11">
        <v>3770</v>
      </c>
      <c r="I61" s="10">
        <v>7200</v>
      </c>
      <c r="J61" s="10">
        <v>10300</v>
      </c>
      <c r="K61" s="11">
        <v>14300</v>
      </c>
      <c r="L61" s="10"/>
      <c r="M61" s="10"/>
      <c r="N61" s="11"/>
    </row>
    <row r="62" spans="1:14" ht="15" customHeight="1" x14ac:dyDescent="0.3">
      <c r="A62" s="7" t="s">
        <v>196</v>
      </c>
      <c r="B62" s="8" t="s">
        <v>110</v>
      </c>
      <c r="C62" s="9" t="s">
        <v>192</v>
      </c>
      <c r="D62" s="9" t="s">
        <v>197</v>
      </c>
      <c r="E62" s="8" t="s">
        <v>45</v>
      </c>
      <c r="F62" s="10">
        <v>1890</v>
      </c>
      <c r="G62" s="10">
        <v>2650</v>
      </c>
      <c r="H62" s="11">
        <v>3770</v>
      </c>
      <c r="I62" s="10">
        <v>7200</v>
      </c>
      <c r="J62" s="10">
        <v>10300</v>
      </c>
      <c r="K62" s="11">
        <v>14300</v>
      </c>
      <c r="L62" s="10"/>
      <c r="M62" s="10"/>
      <c r="N62" s="11"/>
    </row>
    <row r="63" spans="1:14" ht="15" customHeight="1" x14ac:dyDescent="0.3">
      <c r="A63" s="7" t="s">
        <v>198</v>
      </c>
      <c r="B63" s="8" t="s">
        <v>110</v>
      </c>
      <c r="C63" s="9" t="s">
        <v>192</v>
      </c>
      <c r="D63" s="9" t="s">
        <v>197</v>
      </c>
      <c r="E63" s="8" t="s">
        <v>121</v>
      </c>
      <c r="F63" s="10">
        <v>1890</v>
      </c>
      <c r="G63" s="10">
        <v>2650</v>
      </c>
      <c r="H63" s="11">
        <v>3770</v>
      </c>
      <c r="I63" s="10">
        <v>7200</v>
      </c>
      <c r="J63" s="10">
        <v>10300</v>
      </c>
      <c r="K63" s="11">
        <v>14300</v>
      </c>
      <c r="L63" s="10"/>
      <c r="M63" s="10"/>
      <c r="N63" s="11"/>
    </row>
    <row r="64" spans="1:14" ht="15" customHeight="1" x14ac:dyDescent="0.3">
      <c r="A64" s="7" t="s">
        <v>199</v>
      </c>
      <c r="B64" s="8" t="s">
        <v>110</v>
      </c>
      <c r="C64" s="9" t="s">
        <v>192</v>
      </c>
      <c r="D64" s="9" t="s">
        <v>200</v>
      </c>
      <c r="E64" s="8" t="s">
        <v>124</v>
      </c>
      <c r="F64" s="10">
        <v>1890</v>
      </c>
      <c r="G64" s="10">
        <v>2650</v>
      </c>
      <c r="H64" s="11">
        <v>3770</v>
      </c>
      <c r="I64" s="10">
        <v>7200</v>
      </c>
      <c r="J64" s="10">
        <v>10300</v>
      </c>
      <c r="K64" s="11">
        <v>14300</v>
      </c>
      <c r="L64" s="10"/>
      <c r="M64" s="10"/>
      <c r="N64" s="11"/>
    </row>
    <row r="65" spans="1:14" ht="15" customHeight="1" x14ac:dyDescent="0.3">
      <c r="A65" s="7" t="s">
        <v>201</v>
      </c>
      <c r="B65" s="8" t="s">
        <v>110</v>
      </c>
      <c r="C65" s="9" t="s">
        <v>192</v>
      </c>
      <c r="D65" s="9" t="s">
        <v>193</v>
      </c>
      <c r="E65" s="8" t="s">
        <v>124</v>
      </c>
      <c r="F65" s="10">
        <v>1660</v>
      </c>
      <c r="G65" s="10">
        <v>2450</v>
      </c>
      <c r="H65" s="11">
        <v>3310</v>
      </c>
      <c r="I65" s="10">
        <v>6300</v>
      </c>
      <c r="J65" s="10">
        <v>9400</v>
      </c>
      <c r="K65" s="11">
        <v>12600</v>
      </c>
      <c r="L65" s="10"/>
      <c r="M65" s="10"/>
      <c r="N65" s="11"/>
    </row>
    <row r="66" spans="1:14" ht="15" customHeight="1" x14ac:dyDescent="0.3">
      <c r="A66" s="7" t="s">
        <v>202</v>
      </c>
      <c r="B66" s="8" t="s">
        <v>110</v>
      </c>
      <c r="C66" s="9" t="s">
        <v>192</v>
      </c>
      <c r="D66" s="9" t="s">
        <v>203</v>
      </c>
      <c r="E66" s="8" t="s">
        <v>116</v>
      </c>
      <c r="F66" s="10">
        <v>1890</v>
      </c>
      <c r="G66" s="10">
        <v>2650</v>
      </c>
      <c r="H66" s="11">
        <v>3770</v>
      </c>
      <c r="I66" s="10">
        <v>7200</v>
      </c>
      <c r="J66" s="10">
        <v>10300</v>
      </c>
      <c r="K66" s="11">
        <v>14300</v>
      </c>
      <c r="L66" s="10"/>
      <c r="M66" s="10"/>
      <c r="N66" s="11"/>
    </row>
    <row r="67" spans="1:14" ht="15" customHeight="1" x14ac:dyDescent="0.3">
      <c r="A67" s="7" t="s">
        <v>204</v>
      </c>
      <c r="B67" s="8" t="s">
        <v>110</v>
      </c>
      <c r="C67" s="9" t="s">
        <v>192</v>
      </c>
      <c r="D67" s="9" t="s">
        <v>205</v>
      </c>
      <c r="E67" s="8" t="s">
        <v>177</v>
      </c>
      <c r="F67" s="10">
        <v>2120</v>
      </c>
      <c r="G67" s="10">
        <v>2900</v>
      </c>
      <c r="H67" s="11">
        <v>4230</v>
      </c>
      <c r="I67" s="10">
        <v>8100</v>
      </c>
      <c r="J67" s="10">
        <v>11200</v>
      </c>
      <c r="K67" s="11">
        <v>16100</v>
      </c>
      <c r="L67" s="10"/>
      <c r="M67" s="10"/>
      <c r="N67" s="11"/>
    </row>
    <row r="68" spans="1:14" ht="15" customHeight="1" x14ac:dyDescent="0.3">
      <c r="A68" s="7" t="s">
        <v>206</v>
      </c>
      <c r="B68" s="8" t="s">
        <v>110</v>
      </c>
      <c r="C68" s="9" t="s">
        <v>192</v>
      </c>
      <c r="D68" s="9" t="s">
        <v>193</v>
      </c>
      <c r="E68" s="8" t="s">
        <v>110</v>
      </c>
      <c r="F68" s="10">
        <v>1330</v>
      </c>
      <c r="G68" s="10">
        <v>2100</v>
      </c>
      <c r="H68" s="11">
        <v>2670</v>
      </c>
      <c r="I68" s="10">
        <v>5100</v>
      </c>
      <c r="J68" s="10">
        <v>8200</v>
      </c>
      <c r="K68" s="11">
        <v>10100</v>
      </c>
      <c r="L68" s="10"/>
      <c r="M68" s="10"/>
      <c r="N68" s="11"/>
    </row>
    <row r="69" spans="1:14" ht="15" customHeight="1" x14ac:dyDescent="0.3">
      <c r="A69" s="7" t="s">
        <v>207</v>
      </c>
      <c r="B69" s="8" t="s">
        <v>110</v>
      </c>
      <c r="C69" s="9" t="s">
        <v>192</v>
      </c>
      <c r="D69" s="9" t="s">
        <v>208</v>
      </c>
      <c r="E69" s="8" t="s">
        <v>110</v>
      </c>
      <c r="F69" s="10">
        <v>1330</v>
      </c>
      <c r="G69" s="10">
        <v>2100</v>
      </c>
      <c r="H69" s="11">
        <v>2670</v>
      </c>
      <c r="I69" s="10">
        <v>5100</v>
      </c>
      <c r="J69" s="10">
        <v>8200</v>
      </c>
      <c r="K69" s="11">
        <v>10100</v>
      </c>
      <c r="L69" s="10"/>
      <c r="M69" s="10"/>
      <c r="N69" s="11"/>
    </row>
    <row r="70" spans="1:14" ht="15" customHeight="1" x14ac:dyDescent="0.3">
      <c r="A70" s="7" t="s">
        <v>209</v>
      </c>
      <c r="B70" s="8" t="s">
        <v>110</v>
      </c>
      <c r="C70" s="9" t="s">
        <v>192</v>
      </c>
      <c r="D70" s="9" t="s">
        <v>210</v>
      </c>
      <c r="E70" s="8" t="s">
        <v>110</v>
      </c>
      <c r="F70" s="10">
        <v>1330</v>
      </c>
      <c r="G70" s="10">
        <v>2100</v>
      </c>
      <c r="H70" s="11">
        <v>2670</v>
      </c>
      <c r="I70" s="10">
        <v>5100</v>
      </c>
      <c r="J70" s="10">
        <v>8200</v>
      </c>
      <c r="K70" s="11">
        <v>10100</v>
      </c>
      <c r="L70" s="10"/>
      <c r="M70" s="10"/>
      <c r="N70" s="11"/>
    </row>
    <row r="71" spans="1:14" ht="15" customHeight="1" x14ac:dyDescent="0.3">
      <c r="A71" s="7" t="s">
        <v>211</v>
      </c>
      <c r="B71" s="8" t="s">
        <v>110</v>
      </c>
      <c r="C71" s="9" t="s">
        <v>192</v>
      </c>
      <c r="D71" s="9" t="s">
        <v>210</v>
      </c>
      <c r="E71" s="8" t="s">
        <v>73</v>
      </c>
      <c r="F71" s="10">
        <v>2120</v>
      </c>
      <c r="G71" s="10">
        <v>2900</v>
      </c>
      <c r="H71" s="11">
        <v>4230</v>
      </c>
      <c r="I71" s="10">
        <v>8100</v>
      </c>
      <c r="J71" s="10">
        <v>11200</v>
      </c>
      <c r="K71" s="11">
        <v>16100</v>
      </c>
      <c r="L71" s="10"/>
      <c r="M71" s="10"/>
      <c r="N71" s="11"/>
    </row>
    <row r="72" spans="1:14" ht="15" customHeight="1" x14ac:dyDescent="0.3">
      <c r="A72" s="7" t="s">
        <v>212</v>
      </c>
      <c r="B72" s="8" t="s">
        <v>110</v>
      </c>
      <c r="C72" s="9" t="s">
        <v>192</v>
      </c>
      <c r="D72" s="9" t="s">
        <v>213</v>
      </c>
      <c r="E72" s="8" t="s">
        <v>110</v>
      </c>
      <c r="F72" s="10">
        <v>1330</v>
      </c>
      <c r="G72" s="10">
        <v>2100</v>
      </c>
      <c r="H72" s="11">
        <v>2670</v>
      </c>
      <c r="I72" s="10">
        <v>5100</v>
      </c>
      <c r="J72" s="10">
        <v>8200</v>
      </c>
      <c r="K72" s="11">
        <v>10100</v>
      </c>
      <c r="L72" s="10"/>
      <c r="M72" s="10"/>
      <c r="N72" s="11"/>
    </row>
    <row r="73" spans="1:14" ht="15" customHeight="1" x14ac:dyDescent="0.3">
      <c r="A73" s="7" t="s">
        <v>214</v>
      </c>
      <c r="B73" s="8" t="s">
        <v>110</v>
      </c>
      <c r="C73" s="9" t="s">
        <v>192</v>
      </c>
      <c r="D73" s="9" t="s">
        <v>215</v>
      </c>
      <c r="E73" s="8" t="s">
        <v>110</v>
      </c>
      <c r="F73" s="10">
        <v>1330</v>
      </c>
      <c r="G73" s="10">
        <v>2100</v>
      </c>
      <c r="H73" s="11">
        <v>2670</v>
      </c>
      <c r="I73" s="10">
        <v>5100</v>
      </c>
      <c r="J73" s="10">
        <v>8200</v>
      </c>
      <c r="K73" s="11">
        <v>10100</v>
      </c>
      <c r="L73" s="10"/>
      <c r="M73" s="10"/>
      <c r="N73" s="11"/>
    </row>
    <row r="74" spans="1:14" ht="15" customHeight="1" x14ac:dyDescent="0.3">
      <c r="A74" s="7" t="s">
        <v>216</v>
      </c>
      <c r="B74" s="8" t="s">
        <v>110</v>
      </c>
      <c r="C74" s="9" t="s">
        <v>192</v>
      </c>
      <c r="D74" s="9" t="s">
        <v>217</v>
      </c>
      <c r="E74" s="8" t="s">
        <v>177</v>
      </c>
      <c r="F74" s="10">
        <v>2120</v>
      </c>
      <c r="G74" s="10">
        <v>2900</v>
      </c>
      <c r="H74" s="11">
        <v>4230</v>
      </c>
      <c r="I74" s="10">
        <v>8100</v>
      </c>
      <c r="J74" s="10">
        <v>11200</v>
      </c>
      <c r="K74" s="11">
        <v>16100</v>
      </c>
      <c r="L74" s="10"/>
      <c r="M74" s="10"/>
      <c r="N74" s="11"/>
    </row>
    <row r="75" spans="1:14" ht="15" customHeight="1" x14ac:dyDescent="0.3">
      <c r="A75" s="7" t="s">
        <v>218</v>
      </c>
      <c r="B75" s="8" t="s">
        <v>110</v>
      </c>
      <c r="C75" s="9" t="s">
        <v>192</v>
      </c>
      <c r="D75" s="9" t="s">
        <v>219</v>
      </c>
      <c r="E75" s="8" t="s">
        <v>110</v>
      </c>
      <c r="F75" s="10">
        <v>1330</v>
      </c>
      <c r="G75" s="10">
        <v>2100</v>
      </c>
      <c r="H75" s="11">
        <v>2670</v>
      </c>
      <c r="I75" s="10">
        <v>5100</v>
      </c>
      <c r="J75" s="10">
        <v>8200</v>
      </c>
      <c r="K75" s="11">
        <v>10100</v>
      </c>
      <c r="L75" s="10"/>
      <c r="M75" s="10"/>
      <c r="N75" s="11"/>
    </row>
    <row r="76" spans="1:14" ht="15" customHeight="1" x14ac:dyDescent="0.3">
      <c r="A76" s="7" t="s">
        <v>220</v>
      </c>
      <c r="B76" s="8" t="s">
        <v>110</v>
      </c>
      <c r="C76" s="9" t="s">
        <v>192</v>
      </c>
      <c r="D76" s="9" t="s">
        <v>221</v>
      </c>
      <c r="E76" s="8" t="s">
        <v>104</v>
      </c>
      <c r="F76" s="10">
        <v>2300</v>
      </c>
      <c r="G76" s="10">
        <v>3100</v>
      </c>
      <c r="H76" s="11">
        <v>4600</v>
      </c>
      <c r="I76" s="10">
        <v>8700</v>
      </c>
      <c r="J76" s="10">
        <v>11800</v>
      </c>
      <c r="K76" s="11">
        <v>17500</v>
      </c>
      <c r="L76" s="10"/>
      <c r="M76" s="10"/>
      <c r="N76" s="11"/>
    </row>
    <row r="77" spans="1:14" ht="15" customHeight="1" x14ac:dyDescent="0.3">
      <c r="A77" s="7" t="s">
        <v>222</v>
      </c>
      <c r="B77" s="8" t="s">
        <v>110</v>
      </c>
      <c r="C77" s="9" t="s">
        <v>192</v>
      </c>
      <c r="D77" s="9" t="s">
        <v>219</v>
      </c>
      <c r="E77" s="8" t="s">
        <v>104</v>
      </c>
      <c r="F77" s="10">
        <v>2300</v>
      </c>
      <c r="G77" s="10">
        <v>3100</v>
      </c>
      <c r="H77" s="11">
        <v>4600</v>
      </c>
      <c r="I77" s="10">
        <v>8700</v>
      </c>
      <c r="J77" s="10">
        <v>11800</v>
      </c>
      <c r="K77" s="11">
        <v>17500</v>
      </c>
      <c r="L77" s="10"/>
      <c r="M77" s="10"/>
      <c r="N77" s="11"/>
    </row>
    <row r="78" spans="1:14" ht="15" customHeight="1" x14ac:dyDescent="0.3">
      <c r="A78" s="7" t="s">
        <v>223</v>
      </c>
      <c r="B78" s="8" t="s">
        <v>110</v>
      </c>
      <c r="C78" s="9" t="s">
        <v>192</v>
      </c>
      <c r="D78" s="9" t="s">
        <v>219</v>
      </c>
      <c r="E78" s="8" t="s">
        <v>104</v>
      </c>
      <c r="F78" s="10">
        <v>2300</v>
      </c>
      <c r="G78" s="10">
        <v>3100</v>
      </c>
      <c r="H78" s="11">
        <v>4600</v>
      </c>
      <c r="I78" s="10">
        <v>8700</v>
      </c>
      <c r="J78" s="10">
        <v>11800</v>
      </c>
      <c r="K78" s="11">
        <v>17500</v>
      </c>
      <c r="L78" s="10"/>
      <c r="M78" s="10"/>
      <c r="N78" s="11"/>
    </row>
    <row r="79" spans="1:14" ht="15" customHeight="1" x14ac:dyDescent="0.3">
      <c r="A79" s="12" t="s">
        <v>224</v>
      </c>
      <c r="B79" s="13" t="s">
        <v>110</v>
      </c>
      <c r="C79" s="14" t="s">
        <v>225</v>
      </c>
      <c r="D79" s="14" t="s">
        <v>197</v>
      </c>
      <c r="E79" s="13" t="s">
        <v>116</v>
      </c>
      <c r="F79" s="15">
        <v>1790</v>
      </c>
      <c r="G79" s="15">
        <v>2550</v>
      </c>
      <c r="H79" s="16">
        <v>3590</v>
      </c>
      <c r="I79" s="15">
        <v>6800</v>
      </c>
      <c r="J79" s="15">
        <v>9900</v>
      </c>
      <c r="K79" s="16">
        <v>13600</v>
      </c>
      <c r="L79" s="15"/>
      <c r="M79" s="15"/>
      <c r="N79" s="16"/>
    </row>
    <row r="80" spans="1:14" ht="15" customHeight="1" x14ac:dyDescent="0.3">
      <c r="A80" s="12" t="s">
        <v>226</v>
      </c>
      <c r="B80" s="13" t="s">
        <v>110</v>
      </c>
      <c r="C80" s="14" t="s">
        <v>225</v>
      </c>
      <c r="D80" s="14" t="s">
        <v>227</v>
      </c>
      <c r="E80" s="13" t="s">
        <v>45</v>
      </c>
      <c r="F80" s="15">
        <v>1790</v>
      </c>
      <c r="G80" s="15">
        <v>2550</v>
      </c>
      <c r="H80" s="16">
        <v>3590</v>
      </c>
      <c r="I80" s="15">
        <v>6800</v>
      </c>
      <c r="J80" s="15">
        <v>9900</v>
      </c>
      <c r="K80" s="16">
        <v>13600</v>
      </c>
      <c r="L80" s="15"/>
      <c r="M80" s="15"/>
      <c r="N80" s="16"/>
    </row>
    <row r="81" spans="1:14" ht="15" customHeight="1" x14ac:dyDescent="0.3">
      <c r="A81" s="12" t="s">
        <v>228</v>
      </c>
      <c r="B81" s="13" t="s">
        <v>110</v>
      </c>
      <c r="C81" s="14" t="s">
        <v>225</v>
      </c>
      <c r="D81" s="14" t="s">
        <v>197</v>
      </c>
      <c r="E81" s="13" t="s">
        <v>121</v>
      </c>
      <c r="F81" s="15">
        <v>1790</v>
      </c>
      <c r="G81" s="15">
        <v>2550</v>
      </c>
      <c r="H81" s="16">
        <v>3590</v>
      </c>
      <c r="I81" s="15">
        <v>6800</v>
      </c>
      <c r="J81" s="15">
        <v>9900</v>
      </c>
      <c r="K81" s="16">
        <v>13600</v>
      </c>
      <c r="L81" s="15"/>
      <c r="M81" s="15"/>
      <c r="N81" s="16"/>
    </row>
    <row r="82" spans="1:14" ht="15" customHeight="1" x14ac:dyDescent="0.3">
      <c r="A82" s="12" t="s">
        <v>229</v>
      </c>
      <c r="B82" s="13" t="s">
        <v>110</v>
      </c>
      <c r="C82" s="14" t="s">
        <v>225</v>
      </c>
      <c r="D82" s="14" t="s">
        <v>197</v>
      </c>
      <c r="E82" s="13" t="s">
        <v>116</v>
      </c>
      <c r="F82" s="15">
        <v>1790</v>
      </c>
      <c r="G82" s="15">
        <v>2550</v>
      </c>
      <c r="H82" s="16">
        <v>3590</v>
      </c>
      <c r="I82" s="15">
        <v>6800</v>
      </c>
      <c r="J82" s="15">
        <v>9900</v>
      </c>
      <c r="K82" s="16">
        <v>13600</v>
      </c>
      <c r="L82" s="15"/>
      <c r="M82" s="15"/>
      <c r="N82" s="16"/>
    </row>
    <row r="83" spans="1:14" ht="15" customHeight="1" x14ac:dyDescent="0.3">
      <c r="A83" s="12" t="s">
        <v>230</v>
      </c>
      <c r="B83" s="13" t="s">
        <v>110</v>
      </c>
      <c r="C83" s="14" t="s">
        <v>225</v>
      </c>
      <c r="D83" s="14" t="s">
        <v>197</v>
      </c>
      <c r="E83" s="13" t="s">
        <v>45</v>
      </c>
      <c r="F83" s="15">
        <v>1600</v>
      </c>
      <c r="G83" s="15">
        <v>2400</v>
      </c>
      <c r="H83" s="16">
        <v>3200</v>
      </c>
      <c r="I83" s="15">
        <v>6100</v>
      </c>
      <c r="J83" s="15">
        <v>9200</v>
      </c>
      <c r="K83" s="16">
        <v>12200</v>
      </c>
      <c r="L83" s="15"/>
      <c r="M83" s="15"/>
      <c r="N83" s="16"/>
    </row>
    <row r="84" spans="1:14" ht="15" customHeight="1" x14ac:dyDescent="0.3">
      <c r="A84" s="12" t="s">
        <v>231</v>
      </c>
      <c r="B84" s="13" t="s">
        <v>110</v>
      </c>
      <c r="C84" s="14" t="s">
        <v>225</v>
      </c>
      <c r="D84" s="14" t="s">
        <v>232</v>
      </c>
      <c r="E84" s="13" t="s">
        <v>68</v>
      </c>
      <c r="F84" s="15">
        <v>1600</v>
      </c>
      <c r="G84" s="15">
        <v>2400</v>
      </c>
      <c r="H84" s="16">
        <v>3200</v>
      </c>
      <c r="I84" s="15">
        <v>6100</v>
      </c>
      <c r="J84" s="15">
        <v>9200</v>
      </c>
      <c r="K84" s="16">
        <v>12200</v>
      </c>
      <c r="L84" s="15"/>
      <c r="M84" s="15"/>
      <c r="N84" s="16"/>
    </row>
    <row r="85" spans="1:14" ht="15" customHeight="1" x14ac:dyDescent="0.3">
      <c r="A85" s="12" t="s">
        <v>233</v>
      </c>
      <c r="B85" s="13" t="s">
        <v>110</v>
      </c>
      <c r="C85" s="14" t="s">
        <v>225</v>
      </c>
      <c r="D85" s="14" t="s">
        <v>234</v>
      </c>
      <c r="E85" s="13" t="s">
        <v>121</v>
      </c>
      <c r="F85" s="15">
        <v>1600</v>
      </c>
      <c r="G85" s="15">
        <v>2400</v>
      </c>
      <c r="H85" s="16">
        <v>3200</v>
      </c>
      <c r="I85" s="15">
        <v>6100</v>
      </c>
      <c r="J85" s="15">
        <v>9200</v>
      </c>
      <c r="K85" s="16">
        <v>12200</v>
      </c>
      <c r="L85" s="15"/>
      <c r="M85" s="15"/>
      <c r="N85" s="16"/>
    </row>
    <row r="86" spans="1:14" ht="15" customHeight="1" x14ac:dyDescent="0.3">
      <c r="A86" s="12" t="s">
        <v>235</v>
      </c>
      <c r="B86" s="13" t="s">
        <v>110</v>
      </c>
      <c r="C86" s="14" t="s">
        <v>225</v>
      </c>
      <c r="D86" s="14" t="s">
        <v>236</v>
      </c>
      <c r="E86" s="13" t="s">
        <v>45</v>
      </c>
      <c r="F86" s="15">
        <v>1600</v>
      </c>
      <c r="G86" s="15">
        <v>2400</v>
      </c>
      <c r="H86" s="16">
        <v>3200</v>
      </c>
      <c r="I86" s="15">
        <v>6100</v>
      </c>
      <c r="J86" s="15">
        <v>9200</v>
      </c>
      <c r="K86" s="16">
        <v>12200</v>
      </c>
      <c r="L86" s="15"/>
      <c r="M86" s="15"/>
      <c r="N86" s="16"/>
    </row>
    <row r="87" spans="1:14" ht="15" customHeight="1" x14ac:dyDescent="0.3">
      <c r="A87" s="12" t="s">
        <v>237</v>
      </c>
      <c r="B87" s="13" t="s">
        <v>110</v>
      </c>
      <c r="C87" s="14" t="s">
        <v>225</v>
      </c>
      <c r="D87" s="14" t="s">
        <v>238</v>
      </c>
      <c r="E87" s="13" t="s">
        <v>121</v>
      </c>
      <c r="F87" s="15">
        <v>1600</v>
      </c>
      <c r="G87" s="15">
        <v>2400</v>
      </c>
      <c r="H87" s="16">
        <v>3200</v>
      </c>
      <c r="I87" s="15">
        <v>6100</v>
      </c>
      <c r="J87" s="15">
        <v>9200</v>
      </c>
      <c r="K87" s="16">
        <v>12200</v>
      </c>
      <c r="L87" s="15"/>
      <c r="M87" s="15"/>
      <c r="N87" s="16"/>
    </row>
    <row r="88" spans="1:14" ht="15" customHeight="1" x14ac:dyDescent="0.3">
      <c r="A88" s="12" t="s">
        <v>239</v>
      </c>
      <c r="B88" s="13" t="s">
        <v>110</v>
      </c>
      <c r="C88" s="14" t="s">
        <v>225</v>
      </c>
      <c r="D88" s="14" t="s">
        <v>240</v>
      </c>
      <c r="E88" s="13" t="s">
        <v>121</v>
      </c>
      <c r="F88" s="15">
        <v>1600</v>
      </c>
      <c r="G88" s="15">
        <v>2400</v>
      </c>
      <c r="H88" s="16">
        <v>3200</v>
      </c>
      <c r="I88" s="15">
        <v>6100</v>
      </c>
      <c r="J88" s="15">
        <v>9200</v>
      </c>
      <c r="K88" s="16">
        <v>12200</v>
      </c>
      <c r="L88" s="15"/>
      <c r="M88" s="15"/>
      <c r="N88" s="16"/>
    </row>
    <row r="89" spans="1:14" ht="15" customHeight="1" x14ac:dyDescent="0.3">
      <c r="A89" s="12" t="s">
        <v>241</v>
      </c>
      <c r="B89" s="13" t="s">
        <v>110</v>
      </c>
      <c r="C89" s="14" t="s">
        <v>225</v>
      </c>
      <c r="D89" s="14" t="s">
        <v>242</v>
      </c>
      <c r="E89" s="13" t="s">
        <v>121</v>
      </c>
      <c r="F89" s="15">
        <v>1600</v>
      </c>
      <c r="G89" s="15">
        <v>2400</v>
      </c>
      <c r="H89" s="16">
        <v>3200</v>
      </c>
      <c r="I89" s="15">
        <v>6100</v>
      </c>
      <c r="J89" s="15">
        <v>9200</v>
      </c>
      <c r="K89" s="16">
        <v>12200</v>
      </c>
      <c r="L89" s="15"/>
      <c r="M89" s="15"/>
      <c r="N89" s="16"/>
    </row>
    <row r="90" spans="1:14" ht="15" customHeight="1" x14ac:dyDescent="0.3">
      <c r="A90" s="12" t="s">
        <v>243</v>
      </c>
      <c r="B90" s="13" t="s">
        <v>110</v>
      </c>
      <c r="C90" s="14" t="s">
        <v>225</v>
      </c>
      <c r="D90" s="14" t="s">
        <v>232</v>
      </c>
      <c r="E90" s="13" t="s">
        <v>121</v>
      </c>
      <c r="F90" s="15">
        <v>1600</v>
      </c>
      <c r="G90" s="15">
        <v>2400</v>
      </c>
      <c r="H90" s="16">
        <v>3200</v>
      </c>
      <c r="I90" s="15">
        <v>6100</v>
      </c>
      <c r="J90" s="15">
        <v>9200</v>
      </c>
      <c r="K90" s="16">
        <v>12200</v>
      </c>
      <c r="L90" s="15"/>
      <c r="M90" s="15"/>
      <c r="N90" s="16"/>
    </row>
    <row r="91" spans="1:14" ht="15" customHeight="1" x14ac:dyDescent="0.3">
      <c r="A91" s="12" t="s">
        <v>244</v>
      </c>
      <c r="B91" s="13" t="s">
        <v>110</v>
      </c>
      <c r="C91" s="14" t="s">
        <v>225</v>
      </c>
      <c r="D91" s="14" t="s">
        <v>245</v>
      </c>
      <c r="E91" s="13" t="s">
        <v>45</v>
      </c>
      <c r="F91" s="15">
        <v>1600</v>
      </c>
      <c r="G91" s="15">
        <v>2400</v>
      </c>
      <c r="H91" s="16">
        <v>3200</v>
      </c>
      <c r="I91" s="15">
        <v>6100</v>
      </c>
      <c r="J91" s="15">
        <v>9200</v>
      </c>
      <c r="K91" s="16">
        <v>12200</v>
      </c>
      <c r="L91" s="15"/>
      <c r="M91" s="15"/>
      <c r="N91" s="16"/>
    </row>
    <row r="92" spans="1:14" ht="15" customHeight="1" x14ac:dyDescent="0.3">
      <c r="A92" s="12" t="s">
        <v>246</v>
      </c>
      <c r="B92" s="13" t="s">
        <v>110</v>
      </c>
      <c r="C92" s="14" t="s">
        <v>225</v>
      </c>
      <c r="D92" s="14" t="s">
        <v>247</v>
      </c>
      <c r="E92" s="13" t="s">
        <v>73</v>
      </c>
      <c r="F92" s="15">
        <v>1790</v>
      </c>
      <c r="G92" s="15">
        <v>2550</v>
      </c>
      <c r="H92" s="16">
        <v>3590</v>
      </c>
      <c r="I92" s="15">
        <v>6800</v>
      </c>
      <c r="J92" s="15">
        <v>9900</v>
      </c>
      <c r="K92" s="16">
        <v>13600</v>
      </c>
      <c r="L92" s="15"/>
      <c r="M92" s="15"/>
      <c r="N92" s="16"/>
    </row>
    <row r="93" spans="1:14" ht="15" customHeight="1" x14ac:dyDescent="0.3">
      <c r="A93" s="12" t="s">
        <v>248</v>
      </c>
      <c r="B93" s="13" t="s">
        <v>110</v>
      </c>
      <c r="C93" s="14" t="s">
        <v>225</v>
      </c>
      <c r="D93" s="14" t="s">
        <v>249</v>
      </c>
      <c r="E93" s="13" t="s">
        <v>45</v>
      </c>
      <c r="F93" s="15">
        <v>1600</v>
      </c>
      <c r="G93" s="15">
        <v>2400</v>
      </c>
      <c r="H93" s="16">
        <v>3200</v>
      </c>
      <c r="I93" s="15">
        <v>6100</v>
      </c>
      <c r="J93" s="15">
        <v>9200</v>
      </c>
      <c r="K93" s="16">
        <v>12200</v>
      </c>
      <c r="L93" s="15"/>
      <c r="M93" s="15"/>
      <c r="N93" s="16"/>
    </row>
    <row r="94" spans="1:14" ht="15" customHeight="1" x14ac:dyDescent="0.3">
      <c r="A94" s="12" t="s">
        <v>250</v>
      </c>
      <c r="B94" s="13" t="s">
        <v>110</v>
      </c>
      <c r="C94" s="14" t="s">
        <v>225</v>
      </c>
      <c r="D94" s="14" t="s">
        <v>197</v>
      </c>
      <c r="E94" s="13" t="s">
        <v>116</v>
      </c>
      <c r="F94" s="15">
        <v>1600</v>
      </c>
      <c r="G94" s="15">
        <v>2400</v>
      </c>
      <c r="H94" s="16">
        <v>3200</v>
      </c>
      <c r="I94" s="15">
        <v>6100</v>
      </c>
      <c r="J94" s="15">
        <v>9200</v>
      </c>
      <c r="K94" s="16">
        <v>12200</v>
      </c>
      <c r="L94" s="15"/>
      <c r="M94" s="15"/>
      <c r="N94" s="16"/>
    </row>
    <row r="95" spans="1:14" ht="15" customHeight="1" x14ac:dyDescent="0.3">
      <c r="A95" s="12" t="s">
        <v>251</v>
      </c>
      <c r="B95" s="13" t="s">
        <v>110</v>
      </c>
      <c r="C95" s="14" t="s">
        <v>225</v>
      </c>
      <c r="D95" s="14" t="s">
        <v>197</v>
      </c>
      <c r="E95" s="13" t="s">
        <v>116</v>
      </c>
      <c r="F95" s="15">
        <v>1600</v>
      </c>
      <c r="G95" s="15">
        <v>2400</v>
      </c>
      <c r="H95" s="16">
        <v>3200</v>
      </c>
      <c r="I95" s="15">
        <v>6100</v>
      </c>
      <c r="J95" s="15">
        <v>9200</v>
      </c>
      <c r="K95" s="16">
        <v>12200</v>
      </c>
      <c r="L95" s="15"/>
      <c r="M95" s="15"/>
      <c r="N95" s="16"/>
    </row>
    <row r="96" spans="1:14" ht="15" customHeight="1" x14ac:dyDescent="0.3">
      <c r="A96" s="12" t="s">
        <v>252</v>
      </c>
      <c r="B96" s="13" t="s">
        <v>110</v>
      </c>
      <c r="C96" s="14" t="s">
        <v>225</v>
      </c>
      <c r="D96" s="14" t="s">
        <v>253</v>
      </c>
      <c r="E96" s="13" t="s">
        <v>73</v>
      </c>
      <c r="F96" s="15">
        <v>1790</v>
      </c>
      <c r="G96" s="15">
        <v>2550</v>
      </c>
      <c r="H96" s="16">
        <v>3590</v>
      </c>
      <c r="I96" s="15">
        <v>6800</v>
      </c>
      <c r="J96" s="15">
        <v>9900</v>
      </c>
      <c r="K96" s="16">
        <v>13600</v>
      </c>
      <c r="L96" s="15"/>
      <c r="M96" s="15"/>
      <c r="N96" s="16"/>
    </row>
    <row r="97" spans="1:14" ht="15" customHeight="1" x14ac:dyDescent="0.3">
      <c r="A97" s="12" t="s">
        <v>254</v>
      </c>
      <c r="B97" s="13" t="s">
        <v>110</v>
      </c>
      <c r="C97" s="14" t="s">
        <v>225</v>
      </c>
      <c r="D97" s="14" t="s">
        <v>197</v>
      </c>
      <c r="E97" s="13" t="s">
        <v>110</v>
      </c>
      <c r="F97" s="15">
        <v>1130</v>
      </c>
      <c r="G97" s="15">
        <v>1900</v>
      </c>
      <c r="H97" s="16">
        <v>2260</v>
      </c>
      <c r="I97" s="15">
        <v>4300</v>
      </c>
      <c r="J97" s="15">
        <v>7400</v>
      </c>
      <c r="K97" s="16">
        <v>8600</v>
      </c>
      <c r="L97" s="15"/>
      <c r="M97" s="15"/>
      <c r="N97" s="16"/>
    </row>
    <row r="98" spans="1:14" ht="15" customHeight="1" x14ac:dyDescent="0.3">
      <c r="A98" s="12" t="s">
        <v>255</v>
      </c>
      <c r="B98" s="13" t="s">
        <v>110</v>
      </c>
      <c r="C98" s="14" t="s">
        <v>225</v>
      </c>
      <c r="D98" s="14" t="s">
        <v>256</v>
      </c>
      <c r="E98" s="13" t="s">
        <v>121</v>
      </c>
      <c r="F98" s="15">
        <v>1600</v>
      </c>
      <c r="G98" s="15">
        <v>2400</v>
      </c>
      <c r="H98" s="16">
        <v>3200</v>
      </c>
      <c r="I98" s="15">
        <v>6100</v>
      </c>
      <c r="J98" s="15">
        <v>9200</v>
      </c>
      <c r="K98" s="16">
        <v>12200</v>
      </c>
      <c r="L98" s="15"/>
      <c r="M98" s="15"/>
      <c r="N98" s="16"/>
    </row>
    <row r="99" spans="1:14" ht="15" customHeight="1" x14ac:dyDescent="0.3">
      <c r="A99" s="12" t="s">
        <v>257</v>
      </c>
      <c r="B99" s="13" t="s">
        <v>110</v>
      </c>
      <c r="C99" s="14" t="s">
        <v>225</v>
      </c>
      <c r="D99" s="14" t="s">
        <v>258</v>
      </c>
      <c r="E99" s="13" t="s">
        <v>124</v>
      </c>
      <c r="F99" s="15">
        <v>1600</v>
      </c>
      <c r="G99" s="15">
        <v>2400</v>
      </c>
      <c r="H99" s="16">
        <v>3200</v>
      </c>
      <c r="I99" s="15">
        <v>6100</v>
      </c>
      <c r="J99" s="15">
        <v>9200</v>
      </c>
      <c r="K99" s="16">
        <v>12200</v>
      </c>
      <c r="L99" s="15"/>
      <c r="M99" s="15"/>
      <c r="N99" s="16"/>
    </row>
    <row r="100" spans="1:14" ht="15" customHeight="1" x14ac:dyDescent="0.3">
      <c r="A100" s="12" t="s">
        <v>259</v>
      </c>
      <c r="B100" s="13" t="s">
        <v>110</v>
      </c>
      <c r="C100" s="14" t="s">
        <v>225</v>
      </c>
      <c r="D100" s="14" t="s">
        <v>197</v>
      </c>
      <c r="E100" s="13" t="s">
        <v>110</v>
      </c>
      <c r="F100" s="15">
        <v>1130</v>
      </c>
      <c r="G100" s="15">
        <v>1900</v>
      </c>
      <c r="H100" s="16">
        <v>2260</v>
      </c>
      <c r="I100" s="15">
        <v>4300</v>
      </c>
      <c r="J100" s="15">
        <v>7400</v>
      </c>
      <c r="K100" s="16">
        <v>8600</v>
      </c>
      <c r="L100" s="15"/>
      <c r="M100" s="15"/>
      <c r="N100" s="16"/>
    </row>
    <row r="101" spans="1:14" ht="15" customHeight="1" x14ac:dyDescent="0.3">
      <c r="A101" s="12" t="s">
        <v>260</v>
      </c>
      <c r="B101" s="13" t="s">
        <v>110</v>
      </c>
      <c r="C101" s="14" t="s">
        <v>225</v>
      </c>
      <c r="D101" s="14" t="s">
        <v>197</v>
      </c>
      <c r="E101" s="13" t="s">
        <v>110</v>
      </c>
      <c r="F101" s="15">
        <v>1130</v>
      </c>
      <c r="G101" s="15">
        <v>1900</v>
      </c>
      <c r="H101" s="16">
        <v>2260</v>
      </c>
      <c r="I101" s="15">
        <v>4300</v>
      </c>
      <c r="J101" s="15">
        <v>7400</v>
      </c>
      <c r="K101" s="16">
        <v>8600</v>
      </c>
      <c r="L101" s="15"/>
      <c r="M101" s="15"/>
      <c r="N101" s="16"/>
    </row>
    <row r="102" spans="1:14" ht="15" customHeight="1" x14ac:dyDescent="0.3">
      <c r="A102" s="12" t="s">
        <v>261</v>
      </c>
      <c r="B102" s="13" t="s">
        <v>110</v>
      </c>
      <c r="C102" s="14" t="s">
        <v>225</v>
      </c>
      <c r="D102" s="14" t="s">
        <v>262</v>
      </c>
      <c r="E102" s="13" t="s">
        <v>121</v>
      </c>
      <c r="F102" s="15">
        <v>1600</v>
      </c>
      <c r="G102" s="15">
        <v>2400</v>
      </c>
      <c r="H102" s="16">
        <v>3200</v>
      </c>
      <c r="I102" s="15">
        <v>6100</v>
      </c>
      <c r="J102" s="15">
        <v>9200</v>
      </c>
      <c r="K102" s="16">
        <v>12200</v>
      </c>
      <c r="L102" s="15"/>
      <c r="M102" s="15"/>
      <c r="N102" s="16"/>
    </row>
    <row r="103" spans="1:14" ht="15" customHeight="1" x14ac:dyDescent="0.3">
      <c r="A103" s="12" t="s">
        <v>263</v>
      </c>
      <c r="B103" s="13" t="s">
        <v>110</v>
      </c>
      <c r="C103" s="14" t="s">
        <v>225</v>
      </c>
      <c r="D103" s="14" t="s">
        <v>232</v>
      </c>
      <c r="E103" s="13" t="s">
        <v>110</v>
      </c>
      <c r="F103" s="15">
        <v>1130</v>
      </c>
      <c r="G103" s="15">
        <v>1900</v>
      </c>
      <c r="H103" s="16">
        <v>2260</v>
      </c>
      <c r="I103" s="15">
        <v>4300</v>
      </c>
      <c r="J103" s="15">
        <v>7400</v>
      </c>
      <c r="K103" s="16">
        <v>8600</v>
      </c>
      <c r="L103" s="15"/>
      <c r="M103" s="15"/>
      <c r="N103" s="16"/>
    </row>
    <row r="104" spans="1:14" ht="15" customHeight="1" x14ac:dyDescent="0.3">
      <c r="A104" s="12" t="s">
        <v>264</v>
      </c>
      <c r="B104" s="13" t="s">
        <v>110</v>
      </c>
      <c r="C104" s="14" t="s">
        <v>225</v>
      </c>
      <c r="D104" s="14" t="s">
        <v>197</v>
      </c>
      <c r="E104" s="13" t="s">
        <v>110</v>
      </c>
      <c r="F104" s="15">
        <v>1130</v>
      </c>
      <c r="G104" s="15">
        <v>1900</v>
      </c>
      <c r="H104" s="16">
        <v>2260</v>
      </c>
      <c r="I104" s="15">
        <v>4300</v>
      </c>
      <c r="J104" s="15">
        <v>7400</v>
      </c>
      <c r="K104" s="16">
        <v>8600</v>
      </c>
      <c r="L104" s="15"/>
      <c r="M104" s="15"/>
      <c r="N104" s="16"/>
    </row>
    <row r="105" spans="1:14" ht="15" customHeight="1" x14ac:dyDescent="0.3">
      <c r="A105" s="12" t="s">
        <v>265</v>
      </c>
      <c r="B105" s="13" t="s">
        <v>110</v>
      </c>
      <c r="C105" s="14" t="s">
        <v>225</v>
      </c>
      <c r="D105" s="14" t="s">
        <v>262</v>
      </c>
      <c r="E105" s="13" t="s">
        <v>124</v>
      </c>
      <c r="F105" s="15">
        <v>1600</v>
      </c>
      <c r="G105" s="15">
        <v>2400</v>
      </c>
      <c r="H105" s="16">
        <v>3200</v>
      </c>
      <c r="I105" s="15">
        <v>6100</v>
      </c>
      <c r="J105" s="15">
        <v>9200</v>
      </c>
      <c r="K105" s="16">
        <v>12200</v>
      </c>
      <c r="L105" s="15"/>
      <c r="M105" s="15"/>
      <c r="N105" s="16"/>
    </row>
    <row r="106" spans="1:14" ht="15" customHeight="1" x14ac:dyDescent="0.3">
      <c r="A106" s="12" t="s">
        <v>266</v>
      </c>
      <c r="B106" s="13" t="s">
        <v>110</v>
      </c>
      <c r="C106" s="14" t="s">
        <v>225</v>
      </c>
      <c r="D106" s="14" t="s">
        <v>262</v>
      </c>
      <c r="E106" s="13" t="s">
        <v>68</v>
      </c>
      <c r="F106" s="15">
        <v>1790</v>
      </c>
      <c r="G106" s="15">
        <v>2550</v>
      </c>
      <c r="H106" s="16">
        <v>3590</v>
      </c>
      <c r="I106" s="15">
        <v>6800</v>
      </c>
      <c r="J106" s="15">
        <v>9900</v>
      </c>
      <c r="K106" s="16">
        <v>13600</v>
      </c>
      <c r="L106" s="15"/>
      <c r="M106" s="15"/>
      <c r="N106" s="16"/>
    </row>
    <row r="107" spans="1:14" ht="15" customHeight="1" x14ac:dyDescent="0.3">
      <c r="A107" s="12" t="s">
        <v>267</v>
      </c>
      <c r="B107" s="13" t="s">
        <v>110</v>
      </c>
      <c r="C107" s="14" t="s">
        <v>225</v>
      </c>
      <c r="D107" s="14" t="s">
        <v>258</v>
      </c>
      <c r="E107" s="13" t="s">
        <v>68</v>
      </c>
      <c r="F107" s="15">
        <v>1790</v>
      </c>
      <c r="G107" s="15">
        <v>2550</v>
      </c>
      <c r="H107" s="16">
        <v>3590</v>
      </c>
      <c r="I107" s="15">
        <v>6800</v>
      </c>
      <c r="J107" s="15">
        <v>9900</v>
      </c>
      <c r="K107" s="16">
        <v>13600</v>
      </c>
      <c r="L107" s="15"/>
      <c r="M107" s="15"/>
      <c r="N107" s="16"/>
    </row>
    <row r="108" spans="1:14" ht="15" customHeight="1" x14ac:dyDescent="0.3">
      <c r="A108" s="12" t="s">
        <v>268</v>
      </c>
      <c r="B108" s="13" t="s">
        <v>110</v>
      </c>
      <c r="C108" s="14" t="s">
        <v>225</v>
      </c>
      <c r="D108" s="14" t="s">
        <v>258</v>
      </c>
      <c r="E108" s="13" t="s">
        <v>73</v>
      </c>
      <c r="F108" s="15">
        <v>1790</v>
      </c>
      <c r="G108" s="15">
        <v>2550</v>
      </c>
      <c r="H108" s="16">
        <v>3590</v>
      </c>
      <c r="I108" s="15">
        <v>6800</v>
      </c>
      <c r="J108" s="15">
        <v>9900</v>
      </c>
      <c r="K108" s="16">
        <v>13600</v>
      </c>
      <c r="L108" s="15"/>
      <c r="M108" s="15"/>
      <c r="N108" s="16"/>
    </row>
    <row r="109" spans="1:14" ht="15" customHeight="1" x14ac:dyDescent="0.3">
      <c r="A109" s="12" t="s">
        <v>269</v>
      </c>
      <c r="B109" s="13" t="s">
        <v>110</v>
      </c>
      <c r="C109" s="14" t="s">
        <v>225</v>
      </c>
      <c r="D109" s="14" t="s">
        <v>262</v>
      </c>
      <c r="E109" s="13" t="s">
        <v>73</v>
      </c>
      <c r="F109" s="15">
        <v>1790</v>
      </c>
      <c r="G109" s="15">
        <v>2550</v>
      </c>
      <c r="H109" s="16">
        <v>3590</v>
      </c>
      <c r="I109" s="15">
        <v>6800</v>
      </c>
      <c r="J109" s="15">
        <v>9900</v>
      </c>
      <c r="K109" s="16">
        <v>13600</v>
      </c>
      <c r="L109" s="15"/>
      <c r="M109" s="15"/>
      <c r="N109" s="16"/>
    </row>
    <row r="110" spans="1:14" ht="15" customHeight="1" x14ac:dyDescent="0.3">
      <c r="A110" s="12" t="s">
        <v>270</v>
      </c>
      <c r="B110" s="13" t="s">
        <v>110</v>
      </c>
      <c r="C110" s="14" t="s">
        <v>225</v>
      </c>
      <c r="D110" s="14" t="s">
        <v>271</v>
      </c>
      <c r="E110" s="13" t="s">
        <v>73</v>
      </c>
      <c r="F110" s="15">
        <v>1790</v>
      </c>
      <c r="G110" s="15">
        <v>2550</v>
      </c>
      <c r="H110" s="16">
        <v>3590</v>
      </c>
      <c r="I110" s="15">
        <v>6800</v>
      </c>
      <c r="J110" s="15">
        <v>9900</v>
      </c>
      <c r="K110" s="16">
        <v>13600</v>
      </c>
      <c r="L110" s="15"/>
      <c r="M110" s="15"/>
      <c r="N110" s="16"/>
    </row>
    <row r="111" spans="1:14" ht="15" customHeight="1" x14ac:dyDescent="0.3">
      <c r="A111" s="12" t="s">
        <v>272</v>
      </c>
      <c r="B111" s="13" t="s">
        <v>110</v>
      </c>
      <c r="C111" s="14" t="s">
        <v>225</v>
      </c>
      <c r="D111" s="14" t="s">
        <v>273</v>
      </c>
      <c r="E111" s="13" t="s">
        <v>110</v>
      </c>
      <c r="F111" s="15">
        <v>1130</v>
      </c>
      <c r="G111" s="15">
        <v>1900</v>
      </c>
      <c r="H111" s="16">
        <v>2260</v>
      </c>
      <c r="I111" s="15">
        <v>4300</v>
      </c>
      <c r="J111" s="15">
        <v>7400</v>
      </c>
      <c r="K111" s="16">
        <v>8600</v>
      </c>
      <c r="L111" s="15"/>
      <c r="M111" s="15"/>
      <c r="N111" s="16"/>
    </row>
    <row r="112" spans="1:14" ht="15" customHeight="1" x14ac:dyDescent="0.3">
      <c r="A112" s="12" t="s">
        <v>274</v>
      </c>
      <c r="B112" s="13" t="s">
        <v>110</v>
      </c>
      <c r="C112" s="14" t="s">
        <v>225</v>
      </c>
      <c r="D112" s="14" t="s">
        <v>197</v>
      </c>
      <c r="E112" s="13" t="s">
        <v>110</v>
      </c>
      <c r="F112" s="15">
        <v>1130</v>
      </c>
      <c r="G112" s="15">
        <v>1900</v>
      </c>
      <c r="H112" s="16">
        <v>2260</v>
      </c>
      <c r="I112" s="15">
        <v>4300</v>
      </c>
      <c r="J112" s="15">
        <v>7400</v>
      </c>
      <c r="K112" s="16">
        <v>8600</v>
      </c>
      <c r="L112" s="15"/>
      <c r="M112" s="15"/>
      <c r="N112" s="16"/>
    </row>
    <row r="113" spans="1:14" ht="15" customHeight="1" x14ac:dyDescent="0.3">
      <c r="A113" s="12" t="s">
        <v>275</v>
      </c>
      <c r="B113" s="13" t="s">
        <v>110</v>
      </c>
      <c r="C113" s="14" t="s">
        <v>225</v>
      </c>
      <c r="D113" s="14" t="s">
        <v>197</v>
      </c>
      <c r="E113" s="13" t="s">
        <v>110</v>
      </c>
      <c r="F113" s="15">
        <v>1130</v>
      </c>
      <c r="G113" s="15">
        <v>1900</v>
      </c>
      <c r="H113" s="16">
        <v>2260</v>
      </c>
      <c r="I113" s="15">
        <v>4300</v>
      </c>
      <c r="J113" s="15">
        <v>7400</v>
      </c>
      <c r="K113" s="16">
        <v>8600</v>
      </c>
      <c r="L113" s="15"/>
      <c r="M113" s="15"/>
      <c r="N113" s="16"/>
    </row>
    <row r="114" spans="1:14" ht="15" customHeight="1" x14ac:dyDescent="0.3">
      <c r="A114" s="12" t="s">
        <v>276</v>
      </c>
      <c r="B114" s="13" t="s">
        <v>110</v>
      </c>
      <c r="C114" s="14" t="s">
        <v>225</v>
      </c>
      <c r="D114" s="14" t="s">
        <v>197</v>
      </c>
      <c r="E114" s="13" t="s">
        <v>110</v>
      </c>
      <c r="F114" s="15">
        <v>1130</v>
      </c>
      <c r="G114" s="15">
        <v>1900</v>
      </c>
      <c r="H114" s="16">
        <v>2260</v>
      </c>
      <c r="I114" s="15">
        <v>4300</v>
      </c>
      <c r="J114" s="15">
        <v>7400</v>
      </c>
      <c r="K114" s="16">
        <v>8600</v>
      </c>
      <c r="L114" s="15"/>
      <c r="M114" s="15"/>
      <c r="N114" s="16"/>
    </row>
    <row r="115" spans="1:14" ht="15" customHeight="1" x14ac:dyDescent="0.3">
      <c r="A115" s="12" t="s">
        <v>277</v>
      </c>
      <c r="B115" s="13" t="s">
        <v>110</v>
      </c>
      <c r="C115" s="14" t="s">
        <v>225</v>
      </c>
      <c r="D115" s="14" t="s">
        <v>278</v>
      </c>
      <c r="E115" s="13" t="s">
        <v>110</v>
      </c>
      <c r="F115" s="15">
        <v>1130</v>
      </c>
      <c r="G115" s="15">
        <v>1900</v>
      </c>
      <c r="H115" s="16">
        <v>2260</v>
      </c>
      <c r="I115" s="15">
        <v>4300</v>
      </c>
      <c r="J115" s="15">
        <v>7400</v>
      </c>
      <c r="K115" s="16">
        <v>8600</v>
      </c>
      <c r="L115" s="15"/>
      <c r="M115" s="15"/>
      <c r="N115" s="16"/>
    </row>
    <row r="116" spans="1:14" ht="15" customHeight="1" x14ac:dyDescent="0.3">
      <c r="A116" s="12" t="s">
        <v>279</v>
      </c>
      <c r="B116" s="13" t="s">
        <v>110</v>
      </c>
      <c r="C116" s="14" t="s">
        <v>225</v>
      </c>
      <c r="D116" s="14" t="s">
        <v>197</v>
      </c>
      <c r="E116" s="13" t="s">
        <v>110</v>
      </c>
      <c r="F116" s="15">
        <v>1130</v>
      </c>
      <c r="G116" s="15">
        <v>1900</v>
      </c>
      <c r="H116" s="16">
        <v>2260</v>
      </c>
      <c r="I116" s="15">
        <v>4300</v>
      </c>
      <c r="J116" s="15">
        <v>7400</v>
      </c>
      <c r="K116" s="16">
        <v>8600</v>
      </c>
      <c r="L116" s="15"/>
      <c r="M116" s="15"/>
      <c r="N116" s="16"/>
    </row>
    <row r="117" spans="1:14" ht="15" customHeight="1" x14ac:dyDescent="0.3">
      <c r="A117" s="12" t="s">
        <v>280</v>
      </c>
      <c r="B117" s="13" t="s">
        <v>110</v>
      </c>
      <c r="C117" s="14" t="s">
        <v>225</v>
      </c>
      <c r="D117" s="14" t="s">
        <v>197</v>
      </c>
      <c r="E117" s="13" t="s">
        <v>110</v>
      </c>
      <c r="F117" s="15">
        <v>1130</v>
      </c>
      <c r="G117" s="15">
        <v>1900</v>
      </c>
      <c r="H117" s="16">
        <v>2260</v>
      </c>
      <c r="I117" s="15">
        <v>4300</v>
      </c>
      <c r="J117" s="15">
        <v>7400</v>
      </c>
      <c r="K117" s="16">
        <v>8600</v>
      </c>
      <c r="L117" s="15"/>
      <c r="M117" s="15"/>
      <c r="N117" s="16"/>
    </row>
    <row r="118" spans="1:14" ht="15" customHeight="1" x14ac:dyDescent="0.3">
      <c r="A118" s="12" t="s">
        <v>281</v>
      </c>
      <c r="B118" s="13" t="s">
        <v>110</v>
      </c>
      <c r="C118" s="14" t="s">
        <v>225</v>
      </c>
      <c r="D118" s="14" t="s">
        <v>197</v>
      </c>
      <c r="E118" s="13" t="s">
        <v>110</v>
      </c>
      <c r="F118" s="15">
        <v>1130</v>
      </c>
      <c r="G118" s="15">
        <v>1900</v>
      </c>
      <c r="H118" s="16">
        <v>2260</v>
      </c>
      <c r="I118" s="15">
        <v>4300</v>
      </c>
      <c r="J118" s="15">
        <v>7400</v>
      </c>
      <c r="K118" s="16">
        <v>8600</v>
      </c>
      <c r="L118" s="15"/>
      <c r="M118" s="15"/>
      <c r="N118" s="16"/>
    </row>
    <row r="119" spans="1:14" ht="15" customHeight="1" x14ac:dyDescent="0.3">
      <c r="A119" s="12" t="s">
        <v>282</v>
      </c>
      <c r="B119" s="13" t="s">
        <v>110</v>
      </c>
      <c r="C119" s="14" t="s">
        <v>225</v>
      </c>
      <c r="D119" s="14" t="s">
        <v>197</v>
      </c>
      <c r="E119" s="13" t="s">
        <v>110</v>
      </c>
      <c r="F119" s="15">
        <v>1130</v>
      </c>
      <c r="G119" s="15">
        <v>1900</v>
      </c>
      <c r="H119" s="16">
        <v>2260</v>
      </c>
      <c r="I119" s="15">
        <v>4300</v>
      </c>
      <c r="J119" s="15">
        <v>7400</v>
      </c>
      <c r="K119" s="16">
        <v>8600</v>
      </c>
      <c r="L119" s="15"/>
      <c r="M119" s="15"/>
      <c r="N119" s="16"/>
    </row>
    <row r="120" spans="1:14" ht="15" customHeight="1" x14ac:dyDescent="0.3">
      <c r="A120" s="12" t="s">
        <v>283</v>
      </c>
      <c r="B120" s="13" t="s">
        <v>110</v>
      </c>
      <c r="C120" s="14" t="s">
        <v>225</v>
      </c>
      <c r="D120" s="14" t="s">
        <v>197</v>
      </c>
      <c r="E120" s="13" t="s">
        <v>110</v>
      </c>
      <c r="F120" s="15">
        <v>1130</v>
      </c>
      <c r="G120" s="15">
        <v>1900</v>
      </c>
      <c r="H120" s="16">
        <v>2260</v>
      </c>
      <c r="I120" s="15">
        <v>4300</v>
      </c>
      <c r="J120" s="15">
        <v>7400</v>
      </c>
      <c r="K120" s="16">
        <v>8600</v>
      </c>
      <c r="L120" s="15"/>
      <c r="M120" s="15"/>
      <c r="N120" s="16"/>
    </row>
    <row r="121" spans="1:14" ht="15" customHeight="1" x14ac:dyDescent="0.3">
      <c r="A121" s="12" t="s">
        <v>284</v>
      </c>
      <c r="B121" s="13" t="s">
        <v>110</v>
      </c>
      <c r="C121" s="14" t="s">
        <v>225</v>
      </c>
      <c r="D121" s="14" t="s">
        <v>278</v>
      </c>
      <c r="E121" s="13" t="s">
        <v>110</v>
      </c>
      <c r="F121" s="15">
        <v>1130</v>
      </c>
      <c r="G121" s="15">
        <v>1900</v>
      </c>
      <c r="H121" s="16">
        <v>2260</v>
      </c>
      <c r="I121" s="15">
        <v>4300</v>
      </c>
      <c r="J121" s="15">
        <v>7400</v>
      </c>
      <c r="K121" s="16">
        <v>8600</v>
      </c>
      <c r="L121" s="15"/>
      <c r="M121" s="15"/>
      <c r="N121" s="16"/>
    </row>
    <row r="122" spans="1:14" ht="15" customHeight="1" x14ac:dyDescent="0.3">
      <c r="A122" s="12" t="s">
        <v>285</v>
      </c>
      <c r="B122" s="13" t="s">
        <v>110</v>
      </c>
      <c r="C122" s="14" t="s">
        <v>225</v>
      </c>
      <c r="D122" s="14" t="s">
        <v>286</v>
      </c>
      <c r="E122" s="13" t="s">
        <v>110</v>
      </c>
      <c r="F122" s="15">
        <v>1130</v>
      </c>
      <c r="G122" s="15">
        <v>1900</v>
      </c>
      <c r="H122" s="16">
        <v>2260</v>
      </c>
      <c r="I122" s="15">
        <v>4300</v>
      </c>
      <c r="J122" s="15">
        <v>7400</v>
      </c>
      <c r="K122" s="16">
        <v>8600</v>
      </c>
      <c r="L122" s="15"/>
      <c r="M122" s="15"/>
      <c r="N122" s="16"/>
    </row>
    <row r="123" spans="1:14" ht="15" customHeight="1" x14ac:dyDescent="0.3">
      <c r="A123" s="12" t="s">
        <v>287</v>
      </c>
      <c r="B123" s="13" t="s">
        <v>110</v>
      </c>
      <c r="C123" s="14" t="s">
        <v>225</v>
      </c>
      <c r="D123" s="14" t="s">
        <v>288</v>
      </c>
      <c r="E123" s="13" t="s">
        <v>110</v>
      </c>
      <c r="F123" s="15">
        <v>1130</v>
      </c>
      <c r="G123" s="15">
        <v>1900</v>
      </c>
      <c r="H123" s="16">
        <v>2260</v>
      </c>
      <c r="I123" s="15">
        <v>4300</v>
      </c>
      <c r="J123" s="15">
        <v>7400</v>
      </c>
      <c r="K123" s="16">
        <v>8600</v>
      </c>
      <c r="L123" s="15"/>
      <c r="M123" s="15"/>
      <c r="N123" s="16"/>
    </row>
    <row r="124" spans="1:14" ht="15" customHeight="1" x14ac:dyDescent="0.3">
      <c r="A124" s="12" t="s">
        <v>289</v>
      </c>
      <c r="B124" s="13" t="s">
        <v>110</v>
      </c>
      <c r="C124" s="14" t="s">
        <v>225</v>
      </c>
      <c r="D124" s="14" t="s">
        <v>197</v>
      </c>
      <c r="E124" s="13" t="s">
        <v>110</v>
      </c>
      <c r="F124" s="15">
        <v>1130</v>
      </c>
      <c r="G124" s="15">
        <v>1900</v>
      </c>
      <c r="H124" s="16">
        <v>2260</v>
      </c>
      <c r="I124" s="15">
        <v>4300</v>
      </c>
      <c r="J124" s="15">
        <v>7400</v>
      </c>
      <c r="K124" s="16">
        <v>8600</v>
      </c>
      <c r="L124" s="15"/>
      <c r="M124" s="15"/>
      <c r="N124" s="16"/>
    </row>
    <row r="125" spans="1:14" ht="15" customHeight="1" x14ac:dyDescent="0.3">
      <c r="A125" s="12" t="s">
        <v>290</v>
      </c>
      <c r="B125" s="13" t="s">
        <v>110</v>
      </c>
      <c r="C125" s="14" t="s">
        <v>225</v>
      </c>
      <c r="D125" s="14" t="s">
        <v>197</v>
      </c>
      <c r="E125" s="13" t="s">
        <v>110</v>
      </c>
      <c r="F125" s="15">
        <v>1130</v>
      </c>
      <c r="G125" s="15">
        <v>1900</v>
      </c>
      <c r="H125" s="16">
        <v>2260</v>
      </c>
      <c r="I125" s="15">
        <v>4300</v>
      </c>
      <c r="J125" s="15">
        <v>7400</v>
      </c>
      <c r="K125" s="16">
        <v>8600</v>
      </c>
      <c r="L125" s="15"/>
      <c r="M125" s="15"/>
      <c r="N125" s="16"/>
    </row>
    <row r="126" spans="1:14" ht="15" customHeight="1" x14ac:dyDescent="0.3">
      <c r="A126" s="12" t="s">
        <v>291</v>
      </c>
      <c r="B126" s="13" t="s">
        <v>110</v>
      </c>
      <c r="C126" s="14" t="s">
        <v>225</v>
      </c>
      <c r="D126" s="14" t="s">
        <v>197</v>
      </c>
      <c r="E126" s="13" t="s">
        <v>110</v>
      </c>
      <c r="F126" s="15">
        <v>1130</v>
      </c>
      <c r="G126" s="15">
        <v>1900</v>
      </c>
      <c r="H126" s="16">
        <v>2260</v>
      </c>
      <c r="I126" s="15">
        <v>4300</v>
      </c>
      <c r="J126" s="15">
        <v>7400</v>
      </c>
      <c r="K126" s="16">
        <v>8600</v>
      </c>
      <c r="L126" s="15"/>
      <c r="M126" s="15"/>
      <c r="N126" s="16"/>
    </row>
    <row r="127" spans="1:14" ht="15" customHeight="1" x14ac:dyDescent="0.3">
      <c r="A127" s="12" t="s">
        <v>292</v>
      </c>
      <c r="B127" s="13" t="s">
        <v>110</v>
      </c>
      <c r="C127" s="14" t="s">
        <v>225</v>
      </c>
      <c r="D127" s="14" t="s">
        <v>197</v>
      </c>
      <c r="E127" s="13" t="s">
        <v>110</v>
      </c>
      <c r="F127" s="15">
        <v>1130</v>
      </c>
      <c r="G127" s="15">
        <v>1900</v>
      </c>
      <c r="H127" s="16">
        <v>2260</v>
      </c>
      <c r="I127" s="15">
        <v>4300</v>
      </c>
      <c r="J127" s="15">
        <v>7400</v>
      </c>
      <c r="K127" s="16">
        <v>8600</v>
      </c>
      <c r="L127" s="15"/>
      <c r="M127" s="15"/>
      <c r="N127" s="16"/>
    </row>
    <row r="128" spans="1:14" ht="15" customHeight="1" x14ac:dyDescent="0.3">
      <c r="A128" s="12" t="s">
        <v>293</v>
      </c>
      <c r="B128" s="13" t="s">
        <v>110</v>
      </c>
      <c r="C128" s="14" t="s">
        <v>225</v>
      </c>
      <c r="D128" s="14" t="s">
        <v>197</v>
      </c>
      <c r="E128" s="13" t="s">
        <v>110</v>
      </c>
      <c r="F128" s="15">
        <v>1130</v>
      </c>
      <c r="G128" s="15">
        <v>1900</v>
      </c>
      <c r="H128" s="16">
        <v>2260</v>
      </c>
      <c r="I128" s="15">
        <v>4300</v>
      </c>
      <c r="J128" s="15">
        <v>7400</v>
      </c>
      <c r="K128" s="16">
        <v>8600</v>
      </c>
      <c r="L128" s="15"/>
      <c r="M128" s="15"/>
      <c r="N128" s="16"/>
    </row>
    <row r="129" spans="1:14" ht="15" customHeight="1" x14ac:dyDescent="0.3">
      <c r="A129" s="12" t="s">
        <v>294</v>
      </c>
      <c r="B129" s="13" t="s">
        <v>110</v>
      </c>
      <c r="C129" s="14" t="s">
        <v>225</v>
      </c>
      <c r="D129" s="14" t="s">
        <v>197</v>
      </c>
      <c r="E129" s="13" t="s">
        <v>110</v>
      </c>
      <c r="F129" s="15">
        <v>1130</v>
      </c>
      <c r="G129" s="15">
        <v>1900</v>
      </c>
      <c r="H129" s="16">
        <v>2260</v>
      </c>
      <c r="I129" s="15">
        <v>4300</v>
      </c>
      <c r="J129" s="15">
        <v>7400</v>
      </c>
      <c r="K129" s="16">
        <v>8600</v>
      </c>
      <c r="L129" s="15"/>
      <c r="M129" s="15"/>
      <c r="N129" s="16"/>
    </row>
    <row r="130" spans="1:14" ht="15" customHeight="1" x14ac:dyDescent="0.3">
      <c r="A130" s="12" t="s">
        <v>295</v>
      </c>
      <c r="B130" s="13" t="s">
        <v>110</v>
      </c>
      <c r="C130" s="14" t="s">
        <v>225</v>
      </c>
      <c r="D130" s="14" t="s">
        <v>197</v>
      </c>
      <c r="E130" s="13" t="s">
        <v>110</v>
      </c>
      <c r="F130" s="15">
        <v>1130</v>
      </c>
      <c r="G130" s="15">
        <v>1900</v>
      </c>
      <c r="H130" s="16">
        <v>2260</v>
      </c>
      <c r="I130" s="15">
        <v>4300</v>
      </c>
      <c r="J130" s="15">
        <v>7400</v>
      </c>
      <c r="K130" s="16">
        <v>8600</v>
      </c>
      <c r="L130" s="15"/>
      <c r="M130" s="15"/>
      <c r="N130" s="16"/>
    </row>
    <row r="131" spans="1:14" ht="15" customHeight="1" x14ac:dyDescent="0.3">
      <c r="A131" s="12" t="s">
        <v>296</v>
      </c>
      <c r="B131" s="13" t="s">
        <v>110</v>
      </c>
      <c r="C131" s="14" t="s">
        <v>225</v>
      </c>
      <c r="D131" s="14" t="s">
        <v>197</v>
      </c>
      <c r="E131" s="13" t="s">
        <v>110</v>
      </c>
      <c r="F131" s="15">
        <v>1130</v>
      </c>
      <c r="G131" s="15">
        <v>1900</v>
      </c>
      <c r="H131" s="16">
        <v>2260</v>
      </c>
      <c r="I131" s="15">
        <v>4300</v>
      </c>
      <c r="J131" s="15">
        <v>7400</v>
      </c>
      <c r="K131" s="16">
        <v>8600</v>
      </c>
      <c r="L131" s="15"/>
      <c r="M131" s="15"/>
      <c r="N131" s="16"/>
    </row>
    <row r="132" spans="1:14" ht="15" customHeight="1" x14ac:dyDescent="0.3">
      <c r="A132" s="12" t="s">
        <v>297</v>
      </c>
      <c r="B132" s="13" t="s">
        <v>110</v>
      </c>
      <c r="C132" s="14" t="s">
        <v>225</v>
      </c>
      <c r="D132" s="14" t="s">
        <v>197</v>
      </c>
      <c r="E132" s="13" t="s">
        <v>110</v>
      </c>
      <c r="F132" s="15">
        <v>1130</v>
      </c>
      <c r="G132" s="15">
        <v>1900</v>
      </c>
      <c r="H132" s="16">
        <v>2260</v>
      </c>
      <c r="I132" s="15">
        <v>4300</v>
      </c>
      <c r="J132" s="15">
        <v>7400</v>
      </c>
      <c r="K132" s="16">
        <v>8600</v>
      </c>
      <c r="L132" s="15"/>
      <c r="M132" s="15"/>
      <c r="N132" s="16"/>
    </row>
    <row r="133" spans="1:14" ht="15" customHeight="1" x14ac:dyDescent="0.3">
      <c r="A133" s="12" t="s">
        <v>298</v>
      </c>
      <c r="B133" s="13" t="s">
        <v>110</v>
      </c>
      <c r="C133" s="14" t="s">
        <v>225</v>
      </c>
      <c r="D133" s="14" t="s">
        <v>197</v>
      </c>
      <c r="E133" s="13" t="s">
        <v>110</v>
      </c>
      <c r="F133" s="15">
        <v>1130</v>
      </c>
      <c r="G133" s="15">
        <v>1900</v>
      </c>
      <c r="H133" s="16">
        <v>2260</v>
      </c>
      <c r="I133" s="15">
        <v>4300</v>
      </c>
      <c r="J133" s="15">
        <v>7400</v>
      </c>
      <c r="K133" s="16">
        <v>8600</v>
      </c>
      <c r="L133" s="15"/>
      <c r="M133" s="15"/>
      <c r="N133" s="16"/>
    </row>
    <row r="134" spans="1:14" ht="15" customHeight="1" x14ac:dyDescent="0.3">
      <c r="A134" s="12" t="s">
        <v>299</v>
      </c>
      <c r="B134" s="13" t="s">
        <v>110</v>
      </c>
      <c r="C134" s="14" t="s">
        <v>225</v>
      </c>
      <c r="D134" s="14" t="s">
        <v>300</v>
      </c>
      <c r="E134" s="13" t="s">
        <v>110</v>
      </c>
      <c r="F134" s="15">
        <v>1130</v>
      </c>
      <c r="G134" s="15">
        <v>1900</v>
      </c>
      <c r="H134" s="16">
        <v>2260</v>
      </c>
      <c r="I134" s="15">
        <v>4300</v>
      </c>
      <c r="J134" s="15">
        <v>7400</v>
      </c>
      <c r="K134" s="16">
        <v>8600</v>
      </c>
      <c r="L134" s="15"/>
      <c r="M134" s="15"/>
      <c r="N134" s="16"/>
    </row>
    <row r="135" spans="1:14" ht="15" customHeight="1" x14ac:dyDescent="0.3">
      <c r="A135" s="12" t="s">
        <v>301</v>
      </c>
      <c r="B135" s="13" t="s">
        <v>110</v>
      </c>
      <c r="C135" s="14" t="s">
        <v>225</v>
      </c>
      <c r="D135" s="14" t="s">
        <v>300</v>
      </c>
      <c r="E135" s="13" t="s">
        <v>110</v>
      </c>
      <c r="F135" s="15">
        <v>1130</v>
      </c>
      <c r="G135" s="15">
        <v>1900</v>
      </c>
      <c r="H135" s="16">
        <v>2260</v>
      </c>
      <c r="I135" s="15">
        <v>4300</v>
      </c>
      <c r="J135" s="15">
        <v>7400</v>
      </c>
      <c r="K135" s="16">
        <v>8600</v>
      </c>
      <c r="L135" s="15"/>
      <c r="M135" s="15"/>
      <c r="N135" s="16"/>
    </row>
    <row r="136" spans="1:14" ht="15" customHeight="1" x14ac:dyDescent="0.3">
      <c r="A136" s="12" t="s">
        <v>302</v>
      </c>
      <c r="B136" s="13" t="s">
        <v>110</v>
      </c>
      <c r="C136" s="14" t="s">
        <v>225</v>
      </c>
      <c r="D136" s="14" t="s">
        <v>300</v>
      </c>
      <c r="E136" s="13" t="s">
        <v>110</v>
      </c>
      <c r="F136" s="15">
        <v>1130</v>
      </c>
      <c r="G136" s="15">
        <v>1900</v>
      </c>
      <c r="H136" s="16">
        <v>2260</v>
      </c>
      <c r="I136" s="15">
        <v>4300</v>
      </c>
      <c r="J136" s="15">
        <v>7400</v>
      </c>
      <c r="K136" s="16">
        <v>8600</v>
      </c>
      <c r="L136" s="15"/>
      <c r="M136" s="15"/>
      <c r="N136" s="16"/>
    </row>
    <row r="137" spans="1:14" ht="15" customHeight="1" x14ac:dyDescent="0.3">
      <c r="A137" s="12" t="s">
        <v>303</v>
      </c>
      <c r="B137" s="13" t="s">
        <v>110</v>
      </c>
      <c r="C137" s="14" t="s">
        <v>225</v>
      </c>
      <c r="D137" s="14" t="s">
        <v>300</v>
      </c>
      <c r="E137" s="13" t="s">
        <v>110</v>
      </c>
      <c r="F137" s="15">
        <v>1130</v>
      </c>
      <c r="G137" s="15">
        <v>1900</v>
      </c>
      <c r="H137" s="16">
        <v>2260</v>
      </c>
      <c r="I137" s="15">
        <v>4300</v>
      </c>
      <c r="J137" s="15">
        <v>7400</v>
      </c>
      <c r="K137" s="16">
        <v>8600</v>
      </c>
      <c r="L137" s="15"/>
      <c r="M137" s="15"/>
      <c r="N137" s="16"/>
    </row>
    <row r="138" spans="1:14" ht="15" customHeight="1" x14ac:dyDescent="0.3">
      <c r="A138" s="12" t="s">
        <v>304</v>
      </c>
      <c r="B138" s="13" t="s">
        <v>110</v>
      </c>
      <c r="C138" s="14" t="s">
        <v>225</v>
      </c>
      <c r="D138" s="14" t="s">
        <v>300</v>
      </c>
      <c r="E138" s="13" t="s">
        <v>110</v>
      </c>
      <c r="F138" s="15">
        <v>1130</v>
      </c>
      <c r="G138" s="15">
        <v>1900</v>
      </c>
      <c r="H138" s="16">
        <v>2260</v>
      </c>
      <c r="I138" s="15">
        <v>4300</v>
      </c>
      <c r="J138" s="15">
        <v>7400</v>
      </c>
      <c r="K138" s="16">
        <v>8600</v>
      </c>
      <c r="L138" s="15"/>
      <c r="M138" s="15"/>
      <c r="N138" s="16"/>
    </row>
    <row r="139" spans="1:14" ht="15" customHeight="1" x14ac:dyDescent="0.3">
      <c r="A139" s="12" t="s">
        <v>305</v>
      </c>
      <c r="B139" s="13" t="s">
        <v>110</v>
      </c>
      <c r="C139" s="14" t="s">
        <v>225</v>
      </c>
      <c r="D139" s="14" t="s">
        <v>300</v>
      </c>
      <c r="E139" s="13" t="s">
        <v>110</v>
      </c>
      <c r="F139" s="15">
        <v>1130</v>
      </c>
      <c r="G139" s="15">
        <v>1900</v>
      </c>
      <c r="H139" s="16">
        <v>2260</v>
      </c>
      <c r="I139" s="15">
        <v>4300</v>
      </c>
      <c r="J139" s="15">
        <v>7400</v>
      </c>
      <c r="K139" s="16">
        <v>8600</v>
      </c>
      <c r="L139" s="15"/>
      <c r="M139" s="15"/>
      <c r="N139" s="16"/>
    </row>
    <row r="140" spans="1:14" ht="15" customHeight="1" x14ac:dyDescent="0.3">
      <c r="A140" s="12" t="s">
        <v>306</v>
      </c>
      <c r="B140" s="13" t="s">
        <v>110</v>
      </c>
      <c r="C140" s="14" t="s">
        <v>225</v>
      </c>
      <c r="D140" s="14" t="s">
        <v>300</v>
      </c>
      <c r="E140" s="13" t="s">
        <v>110</v>
      </c>
      <c r="F140" s="15">
        <v>1130</v>
      </c>
      <c r="G140" s="15">
        <v>1900</v>
      </c>
      <c r="H140" s="16">
        <v>2260</v>
      </c>
      <c r="I140" s="15">
        <v>4300</v>
      </c>
      <c r="J140" s="15">
        <v>7400</v>
      </c>
      <c r="K140" s="16">
        <v>8600</v>
      </c>
      <c r="L140" s="15"/>
      <c r="M140" s="15"/>
      <c r="N140" s="16"/>
    </row>
    <row r="141" spans="1:14" ht="15" customHeight="1" x14ac:dyDescent="0.3">
      <c r="A141" s="12" t="s">
        <v>307</v>
      </c>
      <c r="B141" s="13" t="s">
        <v>110</v>
      </c>
      <c r="C141" s="14" t="s">
        <v>225</v>
      </c>
      <c r="D141" s="14" t="s">
        <v>300</v>
      </c>
      <c r="E141" s="13" t="s">
        <v>110</v>
      </c>
      <c r="F141" s="15">
        <v>1130</v>
      </c>
      <c r="G141" s="15">
        <v>1900</v>
      </c>
      <c r="H141" s="16">
        <v>2260</v>
      </c>
      <c r="I141" s="15">
        <v>4300</v>
      </c>
      <c r="J141" s="15">
        <v>7400</v>
      </c>
      <c r="K141" s="16">
        <v>8600</v>
      </c>
      <c r="L141" s="15"/>
      <c r="M141" s="15"/>
      <c r="N141" s="16"/>
    </row>
    <row r="142" spans="1:14" ht="15" customHeight="1" x14ac:dyDescent="0.3">
      <c r="A142" s="12" t="s">
        <v>308</v>
      </c>
      <c r="B142" s="13" t="s">
        <v>110</v>
      </c>
      <c r="C142" s="14" t="s">
        <v>225</v>
      </c>
      <c r="D142" s="14" t="s">
        <v>300</v>
      </c>
      <c r="E142" s="13" t="s">
        <v>110</v>
      </c>
      <c r="F142" s="15">
        <v>1130</v>
      </c>
      <c r="G142" s="15">
        <v>1900</v>
      </c>
      <c r="H142" s="16">
        <v>2260</v>
      </c>
      <c r="I142" s="15">
        <v>4300</v>
      </c>
      <c r="J142" s="15">
        <v>7400</v>
      </c>
      <c r="K142" s="16">
        <v>8600</v>
      </c>
      <c r="L142" s="15"/>
      <c r="M142" s="15"/>
      <c r="N142" s="16"/>
    </row>
    <row r="143" spans="1:14" ht="15" customHeight="1" x14ac:dyDescent="0.3">
      <c r="A143" s="12" t="s">
        <v>309</v>
      </c>
      <c r="B143" s="13" t="s">
        <v>110</v>
      </c>
      <c r="C143" s="14" t="s">
        <v>225</v>
      </c>
      <c r="D143" s="14" t="s">
        <v>300</v>
      </c>
      <c r="E143" s="13" t="s">
        <v>110</v>
      </c>
      <c r="F143" s="15">
        <v>1130</v>
      </c>
      <c r="G143" s="15">
        <v>1900</v>
      </c>
      <c r="H143" s="16">
        <v>2260</v>
      </c>
      <c r="I143" s="15">
        <v>4300</v>
      </c>
      <c r="J143" s="15">
        <v>7400</v>
      </c>
      <c r="K143" s="16">
        <v>8600</v>
      </c>
      <c r="L143" s="15"/>
      <c r="M143" s="15"/>
      <c r="N143" s="16"/>
    </row>
    <row r="144" spans="1:14" ht="15" customHeight="1" x14ac:dyDescent="0.3">
      <c r="A144" s="12" t="s">
        <v>310</v>
      </c>
      <c r="B144" s="13" t="s">
        <v>110</v>
      </c>
      <c r="C144" s="14" t="s">
        <v>225</v>
      </c>
      <c r="D144" s="14" t="s">
        <v>300</v>
      </c>
      <c r="E144" s="13" t="s">
        <v>110</v>
      </c>
      <c r="F144" s="15">
        <v>1130</v>
      </c>
      <c r="G144" s="15">
        <v>1900</v>
      </c>
      <c r="H144" s="16">
        <v>2260</v>
      </c>
      <c r="I144" s="15">
        <v>4300</v>
      </c>
      <c r="J144" s="15">
        <v>7400</v>
      </c>
      <c r="K144" s="16">
        <v>8600</v>
      </c>
      <c r="L144" s="15"/>
      <c r="M144" s="15"/>
      <c r="N144" s="16"/>
    </row>
    <row r="145" spans="1:14" ht="15" customHeight="1" x14ac:dyDescent="0.3">
      <c r="A145" s="12" t="s">
        <v>311</v>
      </c>
      <c r="B145" s="13" t="s">
        <v>110</v>
      </c>
      <c r="C145" s="14" t="s">
        <v>225</v>
      </c>
      <c r="D145" s="14" t="s">
        <v>236</v>
      </c>
      <c r="E145" s="13" t="s">
        <v>110</v>
      </c>
      <c r="F145" s="15">
        <v>1130</v>
      </c>
      <c r="G145" s="15">
        <v>1900</v>
      </c>
      <c r="H145" s="16">
        <v>2260</v>
      </c>
      <c r="I145" s="15">
        <v>4300</v>
      </c>
      <c r="J145" s="15">
        <v>7400</v>
      </c>
      <c r="K145" s="16">
        <v>8600</v>
      </c>
      <c r="L145" s="15"/>
      <c r="M145" s="15"/>
      <c r="N145" s="16"/>
    </row>
    <row r="146" spans="1:14" ht="15" customHeight="1" x14ac:dyDescent="0.3">
      <c r="A146" s="12" t="s">
        <v>312</v>
      </c>
      <c r="B146" s="13" t="s">
        <v>110</v>
      </c>
      <c r="C146" s="14" t="s">
        <v>225</v>
      </c>
      <c r="D146" s="14" t="s">
        <v>278</v>
      </c>
      <c r="E146" s="13" t="s">
        <v>110</v>
      </c>
      <c r="F146" s="15">
        <v>1130</v>
      </c>
      <c r="G146" s="15">
        <v>1900</v>
      </c>
      <c r="H146" s="16">
        <v>2260</v>
      </c>
      <c r="I146" s="15">
        <v>4300</v>
      </c>
      <c r="J146" s="15">
        <v>7400</v>
      </c>
      <c r="K146" s="16">
        <v>8600</v>
      </c>
      <c r="L146" s="15"/>
      <c r="M146" s="15"/>
      <c r="N146" s="16"/>
    </row>
    <row r="147" spans="1:14" ht="15" customHeight="1" x14ac:dyDescent="0.3">
      <c r="A147" s="12" t="s">
        <v>313</v>
      </c>
      <c r="B147" s="13" t="s">
        <v>110</v>
      </c>
      <c r="C147" s="14" t="s">
        <v>225</v>
      </c>
      <c r="D147" s="14" t="s">
        <v>271</v>
      </c>
      <c r="E147" s="13" t="s">
        <v>73</v>
      </c>
      <c r="F147" s="15">
        <v>1790</v>
      </c>
      <c r="G147" s="15">
        <v>2550</v>
      </c>
      <c r="H147" s="16">
        <v>3590</v>
      </c>
      <c r="I147" s="15">
        <v>6800</v>
      </c>
      <c r="J147" s="15">
        <v>9900</v>
      </c>
      <c r="K147" s="16">
        <v>13600</v>
      </c>
      <c r="L147" s="15"/>
      <c r="M147" s="15"/>
      <c r="N147" s="16"/>
    </row>
    <row r="148" spans="1:14" ht="15" customHeight="1" x14ac:dyDescent="0.3">
      <c r="A148" s="12" t="s">
        <v>314</v>
      </c>
      <c r="B148" s="13" t="s">
        <v>110</v>
      </c>
      <c r="C148" s="14" t="s">
        <v>225</v>
      </c>
      <c r="D148" s="14" t="s">
        <v>240</v>
      </c>
      <c r="E148" s="13" t="s">
        <v>121</v>
      </c>
      <c r="F148" s="15">
        <v>1600</v>
      </c>
      <c r="G148" s="15">
        <v>2400</v>
      </c>
      <c r="H148" s="16">
        <v>3200</v>
      </c>
      <c r="I148" s="15">
        <v>6100</v>
      </c>
      <c r="J148" s="15">
        <v>9200</v>
      </c>
      <c r="K148" s="16">
        <v>12200</v>
      </c>
      <c r="L148" s="15"/>
      <c r="M148" s="15"/>
      <c r="N148" s="16"/>
    </row>
    <row r="149" spans="1:14" ht="15" customHeight="1" x14ac:dyDescent="0.3">
      <c r="A149" s="12" t="s">
        <v>315</v>
      </c>
      <c r="B149" s="13" t="s">
        <v>110</v>
      </c>
      <c r="C149" s="14" t="s">
        <v>225</v>
      </c>
      <c r="D149" s="14" t="s">
        <v>262</v>
      </c>
      <c r="E149" s="13" t="s">
        <v>121</v>
      </c>
      <c r="F149" s="15">
        <v>1600</v>
      </c>
      <c r="G149" s="15">
        <v>2400</v>
      </c>
      <c r="H149" s="16">
        <v>3200</v>
      </c>
      <c r="I149" s="15">
        <v>6100</v>
      </c>
      <c r="J149" s="15">
        <v>9200</v>
      </c>
      <c r="K149" s="16">
        <v>12200</v>
      </c>
      <c r="L149" s="15"/>
      <c r="M149" s="15"/>
      <c r="N149" s="16"/>
    </row>
    <row r="150" spans="1:14" ht="15" customHeight="1" x14ac:dyDescent="0.3">
      <c r="A150" s="12" t="s">
        <v>110</v>
      </c>
      <c r="B150" s="13" t="s">
        <v>110</v>
      </c>
      <c r="C150" s="14" t="s">
        <v>225</v>
      </c>
      <c r="D150" s="14" t="s">
        <v>256</v>
      </c>
      <c r="E150" s="13" t="s">
        <v>110</v>
      </c>
      <c r="F150" s="15">
        <v>1130</v>
      </c>
      <c r="G150" s="15">
        <v>1900</v>
      </c>
      <c r="H150" s="16">
        <v>2260</v>
      </c>
      <c r="I150" s="15">
        <v>4300</v>
      </c>
      <c r="J150" s="15">
        <v>7400</v>
      </c>
      <c r="K150" s="16">
        <v>8600</v>
      </c>
      <c r="L150" s="15"/>
      <c r="M150" s="15"/>
      <c r="N150" s="16"/>
    </row>
    <row r="151" spans="1:14" ht="15" customHeight="1" x14ac:dyDescent="0.3">
      <c r="A151" s="7" t="s">
        <v>316</v>
      </c>
      <c r="B151" s="8" t="s">
        <v>110</v>
      </c>
      <c r="C151" s="9" t="s">
        <v>317</v>
      </c>
      <c r="D151" s="9" t="s">
        <v>318</v>
      </c>
      <c r="E151" s="8" t="s">
        <v>45</v>
      </c>
      <c r="F151" s="10">
        <v>1640</v>
      </c>
      <c r="G151" s="10">
        <v>2400</v>
      </c>
      <c r="H151" s="11">
        <v>3240</v>
      </c>
      <c r="I151" s="10">
        <v>6200</v>
      </c>
      <c r="J151" s="10">
        <v>9300</v>
      </c>
      <c r="K151" s="11">
        <v>12300</v>
      </c>
      <c r="L151" s="10"/>
      <c r="M151" s="10"/>
      <c r="N151" s="11"/>
    </row>
    <row r="152" spans="1:14" ht="15" customHeight="1" x14ac:dyDescent="0.3">
      <c r="A152" s="7" t="s">
        <v>319</v>
      </c>
      <c r="B152" s="8" t="s">
        <v>110</v>
      </c>
      <c r="C152" s="9" t="s">
        <v>317</v>
      </c>
      <c r="D152" s="9" t="s">
        <v>320</v>
      </c>
      <c r="E152" s="8" t="s">
        <v>45</v>
      </c>
      <c r="F152" s="10">
        <v>1640</v>
      </c>
      <c r="G152" s="10">
        <v>2400</v>
      </c>
      <c r="H152" s="11">
        <v>3240</v>
      </c>
      <c r="I152" s="10">
        <v>6200</v>
      </c>
      <c r="J152" s="10">
        <v>9300</v>
      </c>
      <c r="K152" s="11">
        <v>12300</v>
      </c>
      <c r="L152" s="10"/>
      <c r="M152" s="10"/>
      <c r="N152" s="11"/>
    </row>
    <row r="153" spans="1:14" ht="15" customHeight="1" x14ac:dyDescent="0.3">
      <c r="A153" s="7" t="s">
        <v>321</v>
      </c>
      <c r="B153" s="8" t="s">
        <v>110</v>
      </c>
      <c r="C153" s="9" t="s">
        <v>317</v>
      </c>
      <c r="D153" s="9" t="s">
        <v>197</v>
      </c>
      <c r="E153" s="8" t="s">
        <v>45</v>
      </c>
      <c r="F153" s="10">
        <v>1640</v>
      </c>
      <c r="G153" s="10">
        <v>2400</v>
      </c>
      <c r="H153" s="11">
        <v>3240</v>
      </c>
      <c r="I153" s="10">
        <v>6200</v>
      </c>
      <c r="J153" s="10">
        <v>9300</v>
      </c>
      <c r="K153" s="11">
        <v>12300</v>
      </c>
      <c r="L153" s="10"/>
      <c r="M153" s="10"/>
      <c r="N153" s="11"/>
    </row>
    <row r="154" spans="1:14" ht="15" customHeight="1" x14ac:dyDescent="0.3">
      <c r="A154" s="7" t="s">
        <v>322</v>
      </c>
      <c r="B154" s="8" t="s">
        <v>110</v>
      </c>
      <c r="C154" s="9" t="s">
        <v>317</v>
      </c>
      <c r="D154" s="9" t="s">
        <v>323</v>
      </c>
      <c r="E154" s="8" t="s">
        <v>45</v>
      </c>
      <c r="F154" s="10">
        <v>1640</v>
      </c>
      <c r="G154" s="10">
        <v>2400</v>
      </c>
      <c r="H154" s="11">
        <v>3240</v>
      </c>
      <c r="I154" s="10">
        <v>6200</v>
      </c>
      <c r="J154" s="10">
        <v>9300</v>
      </c>
      <c r="K154" s="11">
        <v>12300</v>
      </c>
      <c r="L154" s="10"/>
      <c r="M154" s="10"/>
      <c r="N154" s="11"/>
    </row>
    <row r="155" spans="1:14" ht="15" customHeight="1" x14ac:dyDescent="0.3">
      <c r="A155" s="7" t="s">
        <v>324</v>
      </c>
      <c r="B155" s="8" t="s">
        <v>110</v>
      </c>
      <c r="C155" s="9" t="s">
        <v>317</v>
      </c>
      <c r="D155" s="9" t="s">
        <v>323</v>
      </c>
      <c r="E155" s="8" t="s">
        <v>45</v>
      </c>
      <c r="F155" s="10">
        <v>1640</v>
      </c>
      <c r="G155" s="10">
        <v>2400</v>
      </c>
      <c r="H155" s="11">
        <v>3240</v>
      </c>
      <c r="I155" s="10">
        <v>6200</v>
      </c>
      <c r="J155" s="10">
        <v>9300</v>
      </c>
      <c r="K155" s="11">
        <v>12300</v>
      </c>
      <c r="L155" s="10"/>
      <c r="M155" s="10"/>
      <c r="N155" s="11"/>
    </row>
    <row r="156" spans="1:14" ht="15" customHeight="1" x14ac:dyDescent="0.3">
      <c r="A156" s="7" t="s">
        <v>325</v>
      </c>
      <c r="B156" s="8" t="s">
        <v>110</v>
      </c>
      <c r="C156" s="9" t="s">
        <v>317</v>
      </c>
      <c r="D156" s="9" t="s">
        <v>326</v>
      </c>
      <c r="E156" s="8" t="s">
        <v>45</v>
      </c>
      <c r="F156" s="10">
        <v>1640</v>
      </c>
      <c r="G156" s="10">
        <v>2400</v>
      </c>
      <c r="H156" s="11">
        <v>3240</v>
      </c>
      <c r="I156" s="10">
        <v>6200</v>
      </c>
      <c r="J156" s="10">
        <v>9300</v>
      </c>
      <c r="K156" s="11">
        <v>12300</v>
      </c>
      <c r="L156" s="10"/>
      <c r="M156" s="10"/>
      <c r="N156" s="11"/>
    </row>
    <row r="157" spans="1:14" ht="15" customHeight="1" x14ac:dyDescent="0.3">
      <c r="A157" s="7" t="s">
        <v>327</v>
      </c>
      <c r="B157" s="8" t="s">
        <v>110</v>
      </c>
      <c r="C157" s="9" t="s">
        <v>317</v>
      </c>
      <c r="D157" s="9" t="s">
        <v>328</v>
      </c>
      <c r="E157" s="8" t="s">
        <v>45</v>
      </c>
      <c r="F157" s="10">
        <v>1640</v>
      </c>
      <c r="G157" s="10">
        <v>2400</v>
      </c>
      <c r="H157" s="11">
        <v>3240</v>
      </c>
      <c r="I157" s="10">
        <v>6200</v>
      </c>
      <c r="J157" s="10">
        <v>9300</v>
      </c>
      <c r="K157" s="11">
        <v>12300</v>
      </c>
      <c r="L157" s="10"/>
      <c r="M157" s="10"/>
      <c r="N157" s="11"/>
    </row>
    <row r="158" spans="1:14" ht="15" customHeight="1" x14ac:dyDescent="0.3">
      <c r="A158" s="7" t="s">
        <v>329</v>
      </c>
      <c r="B158" s="8" t="s">
        <v>110</v>
      </c>
      <c r="C158" s="9" t="s">
        <v>317</v>
      </c>
      <c r="D158" s="9" t="s">
        <v>330</v>
      </c>
      <c r="E158" s="8" t="s">
        <v>110</v>
      </c>
      <c r="F158" s="10">
        <v>1160</v>
      </c>
      <c r="G158" s="10">
        <v>1950</v>
      </c>
      <c r="H158" s="11">
        <v>2290</v>
      </c>
      <c r="I158" s="10">
        <v>4400</v>
      </c>
      <c r="J158" s="10">
        <v>7500</v>
      </c>
      <c r="K158" s="11">
        <v>8700</v>
      </c>
      <c r="L158" s="10"/>
      <c r="M158" s="10"/>
      <c r="N158" s="11"/>
    </row>
    <row r="159" spans="1:14" ht="15" customHeight="1" x14ac:dyDescent="0.3">
      <c r="A159" s="7" t="s">
        <v>331</v>
      </c>
      <c r="B159" s="8" t="s">
        <v>110</v>
      </c>
      <c r="C159" s="9" t="s">
        <v>317</v>
      </c>
      <c r="D159" s="9" t="s">
        <v>332</v>
      </c>
      <c r="E159" s="8" t="s">
        <v>145</v>
      </c>
      <c r="F159" s="10">
        <v>1300</v>
      </c>
      <c r="G159" s="10">
        <v>2100</v>
      </c>
      <c r="H159" s="11">
        <v>2570</v>
      </c>
      <c r="I159" s="10">
        <v>4900</v>
      </c>
      <c r="J159" s="10">
        <v>8000</v>
      </c>
      <c r="K159" s="11">
        <v>9800</v>
      </c>
      <c r="L159" s="10"/>
      <c r="M159" s="10"/>
      <c r="N159" s="11"/>
    </row>
    <row r="160" spans="1:14" ht="15" customHeight="1" x14ac:dyDescent="0.3">
      <c r="A160" s="7" t="s">
        <v>333</v>
      </c>
      <c r="B160" s="8" t="s">
        <v>110</v>
      </c>
      <c r="C160" s="9" t="s">
        <v>317</v>
      </c>
      <c r="D160" s="9" t="s">
        <v>334</v>
      </c>
      <c r="E160" s="8" t="s">
        <v>335</v>
      </c>
      <c r="F160" s="10">
        <v>1160</v>
      </c>
      <c r="G160" s="10">
        <v>1950</v>
      </c>
      <c r="H160" s="11">
        <v>2290</v>
      </c>
      <c r="I160" s="10">
        <v>4400</v>
      </c>
      <c r="J160" s="10">
        <v>7500</v>
      </c>
      <c r="K160" s="11">
        <v>8700</v>
      </c>
      <c r="L160" s="10"/>
      <c r="M160" s="10"/>
      <c r="N160" s="11"/>
    </row>
    <row r="161" spans="1:14" ht="15" customHeight="1" x14ac:dyDescent="0.3">
      <c r="A161" s="12" t="s">
        <v>336</v>
      </c>
      <c r="B161" s="13" t="s">
        <v>110</v>
      </c>
      <c r="C161" s="14" t="s">
        <v>337</v>
      </c>
      <c r="D161" s="14" t="s">
        <v>249</v>
      </c>
      <c r="E161" s="13" t="s">
        <v>110</v>
      </c>
      <c r="F161" s="15">
        <v>2520</v>
      </c>
      <c r="G161" s="15">
        <v>3300</v>
      </c>
      <c r="H161" s="16">
        <v>5600</v>
      </c>
      <c r="I161" s="15">
        <v>9600</v>
      </c>
      <c r="J161" s="15">
        <v>12700</v>
      </c>
      <c r="K161" s="16">
        <v>21300</v>
      </c>
      <c r="L161" s="15"/>
      <c r="M161" s="15"/>
      <c r="N161" s="16"/>
    </row>
    <row r="162" spans="1:14" ht="15" customHeight="1" x14ac:dyDescent="0.3">
      <c r="A162" s="12" t="s">
        <v>338</v>
      </c>
      <c r="B162" s="13" t="s">
        <v>110</v>
      </c>
      <c r="C162" s="14" t="s">
        <v>337</v>
      </c>
      <c r="D162" s="14" t="s">
        <v>197</v>
      </c>
      <c r="E162" s="13" t="s">
        <v>110</v>
      </c>
      <c r="F162" s="15">
        <v>2520</v>
      </c>
      <c r="G162" s="15">
        <v>3300</v>
      </c>
      <c r="H162" s="16">
        <v>5600</v>
      </c>
      <c r="I162" s="15">
        <v>9600</v>
      </c>
      <c r="J162" s="15">
        <v>12700</v>
      </c>
      <c r="K162" s="16">
        <v>21300</v>
      </c>
      <c r="L162" s="15"/>
      <c r="M162" s="15"/>
      <c r="N162" s="16"/>
    </row>
    <row r="163" spans="1:14" ht="15" customHeight="1" x14ac:dyDescent="0.3">
      <c r="A163" s="12" t="s">
        <v>339</v>
      </c>
      <c r="B163" s="13" t="s">
        <v>110</v>
      </c>
      <c r="C163" s="14" t="s">
        <v>337</v>
      </c>
      <c r="D163" s="14" t="s">
        <v>340</v>
      </c>
      <c r="E163" s="13" t="s">
        <v>110</v>
      </c>
      <c r="F163" s="15">
        <v>2520</v>
      </c>
      <c r="G163" s="15">
        <v>3300</v>
      </c>
      <c r="H163" s="16">
        <v>5600</v>
      </c>
      <c r="I163" s="15">
        <v>9600</v>
      </c>
      <c r="J163" s="15">
        <v>12700</v>
      </c>
      <c r="K163" s="16">
        <v>21300</v>
      </c>
      <c r="L163" s="15"/>
      <c r="M163" s="15"/>
      <c r="N163" s="16"/>
    </row>
    <row r="164" spans="1:14" ht="15" customHeight="1" x14ac:dyDescent="0.3">
      <c r="A164" s="12" t="s">
        <v>341</v>
      </c>
      <c r="B164" s="13" t="s">
        <v>110</v>
      </c>
      <c r="C164" s="14" t="s">
        <v>337</v>
      </c>
      <c r="D164" s="14" t="s">
        <v>249</v>
      </c>
      <c r="E164" s="13" t="s">
        <v>110</v>
      </c>
      <c r="F164" s="15">
        <v>2520</v>
      </c>
      <c r="G164" s="15">
        <v>3300</v>
      </c>
      <c r="H164" s="16">
        <v>5600</v>
      </c>
      <c r="I164" s="15">
        <v>9600</v>
      </c>
      <c r="J164" s="15">
        <v>12700</v>
      </c>
      <c r="K164" s="16">
        <v>21300</v>
      </c>
      <c r="L164" s="15"/>
      <c r="M164" s="15"/>
      <c r="N164" s="16"/>
    </row>
    <row r="165" spans="1:14" ht="15" customHeight="1" x14ac:dyDescent="0.3">
      <c r="A165" s="12" t="s">
        <v>342</v>
      </c>
      <c r="B165" s="13" t="s">
        <v>110</v>
      </c>
      <c r="C165" s="14" t="s">
        <v>337</v>
      </c>
      <c r="D165" s="14" t="s">
        <v>343</v>
      </c>
      <c r="E165" s="13" t="s">
        <v>110</v>
      </c>
      <c r="F165" s="15">
        <v>2520</v>
      </c>
      <c r="G165" s="15">
        <v>3300</v>
      </c>
      <c r="H165" s="16">
        <v>5600</v>
      </c>
      <c r="I165" s="15">
        <v>9600</v>
      </c>
      <c r="J165" s="15">
        <v>12700</v>
      </c>
      <c r="K165" s="16">
        <v>21300</v>
      </c>
      <c r="L165" s="15"/>
      <c r="M165" s="15"/>
      <c r="N165" s="16"/>
    </row>
    <row r="166" spans="1:14" ht="15" customHeight="1" x14ac:dyDescent="0.3">
      <c r="A166" s="12" t="s">
        <v>344</v>
      </c>
      <c r="B166" s="13" t="s">
        <v>110</v>
      </c>
      <c r="C166" s="14" t="s">
        <v>337</v>
      </c>
      <c r="D166" s="14" t="s">
        <v>345</v>
      </c>
      <c r="E166" s="13" t="s">
        <v>110</v>
      </c>
      <c r="F166" s="15">
        <v>2520</v>
      </c>
      <c r="G166" s="15">
        <v>3300</v>
      </c>
      <c r="H166" s="16">
        <v>5600</v>
      </c>
      <c r="I166" s="15">
        <v>9600</v>
      </c>
      <c r="J166" s="15">
        <v>12700</v>
      </c>
      <c r="K166" s="16">
        <v>21300</v>
      </c>
      <c r="L166" s="15"/>
      <c r="M166" s="15"/>
      <c r="N166" s="16"/>
    </row>
    <row r="167" spans="1:14" ht="15" customHeight="1" x14ac:dyDescent="0.3">
      <c r="A167" s="12" t="s">
        <v>346</v>
      </c>
      <c r="B167" s="13" t="s">
        <v>347</v>
      </c>
      <c r="C167" s="14" t="s">
        <v>337</v>
      </c>
      <c r="D167" s="14" t="s">
        <v>249</v>
      </c>
      <c r="E167" s="13" t="s">
        <v>110</v>
      </c>
      <c r="F167" s="15">
        <v>2520</v>
      </c>
      <c r="G167" s="15">
        <v>3300</v>
      </c>
      <c r="H167" s="16">
        <v>5600</v>
      </c>
      <c r="I167" s="15">
        <v>9600</v>
      </c>
      <c r="J167" s="15">
        <v>12700</v>
      </c>
      <c r="K167" s="16">
        <v>21300</v>
      </c>
      <c r="L167" s="15"/>
      <c r="M167" s="15"/>
      <c r="N167" s="16"/>
    </row>
    <row r="168" spans="1:14" ht="15" customHeight="1" x14ac:dyDescent="0.3">
      <c r="A168" s="12" t="s">
        <v>348</v>
      </c>
      <c r="B168" s="13" t="s">
        <v>349</v>
      </c>
      <c r="C168" s="14" t="s">
        <v>337</v>
      </c>
      <c r="D168" s="14" t="s">
        <v>350</v>
      </c>
      <c r="E168" s="13" t="s">
        <v>89</v>
      </c>
      <c r="F168" s="15">
        <v>4350</v>
      </c>
      <c r="G168" s="15">
        <v>5150</v>
      </c>
      <c r="H168" s="16">
        <v>9650</v>
      </c>
      <c r="I168" s="15">
        <v>16500</v>
      </c>
      <c r="J168" s="15">
        <v>19600</v>
      </c>
      <c r="K168" s="16">
        <v>36700</v>
      </c>
      <c r="L168" s="15"/>
      <c r="M168" s="15"/>
      <c r="N168" s="16"/>
    </row>
    <row r="169" spans="1:14" ht="15" customHeight="1" x14ac:dyDescent="0.3">
      <c r="A169" s="12" t="s">
        <v>351</v>
      </c>
      <c r="B169" s="13" t="s">
        <v>352</v>
      </c>
      <c r="C169" s="14" t="s">
        <v>337</v>
      </c>
      <c r="D169" s="14" t="s">
        <v>350</v>
      </c>
      <c r="E169" s="13" t="s">
        <v>89</v>
      </c>
      <c r="F169" s="15">
        <v>4350</v>
      </c>
      <c r="G169" s="15">
        <v>5150</v>
      </c>
      <c r="H169" s="16">
        <v>9650</v>
      </c>
      <c r="I169" s="15">
        <v>16500</v>
      </c>
      <c r="J169" s="15">
        <v>19600</v>
      </c>
      <c r="K169" s="16">
        <v>36700</v>
      </c>
      <c r="L169" s="15"/>
      <c r="M169" s="15"/>
      <c r="N169" s="16"/>
    </row>
    <row r="170" spans="1:14" ht="15" customHeight="1" x14ac:dyDescent="0.3">
      <c r="A170" s="12" t="s">
        <v>353</v>
      </c>
      <c r="B170" s="13" t="s">
        <v>354</v>
      </c>
      <c r="C170" s="14" t="s">
        <v>337</v>
      </c>
      <c r="D170" s="14" t="s">
        <v>350</v>
      </c>
      <c r="E170" s="13" t="s">
        <v>89</v>
      </c>
      <c r="F170" s="15">
        <v>4350</v>
      </c>
      <c r="G170" s="15">
        <v>5150</v>
      </c>
      <c r="H170" s="16">
        <v>9650</v>
      </c>
      <c r="I170" s="15">
        <v>16500</v>
      </c>
      <c r="J170" s="15">
        <v>19600</v>
      </c>
      <c r="K170" s="16">
        <v>36700</v>
      </c>
      <c r="L170" s="15"/>
      <c r="M170" s="15"/>
      <c r="N170" s="16"/>
    </row>
    <row r="171" spans="1:14" ht="15" customHeight="1" x14ac:dyDescent="0.3">
      <c r="A171" s="12" t="s">
        <v>355</v>
      </c>
      <c r="B171" s="13" t="s">
        <v>110</v>
      </c>
      <c r="C171" s="14" t="s">
        <v>337</v>
      </c>
      <c r="D171" s="14" t="s">
        <v>356</v>
      </c>
      <c r="E171" s="13" t="s">
        <v>110</v>
      </c>
      <c r="F171" s="15">
        <v>2520</v>
      </c>
      <c r="G171" s="15">
        <v>3300</v>
      </c>
      <c r="H171" s="16">
        <v>5600</v>
      </c>
      <c r="I171" s="15">
        <v>9600</v>
      </c>
      <c r="J171" s="15">
        <v>12700</v>
      </c>
      <c r="K171" s="16">
        <v>21300</v>
      </c>
      <c r="L171" s="15"/>
      <c r="M171" s="15"/>
      <c r="N171" s="16"/>
    </row>
    <row r="172" spans="1:14" ht="15" customHeight="1" x14ac:dyDescent="0.3">
      <c r="A172" s="12" t="s">
        <v>357</v>
      </c>
      <c r="B172" s="13" t="s">
        <v>358</v>
      </c>
      <c r="C172" s="14" t="s">
        <v>337</v>
      </c>
      <c r="D172" s="14" t="s">
        <v>350</v>
      </c>
      <c r="E172" s="13" t="s">
        <v>104</v>
      </c>
      <c r="F172" s="15">
        <v>4350</v>
      </c>
      <c r="G172" s="15">
        <v>5150</v>
      </c>
      <c r="H172" s="16">
        <v>9650</v>
      </c>
      <c r="I172" s="15">
        <v>16500</v>
      </c>
      <c r="J172" s="15">
        <v>19600</v>
      </c>
      <c r="K172" s="16">
        <v>36700</v>
      </c>
      <c r="L172" s="15"/>
      <c r="M172" s="15"/>
      <c r="N172" s="16"/>
    </row>
    <row r="173" spans="1:14" ht="15" customHeight="1" x14ac:dyDescent="0.3">
      <c r="A173" s="12" t="s">
        <v>359</v>
      </c>
      <c r="B173" s="13" t="s">
        <v>360</v>
      </c>
      <c r="C173" s="14" t="s">
        <v>337</v>
      </c>
      <c r="D173" s="14" t="s">
        <v>361</v>
      </c>
      <c r="E173" s="13" t="s">
        <v>104</v>
      </c>
      <c r="F173" s="15">
        <v>4350</v>
      </c>
      <c r="G173" s="15">
        <v>5150</v>
      </c>
      <c r="H173" s="16">
        <v>9650</v>
      </c>
      <c r="I173" s="15">
        <v>16500</v>
      </c>
      <c r="J173" s="15">
        <v>19600</v>
      </c>
      <c r="K173" s="16">
        <v>36700</v>
      </c>
      <c r="L173" s="15"/>
      <c r="M173" s="15"/>
      <c r="N173" s="16"/>
    </row>
    <row r="174" spans="1:14" ht="15" customHeight="1" x14ac:dyDescent="0.3">
      <c r="A174" s="12" t="s">
        <v>362</v>
      </c>
      <c r="B174" s="13" t="s">
        <v>110</v>
      </c>
      <c r="C174" s="14" t="s">
        <v>337</v>
      </c>
      <c r="D174" s="14" t="s">
        <v>363</v>
      </c>
      <c r="E174" s="13" t="s">
        <v>124</v>
      </c>
      <c r="F174" s="15">
        <v>3570</v>
      </c>
      <c r="G174" s="15">
        <v>4350</v>
      </c>
      <c r="H174" s="16">
        <v>7910</v>
      </c>
      <c r="I174" s="15">
        <v>13600</v>
      </c>
      <c r="J174" s="15">
        <v>16700</v>
      </c>
      <c r="K174" s="16">
        <v>30100</v>
      </c>
      <c r="L174" s="15"/>
      <c r="M174" s="15"/>
      <c r="N174" s="16"/>
    </row>
    <row r="175" spans="1:14" ht="15" customHeight="1" x14ac:dyDescent="0.3">
      <c r="A175" s="12" t="s">
        <v>364</v>
      </c>
      <c r="B175" s="13" t="s">
        <v>110</v>
      </c>
      <c r="C175" s="14" t="s">
        <v>337</v>
      </c>
      <c r="D175" s="14" t="s">
        <v>365</v>
      </c>
      <c r="E175" s="13" t="s">
        <v>366</v>
      </c>
      <c r="F175" s="15">
        <v>3130</v>
      </c>
      <c r="G175" s="15">
        <v>3900</v>
      </c>
      <c r="H175" s="16">
        <v>6950</v>
      </c>
      <c r="I175" s="15">
        <v>11900</v>
      </c>
      <c r="J175" s="15">
        <v>15000</v>
      </c>
      <c r="K175" s="16">
        <v>26400</v>
      </c>
      <c r="L175" s="15"/>
      <c r="M175" s="15"/>
      <c r="N175" s="16"/>
    </row>
    <row r="176" spans="1:14" ht="15" customHeight="1" x14ac:dyDescent="0.3">
      <c r="A176" s="12" t="s">
        <v>367</v>
      </c>
      <c r="B176" s="13" t="s">
        <v>110</v>
      </c>
      <c r="C176" s="14" t="s">
        <v>337</v>
      </c>
      <c r="D176" s="14" t="s">
        <v>368</v>
      </c>
      <c r="E176" s="13" t="s">
        <v>110</v>
      </c>
      <c r="F176" s="15">
        <v>2520</v>
      </c>
      <c r="G176" s="15">
        <v>3300</v>
      </c>
      <c r="H176" s="16">
        <v>5600</v>
      </c>
      <c r="I176" s="15">
        <v>9600</v>
      </c>
      <c r="J176" s="15">
        <v>12700</v>
      </c>
      <c r="K176" s="16">
        <v>21300</v>
      </c>
      <c r="L176" s="15"/>
      <c r="M176" s="15"/>
      <c r="N176" s="16"/>
    </row>
    <row r="177" spans="1:14" ht="15" customHeight="1" x14ac:dyDescent="0.3">
      <c r="A177" s="7" t="s">
        <v>369</v>
      </c>
      <c r="B177" s="8" t="s">
        <v>110</v>
      </c>
      <c r="C177" s="9" t="s">
        <v>370</v>
      </c>
      <c r="D177" s="9" t="s">
        <v>371</v>
      </c>
      <c r="E177" s="8" t="s">
        <v>124</v>
      </c>
      <c r="F177" s="10">
        <v>1240</v>
      </c>
      <c r="G177" s="10">
        <v>2000</v>
      </c>
      <c r="H177" s="11">
        <v>2480</v>
      </c>
      <c r="I177" s="10">
        <v>4700</v>
      </c>
      <c r="J177" s="10">
        <v>7800</v>
      </c>
      <c r="K177" s="11">
        <v>9400</v>
      </c>
      <c r="L177" s="10"/>
      <c r="M177" s="10"/>
      <c r="N177" s="11"/>
    </row>
    <row r="178" spans="1:14" ht="15" customHeight="1" x14ac:dyDescent="0.3">
      <c r="A178" s="7" t="s">
        <v>372</v>
      </c>
      <c r="B178" s="8" t="s">
        <v>110</v>
      </c>
      <c r="C178" s="9" t="s">
        <v>370</v>
      </c>
      <c r="D178" s="9" t="s">
        <v>373</v>
      </c>
      <c r="E178" s="8" t="s">
        <v>124</v>
      </c>
      <c r="F178" s="10">
        <v>1110</v>
      </c>
      <c r="G178" s="10">
        <v>1900</v>
      </c>
      <c r="H178" s="11">
        <v>2210</v>
      </c>
      <c r="I178" s="10">
        <v>4200</v>
      </c>
      <c r="J178" s="10">
        <v>7300</v>
      </c>
      <c r="K178" s="11">
        <v>8400</v>
      </c>
      <c r="L178" s="10"/>
      <c r="M178" s="10"/>
      <c r="N178" s="11"/>
    </row>
    <row r="179" spans="1:14" ht="15" customHeight="1" x14ac:dyDescent="0.3">
      <c r="A179" s="7" t="s">
        <v>374</v>
      </c>
      <c r="B179" s="8" t="s">
        <v>110</v>
      </c>
      <c r="C179" s="9" t="s">
        <v>370</v>
      </c>
      <c r="D179" s="9" t="s">
        <v>371</v>
      </c>
      <c r="E179" s="8" t="s">
        <v>124</v>
      </c>
      <c r="F179" s="10">
        <v>1240</v>
      </c>
      <c r="G179" s="10">
        <v>2000</v>
      </c>
      <c r="H179" s="11">
        <v>2480</v>
      </c>
      <c r="I179" s="10">
        <v>4700</v>
      </c>
      <c r="J179" s="10">
        <v>7800</v>
      </c>
      <c r="K179" s="11">
        <v>9400</v>
      </c>
      <c r="L179" s="10"/>
      <c r="M179" s="10"/>
      <c r="N179" s="11"/>
    </row>
    <row r="180" spans="1:14" ht="15" customHeight="1" x14ac:dyDescent="0.3">
      <c r="A180" s="7" t="s">
        <v>375</v>
      </c>
      <c r="B180" s="8" t="s">
        <v>110</v>
      </c>
      <c r="C180" s="9" t="s">
        <v>370</v>
      </c>
      <c r="D180" s="9" t="s">
        <v>371</v>
      </c>
      <c r="E180" s="8" t="s">
        <v>124</v>
      </c>
      <c r="F180" s="10">
        <v>1240</v>
      </c>
      <c r="G180" s="10">
        <v>2000</v>
      </c>
      <c r="H180" s="11">
        <v>2480</v>
      </c>
      <c r="I180" s="10">
        <v>4700</v>
      </c>
      <c r="J180" s="10">
        <v>7800</v>
      </c>
      <c r="K180" s="11">
        <v>9400</v>
      </c>
      <c r="L180" s="10"/>
      <c r="M180" s="10"/>
      <c r="N180" s="11"/>
    </row>
    <row r="181" spans="1:14" ht="15" customHeight="1" x14ac:dyDescent="0.3">
      <c r="A181" s="7" t="s">
        <v>376</v>
      </c>
      <c r="B181" s="8" t="s">
        <v>110</v>
      </c>
      <c r="C181" s="9" t="s">
        <v>370</v>
      </c>
      <c r="D181" s="9" t="s">
        <v>371</v>
      </c>
      <c r="E181" s="8" t="s">
        <v>177</v>
      </c>
      <c r="F181" s="10">
        <v>1240</v>
      </c>
      <c r="G181" s="10">
        <v>2000</v>
      </c>
      <c r="H181" s="11">
        <v>2480</v>
      </c>
      <c r="I181" s="10">
        <v>4700</v>
      </c>
      <c r="J181" s="10">
        <v>7800</v>
      </c>
      <c r="K181" s="11">
        <v>9400</v>
      </c>
      <c r="L181" s="10"/>
      <c r="M181" s="10"/>
      <c r="N181" s="11"/>
    </row>
    <row r="182" spans="1:14" ht="15" customHeight="1" x14ac:dyDescent="0.3">
      <c r="A182" s="7" t="s">
        <v>377</v>
      </c>
      <c r="B182" s="8" t="s">
        <v>110</v>
      </c>
      <c r="C182" s="9" t="s">
        <v>370</v>
      </c>
      <c r="D182" s="9" t="s">
        <v>371</v>
      </c>
      <c r="E182" s="8" t="s">
        <v>177</v>
      </c>
      <c r="F182" s="10">
        <v>1240</v>
      </c>
      <c r="G182" s="10">
        <v>2000</v>
      </c>
      <c r="H182" s="11">
        <v>2480</v>
      </c>
      <c r="I182" s="10">
        <v>4700</v>
      </c>
      <c r="J182" s="10">
        <v>7800</v>
      </c>
      <c r="K182" s="11">
        <v>9400</v>
      </c>
      <c r="L182" s="10"/>
      <c r="M182" s="10"/>
      <c r="N182" s="11"/>
    </row>
    <row r="183" spans="1:14" ht="15" customHeight="1" x14ac:dyDescent="0.3">
      <c r="A183" s="7" t="s">
        <v>378</v>
      </c>
      <c r="B183" s="8" t="s">
        <v>110</v>
      </c>
      <c r="C183" s="9" t="s">
        <v>370</v>
      </c>
      <c r="D183" s="9" t="s">
        <v>371</v>
      </c>
      <c r="E183" s="8" t="s">
        <v>177</v>
      </c>
      <c r="F183" s="10">
        <v>1110</v>
      </c>
      <c r="G183" s="10">
        <v>1900</v>
      </c>
      <c r="H183" s="11">
        <v>2210</v>
      </c>
      <c r="I183" s="10">
        <v>4200</v>
      </c>
      <c r="J183" s="10">
        <v>7300</v>
      </c>
      <c r="K183" s="11">
        <v>8400</v>
      </c>
      <c r="L183" s="10"/>
      <c r="M183" s="10"/>
      <c r="N183" s="11"/>
    </row>
    <row r="184" spans="1:14" ht="15" customHeight="1" x14ac:dyDescent="0.3">
      <c r="A184" s="7" t="s">
        <v>379</v>
      </c>
      <c r="B184" s="8" t="s">
        <v>110</v>
      </c>
      <c r="C184" s="9" t="s">
        <v>370</v>
      </c>
      <c r="D184" s="9" t="s">
        <v>380</v>
      </c>
      <c r="E184" s="8" t="s">
        <v>177</v>
      </c>
      <c r="F184" s="10">
        <v>1240</v>
      </c>
      <c r="G184" s="10">
        <v>2000</v>
      </c>
      <c r="H184" s="11">
        <v>2480</v>
      </c>
      <c r="I184" s="10">
        <v>4700</v>
      </c>
      <c r="J184" s="10">
        <v>7800</v>
      </c>
      <c r="K184" s="11">
        <v>9400</v>
      </c>
      <c r="L184" s="10"/>
      <c r="M184" s="10"/>
      <c r="N184" s="11"/>
    </row>
    <row r="185" spans="1:14" ht="15" customHeight="1" x14ac:dyDescent="0.3">
      <c r="A185" s="7" t="s">
        <v>381</v>
      </c>
      <c r="B185" s="8" t="s">
        <v>110</v>
      </c>
      <c r="C185" s="9" t="s">
        <v>370</v>
      </c>
      <c r="D185" s="9" t="s">
        <v>371</v>
      </c>
      <c r="E185" s="8" t="s">
        <v>177</v>
      </c>
      <c r="F185" s="10">
        <v>1110</v>
      </c>
      <c r="G185" s="10">
        <v>1900</v>
      </c>
      <c r="H185" s="11">
        <v>2210</v>
      </c>
      <c r="I185" s="10">
        <v>4200</v>
      </c>
      <c r="J185" s="10">
        <v>7300</v>
      </c>
      <c r="K185" s="11">
        <v>8400</v>
      </c>
      <c r="L185" s="10"/>
      <c r="M185" s="10"/>
      <c r="N185" s="11"/>
    </row>
    <row r="186" spans="1:14" ht="15" customHeight="1" x14ac:dyDescent="0.3">
      <c r="A186" s="7" t="s">
        <v>382</v>
      </c>
      <c r="B186" s="8" t="s">
        <v>110</v>
      </c>
      <c r="C186" s="9" t="s">
        <v>370</v>
      </c>
      <c r="D186" s="9" t="s">
        <v>383</v>
      </c>
      <c r="E186" s="8" t="s">
        <v>177</v>
      </c>
      <c r="F186" s="10">
        <v>1350</v>
      </c>
      <c r="G186" s="10">
        <v>2150</v>
      </c>
      <c r="H186" s="11">
        <v>2700</v>
      </c>
      <c r="I186" s="10">
        <v>5100</v>
      </c>
      <c r="J186" s="10">
        <v>8200</v>
      </c>
      <c r="K186" s="11">
        <v>10300</v>
      </c>
      <c r="L186" s="10"/>
      <c r="M186" s="10"/>
      <c r="N186" s="11"/>
    </row>
    <row r="187" spans="1:14" ht="15" customHeight="1" x14ac:dyDescent="0.3">
      <c r="A187" s="7" t="s">
        <v>384</v>
      </c>
      <c r="B187" s="8" t="s">
        <v>110</v>
      </c>
      <c r="C187" s="9" t="s">
        <v>370</v>
      </c>
      <c r="D187" s="9" t="s">
        <v>385</v>
      </c>
      <c r="E187" s="8" t="s">
        <v>177</v>
      </c>
      <c r="F187" s="10">
        <v>1240</v>
      </c>
      <c r="G187" s="10">
        <v>2000</v>
      </c>
      <c r="H187" s="11">
        <v>2480</v>
      </c>
      <c r="I187" s="10">
        <v>4700</v>
      </c>
      <c r="J187" s="10">
        <v>7800</v>
      </c>
      <c r="K187" s="11">
        <v>9400</v>
      </c>
      <c r="L187" s="10"/>
      <c r="M187" s="10"/>
      <c r="N187" s="11"/>
    </row>
    <row r="188" spans="1:14" ht="15" customHeight="1" x14ac:dyDescent="0.3">
      <c r="A188" s="7" t="s">
        <v>386</v>
      </c>
      <c r="B188" s="8" t="s">
        <v>110</v>
      </c>
      <c r="C188" s="9" t="s">
        <v>370</v>
      </c>
      <c r="D188" s="9" t="s">
        <v>385</v>
      </c>
      <c r="E188" s="8" t="s">
        <v>73</v>
      </c>
      <c r="F188" s="10">
        <v>1240</v>
      </c>
      <c r="G188" s="10">
        <v>2000</v>
      </c>
      <c r="H188" s="11">
        <v>2480</v>
      </c>
      <c r="I188" s="10">
        <v>4700</v>
      </c>
      <c r="J188" s="10">
        <v>7800</v>
      </c>
      <c r="K188" s="11">
        <v>9400</v>
      </c>
      <c r="L188" s="10"/>
      <c r="M188" s="10"/>
      <c r="N188" s="11"/>
    </row>
    <row r="189" spans="1:14" ht="15" customHeight="1" x14ac:dyDescent="0.3">
      <c r="A189" s="7" t="s">
        <v>387</v>
      </c>
      <c r="B189" s="8" t="s">
        <v>110</v>
      </c>
      <c r="C189" s="9" t="s">
        <v>370</v>
      </c>
      <c r="D189" s="9" t="s">
        <v>385</v>
      </c>
      <c r="E189" s="8" t="s">
        <v>73</v>
      </c>
      <c r="F189" s="10">
        <v>1350</v>
      </c>
      <c r="G189" s="10">
        <v>2150</v>
      </c>
      <c r="H189" s="11">
        <v>2700</v>
      </c>
      <c r="I189" s="10">
        <v>5100</v>
      </c>
      <c r="J189" s="10">
        <v>8200</v>
      </c>
      <c r="K189" s="11">
        <v>10300</v>
      </c>
      <c r="L189" s="10"/>
      <c r="M189" s="10"/>
      <c r="N189" s="11"/>
    </row>
    <row r="190" spans="1:14" ht="15" customHeight="1" x14ac:dyDescent="0.3">
      <c r="A190" s="7" t="s">
        <v>388</v>
      </c>
      <c r="B190" s="8" t="s">
        <v>110</v>
      </c>
      <c r="C190" s="9" t="s">
        <v>370</v>
      </c>
      <c r="D190" s="9" t="s">
        <v>389</v>
      </c>
      <c r="E190" s="8" t="s">
        <v>73</v>
      </c>
      <c r="F190" s="10">
        <v>1350</v>
      </c>
      <c r="G190" s="10">
        <v>2150</v>
      </c>
      <c r="H190" s="11">
        <v>2700</v>
      </c>
      <c r="I190" s="10">
        <v>5100</v>
      </c>
      <c r="J190" s="10">
        <v>8200</v>
      </c>
      <c r="K190" s="11">
        <v>10300</v>
      </c>
      <c r="L190" s="10"/>
      <c r="M190" s="10"/>
      <c r="N190" s="11"/>
    </row>
    <row r="191" spans="1:14" ht="15" customHeight="1" x14ac:dyDescent="0.3">
      <c r="A191" s="7" t="s">
        <v>390</v>
      </c>
      <c r="B191" s="8" t="s">
        <v>110</v>
      </c>
      <c r="C191" s="9" t="s">
        <v>370</v>
      </c>
      <c r="D191" s="9" t="s">
        <v>385</v>
      </c>
      <c r="E191" s="8" t="s">
        <v>73</v>
      </c>
      <c r="F191" s="10">
        <v>1240</v>
      </c>
      <c r="G191" s="10">
        <v>2000</v>
      </c>
      <c r="H191" s="11">
        <v>2480</v>
      </c>
      <c r="I191" s="10">
        <v>4700</v>
      </c>
      <c r="J191" s="10">
        <v>7800</v>
      </c>
      <c r="K191" s="11">
        <v>9400</v>
      </c>
      <c r="L191" s="10"/>
      <c r="M191" s="10"/>
      <c r="N191" s="11"/>
    </row>
    <row r="192" spans="1:14" ht="15" customHeight="1" x14ac:dyDescent="0.3">
      <c r="A192" s="7" t="s">
        <v>391</v>
      </c>
      <c r="B192" s="8" t="s">
        <v>110</v>
      </c>
      <c r="C192" s="9" t="s">
        <v>370</v>
      </c>
      <c r="D192" s="9" t="s">
        <v>385</v>
      </c>
      <c r="E192" s="8" t="s">
        <v>177</v>
      </c>
      <c r="F192" s="10">
        <v>1240</v>
      </c>
      <c r="G192" s="10">
        <v>2000</v>
      </c>
      <c r="H192" s="11">
        <v>2480</v>
      </c>
      <c r="I192" s="10">
        <v>4700</v>
      </c>
      <c r="J192" s="10">
        <v>7800</v>
      </c>
      <c r="K192" s="11">
        <v>9400</v>
      </c>
      <c r="L192" s="10"/>
      <c r="M192" s="10"/>
      <c r="N192" s="11"/>
    </row>
    <row r="193" spans="1:14" ht="15" customHeight="1" x14ac:dyDescent="0.3">
      <c r="A193" s="7" t="s">
        <v>392</v>
      </c>
      <c r="B193" s="8" t="s">
        <v>110</v>
      </c>
      <c r="C193" s="9" t="s">
        <v>370</v>
      </c>
      <c r="D193" s="9" t="s">
        <v>385</v>
      </c>
      <c r="E193" s="8" t="s">
        <v>177</v>
      </c>
      <c r="F193" s="10">
        <v>1240</v>
      </c>
      <c r="G193" s="10">
        <v>2000</v>
      </c>
      <c r="H193" s="11">
        <v>2480</v>
      </c>
      <c r="I193" s="10">
        <v>4700</v>
      </c>
      <c r="J193" s="10">
        <v>7800</v>
      </c>
      <c r="K193" s="11">
        <v>9400</v>
      </c>
      <c r="L193" s="10"/>
      <c r="M193" s="10"/>
      <c r="N193" s="11"/>
    </row>
    <row r="194" spans="1:14" ht="15" customHeight="1" x14ac:dyDescent="0.3">
      <c r="A194" s="7" t="s">
        <v>393</v>
      </c>
      <c r="B194" s="8" t="s">
        <v>110</v>
      </c>
      <c r="C194" s="9" t="s">
        <v>370</v>
      </c>
      <c r="D194" s="9" t="s">
        <v>385</v>
      </c>
      <c r="E194" s="8" t="s">
        <v>177</v>
      </c>
      <c r="F194" s="10">
        <v>1240</v>
      </c>
      <c r="G194" s="10">
        <v>2000</v>
      </c>
      <c r="H194" s="11">
        <v>2480</v>
      </c>
      <c r="I194" s="10">
        <v>4700</v>
      </c>
      <c r="J194" s="10">
        <v>7800</v>
      </c>
      <c r="K194" s="11">
        <v>9400</v>
      </c>
      <c r="L194" s="10"/>
      <c r="M194" s="10"/>
      <c r="N194" s="11"/>
    </row>
    <row r="195" spans="1:14" ht="15" customHeight="1" x14ac:dyDescent="0.3">
      <c r="A195" s="7" t="s">
        <v>394</v>
      </c>
      <c r="B195" s="8" t="s">
        <v>110</v>
      </c>
      <c r="C195" s="9" t="s">
        <v>370</v>
      </c>
      <c r="D195" s="9" t="s">
        <v>395</v>
      </c>
      <c r="E195" s="8" t="s">
        <v>73</v>
      </c>
      <c r="F195" s="10">
        <v>1240</v>
      </c>
      <c r="G195" s="10">
        <v>2000</v>
      </c>
      <c r="H195" s="11">
        <v>2480</v>
      </c>
      <c r="I195" s="10">
        <v>4700</v>
      </c>
      <c r="J195" s="10">
        <v>7800</v>
      </c>
      <c r="K195" s="11">
        <v>9400</v>
      </c>
      <c r="L195" s="10"/>
      <c r="M195" s="10"/>
      <c r="N195" s="11"/>
    </row>
    <row r="196" spans="1:14" ht="15" customHeight="1" x14ac:dyDescent="0.3">
      <c r="A196" s="7" t="s">
        <v>396</v>
      </c>
      <c r="B196" s="8" t="s">
        <v>110</v>
      </c>
      <c r="C196" s="9" t="s">
        <v>370</v>
      </c>
      <c r="D196" s="9" t="s">
        <v>385</v>
      </c>
      <c r="E196" s="8" t="s">
        <v>89</v>
      </c>
      <c r="F196" s="10">
        <v>1350</v>
      </c>
      <c r="G196" s="10">
        <v>2150</v>
      </c>
      <c r="H196" s="11">
        <v>2700</v>
      </c>
      <c r="I196" s="10">
        <v>5100</v>
      </c>
      <c r="J196" s="10">
        <v>8200</v>
      </c>
      <c r="K196" s="11">
        <v>10300</v>
      </c>
      <c r="L196" s="10"/>
      <c r="M196" s="10"/>
      <c r="N196" s="11"/>
    </row>
    <row r="197" spans="1:14" ht="15" customHeight="1" x14ac:dyDescent="0.3">
      <c r="A197" s="7" t="s">
        <v>397</v>
      </c>
      <c r="B197" s="8" t="s">
        <v>110</v>
      </c>
      <c r="C197" s="9" t="s">
        <v>370</v>
      </c>
      <c r="D197" s="9" t="s">
        <v>385</v>
      </c>
      <c r="E197" s="8" t="s">
        <v>104</v>
      </c>
      <c r="F197" s="10">
        <v>1350</v>
      </c>
      <c r="G197" s="10">
        <v>2150</v>
      </c>
      <c r="H197" s="11">
        <v>2700</v>
      </c>
      <c r="I197" s="10">
        <v>5100</v>
      </c>
      <c r="J197" s="10">
        <v>8200</v>
      </c>
      <c r="K197" s="11">
        <v>10300</v>
      </c>
      <c r="L197" s="10"/>
      <c r="M197" s="10"/>
      <c r="N197" s="11"/>
    </row>
    <row r="198" spans="1:14" ht="15" customHeight="1" x14ac:dyDescent="0.3">
      <c r="A198" s="7" t="s">
        <v>398</v>
      </c>
      <c r="B198" s="8" t="s">
        <v>110</v>
      </c>
      <c r="C198" s="9" t="s">
        <v>370</v>
      </c>
      <c r="D198" s="9" t="s">
        <v>385</v>
      </c>
      <c r="E198" s="8" t="s">
        <v>104</v>
      </c>
      <c r="F198" s="10">
        <v>1240</v>
      </c>
      <c r="G198" s="10">
        <v>2000</v>
      </c>
      <c r="H198" s="11">
        <v>2480</v>
      </c>
      <c r="I198" s="10">
        <v>4700</v>
      </c>
      <c r="J198" s="10">
        <v>7800</v>
      </c>
      <c r="K198" s="11">
        <v>9400</v>
      </c>
      <c r="L198" s="10"/>
      <c r="M198" s="10"/>
      <c r="N198" s="11"/>
    </row>
    <row r="199" spans="1:14" ht="15" customHeight="1" x14ac:dyDescent="0.3">
      <c r="A199" s="7" t="s">
        <v>399</v>
      </c>
      <c r="B199" s="8" t="s">
        <v>110</v>
      </c>
      <c r="C199" s="9" t="s">
        <v>370</v>
      </c>
      <c r="D199" s="9" t="s">
        <v>385</v>
      </c>
      <c r="E199" s="8" t="s">
        <v>104</v>
      </c>
      <c r="F199" s="10">
        <v>1240</v>
      </c>
      <c r="G199" s="10">
        <v>2000</v>
      </c>
      <c r="H199" s="11">
        <v>2480</v>
      </c>
      <c r="I199" s="10">
        <v>4700</v>
      </c>
      <c r="J199" s="10">
        <v>7800</v>
      </c>
      <c r="K199" s="11">
        <v>9400</v>
      </c>
      <c r="L199" s="10"/>
      <c r="M199" s="10"/>
      <c r="N199" s="11"/>
    </row>
    <row r="200" spans="1:14" ht="15" customHeight="1" x14ac:dyDescent="0.3">
      <c r="A200" s="7" t="s">
        <v>400</v>
      </c>
      <c r="B200" s="8" t="s">
        <v>110</v>
      </c>
      <c r="C200" s="9" t="s">
        <v>370</v>
      </c>
      <c r="D200" s="9" t="s">
        <v>389</v>
      </c>
      <c r="E200" s="8" t="s">
        <v>104</v>
      </c>
      <c r="F200" s="10">
        <v>1350</v>
      </c>
      <c r="G200" s="10">
        <v>2150</v>
      </c>
      <c r="H200" s="11">
        <v>2700</v>
      </c>
      <c r="I200" s="10">
        <v>5100</v>
      </c>
      <c r="J200" s="10">
        <v>8200</v>
      </c>
      <c r="K200" s="11">
        <v>10300</v>
      </c>
      <c r="L200" s="10"/>
      <c r="M200" s="10"/>
      <c r="N200" s="11"/>
    </row>
    <row r="201" spans="1:14" ht="15" customHeight="1" x14ac:dyDescent="0.3">
      <c r="A201" s="7" t="s">
        <v>401</v>
      </c>
      <c r="B201" s="8" t="s">
        <v>110</v>
      </c>
      <c r="C201" s="9" t="s">
        <v>370</v>
      </c>
      <c r="D201" s="9" t="s">
        <v>373</v>
      </c>
      <c r="E201" s="8" t="s">
        <v>104</v>
      </c>
      <c r="F201" s="10">
        <v>1110</v>
      </c>
      <c r="G201" s="10">
        <v>1900</v>
      </c>
      <c r="H201" s="11">
        <v>2210</v>
      </c>
      <c r="I201" s="10">
        <v>4200</v>
      </c>
      <c r="J201" s="10">
        <v>7300</v>
      </c>
      <c r="K201" s="11">
        <v>8400</v>
      </c>
      <c r="L201" s="10"/>
      <c r="M201" s="10"/>
      <c r="N201" s="11"/>
    </row>
    <row r="202" spans="1:14" ht="15" customHeight="1" x14ac:dyDescent="0.3">
      <c r="A202" s="12" t="s">
        <v>402</v>
      </c>
      <c r="B202" s="13" t="s">
        <v>110</v>
      </c>
      <c r="C202" s="14" t="s">
        <v>403</v>
      </c>
      <c r="D202" s="14" t="s">
        <v>404</v>
      </c>
      <c r="E202" s="13" t="s">
        <v>45</v>
      </c>
      <c r="F202" s="15">
        <v>2950</v>
      </c>
      <c r="G202" s="15">
        <v>3750</v>
      </c>
      <c r="H202" s="16">
        <v>6600</v>
      </c>
      <c r="I202" s="15">
        <v>11200</v>
      </c>
      <c r="J202" s="15">
        <v>14300</v>
      </c>
      <c r="K202" s="16">
        <v>25100</v>
      </c>
      <c r="L202" s="15"/>
      <c r="M202" s="15"/>
      <c r="N202" s="16"/>
    </row>
    <row r="203" spans="1:14" ht="15" customHeight="1" x14ac:dyDescent="0.3">
      <c r="A203" s="12" t="s">
        <v>405</v>
      </c>
      <c r="B203" s="13" t="s">
        <v>110</v>
      </c>
      <c r="C203" s="14" t="s">
        <v>403</v>
      </c>
      <c r="D203" s="14" t="s">
        <v>406</v>
      </c>
      <c r="E203" s="13" t="s">
        <v>121</v>
      </c>
      <c r="F203" s="15">
        <v>2950</v>
      </c>
      <c r="G203" s="15">
        <v>3750</v>
      </c>
      <c r="H203" s="16">
        <v>6600</v>
      </c>
      <c r="I203" s="15">
        <v>11200</v>
      </c>
      <c r="J203" s="15">
        <v>14300</v>
      </c>
      <c r="K203" s="16">
        <v>25100</v>
      </c>
      <c r="L203" s="15"/>
      <c r="M203" s="15"/>
      <c r="N203" s="16"/>
    </row>
    <row r="204" spans="1:14" ht="15" customHeight="1" x14ac:dyDescent="0.3">
      <c r="A204" s="12" t="s">
        <v>407</v>
      </c>
      <c r="B204" s="13" t="s">
        <v>110</v>
      </c>
      <c r="C204" s="14" t="s">
        <v>403</v>
      </c>
      <c r="D204" s="14" t="s">
        <v>408</v>
      </c>
      <c r="E204" s="13" t="s">
        <v>124</v>
      </c>
      <c r="F204" s="15">
        <v>2950</v>
      </c>
      <c r="G204" s="15">
        <v>3750</v>
      </c>
      <c r="H204" s="16">
        <v>6600</v>
      </c>
      <c r="I204" s="15">
        <v>11200</v>
      </c>
      <c r="J204" s="15">
        <v>14300</v>
      </c>
      <c r="K204" s="16">
        <v>25100</v>
      </c>
      <c r="L204" s="15"/>
      <c r="M204" s="15"/>
      <c r="N204" s="16"/>
    </row>
    <row r="205" spans="1:14" ht="15" customHeight="1" x14ac:dyDescent="0.3">
      <c r="A205" s="12" t="s">
        <v>409</v>
      </c>
      <c r="B205" s="13" t="s">
        <v>110</v>
      </c>
      <c r="C205" s="14" t="s">
        <v>403</v>
      </c>
      <c r="D205" s="14" t="s">
        <v>410</v>
      </c>
      <c r="E205" s="13" t="s">
        <v>124</v>
      </c>
      <c r="F205" s="15">
        <v>2950</v>
      </c>
      <c r="G205" s="15">
        <v>3750</v>
      </c>
      <c r="H205" s="16">
        <v>6600</v>
      </c>
      <c r="I205" s="15">
        <v>11200</v>
      </c>
      <c r="J205" s="15">
        <v>14300</v>
      </c>
      <c r="K205" s="16">
        <v>25100</v>
      </c>
      <c r="L205" s="15"/>
      <c r="M205" s="15"/>
      <c r="N205" s="16"/>
    </row>
    <row r="206" spans="1:14" ht="15" customHeight="1" x14ac:dyDescent="0.3">
      <c r="A206" s="12" t="s">
        <v>411</v>
      </c>
      <c r="B206" s="13" t="s">
        <v>110</v>
      </c>
      <c r="C206" s="14" t="s">
        <v>403</v>
      </c>
      <c r="D206" s="14" t="s">
        <v>412</v>
      </c>
      <c r="E206" s="13" t="s">
        <v>45</v>
      </c>
      <c r="F206" s="15">
        <v>2950</v>
      </c>
      <c r="G206" s="15">
        <v>3750</v>
      </c>
      <c r="H206" s="16">
        <v>6600</v>
      </c>
      <c r="I206" s="15">
        <v>11200</v>
      </c>
      <c r="J206" s="15">
        <v>14300</v>
      </c>
      <c r="K206" s="16">
        <v>25100</v>
      </c>
      <c r="L206" s="15"/>
      <c r="M206" s="15"/>
      <c r="N206" s="16"/>
    </row>
    <row r="207" spans="1:14" ht="15" customHeight="1" x14ac:dyDescent="0.3">
      <c r="A207" s="12" t="s">
        <v>413</v>
      </c>
      <c r="B207" s="13" t="s">
        <v>110</v>
      </c>
      <c r="C207" s="14" t="s">
        <v>403</v>
      </c>
      <c r="D207" s="14" t="s">
        <v>197</v>
      </c>
      <c r="E207" s="13" t="s">
        <v>110</v>
      </c>
      <c r="F207" s="15">
        <v>2090</v>
      </c>
      <c r="G207" s="15">
        <v>2850</v>
      </c>
      <c r="H207" s="16">
        <v>4670</v>
      </c>
      <c r="I207" s="15">
        <v>7900</v>
      </c>
      <c r="J207" s="15">
        <v>11000</v>
      </c>
      <c r="K207" s="16">
        <v>17700</v>
      </c>
      <c r="L207" s="15"/>
      <c r="M207" s="15"/>
      <c r="N207" s="16"/>
    </row>
    <row r="208" spans="1:14" ht="15" customHeight="1" x14ac:dyDescent="0.3">
      <c r="A208" s="12" t="s">
        <v>414</v>
      </c>
      <c r="B208" s="13" t="s">
        <v>110</v>
      </c>
      <c r="C208" s="14" t="s">
        <v>403</v>
      </c>
      <c r="D208" s="14" t="s">
        <v>197</v>
      </c>
      <c r="E208" s="13" t="s">
        <v>110</v>
      </c>
      <c r="F208" s="15">
        <v>2090</v>
      </c>
      <c r="G208" s="15">
        <v>2850</v>
      </c>
      <c r="H208" s="16">
        <v>4670</v>
      </c>
      <c r="I208" s="15">
        <v>7900</v>
      </c>
      <c r="J208" s="15">
        <v>11000</v>
      </c>
      <c r="K208" s="16">
        <v>17700</v>
      </c>
      <c r="L208" s="15"/>
      <c r="M208" s="15"/>
      <c r="N208" s="16"/>
    </row>
    <row r="209" spans="1:14" ht="15" customHeight="1" x14ac:dyDescent="0.3">
      <c r="A209" s="12" t="s">
        <v>415</v>
      </c>
      <c r="B209" s="13" t="s">
        <v>110</v>
      </c>
      <c r="C209" s="14" t="s">
        <v>403</v>
      </c>
      <c r="D209" s="14" t="s">
        <v>416</v>
      </c>
      <c r="E209" s="13" t="s">
        <v>85</v>
      </c>
      <c r="F209" s="15">
        <v>3310</v>
      </c>
      <c r="G209" s="15">
        <v>4100</v>
      </c>
      <c r="H209" s="16">
        <v>7410</v>
      </c>
      <c r="I209" s="15">
        <v>12600</v>
      </c>
      <c r="J209" s="15">
        <v>15700</v>
      </c>
      <c r="K209" s="16">
        <v>28200</v>
      </c>
      <c r="L209" s="15"/>
      <c r="M209" s="15"/>
      <c r="N209" s="16"/>
    </row>
    <row r="210" spans="1:14" ht="15" customHeight="1" x14ac:dyDescent="0.3">
      <c r="A210" s="12" t="s">
        <v>417</v>
      </c>
      <c r="B210" s="13" t="s">
        <v>110</v>
      </c>
      <c r="C210" s="14" t="s">
        <v>403</v>
      </c>
      <c r="D210" s="14" t="s">
        <v>418</v>
      </c>
      <c r="E210" s="13" t="s">
        <v>45</v>
      </c>
      <c r="F210" s="15">
        <v>2950</v>
      </c>
      <c r="G210" s="15">
        <v>3750</v>
      </c>
      <c r="H210" s="16">
        <v>6600</v>
      </c>
      <c r="I210" s="15">
        <v>11200</v>
      </c>
      <c r="J210" s="15">
        <v>14300</v>
      </c>
      <c r="K210" s="16">
        <v>25100</v>
      </c>
      <c r="L210" s="15"/>
      <c r="M210" s="15"/>
      <c r="N210" s="16"/>
    </row>
    <row r="211" spans="1:14" ht="15" customHeight="1" x14ac:dyDescent="0.3">
      <c r="A211" s="12" t="s">
        <v>419</v>
      </c>
      <c r="B211" s="13" t="s">
        <v>110</v>
      </c>
      <c r="C211" s="14" t="s">
        <v>403</v>
      </c>
      <c r="D211" s="14" t="s">
        <v>420</v>
      </c>
      <c r="E211" s="13" t="s">
        <v>89</v>
      </c>
      <c r="F211" s="15">
        <v>3600</v>
      </c>
      <c r="G211" s="15">
        <v>4400</v>
      </c>
      <c r="H211" s="16">
        <v>8050</v>
      </c>
      <c r="I211" s="15">
        <v>13700</v>
      </c>
      <c r="J211" s="15">
        <v>16800</v>
      </c>
      <c r="K211" s="16">
        <v>30600</v>
      </c>
      <c r="L211" s="15"/>
      <c r="M211" s="15"/>
      <c r="N211" s="16"/>
    </row>
    <row r="212" spans="1:14" ht="15" customHeight="1" x14ac:dyDescent="0.3">
      <c r="A212" s="12" t="s">
        <v>421</v>
      </c>
      <c r="B212" s="13" t="s">
        <v>110</v>
      </c>
      <c r="C212" s="14" t="s">
        <v>403</v>
      </c>
      <c r="D212" s="14" t="s">
        <v>422</v>
      </c>
      <c r="E212" s="13" t="s">
        <v>56</v>
      </c>
      <c r="F212" s="15">
        <v>2590</v>
      </c>
      <c r="G212" s="15">
        <v>3350</v>
      </c>
      <c r="H212" s="16">
        <v>5800</v>
      </c>
      <c r="I212" s="15">
        <v>9800</v>
      </c>
      <c r="J212" s="15">
        <v>12900</v>
      </c>
      <c r="K212" s="16">
        <v>22000</v>
      </c>
      <c r="L212" s="15"/>
      <c r="M212" s="15"/>
      <c r="N212" s="16"/>
    </row>
    <row r="213" spans="1:14" ht="15" customHeight="1" x14ac:dyDescent="0.3">
      <c r="A213" s="7" t="s">
        <v>423</v>
      </c>
      <c r="B213" s="8" t="s">
        <v>424</v>
      </c>
      <c r="C213" s="9" t="s">
        <v>425</v>
      </c>
      <c r="D213" s="9" t="s">
        <v>426</v>
      </c>
      <c r="E213" s="8" t="s">
        <v>427</v>
      </c>
      <c r="F213" s="10">
        <v>1020</v>
      </c>
      <c r="G213" s="10">
        <v>1800</v>
      </c>
      <c r="H213" s="11">
        <v>2030</v>
      </c>
      <c r="I213" s="10">
        <v>3900</v>
      </c>
      <c r="J213" s="10">
        <v>7000</v>
      </c>
      <c r="K213" s="11">
        <v>7700</v>
      </c>
      <c r="L213" s="10"/>
      <c r="M213" s="10"/>
      <c r="N213" s="11"/>
    </row>
    <row r="214" spans="1:14" ht="15" customHeight="1" x14ac:dyDescent="0.3">
      <c r="A214" s="7" t="s">
        <v>428</v>
      </c>
      <c r="B214" s="8" t="s">
        <v>429</v>
      </c>
      <c r="C214" s="9" t="s">
        <v>425</v>
      </c>
      <c r="D214" s="9" t="s">
        <v>430</v>
      </c>
      <c r="E214" s="8" t="s">
        <v>121</v>
      </c>
      <c r="F214" s="10">
        <v>1440</v>
      </c>
      <c r="G214" s="10">
        <v>2200</v>
      </c>
      <c r="H214" s="11">
        <v>2870</v>
      </c>
      <c r="I214" s="10">
        <v>5500</v>
      </c>
      <c r="J214" s="10">
        <v>8600</v>
      </c>
      <c r="K214" s="11">
        <v>10900</v>
      </c>
      <c r="L214" s="10"/>
      <c r="M214" s="10"/>
      <c r="N214" s="11"/>
    </row>
    <row r="215" spans="1:14" ht="15" customHeight="1" x14ac:dyDescent="0.3">
      <c r="A215" s="7" t="s">
        <v>431</v>
      </c>
      <c r="B215" s="8" t="s">
        <v>432</v>
      </c>
      <c r="C215" s="9" t="s">
        <v>425</v>
      </c>
      <c r="D215" s="9" t="s">
        <v>433</v>
      </c>
      <c r="E215" s="8" t="s">
        <v>45</v>
      </c>
      <c r="F215" s="10">
        <v>1440</v>
      </c>
      <c r="G215" s="10">
        <v>2200</v>
      </c>
      <c r="H215" s="11">
        <v>2870</v>
      </c>
      <c r="I215" s="10">
        <v>5500</v>
      </c>
      <c r="J215" s="10">
        <v>8600</v>
      </c>
      <c r="K215" s="11">
        <v>10900</v>
      </c>
      <c r="L215" s="10"/>
      <c r="M215" s="10"/>
      <c r="N215" s="11"/>
    </row>
    <row r="216" spans="1:14" ht="15" customHeight="1" x14ac:dyDescent="0.3">
      <c r="A216" s="7" t="s">
        <v>434</v>
      </c>
      <c r="B216" s="8" t="s">
        <v>435</v>
      </c>
      <c r="C216" s="9" t="s">
        <v>425</v>
      </c>
      <c r="D216" s="9" t="s">
        <v>436</v>
      </c>
      <c r="E216" s="8" t="s">
        <v>85</v>
      </c>
      <c r="F216" s="10">
        <v>1610</v>
      </c>
      <c r="G216" s="10">
        <v>2400</v>
      </c>
      <c r="H216" s="11">
        <v>3220</v>
      </c>
      <c r="I216" s="10">
        <v>6100</v>
      </c>
      <c r="J216" s="10">
        <v>9200</v>
      </c>
      <c r="K216" s="11">
        <v>12200</v>
      </c>
      <c r="L216" s="10"/>
      <c r="M216" s="10"/>
      <c r="N216" s="11"/>
    </row>
    <row r="217" spans="1:14" ht="15" customHeight="1" x14ac:dyDescent="0.3">
      <c r="A217" s="12" t="s">
        <v>437</v>
      </c>
      <c r="B217" s="13" t="s">
        <v>438</v>
      </c>
      <c r="C217" s="14" t="s">
        <v>439</v>
      </c>
      <c r="D217" s="14" t="s">
        <v>440</v>
      </c>
      <c r="E217" s="13" t="s">
        <v>441</v>
      </c>
      <c r="F217" s="15">
        <v>2550</v>
      </c>
      <c r="G217" s="15">
        <v>3350</v>
      </c>
      <c r="H217" s="16">
        <v>5100</v>
      </c>
      <c r="I217" s="15">
        <v>9700</v>
      </c>
      <c r="J217" s="15">
        <v>12800</v>
      </c>
      <c r="K217" s="16">
        <v>19400</v>
      </c>
      <c r="L217" s="15"/>
      <c r="M217" s="15"/>
      <c r="N217" s="16"/>
    </row>
    <row r="218" spans="1:14" ht="15" customHeight="1" x14ac:dyDescent="0.3">
      <c r="A218" s="12" t="s">
        <v>442</v>
      </c>
      <c r="B218" s="13" t="s">
        <v>443</v>
      </c>
      <c r="C218" s="14" t="s">
        <v>439</v>
      </c>
      <c r="D218" s="14" t="s">
        <v>444</v>
      </c>
      <c r="E218" s="13" t="s">
        <v>445</v>
      </c>
      <c r="F218" s="15">
        <v>2550</v>
      </c>
      <c r="G218" s="15">
        <v>3350</v>
      </c>
      <c r="H218" s="16">
        <v>5100</v>
      </c>
      <c r="I218" s="15">
        <v>9700</v>
      </c>
      <c r="J218" s="15">
        <v>12800</v>
      </c>
      <c r="K218" s="16">
        <v>19400</v>
      </c>
      <c r="L218" s="15"/>
      <c r="M218" s="15"/>
      <c r="N218" s="16"/>
    </row>
    <row r="219" spans="1:14" ht="15" customHeight="1" x14ac:dyDescent="0.3">
      <c r="A219" s="7" t="s">
        <v>446</v>
      </c>
      <c r="B219" s="8" t="s">
        <v>447</v>
      </c>
      <c r="C219" s="9" t="s">
        <v>448</v>
      </c>
      <c r="D219" s="9" t="s">
        <v>449</v>
      </c>
      <c r="E219" s="8" t="s">
        <v>138</v>
      </c>
      <c r="F219" s="10">
        <v>1450</v>
      </c>
      <c r="G219" s="10">
        <v>2250</v>
      </c>
      <c r="H219" s="11">
        <v>2900</v>
      </c>
      <c r="I219" s="10">
        <v>5500</v>
      </c>
      <c r="J219" s="10">
        <v>8600</v>
      </c>
      <c r="K219" s="11">
        <v>11000</v>
      </c>
      <c r="L219" s="10"/>
      <c r="M219" s="10"/>
      <c r="N219" s="11"/>
    </row>
    <row r="220" spans="1:14" ht="15" customHeight="1" x14ac:dyDescent="0.3">
      <c r="A220" s="7" t="s">
        <v>450</v>
      </c>
      <c r="B220" s="8" t="s">
        <v>451</v>
      </c>
      <c r="C220" s="9" t="s">
        <v>448</v>
      </c>
      <c r="D220" s="9" t="s">
        <v>452</v>
      </c>
      <c r="E220" s="8" t="s">
        <v>56</v>
      </c>
      <c r="F220" s="10">
        <v>1800</v>
      </c>
      <c r="G220" s="10">
        <v>2600</v>
      </c>
      <c r="H220" s="11">
        <v>3600</v>
      </c>
      <c r="I220" s="10">
        <v>6800</v>
      </c>
      <c r="J220" s="10">
        <v>9900</v>
      </c>
      <c r="K220" s="11">
        <v>13700</v>
      </c>
      <c r="L220" s="10"/>
      <c r="M220" s="10"/>
      <c r="N220" s="11"/>
    </row>
    <row r="221" spans="1:14" ht="15" customHeight="1" x14ac:dyDescent="0.3">
      <c r="A221" s="7" t="s">
        <v>453</v>
      </c>
      <c r="B221" s="8" t="s">
        <v>454</v>
      </c>
      <c r="C221" s="9" t="s">
        <v>448</v>
      </c>
      <c r="D221" s="9" t="s">
        <v>455</v>
      </c>
      <c r="E221" s="8" t="s">
        <v>456</v>
      </c>
      <c r="F221" s="10">
        <v>1800</v>
      </c>
      <c r="G221" s="10">
        <v>2600</v>
      </c>
      <c r="H221" s="11">
        <v>3600</v>
      </c>
      <c r="I221" s="10">
        <v>6800</v>
      </c>
      <c r="J221" s="10">
        <v>9900</v>
      </c>
      <c r="K221" s="11">
        <v>13700</v>
      </c>
      <c r="L221" s="10"/>
      <c r="M221" s="10"/>
      <c r="N221" s="11"/>
    </row>
    <row r="222" spans="1:14" ht="15" customHeight="1" x14ac:dyDescent="0.3">
      <c r="A222" s="7" t="s">
        <v>457</v>
      </c>
      <c r="B222" s="8" t="s">
        <v>458</v>
      </c>
      <c r="C222" s="9" t="s">
        <v>448</v>
      </c>
      <c r="D222" s="9" t="s">
        <v>459</v>
      </c>
      <c r="E222" s="8" t="s">
        <v>158</v>
      </c>
      <c r="F222" s="10">
        <v>1630</v>
      </c>
      <c r="G222" s="10">
        <v>2400</v>
      </c>
      <c r="H222" s="11">
        <v>3250</v>
      </c>
      <c r="I222" s="10">
        <v>6200</v>
      </c>
      <c r="J222" s="10">
        <v>9300</v>
      </c>
      <c r="K222" s="11">
        <v>12400</v>
      </c>
      <c r="L222" s="10"/>
      <c r="M222" s="10"/>
      <c r="N222" s="11"/>
    </row>
    <row r="223" spans="1:14" ht="15" customHeight="1" x14ac:dyDescent="0.3">
      <c r="A223" s="12" t="s">
        <v>460</v>
      </c>
      <c r="B223" s="13" t="s">
        <v>461</v>
      </c>
      <c r="C223" s="14" t="s">
        <v>462</v>
      </c>
      <c r="D223" s="14" t="s">
        <v>463</v>
      </c>
      <c r="E223" s="13" t="s">
        <v>445</v>
      </c>
      <c r="F223" s="15"/>
      <c r="G223" s="15"/>
      <c r="H223" s="16">
        <v>2810</v>
      </c>
      <c r="I223" s="15">
        <v>5400</v>
      </c>
      <c r="J223" s="15">
        <v>8500</v>
      </c>
      <c r="K223" s="16">
        <v>10700</v>
      </c>
      <c r="L223" s="15">
        <v>115</v>
      </c>
      <c r="M223" s="15">
        <v>135</v>
      </c>
      <c r="N223" s="16">
        <v>285</v>
      </c>
    </row>
    <row r="224" spans="1:14" ht="15" customHeight="1" x14ac:dyDescent="0.3">
      <c r="A224" s="12" t="s">
        <v>464</v>
      </c>
      <c r="B224" s="13" t="s">
        <v>465</v>
      </c>
      <c r="C224" s="14" t="s">
        <v>462</v>
      </c>
      <c r="D224" s="14" t="s">
        <v>466</v>
      </c>
      <c r="E224" s="13" t="s">
        <v>138</v>
      </c>
      <c r="F224" s="15"/>
      <c r="G224" s="15"/>
      <c r="H224" s="16">
        <v>2810</v>
      </c>
      <c r="I224" s="15">
        <v>5400</v>
      </c>
      <c r="J224" s="15">
        <v>8500</v>
      </c>
      <c r="K224" s="16">
        <v>10700</v>
      </c>
      <c r="L224" s="15">
        <v>115</v>
      </c>
      <c r="M224" s="15">
        <v>135</v>
      </c>
      <c r="N224" s="16">
        <v>285</v>
      </c>
    </row>
    <row r="225" spans="1:14" ht="15" customHeight="1" x14ac:dyDescent="0.3">
      <c r="A225" s="12" t="s">
        <v>467</v>
      </c>
      <c r="B225" s="13" t="s">
        <v>468</v>
      </c>
      <c r="C225" s="14" t="s">
        <v>462</v>
      </c>
      <c r="D225" s="14" t="s">
        <v>469</v>
      </c>
      <c r="E225" s="13" t="s">
        <v>470</v>
      </c>
      <c r="F225" s="15"/>
      <c r="G225" s="15"/>
      <c r="H225" s="16">
        <v>3980</v>
      </c>
      <c r="I225" s="15">
        <v>7600</v>
      </c>
      <c r="J225" s="15">
        <v>10700</v>
      </c>
      <c r="K225" s="16">
        <v>15100</v>
      </c>
      <c r="L225" s="15">
        <v>115</v>
      </c>
      <c r="M225" s="15">
        <v>135</v>
      </c>
      <c r="N225" s="16">
        <v>285</v>
      </c>
    </row>
    <row r="226" spans="1:14" ht="15" customHeight="1" x14ac:dyDescent="0.3">
      <c r="A226" s="12" t="s">
        <v>471</v>
      </c>
      <c r="B226" s="13" t="s">
        <v>472</v>
      </c>
      <c r="C226" s="14" t="s">
        <v>462</v>
      </c>
      <c r="D226" s="14" t="s">
        <v>473</v>
      </c>
      <c r="E226" s="13" t="s">
        <v>45</v>
      </c>
      <c r="F226" s="15"/>
      <c r="G226" s="15"/>
      <c r="H226" s="16">
        <v>3980</v>
      </c>
      <c r="I226" s="15">
        <v>7600</v>
      </c>
      <c r="J226" s="15">
        <v>10700</v>
      </c>
      <c r="K226" s="16">
        <v>15100</v>
      </c>
      <c r="L226" s="15">
        <v>115</v>
      </c>
      <c r="M226" s="15">
        <v>135</v>
      </c>
      <c r="N226" s="16">
        <v>285</v>
      </c>
    </row>
    <row r="227" spans="1:14" ht="15" customHeight="1" x14ac:dyDescent="0.3">
      <c r="A227" s="12" t="s">
        <v>474</v>
      </c>
      <c r="B227" s="13" t="s">
        <v>475</v>
      </c>
      <c r="C227" s="14" t="s">
        <v>462</v>
      </c>
      <c r="D227" s="14" t="s">
        <v>476</v>
      </c>
      <c r="E227" s="13" t="s">
        <v>73</v>
      </c>
      <c r="F227" s="15"/>
      <c r="G227" s="15"/>
      <c r="H227" s="16">
        <v>4460</v>
      </c>
      <c r="I227" s="15">
        <v>8600</v>
      </c>
      <c r="J227" s="15">
        <v>11700</v>
      </c>
      <c r="K227" s="16">
        <v>16900</v>
      </c>
      <c r="L227" s="15">
        <v>115</v>
      </c>
      <c r="M227" s="15">
        <v>135</v>
      </c>
      <c r="N227" s="16">
        <v>285</v>
      </c>
    </row>
    <row r="228" spans="1:14" ht="15" customHeight="1" x14ac:dyDescent="0.3">
      <c r="A228" s="12" t="s">
        <v>477</v>
      </c>
      <c r="B228" s="13" t="s">
        <v>478</v>
      </c>
      <c r="C228" s="14" t="s">
        <v>462</v>
      </c>
      <c r="D228" s="14" t="s">
        <v>479</v>
      </c>
      <c r="E228" s="13" t="s">
        <v>441</v>
      </c>
      <c r="F228" s="15"/>
      <c r="G228" s="15"/>
      <c r="H228" s="16">
        <v>2810</v>
      </c>
      <c r="I228" s="15">
        <v>5400</v>
      </c>
      <c r="J228" s="15">
        <v>8500</v>
      </c>
      <c r="K228" s="16">
        <v>10700</v>
      </c>
      <c r="L228" s="15">
        <v>115</v>
      </c>
      <c r="M228" s="15">
        <v>135</v>
      </c>
      <c r="N228" s="16">
        <v>285</v>
      </c>
    </row>
    <row r="229" spans="1:14" ht="15" customHeight="1" x14ac:dyDescent="0.3">
      <c r="A229" s="12" t="s">
        <v>480</v>
      </c>
      <c r="B229" s="13" t="s">
        <v>481</v>
      </c>
      <c r="C229" s="14" t="s">
        <v>462</v>
      </c>
      <c r="D229" s="14" t="s">
        <v>482</v>
      </c>
      <c r="E229" s="13" t="s">
        <v>366</v>
      </c>
      <c r="F229" s="15"/>
      <c r="G229" s="15"/>
      <c r="H229" s="16">
        <v>3490</v>
      </c>
      <c r="I229" s="15">
        <v>6700</v>
      </c>
      <c r="J229" s="15">
        <v>9800</v>
      </c>
      <c r="K229" s="16">
        <v>13300</v>
      </c>
      <c r="L229" s="15">
        <v>115</v>
      </c>
      <c r="M229" s="15">
        <v>135</v>
      </c>
      <c r="N229" s="16">
        <v>285</v>
      </c>
    </row>
    <row r="230" spans="1:14" ht="15" customHeight="1" x14ac:dyDescent="0.3">
      <c r="A230" s="12" t="s">
        <v>483</v>
      </c>
      <c r="B230" s="13" t="s">
        <v>484</v>
      </c>
      <c r="C230" s="14" t="s">
        <v>462</v>
      </c>
      <c r="D230" s="14" t="s">
        <v>485</v>
      </c>
      <c r="E230" s="13" t="s">
        <v>116</v>
      </c>
      <c r="F230" s="15"/>
      <c r="G230" s="15"/>
      <c r="H230" s="16">
        <v>3980</v>
      </c>
      <c r="I230" s="15">
        <v>7600</v>
      </c>
      <c r="J230" s="15">
        <v>10700</v>
      </c>
      <c r="K230" s="16">
        <v>15100</v>
      </c>
      <c r="L230" s="15">
        <v>115</v>
      </c>
      <c r="M230" s="15">
        <v>135</v>
      </c>
      <c r="N230" s="16">
        <v>285</v>
      </c>
    </row>
    <row r="231" spans="1:14" ht="15" customHeight="1" x14ac:dyDescent="0.3">
      <c r="A231" s="7" t="s">
        <v>486</v>
      </c>
      <c r="B231" s="8" t="s">
        <v>487</v>
      </c>
      <c r="C231" s="9" t="s">
        <v>488</v>
      </c>
      <c r="D231" s="9" t="s">
        <v>489</v>
      </c>
      <c r="E231" s="8" t="s">
        <v>366</v>
      </c>
      <c r="F231" s="10">
        <v>3020</v>
      </c>
      <c r="G231" s="10">
        <v>3800</v>
      </c>
      <c r="H231" s="11">
        <v>6730</v>
      </c>
      <c r="I231" s="10">
        <v>11500</v>
      </c>
      <c r="J231" s="10">
        <v>14600</v>
      </c>
      <c r="K231" s="11">
        <v>25600</v>
      </c>
      <c r="L231" s="10"/>
      <c r="M231" s="10"/>
      <c r="N231" s="11"/>
    </row>
    <row r="232" spans="1:14" ht="15" customHeight="1" x14ac:dyDescent="0.3">
      <c r="A232" s="7" t="s">
        <v>490</v>
      </c>
      <c r="B232" s="8" t="s">
        <v>491</v>
      </c>
      <c r="C232" s="9" t="s">
        <v>488</v>
      </c>
      <c r="D232" s="9" t="s">
        <v>492</v>
      </c>
      <c r="E232" s="8" t="s">
        <v>85</v>
      </c>
      <c r="F232" s="10">
        <v>3860</v>
      </c>
      <c r="G232" s="10">
        <v>4650</v>
      </c>
      <c r="H232" s="11">
        <v>8600</v>
      </c>
      <c r="I232" s="10">
        <v>14700</v>
      </c>
      <c r="J232" s="10">
        <v>17800</v>
      </c>
      <c r="K232" s="11">
        <v>32700</v>
      </c>
      <c r="L232" s="10"/>
      <c r="M232" s="10"/>
      <c r="N232" s="11"/>
    </row>
    <row r="233" spans="1:14" ht="15" customHeight="1" x14ac:dyDescent="0.3">
      <c r="A233" s="12" t="s">
        <v>493</v>
      </c>
      <c r="B233" s="13" t="s">
        <v>494</v>
      </c>
      <c r="C233" s="14" t="s">
        <v>495</v>
      </c>
      <c r="D233" s="14" t="s">
        <v>496</v>
      </c>
      <c r="E233" s="13" t="s">
        <v>456</v>
      </c>
      <c r="F233" s="15"/>
      <c r="G233" s="15"/>
      <c r="H233" s="16">
        <v>1260</v>
      </c>
      <c r="I233" s="15">
        <v>2600</v>
      </c>
      <c r="J233" s="15">
        <v>4800</v>
      </c>
      <c r="K233" s="16">
        <v>4800</v>
      </c>
      <c r="L233" s="15">
        <v>45</v>
      </c>
      <c r="M233" s="15">
        <v>70</v>
      </c>
      <c r="N233" s="16">
        <v>110</v>
      </c>
    </row>
    <row r="234" spans="1:14" ht="15" customHeight="1" x14ac:dyDescent="0.3">
      <c r="A234" s="12" t="s">
        <v>497</v>
      </c>
      <c r="B234" s="13" t="s">
        <v>498</v>
      </c>
      <c r="C234" s="14" t="s">
        <v>495</v>
      </c>
      <c r="D234" s="14" t="s">
        <v>499</v>
      </c>
      <c r="E234" s="13" t="s">
        <v>110</v>
      </c>
      <c r="F234" s="15"/>
      <c r="G234" s="15"/>
      <c r="H234" s="16">
        <v>1020</v>
      </c>
      <c r="I234" s="15">
        <v>2100</v>
      </c>
      <c r="J234" s="15">
        <v>3900</v>
      </c>
      <c r="K234" s="16">
        <v>3900</v>
      </c>
      <c r="L234" s="15">
        <v>45</v>
      </c>
      <c r="M234" s="15">
        <v>70</v>
      </c>
      <c r="N234" s="16">
        <v>110</v>
      </c>
    </row>
    <row r="235" spans="1:14" ht="15" customHeight="1" x14ac:dyDescent="0.3">
      <c r="A235" s="12" t="s">
        <v>500</v>
      </c>
      <c r="B235" s="13" t="s">
        <v>501</v>
      </c>
      <c r="C235" s="14" t="s">
        <v>495</v>
      </c>
      <c r="D235" s="14" t="s">
        <v>502</v>
      </c>
      <c r="E235" s="13" t="s">
        <v>503</v>
      </c>
      <c r="F235" s="15"/>
      <c r="G235" s="15"/>
      <c r="H235" s="16">
        <v>1020</v>
      </c>
      <c r="I235" s="15">
        <v>2100</v>
      </c>
      <c r="J235" s="15">
        <v>3900</v>
      </c>
      <c r="K235" s="16">
        <v>3900</v>
      </c>
      <c r="L235" s="15">
        <v>45</v>
      </c>
      <c r="M235" s="15">
        <v>70</v>
      </c>
      <c r="N235" s="16">
        <v>110</v>
      </c>
    </row>
    <row r="236" spans="1:14" ht="15" customHeight="1" x14ac:dyDescent="0.3">
      <c r="A236" s="12" t="s">
        <v>504</v>
      </c>
      <c r="B236" s="13" t="s">
        <v>505</v>
      </c>
      <c r="C236" s="14" t="s">
        <v>495</v>
      </c>
      <c r="D236" s="14" t="s">
        <v>499</v>
      </c>
      <c r="E236" s="13" t="s">
        <v>506</v>
      </c>
      <c r="F236" s="15"/>
      <c r="G236" s="15"/>
      <c r="H236" s="16">
        <v>1020</v>
      </c>
      <c r="I236" s="15">
        <v>2100</v>
      </c>
      <c r="J236" s="15">
        <v>3900</v>
      </c>
      <c r="K236" s="16">
        <v>3900</v>
      </c>
      <c r="L236" s="15">
        <v>45</v>
      </c>
      <c r="M236" s="15">
        <v>70</v>
      </c>
      <c r="N236" s="16">
        <v>110</v>
      </c>
    </row>
    <row r="237" spans="1:14" ht="15" customHeight="1" x14ac:dyDescent="0.3">
      <c r="A237" s="12" t="s">
        <v>507</v>
      </c>
      <c r="B237" s="13" t="s">
        <v>508</v>
      </c>
      <c r="C237" s="14" t="s">
        <v>495</v>
      </c>
      <c r="D237" s="14" t="s">
        <v>509</v>
      </c>
      <c r="E237" s="13" t="s">
        <v>158</v>
      </c>
      <c r="F237" s="15"/>
      <c r="G237" s="15"/>
      <c r="H237" s="16">
        <v>1140</v>
      </c>
      <c r="I237" s="15">
        <v>2400</v>
      </c>
      <c r="J237" s="15">
        <v>4300</v>
      </c>
      <c r="K237" s="16">
        <v>4300</v>
      </c>
      <c r="L237" s="15">
        <v>45</v>
      </c>
      <c r="M237" s="15">
        <v>70</v>
      </c>
      <c r="N237" s="16">
        <v>110</v>
      </c>
    </row>
    <row r="238" spans="1:14" ht="15" customHeight="1" x14ac:dyDescent="0.3">
      <c r="A238" s="12" t="s">
        <v>510</v>
      </c>
      <c r="B238" s="13" t="s">
        <v>511</v>
      </c>
      <c r="C238" s="14" t="s">
        <v>495</v>
      </c>
      <c r="D238" s="14" t="s">
        <v>512</v>
      </c>
      <c r="E238" s="13" t="s">
        <v>53</v>
      </c>
      <c r="F238" s="15"/>
      <c r="G238" s="15"/>
      <c r="H238" s="16">
        <v>1020</v>
      </c>
      <c r="I238" s="15">
        <v>2100</v>
      </c>
      <c r="J238" s="15">
        <v>3900</v>
      </c>
      <c r="K238" s="16">
        <v>3900</v>
      </c>
      <c r="L238" s="15">
        <v>45</v>
      </c>
      <c r="M238" s="15">
        <v>70</v>
      </c>
      <c r="N238" s="16">
        <v>110</v>
      </c>
    </row>
    <row r="239" spans="1:14" ht="15" customHeight="1" x14ac:dyDescent="0.3">
      <c r="A239" s="12" t="s">
        <v>513</v>
      </c>
      <c r="B239" s="13" t="s">
        <v>514</v>
      </c>
      <c r="C239" s="14" t="s">
        <v>495</v>
      </c>
      <c r="D239" s="14" t="s">
        <v>515</v>
      </c>
      <c r="E239" s="13" t="s">
        <v>470</v>
      </c>
      <c r="F239" s="15"/>
      <c r="G239" s="15"/>
      <c r="H239" s="16">
        <v>1440</v>
      </c>
      <c r="I239" s="15">
        <v>3000</v>
      </c>
      <c r="J239" s="15">
        <v>5500</v>
      </c>
      <c r="K239" s="16">
        <v>5500</v>
      </c>
      <c r="L239" s="15">
        <v>45</v>
      </c>
      <c r="M239" s="15">
        <v>70</v>
      </c>
      <c r="N239" s="16">
        <v>110</v>
      </c>
    </row>
    <row r="240" spans="1:14" ht="15" customHeight="1" x14ac:dyDescent="0.3">
      <c r="A240" s="12" t="s">
        <v>516</v>
      </c>
      <c r="B240" s="13" t="s">
        <v>517</v>
      </c>
      <c r="C240" s="14" t="s">
        <v>495</v>
      </c>
      <c r="D240" s="14" t="s">
        <v>509</v>
      </c>
      <c r="E240" s="13" t="s">
        <v>366</v>
      </c>
      <c r="F240" s="15"/>
      <c r="G240" s="15"/>
      <c r="H240" s="16">
        <v>1260</v>
      </c>
      <c r="I240" s="15">
        <v>2600</v>
      </c>
      <c r="J240" s="15">
        <v>4800</v>
      </c>
      <c r="K240" s="16">
        <v>4800</v>
      </c>
      <c r="L240" s="15">
        <v>45</v>
      </c>
      <c r="M240" s="15">
        <v>70</v>
      </c>
      <c r="N240" s="16">
        <v>110</v>
      </c>
    </row>
    <row r="241" spans="1:14" ht="15" customHeight="1" x14ac:dyDescent="0.3">
      <c r="A241" s="12" t="s">
        <v>518</v>
      </c>
      <c r="B241" s="13" t="s">
        <v>519</v>
      </c>
      <c r="C241" s="14" t="s">
        <v>495</v>
      </c>
      <c r="D241" s="14" t="s">
        <v>520</v>
      </c>
      <c r="E241" s="13" t="s">
        <v>456</v>
      </c>
      <c r="F241" s="15"/>
      <c r="G241" s="15"/>
      <c r="H241" s="16">
        <v>1260</v>
      </c>
      <c r="I241" s="15">
        <v>2600</v>
      </c>
      <c r="J241" s="15">
        <v>4800</v>
      </c>
      <c r="K241" s="16">
        <v>4800</v>
      </c>
      <c r="L241" s="15">
        <v>45</v>
      </c>
      <c r="M241" s="15">
        <v>70</v>
      </c>
      <c r="N241" s="16">
        <v>110</v>
      </c>
    </row>
    <row r="242" spans="1:14" ht="15" customHeight="1" x14ac:dyDescent="0.3">
      <c r="A242" s="12" t="s">
        <v>521</v>
      </c>
      <c r="B242" s="13" t="s">
        <v>522</v>
      </c>
      <c r="C242" s="14" t="s">
        <v>495</v>
      </c>
      <c r="D242" s="14" t="s">
        <v>523</v>
      </c>
      <c r="E242" s="13" t="s">
        <v>366</v>
      </c>
      <c r="F242" s="15"/>
      <c r="G242" s="15"/>
      <c r="H242" s="16">
        <v>1260</v>
      </c>
      <c r="I242" s="15">
        <v>2600</v>
      </c>
      <c r="J242" s="15">
        <v>4800</v>
      </c>
      <c r="K242" s="16">
        <v>4800</v>
      </c>
      <c r="L242" s="15">
        <v>45</v>
      </c>
      <c r="M242" s="15">
        <v>70</v>
      </c>
      <c r="N242" s="16">
        <v>110</v>
      </c>
    </row>
    <row r="243" spans="1:14" ht="15" customHeight="1" x14ac:dyDescent="0.3">
      <c r="A243" s="12" t="s">
        <v>524</v>
      </c>
      <c r="B243" s="13" t="s">
        <v>525</v>
      </c>
      <c r="C243" s="14" t="s">
        <v>495</v>
      </c>
      <c r="D243" s="14" t="s">
        <v>523</v>
      </c>
      <c r="E243" s="13" t="s">
        <v>526</v>
      </c>
      <c r="F243" s="15"/>
      <c r="G243" s="15"/>
      <c r="H243" s="16">
        <v>1260</v>
      </c>
      <c r="I243" s="15">
        <v>2600</v>
      </c>
      <c r="J243" s="15">
        <v>4800</v>
      </c>
      <c r="K243" s="16">
        <v>4800</v>
      </c>
      <c r="L243" s="15">
        <v>45</v>
      </c>
      <c r="M243" s="15">
        <v>70</v>
      </c>
      <c r="N243" s="16">
        <v>110</v>
      </c>
    </row>
    <row r="244" spans="1:14" ht="15" customHeight="1" x14ac:dyDescent="0.3">
      <c r="A244" s="12" t="s">
        <v>527</v>
      </c>
      <c r="B244" s="13" t="s">
        <v>528</v>
      </c>
      <c r="C244" s="14" t="s">
        <v>495</v>
      </c>
      <c r="D244" s="14" t="s">
        <v>515</v>
      </c>
      <c r="E244" s="13" t="s">
        <v>68</v>
      </c>
      <c r="F244" s="15"/>
      <c r="G244" s="15"/>
      <c r="H244" s="16">
        <v>1610</v>
      </c>
      <c r="I244" s="15">
        <v>3300</v>
      </c>
      <c r="J244" s="15">
        <v>6100</v>
      </c>
      <c r="K244" s="16">
        <v>6100</v>
      </c>
      <c r="L244" s="15">
        <v>45</v>
      </c>
      <c r="M244" s="15">
        <v>70</v>
      </c>
      <c r="N244" s="16">
        <v>110</v>
      </c>
    </row>
    <row r="245" spans="1:14" ht="15" customHeight="1" x14ac:dyDescent="0.3">
      <c r="A245" s="12" t="s">
        <v>529</v>
      </c>
      <c r="B245" s="13" t="s">
        <v>530</v>
      </c>
      <c r="C245" s="14" t="s">
        <v>495</v>
      </c>
      <c r="D245" s="14" t="s">
        <v>531</v>
      </c>
      <c r="E245" s="13" t="s">
        <v>73</v>
      </c>
      <c r="F245" s="15"/>
      <c r="G245" s="15"/>
      <c r="H245" s="16">
        <v>1610</v>
      </c>
      <c r="I245" s="15">
        <v>3300</v>
      </c>
      <c r="J245" s="15">
        <v>6100</v>
      </c>
      <c r="K245" s="16">
        <v>6100</v>
      </c>
      <c r="L245" s="15">
        <v>45</v>
      </c>
      <c r="M245" s="15">
        <v>70</v>
      </c>
      <c r="N245" s="16">
        <v>110</v>
      </c>
    </row>
    <row r="246" spans="1:14" ht="15" customHeight="1" x14ac:dyDescent="0.3">
      <c r="A246" s="12" t="s">
        <v>532</v>
      </c>
      <c r="B246" s="13" t="s">
        <v>533</v>
      </c>
      <c r="C246" s="14" t="s">
        <v>495</v>
      </c>
      <c r="D246" s="14" t="s">
        <v>496</v>
      </c>
      <c r="E246" s="13" t="s">
        <v>45</v>
      </c>
      <c r="F246" s="15"/>
      <c r="G246" s="15"/>
      <c r="H246" s="16">
        <v>1440</v>
      </c>
      <c r="I246" s="15">
        <v>3000</v>
      </c>
      <c r="J246" s="15">
        <v>5500</v>
      </c>
      <c r="K246" s="16">
        <v>5500</v>
      </c>
      <c r="L246" s="15">
        <v>45</v>
      </c>
      <c r="M246" s="15">
        <v>70</v>
      </c>
      <c r="N246" s="16">
        <v>110</v>
      </c>
    </row>
    <row r="247" spans="1:14" ht="15" customHeight="1" x14ac:dyDescent="0.3">
      <c r="A247" s="12" t="s">
        <v>534</v>
      </c>
      <c r="B247" s="13" t="s">
        <v>535</v>
      </c>
      <c r="C247" s="14" t="s">
        <v>495</v>
      </c>
      <c r="D247" s="14" t="s">
        <v>496</v>
      </c>
      <c r="E247" s="13" t="s">
        <v>526</v>
      </c>
      <c r="F247" s="15"/>
      <c r="G247" s="15"/>
      <c r="H247" s="16">
        <v>1260</v>
      </c>
      <c r="I247" s="15">
        <v>2600</v>
      </c>
      <c r="J247" s="15">
        <v>4800</v>
      </c>
      <c r="K247" s="16">
        <v>4800</v>
      </c>
      <c r="L247" s="15">
        <v>45</v>
      </c>
      <c r="M247" s="15">
        <v>70</v>
      </c>
      <c r="N247" s="16">
        <v>110</v>
      </c>
    </row>
    <row r="248" spans="1:14" ht="15" customHeight="1" x14ac:dyDescent="0.3">
      <c r="A248" s="12" t="s">
        <v>536</v>
      </c>
      <c r="B248" s="13" t="s">
        <v>537</v>
      </c>
      <c r="C248" s="14" t="s">
        <v>495</v>
      </c>
      <c r="D248" s="14" t="s">
        <v>538</v>
      </c>
      <c r="E248" s="13" t="s">
        <v>526</v>
      </c>
      <c r="F248" s="15"/>
      <c r="G248" s="15"/>
      <c r="H248" s="16">
        <v>1260</v>
      </c>
      <c r="I248" s="15">
        <v>2600</v>
      </c>
      <c r="J248" s="15">
        <v>4800</v>
      </c>
      <c r="K248" s="16">
        <v>4800</v>
      </c>
      <c r="L248" s="15">
        <v>45</v>
      </c>
      <c r="M248" s="15">
        <v>70</v>
      </c>
      <c r="N248" s="16">
        <v>110</v>
      </c>
    </row>
    <row r="249" spans="1:14" ht="15" customHeight="1" x14ac:dyDescent="0.3">
      <c r="A249" s="12" t="s">
        <v>539</v>
      </c>
      <c r="B249" s="13" t="s">
        <v>540</v>
      </c>
      <c r="C249" s="14" t="s">
        <v>495</v>
      </c>
      <c r="D249" s="14" t="s">
        <v>496</v>
      </c>
      <c r="E249" s="13" t="s">
        <v>85</v>
      </c>
      <c r="F249" s="15"/>
      <c r="G249" s="15"/>
      <c r="H249" s="16">
        <v>1610</v>
      </c>
      <c r="I249" s="15">
        <v>3300</v>
      </c>
      <c r="J249" s="15">
        <v>6100</v>
      </c>
      <c r="K249" s="16">
        <v>6100</v>
      </c>
      <c r="L249" s="15">
        <v>45</v>
      </c>
      <c r="M249" s="15">
        <v>70</v>
      </c>
      <c r="N249" s="16">
        <v>110</v>
      </c>
    </row>
    <row r="250" spans="1:14" ht="15" customHeight="1" x14ac:dyDescent="0.3">
      <c r="A250" s="12" t="s">
        <v>541</v>
      </c>
      <c r="B250" s="13" t="s">
        <v>542</v>
      </c>
      <c r="C250" s="14" t="s">
        <v>495</v>
      </c>
      <c r="D250" s="14" t="s">
        <v>496</v>
      </c>
      <c r="E250" s="13" t="s">
        <v>85</v>
      </c>
      <c r="F250" s="15"/>
      <c r="G250" s="15"/>
      <c r="H250" s="16">
        <v>1610</v>
      </c>
      <c r="I250" s="15">
        <v>3300</v>
      </c>
      <c r="J250" s="15">
        <v>6100</v>
      </c>
      <c r="K250" s="16">
        <v>6100</v>
      </c>
      <c r="L250" s="15">
        <v>45</v>
      </c>
      <c r="M250" s="15">
        <v>70</v>
      </c>
      <c r="N250" s="16">
        <v>110</v>
      </c>
    </row>
    <row r="251" spans="1:14" ht="15" customHeight="1" x14ac:dyDescent="0.3">
      <c r="A251" s="12" t="s">
        <v>543</v>
      </c>
      <c r="B251" s="13" t="s">
        <v>544</v>
      </c>
      <c r="C251" s="14" t="s">
        <v>495</v>
      </c>
      <c r="D251" s="14" t="s">
        <v>496</v>
      </c>
      <c r="E251" s="13" t="s">
        <v>85</v>
      </c>
      <c r="F251" s="15"/>
      <c r="G251" s="15"/>
      <c r="H251" s="16">
        <v>1610</v>
      </c>
      <c r="I251" s="15">
        <v>3300</v>
      </c>
      <c r="J251" s="15">
        <v>6100</v>
      </c>
      <c r="K251" s="16">
        <v>6100</v>
      </c>
      <c r="L251" s="15">
        <v>45</v>
      </c>
      <c r="M251" s="15">
        <v>70</v>
      </c>
      <c r="N251" s="16">
        <v>110</v>
      </c>
    </row>
    <row r="252" spans="1:14" ht="15" customHeight="1" x14ac:dyDescent="0.3">
      <c r="A252" s="12" t="s">
        <v>545</v>
      </c>
      <c r="B252" s="13" t="s">
        <v>546</v>
      </c>
      <c r="C252" s="14" t="s">
        <v>495</v>
      </c>
      <c r="D252" s="14" t="s">
        <v>496</v>
      </c>
      <c r="E252" s="13" t="s">
        <v>85</v>
      </c>
      <c r="F252" s="15"/>
      <c r="G252" s="15"/>
      <c r="H252" s="16">
        <v>1610</v>
      </c>
      <c r="I252" s="15">
        <v>3300</v>
      </c>
      <c r="J252" s="15">
        <v>6100</v>
      </c>
      <c r="K252" s="16">
        <v>6100</v>
      </c>
      <c r="L252" s="15">
        <v>45</v>
      </c>
      <c r="M252" s="15">
        <v>70</v>
      </c>
      <c r="N252" s="16">
        <v>110</v>
      </c>
    </row>
    <row r="253" spans="1:14" ht="15" customHeight="1" x14ac:dyDescent="0.3">
      <c r="A253" s="12" t="s">
        <v>547</v>
      </c>
      <c r="B253" s="13" t="s">
        <v>548</v>
      </c>
      <c r="C253" s="14" t="s">
        <v>495</v>
      </c>
      <c r="D253" s="14" t="s">
        <v>496</v>
      </c>
      <c r="E253" s="13" t="s">
        <v>85</v>
      </c>
      <c r="F253" s="15"/>
      <c r="G253" s="15"/>
      <c r="H253" s="16">
        <v>1610</v>
      </c>
      <c r="I253" s="15">
        <v>3300</v>
      </c>
      <c r="J253" s="15">
        <v>6100</v>
      </c>
      <c r="K253" s="16">
        <v>6100</v>
      </c>
      <c r="L253" s="15">
        <v>45</v>
      </c>
      <c r="M253" s="15">
        <v>70</v>
      </c>
      <c r="N253" s="16">
        <v>110</v>
      </c>
    </row>
    <row r="254" spans="1:14" ht="15" customHeight="1" x14ac:dyDescent="0.3">
      <c r="A254" s="12" t="s">
        <v>549</v>
      </c>
      <c r="B254" s="13" t="s">
        <v>550</v>
      </c>
      <c r="C254" s="14" t="s">
        <v>495</v>
      </c>
      <c r="D254" s="14" t="s">
        <v>496</v>
      </c>
      <c r="E254" s="13" t="s">
        <v>85</v>
      </c>
      <c r="F254" s="15"/>
      <c r="G254" s="15"/>
      <c r="H254" s="16">
        <v>1610</v>
      </c>
      <c r="I254" s="15">
        <v>3300</v>
      </c>
      <c r="J254" s="15">
        <v>6100</v>
      </c>
      <c r="K254" s="16">
        <v>6100</v>
      </c>
      <c r="L254" s="15">
        <v>45</v>
      </c>
      <c r="M254" s="15">
        <v>70</v>
      </c>
      <c r="N254" s="16">
        <v>110</v>
      </c>
    </row>
    <row r="255" spans="1:14" ht="15" customHeight="1" x14ac:dyDescent="0.3">
      <c r="A255" s="12" t="s">
        <v>551</v>
      </c>
      <c r="B255" s="13" t="s">
        <v>552</v>
      </c>
      <c r="C255" s="14" t="s">
        <v>495</v>
      </c>
      <c r="D255" s="14" t="s">
        <v>553</v>
      </c>
      <c r="E255" s="13" t="s">
        <v>177</v>
      </c>
      <c r="F255" s="15"/>
      <c r="G255" s="15"/>
      <c r="H255" s="16">
        <v>1610</v>
      </c>
      <c r="I255" s="15">
        <v>3300</v>
      </c>
      <c r="J255" s="15">
        <v>6100</v>
      </c>
      <c r="K255" s="16">
        <v>6100</v>
      </c>
      <c r="L255" s="15">
        <v>45</v>
      </c>
      <c r="M255" s="15">
        <v>70</v>
      </c>
      <c r="N255" s="16">
        <v>110</v>
      </c>
    </row>
    <row r="256" spans="1:14" ht="15" customHeight="1" x14ac:dyDescent="0.3">
      <c r="A256" s="12" t="s">
        <v>554</v>
      </c>
      <c r="B256" s="13" t="s">
        <v>555</v>
      </c>
      <c r="C256" s="14" t="s">
        <v>495</v>
      </c>
      <c r="D256" s="14" t="s">
        <v>496</v>
      </c>
      <c r="E256" s="13" t="s">
        <v>177</v>
      </c>
      <c r="F256" s="15"/>
      <c r="G256" s="15"/>
      <c r="H256" s="16">
        <v>1610</v>
      </c>
      <c r="I256" s="15">
        <v>3300</v>
      </c>
      <c r="J256" s="15">
        <v>6100</v>
      </c>
      <c r="K256" s="16">
        <v>6100</v>
      </c>
      <c r="L256" s="15">
        <v>45</v>
      </c>
      <c r="M256" s="15">
        <v>70</v>
      </c>
      <c r="N256" s="16">
        <v>110</v>
      </c>
    </row>
    <row r="257" spans="1:14" ht="15" customHeight="1" x14ac:dyDescent="0.3">
      <c r="A257" s="12" t="s">
        <v>110</v>
      </c>
      <c r="B257" s="13" t="s">
        <v>542</v>
      </c>
      <c r="C257" s="14" t="s">
        <v>495</v>
      </c>
      <c r="D257" s="14" t="s">
        <v>556</v>
      </c>
      <c r="E257" s="13" t="s">
        <v>110</v>
      </c>
      <c r="F257" s="15"/>
      <c r="G257" s="15"/>
      <c r="H257" s="16">
        <v>1020</v>
      </c>
      <c r="I257" s="15">
        <v>2100</v>
      </c>
      <c r="J257" s="15">
        <v>3900</v>
      </c>
      <c r="K257" s="16">
        <v>3900</v>
      </c>
      <c r="L257" s="15">
        <v>45</v>
      </c>
      <c r="M257" s="15">
        <v>70</v>
      </c>
      <c r="N257" s="16">
        <v>110</v>
      </c>
    </row>
    <row r="258" spans="1:14" ht="15" customHeight="1" x14ac:dyDescent="0.3">
      <c r="A258" s="7" t="s">
        <v>557</v>
      </c>
      <c r="B258" s="8" t="s">
        <v>558</v>
      </c>
      <c r="C258" s="9" t="s">
        <v>559</v>
      </c>
      <c r="D258" s="9" t="s">
        <v>560</v>
      </c>
      <c r="E258" s="8" t="s">
        <v>561</v>
      </c>
      <c r="F258" s="10"/>
      <c r="G258" s="10"/>
      <c r="H258" s="11">
        <v>930</v>
      </c>
      <c r="I258" s="10">
        <v>2000</v>
      </c>
      <c r="J258" s="10">
        <v>3500</v>
      </c>
      <c r="K258" s="11">
        <v>3500</v>
      </c>
      <c r="L258" s="10">
        <v>45</v>
      </c>
      <c r="M258" s="10">
        <v>70</v>
      </c>
      <c r="N258" s="11">
        <v>110</v>
      </c>
    </row>
    <row r="259" spans="1:14" ht="15" customHeight="1" x14ac:dyDescent="0.3">
      <c r="A259" s="7" t="s">
        <v>110</v>
      </c>
      <c r="B259" s="8" t="s">
        <v>562</v>
      </c>
      <c r="C259" s="9" t="s">
        <v>559</v>
      </c>
      <c r="D259" s="9" t="s">
        <v>563</v>
      </c>
      <c r="E259" s="8" t="s">
        <v>56</v>
      </c>
      <c r="F259" s="10"/>
      <c r="G259" s="10"/>
      <c r="H259" s="11">
        <v>1150</v>
      </c>
      <c r="I259" s="10">
        <v>2500</v>
      </c>
      <c r="J259" s="10">
        <v>4400</v>
      </c>
      <c r="K259" s="11">
        <v>4400</v>
      </c>
      <c r="L259" s="10">
        <v>45</v>
      </c>
      <c r="M259" s="10">
        <v>70</v>
      </c>
      <c r="N259" s="11">
        <v>110</v>
      </c>
    </row>
    <row r="260" spans="1:14" ht="15" customHeight="1" x14ac:dyDescent="0.3">
      <c r="A260" s="7" t="s">
        <v>110</v>
      </c>
      <c r="B260" s="8" t="s">
        <v>564</v>
      </c>
      <c r="C260" s="9" t="s">
        <v>559</v>
      </c>
      <c r="D260" s="9" t="s">
        <v>565</v>
      </c>
      <c r="E260" s="8" t="s">
        <v>566</v>
      </c>
      <c r="F260" s="10"/>
      <c r="G260" s="10"/>
      <c r="H260" s="11">
        <v>930</v>
      </c>
      <c r="I260" s="10">
        <v>2000</v>
      </c>
      <c r="J260" s="10">
        <v>3500</v>
      </c>
      <c r="K260" s="11">
        <v>3500</v>
      </c>
      <c r="L260" s="10">
        <v>45</v>
      </c>
      <c r="M260" s="10">
        <v>70</v>
      </c>
      <c r="N260" s="11">
        <v>110</v>
      </c>
    </row>
    <row r="261" spans="1:14" ht="15" customHeight="1" x14ac:dyDescent="0.3">
      <c r="A261" s="12" t="s">
        <v>567</v>
      </c>
      <c r="B261" s="13" t="s">
        <v>568</v>
      </c>
      <c r="C261" s="14" t="s">
        <v>569</v>
      </c>
      <c r="D261" s="14" t="s">
        <v>570</v>
      </c>
      <c r="E261" s="13" t="s">
        <v>145</v>
      </c>
      <c r="F261" s="15"/>
      <c r="G261" s="15"/>
      <c r="H261" s="16">
        <v>910</v>
      </c>
      <c r="I261" s="15">
        <v>1900</v>
      </c>
      <c r="J261" s="15">
        <v>3500</v>
      </c>
      <c r="K261" s="16">
        <v>3500</v>
      </c>
      <c r="L261" s="15">
        <v>45</v>
      </c>
      <c r="M261" s="15">
        <v>70</v>
      </c>
      <c r="N261" s="16">
        <v>115</v>
      </c>
    </row>
    <row r="262" spans="1:14" ht="15" customHeight="1" x14ac:dyDescent="0.3">
      <c r="A262" s="12" t="s">
        <v>571</v>
      </c>
      <c r="B262" s="13" t="s">
        <v>572</v>
      </c>
      <c r="C262" s="14" t="s">
        <v>569</v>
      </c>
      <c r="D262" s="14" t="s">
        <v>573</v>
      </c>
      <c r="E262" s="13" t="s">
        <v>503</v>
      </c>
      <c r="F262" s="15"/>
      <c r="G262" s="15"/>
      <c r="H262" s="16">
        <v>810</v>
      </c>
      <c r="I262" s="15">
        <v>1700</v>
      </c>
      <c r="J262" s="15">
        <v>3100</v>
      </c>
      <c r="K262" s="16">
        <v>3100</v>
      </c>
      <c r="L262" s="15">
        <v>45</v>
      </c>
      <c r="M262" s="15">
        <v>70</v>
      </c>
      <c r="N262" s="16">
        <v>115</v>
      </c>
    </row>
    <row r="263" spans="1:14" ht="15" customHeight="1" x14ac:dyDescent="0.3">
      <c r="A263" s="12" t="s">
        <v>574</v>
      </c>
      <c r="B263" s="13" t="s">
        <v>575</v>
      </c>
      <c r="C263" s="14" t="s">
        <v>569</v>
      </c>
      <c r="D263" s="14" t="s">
        <v>576</v>
      </c>
      <c r="E263" s="13" t="s">
        <v>503</v>
      </c>
      <c r="F263" s="15"/>
      <c r="G263" s="15"/>
      <c r="H263" s="16">
        <v>810</v>
      </c>
      <c r="I263" s="15">
        <v>1700</v>
      </c>
      <c r="J263" s="15">
        <v>3100</v>
      </c>
      <c r="K263" s="16">
        <v>3100</v>
      </c>
      <c r="L263" s="15">
        <v>45</v>
      </c>
      <c r="M263" s="15">
        <v>70</v>
      </c>
      <c r="N263" s="16">
        <v>115</v>
      </c>
    </row>
    <row r="264" spans="1:14" ht="15" customHeight="1" x14ac:dyDescent="0.3">
      <c r="A264" s="12" t="s">
        <v>577</v>
      </c>
      <c r="B264" s="13" t="s">
        <v>578</v>
      </c>
      <c r="C264" s="14" t="s">
        <v>569</v>
      </c>
      <c r="D264" s="14" t="s">
        <v>579</v>
      </c>
      <c r="E264" s="13" t="s">
        <v>580</v>
      </c>
      <c r="F264" s="15"/>
      <c r="G264" s="15"/>
      <c r="H264" s="16">
        <v>810</v>
      </c>
      <c r="I264" s="15">
        <v>1700</v>
      </c>
      <c r="J264" s="15">
        <v>3100</v>
      </c>
      <c r="K264" s="16">
        <v>3100</v>
      </c>
      <c r="L264" s="15">
        <v>45</v>
      </c>
      <c r="M264" s="15">
        <v>70</v>
      </c>
      <c r="N264" s="16">
        <v>115</v>
      </c>
    </row>
    <row r="265" spans="1:14" ht="15" customHeight="1" x14ac:dyDescent="0.3">
      <c r="A265" s="12" t="s">
        <v>581</v>
      </c>
      <c r="B265" s="13" t="s">
        <v>582</v>
      </c>
      <c r="C265" s="14" t="s">
        <v>569</v>
      </c>
      <c r="D265" s="14" t="s">
        <v>583</v>
      </c>
      <c r="E265" s="13" t="s">
        <v>73</v>
      </c>
      <c r="F265" s="15"/>
      <c r="G265" s="15"/>
      <c r="H265" s="16">
        <v>1290</v>
      </c>
      <c r="I265" s="15">
        <v>2600</v>
      </c>
      <c r="J265" s="15">
        <v>4900</v>
      </c>
      <c r="K265" s="16">
        <v>4900</v>
      </c>
      <c r="L265" s="15">
        <v>45</v>
      </c>
      <c r="M265" s="15">
        <v>70</v>
      </c>
      <c r="N265" s="16">
        <v>115</v>
      </c>
    </row>
    <row r="266" spans="1:14" ht="15" customHeight="1" x14ac:dyDescent="0.3">
      <c r="A266" s="12" t="s">
        <v>584</v>
      </c>
      <c r="B266" s="13" t="s">
        <v>585</v>
      </c>
      <c r="C266" s="14" t="s">
        <v>569</v>
      </c>
      <c r="D266" s="14" t="s">
        <v>583</v>
      </c>
      <c r="E266" s="13" t="s">
        <v>73</v>
      </c>
      <c r="F266" s="15"/>
      <c r="G266" s="15"/>
      <c r="H266" s="16">
        <v>1290</v>
      </c>
      <c r="I266" s="15">
        <v>2600</v>
      </c>
      <c r="J266" s="15">
        <v>4900</v>
      </c>
      <c r="K266" s="16">
        <v>4900</v>
      </c>
      <c r="L266" s="15">
        <v>45</v>
      </c>
      <c r="M266" s="15">
        <v>70</v>
      </c>
      <c r="N266" s="16">
        <v>115</v>
      </c>
    </row>
    <row r="267" spans="1:14" ht="15" customHeight="1" x14ac:dyDescent="0.3">
      <c r="A267" s="12" t="s">
        <v>586</v>
      </c>
      <c r="B267" s="13" t="s">
        <v>587</v>
      </c>
      <c r="C267" s="14" t="s">
        <v>569</v>
      </c>
      <c r="D267" s="14" t="s">
        <v>583</v>
      </c>
      <c r="E267" s="13" t="s">
        <v>73</v>
      </c>
      <c r="F267" s="15"/>
      <c r="G267" s="15"/>
      <c r="H267" s="16">
        <v>1290</v>
      </c>
      <c r="I267" s="15">
        <v>2600</v>
      </c>
      <c r="J267" s="15">
        <v>4900</v>
      </c>
      <c r="K267" s="16">
        <v>4900</v>
      </c>
      <c r="L267" s="15">
        <v>45</v>
      </c>
      <c r="M267" s="15">
        <v>70</v>
      </c>
      <c r="N267" s="16">
        <v>115</v>
      </c>
    </row>
    <row r="268" spans="1:14" ht="15" customHeight="1" x14ac:dyDescent="0.3">
      <c r="A268" s="12" t="s">
        <v>588</v>
      </c>
      <c r="B268" s="13" t="s">
        <v>589</v>
      </c>
      <c r="C268" s="14" t="s">
        <v>569</v>
      </c>
      <c r="D268" s="14" t="s">
        <v>590</v>
      </c>
      <c r="E268" s="13" t="s">
        <v>177</v>
      </c>
      <c r="F268" s="15"/>
      <c r="G268" s="15"/>
      <c r="H268" s="16">
        <v>1290</v>
      </c>
      <c r="I268" s="15">
        <v>2600</v>
      </c>
      <c r="J268" s="15">
        <v>4900</v>
      </c>
      <c r="K268" s="16">
        <v>4900</v>
      </c>
      <c r="L268" s="15">
        <v>45</v>
      </c>
      <c r="M268" s="15">
        <v>70</v>
      </c>
      <c r="N268" s="16">
        <v>115</v>
      </c>
    </row>
    <row r="269" spans="1:14" ht="15" customHeight="1" x14ac:dyDescent="0.3">
      <c r="A269" s="12" t="s">
        <v>591</v>
      </c>
      <c r="B269" s="13" t="s">
        <v>592</v>
      </c>
      <c r="C269" s="14" t="s">
        <v>569</v>
      </c>
      <c r="D269" s="14" t="s">
        <v>583</v>
      </c>
      <c r="E269" s="13" t="s">
        <v>85</v>
      </c>
      <c r="F269" s="15"/>
      <c r="G269" s="15"/>
      <c r="H269" s="16">
        <v>1290</v>
      </c>
      <c r="I269" s="15">
        <v>2600</v>
      </c>
      <c r="J269" s="15">
        <v>4900</v>
      </c>
      <c r="K269" s="16">
        <v>4900</v>
      </c>
      <c r="L269" s="15">
        <v>45</v>
      </c>
      <c r="M269" s="15">
        <v>70</v>
      </c>
      <c r="N269" s="16">
        <v>115</v>
      </c>
    </row>
    <row r="270" spans="1:14" ht="15" customHeight="1" x14ac:dyDescent="0.3">
      <c r="A270" s="12" t="s">
        <v>593</v>
      </c>
      <c r="B270" s="13" t="s">
        <v>594</v>
      </c>
      <c r="C270" s="14" t="s">
        <v>569</v>
      </c>
      <c r="D270" s="14" t="s">
        <v>595</v>
      </c>
      <c r="E270" s="13" t="s">
        <v>596</v>
      </c>
      <c r="F270" s="15"/>
      <c r="G270" s="15"/>
      <c r="H270" s="16">
        <v>810</v>
      </c>
      <c r="I270" s="15">
        <v>1700</v>
      </c>
      <c r="J270" s="15">
        <v>3100</v>
      </c>
      <c r="K270" s="16">
        <v>3100</v>
      </c>
      <c r="L270" s="15">
        <v>45</v>
      </c>
      <c r="M270" s="15">
        <v>70</v>
      </c>
      <c r="N270" s="16">
        <v>115</v>
      </c>
    </row>
    <row r="271" spans="1:14" ht="15" customHeight="1" x14ac:dyDescent="0.3">
      <c r="A271" s="12" t="s">
        <v>597</v>
      </c>
      <c r="B271" s="13" t="s">
        <v>598</v>
      </c>
      <c r="C271" s="14" t="s">
        <v>569</v>
      </c>
      <c r="D271" s="14" t="s">
        <v>599</v>
      </c>
      <c r="E271" s="13" t="s">
        <v>190</v>
      </c>
      <c r="F271" s="15"/>
      <c r="G271" s="15"/>
      <c r="H271" s="16">
        <v>1290</v>
      </c>
      <c r="I271" s="15">
        <v>2600</v>
      </c>
      <c r="J271" s="15">
        <v>4900</v>
      </c>
      <c r="K271" s="16">
        <v>4900</v>
      </c>
      <c r="L271" s="15">
        <v>45</v>
      </c>
      <c r="M271" s="15">
        <v>70</v>
      </c>
      <c r="N271" s="16">
        <v>115</v>
      </c>
    </row>
    <row r="272" spans="1:14" ht="15" customHeight="1" x14ac:dyDescent="0.3">
      <c r="A272" s="7" t="s">
        <v>600</v>
      </c>
      <c r="B272" s="8" t="s">
        <v>601</v>
      </c>
      <c r="C272" s="9" t="s">
        <v>602</v>
      </c>
      <c r="D272" s="9" t="s">
        <v>603</v>
      </c>
      <c r="E272" s="8" t="s">
        <v>56</v>
      </c>
      <c r="F272" s="10"/>
      <c r="G272" s="10"/>
      <c r="H272" s="11">
        <v>830</v>
      </c>
      <c r="I272" s="10">
        <v>1800</v>
      </c>
      <c r="J272" s="10">
        <v>3200</v>
      </c>
      <c r="K272" s="11">
        <v>3200</v>
      </c>
      <c r="L272" s="10">
        <v>45</v>
      </c>
      <c r="M272" s="10">
        <v>70</v>
      </c>
      <c r="N272" s="11">
        <v>110</v>
      </c>
    </row>
    <row r="273" spans="1:14" ht="15" customHeight="1" x14ac:dyDescent="0.3">
      <c r="A273" s="7" t="s">
        <v>604</v>
      </c>
      <c r="B273" s="8" t="s">
        <v>605</v>
      </c>
      <c r="C273" s="9" t="s">
        <v>602</v>
      </c>
      <c r="D273" s="9" t="s">
        <v>606</v>
      </c>
      <c r="E273" s="8" t="s">
        <v>45</v>
      </c>
      <c r="F273" s="10"/>
      <c r="G273" s="10"/>
      <c r="H273" s="11">
        <v>940</v>
      </c>
      <c r="I273" s="10">
        <v>2000</v>
      </c>
      <c r="J273" s="10">
        <v>3600</v>
      </c>
      <c r="K273" s="11">
        <v>3600</v>
      </c>
      <c r="L273" s="10">
        <v>45</v>
      </c>
      <c r="M273" s="10">
        <v>70</v>
      </c>
      <c r="N273" s="11">
        <v>110</v>
      </c>
    </row>
    <row r="274" spans="1:14" ht="15" customHeight="1" x14ac:dyDescent="0.3">
      <c r="A274" s="7" t="s">
        <v>607</v>
      </c>
      <c r="B274" s="8" t="s">
        <v>608</v>
      </c>
      <c r="C274" s="9" t="s">
        <v>602</v>
      </c>
      <c r="D274" s="9" t="s">
        <v>606</v>
      </c>
      <c r="E274" s="8" t="s">
        <v>45</v>
      </c>
      <c r="F274" s="10"/>
      <c r="G274" s="10"/>
      <c r="H274" s="11">
        <v>670</v>
      </c>
      <c r="I274" s="10">
        <v>1400</v>
      </c>
      <c r="J274" s="10">
        <v>2500</v>
      </c>
      <c r="K274" s="11">
        <v>2500</v>
      </c>
      <c r="L274" s="10">
        <v>45</v>
      </c>
      <c r="M274" s="10">
        <v>70</v>
      </c>
      <c r="N274" s="11">
        <v>110</v>
      </c>
    </row>
    <row r="275" spans="1:14" ht="15" customHeight="1" x14ac:dyDescent="0.3">
      <c r="A275" s="7" t="s">
        <v>609</v>
      </c>
      <c r="B275" s="8" t="s">
        <v>610</v>
      </c>
      <c r="C275" s="9" t="s">
        <v>602</v>
      </c>
      <c r="D275" s="9" t="s">
        <v>611</v>
      </c>
      <c r="E275" s="8" t="s">
        <v>124</v>
      </c>
      <c r="F275" s="10"/>
      <c r="G275" s="10"/>
      <c r="H275" s="11">
        <v>940</v>
      </c>
      <c r="I275" s="10">
        <v>2000</v>
      </c>
      <c r="J275" s="10">
        <v>3600</v>
      </c>
      <c r="K275" s="11">
        <v>3600</v>
      </c>
      <c r="L275" s="10">
        <v>45</v>
      </c>
      <c r="M275" s="10">
        <v>70</v>
      </c>
      <c r="N275" s="11">
        <v>110</v>
      </c>
    </row>
    <row r="276" spans="1:14" ht="15" customHeight="1" x14ac:dyDescent="0.3">
      <c r="A276" s="7" t="s">
        <v>612</v>
      </c>
      <c r="B276" s="8" t="s">
        <v>613</v>
      </c>
      <c r="C276" s="9" t="s">
        <v>602</v>
      </c>
      <c r="D276" s="9" t="s">
        <v>614</v>
      </c>
      <c r="E276" s="8" t="s">
        <v>121</v>
      </c>
      <c r="F276" s="10"/>
      <c r="G276" s="10"/>
      <c r="H276" s="11">
        <v>940</v>
      </c>
      <c r="I276" s="10">
        <v>2000</v>
      </c>
      <c r="J276" s="10">
        <v>3600</v>
      </c>
      <c r="K276" s="11">
        <v>3600</v>
      </c>
      <c r="L276" s="10">
        <v>45</v>
      </c>
      <c r="M276" s="10">
        <v>70</v>
      </c>
      <c r="N276" s="11">
        <v>110</v>
      </c>
    </row>
    <row r="277" spans="1:14" ht="15" customHeight="1" x14ac:dyDescent="0.3">
      <c r="A277" s="7" t="s">
        <v>615</v>
      </c>
      <c r="B277" s="8" t="s">
        <v>616</v>
      </c>
      <c r="C277" s="9" t="s">
        <v>602</v>
      </c>
      <c r="D277" s="9" t="s">
        <v>617</v>
      </c>
      <c r="E277" s="8" t="s">
        <v>470</v>
      </c>
      <c r="F277" s="10"/>
      <c r="G277" s="10"/>
      <c r="H277" s="11">
        <v>940</v>
      </c>
      <c r="I277" s="10">
        <v>2000</v>
      </c>
      <c r="J277" s="10">
        <v>3600</v>
      </c>
      <c r="K277" s="11">
        <v>3600</v>
      </c>
      <c r="L277" s="10">
        <v>45</v>
      </c>
      <c r="M277" s="10">
        <v>70</v>
      </c>
      <c r="N277" s="11">
        <v>110</v>
      </c>
    </row>
    <row r="278" spans="1:14" ht="15" customHeight="1" x14ac:dyDescent="0.3">
      <c r="A278" s="7" t="s">
        <v>618</v>
      </c>
      <c r="B278" s="8" t="s">
        <v>619</v>
      </c>
      <c r="C278" s="9" t="s">
        <v>602</v>
      </c>
      <c r="D278" s="9" t="s">
        <v>606</v>
      </c>
      <c r="E278" s="8" t="s">
        <v>470</v>
      </c>
      <c r="F278" s="10"/>
      <c r="G278" s="10"/>
      <c r="H278" s="11">
        <v>940</v>
      </c>
      <c r="I278" s="10">
        <v>2000</v>
      </c>
      <c r="J278" s="10">
        <v>3600</v>
      </c>
      <c r="K278" s="11">
        <v>3600</v>
      </c>
      <c r="L278" s="10">
        <v>45</v>
      </c>
      <c r="M278" s="10">
        <v>70</v>
      </c>
      <c r="N278" s="11">
        <v>110</v>
      </c>
    </row>
    <row r="279" spans="1:14" ht="15" customHeight="1" x14ac:dyDescent="0.3">
      <c r="A279" s="7" t="s">
        <v>620</v>
      </c>
      <c r="B279" s="8" t="s">
        <v>621</v>
      </c>
      <c r="C279" s="9" t="s">
        <v>602</v>
      </c>
      <c r="D279" s="9" t="s">
        <v>622</v>
      </c>
      <c r="E279" s="8" t="s">
        <v>85</v>
      </c>
      <c r="F279" s="10"/>
      <c r="G279" s="10"/>
      <c r="H279" s="11">
        <v>1060</v>
      </c>
      <c r="I279" s="10">
        <v>2300</v>
      </c>
      <c r="J279" s="10">
        <v>4000</v>
      </c>
      <c r="K279" s="11">
        <v>4000</v>
      </c>
      <c r="L279" s="10">
        <v>45</v>
      </c>
      <c r="M279" s="10">
        <v>70</v>
      </c>
      <c r="N279" s="11">
        <v>110</v>
      </c>
    </row>
    <row r="280" spans="1:14" ht="15" customHeight="1" x14ac:dyDescent="0.3">
      <c r="A280" s="7" t="s">
        <v>623</v>
      </c>
      <c r="B280" s="8" t="s">
        <v>624</v>
      </c>
      <c r="C280" s="9" t="s">
        <v>602</v>
      </c>
      <c r="D280" s="9" t="s">
        <v>622</v>
      </c>
      <c r="E280" s="8" t="s">
        <v>85</v>
      </c>
      <c r="F280" s="10"/>
      <c r="G280" s="10"/>
      <c r="H280" s="11">
        <v>1060</v>
      </c>
      <c r="I280" s="10">
        <v>2300</v>
      </c>
      <c r="J280" s="10">
        <v>4000</v>
      </c>
      <c r="K280" s="11">
        <v>4000</v>
      </c>
      <c r="L280" s="10">
        <v>45</v>
      </c>
      <c r="M280" s="10">
        <v>70</v>
      </c>
      <c r="N280" s="11">
        <v>110</v>
      </c>
    </row>
    <row r="281" spans="1:14" ht="15" customHeight="1" x14ac:dyDescent="0.3">
      <c r="A281" s="7" t="s">
        <v>625</v>
      </c>
      <c r="B281" s="8" t="s">
        <v>626</v>
      </c>
      <c r="C281" s="9" t="s">
        <v>602</v>
      </c>
      <c r="D281" s="9" t="s">
        <v>622</v>
      </c>
      <c r="E281" s="8" t="s">
        <v>85</v>
      </c>
      <c r="F281" s="10"/>
      <c r="G281" s="10"/>
      <c r="H281" s="11">
        <v>1060</v>
      </c>
      <c r="I281" s="10">
        <v>2300</v>
      </c>
      <c r="J281" s="10">
        <v>4000</v>
      </c>
      <c r="K281" s="11">
        <v>4000</v>
      </c>
      <c r="L281" s="10">
        <v>45</v>
      </c>
      <c r="M281" s="10">
        <v>70</v>
      </c>
      <c r="N281" s="11">
        <v>110</v>
      </c>
    </row>
    <row r="282" spans="1:14" ht="15" customHeight="1" x14ac:dyDescent="0.3">
      <c r="A282" s="7" t="s">
        <v>627</v>
      </c>
      <c r="B282" s="8" t="s">
        <v>628</v>
      </c>
      <c r="C282" s="9" t="s">
        <v>602</v>
      </c>
      <c r="D282" s="9" t="s">
        <v>622</v>
      </c>
      <c r="E282" s="8" t="s">
        <v>85</v>
      </c>
      <c r="F282" s="10"/>
      <c r="G282" s="10"/>
      <c r="H282" s="11">
        <v>1060</v>
      </c>
      <c r="I282" s="10">
        <v>2300</v>
      </c>
      <c r="J282" s="10">
        <v>4000</v>
      </c>
      <c r="K282" s="11">
        <v>4000</v>
      </c>
      <c r="L282" s="10">
        <v>45</v>
      </c>
      <c r="M282" s="10">
        <v>70</v>
      </c>
      <c r="N282" s="11">
        <v>110</v>
      </c>
    </row>
    <row r="283" spans="1:14" ht="15" customHeight="1" x14ac:dyDescent="0.3">
      <c r="A283" s="7" t="s">
        <v>629</v>
      </c>
      <c r="B283" s="8" t="s">
        <v>630</v>
      </c>
      <c r="C283" s="9" t="s">
        <v>602</v>
      </c>
      <c r="D283" s="9" t="s">
        <v>631</v>
      </c>
      <c r="E283" s="8" t="s">
        <v>85</v>
      </c>
      <c r="F283" s="10"/>
      <c r="G283" s="10"/>
      <c r="H283" s="11">
        <v>1060</v>
      </c>
      <c r="I283" s="10">
        <v>2300</v>
      </c>
      <c r="J283" s="10">
        <v>4000</v>
      </c>
      <c r="K283" s="11">
        <v>4000</v>
      </c>
      <c r="L283" s="10">
        <v>45</v>
      </c>
      <c r="M283" s="10">
        <v>70</v>
      </c>
      <c r="N283" s="11">
        <v>110</v>
      </c>
    </row>
    <row r="284" spans="1:14" ht="15" customHeight="1" x14ac:dyDescent="0.3">
      <c r="A284" s="7" t="s">
        <v>632</v>
      </c>
      <c r="B284" s="8" t="s">
        <v>633</v>
      </c>
      <c r="C284" s="9" t="s">
        <v>602</v>
      </c>
      <c r="D284" s="9" t="s">
        <v>634</v>
      </c>
      <c r="E284" s="8" t="s">
        <v>470</v>
      </c>
      <c r="F284" s="10"/>
      <c r="G284" s="10"/>
      <c r="H284" s="11">
        <v>940</v>
      </c>
      <c r="I284" s="10">
        <v>2000</v>
      </c>
      <c r="J284" s="10">
        <v>3600</v>
      </c>
      <c r="K284" s="11">
        <v>3600</v>
      </c>
      <c r="L284" s="10">
        <v>45</v>
      </c>
      <c r="M284" s="10">
        <v>70</v>
      </c>
      <c r="N284" s="11">
        <v>110</v>
      </c>
    </row>
    <row r="285" spans="1:14" ht="15" customHeight="1" x14ac:dyDescent="0.3">
      <c r="A285" s="12" t="s">
        <v>635</v>
      </c>
      <c r="B285" s="13" t="s">
        <v>636</v>
      </c>
      <c r="C285" s="14" t="s">
        <v>637</v>
      </c>
      <c r="D285" s="14" t="s">
        <v>638</v>
      </c>
      <c r="E285" s="13" t="s">
        <v>56</v>
      </c>
      <c r="F285" s="15"/>
      <c r="G285" s="15"/>
      <c r="H285" s="16">
        <v>2340</v>
      </c>
      <c r="I285" s="15">
        <v>4300</v>
      </c>
      <c r="J285" s="15">
        <v>7400</v>
      </c>
      <c r="K285" s="16">
        <v>8900</v>
      </c>
      <c r="L285" s="15">
        <v>95</v>
      </c>
      <c r="M285" s="15">
        <v>120</v>
      </c>
      <c r="N285" s="16">
        <v>230</v>
      </c>
    </row>
    <row r="286" spans="1:14" ht="15" customHeight="1" x14ac:dyDescent="0.3">
      <c r="A286" s="12" t="s">
        <v>639</v>
      </c>
      <c r="B286" s="13" t="s">
        <v>640</v>
      </c>
      <c r="C286" s="14" t="s">
        <v>637</v>
      </c>
      <c r="D286" s="14" t="s">
        <v>641</v>
      </c>
      <c r="E286" s="13" t="s">
        <v>121</v>
      </c>
      <c r="F286" s="15"/>
      <c r="G286" s="15"/>
      <c r="H286" s="16">
        <v>2670</v>
      </c>
      <c r="I286" s="15">
        <v>4800</v>
      </c>
      <c r="J286" s="15">
        <v>7900</v>
      </c>
      <c r="K286" s="16">
        <v>10100</v>
      </c>
      <c r="L286" s="15">
        <v>95</v>
      </c>
      <c r="M286" s="15">
        <v>120</v>
      </c>
      <c r="N286" s="16">
        <v>230</v>
      </c>
    </row>
    <row r="287" spans="1:14" ht="15" customHeight="1" x14ac:dyDescent="0.3">
      <c r="A287" s="12" t="s">
        <v>642</v>
      </c>
      <c r="B287" s="13" t="s">
        <v>643</v>
      </c>
      <c r="C287" s="14" t="s">
        <v>637</v>
      </c>
      <c r="D287" s="14" t="s">
        <v>644</v>
      </c>
      <c r="E287" s="13" t="s">
        <v>45</v>
      </c>
      <c r="F287" s="15"/>
      <c r="G287" s="15"/>
      <c r="H287" s="16">
        <v>2670</v>
      </c>
      <c r="I287" s="15">
        <v>4800</v>
      </c>
      <c r="J287" s="15">
        <v>7900</v>
      </c>
      <c r="K287" s="16">
        <v>10100</v>
      </c>
      <c r="L287" s="15">
        <v>95</v>
      </c>
      <c r="M287" s="15">
        <v>120</v>
      </c>
      <c r="N287" s="16">
        <v>230</v>
      </c>
    </row>
    <row r="288" spans="1:14" ht="15" customHeight="1" x14ac:dyDescent="0.3">
      <c r="A288" s="12" t="s">
        <v>645</v>
      </c>
      <c r="B288" s="13" t="s">
        <v>646</v>
      </c>
      <c r="C288" s="14" t="s">
        <v>637</v>
      </c>
      <c r="D288" s="14" t="s">
        <v>638</v>
      </c>
      <c r="E288" s="13" t="s">
        <v>158</v>
      </c>
      <c r="F288" s="15"/>
      <c r="G288" s="15"/>
      <c r="H288" s="16">
        <v>2110</v>
      </c>
      <c r="I288" s="15">
        <v>3800</v>
      </c>
      <c r="J288" s="15">
        <v>6900</v>
      </c>
      <c r="K288" s="16">
        <v>8000</v>
      </c>
      <c r="L288" s="15">
        <v>95</v>
      </c>
      <c r="M288" s="15">
        <v>120</v>
      </c>
      <c r="N288" s="16">
        <v>230</v>
      </c>
    </row>
    <row r="289" spans="1:14" ht="15" customHeight="1" x14ac:dyDescent="0.3">
      <c r="A289" s="12" t="s">
        <v>647</v>
      </c>
      <c r="B289" s="13" t="s">
        <v>648</v>
      </c>
      <c r="C289" s="14" t="s">
        <v>637</v>
      </c>
      <c r="D289" s="14" t="s">
        <v>644</v>
      </c>
      <c r="E289" s="13" t="s">
        <v>158</v>
      </c>
      <c r="F289" s="15"/>
      <c r="G289" s="15"/>
      <c r="H289" s="16">
        <v>2670</v>
      </c>
      <c r="I289" s="15">
        <v>4800</v>
      </c>
      <c r="J289" s="15">
        <v>7900</v>
      </c>
      <c r="K289" s="16">
        <v>10100</v>
      </c>
      <c r="L289" s="15">
        <v>95</v>
      </c>
      <c r="M289" s="15">
        <v>120</v>
      </c>
      <c r="N289" s="16">
        <v>230</v>
      </c>
    </row>
    <row r="290" spans="1:14" ht="15" customHeight="1" x14ac:dyDescent="0.3">
      <c r="A290" s="12" t="s">
        <v>649</v>
      </c>
      <c r="B290" s="13" t="s">
        <v>650</v>
      </c>
      <c r="C290" s="14" t="s">
        <v>637</v>
      </c>
      <c r="D290" s="14" t="s">
        <v>651</v>
      </c>
      <c r="E290" s="13" t="s">
        <v>470</v>
      </c>
      <c r="F290" s="15"/>
      <c r="G290" s="15"/>
      <c r="H290" s="16">
        <v>2670</v>
      </c>
      <c r="I290" s="15">
        <v>4800</v>
      </c>
      <c r="J290" s="15">
        <v>7900</v>
      </c>
      <c r="K290" s="16">
        <v>10100</v>
      </c>
      <c r="L290" s="15">
        <v>95</v>
      </c>
      <c r="M290" s="15">
        <v>120</v>
      </c>
      <c r="N290" s="16">
        <v>230</v>
      </c>
    </row>
    <row r="291" spans="1:14" ht="15" customHeight="1" x14ac:dyDescent="0.3">
      <c r="A291" s="12" t="s">
        <v>652</v>
      </c>
      <c r="B291" s="13" t="s">
        <v>653</v>
      </c>
      <c r="C291" s="14" t="s">
        <v>637</v>
      </c>
      <c r="D291" s="14" t="s">
        <v>654</v>
      </c>
      <c r="E291" s="13" t="s">
        <v>470</v>
      </c>
      <c r="F291" s="15"/>
      <c r="G291" s="15"/>
      <c r="H291" s="16">
        <v>3250</v>
      </c>
      <c r="I291" s="15">
        <v>5900</v>
      </c>
      <c r="J291" s="15">
        <v>9000</v>
      </c>
      <c r="K291" s="16">
        <v>12400</v>
      </c>
      <c r="L291" s="15">
        <v>95</v>
      </c>
      <c r="M291" s="15">
        <v>120</v>
      </c>
      <c r="N291" s="16">
        <v>230</v>
      </c>
    </row>
    <row r="292" spans="1:14" ht="15" customHeight="1" x14ac:dyDescent="0.3">
      <c r="A292" s="12" t="s">
        <v>655</v>
      </c>
      <c r="B292" s="13" t="s">
        <v>656</v>
      </c>
      <c r="C292" s="14" t="s">
        <v>637</v>
      </c>
      <c r="D292" s="14" t="s">
        <v>654</v>
      </c>
      <c r="E292" s="13" t="s">
        <v>470</v>
      </c>
      <c r="F292" s="15"/>
      <c r="G292" s="15"/>
      <c r="H292" s="16">
        <v>3250</v>
      </c>
      <c r="I292" s="15">
        <v>5900</v>
      </c>
      <c r="J292" s="15">
        <v>9000</v>
      </c>
      <c r="K292" s="16">
        <v>12400</v>
      </c>
      <c r="L292" s="15">
        <v>95</v>
      </c>
      <c r="M292" s="15">
        <v>120</v>
      </c>
      <c r="N292" s="16">
        <v>230</v>
      </c>
    </row>
    <row r="293" spans="1:14" ht="15" customHeight="1" x14ac:dyDescent="0.3">
      <c r="A293" s="12" t="s">
        <v>657</v>
      </c>
      <c r="B293" s="13" t="s">
        <v>658</v>
      </c>
      <c r="C293" s="14" t="s">
        <v>637</v>
      </c>
      <c r="D293" s="14" t="s">
        <v>641</v>
      </c>
      <c r="E293" s="13" t="s">
        <v>45</v>
      </c>
      <c r="F293" s="15"/>
      <c r="G293" s="15"/>
      <c r="H293" s="16">
        <v>2670</v>
      </c>
      <c r="I293" s="15">
        <v>4800</v>
      </c>
      <c r="J293" s="15">
        <v>7900</v>
      </c>
      <c r="K293" s="16">
        <v>10100</v>
      </c>
      <c r="L293" s="15">
        <v>95</v>
      </c>
      <c r="M293" s="15">
        <v>120</v>
      </c>
      <c r="N293" s="16">
        <v>230</v>
      </c>
    </row>
    <row r="294" spans="1:14" ht="15" customHeight="1" x14ac:dyDescent="0.3">
      <c r="A294" s="12" t="s">
        <v>659</v>
      </c>
      <c r="B294" s="13" t="s">
        <v>660</v>
      </c>
      <c r="C294" s="14" t="s">
        <v>637</v>
      </c>
      <c r="D294" s="14" t="s">
        <v>654</v>
      </c>
      <c r="E294" s="13" t="s">
        <v>45</v>
      </c>
      <c r="F294" s="15"/>
      <c r="G294" s="15"/>
      <c r="H294" s="16">
        <v>3250</v>
      </c>
      <c r="I294" s="15">
        <v>5900</v>
      </c>
      <c r="J294" s="15">
        <v>9000</v>
      </c>
      <c r="K294" s="16">
        <v>12400</v>
      </c>
      <c r="L294" s="15">
        <v>95</v>
      </c>
      <c r="M294" s="15">
        <v>120</v>
      </c>
      <c r="N294" s="16">
        <v>230</v>
      </c>
    </row>
    <row r="295" spans="1:14" ht="15" customHeight="1" x14ac:dyDescent="0.3">
      <c r="A295" s="12" t="s">
        <v>661</v>
      </c>
      <c r="B295" s="13" t="s">
        <v>662</v>
      </c>
      <c r="C295" s="14" t="s">
        <v>637</v>
      </c>
      <c r="D295" s="14" t="s">
        <v>663</v>
      </c>
      <c r="E295" s="13" t="s">
        <v>45</v>
      </c>
      <c r="F295" s="15"/>
      <c r="G295" s="15"/>
      <c r="H295" s="16">
        <v>2670</v>
      </c>
      <c r="I295" s="15">
        <v>4800</v>
      </c>
      <c r="J295" s="15">
        <v>7900</v>
      </c>
      <c r="K295" s="16">
        <v>10100</v>
      </c>
      <c r="L295" s="15">
        <v>95</v>
      </c>
      <c r="M295" s="15">
        <v>120</v>
      </c>
      <c r="N295" s="16">
        <v>230</v>
      </c>
    </row>
    <row r="296" spans="1:14" ht="15" customHeight="1" x14ac:dyDescent="0.3">
      <c r="A296" s="12" t="s">
        <v>664</v>
      </c>
      <c r="B296" s="13" t="s">
        <v>665</v>
      </c>
      <c r="C296" s="14" t="s">
        <v>637</v>
      </c>
      <c r="D296" s="14" t="s">
        <v>654</v>
      </c>
      <c r="E296" s="13" t="s">
        <v>45</v>
      </c>
      <c r="F296" s="15"/>
      <c r="G296" s="15"/>
      <c r="H296" s="16">
        <v>3250</v>
      </c>
      <c r="I296" s="15">
        <v>5900</v>
      </c>
      <c r="J296" s="15">
        <v>9000</v>
      </c>
      <c r="K296" s="16">
        <v>12400</v>
      </c>
      <c r="L296" s="15">
        <v>95</v>
      </c>
      <c r="M296" s="15">
        <v>120</v>
      </c>
      <c r="N296" s="16">
        <v>230</v>
      </c>
    </row>
    <row r="297" spans="1:14" ht="15" customHeight="1" x14ac:dyDescent="0.3">
      <c r="A297" s="12" t="s">
        <v>666</v>
      </c>
      <c r="B297" s="13" t="s">
        <v>667</v>
      </c>
      <c r="C297" s="14" t="s">
        <v>637</v>
      </c>
      <c r="D297" s="14" t="s">
        <v>644</v>
      </c>
      <c r="E297" s="13" t="s">
        <v>45</v>
      </c>
      <c r="F297" s="15"/>
      <c r="G297" s="15"/>
      <c r="H297" s="16">
        <v>2670</v>
      </c>
      <c r="I297" s="15">
        <v>4800</v>
      </c>
      <c r="J297" s="15">
        <v>7900</v>
      </c>
      <c r="K297" s="16">
        <v>10100</v>
      </c>
      <c r="L297" s="15">
        <v>95</v>
      </c>
      <c r="M297" s="15">
        <v>120</v>
      </c>
      <c r="N297" s="16">
        <v>230</v>
      </c>
    </row>
    <row r="298" spans="1:14" ht="15" customHeight="1" x14ac:dyDescent="0.3">
      <c r="A298" s="12" t="s">
        <v>668</v>
      </c>
      <c r="B298" s="13" t="s">
        <v>669</v>
      </c>
      <c r="C298" s="14" t="s">
        <v>637</v>
      </c>
      <c r="D298" s="14" t="s">
        <v>651</v>
      </c>
      <c r="E298" s="13" t="s">
        <v>73</v>
      </c>
      <c r="F298" s="15"/>
      <c r="G298" s="15"/>
      <c r="H298" s="16">
        <v>2990</v>
      </c>
      <c r="I298" s="15">
        <v>5400</v>
      </c>
      <c r="J298" s="15">
        <v>8500</v>
      </c>
      <c r="K298" s="16">
        <v>11400</v>
      </c>
      <c r="L298" s="15">
        <v>95</v>
      </c>
      <c r="M298" s="15">
        <v>120</v>
      </c>
      <c r="N298" s="16">
        <v>230</v>
      </c>
    </row>
    <row r="299" spans="1:14" ht="15" customHeight="1" x14ac:dyDescent="0.3">
      <c r="A299" s="12" t="s">
        <v>670</v>
      </c>
      <c r="B299" s="13" t="s">
        <v>671</v>
      </c>
      <c r="C299" s="14" t="s">
        <v>637</v>
      </c>
      <c r="D299" s="14" t="s">
        <v>672</v>
      </c>
      <c r="E299" s="13" t="s">
        <v>45</v>
      </c>
      <c r="F299" s="15"/>
      <c r="G299" s="15"/>
      <c r="H299" s="16">
        <v>2670</v>
      </c>
      <c r="I299" s="15">
        <v>4800</v>
      </c>
      <c r="J299" s="15">
        <v>7900</v>
      </c>
      <c r="K299" s="16">
        <v>10100</v>
      </c>
      <c r="L299" s="15">
        <v>95</v>
      </c>
      <c r="M299" s="15">
        <v>120</v>
      </c>
      <c r="N299" s="16">
        <v>230</v>
      </c>
    </row>
    <row r="300" spans="1:14" ht="15" customHeight="1" x14ac:dyDescent="0.3">
      <c r="A300" s="12" t="s">
        <v>673</v>
      </c>
      <c r="B300" s="13" t="s">
        <v>674</v>
      </c>
      <c r="C300" s="14" t="s">
        <v>637</v>
      </c>
      <c r="D300" s="14" t="s">
        <v>675</v>
      </c>
      <c r="E300" s="13" t="s">
        <v>470</v>
      </c>
      <c r="F300" s="15"/>
      <c r="G300" s="15"/>
      <c r="H300" s="16">
        <v>2670</v>
      </c>
      <c r="I300" s="15">
        <v>4800</v>
      </c>
      <c r="J300" s="15">
        <v>7900</v>
      </c>
      <c r="K300" s="16">
        <v>10100</v>
      </c>
      <c r="L300" s="15">
        <v>95</v>
      </c>
      <c r="M300" s="15">
        <v>120</v>
      </c>
      <c r="N300" s="16">
        <v>230</v>
      </c>
    </row>
    <row r="301" spans="1:14" ht="15" customHeight="1" x14ac:dyDescent="0.3">
      <c r="A301" s="12" t="s">
        <v>676</v>
      </c>
      <c r="B301" s="13" t="s">
        <v>677</v>
      </c>
      <c r="C301" s="14" t="s">
        <v>637</v>
      </c>
      <c r="D301" s="14" t="s">
        <v>654</v>
      </c>
      <c r="E301" s="13" t="s">
        <v>73</v>
      </c>
      <c r="F301" s="15"/>
      <c r="G301" s="15"/>
      <c r="H301" s="16">
        <v>3250</v>
      </c>
      <c r="I301" s="15">
        <v>5900</v>
      </c>
      <c r="J301" s="15">
        <v>9000</v>
      </c>
      <c r="K301" s="16">
        <v>12400</v>
      </c>
      <c r="L301" s="15">
        <v>95</v>
      </c>
      <c r="M301" s="15">
        <v>120</v>
      </c>
      <c r="N301" s="16">
        <v>230</v>
      </c>
    </row>
    <row r="302" spans="1:14" ht="15" customHeight="1" x14ac:dyDescent="0.3">
      <c r="A302" s="12" t="s">
        <v>678</v>
      </c>
      <c r="B302" s="13" t="s">
        <v>679</v>
      </c>
      <c r="C302" s="14" t="s">
        <v>637</v>
      </c>
      <c r="D302" s="14" t="s">
        <v>675</v>
      </c>
      <c r="E302" s="13" t="s">
        <v>470</v>
      </c>
      <c r="F302" s="15"/>
      <c r="G302" s="15"/>
      <c r="H302" s="16">
        <v>2670</v>
      </c>
      <c r="I302" s="15">
        <v>4800</v>
      </c>
      <c r="J302" s="15">
        <v>7900</v>
      </c>
      <c r="K302" s="16">
        <v>10100</v>
      </c>
      <c r="L302" s="15">
        <v>95</v>
      </c>
      <c r="M302" s="15">
        <v>120</v>
      </c>
      <c r="N302" s="16">
        <v>230</v>
      </c>
    </row>
    <row r="303" spans="1:14" ht="15" customHeight="1" x14ac:dyDescent="0.3">
      <c r="A303" s="12" t="s">
        <v>680</v>
      </c>
      <c r="B303" s="13" t="s">
        <v>681</v>
      </c>
      <c r="C303" s="14" t="s">
        <v>637</v>
      </c>
      <c r="D303" s="14" t="s">
        <v>675</v>
      </c>
      <c r="E303" s="13" t="s">
        <v>470</v>
      </c>
      <c r="F303" s="15"/>
      <c r="G303" s="15"/>
      <c r="H303" s="16">
        <v>2670</v>
      </c>
      <c r="I303" s="15">
        <v>4800</v>
      </c>
      <c r="J303" s="15">
        <v>7900</v>
      </c>
      <c r="K303" s="16">
        <v>10100</v>
      </c>
      <c r="L303" s="15">
        <v>95</v>
      </c>
      <c r="M303" s="15">
        <v>120</v>
      </c>
      <c r="N303" s="16">
        <v>230</v>
      </c>
    </row>
    <row r="304" spans="1:14" ht="15" customHeight="1" x14ac:dyDescent="0.3">
      <c r="A304" s="12" t="s">
        <v>682</v>
      </c>
      <c r="B304" s="13" t="s">
        <v>683</v>
      </c>
      <c r="C304" s="14" t="s">
        <v>637</v>
      </c>
      <c r="D304" s="14" t="s">
        <v>675</v>
      </c>
      <c r="E304" s="13" t="s">
        <v>470</v>
      </c>
      <c r="F304" s="15"/>
      <c r="G304" s="15"/>
      <c r="H304" s="16">
        <v>2670</v>
      </c>
      <c r="I304" s="15">
        <v>4800</v>
      </c>
      <c r="J304" s="15">
        <v>7900</v>
      </c>
      <c r="K304" s="16">
        <v>10100</v>
      </c>
      <c r="L304" s="15">
        <v>95</v>
      </c>
      <c r="M304" s="15">
        <v>120</v>
      </c>
      <c r="N304" s="16">
        <v>230</v>
      </c>
    </row>
    <row r="305" spans="1:14" ht="15" customHeight="1" x14ac:dyDescent="0.3">
      <c r="A305" s="12" t="s">
        <v>684</v>
      </c>
      <c r="B305" s="13" t="s">
        <v>685</v>
      </c>
      <c r="C305" s="14" t="s">
        <v>637</v>
      </c>
      <c r="D305" s="14" t="s">
        <v>686</v>
      </c>
      <c r="E305" s="13" t="s">
        <v>116</v>
      </c>
      <c r="F305" s="15"/>
      <c r="G305" s="15"/>
      <c r="H305" s="16">
        <v>2670</v>
      </c>
      <c r="I305" s="15">
        <v>4800</v>
      </c>
      <c r="J305" s="15">
        <v>7900</v>
      </c>
      <c r="K305" s="16">
        <v>10100</v>
      </c>
      <c r="L305" s="15">
        <v>95</v>
      </c>
      <c r="M305" s="15">
        <v>120</v>
      </c>
      <c r="N305" s="16">
        <v>230</v>
      </c>
    </row>
    <row r="306" spans="1:14" ht="15" customHeight="1" x14ac:dyDescent="0.3">
      <c r="A306" s="12" t="s">
        <v>687</v>
      </c>
      <c r="B306" s="13" t="s">
        <v>688</v>
      </c>
      <c r="C306" s="14" t="s">
        <v>637</v>
      </c>
      <c r="D306" s="14" t="s">
        <v>672</v>
      </c>
      <c r="E306" s="13" t="s">
        <v>116</v>
      </c>
      <c r="F306" s="15"/>
      <c r="G306" s="15"/>
      <c r="H306" s="16">
        <v>2670</v>
      </c>
      <c r="I306" s="15">
        <v>4800</v>
      </c>
      <c r="J306" s="15">
        <v>7900</v>
      </c>
      <c r="K306" s="16">
        <v>10100</v>
      </c>
      <c r="L306" s="15">
        <v>95</v>
      </c>
      <c r="M306" s="15">
        <v>120</v>
      </c>
      <c r="N306" s="16">
        <v>230</v>
      </c>
    </row>
    <row r="307" spans="1:14" ht="15" customHeight="1" x14ac:dyDescent="0.3">
      <c r="A307" s="12" t="s">
        <v>689</v>
      </c>
      <c r="B307" s="13" t="s">
        <v>690</v>
      </c>
      <c r="C307" s="14" t="s">
        <v>637</v>
      </c>
      <c r="D307" s="14" t="s">
        <v>672</v>
      </c>
      <c r="E307" s="13" t="s">
        <v>470</v>
      </c>
      <c r="F307" s="15"/>
      <c r="G307" s="15"/>
      <c r="H307" s="16">
        <v>2670</v>
      </c>
      <c r="I307" s="15">
        <v>4800</v>
      </c>
      <c r="J307" s="15">
        <v>7900</v>
      </c>
      <c r="K307" s="16">
        <v>10100</v>
      </c>
      <c r="L307" s="15">
        <v>95</v>
      </c>
      <c r="M307" s="15">
        <v>120</v>
      </c>
      <c r="N307" s="16">
        <v>230</v>
      </c>
    </row>
    <row r="308" spans="1:14" ht="15" customHeight="1" x14ac:dyDescent="0.3">
      <c r="A308" s="12" t="s">
        <v>691</v>
      </c>
      <c r="B308" s="13" t="s">
        <v>692</v>
      </c>
      <c r="C308" s="14" t="s">
        <v>637</v>
      </c>
      <c r="D308" s="14" t="s">
        <v>672</v>
      </c>
      <c r="E308" s="13" t="s">
        <v>45</v>
      </c>
      <c r="F308" s="15"/>
      <c r="G308" s="15"/>
      <c r="H308" s="16">
        <v>2670</v>
      </c>
      <c r="I308" s="15">
        <v>4800</v>
      </c>
      <c r="J308" s="15">
        <v>7900</v>
      </c>
      <c r="K308" s="16">
        <v>10100</v>
      </c>
      <c r="L308" s="15">
        <v>95</v>
      </c>
      <c r="M308" s="15">
        <v>120</v>
      </c>
      <c r="N308" s="16">
        <v>230</v>
      </c>
    </row>
    <row r="309" spans="1:14" ht="15" customHeight="1" x14ac:dyDescent="0.3">
      <c r="A309" s="12" t="s">
        <v>693</v>
      </c>
      <c r="B309" s="13" t="s">
        <v>694</v>
      </c>
      <c r="C309" s="14" t="s">
        <v>637</v>
      </c>
      <c r="D309" s="14" t="s">
        <v>638</v>
      </c>
      <c r="E309" s="13" t="s">
        <v>45</v>
      </c>
      <c r="F309" s="15"/>
      <c r="G309" s="15"/>
      <c r="H309" s="16">
        <v>2110</v>
      </c>
      <c r="I309" s="15">
        <v>3800</v>
      </c>
      <c r="J309" s="15">
        <v>6900</v>
      </c>
      <c r="K309" s="16">
        <v>8000</v>
      </c>
      <c r="L309" s="15">
        <v>95</v>
      </c>
      <c r="M309" s="15">
        <v>120</v>
      </c>
      <c r="N309" s="16">
        <v>230</v>
      </c>
    </row>
    <row r="310" spans="1:14" ht="15" customHeight="1" x14ac:dyDescent="0.3">
      <c r="A310" s="12" t="s">
        <v>695</v>
      </c>
      <c r="B310" s="13" t="s">
        <v>696</v>
      </c>
      <c r="C310" s="14" t="s">
        <v>637</v>
      </c>
      <c r="D310" s="14" t="s">
        <v>697</v>
      </c>
      <c r="E310" s="13" t="s">
        <v>121</v>
      </c>
      <c r="F310" s="15"/>
      <c r="G310" s="15"/>
      <c r="H310" s="16">
        <v>2670</v>
      </c>
      <c r="I310" s="15">
        <v>4800</v>
      </c>
      <c r="J310" s="15">
        <v>7900</v>
      </c>
      <c r="K310" s="16">
        <v>10100</v>
      </c>
      <c r="L310" s="15">
        <v>95</v>
      </c>
      <c r="M310" s="15">
        <v>120</v>
      </c>
      <c r="N310" s="16">
        <v>230</v>
      </c>
    </row>
    <row r="311" spans="1:14" ht="15" customHeight="1" x14ac:dyDescent="0.3">
      <c r="A311" s="12" t="s">
        <v>698</v>
      </c>
      <c r="B311" s="13" t="s">
        <v>699</v>
      </c>
      <c r="C311" s="14" t="s">
        <v>637</v>
      </c>
      <c r="D311" s="14" t="s">
        <v>651</v>
      </c>
      <c r="E311" s="13" t="s">
        <v>45</v>
      </c>
      <c r="F311" s="15"/>
      <c r="G311" s="15"/>
      <c r="H311" s="16">
        <v>2670</v>
      </c>
      <c r="I311" s="15">
        <v>4800</v>
      </c>
      <c r="J311" s="15">
        <v>7900</v>
      </c>
      <c r="K311" s="16">
        <v>10100</v>
      </c>
      <c r="L311" s="15">
        <v>95</v>
      </c>
      <c r="M311" s="15">
        <v>120</v>
      </c>
      <c r="N311" s="16">
        <v>230</v>
      </c>
    </row>
    <row r="312" spans="1:14" ht="15" customHeight="1" x14ac:dyDescent="0.3">
      <c r="A312" s="12" t="s">
        <v>700</v>
      </c>
      <c r="B312" s="13" t="s">
        <v>701</v>
      </c>
      <c r="C312" s="14" t="s">
        <v>637</v>
      </c>
      <c r="D312" s="14" t="s">
        <v>654</v>
      </c>
      <c r="E312" s="13" t="s">
        <v>45</v>
      </c>
      <c r="F312" s="15"/>
      <c r="G312" s="15"/>
      <c r="H312" s="16">
        <v>3250</v>
      </c>
      <c r="I312" s="15">
        <v>5900</v>
      </c>
      <c r="J312" s="15">
        <v>9000</v>
      </c>
      <c r="K312" s="16">
        <v>12400</v>
      </c>
      <c r="L312" s="15">
        <v>95</v>
      </c>
      <c r="M312" s="15">
        <v>120</v>
      </c>
      <c r="N312" s="16">
        <v>230</v>
      </c>
    </row>
    <row r="313" spans="1:14" ht="15" customHeight="1" x14ac:dyDescent="0.3">
      <c r="A313" s="12" t="s">
        <v>702</v>
      </c>
      <c r="B313" s="13" t="s">
        <v>703</v>
      </c>
      <c r="C313" s="14" t="s">
        <v>637</v>
      </c>
      <c r="D313" s="14" t="s">
        <v>654</v>
      </c>
      <c r="E313" s="13" t="s">
        <v>470</v>
      </c>
      <c r="F313" s="15"/>
      <c r="G313" s="15"/>
      <c r="H313" s="16">
        <v>3250</v>
      </c>
      <c r="I313" s="15">
        <v>5900</v>
      </c>
      <c r="J313" s="15">
        <v>9000</v>
      </c>
      <c r="K313" s="16">
        <v>12400</v>
      </c>
      <c r="L313" s="15">
        <v>95</v>
      </c>
      <c r="M313" s="15">
        <v>120</v>
      </c>
      <c r="N313" s="16">
        <v>230</v>
      </c>
    </row>
    <row r="314" spans="1:14" ht="15" customHeight="1" x14ac:dyDescent="0.3">
      <c r="A314" s="12" t="s">
        <v>704</v>
      </c>
      <c r="B314" s="13" t="s">
        <v>705</v>
      </c>
      <c r="C314" s="14" t="s">
        <v>637</v>
      </c>
      <c r="D314" s="14" t="s">
        <v>706</v>
      </c>
      <c r="E314" s="13" t="s">
        <v>526</v>
      </c>
      <c r="F314" s="15"/>
      <c r="G314" s="15"/>
      <c r="H314" s="16">
        <v>2340</v>
      </c>
      <c r="I314" s="15">
        <v>4300</v>
      </c>
      <c r="J314" s="15">
        <v>7400</v>
      </c>
      <c r="K314" s="16">
        <v>8900</v>
      </c>
      <c r="L314" s="15">
        <v>95</v>
      </c>
      <c r="M314" s="15">
        <v>120</v>
      </c>
      <c r="N314" s="16">
        <v>230</v>
      </c>
    </row>
    <row r="315" spans="1:14" ht="15" customHeight="1" x14ac:dyDescent="0.3">
      <c r="A315" s="12" t="s">
        <v>707</v>
      </c>
      <c r="B315" s="13" t="s">
        <v>708</v>
      </c>
      <c r="C315" s="14" t="s">
        <v>637</v>
      </c>
      <c r="D315" s="14" t="s">
        <v>654</v>
      </c>
      <c r="E315" s="13" t="s">
        <v>73</v>
      </c>
      <c r="F315" s="15"/>
      <c r="G315" s="15"/>
      <c r="H315" s="16">
        <v>3250</v>
      </c>
      <c r="I315" s="15">
        <v>5900</v>
      </c>
      <c r="J315" s="15">
        <v>9000</v>
      </c>
      <c r="K315" s="16">
        <v>12400</v>
      </c>
      <c r="L315" s="15">
        <v>95</v>
      </c>
      <c r="M315" s="15">
        <v>120</v>
      </c>
      <c r="N315" s="16">
        <v>230</v>
      </c>
    </row>
    <row r="316" spans="1:14" ht="15" customHeight="1" x14ac:dyDescent="0.3">
      <c r="A316" s="12" t="s">
        <v>709</v>
      </c>
      <c r="B316" s="13" t="s">
        <v>710</v>
      </c>
      <c r="C316" s="14" t="s">
        <v>637</v>
      </c>
      <c r="D316" s="14" t="s">
        <v>654</v>
      </c>
      <c r="E316" s="13" t="s">
        <v>73</v>
      </c>
      <c r="F316" s="15"/>
      <c r="G316" s="15"/>
      <c r="H316" s="16">
        <v>3250</v>
      </c>
      <c r="I316" s="15">
        <v>5900</v>
      </c>
      <c r="J316" s="15">
        <v>9000</v>
      </c>
      <c r="K316" s="16">
        <v>12400</v>
      </c>
      <c r="L316" s="15">
        <v>95</v>
      </c>
      <c r="M316" s="15">
        <v>120</v>
      </c>
      <c r="N316" s="16">
        <v>230</v>
      </c>
    </row>
    <row r="317" spans="1:14" ht="15" customHeight="1" x14ac:dyDescent="0.3">
      <c r="A317" s="12" t="s">
        <v>711</v>
      </c>
      <c r="B317" s="13" t="s">
        <v>712</v>
      </c>
      <c r="C317" s="14" t="s">
        <v>637</v>
      </c>
      <c r="D317" s="14" t="s">
        <v>654</v>
      </c>
      <c r="E317" s="13" t="s">
        <v>73</v>
      </c>
      <c r="F317" s="15"/>
      <c r="G317" s="15"/>
      <c r="H317" s="16">
        <v>3250</v>
      </c>
      <c r="I317" s="15">
        <v>5900</v>
      </c>
      <c r="J317" s="15">
        <v>9000</v>
      </c>
      <c r="K317" s="16">
        <v>12400</v>
      </c>
      <c r="L317" s="15">
        <v>95</v>
      </c>
      <c r="M317" s="15">
        <v>120</v>
      </c>
      <c r="N317" s="16">
        <v>230</v>
      </c>
    </row>
    <row r="318" spans="1:14" ht="15" customHeight="1" x14ac:dyDescent="0.3">
      <c r="A318" s="12" t="s">
        <v>713</v>
      </c>
      <c r="B318" s="13" t="s">
        <v>714</v>
      </c>
      <c r="C318" s="14" t="s">
        <v>637</v>
      </c>
      <c r="D318" s="14" t="s">
        <v>654</v>
      </c>
      <c r="E318" s="13" t="s">
        <v>73</v>
      </c>
      <c r="F318" s="15"/>
      <c r="G318" s="15"/>
      <c r="H318" s="16">
        <v>3250</v>
      </c>
      <c r="I318" s="15">
        <v>5900</v>
      </c>
      <c r="J318" s="15">
        <v>9000</v>
      </c>
      <c r="K318" s="16">
        <v>12400</v>
      </c>
      <c r="L318" s="15">
        <v>95</v>
      </c>
      <c r="M318" s="15">
        <v>120</v>
      </c>
      <c r="N318" s="16">
        <v>230</v>
      </c>
    </row>
    <row r="319" spans="1:14" ht="15" customHeight="1" x14ac:dyDescent="0.3">
      <c r="A319" s="12" t="s">
        <v>715</v>
      </c>
      <c r="B319" s="13" t="s">
        <v>716</v>
      </c>
      <c r="C319" s="14" t="s">
        <v>637</v>
      </c>
      <c r="D319" s="14" t="s">
        <v>654</v>
      </c>
      <c r="E319" s="13" t="s">
        <v>73</v>
      </c>
      <c r="F319" s="15"/>
      <c r="G319" s="15"/>
      <c r="H319" s="16">
        <v>3250</v>
      </c>
      <c r="I319" s="15">
        <v>5900</v>
      </c>
      <c r="J319" s="15">
        <v>9000</v>
      </c>
      <c r="K319" s="16">
        <v>12400</v>
      </c>
      <c r="L319" s="15">
        <v>95</v>
      </c>
      <c r="M319" s="15">
        <v>120</v>
      </c>
      <c r="N319" s="16">
        <v>230</v>
      </c>
    </row>
    <row r="320" spans="1:14" ht="15" customHeight="1" x14ac:dyDescent="0.3">
      <c r="A320" s="12" t="s">
        <v>717</v>
      </c>
      <c r="B320" s="13" t="s">
        <v>718</v>
      </c>
      <c r="C320" s="14" t="s">
        <v>637</v>
      </c>
      <c r="D320" s="14" t="s">
        <v>654</v>
      </c>
      <c r="E320" s="13" t="s">
        <v>73</v>
      </c>
      <c r="F320" s="15"/>
      <c r="G320" s="15"/>
      <c r="H320" s="16">
        <v>3250</v>
      </c>
      <c r="I320" s="15">
        <v>5900</v>
      </c>
      <c r="J320" s="15">
        <v>9000</v>
      </c>
      <c r="K320" s="16">
        <v>12400</v>
      </c>
      <c r="L320" s="15">
        <v>95</v>
      </c>
      <c r="M320" s="15">
        <v>120</v>
      </c>
      <c r="N320" s="16">
        <v>230</v>
      </c>
    </row>
    <row r="321" spans="1:14" ht="15" customHeight="1" x14ac:dyDescent="0.3">
      <c r="A321" s="12" t="s">
        <v>719</v>
      </c>
      <c r="B321" s="13" t="s">
        <v>720</v>
      </c>
      <c r="C321" s="14" t="s">
        <v>637</v>
      </c>
      <c r="D321" s="14" t="s">
        <v>654</v>
      </c>
      <c r="E321" s="13" t="s">
        <v>73</v>
      </c>
      <c r="F321" s="15"/>
      <c r="G321" s="15"/>
      <c r="H321" s="16">
        <v>3250</v>
      </c>
      <c r="I321" s="15">
        <v>5900</v>
      </c>
      <c r="J321" s="15">
        <v>9000</v>
      </c>
      <c r="K321" s="16">
        <v>12400</v>
      </c>
      <c r="L321" s="15">
        <v>95</v>
      </c>
      <c r="M321" s="15">
        <v>120</v>
      </c>
      <c r="N321" s="16">
        <v>230</v>
      </c>
    </row>
    <row r="322" spans="1:14" ht="15" customHeight="1" x14ac:dyDescent="0.3">
      <c r="A322" s="12" t="s">
        <v>721</v>
      </c>
      <c r="B322" s="13" t="s">
        <v>722</v>
      </c>
      <c r="C322" s="14" t="s">
        <v>637</v>
      </c>
      <c r="D322" s="14" t="s">
        <v>654</v>
      </c>
      <c r="E322" s="13" t="s">
        <v>73</v>
      </c>
      <c r="F322" s="15"/>
      <c r="G322" s="15"/>
      <c r="H322" s="16">
        <v>3250</v>
      </c>
      <c r="I322" s="15">
        <v>5900</v>
      </c>
      <c r="J322" s="15">
        <v>9000</v>
      </c>
      <c r="K322" s="16">
        <v>12400</v>
      </c>
      <c r="L322" s="15">
        <v>95</v>
      </c>
      <c r="M322" s="15">
        <v>120</v>
      </c>
      <c r="N322" s="16">
        <v>230</v>
      </c>
    </row>
    <row r="323" spans="1:14" ht="15" customHeight="1" x14ac:dyDescent="0.3">
      <c r="A323" s="12" t="s">
        <v>723</v>
      </c>
      <c r="B323" s="13" t="s">
        <v>724</v>
      </c>
      <c r="C323" s="14" t="s">
        <v>637</v>
      </c>
      <c r="D323" s="14" t="s">
        <v>725</v>
      </c>
      <c r="E323" s="13" t="s">
        <v>177</v>
      </c>
      <c r="F323" s="15"/>
      <c r="G323" s="15"/>
      <c r="H323" s="16">
        <v>2990</v>
      </c>
      <c r="I323" s="15">
        <v>5400</v>
      </c>
      <c r="J323" s="15">
        <v>8500</v>
      </c>
      <c r="K323" s="16">
        <v>11400</v>
      </c>
      <c r="L323" s="15">
        <v>95</v>
      </c>
      <c r="M323" s="15">
        <v>120</v>
      </c>
      <c r="N323" s="16">
        <v>230</v>
      </c>
    </row>
    <row r="324" spans="1:14" ht="15" customHeight="1" x14ac:dyDescent="0.3">
      <c r="A324" s="12" t="s">
        <v>726</v>
      </c>
      <c r="B324" s="13" t="s">
        <v>727</v>
      </c>
      <c r="C324" s="14" t="s">
        <v>637</v>
      </c>
      <c r="D324" s="14" t="s">
        <v>644</v>
      </c>
      <c r="E324" s="13" t="s">
        <v>158</v>
      </c>
      <c r="F324" s="15"/>
      <c r="G324" s="15"/>
      <c r="H324" s="16">
        <v>2110</v>
      </c>
      <c r="I324" s="15">
        <v>3800</v>
      </c>
      <c r="J324" s="15">
        <v>6900</v>
      </c>
      <c r="K324" s="16">
        <v>8000</v>
      </c>
      <c r="L324" s="15">
        <v>95</v>
      </c>
      <c r="M324" s="15">
        <v>120</v>
      </c>
      <c r="N324" s="16">
        <v>230</v>
      </c>
    </row>
    <row r="325" spans="1:14" ht="15" customHeight="1" x14ac:dyDescent="0.3">
      <c r="A325" s="12" t="s">
        <v>728</v>
      </c>
      <c r="B325" s="13" t="s">
        <v>729</v>
      </c>
      <c r="C325" s="14" t="s">
        <v>637</v>
      </c>
      <c r="D325" s="14" t="s">
        <v>172</v>
      </c>
      <c r="E325" s="13" t="s">
        <v>190</v>
      </c>
      <c r="F325" s="15"/>
      <c r="G325" s="15"/>
      <c r="H325" s="16">
        <v>2990</v>
      </c>
      <c r="I325" s="15">
        <v>5400</v>
      </c>
      <c r="J325" s="15">
        <v>8500</v>
      </c>
      <c r="K325" s="16">
        <v>11400</v>
      </c>
      <c r="L325" s="15">
        <v>95</v>
      </c>
      <c r="M325" s="15">
        <v>120</v>
      </c>
      <c r="N325" s="16">
        <v>230</v>
      </c>
    </row>
    <row r="326" spans="1:14" ht="15" customHeight="1" x14ac:dyDescent="0.3">
      <c r="A326" s="12" t="s">
        <v>730</v>
      </c>
      <c r="B326" s="13" t="s">
        <v>731</v>
      </c>
      <c r="C326" s="14" t="s">
        <v>637</v>
      </c>
      <c r="D326" s="14" t="s">
        <v>654</v>
      </c>
      <c r="E326" s="13" t="s">
        <v>190</v>
      </c>
      <c r="F326" s="15"/>
      <c r="G326" s="15"/>
      <c r="H326" s="16">
        <v>3250</v>
      </c>
      <c r="I326" s="15">
        <v>5900</v>
      </c>
      <c r="J326" s="15">
        <v>9000</v>
      </c>
      <c r="K326" s="16">
        <v>12400</v>
      </c>
      <c r="L326" s="15">
        <v>95</v>
      </c>
      <c r="M326" s="15">
        <v>120</v>
      </c>
      <c r="N326" s="16">
        <v>230</v>
      </c>
    </row>
    <row r="327" spans="1:14" ht="15" customHeight="1" x14ac:dyDescent="0.3">
      <c r="A327" s="12" t="s">
        <v>732</v>
      </c>
      <c r="B327" s="13" t="s">
        <v>733</v>
      </c>
      <c r="C327" s="14" t="s">
        <v>637</v>
      </c>
      <c r="D327" s="14" t="s">
        <v>654</v>
      </c>
      <c r="E327" s="13" t="s">
        <v>190</v>
      </c>
      <c r="F327" s="15"/>
      <c r="G327" s="15"/>
      <c r="H327" s="16">
        <v>3250</v>
      </c>
      <c r="I327" s="15">
        <v>5900</v>
      </c>
      <c r="J327" s="15">
        <v>9000</v>
      </c>
      <c r="K327" s="16">
        <v>12400</v>
      </c>
      <c r="L327" s="15">
        <v>95</v>
      </c>
      <c r="M327" s="15">
        <v>120</v>
      </c>
      <c r="N327" s="16">
        <v>230</v>
      </c>
    </row>
    <row r="328" spans="1:14" ht="15" customHeight="1" x14ac:dyDescent="0.3">
      <c r="A328" s="12" t="s">
        <v>734</v>
      </c>
      <c r="B328" s="13" t="s">
        <v>735</v>
      </c>
      <c r="C328" s="14" t="s">
        <v>637</v>
      </c>
      <c r="D328" s="14" t="s">
        <v>654</v>
      </c>
      <c r="E328" s="13" t="s">
        <v>190</v>
      </c>
      <c r="F328" s="15"/>
      <c r="G328" s="15"/>
      <c r="H328" s="16">
        <v>3250</v>
      </c>
      <c r="I328" s="15">
        <v>5900</v>
      </c>
      <c r="J328" s="15">
        <v>9000</v>
      </c>
      <c r="K328" s="16">
        <v>12400</v>
      </c>
      <c r="L328" s="15">
        <v>95</v>
      </c>
      <c r="M328" s="15">
        <v>120</v>
      </c>
      <c r="N328" s="16">
        <v>230</v>
      </c>
    </row>
    <row r="329" spans="1:14" ht="15" customHeight="1" x14ac:dyDescent="0.3">
      <c r="A329" s="12" t="s">
        <v>736</v>
      </c>
      <c r="B329" s="13" t="s">
        <v>737</v>
      </c>
      <c r="C329" s="14" t="s">
        <v>637</v>
      </c>
      <c r="D329" s="14" t="s">
        <v>654</v>
      </c>
      <c r="E329" s="13" t="s">
        <v>190</v>
      </c>
      <c r="F329" s="15"/>
      <c r="G329" s="15"/>
      <c r="H329" s="16">
        <v>2990</v>
      </c>
      <c r="I329" s="15">
        <v>5400</v>
      </c>
      <c r="J329" s="15">
        <v>8500</v>
      </c>
      <c r="K329" s="16">
        <v>11400</v>
      </c>
      <c r="L329" s="15">
        <v>95</v>
      </c>
      <c r="M329" s="15">
        <v>120</v>
      </c>
      <c r="N329" s="16">
        <v>230</v>
      </c>
    </row>
    <row r="330" spans="1:14" ht="15" customHeight="1" x14ac:dyDescent="0.3">
      <c r="A330" s="12" t="s">
        <v>738</v>
      </c>
      <c r="B330" s="13" t="s">
        <v>739</v>
      </c>
      <c r="C330" s="14" t="s">
        <v>637</v>
      </c>
      <c r="D330" s="14" t="s">
        <v>740</v>
      </c>
      <c r="E330" s="13" t="s">
        <v>73</v>
      </c>
      <c r="F330" s="15"/>
      <c r="G330" s="15"/>
      <c r="H330" s="16">
        <v>2990</v>
      </c>
      <c r="I330" s="15">
        <v>5400</v>
      </c>
      <c r="J330" s="15">
        <v>8500</v>
      </c>
      <c r="K330" s="16">
        <v>11400</v>
      </c>
      <c r="L330" s="15">
        <v>95</v>
      </c>
      <c r="M330" s="15">
        <v>120</v>
      </c>
      <c r="N330" s="16">
        <v>230</v>
      </c>
    </row>
    <row r="331" spans="1:14" ht="15" customHeight="1" x14ac:dyDescent="0.3">
      <c r="A331" s="12" t="s">
        <v>741</v>
      </c>
      <c r="B331" s="13" t="s">
        <v>742</v>
      </c>
      <c r="C331" s="14" t="s">
        <v>637</v>
      </c>
      <c r="D331" s="14" t="s">
        <v>740</v>
      </c>
      <c r="E331" s="13" t="s">
        <v>190</v>
      </c>
      <c r="F331" s="15"/>
      <c r="G331" s="15"/>
      <c r="H331" s="16">
        <v>2990</v>
      </c>
      <c r="I331" s="15">
        <v>5400</v>
      </c>
      <c r="J331" s="15">
        <v>8500</v>
      </c>
      <c r="K331" s="16">
        <v>11400</v>
      </c>
      <c r="L331" s="15">
        <v>95</v>
      </c>
      <c r="M331" s="15">
        <v>120</v>
      </c>
      <c r="N331" s="16">
        <v>230</v>
      </c>
    </row>
    <row r="332" spans="1:14" ht="15" customHeight="1" x14ac:dyDescent="0.3">
      <c r="A332" s="12" t="s">
        <v>743</v>
      </c>
      <c r="B332" s="13" t="s">
        <v>744</v>
      </c>
      <c r="C332" s="14" t="s">
        <v>637</v>
      </c>
      <c r="D332" s="14" t="s">
        <v>654</v>
      </c>
      <c r="E332" s="13" t="s">
        <v>73</v>
      </c>
      <c r="F332" s="15"/>
      <c r="G332" s="15"/>
      <c r="H332" s="16">
        <v>3250</v>
      </c>
      <c r="I332" s="15">
        <v>5900</v>
      </c>
      <c r="J332" s="15">
        <v>9000</v>
      </c>
      <c r="K332" s="16">
        <v>12400</v>
      </c>
      <c r="L332" s="15">
        <v>95</v>
      </c>
      <c r="M332" s="15">
        <v>120</v>
      </c>
      <c r="N332" s="16">
        <v>230</v>
      </c>
    </row>
    <row r="333" spans="1:14" ht="15" customHeight="1" x14ac:dyDescent="0.3">
      <c r="A333" s="12" t="s">
        <v>745</v>
      </c>
      <c r="B333" s="13" t="s">
        <v>746</v>
      </c>
      <c r="C333" s="14" t="s">
        <v>637</v>
      </c>
      <c r="D333" s="14" t="s">
        <v>654</v>
      </c>
      <c r="E333" s="13" t="s">
        <v>73</v>
      </c>
      <c r="F333" s="15"/>
      <c r="G333" s="15"/>
      <c r="H333" s="16">
        <v>3250</v>
      </c>
      <c r="I333" s="15">
        <v>5900</v>
      </c>
      <c r="J333" s="15">
        <v>9000</v>
      </c>
      <c r="K333" s="16">
        <v>12400</v>
      </c>
      <c r="L333" s="15">
        <v>95</v>
      </c>
      <c r="M333" s="15">
        <v>120</v>
      </c>
      <c r="N333" s="16">
        <v>230</v>
      </c>
    </row>
    <row r="334" spans="1:14" ht="15" customHeight="1" x14ac:dyDescent="0.3">
      <c r="A334" s="12" t="s">
        <v>747</v>
      </c>
      <c r="B334" s="13" t="s">
        <v>748</v>
      </c>
      <c r="C334" s="14" t="s">
        <v>637</v>
      </c>
      <c r="D334" s="14" t="s">
        <v>654</v>
      </c>
      <c r="E334" s="13" t="s">
        <v>190</v>
      </c>
      <c r="F334" s="15"/>
      <c r="G334" s="15"/>
      <c r="H334" s="16">
        <v>3250</v>
      </c>
      <c r="I334" s="15">
        <v>5900</v>
      </c>
      <c r="J334" s="15">
        <v>9000</v>
      </c>
      <c r="K334" s="16">
        <v>12400</v>
      </c>
      <c r="L334" s="15">
        <v>95</v>
      </c>
      <c r="M334" s="15">
        <v>120</v>
      </c>
      <c r="N334" s="16">
        <v>230</v>
      </c>
    </row>
    <row r="335" spans="1:14" ht="15" customHeight="1" x14ac:dyDescent="0.3">
      <c r="A335" s="12" t="s">
        <v>749</v>
      </c>
      <c r="B335" s="13" t="s">
        <v>750</v>
      </c>
      <c r="C335" s="14" t="s">
        <v>637</v>
      </c>
      <c r="D335" s="14" t="s">
        <v>751</v>
      </c>
      <c r="E335" s="13" t="s">
        <v>456</v>
      </c>
      <c r="F335" s="15"/>
      <c r="G335" s="15"/>
      <c r="H335" s="16">
        <v>2340</v>
      </c>
      <c r="I335" s="15">
        <v>4300</v>
      </c>
      <c r="J335" s="15">
        <v>7400</v>
      </c>
      <c r="K335" s="16">
        <v>8900</v>
      </c>
      <c r="L335" s="15">
        <v>95</v>
      </c>
      <c r="M335" s="15">
        <v>120</v>
      </c>
      <c r="N335" s="16">
        <v>230</v>
      </c>
    </row>
    <row r="336" spans="1:14" ht="15" customHeight="1" x14ac:dyDescent="0.3">
      <c r="A336" s="12" t="s">
        <v>752</v>
      </c>
      <c r="B336" s="13" t="s">
        <v>753</v>
      </c>
      <c r="C336" s="14" t="s">
        <v>637</v>
      </c>
      <c r="D336" s="14" t="s">
        <v>654</v>
      </c>
      <c r="E336" s="13" t="s">
        <v>190</v>
      </c>
      <c r="F336" s="15"/>
      <c r="G336" s="15"/>
      <c r="H336" s="16">
        <v>3250</v>
      </c>
      <c r="I336" s="15">
        <v>5900</v>
      </c>
      <c r="J336" s="15">
        <v>9000</v>
      </c>
      <c r="K336" s="16">
        <v>12400</v>
      </c>
      <c r="L336" s="15">
        <v>95</v>
      </c>
      <c r="M336" s="15">
        <v>120</v>
      </c>
      <c r="N336" s="16">
        <v>230</v>
      </c>
    </row>
    <row r="337" spans="1:14" ht="15" customHeight="1" x14ac:dyDescent="0.3">
      <c r="A337" s="12" t="s">
        <v>754</v>
      </c>
      <c r="B337" s="13" t="s">
        <v>755</v>
      </c>
      <c r="C337" s="14" t="s">
        <v>637</v>
      </c>
      <c r="D337" s="14" t="s">
        <v>654</v>
      </c>
      <c r="E337" s="13" t="s">
        <v>190</v>
      </c>
      <c r="F337" s="15"/>
      <c r="G337" s="15"/>
      <c r="H337" s="16">
        <v>3250</v>
      </c>
      <c r="I337" s="15">
        <v>5900</v>
      </c>
      <c r="J337" s="15">
        <v>9000</v>
      </c>
      <c r="K337" s="16">
        <v>12400</v>
      </c>
      <c r="L337" s="15">
        <v>95</v>
      </c>
      <c r="M337" s="15">
        <v>120</v>
      </c>
      <c r="N337" s="16">
        <v>230</v>
      </c>
    </row>
    <row r="338" spans="1:14" ht="15" customHeight="1" x14ac:dyDescent="0.3">
      <c r="A338" s="12" t="s">
        <v>756</v>
      </c>
      <c r="B338" s="13" t="s">
        <v>757</v>
      </c>
      <c r="C338" s="14" t="s">
        <v>637</v>
      </c>
      <c r="D338" s="14" t="s">
        <v>654</v>
      </c>
      <c r="E338" s="13" t="s">
        <v>190</v>
      </c>
      <c r="F338" s="15"/>
      <c r="G338" s="15"/>
      <c r="H338" s="16">
        <v>3250</v>
      </c>
      <c r="I338" s="15">
        <v>5900</v>
      </c>
      <c r="J338" s="15">
        <v>9000</v>
      </c>
      <c r="K338" s="16">
        <v>12400</v>
      </c>
      <c r="L338" s="15">
        <v>95</v>
      </c>
      <c r="M338" s="15">
        <v>120</v>
      </c>
      <c r="N338" s="16">
        <v>230</v>
      </c>
    </row>
    <row r="339" spans="1:14" ht="15" customHeight="1" x14ac:dyDescent="0.3">
      <c r="A339" s="12" t="s">
        <v>758</v>
      </c>
      <c r="B339" s="13" t="s">
        <v>759</v>
      </c>
      <c r="C339" s="14" t="s">
        <v>637</v>
      </c>
      <c r="D339" s="14" t="s">
        <v>654</v>
      </c>
      <c r="E339" s="13" t="s">
        <v>190</v>
      </c>
      <c r="F339" s="15"/>
      <c r="G339" s="15"/>
      <c r="H339" s="16">
        <v>3250</v>
      </c>
      <c r="I339" s="15">
        <v>5900</v>
      </c>
      <c r="J339" s="15">
        <v>9000</v>
      </c>
      <c r="K339" s="16">
        <v>12400</v>
      </c>
      <c r="L339" s="15">
        <v>95</v>
      </c>
      <c r="M339" s="15">
        <v>120</v>
      </c>
      <c r="N339" s="16">
        <v>230</v>
      </c>
    </row>
    <row r="340" spans="1:14" ht="15" customHeight="1" x14ac:dyDescent="0.3">
      <c r="A340" s="12" t="s">
        <v>760</v>
      </c>
      <c r="B340" s="13" t="s">
        <v>761</v>
      </c>
      <c r="C340" s="14" t="s">
        <v>637</v>
      </c>
      <c r="D340" s="14" t="s">
        <v>654</v>
      </c>
      <c r="E340" s="13" t="s">
        <v>190</v>
      </c>
      <c r="F340" s="15"/>
      <c r="G340" s="15"/>
      <c r="H340" s="16">
        <v>3250</v>
      </c>
      <c r="I340" s="15">
        <v>5900</v>
      </c>
      <c r="J340" s="15">
        <v>9000</v>
      </c>
      <c r="K340" s="16">
        <v>12400</v>
      </c>
      <c r="L340" s="15">
        <v>95</v>
      </c>
      <c r="M340" s="15">
        <v>120</v>
      </c>
      <c r="N340" s="16">
        <v>230</v>
      </c>
    </row>
    <row r="341" spans="1:14" ht="15" customHeight="1" x14ac:dyDescent="0.3">
      <c r="A341" s="12" t="s">
        <v>762</v>
      </c>
      <c r="B341" s="13" t="s">
        <v>763</v>
      </c>
      <c r="C341" s="14" t="s">
        <v>637</v>
      </c>
      <c r="D341" s="14" t="s">
        <v>654</v>
      </c>
      <c r="E341" s="13" t="s">
        <v>190</v>
      </c>
      <c r="F341" s="15"/>
      <c r="G341" s="15"/>
      <c r="H341" s="16">
        <v>3250</v>
      </c>
      <c r="I341" s="15">
        <v>5900</v>
      </c>
      <c r="J341" s="15">
        <v>9000</v>
      </c>
      <c r="K341" s="16">
        <v>12400</v>
      </c>
      <c r="L341" s="15">
        <v>95</v>
      </c>
      <c r="M341" s="15">
        <v>120</v>
      </c>
      <c r="N341" s="16">
        <v>230</v>
      </c>
    </row>
    <row r="342" spans="1:14" ht="15" customHeight="1" x14ac:dyDescent="0.3">
      <c r="A342" s="12" t="s">
        <v>764</v>
      </c>
      <c r="B342" s="13" t="s">
        <v>765</v>
      </c>
      <c r="C342" s="14" t="s">
        <v>637</v>
      </c>
      <c r="D342" s="14" t="s">
        <v>172</v>
      </c>
      <c r="E342" s="13" t="s">
        <v>190</v>
      </c>
      <c r="F342" s="15"/>
      <c r="G342" s="15"/>
      <c r="H342" s="16">
        <v>2990</v>
      </c>
      <c r="I342" s="15">
        <v>5400</v>
      </c>
      <c r="J342" s="15">
        <v>8500</v>
      </c>
      <c r="K342" s="16">
        <v>11400</v>
      </c>
      <c r="L342" s="15">
        <v>95</v>
      </c>
      <c r="M342" s="15">
        <v>120</v>
      </c>
      <c r="N342" s="16">
        <v>230</v>
      </c>
    </row>
    <row r="343" spans="1:14" ht="15" customHeight="1" x14ac:dyDescent="0.3">
      <c r="A343" s="12" t="s">
        <v>766</v>
      </c>
      <c r="B343" s="13" t="s">
        <v>767</v>
      </c>
      <c r="C343" s="14" t="s">
        <v>637</v>
      </c>
      <c r="D343" s="14" t="s">
        <v>172</v>
      </c>
      <c r="E343" s="13" t="s">
        <v>190</v>
      </c>
      <c r="F343" s="15"/>
      <c r="G343" s="15"/>
      <c r="H343" s="16">
        <v>2990</v>
      </c>
      <c r="I343" s="15">
        <v>5400</v>
      </c>
      <c r="J343" s="15">
        <v>8500</v>
      </c>
      <c r="K343" s="16">
        <v>11400</v>
      </c>
      <c r="L343" s="15">
        <v>95</v>
      </c>
      <c r="M343" s="15">
        <v>120</v>
      </c>
      <c r="N343" s="16">
        <v>230</v>
      </c>
    </row>
    <row r="344" spans="1:14" ht="15" customHeight="1" x14ac:dyDescent="0.3">
      <c r="A344" s="12" t="s">
        <v>768</v>
      </c>
      <c r="B344" s="13" t="s">
        <v>769</v>
      </c>
      <c r="C344" s="14" t="s">
        <v>637</v>
      </c>
      <c r="D344" s="14" t="s">
        <v>654</v>
      </c>
      <c r="E344" s="13" t="s">
        <v>104</v>
      </c>
      <c r="F344" s="15"/>
      <c r="G344" s="15"/>
      <c r="H344" s="16">
        <v>3250</v>
      </c>
      <c r="I344" s="15">
        <v>5900</v>
      </c>
      <c r="J344" s="15">
        <v>9000</v>
      </c>
      <c r="K344" s="16">
        <v>12400</v>
      </c>
      <c r="L344" s="15">
        <v>95</v>
      </c>
      <c r="M344" s="15">
        <v>120</v>
      </c>
      <c r="N344" s="16">
        <v>230</v>
      </c>
    </row>
    <row r="345" spans="1:14" ht="15" customHeight="1" x14ac:dyDescent="0.3">
      <c r="A345" s="12" t="s">
        <v>770</v>
      </c>
      <c r="B345" s="13" t="s">
        <v>771</v>
      </c>
      <c r="C345" s="14" t="s">
        <v>637</v>
      </c>
      <c r="D345" s="14" t="s">
        <v>172</v>
      </c>
      <c r="E345" s="13" t="s">
        <v>104</v>
      </c>
      <c r="F345" s="15"/>
      <c r="G345" s="15"/>
      <c r="H345" s="16">
        <v>2990</v>
      </c>
      <c r="I345" s="15">
        <v>5400</v>
      </c>
      <c r="J345" s="15">
        <v>8500</v>
      </c>
      <c r="K345" s="16">
        <v>11400</v>
      </c>
      <c r="L345" s="15">
        <v>95</v>
      </c>
      <c r="M345" s="15">
        <v>120</v>
      </c>
      <c r="N345" s="16">
        <v>230</v>
      </c>
    </row>
    <row r="346" spans="1:14" ht="15" customHeight="1" x14ac:dyDescent="0.3">
      <c r="A346" s="12" t="s">
        <v>772</v>
      </c>
      <c r="B346" s="13" t="s">
        <v>773</v>
      </c>
      <c r="C346" s="14" t="s">
        <v>637</v>
      </c>
      <c r="D346" s="14" t="s">
        <v>740</v>
      </c>
      <c r="E346" s="13" t="s">
        <v>104</v>
      </c>
      <c r="F346" s="15"/>
      <c r="G346" s="15"/>
      <c r="H346" s="16">
        <v>2990</v>
      </c>
      <c r="I346" s="15">
        <v>5400</v>
      </c>
      <c r="J346" s="15">
        <v>8500</v>
      </c>
      <c r="K346" s="16">
        <v>11400</v>
      </c>
      <c r="L346" s="15">
        <v>95</v>
      </c>
      <c r="M346" s="15">
        <v>120</v>
      </c>
      <c r="N346" s="16">
        <v>230</v>
      </c>
    </row>
    <row r="347" spans="1:14" ht="15" customHeight="1" x14ac:dyDescent="0.3">
      <c r="A347" s="12" t="s">
        <v>774</v>
      </c>
      <c r="B347" s="13" t="s">
        <v>775</v>
      </c>
      <c r="C347" s="14" t="s">
        <v>637</v>
      </c>
      <c r="D347" s="14" t="s">
        <v>740</v>
      </c>
      <c r="E347" s="13" t="s">
        <v>104</v>
      </c>
      <c r="F347" s="15"/>
      <c r="G347" s="15"/>
      <c r="H347" s="16">
        <v>2990</v>
      </c>
      <c r="I347" s="15">
        <v>5400</v>
      </c>
      <c r="J347" s="15">
        <v>8500</v>
      </c>
      <c r="K347" s="16">
        <v>11400</v>
      </c>
      <c r="L347" s="15">
        <v>95</v>
      </c>
      <c r="M347" s="15">
        <v>120</v>
      </c>
      <c r="N347" s="16">
        <v>230</v>
      </c>
    </row>
    <row r="348" spans="1:14" ht="15" customHeight="1" x14ac:dyDescent="0.3">
      <c r="A348" s="12" t="s">
        <v>776</v>
      </c>
      <c r="B348" s="13" t="s">
        <v>777</v>
      </c>
      <c r="C348" s="14" t="s">
        <v>637</v>
      </c>
      <c r="D348" s="14" t="s">
        <v>740</v>
      </c>
      <c r="E348" s="13" t="s">
        <v>104</v>
      </c>
      <c r="F348" s="15"/>
      <c r="G348" s="15"/>
      <c r="H348" s="16">
        <v>2990</v>
      </c>
      <c r="I348" s="15">
        <v>5400</v>
      </c>
      <c r="J348" s="15">
        <v>8500</v>
      </c>
      <c r="K348" s="16">
        <v>11400</v>
      </c>
      <c r="L348" s="15">
        <v>95</v>
      </c>
      <c r="M348" s="15">
        <v>120</v>
      </c>
      <c r="N348" s="16">
        <v>230</v>
      </c>
    </row>
    <row r="349" spans="1:14" ht="15" customHeight="1" x14ac:dyDescent="0.3">
      <c r="A349" s="12" t="s">
        <v>778</v>
      </c>
      <c r="B349" s="13" t="s">
        <v>779</v>
      </c>
      <c r="C349" s="14" t="s">
        <v>637</v>
      </c>
      <c r="D349" s="14" t="s">
        <v>740</v>
      </c>
      <c r="E349" s="13" t="s">
        <v>104</v>
      </c>
      <c r="F349" s="15"/>
      <c r="G349" s="15"/>
      <c r="H349" s="16">
        <v>2990</v>
      </c>
      <c r="I349" s="15">
        <v>5400</v>
      </c>
      <c r="J349" s="15">
        <v>8500</v>
      </c>
      <c r="K349" s="16">
        <v>11400</v>
      </c>
      <c r="L349" s="15">
        <v>95</v>
      </c>
      <c r="M349" s="15">
        <v>120</v>
      </c>
      <c r="N349" s="16">
        <v>230</v>
      </c>
    </row>
    <row r="350" spans="1:14" ht="15" customHeight="1" x14ac:dyDescent="0.3">
      <c r="A350" s="12" t="s">
        <v>780</v>
      </c>
      <c r="B350" s="13" t="s">
        <v>781</v>
      </c>
      <c r="C350" s="14" t="s">
        <v>637</v>
      </c>
      <c r="D350" s="14" t="s">
        <v>740</v>
      </c>
      <c r="E350" s="13" t="s">
        <v>104</v>
      </c>
      <c r="F350" s="15"/>
      <c r="G350" s="15"/>
      <c r="H350" s="16">
        <v>2990</v>
      </c>
      <c r="I350" s="15">
        <v>5400</v>
      </c>
      <c r="J350" s="15">
        <v>8500</v>
      </c>
      <c r="K350" s="16">
        <v>11400</v>
      </c>
      <c r="L350" s="15">
        <v>95</v>
      </c>
      <c r="M350" s="15">
        <v>120</v>
      </c>
      <c r="N350" s="16">
        <v>230</v>
      </c>
    </row>
    <row r="351" spans="1:14" ht="15" customHeight="1" x14ac:dyDescent="0.3">
      <c r="A351" s="12" t="s">
        <v>782</v>
      </c>
      <c r="B351" s="13" t="s">
        <v>783</v>
      </c>
      <c r="C351" s="14" t="s">
        <v>637</v>
      </c>
      <c r="D351" s="14" t="s">
        <v>740</v>
      </c>
      <c r="E351" s="13" t="s">
        <v>104</v>
      </c>
      <c r="F351" s="15"/>
      <c r="G351" s="15"/>
      <c r="H351" s="16">
        <v>2990</v>
      </c>
      <c r="I351" s="15">
        <v>5400</v>
      </c>
      <c r="J351" s="15">
        <v>8500</v>
      </c>
      <c r="K351" s="16">
        <v>11400</v>
      </c>
      <c r="L351" s="15">
        <v>95</v>
      </c>
      <c r="M351" s="15">
        <v>120</v>
      </c>
      <c r="N351" s="16">
        <v>230</v>
      </c>
    </row>
    <row r="352" spans="1:14" ht="15" customHeight="1" x14ac:dyDescent="0.3">
      <c r="A352" s="12" t="s">
        <v>784</v>
      </c>
      <c r="B352" s="13" t="s">
        <v>785</v>
      </c>
      <c r="C352" s="14" t="s">
        <v>637</v>
      </c>
      <c r="D352" s="14" t="s">
        <v>740</v>
      </c>
      <c r="E352" s="13" t="s">
        <v>104</v>
      </c>
      <c r="F352" s="15"/>
      <c r="G352" s="15"/>
      <c r="H352" s="16">
        <v>2990</v>
      </c>
      <c r="I352" s="15">
        <v>5400</v>
      </c>
      <c r="J352" s="15">
        <v>8500</v>
      </c>
      <c r="K352" s="16">
        <v>11400</v>
      </c>
      <c r="L352" s="15">
        <v>95</v>
      </c>
      <c r="M352" s="15">
        <v>120</v>
      </c>
      <c r="N352" s="16">
        <v>230</v>
      </c>
    </row>
    <row r="353" spans="1:14" ht="15" customHeight="1" x14ac:dyDescent="0.3">
      <c r="A353" s="12" t="s">
        <v>786</v>
      </c>
      <c r="B353" s="13" t="s">
        <v>787</v>
      </c>
      <c r="C353" s="14" t="s">
        <v>637</v>
      </c>
      <c r="D353" s="14" t="s">
        <v>740</v>
      </c>
      <c r="E353" s="13" t="s">
        <v>104</v>
      </c>
      <c r="F353" s="15"/>
      <c r="G353" s="15"/>
      <c r="H353" s="16">
        <v>2990</v>
      </c>
      <c r="I353" s="15">
        <v>5400</v>
      </c>
      <c r="J353" s="15">
        <v>8500</v>
      </c>
      <c r="K353" s="16">
        <v>11400</v>
      </c>
      <c r="L353" s="15">
        <v>95</v>
      </c>
      <c r="M353" s="15">
        <v>120</v>
      </c>
      <c r="N353" s="16">
        <v>230</v>
      </c>
    </row>
    <row r="354" spans="1:14" ht="15" customHeight="1" x14ac:dyDescent="0.3">
      <c r="A354" s="12" t="s">
        <v>788</v>
      </c>
      <c r="B354" s="13" t="s">
        <v>789</v>
      </c>
      <c r="C354" s="14" t="s">
        <v>637</v>
      </c>
      <c r="D354" s="14" t="s">
        <v>740</v>
      </c>
      <c r="E354" s="13" t="s">
        <v>104</v>
      </c>
      <c r="F354" s="15"/>
      <c r="G354" s="15"/>
      <c r="H354" s="16">
        <v>2990</v>
      </c>
      <c r="I354" s="15">
        <v>5400</v>
      </c>
      <c r="J354" s="15">
        <v>8500</v>
      </c>
      <c r="K354" s="16">
        <v>11400</v>
      </c>
      <c r="L354" s="15">
        <v>95</v>
      </c>
      <c r="M354" s="15">
        <v>120</v>
      </c>
      <c r="N354" s="16">
        <v>230</v>
      </c>
    </row>
    <row r="355" spans="1:14" ht="15" customHeight="1" x14ac:dyDescent="0.3">
      <c r="A355" s="12" t="s">
        <v>790</v>
      </c>
      <c r="B355" s="13" t="s">
        <v>791</v>
      </c>
      <c r="C355" s="14" t="s">
        <v>637</v>
      </c>
      <c r="D355" s="14" t="s">
        <v>740</v>
      </c>
      <c r="E355" s="13" t="s">
        <v>104</v>
      </c>
      <c r="F355" s="15"/>
      <c r="G355" s="15"/>
      <c r="H355" s="16">
        <v>2990</v>
      </c>
      <c r="I355" s="15">
        <v>5400</v>
      </c>
      <c r="J355" s="15">
        <v>8500</v>
      </c>
      <c r="K355" s="16">
        <v>11400</v>
      </c>
      <c r="L355" s="15">
        <v>95</v>
      </c>
      <c r="M355" s="15">
        <v>120</v>
      </c>
      <c r="N355" s="16">
        <v>230</v>
      </c>
    </row>
    <row r="356" spans="1:14" ht="15" customHeight="1" x14ac:dyDescent="0.3">
      <c r="A356" s="12" t="s">
        <v>792</v>
      </c>
      <c r="B356" s="13" t="s">
        <v>793</v>
      </c>
      <c r="C356" s="14" t="s">
        <v>637</v>
      </c>
      <c r="D356" s="14" t="s">
        <v>651</v>
      </c>
      <c r="E356" s="13" t="s">
        <v>104</v>
      </c>
      <c r="F356" s="15"/>
      <c r="G356" s="15"/>
      <c r="H356" s="16">
        <v>2990</v>
      </c>
      <c r="I356" s="15">
        <v>5400</v>
      </c>
      <c r="J356" s="15">
        <v>8500</v>
      </c>
      <c r="K356" s="16">
        <v>11400</v>
      </c>
      <c r="L356" s="15">
        <v>95</v>
      </c>
      <c r="M356" s="15">
        <v>120</v>
      </c>
      <c r="N356" s="16">
        <v>230</v>
      </c>
    </row>
    <row r="357" spans="1:14" ht="15" customHeight="1" x14ac:dyDescent="0.3">
      <c r="A357" s="12" t="s">
        <v>794</v>
      </c>
      <c r="B357" s="13" t="s">
        <v>795</v>
      </c>
      <c r="C357" s="14" t="s">
        <v>637</v>
      </c>
      <c r="D357" s="14" t="s">
        <v>651</v>
      </c>
      <c r="E357" s="13" t="s">
        <v>104</v>
      </c>
      <c r="F357" s="15"/>
      <c r="G357" s="15"/>
      <c r="H357" s="16">
        <v>2990</v>
      </c>
      <c r="I357" s="15">
        <v>5400</v>
      </c>
      <c r="J357" s="15">
        <v>8500</v>
      </c>
      <c r="K357" s="16">
        <v>11400</v>
      </c>
      <c r="L357" s="15">
        <v>95</v>
      </c>
      <c r="M357" s="15">
        <v>120</v>
      </c>
      <c r="N357" s="16">
        <v>230</v>
      </c>
    </row>
    <row r="358" spans="1:14" ht="15" customHeight="1" x14ac:dyDescent="0.3">
      <c r="A358" s="12" t="s">
        <v>796</v>
      </c>
      <c r="B358" s="13" t="s">
        <v>797</v>
      </c>
      <c r="C358" s="14" t="s">
        <v>637</v>
      </c>
      <c r="D358" s="14" t="s">
        <v>651</v>
      </c>
      <c r="E358" s="13" t="s">
        <v>104</v>
      </c>
      <c r="F358" s="15"/>
      <c r="G358" s="15"/>
      <c r="H358" s="16">
        <v>2990</v>
      </c>
      <c r="I358" s="15">
        <v>5400</v>
      </c>
      <c r="J358" s="15">
        <v>8500</v>
      </c>
      <c r="K358" s="16">
        <v>11400</v>
      </c>
      <c r="L358" s="15">
        <v>95</v>
      </c>
      <c r="M358" s="15">
        <v>120</v>
      </c>
      <c r="N358" s="16">
        <v>230</v>
      </c>
    </row>
    <row r="359" spans="1:14" ht="15" customHeight="1" x14ac:dyDescent="0.3">
      <c r="A359" s="12" t="s">
        <v>798</v>
      </c>
      <c r="B359" s="13" t="s">
        <v>799</v>
      </c>
      <c r="C359" s="14" t="s">
        <v>637</v>
      </c>
      <c r="D359" s="14" t="s">
        <v>651</v>
      </c>
      <c r="E359" s="13" t="s">
        <v>104</v>
      </c>
      <c r="F359" s="15"/>
      <c r="G359" s="15"/>
      <c r="H359" s="16">
        <v>2990</v>
      </c>
      <c r="I359" s="15">
        <v>5400</v>
      </c>
      <c r="J359" s="15">
        <v>8500</v>
      </c>
      <c r="K359" s="16">
        <v>11400</v>
      </c>
      <c r="L359" s="15">
        <v>95</v>
      </c>
      <c r="M359" s="15">
        <v>120</v>
      </c>
      <c r="N359" s="16">
        <v>230</v>
      </c>
    </row>
    <row r="360" spans="1:14" ht="15" customHeight="1" x14ac:dyDescent="0.3">
      <c r="A360" s="12" t="s">
        <v>800</v>
      </c>
      <c r="B360" s="13" t="s">
        <v>801</v>
      </c>
      <c r="C360" s="14" t="s">
        <v>637</v>
      </c>
      <c r="D360" s="14" t="s">
        <v>651</v>
      </c>
      <c r="E360" s="13" t="s">
        <v>104</v>
      </c>
      <c r="F360" s="15"/>
      <c r="G360" s="15"/>
      <c r="H360" s="16">
        <v>2990</v>
      </c>
      <c r="I360" s="15">
        <v>5400</v>
      </c>
      <c r="J360" s="15">
        <v>8500</v>
      </c>
      <c r="K360" s="16">
        <v>11400</v>
      </c>
      <c r="L360" s="15">
        <v>95</v>
      </c>
      <c r="M360" s="15">
        <v>120</v>
      </c>
      <c r="N360" s="16">
        <v>230</v>
      </c>
    </row>
    <row r="361" spans="1:14" ht="15" customHeight="1" x14ac:dyDescent="0.3">
      <c r="A361" s="12" t="s">
        <v>802</v>
      </c>
      <c r="B361" s="13" t="s">
        <v>803</v>
      </c>
      <c r="C361" s="14" t="s">
        <v>637</v>
      </c>
      <c r="D361" s="14" t="s">
        <v>651</v>
      </c>
      <c r="E361" s="13" t="s">
        <v>104</v>
      </c>
      <c r="F361" s="15"/>
      <c r="G361" s="15"/>
      <c r="H361" s="16">
        <v>2990</v>
      </c>
      <c r="I361" s="15">
        <v>5400</v>
      </c>
      <c r="J361" s="15">
        <v>8500</v>
      </c>
      <c r="K361" s="16">
        <v>11400</v>
      </c>
      <c r="L361" s="15">
        <v>95</v>
      </c>
      <c r="M361" s="15">
        <v>120</v>
      </c>
      <c r="N361" s="16">
        <v>230</v>
      </c>
    </row>
    <row r="362" spans="1:14" ht="15" customHeight="1" x14ac:dyDescent="0.3">
      <c r="A362" s="12" t="s">
        <v>804</v>
      </c>
      <c r="B362" s="13" t="s">
        <v>805</v>
      </c>
      <c r="C362" s="14" t="s">
        <v>637</v>
      </c>
      <c r="D362" s="14" t="s">
        <v>651</v>
      </c>
      <c r="E362" s="13" t="s">
        <v>104</v>
      </c>
      <c r="F362" s="15"/>
      <c r="G362" s="15"/>
      <c r="H362" s="16">
        <v>2990</v>
      </c>
      <c r="I362" s="15">
        <v>5400</v>
      </c>
      <c r="J362" s="15">
        <v>8500</v>
      </c>
      <c r="K362" s="16">
        <v>11400</v>
      </c>
      <c r="L362" s="15">
        <v>95</v>
      </c>
      <c r="M362" s="15">
        <v>120</v>
      </c>
      <c r="N362" s="16">
        <v>230</v>
      </c>
    </row>
    <row r="363" spans="1:14" ht="15" customHeight="1" x14ac:dyDescent="0.3">
      <c r="A363" s="12" t="s">
        <v>806</v>
      </c>
      <c r="B363" s="13" t="s">
        <v>807</v>
      </c>
      <c r="C363" s="14" t="s">
        <v>637</v>
      </c>
      <c r="D363" s="14" t="s">
        <v>651</v>
      </c>
      <c r="E363" s="13" t="s">
        <v>104</v>
      </c>
      <c r="F363" s="15"/>
      <c r="G363" s="15"/>
      <c r="H363" s="16">
        <v>2990</v>
      </c>
      <c r="I363" s="15">
        <v>5400</v>
      </c>
      <c r="J363" s="15">
        <v>8500</v>
      </c>
      <c r="K363" s="16">
        <v>11400</v>
      </c>
      <c r="L363" s="15">
        <v>95</v>
      </c>
      <c r="M363" s="15">
        <v>120</v>
      </c>
      <c r="N363" s="16">
        <v>230</v>
      </c>
    </row>
    <row r="364" spans="1:14" ht="15" customHeight="1" x14ac:dyDescent="0.3">
      <c r="A364" s="12" t="s">
        <v>808</v>
      </c>
      <c r="B364" s="13" t="s">
        <v>809</v>
      </c>
      <c r="C364" s="14" t="s">
        <v>637</v>
      </c>
      <c r="D364" s="14" t="s">
        <v>651</v>
      </c>
      <c r="E364" s="13" t="s">
        <v>104</v>
      </c>
      <c r="F364" s="15"/>
      <c r="G364" s="15"/>
      <c r="H364" s="16">
        <v>2990</v>
      </c>
      <c r="I364" s="15">
        <v>5400</v>
      </c>
      <c r="J364" s="15">
        <v>8500</v>
      </c>
      <c r="K364" s="16">
        <v>11400</v>
      </c>
      <c r="L364" s="15">
        <v>95</v>
      </c>
      <c r="M364" s="15">
        <v>120</v>
      </c>
      <c r="N364" s="16">
        <v>230</v>
      </c>
    </row>
    <row r="365" spans="1:14" ht="15" customHeight="1" x14ac:dyDescent="0.3">
      <c r="A365" s="12" t="s">
        <v>810</v>
      </c>
      <c r="B365" s="13" t="s">
        <v>811</v>
      </c>
      <c r="C365" s="14" t="s">
        <v>637</v>
      </c>
      <c r="D365" s="14" t="s">
        <v>740</v>
      </c>
      <c r="E365" s="13" t="s">
        <v>104</v>
      </c>
      <c r="F365" s="15"/>
      <c r="G365" s="15"/>
      <c r="H365" s="16">
        <v>2990</v>
      </c>
      <c r="I365" s="15">
        <v>5400</v>
      </c>
      <c r="J365" s="15">
        <v>8500</v>
      </c>
      <c r="K365" s="16">
        <v>11400</v>
      </c>
      <c r="L365" s="15">
        <v>95</v>
      </c>
      <c r="M365" s="15">
        <v>120</v>
      </c>
      <c r="N365" s="16">
        <v>230</v>
      </c>
    </row>
    <row r="366" spans="1:14" ht="15" customHeight="1" x14ac:dyDescent="0.3">
      <c r="A366" s="12" t="s">
        <v>812</v>
      </c>
      <c r="B366" s="13" t="s">
        <v>813</v>
      </c>
      <c r="C366" s="14" t="s">
        <v>637</v>
      </c>
      <c r="D366" s="14" t="s">
        <v>740</v>
      </c>
      <c r="E366" s="13" t="s">
        <v>104</v>
      </c>
      <c r="F366" s="15"/>
      <c r="G366" s="15"/>
      <c r="H366" s="16">
        <v>2990</v>
      </c>
      <c r="I366" s="15">
        <v>5400</v>
      </c>
      <c r="J366" s="15">
        <v>8500</v>
      </c>
      <c r="K366" s="16">
        <v>11400</v>
      </c>
      <c r="L366" s="15">
        <v>95</v>
      </c>
      <c r="M366" s="15">
        <v>120</v>
      </c>
      <c r="N366" s="16">
        <v>230</v>
      </c>
    </row>
    <row r="367" spans="1:14" ht="15" customHeight="1" x14ac:dyDescent="0.3">
      <c r="A367" s="12" t="s">
        <v>814</v>
      </c>
      <c r="B367" s="13" t="s">
        <v>815</v>
      </c>
      <c r="C367" s="14" t="s">
        <v>637</v>
      </c>
      <c r="D367" s="14" t="s">
        <v>641</v>
      </c>
      <c r="E367" s="13" t="s">
        <v>104</v>
      </c>
      <c r="F367" s="15"/>
      <c r="G367" s="15"/>
      <c r="H367" s="16">
        <v>2670</v>
      </c>
      <c r="I367" s="15">
        <v>4800</v>
      </c>
      <c r="J367" s="15">
        <v>7900</v>
      </c>
      <c r="K367" s="16">
        <v>10100</v>
      </c>
      <c r="L367" s="15">
        <v>95</v>
      </c>
      <c r="M367" s="15">
        <v>120</v>
      </c>
      <c r="N367" s="16">
        <v>230</v>
      </c>
    </row>
    <row r="368" spans="1:14" ht="15" customHeight="1" x14ac:dyDescent="0.3">
      <c r="A368" s="12" t="s">
        <v>816</v>
      </c>
      <c r="B368" s="13" t="s">
        <v>817</v>
      </c>
      <c r="C368" s="14" t="s">
        <v>637</v>
      </c>
      <c r="D368" s="14" t="s">
        <v>663</v>
      </c>
      <c r="E368" s="13" t="s">
        <v>104</v>
      </c>
      <c r="F368" s="15"/>
      <c r="G368" s="15"/>
      <c r="H368" s="16">
        <v>2670</v>
      </c>
      <c r="I368" s="15">
        <v>4800</v>
      </c>
      <c r="J368" s="15">
        <v>7900</v>
      </c>
      <c r="K368" s="16">
        <v>10100</v>
      </c>
      <c r="L368" s="15">
        <v>95</v>
      </c>
      <c r="M368" s="15">
        <v>120</v>
      </c>
      <c r="N368" s="16">
        <v>230</v>
      </c>
    </row>
    <row r="369" spans="1:14" ht="15" customHeight="1" x14ac:dyDescent="0.3">
      <c r="A369" s="12" t="s">
        <v>110</v>
      </c>
      <c r="B369" s="13" t="s">
        <v>701</v>
      </c>
      <c r="C369" s="14" t="s">
        <v>637</v>
      </c>
      <c r="D369" s="14" t="s">
        <v>651</v>
      </c>
      <c r="E369" s="13" t="s">
        <v>45</v>
      </c>
      <c r="F369" s="15"/>
      <c r="G369" s="15"/>
      <c r="H369" s="16">
        <v>2670</v>
      </c>
      <c r="I369" s="15">
        <v>4800</v>
      </c>
      <c r="J369" s="15">
        <v>7900</v>
      </c>
      <c r="K369" s="16">
        <v>10100</v>
      </c>
      <c r="L369" s="15">
        <v>95</v>
      </c>
      <c r="M369" s="15">
        <v>120</v>
      </c>
      <c r="N369" s="16">
        <v>230</v>
      </c>
    </row>
    <row r="370" spans="1:14" ht="15" customHeight="1" x14ac:dyDescent="0.3">
      <c r="A370" s="12" t="s">
        <v>110</v>
      </c>
      <c r="B370" s="13" t="s">
        <v>653</v>
      </c>
      <c r="C370" s="14" t="s">
        <v>637</v>
      </c>
      <c r="D370" s="14" t="s">
        <v>651</v>
      </c>
      <c r="E370" s="13" t="s">
        <v>470</v>
      </c>
      <c r="F370" s="15"/>
      <c r="G370" s="15"/>
      <c r="H370" s="16">
        <v>2670</v>
      </c>
      <c r="I370" s="15">
        <v>4800</v>
      </c>
      <c r="J370" s="15">
        <v>7900</v>
      </c>
      <c r="K370" s="16">
        <v>10100</v>
      </c>
      <c r="L370" s="15">
        <v>95</v>
      </c>
      <c r="M370" s="15">
        <v>120</v>
      </c>
      <c r="N370" s="16">
        <v>230</v>
      </c>
    </row>
    <row r="371" spans="1:14" ht="15" customHeight="1" x14ac:dyDescent="0.3">
      <c r="A371" s="12" t="s">
        <v>110</v>
      </c>
      <c r="B371" s="13" t="s">
        <v>656</v>
      </c>
      <c r="C371" s="14" t="s">
        <v>637</v>
      </c>
      <c r="D371" s="14" t="s">
        <v>651</v>
      </c>
      <c r="E371" s="13" t="s">
        <v>470</v>
      </c>
      <c r="F371" s="15"/>
      <c r="G371" s="15"/>
      <c r="H371" s="16">
        <v>2670</v>
      </c>
      <c r="I371" s="15">
        <v>4800</v>
      </c>
      <c r="J371" s="15">
        <v>7900</v>
      </c>
      <c r="K371" s="16">
        <v>10100</v>
      </c>
      <c r="L371" s="15">
        <v>95</v>
      </c>
      <c r="M371" s="15">
        <v>120</v>
      </c>
      <c r="N371" s="16">
        <v>230</v>
      </c>
    </row>
    <row r="372" spans="1:14" ht="15" customHeight="1" x14ac:dyDescent="0.3">
      <c r="A372" s="12" t="s">
        <v>110</v>
      </c>
      <c r="B372" s="13" t="s">
        <v>669</v>
      </c>
      <c r="C372" s="14" t="s">
        <v>637</v>
      </c>
      <c r="D372" s="14" t="s">
        <v>651</v>
      </c>
      <c r="E372" s="13" t="s">
        <v>470</v>
      </c>
      <c r="F372" s="15"/>
      <c r="G372" s="15"/>
      <c r="H372" s="16">
        <v>2670</v>
      </c>
      <c r="I372" s="15">
        <v>4800</v>
      </c>
      <c r="J372" s="15">
        <v>7900</v>
      </c>
      <c r="K372" s="16">
        <v>10100</v>
      </c>
      <c r="L372" s="15">
        <v>95</v>
      </c>
      <c r="M372" s="15">
        <v>120</v>
      </c>
      <c r="N372" s="16">
        <v>230</v>
      </c>
    </row>
    <row r="373" spans="1:14" ht="15" customHeight="1" x14ac:dyDescent="0.3">
      <c r="A373" s="7" t="s">
        <v>110</v>
      </c>
      <c r="B373" s="8" t="s">
        <v>818</v>
      </c>
      <c r="C373" s="9" t="s">
        <v>819</v>
      </c>
      <c r="D373" s="9" t="s">
        <v>820</v>
      </c>
      <c r="E373" s="8" t="s">
        <v>177</v>
      </c>
      <c r="F373" s="10"/>
      <c r="G373" s="10"/>
      <c r="H373" s="11">
        <v>1200</v>
      </c>
      <c r="I373" s="10">
        <v>4400</v>
      </c>
      <c r="J373" s="10">
        <v>4600</v>
      </c>
      <c r="K373" s="11">
        <v>4600</v>
      </c>
      <c r="L373" s="10">
        <v>125</v>
      </c>
      <c r="M373" s="10">
        <v>130</v>
      </c>
      <c r="N373" s="11">
        <v>145</v>
      </c>
    </row>
    <row r="374" spans="1:14" ht="15" customHeight="1" x14ac:dyDescent="0.3">
      <c r="A374" s="7" t="s">
        <v>110</v>
      </c>
      <c r="B374" s="8" t="s">
        <v>818</v>
      </c>
      <c r="C374" s="9" t="s">
        <v>819</v>
      </c>
      <c r="D374" s="9" t="s">
        <v>821</v>
      </c>
      <c r="E374" s="8" t="s">
        <v>177</v>
      </c>
      <c r="F374" s="10"/>
      <c r="G374" s="10"/>
      <c r="H374" s="11">
        <v>1200</v>
      </c>
      <c r="I374" s="10">
        <v>4400</v>
      </c>
      <c r="J374" s="10">
        <v>4600</v>
      </c>
      <c r="K374" s="11">
        <v>4600</v>
      </c>
      <c r="L374" s="10">
        <v>125</v>
      </c>
      <c r="M374" s="10">
        <v>130</v>
      </c>
      <c r="N374" s="11">
        <v>145</v>
      </c>
    </row>
    <row r="375" spans="1:14" ht="15" customHeight="1" x14ac:dyDescent="0.3">
      <c r="A375" s="7" t="s">
        <v>110</v>
      </c>
      <c r="B375" s="8" t="s">
        <v>818</v>
      </c>
      <c r="C375" s="9" t="s">
        <v>819</v>
      </c>
      <c r="D375" s="9" t="s">
        <v>821</v>
      </c>
      <c r="E375" s="8" t="s">
        <v>177</v>
      </c>
      <c r="F375" s="10"/>
      <c r="G375" s="10"/>
      <c r="H375" s="11">
        <v>1200</v>
      </c>
      <c r="I375" s="10">
        <v>4400</v>
      </c>
      <c r="J375" s="10">
        <v>4600</v>
      </c>
      <c r="K375" s="11">
        <v>4600</v>
      </c>
      <c r="L375" s="10">
        <v>125</v>
      </c>
      <c r="M375" s="10">
        <v>130</v>
      </c>
      <c r="N375" s="11">
        <v>145</v>
      </c>
    </row>
    <row r="376" spans="1:14" ht="15" customHeight="1" x14ac:dyDescent="0.3">
      <c r="A376" s="7" t="s">
        <v>110</v>
      </c>
      <c r="B376" s="8" t="s">
        <v>822</v>
      </c>
      <c r="C376" s="9" t="s">
        <v>819</v>
      </c>
      <c r="D376" s="9" t="s">
        <v>823</v>
      </c>
      <c r="E376" s="8" t="s">
        <v>177</v>
      </c>
      <c r="F376" s="10"/>
      <c r="G376" s="10"/>
      <c r="H376" s="11">
        <v>1200</v>
      </c>
      <c r="I376" s="10">
        <v>4400</v>
      </c>
      <c r="J376" s="10">
        <v>4600</v>
      </c>
      <c r="K376" s="11">
        <v>4600</v>
      </c>
      <c r="L376" s="10">
        <v>125</v>
      </c>
      <c r="M376" s="10">
        <v>130</v>
      </c>
      <c r="N376" s="11">
        <v>145</v>
      </c>
    </row>
    <row r="377" spans="1:14" ht="15" customHeight="1" x14ac:dyDescent="0.3">
      <c r="A377" s="7" t="s">
        <v>110</v>
      </c>
      <c r="B377" s="8" t="s">
        <v>824</v>
      </c>
      <c r="C377" s="9" t="s">
        <v>819</v>
      </c>
      <c r="D377" s="9" t="s">
        <v>820</v>
      </c>
      <c r="E377" s="8" t="s">
        <v>56</v>
      </c>
      <c r="F377" s="10"/>
      <c r="G377" s="10"/>
      <c r="H377" s="11">
        <v>940</v>
      </c>
      <c r="I377" s="10">
        <v>3400</v>
      </c>
      <c r="J377" s="10">
        <v>3600</v>
      </c>
      <c r="K377" s="11">
        <v>3600</v>
      </c>
      <c r="L377" s="10">
        <v>125</v>
      </c>
      <c r="M377" s="10">
        <v>130</v>
      </c>
      <c r="N377" s="11">
        <v>145</v>
      </c>
    </row>
    <row r="378" spans="1:14" ht="15" customHeight="1" x14ac:dyDescent="0.3">
      <c r="A378" s="7" t="s">
        <v>110</v>
      </c>
      <c r="B378" s="8" t="s">
        <v>824</v>
      </c>
      <c r="C378" s="9" t="s">
        <v>819</v>
      </c>
      <c r="D378" s="9" t="s">
        <v>820</v>
      </c>
      <c r="E378" s="8" t="s">
        <v>56</v>
      </c>
      <c r="F378" s="10"/>
      <c r="G378" s="10"/>
      <c r="H378" s="11">
        <v>940</v>
      </c>
      <c r="I378" s="10">
        <v>3400</v>
      </c>
      <c r="J378" s="10">
        <v>3600</v>
      </c>
      <c r="K378" s="11">
        <v>3600</v>
      </c>
      <c r="L378" s="10">
        <v>125</v>
      </c>
      <c r="M378" s="10">
        <v>130</v>
      </c>
      <c r="N378" s="11">
        <v>145</v>
      </c>
    </row>
    <row r="379" spans="1:14" ht="15" customHeight="1" x14ac:dyDescent="0.3">
      <c r="A379" s="12" t="s">
        <v>110</v>
      </c>
      <c r="B379" s="13" t="s">
        <v>825</v>
      </c>
      <c r="C379" s="14" t="s">
        <v>826</v>
      </c>
      <c r="D379" s="14" t="s">
        <v>827</v>
      </c>
      <c r="E379" s="13" t="s">
        <v>470</v>
      </c>
      <c r="F379" s="15"/>
      <c r="G379" s="15"/>
      <c r="H379" s="16">
        <v>1800</v>
      </c>
      <c r="I379" s="15">
        <v>6500</v>
      </c>
      <c r="J379" s="15">
        <v>6800</v>
      </c>
      <c r="K379" s="16">
        <v>6800</v>
      </c>
      <c r="L379" s="15">
        <v>215</v>
      </c>
      <c r="M379" s="15">
        <v>225</v>
      </c>
      <c r="N379" s="16">
        <v>255</v>
      </c>
    </row>
    <row r="380" spans="1:14" ht="15" customHeight="1" x14ac:dyDescent="0.3">
      <c r="A380" s="12" t="s">
        <v>110</v>
      </c>
      <c r="B380" s="13" t="s">
        <v>828</v>
      </c>
      <c r="C380" s="14" t="s">
        <v>826</v>
      </c>
      <c r="D380" s="14" t="s">
        <v>829</v>
      </c>
      <c r="E380" s="13" t="s">
        <v>158</v>
      </c>
      <c r="F380" s="15"/>
      <c r="G380" s="15"/>
      <c r="H380" s="16">
        <v>1430</v>
      </c>
      <c r="I380" s="15">
        <v>5200</v>
      </c>
      <c r="J380" s="15">
        <v>5400</v>
      </c>
      <c r="K380" s="16">
        <v>5400</v>
      </c>
      <c r="L380" s="15">
        <v>215</v>
      </c>
      <c r="M380" s="15">
        <v>225</v>
      </c>
      <c r="N380" s="16">
        <v>255</v>
      </c>
    </row>
    <row r="381" spans="1:14" ht="15" customHeight="1" x14ac:dyDescent="0.3">
      <c r="A381" s="12" t="s">
        <v>110</v>
      </c>
      <c r="B381" s="13" t="s">
        <v>830</v>
      </c>
      <c r="C381" s="14" t="s">
        <v>826</v>
      </c>
      <c r="D381" s="14" t="s">
        <v>197</v>
      </c>
      <c r="E381" s="13" t="s">
        <v>110</v>
      </c>
      <c r="F381" s="15"/>
      <c r="G381" s="15"/>
      <c r="H381" s="16">
        <v>1280</v>
      </c>
      <c r="I381" s="15">
        <v>4600</v>
      </c>
      <c r="J381" s="15">
        <v>4900</v>
      </c>
      <c r="K381" s="16">
        <v>4900</v>
      </c>
      <c r="L381" s="15">
        <v>215</v>
      </c>
      <c r="M381" s="15">
        <v>225</v>
      </c>
      <c r="N381" s="16">
        <v>255</v>
      </c>
    </row>
    <row r="382" spans="1:14" ht="15" customHeight="1" x14ac:dyDescent="0.3">
      <c r="A382" s="7" t="s">
        <v>831</v>
      </c>
      <c r="B382" s="8" t="s">
        <v>832</v>
      </c>
      <c r="C382" s="9" t="s">
        <v>833</v>
      </c>
      <c r="D382" s="9" t="s">
        <v>603</v>
      </c>
      <c r="E382" s="8" t="s">
        <v>456</v>
      </c>
      <c r="F382" s="10">
        <v>970</v>
      </c>
      <c r="G382" s="10">
        <v>1750</v>
      </c>
      <c r="H382" s="11">
        <v>1760</v>
      </c>
      <c r="I382" s="10">
        <v>3700</v>
      </c>
      <c r="J382" s="10">
        <v>6700</v>
      </c>
      <c r="K382" s="11">
        <v>6700</v>
      </c>
      <c r="L382" s="10"/>
      <c r="M382" s="10"/>
      <c r="N382" s="11"/>
    </row>
    <row r="383" spans="1:14" ht="15" customHeight="1" x14ac:dyDescent="0.3">
      <c r="A383" s="7" t="s">
        <v>834</v>
      </c>
      <c r="B383" s="8" t="s">
        <v>835</v>
      </c>
      <c r="C383" s="9" t="s">
        <v>833</v>
      </c>
      <c r="D383" s="9" t="s">
        <v>836</v>
      </c>
      <c r="E383" s="8" t="s">
        <v>335</v>
      </c>
      <c r="F383" s="10">
        <v>780</v>
      </c>
      <c r="G383" s="10">
        <v>1420</v>
      </c>
      <c r="H383" s="11">
        <v>1420</v>
      </c>
      <c r="I383" s="10">
        <v>3000</v>
      </c>
      <c r="J383" s="10">
        <v>5400</v>
      </c>
      <c r="K383" s="11">
        <v>5400</v>
      </c>
      <c r="L383" s="10"/>
      <c r="M383" s="10"/>
      <c r="N383" s="11"/>
    </row>
    <row r="384" spans="1:14" ht="15" customHeight="1" x14ac:dyDescent="0.3">
      <c r="A384" s="7" t="s">
        <v>837</v>
      </c>
      <c r="B384" s="8" t="s">
        <v>838</v>
      </c>
      <c r="C384" s="9" t="s">
        <v>833</v>
      </c>
      <c r="D384" s="9" t="s">
        <v>839</v>
      </c>
      <c r="E384" s="8" t="s">
        <v>110</v>
      </c>
      <c r="F384" s="10">
        <v>780</v>
      </c>
      <c r="G384" s="10">
        <v>1420</v>
      </c>
      <c r="H384" s="11">
        <v>1420</v>
      </c>
      <c r="I384" s="10">
        <v>3000</v>
      </c>
      <c r="J384" s="10">
        <v>5400</v>
      </c>
      <c r="K384" s="11">
        <v>5400</v>
      </c>
      <c r="L384" s="10"/>
      <c r="M384" s="10"/>
      <c r="N384" s="11"/>
    </row>
    <row r="385" spans="1:14" ht="15" customHeight="1" x14ac:dyDescent="0.3">
      <c r="A385" s="7" t="s">
        <v>840</v>
      </c>
      <c r="B385" s="8" t="s">
        <v>841</v>
      </c>
      <c r="C385" s="9" t="s">
        <v>833</v>
      </c>
      <c r="D385" s="9" t="s">
        <v>842</v>
      </c>
      <c r="E385" s="8" t="s">
        <v>456</v>
      </c>
      <c r="F385" s="10">
        <v>970</v>
      </c>
      <c r="G385" s="10">
        <v>1750</v>
      </c>
      <c r="H385" s="11">
        <v>1760</v>
      </c>
      <c r="I385" s="10">
        <v>3700</v>
      </c>
      <c r="J385" s="10">
        <v>6700</v>
      </c>
      <c r="K385" s="11">
        <v>6700</v>
      </c>
      <c r="L385" s="10"/>
      <c r="M385" s="10"/>
      <c r="N385" s="11"/>
    </row>
    <row r="386" spans="1:14" ht="15" customHeight="1" x14ac:dyDescent="0.3">
      <c r="A386" s="7" t="s">
        <v>843</v>
      </c>
      <c r="B386" s="8" t="s">
        <v>844</v>
      </c>
      <c r="C386" s="9" t="s">
        <v>833</v>
      </c>
      <c r="D386" s="9" t="s">
        <v>845</v>
      </c>
      <c r="E386" s="8" t="s">
        <v>335</v>
      </c>
      <c r="F386" s="10">
        <v>780</v>
      </c>
      <c r="G386" s="10">
        <v>1420</v>
      </c>
      <c r="H386" s="11">
        <v>1420</v>
      </c>
      <c r="I386" s="10">
        <v>3000</v>
      </c>
      <c r="J386" s="10">
        <v>5400</v>
      </c>
      <c r="K386" s="11">
        <v>5400</v>
      </c>
      <c r="L386" s="10"/>
      <c r="M386" s="10"/>
      <c r="N386" s="11"/>
    </row>
    <row r="387" spans="1:14" ht="15" customHeight="1" x14ac:dyDescent="0.3">
      <c r="A387" s="7" t="s">
        <v>110</v>
      </c>
      <c r="B387" s="8" t="s">
        <v>110</v>
      </c>
      <c r="C387" s="9" t="s">
        <v>833</v>
      </c>
      <c r="D387" s="9" t="s">
        <v>845</v>
      </c>
      <c r="E387" s="8" t="s">
        <v>110</v>
      </c>
      <c r="F387" s="10">
        <v>780</v>
      </c>
      <c r="G387" s="10">
        <v>1420</v>
      </c>
      <c r="H387" s="11">
        <v>1420</v>
      </c>
      <c r="I387" s="10">
        <v>3000</v>
      </c>
      <c r="J387" s="10">
        <v>5400</v>
      </c>
      <c r="K387" s="11">
        <v>5400</v>
      </c>
      <c r="L387" s="10"/>
      <c r="M387" s="10"/>
      <c r="N387" s="11"/>
    </row>
    <row r="388" spans="1:14" ht="15" customHeight="1" x14ac:dyDescent="0.3">
      <c r="A388" s="12" t="s">
        <v>846</v>
      </c>
      <c r="B388" s="13" t="s">
        <v>110</v>
      </c>
      <c r="C388" s="14" t="s">
        <v>847</v>
      </c>
      <c r="D388" s="14" t="s">
        <v>848</v>
      </c>
      <c r="E388" s="13" t="s">
        <v>121</v>
      </c>
      <c r="F388" s="15">
        <v>3700</v>
      </c>
      <c r="G388" s="15">
        <v>4500</v>
      </c>
      <c r="H388" s="16">
        <v>8220</v>
      </c>
      <c r="I388" s="15">
        <v>14100</v>
      </c>
      <c r="J388" s="15">
        <v>17200</v>
      </c>
      <c r="K388" s="16">
        <v>31200</v>
      </c>
      <c r="L388" s="15"/>
      <c r="M388" s="15"/>
      <c r="N388" s="16"/>
    </row>
    <row r="389" spans="1:14" ht="15" customHeight="1" x14ac:dyDescent="0.3">
      <c r="A389" s="12" t="s">
        <v>849</v>
      </c>
      <c r="B389" s="13" t="s">
        <v>110</v>
      </c>
      <c r="C389" s="14" t="s">
        <v>847</v>
      </c>
      <c r="D389" s="14" t="s">
        <v>850</v>
      </c>
      <c r="E389" s="13" t="s">
        <v>116</v>
      </c>
      <c r="F389" s="15">
        <v>3000</v>
      </c>
      <c r="G389" s="15">
        <v>3800</v>
      </c>
      <c r="H389" s="16">
        <v>6660</v>
      </c>
      <c r="I389" s="15">
        <v>11400</v>
      </c>
      <c r="J389" s="15">
        <v>14500</v>
      </c>
      <c r="K389" s="16">
        <v>25300</v>
      </c>
      <c r="L389" s="15"/>
      <c r="M389" s="15"/>
      <c r="N389" s="16"/>
    </row>
    <row r="390" spans="1:14" ht="15" customHeight="1" x14ac:dyDescent="0.3">
      <c r="A390" s="12" t="s">
        <v>851</v>
      </c>
      <c r="B390" s="13" t="s">
        <v>110</v>
      </c>
      <c r="C390" s="14" t="s">
        <v>847</v>
      </c>
      <c r="D390" s="14" t="s">
        <v>852</v>
      </c>
      <c r="E390" s="13" t="s">
        <v>116</v>
      </c>
      <c r="F390" s="15">
        <v>3530</v>
      </c>
      <c r="G390" s="15">
        <v>4300</v>
      </c>
      <c r="H390" s="16">
        <v>7830</v>
      </c>
      <c r="I390" s="15">
        <v>13400</v>
      </c>
      <c r="J390" s="15">
        <v>16500</v>
      </c>
      <c r="K390" s="16">
        <v>29800</v>
      </c>
      <c r="L390" s="15"/>
      <c r="M390" s="15"/>
      <c r="N390" s="16"/>
    </row>
    <row r="391" spans="1:14" ht="15" customHeight="1" x14ac:dyDescent="0.3">
      <c r="A391" s="12" t="s">
        <v>853</v>
      </c>
      <c r="B391" s="13" t="s">
        <v>110</v>
      </c>
      <c r="C391" s="14" t="s">
        <v>847</v>
      </c>
      <c r="D391" s="14" t="s">
        <v>850</v>
      </c>
      <c r="E391" s="13" t="s">
        <v>470</v>
      </c>
      <c r="F391" s="15">
        <v>3000</v>
      </c>
      <c r="G391" s="15">
        <v>3800</v>
      </c>
      <c r="H391" s="16">
        <v>6660</v>
      </c>
      <c r="I391" s="15">
        <v>11400</v>
      </c>
      <c r="J391" s="15">
        <v>14500</v>
      </c>
      <c r="K391" s="16">
        <v>25300</v>
      </c>
      <c r="L391" s="15"/>
      <c r="M391" s="15"/>
      <c r="N391" s="16"/>
    </row>
    <row r="392" spans="1:14" ht="15" customHeight="1" x14ac:dyDescent="0.3">
      <c r="A392" s="12" t="s">
        <v>854</v>
      </c>
      <c r="B392" s="13" t="s">
        <v>110</v>
      </c>
      <c r="C392" s="14" t="s">
        <v>847</v>
      </c>
      <c r="D392" s="14" t="s">
        <v>855</v>
      </c>
      <c r="E392" s="13" t="s">
        <v>113</v>
      </c>
      <c r="F392" s="15">
        <v>2170</v>
      </c>
      <c r="G392" s="15">
        <v>2950</v>
      </c>
      <c r="H392" s="16">
        <v>4810</v>
      </c>
      <c r="I392" s="15">
        <v>8200</v>
      </c>
      <c r="J392" s="15">
        <v>11300</v>
      </c>
      <c r="K392" s="16">
        <v>18300</v>
      </c>
      <c r="L392" s="15"/>
      <c r="M392" s="15"/>
      <c r="N392" s="16"/>
    </row>
    <row r="393" spans="1:14" ht="15" customHeight="1" x14ac:dyDescent="0.3">
      <c r="A393" s="12" t="s">
        <v>856</v>
      </c>
      <c r="B393" s="13" t="s">
        <v>110</v>
      </c>
      <c r="C393" s="14" t="s">
        <v>847</v>
      </c>
      <c r="D393" s="14" t="s">
        <v>857</v>
      </c>
      <c r="E393" s="13" t="s">
        <v>113</v>
      </c>
      <c r="F393" s="15">
        <v>1700</v>
      </c>
      <c r="G393" s="15">
        <v>2500</v>
      </c>
      <c r="H393" s="16">
        <v>3780</v>
      </c>
      <c r="I393" s="15">
        <v>6500</v>
      </c>
      <c r="J393" s="15">
        <v>9600</v>
      </c>
      <c r="K393" s="16">
        <v>14400</v>
      </c>
      <c r="L393" s="15"/>
      <c r="M393" s="15"/>
      <c r="N393" s="16"/>
    </row>
    <row r="394" spans="1:14" ht="15" customHeight="1" x14ac:dyDescent="0.3">
      <c r="A394" s="12" t="s">
        <v>858</v>
      </c>
      <c r="B394" s="13" t="s">
        <v>110</v>
      </c>
      <c r="C394" s="14" t="s">
        <v>847</v>
      </c>
      <c r="D394" s="14" t="s">
        <v>859</v>
      </c>
      <c r="E394" s="13" t="s">
        <v>124</v>
      </c>
      <c r="F394" s="15">
        <v>3530</v>
      </c>
      <c r="G394" s="15">
        <v>4300</v>
      </c>
      <c r="H394" s="16">
        <v>7830</v>
      </c>
      <c r="I394" s="15">
        <v>13400</v>
      </c>
      <c r="J394" s="15">
        <v>16500</v>
      </c>
      <c r="K394" s="16">
        <v>29800</v>
      </c>
      <c r="L394" s="15"/>
      <c r="M394" s="15"/>
      <c r="N394" s="16"/>
    </row>
    <row r="395" spans="1:14" ht="15" customHeight="1" x14ac:dyDescent="0.3">
      <c r="A395" s="12" t="s">
        <v>860</v>
      </c>
      <c r="B395" s="13" t="s">
        <v>110</v>
      </c>
      <c r="C395" s="14" t="s">
        <v>847</v>
      </c>
      <c r="D395" s="14" t="s">
        <v>861</v>
      </c>
      <c r="E395" s="13" t="s">
        <v>113</v>
      </c>
      <c r="F395" s="15">
        <v>1700</v>
      </c>
      <c r="G395" s="15">
        <v>2500</v>
      </c>
      <c r="H395" s="16">
        <v>3780</v>
      </c>
      <c r="I395" s="15">
        <v>6500</v>
      </c>
      <c r="J395" s="15">
        <v>9600</v>
      </c>
      <c r="K395" s="16">
        <v>14400</v>
      </c>
      <c r="L395" s="15"/>
      <c r="M395" s="15"/>
      <c r="N395" s="16"/>
    </row>
    <row r="396" spans="1:14" ht="15" customHeight="1" x14ac:dyDescent="0.3">
      <c r="A396" s="12" t="s">
        <v>862</v>
      </c>
      <c r="B396" s="13" t="s">
        <v>110</v>
      </c>
      <c r="C396" s="14" t="s">
        <v>847</v>
      </c>
      <c r="D396" s="14" t="s">
        <v>197</v>
      </c>
      <c r="E396" s="13" t="s">
        <v>110</v>
      </c>
      <c r="F396" s="15">
        <v>2490</v>
      </c>
      <c r="G396" s="15">
        <v>3250</v>
      </c>
      <c r="H396" s="16">
        <v>5540</v>
      </c>
      <c r="I396" s="15">
        <v>9500</v>
      </c>
      <c r="J396" s="15">
        <v>12600</v>
      </c>
      <c r="K396" s="16">
        <v>21100</v>
      </c>
      <c r="L396" s="15"/>
      <c r="M396" s="15"/>
      <c r="N396" s="16"/>
    </row>
    <row r="397" spans="1:14" ht="15" customHeight="1" x14ac:dyDescent="0.3">
      <c r="A397" s="12" t="s">
        <v>863</v>
      </c>
      <c r="B397" s="13" t="s">
        <v>110</v>
      </c>
      <c r="C397" s="14" t="s">
        <v>847</v>
      </c>
      <c r="D397" s="14" t="s">
        <v>864</v>
      </c>
      <c r="E397" s="13" t="s">
        <v>116</v>
      </c>
      <c r="F397" s="15">
        <v>1940</v>
      </c>
      <c r="G397" s="15">
        <v>2700</v>
      </c>
      <c r="H397" s="16">
        <v>4310</v>
      </c>
      <c r="I397" s="15">
        <v>7400</v>
      </c>
      <c r="J397" s="15">
        <v>10500</v>
      </c>
      <c r="K397" s="16">
        <v>16400</v>
      </c>
      <c r="L397" s="15"/>
      <c r="M397" s="15"/>
      <c r="N397" s="16"/>
    </row>
    <row r="398" spans="1:14" ht="15" customHeight="1" x14ac:dyDescent="0.3">
      <c r="A398" s="12" t="s">
        <v>865</v>
      </c>
      <c r="B398" s="13" t="s">
        <v>110</v>
      </c>
      <c r="C398" s="14" t="s">
        <v>847</v>
      </c>
      <c r="D398" s="14" t="s">
        <v>866</v>
      </c>
      <c r="E398" s="13" t="s">
        <v>124</v>
      </c>
      <c r="F398" s="15">
        <v>1940</v>
      </c>
      <c r="G398" s="15">
        <v>2700</v>
      </c>
      <c r="H398" s="16">
        <v>4310</v>
      </c>
      <c r="I398" s="15">
        <v>7400</v>
      </c>
      <c r="J398" s="15">
        <v>10500</v>
      </c>
      <c r="K398" s="16">
        <v>16400</v>
      </c>
      <c r="L398" s="15"/>
      <c r="M398" s="15"/>
      <c r="N398" s="16"/>
    </row>
    <row r="399" spans="1:14" ht="15" customHeight="1" x14ac:dyDescent="0.3">
      <c r="A399" s="12" t="s">
        <v>867</v>
      </c>
      <c r="B399" s="13" t="s">
        <v>110</v>
      </c>
      <c r="C399" s="14" t="s">
        <v>847</v>
      </c>
      <c r="D399" s="14" t="s">
        <v>868</v>
      </c>
      <c r="E399" s="13" t="s">
        <v>121</v>
      </c>
      <c r="F399" s="15">
        <v>1940</v>
      </c>
      <c r="G399" s="15">
        <v>2700</v>
      </c>
      <c r="H399" s="16">
        <v>4310</v>
      </c>
      <c r="I399" s="15">
        <v>7400</v>
      </c>
      <c r="J399" s="15">
        <v>10500</v>
      </c>
      <c r="K399" s="16">
        <v>16400</v>
      </c>
      <c r="L399" s="15"/>
      <c r="M399" s="15"/>
      <c r="N399" s="16"/>
    </row>
    <row r="400" spans="1:14" ht="15" customHeight="1" x14ac:dyDescent="0.3">
      <c r="A400" s="12" t="s">
        <v>869</v>
      </c>
      <c r="B400" s="13" t="s">
        <v>110</v>
      </c>
      <c r="C400" s="14" t="s">
        <v>847</v>
      </c>
      <c r="D400" s="14" t="s">
        <v>870</v>
      </c>
      <c r="E400" s="13" t="s">
        <v>110</v>
      </c>
      <c r="F400" s="15">
        <v>2740</v>
      </c>
      <c r="G400" s="15">
        <v>3500</v>
      </c>
      <c r="H400" s="16">
        <v>6090</v>
      </c>
      <c r="I400" s="15">
        <v>10400</v>
      </c>
      <c r="J400" s="15">
        <v>13500</v>
      </c>
      <c r="K400" s="16">
        <v>23100</v>
      </c>
      <c r="L400" s="15"/>
      <c r="M400" s="15"/>
      <c r="N400" s="16"/>
    </row>
    <row r="401" spans="1:14" ht="15" customHeight="1" x14ac:dyDescent="0.3">
      <c r="A401" s="12" t="s">
        <v>871</v>
      </c>
      <c r="B401" s="13" t="s">
        <v>110</v>
      </c>
      <c r="C401" s="14" t="s">
        <v>847</v>
      </c>
      <c r="D401" s="14" t="s">
        <v>872</v>
      </c>
      <c r="E401" s="13" t="s">
        <v>124</v>
      </c>
      <c r="F401" s="15">
        <v>2470</v>
      </c>
      <c r="G401" s="15">
        <v>3250</v>
      </c>
      <c r="H401" s="16">
        <v>5480</v>
      </c>
      <c r="I401" s="15">
        <v>9400</v>
      </c>
      <c r="J401" s="15">
        <v>12500</v>
      </c>
      <c r="K401" s="16">
        <v>20800</v>
      </c>
      <c r="L401" s="15"/>
      <c r="M401" s="15"/>
      <c r="N401" s="16"/>
    </row>
    <row r="402" spans="1:14" ht="15" customHeight="1" x14ac:dyDescent="0.3">
      <c r="A402" s="12" t="s">
        <v>873</v>
      </c>
      <c r="B402" s="13" t="s">
        <v>110</v>
      </c>
      <c r="C402" s="14" t="s">
        <v>847</v>
      </c>
      <c r="D402" s="14" t="s">
        <v>874</v>
      </c>
      <c r="E402" s="13" t="s">
        <v>113</v>
      </c>
      <c r="F402" s="15">
        <v>3100</v>
      </c>
      <c r="G402" s="15">
        <v>3900</v>
      </c>
      <c r="H402" s="16">
        <v>6880</v>
      </c>
      <c r="I402" s="15">
        <v>11800</v>
      </c>
      <c r="J402" s="15">
        <v>14900</v>
      </c>
      <c r="K402" s="16">
        <v>26100</v>
      </c>
      <c r="L402" s="15"/>
      <c r="M402" s="15"/>
      <c r="N402" s="16"/>
    </row>
    <row r="403" spans="1:14" ht="15" customHeight="1" x14ac:dyDescent="0.3">
      <c r="A403" s="12" t="s">
        <v>875</v>
      </c>
      <c r="B403" s="13" t="s">
        <v>110</v>
      </c>
      <c r="C403" s="14" t="s">
        <v>847</v>
      </c>
      <c r="D403" s="14" t="s">
        <v>876</v>
      </c>
      <c r="E403" s="13" t="s">
        <v>113</v>
      </c>
      <c r="F403" s="15">
        <v>1700</v>
      </c>
      <c r="G403" s="15">
        <v>2500</v>
      </c>
      <c r="H403" s="16">
        <v>3780</v>
      </c>
      <c r="I403" s="15">
        <v>6500</v>
      </c>
      <c r="J403" s="15">
        <v>9600</v>
      </c>
      <c r="K403" s="16">
        <v>14400</v>
      </c>
      <c r="L403" s="15"/>
      <c r="M403" s="15"/>
      <c r="N403" s="16"/>
    </row>
    <row r="404" spans="1:14" ht="15" customHeight="1" x14ac:dyDescent="0.3">
      <c r="A404" s="12" t="s">
        <v>877</v>
      </c>
      <c r="B404" s="13" t="s">
        <v>110</v>
      </c>
      <c r="C404" s="14" t="s">
        <v>847</v>
      </c>
      <c r="D404" s="14" t="s">
        <v>878</v>
      </c>
      <c r="E404" s="13" t="s">
        <v>45</v>
      </c>
      <c r="F404" s="15">
        <v>3000</v>
      </c>
      <c r="G404" s="15">
        <v>3800</v>
      </c>
      <c r="H404" s="16">
        <v>6660</v>
      </c>
      <c r="I404" s="15">
        <v>11400</v>
      </c>
      <c r="J404" s="15">
        <v>14500</v>
      </c>
      <c r="K404" s="16">
        <v>25300</v>
      </c>
      <c r="L404" s="15"/>
      <c r="M404" s="15"/>
      <c r="N404" s="16"/>
    </row>
    <row r="405" spans="1:14" ht="15" customHeight="1" x14ac:dyDescent="0.3">
      <c r="A405" s="12" t="s">
        <v>879</v>
      </c>
      <c r="B405" s="13" t="s">
        <v>110</v>
      </c>
      <c r="C405" s="14" t="s">
        <v>847</v>
      </c>
      <c r="D405" s="14" t="s">
        <v>880</v>
      </c>
      <c r="E405" s="13" t="s">
        <v>124</v>
      </c>
      <c r="F405" s="15">
        <v>3350</v>
      </c>
      <c r="G405" s="15">
        <v>4150</v>
      </c>
      <c r="H405" s="16">
        <v>7440</v>
      </c>
      <c r="I405" s="15">
        <v>12700</v>
      </c>
      <c r="J405" s="15">
        <v>15800</v>
      </c>
      <c r="K405" s="16">
        <v>28300</v>
      </c>
      <c r="L405" s="15"/>
      <c r="M405" s="15"/>
      <c r="N405" s="16"/>
    </row>
    <row r="406" spans="1:14" ht="15" customHeight="1" x14ac:dyDescent="0.3">
      <c r="A406" s="12" t="s">
        <v>881</v>
      </c>
      <c r="B406" s="13" t="s">
        <v>110</v>
      </c>
      <c r="C406" s="14" t="s">
        <v>847</v>
      </c>
      <c r="D406" s="14" t="s">
        <v>882</v>
      </c>
      <c r="E406" s="13" t="s">
        <v>68</v>
      </c>
      <c r="F406" s="15">
        <v>3960</v>
      </c>
      <c r="G406" s="15">
        <v>4750</v>
      </c>
      <c r="H406" s="16">
        <v>8790</v>
      </c>
      <c r="I406" s="15">
        <v>15000</v>
      </c>
      <c r="J406" s="15">
        <v>18100</v>
      </c>
      <c r="K406" s="16">
        <v>33400</v>
      </c>
      <c r="L406" s="15"/>
      <c r="M406" s="15"/>
      <c r="N406" s="16"/>
    </row>
    <row r="407" spans="1:14" ht="15" customHeight="1" x14ac:dyDescent="0.3">
      <c r="A407" s="12" t="s">
        <v>883</v>
      </c>
      <c r="B407" s="13" t="s">
        <v>110</v>
      </c>
      <c r="C407" s="14" t="s">
        <v>847</v>
      </c>
      <c r="D407" s="14" t="s">
        <v>884</v>
      </c>
      <c r="E407" s="13" t="s">
        <v>45</v>
      </c>
      <c r="F407" s="15">
        <v>1940</v>
      </c>
      <c r="G407" s="15">
        <v>2700</v>
      </c>
      <c r="H407" s="16">
        <v>4310</v>
      </c>
      <c r="I407" s="15">
        <v>7400</v>
      </c>
      <c r="J407" s="15">
        <v>10500</v>
      </c>
      <c r="K407" s="16">
        <v>16400</v>
      </c>
      <c r="L407" s="15"/>
      <c r="M407" s="15"/>
      <c r="N407" s="16"/>
    </row>
    <row r="408" spans="1:14" ht="15" customHeight="1" x14ac:dyDescent="0.3">
      <c r="A408" s="12" t="s">
        <v>885</v>
      </c>
      <c r="B408" s="13" t="s">
        <v>886</v>
      </c>
      <c r="C408" s="14" t="s">
        <v>847</v>
      </c>
      <c r="D408" s="14" t="s">
        <v>887</v>
      </c>
      <c r="E408" s="13" t="s">
        <v>177</v>
      </c>
      <c r="F408" s="15">
        <v>4550</v>
      </c>
      <c r="G408" s="15">
        <v>5350</v>
      </c>
      <c r="H408" s="16">
        <v>10100</v>
      </c>
      <c r="I408" s="15">
        <v>17300</v>
      </c>
      <c r="J408" s="15">
        <v>20400</v>
      </c>
      <c r="K408" s="16">
        <v>38400</v>
      </c>
      <c r="L408" s="15"/>
      <c r="M408" s="15"/>
      <c r="N408" s="16"/>
    </row>
    <row r="409" spans="1:14" ht="15" customHeight="1" x14ac:dyDescent="0.3">
      <c r="A409" s="12" t="s">
        <v>888</v>
      </c>
      <c r="B409" s="13" t="s">
        <v>110</v>
      </c>
      <c r="C409" s="14" t="s">
        <v>847</v>
      </c>
      <c r="D409" s="14" t="s">
        <v>889</v>
      </c>
      <c r="E409" s="13" t="s">
        <v>110</v>
      </c>
      <c r="F409" s="15">
        <v>3240</v>
      </c>
      <c r="G409" s="15">
        <v>4000</v>
      </c>
      <c r="H409" s="16">
        <v>7200</v>
      </c>
      <c r="I409" s="15">
        <v>12300</v>
      </c>
      <c r="J409" s="15">
        <v>15400</v>
      </c>
      <c r="K409" s="16">
        <v>27400</v>
      </c>
      <c r="L409" s="15"/>
      <c r="M409" s="15"/>
      <c r="N409" s="16"/>
    </row>
    <row r="410" spans="1:14" ht="15" customHeight="1" x14ac:dyDescent="0.3">
      <c r="A410" s="12" t="s">
        <v>890</v>
      </c>
      <c r="B410" s="13" t="s">
        <v>110</v>
      </c>
      <c r="C410" s="14" t="s">
        <v>847</v>
      </c>
      <c r="D410" s="14" t="s">
        <v>891</v>
      </c>
      <c r="E410" s="13" t="s">
        <v>110</v>
      </c>
      <c r="F410" s="15">
        <v>1620</v>
      </c>
      <c r="G410" s="15">
        <v>2400</v>
      </c>
      <c r="H410" s="16">
        <v>3600</v>
      </c>
      <c r="I410" s="15">
        <v>6200</v>
      </c>
      <c r="J410" s="15">
        <v>9300</v>
      </c>
      <c r="K410" s="16">
        <v>13700</v>
      </c>
      <c r="L410" s="15"/>
      <c r="M410" s="15"/>
      <c r="N410" s="16"/>
    </row>
    <row r="411" spans="1:14" ht="15" customHeight="1" x14ac:dyDescent="0.3">
      <c r="A411" s="12" t="s">
        <v>892</v>
      </c>
      <c r="B411" s="13" t="s">
        <v>110</v>
      </c>
      <c r="C411" s="14" t="s">
        <v>847</v>
      </c>
      <c r="D411" s="14" t="s">
        <v>893</v>
      </c>
      <c r="E411" s="13" t="s">
        <v>45</v>
      </c>
      <c r="F411" s="15">
        <v>2470</v>
      </c>
      <c r="G411" s="15">
        <v>3250</v>
      </c>
      <c r="H411" s="16">
        <v>5480</v>
      </c>
      <c r="I411" s="15">
        <v>9400</v>
      </c>
      <c r="J411" s="15">
        <v>12500</v>
      </c>
      <c r="K411" s="16">
        <v>20800</v>
      </c>
      <c r="L411" s="15"/>
      <c r="M411" s="15"/>
      <c r="N411" s="16"/>
    </row>
    <row r="412" spans="1:14" ht="15" customHeight="1" x14ac:dyDescent="0.3">
      <c r="A412" s="12" t="s">
        <v>894</v>
      </c>
      <c r="B412" s="13" t="s">
        <v>110</v>
      </c>
      <c r="C412" s="14" t="s">
        <v>847</v>
      </c>
      <c r="D412" s="14" t="s">
        <v>895</v>
      </c>
      <c r="E412" s="13" t="s">
        <v>121</v>
      </c>
      <c r="F412" s="15">
        <v>3000</v>
      </c>
      <c r="G412" s="15">
        <v>3800</v>
      </c>
      <c r="H412" s="16">
        <v>6660</v>
      </c>
      <c r="I412" s="15">
        <v>11400</v>
      </c>
      <c r="J412" s="15">
        <v>14500</v>
      </c>
      <c r="K412" s="16">
        <v>25300</v>
      </c>
      <c r="L412" s="15"/>
      <c r="M412" s="15"/>
      <c r="N412" s="16"/>
    </row>
    <row r="413" spans="1:14" ht="15" customHeight="1" x14ac:dyDescent="0.3">
      <c r="A413" s="12" t="s">
        <v>896</v>
      </c>
      <c r="B413" s="13" t="s">
        <v>110</v>
      </c>
      <c r="C413" s="14" t="s">
        <v>847</v>
      </c>
      <c r="D413" s="14" t="s">
        <v>897</v>
      </c>
      <c r="E413" s="13" t="s">
        <v>124</v>
      </c>
      <c r="F413" s="15">
        <v>1940</v>
      </c>
      <c r="G413" s="15">
        <v>2700</v>
      </c>
      <c r="H413" s="16">
        <v>4310</v>
      </c>
      <c r="I413" s="15">
        <v>7400</v>
      </c>
      <c r="J413" s="15">
        <v>10500</v>
      </c>
      <c r="K413" s="16">
        <v>16400</v>
      </c>
      <c r="L413" s="15"/>
      <c r="M413" s="15"/>
      <c r="N413" s="16"/>
    </row>
    <row r="414" spans="1:14" ht="15" customHeight="1" x14ac:dyDescent="0.3">
      <c r="A414" s="12" t="s">
        <v>898</v>
      </c>
      <c r="B414" s="13" t="s">
        <v>886</v>
      </c>
      <c r="C414" s="14" t="s">
        <v>847</v>
      </c>
      <c r="D414" s="14" t="s">
        <v>887</v>
      </c>
      <c r="E414" s="13" t="s">
        <v>177</v>
      </c>
      <c r="F414" s="15">
        <v>4550</v>
      </c>
      <c r="G414" s="15">
        <v>5350</v>
      </c>
      <c r="H414" s="16">
        <v>10100</v>
      </c>
      <c r="I414" s="15">
        <v>17300</v>
      </c>
      <c r="J414" s="15">
        <v>20400</v>
      </c>
      <c r="K414" s="16">
        <v>38400</v>
      </c>
      <c r="L414" s="15"/>
      <c r="M414" s="15"/>
      <c r="N414" s="16"/>
    </row>
    <row r="415" spans="1:14" ht="15" customHeight="1" x14ac:dyDescent="0.3">
      <c r="A415" s="12" t="s">
        <v>899</v>
      </c>
      <c r="B415" s="13" t="s">
        <v>886</v>
      </c>
      <c r="C415" s="14" t="s">
        <v>847</v>
      </c>
      <c r="D415" s="14" t="s">
        <v>887</v>
      </c>
      <c r="E415" s="13" t="s">
        <v>177</v>
      </c>
      <c r="F415" s="15">
        <v>4550</v>
      </c>
      <c r="G415" s="15">
        <v>5350</v>
      </c>
      <c r="H415" s="16">
        <v>10100</v>
      </c>
      <c r="I415" s="15">
        <v>17300</v>
      </c>
      <c r="J415" s="15">
        <v>20400</v>
      </c>
      <c r="K415" s="16">
        <v>38400</v>
      </c>
      <c r="L415" s="15"/>
      <c r="M415" s="15"/>
      <c r="N415" s="16"/>
    </row>
    <row r="416" spans="1:14" ht="15" customHeight="1" x14ac:dyDescent="0.3">
      <c r="A416" s="12" t="s">
        <v>900</v>
      </c>
      <c r="B416" s="13" t="s">
        <v>110</v>
      </c>
      <c r="C416" s="14" t="s">
        <v>847</v>
      </c>
      <c r="D416" s="14" t="s">
        <v>901</v>
      </c>
      <c r="E416" s="13" t="s">
        <v>177</v>
      </c>
      <c r="F416" s="15">
        <v>4350</v>
      </c>
      <c r="G416" s="15">
        <v>5150</v>
      </c>
      <c r="H416" s="16">
        <v>9660</v>
      </c>
      <c r="I416" s="15">
        <v>16500</v>
      </c>
      <c r="J416" s="15">
        <v>19600</v>
      </c>
      <c r="K416" s="16">
        <v>36700</v>
      </c>
      <c r="L416" s="15"/>
      <c r="M416" s="15"/>
      <c r="N416" s="16"/>
    </row>
    <row r="417" spans="1:14" ht="15" customHeight="1" x14ac:dyDescent="0.3">
      <c r="A417" s="12" t="s">
        <v>902</v>
      </c>
      <c r="B417" s="13" t="s">
        <v>886</v>
      </c>
      <c r="C417" s="14" t="s">
        <v>847</v>
      </c>
      <c r="D417" s="14" t="s">
        <v>887</v>
      </c>
      <c r="E417" s="13" t="s">
        <v>177</v>
      </c>
      <c r="F417" s="15">
        <v>4550</v>
      </c>
      <c r="G417" s="15">
        <v>5350</v>
      </c>
      <c r="H417" s="16">
        <v>10100</v>
      </c>
      <c r="I417" s="15">
        <v>17300</v>
      </c>
      <c r="J417" s="15">
        <v>20400</v>
      </c>
      <c r="K417" s="16">
        <v>38400</v>
      </c>
      <c r="L417" s="15"/>
      <c r="M417" s="15"/>
      <c r="N417" s="16"/>
    </row>
    <row r="418" spans="1:14" ht="15" customHeight="1" x14ac:dyDescent="0.3">
      <c r="A418" s="12" t="s">
        <v>903</v>
      </c>
      <c r="B418" s="13" t="s">
        <v>110</v>
      </c>
      <c r="C418" s="14" t="s">
        <v>847</v>
      </c>
      <c r="D418" s="14" t="s">
        <v>891</v>
      </c>
      <c r="E418" s="13" t="s">
        <v>190</v>
      </c>
      <c r="F418" s="15">
        <v>2570</v>
      </c>
      <c r="G418" s="15">
        <v>3350</v>
      </c>
      <c r="H418" s="16">
        <v>5710</v>
      </c>
      <c r="I418" s="15">
        <v>9800</v>
      </c>
      <c r="J418" s="15">
        <v>12900</v>
      </c>
      <c r="K418" s="16">
        <v>21700</v>
      </c>
      <c r="L418" s="15"/>
      <c r="M418" s="15"/>
      <c r="N418" s="16"/>
    </row>
    <row r="419" spans="1:14" ht="15" customHeight="1" x14ac:dyDescent="0.3">
      <c r="A419" s="12" t="s">
        <v>904</v>
      </c>
      <c r="B419" s="13" t="s">
        <v>110</v>
      </c>
      <c r="C419" s="14" t="s">
        <v>847</v>
      </c>
      <c r="D419" s="14" t="s">
        <v>905</v>
      </c>
      <c r="E419" s="13" t="s">
        <v>110</v>
      </c>
      <c r="F419" s="15">
        <v>3240</v>
      </c>
      <c r="G419" s="15">
        <v>4000</v>
      </c>
      <c r="H419" s="16">
        <v>7200</v>
      </c>
      <c r="I419" s="15">
        <v>12300</v>
      </c>
      <c r="J419" s="15">
        <v>15400</v>
      </c>
      <c r="K419" s="16">
        <v>27400</v>
      </c>
      <c r="L419" s="15"/>
      <c r="M419" s="15"/>
      <c r="N419" s="16"/>
    </row>
    <row r="420" spans="1:14" ht="15" customHeight="1" x14ac:dyDescent="0.3">
      <c r="A420" s="12" t="s">
        <v>906</v>
      </c>
      <c r="B420" s="13" t="s">
        <v>886</v>
      </c>
      <c r="C420" s="14" t="s">
        <v>847</v>
      </c>
      <c r="D420" s="14" t="s">
        <v>887</v>
      </c>
      <c r="E420" s="13" t="s">
        <v>177</v>
      </c>
      <c r="F420" s="15">
        <v>4550</v>
      </c>
      <c r="G420" s="15">
        <v>5350</v>
      </c>
      <c r="H420" s="16">
        <v>10100</v>
      </c>
      <c r="I420" s="15">
        <v>17300</v>
      </c>
      <c r="J420" s="15">
        <v>20400</v>
      </c>
      <c r="K420" s="16">
        <v>38400</v>
      </c>
      <c r="L420" s="15"/>
      <c r="M420" s="15"/>
      <c r="N420" s="16"/>
    </row>
    <row r="421" spans="1:14" ht="15" customHeight="1" x14ac:dyDescent="0.3">
      <c r="A421" s="12" t="s">
        <v>907</v>
      </c>
      <c r="B421" s="13" t="s">
        <v>110</v>
      </c>
      <c r="C421" s="14" t="s">
        <v>847</v>
      </c>
      <c r="D421" s="14" t="s">
        <v>901</v>
      </c>
      <c r="E421" s="13" t="s">
        <v>177</v>
      </c>
      <c r="F421" s="15">
        <v>4350</v>
      </c>
      <c r="G421" s="15">
        <v>5150</v>
      </c>
      <c r="H421" s="16">
        <v>9660</v>
      </c>
      <c r="I421" s="15">
        <v>16500</v>
      </c>
      <c r="J421" s="15">
        <v>19600</v>
      </c>
      <c r="K421" s="16">
        <v>36700</v>
      </c>
      <c r="L421" s="15"/>
      <c r="M421" s="15"/>
      <c r="N421" s="16"/>
    </row>
    <row r="422" spans="1:14" ht="15" customHeight="1" x14ac:dyDescent="0.3">
      <c r="A422" s="12" t="s">
        <v>908</v>
      </c>
      <c r="B422" s="13" t="s">
        <v>110</v>
      </c>
      <c r="C422" s="14" t="s">
        <v>847</v>
      </c>
      <c r="D422" s="14" t="s">
        <v>909</v>
      </c>
      <c r="E422" s="13" t="s">
        <v>110</v>
      </c>
      <c r="F422" s="15">
        <v>2620</v>
      </c>
      <c r="G422" s="15">
        <v>3400</v>
      </c>
      <c r="H422" s="16">
        <v>5820</v>
      </c>
      <c r="I422" s="15">
        <v>10000</v>
      </c>
      <c r="J422" s="15">
        <v>13100</v>
      </c>
      <c r="K422" s="16">
        <v>22100</v>
      </c>
      <c r="L422" s="15"/>
      <c r="M422" s="15"/>
      <c r="N422" s="16"/>
    </row>
    <row r="423" spans="1:14" ht="15" customHeight="1" x14ac:dyDescent="0.3">
      <c r="A423" s="12" t="s">
        <v>910</v>
      </c>
      <c r="B423" s="13" t="s">
        <v>110</v>
      </c>
      <c r="C423" s="14" t="s">
        <v>847</v>
      </c>
      <c r="D423" s="14" t="s">
        <v>911</v>
      </c>
      <c r="E423" s="13" t="s">
        <v>110</v>
      </c>
      <c r="F423" s="15">
        <v>2740</v>
      </c>
      <c r="G423" s="15">
        <v>3500</v>
      </c>
      <c r="H423" s="16">
        <v>6090</v>
      </c>
      <c r="I423" s="15">
        <v>10400</v>
      </c>
      <c r="J423" s="15">
        <v>13500</v>
      </c>
      <c r="K423" s="16">
        <v>23100</v>
      </c>
      <c r="L423" s="15"/>
      <c r="M423" s="15"/>
      <c r="N423" s="16"/>
    </row>
    <row r="424" spans="1:14" ht="15" customHeight="1" x14ac:dyDescent="0.3">
      <c r="A424" s="12" t="s">
        <v>912</v>
      </c>
      <c r="B424" s="13" t="s">
        <v>110</v>
      </c>
      <c r="C424" s="14" t="s">
        <v>847</v>
      </c>
      <c r="D424" s="14" t="s">
        <v>913</v>
      </c>
      <c r="E424" s="13" t="s">
        <v>104</v>
      </c>
      <c r="F424" s="15">
        <v>4730</v>
      </c>
      <c r="G424" s="15">
        <v>5500</v>
      </c>
      <c r="H424" s="16">
        <v>10510</v>
      </c>
      <c r="I424" s="15">
        <v>18000</v>
      </c>
      <c r="J424" s="15">
        <v>21100</v>
      </c>
      <c r="K424" s="16">
        <v>39900</v>
      </c>
      <c r="L424" s="15"/>
      <c r="M424" s="15"/>
      <c r="N424" s="16"/>
    </row>
    <row r="425" spans="1:14" ht="15" customHeight="1" x14ac:dyDescent="0.3">
      <c r="A425" s="12" t="s">
        <v>914</v>
      </c>
      <c r="B425" s="13" t="s">
        <v>110</v>
      </c>
      <c r="C425" s="14" t="s">
        <v>847</v>
      </c>
      <c r="D425" s="14" t="s">
        <v>913</v>
      </c>
      <c r="E425" s="13" t="s">
        <v>104</v>
      </c>
      <c r="F425" s="15">
        <v>4730</v>
      </c>
      <c r="G425" s="15">
        <v>5500</v>
      </c>
      <c r="H425" s="16">
        <v>10510</v>
      </c>
      <c r="I425" s="15">
        <v>18000</v>
      </c>
      <c r="J425" s="15">
        <v>21100</v>
      </c>
      <c r="K425" s="16">
        <v>39900</v>
      </c>
      <c r="L425" s="15"/>
      <c r="M425" s="15"/>
      <c r="N425" s="16"/>
    </row>
    <row r="426" spans="1:14" ht="15" customHeight="1" x14ac:dyDescent="0.3">
      <c r="A426" s="12" t="s">
        <v>915</v>
      </c>
      <c r="B426" s="13" t="s">
        <v>110</v>
      </c>
      <c r="C426" s="14" t="s">
        <v>847</v>
      </c>
      <c r="D426" s="14" t="s">
        <v>916</v>
      </c>
      <c r="E426" s="13" t="s">
        <v>110</v>
      </c>
      <c r="F426" s="15">
        <v>2120</v>
      </c>
      <c r="G426" s="15">
        <v>2900</v>
      </c>
      <c r="H426" s="16">
        <v>4710</v>
      </c>
      <c r="I426" s="15">
        <v>8100</v>
      </c>
      <c r="J426" s="15">
        <v>11200</v>
      </c>
      <c r="K426" s="16">
        <v>17900</v>
      </c>
      <c r="L426" s="15"/>
      <c r="M426" s="15"/>
      <c r="N426" s="16"/>
    </row>
    <row r="427" spans="1:14" ht="15" customHeight="1" x14ac:dyDescent="0.3">
      <c r="A427" s="12" t="s">
        <v>917</v>
      </c>
      <c r="B427" s="13" t="s">
        <v>110</v>
      </c>
      <c r="C427" s="14" t="s">
        <v>847</v>
      </c>
      <c r="D427" s="14" t="s">
        <v>913</v>
      </c>
      <c r="E427" s="13" t="s">
        <v>104</v>
      </c>
      <c r="F427" s="15">
        <v>4730</v>
      </c>
      <c r="G427" s="15">
        <v>5500</v>
      </c>
      <c r="H427" s="16">
        <v>10510</v>
      </c>
      <c r="I427" s="15">
        <v>18000</v>
      </c>
      <c r="J427" s="15">
        <v>21100</v>
      </c>
      <c r="K427" s="16">
        <v>39900</v>
      </c>
      <c r="L427" s="15"/>
      <c r="M427" s="15"/>
      <c r="N427" s="16"/>
    </row>
    <row r="428" spans="1:14" ht="15" customHeight="1" x14ac:dyDescent="0.3">
      <c r="A428" s="12" t="s">
        <v>918</v>
      </c>
      <c r="B428" s="13" t="s">
        <v>110</v>
      </c>
      <c r="C428" s="14" t="s">
        <v>847</v>
      </c>
      <c r="D428" s="14" t="s">
        <v>913</v>
      </c>
      <c r="E428" s="13" t="s">
        <v>104</v>
      </c>
      <c r="F428" s="15">
        <v>4730</v>
      </c>
      <c r="G428" s="15">
        <v>5500</v>
      </c>
      <c r="H428" s="16">
        <v>10510</v>
      </c>
      <c r="I428" s="15">
        <v>18000</v>
      </c>
      <c r="J428" s="15">
        <v>21100</v>
      </c>
      <c r="K428" s="16">
        <v>39900</v>
      </c>
      <c r="L428" s="15"/>
      <c r="M428" s="15"/>
      <c r="N428" s="16"/>
    </row>
    <row r="429" spans="1:14" ht="15" customHeight="1" x14ac:dyDescent="0.3">
      <c r="A429" s="7" t="s">
        <v>919</v>
      </c>
      <c r="B429" s="8" t="s">
        <v>920</v>
      </c>
      <c r="C429" s="9" t="s">
        <v>921</v>
      </c>
      <c r="D429" s="9" t="s">
        <v>922</v>
      </c>
      <c r="E429" s="8" t="s">
        <v>503</v>
      </c>
      <c r="F429" s="10">
        <v>870</v>
      </c>
      <c r="G429" s="10">
        <v>1650</v>
      </c>
      <c r="H429" s="11">
        <v>1710</v>
      </c>
      <c r="I429" s="10">
        <v>3300</v>
      </c>
      <c r="J429" s="10">
        <v>6400</v>
      </c>
      <c r="K429" s="11">
        <v>6500</v>
      </c>
      <c r="L429" s="10"/>
      <c r="M429" s="10"/>
      <c r="N429" s="11"/>
    </row>
    <row r="430" spans="1:14" ht="15" customHeight="1" x14ac:dyDescent="0.3">
      <c r="A430" s="7" t="s">
        <v>923</v>
      </c>
      <c r="B430" s="8" t="s">
        <v>924</v>
      </c>
      <c r="C430" s="9" t="s">
        <v>921</v>
      </c>
      <c r="D430" s="9" t="s">
        <v>925</v>
      </c>
      <c r="E430" s="8" t="s">
        <v>152</v>
      </c>
      <c r="F430" s="10">
        <v>870</v>
      </c>
      <c r="G430" s="10">
        <v>1650</v>
      </c>
      <c r="H430" s="11">
        <v>1710</v>
      </c>
      <c r="I430" s="10">
        <v>3300</v>
      </c>
      <c r="J430" s="10">
        <v>6400</v>
      </c>
      <c r="K430" s="11">
        <v>6500</v>
      </c>
      <c r="L430" s="10"/>
      <c r="M430" s="10"/>
      <c r="N430" s="11"/>
    </row>
    <row r="431" spans="1:14" ht="15" customHeight="1" x14ac:dyDescent="0.3">
      <c r="A431" s="7" t="s">
        <v>926</v>
      </c>
      <c r="B431" s="8" t="s">
        <v>727</v>
      </c>
      <c r="C431" s="9" t="s">
        <v>921</v>
      </c>
      <c r="D431" s="9" t="s">
        <v>927</v>
      </c>
      <c r="E431" s="8" t="s">
        <v>158</v>
      </c>
      <c r="F431" s="10">
        <v>980</v>
      </c>
      <c r="G431" s="10">
        <v>1750</v>
      </c>
      <c r="H431" s="11">
        <v>1920</v>
      </c>
      <c r="I431" s="10">
        <v>3700</v>
      </c>
      <c r="J431" s="10">
        <v>6800</v>
      </c>
      <c r="K431" s="11">
        <v>7300</v>
      </c>
      <c r="L431" s="10"/>
      <c r="M431" s="10"/>
      <c r="N431" s="11"/>
    </row>
    <row r="432" spans="1:14" ht="15" customHeight="1" x14ac:dyDescent="0.3">
      <c r="A432" s="7" t="s">
        <v>928</v>
      </c>
      <c r="B432" s="8" t="s">
        <v>929</v>
      </c>
      <c r="C432" s="9" t="s">
        <v>921</v>
      </c>
      <c r="D432" s="9" t="s">
        <v>675</v>
      </c>
      <c r="E432" s="8" t="s">
        <v>470</v>
      </c>
      <c r="F432" s="10">
        <v>1230</v>
      </c>
      <c r="G432" s="10">
        <v>2000</v>
      </c>
      <c r="H432" s="11">
        <v>2420</v>
      </c>
      <c r="I432" s="10">
        <v>4700</v>
      </c>
      <c r="J432" s="10">
        <v>7800</v>
      </c>
      <c r="K432" s="11">
        <v>9200</v>
      </c>
      <c r="L432" s="10"/>
      <c r="M432" s="10"/>
      <c r="N432" s="11"/>
    </row>
    <row r="433" spans="1:14" ht="15" customHeight="1" x14ac:dyDescent="0.3">
      <c r="A433" s="7" t="s">
        <v>930</v>
      </c>
      <c r="B433" s="8" t="s">
        <v>750</v>
      </c>
      <c r="C433" s="9" t="s">
        <v>921</v>
      </c>
      <c r="D433" s="9" t="s">
        <v>927</v>
      </c>
      <c r="E433" s="8" t="s">
        <v>456</v>
      </c>
      <c r="F433" s="10">
        <v>1080</v>
      </c>
      <c r="G433" s="10">
        <v>1850</v>
      </c>
      <c r="H433" s="11">
        <v>2120</v>
      </c>
      <c r="I433" s="10">
        <v>4100</v>
      </c>
      <c r="J433" s="10">
        <v>7200</v>
      </c>
      <c r="K433" s="11">
        <v>8100</v>
      </c>
      <c r="L433" s="10"/>
      <c r="M433" s="10"/>
      <c r="N433" s="11"/>
    </row>
    <row r="434" spans="1:14" ht="15" customHeight="1" x14ac:dyDescent="0.3">
      <c r="A434" s="7" t="s">
        <v>931</v>
      </c>
      <c r="B434" s="8" t="s">
        <v>932</v>
      </c>
      <c r="C434" s="9" t="s">
        <v>921</v>
      </c>
      <c r="D434" s="9" t="s">
        <v>933</v>
      </c>
      <c r="E434" s="8" t="s">
        <v>145</v>
      </c>
      <c r="F434" s="10">
        <v>980</v>
      </c>
      <c r="G434" s="10">
        <v>1750</v>
      </c>
      <c r="H434" s="11">
        <v>1920</v>
      </c>
      <c r="I434" s="10">
        <v>3700</v>
      </c>
      <c r="J434" s="10">
        <v>6800</v>
      </c>
      <c r="K434" s="11">
        <v>7300</v>
      </c>
      <c r="L434" s="10"/>
      <c r="M434" s="10"/>
      <c r="N434" s="11"/>
    </row>
    <row r="435" spans="1:14" ht="15" customHeight="1" x14ac:dyDescent="0.3">
      <c r="A435" s="7" t="s">
        <v>934</v>
      </c>
      <c r="B435" s="8" t="s">
        <v>110</v>
      </c>
      <c r="C435" s="9" t="s">
        <v>921</v>
      </c>
      <c r="D435" s="9" t="s">
        <v>197</v>
      </c>
      <c r="E435" s="8" t="s">
        <v>110</v>
      </c>
      <c r="F435" s="10">
        <v>870</v>
      </c>
      <c r="G435" s="10">
        <v>1650</v>
      </c>
      <c r="H435" s="11">
        <v>1710</v>
      </c>
      <c r="I435" s="10">
        <v>3300</v>
      </c>
      <c r="J435" s="10">
        <v>6400</v>
      </c>
      <c r="K435" s="11">
        <v>6500</v>
      </c>
      <c r="L435" s="10"/>
      <c r="M435" s="10"/>
      <c r="N435" s="11"/>
    </row>
    <row r="436" spans="1:14" ht="15" customHeight="1" x14ac:dyDescent="0.3">
      <c r="A436" s="7" t="s">
        <v>935</v>
      </c>
      <c r="B436" s="8" t="s">
        <v>936</v>
      </c>
      <c r="C436" s="9" t="s">
        <v>921</v>
      </c>
      <c r="D436" s="9" t="s">
        <v>197</v>
      </c>
      <c r="E436" s="8" t="s">
        <v>110</v>
      </c>
      <c r="F436" s="10">
        <v>870</v>
      </c>
      <c r="G436" s="10">
        <v>1650</v>
      </c>
      <c r="H436" s="11">
        <v>1710</v>
      </c>
      <c r="I436" s="10">
        <v>3300</v>
      </c>
      <c r="J436" s="10">
        <v>6400</v>
      </c>
      <c r="K436" s="11">
        <v>6500</v>
      </c>
      <c r="L436" s="10"/>
      <c r="M436" s="10"/>
      <c r="N436" s="11"/>
    </row>
    <row r="437" spans="1:14" ht="15" customHeight="1" x14ac:dyDescent="0.3">
      <c r="A437" s="7" t="s">
        <v>937</v>
      </c>
      <c r="B437" s="8" t="s">
        <v>938</v>
      </c>
      <c r="C437" s="9" t="s">
        <v>921</v>
      </c>
      <c r="D437" s="9" t="s">
        <v>197</v>
      </c>
      <c r="E437" s="8" t="s">
        <v>110</v>
      </c>
      <c r="F437" s="10">
        <v>870</v>
      </c>
      <c r="G437" s="10">
        <v>1650</v>
      </c>
      <c r="H437" s="11">
        <v>1710</v>
      </c>
      <c r="I437" s="10">
        <v>3300</v>
      </c>
      <c r="J437" s="10">
        <v>6400</v>
      </c>
      <c r="K437" s="11">
        <v>6500</v>
      </c>
      <c r="L437" s="10"/>
      <c r="M437" s="10"/>
      <c r="N437" s="11"/>
    </row>
    <row r="438" spans="1:14" ht="15" customHeight="1" x14ac:dyDescent="0.3">
      <c r="A438" s="7" t="s">
        <v>939</v>
      </c>
      <c r="B438" s="8" t="s">
        <v>940</v>
      </c>
      <c r="C438" s="9" t="s">
        <v>921</v>
      </c>
      <c r="D438" s="9" t="s">
        <v>197</v>
      </c>
      <c r="E438" s="8" t="s">
        <v>110</v>
      </c>
      <c r="F438" s="10">
        <v>870</v>
      </c>
      <c r="G438" s="10">
        <v>1650</v>
      </c>
      <c r="H438" s="11">
        <v>1710</v>
      </c>
      <c r="I438" s="10">
        <v>3300</v>
      </c>
      <c r="J438" s="10">
        <v>6400</v>
      </c>
      <c r="K438" s="11">
        <v>6500</v>
      </c>
      <c r="L438" s="10"/>
      <c r="M438" s="10"/>
      <c r="N438" s="11"/>
    </row>
    <row r="439" spans="1:14" ht="15" customHeight="1" x14ac:dyDescent="0.3">
      <c r="A439" s="7" t="s">
        <v>941</v>
      </c>
      <c r="B439" s="8" t="s">
        <v>942</v>
      </c>
      <c r="C439" s="9" t="s">
        <v>921</v>
      </c>
      <c r="D439" s="9" t="s">
        <v>197</v>
      </c>
      <c r="E439" s="8" t="s">
        <v>110</v>
      </c>
      <c r="F439" s="10">
        <v>870</v>
      </c>
      <c r="G439" s="10">
        <v>1650</v>
      </c>
      <c r="H439" s="11">
        <v>1710</v>
      </c>
      <c r="I439" s="10">
        <v>3300</v>
      </c>
      <c r="J439" s="10">
        <v>6400</v>
      </c>
      <c r="K439" s="11">
        <v>6500</v>
      </c>
      <c r="L439" s="10"/>
      <c r="M439" s="10"/>
      <c r="N439" s="11"/>
    </row>
    <row r="440" spans="1:14" ht="15" customHeight="1" x14ac:dyDescent="0.3">
      <c r="A440" s="7" t="s">
        <v>943</v>
      </c>
      <c r="B440" s="8" t="s">
        <v>110</v>
      </c>
      <c r="C440" s="9" t="s">
        <v>921</v>
      </c>
      <c r="D440" s="9" t="s">
        <v>197</v>
      </c>
      <c r="E440" s="8" t="s">
        <v>110</v>
      </c>
      <c r="F440" s="10">
        <v>870</v>
      </c>
      <c r="G440" s="10">
        <v>1650</v>
      </c>
      <c r="H440" s="11">
        <v>1710</v>
      </c>
      <c r="I440" s="10">
        <v>3300</v>
      </c>
      <c r="J440" s="10">
        <v>6400</v>
      </c>
      <c r="K440" s="11">
        <v>6500</v>
      </c>
      <c r="L440" s="10"/>
      <c r="M440" s="10"/>
      <c r="N440" s="11"/>
    </row>
    <row r="441" spans="1:14" ht="15" customHeight="1" x14ac:dyDescent="0.3">
      <c r="A441" s="7" t="s">
        <v>944</v>
      </c>
      <c r="B441" s="8" t="s">
        <v>110</v>
      </c>
      <c r="C441" s="9" t="s">
        <v>921</v>
      </c>
      <c r="D441" s="9" t="s">
        <v>197</v>
      </c>
      <c r="E441" s="8" t="s">
        <v>110</v>
      </c>
      <c r="F441" s="10">
        <v>870</v>
      </c>
      <c r="G441" s="10">
        <v>1650</v>
      </c>
      <c r="H441" s="11">
        <v>1710</v>
      </c>
      <c r="I441" s="10">
        <v>3300</v>
      </c>
      <c r="J441" s="10">
        <v>6400</v>
      </c>
      <c r="K441" s="11">
        <v>6500</v>
      </c>
      <c r="L441" s="10"/>
      <c r="M441" s="10"/>
      <c r="N441" s="11"/>
    </row>
    <row r="442" spans="1:14" ht="15" customHeight="1" x14ac:dyDescent="0.3">
      <c r="A442" s="7" t="s">
        <v>945</v>
      </c>
      <c r="B442" s="8" t="s">
        <v>818</v>
      </c>
      <c r="C442" s="9" t="s">
        <v>921</v>
      </c>
      <c r="D442" s="9" t="s">
        <v>197</v>
      </c>
      <c r="E442" s="8" t="s">
        <v>110</v>
      </c>
      <c r="F442" s="10">
        <v>870</v>
      </c>
      <c r="G442" s="10">
        <v>1650</v>
      </c>
      <c r="H442" s="11">
        <v>1710</v>
      </c>
      <c r="I442" s="10">
        <v>3300</v>
      </c>
      <c r="J442" s="10">
        <v>6400</v>
      </c>
      <c r="K442" s="11">
        <v>6500</v>
      </c>
      <c r="L442" s="10"/>
      <c r="M442" s="10"/>
      <c r="N442" s="11"/>
    </row>
    <row r="443" spans="1:14" ht="15" customHeight="1" x14ac:dyDescent="0.3">
      <c r="A443" s="7" t="s">
        <v>946</v>
      </c>
      <c r="B443" s="8" t="s">
        <v>110</v>
      </c>
      <c r="C443" s="9" t="s">
        <v>921</v>
      </c>
      <c r="D443" s="9" t="s">
        <v>197</v>
      </c>
      <c r="E443" s="8" t="s">
        <v>110</v>
      </c>
      <c r="F443" s="10">
        <v>870</v>
      </c>
      <c r="G443" s="10">
        <v>1650</v>
      </c>
      <c r="H443" s="11">
        <v>1710</v>
      </c>
      <c r="I443" s="10">
        <v>3300</v>
      </c>
      <c r="J443" s="10">
        <v>6400</v>
      </c>
      <c r="K443" s="11">
        <v>6500</v>
      </c>
      <c r="L443" s="10"/>
      <c r="M443" s="10"/>
      <c r="N443" s="11"/>
    </row>
    <row r="444" spans="1:14" ht="15" customHeight="1" x14ac:dyDescent="0.3">
      <c r="A444" s="7" t="s">
        <v>947</v>
      </c>
      <c r="B444" s="8" t="s">
        <v>110</v>
      </c>
      <c r="C444" s="9" t="s">
        <v>921</v>
      </c>
      <c r="D444" s="9" t="s">
        <v>197</v>
      </c>
      <c r="E444" s="8" t="s">
        <v>110</v>
      </c>
      <c r="F444" s="10">
        <v>870</v>
      </c>
      <c r="G444" s="10">
        <v>1650</v>
      </c>
      <c r="H444" s="11">
        <v>1710</v>
      </c>
      <c r="I444" s="10">
        <v>3300</v>
      </c>
      <c r="J444" s="10">
        <v>6400</v>
      </c>
      <c r="K444" s="11">
        <v>6500</v>
      </c>
      <c r="L444" s="10"/>
      <c r="M444" s="10"/>
      <c r="N444" s="11"/>
    </row>
    <row r="445" spans="1:14" ht="15" customHeight="1" x14ac:dyDescent="0.3">
      <c r="A445" s="7" t="s">
        <v>948</v>
      </c>
      <c r="B445" s="8" t="s">
        <v>949</v>
      </c>
      <c r="C445" s="9" t="s">
        <v>921</v>
      </c>
      <c r="D445" s="9" t="s">
        <v>950</v>
      </c>
      <c r="E445" s="8" t="s">
        <v>190</v>
      </c>
      <c r="F445" s="10">
        <v>1380</v>
      </c>
      <c r="G445" s="10">
        <v>2150</v>
      </c>
      <c r="H445" s="11">
        <v>2710</v>
      </c>
      <c r="I445" s="10">
        <v>5200</v>
      </c>
      <c r="J445" s="10">
        <v>8300</v>
      </c>
      <c r="K445" s="11">
        <v>10300</v>
      </c>
      <c r="L445" s="10"/>
      <c r="M445" s="10"/>
      <c r="N445" s="11"/>
    </row>
    <row r="446" spans="1:14" ht="15" customHeight="1" x14ac:dyDescent="0.3">
      <c r="A446" s="7" t="s">
        <v>951</v>
      </c>
      <c r="B446" s="8" t="s">
        <v>110</v>
      </c>
      <c r="C446" s="9" t="s">
        <v>921</v>
      </c>
      <c r="D446" s="9" t="s">
        <v>197</v>
      </c>
      <c r="E446" s="8" t="s">
        <v>110</v>
      </c>
      <c r="F446" s="10">
        <v>870</v>
      </c>
      <c r="G446" s="10">
        <v>1650</v>
      </c>
      <c r="H446" s="11">
        <v>1710</v>
      </c>
      <c r="I446" s="10">
        <v>3300</v>
      </c>
      <c r="J446" s="10">
        <v>6400</v>
      </c>
      <c r="K446" s="11">
        <v>6500</v>
      </c>
      <c r="L446" s="10"/>
      <c r="M446" s="10"/>
      <c r="N446" s="11"/>
    </row>
    <row r="447" spans="1:14" ht="15" customHeight="1" x14ac:dyDescent="0.3">
      <c r="A447" s="7" t="s">
        <v>952</v>
      </c>
      <c r="B447" s="8" t="s">
        <v>953</v>
      </c>
      <c r="C447" s="9" t="s">
        <v>921</v>
      </c>
      <c r="D447" s="9" t="s">
        <v>197</v>
      </c>
      <c r="E447" s="8" t="s">
        <v>110</v>
      </c>
      <c r="F447" s="10">
        <v>870</v>
      </c>
      <c r="G447" s="10">
        <v>1650</v>
      </c>
      <c r="H447" s="11">
        <v>1710</v>
      </c>
      <c r="I447" s="10">
        <v>3300</v>
      </c>
      <c r="J447" s="10">
        <v>6400</v>
      </c>
      <c r="K447" s="11">
        <v>6500</v>
      </c>
      <c r="L447" s="10"/>
      <c r="M447" s="10"/>
      <c r="N447" s="11"/>
    </row>
    <row r="448" spans="1:14" ht="15" customHeight="1" x14ac:dyDescent="0.3">
      <c r="A448" s="12" t="s">
        <v>954</v>
      </c>
      <c r="B448" s="13" t="s">
        <v>955</v>
      </c>
      <c r="C448" s="14" t="s">
        <v>956</v>
      </c>
      <c r="D448" s="14" t="s">
        <v>957</v>
      </c>
      <c r="E448" s="13" t="s">
        <v>958</v>
      </c>
      <c r="F448" s="15">
        <v>670</v>
      </c>
      <c r="G448" s="15">
        <v>1220</v>
      </c>
      <c r="H448" s="16">
        <v>1220</v>
      </c>
      <c r="I448" s="15">
        <v>2500</v>
      </c>
      <c r="J448" s="15">
        <v>4600</v>
      </c>
      <c r="K448" s="16">
        <v>4600</v>
      </c>
      <c r="L448" s="15"/>
      <c r="M448" s="15"/>
      <c r="N448" s="16"/>
    </row>
    <row r="449" spans="1:14" ht="15" customHeight="1" x14ac:dyDescent="0.3">
      <c r="A449" s="12" t="s">
        <v>959</v>
      </c>
      <c r="B449" s="13" t="s">
        <v>960</v>
      </c>
      <c r="C449" s="14" t="s">
        <v>956</v>
      </c>
      <c r="D449" s="14" t="s">
        <v>961</v>
      </c>
      <c r="E449" s="13" t="s">
        <v>456</v>
      </c>
      <c r="F449" s="15">
        <v>830</v>
      </c>
      <c r="G449" s="15">
        <v>1510</v>
      </c>
      <c r="H449" s="16">
        <v>1510</v>
      </c>
      <c r="I449" s="15">
        <v>3200</v>
      </c>
      <c r="J449" s="15">
        <v>5700</v>
      </c>
      <c r="K449" s="16">
        <v>5700</v>
      </c>
      <c r="L449" s="15"/>
      <c r="M449" s="15"/>
      <c r="N449" s="16"/>
    </row>
    <row r="450" spans="1:14" ht="15" customHeight="1" x14ac:dyDescent="0.3">
      <c r="A450" s="12" t="s">
        <v>962</v>
      </c>
      <c r="B450" s="13" t="s">
        <v>963</v>
      </c>
      <c r="C450" s="14" t="s">
        <v>956</v>
      </c>
      <c r="D450" s="14" t="s">
        <v>961</v>
      </c>
      <c r="E450" s="13" t="s">
        <v>456</v>
      </c>
      <c r="F450" s="15">
        <v>830</v>
      </c>
      <c r="G450" s="15">
        <v>1510</v>
      </c>
      <c r="H450" s="16">
        <v>1510</v>
      </c>
      <c r="I450" s="15">
        <v>3200</v>
      </c>
      <c r="J450" s="15">
        <v>5700</v>
      </c>
      <c r="K450" s="16">
        <v>5700</v>
      </c>
      <c r="L450" s="15"/>
      <c r="M450" s="15"/>
      <c r="N450" s="16"/>
    </row>
    <row r="451" spans="1:14" ht="15" customHeight="1" x14ac:dyDescent="0.3">
      <c r="A451" s="12" t="s">
        <v>964</v>
      </c>
      <c r="B451" s="13" t="s">
        <v>965</v>
      </c>
      <c r="C451" s="14" t="s">
        <v>956</v>
      </c>
      <c r="D451" s="14" t="s">
        <v>966</v>
      </c>
      <c r="E451" s="13" t="s">
        <v>110</v>
      </c>
      <c r="F451" s="15">
        <v>670</v>
      </c>
      <c r="G451" s="15">
        <v>1220</v>
      </c>
      <c r="H451" s="16">
        <v>1220</v>
      </c>
      <c r="I451" s="15">
        <v>2500</v>
      </c>
      <c r="J451" s="15">
        <v>4600</v>
      </c>
      <c r="K451" s="16">
        <v>4600</v>
      </c>
      <c r="L451" s="15"/>
      <c r="M451" s="15"/>
      <c r="N451" s="16"/>
    </row>
    <row r="452" spans="1:14" ht="15" customHeight="1" x14ac:dyDescent="0.3">
      <c r="A452" s="12" t="s">
        <v>967</v>
      </c>
      <c r="B452" s="13" t="s">
        <v>968</v>
      </c>
      <c r="C452" s="14" t="s">
        <v>956</v>
      </c>
      <c r="D452" s="14" t="s">
        <v>969</v>
      </c>
      <c r="E452" s="13" t="s">
        <v>45</v>
      </c>
      <c r="F452" s="15">
        <v>940</v>
      </c>
      <c r="G452" s="15">
        <v>1700</v>
      </c>
      <c r="H452" s="16">
        <v>1720</v>
      </c>
      <c r="I452" s="15">
        <v>3600</v>
      </c>
      <c r="J452" s="15">
        <v>6500</v>
      </c>
      <c r="K452" s="16">
        <v>6500</v>
      </c>
      <c r="L452" s="15"/>
      <c r="M452" s="15"/>
      <c r="N452" s="16"/>
    </row>
    <row r="453" spans="1:14" ht="15" customHeight="1" x14ac:dyDescent="0.3">
      <c r="A453" s="12" t="s">
        <v>970</v>
      </c>
      <c r="B453" s="13" t="s">
        <v>971</v>
      </c>
      <c r="C453" s="14" t="s">
        <v>956</v>
      </c>
      <c r="D453" s="14" t="s">
        <v>961</v>
      </c>
      <c r="E453" s="13" t="s">
        <v>45</v>
      </c>
      <c r="F453" s="15">
        <v>940</v>
      </c>
      <c r="G453" s="15">
        <v>1700</v>
      </c>
      <c r="H453" s="16">
        <v>1720</v>
      </c>
      <c r="I453" s="15">
        <v>3600</v>
      </c>
      <c r="J453" s="15">
        <v>6500</v>
      </c>
      <c r="K453" s="16">
        <v>6500</v>
      </c>
      <c r="L453" s="15"/>
      <c r="M453" s="15"/>
      <c r="N453" s="16"/>
    </row>
    <row r="454" spans="1:14" ht="15" customHeight="1" x14ac:dyDescent="0.3">
      <c r="A454" s="12" t="s">
        <v>972</v>
      </c>
      <c r="B454" s="13" t="s">
        <v>973</v>
      </c>
      <c r="C454" s="14" t="s">
        <v>956</v>
      </c>
      <c r="D454" s="14" t="s">
        <v>969</v>
      </c>
      <c r="E454" s="13" t="s">
        <v>45</v>
      </c>
      <c r="F454" s="15">
        <v>940</v>
      </c>
      <c r="G454" s="15">
        <v>1700</v>
      </c>
      <c r="H454" s="16">
        <v>1720</v>
      </c>
      <c r="I454" s="15">
        <v>3600</v>
      </c>
      <c r="J454" s="15">
        <v>6500</v>
      </c>
      <c r="K454" s="16">
        <v>6500</v>
      </c>
      <c r="L454" s="15"/>
      <c r="M454" s="15"/>
      <c r="N454" s="16"/>
    </row>
    <row r="455" spans="1:14" ht="15" customHeight="1" x14ac:dyDescent="0.3">
      <c r="A455" s="12" t="s">
        <v>974</v>
      </c>
      <c r="B455" s="13" t="s">
        <v>975</v>
      </c>
      <c r="C455" s="14" t="s">
        <v>956</v>
      </c>
      <c r="D455" s="14" t="s">
        <v>976</v>
      </c>
      <c r="E455" s="13" t="s">
        <v>977</v>
      </c>
      <c r="F455" s="15">
        <v>670</v>
      </c>
      <c r="G455" s="15">
        <v>1220</v>
      </c>
      <c r="H455" s="16">
        <v>1220</v>
      </c>
      <c r="I455" s="15">
        <v>2500</v>
      </c>
      <c r="J455" s="15">
        <v>4600</v>
      </c>
      <c r="K455" s="16">
        <v>4600</v>
      </c>
      <c r="L455" s="15"/>
      <c r="M455" s="15"/>
      <c r="N455" s="16"/>
    </row>
    <row r="456" spans="1:14" ht="15" customHeight="1" x14ac:dyDescent="0.3">
      <c r="A456" s="12" t="s">
        <v>978</v>
      </c>
      <c r="B456" s="13" t="s">
        <v>979</v>
      </c>
      <c r="C456" s="14" t="s">
        <v>956</v>
      </c>
      <c r="D456" s="14" t="s">
        <v>980</v>
      </c>
      <c r="E456" s="13" t="s">
        <v>45</v>
      </c>
      <c r="F456" s="15">
        <v>940</v>
      </c>
      <c r="G456" s="15">
        <v>1700</v>
      </c>
      <c r="H456" s="16">
        <v>1720</v>
      </c>
      <c r="I456" s="15">
        <v>3600</v>
      </c>
      <c r="J456" s="15">
        <v>6500</v>
      </c>
      <c r="K456" s="16">
        <v>6500</v>
      </c>
      <c r="L456" s="15"/>
      <c r="M456" s="15"/>
      <c r="N456" s="16"/>
    </row>
    <row r="457" spans="1:14" ht="15" customHeight="1" x14ac:dyDescent="0.3">
      <c r="A457" s="12" t="s">
        <v>981</v>
      </c>
      <c r="B457" s="13" t="s">
        <v>965</v>
      </c>
      <c r="C457" s="14" t="s">
        <v>956</v>
      </c>
      <c r="D457" s="14" t="s">
        <v>966</v>
      </c>
      <c r="E457" s="13" t="s">
        <v>366</v>
      </c>
      <c r="F457" s="15">
        <v>830</v>
      </c>
      <c r="G457" s="15">
        <v>1510</v>
      </c>
      <c r="H457" s="16">
        <v>1510</v>
      </c>
      <c r="I457" s="15">
        <v>3200</v>
      </c>
      <c r="J457" s="15">
        <v>5700</v>
      </c>
      <c r="K457" s="16">
        <v>5700</v>
      </c>
      <c r="L457" s="15"/>
      <c r="M457" s="15"/>
      <c r="N457" s="16"/>
    </row>
    <row r="458" spans="1:14" ht="15" customHeight="1" x14ac:dyDescent="0.3">
      <c r="A458" s="12" t="s">
        <v>110</v>
      </c>
      <c r="B458" s="13" t="s">
        <v>982</v>
      </c>
      <c r="C458" s="14" t="s">
        <v>956</v>
      </c>
      <c r="D458" s="14" t="s">
        <v>197</v>
      </c>
      <c r="E458" s="13" t="s">
        <v>110</v>
      </c>
      <c r="F458" s="15">
        <v>670</v>
      </c>
      <c r="G458" s="15">
        <v>1220</v>
      </c>
      <c r="H458" s="16">
        <v>1220</v>
      </c>
      <c r="I458" s="15">
        <v>2500</v>
      </c>
      <c r="J458" s="15">
        <v>4600</v>
      </c>
      <c r="K458" s="16">
        <v>4600</v>
      </c>
      <c r="L458" s="15"/>
      <c r="M458" s="15"/>
      <c r="N458" s="16"/>
    </row>
    <row r="459" spans="1:14" ht="15" customHeight="1" x14ac:dyDescent="0.3">
      <c r="A459" s="12" t="s">
        <v>110</v>
      </c>
      <c r="B459" s="13" t="s">
        <v>963</v>
      </c>
      <c r="C459" s="14" t="s">
        <v>956</v>
      </c>
      <c r="D459" s="14" t="s">
        <v>197</v>
      </c>
      <c r="E459" s="13" t="s">
        <v>110</v>
      </c>
      <c r="F459" s="15">
        <v>670</v>
      </c>
      <c r="G459" s="15">
        <v>1220</v>
      </c>
      <c r="H459" s="16">
        <v>1220</v>
      </c>
      <c r="I459" s="15">
        <v>2500</v>
      </c>
      <c r="J459" s="15">
        <v>4600</v>
      </c>
      <c r="K459" s="16">
        <v>4600</v>
      </c>
      <c r="L459" s="15"/>
      <c r="M459" s="15"/>
      <c r="N459" s="16"/>
    </row>
    <row r="460" spans="1:14" ht="15" customHeight="1" x14ac:dyDescent="0.3">
      <c r="A460" s="7" t="s">
        <v>983</v>
      </c>
      <c r="B460" s="8" t="s">
        <v>984</v>
      </c>
      <c r="C460" s="9" t="s">
        <v>985</v>
      </c>
      <c r="D460" s="9" t="s">
        <v>986</v>
      </c>
      <c r="E460" s="8" t="s">
        <v>158</v>
      </c>
      <c r="F460" s="10"/>
      <c r="G460" s="10"/>
      <c r="H460" s="11">
        <v>330</v>
      </c>
      <c r="I460" s="10">
        <v>800</v>
      </c>
      <c r="J460" s="10">
        <v>800</v>
      </c>
      <c r="K460" s="11">
        <v>1300</v>
      </c>
      <c r="L460" s="10">
        <v>25</v>
      </c>
      <c r="M460" s="10">
        <v>25</v>
      </c>
      <c r="N460" s="11">
        <v>45</v>
      </c>
    </row>
    <row r="461" spans="1:14" ht="15" customHeight="1" x14ac:dyDescent="0.3">
      <c r="A461" s="7" t="s">
        <v>987</v>
      </c>
      <c r="B461" s="8" t="s">
        <v>988</v>
      </c>
      <c r="C461" s="9" t="s">
        <v>985</v>
      </c>
      <c r="D461" s="9" t="s">
        <v>989</v>
      </c>
      <c r="E461" s="8" t="s">
        <v>56</v>
      </c>
      <c r="F461" s="10"/>
      <c r="G461" s="10"/>
      <c r="H461" s="11">
        <v>360</v>
      </c>
      <c r="I461" s="10">
        <v>800</v>
      </c>
      <c r="J461" s="10">
        <v>800</v>
      </c>
      <c r="K461" s="11">
        <v>1400</v>
      </c>
      <c r="L461" s="10">
        <v>25</v>
      </c>
      <c r="M461" s="10">
        <v>25</v>
      </c>
      <c r="N461" s="11">
        <v>45</v>
      </c>
    </row>
    <row r="462" spans="1:14" ht="15" customHeight="1" x14ac:dyDescent="0.3">
      <c r="A462" s="7" t="s">
        <v>990</v>
      </c>
      <c r="B462" s="8" t="s">
        <v>991</v>
      </c>
      <c r="C462" s="9" t="s">
        <v>985</v>
      </c>
      <c r="D462" s="9" t="s">
        <v>992</v>
      </c>
      <c r="E462" s="8" t="s">
        <v>56</v>
      </c>
      <c r="F462" s="10"/>
      <c r="G462" s="10"/>
      <c r="H462" s="11">
        <v>360</v>
      </c>
      <c r="I462" s="10">
        <v>800</v>
      </c>
      <c r="J462" s="10">
        <v>800</v>
      </c>
      <c r="K462" s="11">
        <v>1400</v>
      </c>
      <c r="L462" s="10">
        <v>25</v>
      </c>
      <c r="M462" s="10">
        <v>25</v>
      </c>
      <c r="N462" s="11">
        <v>45</v>
      </c>
    </row>
    <row r="463" spans="1:14" ht="15" customHeight="1" x14ac:dyDescent="0.3">
      <c r="A463" s="7" t="s">
        <v>993</v>
      </c>
      <c r="B463" s="8" t="s">
        <v>994</v>
      </c>
      <c r="C463" s="9" t="s">
        <v>985</v>
      </c>
      <c r="D463" s="9" t="s">
        <v>995</v>
      </c>
      <c r="E463" s="8" t="s">
        <v>56</v>
      </c>
      <c r="F463" s="10"/>
      <c r="G463" s="10"/>
      <c r="H463" s="11">
        <v>460</v>
      </c>
      <c r="I463" s="10">
        <v>1100</v>
      </c>
      <c r="J463" s="10">
        <v>1100</v>
      </c>
      <c r="K463" s="11">
        <v>1700</v>
      </c>
      <c r="L463" s="10">
        <v>25</v>
      </c>
      <c r="M463" s="10">
        <v>25</v>
      </c>
      <c r="N463" s="11">
        <v>45</v>
      </c>
    </row>
    <row r="464" spans="1:14" ht="15" customHeight="1" x14ac:dyDescent="0.3">
      <c r="A464" s="7" t="s">
        <v>996</v>
      </c>
      <c r="B464" s="8" t="s">
        <v>997</v>
      </c>
      <c r="C464" s="9" t="s">
        <v>985</v>
      </c>
      <c r="D464" s="9" t="s">
        <v>998</v>
      </c>
      <c r="E464" s="8" t="s">
        <v>73</v>
      </c>
      <c r="F464" s="10"/>
      <c r="G464" s="10"/>
      <c r="H464" s="11">
        <v>460</v>
      </c>
      <c r="I464" s="10">
        <v>1100</v>
      </c>
      <c r="J464" s="10">
        <v>1100</v>
      </c>
      <c r="K464" s="11">
        <v>1700</v>
      </c>
      <c r="L464" s="10">
        <v>25</v>
      </c>
      <c r="M464" s="10">
        <v>25</v>
      </c>
      <c r="N464" s="11">
        <v>45</v>
      </c>
    </row>
    <row r="465" spans="1:14" ht="15" customHeight="1" x14ac:dyDescent="0.3">
      <c r="A465" s="7" t="s">
        <v>999</v>
      </c>
      <c r="B465" s="8" t="s">
        <v>1000</v>
      </c>
      <c r="C465" s="9" t="s">
        <v>985</v>
      </c>
      <c r="D465" s="9" t="s">
        <v>1001</v>
      </c>
      <c r="E465" s="8" t="s">
        <v>177</v>
      </c>
      <c r="F465" s="10"/>
      <c r="G465" s="10"/>
      <c r="H465" s="11">
        <v>460</v>
      </c>
      <c r="I465" s="10">
        <v>1100</v>
      </c>
      <c r="J465" s="10">
        <v>1100</v>
      </c>
      <c r="K465" s="11">
        <v>1700</v>
      </c>
      <c r="L465" s="10">
        <v>25</v>
      </c>
      <c r="M465" s="10">
        <v>25</v>
      </c>
      <c r="N465" s="11">
        <v>45</v>
      </c>
    </row>
    <row r="466" spans="1:14" ht="15" customHeight="1" x14ac:dyDescent="0.3">
      <c r="A466" s="7" t="s">
        <v>1002</v>
      </c>
      <c r="B466" s="8" t="s">
        <v>1003</v>
      </c>
      <c r="C466" s="9" t="s">
        <v>985</v>
      </c>
      <c r="D466" s="9" t="s">
        <v>1004</v>
      </c>
      <c r="E466" s="8" t="s">
        <v>526</v>
      </c>
      <c r="F466" s="10"/>
      <c r="G466" s="10"/>
      <c r="H466" s="11">
        <v>360</v>
      </c>
      <c r="I466" s="10">
        <v>800</v>
      </c>
      <c r="J466" s="10">
        <v>800</v>
      </c>
      <c r="K466" s="11">
        <v>1400</v>
      </c>
      <c r="L466" s="10">
        <v>25</v>
      </c>
      <c r="M466" s="10">
        <v>25</v>
      </c>
      <c r="N466" s="11">
        <v>45</v>
      </c>
    </row>
    <row r="467" spans="1:14" ht="15" customHeight="1" x14ac:dyDescent="0.3">
      <c r="A467" s="7" t="s">
        <v>1005</v>
      </c>
      <c r="B467" s="8" t="s">
        <v>1006</v>
      </c>
      <c r="C467" s="9" t="s">
        <v>985</v>
      </c>
      <c r="D467" s="9" t="s">
        <v>1007</v>
      </c>
      <c r="E467" s="8" t="s">
        <v>470</v>
      </c>
      <c r="F467" s="10"/>
      <c r="G467" s="10"/>
      <c r="H467" s="11">
        <v>410</v>
      </c>
      <c r="I467" s="10">
        <v>1000</v>
      </c>
      <c r="J467" s="10">
        <v>1000</v>
      </c>
      <c r="K467" s="11">
        <v>1600</v>
      </c>
      <c r="L467" s="10">
        <v>25</v>
      </c>
      <c r="M467" s="10">
        <v>25</v>
      </c>
      <c r="N467" s="11">
        <v>45</v>
      </c>
    </row>
    <row r="468" spans="1:14" ht="15" customHeight="1" x14ac:dyDescent="0.3">
      <c r="A468" s="7" t="s">
        <v>1008</v>
      </c>
      <c r="B468" s="8" t="s">
        <v>1009</v>
      </c>
      <c r="C468" s="9" t="s">
        <v>985</v>
      </c>
      <c r="D468" s="9" t="s">
        <v>1001</v>
      </c>
      <c r="E468" s="8" t="s">
        <v>73</v>
      </c>
      <c r="F468" s="10"/>
      <c r="G468" s="10"/>
      <c r="H468" s="11">
        <v>460</v>
      </c>
      <c r="I468" s="10">
        <v>1100</v>
      </c>
      <c r="J468" s="10">
        <v>1100</v>
      </c>
      <c r="K468" s="11">
        <v>1700</v>
      </c>
      <c r="L468" s="10">
        <v>25</v>
      </c>
      <c r="M468" s="10">
        <v>25</v>
      </c>
      <c r="N468" s="11">
        <v>45</v>
      </c>
    </row>
    <row r="469" spans="1:14" ht="15" customHeight="1" x14ac:dyDescent="0.3">
      <c r="A469" s="7" t="s">
        <v>1010</v>
      </c>
      <c r="B469" s="8" t="s">
        <v>1011</v>
      </c>
      <c r="C469" s="9" t="s">
        <v>985</v>
      </c>
      <c r="D469" s="9" t="s">
        <v>1012</v>
      </c>
      <c r="E469" s="8" t="s">
        <v>64</v>
      </c>
      <c r="F469" s="10"/>
      <c r="G469" s="10"/>
      <c r="H469" s="11">
        <v>330</v>
      </c>
      <c r="I469" s="10">
        <v>800</v>
      </c>
      <c r="J469" s="10">
        <v>800</v>
      </c>
      <c r="K469" s="11">
        <v>1300</v>
      </c>
      <c r="L469" s="10">
        <v>25</v>
      </c>
      <c r="M469" s="10">
        <v>25</v>
      </c>
      <c r="N469" s="11">
        <v>45</v>
      </c>
    </row>
    <row r="470" spans="1:14" ht="15" customHeight="1" x14ac:dyDescent="0.3">
      <c r="A470" s="7" t="s">
        <v>1013</v>
      </c>
      <c r="B470" s="8" t="s">
        <v>1014</v>
      </c>
      <c r="C470" s="9" t="s">
        <v>985</v>
      </c>
      <c r="D470" s="9" t="s">
        <v>1001</v>
      </c>
      <c r="E470" s="8" t="s">
        <v>45</v>
      </c>
      <c r="F470" s="10"/>
      <c r="G470" s="10"/>
      <c r="H470" s="11">
        <v>410</v>
      </c>
      <c r="I470" s="10">
        <v>1000</v>
      </c>
      <c r="J470" s="10">
        <v>1000</v>
      </c>
      <c r="K470" s="11">
        <v>1600</v>
      </c>
      <c r="L470" s="10">
        <v>25</v>
      </c>
      <c r="M470" s="10">
        <v>25</v>
      </c>
      <c r="N470" s="11">
        <v>45</v>
      </c>
    </row>
    <row r="471" spans="1:14" ht="15" customHeight="1" x14ac:dyDescent="0.3">
      <c r="A471" s="7" t="s">
        <v>1015</v>
      </c>
      <c r="B471" s="8" t="s">
        <v>1016</v>
      </c>
      <c r="C471" s="9" t="s">
        <v>985</v>
      </c>
      <c r="D471" s="9" t="s">
        <v>1001</v>
      </c>
      <c r="E471" s="8" t="s">
        <v>470</v>
      </c>
      <c r="F471" s="10"/>
      <c r="G471" s="10"/>
      <c r="H471" s="11">
        <v>460</v>
      </c>
      <c r="I471" s="10">
        <v>1100</v>
      </c>
      <c r="J471" s="10">
        <v>1100</v>
      </c>
      <c r="K471" s="11">
        <v>1700</v>
      </c>
      <c r="L471" s="10">
        <v>25</v>
      </c>
      <c r="M471" s="10">
        <v>25</v>
      </c>
      <c r="N471" s="11">
        <v>45</v>
      </c>
    </row>
    <row r="472" spans="1:14" ht="15" customHeight="1" x14ac:dyDescent="0.3">
      <c r="A472" s="7" t="s">
        <v>1017</v>
      </c>
      <c r="B472" s="8" t="s">
        <v>1018</v>
      </c>
      <c r="C472" s="9" t="s">
        <v>985</v>
      </c>
      <c r="D472" s="9" t="s">
        <v>1001</v>
      </c>
      <c r="E472" s="8" t="s">
        <v>177</v>
      </c>
      <c r="F472" s="10"/>
      <c r="G472" s="10"/>
      <c r="H472" s="11">
        <v>460</v>
      </c>
      <c r="I472" s="10">
        <v>1100</v>
      </c>
      <c r="J472" s="10">
        <v>1100</v>
      </c>
      <c r="K472" s="11">
        <v>1700</v>
      </c>
      <c r="L472" s="10">
        <v>25</v>
      </c>
      <c r="M472" s="10">
        <v>25</v>
      </c>
      <c r="N472" s="11">
        <v>45</v>
      </c>
    </row>
    <row r="473" spans="1:14" ht="15" customHeight="1" x14ac:dyDescent="0.3">
      <c r="A473" s="7" t="s">
        <v>1019</v>
      </c>
      <c r="B473" s="8" t="s">
        <v>1020</v>
      </c>
      <c r="C473" s="9" t="s">
        <v>985</v>
      </c>
      <c r="D473" s="9" t="s">
        <v>1021</v>
      </c>
      <c r="E473" s="8" t="s">
        <v>110</v>
      </c>
      <c r="F473" s="10"/>
      <c r="G473" s="10"/>
      <c r="H473" s="11">
        <v>290</v>
      </c>
      <c r="I473" s="10">
        <v>600</v>
      </c>
      <c r="J473" s="10">
        <v>600</v>
      </c>
      <c r="K473" s="11">
        <v>1100</v>
      </c>
      <c r="L473" s="10">
        <v>25</v>
      </c>
      <c r="M473" s="10">
        <v>25</v>
      </c>
      <c r="N473" s="11">
        <v>45</v>
      </c>
    </row>
    <row r="474" spans="1:14" ht="15" customHeight="1" x14ac:dyDescent="0.3">
      <c r="A474" s="7" t="s">
        <v>1022</v>
      </c>
      <c r="B474" s="8" t="s">
        <v>1023</v>
      </c>
      <c r="C474" s="9" t="s">
        <v>985</v>
      </c>
      <c r="D474" s="9" t="s">
        <v>1021</v>
      </c>
      <c r="E474" s="8" t="s">
        <v>110</v>
      </c>
      <c r="F474" s="10"/>
      <c r="G474" s="10"/>
      <c r="H474" s="11">
        <v>290</v>
      </c>
      <c r="I474" s="10">
        <v>600</v>
      </c>
      <c r="J474" s="10">
        <v>600</v>
      </c>
      <c r="K474" s="11">
        <v>1100</v>
      </c>
      <c r="L474" s="10">
        <v>25</v>
      </c>
      <c r="M474" s="10">
        <v>25</v>
      </c>
      <c r="N474" s="11">
        <v>45</v>
      </c>
    </row>
    <row r="475" spans="1:14" ht="15" customHeight="1" x14ac:dyDescent="0.3">
      <c r="A475" s="7" t="s">
        <v>1024</v>
      </c>
      <c r="B475" s="8" t="s">
        <v>1025</v>
      </c>
      <c r="C475" s="9" t="s">
        <v>985</v>
      </c>
      <c r="D475" s="9" t="s">
        <v>1007</v>
      </c>
      <c r="E475" s="8" t="s">
        <v>45</v>
      </c>
      <c r="F475" s="10"/>
      <c r="G475" s="10"/>
      <c r="H475" s="11">
        <v>410</v>
      </c>
      <c r="I475" s="10">
        <v>1000</v>
      </c>
      <c r="J475" s="10">
        <v>1000</v>
      </c>
      <c r="K475" s="11">
        <v>1600</v>
      </c>
      <c r="L475" s="10">
        <v>25</v>
      </c>
      <c r="M475" s="10">
        <v>25</v>
      </c>
      <c r="N475" s="11">
        <v>45</v>
      </c>
    </row>
    <row r="476" spans="1:14" ht="15" customHeight="1" x14ac:dyDescent="0.3">
      <c r="A476" s="7" t="s">
        <v>1026</v>
      </c>
      <c r="B476" s="8" t="s">
        <v>1027</v>
      </c>
      <c r="C476" s="9" t="s">
        <v>985</v>
      </c>
      <c r="D476" s="9" t="s">
        <v>1021</v>
      </c>
      <c r="E476" s="8" t="s">
        <v>110</v>
      </c>
      <c r="F476" s="10"/>
      <c r="G476" s="10"/>
      <c r="H476" s="11">
        <v>290</v>
      </c>
      <c r="I476" s="10">
        <v>600</v>
      </c>
      <c r="J476" s="10">
        <v>600</v>
      </c>
      <c r="K476" s="11">
        <v>1100</v>
      </c>
      <c r="L476" s="10">
        <v>25</v>
      </c>
      <c r="M476" s="10">
        <v>25</v>
      </c>
      <c r="N476" s="11">
        <v>45</v>
      </c>
    </row>
    <row r="477" spans="1:14" ht="15" customHeight="1" x14ac:dyDescent="0.3">
      <c r="A477" s="7" t="s">
        <v>1028</v>
      </c>
      <c r="B477" s="8" t="s">
        <v>1029</v>
      </c>
      <c r="C477" s="9" t="s">
        <v>985</v>
      </c>
      <c r="D477" s="9" t="s">
        <v>1001</v>
      </c>
      <c r="E477" s="8" t="s">
        <v>68</v>
      </c>
      <c r="F477" s="10"/>
      <c r="G477" s="10"/>
      <c r="H477" s="11">
        <v>460</v>
      </c>
      <c r="I477" s="10">
        <v>1100</v>
      </c>
      <c r="J477" s="10">
        <v>1100</v>
      </c>
      <c r="K477" s="11">
        <v>1700</v>
      </c>
      <c r="L477" s="10">
        <v>25</v>
      </c>
      <c r="M477" s="10">
        <v>25</v>
      </c>
      <c r="N477" s="11">
        <v>45</v>
      </c>
    </row>
    <row r="478" spans="1:14" ht="15" customHeight="1" x14ac:dyDescent="0.3">
      <c r="A478" s="7" t="s">
        <v>1030</v>
      </c>
      <c r="B478" s="8" t="s">
        <v>1031</v>
      </c>
      <c r="C478" s="9" t="s">
        <v>985</v>
      </c>
      <c r="D478" s="9" t="s">
        <v>1021</v>
      </c>
      <c r="E478" s="8" t="s">
        <v>110</v>
      </c>
      <c r="F478" s="10"/>
      <c r="G478" s="10"/>
      <c r="H478" s="11">
        <v>290</v>
      </c>
      <c r="I478" s="10">
        <v>600</v>
      </c>
      <c r="J478" s="10">
        <v>600</v>
      </c>
      <c r="K478" s="11">
        <v>1100</v>
      </c>
      <c r="L478" s="10">
        <v>25</v>
      </c>
      <c r="M478" s="10">
        <v>25</v>
      </c>
      <c r="N478" s="11">
        <v>45</v>
      </c>
    </row>
    <row r="479" spans="1:14" ht="15" customHeight="1" x14ac:dyDescent="0.3">
      <c r="A479" s="7" t="s">
        <v>1032</v>
      </c>
      <c r="B479" s="8" t="s">
        <v>1033</v>
      </c>
      <c r="C479" s="9" t="s">
        <v>985</v>
      </c>
      <c r="D479" s="9" t="s">
        <v>1021</v>
      </c>
      <c r="E479" s="8" t="s">
        <v>68</v>
      </c>
      <c r="F479" s="10"/>
      <c r="G479" s="10"/>
      <c r="H479" s="11">
        <v>290</v>
      </c>
      <c r="I479" s="10">
        <v>600</v>
      </c>
      <c r="J479" s="10">
        <v>600</v>
      </c>
      <c r="K479" s="11">
        <v>1100</v>
      </c>
      <c r="L479" s="10">
        <v>25</v>
      </c>
      <c r="M479" s="10">
        <v>25</v>
      </c>
      <c r="N479" s="11">
        <v>45</v>
      </c>
    </row>
    <row r="480" spans="1:14" ht="15" customHeight="1" x14ac:dyDescent="0.3">
      <c r="A480" s="7" t="s">
        <v>1034</v>
      </c>
      <c r="B480" s="8" t="s">
        <v>1035</v>
      </c>
      <c r="C480" s="9" t="s">
        <v>985</v>
      </c>
      <c r="D480" s="9" t="s">
        <v>1021</v>
      </c>
      <c r="E480" s="8" t="s">
        <v>73</v>
      </c>
      <c r="F480" s="10"/>
      <c r="G480" s="10"/>
      <c r="H480" s="11">
        <v>290</v>
      </c>
      <c r="I480" s="10">
        <v>600</v>
      </c>
      <c r="J480" s="10">
        <v>600</v>
      </c>
      <c r="K480" s="11">
        <v>1100</v>
      </c>
      <c r="L480" s="10">
        <v>25</v>
      </c>
      <c r="M480" s="10">
        <v>25</v>
      </c>
      <c r="N480" s="11">
        <v>45</v>
      </c>
    </row>
    <row r="481" spans="1:14" ht="15" customHeight="1" x14ac:dyDescent="0.3">
      <c r="A481" s="7" t="s">
        <v>1036</v>
      </c>
      <c r="B481" s="8" t="s">
        <v>1037</v>
      </c>
      <c r="C481" s="9" t="s">
        <v>985</v>
      </c>
      <c r="D481" s="9" t="s">
        <v>1038</v>
      </c>
      <c r="E481" s="8" t="s">
        <v>68</v>
      </c>
      <c r="F481" s="10"/>
      <c r="G481" s="10"/>
      <c r="H481" s="11">
        <v>460</v>
      </c>
      <c r="I481" s="10">
        <v>1100</v>
      </c>
      <c r="J481" s="10">
        <v>1100</v>
      </c>
      <c r="K481" s="11">
        <v>1700</v>
      </c>
      <c r="L481" s="10">
        <v>25</v>
      </c>
      <c r="M481" s="10">
        <v>25</v>
      </c>
      <c r="N481" s="11">
        <v>45</v>
      </c>
    </row>
    <row r="482" spans="1:14" ht="15" customHeight="1" x14ac:dyDescent="0.3">
      <c r="A482" s="7" t="s">
        <v>1039</v>
      </c>
      <c r="B482" s="8" t="s">
        <v>1040</v>
      </c>
      <c r="C482" s="9" t="s">
        <v>985</v>
      </c>
      <c r="D482" s="9" t="s">
        <v>1021</v>
      </c>
      <c r="E482" s="8" t="s">
        <v>68</v>
      </c>
      <c r="F482" s="10"/>
      <c r="G482" s="10"/>
      <c r="H482" s="11">
        <v>290</v>
      </c>
      <c r="I482" s="10">
        <v>600</v>
      </c>
      <c r="J482" s="10">
        <v>600</v>
      </c>
      <c r="K482" s="11">
        <v>1100</v>
      </c>
      <c r="L482" s="10">
        <v>25</v>
      </c>
      <c r="M482" s="10">
        <v>25</v>
      </c>
      <c r="N482" s="11">
        <v>45</v>
      </c>
    </row>
    <row r="483" spans="1:14" ht="15" customHeight="1" x14ac:dyDescent="0.3">
      <c r="A483" s="7" t="s">
        <v>1041</v>
      </c>
      <c r="B483" s="8" t="s">
        <v>1042</v>
      </c>
      <c r="C483" s="9" t="s">
        <v>985</v>
      </c>
      <c r="D483" s="9" t="s">
        <v>1021</v>
      </c>
      <c r="E483" s="8" t="s">
        <v>45</v>
      </c>
      <c r="F483" s="10"/>
      <c r="G483" s="10"/>
      <c r="H483" s="11">
        <v>290</v>
      </c>
      <c r="I483" s="10">
        <v>600</v>
      </c>
      <c r="J483" s="10">
        <v>600</v>
      </c>
      <c r="K483" s="11">
        <v>1100</v>
      </c>
      <c r="L483" s="10">
        <v>25</v>
      </c>
      <c r="M483" s="10">
        <v>25</v>
      </c>
      <c r="N483" s="11">
        <v>45</v>
      </c>
    </row>
    <row r="484" spans="1:14" ht="15" customHeight="1" x14ac:dyDescent="0.3">
      <c r="A484" s="7" t="s">
        <v>1043</v>
      </c>
      <c r="B484" s="8" t="s">
        <v>1044</v>
      </c>
      <c r="C484" s="9" t="s">
        <v>985</v>
      </c>
      <c r="D484" s="9" t="s">
        <v>1007</v>
      </c>
      <c r="E484" s="8" t="s">
        <v>121</v>
      </c>
      <c r="F484" s="10"/>
      <c r="G484" s="10"/>
      <c r="H484" s="11">
        <v>410</v>
      </c>
      <c r="I484" s="10">
        <v>1000</v>
      </c>
      <c r="J484" s="10">
        <v>1000</v>
      </c>
      <c r="K484" s="11">
        <v>1600</v>
      </c>
      <c r="L484" s="10">
        <v>25</v>
      </c>
      <c r="M484" s="10">
        <v>25</v>
      </c>
      <c r="N484" s="11">
        <v>45</v>
      </c>
    </row>
    <row r="485" spans="1:14" ht="15" customHeight="1" x14ac:dyDescent="0.3">
      <c r="A485" s="7" t="s">
        <v>1045</v>
      </c>
      <c r="B485" s="8" t="s">
        <v>1046</v>
      </c>
      <c r="C485" s="9" t="s">
        <v>985</v>
      </c>
      <c r="D485" s="9" t="s">
        <v>1021</v>
      </c>
      <c r="E485" s="8" t="s">
        <v>110</v>
      </c>
      <c r="F485" s="10"/>
      <c r="G485" s="10"/>
      <c r="H485" s="11">
        <v>290</v>
      </c>
      <c r="I485" s="10">
        <v>600</v>
      </c>
      <c r="J485" s="10">
        <v>600</v>
      </c>
      <c r="K485" s="11">
        <v>1100</v>
      </c>
      <c r="L485" s="10">
        <v>25</v>
      </c>
      <c r="M485" s="10">
        <v>25</v>
      </c>
      <c r="N485" s="11">
        <v>45</v>
      </c>
    </row>
    <row r="486" spans="1:14" ht="15" customHeight="1" x14ac:dyDescent="0.3">
      <c r="A486" s="7" t="s">
        <v>1047</v>
      </c>
      <c r="B486" s="8" t="s">
        <v>1048</v>
      </c>
      <c r="C486" s="9" t="s">
        <v>985</v>
      </c>
      <c r="D486" s="9" t="s">
        <v>1021</v>
      </c>
      <c r="E486" s="8" t="s">
        <v>470</v>
      </c>
      <c r="F486" s="10"/>
      <c r="G486" s="10"/>
      <c r="H486" s="11">
        <v>290</v>
      </c>
      <c r="I486" s="10">
        <v>600</v>
      </c>
      <c r="J486" s="10">
        <v>600</v>
      </c>
      <c r="K486" s="11">
        <v>1100</v>
      </c>
      <c r="L486" s="10">
        <v>25</v>
      </c>
      <c r="M486" s="10">
        <v>25</v>
      </c>
      <c r="N486" s="11">
        <v>45</v>
      </c>
    </row>
    <row r="487" spans="1:14" ht="15" customHeight="1" x14ac:dyDescent="0.3">
      <c r="A487" s="7" t="s">
        <v>1049</v>
      </c>
      <c r="B487" s="8" t="s">
        <v>1050</v>
      </c>
      <c r="C487" s="9" t="s">
        <v>985</v>
      </c>
      <c r="D487" s="9" t="s">
        <v>1051</v>
      </c>
      <c r="E487" s="8" t="s">
        <v>73</v>
      </c>
      <c r="F487" s="10"/>
      <c r="G487" s="10"/>
      <c r="H487" s="11">
        <v>460</v>
      </c>
      <c r="I487" s="10">
        <v>1100</v>
      </c>
      <c r="J487" s="10">
        <v>1100</v>
      </c>
      <c r="K487" s="11">
        <v>1700</v>
      </c>
      <c r="L487" s="10">
        <v>25</v>
      </c>
      <c r="M487" s="10">
        <v>25</v>
      </c>
      <c r="N487" s="11">
        <v>45</v>
      </c>
    </row>
    <row r="488" spans="1:14" ht="15" customHeight="1" x14ac:dyDescent="0.3">
      <c r="A488" s="7" t="s">
        <v>1052</v>
      </c>
      <c r="B488" s="8" t="s">
        <v>1053</v>
      </c>
      <c r="C488" s="9" t="s">
        <v>985</v>
      </c>
      <c r="D488" s="9" t="s">
        <v>1054</v>
      </c>
      <c r="E488" s="8" t="s">
        <v>110</v>
      </c>
      <c r="F488" s="10"/>
      <c r="G488" s="10"/>
      <c r="H488" s="11">
        <v>290</v>
      </c>
      <c r="I488" s="10">
        <v>600</v>
      </c>
      <c r="J488" s="10">
        <v>600</v>
      </c>
      <c r="K488" s="11">
        <v>1100</v>
      </c>
      <c r="L488" s="10">
        <v>25</v>
      </c>
      <c r="M488" s="10">
        <v>25</v>
      </c>
      <c r="N488" s="11">
        <v>45</v>
      </c>
    </row>
    <row r="489" spans="1:14" ht="15" customHeight="1" x14ac:dyDescent="0.3">
      <c r="A489" s="7" t="s">
        <v>1055</v>
      </c>
      <c r="B489" s="8" t="s">
        <v>1056</v>
      </c>
      <c r="C489" s="9" t="s">
        <v>985</v>
      </c>
      <c r="D489" s="9" t="s">
        <v>1057</v>
      </c>
      <c r="E489" s="8" t="s">
        <v>177</v>
      </c>
      <c r="F489" s="10"/>
      <c r="G489" s="10"/>
      <c r="H489" s="11">
        <v>290</v>
      </c>
      <c r="I489" s="10">
        <v>600</v>
      </c>
      <c r="J489" s="10">
        <v>600</v>
      </c>
      <c r="K489" s="11">
        <v>1100</v>
      </c>
      <c r="L489" s="10">
        <v>25</v>
      </c>
      <c r="M489" s="10">
        <v>25</v>
      </c>
      <c r="N489" s="11">
        <v>45</v>
      </c>
    </row>
    <row r="490" spans="1:14" ht="15" customHeight="1" x14ac:dyDescent="0.3">
      <c r="A490" s="7" t="s">
        <v>110</v>
      </c>
      <c r="B490" s="8" t="s">
        <v>110</v>
      </c>
      <c r="C490" s="9" t="s">
        <v>985</v>
      </c>
      <c r="D490" s="9" t="s">
        <v>1001</v>
      </c>
      <c r="E490" s="8" t="s">
        <v>177</v>
      </c>
      <c r="F490" s="10"/>
      <c r="G490" s="10"/>
      <c r="H490" s="11">
        <v>460</v>
      </c>
      <c r="I490" s="10">
        <v>1100</v>
      </c>
      <c r="J490" s="10">
        <v>1100</v>
      </c>
      <c r="K490" s="11">
        <v>1700</v>
      </c>
      <c r="L490" s="10">
        <v>25</v>
      </c>
      <c r="M490" s="10">
        <v>25</v>
      </c>
      <c r="N490" s="11">
        <v>45</v>
      </c>
    </row>
    <row r="491" spans="1:14" ht="15" customHeight="1" x14ac:dyDescent="0.3">
      <c r="A491" s="7" t="s">
        <v>110</v>
      </c>
      <c r="B491" s="8" t="s">
        <v>110</v>
      </c>
      <c r="C491" s="9" t="s">
        <v>985</v>
      </c>
      <c r="D491" s="9" t="s">
        <v>1001</v>
      </c>
      <c r="E491" s="8" t="s">
        <v>73</v>
      </c>
      <c r="F491" s="10"/>
      <c r="G491" s="10"/>
      <c r="H491" s="11">
        <v>460</v>
      </c>
      <c r="I491" s="10">
        <v>1100</v>
      </c>
      <c r="J491" s="10">
        <v>1100</v>
      </c>
      <c r="K491" s="11">
        <v>1700</v>
      </c>
      <c r="L491" s="10">
        <v>25</v>
      </c>
      <c r="M491" s="10">
        <v>25</v>
      </c>
      <c r="N491" s="11">
        <v>45</v>
      </c>
    </row>
    <row r="492" spans="1:14" ht="15" customHeight="1" x14ac:dyDescent="0.3">
      <c r="A492" s="7" t="s">
        <v>110</v>
      </c>
      <c r="B492" s="8" t="s">
        <v>110</v>
      </c>
      <c r="C492" s="9" t="s">
        <v>985</v>
      </c>
      <c r="D492" s="9" t="s">
        <v>1001</v>
      </c>
      <c r="E492" s="8" t="s">
        <v>73</v>
      </c>
      <c r="F492" s="10"/>
      <c r="G492" s="10"/>
      <c r="H492" s="11">
        <v>460</v>
      </c>
      <c r="I492" s="10">
        <v>1100</v>
      </c>
      <c r="J492" s="10">
        <v>1100</v>
      </c>
      <c r="K492" s="11">
        <v>1700</v>
      </c>
      <c r="L492" s="10">
        <v>25</v>
      </c>
      <c r="M492" s="10">
        <v>25</v>
      </c>
      <c r="N492" s="11">
        <v>45</v>
      </c>
    </row>
    <row r="493" spans="1:14" ht="15" customHeight="1" x14ac:dyDescent="0.3">
      <c r="A493" s="7" t="s">
        <v>110</v>
      </c>
      <c r="B493" s="8" t="s">
        <v>110</v>
      </c>
      <c r="C493" s="9" t="s">
        <v>985</v>
      </c>
      <c r="D493" s="9" t="s">
        <v>1001</v>
      </c>
      <c r="E493" s="8" t="s">
        <v>68</v>
      </c>
      <c r="F493" s="10"/>
      <c r="G493" s="10"/>
      <c r="H493" s="11">
        <v>460</v>
      </c>
      <c r="I493" s="10">
        <v>1100</v>
      </c>
      <c r="J493" s="10">
        <v>1100</v>
      </c>
      <c r="K493" s="11">
        <v>1700</v>
      </c>
      <c r="L493" s="10">
        <v>25</v>
      </c>
      <c r="M493" s="10">
        <v>25</v>
      </c>
      <c r="N493" s="11">
        <v>45</v>
      </c>
    </row>
    <row r="494" spans="1:14" ht="15" customHeight="1" x14ac:dyDescent="0.3">
      <c r="A494" s="7" t="s">
        <v>110</v>
      </c>
      <c r="B494" s="8" t="s">
        <v>110</v>
      </c>
      <c r="C494" s="9" t="s">
        <v>985</v>
      </c>
      <c r="D494" s="9" t="s">
        <v>1038</v>
      </c>
      <c r="E494" s="8" t="s">
        <v>68</v>
      </c>
      <c r="F494" s="10"/>
      <c r="G494" s="10"/>
      <c r="H494" s="11">
        <v>460</v>
      </c>
      <c r="I494" s="10">
        <v>1100</v>
      </c>
      <c r="J494" s="10">
        <v>1100</v>
      </c>
      <c r="K494" s="11">
        <v>1700</v>
      </c>
      <c r="L494" s="10">
        <v>25</v>
      </c>
      <c r="M494" s="10">
        <v>25</v>
      </c>
      <c r="N494" s="11">
        <v>45</v>
      </c>
    </row>
    <row r="495" spans="1:14" ht="15" customHeight="1" x14ac:dyDescent="0.3">
      <c r="A495" s="7" t="s">
        <v>110</v>
      </c>
      <c r="B495" s="8" t="s">
        <v>110</v>
      </c>
      <c r="C495" s="9" t="s">
        <v>985</v>
      </c>
      <c r="D495" s="9" t="s">
        <v>1007</v>
      </c>
      <c r="E495" s="8" t="s">
        <v>121</v>
      </c>
      <c r="F495" s="10"/>
      <c r="G495" s="10"/>
      <c r="H495" s="11">
        <v>410</v>
      </c>
      <c r="I495" s="10">
        <v>1000</v>
      </c>
      <c r="J495" s="10">
        <v>1000</v>
      </c>
      <c r="K495" s="11">
        <v>1600</v>
      </c>
      <c r="L495" s="10">
        <v>25</v>
      </c>
      <c r="M495" s="10">
        <v>25</v>
      </c>
      <c r="N495" s="11">
        <v>45</v>
      </c>
    </row>
    <row r="496" spans="1:14" ht="15" customHeight="1" x14ac:dyDescent="0.3">
      <c r="A496" s="7" t="s">
        <v>110</v>
      </c>
      <c r="B496" s="8" t="s">
        <v>110</v>
      </c>
      <c r="C496" s="9" t="s">
        <v>985</v>
      </c>
      <c r="D496" s="9" t="s">
        <v>1001</v>
      </c>
      <c r="E496" s="8" t="s">
        <v>45</v>
      </c>
      <c r="F496" s="10"/>
      <c r="G496" s="10"/>
      <c r="H496" s="11">
        <v>410</v>
      </c>
      <c r="I496" s="10">
        <v>1000</v>
      </c>
      <c r="J496" s="10">
        <v>1000</v>
      </c>
      <c r="K496" s="11">
        <v>1600</v>
      </c>
      <c r="L496" s="10">
        <v>25</v>
      </c>
      <c r="M496" s="10">
        <v>25</v>
      </c>
      <c r="N496" s="11">
        <v>45</v>
      </c>
    </row>
    <row r="497" spans="1:14" ht="15" customHeight="1" x14ac:dyDescent="0.3">
      <c r="A497" s="7" t="s">
        <v>110</v>
      </c>
      <c r="B497" s="8" t="s">
        <v>110</v>
      </c>
      <c r="C497" s="9" t="s">
        <v>985</v>
      </c>
      <c r="D497" s="9" t="s">
        <v>1001</v>
      </c>
      <c r="E497" s="8" t="s">
        <v>45</v>
      </c>
      <c r="F497" s="10"/>
      <c r="G497" s="10"/>
      <c r="H497" s="11">
        <v>410</v>
      </c>
      <c r="I497" s="10">
        <v>1000</v>
      </c>
      <c r="J497" s="10">
        <v>1000</v>
      </c>
      <c r="K497" s="11">
        <v>1600</v>
      </c>
      <c r="L497" s="10">
        <v>25</v>
      </c>
      <c r="M497" s="10">
        <v>25</v>
      </c>
      <c r="N497" s="11">
        <v>45</v>
      </c>
    </row>
    <row r="498" spans="1:14" ht="15" customHeight="1" x14ac:dyDescent="0.3">
      <c r="A498" s="7" t="s">
        <v>110</v>
      </c>
      <c r="B498" s="8" t="s">
        <v>110</v>
      </c>
      <c r="C498" s="9" t="s">
        <v>985</v>
      </c>
      <c r="D498" s="9" t="s">
        <v>1007</v>
      </c>
      <c r="E498" s="8" t="s">
        <v>45</v>
      </c>
      <c r="F498" s="10"/>
      <c r="G498" s="10"/>
      <c r="H498" s="11">
        <v>410</v>
      </c>
      <c r="I498" s="10">
        <v>1000</v>
      </c>
      <c r="J498" s="10">
        <v>1000</v>
      </c>
      <c r="K498" s="11">
        <v>1600</v>
      </c>
      <c r="L498" s="10">
        <v>25</v>
      </c>
      <c r="M498" s="10">
        <v>25</v>
      </c>
      <c r="N498" s="11">
        <v>45</v>
      </c>
    </row>
    <row r="499" spans="1:14" ht="15" customHeight="1" x14ac:dyDescent="0.3">
      <c r="A499" s="7" t="s">
        <v>110</v>
      </c>
      <c r="B499" s="8" t="s">
        <v>110</v>
      </c>
      <c r="C499" s="9" t="s">
        <v>985</v>
      </c>
      <c r="D499" s="9" t="s">
        <v>1007</v>
      </c>
      <c r="E499" s="8" t="s">
        <v>45</v>
      </c>
      <c r="F499" s="10"/>
      <c r="G499" s="10"/>
      <c r="H499" s="11">
        <v>410</v>
      </c>
      <c r="I499" s="10">
        <v>1000</v>
      </c>
      <c r="J499" s="10">
        <v>1000</v>
      </c>
      <c r="K499" s="11">
        <v>1600</v>
      </c>
      <c r="L499" s="10">
        <v>25</v>
      </c>
      <c r="M499" s="10">
        <v>25</v>
      </c>
      <c r="N499" s="11">
        <v>45</v>
      </c>
    </row>
    <row r="500" spans="1:14" ht="15" customHeight="1" x14ac:dyDescent="0.3">
      <c r="A500" s="7" t="s">
        <v>110</v>
      </c>
      <c r="B500" s="8" t="s">
        <v>110</v>
      </c>
      <c r="C500" s="9" t="s">
        <v>985</v>
      </c>
      <c r="D500" s="9" t="s">
        <v>1007</v>
      </c>
      <c r="E500" s="8" t="s">
        <v>470</v>
      </c>
      <c r="F500" s="10"/>
      <c r="G500" s="10"/>
      <c r="H500" s="11">
        <v>410</v>
      </c>
      <c r="I500" s="10">
        <v>1000</v>
      </c>
      <c r="J500" s="10">
        <v>1000</v>
      </c>
      <c r="K500" s="11">
        <v>1600</v>
      </c>
      <c r="L500" s="10">
        <v>25</v>
      </c>
      <c r="M500" s="10">
        <v>25</v>
      </c>
      <c r="N500" s="11">
        <v>45</v>
      </c>
    </row>
    <row r="501" spans="1:14" ht="15" customHeight="1" x14ac:dyDescent="0.3">
      <c r="A501" s="7" t="s">
        <v>110</v>
      </c>
      <c r="B501" s="8" t="s">
        <v>110</v>
      </c>
      <c r="C501" s="9" t="s">
        <v>985</v>
      </c>
      <c r="D501" s="9" t="s">
        <v>1007</v>
      </c>
      <c r="E501" s="8" t="s">
        <v>470</v>
      </c>
      <c r="F501" s="10"/>
      <c r="G501" s="10"/>
      <c r="H501" s="11">
        <v>410</v>
      </c>
      <c r="I501" s="10">
        <v>1000</v>
      </c>
      <c r="J501" s="10">
        <v>1000</v>
      </c>
      <c r="K501" s="11">
        <v>1600</v>
      </c>
      <c r="L501" s="10">
        <v>25</v>
      </c>
      <c r="M501" s="10">
        <v>25</v>
      </c>
      <c r="N501" s="11">
        <v>45</v>
      </c>
    </row>
    <row r="502" spans="1:14" ht="15" customHeight="1" x14ac:dyDescent="0.3">
      <c r="A502" s="7" t="s">
        <v>110</v>
      </c>
      <c r="B502" s="8" t="s">
        <v>110</v>
      </c>
      <c r="C502" s="9" t="s">
        <v>985</v>
      </c>
      <c r="D502" s="9" t="s">
        <v>992</v>
      </c>
      <c r="E502" s="8" t="s">
        <v>56</v>
      </c>
      <c r="F502" s="10"/>
      <c r="G502" s="10"/>
      <c r="H502" s="11">
        <v>360</v>
      </c>
      <c r="I502" s="10">
        <v>800</v>
      </c>
      <c r="J502" s="10">
        <v>800</v>
      </c>
      <c r="K502" s="11">
        <v>1400</v>
      </c>
      <c r="L502" s="10">
        <v>25</v>
      </c>
      <c r="M502" s="10">
        <v>25</v>
      </c>
      <c r="N502" s="11">
        <v>45</v>
      </c>
    </row>
    <row r="503" spans="1:14" ht="32.25" customHeight="1" x14ac:dyDescent="0.3">
      <c r="A503" s="7" t="s">
        <v>110</v>
      </c>
      <c r="B503" s="8" t="s">
        <v>1058</v>
      </c>
      <c r="C503" s="9" t="s">
        <v>985</v>
      </c>
      <c r="D503" s="9" t="s">
        <v>197</v>
      </c>
      <c r="E503" s="8" t="s">
        <v>1059</v>
      </c>
      <c r="F503" s="10"/>
      <c r="G503" s="10"/>
      <c r="H503" s="11">
        <v>290</v>
      </c>
      <c r="I503" s="10">
        <v>600</v>
      </c>
      <c r="J503" s="10">
        <v>600</v>
      </c>
      <c r="K503" s="11">
        <v>1100</v>
      </c>
      <c r="L503" s="10">
        <v>25</v>
      </c>
      <c r="M503" s="10">
        <v>25</v>
      </c>
      <c r="N503" s="11">
        <v>45</v>
      </c>
    </row>
    <row r="504" spans="1:14" ht="32.25" customHeight="1" x14ac:dyDescent="0.3">
      <c r="A504" s="7" t="s">
        <v>110</v>
      </c>
      <c r="B504" s="8" t="s">
        <v>1060</v>
      </c>
      <c r="C504" s="9" t="s">
        <v>985</v>
      </c>
      <c r="D504" s="9" t="s">
        <v>197</v>
      </c>
      <c r="E504" s="8" t="s">
        <v>1061</v>
      </c>
      <c r="F504" s="10"/>
      <c r="G504" s="10"/>
      <c r="H504" s="11">
        <v>290</v>
      </c>
      <c r="I504" s="10">
        <v>600</v>
      </c>
      <c r="J504" s="10">
        <v>600</v>
      </c>
      <c r="K504" s="11">
        <v>1100</v>
      </c>
      <c r="L504" s="10">
        <v>25</v>
      </c>
      <c r="M504" s="10">
        <v>25</v>
      </c>
      <c r="N504" s="11">
        <v>45</v>
      </c>
    </row>
    <row r="505" spans="1:14" ht="32.25" customHeight="1" x14ac:dyDescent="0.3">
      <c r="A505" s="7" t="s">
        <v>110</v>
      </c>
      <c r="B505" s="8" t="s">
        <v>1062</v>
      </c>
      <c r="C505" s="9" t="s">
        <v>985</v>
      </c>
      <c r="D505" s="9" t="s">
        <v>197</v>
      </c>
      <c r="E505" s="8" t="s">
        <v>1063</v>
      </c>
      <c r="F505" s="10"/>
      <c r="G505" s="10"/>
      <c r="H505" s="11">
        <v>290</v>
      </c>
      <c r="I505" s="10">
        <v>600</v>
      </c>
      <c r="J505" s="10">
        <v>600</v>
      </c>
      <c r="K505" s="11">
        <v>1100</v>
      </c>
      <c r="L505" s="10">
        <v>25</v>
      </c>
      <c r="M505" s="10">
        <v>25</v>
      </c>
      <c r="N505" s="11">
        <v>45</v>
      </c>
    </row>
    <row r="506" spans="1:14" ht="15" customHeight="1" x14ac:dyDescent="0.3">
      <c r="A506" s="7" t="s">
        <v>110</v>
      </c>
      <c r="B506" s="8" t="s">
        <v>1064</v>
      </c>
      <c r="C506" s="9" t="s">
        <v>985</v>
      </c>
      <c r="D506" s="9" t="s">
        <v>197</v>
      </c>
      <c r="E506" s="8" t="s">
        <v>110</v>
      </c>
      <c r="F506" s="10"/>
      <c r="G506" s="10"/>
      <c r="H506" s="11">
        <v>290</v>
      </c>
      <c r="I506" s="10">
        <v>600</v>
      </c>
      <c r="J506" s="10">
        <v>600</v>
      </c>
      <c r="K506" s="11">
        <v>1100</v>
      </c>
      <c r="L506" s="10">
        <v>25</v>
      </c>
      <c r="M506" s="10">
        <v>25</v>
      </c>
      <c r="N506" s="11">
        <v>45</v>
      </c>
    </row>
    <row r="507" spans="1:14" ht="15" customHeight="1" x14ac:dyDescent="0.3">
      <c r="A507" s="7" t="s">
        <v>110</v>
      </c>
      <c r="B507" s="8" t="s">
        <v>1065</v>
      </c>
      <c r="C507" s="9" t="s">
        <v>985</v>
      </c>
      <c r="D507" s="9" t="s">
        <v>197</v>
      </c>
      <c r="E507" s="8" t="s">
        <v>110</v>
      </c>
      <c r="F507" s="10"/>
      <c r="G507" s="10"/>
      <c r="H507" s="11">
        <v>290</v>
      </c>
      <c r="I507" s="10">
        <v>600</v>
      </c>
      <c r="J507" s="10">
        <v>600</v>
      </c>
      <c r="K507" s="11">
        <v>1100</v>
      </c>
      <c r="L507" s="10">
        <v>25</v>
      </c>
      <c r="M507" s="10">
        <v>25</v>
      </c>
      <c r="N507" s="11">
        <v>45</v>
      </c>
    </row>
    <row r="508" spans="1:14" ht="15" customHeight="1" x14ac:dyDescent="0.3">
      <c r="A508" s="7" t="s">
        <v>110</v>
      </c>
      <c r="B508" s="8" t="s">
        <v>1066</v>
      </c>
      <c r="C508" s="9" t="s">
        <v>985</v>
      </c>
      <c r="D508" s="9" t="s">
        <v>197</v>
      </c>
      <c r="E508" s="8" t="s">
        <v>110</v>
      </c>
      <c r="F508" s="10"/>
      <c r="G508" s="10"/>
      <c r="H508" s="11">
        <v>290</v>
      </c>
      <c r="I508" s="10">
        <v>600</v>
      </c>
      <c r="J508" s="10">
        <v>600</v>
      </c>
      <c r="K508" s="11">
        <v>1100</v>
      </c>
      <c r="L508" s="10">
        <v>25</v>
      </c>
      <c r="M508" s="10">
        <v>25</v>
      </c>
      <c r="N508" s="11">
        <v>45</v>
      </c>
    </row>
    <row r="509" spans="1:14" ht="15" customHeight="1" x14ac:dyDescent="0.3">
      <c r="A509" s="7" t="s">
        <v>110</v>
      </c>
      <c r="B509" s="8" t="s">
        <v>1067</v>
      </c>
      <c r="C509" s="9" t="s">
        <v>985</v>
      </c>
      <c r="D509" s="9" t="s">
        <v>197</v>
      </c>
      <c r="E509" s="8" t="s">
        <v>110</v>
      </c>
      <c r="F509" s="10"/>
      <c r="G509" s="10"/>
      <c r="H509" s="11">
        <v>290</v>
      </c>
      <c r="I509" s="10">
        <v>600</v>
      </c>
      <c r="J509" s="10">
        <v>600</v>
      </c>
      <c r="K509" s="11">
        <v>1100</v>
      </c>
      <c r="L509" s="10">
        <v>25</v>
      </c>
      <c r="M509" s="10">
        <v>25</v>
      </c>
      <c r="N509" s="11">
        <v>45</v>
      </c>
    </row>
    <row r="510" spans="1:14" ht="21.75" customHeight="1" x14ac:dyDescent="0.3">
      <c r="A510" s="7" t="s">
        <v>110</v>
      </c>
      <c r="B510" s="8" t="s">
        <v>1068</v>
      </c>
      <c r="C510" s="9" t="s">
        <v>985</v>
      </c>
      <c r="D510" s="9" t="s">
        <v>197</v>
      </c>
      <c r="E510" s="8" t="s">
        <v>1069</v>
      </c>
      <c r="F510" s="10"/>
      <c r="G510" s="10"/>
      <c r="H510" s="11">
        <v>290</v>
      </c>
      <c r="I510" s="10">
        <v>600</v>
      </c>
      <c r="J510" s="10">
        <v>600</v>
      </c>
      <c r="K510" s="11">
        <v>1100</v>
      </c>
      <c r="L510" s="10">
        <v>25</v>
      </c>
      <c r="M510" s="10">
        <v>25</v>
      </c>
      <c r="N510" s="11">
        <v>45</v>
      </c>
    </row>
    <row r="511" spans="1:14" ht="32.25" customHeight="1" x14ac:dyDescent="0.3">
      <c r="A511" s="7" t="s">
        <v>110</v>
      </c>
      <c r="B511" s="8" t="s">
        <v>1070</v>
      </c>
      <c r="C511" s="9" t="s">
        <v>985</v>
      </c>
      <c r="D511" s="9" t="s">
        <v>197</v>
      </c>
      <c r="E511" s="8" t="s">
        <v>1071</v>
      </c>
      <c r="F511" s="10"/>
      <c r="G511" s="10"/>
      <c r="H511" s="11">
        <v>290</v>
      </c>
      <c r="I511" s="10">
        <v>600</v>
      </c>
      <c r="J511" s="10">
        <v>600</v>
      </c>
      <c r="K511" s="11">
        <v>1100</v>
      </c>
      <c r="L511" s="10">
        <v>25</v>
      </c>
      <c r="M511" s="10">
        <v>25</v>
      </c>
      <c r="N511" s="11">
        <v>45</v>
      </c>
    </row>
    <row r="512" spans="1:14" ht="32.25" customHeight="1" x14ac:dyDescent="0.3">
      <c r="A512" s="7" t="s">
        <v>110</v>
      </c>
      <c r="B512" s="8" t="s">
        <v>1072</v>
      </c>
      <c r="C512" s="9" t="s">
        <v>985</v>
      </c>
      <c r="D512" s="9" t="s">
        <v>1073</v>
      </c>
      <c r="E512" s="8" t="s">
        <v>1074</v>
      </c>
      <c r="F512" s="10"/>
      <c r="G512" s="10"/>
      <c r="H512" s="11">
        <v>290</v>
      </c>
      <c r="I512" s="10">
        <v>600</v>
      </c>
      <c r="J512" s="10">
        <v>600</v>
      </c>
      <c r="K512" s="11">
        <v>1100</v>
      </c>
      <c r="L512" s="10">
        <v>25</v>
      </c>
      <c r="M512" s="10">
        <v>25</v>
      </c>
      <c r="N512" s="11">
        <v>45</v>
      </c>
    </row>
    <row r="513" spans="1:14" ht="15" customHeight="1" x14ac:dyDescent="0.3">
      <c r="A513" s="12" t="s">
        <v>1075</v>
      </c>
      <c r="B513" s="13" t="s">
        <v>110</v>
      </c>
      <c r="C513" s="14" t="s">
        <v>1076</v>
      </c>
      <c r="D513" s="14" t="s">
        <v>1077</v>
      </c>
      <c r="E513" s="13" t="s">
        <v>110</v>
      </c>
      <c r="F513" s="15">
        <v>550</v>
      </c>
      <c r="G513" s="15">
        <v>1020</v>
      </c>
      <c r="H513" s="16">
        <v>1020</v>
      </c>
      <c r="I513" s="15">
        <v>2100</v>
      </c>
      <c r="J513" s="15">
        <v>3900</v>
      </c>
      <c r="K513" s="16">
        <v>3900</v>
      </c>
      <c r="L513" s="15"/>
      <c r="M513" s="15"/>
      <c r="N513" s="16"/>
    </row>
    <row r="514" spans="1:14" ht="15" customHeight="1" x14ac:dyDescent="0.3">
      <c r="A514" s="12" t="s">
        <v>1078</v>
      </c>
      <c r="B514" s="13" t="s">
        <v>110</v>
      </c>
      <c r="C514" s="14" t="s">
        <v>1076</v>
      </c>
      <c r="D514" s="14" t="s">
        <v>1077</v>
      </c>
      <c r="E514" s="13" t="s">
        <v>110</v>
      </c>
      <c r="F514" s="15">
        <v>550</v>
      </c>
      <c r="G514" s="15">
        <v>1020</v>
      </c>
      <c r="H514" s="16">
        <v>1020</v>
      </c>
      <c r="I514" s="15">
        <v>2100</v>
      </c>
      <c r="J514" s="15">
        <v>3900</v>
      </c>
      <c r="K514" s="16">
        <v>3900</v>
      </c>
      <c r="L514" s="15"/>
      <c r="M514" s="15"/>
      <c r="N514" s="16"/>
    </row>
    <row r="515" spans="1:14" ht="15" customHeight="1" x14ac:dyDescent="0.3">
      <c r="A515" s="12" t="s">
        <v>1079</v>
      </c>
      <c r="B515" s="13" t="s">
        <v>936</v>
      </c>
      <c r="C515" s="14" t="s">
        <v>1076</v>
      </c>
      <c r="D515" s="14" t="s">
        <v>1077</v>
      </c>
      <c r="E515" s="13" t="s">
        <v>177</v>
      </c>
      <c r="F515" s="15">
        <v>870</v>
      </c>
      <c r="G515" s="15">
        <v>1610</v>
      </c>
      <c r="H515" s="16">
        <v>1610</v>
      </c>
      <c r="I515" s="15">
        <v>3300</v>
      </c>
      <c r="J515" s="15">
        <v>6100</v>
      </c>
      <c r="K515" s="16">
        <v>6100</v>
      </c>
      <c r="L515" s="15"/>
      <c r="M515" s="15"/>
      <c r="N515" s="16"/>
    </row>
    <row r="516" spans="1:14" ht="15" customHeight="1" x14ac:dyDescent="0.3">
      <c r="A516" s="12" t="s">
        <v>1080</v>
      </c>
      <c r="B516" s="13" t="s">
        <v>940</v>
      </c>
      <c r="C516" s="14" t="s">
        <v>1076</v>
      </c>
      <c r="D516" s="14" t="s">
        <v>1081</v>
      </c>
      <c r="E516" s="13" t="s">
        <v>177</v>
      </c>
      <c r="F516" s="15">
        <v>870</v>
      </c>
      <c r="G516" s="15">
        <v>1610</v>
      </c>
      <c r="H516" s="16">
        <v>1610</v>
      </c>
      <c r="I516" s="15">
        <v>3300</v>
      </c>
      <c r="J516" s="15">
        <v>6100</v>
      </c>
      <c r="K516" s="16">
        <v>6100</v>
      </c>
      <c r="L516" s="15"/>
      <c r="M516" s="15"/>
      <c r="N516" s="16"/>
    </row>
    <row r="517" spans="1:14" ht="15" customHeight="1" x14ac:dyDescent="0.3">
      <c r="A517" s="12" t="s">
        <v>1082</v>
      </c>
      <c r="B517" s="13" t="s">
        <v>938</v>
      </c>
      <c r="C517" s="14" t="s">
        <v>1076</v>
      </c>
      <c r="D517" s="14" t="s">
        <v>1081</v>
      </c>
      <c r="E517" s="13" t="s">
        <v>177</v>
      </c>
      <c r="F517" s="15">
        <v>870</v>
      </c>
      <c r="G517" s="15">
        <v>1610</v>
      </c>
      <c r="H517" s="16">
        <v>1610</v>
      </c>
      <c r="I517" s="15">
        <v>3300</v>
      </c>
      <c r="J517" s="15">
        <v>6100</v>
      </c>
      <c r="K517" s="16">
        <v>6100</v>
      </c>
      <c r="L517" s="15"/>
      <c r="M517" s="15"/>
      <c r="N517" s="16"/>
    </row>
    <row r="518" spans="1:14" ht="15" customHeight="1" x14ac:dyDescent="0.3">
      <c r="A518" s="12" t="s">
        <v>1083</v>
      </c>
      <c r="B518" s="13" t="s">
        <v>110</v>
      </c>
      <c r="C518" s="14" t="s">
        <v>1076</v>
      </c>
      <c r="D518" s="14" t="s">
        <v>1084</v>
      </c>
      <c r="E518" s="13" t="s">
        <v>177</v>
      </c>
      <c r="F518" s="15">
        <v>870</v>
      </c>
      <c r="G518" s="15">
        <v>1610</v>
      </c>
      <c r="H518" s="16">
        <v>1610</v>
      </c>
      <c r="I518" s="15">
        <v>3300</v>
      </c>
      <c r="J518" s="15">
        <v>6100</v>
      </c>
      <c r="K518" s="16">
        <v>6100</v>
      </c>
      <c r="L518" s="15"/>
      <c r="M518" s="15"/>
      <c r="N518" s="16"/>
    </row>
    <row r="519" spans="1:14" ht="15" customHeight="1" x14ac:dyDescent="0.3">
      <c r="A519" s="12" t="s">
        <v>1085</v>
      </c>
      <c r="B519" s="13" t="s">
        <v>110</v>
      </c>
      <c r="C519" s="14" t="s">
        <v>1076</v>
      </c>
      <c r="D519" s="14" t="s">
        <v>1077</v>
      </c>
      <c r="E519" s="13" t="s">
        <v>110</v>
      </c>
      <c r="F519" s="15">
        <v>550</v>
      </c>
      <c r="G519" s="15">
        <v>1020</v>
      </c>
      <c r="H519" s="16">
        <v>1020</v>
      </c>
      <c r="I519" s="15">
        <v>2100</v>
      </c>
      <c r="J519" s="15">
        <v>3900</v>
      </c>
      <c r="K519" s="16">
        <v>3900</v>
      </c>
      <c r="L519" s="15"/>
      <c r="M519" s="15"/>
      <c r="N519" s="16"/>
    </row>
    <row r="520" spans="1:14" ht="15" customHeight="1" x14ac:dyDescent="0.3">
      <c r="A520" s="12" t="s">
        <v>1086</v>
      </c>
      <c r="B520" s="13" t="s">
        <v>110</v>
      </c>
      <c r="C520" s="14" t="s">
        <v>1076</v>
      </c>
      <c r="D520" s="14" t="s">
        <v>1077</v>
      </c>
      <c r="E520" s="13" t="s">
        <v>110</v>
      </c>
      <c r="F520" s="15">
        <v>550</v>
      </c>
      <c r="G520" s="15">
        <v>1020</v>
      </c>
      <c r="H520" s="16">
        <v>1020</v>
      </c>
      <c r="I520" s="15">
        <v>2100</v>
      </c>
      <c r="J520" s="15">
        <v>3900</v>
      </c>
      <c r="K520" s="16">
        <v>3900</v>
      </c>
      <c r="L520" s="15"/>
      <c r="M520" s="15"/>
      <c r="N520" s="16"/>
    </row>
    <row r="521" spans="1:14" ht="15" customHeight="1" x14ac:dyDescent="0.3">
      <c r="A521" s="12" t="s">
        <v>1087</v>
      </c>
      <c r="B521" s="13" t="s">
        <v>110</v>
      </c>
      <c r="C521" s="14" t="s">
        <v>1076</v>
      </c>
      <c r="D521" s="14" t="s">
        <v>1077</v>
      </c>
      <c r="E521" s="13" t="s">
        <v>110</v>
      </c>
      <c r="F521" s="15">
        <v>550</v>
      </c>
      <c r="G521" s="15">
        <v>1020</v>
      </c>
      <c r="H521" s="16">
        <v>1020</v>
      </c>
      <c r="I521" s="15">
        <v>2100</v>
      </c>
      <c r="J521" s="15">
        <v>3900</v>
      </c>
      <c r="K521" s="16">
        <v>3900</v>
      </c>
      <c r="L521" s="15"/>
      <c r="M521" s="15"/>
      <c r="N521" s="16"/>
    </row>
    <row r="522" spans="1:14" ht="15" customHeight="1" x14ac:dyDescent="0.3">
      <c r="A522" s="12" t="s">
        <v>1088</v>
      </c>
      <c r="B522" s="13" t="s">
        <v>110</v>
      </c>
      <c r="C522" s="14" t="s">
        <v>1076</v>
      </c>
      <c r="D522" s="14" t="s">
        <v>1077</v>
      </c>
      <c r="E522" s="13" t="s">
        <v>110</v>
      </c>
      <c r="F522" s="15">
        <v>550</v>
      </c>
      <c r="G522" s="15">
        <v>1020</v>
      </c>
      <c r="H522" s="16">
        <v>1020</v>
      </c>
      <c r="I522" s="15">
        <v>2100</v>
      </c>
      <c r="J522" s="15">
        <v>3900</v>
      </c>
      <c r="K522" s="16">
        <v>3900</v>
      </c>
      <c r="L522" s="15"/>
      <c r="M522" s="15"/>
      <c r="N522" s="16"/>
    </row>
    <row r="523" spans="1:14" ht="15" customHeight="1" x14ac:dyDescent="0.3">
      <c r="A523" s="7" t="s">
        <v>1089</v>
      </c>
      <c r="B523" s="8" t="s">
        <v>110</v>
      </c>
      <c r="C523" s="9" t="s">
        <v>1090</v>
      </c>
      <c r="D523" s="9" t="s">
        <v>1091</v>
      </c>
      <c r="E523" s="8" t="s">
        <v>110</v>
      </c>
      <c r="F523" s="10">
        <v>900</v>
      </c>
      <c r="G523" s="10">
        <v>1700</v>
      </c>
      <c r="H523" s="11">
        <v>1770</v>
      </c>
      <c r="I523" s="10">
        <v>3400</v>
      </c>
      <c r="J523" s="10">
        <v>6500</v>
      </c>
      <c r="K523" s="11">
        <v>6700</v>
      </c>
      <c r="L523" s="10"/>
      <c r="M523" s="10"/>
      <c r="N523" s="11"/>
    </row>
    <row r="524" spans="1:14" ht="15" customHeight="1" x14ac:dyDescent="0.3">
      <c r="A524" s="7" t="s">
        <v>1092</v>
      </c>
      <c r="B524" s="8" t="s">
        <v>110</v>
      </c>
      <c r="C524" s="9" t="s">
        <v>1090</v>
      </c>
      <c r="D524" s="9" t="s">
        <v>1093</v>
      </c>
      <c r="E524" s="8" t="s">
        <v>110</v>
      </c>
      <c r="F524" s="10">
        <v>900</v>
      </c>
      <c r="G524" s="10">
        <v>1700</v>
      </c>
      <c r="H524" s="11">
        <v>1770</v>
      </c>
      <c r="I524" s="10">
        <v>3400</v>
      </c>
      <c r="J524" s="10">
        <v>6500</v>
      </c>
      <c r="K524" s="11">
        <v>6700</v>
      </c>
      <c r="L524" s="10"/>
      <c r="M524" s="10"/>
      <c r="N524" s="11"/>
    </row>
    <row r="525" spans="1:14" ht="15" customHeight="1" x14ac:dyDescent="0.3">
      <c r="A525" s="7" t="s">
        <v>1094</v>
      </c>
      <c r="B525" s="8" t="s">
        <v>110</v>
      </c>
      <c r="C525" s="9" t="s">
        <v>1090</v>
      </c>
      <c r="D525" s="9" t="s">
        <v>1093</v>
      </c>
      <c r="E525" s="8" t="s">
        <v>110</v>
      </c>
      <c r="F525" s="10">
        <v>900</v>
      </c>
      <c r="G525" s="10">
        <v>1700</v>
      </c>
      <c r="H525" s="11">
        <v>1770</v>
      </c>
      <c r="I525" s="10">
        <v>3400</v>
      </c>
      <c r="J525" s="10">
        <v>6500</v>
      </c>
      <c r="K525" s="11">
        <v>6700</v>
      </c>
      <c r="L525" s="10"/>
      <c r="M525" s="10"/>
      <c r="N525" s="11"/>
    </row>
  </sheetData>
  <autoFilter ref="A7:N525" xr:uid="{00000000-0009-0000-0000-000001000000}"/>
  <mergeCells count="5">
    <mergeCell ref="A1:N1"/>
    <mergeCell ref="A6:E6"/>
    <mergeCell ref="F6:H6"/>
    <mergeCell ref="I6:K6"/>
    <mergeCell ref="L6:N6"/>
  </mergeCells>
  <printOptions horizontalCentered="1" verticalCentered="1" gridLines="1"/>
  <pageMargins left="0" right="0" top="0" bottom="0" header="0.511811023622047" footer="0.511811023622047"/>
  <pageSetup paperSize="9" orientation="landscape" blackAndWhite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46"/>
  <sheetViews>
    <sheetView showGridLines="0" tabSelected="1" zoomScaleNormal="100" workbookViewId="0">
      <pane xSplit="1" ySplit="5" topLeftCell="B11" activePane="bottomRight" state="frozen"/>
      <selection pane="topRight" activeCell="B1" sqref="B1"/>
      <selection pane="bottomLeft" activeCell="A6" sqref="A6"/>
      <selection pane="bottomRight" activeCell="H5" sqref="H5"/>
    </sheetView>
  </sheetViews>
  <sheetFormatPr defaultColWidth="8.6640625" defaultRowHeight="14.4" x14ac:dyDescent="0.3"/>
  <cols>
    <col min="1" max="1" width="3" customWidth="1"/>
    <col min="2" max="2" width="26" customWidth="1"/>
    <col min="3" max="3" width="40" customWidth="1"/>
    <col min="4" max="4" width="18" hidden="1" customWidth="1"/>
    <col min="5" max="5" width="18" customWidth="1"/>
  </cols>
  <sheetData>
    <row r="2" spans="2:5" ht="25.5" customHeight="1" x14ac:dyDescent="0.3">
      <c r="B2" s="43" t="s">
        <v>1161</v>
      </c>
      <c r="C2" s="43"/>
      <c r="D2" s="43"/>
      <c r="E2" s="43"/>
    </row>
    <row r="3" spans="2:5" ht="18" customHeight="1" x14ac:dyDescent="0.3">
      <c r="B3" s="38"/>
      <c r="C3" s="38"/>
      <c r="D3" s="38"/>
      <c r="E3" s="38"/>
    </row>
    <row r="5" spans="2:5" ht="27.6" x14ac:dyDescent="0.3">
      <c r="B5" s="17" t="s">
        <v>36</v>
      </c>
      <c r="C5" s="17" t="s">
        <v>1095</v>
      </c>
      <c r="D5" s="17" t="s">
        <v>1096</v>
      </c>
      <c r="E5" s="17" t="s">
        <v>1097</v>
      </c>
    </row>
    <row r="6" spans="2:5" ht="15" customHeight="1" x14ac:dyDescent="0.3">
      <c r="B6" s="18" t="s">
        <v>1098</v>
      </c>
      <c r="C6" s="19" t="s">
        <v>1099</v>
      </c>
      <c r="D6" s="20">
        <v>6500</v>
      </c>
      <c r="E6" s="21">
        <v>4500</v>
      </c>
    </row>
    <row r="7" spans="2:5" ht="15" customHeight="1" x14ac:dyDescent="0.3">
      <c r="B7" s="18" t="s">
        <v>1098</v>
      </c>
      <c r="C7" s="19" t="s">
        <v>1100</v>
      </c>
      <c r="D7" s="20">
        <v>16000</v>
      </c>
      <c r="E7" s="21">
        <v>11000</v>
      </c>
    </row>
    <row r="8" spans="2:5" ht="15" customHeight="1" x14ac:dyDescent="0.3">
      <c r="B8" s="18" t="s">
        <v>1098</v>
      </c>
      <c r="C8" s="19" t="s">
        <v>1101</v>
      </c>
      <c r="D8" s="20">
        <v>2200</v>
      </c>
      <c r="E8" s="21">
        <v>1300</v>
      </c>
    </row>
    <row r="9" spans="2:5" ht="15" customHeight="1" x14ac:dyDescent="0.3">
      <c r="B9" s="18" t="s">
        <v>1098</v>
      </c>
      <c r="C9" s="19" t="s">
        <v>1102</v>
      </c>
      <c r="D9" s="20">
        <v>26000</v>
      </c>
      <c r="E9" s="21">
        <v>18000</v>
      </c>
    </row>
    <row r="10" spans="2:5" ht="15" customHeight="1" x14ac:dyDescent="0.3">
      <c r="B10" s="18" t="s">
        <v>1098</v>
      </c>
      <c r="C10" s="19" t="s">
        <v>1103</v>
      </c>
      <c r="D10" s="20">
        <v>3800</v>
      </c>
      <c r="E10" s="21">
        <v>2400</v>
      </c>
    </row>
    <row r="11" spans="2:5" ht="15" customHeight="1" x14ac:dyDescent="0.3">
      <c r="B11" s="22" t="s">
        <v>1104</v>
      </c>
      <c r="C11" s="23" t="s">
        <v>1105</v>
      </c>
      <c r="D11" s="24">
        <v>900</v>
      </c>
      <c r="E11" s="25">
        <v>550</v>
      </c>
    </row>
    <row r="12" spans="2:5" ht="15" customHeight="1" x14ac:dyDescent="0.3">
      <c r="B12" s="22" t="s">
        <v>1104</v>
      </c>
      <c r="C12" s="23" t="s">
        <v>1106</v>
      </c>
      <c r="D12" s="24">
        <v>1500</v>
      </c>
      <c r="E12" s="25">
        <v>950</v>
      </c>
    </row>
    <row r="13" spans="2:5" ht="15" customHeight="1" x14ac:dyDescent="0.3">
      <c r="B13" s="18" t="s">
        <v>1107</v>
      </c>
      <c r="C13" s="19" t="s">
        <v>1108</v>
      </c>
      <c r="D13" s="20">
        <v>3800</v>
      </c>
      <c r="E13" s="21">
        <v>2600</v>
      </c>
    </row>
    <row r="14" spans="2:5" ht="15" customHeight="1" x14ac:dyDescent="0.3">
      <c r="B14" s="18" t="s">
        <v>1107</v>
      </c>
      <c r="C14" s="19" t="s">
        <v>1109</v>
      </c>
      <c r="D14" s="20">
        <v>1200</v>
      </c>
      <c r="E14" s="21">
        <v>800</v>
      </c>
    </row>
    <row r="15" spans="2:5" ht="15" customHeight="1" x14ac:dyDescent="0.3">
      <c r="B15" s="18" t="s">
        <v>1107</v>
      </c>
      <c r="C15" s="19" t="s">
        <v>1110</v>
      </c>
      <c r="D15" s="20">
        <v>1700</v>
      </c>
      <c r="E15" s="21">
        <v>1100</v>
      </c>
    </row>
    <row r="16" spans="2:5" ht="15" customHeight="1" x14ac:dyDescent="0.3">
      <c r="B16" s="22" t="s">
        <v>1111</v>
      </c>
      <c r="C16" s="23" t="s">
        <v>1112</v>
      </c>
      <c r="D16" s="24">
        <v>4500</v>
      </c>
      <c r="E16" s="25">
        <v>3000</v>
      </c>
    </row>
    <row r="17" spans="2:5" ht="15" customHeight="1" x14ac:dyDescent="0.3">
      <c r="B17" s="22" t="s">
        <v>1111</v>
      </c>
      <c r="C17" s="23" t="s">
        <v>1113</v>
      </c>
      <c r="D17" s="24">
        <v>6500</v>
      </c>
      <c r="E17" s="25">
        <v>4500</v>
      </c>
    </row>
    <row r="18" spans="2:5" ht="15" customHeight="1" x14ac:dyDescent="0.3">
      <c r="B18" s="22" t="s">
        <v>1111</v>
      </c>
      <c r="C18" s="23" t="s">
        <v>1114</v>
      </c>
      <c r="D18" s="24">
        <v>3000</v>
      </c>
      <c r="E18" s="25">
        <v>2000</v>
      </c>
    </row>
    <row r="19" spans="2:5" ht="15" customHeight="1" x14ac:dyDescent="0.3">
      <c r="B19" s="18" t="s">
        <v>1115</v>
      </c>
      <c r="C19" s="19" t="s">
        <v>1116</v>
      </c>
      <c r="D19" s="20">
        <v>2800</v>
      </c>
      <c r="E19" s="21">
        <v>1800</v>
      </c>
    </row>
    <row r="20" spans="2:5" ht="15" customHeight="1" x14ac:dyDescent="0.3">
      <c r="B20" s="18" t="s">
        <v>1115</v>
      </c>
      <c r="C20" s="19" t="s">
        <v>1117</v>
      </c>
      <c r="D20" s="20">
        <v>3800</v>
      </c>
      <c r="E20" s="21">
        <v>2600</v>
      </c>
    </row>
    <row r="21" spans="2:5" ht="15" customHeight="1" x14ac:dyDescent="0.3">
      <c r="B21" s="18" t="s">
        <v>1115</v>
      </c>
      <c r="C21" s="19" t="s">
        <v>1118</v>
      </c>
      <c r="D21" s="20">
        <v>5200</v>
      </c>
      <c r="E21" s="21">
        <v>3700</v>
      </c>
    </row>
    <row r="22" spans="2:5" ht="15" customHeight="1" x14ac:dyDescent="0.3">
      <c r="B22" s="18" t="s">
        <v>1115</v>
      </c>
      <c r="C22" s="19" t="s">
        <v>1119</v>
      </c>
      <c r="D22" s="20">
        <v>6000</v>
      </c>
      <c r="E22" s="21">
        <v>4300</v>
      </c>
    </row>
    <row r="23" spans="2:5" ht="15" customHeight="1" x14ac:dyDescent="0.3">
      <c r="B23" s="22" t="s">
        <v>1120</v>
      </c>
      <c r="C23" s="23" t="s">
        <v>1121</v>
      </c>
      <c r="D23" s="24">
        <v>7000</v>
      </c>
      <c r="E23" s="25">
        <v>3500</v>
      </c>
    </row>
    <row r="24" spans="2:5" ht="15" customHeight="1" x14ac:dyDescent="0.3">
      <c r="B24" s="22" t="s">
        <v>1120</v>
      </c>
      <c r="C24" s="23" t="s">
        <v>1122</v>
      </c>
      <c r="D24" s="24">
        <v>38000</v>
      </c>
      <c r="E24" s="25">
        <v>22000</v>
      </c>
    </row>
    <row r="25" spans="2:5" ht="15" customHeight="1" x14ac:dyDescent="0.3">
      <c r="B25" s="22" t="s">
        <v>1120</v>
      </c>
      <c r="C25" s="23" t="s">
        <v>1123</v>
      </c>
      <c r="D25" s="24">
        <v>48000</v>
      </c>
      <c r="E25" s="25">
        <v>28000</v>
      </c>
    </row>
    <row r="26" spans="2:5" ht="15" customHeight="1" x14ac:dyDescent="0.3">
      <c r="B26" s="22" t="s">
        <v>1120</v>
      </c>
      <c r="C26" s="23" t="s">
        <v>1124</v>
      </c>
      <c r="D26" s="24">
        <v>12000</v>
      </c>
      <c r="E26" s="25">
        <v>6000</v>
      </c>
    </row>
    <row r="27" spans="2:5" ht="15" customHeight="1" x14ac:dyDescent="0.3">
      <c r="B27" s="22" t="s">
        <v>1120</v>
      </c>
      <c r="C27" s="23" t="s">
        <v>1125</v>
      </c>
      <c r="D27" s="24">
        <v>18000</v>
      </c>
      <c r="E27" s="25">
        <v>10000</v>
      </c>
    </row>
    <row r="28" spans="2:5" ht="15" customHeight="1" x14ac:dyDescent="0.3">
      <c r="B28" s="22" t="s">
        <v>1120</v>
      </c>
      <c r="C28" s="23" t="s">
        <v>1126</v>
      </c>
      <c r="D28" s="24">
        <v>5000</v>
      </c>
      <c r="E28" s="25">
        <v>2500</v>
      </c>
    </row>
    <row r="29" spans="2:5" ht="15" customHeight="1" x14ac:dyDescent="0.3">
      <c r="B29" s="22" t="s">
        <v>1120</v>
      </c>
      <c r="C29" s="23" t="s">
        <v>1127</v>
      </c>
      <c r="D29" s="24">
        <v>26000</v>
      </c>
      <c r="E29" s="25">
        <v>15000</v>
      </c>
    </row>
    <row r="30" spans="2:5" ht="15" customHeight="1" x14ac:dyDescent="0.3">
      <c r="B30" s="18" t="s">
        <v>1128</v>
      </c>
      <c r="C30" s="19" t="s">
        <v>1129</v>
      </c>
      <c r="D30" s="20">
        <v>12500</v>
      </c>
      <c r="E30" s="21">
        <v>8000</v>
      </c>
    </row>
    <row r="31" spans="2:5" ht="15" customHeight="1" x14ac:dyDescent="0.3">
      <c r="B31" s="18" t="s">
        <v>1128</v>
      </c>
      <c r="C31" s="19" t="s">
        <v>1130</v>
      </c>
      <c r="D31" s="20">
        <v>9500</v>
      </c>
      <c r="E31" s="21">
        <v>6000</v>
      </c>
    </row>
    <row r="32" spans="2:5" ht="15" customHeight="1" x14ac:dyDescent="0.3">
      <c r="B32" s="22" t="s">
        <v>1131</v>
      </c>
      <c r="C32" s="23" t="s">
        <v>1132</v>
      </c>
      <c r="D32" s="24">
        <v>2000</v>
      </c>
      <c r="E32" s="25">
        <v>1200</v>
      </c>
    </row>
    <row r="33" spans="2:5" ht="15" customHeight="1" x14ac:dyDescent="0.3">
      <c r="B33" s="22" t="s">
        <v>1131</v>
      </c>
      <c r="C33" s="23" t="s">
        <v>1133</v>
      </c>
      <c r="D33" s="24">
        <v>800</v>
      </c>
      <c r="E33" s="25">
        <v>500</v>
      </c>
    </row>
    <row r="34" spans="2:5" ht="15" customHeight="1" x14ac:dyDescent="0.3">
      <c r="B34" s="22" t="s">
        <v>1131</v>
      </c>
      <c r="C34" s="23" t="s">
        <v>1134</v>
      </c>
      <c r="D34" s="24">
        <v>2800</v>
      </c>
      <c r="E34" s="25">
        <v>1700</v>
      </c>
    </row>
    <row r="35" spans="2:5" ht="15" customHeight="1" x14ac:dyDescent="0.3">
      <c r="B35" s="18" t="s">
        <v>1135</v>
      </c>
      <c r="C35" s="19" t="s">
        <v>1136</v>
      </c>
      <c r="D35" s="20">
        <v>700</v>
      </c>
      <c r="E35" s="21">
        <v>450</v>
      </c>
    </row>
    <row r="36" spans="2:5" ht="15" customHeight="1" x14ac:dyDescent="0.3">
      <c r="B36" s="18" t="s">
        <v>1135</v>
      </c>
      <c r="C36" s="19" t="s">
        <v>1137</v>
      </c>
      <c r="D36" s="20">
        <v>5000</v>
      </c>
      <c r="E36" s="21">
        <v>3500</v>
      </c>
    </row>
    <row r="37" spans="2:5" ht="15" customHeight="1" x14ac:dyDescent="0.3">
      <c r="B37" s="18" t="s">
        <v>1135</v>
      </c>
      <c r="C37" s="19" t="s">
        <v>1138</v>
      </c>
      <c r="D37" s="20">
        <v>5500</v>
      </c>
      <c r="E37" s="21">
        <v>3800</v>
      </c>
    </row>
    <row r="38" spans="2:5" ht="15" customHeight="1" x14ac:dyDescent="0.3">
      <c r="B38" s="22" t="s">
        <v>1139</v>
      </c>
      <c r="C38" s="23" t="s">
        <v>1140</v>
      </c>
      <c r="D38" s="24">
        <v>1500</v>
      </c>
      <c r="E38" s="25">
        <v>1000</v>
      </c>
    </row>
    <row r="39" spans="2:5" ht="15" customHeight="1" x14ac:dyDescent="0.3">
      <c r="B39" s="22" t="s">
        <v>1139</v>
      </c>
      <c r="C39" s="23" t="s">
        <v>1141</v>
      </c>
      <c r="D39" s="24">
        <v>2200</v>
      </c>
      <c r="E39" s="25">
        <v>1500</v>
      </c>
    </row>
    <row r="40" spans="2:5" ht="15" customHeight="1" x14ac:dyDescent="0.3">
      <c r="B40" s="22" t="s">
        <v>1139</v>
      </c>
      <c r="C40" s="23" t="s">
        <v>1142</v>
      </c>
      <c r="D40" s="24">
        <v>4000</v>
      </c>
      <c r="E40" s="25">
        <v>2700</v>
      </c>
    </row>
    <row r="41" spans="2:5" ht="15" customHeight="1" x14ac:dyDescent="0.3">
      <c r="B41" s="18" t="s">
        <v>1143</v>
      </c>
      <c r="C41" s="19" t="s">
        <v>1144</v>
      </c>
      <c r="D41" s="20">
        <v>1300</v>
      </c>
      <c r="E41" s="21">
        <v>800</v>
      </c>
    </row>
    <row r="42" spans="2:5" ht="15" customHeight="1" x14ac:dyDescent="0.3">
      <c r="B42" s="18" t="s">
        <v>1143</v>
      </c>
      <c r="C42" s="19" t="s">
        <v>1145</v>
      </c>
      <c r="D42" s="20">
        <v>2000</v>
      </c>
      <c r="E42" s="21">
        <v>1300</v>
      </c>
    </row>
    <row r="43" spans="2:5" ht="15" customHeight="1" x14ac:dyDescent="0.3">
      <c r="B43" s="18" t="s">
        <v>1143</v>
      </c>
      <c r="C43" s="19" t="s">
        <v>1146</v>
      </c>
      <c r="D43" s="20">
        <v>3000</v>
      </c>
      <c r="E43" s="21">
        <v>2100</v>
      </c>
    </row>
    <row r="44" spans="2:5" ht="15" customHeight="1" x14ac:dyDescent="0.3">
      <c r="B44" s="18" t="s">
        <v>1143</v>
      </c>
      <c r="C44" s="19" t="s">
        <v>1147</v>
      </c>
      <c r="D44" s="20">
        <v>4500</v>
      </c>
      <c r="E44" s="21">
        <v>3300</v>
      </c>
    </row>
    <row r="45" spans="2:5" ht="15" customHeight="1" x14ac:dyDescent="0.3">
      <c r="B45" s="18" t="s">
        <v>1143</v>
      </c>
      <c r="C45" s="19" t="s">
        <v>1148</v>
      </c>
      <c r="D45" s="20">
        <v>8000</v>
      </c>
      <c r="E45" s="21">
        <v>6000</v>
      </c>
    </row>
    <row r="46" spans="2:5" ht="15" customHeight="1" x14ac:dyDescent="0.3">
      <c r="B46" s="22" t="s">
        <v>1149</v>
      </c>
      <c r="C46" s="23" t="s">
        <v>1150</v>
      </c>
      <c r="D46" s="24">
        <v>9500</v>
      </c>
      <c r="E46" s="25">
        <v>6500</v>
      </c>
    </row>
  </sheetData>
  <autoFilter ref="B5:E46" xr:uid="{00000000-0009-0000-0000-000002000000}"/>
  <mergeCells count="2">
    <mergeCell ref="B2:E2"/>
    <mergeCell ref="B3:E3"/>
  </mergeCells>
  <printOptions horizontalCentered="1" verticalCentered="1" gridLines="1"/>
  <pageMargins left="0" right="0" top="0" bottom="0" header="0.511811023622047" footer="0.511811023622047"/>
  <pageSetup paperSize="9" orientation="portrait" blackAndWhite="1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3" customWidth="1"/>
    <col min="2" max="2" width="24" customWidth="1"/>
    <col min="3" max="3" width="10" customWidth="1"/>
    <col min="4" max="5" width="13" customWidth="1"/>
    <col min="6" max="8" width="15" customWidth="1"/>
  </cols>
  <sheetData>
    <row r="2" spans="2:8" ht="25.5" customHeight="1" x14ac:dyDescent="0.3">
      <c r="B2" s="44" t="s">
        <v>1151</v>
      </c>
      <c r="C2" s="44"/>
      <c r="D2" s="44"/>
      <c r="E2" s="44"/>
      <c r="F2" s="44"/>
      <c r="G2" s="44"/>
      <c r="H2" s="44"/>
    </row>
    <row r="3" spans="2:8" ht="15" customHeight="1" x14ac:dyDescent="0.3">
      <c r="B3" s="38" t="s">
        <v>1152</v>
      </c>
      <c r="C3" s="38"/>
      <c r="D3" s="38"/>
      <c r="E3" s="38"/>
      <c r="F3" s="38"/>
      <c r="G3" s="38"/>
      <c r="H3" s="38"/>
    </row>
    <row r="5" spans="2:8" ht="30" customHeight="1" x14ac:dyDescent="0.3">
      <c r="B5" s="26" t="s">
        <v>36</v>
      </c>
      <c r="C5" s="26" t="s">
        <v>1153</v>
      </c>
      <c r="D5" s="26" t="s">
        <v>1154</v>
      </c>
      <c r="E5" s="26" t="s">
        <v>1155</v>
      </c>
      <c r="F5" s="26" t="s">
        <v>1156</v>
      </c>
      <c r="G5" s="26" t="s">
        <v>1157</v>
      </c>
      <c r="H5" s="26" t="s">
        <v>1158</v>
      </c>
    </row>
    <row r="6" spans="2:8" ht="15" customHeight="1" x14ac:dyDescent="0.3">
      <c r="B6" s="27" t="s">
        <v>43</v>
      </c>
      <c r="C6" s="28">
        <f>COUNTIF('Fleet Rate Card'!$C$8:$C$525,$B6)</f>
        <v>24</v>
      </c>
      <c r="D6" s="28">
        <f>AVERAGEIF('Fleet Rate Card'!$C$8:$C$525,$B6,'Fleet Rate Card'!$I$8:$I$525)</f>
        <v>6779.166666666667</v>
      </c>
      <c r="E6" s="28">
        <f>AVERAGEIF('Fleet Rate Card'!$C$8:$C$525,$B6,'Fleet Rate Card'!$J$8:$J$525)</f>
        <v>9879.1666666666661</v>
      </c>
      <c r="F6" s="29">
        <f>AVERAGEIF('Fleet Rate Card'!$C$8:$C$525,$B6,'Fleet Rate Card'!$K$8:$K$525)</f>
        <v>14087.5</v>
      </c>
      <c r="G6" s="28">
        <f t="array" ref="G6">MIN(IF('Fleet Rate Card'!$C$8:$C$525=$B6,'Fleet Rate Card'!$K$8:$K$525))</f>
        <v>9200</v>
      </c>
      <c r="H6" s="28">
        <f t="array" ref="H6">MAX(IF('Fleet Rate Card'!$C$8:$C$525=$B6,'Fleet Rate Card'!$K$8:$K$525))</f>
        <v>15800</v>
      </c>
    </row>
    <row r="7" spans="2:8" ht="15" customHeight="1" x14ac:dyDescent="0.3">
      <c r="B7" s="27" t="s">
        <v>111</v>
      </c>
      <c r="C7" s="28">
        <f>COUNTIF('Fleet Rate Card'!$C$8:$C$525,$B7)</f>
        <v>9</v>
      </c>
      <c r="D7" s="28">
        <f>AVERAGEIF('Fleet Rate Card'!$C$8:$C$525,$B7,'Fleet Rate Card'!$I$8:$I$525)</f>
        <v>12166.666666666666</v>
      </c>
      <c r="E7" s="28">
        <f>AVERAGEIF('Fleet Rate Card'!$C$8:$C$525,$B7,'Fleet Rate Card'!$J$8:$J$525)</f>
        <v>15266.666666666666</v>
      </c>
      <c r="F7" s="29">
        <f>AVERAGEIF('Fleet Rate Card'!$C$8:$C$525,$B7,'Fleet Rate Card'!$K$8:$K$525)</f>
        <v>26944.444444444445</v>
      </c>
      <c r="G7" s="28">
        <f t="array" ref="G7">MIN(IF('Fleet Rate Card'!$C$8:$C$525=$B7,'Fleet Rate Card'!$K$8:$K$525))</f>
        <v>23100</v>
      </c>
      <c r="H7" s="28">
        <f t="array" ref="H7">MAX(IF('Fleet Rate Card'!$C$8:$C$525=$B7,'Fleet Rate Card'!$K$8:$K$525))</f>
        <v>32100</v>
      </c>
    </row>
    <row r="8" spans="2:8" ht="15" customHeight="1" x14ac:dyDescent="0.3">
      <c r="B8" s="27" t="s">
        <v>136</v>
      </c>
      <c r="C8" s="28">
        <f>COUNTIF('Fleet Rate Card'!$C$8:$C$525,$B8)</f>
        <v>16</v>
      </c>
      <c r="D8" s="28">
        <f>AVERAGEIF('Fleet Rate Card'!$C$8:$C$525,$B8,'Fleet Rate Card'!$I$8:$I$525)</f>
        <v>7275</v>
      </c>
      <c r="E8" s="28">
        <f>AVERAGEIF('Fleet Rate Card'!$C$8:$C$525,$B8,'Fleet Rate Card'!$J$8:$J$525)</f>
        <v>10375</v>
      </c>
      <c r="F8" s="29">
        <f>AVERAGEIF('Fleet Rate Card'!$C$8:$C$525,$B8,'Fleet Rate Card'!$K$8:$K$525)</f>
        <v>14350</v>
      </c>
      <c r="G8" s="28">
        <f t="array" ref="G8">MIN(IF('Fleet Rate Card'!$C$8:$C$525=$B8,'Fleet Rate Card'!$K$8:$K$525))</f>
        <v>10700</v>
      </c>
      <c r="H8" s="28">
        <f t="array" ref="H8">MAX(IF('Fleet Rate Card'!$C$8:$C$525=$B8,'Fleet Rate Card'!$K$8:$K$525))</f>
        <v>16900</v>
      </c>
    </row>
    <row r="9" spans="2:8" ht="15" customHeight="1" x14ac:dyDescent="0.3">
      <c r="B9" s="27" t="s">
        <v>184</v>
      </c>
      <c r="C9" s="28">
        <f>COUNTIF('Fleet Rate Card'!$C$8:$C$525,$B9)</f>
        <v>3</v>
      </c>
      <c r="D9" s="28">
        <f>AVERAGEIF('Fleet Rate Card'!$C$8:$C$525,$B9,'Fleet Rate Card'!$I$8:$I$525)</f>
        <v>9300</v>
      </c>
      <c r="E9" s="28">
        <f>AVERAGEIF('Fleet Rate Card'!$C$8:$C$525,$B9,'Fleet Rate Card'!$J$8:$J$525)</f>
        <v>12400</v>
      </c>
      <c r="F9" s="29">
        <f>AVERAGEIF('Fleet Rate Card'!$C$8:$C$525,$B9,'Fleet Rate Card'!$K$8:$K$525)</f>
        <v>18500</v>
      </c>
      <c r="G9" s="28">
        <f t="array" ref="G9">MIN(IF('Fleet Rate Card'!$C$8:$C$525=$B9,'Fleet Rate Card'!$K$8:$K$525))</f>
        <v>18500</v>
      </c>
      <c r="H9" s="28">
        <f t="array" ref="H9">MAX(IF('Fleet Rate Card'!$C$8:$C$525=$B9,'Fleet Rate Card'!$K$8:$K$525))</f>
        <v>18500</v>
      </c>
    </row>
    <row r="10" spans="2:8" ht="15" customHeight="1" x14ac:dyDescent="0.3">
      <c r="B10" s="27" t="s">
        <v>192</v>
      </c>
      <c r="C10" s="28">
        <f>COUNTIF('Fleet Rate Card'!$C$8:$C$525,$B10)</f>
        <v>19</v>
      </c>
      <c r="D10" s="28">
        <f>AVERAGEIF('Fleet Rate Card'!$C$8:$C$525,$B10,'Fleet Rate Card'!$I$8:$I$525)</f>
        <v>6868.4210526315792</v>
      </c>
      <c r="E10" s="28">
        <f>AVERAGEIF('Fleet Rate Card'!$C$8:$C$525,$B10,'Fleet Rate Card'!$J$8:$J$525)</f>
        <v>9968.4210526315783</v>
      </c>
      <c r="F10" s="29">
        <f>AVERAGEIF('Fleet Rate Card'!$C$8:$C$525,$B10,'Fleet Rate Card'!$K$8:$K$525)</f>
        <v>13673.684210526315</v>
      </c>
      <c r="G10" s="28">
        <f t="array" ref="G10">MIN(IF('Fleet Rate Card'!$C$8:$C$525=$B10,'Fleet Rate Card'!$K$8:$K$525))</f>
        <v>10100</v>
      </c>
      <c r="H10" s="28">
        <f t="array" ref="H10">MAX(IF('Fleet Rate Card'!$C$8:$C$525=$B10,'Fleet Rate Card'!$K$8:$K$525))</f>
        <v>17500</v>
      </c>
    </row>
    <row r="11" spans="2:8" ht="15" customHeight="1" x14ac:dyDescent="0.3">
      <c r="B11" s="27" t="s">
        <v>225</v>
      </c>
      <c r="C11" s="28">
        <f>COUNTIF('Fleet Rate Card'!$C$8:$C$525,$B11)</f>
        <v>72</v>
      </c>
      <c r="D11" s="28">
        <f>AVERAGEIF('Fleet Rate Card'!$C$8:$C$525,$B11,'Fleet Rate Card'!$I$8:$I$525)</f>
        <v>5166.666666666667</v>
      </c>
      <c r="E11" s="28">
        <f>AVERAGEIF('Fleet Rate Card'!$C$8:$C$525,$B11,'Fleet Rate Card'!$J$8:$J$525)</f>
        <v>8266.6666666666661</v>
      </c>
      <c r="F11" s="29">
        <f>AVERAGEIF('Fleet Rate Card'!$C$8:$C$525,$B11,'Fleet Rate Card'!$K$8:$K$525)</f>
        <v>10333.333333333334</v>
      </c>
      <c r="G11" s="28">
        <f t="array" ref="G11">MIN(IF('Fleet Rate Card'!$C$8:$C$525=$B11,'Fleet Rate Card'!$K$8:$K$525))</f>
        <v>8600</v>
      </c>
      <c r="H11" s="28">
        <f t="array" ref="H11">MAX(IF('Fleet Rate Card'!$C$8:$C$525=$B11,'Fleet Rate Card'!$K$8:$K$525))</f>
        <v>13600</v>
      </c>
    </row>
    <row r="12" spans="2:8" ht="15" customHeight="1" x14ac:dyDescent="0.3">
      <c r="B12" s="27" t="s">
        <v>317</v>
      </c>
      <c r="C12" s="28">
        <f>COUNTIF('Fleet Rate Card'!$C$8:$C$525,$B12)</f>
        <v>10</v>
      </c>
      <c r="D12" s="28">
        <f>AVERAGEIF('Fleet Rate Card'!$C$8:$C$525,$B12,'Fleet Rate Card'!$I$8:$I$525)</f>
        <v>5710</v>
      </c>
      <c r="E12" s="28">
        <f>AVERAGEIF('Fleet Rate Card'!$C$8:$C$525,$B12,'Fleet Rate Card'!$J$8:$J$525)</f>
        <v>8810</v>
      </c>
      <c r="F12" s="29">
        <f>AVERAGEIF('Fleet Rate Card'!$C$8:$C$525,$B12,'Fleet Rate Card'!$K$8:$K$525)</f>
        <v>11330</v>
      </c>
      <c r="G12" s="28">
        <f t="array" ref="G12">MIN(IF('Fleet Rate Card'!$C$8:$C$525=$B12,'Fleet Rate Card'!$K$8:$K$525))</f>
        <v>8700</v>
      </c>
      <c r="H12" s="28">
        <f t="array" ref="H12">MAX(IF('Fleet Rate Card'!$C$8:$C$525=$B12,'Fleet Rate Card'!$K$8:$K$525))</f>
        <v>12300</v>
      </c>
    </row>
    <row r="13" spans="2:8" ht="15" customHeight="1" x14ac:dyDescent="0.3">
      <c r="B13" s="27" t="s">
        <v>337</v>
      </c>
      <c r="C13" s="28">
        <f>COUNTIF('Fleet Rate Card'!$C$8:$C$525,$B13)</f>
        <v>16</v>
      </c>
      <c r="D13" s="28">
        <f>AVERAGEIF('Fleet Rate Card'!$C$8:$C$525,$B13,'Fleet Rate Card'!$I$8:$I$525)</f>
        <v>12150</v>
      </c>
      <c r="E13" s="28">
        <f>AVERAGEIF('Fleet Rate Card'!$C$8:$C$525,$B13,'Fleet Rate Card'!$J$8:$J$525)</f>
        <v>15250</v>
      </c>
      <c r="F13" s="29">
        <f>AVERAGEIF('Fleet Rate Card'!$C$8:$C$525,$B13,'Fleet Rate Card'!$K$8:$K$525)</f>
        <v>26981.25</v>
      </c>
      <c r="G13" s="28">
        <f t="array" ref="G13">MIN(IF('Fleet Rate Card'!$C$8:$C$525=$B13,'Fleet Rate Card'!$K$8:$K$525))</f>
        <v>21300</v>
      </c>
      <c r="H13" s="28">
        <f t="array" ref="H13">MAX(IF('Fleet Rate Card'!$C$8:$C$525=$B13,'Fleet Rate Card'!$K$8:$K$525))</f>
        <v>36700</v>
      </c>
    </row>
    <row r="14" spans="2:8" ht="15" customHeight="1" x14ac:dyDescent="0.3">
      <c r="B14" s="27" t="s">
        <v>370</v>
      </c>
      <c r="C14" s="28">
        <f>COUNTIF('Fleet Rate Card'!$C$8:$C$525,$B14)</f>
        <v>25</v>
      </c>
      <c r="D14" s="28">
        <f>AVERAGEIF('Fleet Rate Card'!$C$8:$C$525,$B14,'Fleet Rate Card'!$I$8:$I$525)</f>
        <v>4716</v>
      </c>
      <c r="E14" s="28">
        <f>AVERAGEIF('Fleet Rate Card'!$C$8:$C$525,$B14,'Fleet Rate Card'!$J$8:$J$525)</f>
        <v>7816</v>
      </c>
      <c r="F14" s="29">
        <f>AVERAGEIF('Fleet Rate Card'!$C$8:$C$525,$B14,'Fleet Rate Card'!$K$8:$K$525)</f>
        <v>9456</v>
      </c>
      <c r="G14" s="28">
        <f t="array" ref="G14">MIN(IF('Fleet Rate Card'!$C$8:$C$525=$B14,'Fleet Rate Card'!$K$8:$K$525))</f>
        <v>8400</v>
      </c>
      <c r="H14" s="28">
        <f t="array" ref="H14">MAX(IF('Fleet Rate Card'!$C$8:$C$525=$B14,'Fleet Rate Card'!$K$8:$K$525))</f>
        <v>10300</v>
      </c>
    </row>
    <row r="15" spans="2:8" ht="15" customHeight="1" x14ac:dyDescent="0.3">
      <c r="B15" s="27" t="s">
        <v>403</v>
      </c>
      <c r="C15" s="28">
        <f>COUNTIF('Fleet Rate Card'!$C$8:$C$525,$B15)</f>
        <v>11</v>
      </c>
      <c r="D15" s="28">
        <f>AVERAGEIF('Fleet Rate Card'!$C$8:$C$525,$B15,'Fleet Rate Card'!$I$8:$I$525)</f>
        <v>10827.272727272728</v>
      </c>
      <c r="E15" s="28">
        <f>AVERAGEIF('Fleet Rate Card'!$C$8:$C$525,$B15,'Fleet Rate Card'!$J$8:$J$525)</f>
        <v>13927.272727272728</v>
      </c>
      <c r="F15" s="29">
        <f>AVERAGEIF('Fleet Rate Card'!$C$8:$C$525,$B15,'Fleet Rate Card'!$K$8:$K$525)</f>
        <v>24254.545454545456</v>
      </c>
      <c r="G15" s="28">
        <f t="array" ref="G15">MIN(IF('Fleet Rate Card'!$C$8:$C$525=$B15,'Fleet Rate Card'!$K$8:$K$525))</f>
        <v>17700</v>
      </c>
      <c r="H15" s="28">
        <f t="array" ref="H15">MAX(IF('Fleet Rate Card'!$C$8:$C$525=$B15,'Fleet Rate Card'!$K$8:$K$525))</f>
        <v>30600</v>
      </c>
    </row>
    <row r="16" spans="2:8" ht="15" customHeight="1" x14ac:dyDescent="0.3">
      <c r="B16" s="27" t="s">
        <v>425</v>
      </c>
      <c r="C16" s="28">
        <f>COUNTIF('Fleet Rate Card'!$C$8:$C$525,$B16)</f>
        <v>4</v>
      </c>
      <c r="D16" s="28">
        <f>AVERAGEIF('Fleet Rate Card'!$C$8:$C$525,$B16,'Fleet Rate Card'!$I$8:$I$525)</f>
        <v>5250</v>
      </c>
      <c r="E16" s="28">
        <f>AVERAGEIF('Fleet Rate Card'!$C$8:$C$525,$B16,'Fleet Rate Card'!$J$8:$J$525)</f>
        <v>8350</v>
      </c>
      <c r="F16" s="29">
        <f>AVERAGEIF('Fleet Rate Card'!$C$8:$C$525,$B16,'Fleet Rate Card'!$K$8:$K$525)</f>
        <v>10425</v>
      </c>
      <c r="G16" s="28">
        <f t="array" ref="G16">MIN(IF('Fleet Rate Card'!$C$8:$C$525=$B16,'Fleet Rate Card'!$K$8:$K$525))</f>
        <v>7700</v>
      </c>
      <c r="H16" s="28">
        <f t="array" ref="H16">MAX(IF('Fleet Rate Card'!$C$8:$C$525=$B16,'Fleet Rate Card'!$K$8:$K$525))</f>
        <v>12200</v>
      </c>
    </row>
    <row r="17" spans="2:8" ht="15" customHeight="1" x14ac:dyDescent="0.3">
      <c r="B17" s="27" t="s">
        <v>439</v>
      </c>
      <c r="C17" s="28">
        <f>COUNTIF('Fleet Rate Card'!$C$8:$C$525,$B17)</f>
        <v>2</v>
      </c>
      <c r="D17" s="28">
        <f>AVERAGEIF('Fleet Rate Card'!$C$8:$C$525,$B17,'Fleet Rate Card'!$I$8:$I$525)</f>
        <v>9700</v>
      </c>
      <c r="E17" s="28">
        <f>AVERAGEIF('Fleet Rate Card'!$C$8:$C$525,$B17,'Fleet Rate Card'!$J$8:$J$525)</f>
        <v>12800</v>
      </c>
      <c r="F17" s="29">
        <f>AVERAGEIF('Fleet Rate Card'!$C$8:$C$525,$B17,'Fleet Rate Card'!$K$8:$K$525)</f>
        <v>19400</v>
      </c>
      <c r="G17" s="28">
        <f t="array" ref="G17">MIN(IF('Fleet Rate Card'!$C$8:$C$525=$B17,'Fleet Rate Card'!$K$8:$K$525))</f>
        <v>19400</v>
      </c>
      <c r="H17" s="28">
        <f t="array" ref="H17">MAX(IF('Fleet Rate Card'!$C$8:$C$525=$B17,'Fleet Rate Card'!$K$8:$K$525))</f>
        <v>19400</v>
      </c>
    </row>
    <row r="18" spans="2:8" ht="15" customHeight="1" x14ac:dyDescent="0.3">
      <c r="B18" s="27" t="s">
        <v>448</v>
      </c>
      <c r="C18" s="28">
        <f>COUNTIF('Fleet Rate Card'!$C$8:$C$525,$B18)</f>
        <v>4</v>
      </c>
      <c r="D18" s="28">
        <f>AVERAGEIF('Fleet Rate Card'!$C$8:$C$525,$B18,'Fleet Rate Card'!$I$8:$I$525)</f>
        <v>6325</v>
      </c>
      <c r="E18" s="28">
        <f>AVERAGEIF('Fleet Rate Card'!$C$8:$C$525,$B18,'Fleet Rate Card'!$J$8:$J$525)</f>
        <v>9425</v>
      </c>
      <c r="F18" s="29">
        <f>AVERAGEIF('Fleet Rate Card'!$C$8:$C$525,$B18,'Fleet Rate Card'!$K$8:$K$525)</f>
        <v>12700</v>
      </c>
      <c r="G18" s="28">
        <f t="array" ref="G18">MIN(IF('Fleet Rate Card'!$C$8:$C$525=$B18,'Fleet Rate Card'!$K$8:$K$525))</f>
        <v>11000</v>
      </c>
      <c r="H18" s="28">
        <f t="array" ref="H18">MAX(IF('Fleet Rate Card'!$C$8:$C$525=$B18,'Fleet Rate Card'!$K$8:$K$525))</f>
        <v>13700</v>
      </c>
    </row>
    <row r="19" spans="2:8" ht="15" customHeight="1" x14ac:dyDescent="0.3">
      <c r="B19" s="27" t="s">
        <v>462</v>
      </c>
      <c r="C19" s="28">
        <f>COUNTIF('Fleet Rate Card'!$C$8:$C$525,$B19)</f>
        <v>8</v>
      </c>
      <c r="D19" s="28">
        <f>AVERAGEIF('Fleet Rate Card'!$C$8:$C$525,$B19,'Fleet Rate Card'!$I$8:$I$525)</f>
        <v>6787.5</v>
      </c>
      <c r="E19" s="28">
        <f>AVERAGEIF('Fleet Rate Card'!$C$8:$C$525,$B19,'Fleet Rate Card'!$J$8:$J$525)</f>
        <v>9887.5</v>
      </c>
      <c r="F19" s="29">
        <f>AVERAGEIF('Fleet Rate Card'!$C$8:$C$525,$B19,'Fleet Rate Card'!$K$8:$K$525)</f>
        <v>13450</v>
      </c>
      <c r="G19" s="28">
        <f t="array" ref="G19">MIN(IF('Fleet Rate Card'!$C$8:$C$525=$B19,'Fleet Rate Card'!$K$8:$K$525))</f>
        <v>10700</v>
      </c>
      <c r="H19" s="28">
        <f t="array" ref="H19">MAX(IF('Fleet Rate Card'!$C$8:$C$525=$B19,'Fleet Rate Card'!$K$8:$K$525))</f>
        <v>16900</v>
      </c>
    </row>
    <row r="20" spans="2:8" ht="15" customHeight="1" x14ac:dyDescent="0.3">
      <c r="B20" s="27" t="s">
        <v>488</v>
      </c>
      <c r="C20" s="28">
        <f>COUNTIF('Fleet Rate Card'!$C$8:$C$525,$B20)</f>
        <v>2</v>
      </c>
      <c r="D20" s="28">
        <f>AVERAGEIF('Fleet Rate Card'!$C$8:$C$525,$B20,'Fleet Rate Card'!$I$8:$I$525)</f>
        <v>13100</v>
      </c>
      <c r="E20" s="28">
        <f>AVERAGEIF('Fleet Rate Card'!$C$8:$C$525,$B20,'Fleet Rate Card'!$J$8:$J$525)</f>
        <v>16200</v>
      </c>
      <c r="F20" s="29">
        <f>AVERAGEIF('Fleet Rate Card'!$C$8:$C$525,$B20,'Fleet Rate Card'!$K$8:$K$525)</f>
        <v>29150</v>
      </c>
      <c r="G20" s="28">
        <f t="array" ref="G20">MIN(IF('Fleet Rate Card'!$C$8:$C$525=$B20,'Fleet Rate Card'!$K$8:$K$525))</f>
        <v>25600</v>
      </c>
      <c r="H20" s="28">
        <f t="array" ref="H20">MAX(IF('Fleet Rate Card'!$C$8:$C$525=$B20,'Fleet Rate Card'!$K$8:$K$525))</f>
        <v>32700</v>
      </c>
    </row>
    <row r="21" spans="2:8" ht="15" customHeight="1" x14ac:dyDescent="0.3">
      <c r="B21" s="27" t="s">
        <v>495</v>
      </c>
      <c r="C21" s="28">
        <f>COUNTIF('Fleet Rate Card'!$C$8:$C$525,$B21)</f>
        <v>25</v>
      </c>
      <c r="D21" s="28">
        <f>AVERAGEIF('Fleet Rate Card'!$C$8:$C$525,$B21,'Fleet Rate Card'!$I$8:$I$525)</f>
        <v>2804</v>
      </c>
      <c r="E21" s="28">
        <f>AVERAGEIF('Fleet Rate Card'!$C$8:$C$525,$B21,'Fleet Rate Card'!$J$8:$J$525)</f>
        <v>5176</v>
      </c>
      <c r="F21" s="29">
        <f>AVERAGEIF('Fleet Rate Card'!$C$8:$C$525,$B21,'Fleet Rate Card'!$K$8:$K$525)</f>
        <v>5176</v>
      </c>
      <c r="G21" s="28">
        <f t="array" ref="G21">MIN(IF('Fleet Rate Card'!$C$8:$C$525=$B21,'Fleet Rate Card'!$K$8:$K$525))</f>
        <v>3900</v>
      </c>
      <c r="H21" s="28">
        <f t="array" ref="H21">MAX(IF('Fleet Rate Card'!$C$8:$C$525=$B21,'Fleet Rate Card'!$K$8:$K$525))</f>
        <v>6100</v>
      </c>
    </row>
    <row r="22" spans="2:8" ht="15" customHeight="1" x14ac:dyDescent="0.3">
      <c r="B22" s="27" t="s">
        <v>559</v>
      </c>
      <c r="C22" s="28">
        <f>COUNTIF('Fleet Rate Card'!$C$8:$C$525,$B22)</f>
        <v>3</v>
      </c>
      <c r="D22" s="28">
        <f>AVERAGEIF('Fleet Rate Card'!$C$8:$C$525,$B22,'Fleet Rate Card'!$I$8:$I$525)</f>
        <v>2166.6666666666665</v>
      </c>
      <c r="E22" s="28">
        <f>AVERAGEIF('Fleet Rate Card'!$C$8:$C$525,$B22,'Fleet Rate Card'!$J$8:$J$525)</f>
        <v>3800</v>
      </c>
      <c r="F22" s="29">
        <f>AVERAGEIF('Fleet Rate Card'!$C$8:$C$525,$B22,'Fleet Rate Card'!$K$8:$K$525)</f>
        <v>3800</v>
      </c>
      <c r="G22" s="28">
        <f t="array" ref="G22">MIN(IF('Fleet Rate Card'!$C$8:$C$525=$B22,'Fleet Rate Card'!$K$8:$K$525))</f>
        <v>3500</v>
      </c>
      <c r="H22" s="28">
        <f t="array" ref="H22">MAX(IF('Fleet Rate Card'!$C$8:$C$525=$B22,'Fleet Rate Card'!$K$8:$K$525))</f>
        <v>4400</v>
      </c>
    </row>
    <row r="23" spans="2:8" ht="15" customHeight="1" x14ac:dyDescent="0.3">
      <c r="B23" s="27" t="s">
        <v>569</v>
      </c>
      <c r="C23" s="28">
        <f>COUNTIF('Fleet Rate Card'!$C$8:$C$525,$B23)</f>
        <v>11</v>
      </c>
      <c r="D23" s="28">
        <f>AVERAGEIF('Fleet Rate Card'!$C$8:$C$525,$B23,'Fleet Rate Card'!$I$8:$I$525)</f>
        <v>2209.090909090909</v>
      </c>
      <c r="E23" s="28">
        <f>AVERAGEIF('Fleet Rate Card'!$C$8:$C$525,$B23,'Fleet Rate Card'!$J$8:$J$525)</f>
        <v>4118.181818181818</v>
      </c>
      <c r="F23" s="29">
        <f>AVERAGEIF('Fleet Rate Card'!$C$8:$C$525,$B23,'Fleet Rate Card'!$K$8:$K$525)</f>
        <v>4118.181818181818</v>
      </c>
      <c r="G23" s="28">
        <f t="array" ref="G23">MIN(IF('Fleet Rate Card'!$C$8:$C$525=$B23,'Fleet Rate Card'!$K$8:$K$525))</f>
        <v>3100</v>
      </c>
      <c r="H23" s="28">
        <f t="array" ref="H23">MAX(IF('Fleet Rate Card'!$C$8:$C$525=$B23,'Fleet Rate Card'!$K$8:$K$525))</f>
        <v>4900</v>
      </c>
    </row>
    <row r="24" spans="2:8" ht="15" customHeight="1" x14ac:dyDescent="0.3">
      <c r="B24" s="27" t="s">
        <v>602</v>
      </c>
      <c r="C24" s="28">
        <f>COUNTIF('Fleet Rate Card'!$C$8:$C$525,$B24)</f>
        <v>13</v>
      </c>
      <c r="D24" s="28">
        <f>AVERAGEIF('Fleet Rate Card'!$C$8:$C$525,$B24,'Fleet Rate Card'!$I$8:$I$525)</f>
        <v>2053.8461538461538</v>
      </c>
      <c r="E24" s="28">
        <f>AVERAGEIF('Fleet Rate Card'!$C$8:$C$525,$B24,'Fleet Rate Card'!$J$8:$J$525)</f>
        <v>3638.4615384615386</v>
      </c>
      <c r="F24" s="29">
        <f>AVERAGEIF('Fleet Rate Card'!$C$8:$C$525,$B24,'Fleet Rate Card'!$K$8:$K$525)</f>
        <v>3638.4615384615386</v>
      </c>
      <c r="G24" s="28">
        <f t="array" ref="G24">MIN(IF('Fleet Rate Card'!$C$8:$C$525=$B24,'Fleet Rate Card'!$K$8:$K$525))</f>
        <v>2500</v>
      </c>
      <c r="H24" s="28">
        <f t="array" ref="H24">MAX(IF('Fleet Rate Card'!$C$8:$C$525=$B24,'Fleet Rate Card'!$K$8:$K$525))</f>
        <v>4000</v>
      </c>
    </row>
    <row r="25" spans="2:8" ht="15" customHeight="1" x14ac:dyDescent="0.3">
      <c r="B25" s="27" t="s">
        <v>637</v>
      </c>
      <c r="C25" s="28">
        <f>COUNTIF('Fleet Rate Card'!$C$8:$C$525,$B25)</f>
        <v>88</v>
      </c>
      <c r="D25" s="28">
        <f>AVERAGEIF('Fleet Rate Card'!$C$8:$C$525,$B25,'Fleet Rate Card'!$I$8:$I$525)</f>
        <v>5303.409090909091</v>
      </c>
      <c r="E25" s="28">
        <f>AVERAGEIF('Fleet Rate Card'!$C$8:$C$525,$B25,'Fleet Rate Card'!$J$8:$J$525)</f>
        <v>8403.4090909090901</v>
      </c>
      <c r="F25" s="29">
        <f>AVERAGEIF('Fleet Rate Card'!$C$8:$C$525,$B25,'Fleet Rate Card'!$K$8:$K$525)</f>
        <v>11162.5</v>
      </c>
      <c r="G25" s="28">
        <f t="array" ref="G25">MIN(IF('Fleet Rate Card'!$C$8:$C$525=$B25,'Fleet Rate Card'!$K$8:$K$525))</f>
        <v>8000</v>
      </c>
      <c r="H25" s="28">
        <f t="array" ref="H25">MAX(IF('Fleet Rate Card'!$C$8:$C$525=$B25,'Fleet Rate Card'!$K$8:$K$525))</f>
        <v>12400</v>
      </c>
    </row>
    <row r="26" spans="2:8" ht="15" customHeight="1" x14ac:dyDescent="0.3">
      <c r="B26" s="27" t="s">
        <v>819</v>
      </c>
      <c r="C26" s="28">
        <f>COUNTIF('Fleet Rate Card'!$C$8:$C$525,$B26)</f>
        <v>6</v>
      </c>
      <c r="D26" s="28">
        <f>AVERAGEIF('Fleet Rate Card'!$C$8:$C$525,$B26,'Fleet Rate Card'!$I$8:$I$525)</f>
        <v>4066.6666666666665</v>
      </c>
      <c r="E26" s="28">
        <f>AVERAGEIF('Fleet Rate Card'!$C$8:$C$525,$B26,'Fleet Rate Card'!$J$8:$J$525)</f>
        <v>4266.666666666667</v>
      </c>
      <c r="F26" s="29">
        <f>AVERAGEIF('Fleet Rate Card'!$C$8:$C$525,$B26,'Fleet Rate Card'!$K$8:$K$525)</f>
        <v>4266.666666666667</v>
      </c>
      <c r="G26" s="28">
        <f t="array" ref="G26">MIN(IF('Fleet Rate Card'!$C$8:$C$525=$B26,'Fleet Rate Card'!$K$8:$K$525))</f>
        <v>3600</v>
      </c>
      <c r="H26" s="28">
        <f t="array" ref="H26">MAX(IF('Fleet Rate Card'!$C$8:$C$525=$B26,'Fleet Rate Card'!$K$8:$K$525))</f>
        <v>4600</v>
      </c>
    </row>
    <row r="27" spans="2:8" ht="15" customHeight="1" x14ac:dyDescent="0.3">
      <c r="B27" s="27" t="s">
        <v>826</v>
      </c>
      <c r="C27" s="28">
        <f>COUNTIF('Fleet Rate Card'!$C$8:$C$525,$B27)</f>
        <v>3</v>
      </c>
      <c r="D27" s="28">
        <f>AVERAGEIF('Fleet Rate Card'!$C$8:$C$525,$B27,'Fleet Rate Card'!$I$8:$I$525)</f>
        <v>5433.333333333333</v>
      </c>
      <c r="E27" s="28">
        <f>AVERAGEIF('Fleet Rate Card'!$C$8:$C$525,$B27,'Fleet Rate Card'!$J$8:$J$525)</f>
        <v>5700</v>
      </c>
      <c r="F27" s="29">
        <f>AVERAGEIF('Fleet Rate Card'!$C$8:$C$525,$B27,'Fleet Rate Card'!$K$8:$K$525)</f>
        <v>5700</v>
      </c>
      <c r="G27" s="28">
        <f t="array" ref="G27">MIN(IF('Fleet Rate Card'!$C$8:$C$525=$B27,'Fleet Rate Card'!$K$8:$K$525))</f>
        <v>4900</v>
      </c>
      <c r="H27" s="28">
        <f t="array" ref="H27">MAX(IF('Fleet Rate Card'!$C$8:$C$525=$B27,'Fleet Rate Card'!$K$8:$K$525))</f>
        <v>6800</v>
      </c>
    </row>
    <row r="28" spans="2:8" ht="15" customHeight="1" x14ac:dyDescent="0.3">
      <c r="B28" s="27" t="s">
        <v>833</v>
      </c>
      <c r="C28" s="28">
        <f>COUNTIF('Fleet Rate Card'!$C$8:$C$525,$B28)</f>
        <v>6</v>
      </c>
      <c r="D28" s="28">
        <f>AVERAGEIF('Fleet Rate Card'!$C$8:$C$525,$B28,'Fleet Rate Card'!$I$8:$I$525)</f>
        <v>3233.3333333333335</v>
      </c>
      <c r="E28" s="28">
        <f>AVERAGEIF('Fleet Rate Card'!$C$8:$C$525,$B28,'Fleet Rate Card'!$J$8:$J$525)</f>
        <v>5833.333333333333</v>
      </c>
      <c r="F28" s="29">
        <f>AVERAGEIF('Fleet Rate Card'!$C$8:$C$525,$B28,'Fleet Rate Card'!$K$8:$K$525)</f>
        <v>5833.333333333333</v>
      </c>
      <c r="G28" s="28">
        <f t="array" ref="G28">MIN(IF('Fleet Rate Card'!$C$8:$C$525=$B28,'Fleet Rate Card'!$K$8:$K$525))</f>
        <v>5400</v>
      </c>
      <c r="H28" s="28">
        <f t="array" ref="H28">MAX(IF('Fleet Rate Card'!$C$8:$C$525=$B28,'Fleet Rate Card'!$K$8:$K$525))</f>
        <v>6700</v>
      </c>
    </row>
    <row r="29" spans="2:8" ht="15" customHeight="1" x14ac:dyDescent="0.3">
      <c r="B29" s="27" t="s">
        <v>847</v>
      </c>
      <c r="C29" s="28">
        <f>COUNTIF('Fleet Rate Card'!$C$8:$C$525,$B29)</f>
        <v>41</v>
      </c>
      <c r="D29" s="28">
        <f>AVERAGEIF('Fleet Rate Card'!$C$8:$C$525,$B29,'Fleet Rate Card'!$I$8:$I$525)</f>
        <v>11951.219512195123</v>
      </c>
      <c r="E29" s="28">
        <f>AVERAGEIF('Fleet Rate Card'!$C$8:$C$525,$B29,'Fleet Rate Card'!$J$8:$J$525)</f>
        <v>15051.219512195123</v>
      </c>
      <c r="F29" s="29">
        <f>AVERAGEIF('Fleet Rate Card'!$C$8:$C$525,$B29,'Fleet Rate Card'!$K$8:$K$525)</f>
        <v>26521.951219512193</v>
      </c>
      <c r="G29" s="28">
        <f t="array" ref="G29">MIN(IF('Fleet Rate Card'!$C$8:$C$525=$B29,'Fleet Rate Card'!$K$8:$K$525))</f>
        <v>13700</v>
      </c>
      <c r="H29" s="28">
        <f t="array" ref="H29">MAX(IF('Fleet Rate Card'!$C$8:$C$525=$B29,'Fleet Rate Card'!$K$8:$K$525))</f>
        <v>39900</v>
      </c>
    </row>
    <row r="30" spans="2:8" ht="15" customHeight="1" x14ac:dyDescent="0.3">
      <c r="B30" s="27" t="s">
        <v>921</v>
      </c>
      <c r="C30" s="28">
        <f>COUNTIF('Fleet Rate Card'!$C$8:$C$525,$B30)</f>
        <v>19</v>
      </c>
      <c r="D30" s="28">
        <f>AVERAGEIF('Fleet Rate Card'!$C$8:$C$525,$B30,'Fleet Rate Card'!$I$8:$I$525)</f>
        <v>3557.8947368421054</v>
      </c>
      <c r="E30" s="28">
        <f>AVERAGEIF('Fleet Rate Card'!$C$8:$C$525,$B30,'Fleet Rate Card'!$J$8:$J$525)</f>
        <v>6657.894736842105</v>
      </c>
      <c r="F30" s="29">
        <f>AVERAGEIF('Fleet Rate Card'!$C$8:$C$525,$B30,'Fleet Rate Card'!$K$8:$K$525)</f>
        <v>7010.5263157894733</v>
      </c>
      <c r="G30" s="28">
        <f t="array" ref="G30">MIN(IF('Fleet Rate Card'!$C$8:$C$525=$B30,'Fleet Rate Card'!$K$8:$K$525))</f>
        <v>6500</v>
      </c>
      <c r="H30" s="28">
        <f t="array" ref="H30">MAX(IF('Fleet Rate Card'!$C$8:$C$525=$B30,'Fleet Rate Card'!$K$8:$K$525))</f>
        <v>10300</v>
      </c>
    </row>
    <row r="31" spans="2:8" ht="15" customHeight="1" x14ac:dyDescent="0.3">
      <c r="B31" s="27" t="s">
        <v>956</v>
      </c>
      <c r="C31" s="28">
        <f>COUNTIF('Fleet Rate Card'!$C$8:$C$525,$B31)</f>
        <v>12</v>
      </c>
      <c r="D31" s="28">
        <f>AVERAGEIF('Fleet Rate Card'!$C$8:$C$525,$B31,'Fleet Rate Card'!$I$8:$I$525)</f>
        <v>3041.6666666666665</v>
      </c>
      <c r="E31" s="28">
        <f>AVERAGEIF('Fleet Rate Card'!$C$8:$C$525,$B31,'Fleet Rate Card'!$J$8:$J$525)</f>
        <v>5508.333333333333</v>
      </c>
      <c r="F31" s="29">
        <f>AVERAGEIF('Fleet Rate Card'!$C$8:$C$525,$B31,'Fleet Rate Card'!$K$8:$K$525)</f>
        <v>5508.333333333333</v>
      </c>
      <c r="G31" s="28">
        <f t="array" ref="G31">MIN(IF('Fleet Rate Card'!$C$8:$C$525=$B31,'Fleet Rate Card'!$K$8:$K$525))</f>
        <v>4600</v>
      </c>
      <c r="H31" s="28">
        <f t="array" ref="H31">MAX(IF('Fleet Rate Card'!$C$8:$C$525=$B31,'Fleet Rate Card'!$K$8:$K$525))</f>
        <v>6500</v>
      </c>
    </row>
    <row r="32" spans="2:8" ht="15" customHeight="1" x14ac:dyDescent="0.3">
      <c r="B32" s="27" t="s">
        <v>985</v>
      </c>
      <c r="C32" s="28">
        <f>COUNTIF('Fleet Rate Card'!$C$8:$C$525,$B32)</f>
        <v>53</v>
      </c>
      <c r="D32" s="28">
        <f>AVERAGEIF('Fleet Rate Card'!$C$8:$C$525,$B32,'Fleet Rate Card'!$I$8:$I$525)</f>
        <v>837.7358490566038</v>
      </c>
      <c r="E32" s="28">
        <f>AVERAGEIF('Fleet Rate Card'!$C$8:$C$525,$B32,'Fleet Rate Card'!$J$8:$J$525)</f>
        <v>837.7358490566038</v>
      </c>
      <c r="F32" s="29">
        <f>AVERAGEIF('Fleet Rate Card'!$C$8:$C$525,$B32,'Fleet Rate Card'!$K$8:$K$525)</f>
        <v>1392.4528301886792</v>
      </c>
      <c r="G32" s="28">
        <f t="array" ref="G32">MIN(IF('Fleet Rate Card'!$C$8:$C$525=$B32,'Fleet Rate Card'!$K$8:$K$525))</f>
        <v>1100</v>
      </c>
      <c r="H32" s="28">
        <f t="array" ref="H32">MAX(IF('Fleet Rate Card'!$C$8:$C$525=$B32,'Fleet Rate Card'!$K$8:$K$525))</f>
        <v>1700</v>
      </c>
    </row>
    <row r="33" spans="2:8" ht="15" customHeight="1" x14ac:dyDescent="0.3">
      <c r="B33" s="27" t="s">
        <v>1076</v>
      </c>
      <c r="C33" s="28">
        <f>COUNTIF('Fleet Rate Card'!$C$8:$C$525,$B33)</f>
        <v>10</v>
      </c>
      <c r="D33" s="28">
        <f>AVERAGEIF('Fleet Rate Card'!$C$8:$C$525,$B33,'Fleet Rate Card'!$I$8:$I$525)</f>
        <v>2580</v>
      </c>
      <c r="E33" s="28">
        <f>AVERAGEIF('Fleet Rate Card'!$C$8:$C$525,$B33,'Fleet Rate Card'!$J$8:$J$525)</f>
        <v>4780</v>
      </c>
      <c r="F33" s="29">
        <f>AVERAGEIF('Fleet Rate Card'!$C$8:$C$525,$B33,'Fleet Rate Card'!$K$8:$K$525)</f>
        <v>4780</v>
      </c>
      <c r="G33" s="28">
        <f t="array" ref="G33">MIN(IF('Fleet Rate Card'!$C$8:$C$525=$B33,'Fleet Rate Card'!$K$8:$K$525))</f>
        <v>3900</v>
      </c>
      <c r="H33" s="28">
        <f t="array" ref="H33">MAX(IF('Fleet Rate Card'!$C$8:$C$525=$B33,'Fleet Rate Card'!$K$8:$K$525))</f>
        <v>6100</v>
      </c>
    </row>
    <row r="34" spans="2:8" ht="15" customHeight="1" x14ac:dyDescent="0.3">
      <c r="B34" s="27" t="s">
        <v>1090</v>
      </c>
      <c r="C34" s="28">
        <f>COUNTIF('Fleet Rate Card'!$C$8:$C$525,$B34)</f>
        <v>3</v>
      </c>
      <c r="D34" s="28">
        <f>AVERAGEIF('Fleet Rate Card'!$C$8:$C$525,$B34,'Fleet Rate Card'!$I$8:$I$525)</f>
        <v>3400</v>
      </c>
      <c r="E34" s="28">
        <f>AVERAGEIF('Fleet Rate Card'!$C$8:$C$525,$B34,'Fleet Rate Card'!$J$8:$J$525)</f>
        <v>6500</v>
      </c>
      <c r="F34" s="29">
        <f>AVERAGEIF('Fleet Rate Card'!$C$8:$C$525,$B34,'Fleet Rate Card'!$K$8:$K$525)</f>
        <v>6700</v>
      </c>
      <c r="G34" s="28">
        <f t="array" ref="G34">MIN(IF('Fleet Rate Card'!$C$8:$C$525=$B34,'Fleet Rate Card'!$K$8:$K$525))</f>
        <v>6700</v>
      </c>
      <c r="H34" s="28">
        <f t="array" ref="H34">MAX(IF('Fleet Rate Card'!$C$8:$C$525=$B34,'Fleet Rate Card'!$K$8:$K$525))</f>
        <v>6700</v>
      </c>
    </row>
    <row r="35" spans="2:8" ht="15" customHeight="1" x14ac:dyDescent="0.3">
      <c r="B35" s="30" t="s">
        <v>1159</v>
      </c>
      <c r="C35" s="31">
        <f>SUM(C6:C34)</f>
        <v>518</v>
      </c>
      <c r="D35" s="31">
        <f>AVERAGE('Fleet Rate Card'!$I$8:$I$525)</f>
        <v>5564.864864864865</v>
      </c>
      <c r="E35" s="31">
        <f>AVERAGE('Fleet Rate Card'!$J$8:$J$525)</f>
        <v>8152.8957528957526</v>
      </c>
      <c r="F35" s="31">
        <f>AVERAGE('Fleet Rate Card'!$K$8:$K$525)</f>
        <v>11460.81081081081</v>
      </c>
      <c r="G35" s="31">
        <f>MIN('Fleet Rate Card'!$K$8:$K$525)</f>
        <v>1100</v>
      </c>
      <c r="H35" s="31">
        <f>MAX('Fleet Rate Card'!$K$8:$K$525)</f>
        <v>39900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&amp; Legend</vt:lpstr>
      <vt:lpstr>Fleet Rate Card</vt:lpstr>
      <vt:lpstr>Portable Equipment</vt:lpstr>
      <vt:lpstr>Category Summary</vt:lpstr>
      <vt:lpstr>'Fleet Rate Card'!Print_Titles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cp:lastPrinted>2026-06-17T08:18:30Z</cp:lastPrinted>
  <dcterms:created xsi:type="dcterms:W3CDTF">2026-06-17T08:03:41Z</dcterms:created>
  <dcterms:modified xsi:type="dcterms:W3CDTF">2026-06-17T14:13:55Z</dcterms:modified>
  <dc:language>en-US</dc:language>
</cp:coreProperties>
</file>