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Ruwanwella\"/>
    </mc:Choice>
  </mc:AlternateContent>
  <bookViews>
    <workbookView xWindow="0" yWindow="0" windowWidth="20490" windowHeight="7455" activeTab="4"/>
  </bookViews>
  <sheets>
    <sheet name="October 2025 " sheetId="6" r:id="rId1"/>
    <sheet name="November 2025 " sheetId="4" r:id="rId2"/>
    <sheet name="December 2025" sheetId="2" r:id="rId3"/>
    <sheet name="January 2026" sheetId="5" r:id="rId4"/>
    <sheet name="February 2026" sheetId="7" r:id="rId5"/>
    <sheet name="March 2026" sheetId="8" r:id="rId6"/>
    <sheet name="Sheet2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 localSheetId="2">#REF!</definedName>
    <definedName name="\a" localSheetId="4">#REF!</definedName>
    <definedName name="\a" localSheetId="3">#REF!</definedName>
    <definedName name="\a" localSheetId="5">#REF!</definedName>
    <definedName name="\a" localSheetId="1">#REF!</definedName>
    <definedName name="\a" localSheetId="0">#REF!</definedName>
    <definedName name="\a">#REF!</definedName>
    <definedName name="\b" localSheetId="2">#REF!</definedName>
    <definedName name="\b" localSheetId="4">#REF!</definedName>
    <definedName name="\b" localSheetId="3">#REF!</definedName>
    <definedName name="\b" localSheetId="5">#REF!</definedName>
    <definedName name="\b" localSheetId="1">#REF!</definedName>
    <definedName name="\b" localSheetId="0">#REF!</definedName>
    <definedName name="\b">#REF!</definedName>
    <definedName name="\c" localSheetId="2">#REF!</definedName>
    <definedName name="\c" localSheetId="4">#REF!</definedName>
    <definedName name="\c" localSheetId="3">#REF!</definedName>
    <definedName name="\c" localSheetId="5">#REF!</definedName>
    <definedName name="\c" localSheetId="1">#REF!</definedName>
    <definedName name="\c" localSheetId="0">#REF!</definedName>
    <definedName name="\c">#REF!</definedName>
    <definedName name="\d" localSheetId="2">#REF!</definedName>
    <definedName name="\d" localSheetId="4">#REF!</definedName>
    <definedName name="\d" localSheetId="3">#REF!</definedName>
    <definedName name="\d" localSheetId="5">#REF!</definedName>
    <definedName name="\d" localSheetId="1">#REF!</definedName>
    <definedName name="\d" localSheetId="0">#REF!</definedName>
    <definedName name="\d">#REF!</definedName>
    <definedName name="\e" localSheetId="2">#REF!</definedName>
    <definedName name="\e" localSheetId="4">#REF!</definedName>
    <definedName name="\e" localSheetId="3">#REF!</definedName>
    <definedName name="\e" localSheetId="5">#REF!</definedName>
    <definedName name="\e" localSheetId="1">#REF!</definedName>
    <definedName name="\e" localSheetId="0">#REF!</definedName>
    <definedName name="\e">#REF!</definedName>
    <definedName name="\f" localSheetId="2">#REF!</definedName>
    <definedName name="\f" localSheetId="4">#REF!</definedName>
    <definedName name="\f" localSheetId="3">#REF!</definedName>
    <definedName name="\f" localSheetId="5">#REF!</definedName>
    <definedName name="\f" localSheetId="1">#REF!</definedName>
    <definedName name="\f" localSheetId="0">#REF!</definedName>
    <definedName name="\f">#REF!</definedName>
    <definedName name="\g" localSheetId="2">#REF!</definedName>
    <definedName name="\g" localSheetId="4">#REF!</definedName>
    <definedName name="\g" localSheetId="3">#REF!</definedName>
    <definedName name="\g" localSheetId="5">#REF!</definedName>
    <definedName name="\g" localSheetId="1">#REF!</definedName>
    <definedName name="\g" localSheetId="0">#REF!</definedName>
    <definedName name="\g">#REF!</definedName>
    <definedName name="\h" localSheetId="2">#REF!</definedName>
    <definedName name="\h" localSheetId="4">#REF!</definedName>
    <definedName name="\h" localSheetId="3">#REF!</definedName>
    <definedName name="\h" localSheetId="5">#REF!</definedName>
    <definedName name="\h" localSheetId="1">#REF!</definedName>
    <definedName name="\h" localSheetId="0">#REF!</definedName>
    <definedName name="\h">#REF!</definedName>
    <definedName name="\i" localSheetId="2">#REF!</definedName>
    <definedName name="\i" localSheetId="4">#REF!</definedName>
    <definedName name="\i" localSheetId="3">#REF!</definedName>
    <definedName name="\i" localSheetId="5">#REF!</definedName>
    <definedName name="\i" localSheetId="1">#REF!</definedName>
    <definedName name="\i" localSheetId="0">#REF!</definedName>
    <definedName name="\i">#REF!</definedName>
    <definedName name="\j" localSheetId="2">#REF!</definedName>
    <definedName name="\j" localSheetId="4">#REF!</definedName>
    <definedName name="\j" localSheetId="3">#REF!</definedName>
    <definedName name="\j" localSheetId="5">#REF!</definedName>
    <definedName name="\j" localSheetId="1">#REF!</definedName>
    <definedName name="\j" localSheetId="0">#REF!</definedName>
    <definedName name="\j">#REF!</definedName>
    <definedName name="\m" localSheetId="2">#REF!</definedName>
    <definedName name="\m" localSheetId="4">#REF!</definedName>
    <definedName name="\m" localSheetId="3">#REF!</definedName>
    <definedName name="\m" localSheetId="5">#REF!</definedName>
    <definedName name="\m" localSheetId="1">#REF!</definedName>
    <definedName name="\m" localSheetId="0">#REF!</definedName>
    <definedName name="\m">#REF!</definedName>
    <definedName name="\s" localSheetId="2">#REF!</definedName>
    <definedName name="\s" localSheetId="4">#REF!</definedName>
    <definedName name="\s" localSheetId="3">#REF!</definedName>
    <definedName name="\s" localSheetId="5">#REF!</definedName>
    <definedName name="\s" localSheetId="1">#REF!</definedName>
    <definedName name="\s" localSheetId="0">#REF!</definedName>
    <definedName name="\s">#REF!</definedName>
    <definedName name="______may1" localSheetId="2" hidden="1">{#N/A,#N/A,FALSE,"MARCH"}</definedName>
    <definedName name="______may1" localSheetId="4" hidden="1">{#N/A,#N/A,FALSE,"MARCH"}</definedName>
    <definedName name="______may1" localSheetId="3" hidden="1">{#N/A,#N/A,FALSE,"MARCH"}</definedName>
    <definedName name="______may1" localSheetId="5" hidden="1">{#N/A,#N/A,FALSE,"MARCH"}</definedName>
    <definedName name="______may1" localSheetId="1" hidden="1">{#N/A,#N/A,FALSE,"MARCH"}</definedName>
    <definedName name="______may1" localSheetId="0" hidden="1">{#N/A,#N/A,FALSE,"MARCH"}</definedName>
    <definedName name="______may1" hidden="1">{#N/A,#N/A,FALSE,"MARCH"}</definedName>
    <definedName name="_____1.2" localSheetId="2">[1]BOQ!#REF!</definedName>
    <definedName name="_____1.2" localSheetId="4">[1]BOQ!#REF!</definedName>
    <definedName name="_____1.2" localSheetId="3">[1]BOQ!#REF!</definedName>
    <definedName name="_____1.2" localSheetId="5">[1]BOQ!#REF!</definedName>
    <definedName name="_____1.2" localSheetId="1">[1]BOQ!#REF!</definedName>
    <definedName name="_____1.2" localSheetId="0">[1]BOQ!#REF!</definedName>
    <definedName name="_____1.2">[1]BOQ!#REF!</definedName>
    <definedName name="_____1.3" localSheetId="2">[1]BOQ!#REF!</definedName>
    <definedName name="_____1.3" localSheetId="4">[1]BOQ!#REF!</definedName>
    <definedName name="_____1.3" localSheetId="3">[1]BOQ!#REF!</definedName>
    <definedName name="_____1.3" localSheetId="5">[1]BOQ!#REF!</definedName>
    <definedName name="_____1.3" localSheetId="1">[1]BOQ!#REF!</definedName>
    <definedName name="_____1.3" localSheetId="0">[1]BOQ!#REF!</definedName>
    <definedName name="_____1.3">[1]BOQ!#REF!</definedName>
    <definedName name="_____1.4" localSheetId="2">[1]BOQ!#REF!</definedName>
    <definedName name="_____1.4" localSheetId="4">[1]BOQ!#REF!</definedName>
    <definedName name="_____1.4" localSheetId="3">[1]BOQ!#REF!</definedName>
    <definedName name="_____1.4" localSheetId="5">[1]BOQ!#REF!</definedName>
    <definedName name="_____1.4" localSheetId="1">[1]BOQ!#REF!</definedName>
    <definedName name="_____1.4" localSheetId="0">[1]BOQ!#REF!</definedName>
    <definedName name="_____1.4">[1]BOQ!#REF!</definedName>
    <definedName name="_____5A.1" localSheetId="2">[1]BOQ!#REF!</definedName>
    <definedName name="_____5A.1" localSheetId="4">[1]BOQ!#REF!</definedName>
    <definedName name="_____5A.1" localSheetId="3">[1]BOQ!#REF!</definedName>
    <definedName name="_____5A.1" localSheetId="5">[1]BOQ!#REF!</definedName>
    <definedName name="_____5A.1" localSheetId="1">[1]BOQ!#REF!</definedName>
    <definedName name="_____5A.1" localSheetId="0">[1]BOQ!#REF!</definedName>
    <definedName name="_____5A.1">[1]BOQ!#REF!</definedName>
    <definedName name="_____5A.2" localSheetId="2">[1]BOQ!#REF!</definedName>
    <definedName name="_____5A.2" localSheetId="4">[1]BOQ!#REF!</definedName>
    <definedName name="_____5A.2" localSheetId="3">[1]BOQ!#REF!</definedName>
    <definedName name="_____5A.2" localSheetId="5">[1]BOQ!#REF!</definedName>
    <definedName name="_____5A.2" localSheetId="1">[1]BOQ!#REF!</definedName>
    <definedName name="_____5A.2" localSheetId="0">[1]BOQ!#REF!</definedName>
    <definedName name="_____5A.2">[1]BOQ!#REF!</definedName>
    <definedName name="_____5A.3" localSheetId="2">[1]BOQ!#REF!</definedName>
    <definedName name="_____5A.3" localSheetId="4">[1]BOQ!#REF!</definedName>
    <definedName name="_____5A.3" localSheetId="3">[1]BOQ!#REF!</definedName>
    <definedName name="_____5A.3" localSheetId="5">[1]BOQ!#REF!</definedName>
    <definedName name="_____5A.3" localSheetId="1">[1]BOQ!#REF!</definedName>
    <definedName name="_____5A.3" localSheetId="0">[1]BOQ!#REF!</definedName>
    <definedName name="_____5A.3">[1]BOQ!#REF!</definedName>
    <definedName name="_____5B.1" localSheetId="2">[1]BOQ!#REF!</definedName>
    <definedName name="_____5B.1" localSheetId="4">[1]BOQ!#REF!</definedName>
    <definedName name="_____5B.1" localSheetId="3">[1]BOQ!#REF!</definedName>
    <definedName name="_____5B.1" localSheetId="5">[1]BOQ!#REF!</definedName>
    <definedName name="_____5B.1" localSheetId="1">[1]BOQ!#REF!</definedName>
    <definedName name="_____5B.1" localSheetId="0">[1]BOQ!#REF!</definedName>
    <definedName name="_____5B.1">[1]BOQ!#REF!</definedName>
    <definedName name="_____5B.2" localSheetId="2">[1]BOQ!#REF!</definedName>
    <definedName name="_____5B.2" localSheetId="4">[1]BOQ!#REF!</definedName>
    <definedName name="_____5B.2" localSheetId="3">[1]BOQ!#REF!</definedName>
    <definedName name="_____5B.2" localSheetId="5">[1]BOQ!#REF!</definedName>
    <definedName name="_____5B.2" localSheetId="1">[1]BOQ!#REF!</definedName>
    <definedName name="_____5B.2" localSheetId="0">[1]BOQ!#REF!</definedName>
    <definedName name="_____5B.2">[1]BOQ!#REF!</definedName>
    <definedName name="_____5B.3" localSheetId="2">[1]BOQ!#REF!</definedName>
    <definedName name="_____5B.3" localSheetId="4">[1]BOQ!#REF!</definedName>
    <definedName name="_____5B.3" localSheetId="3">[1]BOQ!#REF!</definedName>
    <definedName name="_____5B.3" localSheetId="5">[1]BOQ!#REF!</definedName>
    <definedName name="_____5B.3" localSheetId="1">[1]BOQ!#REF!</definedName>
    <definedName name="_____5B.3" localSheetId="0">[1]BOQ!#REF!</definedName>
    <definedName name="_____5B.3">[1]BOQ!#REF!</definedName>
    <definedName name="_____5B.4" localSheetId="2">[1]BOQ!#REF!</definedName>
    <definedName name="_____5B.4" localSheetId="4">[1]BOQ!#REF!</definedName>
    <definedName name="_____5B.4" localSheetId="3">[1]BOQ!#REF!</definedName>
    <definedName name="_____5B.4" localSheetId="5">[1]BOQ!#REF!</definedName>
    <definedName name="_____5B.4" localSheetId="1">[1]BOQ!#REF!</definedName>
    <definedName name="_____5B.4" localSheetId="0">[1]BOQ!#REF!</definedName>
    <definedName name="_____5B.4">[1]BOQ!#REF!</definedName>
    <definedName name="_____6.2" localSheetId="2">[1]BOQ!#REF!</definedName>
    <definedName name="_____6.2" localSheetId="4">[1]BOQ!#REF!</definedName>
    <definedName name="_____6.2" localSheetId="3">[1]BOQ!#REF!</definedName>
    <definedName name="_____6.2" localSheetId="5">[1]BOQ!#REF!</definedName>
    <definedName name="_____6.2" localSheetId="1">[1]BOQ!#REF!</definedName>
    <definedName name="_____6.2" localSheetId="0">[1]BOQ!#REF!</definedName>
    <definedName name="_____6.2">[1]BOQ!#REF!</definedName>
    <definedName name="_____6.3" localSheetId="2">[1]BOQ!#REF!</definedName>
    <definedName name="_____6.3" localSheetId="4">[1]BOQ!#REF!</definedName>
    <definedName name="_____6.3" localSheetId="3">[1]BOQ!#REF!</definedName>
    <definedName name="_____6.3" localSheetId="5">[1]BOQ!#REF!</definedName>
    <definedName name="_____6.3" localSheetId="1">[1]BOQ!#REF!</definedName>
    <definedName name="_____6.3" localSheetId="0">[1]BOQ!#REF!</definedName>
    <definedName name="_____6.3">[1]BOQ!#REF!</definedName>
    <definedName name="_____6.4" localSheetId="2">[1]BOQ!#REF!</definedName>
    <definedName name="_____6.4" localSheetId="4">[1]BOQ!#REF!</definedName>
    <definedName name="_____6.4" localSheetId="3">[1]BOQ!#REF!</definedName>
    <definedName name="_____6.4" localSheetId="5">[1]BOQ!#REF!</definedName>
    <definedName name="_____6.4" localSheetId="1">[1]BOQ!#REF!</definedName>
    <definedName name="_____6.4" localSheetId="0">[1]BOQ!#REF!</definedName>
    <definedName name="_____6.4">[1]BOQ!#REF!</definedName>
    <definedName name="_____may1" localSheetId="2" hidden="1">{#N/A,#N/A,FALSE,"MARCH"}</definedName>
    <definedName name="_____may1" localSheetId="4" hidden="1">{#N/A,#N/A,FALSE,"MARCH"}</definedName>
    <definedName name="_____may1" localSheetId="3" hidden="1">{#N/A,#N/A,FALSE,"MARCH"}</definedName>
    <definedName name="_____may1" localSheetId="5" hidden="1">{#N/A,#N/A,FALSE,"MARCH"}</definedName>
    <definedName name="_____may1" localSheetId="1" hidden="1">{#N/A,#N/A,FALSE,"MARCH"}</definedName>
    <definedName name="_____may1" localSheetId="0" hidden="1">{#N/A,#N/A,FALSE,"MARCH"}</definedName>
    <definedName name="_____may1" hidden="1">{#N/A,#N/A,FALSE,"MARCH"}</definedName>
    <definedName name="____1.2" localSheetId="2">[1]BOQ!#REF!</definedName>
    <definedName name="____1.2" localSheetId="4">[1]BOQ!#REF!</definedName>
    <definedName name="____1.2" localSheetId="3">[1]BOQ!#REF!</definedName>
    <definedName name="____1.2" localSheetId="5">[1]BOQ!#REF!</definedName>
    <definedName name="____1.2" localSheetId="1">[1]BOQ!#REF!</definedName>
    <definedName name="____1.2" localSheetId="0">[1]BOQ!#REF!</definedName>
    <definedName name="____1.2">[1]BOQ!#REF!</definedName>
    <definedName name="____1.3" localSheetId="2">[1]BOQ!#REF!</definedName>
    <definedName name="____1.3" localSheetId="4">[1]BOQ!#REF!</definedName>
    <definedName name="____1.3" localSheetId="3">[1]BOQ!#REF!</definedName>
    <definedName name="____1.3" localSheetId="5">[1]BOQ!#REF!</definedName>
    <definedName name="____1.3" localSheetId="1">[1]BOQ!#REF!</definedName>
    <definedName name="____1.3" localSheetId="0">[1]BOQ!#REF!</definedName>
    <definedName name="____1.3">[1]BOQ!#REF!</definedName>
    <definedName name="____1.4" localSheetId="2">[1]BOQ!#REF!</definedName>
    <definedName name="____1.4" localSheetId="4">[1]BOQ!#REF!</definedName>
    <definedName name="____1.4" localSheetId="3">[1]BOQ!#REF!</definedName>
    <definedName name="____1.4" localSheetId="5">[1]BOQ!#REF!</definedName>
    <definedName name="____1.4" localSheetId="1">[1]BOQ!#REF!</definedName>
    <definedName name="____1.4" localSheetId="0">[1]BOQ!#REF!</definedName>
    <definedName name="____1.4">[1]BOQ!#REF!</definedName>
    <definedName name="____5A.1" localSheetId="2">[1]BOQ!#REF!</definedName>
    <definedName name="____5A.1" localSheetId="4">[1]BOQ!#REF!</definedName>
    <definedName name="____5A.1" localSheetId="3">[1]BOQ!#REF!</definedName>
    <definedName name="____5A.1" localSheetId="5">[1]BOQ!#REF!</definedName>
    <definedName name="____5A.1" localSheetId="1">[1]BOQ!#REF!</definedName>
    <definedName name="____5A.1" localSheetId="0">[1]BOQ!#REF!</definedName>
    <definedName name="____5A.1">[1]BOQ!#REF!</definedName>
    <definedName name="____5A.2" localSheetId="2">[1]BOQ!#REF!</definedName>
    <definedName name="____5A.2" localSheetId="4">[1]BOQ!#REF!</definedName>
    <definedName name="____5A.2" localSheetId="3">[1]BOQ!#REF!</definedName>
    <definedName name="____5A.2" localSheetId="5">[1]BOQ!#REF!</definedName>
    <definedName name="____5A.2" localSheetId="1">[1]BOQ!#REF!</definedName>
    <definedName name="____5A.2" localSheetId="0">[1]BOQ!#REF!</definedName>
    <definedName name="____5A.2">[1]BOQ!#REF!</definedName>
    <definedName name="____5A.3" localSheetId="2">[1]BOQ!#REF!</definedName>
    <definedName name="____5A.3" localSheetId="4">[1]BOQ!#REF!</definedName>
    <definedName name="____5A.3" localSheetId="3">[1]BOQ!#REF!</definedName>
    <definedName name="____5A.3" localSheetId="5">[1]BOQ!#REF!</definedName>
    <definedName name="____5A.3" localSheetId="1">[1]BOQ!#REF!</definedName>
    <definedName name="____5A.3" localSheetId="0">[1]BOQ!#REF!</definedName>
    <definedName name="____5A.3">[1]BOQ!#REF!</definedName>
    <definedName name="____5B.1" localSheetId="2">[1]BOQ!#REF!</definedName>
    <definedName name="____5B.1" localSheetId="4">[1]BOQ!#REF!</definedName>
    <definedName name="____5B.1" localSheetId="3">[1]BOQ!#REF!</definedName>
    <definedName name="____5B.1" localSheetId="5">[1]BOQ!#REF!</definedName>
    <definedName name="____5B.1" localSheetId="1">[1]BOQ!#REF!</definedName>
    <definedName name="____5B.1" localSheetId="0">[1]BOQ!#REF!</definedName>
    <definedName name="____5B.1">[1]BOQ!#REF!</definedName>
    <definedName name="____5B.2" localSheetId="2">[1]BOQ!#REF!</definedName>
    <definedName name="____5B.2" localSheetId="4">[1]BOQ!#REF!</definedName>
    <definedName name="____5B.2" localSheetId="3">[1]BOQ!#REF!</definedName>
    <definedName name="____5B.2" localSheetId="5">[1]BOQ!#REF!</definedName>
    <definedName name="____5B.2" localSheetId="1">[1]BOQ!#REF!</definedName>
    <definedName name="____5B.2" localSheetId="0">[1]BOQ!#REF!</definedName>
    <definedName name="____5B.2">[1]BOQ!#REF!</definedName>
    <definedName name="____5B.3" localSheetId="2">[1]BOQ!#REF!</definedName>
    <definedName name="____5B.3" localSheetId="4">[1]BOQ!#REF!</definedName>
    <definedName name="____5B.3" localSheetId="3">[1]BOQ!#REF!</definedName>
    <definedName name="____5B.3" localSheetId="5">[1]BOQ!#REF!</definedName>
    <definedName name="____5B.3" localSheetId="1">[1]BOQ!#REF!</definedName>
    <definedName name="____5B.3" localSheetId="0">[1]BOQ!#REF!</definedName>
    <definedName name="____5B.3">[1]BOQ!#REF!</definedName>
    <definedName name="____5B.4" localSheetId="2">[1]BOQ!#REF!</definedName>
    <definedName name="____5B.4" localSheetId="4">[1]BOQ!#REF!</definedName>
    <definedName name="____5B.4" localSheetId="3">[1]BOQ!#REF!</definedName>
    <definedName name="____5B.4" localSheetId="5">[1]BOQ!#REF!</definedName>
    <definedName name="____5B.4" localSheetId="1">[1]BOQ!#REF!</definedName>
    <definedName name="____5B.4" localSheetId="0">[1]BOQ!#REF!</definedName>
    <definedName name="____5B.4">[1]BOQ!#REF!</definedName>
    <definedName name="____6.2" localSheetId="2">[1]BOQ!#REF!</definedName>
    <definedName name="____6.2" localSheetId="4">[1]BOQ!#REF!</definedName>
    <definedName name="____6.2" localSheetId="3">[1]BOQ!#REF!</definedName>
    <definedName name="____6.2" localSheetId="5">[1]BOQ!#REF!</definedName>
    <definedName name="____6.2" localSheetId="1">[1]BOQ!#REF!</definedName>
    <definedName name="____6.2" localSheetId="0">[1]BOQ!#REF!</definedName>
    <definedName name="____6.2">[1]BOQ!#REF!</definedName>
    <definedName name="____6.3" localSheetId="2">[1]BOQ!#REF!</definedName>
    <definedName name="____6.3" localSheetId="4">[1]BOQ!#REF!</definedName>
    <definedName name="____6.3" localSheetId="3">[1]BOQ!#REF!</definedName>
    <definedName name="____6.3" localSheetId="5">[1]BOQ!#REF!</definedName>
    <definedName name="____6.3" localSheetId="1">[1]BOQ!#REF!</definedName>
    <definedName name="____6.3" localSheetId="0">[1]BOQ!#REF!</definedName>
    <definedName name="____6.3">[1]BOQ!#REF!</definedName>
    <definedName name="____6.4" localSheetId="2">[1]BOQ!#REF!</definedName>
    <definedName name="____6.4" localSheetId="4">[1]BOQ!#REF!</definedName>
    <definedName name="____6.4" localSheetId="3">[1]BOQ!#REF!</definedName>
    <definedName name="____6.4" localSheetId="5">[1]BOQ!#REF!</definedName>
    <definedName name="____6.4" localSheetId="1">[1]BOQ!#REF!</definedName>
    <definedName name="____6.4" localSheetId="0">[1]BOQ!#REF!</definedName>
    <definedName name="____6.4">[1]BOQ!#REF!</definedName>
    <definedName name="____may1" localSheetId="2" hidden="1">{#N/A,#N/A,FALSE,"MARCH"}</definedName>
    <definedName name="____may1" localSheetId="4" hidden="1">{#N/A,#N/A,FALSE,"MARCH"}</definedName>
    <definedName name="____may1" localSheetId="3" hidden="1">{#N/A,#N/A,FALSE,"MARCH"}</definedName>
    <definedName name="____may1" localSheetId="5" hidden="1">{#N/A,#N/A,FALSE,"MARCH"}</definedName>
    <definedName name="____may1" localSheetId="1" hidden="1">{#N/A,#N/A,FALSE,"MARCH"}</definedName>
    <definedName name="____may1" localSheetId="0" hidden="1">{#N/A,#N/A,FALSE,"MARCH"}</definedName>
    <definedName name="____may1" hidden="1">{#N/A,#N/A,FALSE,"MARCH"}</definedName>
    <definedName name="___Iw65536" localSheetId="2">#REF!</definedName>
    <definedName name="___Iw65536" localSheetId="4">#REF!</definedName>
    <definedName name="___Iw65536" localSheetId="3">#REF!</definedName>
    <definedName name="___Iw65536" localSheetId="5">#REF!</definedName>
    <definedName name="___Iw65536" localSheetId="1">#REF!</definedName>
    <definedName name="___Iw65536" localSheetId="0">#REF!</definedName>
    <definedName name="___Iw65536">#REF!</definedName>
    <definedName name="___may1" localSheetId="2" hidden="1">{#N/A,#N/A,FALSE,"MARCH"}</definedName>
    <definedName name="___may1" localSheetId="4" hidden="1">{#N/A,#N/A,FALSE,"MARCH"}</definedName>
    <definedName name="___may1" localSheetId="3" hidden="1">{#N/A,#N/A,FALSE,"MARCH"}</definedName>
    <definedName name="___may1" localSheetId="5" hidden="1">{#N/A,#N/A,FALSE,"MARCH"}</definedName>
    <definedName name="___may1" localSheetId="1" hidden="1">{#N/A,#N/A,FALSE,"MARCH"}</definedName>
    <definedName name="___may1" localSheetId="0" hidden="1">{#N/A,#N/A,FALSE,"MARCH"}</definedName>
    <definedName name="___may1" hidden="1">{#N/A,#N/A,FALSE,"MARCH"}</definedName>
    <definedName name="__1.2" localSheetId="2">[1]BOQ!#REF!</definedName>
    <definedName name="__1.2" localSheetId="4">[1]BOQ!#REF!</definedName>
    <definedName name="__1.2" localSheetId="3">[1]BOQ!#REF!</definedName>
    <definedName name="__1.2" localSheetId="5">[1]BOQ!#REF!</definedName>
    <definedName name="__1.2" localSheetId="1">[1]BOQ!#REF!</definedName>
    <definedName name="__1.2" localSheetId="0">[1]BOQ!#REF!</definedName>
    <definedName name="__1.2">[1]BOQ!#REF!</definedName>
    <definedName name="__1.3" localSheetId="2">[1]BOQ!#REF!</definedName>
    <definedName name="__1.3" localSheetId="4">[1]BOQ!#REF!</definedName>
    <definedName name="__1.3" localSheetId="3">[1]BOQ!#REF!</definedName>
    <definedName name="__1.3" localSheetId="5">[1]BOQ!#REF!</definedName>
    <definedName name="__1.3" localSheetId="1">[1]BOQ!#REF!</definedName>
    <definedName name="__1.3" localSheetId="0">[1]BOQ!#REF!</definedName>
    <definedName name="__1.3">[1]BOQ!#REF!</definedName>
    <definedName name="__1.4" localSheetId="2">[1]BOQ!#REF!</definedName>
    <definedName name="__1.4" localSheetId="4">[1]BOQ!#REF!</definedName>
    <definedName name="__1.4" localSheetId="3">[1]BOQ!#REF!</definedName>
    <definedName name="__1.4" localSheetId="5">[1]BOQ!#REF!</definedName>
    <definedName name="__1.4" localSheetId="1">[1]BOQ!#REF!</definedName>
    <definedName name="__1.4" localSheetId="0">[1]BOQ!#REF!</definedName>
    <definedName name="__1.4">[1]BOQ!#REF!</definedName>
    <definedName name="__123Graph_ACURRENT" localSheetId="2" hidden="1">[2]FitOutConfCentre!#REF!</definedName>
    <definedName name="__123Graph_ACURRENT" localSheetId="4" hidden="1">[2]FitOutConfCentre!#REF!</definedName>
    <definedName name="__123Graph_ACURRENT" localSheetId="3" hidden="1">[2]FitOutConfCentre!#REF!</definedName>
    <definedName name="__123Graph_ACURRENT" localSheetId="5" hidden="1">[2]FitOutConfCentre!#REF!</definedName>
    <definedName name="__123Graph_ACURRENT" localSheetId="1" hidden="1">[2]FitOutConfCentre!#REF!</definedName>
    <definedName name="__123Graph_ACURRENT" localSheetId="0" hidden="1">[2]FitOutConfCentre!#REF!</definedName>
    <definedName name="__123Graph_ACURRENT" hidden="1">[2]FitOutConfCentre!#REF!</definedName>
    <definedName name="__5A.1" localSheetId="2">[1]BOQ!#REF!</definedName>
    <definedName name="__5A.1" localSheetId="4">[1]BOQ!#REF!</definedName>
    <definedName name="__5A.1" localSheetId="3">[1]BOQ!#REF!</definedName>
    <definedName name="__5A.1" localSheetId="5">[1]BOQ!#REF!</definedName>
    <definedName name="__5A.1" localSheetId="1">[1]BOQ!#REF!</definedName>
    <definedName name="__5A.1" localSheetId="0">[1]BOQ!#REF!</definedName>
    <definedName name="__5A.1">[1]BOQ!#REF!</definedName>
    <definedName name="__5A.2" localSheetId="2">[1]BOQ!#REF!</definedName>
    <definedName name="__5A.2" localSheetId="4">[1]BOQ!#REF!</definedName>
    <definedName name="__5A.2" localSheetId="3">[1]BOQ!#REF!</definedName>
    <definedName name="__5A.2" localSheetId="5">[1]BOQ!#REF!</definedName>
    <definedName name="__5A.2" localSheetId="1">[1]BOQ!#REF!</definedName>
    <definedName name="__5A.2" localSheetId="0">[1]BOQ!#REF!</definedName>
    <definedName name="__5A.2">[1]BOQ!#REF!</definedName>
    <definedName name="__5A.3" localSheetId="2">[1]BOQ!#REF!</definedName>
    <definedName name="__5A.3" localSheetId="4">[1]BOQ!#REF!</definedName>
    <definedName name="__5A.3" localSheetId="3">[1]BOQ!#REF!</definedName>
    <definedName name="__5A.3" localSheetId="5">[1]BOQ!#REF!</definedName>
    <definedName name="__5A.3" localSheetId="1">[1]BOQ!#REF!</definedName>
    <definedName name="__5A.3" localSheetId="0">[1]BOQ!#REF!</definedName>
    <definedName name="__5A.3">[1]BOQ!#REF!</definedName>
    <definedName name="__5B.1" localSheetId="2">[1]BOQ!#REF!</definedName>
    <definedName name="__5B.1" localSheetId="4">[1]BOQ!#REF!</definedName>
    <definedName name="__5B.1" localSheetId="3">[1]BOQ!#REF!</definedName>
    <definedName name="__5B.1" localSheetId="5">[1]BOQ!#REF!</definedName>
    <definedName name="__5B.1" localSheetId="1">[1]BOQ!#REF!</definedName>
    <definedName name="__5B.1" localSheetId="0">[1]BOQ!#REF!</definedName>
    <definedName name="__5B.1">[1]BOQ!#REF!</definedName>
    <definedName name="__5B.2" localSheetId="2">[1]BOQ!#REF!</definedName>
    <definedName name="__5B.2" localSheetId="4">[1]BOQ!#REF!</definedName>
    <definedName name="__5B.2" localSheetId="3">[1]BOQ!#REF!</definedName>
    <definedName name="__5B.2" localSheetId="5">[1]BOQ!#REF!</definedName>
    <definedName name="__5B.2" localSheetId="1">[1]BOQ!#REF!</definedName>
    <definedName name="__5B.2" localSheetId="0">[1]BOQ!#REF!</definedName>
    <definedName name="__5B.2">[1]BOQ!#REF!</definedName>
    <definedName name="__5B.3" localSheetId="2">[1]BOQ!#REF!</definedName>
    <definedName name="__5B.3" localSheetId="4">[1]BOQ!#REF!</definedName>
    <definedName name="__5B.3" localSheetId="3">[1]BOQ!#REF!</definedName>
    <definedName name="__5B.3" localSheetId="5">[1]BOQ!#REF!</definedName>
    <definedName name="__5B.3" localSheetId="1">[1]BOQ!#REF!</definedName>
    <definedName name="__5B.3" localSheetId="0">[1]BOQ!#REF!</definedName>
    <definedName name="__5B.3">[1]BOQ!#REF!</definedName>
    <definedName name="__5B.4" localSheetId="2">[1]BOQ!#REF!</definedName>
    <definedName name="__5B.4" localSheetId="4">[1]BOQ!#REF!</definedName>
    <definedName name="__5B.4" localSheetId="3">[1]BOQ!#REF!</definedName>
    <definedName name="__5B.4" localSheetId="5">[1]BOQ!#REF!</definedName>
    <definedName name="__5B.4" localSheetId="1">[1]BOQ!#REF!</definedName>
    <definedName name="__5B.4" localSheetId="0">[1]BOQ!#REF!</definedName>
    <definedName name="__5B.4">[1]BOQ!#REF!</definedName>
    <definedName name="__6.2" localSheetId="2">[1]BOQ!#REF!</definedName>
    <definedName name="__6.2" localSheetId="4">[1]BOQ!#REF!</definedName>
    <definedName name="__6.2" localSheetId="3">[1]BOQ!#REF!</definedName>
    <definedName name="__6.2" localSheetId="5">[1]BOQ!#REF!</definedName>
    <definedName name="__6.2" localSheetId="1">[1]BOQ!#REF!</definedName>
    <definedName name="__6.2" localSheetId="0">[1]BOQ!#REF!</definedName>
    <definedName name="__6.2">[1]BOQ!#REF!</definedName>
    <definedName name="__6.3" localSheetId="2">[1]BOQ!#REF!</definedName>
    <definedName name="__6.3" localSheetId="4">[1]BOQ!#REF!</definedName>
    <definedName name="__6.3" localSheetId="3">[1]BOQ!#REF!</definedName>
    <definedName name="__6.3" localSheetId="5">[1]BOQ!#REF!</definedName>
    <definedName name="__6.3" localSheetId="1">[1]BOQ!#REF!</definedName>
    <definedName name="__6.3" localSheetId="0">[1]BOQ!#REF!</definedName>
    <definedName name="__6.3">[1]BOQ!#REF!</definedName>
    <definedName name="__6.4" localSheetId="2">[1]BOQ!#REF!</definedName>
    <definedName name="__6.4" localSheetId="4">[1]BOQ!#REF!</definedName>
    <definedName name="__6.4" localSheetId="3">[1]BOQ!#REF!</definedName>
    <definedName name="__6.4" localSheetId="5">[1]BOQ!#REF!</definedName>
    <definedName name="__6.4" localSheetId="1">[1]BOQ!#REF!</definedName>
    <definedName name="__6.4" localSheetId="0">[1]BOQ!#REF!</definedName>
    <definedName name="__6.4">[1]BOQ!#REF!</definedName>
    <definedName name="__New1" localSheetId="2">#REF!</definedName>
    <definedName name="__New1" localSheetId="4">#REF!</definedName>
    <definedName name="__New1" localSheetId="3">#REF!</definedName>
    <definedName name="__New1" localSheetId="5">#REF!</definedName>
    <definedName name="__New1" localSheetId="1">#REF!</definedName>
    <definedName name="__New1" localSheetId="0">#REF!</definedName>
    <definedName name="__New1">#REF!</definedName>
    <definedName name="__No1" localSheetId="2">#REF!</definedName>
    <definedName name="__No1" localSheetId="4">#REF!</definedName>
    <definedName name="__No1" localSheetId="3">#REF!</definedName>
    <definedName name="__No1" localSheetId="5">#REF!</definedName>
    <definedName name="__No1" localSheetId="1">#REF!</definedName>
    <definedName name="__No1" localSheetId="0">#REF!</definedName>
    <definedName name="__No1">#REF!</definedName>
    <definedName name="__No2" localSheetId="2">#REF!</definedName>
    <definedName name="__No2" localSheetId="4">#REF!</definedName>
    <definedName name="__No2" localSheetId="3">#REF!</definedName>
    <definedName name="__No2" localSheetId="5">#REF!</definedName>
    <definedName name="__No2" localSheetId="1">#REF!</definedName>
    <definedName name="__No2" localSheetId="0">#REF!</definedName>
    <definedName name="__No2">#REF!</definedName>
    <definedName name="__No3" localSheetId="2">#REF!</definedName>
    <definedName name="__No3" localSheetId="4">#REF!</definedName>
    <definedName name="__No3" localSheetId="3">#REF!</definedName>
    <definedName name="__No3" localSheetId="5">#REF!</definedName>
    <definedName name="__No3" localSheetId="1">#REF!</definedName>
    <definedName name="__No3" localSheetId="0">#REF!</definedName>
    <definedName name="__No3">#REF!</definedName>
    <definedName name="_1.2" localSheetId="2">[1]BOQ!#REF!</definedName>
    <definedName name="_1.2" localSheetId="4">[1]BOQ!#REF!</definedName>
    <definedName name="_1.2" localSheetId="3">[1]BOQ!#REF!</definedName>
    <definedName name="_1.2" localSheetId="5">[1]BOQ!#REF!</definedName>
    <definedName name="_1.2" localSheetId="1">[1]BOQ!#REF!</definedName>
    <definedName name="_1.2" localSheetId="0">[1]BOQ!#REF!</definedName>
    <definedName name="_1.2">[1]BOQ!#REF!</definedName>
    <definedName name="_1.3" localSheetId="2">[1]BOQ!#REF!</definedName>
    <definedName name="_1.3" localSheetId="4">[1]BOQ!#REF!</definedName>
    <definedName name="_1.3" localSheetId="3">[1]BOQ!#REF!</definedName>
    <definedName name="_1.3" localSheetId="5">[1]BOQ!#REF!</definedName>
    <definedName name="_1.3" localSheetId="1">[1]BOQ!#REF!</definedName>
    <definedName name="_1.3" localSheetId="0">[1]BOQ!#REF!</definedName>
    <definedName name="_1.3">[1]BOQ!#REF!</definedName>
    <definedName name="_1.4" localSheetId="2">[1]BOQ!#REF!</definedName>
    <definedName name="_1.4" localSheetId="4">[1]BOQ!#REF!</definedName>
    <definedName name="_1.4" localSheetId="3">[1]BOQ!#REF!</definedName>
    <definedName name="_1.4" localSheetId="5">[1]BOQ!#REF!</definedName>
    <definedName name="_1.4" localSheetId="1">[1]BOQ!#REF!</definedName>
    <definedName name="_1.4" localSheetId="0">[1]BOQ!#REF!</definedName>
    <definedName name="_1.4">[1]BOQ!#REF!</definedName>
    <definedName name="_10_1.2" localSheetId="2">[1]BOQ!#REF!</definedName>
    <definedName name="_10_1.2" localSheetId="4">[1]BOQ!#REF!</definedName>
    <definedName name="_10_1.2" localSheetId="3">[1]BOQ!#REF!</definedName>
    <definedName name="_10_1.2" localSheetId="5">[1]BOQ!#REF!</definedName>
    <definedName name="_10_1.2" localSheetId="1">[1]BOQ!#REF!</definedName>
    <definedName name="_10_1.2" localSheetId="0">[1]BOQ!#REF!</definedName>
    <definedName name="_10_1.2">[1]BOQ!#REF!</definedName>
    <definedName name="_100_5B.4" localSheetId="2">[1]BOQ!#REF!</definedName>
    <definedName name="_100_5B.4" localSheetId="4">[1]BOQ!#REF!</definedName>
    <definedName name="_100_5B.4" localSheetId="3">[1]BOQ!#REF!</definedName>
    <definedName name="_100_5B.4" localSheetId="5">[1]BOQ!#REF!</definedName>
    <definedName name="_100_5B.4" localSheetId="1">[1]BOQ!#REF!</definedName>
    <definedName name="_100_5B.4" localSheetId="0">[1]BOQ!#REF!</definedName>
    <definedName name="_100_5B.4">[1]BOQ!#REF!</definedName>
    <definedName name="_110_6.2" localSheetId="2">[1]BOQ!#REF!</definedName>
    <definedName name="_110_6.2" localSheetId="4">[1]BOQ!#REF!</definedName>
    <definedName name="_110_6.2" localSheetId="3">[1]BOQ!#REF!</definedName>
    <definedName name="_110_6.2" localSheetId="5">[1]BOQ!#REF!</definedName>
    <definedName name="_110_6.2" localSheetId="1">[1]BOQ!#REF!</definedName>
    <definedName name="_110_6.2" localSheetId="0">[1]BOQ!#REF!</definedName>
    <definedName name="_110_6.2">[1]BOQ!#REF!</definedName>
    <definedName name="_120_6.3" localSheetId="2">[1]BOQ!#REF!</definedName>
    <definedName name="_120_6.3" localSheetId="4">[1]BOQ!#REF!</definedName>
    <definedName name="_120_6.3" localSheetId="3">[1]BOQ!#REF!</definedName>
    <definedName name="_120_6.3" localSheetId="5">[1]BOQ!#REF!</definedName>
    <definedName name="_120_6.3" localSheetId="1">[1]BOQ!#REF!</definedName>
    <definedName name="_120_6.3" localSheetId="0">[1]BOQ!#REF!</definedName>
    <definedName name="_120_6.3">[1]BOQ!#REF!</definedName>
    <definedName name="_130_6.4" localSheetId="2">[1]BOQ!#REF!</definedName>
    <definedName name="_130_6.4" localSheetId="4">[1]BOQ!#REF!</definedName>
    <definedName name="_130_6.4" localSheetId="3">[1]BOQ!#REF!</definedName>
    <definedName name="_130_6.4" localSheetId="5">[1]BOQ!#REF!</definedName>
    <definedName name="_130_6.4" localSheetId="1">[1]BOQ!#REF!</definedName>
    <definedName name="_130_6.4" localSheetId="0">[1]BOQ!#REF!</definedName>
    <definedName name="_130_6.4">[1]BOQ!#REF!</definedName>
    <definedName name="_20_1.3" localSheetId="2">[1]BOQ!#REF!</definedName>
    <definedName name="_20_1.3" localSheetId="4">[1]BOQ!#REF!</definedName>
    <definedName name="_20_1.3" localSheetId="3">[1]BOQ!#REF!</definedName>
    <definedName name="_20_1.3" localSheetId="5">[1]BOQ!#REF!</definedName>
    <definedName name="_20_1.3" localSheetId="1">[1]BOQ!#REF!</definedName>
    <definedName name="_20_1.3" localSheetId="0">[1]BOQ!#REF!</definedName>
    <definedName name="_20_1.3">[1]BOQ!#REF!</definedName>
    <definedName name="_30_1.4" localSheetId="2">[1]BOQ!#REF!</definedName>
    <definedName name="_30_1.4" localSheetId="4">[1]BOQ!#REF!</definedName>
    <definedName name="_30_1.4" localSheetId="3">[1]BOQ!#REF!</definedName>
    <definedName name="_30_1.4" localSheetId="5">[1]BOQ!#REF!</definedName>
    <definedName name="_30_1.4" localSheetId="1">[1]BOQ!#REF!</definedName>
    <definedName name="_30_1.4" localSheetId="0">[1]BOQ!#REF!</definedName>
    <definedName name="_30_1.4">[1]BOQ!#REF!</definedName>
    <definedName name="_40_5A.1" localSheetId="2">[1]BOQ!#REF!</definedName>
    <definedName name="_40_5A.1" localSheetId="4">[1]BOQ!#REF!</definedName>
    <definedName name="_40_5A.1" localSheetId="3">[1]BOQ!#REF!</definedName>
    <definedName name="_40_5A.1" localSheetId="5">[1]BOQ!#REF!</definedName>
    <definedName name="_40_5A.1" localSheetId="1">[1]BOQ!#REF!</definedName>
    <definedName name="_40_5A.1" localSheetId="0">[1]BOQ!#REF!</definedName>
    <definedName name="_40_5A.1">[1]BOQ!#REF!</definedName>
    <definedName name="_50_5A.2" localSheetId="2">[1]BOQ!#REF!</definedName>
    <definedName name="_50_5A.2" localSheetId="4">[1]BOQ!#REF!</definedName>
    <definedName name="_50_5A.2" localSheetId="3">[1]BOQ!#REF!</definedName>
    <definedName name="_50_5A.2" localSheetId="5">[1]BOQ!#REF!</definedName>
    <definedName name="_50_5A.2" localSheetId="1">[1]BOQ!#REF!</definedName>
    <definedName name="_50_5A.2" localSheetId="0">[1]BOQ!#REF!</definedName>
    <definedName name="_50_5A.2">[1]BOQ!#REF!</definedName>
    <definedName name="_5A.1" localSheetId="2">[1]BOQ!#REF!</definedName>
    <definedName name="_5A.1" localSheetId="4">[1]BOQ!#REF!</definedName>
    <definedName name="_5A.1" localSheetId="3">[1]BOQ!#REF!</definedName>
    <definedName name="_5A.1" localSheetId="5">[1]BOQ!#REF!</definedName>
    <definedName name="_5A.1" localSheetId="1">[1]BOQ!#REF!</definedName>
    <definedName name="_5A.1" localSheetId="0">[1]BOQ!#REF!</definedName>
    <definedName name="_5A.1">[1]BOQ!#REF!</definedName>
    <definedName name="_5A.2" localSheetId="2">[1]BOQ!#REF!</definedName>
    <definedName name="_5A.2" localSheetId="4">[1]BOQ!#REF!</definedName>
    <definedName name="_5A.2" localSheetId="3">[1]BOQ!#REF!</definedName>
    <definedName name="_5A.2" localSheetId="5">[1]BOQ!#REF!</definedName>
    <definedName name="_5A.2" localSheetId="1">[1]BOQ!#REF!</definedName>
    <definedName name="_5A.2" localSheetId="0">[1]BOQ!#REF!</definedName>
    <definedName name="_5A.2">[1]BOQ!#REF!</definedName>
    <definedName name="_5A.3" localSheetId="2">[1]BOQ!#REF!</definedName>
    <definedName name="_5A.3" localSheetId="4">[1]BOQ!#REF!</definedName>
    <definedName name="_5A.3" localSheetId="3">[1]BOQ!#REF!</definedName>
    <definedName name="_5A.3" localSheetId="5">[1]BOQ!#REF!</definedName>
    <definedName name="_5A.3" localSheetId="1">[1]BOQ!#REF!</definedName>
    <definedName name="_5A.3" localSheetId="0">[1]BOQ!#REF!</definedName>
    <definedName name="_5A.3">[1]BOQ!#REF!</definedName>
    <definedName name="_5B.1" localSheetId="2">[1]BOQ!#REF!</definedName>
    <definedName name="_5B.1" localSheetId="4">[1]BOQ!#REF!</definedName>
    <definedName name="_5B.1" localSheetId="3">[1]BOQ!#REF!</definedName>
    <definedName name="_5B.1" localSheetId="5">[1]BOQ!#REF!</definedName>
    <definedName name="_5B.1" localSheetId="1">[1]BOQ!#REF!</definedName>
    <definedName name="_5B.1" localSheetId="0">[1]BOQ!#REF!</definedName>
    <definedName name="_5B.1">[1]BOQ!#REF!</definedName>
    <definedName name="_5B.2" localSheetId="2">[1]BOQ!#REF!</definedName>
    <definedName name="_5B.2" localSheetId="4">[1]BOQ!#REF!</definedName>
    <definedName name="_5B.2" localSheetId="3">[1]BOQ!#REF!</definedName>
    <definedName name="_5B.2" localSheetId="5">[1]BOQ!#REF!</definedName>
    <definedName name="_5B.2" localSheetId="1">[1]BOQ!#REF!</definedName>
    <definedName name="_5B.2" localSheetId="0">[1]BOQ!#REF!</definedName>
    <definedName name="_5B.2">[1]BOQ!#REF!</definedName>
    <definedName name="_5B.3" localSheetId="2">[1]BOQ!#REF!</definedName>
    <definedName name="_5B.3" localSheetId="4">[1]BOQ!#REF!</definedName>
    <definedName name="_5B.3" localSheetId="3">[1]BOQ!#REF!</definedName>
    <definedName name="_5B.3" localSheetId="5">[1]BOQ!#REF!</definedName>
    <definedName name="_5B.3" localSheetId="1">[1]BOQ!#REF!</definedName>
    <definedName name="_5B.3" localSheetId="0">[1]BOQ!#REF!</definedName>
    <definedName name="_5B.3">[1]BOQ!#REF!</definedName>
    <definedName name="_5B.4" localSheetId="2">[1]BOQ!#REF!</definedName>
    <definedName name="_5B.4" localSheetId="4">[1]BOQ!#REF!</definedName>
    <definedName name="_5B.4" localSheetId="3">[1]BOQ!#REF!</definedName>
    <definedName name="_5B.4" localSheetId="5">[1]BOQ!#REF!</definedName>
    <definedName name="_5B.4" localSheetId="1">[1]BOQ!#REF!</definedName>
    <definedName name="_5B.4" localSheetId="0">[1]BOQ!#REF!</definedName>
    <definedName name="_5B.4">[1]BOQ!#REF!</definedName>
    <definedName name="_6.2" localSheetId="2">[1]BOQ!#REF!</definedName>
    <definedName name="_6.2" localSheetId="4">[1]BOQ!#REF!</definedName>
    <definedName name="_6.2" localSheetId="3">[1]BOQ!#REF!</definedName>
    <definedName name="_6.2" localSheetId="5">[1]BOQ!#REF!</definedName>
    <definedName name="_6.2" localSheetId="1">[1]BOQ!#REF!</definedName>
    <definedName name="_6.2" localSheetId="0">[1]BOQ!#REF!</definedName>
    <definedName name="_6.2">[1]BOQ!#REF!</definedName>
    <definedName name="_6.3" localSheetId="2">[1]BOQ!#REF!</definedName>
    <definedName name="_6.3" localSheetId="4">[1]BOQ!#REF!</definedName>
    <definedName name="_6.3" localSheetId="3">[1]BOQ!#REF!</definedName>
    <definedName name="_6.3" localSheetId="5">[1]BOQ!#REF!</definedName>
    <definedName name="_6.3" localSheetId="1">[1]BOQ!#REF!</definedName>
    <definedName name="_6.3" localSheetId="0">[1]BOQ!#REF!</definedName>
    <definedName name="_6.3">[1]BOQ!#REF!</definedName>
    <definedName name="_6.4" localSheetId="2">[1]BOQ!#REF!</definedName>
    <definedName name="_6.4" localSheetId="4">[1]BOQ!#REF!</definedName>
    <definedName name="_6.4" localSheetId="3">[1]BOQ!#REF!</definedName>
    <definedName name="_6.4" localSheetId="5">[1]BOQ!#REF!</definedName>
    <definedName name="_6.4" localSheetId="1">[1]BOQ!#REF!</definedName>
    <definedName name="_6.4" localSheetId="0">[1]BOQ!#REF!</definedName>
    <definedName name="_6.4">[1]BOQ!#REF!</definedName>
    <definedName name="_60_5A.3" localSheetId="2">[1]BOQ!#REF!</definedName>
    <definedName name="_60_5A.3" localSheetId="4">[1]BOQ!#REF!</definedName>
    <definedName name="_60_5A.3" localSheetId="3">[1]BOQ!#REF!</definedName>
    <definedName name="_60_5A.3" localSheetId="5">[1]BOQ!#REF!</definedName>
    <definedName name="_60_5A.3" localSheetId="1">[1]BOQ!#REF!</definedName>
    <definedName name="_60_5A.3" localSheetId="0">[1]BOQ!#REF!</definedName>
    <definedName name="_60_5A.3">[1]BOQ!#REF!</definedName>
    <definedName name="_70_5B.1" localSheetId="2">[1]BOQ!#REF!</definedName>
    <definedName name="_70_5B.1" localSheetId="4">[1]BOQ!#REF!</definedName>
    <definedName name="_70_5B.1" localSheetId="3">[1]BOQ!#REF!</definedName>
    <definedName name="_70_5B.1" localSheetId="5">[1]BOQ!#REF!</definedName>
    <definedName name="_70_5B.1" localSheetId="1">[1]BOQ!#REF!</definedName>
    <definedName name="_70_5B.1" localSheetId="0">[1]BOQ!#REF!</definedName>
    <definedName name="_70_5B.1">[1]BOQ!#REF!</definedName>
    <definedName name="_80_5B.2" localSheetId="2">[1]BOQ!#REF!</definedName>
    <definedName name="_80_5B.2" localSheetId="4">[1]BOQ!#REF!</definedName>
    <definedName name="_80_5B.2" localSheetId="3">[1]BOQ!#REF!</definedName>
    <definedName name="_80_5B.2" localSheetId="5">[1]BOQ!#REF!</definedName>
    <definedName name="_80_5B.2" localSheetId="1">[1]BOQ!#REF!</definedName>
    <definedName name="_80_5B.2" localSheetId="0">[1]BOQ!#REF!</definedName>
    <definedName name="_80_5B.2">[1]BOQ!#REF!</definedName>
    <definedName name="_90_5B.3" localSheetId="2">[1]BOQ!#REF!</definedName>
    <definedName name="_90_5B.3" localSheetId="4">[1]BOQ!#REF!</definedName>
    <definedName name="_90_5B.3" localSheetId="3">[1]BOQ!#REF!</definedName>
    <definedName name="_90_5B.3" localSheetId="5">[1]BOQ!#REF!</definedName>
    <definedName name="_90_5B.3" localSheetId="1">[1]BOQ!#REF!</definedName>
    <definedName name="_90_5B.3" localSheetId="0">[1]BOQ!#REF!</definedName>
    <definedName name="_90_5B.3">[1]BOQ!#REF!</definedName>
    <definedName name="_cntr_val" localSheetId="2">#REF!</definedName>
    <definedName name="_cntr_val" localSheetId="4">#REF!</definedName>
    <definedName name="_cntr_val" localSheetId="3">#REF!</definedName>
    <definedName name="_cntr_val" localSheetId="5">#REF!</definedName>
    <definedName name="_cntr_val" localSheetId="1">#REF!</definedName>
    <definedName name="_cntr_val" localSheetId="0">#REF!</definedName>
    <definedName name="_cntr_val">#REF!</definedName>
    <definedName name="_Fill" localSheetId="2">#REF!</definedName>
    <definedName name="_Fill" localSheetId="4">#REF!</definedName>
    <definedName name="_Fill" localSheetId="3">#REF!</definedName>
    <definedName name="_Fill" localSheetId="5">#REF!</definedName>
    <definedName name="_Fill" localSheetId="1">#REF!</definedName>
    <definedName name="_Fill" localSheetId="0">#REF!</definedName>
    <definedName name="_Fill">#REF!</definedName>
    <definedName name="_xlnm._FilterDatabase" localSheetId="2" hidden="1">#REF!</definedName>
    <definedName name="_xlnm._FilterDatabase" localSheetId="4" hidden="1">#REF!</definedName>
    <definedName name="_xlnm._FilterDatabase" localSheetId="3" hidden="1">#REF!</definedName>
    <definedName name="_xlnm._FilterDatabase" localSheetId="5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Iw65536" localSheetId="2">#REF!</definedName>
    <definedName name="_Iw65536" localSheetId="4">#REF!</definedName>
    <definedName name="_Iw65536" localSheetId="3">#REF!</definedName>
    <definedName name="_Iw65536" localSheetId="5">#REF!</definedName>
    <definedName name="_Iw65536" localSheetId="1">#REF!</definedName>
    <definedName name="_Iw65536" localSheetId="0">#REF!</definedName>
    <definedName name="_Iw65536">#REF!</definedName>
    <definedName name="_m1">'[3]No-edit'!$A$2:$A$13</definedName>
    <definedName name="_may1" localSheetId="2" hidden="1">{#N/A,#N/A,FALSE,"MARCH"}</definedName>
    <definedName name="_may1" localSheetId="4" hidden="1">{#N/A,#N/A,FALSE,"MARCH"}</definedName>
    <definedName name="_may1" localSheetId="3" hidden="1">{#N/A,#N/A,FALSE,"MARCH"}</definedName>
    <definedName name="_may1" localSheetId="5" hidden="1">{#N/A,#N/A,FALSE,"MARCH"}</definedName>
    <definedName name="_may1" localSheetId="1" hidden="1">{#N/A,#N/A,FALSE,"MARCH"}</definedName>
    <definedName name="_may1" localSheetId="0" hidden="1">{#N/A,#N/A,FALSE,"MARCH"}</definedName>
    <definedName name="_may1" hidden="1">{#N/A,#N/A,FALSE,"MARCH"}</definedName>
    <definedName name="_MON1" localSheetId="2">#REF!</definedName>
    <definedName name="_MON1" localSheetId="4">#REF!</definedName>
    <definedName name="_MON1" localSheetId="3">#REF!</definedName>
    <definedName name="_MON1" localSheetId="5">#REF!</definedName>
    <definedName name="_MON1" localSheetId="1">#REF!</definedName>
    <definedName name="_MON1" localSheetId="0">#REF!</definedName>
    <definedName name="_MON1">#REF!</definedName>
    <definedName name="_New1" localSheetId="2">#REF!</definedName>
    <definedName name="_New1" localSheetId="4">#REF!</definedName>
    <definedName name="_New1" localSheetId="3">#REF!</definedName>
    <definedName name="_New1" localSheetId="5">#REF!</definedName>
    <definedName name="_New1" localSheetId="1">#REF!</definedName>
    <definedName name="_New1" localSheetId="0">#REF!</definedName>
    <definedName name="_New1">#REF!</definedName>
    <definedName name="_No1" localSheetId="2">#REF!</definedName>
    <definedName name="_No1" localSheetId="4">#REF!</definedName>
    <definedName name="_No1" localSheetId="3">#REF!</definedName>
    <definedName name="_No1" localSheetId="5">#REF!</definedName>
    <definedName name="_No1" localSheetId="1">#REF!</definedName>
    <definedName name="_No1" localSheetId="0">#REF!</definedName>
    <definedName name="_No1">#REF!</definedName>
    <definedName name="_No2" localSheetId="2">#REF!</definedName>
    <definedName name="_No2" localSheetId="4">#REF!</definedName>
    <definedName name="_No2" localSheetId="3">#REF!</definedName>
    <definedName name="_No2" localSheetId="5">#REF!</definedName>
    <definedName name="_No2" localSheetId="1">#REF!</definedName>
    <definedName name="_No2" localSheetId="0">#REF!</definedName>
    <definedName name="_No2">#REF!</definedName>
    <definedName name="_No3" localSheetId="2">#REF!</definedName>
    <definedName name="_No3" localSheetId="4">#REF!</definedName>
    <definedName name="_No3" localSheetId="3">#REF!</definedName>
    <definedName name="_No3" localSheetId="5">#REF!</definedName>
    <definedName name="_No3" localSheetId="1">#REF!</definedName>
    <definedName name="_No3" localSheetId="0">#REF!</definedName>
    <definedName name="_No3">#REF!</definedName>
    <definedName name="_package">[4]Notes!$C$6</definedName>
    <definedName name="_paf" localSheetId="2">#REF!</definedName>
    <definedName name="_paf" localSheetId="4">#REF!</definedName>
    <definedName name="_paf" localSheetId="3">#REF!</definedName>
    <definedName name="_paf" localSheetId="5">#REF!</definedName>
    <definedName name="_paf" localSheetId="1">#REF!</definedName>
    <definedName name="_paf" localSheetId="0">#REF!</definedName>
    <definedName name="_paf">#REF!</definedName>
    <definedName name="_pkg_no" localSheetId="2">#REF!</definedName>
    <definedName name="_pkg_no" localSheetId="4">#REF!</definedName>
    <definedName name="_pkg_no" localSheetId="3">#REF!</definedName>
    <definedName name="_pkg_no" localSheetId="5">#REF!</definedName>
    <definedName name="_pkg_no" localSheetId="1">#REF!</definedName>
    <definedName name="_pkg_no" localSheetId="0">#REF!</definedName>
    <definedName name="_pkg_no">#REF!</definedName>
    <definedName name="_title">[4]Notes!$C$2</definedName>
    <definedName name="_title_2">[4]Notes!$C$3</definedName>
    <definedName name="_vo_date" localSheetId="2">#REF!</definedName>
    <definedName name="_vo_date" localSheetId="4">#REF!</definedName>
    <definedName name="_vo_date" localSheetId="3">#REF!</definedName>
    <definedName name="_vo_date" localSheetId="5">#REF!</definedName>
    <definedName name="_vo_date" localSheetId="1">#REF!</definedName>
    <definedName name="_vo_date" localSheetId="0">#REF!</definedName>
    <definedName name="_vo_date">#REF!</definedName>
    <definedName name="_vo_no" localSheetId="2">#REF!</definedName>
    <definedName name="_vo_no" localSheetId="4">#REF!</definedName>
    <definedName name="_vo_no" localSheetId="3">#REF!</definedName>
    <definedName name="_vo_no" localSheetId="5">#REF!</definedName>
    <definedName name="_vo_no" localSheetId="1">#REF!</definedName>
    <definedName name="_vo_no" localSheetId="0">#REF!</definedName>
    <definedName name="_vo_no">#REF!</definedName>
    <definedName name="a" localSheetId="2">#REF!</definedName>
    <definedName name="a" localSheetId="4">#REF!</definedName>
    <definedName name="a" localSheetId="3">#REF!</definedName>
    <definedName name="a" localSheetId="5">#REF!</definedName>
    <definedName name="a" localSheetId="1">#REF!</definedName>
    <definedName name="a" localSheetId="0">#REF!</definedName>
    <definedName name="a">#REF!</definedName>
    <definedName name="aa" localSheetId="2" hidden="1">#REF!</definedName>
    <definedName name="aa" localSheetId="4" hidden="1">#REF!</definedName>
    <definedName name="aa" localSheetId="3" hidden="1">#REF!</definedName>
    <definedName name="aa" localSheetId="5" hidden="1">#REF!</definedName>
    <definedName name="aa" localSheetId="1" hidden="1">#REF!</definedName>
    <definedName name="aa" localSheetId="0" hidden="1">#REF!</definedName>
    <definedName name="aa" hidden="1">#REF!</definedName>
    <definedName name="AAA" localSheetId="2">#REF!</definedName>
    <definedName name="AAA" localSheetId="4">#REF!</definedName>
    <definedName name="AAA" localSheetId="3">#REF!</definedName>
    <definedName name="AAA" localSheetId="5">#REF!</definedName>
    <definedName name="AAA" localSheetId="1">#REF!</definedName>
    <definedName name="AAA" localSheetId="0">#REF!</definedName>
    <definedName name="AAA">#REF!</definedName>
    <definedName name="AB" localSheetId="2">#REF!</definedName>
    <definedName name="AB" localSheetId="4">#REF!</definedName>
    <definedName name="AB" localSheetId="3">#REF!</definedName>
    <definedName name="AB" localSheetId="5">#REF!</definedName>
    <definedName name="AB" localSheetId="1">#REF!</definedName>
    <definedName name="AB" localSheetId="0">#REF!</definedName>
    <definedName name="AB">#REF!</definedName>
    <definedName name="abc" localSheetId="2">#REF!</definedName>
    <definedName name="abc" localSheetId="4">#REF!</definedName>
    <definedName name="abc" localSheetId="3">#REF!</definedName>
    <definedName name="abc" localSheetId="5">#REF!</definedName>
    <definedName name="abc" localSheetId="1">#REF!</definedName>
    <definedName name="abc" localSheetId="0">#REF!</definedName>
    <definedName name="abc">#REF!</definedName>
    <definedName name="Abut_name" localSheetId="2">#REF!</definedName>
    <definedName name="Abut_name" localSheetId="4">#REF!</definedName>
    <definedName name="Abut_name" localSheetId="3">#REF!</definedName>
    <definedName name="Abut_name" localSheetId="5">#REF!</definedName>
    <definedName name="Abut_name" localSheetId="1">#REF!</definedName>
    <definedName name="Abut_name" localSheetId="0">#REF!</definedName>
    <definedName name="Abut_name">#REF!</definedName>
    <definedName name="Abut_name1" localSheetId="2">#REF!</definedName>
    <definedName name="Abut_name1" localSheetId="4">#REF!</definedName>
    <definedName name="Abut_name1" localSheetId="3">#REF!</definedName>
    <definedName name="Abut_name1" localSheetId="5">#REF!</definedName>
    <definedName name="Abut_name1" localSheetId="1">#REF!</definedName>
    <definedName name="Abut_name1" localSheetId="0">#REF!</definedName>
    <definedName name="Abut_name1">#REF!</definedName>
    <definedName name="AD" localSheetId="2">#REF!</definedName>
    <definedName name="AD" localSheetId="4">#REF!</definedName>
    <definedName name="AD" localSheetId="3">#REF!</definedName>
    <definedName name="AD" localSheetId="5">#REF!</definedName>
    <definedName name="AD" localSheetId="1">#REF!</definedName>
    <definedName name="AD" localSheetId="0">#REF!</definedName>
    <definedName name="AD">#REF!</definedName>
    <definedName name="AggregateBaseCourse" localSheetId="2">#REF!</definedName>
    <definedName name="AggregateBaseCourse" localSheetId="4">#REF!</definedName>
    <definedName name="AggregateBaseCourse" localSheetId="3">#REF!</definedName>
    <definedName name="AggregateBaseCourse" localSheetId="5">#REF!</definedName>
    <definedName name="AggregateBaseCourse" localSheetId="1">#REF!</definedName>
    <definedName name="AggregateBaseCourse" localSheetId="0">#REF!</definedName>
    <definedName name="AggregateBaseCourse">#REF!</definedName>
    <definedName name="ajith">[5]BOQ2!$G$579</definedName>
    <definedName name="AS" localSheetId="2">#REF!</definedName>
    <definedName name="AS" localSheetId="4">#REF!</definedName>
    <definedName name="AS" localSheetId="3">#REF!</definedName>
    <definedName name="AS" localSheetId="5">#REF!</definedName>
    <definedName name="AS" localSheetId="1">#REF!</definedName>
    <definedName name="AS" localSheetId="0">#REF!</definedName>
    <definedName name="AS">#REF!</definedName>
    <definedName name="ASASA" localSheetId="2">#REF!</definedName>
    <definedName name="ASASA" localSheetId="4">#REF!</definedName>
    <definedName name="ASASA" localSheetId="3">#REF!</definedName>
    <definedName name="ASASA" localSheetId="5">#REF!</definedName>
    <definedName name="ASASA" localSheetId="1">#REF!</definedName>
    <definedName name="ASASA" localSheetId="0">#REF!</definedName>
    <definedName name="ASASA">#REF!</definedName>
    <definedName name="ASASAS" localSheetId="2" hidden="1">#REF!</definedName>
    <definedName name="ASASAS" localSheetId="4" hidden="1">#REF!</definedName>
    <definedName name="ASASAS" localSheetId="3" hidden="1">#REF!</definedName>
    <definedName name="ASASAS" localSheetId="5" hidden="1">#REF!</definedName>
    <definedName name="ASASAS" localSheetId="1" hidden="1">#REF!</definedName>
    <definedName name="ASASAS" localSheetId="0" hidden="1">#REF!</definedName>
    <definedName name="ASASAS" hidden="1">#REF!</definedName>
    <definedName name="asd" localSheetId="2">#REF!</definedName>
    <definedName name="asd" localSheetId="4">#REF!</definedName>
    <definedName name="asd" localSheetId="3">#REF!</definedName>
    <definedName name="asd" localSheetId="5">#REF!</definedName>
    <definedName name="asd" localSheetId="1">#REF!</definedName>
    <definedName name="asd" localSheetId="0">#REF!</definedName>
    <definedName name="asd">#REF!</definedName>
    <definedName name="ASE" localSheetId="2">#REF!</definedName>
    <definedName name="ASE" localSheetId="4">#REF!</definedName>
    <definedName name="ASE" localSheetId="3">#REF!</definedName>
    <definedName name="ASE" localSheetId="5">#REF!</definedName>
    <definedName name="ASE" localSheetId="1">#REF!</definedName>
    <definedName name="ASE" localSheetId="0">#REF!</definedName>
    <definedName name="ASE">#REF!</definedName>
    <definedName name="AsphalticBaseCourse" localSheetId="2">#REF!</definedName>
    <definedName name="AsphalticBaseCourse" localSheetId="4">#REF!</definedName>
    <definedName name="AsphalticBaseCourse" localSheetId="3">#REF!</definedName>
    <definedName name="AsphalticBaseCourse" localSheetId="5">#REF!</definedName>
    <definedName name="AsphalticBaseCourse" localSheetId="1">#REF!</definedName>
    <definedName name="AsphalticBaseCourse" localSheetId="0">#REF!</definedName>
    <definedName name="AsphalticBaseCourse">#REF!</definedName>
    <definedName name="ass.vv" localSheetId="2" hidden="1">{#N/A,#N/A,FALSE,"Abutments &amp; Pier(s)"}</definedName>
    <definedName name="ass.vv" localSheetId="4" hidden="1">{#N/A,#N/A,FALSE,"Abutments &amp; Pier(s)"}</definedName>
    <definedName name="ass.vv" localSheetId="3" hidden="1">{#N/A,#N/A,FALSE,"Abutments &amp; Pier(s)"}</definedName>
    <definedName name="ass.vv" localSheetId="5" hidden="1">{#N/A,#N/A,FALSE,"Abutments &amp; Pier(s)"}</definedName>
    <definedName name="ass.vv" localSheetId="1" hidden="1">{#N/A,#N/A,FALSE,"Abutments &amp; Pier(s)"}</definedName>
    <definedName name="ass.vv" localSheetId="0" hidden="1">{#N/A,#N/A,FALSE,"Abutments &amp; Pier(s)"}</definedName>
    <definedName name="ass.vv" hidden="1">{#N/A,#N/A,FALSE,"Abutments &amp; Pier(s)"}</definedName>
    <definedName name="ASW" localSheetId="2">#REF!</definedName>
    <definedName name="ASW" localSheetId="4">#REF!</definedName>
    <definedName name="ASW" localSheetId="3">#REF!</definedName>
    <definedName name="ASW" localSheetId="5">#REF!</definedName>
    <definedName name="ASW" localSheetId="1">#REF!</definedName>
    <definedName name="ASW" localSheetId="0">#REF!</definedName>
    <definedName name="ASW">#REF!</definedName>
    <definedName name="Attendance" localSheetId="2">#REF!</definedName>
    <definedName name="Attendance" localSheetId="4">#REF!</definedName>
    <definedName name="Attendance" localSheetId="3">#REF!</definedName>
    <definedName name="Attendance" localSheetId="5">#REF!</definedName>
    <definedName name="Attendance" localSheetId="1">#REF!</definedName>
    <definedName name="Attendance" localSheetId="0">#REF!</definedName>
    <definedName name="Attendance">#REF!</definedName>
    <definedName name="Attendance1">[6]select_month!$A$1:$I$38</definedName>
    <definedName name="awsd" localSheetId="2">#REF!</definedName>
    <definedName name="awsd" localSheetId="4">#REF!</definedName>
    <definedName name="awsd" localSheetId="3">#REF!</definedName>
    <definedName name="awsd" localSheetId="5">#REF!</definedName>
    <definedName name="awsd" localSheetId="1">#REF!</definedName>
    <definedName name="awsd" localSheetId="0">#REF!</definedName>
    <definedName name="awsd">#REF!</definedName>
    <definedName name="B" localSheetId="2">#REF!</definedName>
    <definedName name="B" localSheetId="4">#REF!</definedName>
    <definedName name="B" localSheetId="3">#REF!</definedName>
    <definedName name="B" localSheetId="5">#REF!</definedName>
    <definedName name="B" localSheetId="1">#REF!</definedName>
    <definedName name="B" localSheetId="0">#REF!</definedName>
    <definedName name="B">#REF!</definedName>
    <definedName name="Basic_Salary" localSheetId="2">#REF!</definedName>
    <definedName name="Basic_Salary" localSheetId="4">#REF!</definedName>
    <definedName name="Basic_Salary" localSheetId="3">#REF!</definedName>
    <definedName name="Basic_Salary" localSheetId="5">#REF!</definedName>
    <definedName name="Basic_Salary" localSheetId="1">#REF!</definedName>
    <definedName name="Basic_Salary" localSheetId="0">#REF!</definedName>
    <definedName name="Basic_Salary">#REF!</definedName>
    <definedName name="BB" localSheetId="2">#REF!</definedName>
    <definedName name="BB" localSheetId="4">#REF!</definedName>
    <definedName name="BB" localSheetId="3">#REF!</definedName>
    <definedName name="BB" localSheetId="5">#REF!</definedName>
    <definedName name="BB" localSheetId="1">#REF!</definedName>
    <definedName name="BB" localSheetId="0">#REF!</definedName>
    <definedName name="BB">#REF!</definedName>
    <definedName name="bbb" localSheetId="2">#REF!</definedName>
    <definedName name="bbb" localSheetId="4">#REF!</definedName>
    <definedName name="bbb" localSheetId="3">#REF!</definedName>
    <definedName name="bbb" localSheetId="5">#REF!</definedName>
    <definedName name="bbb" localSheetId="1">#REF!</definedName>
    <definedName name="bbb" localSheetId="0">#REF!</definedName>
    <definedName name="bbb">#REF!</definedName>
    <definedName name="bill" localSheetId="2">#REF!</definedName>
    <definedName name="bill" localSheetId="4">#REF!</definedName>
    <definedName name="bill" localSheetId="3">#REF!</definedName>
    <definedName name="bill" localSheetId="5">#REF!</definedName>
    <definedName name="bill" localSheetId="1">#REF!</definedName>
    <definedName name="bill" localSheetId="0">#REF!</definedName>
    <definedName name="bill">#REF!</definedName>
    <definedName name="BIN" localSheetId="2">#REF!</definedName>
    <definedName name="BIN" localSheetId="4">#REF!</definedName>
    <definedName name="BIN" localSheetId="3">#REF!</definedName>
    <definedName name="BIN" localSheetId="5">#REF!</definedName>
    <definedName name="BIN" localSheetId="1">#REF!</definedName>
    <definedName name="BIN" localSheetId="0">#REF!</definedName>
    <definedName name="BIN">#REF!</definedName>
    <definedName name="Bitumen" localSheetId="2">#REF!</definedName>
    <definedName name="Bitumen" localSheetId="4">#REF!</definedName>
    <definedName name="Bitumen" localSheetId="3">#REF!</definedName>
    <definedName name="Bitumen" localSheetId="5">#REF!</definedName>
    <definedName name="Bitumen" localSheetId="1">#REF!</definedName>
    <definedName name="Bitumen" localSheetId="0">#REF!</definedName>
    <definedName name="Bitumen">#REF!</definedName>
    <definedName name="BOQ" localSheetId="2">#REF!</definedName>
    <definedName name="BOQ" localSheetId="4">#REF!</definedName>
    <definedName name="BOQ" localSheetId="3">#REF!</definedName>
    <definedName name="BOQ" localSheetId="5">#REF!</definedName>
    <definedName name="BOQ" localSheetId="1">#REF!</definedName>
    <definedName name="BOQ" localSheetId="0">#REF!</definedName>
    <definedName name="BOQ">#REF!</definedName>
    <definedName name="BR_NO" localSheetId="2">#REF!</definedName>
    <definedName name="BR_NO" localSheetId="4">#REF!</definedName>
    <definedName name="BR_NO" localSheetId="3">#REF!</definedName>
    <definedName name="BR_NO" localSheetId="5">#REF!</definedName>
    <definedName name="BR_NO" localSheetId="1">#REF!</definedName>
    <definedName name="BR_NO" localSheetId="0">#REF!</definedName>
    <definedName name="BR_NO">#REF!</definedName>
    <definedName name="Bsalary">[6]Labor_rate!$B:$B</definedName>
    <definedName name="Category" localSheetId="2">#REF!</definedName>
    <definedName name="Category" localSheetId="4">#REF!</definedName>
    <definedName name="Category" localSheetId="3">#REF!</definedName>
    <definedName name="Category" localSheetId="5">#REF!</definedName>
    <definedName name="Category" localSheetId="1">#REF!</definedName>
    <definedName name="Category" localSheetId="0">#REF!</definedName>
    <definedName name="Category">#REF!</definedName>
    <definedName name="Category2">[6]Labor_rate!$A:$A</definedName>
    <definedName name="CatEyes" localSheetId="2">#REF!</definedName>
    <definedName name="CatEyes" localSheetId="4">#REF!</definedName>
    <definedName name="CatEyes" localSheetId="3">#REF!</definedName>
    <definedName name="CatEyes" localSheetId="5">#REF!</definedName>
    <definedName name="CatEyes" localSheetId="1">#REF!</definedName>
    <definedName name="CatEyes" localSheetId="0">#REF!</definedName>
    <definedName name="CatEyes">#REF!</definedName>
    <definedName name="CC" localSheetId="2">#REF!</definedName>
    <definedName name="CC" localSheetId="4">#REF!</definedName>
    <definedName name="CC" localSheetId="3">#REF!</definedName>
    <definedName name="CC" localSheetId="5">#REF!</definedName>
    <definedName name="CC" localSheetId="1">#REF!</definedName>
    <definedName name="CC" localSheetId="0">#REF!</definedName>
    <definedName name="CC">#REF!</definedName>
    <definedName name="ClearingAndGrubbing" localSheetId="2">#REF!</definedName>
    <definedName name="ClearingAndGrubbing" localSheetId="4">#REF!</definedName>
    <definedName name="ClearingAndGrubbing" localSheetId="3">#REF!</definedName>
    <definedName name="ClearingAndGrubbing" localSheetId="5">#REF!</definedName>
    <definedName name="ClearingAndGrubbing" localSheetId="1">#REF!</definedName>
    <definedName name="ClearingAndGrubbing" localSheetId="0">#REF!</definedName>
    <definedName name="ClearingAndGrubbing">#REF!</definedName>
    <definedName name="Code" localSheetId="2">#REF!</definedName>
    <definedName name="Code" localSheetId="4">#REF!</definedName>
    <definedName name="Code" localSheetId="3">#REF!</definedName>
    <definedName name="Code" localSheetId="5">#REF!</definedName>
    <definedName name="Code" localSheetId="1">#REF!</definedName>
    <definedName name="Code" localSheetId="0">#REF!</definedName>
    <definedName name="Code">#REF!</definedName>
    <definedName name="Con_Value" localSheetId="2">#REF!</definedName>
    <definedName name="Con_Value" localSheetId="4">#REF!</definedName>
    <definedName name="Con_Value" localSheetId="3">#REF!</definedName>
    <definedName name="Con_Value" localSheetId="5">#REF!</definedName>
    <definedName name="Con_Value" localSheetId="1">#REF!</definedName>
    <definedName name="Con_Value" localSheetId="0">#REF!</definedName>
    <definedName name="Con_Value">#REF!</definedName>
    <definedName name="concrete" localSheetId="2">#REF!</definedName>
    <definedName name="concrete" localSheetId="4">#REF!</definedName>
    <definedName name="concrete" localSheetId="3">#REF!</definedName>
    <definedName name="concrete" localSheetId="5">#REF!</definedName>
    <definedName name="concrete" localSheetId="1">#REF!</definedName>
    <definedName name="concrete" localSheetId="0">#REF!</definedName>
    <definedName name="concrete">#REF!</definedName>
    <definedName name="ConcreteClassA" localSheetId="2">#REF!</definedName>
    <definedName name="ConcreteClassA" localSheetId="4">#REF!</definedName>
    <definedName name="ConcreteClassA" localSheetId="3">#REF!</definedName>
    <definedName name="ConcreteClassA" localSheetId="5">#REF!</definedName>
    <definedName name="ConcreteClassA" localSheetId="1">#REF!</definedName>
    <definedName name="ConcreteClassA" localSheetId="0">#REF!</definedName>
    <definedName name="ConcreteClassA">#REF!</definedName>
    <definedName name="_xlnm.Consolidate_Area">#N/A</definedName>
    <definedName name="Country" localSheetId="2">#REF!</definedName>
    <definedName name="Country" localSheetId="4">#REF!</definedName>
    <definedName name="Country" localSheetId="3">#REF!</definedName>
    <definedName name="Country" localSheetId="5">#REF!</definedName>
    <definedName name="Country" localSheetId="1">#REF!</definedName>
    <definedName name="Country" localSheetId="0">#REF!</definedName>
    <definedName name="Country">#REF!</definedName>
    <definedName name="cover1">'[7]Basic Rates'!$C$4</definedName>
    <definedName name="_xlnm.Criteria" localSheetId="2">[8]HeavyData!#REF!</definedName>
    <definedName name="_xlnm.Criteria" localSheetId="4">[8]HeavyData!#REF!</definedName>
    <definedName name="_xlnm.Criteria" localSheetId="3">[8]HeavyData!#REF!</definedName>
    <definedName name="_xlnm.Criteria" localSheetId="5">[8]HeavyData!#REF!</definedName>
    <definedName name="_xlnm.Criteria" localSheetId="1">[8]HeavyData!#REF!</definedName>
    <definedName name="_xlnm.Criteria" localSheetId="0">[8]HeavyData!#REF!</definedName>
    <definedName name="_xlnm.Criteria">[8]HeavyData!#REF!</definedName>
    <definedName name="CumulativeFinancialProgress" localSheetId="2">#REF!</definedName>
    <definedName name="CumulativeFinancialProgress" localSheetId="4">#REF!</definedName>
    <definedName name="CumulativeFinancialProgress" localSheetId="3">#REF!</definedName>
    <definedName name="CumulativeFinancialProgress" localSheetId="5">#REF!</definedName>
    <definedName name="CumulativeFinancialProgress" localSheetId="1">#REF!</definedName>
    <definedName name="CumulativeFinancialProgress" localSheetId="0">#REF!</definedName>
    <definedName name="CumulativeFinancialProgress">#REF!</definedName>
    <definedName name="CumulativePercentCompletion" localSheetId="2">#REF!</definedName>
    <definedName name="CumulativePercentCompletion" localSheetId="4">#REF!</definedName>
    <definedName name="CumulativePercentCompletion" localSheetId="3">#REF!</definedName>
    <definedName name="CumulativePercentCompletion" localSheetId="5">#REF!</definedName>
    <definedName name="CumulativePercentCompletion" localSheetId="1">#REF!</definedName>
    <definedName name="CumulativePercentCompletion" localSheetId="0">#REF!</definedName>
    <definedName name="CumulativePercentCompletion">#REF!</definedName>
    <definedName name="D" localSheetId="2">#REF!</definedName>
    <definedName name="D" localSheetId="4">#REF!</definedName>
    <definedName name="D" localSheetId="3">#REF!</definedName>
    <definedName name="D" localSheetId="5">#REF!</definedName>
    <definedName name="D" localSheetId="1">#REF!</definedName>
    <definedName name="D" localSheetId="0">#REF!</definedName>
    <definedName name="D">#REF!</definedName>
    <definedName name="D_Name">"ドロップ 4"</definedName>
    <definedName name="DA" localSheetId="2">#REF!</definedName>
    <definedName name="DA" localSheetId="4">#REF!</definedName>
    <definedName name="DA" localSheetId="3">#REF!</definedName>
    <definedName name="DA" localSheetId="5">#REF!</definedName>
    <definedName name="DA" localSheetId="1">#REF!</definedName>
    <definedName name="DA" localSheetId="0">#REF!</definedName>
    <definedName name="DA">#REF!</definedName>
    <definedName name="_xlnm.Database" localSheetId="2">#REF!</definedName>
    <definedName name="_xlnm.Database" localSheetId="4">#REF!</definedName>
    <definedName name="_xlnm.Database" localSheetId="3">#REF!</definedName>
    <definedName name="_xlnm.Database" localSheetId="5">#REF!</definedName>
    <definedName name="_xlnm.Database" localSheetId="1">#REF!</definedName>
    <definedName name="_xlnm.Database" localSheetId="0">#REF!</definedName>
    <definedName name="_xlnm.Database">#REF!</definedName>
    <definedName name="Daywork1" localSheetId="2" hidden="1">{#N/A,#N/A,FALSE,"MARCH"}</definedName>
    <definedName name="Daywork1" localSheetId="4" hidden="1">{#N/A,#N/A,FALSE,"MARCH"}</definedName>
    <definedName name="Daywork1" localSheetId="3" hidden="1">{#N/A,#N/A,FALSE,"MARCH"}</definedName>
    <definedName name="Daywork1" localSheetId="5" hidden="1">{#N/A,#N/A,FALSE,"MARCH"}</definedName>
    <definedName name="Daywork1" localSheetId="1" hidden="1">{#N/A,#N/A,FALSE,"MARCH"}</definedName>
    <definedName name="Daywork1" localSheetId="0" hidden="1">{#N/A,#N/A,FALSE,"MARCH"}</definedName>
    <definedName name="Daywork1" hidden="1">{#N/A,#N/A,FALSE,"MARCH"}</definedName>
    <definedName name="dc" localSheetId="2">#REF!</definedName>
    <definedName name="dc" localSheetId="4">#REF!</definedName>
    <definedName name="dc" localSheetId="3">#REF!</definedName>
    <definedName name="dc" localSheetId="5">#REF!</definedName>
    <definedName name="dc" localSheetId="1">#REF!</definedName>
    <definedName name="dc" localSheetId="0">#REF!</definedName>
    <definedName name="dc">#REF!</definedName>
    <definedName name="dd" localSheetId="2">#REF!</definedName>
    <definedName name="dd" localSheetId="4">#REF!</definedName>
    <definedName name="dd" localSheetId="3">#REF!</definedName>
    <definedName name="dd" localSheetId="5">#REF!</definedName>
    <definedName name="dd" localSheetId="1">#REF!</definedName>
    <definedName name="dd" localSheetId="0">#REF!</definedName>
    <definedName name="dd">#REF!</definedName>
    <definedName name="ddd" localSheetId="2">#REF!</definedName>
    <definedName name="ddd" localSheetId="4">#REF!</definedName>
    <definedName name="ddd" localSheetId="3">#REF!</definedName>
    <definedName name="ddd" localSheetId="5">#REF!</definedName>
    <definedName name="ddd" localSheetId="1">#REF!</definedName>
    <definedName name="ddd" localSheetId="0">#REF!</definedName>
    <definedName name="ddd">#REF!</definedName>
    <definedName name="ddddd" localSheetId="2" hidden="1">#REF!</definedName>
    <definedName name="ddddd" localSheetId="4" hidden="1">#REF!</definedName>
    <definedName name="ddddd" localSheetId="3" hidden="1">#REF!</definedName>
    <definedName name="ddddd" localSheetId="5" hidden="1">#REF!</definedName>
    <definedName name="ddddd" localSheetId="1" hidden="1">#REF!</definedName>
    <definedName name="ddddd" localSheetId="0" hidden="1">#REF!</definedName>
    <definedName name="ddddd" hidden="1">#REF!</definedName>
    <definedName name="dddddfjnjnjnjnjn" localSheetId="2" hidden="1">{#N/A,#N/A,FALSE,"MARCH"}</definedName>
    <definedName name="dddddfjnjnjnjnjn" localSheetId="4" hidden="1">{#N/A,#N/A,FALSE,"MARCH"}</definedName>
    <definedName name="dddddfjnjnjnjnjn" localSheetId="3" hidden="1">{#N/A,#N/A,FALSE,"MARCH"}</definedName>
    <definedName name="dddddfjnjnjnjnjn" localSheetId="5" hidden="1">{#N/A,#N/A,FALSE,"MARCH"}</definedName>
    <definedName name="dddddfjnjnjnjnjn" localSheetId="1" hidden="1">{#N/A,#N/A,FALSE,"MARCH"}</definedName>
    <definedName name="dddddfjnjnjnjnjn" localSheetId="0" hidden="1">{#N/A,#N/A,FALSE,"MARCH"}</definedName>
    <definedName name="dddddfjnjnjnjnjn" hidden="1">{#N/A,#N/A,FALSE,"MARCH"}</definedName>
    <definedName name="DEL_ERR" localSheetId="2">#REF!</definedName>
    <definedName name="DEL_ERR" localSheetId="4">#REF!</definedName>
    <definedName name="DEL_ERR" localSheetId="3">#REF!</definedName>
    <definedName name="DEL_ERR" localSheetId="5">#REF!</definedName>
    <definedName name="DEL_ERR" localSheetId="1">#REF!</definedName>
    <definedName name="DEL_ERR" localSheetId="0">#REF!</definedName>
    <definedName name="DEL_ERR">#REF!</definedName>
    <definedName name="DEL_ERR1" localSheetId="2">#REF!</definedName>
    <definedName name="DEL_ERR1" localSheetId="4">#REF!</definedName>
    <definedName name="DEL_ERR1" localSheetId="3">#REF!</definedName>
    <definedName name="DEL_ERR1" localSheetId="5">#REF!</definedName>
    <definedName name="DEL_ERR1" localSheetId="1">#REF!</definedName>
    <definedName name="DEL_ERR1" localSheetId="0">#REF!</definedName>
    <definedName name="DEL_ERR1">#REF!</definedName>
    <definedName name="DEL_ERR2" localSheetId="2">#REF!</definedName>
    <definedName name="DEL_ERR2" localSheetId="4">#REF!</definedName>
    <definedName name="DEL_ERR2" localSheetId="3">#REF!</definedName>
    <definedName name="DEL_ERR2" localSheetId="5">#REF!</definedName>
    <definedName name="DEL_ERR2" localSheetId="1">#REF!</definedName>
    <definedName name="DEL_ERR2" localSheetId="0">#REF!</definedName>
    <definedName name="DEL_ERR2">#REF!</definedName>
    <definedName name="DEL_ERR3" localSheetId="2">#REF!</definedName>
    <definedName name="DEL_ERR3" localSheetId="4">#REF!</definedName>
    <definedName name="DEL_ERR3" localSheetId="3">#REF!</definedName>
    <definedName name="DEL_ERR3" localSheetId="5">#REF!</definedName>
    <definedName name="DEL_ERR3" localSheetId="1">#REF!</definedName>
    <definedName name="DEL_ERR3" localSheetId="0">#REF!</definedName>
    <definedName name="DEL_ERR3">#REF!</definedName>
    <definedName name="DEL_ROW" localSheetId="2">#REF!</definedName>
    <definedName name="DEL_ROW" localSheetId="4">#REF!</definedName>
    <definedName name="DEL_ROW" localSheetId="3">#REF!</definedName>
    <definedName name="DEL_ROW" localSheetId="5">#REF!</definedName>
    <definedName name="DEL_ROW" localSheetId="1">#REF!</definedName>
    <definedName name="DEL_ROW" localSheetId="0">#REF!</definedName>
    <definedName name="DEL_ROW">#REF!</definedName>
    <definedName name="DEL_ROW_S" localSheetId="2">#REF!</definedName>
    <definedName name="DEL_ROW_S" localSheetId="4">#REF!</definedName>
    <definedName name="DEL_ROW_S" localSheetId="3">#REF!</definedName>
    <definedName name="DEL_ROW_S" localSheetId="5">#REF!</definedName>
    <definedName name="DEL_ROW_S" localSheetId="1">#REF!</definedName>
    <definedName name="DEL_ROW_S" localSheetId="0">#REF!</definedName>
    <definedName name="DEL_ROW_S">#REF!</definedName>
    <definedName name="DELData">[9]残数量確認用!$D$4:$G$2500</definedName>
    <definedName name="dfjgopjga" localSheetId="2">#REF!</definedName>
    <definedName name="dfjgopjga" localSheetId="4">#REF!</definedName>
    <definedName name="dfjgopjga" localSheetId="3">#REF!</definedName>
    <definedName name="dfjgopjga" localSheetId="5">#REF!</definedName>
    <definedName name="dfjgopjga" localSheetId="1">#REF!</definedName>
    <definedName name="dfjgopjga" localSheetId="0">#REF!</definedName>
    <definedName name="dfjgopjga">#REF!</definedName>
    <definedName name="ds" localSheetId="2" hidden="1">{#N/A,#N/A,FALSE,"MARCH"}</definedName>
    <definedName name="ds" localSheetId="4" hidden="1">{#N/A,#N/A,FALSE,"MARCH"}</definedName>
    <definedName name="ds" localSheetId="3" hidden="1">{#N/A,#N/A,FALSE,"MARCH"}</definedName>
    <definedName name="ds" localSheetId="5" hidden="1">{#N/A,#N/A,FALSE,"MARCH"}</definedName>
    <definedName name="ds" localSheetId="1" hidden="1">{#N/A,#N/A,FALSE,"MARCH"}</definedName>
    <definedName name="ds" localSheetId="0" hidden="1">{#N/A,#N/A,FALSE,"MARCH"}</definedName>
    <definedName name="ds" hidden="1">{#N/A,#N/A,FALSE,"MARCH"}</definedName>
    <definedName name="DST" localSheetId="2">#REF!</definedName>
    <definedName name="DST" localSheetId="4">#REF!</definedName>
    <definedName name="DST" localSheetId="3">#REF!</definedName>
    <definedName name="DST" localSheetId="5">#REF!</definedName>
    <definedName name="DST" localSheetId="1">#REF!</definedName>
    <definedName name="DST" localSheetId="0">#REF!</definedName>
    <definedName name="DST">#REF!</definedName>
    <definedName name="Duration" localSheetId="2">#REF!</definedName>
    <definedName name="Duration" localSheetId="4">#REF!</definedName>
    <definedName name="Duration" localSheetId="3">#REF!</definedName>
    <definedName name="Duration" localSheetId="5">#REF!</definedName>
    <definedName name="Duration" localSheetId="1">#REF!</definedName>
    <definedName name="Duration" localSheetId="0">#REF!</definedName>
    <definedName name="Duration">#REF!</definedName>
    <definedName name="E" localSheetId="2">#REF!</definedName>
    <definedName name="E" localSheetId="4">#REF!</definedName>
    <definedName name="E" localSheetId="3">#REF!</definedName>
    <definedName name="E" localSheetId="5">#REF!</definedName>
    <definedName name="E" localSheetId="1">#REF!</definedName>
    <definedName name="E" localSheetId="0">#REF!</definedName>
    <definedName name="E">#REF!</definedName>
    <definedName name="EE" localSheetId="2">#REF!</definedName>
    <definedName name="EE" localSheetId="4">#REF!</definedName>
    <definedName name="EE" localSheetId="3">#REF!</definedName>
    <definedName name="EE" localSheetId="5">#REF!</definedName>
    <definedName name="EE" localSheetId="1">#REF!</definedName>
    <definedName name="EE" localSheetId="0">#REF!</definedName>
    <definedName name="EE">#REF!</definedName>
    <definedName name="Emb108a" localSheetId="2">#REF!</definedName>
    <definedName name="Emb108a" localSheetId="4">#REF!</definedName>
    <definedName name="Emb108a" localSheetId="3">#REF!</definedName>
    <definedName name="Emb108a" localSheetId="5">#REF!</definedName>
    <definedName name="Emb108a" localSheetId="1">#REF!</definedName>
    <definedName name="Emb108a" localSheetId="0">#REF!</definedName>
    <definedName name="Emb108a">#REF!</definedName>
    <definedName name="Emb108c" localSheetId="2">#REF!</definedName>
    <definedName name="Emb108c" localSheetId="4">#REF!</definedName>
    <definedName name="Emb108c" localSheetId="3">#REF!</definedName>
    <definedName name="Emb108c" localSheetId="5">#REF!</definedName>
    <definedName name="Emb108c" localSheetId="1">#REF!</definedName>
    <definedName name="Emb108c" localSheetId="0">#REF!</definedName>
    <definedName name="Emb108c">#REF!</definedName>
    <definedName name="End_Bal" localSheetId="2">#REF!</definedName>
    <definedName name="End_Bal" localSheetId="4">#REF!</definedName>
    <definedName name="End_Bal" localSheetId="3">#REF!</definedName>
    <definedName name="End_Bal" localSheetId="5">#REF!</definedName>
    <definedName name="End_Bal" localSheetId="1">#REF!</definedName>
    <definedName name="End_Bal" localSheetId="0">#REF!</definedName>
    <definedName name="End_Bal">#REF!</definedName>
    <definedName name="Equipment" localSheetId="2">#REF!</definedName>
    <definedName name="Equipment" localSheetId="4">#REF!</definedName>
    <definedName name="Equipment" localSheetId="3">#REF!</definedName>
    <definedName name="Equipment" localSheetId="5">#REF!</definedName>
    <definedName name="Equipment" localSheetId="1">#REF!</definedName>
    <definedName name="Equipment" localSheetId="0">#REF!</definedName>
    <definedName name="Equipment">#REF!</definedName>
    <definedName name="ERR" localSheetId="2">#REF!</definedName>
    <definedName name="ERR" localSheetId="4">#REF!</definedName>
    <definedName name="ERR" localSheetId="3">#REF!</definedName>
    <definedName name="ERR" localSheetId="5">#REF!</definedName>
    <definedName name="ERR" localSheetId="1">#REF!</definedName>
    <definedName name="ERR" localSheetId="0">#REF!</definedName>
    <definedName name="ERR">#REF!</definedName>
    <definedName name="Escalation" localSheetId="2">#REF!</definedName>
    <definedName name="Escalation" localSheetId="4">#REF!</definedName>
    <definedName name="Escalation" localSheetId="3">#REF!</definedName>
    <definedName name="Escalation" localSheetId="5">#REF!</definedName>
    <definedName name="Escalation" localSheetId="1">#REF!</definedName>
    <definedName name="Escalation" localSheetId="0">#REF!</definedName>
    <definedName name="Escalation">#REF!</definedName>
    <definedName name="F" localSheetId="2">#REF!</definedName>
    <definedName name="F" localSheetId="4">#REF!</definedName>
    <definedName name="F" localSheetId="3">#REF!</definedName>
    <definedName name="F" localSheetId="5">#REF!</definedName>
    <definedName name="F" localSheetId="1">#REF!</definedName>
    <definedName name="F" localSheetId="0">#REF!</definedName>
    <definedName name="F">#REF!</definedName>
    <definedName name="Factor" localSheetId="2">#REF!</definedName>
    <definedName name="Factor" localSheetId="4">#REF!</definedName>
    <definedName name="Factor" localSheetId="3">#REF!</definedName>
    <definedName name="Factor" localSheetId="5">#REF!</definedName>
    <definedName name="Factor" localSheetId="1">#REF!</definedName>
    <definedName name="Factor" localSheetId="0">#REF!</definedName>
    <definedName name="Factor">#REF!</definedName>
    <definedName name="fd" localSheetId="2" hidden="1">#REF!</definedName>
    <definedName name="fd" localSheetId="4" hidden="1">#REF!</definedName>
    <definedName name="fd" localSheetId="3" hidden="1">#REF!</definedName>
    <definedName name="fd" localSheetId="5" hidden="1">#REF!</definedName>
    <definedName name="fd" localSheetId="1" hidden="1">#REF!</definedName>
    <definedName name="fd" localSheetId="0" hidden="1">#REF!</definedName>
    <definedName name="fd" hidden="1">#REF!</definedName>
    <definedName name="fddgbfd" localSheetId="2">#REF!</definedName>
    <definedName name="fddgbfd" localSheetId="4">#REF!</definedName>
    <definedName name="fddgbfd" localSheetId="3">#REF!</definedName>
    <definedName name="fddgbfd" localSheetId="5">#REF!</definedName>
    <definedName name="fddgbfd" localSheetId="1">#REF!</definedName>
    <definedName name="fddgbfd" localSheetId="0">#REF!</definedName>
    <definedName name="fddgbfd">#REF!</definedName>
    <definedName name="FF" localSheetId="2">#REF!</definedName>
    <definedName name="FF" localSheetId="4">#REF!</definedName>
    <definedName name="FF" localSheetId="3">#REF!</definedName>
    <definedName name="FF" localSheetId="5">#REF!</definedName>
    <definedName name="FF" localSheetId="1">#REF!</definedName>
    <definedName name="FF" localSheetId="0">#REF!</definedName>
    <definedName name="FF">#REF!</definedName>
    <definedName name="FFF" localSheetId="2" hidden="1">{#N/A,#N/A,FALSE,"MARCH"}</definedName>
    <definedName name="FFF" localSheetId="4" hidden="1">{#N/A,#N/A,FALSE,"MARCH"}</definedName>
    <definedName name="FFF" localSheetId="3" hidden="1">{#N/A,#N/A,FALSE,"MARCH"}</definedName>
    <definedName name="FFF" localSheetId="5" hidden="1">{#N/A,#N/A,FALSE,"MARCH"}</definedName>
    <definedName name="FFF" localSheetId="1" hidden="1">{#N/A,#N/A,FALSE,"MARCH"}</definedName>
    <definedName name="FFF" localSheetId="0" hidden="1">{#N/A,#N/A,FALSE,"MARCH"}</definedName>
    <definedName name="FFF" hidden="1">{#N/A,#N/A,FALSE,"MARCH"}</definedName>
    <definedName name="FOUN" localSheetId="2">#REF!</definedName>
    <definedName name="FOUN" localSheetId="4">#REF!</definedName>
    <definedName name="FOUN" localSheetId="3">#REF!</definedName>
    <definedName name="FOUN" localSheetId="5">#REF!</definedName>
    <definedName name="FOUN" localSheetId="1">#REF!</definedName>
    <definedName name="FOUN" localSheetId="0">#REF!</definedName>
    <definedName name="FOUN">#REF!</definedName>
    <definedName name="Foun1">[10]BOQ2!$G$575</definedName>
    <definedName name="found1">[5]BOQ2!$G$575</definedName>
    <definedName name="FReport5" localSheetId="2" hidden="1">{#N/A,#N/A,FALSE,"MARCH"}</definedName>
    <definedName name="FReport5" localSheetId="4" hidden="1">{#N/A,#N/A,FALSE,"MARCH"}</definedName>
    <definedName name="FReport5" localSheetId="3" hidden="1">{#N/A,#N/A,FALSE,"MARCH"}</definedName>
    <definedName name="FReport5" localSheetId="5" hidden="1">{#N/A,#N/A,FALSE,"MARCH"}</definedName>
    <definedName name="FReport5" localSheetId="1" hidden="1">{#N/A,#N/A,FALSE,"MARCH"}</definedName>
    <definedName name="FReport5" localSheetId="0" hidden="1">{#N/A,#N/A,FALSE,"MARCH"}</definedName>
    <definedName name="FReport5" hidden="1">{#N/A,#N/A,FALSE,"MARCH"}</definedName>
    <definedName name="Full_Print" localSheetId="2">#REF!</definedName>
    <definedName name="Full_Print" localSheetId="4">#REF!</definedName>
    <definedName name="Full_Print" localSheetId="3">#REF!</definedName>
    <definedName name="Full_Print" localSheetId="5">#REF!</definedName>
    <definedName name="Full_Print" localSheetId="1">#REF!</definedName>
    <definedName name="Full_Print" localSheetId="0">#REF!</definedName>
    <definedName name="Full_Print">#REF!</definedName>
    <definedName name="G" localSheetId="2">#REF!</definedName>
    <definedName name="G" localSheetId="4">#REF!</definedName>
    <definedName name="G" localSheetId="3">#REF!</definedName>
    <definedName name="G" localSheetId="5">#REF!</definedName>
    <definedName name="G" localSheetId="1">#REF!</definedName>
    <definedName name="G" localSheetId="0">#REF!</definedName>
    <definedName name="G">#REF!</definedName>
    <definedName name="G.Total" localSheetId="2">#REF!</definedName>
    <definedName name="G.Total" localSheetId="4">#REF!</definedName>
    <definedName name="G.Total" localSheetId="3">#REF!</definedName>
    <definedName name="G.Total" localSheetId="5">#REF!</definedName>
    <definedName name="G.Total" localSheetId="1">#REF!</definedName>
    <definedName name="G.Total" localSheetId="0">#REF!</definedName>
    <definedName name="G.Total">#REF!</definedName>
    <definedName name="G.TTL" localSheetId="2">#REF!</definedName>
    <definedName name="G.TTL" localSheetId="4">#REF!</definedName>
    <definedName name="G.TTL" localSheetId="3">#REF!</definedName>
    <definedName name="G.TTL" localSheetId="5">#REF!</definedName>
    <definedName name="G.TTL" localSheetId="1">#REF!</definedName>
    <definedName name="G.TTL" localSheetId="0">#REF!</definedName>
    <definedName name="G.TTL">#REF!</definedName>
    <definedName name="G_Total" localSheetId="2">#REF!</definedName>
    <definedName name="G_Total" localSheetId="4">#REF!</definedName>
    <definedName name="G_Total" localSheetId="3">#REF!</definedName>
    <definedName name="G_Total" localSheetId="5">#REF!</definedName>
    <definedName name="G_Total" localSheetId="1">#REF!</definedName>
    <definedName name="G_Total" localSheetId="0">#REF!</definedName>
    <definedName name="G_Total">#REF!</definedName>
    <definedName name="G_W" localSheetId="2">#REF!</definedName>
    <definedName name="G_W" localSheetId="4">#REF!</definedName>
    <definedName name="G_W" localSheetId="3">#REF!</definedName>
    <definedName name="G_W" localSheetId="5">#REF!</definedName>
    <definedName name="G_W" localSheetId="1">#REF!</definedName>
    <definedName name="G_W" localSheetId="0">#REF!</definedName>
    <definedName name="G_W">#REF!</definedName>
    <definedName name="gfdfhfdhfgjhfg" localSheetId="2" hidden="1">#REF!</definedName>
    <definedName name="gfdfhfdhfgjhfg" localSheetId="4" hidden="1">#REF!</definedName>
    <definedName name="gfdfhfdhfgjhfg" localSheetId="3" hidden="1">#REF!</definedName>
    <definedName name="gfdfhfdhfgjhfg" localSheetId="5" hidden="1">#REF!</definedName>
    <definedName name="gfdfhfdhfgjhfg" localSheetId="1" hidden="1">#REF!</definedName>
    <definedName name="gfdfhfdhfgjhfg" localSheetId="0" hidden="1">#REF!</definedName>
    <definedName name="gfdfhfdhfgjhfg" hidden="1">#REF!</definedName>
    <definedName name="gfhgfhgfhjgfjth" localSheetId="2">#REF!</definedName>
    <definedName name="gfhgfhgfhjgfjth" localSheetId="4">#REF!</definedName>
    <definedName name="gfhgfhgfhjgfjth" localSheetId="3">#REF!</definedName>
    <definedName name="gfhgfhgfhjgfjth" localSheetId="5">#REF!</definedName>
    <definedName name="gfhgfhgfhjgfjth" localSheetId="1">#REF!</definedName>
    <definedName name="gfhgfhgfhjgfjth" localSheetId="0">#REF!</definedName>
    <definedName name="gfhgfhgfhjgfjth">#REF!</definedName>
    <definedName name="gh" localSheetId="2" hidden="1">{#N/A,#N/A,FALSE,"MARCH"}</definedName>
    <definedName name="gh" localSheetId="4" hidden="1">{#N/A,#N/A,FALSE,"MARCH"}</definedName>
    <definedName name="gh" localSheetId="3" hidden="1">{#N/A,#N/A,FALSE,"MARCH"}</definedName>
    <definedName name="gh" localSheetId="5" hidden="1">{#N/A,#N/A,FALSE,"MARCH"}</definedName>
    <definedName name="gh" localSheetId="1" hidden="1">{#N/A,#N/A,FALSE,"MARCH"}</definedName>
    <definedName name="gh" localSheetId="0" hidden="1">{#N/A,#N/A,FALSE,"MARCH"}</definedName>
    <definedName name="gh" hidden="1">{#N/A,#N/A,FALSE,"MARCH"}</definedName>
    <definedName name="GroutedRiprap" localSheetId="2">#REF!</definedName>
    <definedName name="GroutedRiprap" localSheetId="4">#REF!</definedName>
    <definedName name="GroutedRiprap" localSheetId="3">#REF!</definedName>
    <definedName name="GroutedRiprap" localSheetId="5">#REF!</definedName>
    <definedName name="GroutedRiprap" localSheetId="1">#REF!</definedName>
    <definedName name="GroutedRiprap" localSheetId="0">#REF!</definedName>
    <definedName name="GroutedRiprap">#REF!</definedName>
    <definedName name="GSB" localSheetId="2">#REF!</definedName>
    <definedName name="GSB" localSheetId="4">#REF!</definedName>
    <definedName name="GSB" localSheetId="3">#REF!</definedName>
    <definedName name="GSB" localSheetId="5">#REF!</definedName>
    <definedName name="GSB" localSheetId="1">#REF!</definedName>
    <definedName name="GSB" localSheetId="0">#REF!</definedName>
    <definedName name="GSB">#REF!</definedName>
    <definedName name="GST" localSheetId="2">#REF!</definedName>
    <definedName name="GST" localSheetId="4">#REF!</definedName>
    <definedName name="GST" localSheetId="3">#REF!</definedName>
    <definedName name="GST" localSheetId="5">#REF!</definedName>
    <definedName name="GST" localSheetId="1">#REF!</definedName>
    <definedName name="GST" localSheetId="0">#REF!</definedName>
    <definedName name="GST">#REF!</definedName>
    <definedName name="GUI" localSheetId="2">'[11]PLT-SUM'!#REF!</definedName>
    <definedName name="GUI" localSheetId="4">'[11]PLT-SUM'!#REF!</definedName>
    <definedName name="GUI" localSheetId="3">'[11]PLT-SUM'!#REF!</definedName>
    <definedName name="GUI" localSheetId="5">'[11]PLT-SUM'!#REF!</definedName>
    <definedName name="GUI" localSheetId="1">'[11]PLT-SUM'!#REF!</definedName>
    <definedName name="GUI" localSheetId="0">'[11]PLT-SUM'!#REF!</definedName>
    <definedName name="GUI">'[11]PLT-SUM'!#REF!</definedName>
    <definedName name="H" localSheetId="2">#REF!</definedName>
    <definedName name="H" localSheetId="4">#REF!</definedName>
    <definedName name="H" localSheetId="3">#REF!</definedName>
    <definedName name="H" localSheetId="5">#REF!</definedName>
    <definedName name="H" localSheetId="1">#REF!</definedName>
    <definedName name="H" localSheetId="0">#REF!</definedName>
    <definedName name="H">#REF!</definedName>
    <definedName name="haulage">'[12]Haulage(G.C.)'!$B$5:$J$117</definedName>
    <definedName name="HEAD" localSheetId="2">#REF!</definedName>
    <definedName name="HEAD" localSheetId="4">#REF!</definedName>
    <definedName name="HEAD" localSheetId="3">#REF!</definedName>
    <definedName name="HEAD" localSheetId="5">#REF!</definedName>
    <definedName name="HEAD" localSheetId="1">#REF!</definedName>
    <definedName name="HEAD" localSheetId="0">#REF!</definedName>
    <definedName name="HEAD">#REF!</definedName>
    <definedName name="HeadWall" localSheetId="2">#REF!</definedName>
    <definedName name="HeadWall" localSheetId="4">#REF!</definedName>
    <definedName name="HeadWall" localSheetId="3">#REF!</definedName>
    <definedName name="HeadWall" localSheetId="5">#REF!</definedName>
    <definedName name="HeadWall" localSheetId="1">#REF!</definedName>
    <definedName name="HeadWall" localSheetId="0">#REF!</definedName>
    <definedName name="HeadWall">#REF!</definedName>
    <definedName name="HeavyList" localSheetId="2">#REF!</definedName>
    <definedName name="HeavyList" localSheetId="4">#REF!</definedName>
    <definedName name="HeavyList" localSheetId="3">#REF!</definedName>
    <definedName name="HeavyList" localSheetId="5">#REF!</definedName>
    <definedName name="HeavyList" localSheetId="1">#REF!</definedName>
    <definedName name="HeavyList" localSheetId="0">#REF!</definedName>
    <definedName name="HeavyList">#REF!</definedName>
    <definedName name="hgh" localSheetId="2" hidden="1">#REF!</definedName>
    <definedName name="hgh" localSheetId="4" hidden="1">#REF!</definedName>
    <definedName name="hgh" localSheetId="3" hidden="1">#REF!</definedName>
    <definedName name="hgh" localSheetId="5" hidden="1">#REF!</definedName>
    <definedName name="hgh" localSheetId="1" hidden="1">#REF!</definedName>
    <definedName name="hgh" localSheetId="0" hidden="1">#REF!</definedName>
    <definedName name="hgh" hidden="1">#REF!</definedName>
    <definedName name="HH" localSheetId="2">#REF!</definedName>
    <definedName name="HH" localSheetId="4">#REF!</definedName>
    <definedName name="HH" localSheetId="3">#REF!</definedName>
    <definedName name="HH" localSheetId="5">#REF!</definedName>
    <definedName name="HH" localSheetId="1">#REF!</definedName>
    <definedName name="HH" localSheetId="0">#REF!</definedName>
    <definedName name="HH">#REF!</definedName>
    <definedName name="hjk" localSheetId="2" hidden="1">{#N/A,#N/A,FALSE,"MARCH"}</definedName>
    <definedName name="hjk" localSheetId="4" hidden="1">{#N/A,#N/A,FALSE,"MARCH"}</definedName>
    <definedName name="hjk" localSheetId="3" hidden="1">{#N/A,#N/A,FALSE,"MARCH"}</definedName>
    <definedName name="hjk" localSheetId="5" hidden="1">{#N/A,#N/A,FALSE,"MARCH"}</definedName>
    <definedName name="hjk" localSheetId="1" hidden="1">{#N/A,#N/A,FALSE,"MARCH"}</definedName>
    <definedName name="hjk" localSheetId="0" hidden="1">{#N/A,#N/A,FALSE,"MARCH"}</definedName>
    <definedName name="hjk" hidden="1">{#N/A,#N/A,FALSE,"MARCH"}</definedName>
    <definedName name="HOCList" localSheetId="2">#REF!</definedName>
    <definedName name="HOCList" localSheetId="4">#REF!</definedName>
    <definedName name="HOCList" localSheetId="3">#REF!</definedName>
    <definedName name="HOCList" localSheetId="5">#REF!</definedName>
    <definedName name="HOCList" localSheetId="1">#REF!</definedName>
    <definedName name="HOCList" localSheetId="0">#REF!</definedName>
    <definedName name="HOCList">#REF!</definedName>
    <definedName name="I.D." localSheetId="2">[13]HOC!#REF!</definedName>
    <definedName name="I.D." localSheetId="4">[13]HOC!#REF!</definedName>
    <definedName name="I.D." localSheetId="3">[13]HOC!#REF!</definedName>
    <definedName name="I.D." localSheetId="5">[13]HOC!#REF!</definedName>
    <definedName name="I.D." localSheetId="1">[13]HOC!#REF!</definedName>
    <definedName name="I.D." localSheetId="0">[13]HOC!#REF!</definedName>
    <definedName name="I.D.">[13]HOC!#REF!</definedName>
    <definedName name="ijn" localSheetId="2" hidden="1">{#N/A,#N/A,FALSE,"MARCH"}</definedName>
    <definedName name="ijn" localSheetId="4" hidden="1">{#N/A,#N/A,FALSE,"MARCH"}</definedName>
    <definedName name="ijn" localSheetId="3" hidden="1">{#N/A,#N/A,FALSE,"MARCH"}</definedName>
    <definedName name="ijn" localSheetId="5" hidden="1">{#N/A,#N/A,FALSE,"MARCH"}</definedName>
    <definedName name="ijn" localSheetId="1" hidden="1">{#N/A,#N/A,FALSE,"MARCH"}</definedName>
    <definedName name="ijn" localSheetId="0" hidden="1">{#N/A,#N/A,FALSE,"MARCH"}</definedName>
    <definedName name="ijn" hidden="1">{#N/A,#N/A,FALSE,"MARCH"}</definedName>
    <definedName name="Interest_Rate" localSheetId="2">#REF!</definedName>
    <definedName name="Interest_Rate" localSheetId="4">#REF!</definedName>
    <definedName name="Interest_Rate" localSheetId="3">#REF!</definedName>
    <definedName name="Interest_Rate" localSheetId="5">#REF!</definedName>
    <definedName name="Interest_Rate" localSheetId="1">#REF!</definedName>
    <definedName name="Interest_Rate" localSheetId="0">#REF!</definedName>
    <definedName name="Interest_Rate">#REF!</definedName>
    <definedName name="IPCs" localSheetId="2">#REF!</definedName>
    <definedName name="IPCs" localSheetId="4">#REF!</definedName>
    <definedName name="IPCs" localSheetId="3">#REF!</definedName>
    <definedName name="IPCs" localSheetId="5">#REF!</definedName>
    <definedName name="IPCs" localSheetId="1">#REF!</definedName>
    <definedName name="IPCs" localSheetId="0">#REF!</definedName>
    <definedName name="IPCs">#REF!</definedName>
    <definedName name="j" localSheetId="2">#REF!</definedName>
    <definedName name="j" localSheetId="4">#REF!</definedName>
    <definedName name="j" localSheetId="3">#REF!</definedName>
    <definedName name="j" localSheetId="5">#REF!</definedName>
    <definedName name="j" localSheetId="1">#REF!</definedName>
    <definedName name="j" localSheetId="0">#REF!</definedName>
    <definedName name="j">#REF!</definedName>
    <definedName name="jcb">'[14]Basic Rates'!$C$57</definedName>
    <definedName name="jcbm.">'[7]Basic Rates'!$C$57</definedName>
    <definedName name="jkhjhf" localSheetId="2">#REF!</definedName>
    <definedName name="jkhjhf" localSheetId="4">#REF!</definedName>
    <definedName name="jkhjhf" localSheetId="3">#REF!</definedName>
    <definedName name="jkhjhf" localSheetId="5">#REF!</definedName>
    <definedName name="jkhjhf" localSheetId="1">#REF!</definedName>
    <definedName name="jkhjhf" localSheetId="0">#REF!</definedName>
    <definedName name="jkhjhf">#REF!</definedName>
    <definedName name="jkl">[15]Notes!$C$7</definedName>
    <definedName name="July" localSheetId="2">#REF!</definedName>
    <definedName name="July" localSheetId="4">#REF!</definedName>
    <definedName name="July" localSheetId="3">#REF!</definedName>
    <definedName name="July" localSheetId="5">#REF!</definedName>
    <definedName name="July" localSheetId="1">#REF!</definedName>
    <definedName name="July" localSheetId="0">#REF!</definedName>
    <definedName name="July">#REF!</definedName>
    <definedName name="July05" localSheetId="2">#REF!</definedName>
    <definedName name="July05" localSheetId="4">#REF!</definedName>
    <definedName name="July05" localSheetId="3">#REF!</definedName>
    <definedName name="July05" localSheetId="5">#REF!</definedName>
    <definedName name="July05" localSheetId="1">#REF!</definedName>
    <definedName name="July05" localSheetId="0">#REF!</definedName>
    <definedName name="July05">#REF!</definedName>
    <definedName name="June" localSheetId="2">#REF!</definedName>
    <definedName name="June" localSheetId="4">#REF!</definedName>
    <definedName name="June" localSheetId="3">#REF!</definedName>
    <definedName name="June" localSheetId="5">#REF!</definedName>
    <definedName name="June" localSheetId="1">#REF!</definedName>
    <definedName name="June" localSheetId="0">#REF!</definedName>
    <definedName name="June">#REF!</definedName>
    <definedName name="K" localSheetId="2">#REF!</definedName>
    <definedName name="K" localSheetId="4">#REF!</definedName>
    <definedName name="K" localSheetId="3">#REF!</definedName>
    <definedName name="K" localSheetId="5">#REF!</definedName>
    <definedName name="K" localSheetId="1">#REF!</definedName>
    <definedName name="K" localSheetId="0">#REF!</definedName>
    <definedName name="K">#REF!</definedName>
    <definedName name="kgj" localSheetId="2" hidden="1">{#N/A,#N/A,FALSE,"MARCH"}</definedName>
    <definedName name="kgj" localSheetId="4" hidden="1">{#N/A,#N/A,FALSE,"MARCH"}</definedName>
    <definedName name="kgj" localSheetId="3" hidden="1">{#N/A,#N/A,FALSE,"MARCH"}</definedName>
    <definedName name="kgj" localSheetId="5" hidden="1">{#N/A,#N/A,FALSE,"MARCH"}</definedName>
    <definedName name="kgj" localSheetId="1" hidden="1">{#N/A,#N/A,FALSE,"MARCH"}</definedName>
    <definedName name="kgj" localSheetId="0" hidden="1">{#N/A,#N/A,FALSE,"MARCH"}</definedName>
    <definedName name="kgj" hidden="1">{#N/A,#N/A,FALSE,"MARCH"}</definedName>
    <definedName name="khjjhhghjjg" localSheetId="2" hidden="1">#REF!</definedName>
    <definedName name="khjjhhghjjg" localSheetId="4" hidden="1">#REF!</definedName>
    <definedName name="khjjhhghjjg" localSheetId="3" hidden="1">#REF!</definedName>
    <definedName name="khjjhhghjjg" localSheetId="5" hidden="1">#REF!</definedName>
    <definedName name="khjjhhghjjg" localSheetId="1" hidden="1">#REF!</definedName>
    <definedName name="khjjhhghjjg" localSheetId="0" hidden="1">#REF!</definedName>
    <definedName name="khjjhhghjjg" hidden="1">#REF!</definedName>
    <definedName name="kij" localSheetId="2" hidden="1">{#N/A,#N/A,FALSE,"MARCH"}</definedName>
    <definedName name="kij" localSheetId="4" hidden="1">{#N/A,#N/A,FALSE,"MARCH"}</definedName>
    <definedName name="kij" localSheetId="3" hidden="1">{#N/A,#N/A,FALSE,"MARCH"}</definedName>
    <definedName name="kij" localSheetId="5" hidden="1">{#N/A,#N/A,FALSE,"MARCH"}</definedName>
    <definedName name="kij" localSheetId="1" hidden="1">{#N/A,#N/A,FALSE,"MARCH"}</definedName>
    <definedName name="kij" localSheetId="0" hidden="1">{#N/A,#N/A,FALSE,"MARCH"}</definedName>
    <definedName name="kij" hidden="1">{#N/A,#N/A,FALSE,"MARCH"}</definedName>
    <definedName name="KurFarki" localSheetId="2">#REF!</definedName>
    <definedName name="KurFarki" localSheetId="4">#REF!</definedName>
    <definedName name="KurFarki" localSheetId="3">#REF!</definedName>
    <definedName name="KurFarki" localSheetId="5">#REF!</definedName>
    <definedName name="KurFarki" localSheetId="1">#REF!</definedName>
    <definedName name="KurFarki" localSheetId="0">#REF!</definedName>
    <definedName name="KurFarki">#REF!</definedName>
    <definedName name="L" localSheetId="2">#REF!</definedName>
    <definedName name="L" localSheetId="4">#REF!</definedName>
    <definedName name="L" localSheetId="3">#REF!</definedName>
    <definedName name="L" localSheetId="5">#REF!</definedName>
    <definedName name="L" localSheetId="1">#REF!</definedName>
    <definedName name="L" localSheetId="0">#REF!</definedName>
    <definedName name="L">#REF!</definedName>
    <definedName name="Last_Row">#N/A</definedName>
    <definedName name="lbr">'[14]Basic Rates'!$C$4</definedName>
    <definedName name="LeanConcrete" localSheetId="2">#REF!</definedName>
    <definedName name="LeanConcrete" localSheetId="4">#REF!</definedName>
    <definedName name="LeanConcrete" localSheetId="3">#REF!</definedName>
    <definedName name="LeanConcrete" localSheetId="5">#REF!</definedName>
    <definedName name="LeanConcrete" localSheetId="1">#REF!</definedName>
    <definedName name="LeanConcrete" localSheetId="0">#REF!</definedName>
    <definedName name="LeanConcrete">#REF!</definedName>
    <definedName name="LL" localSheetId="2">#REF!</definedName>
    <definedName name="LL" localSheetId="4">#REF!</definedName>
    <definedName name="LL" localSheetId="3">#REF!</definedName>
    <definedName name="LL" localSheetId="5">#REF!</definedName>
    <definedName name="LL" localSheetId="1">#REF!</definedName>
    <definedName name="LL" localSheetId="0">#REF!</definedName>
    <definedName name="LL">#REF!</definedName>
    <definedName name="Loan_Amount" localSheetId="2">#REF!</definedName>
    <definedName name="Loan_Amount" localSheetId="4">#REF!</definedName>
    <definedName name="Loan_Amount" localSheetId="3">#REF!</definedName>
    <definedName name="Loan_Amount" localSheetId="5">#REF!</definedName>
    <definedName name="Loan_Amount" localSheetId="1">#REF!</definedName>
    <definedName name="Loan_Amount" localSheetId="0">#REF!</definedName>
    <definedName name="Loan_Amount">#REF!</definedName>
    <definedName name="Loan_Start" localSheetId="2">#REF!</definedName>
    <definedName name="Loan_Start" localSheetId="4">#REF!</definedName>
    <definedName name="Loan_Start" localSheetId="3">#REF!</definedName>
    <definedName name="Loan_Start" localSheetId="5">#REF!</definedName>
    <definedName name="Loan_Start" localSheetId="1">#REF!</definedName>
    <definedName name="Loan_Start" localSheetId="0">#REF!</definedName>
    <definedName name="Loan_Start">#REF!</definedName>
    <definedName name="Loan_Years" localSheetId="2">#REF!</definedName>
    <definedName name="Loan_Years" localSheetId="4">#REF!</definedName>
    <definedName name="Loan_Years" localSheetId="3">#REF!</definedName>
    <definedName name="Loan_Years" localSheetId="5">#REF!</definedName>
    <definedName name="Loan_Years" localSheetId="1">#REF!</definedName>
    <definedName name="Loan_Years" localSheetId="0">#REF!</definedName>
    <definedName name="Loan_Years">#REF!</definedName>
    <definedName name="Lump_Sum">[16]HOC!$AE$12:$AE$118</definedName>
    <definedName name="M" localSheetId="2">#REF!</definedName>
    <definedName name="M" localSheetId="4">#REF!</definedName>
    <definedName name="M" localSheetId="3">#REF!</definedName>
    <definedName name="M" localSheetId="5">#REF!</definedName>
    <definedName name="M" localSheetId="1">#REF!</definedName>
    <definedName name="M" localSheetId="0">#REF!</definedName>
    <definedName name="M">#REF!</definedName>
    <definedName name="m3_Total" localSheetId="2">#REF!</definedName>
    <definedName name="m3_Total" localSheetId="4">#REF!</definedName>
    <definedName name="m3_Total" localSheetId="3">#REF!</definedName>
    <definedName name="m3_Total" localSheetId="5">#REF!</definedName>
    <definedName name="m3_Total" localSheetId="1">#REF!</definedName>
    <definedName name="m3_Total" localSheetId="0">#REF!</definedName>
    <definedName name="m3_Total">#REF!</definedName>
    <definedName name="m3_TTL">[16]HOC!$Y$12:$Y$160</definedName>
    <definedName name="m3_Unit">[16]HOC!$X$12:$X$160</definedName>
    <definedName name="MAGA" localSheetId="2">#REF!</definedName>
    <definedName name="MAGA" localSheetId="4">#REF!</definedName>
    <definedName name="MAGA" localSheetId="3">#REF!</definedName>
    <definedName name="MAGA" localSheetId="5">#REF!</definedName>
    <definedName name="MAGA" localSheetId="1">#REF!</definedName>
    <definedName name="MAGA" localSheetId="0">#REF!</definedName>
    <definedName name="MAGA">#REF!</definedName>
    <definedName name="MaterialToBeCrushed" localSheetId="2">#REF!</definedName>
    <definedName name="MaterialToBeCrushed" localSheetId="4">#REF!</definedName>
    <definedName name="MaterialToBeCrushed" localSheetId="3">#REF!</definedName>
    <definedName name="MaterialToBeCrushed" localSheetId="5">#REF!</definedName>
    <definedName name="MaterialToBeCrushed" localSheetId="1">#REF!</definedName>
    <definedName name="MaterialToBeCrushed" localSheetId="0">#REF!</definedName>
    <definedName name="MaterialToBeCrushed">#REF!</definedName>
    <definedName name="MaterialToBeScreened" localSheetId="2">#REF!</definedName>
    <definedName name="MaterialToBeScreened" localSheetId="4">#REF!</definedName>
    <definedName name="MaterialToBeScreened" localSheetId="3">#REF!</definedName>
    <definedName name="MaterialToBeScreened" localSheetId="5">#REF!</definedName>
    <definedName name="MaterialToBeScreened" localSheetId="1">#REF!</definedName>
    <definedName name="MaterialToBeScreened" localSheetId="0">#REF!</definedName>
    <definedName name="MaterialToBeScreened">#REF!</definedName>
    <definedName name="May" localSheetId="2" hidden="1">{#N/A,#N/A,FALSE,"MARCH"}</definedName>
    <definedName name="May" localSheetId="4" hidden="1">{#N/A,#N/A,FALSE,"MARCH"}</definedName>
    <definedName name="May" localSheetId="3" hidden="1">{#N/A,#N/A,FALSE,"MARCH"}</definedName>
    <definedName name="May" localSheetId="5" hidden="1">{#N/A,#N/A,FALSE,"MARCH"}</definedName>
    <definedName name="May" localSheetId="1" hidden="1">{#N/A,#N/A,FALSE,"MARCH"}</definedName>
    <definedName name="May" localSheetId="0" hidden="1">{#N/A,#N/A,FALSE,"MARCH"}</definedName>
    <definedName name="May" hidden="1">{#N/A,#N/A,FALSE,"MARCH"}</definedName>
    <definedName name="MC_" localSheetId="2">#REF!</definedName>
    <definedName name="MC_" localSheetId="4">#REF!</definedName>
    <definedName name="MC_" localSheetId="3">#REF!</definedName>
    <definedName name="MC_" localSheetId="5">#REF!</definedName>
    <definedName name="MC_" localSheetId="1">#REF!</definedName>
    <definedName name="MC_" localSheetId="0">#REF!</definedName>
    <definedName name="MC_">#REF!</definedName>
    <definedName name="MECHANICALCONDITION" localSheetId="2">'[11]PLT-SUM'!#REF!</definedName>
    <definedName name="MECHANICALCONDITION" localSheetId="4">'[11]PLT-SUM'!#REF!</definedName>
    <definedName name="MECHANICALCONDITION" localSheetId="3">'[11]PLT-SUM'!#REF!</definedName>
    <definedName name="MECHANICALCONDITION" localSheetId="5">'[11]PLT-SUM'!#REF!</definedName>
    <definedName name="MECHANICALCONDITION" localSheetId="1">'[11]PLT-SUM'!#REF!</definedName>
    <definedName name="MECHANICALCONDITION" localSheetId="0">'[11]PLT-SUM'!#REF!</definedName>
    <definedName name="MECHANICALCONDITION">'[11]PLT-SUM'!#REF!</definedName>
    <definedName name="MEN" localSheetId="2">#REF!</definedName>
    <definedName name="MEN" localSheetId="4">#REF!</definedName>
    <definedName name="MEN" localSheetId="3">#REF!</definedName>
    <definedName name="MEN" localSheetId="5">#REF!</definedName>
    <definedName name="MEN" localSheetId="1">#REF!</definedName>
    <definedName name="MEN" localSheetId="0">#REF!</definedName>
    <definedName name="MEN">#REF!</definedName>
    <definedName name="MISC" localSheetId="2">#REF!</definedName>
    <definedName name="MISC" localSheetId="4">#REF!</definedName>
    <definedName name="MISC" localSheetId="3">#REF!</definedName>
    <definedName name="MISC" localSheetId="5">#REF!</definedName>
    <definedName name="MISC" localSheetId="1">#REF!</definedName>
    <definedName name="MISC" localSheetId="0">#REF!</definedName>
    <definedName name="MISC">#REF!</definedName>
    <definedName name="misc.">[5]BOQ2!$G$579</definedName>
    <definedName name="MISC1">[10]BOQ2!$G$579</definedName>
    <definedName name="mm" localSheetId="2">#REF!</definedName>
    <definedName name="mm" localSheetId="4">#REF!</definedName>
    <definedName name="mm" localSheetId="3">#REF!</definedName>
    <definedName name="mm" localSheetId="5">#REF!</definedName>
    <definedName name="mm" localSheetId="1">#REF!</definedName>
    <definedName name="mm" localSheetId="0">#REF!</definedName>
    <definedName name="mm">#REF!</definedName>
    <definedName name="mmm" localSheetId="2">#REF!</definedName>
    <definedName name="mmm" localSheetId="4">#REF!</definedName>
    <definedName name="mmm" localSheetId="3">#REF!</definedName>
    <definedName name="mmm" localSheetId="5">#REF!</definedName>
    <definedName name="mmm" localSheetId="1">#REF!</definedName>
    <definedName name="mmm" localSheetId="0">#REF!</definedName>
    <definedName name="mmm">#REF!</definedName>
    <definedName name="MON" localSheetId="2">#REF!</definedName>
    <definedName name="MON" localSheetId="4">#REF!</definedName>
    <definedName name="MON" localSheetId="3">#REF!</definedName>
    <definedName name="MON" localSheetId="5">#REF!</definedName>
    <definedName name="MON" localSheetId="1">#REF!</definedName>
    <definedName name="MON" localSheetId="0">#REF!</definedName>
    <definedName name="MON">#REF!</definedName>
    <definedName name="Month" localSheetId="2">#REF!</definedName>
    <definedName name="Month" localSheetId="4">#REF!</definedName>
    <definedName name="Month" localSheetId="3">#REF!</definedName>
    <definedName name="Month" localSheetId="5">#REF!</definedName>
    <definedName name="Month" localSheetId="1">#REF!</definedName>
    <definedName name="Month" localSheetId="0">#REF!</definedName>
    <definedName name="Month">#REF!</definedName>
    <definedName name="Month1" localSheetId="2">#REF!</definedName>
    <definedName name="Month1" localSheetId="4">#REF!</definedName>
    <definedName name="Month1" localSheetId="3">#REF!</definedName>
    <definedName name="Month1" localSheetId="5">#REF!</definedName>
    <definedName name="Month1" localSheetId="1">#REF!</definedName>
    <definedName name="Month1" localSheetId="0">#REF!</definedName>
    <definedName name="Month1">#REF!</definedName>
    <definedName name="MontlyPercentCompletion" localSheetId="2">#REF!</definedName>
    <definedName name="MontlyPercentCompletion" localSheetId="4">#REF!</definedName>
    <definedName name="MontlyPercentCompletion" localSheetId="3">#REF!</definedName>
    <definedName name="MontlyPercentCompletion" localSheetId="5">#REF!</definedName>
    <definedName name="MontlyPercentCompletion" localSheetId="1">#REF!</definedName>
    <definedName name="MontlyPercentCompletion" localSheetId="0">#REF!</definedName>
    <definedName name="MontlyPercentCompletion">#REF!</definedName>
    <definedName name="MS" localSheetId="2">#REF!</definedName>
    <definedName name="MS" localSheetId="4">#REF!</definedName>
    <definedName name="MS" localSheetId="3">#REF!</definedName>
    <definedName name="MS" localSheetId="5">#REF!</definedName>
    <definedName name="MS" localSheetId="1">#REF!</definedName>
    <definedName name="MS" localSheetId="0">#REF!</definedName>
    <definedName name="MS">#REF!</definedName>
    <definedName name="Multiplier" localSheetId="2">#REF!</definedName>
    <definedName name="Multiplier" localSheetId="4">#REF!</definedName>
    <definedName name="Multiplier" localSheetId="3">#REF!</definedName>
    <definedName name="Multiplier" localSheetId="5">#REF!</definedName>
    <definedName name="Multiplier" localSheetId="1">#REF!</definedName>
    <definedName name="Multiplier" localSheetId="0">#REF!</definedName>
    <definedName name="Multiplier">#REF!</definedName>
    <definedName name="Multiplier1" localSheetId="2">#REF!</definedName>
    <definedName name="Multiplier1" localSheetId="4">#REF!</definedName>
    <definedName name="Multiplier1" localSheetId="3">#REF!</definedName>
    <definedName name="Multiplier1" localSheetId="5">#REF!</definedName>
    <definedName name="Multiplier1" localSheetId="1">#REF!</definedName>
    <definedName name="Multiplier1" localSheetId="0">#REF!</definedName>
    <definedName name="Multiplier1">#REF!</definedName>
    <definedName name="N" localSheetId="2">#REF!</definedName>
    <definedName name="N" localSheetId="4">#REF!</definedName>
    <definedName name="N" localSheetId="3">#REF!</definedName>
    <definedName name="N" localSheetId="5">#REF!</definedName>
    <definedName name="N" localSheetId="1">#REF!</definedName>
    <definedName name="N" localSheetId="0">#REF!</definedName>
    <definedName name="N">#REF!</definedName>
    <definedName name="N.TTL" localSheetId="2">#REF!</definedName>
    <definedName name="N.TTL" localSheetId="4">#REF!</definedName>
    <definedName name="N.TTL" localSheetId="3">#REF!</definedName>
    <definedName name="N.TTL" localSheetId="5">#REF!</definedName>
    <definedName name="N.TTL" localSheetId="1">#REF!</definedName>
    <definedName name="N.TTL" localSheetId="0">#REF!</definedName>
    <definedName name="N.TTL">#REF!</definedName>
    <definedName name="N.W_G.W">[16]HOC!$P$12:$P$160</definedName>
    <definedName name="N.W_M3">[16]HOC!$Q$12:$Q$160</definedName>
    <definedName name="NEW" localSheetId="2" hidden="1">{#N/A,#N/A,FALSE,"MARCH"}</definedName>
    <definedName name="NEW" localSheetId="4" hidden="1">{#N/A,#N/A,FALSE,"MARCH"}</definedName>
    <definedName name="NEW" localSheetId="3" hidden="1">{#N/A,#N/A,FALSE,"MARCH"}</definedName>
    <definedName name="NEW" localSheetId="5" hidden="1">{#N/A,#N/A,FALSE,"MARCH"}</definedName>
    <definedName name="NEW" localSheetId="1" hidden="1">{#N/A,#N/A,FALSE,"MARCH"}</definedName>
    <definedName name="NEW" localSheetId="0" hidden="1">{#N/A,#N/A,FALSE,"MARCH"}</definedName>
    <definedName name="NEW" hidden="1">{#N/A,#N/A,FALSE,"MARCH"}</definedName>
    <definedName name="NGC" localSheetId="2">#REF!</definedName>
    <definedName name="NGC" localSheetId="4">#REF!</definedName>
    <definedName name="NGC" localSheetId="3">#REF!</definedName>
    <definedName name="NGC" localSheetId="5">#REF!</definedName>
    <definedName name="NGC" localSheetId="1">#REF!</definedName>
    <definedName name="NGC" localSheetId="0">#REF!</definedName>
    <definedName name="NGC">#REF!</definedName>
    <definedName name="No." localSheetId="2">#REF!</definedName>
    <definedName name="No." localSheetId="4">#REF!</definedName>
    <definedName name="No." localSheetId="3">#REF!</definedName>
    <definedName name="No." localSheetId="5">#REF!</definedName>
    <definedName name="No." localSheetId="1">#REF!</definedName>
    <definedName name="No." localSheetId="0">#REF!</definedName>
    <definedName name="No.">#REF!</definedName>
    <definedName name="No0" localSheetId="2">#REF!</definedName>
    <definedName name="No0" localSheetId="4">#REF!</definedName>
    <definedName name="No0" localSheetId="3">#REF!</definedName>
    <definedName name="No0" localSheetId="5">#REF!</definedName>
    <definedName name="No0" localSheetId="1">#REF!</definedName>
    <definedName name="No0" localSheetId="0">#REF!</definedName>
    <definedName name="No0">#REF!</definedName>
    <definedName name="Nozzle">[16]HOC!$O$12:$O$160</definedName>
    <definedName name="October" localSheetId="2">#REF!</definedName>
    <definedName name="October" localSheetId="4">#REF!</definedName>
    <definedName name="October" localSheetId="3">#REF!</definedName>
    <definedName name="October" localSheetId="5">#REF!</definedName>
    <definedName name="October" localSheetId="1">#REF!</definedName>
    <definedName name="October" localSheetId="0">#REF!</definedName>
    <definedName name="October">#REF!</definedName>
    <definedName name="ofd">'[3]No-edit'!$E$2:$E$3</definedName>
    <definedName name="Offdays" localSheetId="2">#REF!</definedName>
    <definedName name="Offdays" localSheetId="4">#REF!</definedName>
    <definedName name="Offdays" localSheetId="3">#REF!</definedName>
    <definedName name="Offdays" localSheetId="5">#REF!</definedName>
    <definedName name="Offdays" localSheetId="1">#REF!</definedName>
    <definedName name="Offdays" localSheetId="0">#REF!</definedName>
    <definedName name="Offdays">#REF!</definedName>
    <definedName name="oh" localSheetId="2">#REF!</definedName>
    <definedName name="oh" localSheetId="4">#REF!</definedName>
    <definedName name="oh" localSheetId="3">#REF!</definedName>
    <definedName name="oh" localSheetId="5">#REF!</definedName>
    <definedName name="oh" localSheetId="1">#REF!</definedName>
    <definedName name="oh" localSheetId="0">#REF!</definedName>
    <definedName name="oh">#REF!</definedName>
    <definedName name="P" localSheetId="2">#REF!</definedName>
    <definedName name="P" localSheetId="4">#REF!</definedName>
    <definedName name="P" localSheetId="3">#REF!</definedName>
    <definedName name="P" localSheetId="5">#REF!</definedName>
    <definedName name="P" localSheetId="1">#REF!</definedName>
    <definedName name="P" localSheetId="0">#REF!</definedName>
    <definedName name="P">#REF!</definedName>
    <definedName name="P_ce">[16]HOC!$S$12:$S$160</definedName>
    <definedName name="part5" localSheetId="2">#REF!</definedName>
    <definedName name="part5" localSheetId="4">#REF!</definedName>
    <definedName name="part5" localSheetId="3">#REF!</definedName>
    <definedName name="part5" localSheetId="5">#REF!</definedName>
    <definedName name="part5" localSheetId="1">#REF!</definedName>
    <definedName name="part5" localSheetId="0">#REF!</definedName>
    <definedName name="part5">#REF!</definedName>
    <definedName name="PavementMarking" localSheetId="2">#REF!</definedName>
    <definedName name="PavementMarking" localSheetId="4">#REF!</definedName>
    <definedName name="PavementMarking" localSheetId="3">#REF!</definedName>
    <definedName name="PavementMarking" localSheetId="5">#REF!</definedName>
    <definedName name="PavementMarking" localSheetId="1">#REF!</definedName>
    <definedName name="PavementMarking" localSheetId="0">#REF!</definedName>
    <definedName name="PavementMarking">#REF!</definedName>
    <definedName name="Pce">[16]HOC!$S$12</definedName>
    <definedName name="Pier" localSheetId="2">#REF!</definedName>
    <definedName name="Pier" localSheetId="4">#REF!</definedName>
    <definedName name="Pier" localSheetId="3">#REF!</definedName>
    <definedName name="Pier" localSheetId="5">#REF!</definedName>
    <definedName name="Pier" localSheetId="1">#REF!</definedName>
    <definedName name="Pier" localSheetId="0">#REF!</definedName>
    <definedName name="Pier">#REF!</definedName>
    <definedName name="PipeCulverts" localSheetId="2">#REF!</definedName>
    <definedName name="PipeCulverts" localSheetId="4">#REF!</definedName>
    <definedName name="PipeCulverts" localSheetId="3">#REF!</definedName>
    <definedName name="PipeCulverts" localSheetId="5">#REF!</definedName>
    <definedName name="PipeCulverts" localSheetId="1">#REF!</definedName>
    <definedName name="PipeCulverts" localSheetId="0">#REF!</definedName>
    <definedName name="PipeCulverts">#REF!</definedName>
    <definedName name="Plant" localSheetId="2">#REF!</definedName>
    <definedName name="Plant" localSheetId="4">#REF!</definedName>
    <definedName name="Plant" localSheetId="3">#REF!</definedName>
    <definedName name="Plant" localSheetId="5">#REF!</definedName>
    <definedName name="Plant" localSheetId="1">#REF!</definedName>
    <definedName name="Plant" localSheetId="0">#REF!</definedName>
    <definedName name="Plant">#REF!</definedName>
    <definedName name="Port" localSheetId="2">#REF!</definedName>
    <definedName name="Port" localSheetId="4">#REF!</definedName>
    <definedName name="Port" localSheetId="3">#REF!</definedName>
    <definedName name="Port" localSheetId="5">#REF!</definedName>
    <definedName name="Port" localSheetId="1">#REF!</definedName>
    <definedName name="Port" localSheetId="0">#REF!</definedName>
    <definedName name="Port">#REF!</definedName>
    <definedName name="Port選択">[16]HOC!$AC$2</definedName>
    <definedName name="PQR" localSheetId="2">#REF!</definedName>
    <definedName name="PQR" localSheetId="4">#REF!</definedName>
    <definedName name="PQR" localSheetId="3">#REF!</definedName>
    <definedName name="PQR" localSheetId="5">#REF!</definedName>
    <definedName name="PQR" localSheetId="1">#REF!</definedName>
    <definedName name="PQR" localSheetId="0">#REF!</definedName>
    <definedName name="PQR">#REF!</definedName>
    <definedName name="pre" localSheetId="2">[1]BOQ!#REF!</definedName>
    <definedName name="pre" localSheetId="4">[1]BOQ!#REF!</definedName>
    <definedName name="pre" localSheetId="3">[1]BOQ!#REF!</definedName>
    <definedName name="pre" localSheetId="5">[1]BOQ!#REF!</definedName>
    <definedName name="pre" localSheetId="1">[1]BOQ!#REF!</definedName>
    <definedName name="pre" localSheetId="0">[1]BOQ!#REF!</definedName>
    <definedName name="pre">[1]BOQ!#REF!</definedName>
    <definedName name="PrimeCoat" localSheetId="2">#REF!</definedName>
    <definedName name="PrimeCoat" localSheetId="4">#REF!</definedName>
    <definedName name="PrimeCoat" localSheetId="3">#REF!</definedName>
    <definedName name="PrimeCoat" localSheetId="5">#REF!</definedName>
    <definedName name="PrimeCoat" localSheetId="1">#REF!</definedName>
    <definedName name="PrimeCoat" localSheetId="0">#REF!</definedName>
    <definedName name="PrimeCoat">#REF!</definedName>
    <definedName name="PRINT_AREA_MI" localSheetId="2">#REF!</definedName>
    <definedName name="PRINT_AREA_MI" localSheetId="4">#REF!</definedName>
    <definedName name="PRINT_AREA_MI" localSheetId="3">#REF!</definedName>
    <definedName name="PRINT_AREA_MI" localSheetId="5">#REF!</definedName>
    <definedName name="PRINT_AREA_MI" localSheetId="1">#REF!</definedName>
    <definedName name="PRINT_AREA_MI" localSheetId="0">#REF!</definedName>
    <definedName name="PRINT_AREA_MI">#REF!</definedName>
    <definedName name="Print_area3" localSheetId="2">#REF!</definedName>
    <definedName name="Print_area3" localSheetId="4">#REF!</definedName>
    <definedName name="Print_area3" localSheetId="3">#REF!</definedName>
    <definedName name="Print_area3" localSheetId="5">#REF!</definedName>
    <definedName name="Print_area3" localSheetId="1">#REF!</definedName>
    <definedName name="Print_area3" localSheetId="0">#REF!</definedName>
    <definedName name="Print_area3">#REF!</definedName>
    <definedName name="Print_Titles_MI" localSheetId="2">#REF!</definedName>
    <definedName name="Print_Titles_MI" localSheetId="4">#REF!</definedName>
    <definedName name="Print_Titles_MI" localSheetId="3">#REF!</definedName>
    <definedName name="Print_Titles_MI" localSheetId="5">#REF!</definedName>
    <definedName name="Print_Titles_MI" localSheetId="1">#REF!</definedName>
    <definedName name="Print_Titles_MI" localSheetId="0">#REF!</definedName>
    <definedName name="Print_Titles_MI">#REF!</definedName>
    <definedName name="ProjectSchedule">[17]Schdl!$B$5:$AF$19</definedName>
    <definedName name="Q" localSheetId="2">#REF!</definedName>
    <definedName name="Q" localSheetId="4">#REF!</definedName>
    <definedName name="Q" localSheetId="3">#REF!</definedName>
    <definedName name="Q" localSheetId="5">#REF!</definedName>
    <definedName name="Q" localSheetId="1">#REF!</definedName>
    <definedName name="Q" localSheetId="0">#REF!</definedName>
    <definedName name="Q">#REF!</definedName>
    <definedName name="qqews" localSheetId="2">#REF!</definedName>
    <definedName name="qqews" localSheetId="4">#REF!</definedName>
    <definedName name="qqews" localSheetId="3">#REF!</definedName>
    <definedName name="qqews" localSheetId="5">#REF!</definedName>
    <definedName name="qqews" localSheetId="1">#REF!</definedName>
    <definedName name="qqews" localSheetId="0">#REF!</definedName>
    <definedName name="qqews">#REF!</definedName>
    <definedName name="QQQQQ" localSheetId="2" hidden="1">{#N/A,#N/A,FALSE,"Abutments &amp; Pier(s)"}</definedName>
    <definedName name="QQQQQ" localSheetId="4" hidden="1">{#N/A,#N/A,FALSE,"Abutments &amp; Pier(s)"}</definedName>
    <definedName name="QQQQQ" localSheetId="3" hidden="1">{#N/A,#N/A,FALSE,"Abutments &amp; Pier(s)"}</definedName>
    <definedName name="QQQQQ" localSheetId="5" hidden="1">{#N/A,#N/A,FALSE,"Abutments &amp; Pier(s)"}</definedName>
    <definedName name="QQQQQ" localSheetId="1" hidden="1">{#N/A,#N/A,FALSE,"Abutments &amp; Pier(s)"}</definedName>
    <definedName name="QQQQQ" localSheetId="0" hidden="1">{#N/A,#N/A,FALSE,"Abutments &amp; Pier(s)"}</definedName>
    <definedName name="QQQQQ" hidden="1">{#N/A,#N/A,FALSE,"Abutments &amp; Pier(s)"}</definedName>
    <definedName name="QTY" localSheetId="2">#REF!</definedName>
    <definedName name="QTY" localSheetId="4">#REF!</definedName>
    <definedName name="QTY" localSheetId="3">#REF!</definedName>
    <definedName name="QTY" localSheetId="5">#REF!</definedName>
    <definedName name="QTY" localSheetId="1">#REF!</definedName>
    <definedName name="QTY" localSheetId="0">#REF!</definedName>
    <definedName name="QTY">#REF!</definedName>
    <definedName name="QWE" localSheetId="2">#REF!</definedName>
    <definedName name="QWE" localSheetId="4">#REF!</definedName>
    <definedName name="QWE" localSheetId="3">#REF!</definedName>
    <definedName name="QWE" localSheetId="5">#REF!</definedName>
    <definedName name="QWE" localSheetId="1">#REF!</definedName>
    <definedName name="QWE" localSheetId="0">#REF!</definedName>
    <definedName name="QWE">#REF!</definedName>
    <definedName name="Rate" localSheetId="2">#REF!</definedName>
    <definedName name="Rate" localSheetId="4">#REF!</definedName>
    <definedName name="Rate" localSheetId="3">#REF!</definedName>
    <definedName name="Rate" localSheetId="5">#REF!</definedName>
    <definedName name="Rate" localSheetId="1">#REF!</definedName>
    <definedName name="Rate" localSheetId="0">#REF!</definedName>
    <definedName name="Rate">#REF!</definedName>
    <definedName name="RB7.4" localSheetId="2" hidden="1">#REF!</definedName>
    <definedName name="RB7.4" localSheetId="4" hidden="1">#REF!</definedName>
    <definedName name="RB7.4" localSheetId="3" hidden="1">#REF!</definedName>
    <definedName name="RB7.4" localSheetId="5" hidden="1">#REF!</definedName>
    <definedName name="RB7.4" localSheetId="1" hidden="1">#REF!</definedName>
    <definedName name="RB7.4" localSheetId="0" hidden="1">#REF!</definedName>
    <definedName name="RB7.4" hidden="1">#REF!</definedName>
    <definedName name="RC_" localSheetId="2">#REF!</definedName>
    <definedName name="RC_" localSheetId="4">#REF!</definedName>
    <definedName name="RC_" localSheetId="3">#REF!</definedName>
    <definedName name="RC_" localSheetId="5">#REF!</definedName>
    <definedName name="RC_" localSheetId="1">#REF!</definedName>
    <definedName name="RC_" localSheetId="0">#REF!</definedName>
    <definedName name="RC_">#REF!</definedName>
    <definedName name="RE" localSheetId="2">#REF!</definedName>
    <definedName name="RE" localSheetId="4">#REF!</definedName>
    <definedName name="RE" localSheetId="3">#REF!</definedName>
    <definedName name="RE" localSheetId="5">#REF!</definedName>
    <definedName name="RE" localSheetId="1">#REF!</definedName>
    <definedName name="RE" localSheetId="0">#REF!</definedName>
    <definedName name="RE">#REF!</definedName>
    <definedName name="recover" localSheetId="2">#REF!</definedName>
    <definedName name="recover" localSheetId="4">#REF!</definedName>
    <definedName name="recover" localSheetId="3">#REF!</definedName>
    <definedName name="recover" localSheetId="5">#REF!</definedName>
    <definedName name="recover" localSheetId="1">#REF!</definedName>
    <definedName name="recover" localSheetId="0">#REF!</definedName>
    <definedName name="recover">#REF!</definedName>
    <definedName name="recovery2" localSheetId="2">#REF!</definedName>
    <definedName name="recovery2" localSheetId="4">#REF!</definedName>
    <definedName name="recovery2" localSheetId="3">#REF!</definedName>
    <definedName name="recovery2" localSheetId="5">#REF!</definedName>
    <definedName name="recovery2" localSheetId="1">#REF!</definedName>
    <definedName name="recovery2" localSheetId="0">#REF!</definedName>
    <definedName name="recovery2">#REF!</definedName>
    <definedName name="ReinforcementSteel" localSheetId="2">#REF!</definedName>
    <definedName name="ReinforcementSteel" localSheetId="4">#REF!</definedName>
    <definedName name="ReinforcementSteel" localSheetId="3">#REF!</definedName>
    <definedName name="ReinforcementSteel" localSheetId="5">#REF!</definedName>
    <definedName name="ReinforcementSteel" localSheetId="1">#REF!</definedName>
    <definedName name="ReinforcementSteel" localSheetId="0">#REF!</definedName>
    <definedName name="ReinforcementSteel">#REF!</definedName>
    <definedName name="REMO" localSheetId="2">#REF!</definedName>
    <definedName name="REMO" localSheetId="4">#REF!</definedName>
    <definedName name="REMO" localSheetId="3">#REF!</definedName>
    <definedName name="REMO" localSheetId="5">#REF!</definedName>
    <definedName name="REMO" localSheetId="1">#REF!</definedName>
    <definedName name="REMO" localSheetId="0">#REF!</definedName>
    <definedName name="REMO">#REF!</definedName>
    <definedName name="REMO1">[10]BOQ2!$G$573</definedName>
    <definedName name="Roun" localSheetId="2">#REF!</definedName>
    <definedName name="Roun" localSheetId="4">#REF!</definedName>
    <definedName name="Roun" localSheetId="3">#REF!</definedName>
    <definedName name="Roun" localSheetId="5">#REF!</definedName>
    <definedName name="Roun" localSheetId="1">#REF!</definedName>
    <definedName name="Roun" localSheetId="0">#REF!</definedName>
    <definedName name="Roun">#REF!</definedName>
    <definedName name="S" localSheetId="2">#REF!</definedName>
    <definedName name="S" localSheetId="4">#REF!</definedName>
    <definedName name="S" localSheetId="3">#REF!</definedName>
    <definedName name="S" localSheetId="5">#REF!</definedName>
    <definedName name="S" localSheetId="1">#REF!</definedName>
    <definedName name="S" localSheetId="0">#REF!</definedName>
    <definedName name="S">#REF!</definedName>
    <definedName name="Schedule" localSheetId="2">#REF!</definedName>
    <definedName name="Schedule" localSheetId="4">#REF!</definedName>
    <definedName name="Schedule" localSheetId="3">#REF!</definedName>
    <definedName name="Schedule" localSheetId="5">#REF!</definedName>
    <definedName name="Schedule" localSheetId="1">#REF!</definedName>
    <definedName name="Schedule" localSheetId="0">#REF!</definedName>
    <definedName name="Schedule">#REF!</definedName>
    <definedName name="Schedule2" localSheetId="2">#REF!</definedName>
    <definedName name="Schedule2" localSheetId="4">#REF!</definedName>
    <definedName name="Schedule2" localSheetId="3">#REF!</definedName>
    <definedName name="Schedule2" localSheetId="5">#REF!</definedName>
    <definedName name="Schedule2" localSheetId="1">#REF!</definedName>
    <definedName name="Schedule2" localSheetId="0">#REF!</definedName>
    <definedName name="Schedule2">#REF!</definedName>
    <definedName name="sdddf" localSheetId="2" hidden="1">{#N/A,#N/A,FALSE,"MARCH"}</definedName>
    <definedName name="sdddf" localSheetId="4" hidden="1">{#N/A,#N/A,FALSE,"MARCH"}</definedName>
    <definedName name="sdddf" localSheetId="3" hidden="1">{#N/A,#N/A,FALSE,"MARCH"}</definedName>
    <definedName name="sdddf" localSheetId="5" hidden="1">{#N/A,#N/A,FALSE,"MARCH"}</definedName>
    <definedName name="sdddf" localSheetId="1" hidden="1">{#N/A,#N/A,FALSE,"MARCH"}</definedName>
    <definedName name="sdddf" localSheetId="0" hidden="1">{#N/A,#N/A,FALSE,"MARCH"}</definedName>
    <definedName name="sdddf" hidden="1">{#N/A,#N/A,FALSE,"MARCH"}</definedName>
    <definedName name="SDDS" localSheetId="2" hidden="1">#REF!</definedName>
    <definedName name="SDDS" localSheetId="4" hidden="1">#REF!</definedName>
    <definedName name="SDDS" localSheetId="3" hidden="1">#REF!</definedName>
    <definedName name="SDDS" localSheetId="5" hidden="1">#REF!</definedName>
    <definedName name="SDDS" localSheetId="1" hidden="1">#REF!</definedName>
    <definedName name="SDDS" localSheetId="0" hidden="1">#REF!</definedName>
    <definedName name="SDDS" hidden="1">#REF!</definedName>
    <definedName name="SDEE" localSheetId="2">#REF!</definedName>
    <definedName name="SDEE" localSheetId="4">#REF!</definedName>
    <definedName name="SDEE" localSheetId="3">#REF!</definedName>
    <definedName name="SDEE" localSheetId="5">#REF!</definedName>
    <definedName name="SDEE" localSheetId="1">#REF!</definedName>
    <definedName name="SDEE" localSheetId="0">#REF!</definedName>
    <definedName name="SDEE">#REF!</definedName>
    <definedName name="sfbjdf" localSheetId="2" hidden="1">#REF!</definedName>
    <definedName name="sfbjdf" localSheetId="4" hidden="1">#REF!</definedName>
    <definedName name="sfbjdf" localSheetId="3" hidden="1">#REF!</definedName>
    <definedName name="sfbjdf" localSheetId="5" hidden="1">#REF!</definedName>
    <definedName name="sfbjdf" localSheetId="1" hidden="1">#REF!</definedName>
    <definedName name="sfbjdf" localSheetId="0" hidden="1">#REF!</definedName>
    <definedName name="sfbjdf" hidden="1">#REF!</definedName>
    <definedName name="Sheet" localSheetId="2" hidden="1">#REF!</definedName>
    <definedName name="Sheet" localSheetId="4" hidden="1">#REF!</definedName>
    <definedName name="Sheet" localSheetId="3" hidden="1">#REF!</definedName>
    <definedName name="Sheet" localSheetId="5" hidden="1">#REF!</definedName>
    <definedName name="Sheet" localSheetId="1" hidden="1">#REF!</definedName>
    <definedName name="Sheet" localSheetId="0" hidden="1">#REF!</definedName>
    <definedName name="Sheet" hidden="1">#REF!</definedName>
    <definedName name="sheet3" localSheetId="2">#REF!</definedName>
    <definedName name="sheet3" localSheetId="4">#REF!</definedName>
    <definedName name="sheet3" localSheetId="3">#REF!</definedName>
    <definedName name="sheet3" localSheetId="5">#REF!</definedName>
    <definedName name="sheet3" localSheetId="1">#REF!</definedName>
    <definedName name="sheet3" localSheetId="0">#REF!</definedName>
    <definedName name="sheet3">#REF!</definedName>
    <definedName name="ShoulderEmb." localSheetId="2">#REF!</definedName>
    <definedName name="ShoulderEmb." localSheetId="4">#REF!</definedName>
    <definedName name="ShoulderEmb." localSheetId="3">#REF!</definedName>
    <definedName name="ShoulderEmb." localSheetId="5">#REF!</definedName>
    <definedName name="ShoulderEmb." localSheetId="1">#REF!</definedName>
    <definedName name="ShoulderEmb." localSheetId="0">#REF!</definedName>
    <definedName name="ShoulderEmb.">#REF!</definedName>
    <definedName name="ShoulderSubbase" localSheetId="2">#REF!</definedName>
    <definedName name="ShoulderSubbase" localSheetId="4">#REF!</definedName>
    <definedName name="ShoulderSubbase" localSheetId="3">#REF!</definedName>
    <definedName name="ShoulderSubbase" localSheetId="5">#REF!</definedName>
    <definedName name="ShoulderSubbase" localSheetId="1">#REF!</definedName>
    <definedName name="ShoulderSubbase" localSheetId="0">#REF!</definedName>
    <definedName name="ShoulderSubbase">#REF!</definedName>
    <definedName name="Skirt" localSheetId="2">[13]HOC!#REF!</definedName>
    <definedName name="Skirt" localSheetId="4">[13]HOC!#REF!</definedName>
    <definedName name="Skirt" localSheetId="3">[13]HOC!#REF!</definedName>
    <definedName name="Skirt" localSheetId="5">[13]HOC!#REF!</definedName>
    <definedName name="Skirt" localSheetId="1">[13]HOC!#REF!</definedName>
    <definedName name="Skirt" localSheetId="0">[13]HOC!#REF!</definedName>
    <definedName name="Skirt">[13]HOC!#REF!</definedName>
    <definedName name="SozlesmeRsYenParitesi" localSheetId="2">#REF!</definedName>
    <definedName name="SozlesmeRsYenParitesi" localSheetId="4">#REF!</definedName>
    <definedName name="SozlesmeRsYenParitesi" localSheetId="3">#REF!</definedName>
    <definedName name="SozlesmeRsYenParitesi" localSheetId="5">#REF!</definedName>
    <definedName name="SozlesmeRsYenParitesi" localSheetId="1">#REF!</definedName>
    <definedName name="SozlesmeRsYenParitesi" localSheetId="0">#REF!</definedName>
    <definedName name="SozlesmeRsYenParitesi">#REF!</definedName>
    <definedName name="SozlesmeYenUSDParitesi" localSheetId="2">#REF!</definedName>
    <definedName name="SozlesmeYenUSDParitesi" localSheetId="4">#REF!</definedName>
    <definedName name="SozlesmeYenUSDParitesi" localSheetId="3">#REF!</definedName>
    <definedName name="SozlesmeYenUSDParitesi" localSheetId="5">#REF!</definedName>
    <definedName name="SozlesmeYenUSDParitesi" localSheetId="1">#REF!</definedName>
    <definedName name="SozlesmeYenUSDParitesi" localSheetId="0">#REF!</definedName>
    <definedName name="SozlesmeYenUSDParitesi">#REF!</definedName>
    <definedName name="SRC" localSheetId="2">#REF!</definedName>
    <definedName name="SRC" localSheetId="4">#REF!</definedName>
    <definedName name="SRC" localSheetId="3">#REF!</definedName>
    <definedName name="SRC" localSheetId="5">#REF!</definedName>
    <definedName name="SRC" localSheetId="1">#REF!</definedName>
    <definedName name="SRC" localSheetId="0">#REF!</definedName>
    <definedName name="SRC">#REF!</definedName>
    <definedName name="SS" localSheetId="2">#REF!</definedName>
    <definedName name="SS" localSheetId="4">#REF!</definedName>
    <definedName name="SS" localSheetId="3">#REF!</definedName>
    <definedName name="SS" localSheetId="5">#REF!</definedName>
    <definedName name="SS" localSheetId="1">#REF!</definedName>
    <definedName name="SS" localSheetId="0">#REF!</definedName>
    <definedName name="SS">#REF!</definedName>
    <definedName name="SSR" localSheetId="2">#REF!</definedName>
    <definedName name="SSR" localSheetId="4">#REF!</definedName>
    <definedName name="SSR" localSheetId="3">#REF!</definedName>
    <definedName name="SSR" localSheetId="5">#REF!</definedName>
    <definedName name="SSR" localSheetId="1">#REF!</definedName>
    <definedName name="SSR" localSheetId="0">#REF!</definedName>
    <definedName name="SSR">#REF!</definedName>
    <definedName name="SSS" localSheetId="2">#REF!</definedName>
    <definedName name="SSS" localSheetId="4">#REF!</definedName>
    <definedName name="SSS" localSheetId="3">#REF!</definedName>
    <definedName name="SSS" localSheetId="5">#REF!</definedName>
    <definedName name="SSS" localSheetId="1">#REF!</definedName>
    <definedName name="SSS" localSheetId="0">#REF!</definedName>
    <definedName name="SSS">#REF!</definedName>
    <definedName name="ssss" localSheetId="2">#REF!</definedName>
    <definedName name="ssss" localSheetId="4">#REF!</definedName>
    <definedName name="ssss" localSheetId="3">#REF!</definedName>
    <definedName name="ssss" localSheetId="5">#REF!</definedName>
    <definedName name="ssss" localSheetId="1">#REF!</definedName>
    <definedName name="ssss" localSheetId="0">#REF!</definedName>
    <definedName name="ssss">#REF!</definedName>
    <definedName name="Subbase" localSheetId="2">#REF!</definedName>
    <definedName name="Subbase" localSheetId="4">#REF!</definedName>
    <definedName name="Subbase" localSheetId="3">#REF!</definedName>
    <definedName name="Subbase" localSheetId="5">#REF!</definedName>
    <definedName name="Subbase" localSheetId="1">#REF!</definedName>
    <definedName name="Subbase" localSheetId="0">#REF!</definedName>
    <definedName name="Subbase">#REF!</definedName>
    <definedName name="Substructure" localSheetId="2">#REF!</definedName>
    <definedName name="Substructure" localSheetId="4">#REF!</definedName>
    <definedName name="Substructure" localSheetId="3">#REF!</definedName>
    <definedName name="Substructure" localSheetId="5">#REF!</definedName>
    <definedName name="Substructure" localSheetId="1">#REF!</definedName>
    <definedName name="Substructure" localSheetId="0">#REF!</definedName>
    <definedName name="Substructure">#REF!</definedName>
    <definedName name="sum" localSheetId="2">#REF!</definedName>
    <definedName name="sum" localSheetId="4">#REF!</definedName>
    <definedName name="sum" localSheetId="3">#REF!</definedName>
    <definedName name="sum" localSheetId="5">#REF!</definedName>
    <definedName name="sum" localSheetId="1">#REF!</definedName>
    <definedName name="sum" localSheetId="0">#REF!</definedName>
    <definedName name="sum">#REF!</definedName>
    <definedName name="SUMMA" localSheetId="2">#REF!</definedName>
    <definedName name="SUMMA" localSheetId="4">#REF!</definedName>
    <definedName name="SUMMA" localSheetId="3">#REF!</definedName>
    <definedName name="SUMMA" localSheetId="5">#REF!</definedName>
    <definedName name="SUMMA" localSheetId="1">#REF!</definedName>
    <definedName name="SUMMA" localSheetId="0">#REF!</definedName>
    <definedName name="SUMMA">#REF!</definedName>
    <definedName name="summary" localSheetId="2">#REF!</definedName>
    <definedName name="summary" localSheetId="4">#REF!</definedName>
    <definedName name="summary" localSheetId="3">#REF!</definedName>
    <definedName name="summary" localSheetId="5">#REF!</definedName>
    <definedName name="summary" localSheetId="1">#REF!</definedName>
    <definedName name="summary" localSheetId="0">#REF!</definedName>
    <definedName name="summary">#REF!</definedName>
    <definedName name="summary2" localSheetId="2">#REF!</definedName>
    <definedName name="summary2" localSheetId="4">#REF!</definedName>
    <definedName name="summary2" localSheetId="3">#REF!</definedName>
    <definedName name="summary2" localSheetId="5">#REF!</definedName>
    <definedName name="summary2" localSheetId="1">#REF!</definedName>
    <definedName name="summary2" localSheetId="0">#REF!</definedName>
    <definedName name="summary2">#REF!</definedName>
    <definedName name="SUP">[5]BOQ2!$G$577</definedName>
    <definedName name="SUPE" localSheetId="2">#REF!</definedName>
    <definedName name="SUPE" localSheetId="4">#REF!</definedName>
    <definedName name="SUPE" localSheetId="3">#REF!</definedName>
    <definedName name="SUPE" localSheetId="5">#REF!</definedName>
    <definedName name="SUPE" localSheetId="1">#REF!</definedName>
    <definedName name="SUPE" localSheetId="0">#REF!</definedName>
    <definedName name="SUPE">#REF!</definedName>
    <definedName name="SUPE1">[10]BOQ2!$G$577</definedName>
    <definedName name="T" localSheetId="2">#REF!</definedName>
    <definedName name="T" localSheetId="4">#REF!</definedName>
    <definedName name="T" localSheetId="3">#REF!</definedName>
    <definedName name="T" localSheetId="5">#REF!</definedName>
    <definedName name="T" localSheetId="1">#REF!</definedName>
    <definedName name="T" localSheetId="0">#REF!</definedName>
    <definedName name="T">#REF!</definedName>
    <definedName name="T_T" localSheetId="2">[13]HOC!#REF!</definedName>
    <definedName name="T_T" localSheetId="4">[13]HOC!#REF!</definedName>
    <definedName name="T_T" localSheetId="3">[13]HOC!#REF!</definedName>
    <definedName name="T_T" localSheetId="5">[13]HOC!#REF!</definedName>
    <definedName name="T_T" localSheetId="1">[13]HOC!#REF!</definedName>
    <definedName name="T_T" localSheetId="0">[13]HOC!#REF!</definedName>
    <definedName name="T_T">[13]HOC!#REF!</definedName>
    <definedName name="TackCoat" localSheetId="2">#REF!</definedName>
    <definedName name="TackCoat" localSheetId="4">#REF!</definedName>
    <definedName name="TackCoat" localSheetId="3">#REF!</definedName>
    <definedName name="TackCoat" localSheetId="5">#REF!</definedName>
    <definedName name="TackCoat" localSheetId="1">#REF!</definedName>
    <definedName name="TackCoat" localSheetId="0">#REF!</definedName>
    <definedName name="TackCoat">#REF!</definedName>
    <definedName name="TECGCTtFrt" localSheetId="2">#REF!</definedName>
    <definedName name="TECGCTtFrt" localSheetId="4">#REF!</definedName>
    <definedName name="TECGCTtFrt" localSheetId="3">#REF!</definedName>
    <definedName name="TECGCTtFrt" localSheetId="5">#REF!</definedName>
    <definedName name="TECGCTtFrt" localSheetId="1">#REF!</definedName>
    <definedName name="TECGCTtFrt" localSheetId="0">#REF!</definedName>
    <definedName name="TECGCTtFrt">#REF!</definedName>
    <definedName name="TECGCTtlFrt" localSheetId="2">#REF!</definedName>
    <definedName name="TECGCTtlFrt" localSheetId="4">#REF!</definedName>
    <definedName name="TECGCTtlFrt" localSheetId="3">#REF!</definedName>
    <definedName name="TECGCTtlFrt" localSheetId="5">#REF!</definedName>
    <definedName name="TECGCTtlFrt" localSheetId="1">#REF!</definedName>
    <definedName name="TECGCTtlFrt" localSheetId="0">#REF!</definedName>
    <definedName name="TECGCTtlFrt">#REF!</definedName>
    <definedName name="TECGCTtlGross" localSheetId="2">#REF!</definedName>
    <definedName name="TECGCTtlGross" localSheetId="4">#REF!</definedName>
    <definedName name="TECGCTtlGross" localSheetId="3">#REF!</definedName>
    <definedName name="TECGCTtlGross" localSheetId="5">#REF!</definedName>
    <definedName name="TECGCTtlGross" localSheetId="1">#REF!</definedName>
    <definedName name="TECGCTtlGross" localSheetId="0">#REF!</definedName>
    <definedName name="TECGCTtlGross">#REF!</definedName>
    <definedName name="TECGCTtlNet" localSheetId="2">#REF!</definedName>
    <definedName name="TECGCTtlNet" localSheetId="4">#REF!</definedName>
    <definedName name="TECGCTtlNet" localSheetId="3">#REF!</definedName>
    <definedName name="TECGCTtlNet" localSheetId="5">#REF!</definedName>
    <definedName name="TECGCTtlNet" localSheetId="1">#REF!</definedName>
    <definedName name="TECGCTtlNet" localSheetId="0">#REF!</definedName>
    <definedName name="TECGCTtlNet">#REF!</definedName>
    <definedName name="TECHvyTtlFrt" localSheetId="2">#REF!</definedName>
    <definedName name="TECHvyTtlFrt" localSheetId="4">#REF!</definedName>
    <definedName name="TECHvyTtlFrt" localSheetId="3">#REF!</definedName>
    <definedName name="TECHvyTtlFrt" localSheetId="5">#REF!</definedName>
    <definedName name="TECHvyTtlFrt" localSheetId="1">#REF!</definedName>
    <definedName name="TECHvyTtlFrt" localSheetId="0">#REF!</definedName>
    <definedName name="TECHvyTtlFrt">#REF!</definedName>
    <definedName name="TECHvyTtlNet" localSheetId="2">#REF!</definedName>
    <definedName name="TECHvyTtlNet" localSheetId="4">#REF!</definedName>
    <definedName name="TECHvyTtlNet" localSheetId="3">#REF!</definedName>
    <definedName name="TECHvyTtlNet" localSheetId="5">#REF!</definedName>
    <definedName name="TECHvyTtlNet" localSheetId="1">#REF!</definedName>
    <definedName name="TECHvyTtlNet" localSheetId="0">#REF!</definedName>
    <definedName name="TECHvyTtlNet">#REF!</definedName>
    <definedName name="TECTtlFrt" localSheetId="2">#REF!</definedName>
    <definedName name="TECTtlFrt" localSheetId="4">#REF!</definedName>
    <definedName name="TECTtlFrt" localSheetId="3">#REF!</definedName>
    <definedName name="TECTtlFrt" localSheetId="5">#REF!</definedName>
    <definedName name="TECTtlFrt" localSheetId="1">#REF!</definedName>
    <definedName name="TECTtlFrt" localSheetId="0">#REF!</definedName>
    <definedName name="TECTtlFrt">#REF!</definedName>
    <definedName name="TECTtlGross" localSheetId="2">#REF!</definedName>
    <definedName name="TECTtlGross" localSheetId="4">#REF!</definedName>
    <definedName name="TECTtlGross" localSheetId="3">#REF!</definedName>
    <definedName name="TECTtlGross" localSheetId="5">#REF!</definedName>
    <definedName name="TECTtlGross" localSheetId="1">#REF!</definedName>
    <definedName name="TECTtlGross" localSheetId="0">#REF!</definedName>
    <definedName name="TECTtlGross">#REF!</definedName>
    <definedName name="TECTtlNet" localSheetId="2">#REF!</definedName>
    <definedName name="TECTtlNet" localSheetId="4">#REF!</definedName>
    <definedName name="TECTtlNet" localSheetId="3">#REF!</definedName>
    <definedName name="TECTtlNet" localSheetId="5">#REF!</definedName>
    <definedName name="TECTtlNet" localSheetId="1">#REF!</definedName>
    <definedName name="TECTtlNet" localSheetId="0">#REF!</definedName>
    <definedName name="TECTtlNet">#REF!</definedName>
    <definedName name="tfgf" localSheetId="2" hidden="1">#REF!</definedName>
    <definedName name="tfgf" localSheetId="4" hidden="1">#REF!</definedName>
    <definedName name="tfgf" localSheetId="3" hidden="1">#REF!</definedName>
    <definedName name="tfgf" localSheetId="5" hidden="1">#REF!</definedName>
    <definedName name="tfgf" localSheetId="1" hidden="1">#REF!</definedName>
    <definedName name="tfgf" localSheetId="0" hidden="1">#REF!</definedName>
    <definedName name="tfgf" hidden="1">#REF!</definedName>
    <definedName name="TIME">[18]HOC!$X$12</definedName>
    <definedName name="Timesheet" localSheetId="2">#REF!</definedName>
    <definedName name="Timesheet" localSheetId="4">#REF!</definedName>
    <definedName name="Timesheet" localSheetId="3">#REF!</definedName>
    <definedName name="Timesheet" localSheetId="5">#REF!</definedName>
    <definedName name="Timesheet" localSheetId="1">#REF!</definedName>
    <definedName name="Timesheet" localSheetId="0">#REF!</definedName>
    <definedName name="Timesheet">#REF!</definedName>
    <definedName name="tip">'[14]Basic Rates'!$C$59</definedName>
    <definedName name="TIPI">'[7]Basic Rates'!$C$59</definedName>
    <definedName name="TOTAL" localSheetId="2">#REF!</definedName>
    <definedName name="TOTAL" localSheetId="4">#REF!</definedName>
    <definedName name="TOTAL" localSheetId="3">#REF!</definedName>
    <definedName name="TOTAL" localSheetId="5">#REF!</definedName>
    <definedName name="TOTAL" localSheetId="1">#REF!</definedName>
    <definedName name="TOTAL" localSheetId="0">#REF!</definedName>
    <definedName name="TOTAL">#REF!</definedName>
    <definedName name="TrafficSings" localSheetId="2">#REF!</definedName>
    <definedName name="TrafficSings" localSheetId="4">#REF!</definedName>
    <definedName name="TrafficSings" localSheetId="3">#REF!</definedName>
    <definedName name="TrafficSings" localSheetId="5">#REF!</definedName>
    <definedName name="TrafficSings" localSheetId="1">#REF!</definedName>
    <definedName name="TrafficSings" localSheetId="0">#REF!</definedName>
    <definedName name="TrafficSings">#REF!</definedName>
    <definedName name="ts">[6]Enter_Time!$A$1:$J$38</definedName>
    <definedName name="Turk" localSheetId="2">#REF!</definedName>
    <definedName name="Turk" localSheetId="4">#REF!</definedName>
    <definedName name="Turk" localSheetId="3">#REF!</definedName>
    <definedName name="Turk" localSheetId="5">#REF!</definedName>
    <definedName name="Turk" localSheetId="1">#REF!</definedName>
    <definedName name="Turk" localSheetId="0">#REF!</definedName>
    <definedName name="Turk">#REF!</definedName>
    <definedName name="U" localSheetId="2">#REF!</definedName>
    <definedName name="U" localSheetId="4">#REF!</definedName>
    <definedName name="U" localSheetId="3">#REF!</definedName>
    <definedName name="U" localSheetId="5">#REF!</definedName>
    <definedName name="U" localSheetId="1">#REF!</definedName>
    <definedName name="U" localSheetId="0">#REF!</definedName>
    <definedName name="U">#REF!</definedName>
    <definedName name="Unit" localSheetId="2">#REF!</definedName>
    <definedName name="Unit" localSheetId="4">#REF!</definedName>
    <definedName name="Unit" localSheetId="3">#REF!</definedName>
    <definedName name="Unit" localSheetId="5">#REF!</definedName>
    <definedName name="Unit" localSheetId="1">#REF!</definedName>
    <definedName name="Unit" localSheetId="0">#REF!</definedName>
    <definedName name="Unit">#REF!</definedName>
    <definedName name="unpriced" localSheetId="2">#REF!</definedName>
    <definedName name="unpriced" localSheetId="4">#REF!</definedName>
    <definedName name="unpriced" localSheetId="3">#REF!</definedName>
    <definedName name="unpriced" localSheetId="5">#REF!</definedName>
    <definedName name="unpriced" localSheetId="1">#REF!</definedName>
    <definedName name="unpriced" localSheetId="0">#REF!</definedName>
    <definedName name="unpriced">#REF!</definedName>
    <definedName name="USDRs" localSheetId="2">#REF!</definedName>
    <definedName name="USDRs" localSheetId="4">#REF!</definedName>
    <definedName name="USDRs" localSheetId="3">#REF!</definedName>
    <definedName name="USDRs" localSheetId="5">#REF!</definedName>
    <definedName name="USDRs" localSheetId="1">#REF!</definedName>
    <definedName name="USDRs" localSheetId="0">#REF!</definedName>
    <definedName name="USDRs">#REF!</definedName>
    <definedName name="USDYen" localSheetId="2">#REF!</definedName>
    <definedName name="USDYen" localSheetId="4">#REF!</definedName>
    <definedName name="USDYen" localSheetId="3">#REF!</definedName>
    <definedName name="USDYen" localSheetId="5">#REF!</definedName>
    <definedName name="USDYen" localSheetId="1">#REF!</definedName>
    <definedName name="USDYen" localSheetId="0">#REF!</definedName>
    <definedName name="USDYen">#REF!</definedName>
    <definedName name="V" localSheetId="2">#REF!</definedName>
    <definedName name="V" localSheetId="4">#REF!</definedName>
    <definedName name="V" localSheetId="3">#REF!</definedName>
    <definedName name="V" localSheetId="5">#REF!</definedName>
    <definedName name="V" localSheetId="1">#REF!</definedName>
    <definedName name="V" localSheetId="0">#REF!</definedName>
    <definedName name="V">#REF!</definedName>
    <definedName name="VNBV" localSheetId="2" hidden="1">{#N/A,#N/A,FALSE,"Abutments ONLY"}</definedName>
    <definedName name="VNBV" localSheetId="4" hidden="1">{#N/A,#N/A,FALSE,"Abutments ONLY"}</definedName>
    <definedName name="VNBV" localSheetId="3" hidden="1">{#N/A,#N/A,FALSE,"Abutments ONLY"}</definedName>
    <definedName name="VNBV" localSheetId="5" hidden="1">{#N/A,#N/A,FALSE,"Abutments ONLY"}</definedName>
    <definedName name="VNBV" localSheetId="1" hidden="1">{#N/A,#N/A,FALSE,"Abutments ONLY"}</definedName>
    <definedName name="VNBV" localSheetId="0" hidden="1">{#N/A,#N/A,FALSE,"Abutments ONLY"}</definedName>
    <definedName name="VNBV" hidden="1">{#N/A,#N/A,FALSE,"Abutments ONLY"}</definedName>
    <definedName name="W" localSheetId="2">#REF!</definedName>
    <definedName name="W" localSheetId="4">#REF!</definedName>
    <definedName name="W" localSheetId="3">#REF!</definedName>
    <definedName name="W" localSheetId="5">#REF!</definedName>
    <definedName name="W" localSheetId="1">#REF!</definedName>
    <definedName name="W" localSheetId="0">#REF!</definedName>
    <definedName name="W">#REF!</definedName>
    <definedName name="WearingCourse" localSheetId="2">#REF!</definedName>
    <definedName name="WearingCourse" localSheetId="4">#REF!</definedName>
    <definedName name="WearingCourse" localSheetId="3">#REF!</definedName>
    <definedName name="WearingCourse" localSheetId="5">#REF!</definedName>
    <definedName name="WearingCourse" localSheetId="1">#REF!</definedName>
    <definedName name="WearingCourse" localSheetId="0">#REF!</definedName>
    <definedName name="WearingCourse">#REF!</definedName>
    <definedName name="WMM" localSheetId="2">[13]HOC!#REF!</definedName>
    <definedName name="WMM" localSheetId="4">[13]HOC!#REF!</definedName>
    <definedName name="WMM" localSheetId="3">[13]HOC!#REF!</definedName>
    <definedName name="WMM" localSheetId="5">[13]HOC!#REF!</definedName>
    <definedName name="WMM" localSheetId="1">[13]HOC!#REF!</definedName>
    <definedName name="WMM" localSheetId="0">[13]HOC!#REF!</definedName>
    <definedName name="WMM">[13]HOC!#REF!</definedName>
    <definedName name="wrn.Abut_only." localSheetId="2">#REF!</definedName>
    <definedName name="wrn.Abut_only." localSheetId="4">#REF!</definedName>
    <definedName name="wrn.Abut_only." localSheetId="3">#REF!</definedName>
    <definedName name="wrn.Abut_only." localSheetId="5">#REF!</definedName>
    <definedName name="wrn.Abut_only." localSheetId="1">#REF!</definedName>
    <definedName name="wrn.Abut_only." localSheetId="0">#REF!</definedName>
    <definedName name="wrn.Abut_only.">#REF!</definedName>
    <definedName name="wrn.Abut_pier." localSheetId="2">#REF!</definedName>
    <definedName name="wrn.Abut_pier." localSheetId="4">#REF!</definedName>
    <definedName name="wrn.Abut_pier." localSheetId="3">#REF!</definedName>
    <definedName name="wrn.Abut_pier." localSheetId="5">#REF!</definedName>
    <definedName name="wrn.Abut_pier." localSheetId="1">#REF!</definedName>
    <definedName name="wrn.Abut_pier." localSheetId="0">#REF!</definedName>
    <definedName name="wrn.Abut_pier.">#REF!</definedName>
    <definedName name="wrn.Cumulative._.Material._.Cost." localSheetId="2" hidden="1">{#N/A,#N/A,FALSE,"MARCH"}</definedName>
    <definedName name="wrn.Cumulative._.Material._.Cost." localSheetId="4" hidden="1">{#N/A,#N/A,FALSE,"MARCH"}</definedName>
    <definedName name="wrn.Cumulative._.Material._.Cost." localSheetId="3" hidden="1">{#N/A,#N/A,FALSE,"MARCH"}</definedName>
    <definedName name="wrn.Cumulative._.Material._.Cost." localSheetId="5" hidden="1">{#N/A,#N/A,FALSE,"MARCH"}</definedName>
    <definedName name="wrn.Cumulative._.Material._.Cost." localSheetId="1" hidden="1">{#N/A,#N/A,FALSE,"MARCH"}</definedName>
    <definedName name="wrn.Cumulative._.Material._.Cost." localSheetId="0" hidden="1">{#N/A,#N/A,FALSE,"MARCH"}</definedName>
    <definedName name="wrn.Cumulative._.Material._.Cost." hidden="1">{#N/A,#N/A,FALSE,"MARCH"}</definedName>
    <definedName name="ww" localSheetId="2">#REF!</definedName>
    <definedName name="ww" localSheetId="4">#REF!</definedName>
    <definedName name="ww" localSheetId="3">#REF!</definedName>
    <definedName name="ww" localSheetId="5">#REF!</definedName>
    <definedName name="ww" localSheetId="1">#REF!</definedName>
    <definedName name="ww" localSheetId="0">#REF!</definedName>
    <definedName name="ww">#REF!</definedName>
    <definedName name="www" localSheetId="2">#REF!</definedName>
    <definedName name="www" localSheetId="4">#REF!</definedName>
    <definedName name="www" localSheetId="3">#REF!</definedName>
    <definedName name="www" localSheetId="5">#REF!</definedName>
    <definedName name="www" localSheetId="1">#REF!</definedName>
    <definedName name="www" localSheetId="0">#REF!</definedName>
    <definedName name="www">#REF!</definedName>
    <definedName name="wwww" localSheetId="2">#REF!</definedName>
    <definedName name="wwww" localSheetId="4">#REF!</definedName>
    <definedName name="wwww" localSheetId="3">#REF!</definedName>
    <definedName name="wwww" localSheetId="5">#REF!</definedName>
    <definedName name="wwww" localSheetId="1">#REF!</definedName>
    <definedName name="wwww" localSheetId="0">#REF!</definedName>
    <definedName name="wwww">#REF!</definedName>
    <definedName name="X" localSheetId="2">#REF!</definedName>
    <definedName name="X" localSheetId="4">#REF!</definedName>
    <definedName name="X" localSheetId="3">#REF!</definedName>
    <definedName name="X" localSheetId="5">#REF!</definedName>
    <definedName name="X" localSheetId="1">#REF!</definedName>
    <definedName name="X" localSheetId="0">#REF!</definedName>
    <definedName name="X">#REF!</definedName>
    <definedName name="XXX" localSheetId="2" hidden="1">{#N/A,#N/A,FALSE,"MARCH"}</definedName>
    <definedName name="XXX" localSheetId="4" hidden="1">{#N/A,#N/A,FALSE,"MARCH"}</definedName>
    <definedName name="XXX" localSheetId="3" hidden="1">{#N/A,#N/A,FALSE,"MARCH"}</definedName>
    <definedName name="XXX" localSheetId="5" hidden="1">{#N/A,#N/A,FALSE,"MARCH"}</definedName>
    <definedName name="XXX" localSheetId="1" hidden="1">{#N/A,#N/A,FALSE,"MARCH"}</definedName>
    <definedName name="XXX" localSheetId="0" hidden="1">{#N/A,#N/A,FALSE,"MARCH"}</definedName>
    <definedName name="XXX" hidden="1">{#N/A,#N/A,FALSE,"MARCH"}</definedName>
    <definedName name="xxxxxxx" localSheetId="2" hidden="1">{#N/A,#N/A,FALSE,"MARCH"}</definedName>
    <definedName name="xxxxxxx" localSheetId="4" hidden="1">{#N/A,#N/A,FALSE,"MARCH"}</definedName>
    <definedName name="xxxxxxx" localSheetId="3" hidden="1">{#N/A,#N/A,FALSE,"MARCH"}</definedName>
    <definedName name="xxxxxxx" localSheetId="5" hidden="1">{#N/A,#N/A,FALSE,"MARCH"}</definedName>
    <definedName name="xxxxxxx" localSheetId="1" hidden="1">{#N/A,#N/A,FALSE,"MARCH"}</definedName>
    <definedName name="xxxxxxx" localSheetId="0" hidden="1">{#N/A,#N/A,FALSE,"MARCH"}</definedName>
    <definedName name="xxxxxxx" hidden="1">{#N/A,#N/A,FALSE,"MARCH"}</definedName>
    <definedName name="Y" localSheetId="2">#REF!</definedName>
    <definedName name="Y" localSheetId="4">#REF!</definedName>
    <definedName name="Y" localSheetId="3">#REF!</definedName>
    <definedName name="Y" localSheetId="5">#REF!</definedName>
    <definedName name="Y" localSheetId="1">#REF!</definedName>
    <definedName name="Y" localSheetId="0">#REF!</definedName>
    <definedName name="Y">#REF!</definedName>
    <definedName name="Z" localSheetId="2">#REF!</definedName>
    <definedName name="Z" localSheetId="4">#REF!</definedName>
    <definedName name="Z" localSheetId="3">#REF!</definedName>
    <definedName name="Z" localSheetId="5">#REF!</definedName>
    <definedName name="Z" localSheetId="1">#REF!</definedName>
    <definedName name="Z" localSheetId="0">#REF!</definedName>
    <definedName name="Z">#REF!</definedName>
    <definedName name="干支の概要" localSheetId="2">#REF!</definedName>
    <definedName name="干支の概要" localSheetId="4">#REF!</definedName>
    <definedName name="干支の概要" localSheetId="3">#REF!</definedName>
    <definedName name="干支の概要" localSheetId="5">#REF!</definedName>
    <definedName name="干支の概要" localSheetId="1">#REF!</definedName>
    <definedName name="干支の概要" localSheetId="0">#REF!</definedName>
    <definedName name="干支の概要">#REF!</definedName>
    <definedName name="海上Hvyｺｽﾄ" localSheetId="2">#REF!</definedName>
    <definedName name="海上Hvyｺｽﾄ" localSheetId="4">#REF!</definedName>
    <definedName name="海上Hvyｺｽﾄ" localSheetId="3">#REF!</definedName>
    <definedName name="海上Hvyｺｽﾄ" localSheetId="5">#REF!</definedName>
    <definedName name="海上Hvyｺｽﾄ" localSheetId="1">#REF!</definedName>
    <definedName name="海上Hvyｺｽﾄ" localSheetId="0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7" l="1"/>
  <c r="D19" i="7"/>
  <c r="D16" i="7"/>
  <c r="D15" i="7"/>
  <c r="G6" i="2"/>
  <c r="J6" i="2"/>
  <c r="K6" i="2"/>
  <c r="O6" i="2"/>
  <c r="J7" i="7"/>
  <c r="K7" i="7"/>
  <c r="O7" i="7"/>
  <c r="D10" i="7"/>
  <c r="D14" i="7"/>
  <c r="D13" i="7"/>
  <c r="D20" i="7"/>
  <c r="D12" i="7"/>
  <c r="D11" i="7"/>
  <c r="J20" i="7" l="1"/>
  <c r="J12" i="8"/>
  <c r="H11" i="8"/>
  <c r="H15" i="8"/>
  <c r="J19" i="8"/>
  <c r="K19" i="8"/>
  <c r="K18" i="8"/>
  <c r="J18" i="8"/>
  <c r="H18" i="8"/>
  <c r="K17" i="8"/>
  <c r="J17" i="8"/>
  <c r="K16" i="8"/>
  <c r="J16" i="8"/>
  <c r="K15" i="8"/>
  <c r="J15" i="8"/>
  <c r="K14" i="8"/>
  <c r="J14" i="8"/>
  <c r="H14" i="8"/>
  <c r="K13" i="8"/>
  <c r="J13" i="8"/>
  <c r="H13" i="8"/>
  <c r="K12" i="8"/>
  <c r="K11" i="8"/>
  <c r="J11" i="8"/>
  <c r="K10" i="8"/>
  <c r="J10" i="8"/>
  <c r="H10" i="8"/>
  <c r="K9" i="8"/>
  <c r="J9" i="8"/>
  <c r="H9" i="8"/>
  <c r="O8" i="8"/>
  <c r="K8" i="8"/>
  <c r="J8" i="8"/>
  <c r="K7" i="8"/>
  <c r="J7" i="8"/>
  <c r="H7" i="8"/>
  <c r="K6" i="8"/>
  <c r="J6" i="8"/>
  <c r="H6" i="8"/>
  <c r="O5" i="8"/>
  <c r="K5" i="8"/>
  <c r="J5" i="8"/>
  <c r="K4" i="8"/>
  <c r="J4" i="8"/>
  <c r="H4" i="8"/>
  <c r="K20" i="7"/>
  <c r="K19" i="7"/>
  <c r="J19" i="7"/>
  <c r="H19" i="7"/>
  <c r="K18" i="7"/>
  <c r="J18" i="7"/>
  <c r="K17" i="7"/>
  <c r="J17" i="7"/>
  <c r="K16" i="7"/>
  <c r="J16" i="7"/>
  <c r="H16" i="7"/>
  <c r="K15" i="7"/>
  <c r="J15" i="7"/>
  <c r="H15" i="7"/>
  <c r="K14" i="7"/>
  <c r="J14" i="7"/>
  <c r="H14" i="7"/>
  <c r="K13" i="7"/>
  <c r="J13" i="7"/>
  <c r="H13" i="7"/>
  <c r="K12" i="7"/>
  <c r="J12" i="7"/>
  <c r="H12" i="7"/>
  <c r="K11" i="7"/>
  <c r="J11" i="7"/>
  <c r="H11" i="7"/>
  <c r="K10" i="7"/>
  <c r="J10" i="7"/>
  <c r="H10" i="7"/>
  <c r="O9" i="7"/>
  <c r="K9" i="7"/>
  <c r="J9" i="7"/>
  <c r="K8" i="7"/>
  <c r="J8" i="7"/>
  <c r="H8" i="7"/>
  <c r="K6" i="7"/>
  <c r="J6" i="7"/>
  <c r="H6" i="7"/>
  <c r="O5" i="7"/>
  <c r="K5" i="7"/>
  <c r="J5" i="7"/>
  <c r="K4" i="7"/>
  <c r="J4" i="7"/>
  <c r="H4" i="7"/>
  <c r="H20" i="7" l="1"/>
  <c r="K22" i="7"/>
  <c r="J22" i="7"/>
  <c r="H12" i="8"/>
  <c r="K21" i="8"/>
  <c r="H19" i="8"/>
  <c r="J21" i="8"/>
  <c r="J6" i="6"/>
  <c r="K6" i="6"/>
  <c r="O6" i="6"/>
  <c r="K19" i="6" l="1"/>
  <c r="J19" i="6"/>
  <c r="H19" i="6"/>
  <c r="K18" i="6"/>
  <c r="J18" i="6"/>
  <c r="H18" i="6"/>
  <c r="K17" i="6"/>
  <c r="J17" i="6"/>
  <c r="K16" i="6"/>
  <c r="J16" i="6"/>
  <c r="H16" i="6"/>
  <c r="K15" i="6"/>
  <c r="J15" i="6"/>
  <c r="H15" i="6"/>
  <c r="K14" i="6"/>
  <c r="J14" i="6"/>
  <c r="H14" i="6"/>
  <c r="K13" i="6"/>
  <c r="J13" i="6"/>
  <c r="H13" i="6"/>
  <c r="K12" i="6"/>
  <c r="J12" i="6"/>
  <c r="H12" i="6"/>
  <c r="K11" i="6"/>
  <c r="J11" i="6"/>
  <c r="H11" i="6"/>
  <c r="K10" i="6"/>
  <c r="J10" i="6"/>
  <c r="H10" i="6"/>
  <c r="O9" i="6"/>
  <c r="K9" i="6"/>
  <c r="J9" i="6"/>
  <c r="K8" i="6"/>
  <c r="J8" i="6"/>
  <c r="H8" i="6"/>
  <c r="O7" i="6"/>
  <c r="K7" i="6"/>
  <c r="J7" i="6"/>
  <c r="K5" i="6"/>
  <c r="J5" i="6"/>
  <c r="H5" i="6"/>
  <c r="K4" i="6"/>
  <c r="J4" i="6"/>
  <c r="H4" i="6"/>
  <c r="J21" i="6" l="1"/>
  <c r="K21" i="6"/>
  <c r="J4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4" i="4"/>
  <c r="J21" i="2" l="1"/>
  <c r="J20" i="4"/>
  <c r="H11" i="5"/>
  <c r="D18" i="5"/>
  <c r="J18" i="5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9" i="5"/>
  <c r="H6" i="5"/>
  <c r="H4" i="5"/>
  <c r="K5" i="5"/>
  <c r="O5" i="5"/>
  <c r="K19" i="5"/>
  <c r="H19" i="5"/>
  <c r="K18" i="5"/>
  <c r="K17" i="5"/>
  <c r="K16" i="5"/>
  <c r="K15" i="5"/>
  <c r="H15" i="5"/>
  <c r="K14" i="5"/>
  <c r="H14" i="5"/>
  <c r="K13" i="5"/>
  <c r="H13" i="5"/>
  <c r="K12" i="5"/>
  <c r="H12" i="5"/>
  <c r="K11" i="5"/>
  <c r="K10" i="5"/>
  <c r="H10" i="5"/>
  <c r="K9" i="5"/>
  <c r="H9" i="5"/>
  <c r="O8" i="5"/>
  <c r="K8" i="5"/>
  <c r="K7" i="5"/>
  <c r="H7" i="5"/>
  <c r="K6" i="5"/>
  <c r="K4" i="5"/>
  <c r="H18" i="5" l="1"/>
  <c r="J21" i="5"/>
  <c r="K21" i="5"/>
  <c r="K18" i="4"/>
  <c r="H18" i="4"/>
  <c r="K17" i="4"/>
  <c r="H17" i="4"/>
  <c r="K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O8" i="4"/>
  <c r="K8" i="4"/>
  <c r="K7" i="4"/>
  <c r="H7" i="4"/>
  <c r="O6" i="4"/>
  <c r="K6" i="4"/>
  <c r="K5" i="4"/>
  <c r="H5" i="4"/>
  <c r="K4" i="4"/>
  <c r="H4" i="4"/>
  <c r="K8" i="2"/>
  <c r="O8" i="2"/>
  <c r="G10" i="2"/>
  <c r="H10" i="2" s="1"/>
  <c r="H19" i="2"/>
  <c r="K19" i="2"/>
  <c r="K18" i="2"/>
  <c r="H18" i="2"/>
  <c r="K17" i="2"/>
  <c r="K16" i="2"/>
  <c r="K15" i="2"/>
  <c r="H15" i="2"/>
  <c r="K14" i="2"/>
  <c r="H14" i="2"/>
  <c r="K13" i="2"/>
  <c r="H13" i="2"/>
  <c r="K12" i="2"/>
  <c r="H12" i="2"/>
  <c r="K11" i="2"/>
  <c r="H11" i="2"/>
  <c r="K10" i="2"/>
  <c r="K9" i="2"/>
  <c r="H9" i="2"/>
  <c r="K7" i="2"/>
  <c r="H7" i="2"/>
  <c r="K5" i="2"/>
  <c r="H5" i="2"/>
  <c r="K4" i="2"/>
  <c r="H4" i="2"/>
  <c r="K20" i="4" l="1"/>
  <c r="K21" i="2"/>
</calcChain>
</file>

<file path=xl/sharedStrings.xml><?xml version="1.0" encoding="utf-8"?>
<sst xmlns="http://schemas.openxmlformats.org/spreadsheetml/2006/main" count="379" uniqueCount="53">
  <si>
    <t>E &amp; C</t>
  </si>
  <si>
    <t>Owner</t>
  </si>
  <si>
    <t>RATE HOUR /DAY</t>
  </si>
  <si>
    <t>Consumption</t>
  </si>
  <si>
    <t>Fuel</t>
  </si>
  <si>
    <t>Distance</t>
  </si>
  <si>
    <t>Type</t>
  </si>
  <si>
    <t>Vehicle No</t>
  </si>
  <si>
    <t>No</t>
  </si>
  <si>
    <t>Skid Loader</t>
  </si>
  <si>
    <t>Remarks</t>
  </si>
  <si>
    <t>Backhoe Loader</t>
  </si>
  <si>
    <t>ZB-2587</t>
  </si>
  <si>
    <t>Tractor</t>
  </si>
  <si>
    <t>RD-6318</t>
  </si>
  <si>
    <t>ZA-2963</t>
  </si>
  <si>
    <t>SL-25</t>
  </si>
  <si>
    <t>HEX-36</t>
  </si>
  <si>
    <t>2 Cube</t>
  </si>
  <si>
    <t>HEX-39</t>
  </si>
  <si>
    <t>PH-0765</t>
  </si>
  <si>
    <t>D/Cab</t>
  </si>
  <si>
    <t>LK-2276</t>
  </si>
  <si>
    <t>ZB-1547</t>
  </si>
  <si>
    <t>ZB-1548</t>
  </si>
  <si>
    <t>Column1</t>
  </si>
  <si>
    <t>SL-11</t>
  </si>
  <si>
    <t>Column2</t>
  </si>
  <si>
    <t>S/Cab</t>
  </si>
  <si>
    <t>RD-3537</t>
  </si>
  <si>
    <t>HEX-28</t>
  </si>
  <si>
    <t>60 Excavator</t>
  </si>
  <si>
    <t>68-5115</t>
  </si>
  <si>
    <t>Diesel bowser</t>
  </si>
  <si>
    <t>DAH-2230</t>
  </si>
  <si>
    <t>Days/machine hours consider for costing2</t>
  </si>
  <si>
    <t xml:space="preserve">Actual Days/machine hours </t>
  </si>
  <si>
    <t>Vehicle Running Summary -December 2025</t>
  </si>
  <si>
    <t>ZA-6255</t>
  </si>
  <si>
    <t>Truck Mixer</t>
  </si>
  <si>
    <t>Vehicle Running Summary -November 2025</t>
  </si>
  <si>
    <t>Vehicle Running Summary -January 2026</t>
  </si>
  <si>
    <t>1 Cube</t>
  </si>
  <si>
    <t>LN-9046</t>
  </si>
  <si>
    <t>Amount with idling</t>
  </si>
  <si>
    <t>Actual amount</t>
  </si>
  <si>
    <t>Actual Amount</t>
  </si>
  <si>
    <t xml:space="preserve">Actual amount </t>
  </si>
  <si>
    <t>Vehicle Running Summary -October 2025</t>
  </si>
  <si>
    <t>LB-4824</t>
  </si>
  <si>
    <t>Vehicle Running Summary -February 2026</t>
  </si>
  <si>
    <t>Vehicle Running Summary -March 2026</t>
  </si>
  <si>
    <t>SAQ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</si>
</sst>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Rs.-849]\ #,##0.00"/>
    <numFmt numFmtId="165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6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4" fontId="6" fillId="0" borderId="7" xfId="0" applyNumberFormat="1" applyFont="1" applyBorder="1"/>
    <xf numFmtId="0" fontId="4" fillId="0" borderId="6" xfId="0" applyFont="1" applyBorder="1"/>
    <xf numFmtId="0" fontId="5" fillId="2" borderId="5" xfId="0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3" fontId="5" fillId="2" borderId="4" xfId="0" applyNumberFormat="1" applyFont="1" applyFill="1" applyBorder="1"/>
    <xf numFmtId="2" fontId="5" fillId="2" borderId="4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4" fillId="0" borderId="1" xfId="0" applyNumberFormat="1" applyFont="1" applyBorder="1"/>
    <xf numFmtId="0" fontId="8" fillId="2" borderId="4" xfId="0" applyFont="1" applyFill="1" applyBorder="1" applyAlignment="1">
      <alignment horizontal="center"/>
    </xf>
    <xf numFmtId="43" fontId="8" fillId="2" borderId="4" xfId="0" applyNumberFormat="1" applyFont="1" applyFill="1" applyBorder="1"/>
    <xf numFmtId="0" fontId="2" fillId="3" borderId="0" xfId="0" applyFont="1" applyFill="1" applyAlignment="1">
      <alignment horizontal="center"/>
    </xf>
    <xf numFmtId="0" fontId="0" fillId="0" borderId="4" xfId="0" applyBorder="1"/>
    <xf numFmtId="0" fontId="8" fillId="0" borderId="9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43" fontId="9" fillId="2" borderId="4" xfId="0" applyNumberFormat="1" applyFont="1" applyFill="1" applyBorder="1" applyAlignment="1"/>
    <xf numFmtId="2" fontId="9" fillId="2" borderId="4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9" xfId="0" applyFont="1" applyBorder="1"/>
    <xf numFmtId="0" fontId="0" fillId="0" borderId="10" xfId="0" applyBorder="1" applyAlignment="1">
      <alignment horizontal="left"/>
    </xf>
    <xf numFmtId="0" fontId="9" fillId="2" borderId="0" xfId="0" applyNumberFormat="1" applyFont="1" applyFill="1" applyAlignment="1">
      <alignment horizontal="center"/>
    </xf>
    <xf numFmtId="165" fontId="5" fillId="2" borderId="4" xfId="0" applyNumberFormat="1" applyFont="1" applyFill="1" applyBorder="1" applyAlignment="1">
      <alignment horizontal="center"/>
    </xf>
    <xf numFmtId="43" fontId="5" fillId="2" borderId="4" xfId="0" applyNumberFormat="1" applyFont="1" applyFill="1" applyBorder="1" applyAlignment="1"/>
    <xf numFmtId="0" fontId="5" fillId="2" borderId="0" xfId="0" applyNumberFormat="1" applyFont="1" applyFill="1" applyAlignment="1">
      <alignment horizontal="center"/>
    </xf>
    <xf numFmtId="43" fontId="2" fillId="0" borderId="0" xfId="2" applyFont="1"/>
    <xf numFmtId="0" fontId="11" fillId="2" borderId="4" xfId="0" applyFont="1" applyFill="1" applyBorder="1" applyAlignment="1">
      <alignment horizontal="center"/>
    </xf>
    <xf numFmtId="0" fontId="11" fillId="2" borderId="4" xfId="0" applyNumberFormat="1" applyFont="1" applyFill="1" applyBorder="1" applyAlignment="1">
      <alignment horizontal="center"/>
    </xf>
    <xf numFmtId="43" fontId="11" fillId="2" borderId="4" xfId="0" applyNumberFormat="1" applyFont="1" applyFill="1" applyBorder="1" applyAlignment="1"/>
    <xf numFmtId="2" fontId="11" fillId="2" borderId="4" xfId="0" applyNumberFormat="1" applyFont="1" applyFill="1" applyBorder="1" applyAlignment="1">
      <alignment horizontal="center"/>
    </xf>
    <xf numFmtId="164" fontId="11" fillId="2" borderId="4" xfId="0" applyNumberFormat="1" applyFont="1" applyFill="1" applyBorder="1" applyAlignment="1">
      <alignment horizontal="center"/>
    </xf>
    <xf numFmtId="0" fontId="11" fillId="2" borderId="0" xfId="0" applyNumberFormat="1" applyFont="1" applyFill="1" applyAlignment="1">
      <alignment horizontal="center"/>
    </xf>
    <xf numFmtId="0" fontId="0" fillId="0" borderId="0" xfId="0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12" fillId="0" borderId="7" xfId="0" applyFont="1" applyBorder="1"/>
    <xf numFmtId="2" fontId="12" fillId="0" borderId="7" xfId="0" applyNumberFormat="1" applyFont="1" applyBorder="1"/>
    <xf numFmtId="164" fontId="12" fillId="0" borderId="7" xfId="0" applyNumberFormat="1" applyFont="1" applyBorder="1"/>
    <xf numFmtId="164" fontId="2" fillId="0" borderId="1" xfId="0" applyNumberFormat="1" applyFont="1" applyBorder="1"/>
    <xf numFmtId="0" fontId="3" fillId="4" borderId="0" xfId="0" applyFont="1" applyFill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4" xfId="0" applyNumberFormat="1" applyFont="1" applyFill="1" applyBorder="1" applyAlignment="1">
      <alignment horizontal="center"/>
    </xf>
    <xf numFmtId="43" fontId="13" fillId="2" borderId="4" xfId="0" applyNumberFormat="1" applyFont="1" applyFill="1" applyBorder="1" applyAlignment="1"/>
    <xf numFmtId="2" fontId="13" fillId="2" borderId="4" xfId="0" applyNumberFormat="1" applyFont="1" applyFill="1" applyBorder="1" applyAlignment="1">
      <alignment horizontal="center"/>
    </xf>
    <xf numFmtId="164" fontId="13" fillId="2" borderId="4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3" fillId="2" borderId="5" xfId="0" applyFont="1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  <sheetName val="대비"/>
      <sheetName val="준검 내역서"/>
      <sheetName val="Total All By Trades highest 1st"/>
      <sheetName val="BULD.3"/>
      <sheetName val="Breakdown"/>
      <sheetName val="Data"/>
      <sheetName val="COVER"/>
      <sheetName val="MOTOR"/>
      <sheetName val="설계서"/>
      <sheetName val="FOOTING"/>
      <sheetName val="단가"/>
      <sheetName val="시설물일위"/>
      <sheetName val="6PILE  (돌출)"/>
      <sheetName val="Num_Word1"/>
      <sheetName val="N賃率-職"/>
      <sheetName val="수량산출"/>
      <sheetName val="SCE_LOG"/>
      <sheetName val="PROJ. DATA"/>
      <sheetName val=" Beams Sched "/>
      <sheetName val="C-7-9-1-J (ESU 1,2,3,4)"/>
      <sheetName val="Strstl"/>
      <sheetName val="Plumbing "/>
      <sheetName val="CONSTANT"/>
      <sheetName val="Material Prices"/>
      <sheetName val="BOQ ACMV-MU"/>
      <sheetName val="SSuppliers"/>
      <sheetName val="bill02"/>
      <sheetName val="G"/>
      <sheetName val="D"/>
      <sheetName val="E"/>
      <sheetName val="VL-NC-M"/>
      <sheetName val="Valesco_Paste"/>
      <sheetName val="B_100"/>
      <sheetName val="BOQ_100A"/>
      <sheetName val="BOQ_100B"/>
      <sheetName val="BOQ_200"/>
      <sheetName val="BOQ_300"/>
      <sheetName val="BOQ_400"/>
      <sheetName val="BOQ_550A"/>
      <sheetName val="550B_summa"/>
      <sheetName val="BOQ_550B-200"/>
      <sheetName val="BOQ_550B-550"/>
      <sheetName val="BOQ_550B-600"/>
      <sheetName val="BOQ_550D"/>
      <sheetName val="BOQ_600"/>
      <sheetName val="BOQ_800_Summ"/>
      <sheetName val="BOQ_800_1"/>
      <sheetName val="BOQ_800_2"/>
      <sheetName val="BOQ_800_3"/>
      <sheetName val="BOQ_900"/>
      <sheetName val="Lead_(Final)"/>
      <sheetName val="Cost_code_total"/>
      <sheetName val="C-7-9-1-J_(ESU_1,2,3,4)"/>
      <sheetName val="Valesco_Paste1"/>
      <sheetName val="B_1001"/>
      <sheetName val="BOQ_100A1"/>
      <sheetName val="BOQ_100B1"/>
      <sheetName val="BOQ_2001"/>
      <sheetName val="BOQ_3001"/>
      <sheetName val="BOQ_4001"/>
      <sheetName val="BOQ_550A1"/>
      <sheetName val="550B_summa1"/>
      <sheetName val="BOQ_550B-2001"/>
      <sheetName val="BOQ_550B-5501"/>
      <sheetName val="BOQ_550B-6001"/>
      <sheetName val="BOQ_550D1"/>
      <sheetName val="BOQ_6001"/>
      <sheetName val="BOQ_800_Summ1"/>
      <sheetName val="BOQ_800_11"/>
      <sheetName val="BOQ_800_21"/>
      <sheetName val="BOQ_800_31"/>
      <sheetName val="BOQ_9001"/>
      <sheetName val="Lead_(Final)1"/>
      <sheetName val="Cost_code_total1"/>
      <sheetName val="C-7-9-1-J_(ESU_1,2,3,4)1"/>
      <sheetName val="Valesco_Paste2"/>
      <sheetName val="B_1002"/>
      <sheetName val="BOQ_100A2"/>
      <sheetName val="BOQ_100B2"/>
      <sheetName val="BOQ_2002"/>
      <sheetName val="BOQ_3002"/>
      <sheetName val="BOQ_4002"/>
      <sheetName val="BOQ_550A2"/>
      <sheetName val="550B_summa2"/>
      <sheetName val="BOQ_550B-2002"/>
      <sheetName val="BOQ_550B-5502"/>
      <sheetName val="BOQ_550B-6002"/>
      <sheetName val="BOQ_550D2"/>
      <sheetName val="BOQ_6002"/>
      <sheetName val="BOQ_800_Summ2"/>
      <sheetName val="BOQ_800_12"/>
      <sheetName val="BOQ_800_22"/>
      <sheetName val="BOQ_800_32"/>
      <sheetName val="BOQ_9002"/>
      <sheetName val="Lead_(Final)2"/>
      <sheetName val="Cost_code_total2"/>
      <sheetName val="C-7-9-1-J_(ESU_1,2,3,4)2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SUM"/>
      <sheetName val="Factor"/>
      <sheetName val="Lookup"/>
      <sheetName val="Electrical"/>
      <sheetName val="3.Labour"/>
      <sheetName val="1.Material"/>
      <sheetName val="MMI"/>
      <sheetName val="2.Machinery"/>
      <sheetName val="BOQ PL"/>
      <sheetName val="Ele Price"/>
      <sheetName val="jul_data"/>
      <sheetName val="QTY Pipe Laying"/>
      <sheetName val="WB"/>
      <sheetName val="Contents"/>
      <sheetName val="A CONDITIONS"/>
      <sheetName val="D-3"/>
      <sheetName val="1.2 Staff Schedule"/>
      <sheetName val="SystemData"/>
      <sheetName val="Non_Productive9"/>
      <sheetName val="Detail_EVA-October9"/>
      <sheetName val="Road_Maintenance9"/>
      <sheetName val="Materials_Saving9"/>
      <sheetName val="Cumulative_EVA-sep9"/>
      <sheetName val="Main_items9"/>
      <sheetName val="Joseph_Record9"/>
      <sheetName val="Grass_Sodding-Team9"/>
      <sheetName val="BASIC_RATES9"/>
      <sheetName val="Raw_Data9"/>
      <sheetName val="Panels_(DWG)9"/>
      <sheetName val="450_x_3509"/>
      <sheetName val="Section_2-SCHEDULE_OF_DAYWORK9"/>
      <sheetName val="Unit_cost-_Drain-Protection-1_9"/>
      <sheetName val="Bar_Sched8"/>
      <sheetName val="CODE_LIST6"/>
      <sheetName val="F-6_COVER6"/>
      <sheetName val="10_Breakdown_6"/>
      <sheetName val="Exc_Adj6"/>
      <sheetName val="Bill_016"/>
      <sheetName val="Bill_026"/>
      <sheetName val="Bill_036"/>
      <sheetName val="Bill_046"/>
      <sheetName val="Bill_056"/>
      <sheetName val="Bill_066"/>
      <sheetName val="Bill_076"/>
      <sheetName val="Bill_086"/>
      <sheetName val="Bill_096"/>
      <sheetName val="Bill_106"/>
      <sheetName val="NBT_Calculation6"/>
      <sheetName val="Main_VO_Summary6"/>
      <sheetName val="VO_Sum_Non(New)6"/>
      <sheetName val="VO-07_6"/>
      <sheetName val="VO-08_6"/>
      <sheetName val="RBDfor_derived_Rates8"/>
      <sheetName val="BILL_SUMMARY8"/>
      <sheetName val="WD-8_Main_pkg_PRT28"/>
      <sheetName val="Mes-Con__work_078"/>
      <sheetName val="Mes_Struc__steel_078"/>
      <sheetName val="F1_&amp;_F28"/>
      <sheetName val="F9_old8"/>
      <sheetName val="OLD_PRICES6"/>
      <sheetName val="Cost_bd-&quot;A&quot;8"/>
      <sheetName val="Cost_Factor_Sheet"/>
      <sheetName val="Load_Sch,_Cable_Sel_&amp;_Qty"/>
      <sheetName val="Factor_Sheet"/>
      <sheetName val="Price_Sheet"/>
      <sheetName val="Kaatsu_H_A_M_T_T_C_-7_jan_10"/>
      <sheetName val="JOB_COSTING_SHEET_ELEC"/>
      <sheetName val="Rate_Sheet"/>
      <sheetName val="10_Linkway"/>
      <sheetName val="11_Bus_Shelter-Bay"/>
      <sheetName val="11B_"/>
      <sheetName val="Bill_3_-_Site_Works"/>
      <sheetName val=""/>
      <sheetName val="#REF"/>
      <sheetName val="Lookups"/>
      <sheetName val="total components with Rates"/>
      <sheetName val="INPUT"/>
      <sheetName val="B-3"/>
      <sheetName val="Product Groups"/>
      <sheetName val="Room Type"/>
      <sheetName val="Basement2 DB"/>
      <sheetName val="apr_data"/>
      <sheetName val="NATION"/>
      <sheetName val="conc-foot-gradeslab"/>
      <sheetName val="BILL NO.06 -ELECTRICAL WORKS"/>
      <sheetName val="BOQ Com"/>
      <sheetName val="Bill 04 - water supply tb "/>
      <sheetName val="Haulage(G.C.)"/>
      <sheetName val="Material"/>
      <sheetName val="covere"/>
      <sheetName val="Seachells-Pools-25.2.2014"/>
      <sheetName val="PI-KBR.WB"/>
      <sheetName val="35"/>
      <sheetName val="Keels-6.2.2014"/>
      <sheetName val="概総括1"/>
      <sheetName val="BOQ-ELECTRICAL"/>
      <sheetName val="Manpower"/>
      <sheetName val="Equipment"/>
      <sheetName val="BOQ AC"/>
      <sheetName val="BK Unit Rate"/>
      <sheetName val="Homagama Grounds-9.7.2013"/>
      <sheetName val="B-3.2 EB"/>
      <sheetName val="ANL"/>
      <sheetName val="MACHINERY"/>
      <sheetName val="Sheet5"/>
      <sheetName val="SUBCON OR OTHER"/>
      <sheetName val="ACS(1)"/>
      <sheetName val="FAS-C(4)"/>
      <sheetName val="CCTV(old)"/>
      <sheetName val="M - S"/>
      <sheetName val="Histry Price"/>
      <sheetName val="BOI - Katunayaka-9.8.2013"/>
      <sheetName val="dropdown data"/>
      <sheetName val="Backlog Consol"/>
      <sheetName val="Oracle Account Master"/>
      <sheetName val="HyperionEnt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OM"/>
      <sheetName val="d-safe specs"/>
      <sheetName val="General"/>
      <sheetName val="RBD"/>
      <sheetName val="Price"/>
      <sheetName val="RW_Option"/>
      <sheetName val="Structural work"/>
      <sheetName val="Electrical Systems"/>
      <sheetName val="Plumbing Systems"/>
      <sheetName val="Air Conditioning"/>
      <sheetName val="External work"/>
      <sheetName val="F031-3(ANLZ)"/>
      <sheetName val="LET_BAFO"/>
      <sheetName val="FlowHmgma Grds-9.7.2013-details"/>
      <sheetName val="P-Sum-Cab"/>
      <sheetName val="13A"/>
      <sheetName val="JOB_COSTING_SHEET_ELEC1"/>
      <sheetName val="JOB_COSTING_SHEET_ELEC2"/>
      <sheetName val="Tb"/>
      <sheetName val="Financial Analysis"/>
      <sheetName val="계수시트"/>
      <sheetName val="원가계산서"/>
      <sheetName val="Summary s"/>
      <sheetName val="select_month"/>
      <sheetName val="Labor_rate"/>
      <sheetName val="Enter_Time"/>
      <sheetName val="6MONTHS"/>
      <sheetName val="MDB-25.8.2014"/>
      <sheetName val="2005 - GAAP"/>
      <sheetName val="Start"/>
      <sheetName val="DUTY FREE-DF VAT"/>
      <sheetName val="Calc Inputs"/>
      <sheetName val="LS Price List"/>
      <sheetName val="sum-all"/>
      <sheetName val="ABSTRACT"/>
      <sheetName val="V6"/>
      <sheetName val="V1"/>
      <sheetName val="장비"/>
      <sheetName val="노무"/>
      <sheetName val="자재"/>
      <sheetName val="산근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342" displayName="Table44342" ref="A3:O19" totalsRowShown="0" headerRowDxfId="119" dataDxfId="117" headerRowBorderDxfId="118" tableBorderDxfId="116">
  <autoFilter ref="A3:O19"/>
  <sortState ref="A4:M52">
    <sortCondition sortBy="fontColor" ref="K3:K52" dxfId="115"/>
  </sortState>
  <tableColumns count="15">
    <tableColumn id="1" name="No" dataDxfId="114"/>
    <tableColumn id="2" name="Vehicle No" dataDxfId="113" dataCellStyle="Hyperlink"/>
    <tableColumn id="3" name="Type" dataDxfId="112"/>
    <tableColumn id="11" name="Actual Days/machine hours " dataDxfId="111"/>
    <tableColumn id="14" name="Days/machine hours consider for costing2" dataDxfId="110"/>
    <tableColumn id="5" name="Distance" dataDxfId="109"/>
    <tableColumn id="6" name="Fuel" dataDxfId="108"/>
    <tableColumn id="7" name="Consumption" dataDxfId="107"/>
    <tableColumn id="8" name="RATE HOUR /DAY" dataDxfId="106"/>
    <tableColumn id="15" name="Actual Amount" dataDxfId="105">
      <calculatedColumnFormula>+Table44342[[#This Row],[RATE HOUR /DAY]]*Table44342[[#This Row],[Actual Days/machine hours ]]</calculatedColumnFormula>
    </tableColumn>
    <tableColumn id="9" name="Amount with idling" dataDxfId="104">
      <calculatedColumnFormula>+Table44342[[#This Row],[RATE HOUR /DAY]]*Table44342[[#This Row],[Days/machine hours consider for costing2]]</calculatedColumnFormula>
    </tableColumn>
    <tableColumn id="10" name="Owner" dataDxfId="103"/>
    <tableColumn id="12" name="Remarks" dataDxfId="102"/>
    <tableColumn id="4" name="Column1" dataDxfId="101"/>
    <tableColumn id="13" name="Column2" dataDxfId="100">
      <calculatedColumnFormula>35/7.8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le4434" displayName="Table4434" ref="A3:O18" totalsRowShown="0" headerRowDxfId="99" dataDxfId="97" headerRowBorderDxfId="98" tableBorderDxfId="96">
  <autoFilter ref="A3:O18"/>
  <sortState ref="A4:M52">
    <sortCondition sortBy="fontColor" ref="K3:K52" dxfId="95"/>
  </sortState>
  <tableColumns count="15">
    <tableColumn id="1" name="No" dataDxfId="94"/>
    <tableColumn id="2" name="Vehicle No" dataDxfId="93" dataCellStyle="Hyperlink"/>
    <tableColumn id="3" name="Type" dataDxfId="92"/>
    <tableColumn id="11" name="Actual Days/machine hours " dataDxfId="91"/>
    <tableColumn id="14" name="Days/machine hours consider for costing2" dataDxfId="90"/>
    <tableColumn id="5" name="Distance" dataDxfId="89"/>
    <tableColumn id="6" name="Fuel" dataDxfId="88"/>
    <tableColumn id="7" name="Consumption" dataDxfId="87"/>
    <tableColumn id="8" name="RATE HOUR /DAY" dataDxfId="86"/>
    <tableColumn id="15" name="Actual Amount" dataDxfId="85">
      <calculatedColumnFormula>+Table4434[[#This Row],[RATE HOUR /DAY]]*Table4434[[#This Row],[Actual Days/machine hours ]]</calculatedColumnFormula>
    </tableColumn>
    <tableColumn id="9" name="Amount with idling" dataDxfId="84">
      <calculatedColumnFormula>+Table4434[[#This Row],[RATE HOUR /DAY]]*Table4434[[#This Row],[Days/machine hours consider for costing2]]</calculatedColumnFormula>
    </tableColumn>
    <tableColumn id="10" name="Owner" dataDxfId="83"/>
    <tableColumn id="12" name="Remarks" dataDxfId="82"/>
    <tableColumn id="4" name="Column1" dataDxfId="81"/>
    <tableColumn id="13" name="Column2" dataDxfId="80">
      <calculatedColumnFormula>35/7.8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2" name="Table443" displayName="Table443" ref="A3:O19" totalsRowShown="0" headerRowDxfId="79" dataDxfId="77" headerRowBorderDxfId="78" tableBorderDxfId="76">
  <autoFilter ref="A3:O19"/>
  <sortState ref="A4:M52">
    <sortCondition sortBy="fontColor" ref="K3:K52" dxfId="75"/>
  </sortState>
  <tableColumns count="15">
    <tableColumn id="1" name="No" dataDxfId="74"/>
    <tableColumn id="2" name="Vehicle No" dataDxfId="73" dataCellStyle="Hyperlink"/>
    <tableColumn id="3" name="Type" dataDxfId="72"/>
    <tableColumn id="11" name="Actual Days/machine hours " dataDxfId="71"/>
    <tableColumn id="14" name="Days/machine hours consider for costing2" dataDxfId="70"/>
    <tableColumn id="5" name="Distance" dataDxfId="69"/>
    <tableColumn id="6" name="Fuel" dataDxfId="68"/>
    <tableColumn id="7" name="Consumption" dataDxfId="67"/>
    <tableColumn id="8" name="RATE HOUR /DAY" dataDxfId="66"/>
    <tableColumn id="15" name="Actual amount " dataDxfId="65">
      <calculatedColumnFormula>+Table443[[#This Row],[RATE HOUR /DAY]]*Table443[[#This Row],[Actual Days/machine hours ]]</calculatedColumnFormula>
    </tableColumn>
    <tableColumn id="9" name="Amount with idling" dataDxfId="64">
      <calculatedColumnFormula>+Table443[[#This Row],[RATE HOUR /DAY]]*Table443[[#This Row],[Days/machine hours consider for costing2]]</calculatedColumnFormula>
    </tableColumn>
    <tableColumn id="10" name="Owner" dataDxfId="63"/>
    <tableColumn id="12" name="Remarks" dataDxfId="62"/>
    <tableColumn id="4" name="Column1" dataDxfId="61"/>
    <tableColumn id="13" name="Column2" dataDxfId="60">
      <calculatedColumnFormula>35/7.8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4435" displayName="Table4435" ref="A3:O19" totalsRowShown="0" headerRowDxfId="59" dataDxfId="57" headerRowBorderDxfId="58" tableBorderDxfId="56">
  <autoFilter ref="A3:O19"/>
  <sortState ref="A4:M52">
    <sortCondition sortBy="fontColor" ref="K3:K52" dxfId="55"/>
  </sortState>
  <tableColumns count="15">
    <tableColumn id="1" name="No" dataDxfId="54"/>
    <tableColumn id="2" name="Vehicle No" dataDxfId="53" dataCellStyle="Hyperlink"/>
    <tableColumn id="3" name="Type" dataDxfId="52"/>
    <tableColumn id="11" name="Actual Days/machine hours " dataDxfId="51"/>
    <tableColumn id="14" name="Days/machine hours consider for costing2" dataDxfId="50"/>
    <tableColumn id="5" name="Distance" dataDxfId="49"/>
    <tableColumn id="6" name="Fuel" dataDxfId="48"/>
    <tableColumn id="7" name="Consumption" dataDxfId="47"/>
    <tableColumn id="8" name="RATE HOUR /DAY" dataDxfId="46"/>
    <tableColumn id="15" name="Actual amount" dataDxfId="45">
      <calculatedColumnFormula>+Table4435[[#This Row],[RATE HOUR /DAY]]*Table4435[[#This Row],[Actual Days/machine hours ]]</calculatedColumnFormula>
    </tableColumn>
    <tableColumn id="9" name="Amount with idling" dataDxfId="44">
      <calculatedColumnFormula>+Table4435[[#This Row],[RATE HOUR /DAY]]*Table4435[[#This Row],[Days/machine hours consider for costing2]]</calculatedColumnFormula>
    </tableColumn>
    <tableColumn id="10" name="Owner" dataDxfId="43"/>
    <tableColumn id="12" name="Remarks" dataDxfId="42"/>
    <tableColumn id="4" name="Column1" dataDxfId="41"/>
    <tableColumn id="13" name="Column2" dataDxfId="40">
      <calculatedColumnFormula>35/7.8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5" name="Table44356" displayName="Table44356" ref="A3:O20" totalsRowShown="0" headerRowDxfId="19" dataDxfId="18" headerRowBorderDxfId="16" tableBorderDxfId="17">
  <autoFilter ref="A3:O20"/>
  <sortState ref="A4:M52">
    <sortCondition sortBy="fontColor" ref="K3:K52" dxfId="15"/>
  </sortState>
  <tableColumns count="15">
    <tableColumn id="1" name="No" dataDxfId="14"/>
    <tableColumn id="2" name="Vehicle No" dataDxfId="13" dataCellStyle="Hyperlink"/>
    <tableColumn id="3" name="Type" dataDxfId="12"/>
    <tableColumn id="11" name="Actual Days/machine hours " dataDxfId="11"/>
    <tableColumn id="14" name="Days/machine hours consider for costing2" dataDxfId="10"/>
    <tableColumn id="5" name="Distance" dataDxfId="9"/>
    <tableColumn id="6" name="Fuel" dataDxfId="8"/>
    <tableColumn id="7" name="Consumption" dataDxfId="7"/>
    <tableColumn id="8" name="RATE HOUR /DAY" dataDxfId="6"/>
    <tableColumn id="15" name="Actual amount" dataDxfId="5">
      <calculatedColumnFormula>+Table44356[[#This Row],[RATE HOUR /DAY]]*Table44356[[#This Row],[Actual Days/machine hours ]]</calculatedColumnFormula>
    </tableColumn>
    <tableColumn id="9" name="Amount with idling" dataDxfId="4">
      <calculatedColumnFormula>+Table44356[[#This Row],[RATE HOUR /DAY]]*Table44356[[#This Row],[Days/machine hours consider for costing2]]</calculatedColumnFormula>
    </tableColumn>
    <tableColumn id="10" name="Owner" dataDxfId="3"/>
    <tableColumn id="12" name="Remarks" dataDxfId="2"/>
    <tableColumn id="4" name="Column1" dataDxfId="1"/>
    <tableColumn id="13" name="Column2" dataDxfId="0">
      <calculatedColumnFormula>35/7.8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6" name="Table443567" displayName="Table443567" ref="A3:O19" totalsRowShown="0" headerRowDxfId="39" dataDxfId="37" headerRowBorderDxfId="38" tableBorderDxfId="36">
  <autoFilter ref="A3:O19"/>
  <sortState ref="A4:M52">
    <sortCondition sortBy="fontColor" ref="K3:K52" dxfId="35"/>
  </sortState>
  <tableColumns count="15">
    <tableColumn id="1" name="No" dataDxfId="34"/>
    <tableColumn id="2" name="Vehicle No" dataDxfId="33" dataCellStyle="Hyperlink"/>
    <tableColumn id="3" name="Type" dataDxfId="32"/>
    <tableColumn id="11" name="Actual Days/machine hours " dataDxfId="31"/>
    <tableColumn id="14" name="Days/machine hours consider for costing2" dataDxfId="30"/>
    <tableColumn id="5" name="Distance" dataDxfId="29"/>
    <tableColumn id="6" name="Fuel" dataDxfId="28"/>
    <tableColumn id="7" name="Consumption" dataDxfId="27"/>
    <tableColumn id="8" name="RATE HOUR /DAY" dataDxfId="26"/>
    <tableColumn id="15" name="Actual amount" dataDxfId="25">
      <calculatedColumnFormula>+Table443567[[#This Row],[RATE HOUR /DAY]]*Table443567[[#This Row],[Actual Days/machine hours ]]</calculatedColumnFormula>
    </tableColumn>
    <tableColumn id="9" name="Amount with idling" dataDxfId="24">
      <calculatedColumnFormula>+Table443567[[#This Row],[RATE HOUR /DAY]]*Table443567[[#This Row],[Days/machine hours consider for costing2]]</calculatedColumnFormula>
    </tableColumn>
    <tableColumn id="10" name="Owner" dataDxfId="23"/>
    <tableColumn id="12" name="Remarks" dataDxfId="22"/>
    <tableColumn id="4" name="Column1" dataDxfId="21"/>
    <tableColumn id="13" name="Column2" dataDxfId="20">
      <calculatedColumnFormula>35/7.8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90" zoomScaleNormal="90" workbookViewId="0">
      <pane ySplit="3" topLeftCell="A4" activePane="bottomLeft" state="frozen"/>
      <selection pane="bottomLeft" activeCell="E20" sqref="E20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48</v>
      </c>
      <c r="C1" s="66"/>
      <c r="D1" s="66"/>
      <c r="E1" s="66"/>
      <c r="F1" s="66"/>
      <c r="G1" s="66"/>
      <c r="H1" s="66"/>
      <c r="I1" s="66"/>
      <c r="J1" s="57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46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>
        <v>21</v>
      </c>
      <c r="E4" s="17">
        <v>21</v>
      </c>
      <c r="F4" s="18"/>
      <c r="G4" s="18">
        <v>310</v>
      </c>
      <c r="H4" s="19">
        <f>Table44342[[#This Row],[Distance]]/Table44342[[#This Row],[Fuel]]</f>
        <v>0</v>
      </c>
      <c r="I4" s="20">
        <v>4060</v>
      </c>
      <c r="J4" s="20">
        <f>+Table44342[[#This Row],[RATE HOUR /DAY]]*Table44342[[#This Row],[Actual Days/machine hours ]]</f>
        <v>85260</v>
      </c>
      <c r="K4" s="20">
        <f>+Table44342[[#This Row],[RATE HOUR /DAY]]*Table44342[[#This Row],[Days/machine hours consider for costing2]]</f>
        <v>85260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20</v>
      </c>
      <c r="C5" s="17" t="s">
        <v>21</v>
      </c>
      <c r="D5" s="17">
        <v>22</v>
      </c>
      <c r="E5" s="17">
        <v>30</v>
      </c>
      <c r="F5" s="18"/>
      <c r="G5" s="18">
        <v>255</v>
      </c>
      <c r="H5" s="19">
        <f>Table44342[[#This Row],[Distance]]/Table44342[[#This Row],[Fuel]]</f>
        <v>0</v>
      </c>
      <c r="I5" s="20">
        <v>4480</v>
      </c>
      <c r="J5" s="20">
        <f>+Table44342[[#This Row],[RATE HOUR /DAY]]*Table44342[[#This Row],[Actual Days/machine hours ]]</f>
        <v>98560</v>
      </c>
      <c r="K5" s="20">
        <f>+Table44342[[#This Row],[RATE HOUR /DAY]]*Table44342[[#This Row],[Days/machine hours consider for costing2]]</f>
        <v>134400</v>
      </c>
      <c r="L5" s="21" t="s">
        <v>0</v>
      </c>
      <c r="M5" s="23"/>
      <c r="N5" s="32"/>
      <c r="O5" s="32"/>
    </row>
    <row r="6" spans="1:15" ht="15.75" x14ac:dyDescent="0.25">
      <c r="A6" s="15">
        <v>3</v>
      </c>
      <c r="B6" s="16" t="s">
        <v>49</v>
      </c>
      <c r="C6" s="17" t="s">
        <v>28</v>
      </c>
      <c r="D6" s="59">
        <v>13</v>
      </c>
      <c r="E6" s="58">
        <v>13</v>
      </c>
      <c r="F6" s="60"/>
      <c r="G6" s="60">
        <v>135</v>
      </c>
      <c r="H6" s="61"/>
      <c r="I6" s="44">
        <v>3080</v>
      </c>
      <c r="J6" s="62">
        <f>+Table44342[[#This Row],[RATE HOUR /DAY]]*Table44342[[#This Row],[Actual Days/machine hours ]]</f>
        <v>40040</v>
      </c>
      <c r="K6" s="62">
        <f>+Table44342[[#This Row],[RATE HOUR /DAY]]*Table44342[[#This Row],[Days/machine hours consider for costing2]]</f>
        <v>40040</v>
      </c>
      <c r="L6" s="63"/>
      <c r="M6" s="58"/>
      <c r="N6" s="64"/>
      <c r="O6" s="64">
        <f>35/7.8</f>
        <v>4.4871794871794872</v>
      </c>
    </row>
    <row r="7" spans="1:15" ht="15.75" x14ac:dyDescent="0.25">
      <c r="A7" s="15">
        <v>4</v>
      </c>
      <c r="B7" s="16" t="s">
        <v>34</v>
      </c>
      <c r="C7" s="17" t="s">
        <v>28</v>
      </c>
      <c r="D7" s="41">
        <v>23</v>
      </c>
      <c r="E7" s="41">
        <v>30</v>
      </c>
      <c r="F7" s="42"/>
      <c r="G7" s="42">
        <v>265</v>
      </c>
      <c r="H7" s="43"/>
      <c r="I7" s="44">
        <v>3080</v>
      </c>
      <c r="J7" s="20">
        <f>+Table44342[[#This Row],[RATE HOUR /DAY]]*Table44342[[#This Row],[Actual Days/machine hours ]]</f>
        <v>70840</v>
      </c>
      <c r="K7" s="20">
        <f>+Table44342[[#This Row],[RATE HOUR /DAY]]*Table44342[[#This Row],[Days/machine hours consider for costing2]]</f>
        <v>92400</v>
      </c>
      <c r="L7" s="21" t="s">
        <v>0</v>
      </c>
      <c r="M7" s="40"/>
      <c r="N7" s="45"/>
      <c r="O7" s="45">
        <f>35/7.8</f>
        <v>4.4871794871794872</v>
      </c>
    </row>
    <row r="8" spans="1:15" ht="15.75" x14ac:dyDescent="0.25">
      <c r="A8" s="15">
        <v>5</v>
      </c>
      <c r="B8" s="16" t="s">
        <v>32</v>
      </c>
      <c r="C8" s="17" t="s">
        <v>33</v>
      </c>
      <c r="D8" s="28">
        <v>26</v>
      </c>
      <c r="E8" s="28">
        <v>30</v>
      </c>
      <c r="F8" s="30"/>
      <c r="G8" s="30">
        <v>170</v>
      </c>
      <c r="H8" s="19">
        <f>Table44342[[#This Row],[Distance]]/Table44342[[#This Row],[Fuel]]</f>
        <v>0</v>
      </c>
      <c r="I8" s="29">
        <v>2800</v>
      </c>
      <c r="J8" s="20">
        <f>+Table44342[[#This Row],[RATE HOUR /DAY]]*Table44342[[#This Row],[Actual Days/machine hours ]]</f>
        <v>72800</v>
      </c>
      <c r="K8" s="20">
        <f>+Table44342[[#This Row],[RATE HOUR /DAY]]*Table44342[[#This Row],[Days/machine hours consider for costing2]]</f>
        <v>84000</v>
      </c>
      <c r="L8" s="21" t="s">
        <v>0</v>
      </c>
      <c r="M8" s="28"/>
      <c r="N8" s="32"/>
      <c r="O8" s="32"/>
    </row>
    <row r="9" spans="1:15" ht="15.75" x14ac:dyDescent="0.25">
      <c r="A9" s="15">
        <v>6</v>
      </c>
      <c r="B9" s="16" t="s">
        <v>38</v>
      </c>
      <c r="C9" s="40" t="s">
        <v>39</v>
      </c>
      <c r="D9" s="41">
        <v>14</v>
      </c>
      <c r="E9" s="40">
        <v>14</v>
      </c>
      <c r="F9" s="42"/>
      <c r="G9" s="42">
        <v>325</v>
      </c>
      <c r="H9" s="43"/>
      <c r="I9" s="44">
        <v>8000</v>
      </c>
      <c r="J9" s="20">
        <f>+Table44342[[#This Row],[RATE HOUR /DAY]]*Table44342[[#This Row],[Actual Days/machine hours ]]</f>
        <v>112000</v>
      </c>
      <c r="K9" s="44">
        <f>+Table44342[[#This Row],[RATE HOUR /DAY]]*Table44342[[#This Row],[Days/machine hours consider for costing2]]</f>
        <v>112000</v>
      </c>
      <c r="L9" s="21" t="s">
        <v>0</v>
      </c>
      <c r="M9" s="40"/>
      <c r="N9" s="45"/>
      <c r="O9" s="45">
        <f>35/7.8</f>
        <v>4.4871794871794872</v>
      </c>
    </row>
    <row r="10" spans="1:15" ht="15.75" x14ac:dyDescent="0.25">
      <c r="A10" s="15">
        <v>7</v>
      </c>
      <c r="B10" s="16" t="s">
        <v>19</v>
      </c>
      <c r="C10" s="17" t="s">
        <v>31</v>
      </c>
      <c r="D10" s="23">
        <v>77.400000000000006</v>
      </c>
      <c r="E10" s="23">
        <v>100</v>
      </c>
      <c r="F10" s="24"/>
      <c r="G10" s="24">
        <v>465</v>
      </c>
      <c r="H10" s="19">
        <f>Table44342[[#This Row],[Fuel]]/Table44342[[#This Row],[Actual Days/machine hours ]]</f>
        <v>6.0077519379844952</v>
      </c>
      <c r="I10" s="20">
        <v>1200</v>
      </c>
      <c r="J10" s="20">
        <f>+Table44342[[#This Row],[RATE HOUR /DAY]]*Table44342[[#This Row],[Actual Days/machine hours ]]</f>
        <v>92880</v>
      </c>
      <c r="K10" s="20">
        <f>+Table44342[[#This Row],[RATE HOUR /DAY]]*Table44342[[#This Row],[Days/machine hours consider for costing2]]</f>
        <v>120000</v>
      </c>
      <c r="L10" s="21" t="s">
        <v>0</v>
      </c>
      <c r="M10" s="23"/>
      <c r="N10" s="32"/>
      <c r="O10" s="32"/>
    </row>
    <row r="11" spans="1:15" ht="15.75" x14ac:dyDescent="0.25">
      <c r="A11" s="15">
        <v>8</v>
      </c>
      <c r="B11" s="16" t="s">
        <v>30</v>
      </c>
      <c r="C11" s="17" t="s">
        <v>31</v>
      </c>
      <c r="D11" s="17">
        <v>46.1</v>
      </c>
      <c r="E11" s="17">
        <v>100</v>
      </c>
      <c r="F11" s="37"/>
      <c r="G11" s="37">
        <v>240</v>
      </c>
      <c r="H11" s="19">
        <f>Table44342[[#This Row],[Fuel]]/Table44342[[#This Row],[Actual Days/machine hours ]]</f>
        <v>5.2060737527114966</v>
      </c>
      <c r="I11" s="20">
        <v>1200</v>
      </c>
      <c r="J11" s="20">
        <f>+Table44342[[#This Row],[RATE HOUR /DAY]]*Table44342[[#This Row],[Actual Days/machine hours ]]</f>
        <v>55320</v>
      </c>
      <c r="K11" s="20">
        <f>+Table44342[[#This Row],[RATE HOUR /DAY]]*Table44342[[#This Row],[Days/machine hours consider for costing2]]</f>
        <v>120000</v>
      </c>
      <c r="L11" s="21" t="s">
        <v>0</v>
      </c>
      <c r="M11" s="17"/>
      <c r="N11" s="38"/>
      <c r="O11" s="38"/>
    </row>
    <row r="12" spans="1:15" ht="15.75" x14ac:dyDescent="0.25">
      <c r="A12" s="15">
        <v>9</v>
      </c>
      <c r="B12" s="16" t="s">
        <v>17</v>
      </c>
      <c r="C12" s="17" t="s">
        <v>31</v>
      </c>
      <c r="D12" s="28">
        <v>64.2</v>
      </c>
      <c r="E12" s="28">
        <v>100</v>
      </c>
      <c r="F12" s="30"/>
      <c r="G12" s="30">
        <v>360</v>
      </c>
      <c r="H12" s="19">
        <f>Table44342[[#This Row],[Fuel]]/Table44342[[#This Row],[Actual Days/machine hours ]]</f>
        <v>5.6074766355140184</v>
      </c>
      <c r="I12" s="29">
        <v>1200</v>
      </c>
      <c r="J12" s="20">
        <f>+Table44342[[#This Row],[RATE HOUR /DAY]]*Table44342[[#This Row],[Actual Days/machine hours ]]</f>
        <v>77040</v>
      </c>
      <c r="K12" s="20">
        <f>+Table44342[[#This Row],[RATE HOUR /DAY]]*Table44342[[#This Row],[Days/machine hours consider for costing2]]</f>
        <v>120000</v>
      </c>
      <c r="L12" s="21" t="s">
        <v>0</v>
      </c>
      <c r="M12" s="28"/>
      <c r="N12" s="32"/>
      <c r="O12" s="32"/>
    </row>
    <row r="13" spans="1:15" ht="15.75" x14ac:dyDescent="0.25">
      <c r="A13" s="15">
        <v>10</v>
      </c>
      <c r="B13" s="16" t="s">
        <v>12</v>
      </c>
      <c r="C13" s="17" t="s">
        <v>11</v>
      </c>
      <c r="D13" s="28">
        <v>56.7</v>
      </c>
      <c r="E13" s="28">
        <v>100</v>
      </c>
      <c r="F13" s="30"/>
      <c r="G13" s="30">
        <v>260</v>
      </c>
      <c r="H13" s="19">
        <f>Table44342[[#This Row],[Fuel]]/Table44342[[#This Row],[Actual Days/machine hours ]]</f>
        <v>4.5855379188712524</v>
      </c>
      <c r="I13" s="29">
        <v>2000</v>
      </c>
      <c r="J13" s="20">
        <f>+Table44342[[#This Row],[RATE HOUR /DAY]]*Table44342[[#This Row],[Actual Days/machine hours ]]</f>
        <v>113400</v>
      </c>
      <c r="K13" s="20">
        <f>+Table44342[[#This Row],[RATE HOUR /DAY]]*Table44342[[#This Row],[Days/machine hours consider for costing2]]</f>
        <v>200000</v>
      </c>
      <c r="L13" s="21" t="s">
        <v>0</v>
      </c>
      <c r="M13" s="28"/>
      <c r="N13" s="32"/>
      <c r="O13" s="32"/>
    </row>
    <row r="14" spans="1:15" ht="15.75" x14ac:dyDescent="0.25">
      <c r="A14" s="15">
        <v>11</v>
      </c>
      <c r="B14" s="16" t="s">
        <v>15</v>
      </c>
      <c r="C14" s="17" t="s">
        <v>11</v>
      </c>
      <c r="D14" s="17">
        <v>61.2</v>
      </c>
      <c r="E14" s="17">
        <v>100</v>
      </c>
      <c r="F14" s="18"/>
      <c r="G14" s="18">
        <v>290</v>
      </c>
      <c r="H14" s="19">
        <f>Table44342[[#This Row],[Fuel]]/Table44342[[#This Row],[Actual Days/machine hours ]]</f>
        <v>4.738562091503268</v>
      </c>
      <c r="I14" s="20">
        <v>2000</v>
      </c>
      <c r="J14" s="20">
        <f>+Table44342[[#This Row],[RATE HOUR /DAY]]*Table44342[[#This Row],[Actual Days/machine hours ]]</f>
        <v>122400</v>
      </c>
      <c r="K14" s="20">
        <f>+Table44342[[#This Row],[RATE HOUR /DAY]]*Table44342[[#This Row],[Days/machine hours consider for costing2]]</f>
        <v>200000</v>
      </c>
      <c r="L14" s="21" t="s">
        <v>0</v>
      </c>
      <c r="M14" s="23"/>
      <c r="N14" s="32"/>
      <c r="O14" s="32"/>
    </row>
    <row r="15" spans="1:15" ht="15.75" x14ac:dyDescent="0.25">
      <c r="A15" s="15">
        <v>12</v>
      </c>
      <c r="B15" s="16" t="s">
        <v>23</v>
      </c>
      <c r="C15" s="28" t="s">
        <v>11</v>
      </c>
      <c r="D15" s="28">
        <v>71.400000000000006</v>
      </c>
      <c r="E15" s="28">
        <v>100</v>
      </c>
      <c r="F15" s="30"/>
      <c r="G15" s="30">
        <v>315</v>
      </c>
      <c r="H15" s="19">
        <f>Table44342[[#This Row],[Fuel]]/Table44342[[#This Row],[Actual Days/machine hours ]]</f>
        <v>4.4117647058823524</v>
      </c>
      <c r="I15" s="20">
        <v>2000</v>
      </c>
      <c r="J15" s="20">
        <f>+Table44342[[#This Row],[RATE HOUR /DAY]]*Table44342[[#This Row],[Actual Days/machine hours ]]</f>
        <v>142800</v>
      </c>
      <c r="K15" s="20">
        <f>+Table44342[[#This Row],[RATE HOUR /DAY]]*Table44342[[#This Row],[Days/machine hours consider for costing2]]</f>
        <v>200000</v>
      </c>
      <c r="L15" s="21" t="s">
        <v>0</v>
      </c>
      <c r="M15" s="28"/>
      <c r="N15" s="32"/>
      <c r="O15" s="32"/>
    </row>
    <row r="16" spans="1:15" ht="15.75" x14ac:dyDescent="0.25">
      <c r="A16" s="15">
        <v>13</v>
      </c>
      <c r="B16" s="16" t="s">
        <v>24</v>
      </c>
      <c r="C16" s="28" t="s">
        <v>11</v>
      </c>
      <c r="D16" s="28">
        <v>31.7</v>
      </c>
      <c r="E16" s="28">
        <v>50</v>
      </c>
      <c r="F16" s="30"/>
      <c r="G16" s="30">
        <v>160</v>
      </c>
      <c r="H16" s="19">
        <f>Table44342[[#This Row],[Fuel]]/Table44342[[#This Row],[Actual Days/machine hours ]]</f>
        <v>5.0473186119873814</v>
      </c>
      <c r="I16" s="20">
        <v>2000</v>
      </c>
      <c r="J16" s="20">
        <f>+Table44342[[#This Row],[RATE HOUR /DAY]]*Table44342[[#This Row],[Actual Days/machine hours ]]</f>
        <v>63400</v>
      </c>
      <c r="K16" s="20">
        <f>+Table44342[[#This Row],[RATE HOUR /DAY]]*Table44342[[#This Row],[Days/machine hours consider for costing2]]</f>
        <v>100000</v>
      </c>
      <c r="L16" s="21" t="s">
        <v>0</v>
      </c>
      <c r="M16" s="28"/>
      <c r="N16" s="32"/>
      <c r="O16" s="32"/>
    </row>
    <row r="17" spans="1:15" ht="15.75" x14ac:dyDescent="0.25">
      <c r="A17" s="15">
        <v>14</v>
      </c>
      <c r="B17" s="16" t="s">
        <v>29</v>
      </c>
      <c r="C17" s="28" t="s">
        <v>13</v>
      </c>
      <c r="D17" s="28">
        <v>13</v>
      </c>
      <c r="E17" s="28">
        <v>13</v>
      </c>
      <c r="F17" s="30"/>
      <c r="G17" s="30">
        <v>65</v>
      </c>
      <c r="H17" s="31"/>
      <c r="I17" s="29">
        <v>3500</v>
      </c>
      <c r="J17" s="20">
        <f>+Table44342[[#This Row],[RATE HOUR /DAY]]*Table44342[[#This Row],[Actual Days/machine hours ]]</f>
        <v>45500</v>
      </c>
      <c r="K17" s="20">
        <f>+Table44342[[#This Row],[RATE HOUR /DAY]]*Table44342[[#This Row],[Days/machine hours consider for costing2]]</f>
        <v>45500</v>
      </c>
      <c r="L17" s="21" t="s">
        <v>0</v>
      </c>
      <c r="M17" s="28"/>
      <c r="N17" s="35"/>
      <c r="O17" s="35"/>
    </row>
    <row r="18" spans="1:15" ht="15.75" x14ac:dyDescent="0.25">
      <c r="A18" s="15">
        <v>15</v>
      </c>
      <c r="B18" s="16" t="s">
        <v>26</v>
      </c>
      <c r="C18" s="28" t="s">
        <v>9</v>
      </c>
      <c r="D18" s="28">
        <v>37.200000000000003</v>
      </c>
      <c r="E18" s="28">
        <v>50</v>
      </c>
      <c r="F18" s="30"/>
      <c r="G18" s="30">
        <v>185</v>
      </c>
      <c r="H18" s="19">
        <f>+Table44342[[#This Row],[Fuel]]/Table44342[[#This Row],[Actual Days/machine hours ]]</f>
        <v>4.9731182795698921</v>
      </c>
      <c r="I18" s="29">
        <v>1680</v>
      </c>
      <c r="J18" s="20">
        <f>+Table44342[[#This Row],[RATE HOUR /DAY]]*Table44342[[#This Row],[Actual Days/machine hours ]]</f>
        <v>62496.000000000007</v>
      </c>
      <c r="K18" s="20">
        <f>+Table44342[[#This Row],[RATE HOUR /DAY]]*Table44342[[#This Row],[Days/machine hours consider for costing2]]</f>
        <v>84000</v>
      </c>
      <c r="L18" s="21" t="s">
        <v>0</v>
      </c>
      <c r="M18" s="28"/>
      <c r="N18" s="32"/>
      <c r="O18" s="32"/>
    </row>
    <row r="19" spans="1:15" ht="15.75" x14ac:dyDescent="0.25">
      <c r="A19" s="15">
        <v>16</v>
      </c>
      <c r="B19" s="16" t="s">
        <v>16</v>
      </c>
      <c r="C19" s="17" t="s">
        <v>9</v>
      </c>
      <c r="D19" s="17">
        <v>41.3</v>
      </c>
      <c r="E19" s="17">
        <v>50</v>
      </c>
      <c r="F19" s="18"/>
      <c r="G19" s="18">
        <v>200</v>
      </c>
      <c r="H19" s="19">
        <f>+Table44342[[#This Row],[Fuel]]/Table44342[[#This Row],[Actual Days/machine hours ]]</f>
        <v>4.8426150121065374</v>
      </c>
      <c r="I19" s="20">
        <v>1680</v>
      </c>
      <c r="J19" s="20">
        <f>+Table44342[[#This Row],[RATE HOUR /DAY]]*Table44342[[#This Row],[Actual Days/machine hours ]]</f>
        <v>69384</v>
      </c>
      <c r="K19" s="20">
        <f>+Table44342[[#This Row],[RATE HOUR /DAY]]*Table44342[[#This Row],[Days/machine hours consider for costing2]]</f>
        <v>84000</v>
      </c>
      <c r="L19" s="21" t="s">
        <v>0</v>
      </c>
      <c r="M19" s="23"/>
      <c r="N19" s="32"/>
      <c r="O19" s="32"/>
    </row>
    <row r="20" spans="1:15" x14ac:dyDescent="0.25">
      <c r="C20" s="6"/>
      <c r="D20" s="34"/>
      <c r="E20" s="34"/>
      <c r="G20" s="39"/>
      <c r="M20" s="26"/>
    </row>
    <row r="21" spans="1:15" ht="16.5" thickBot="1" x14ac:dyDescent="0.3">
      <c r="A21" s="7"/>
      <c r="B21" s="7"/>
      <c r="C21" s="8"/>
      <c r="D21" s="9"/>
      <c r="E21" s="9"/>
      <c r="F21" s="7"/>
      <c r="G21" s="10"/>
      <c r="H21" s="11"/>
      <c r="I21" s="12"/>
      <c r="J21" s="56">
        <f>SUM(J4:J20)</f>
        <v>1324120</v>
      </c>
      <c r="K21" s="22">
        <f>SUM(K4:K20)</f>
        <v>1821600</v>
      </c>
      <c r="L21" s="7"/>
    </row>
    <row r="22" spans="1:15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="90" zoomScaleNormal="90" workbookViewId="0">
      <pane ySplit="3" topLeftCell="A4" activePane="bottomLeft" state="frozen"/>
      <selection pane="bottomLeft" activeCell="G19" sqref="G19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40</v>
      </c>
      <c r="C1" s="66"/>
      <c r="D1" s="66"/>
      <c r="E1" s="66"/>
      <c r="F1" s="66"/>
      <c r="G1" s="66"/>
      <c r="H1" s="66"/>
      <c r="I1" s="66"/>
      <c r="J1" s="48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46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>
        <v>23</v>
      </c>
      <c r="E4" s="17">
        <v>23</v>
      </c>
      <c r="F4" s="18"/>
      <c r="G4" s="18">
        <v>300</v>
      </c>
      <c r="H4" s="19">
        <f>Table4434[[#This Row],[Distance]]/Table4434[[#This Row],[Fuel]]</f>
        <v>0</v>
      </c>
      <c r="I4" s="20">
        <v>4060</v>
      </c>
      <c r="J4" s="20">
        <f>+Table4434[[#This Row],[RATE HOUR /DAY]]*Table4434[[#This Row],[Actual Days/machine hours ]]</f>
        <v>93380</v>
      </c>
      <c r="K4" s="20">
        <f>+Table4434[[#This Row],[RATE HOUR /DAY]]*Table4434[[#This Row],[Days/machine hours consider for costing2]]</f>
        <v>93380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20</v>
      </c>
      <c r="C5" s="17" t="s">
        <v>21</v>
      </c>
      <c r="D5" s="17">
        <v>26</v>
      </c>
      <c r="E5" s="17">
        <v>30</v>
      </c>
      <c r="F5" s="18">
        <v>2611</v>
      </c>
      <c r="G5" s="18">
        <v>240</v>
      </c>
      <c r="H5" s="19">
        <f>Table4434[[#This Row],[Distance]]/Table4434[[#This Row],[Fuel]]</f>
        <v>10.879166666666666</v>
      </c>
      <c r="I5" s="20">
        <v>4480</v>
      </c>
      <c r="J5" s="20">
        <f>+Table4434[[#This Row],[RATE HOUR /DAY]]*Table4434[[#This Row],[Actual Days/machine hours ]]</f>
        <v>116480</v>
      </c>
      <c r="K5" s="20">
        <f>+Table4434[[#This Row],[RATE HOUR /DAY]]*Table4434[[#This Row],[Days/machine hours consider for costing2]]</f>
        <v>134400</v>
      </c>
      <c r="L5" s="21" t="s">
        <v>0</v>
      </c>
      <c r="M5" s="23"/>
      <c r="N5" s="32"/>
      <c r="O5" s="32"/>
    </row>
    <row r="6" spans="1:15" ht="15.75" x14ac:dyDescent="0.25">
      <c r="A6" s="15">
        <v>3</v>
      </c>
      <c r="B6" s="16" t="s">
        <v>34</v>
      </c>
      <c r="C6" s="17" t="s">
        <v>28</v>
      </c>
      <c r="D6" s="41">
        <v>24</v>
      </c>
      <c r="E6" s="41">
        <v>30</v>
      </c>
      <c r="F6" s="42">
        <v>2193</v>
      </c>
      <c r="G6" s="42">
        <v>225</v>
      </c>
      <c r="H6" s="43"/>
      <c r="I6" s="44">
        <v>3080</v>
      </c>
      <c r="J6" s="20">
        <f>+Table4434[[#This Row],[RATE HOUR /DAY]]*Table4434[[#This Row],[Actual Days/machine hours ]]</f>
        <v>73920</v>
      </c>
      <c r="K6" s="20">
        <f>+Table4434[[#This Row],[RATE HOUR /DAY]]*Table4434[[#This Row],[Days/machine hours consider for costing2]]</f>
        <v>92400</v>
      </c>
      <c r="L6" s="21" t="s">
        <v>0</v>
      </c>
      <c r="M6" s="40"/>
      <c r="N6" s="45"/>
      <c r="O6" s="45">
        <f>35/7.8</f>
        <v>4.4871794871794872</v>
      </c>
    </row>
    <row r="7" spans="1:15" ht="15.75" x14ac:dyDescent="0.25">
      <c r="A7" s="15">
        <v>4</v>
      </c>
      <c r="B7" s="16" t="s">
        <v>32</v>
      </c>
      <c r="C7" s="17" t="s">
        <v>33</v>
      </c>
      <c r="D7" s="28">
        <v>23</v>
      </c>
      <c r="E7" s="28">
        <v>23</v>
      </c>
      <c r="F7" s="30"/>
      <c r="G7" s="30">
        <v>110</v>
      </c>
      <c r="H7" s="19">
        <f>Table4434[[#This Row],[Distance]]/Table4434[[#This Row],[Fuel]]</f>
        <v>0</v>
      </c>
      <c r="I7" s="29">
        <v>2800</v>
      </c>
      <c r="J7" s="20">
        <f>+Table4434[[#This Row],[RATE HOUR /DAY]]*Table4434[[#This Row],[Actual Days/machine hours ]]</f>
        <v>64400</v>
      </c>
      <c r="K7" s="20">
        <f>+Table4434[[#This Row],[RATE HOUR /DAY]]*Table4434[[#This Row],[Days/machine hours consider for costing2]]</f>
        <v>64400</v>
      </c>
      <c r="L7" s="21" t="s">
        <v>0</v>
      </c>
      <c r="M7" s="28"/>
      <c r="N7" s="32"/>
      <c r="O7" s="32"/>
    </row>
    <row r="8" spans="1:15" ht="15.75" x14ac:dyDescent="0.25">
      <c r="A8" s="15">
        <v>5</v>
      </c>
      <c r="B8" s="16" t="s">
        <v>38</v>
      </c>
      <c r="C8" s="40" t="s">
        <v>39</v>
      </c>
      <c r="D8" s="41">
        <v>12</v>
      </c>
      <c r="E8" s="40">
        <v>12</v>
      </c>
      <c r="F8" s="42"/>
      <c r="G8" s="42"/>
      <c r="H8" s="43"/>
      <c r="I8" s="44">
        <v>8000</v>
      </c>
      <c r="J8" s="20">
        <f>+Table4434[[#This Row],[RATE HOUR /DAY]]*Table4434[[#This Row],[Actual Days/machine hours ]]</f>
        <v>96000</v>
      </c>
      <c r="K8" s="44">
        <f>+Table4434[[#This Row],[RATE HOUR /DAY]]*Table4434[[#This Row],[Days/machine hours consider for costing2]]</f>
        <v>96000</v>
      </c>
      <c r="L8" s="21" t="s">
        <v>0</v>
      </c>
      <c r="M8" s="40"/>
      <c r="N8" s="45"/>
      <c r="O8" s="45">
        <f>35/7.8</f>
        <v>4.4871794871794872</v>
      </c>
    </row>
    <row r="9" spans="1:15" ht="15.75" x14ac:dyDescent="0.25">
      <c r="A9" s="15">
        <v>6</v>
      </c>
      <c r="B9" s="16" t="s">
        <v>19</v>
      </c>
      <c r="C9" s="17" t="s">
        <v>31</v>
      </c>
      <c r="D9" s="23">
        <v>90.5</v>
      </c>
      <c r="E9" s="23">
        <v>100</v>
      </c>
      <c r="F9" s="24"/>
      <c r="G9" s="24">
        <v>460</v>
      </c>
      <c r="H9" s="19">
        <f>Table4434[[#This Row],[Fuel]]/Table4434[[#This Row],[Actual Days/machine hours ]]</f>
        <v>5.0828729281767959</v>
      </c>
      <c r="I9" s="20">
        <v>1200</v>
      </c>
      <c r="J9" s="20">
        <f>+Table4434[[#This Row],[RATE HOUR /DAY]]*Table4434[[#This Row],[Actual Days/machine hours ]]</f>
        <v>108600</v>
      </c>
      <c r="K9" s="20">
        <f>+Table4434[[#This Row],[RATE HOUR /DAY]]*Table4434[[#This Row],[Days/machine hours consider for costing2]]</f>
        <v>120000</v>
      </c>
      <c r="L9" s="21" t="s">
        <v>0</v>
      </c>
      <c r="M9" s="23"/>
      <c r="N9" s="32"/>
      <c r="O9" s="32"/>
    </row>
    <row r="10" spans="1:15" ht="15.75" x14ac:dyDescent="0.25">
      <c r="A10" s="15">
        <v>7</v>
      </c>
      <c r="B10" s="16" t="s">
        <v>30</v>
      </c>
      <c r="C10" s="17" t="s">
        <v>31</v>
      </c>
      <c r="D10" s="17">
        <v>19.7</v>
      </c>
      <c r="E10" s="17">
        <v>50</v>
      </c>
      <c r="F10" s="37"/>
      <c r="G10" s="37">
        <v>120</v>
      </c>
      <c r="H10" s="19">
        <f>Table4434[[#This Row],[Fuel]]/Table4434[[#This Row],[Actual Days/machine hours ]]</f>
        <v>6.091370558375635</v>
      </c>
      <c r="I10" s="20">
        <v>1200</v>
      </c>
      <c r="J10" s="20">
        <f>+Table4434[[#This Row],[RATE HOUR /DAY]]*Table4434[[#This Row],[Actual Days/machine hours ]]</f>
        <v>23640</v>
      </c>
      <c r="K10" s="20">
        <f>+Table4434[[#This Row],[RATE HOUR /DAY]]*Table4434[[#This Row],[Days/machine hours consider for costing2]]</f>
        <v>60000</v>
      </c>
      <c r="L10" s="21" t="s">
        <v>0</v>
      </c>
      <c r="M10" s="17"/>
      <c r="N10" s="38"/>
      <c r="O10" s="38"/>
    </row>
    <row r="11" spans="1:15" ht="15.75" x14ac:dyDescent="0.25">
      <c r="A11" s="15">
        <v>8</v>
      </c>
      <c r="B11" s="16" t="s">
        <v>17</v>
      </c>
      <c r="C11" s="17" t="s">
        <v>31</v>
      </c>
      <c r="D11" s="28">
        <v>36.200000000000003</v>
      </c>
      <c r="E11" s="28">
        <v>100</v>
      </c>
      <c r="F11" s="30"/>
      <c r="G11" s="30">
        <v>220</v>
      </c>
      <c r="H11" s="19">
        <f>Table4434[[#This Row],[Fuel]]/Table4434[[#This Row],[Actual Days/machine hours ]]</f>
        <v>6.0773480662983417</v>
      </c>
      <c r="I11" s="29">
        <v>1200</v>
      </c>
      <c r="J11" s="20">
        <f>+Table4434[[#This Row],[RATE HOUR /DAY]]*Table4434[[#This Row],[Actual Days/machine hours ]]</f>
        <v>43440</v>
      </c>
      <c r="K11" s="20">
        <f>+Table4434[[#This Row],[RATE HOUR /DAY]]*Table4434[[#This Row],[Days/machine hours consider for costing2]]</f>
        <v>120000</v>
      </c>
      <c r="L11" s="21" t="s">
        <v>0</v>
      </c>
      <c r="M11" s="28"/>
      <c r="N11" s="32"/>
      <c r="O11" s="32"/>
    </row>
    <row r="12" spans="1:15" ht="15.75" x14ac:dyDescent="0.25">
      <c r="A12" s="15">
        <v>9</v>
      </c>
      <c r="B12" s="16" t="s">
        <v>12</v>
      </c>
      <c r="C12" s="17" t="s">
        <v>11</v>
      </c>
      <c r="D12" s="28">
        <v>28</v>
      </c>
      <c r="E12" s="28">
        <v>50</v>
      </c>
      <c r="F12" s="30"/>
      <c r="G12" s="30">
        <v>160</v>
      </c>
      <c r="H12" s="36">
        <f>Table4434[[#This Row],[Fuel]]/Table4434[[#This Row],[Actual Days/machine hours ]]</f>
        <v>5.7142857142857144</v>
      </c>
      <c r="I12" s="29">
        <v>2000</v>
      </c>
      <c r="J12" s="20">
        <f>+Table4434[[#This Row],[RATE HOUR /DAY]]*Table4434[[#This Row],[Actual Days/machine hours ]]</f>
        <v>56000</v>
      </c>
      <c r="K12" s="20">
        <f>+Table4434[[#This Row],[RATE HOUR /DAY]]*Table4434[[#This Row],[Days/machine hours consider for costing2]]</f>
        <v>100000</v>
      </c>
      <c r="L12" s="21" t="s">
        <v>0</v>
      </c>
      <c r="M12" s="28"/>
      <c r="N12" s="32"/>
      <c r="O12" s="32"/>
    </row>
    <row r="13" spans="1:15" ht="15.75" x14ac:dyDescent="0.25">
      <c r="A13" s="15">
        <v>10</v>
      </c>
      <c r="B13" s="16" t="s">
        <v>15</v>
      </c>
      <c r="C13" s="17" t="s">
        <v>11</v>
      </c>
      <c r="D13" s="17">
        <v>53.3</v>
      </c>
      <c r="E13" s="17">
        <v>53.3</v>
      </c>
      <c r="F13" s="18"/>
      <c r="G13" s="18">
        <v>275</v>
      </c>
      <c r="H13" s="19">
        <f>Table4434[[#This Row],[Fuel]]/Table4434[[#This Row],[Actual Days/machine hours ]]</f>
        <v>5.1594746716697939</v>
      </c>
      <c r="I13" s="20">
        <v>2000</v>
      </c>
      <c r="J13" s="20">
        <f>+Table4434[[#This Row],[RATE HOUR /DAY]]*Table4434[[#This Row],[Actual Days/machine hours ]]</f>
        <v>106600</v>
      </c>
      <c r="K13" s="20">
        <f>+Table4434[[#This Row],[RATE HOUR /DAY]]*Table4434[[#This Row],[Days/machine hours consider for costing2]]</f>
        <v>106600</v>
      </c>
      <c r="L13" s="21" t="s">
        <v>0</v>
      </c>
      <c r="M13" s="23"/>
      <c r="N13" s="32"/>
      <c r="O13" s="32"/>
    </row>
    <row r="14" spans="1:15" ht="15.75" x14ac:dyDescent="0.25">
      <c r="A14" s="15">
        <v>11</v>
      </c>
      <c r="B14" s="16" t="s">
        <v>23</v>
      </c>
      <c r="C14" s="28" t="s">
        <v>11</v>
      </c>
      <c r="D14" s="28">
        <v>78.7</v>
      </c>
      <c r="E14" s="28">
        <v>100</v>
      </c>
      <c r="F14" s="30"/>
      <c r="G14" s="30">
        <v>365</v>
      </c>
      <c r="H14" s="19">
        <f>Table4434[[#This Row],[Fuel]]/Table4434[[#This Row],[Actual Days/machine hours ]]</f>
        <v>4.6378653113087669</v>
      </c>
      <c r="I14" s="20">
        <v>2000</v>
      </c>
      <c r="J14" s="20">
        <f>+Table4434[[#This Row],[RATE HOUR /DAY]]*Table4434[[#This Row],[Actual Days/machine hours ]]</f>
        <v>157400</v>
      </c>
      <c r="K14" s="20">
        <f>+Table4434[[#This Row],[RATE HOUR /DAY]]*Table4434[[#This Row],[Days/machine hours consider for costing2]]</f>
        <v>200000</v>
      </c>
      <c r="L14" s="21" t="s">
        <v>0</v>
      </c>
      <c r="M14" s="28"/>
      <c r="N14" s="32"/>
      <c r="O14" s="32"/>
    </row>
    <row r="15" spans="1:15" ht="15.75" x14ac:dyDescent="0.25">
      <c r="A15" s="15">
        <v>12</v>
      </c>
      <c r="B15" s="16" t="s">
        <v>24</v>
      </c>
      <c r="C15" s="28" t="s">
        <v>11</v>
      </c>
      <c r="D15" s="28">
        <v>35.200000000000003</v>
      </c>
      <c r="E15" s="28">
        <v>100</v>
      </c>
      <c r="F15" s="30"/>
      <c r="G15" s="30">
        <v>160</v>
      </c>
      <c r="H15" s="19">
        <f>Table4434[[#This Row],[Fuel]]/Table4434[[#This Row],[Actual Days/machine hours ]]</f>
        <v>4.545454545454545</v>
      </c>
      <c r="I15" s="20">
        <v>2000</v>
      </c>
      <c r="J15" s="20">
        <f>+Table4434[[#This Row],[RATE HOUR /DAY]]*Table4434[[#This Row],[Actual Days/machine hours ]]</f>
        <v>70400</v>
      </c>
      <c r="K15" s="20">
        <f>+Table4434[[#This Row],[RATE HOUR /DAY]]*Table4434[[#This Row],[Days/machine hours consider for costing2]]</f>
        <v>200000</v>
      </c>
      <c r="L15" s="21" t="s">
        <v>0</v>
      </c>
      <c r="M15" s="28"/>
      <c r="N15" s="32"/>
      <c r="O15" s="32"/>
    </row>
    <row r="16" spans="1:15" ht="15.75" x14ac:dyDescent="0.25">
      <c r="A16" s="15">
        <v>13</v>
      </c>
      <c r="B16" s="16" t="s">
        <v>29</v>
      </c>
      <c r="C16" s="28" t="s">
        <v>13</v>
      </c>
      <c r="D16" s="28">
        <v>6</v>
      </c>
      <c r="E16" s="28">
        <v>6</v>
      </c>
      <c r="F16" s="30"/>
      <c r="G16" s="30">
        <v>20</v>
      </c>
      <c r="H16" s="31"/>
      <c r="I16" s="29">
        <v>3500</v>
      </c>
      <c r="J16" s="20">
        <f>+Table4434[[#This Row],[RATE HOUR /DAY]]*Table4434[[#This Row],[Actual Days/machine hours ]]</f>
        <v>21000</v>
      </c>
      <c r="K16" s="20">
        <f>+Table4434[[#This Row],[RATE HOUR /DAY]]*Table4434[[#This Row],[Days/machine hours consider for costing2]]</f>
        <v>21000</v>
      </c>
      <c r="L16" s="21" t="s">
        <v>0</v>
      </c>
      <c r="M16" s="28"/>
      <c r="N16" s="35"/>
      <c r="O16" s="35"/>
    </row>
    <row r="17" spans="1:15" ht="15.75" x14ac:dyDescent="0.25">
      <c r="A17" s="15">
        <v>14</v>
      </c>
      <c r="B17" s="16" t="s">
        <v>26</v>
      </c>
      <c r="C17" s="28" t="s">
        <v>9</v>
      </c>
      <c r="D17" s="28">
        <v>22.7</v>
      </c>
      <c r="E17" s="28">
        <v>100</v>
      </c>
      <c r="F17" s="30"/>
      <c r="G17" s="30">
        <v>110</v>
      </c>
      <c r="H17" s="19">
        <f>+Table4434[[#This Row],[Fuel]]/Table4434[[#This Row],[Actual Days/machine hours ]]</f>
        <v>4.8458149779735686</v>
      </c>
      <c r="I17" s="29">
        <v>1680</v>
      </c>
      <c r="J17" s="20">
        <f>+Table4434[[#This Row],[RATE HOUR /DAY]]*Table4434[[#This Row],[Actual Days/machine hours ]]</f>
        <v>38136</v>
      </c>
      <c r="K17" s="20">
        <f>+Table4434[[#This Row],[RATE HOUR /DAY]]*Table4434[[#This Row],[Days/machine hours consider for costing2]]</f>
        <v>168000</v>
      </c>
      <c r="L17" s="21" t="s">
        <v>0</v>
      </c>
      <c r="M17" s="28"/>
      <c r="N17" s="32"/>
      <c r="O17" s="32"/>
    </row>
    <row r="18" spans="1:15" ht="15.75" x14ac:dyDescent="0.25">
      <c r="A18" s="15">
        <v>15</v>
      </c>
      <c r="B18" s="16" t="s">
        <v>16</v>
      </c>
      <c r="C18" s="17" t="s">
        <v>9</v>
      </c>
      <c r="D18" s="17">
        <v>44.8</v>
      </c>
      <c r="E18" s="17">
        <v>100</v>
      </c>
      <c r="F18" s="18"/>
      <c r="G18" s="18">
        <v>220</v>
      </c>
      <c r="H18" s="19">
        <f>+Table4434[[#This Row],[Fuel]]/Table4434[[#This Row],[Actual Days/machine hours ]]</f>
        <v>4.9107142857142856</v>
      </c>
      <c r="I18" s="20">
        <v>1680</v>
      </c>
      <c r="J18" s="20">
        <f>+Table4434[[#This Row],[RATE HOUR /DAY]]*Table4434[[#This Row],[Actual Days/machine hours ]]</f>
        <v>75264</v>
      </c>
      <c r="K18" s="20">
        <f>+Table4434[[#This Row],[RATE HOUR /DAY]]*Table4434[[#This Row],[Days/machine hours consider for costing2]]</f>
        <v>168000</v>
      </c>
      <c r="L18" s="21" t="s">
        <v>0</v>
      </c>
      <c r="M18" s="23"/>
      <c r="N18" s="32"/>
      <c r="O18" s="32"/>
    </row>
    <row r="19" spans="1:15" x14ac:dyDescent="0.25">
      <c r="C19" s="6"/>
      <c r="D19" s="34"/>
      <c r="E19" s="34"/>
      <c r="G19" s="39"/>
      <c r="M19" s="26"/>
    </row>
    <row r="20" spans="1:15" ht="16.5" thickBot="1" x14ac:dyDescent="0.3">
      <c r="A20" s="7"/>
      <c r="B20" s="7"/>
      <c r="C20" s="8"/>
      <c r="D20" s="9"/>
      <c r="E20" s="9"/>
      <c r="F20" s="7"/>
      <c r="G20" s="10"/>
      <c r="H20" s="11"/>
      <c r="I20" s="12"/>
      <c r="J20" s="56">
        <f>SUM(J4:J19)</f>
        <v>1144660</v>
      </c>
      <c r="K20" s="22">
        <f>SUM(K4:K19)</f>
        <v>1744180</v>
      </c>
      <c r="L20" s="7"/>
    </row>
    <row r="21" spans="1:15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90" zoomScaleNormal="9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37</v>
      </c>
      <c r="C1" s="66"/>
      <c r="D1" s="66"/>
      <c r="E1" s="66"/>
      <c r="F1" s="66"/>
      <c r="G1" s="66"/>
      <c r="H1" s="66"/>
      <c r="I1" s="66"/>
      <c r="J1" s="48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47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>
        <v>16</v>
      </c>
      <c r="E4" s="17">
        <v>16</v>
      </c>
      <c r="F4" s="18"/>
      <c r="G4" s="18">
        <v>215</v>
      </c>
      <c r="H4" s="19">
        <f>Table443[[#This Row],[Distance]]/Table443[[#This Row],[Fuel]]</f>
        <v>0</v>
      </c>
      <c r="I4" s="20">
        <v>4060</v>
      </c>
      <c r="J4" s="20">
        <f>+Table443[[#This Row],[RATE HOUR /DAY]]*Table443[[#This Row],[Actual Days/machine hours ]]</f>
        <v>64960</v>
      </c>
      <c r="K4" s="20">
        <f>+Table443[[#This Row],[RATE HOUR /DAY]]*Table443[[#This Row],[Days/machine hours consider for costing2]]</f>
        <v>64960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20</v>
      </c>
      <c r="C5" s="17" t="s">
        <v>21</v>
      </c>
      <c r="D5" s="17">
        <v>25</v>
      </c>
      <c r="E5" s="17">
        <v>30</v>
      </c>
      <c r="F5" s="18"/>
      <c r="G5" s="18">
        <v>265</v>
      </c>
      <c r="H5" s="19">
        <f>Table443[[#This Row],[Distance]]/Table443[[#This Row],[Fuel]]</f>
        <v>0</v>
      </c>
      <c r="I5" s="20">
        <v>4480</v>
      </c>
      <c r="J5" s="20">
        <f>+Table443[[#This Row],[RATE HOUR /DAY]]*Table443[[#This Row],[Actual Days/machine hours ]]</f>
        <v>112000</v>
      </c>
      <c r="K5" s="20">
        <f>+Table443[[#This Row],[RATE HOUR /DAY]]*Table443[[#This Row],[Days/machine hours consider for costing2]]</f>
        <v>134400</v>
      </c>
      <c r="L5" s="21" t="s">
        <v>0</v>
      </c>
      <c r="M5" s="23"/>
      <c r="N5" s="32"/>
      <c r="O5" s="32"/>
    </row>
    <row r="6" spans="1:15" ht="15.75" x14ac:dyDescent="0.25">
      <c r="A6" s="67"/>
      <c r="B6" s="16" t="s">
        <v>34</v>
      </c>
      <c r="C6" s="17" t="s">
        <v>28</v>
      </c>
      <c r="D6" s="59">
        <v>25</v>
      </c>
      <c r="E6" s="58"/>
      <c r="F6" s="60"/>
      <c r="G6" s="60">
        <f>16+17+9+19+14+17+17+6</f>
        <v>115</v>
      </c>
      <c r="H6" s="61"/>
      <c r="I6" s="62">
        <v>3050</v>
      </c>
      <c r="J6" s="62">
        <f>+Table443[[#This Row],[RATE HOUR /DAY]]*Table443[[#This Row],[Actual Days/machine hours ]]</f>
        <v>76250</v>
      </c>
      <c r="K6" s="62">
        <f>+Table443[[#This Row],[RATE HOUR /DAY]]*Table443[[#This Row],[Days/machine hours consider for costing2]]</f>
        <v>0</v>
      </c>
      <c r="L6" s="63"/>
      <c r="M6" s="58"/>
      <c r="N6" s="64"/>
      <c r="O6" s="64">
        <f>35/7.8</f>
        <v>4.4871794871794872</v>
      </c>
    </row>
    <row r="7" spans="1:15" ht="15.75" x14ac:dyDescent="0.25">
      <c r="A7" s="15">
        <v>3</v>
      </c>
      <c r="B7" s="16" t="s">
        <v>32</v>
      </c>
      <c r="C7" s="17" t="s">
        <v>33</v>
      </c>
      <c r="D7" s="28">
        <v>22</v>
      </c>
      <c r="E7" s="28">
        <v>30</v>
      </c>
      <c r="F7" s="30"/>
      <c r="G7" s="30">
        <v>112</v>
      </c>
      <c r="H7" s="19">
        <f>Table443[[#This Row],[Distance]]/Table443[[#This Row],[Fuel]]</f>
        <v>0</v>
      </c>
      <c r="I7" s="29">
        <v>2800</v>
      </c>
      <c r="J7" s="29">
        <f>+Table443[[#This Row],[RATE HOUR /DAY]]*Table443[[#This Row],[Actual Days/machine hours ]]</f>
        <v>61600</v>
      </c>
      <c r="K7" s="20">
        <f>+Table443[[#This Row],[RATE HOUR /DAY]]*Table443[[#This Row],[Days/machine hours consider for costing2]]</f>
        <v>84000</v>
      </c>
      <c r="L7" s="21" t="s">
        <v>0</v>
      </c>
      <c r="M7" s="28"/>
      <c r="N7" s="32"/>
      <c r="O7" s="32"/>
    </row>
    <row r="8" spans="1:15" ht="15.75" x14ac:dyDescent="0.25">
      <c r="A8" s="15">
        <v>4</v>
      </c>
      <c r="B8" s="16" t="s">
        <v>38</v>
      </c>
      <c r="C8" s="40" t="s">
        <v>39</v>
      </c>
      <c r="D8" s="41">
        <v>8</v>
      </c>
      <c r="E8" s="40">
        <v>8</v>
      </c>
      <c r="F8" s="42"/>
      <c r="G8" s="42">
        <v>265</v>
      </c>
      <c r="H8" s="43"/>
      <c r="I8" s="44">
        <v>8000</v>
      </c>
      <c r="J8" s="44">
        <f>+Table443[[#This Row],[RATE HOUR /DAY]]*Table443[[#This Row],[Actual Days/machine hours ]]</f>
        <v>64000</v>
      </c>
      <c r="K8" s="44">
        <f>+Table443[[#This Row],[RATE HOUR /DAY]]*Table443[[#This Row],[Days/machine hours consider for costing2]]</f>
        <v>64000</v>
      </c>
      <c r="L8" s="21" t="s">
        <v>0</v>
      </c>
      <c r="M8" s="40"/>
      <c r="N8" s="45"/>
      <c r="O8" s="45">
        <f>35/7.8</f>
        <v>4.4871794871794872</v>
      </c>
    </row>
    <row r="9" spans="1:15" ht="15.75" x14ac:dyDescent="0.25">
      <c r="A9" s="15">
        <v>5</v>
      </c>
      <c r="B9" s="16" t="s">
        <v>19</v>
      </c>
      <c r="C9" s="17" t="s">
        <v>31</v>
      </c>
      <c r="D9" s="23">
        <v>91.2</v>
      </c>
      <c r="E9" s="23">
        <v>100</v>
      </c>
      <c r="F9" s="24"/>
      <c r="G9" s="24">
        <v>490</v>
      </c>
      <c r="H9" s="19">
        <f>Table443[[#This Row],[Fuel]]/Table443[[#This Row],[Actual Days/machine hours ]]</f>
        <v>5.3728070175438596</v>
      </c>
      <c r="I9" s="20">
        <v>1200</v>
      </c>
      <c r="J9" s="20">
        <f>+Table443[[#This Row],[RATE HOUR /DAY]]*Table443[[#This Row],[Actual Days/machine hours ]]</f>
        <v>109440</v>
      </c>
      <c r="K9" s="20">
        <f>+Table443[[#This Row],[RATE HOUR /DAY]]*Table443[[#This Row],[Days/machine hours consider for costing2]]</f>
        <v>120000</v>
      </c>
      <c r="L9" s="21" t="s">
        <v>0</v>
      </c>
      <c r="M9" s="23"/>
      <c r="N9" s="32"/>
      <c r="O9" s="32"/>
    </row>
    <row r="10" spans="1:15" ht="15.75" x14ac:dyDescent="0.25">
      <c r="A10" s="15">
        <v>6</v>
      </c>
      <c r="B10" s="16" t="s">
        <v>30</v>
      </c>
      <c r="C10" s="17" t="s">
        <v>31</v>
      </c>
      <c r="D10" s="17">
        <v>18.100000000000001</v>
      </c>
      <c r="E10" s="17">
        <v>100</v>
      </c>
      <c r="F10" s="37"/>
      <c r="G10" s="37">
        <f>20+15+15+15+10+20+15</f>
        <v>110</v>
      </c>
      <c r="H10" s="19">
        <f>Table443[[#This Row],[Fuel]]/Table443[[#This Row],[Actual Days/machine hours ]]</f>
        <v>6.0773480662983417</v>
      </c>
      <c r="I10" s="20">
        <v>1200</v>
      </c>
      <c r="J10" s="20">
        <f>+Table443[[#This Row],[RATE HOUR /DAY]]*Table443[[#This Row],[Actual Days/machine hours ]]</f>
        <v>21720</v>
      </c>
      <c r="K10" s="20">
        <f>+Table443[[#This Row],[RATE HOUR /DAY]]*Table443[[#This Row],[Days/machine hours consider for costing2]]</f>
        <v>120000</v>
      </c>
      <c r="L10" s="21" t="s">
        <v>0</v>
      </c>
      <c r="M10" s="17"/>
      <c r="N10" s="38"/>
      <c r="O10" s="38"/>
    </row>
    <row r="11" spans="1:15" ht="15.75" x14ac:dyDescent="0.25">
      <c r="A11" s="15">
        <v>7</v>
      </c>
      <c r="B11" s="16" t="s">
        <v>17</v>
      </c>
      <c r="C11" s="17" t="s">
        <v>31</v>
      </c>
      <c r="D11" s="28">
        <v>43.1</v>
      </c>
      <c r="E11" s="28">
        <v>100</v>
      </c>
      <c r="F11" s="30"/>
      <c r="G11" s="30">
        <v>215</v>
      </c>
      <c r="H11" s="19">
        <f>Table443[[#This Row],[Fuel]]/Table443[[#This Row],[Actual Days/machine hours ]]</f>
        <v>4.9883990719257536</v>
      </c>
      <c r="I11" s="29">
        <v>1200</v>
      </c>
      <c r="J11" s="29">
        <f>+Table443[[#This Row],[RATE HOUR /DAY]]*Table443[[#This Row],[Actual Days/machine hours ]]</f>
        <v>51720</v>
      </c>
      <c r="K11" s="20">
        <f>+Table443[[#This Row],[RATE HOUR /DAY]]*Table443[[#This Row],[Days/machine hours consider for costing2]]</f>
        <v>120000</v>
      </c>
      <c r="L11" s="21" t="s">
        <v>0</v>
      </c>
      <c r="M11" s="28"/>
      <c r="N11" s="32"/>
      <c r="O11" s="32"/>
    </row>
    <row r="12" spans="1:15" ht="15.75" x14ac:dyDescent="0.25">
      <c r="A12" s="15">
        <v>8</v>
      </c>
      <c r="B12" s="16" t="s">
        <v>12</v>
      </c>
      <c r="C12" s="17" t="s">
        <v>11</v>
      </c>
      <c r="D12" s="28">
        <v>55.8</v>
      </c>
      <c r="E12" s="28">
        <v>100</v>
      </c>
      <c r="F12" s="30"/>
      <c r="G12" s="30">
        <v>300</v>
      </c>
      <c r="H12" s="36">
        <f>Table443[[#This Row],[Fuel]]/Table443[[#This Row],[Actual Days/machine hours ]]</f>
        <v>5.3763440860215059</v>
      </c>
      <c r="I12" s="29">
        <v>2000</v>
      </c>
      <c r="J12" s="29">
        <f>+Table443[[#This Row],[RATE HOUR /DAY]]*Table443[[#This Row],[Actual Days/machine hours ]]</f>
        <v>111600</v>
      </c>
      <c r="K12" s="20">
        <f>+Table443[[#This Row],[RATE HOUR /DAY]]*Table443[[#This Row],[Days/machine hours consider for costing2]]</f>
        <v>200000</v>
      </c>
      <c r="L12" s="21" t="s">
        <v>0</v>
      </c>
      <c r="M12" s="28"/>
      <c r="N12" s="32"/>
      <c r="O12" s="32"/>
    </row>
    <row r="13" spans="1:15" ht="15.75" x14ac:dyDescent="0.25">
      <c r="A13" s="15">
        <v>9</v>
      </c>
      <c r="B13" s="16" t="s">
        <v>15</v>
      </c>
      <c r="C13" s="17" t="s">
        <v>11</v>
      </c>
      <c r="D13" s="17">
        <v>79.8</v>
      </c>
      <c r="E13" s="17">
        <v>100</v>
      </c>
      <c r="F13" s="18"/>
      <c r="G13" s="18">
        <v>380</v>
      </c>
      <c r="H13" s="19">
        <f>Table443[[#This Row],[Fuel]]/Table443[[#This Row],[Actual Days/machine hours ]]</f>
        <v>4.7619047619047619</v>
      </c>
      <c r="I13" s="20">
        <v>2000</v>
      </c>
      <c r="J13" s="20">
        <f>+Table443[[#This Row],[RATE HOUR /DAY]]*Table443[[#This Row],[Actual Days/machine hours ]]</f>
        <v>159600</v>
      </c>
      <c r="K13" s="20">
        <f>+Table443[[#This Row],[RATE HOUR /DAY]]*Table443[[#This Row],[Days/machine hours consider for costing2]]</f>
        <v>200000</v>
      </c>
      <c r="L13" s="21" t="s">
        <v>0</v>
      </c>
      <c r="M13" s="23"/>
      <c r="N13" s="32"/>
      <c r="O13" s="32"/>
    </row>
    <row r="14" spans="1:15" ht="15.75" x14ac:dyDescent="0.25">
      <c r="A14" s="15">
        <v>10</v>
      </c>
      <c r="B14" s="16" t="s">
        <v>23</v>
      </c>
      <c r="C14" s="28" t="s">
        <v>11</v>
      </c>
      <c r="D14" s="28">
        <v>82.5</v>
      </c>
      <c r="E14" s="28">
        <v>100</v>
      </c>
      <c r="F14" s="30"/>
      <c r="G14" s="30">
        <v>375</v>
      </c>
      <c r="H14" s="19">
        <f>Table443[[#This Row],[Fuel]]/Table443[[#This Row],[Actual Days/machine hours ]]</f>
        <v>4.5454545454545459</v>
      </c>
      <c r="I14" s="20">
        <v>2000</v>
      </c>
      <c r="J14" s="20">
        <f>+Table443[[#This Row],[RATE HOUR /DAY]]*Table443[[#This Row],[Actual Days/machine hours ]]</f>
        <v>165000</v>
      </c>
      <c r="K14" s="20">
        <f>+Table443[[#This Row],[RATE HOUR /DAY]]*Table443[[#This Row],[Days/machine hours consider for costing2]]</f>
        <v>200000</v>
      </c>
      <c r="L14" s="21" t="s">
        <v>0</v>
      </c>
      <c r="M14" s="28"/>
      <c r="N14" s="32"/>
      <c r="O14" s="32"/>
    </row>
    <row r="15" spans="1:15" ht="15.75" x14ac:dyDescent="0.25">
      <c r="A15" s="15">
        <v>11</v>
      </c>
      <c r="B15" s="16" t="s">
        <v>24</v>
      </c>
      <c r="C15" s="28" t="s">
        <v>11</v>
      </c>
      <c r="D15" s="28">
        <v>28.7</v>
      </c>
      <c r="E15" s="28">
        <v>50</v>
      </c>
      <c r="F15" s="30"/>
      <c r="G15" s="30">
        <v>170</v>
      </c>
      <c r="H15" s="19">
        <f>Table443[[#This Row],[Fuel]]/Table443[[#This Row],[Actual Days/machine hours ]]</f>
        <v>5.9233449477351918</v>
      </c>
      <c r="I15" s="20">
        <v>2000</v>
      </c>
      <c r="J15" s="20">
        <f>+Table443[[#This Row],[RATE HOUR /DAY]]*Table443[[#This Row],[Actual Days/machine hours ]]</f>
        <v>57400</v>
      </c>
      <c r="K15" s="20">
        <f>+Table443[[#This Row],[RATE HOUR /DAY]]*Table443[[#This Row],[Days/machine hours consider for costing2]]</f>
        <v>100000</v>
      </c>
      <c r="L15" s="21" t="s">
        <v>0</v>
      </c>
      <c r="M15" s="28"/>
      <c r="N15" s="32"/>
      <c r="O15" s="32"/>
    </row>
    <row r="16" spans="1:15" ht="15.75" x14ac:dyDescent="0.25">
      <c r="A16" s="15">
        <v>12</v>
      </c>
      <c r="B16" s="16" t="s">
        <v>29</v>
      </c>
      <c r="C16" s="28" t="s">
        <v>13</v>
      </c>
      <c r="D16" s="28">
        <v>21</v>
      </c>
      <c r="E16" s="28">
        <v>25</v>
      </c>
      <c r="F16" s="30"/>
      <c r="G16" s="30">
        <v>100</v>
      </c>
      <c r="H16" s="31"/>
      <c r="I16" s="29">
        <v>3500</v>
      </c>
      <c r="J16" s="29">
        <f>+Table443[[#This Row],[RATE HOUR /DAY]]*Table443[[#This Row],[Actual Days/machine hours ]]</f>
        <v>73500</v>
      </c>
      <c r="K16" s="20">
        <f>+Table443[[#This Row],[RATE HOUR /DAY]]*Table443[[#This Row],[Days/machine hours consider for costing2]]</f>
        <v>87500</v>
      </c>
      <c r="L16" s="21" t="s">
        <v>0</v>
      </c>
      <c r="M16" s="28"/>
      <c r="N16" s="35"/>
      <c r="O16" s="35"/>
    </row>
    <row r="17" spans="1:15" ht="15.75" x14ac:dyDescent="0.25">
      <c r="A17" s="15">
        <v>13</v>
      </c>
      <c r="B17" s="16" t="s">
        <v>14</v>
      </c>
      <c r="C17" s="28" t="s">
        <v>13</v>
      </c>
      <c r="D17" s="28">
        <v>14</v>
      </c>
      <c r="E17" s="28">
        <v>25</v>
      </c>
      <c r="F17" s="30"/>
      <c r="G17" s="30">
        <v>80</v>
      </c>
      <c r="H17" s="31"/>
      <c r="I17" s="29">
        <v>3500</v>
      </c>
      <c r="J17" s="29">
        <f>+Table443[[#This Row],[RATE HOUR /DAY]]*Table443[[#This Row],[Actual Days/machine hours ]]</f>
        <v>49000</v>
      </c>
      <c r="K17" s="20">
        <f>+Table443[[#This Row],[RATE HOUR /DAY]]*Table443[[#This Row],[Days/machine hours consider for costing2]]</f>
        <v>87500</v>
      </c>
      <c r="L17" s="21" t="s">
        <v>0</v>
      </c>
      <c r="M17" s="28"/>
      <c r="N17" s="32"/>
      <c r="O17" s="32"/>
    </row>
    <row r="18" spans="1:15" ht="15.75" x14ac:dyDescent="0.25">
      <c r="A18" s="15">
        <v>14</v>
      </c>
      <c r="B18" s="16" t="s">
        <v>26</v>
      </c>
      <c r="C18" s="28" t="s">
        <v>9</v>
      </c>
      <c r="D18" s="28">
        <v>31.7</v>
      </c>
      <c r="E18" s="28">
        <v>100</v>
      </c>
      <c r="F18" s="30"/>
      <c r="G18" s="30">
        <v>140</v>
      </c>
      <c r="H18" s="19">
        <f>+Table443[[#This Row],[Fuel]]/Table443[[#This Row],[Actual Days/machine hours ]]</f>
        <v>4.4164037854889591</v>
      </c>
      <c r="I18" s="29">
        <v>1680</v>
      </c>
      <c r="J18" s="29">
        <f>+Table443[[#This Row],[RATE HOUR /DAY]]*Table443[[#This Row],[Actual Days/machine hours ]]</f>
        <v>53256</v>
      </c>
      <c r="K18" s="20">
        <f>+Table443[[#This Row],[RATE HOUR /DAY]]*Table443[[#This Row],[Days/machine hours consider for costing2]]</f>
        <v>168000</v>
      </c>
      <c r="L18" s="21" t="s">
        <v>0</v>
      </c>
      <c r="M18" s="28"/>
      <c r="N18" s="32"/>
      <c r="O18" s="32"/>
    </row>
    <row r="19" spans="1:15" ht="15.75" x14ac:dyDescent="0.25">
      <c r="A19" s="15">
        <v>15</v>
      </c>
      <c r="B19" s="16" t="s">
        <v>16</v>
      </c>
      <c r="C19" s="17" t="s">
        <v>9</v>
      </c>
      <c r="D19" s="17">
        <v>63</v>
      </c>
      <c r="E19" s="17">
        <v>100</v>
      </c>
      <c r="F19" s="18"/>
      <c r="G19" s="18">
        <v>285</v>
      </c>
      <c r="H19" s="19">
        <f>+Table443[[#This Row],[Fuel]]/Table443[[#This Row],[Actual Days/machine hours ]]</f>
        <v>4.5238095238095237</v>
      </c>
      <c r="I19" s="20">
        <v>1680</v>
      </c>
      <c r="J19" s="20">
        <f>+Table443[[#This Row],[RATE HOUR /DAY]]*Table443[[#This Row],[Actual Days/machine hours ]]</f>
        <v>105840</v>
      </c>
      <c r="K19" s="20">
        <f>+Table443[[#This Row],[RATE HOUR /DAY]]*Table443[[#This Row],[Days/machine hours consider for costing2]]</f>
        <v>168000</v>
      </c>
      <c r="L19" s="21" t="s">
        <v>0</v>
      </c>
      <c r="M19" s="23"/>
      <c r="N19" s="32"/>
      <c r="O19" s="32"/>
    </row>
    <row r="20" spans="1:15" x14ac:dyDescent="0.25">
      <c r="C20" s="6"/>
      <c r="D20" s="34"/>
      <c r="E20" s="34"/>
      <c r="G20" s="39"/>
      <c r="M20" s="26"/>
    </row>
    <row r="21" spans="1:15" ht="16.5" thickBot="1" x14ac:dyDescent="0.3">
      <c r="A21" s="7"/>
      <c r="B21" s="7"/>
      <c r="C21" s="8"/>
      <c r="D21" s="9"/>
      <c r="E21" s="9"/>
      <c r="F21" s="7"/>
      <c r="G21" s="10"/>
      <c r="H21" s="11"/>
      <c r="I21" s="12"/>
      <c r="J21" s="22">
        <f>SUM(J4:J20)</f>
        <v>1336886</v>
      </c>
      <c r="K21" s="22">
        <f>SUM(K4:K20)</f>
        <v>1918360</v>
      </c>
      <c r="L21" s="7"/>
    </row>
    <row r="22" spans="1:15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90" zoomScaleNormal="90" workbookViewId="0">
      <pane ySplit="3" topLeftCell="A7" activePane="bottomLeft" state="frozen"/>
      <selection pane="bottomLeft" activeCell="D13" sqref="D13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41</v>
      </c>
      <c r="C1" s="66"/>
      <c r="D1" s="66"/>
      <c r="E1" s="66"/>
      <c r="F1" s="66"/>
      <c r="G1" s="66"/>
      <c r="H1" s="66"/>
      <c r="I1" s="66"/>
      <c r="J1" s="47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45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>
        <v>30</v>
      </c>
      <c r="E4" s="17">
        <v>30</v>
      </c>
      <c r="F4" s="18"/>
      <c r="G4" s="18">
        <v>500</v>
      </c>
      <c r="H4" s="19">
        <f>Table4435[[#This Row],[Distance]]/Table4435[[#This Row],[Fuel]]</f>
        <v>0</v>
      </c>
      <c r="I4" s="20">
        <v>4060</v>
      </c>
      <c r="J4" s="20">
        <f>+Table4435[[#This Row],[RATE HOUR /DAY]]*Table4435[[#This Row],[Actual Days/machine hours ]]</f>
        <v>121800</v>
      </c>
      <c r="K4" s="20">
        <f>+Table4435[[#This Row],[RATE HOUR /DAY]]*Table4435[[#This Row],[Days/machine hours consider for costing2]]</f>
        <v>121800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43</v>
      </c>
      <c r="C5" s="17" t="s">
        <v>42</v>
      </c>
      <c r="D5" s="41">
        <v>9</v>
      </c>
      <c r="E5" s="40">
        <v>9</v>
      </c>
      <c r="F5" s="42">
        <v>521</v>
      </c>
      <c r="G5" s="42">
        <v>134</v>
      </c>
      <c r="H5" s="43"/>
      <c r="I5" s="44">
        <v>3500</v>
      </c>
      <c r="J5" s="44">
        <f>+Table4435[[#This Row],[RATE HOUR /DAY]]*Table4435[[#This Row],[Actual Days/machine hours ]]</f>
        <v>31500</v>
      </c>
      <c r="K5" s="44">
        <f>+Table4435[[#This Row],[RATE HOUR /DAY]]*Table4435[[#This Row],[Days/machine hours consider for costing2]]</f>
        <v>31500</v>
      </c>
      <c r="L5" s="49"/>
      <c r="M5" s="40"/>
      <c r="N5" s="45"/>
      <c r="O5" s="45">
        <f>35/7.8</f>
        <v>4.4871794871794872</v>
      </c>
    </row>
    <row r="6" spans="1:15" ht="15.75" x14ac:dyDescent="0.25">
      <c r="A6" s="15">
        <v>3</v>
      </c>
      <c r="B6" s="16" t="s">
        <v>20</v>
      </c>
      <c r="C6" s="17" t="s">
        <v>21</v>
      </c>
      <c r="D6" s="17">
        <v>29</v>
      </c>
      <c r="E6" s="17">
        <v>30</v>
      </c>
      <c r="F6" s="18">
        <v>3567</v>
      </c>
      <c r="G6" s="18">
        <v>350</v>
      </c>
      <c r="H6" s="19">
        <f>Table4435[[#This Row],[Distance]]/Table4435[[#This Row],[Fuel]]</f>
        <v>10.191428571428572</v>
      </c>
      <c r="I6" s="20">
        <v>4480</v>
      </c>
      <c r="J6" s="20">
        <f>+Table4435[[#This Row],[RATE HOUR /DAY]]*Table4435[[#This Row],[Actual Days/machine hours ]]</f>
        <v>129920</v>
      </c>
      <c r="K6" s="20">
        <f>+Table4435[[#This Row],[RATE HOUR /DAY]]*Table4435[[#This Row],[Days/machine hours consider for costing2]]</f>
        <v>134400</v>
      </c>
      <c r="L6" s="21" t="s">
        <v>0</v>
      </c>
      <c r="M6" s="23"/>
      <c r="N6" s="32"/>
      <c r="O6" s="32"/>
    </row>
    <row r="7" spans="1:15" ht="15.75" x14ac:dyDescent="0.25">
      <c r="A7" s="15">
        <v>4</v>
      </c>
      <c r="B7" s="16" t="s">
        <v>32</v>
      </c>
      <c r="C7" s="17" t="s">
        <v>33</v>
      </c>
      <c r="D7" s="28">
        <v>26</v>
      </c>
      <c r="E7" s="28">
        <v>30</v>
      </c>
      <c r="F7" s="30"/>
      <c r="G7" s="30">
        <v>140</v>
      </c>
      <c r="H7" s="19">
        <f>Table4435[[#This Row],[Distance]]/Table4435[[#This Row],[Fuel]]</f>
        <v>0</v>
      </c>
      <c r="I7" s="29">
        <v>2800</v>
      </c>
      <c r="J7" s="29">
        <f>+Table4435[[#This Row],[RATE HOUR /DAY]]*Table4435[[#This Row],[Actual Days/machine hours ]]</f>
        <v>72800</v>
      </c>
      <c r="K7" s="20">
        <f>+Table4435[[#This Row],[RATE HOUR /DAY]]*Table4435[[#This Row],[Days/machine hours consider for costing2]]</f>
        <v>84000</v>
      </c>
      <c r="L7" s="21" t="s">
        <v>0</v>
      </c>
      <c r="M7" s="28"/>
      <c r="N7" s="32"/>
      <c r="O7" s="32"/>
    </row>
    <row r="8" spans="1:15" ht="15.75" x14ac:dyDescent="0.25">
      <c r="A8" s="15">
        <v>5</v>
      </c>
      <c r="B8" s="16" t="s">
        <v>38</v>
      </c>
      <c r="C8" s="40" t="s">
        <v>39</v>
      </c>
      <c r="D8" s="41">
        <v>9</v>
      </c>
      <c r="E8" s="40">
        <v>9</v>
      </c>
      <c r="F8" s="42"/>
      <c r="G8" s="42">
        <v>270</v>
      </c>
      <c r="H8" s="43"/>
      <c r="I8" s="44">
        <v>8000</v>
      </c>
      <c r="J8" s="44">
        <f>+Table4435[[#This Row],[RATE HOUR /DAY]]*Table4435[[#This Row],[Actual Days/machine hours ]]</f>
        <v>72000</v>
      </c>
      <c r="K8" s="44">
        <f>+Table4435[[#This Row],[RATE HOUR /DAY]]*Table4435[[#This Row],[Days/machine hours consider for costing2]]</f>
        <v>72000</v>
      </c>
      <c r="L8" s="21" t="s">
        <v>0</v>
      </c>
      <c r="M8" s="40"/>
      <c r="N8" s="45"/>
      <c r="O8" s="45">
        <f>35/7.8</f>
        <v>4.4871794871794872</v>
      </c>
    </row>
    <row r="9" spans="1:15" ht="15.75" x14ac:dyDescent="0.25">
      <c r="A9" s="15">
        <v>6</v>
      </c>
      <c r="B9" s="16" t="s">
        <v>19</v>
      </c>
      <c r="C9" s="17" t="s">
        <v>31</v>
      </c>
      <c r="D9" s="23">
        <v>104.2</v>
      </c>
      <c r="E9" s="23">
        <v>104.2</v>
      </c>
      <c r="F9" s="24"/>
      <c r="G9" s="24">
        <v>611</v>
      </c>
      <c r="H9" s="19">
        <f>Table4435[[#This Row],[Fuel]]/Table4435[[#This Row],[Actual Days/machine hours ]]</f>
        <v>5.8637236084452971</v>
      </c>
      <c r="I9" s="20">
        <v>1200</v>
      </c>
      <c r="J9" s="20">
        <f>+Table4435[[#This Row],[RATE HOUR /DAY]]*Table4435[[#This Row],[Actual Days/machine hours ]]</f>
        <v>125040</v>
      </c>
      <c r="K9" s="20">
        <f>+Table4435[[#This Row],[RATE HOUR /DAY]]*Table4435[[#This Row],[Days/machine hours consider for costing2]]</f>
        <v>125040</v>
      </c>
      <c r="L9" s="21" t="s">
        <v>0</v>
      </c>
      <c r="M9" s="23"/>
      <c r="N9" s="32"/>
      <c r="O9" s="32"/>
    </row>
    <row r="10" spans="1:15" ht="15.75" x14ac:dyDescent="0.25">
      <c r="A10" s="15">
        <v>7</v>
      </c>
      <c r="B10" s="16" t="s">
        <v>30</v>
      </c>
      <c r="C10" s="17" t="s">
        <v>31</v>
      </c>
      <c r="D10" s="17">
        <v>44.9</v>
      </c>
      <c r="E10" s="17">
        <v>100</v>
      </c>
      <c r="F10" s="37"/>
      <c r="G10" s="37">
        <v>235</v>
      </c>
      <c r="H10" s="19">
        <f>Table4435[[#This Row],[Fuel]]/Table4435[[#This Row],[Actual Days/machine hours ]]</f>
        <v>5.2338530066815148</v>
      </c>
      <c r="I10" s="20">
        <v>1200</v>
      </c>
      <c r="J10" s="20">
        <f>+Table4435[[#This Row],[RATE HOUR /DAY]]*Table4435[[#This Row],[Actual Days/machine hours ]]</f>
        <v>53880</v>
      </c>
      <c r="K10" s="20">
        <f>+Table4435[[#This Row],[RATE HOUR /DAY]]*Table4435[[#This Row],[Days/machine hours consider for costing2]]</f>
        <v>120000</v>
      </c>
      <c r="L10" s="21" t="s">
        <v>0</v>
      </c>
      <c r="M10" s="17"/>
      <c r="N10" s="38"/>
      <c r="O10" s="38"/>
    </row>
    <row r="11" spans="1:15" ht="15.75" x14ac:dyDescent="0.25">
      <c r="A11" s="15">
        <v>8</v>
      </c>
      <c r="B11" s="16" t="s">
        <v>17</v>
      </c>
      <c r="C11" s="17" t="s">
        <v>31</v>
      </c>
      <c r="D11" s="28">
        <v>22.4</v>
      </c>
      <c r="E11" s="28">
        <v>22.4</v>
      </c>
      <c r="F11" s="30"/>
      <c r="G11" s="30">
        <v>115</v>
      </c>
      <c r="H11" s="19">
        <f>Table4435[[#This Row],[Fuel]]/Table4435[[#This Row],[Actual Days/machine hours ]]</f>
        <v>5.1339285714285721</v>
      </c>
      <c r="I11" s="29">
        <v>1200</v>
      </c>
      <c r="J11" s="29">
        <f>+Table4435[[#This Row],[RATE HOUR /DAY]]*Table4435[[#This Row],[Actual Days/machine hours ]]</f>
        <v>26880</v>
      </c>
      <c r="K11" s="20">
        <f>+Table4435[[#This Row],[RATE HOUR /DAY]]*Table4435[[#This Row],[Days/machine hours consider for costing2]]</f>
        <v>26880</v>
      </c>
      <c r="L11" s="21" t="s">
        <v>0</v>
      </c>
      <c r="M11" s="28"/>
      <c r="N11" s="32"/>
      <c r="O11" s="32"/>
    </row>
    <row r="12" spans="1:15" ht="15.75" x14ac:dyDescent="0.25">
      <c r="A12" s="15">
        <v>9</v>
      </c>
      <c r="B12" s="16" t="s">
        <v>12</v>
      </c>
      <c r="C12" s="17" t="s">
        <v>11</v>
      </c>
      <c r="D12" s="28">
        <v>65.2</v>
      </c>
      <c r="E12" s="28">
        <v>100</v>
      </c>
      <c r="F12" s="30"/>
      <c r="G12" s="30">
        <v>315</v>
      </c>
      <c r="H12" s="36">
        <f>Table4435[[#This Row],[Fuel]]/Table4435[[#This Row],[Actual Days/machine hours ]]</f>
        <v>4.8312883435582821</v>
      </c>
      <c r="I12" s="29">
        <v>2000</v>
      </c>
      <c r="J12" s="29">
        <f>+Table4435[[#This Row],[RATE HOUR /DAY]]*Table4435[[#This Row],[Actual Days/machine hours ]]</f>
        <v>130400</v>
      </c>
      <c r="K12" s="20">
        <f>+Table4435[[#This Row],[RATE HOUR /DAY]]*Table4435[[#This Row],[Days/machine hours consider for costing2]]</f>
        <v>200000</v>
      </c>
      <c r="L12" s="21" t="s">
        <v>0</v>
      </c>
      <c r="M12" s="28"/>
      <c r="N12" s="32"/>
      <c r="O12" s="32"/>
    </row>
    <row r="13" spans="1:15" ht="15.75" x14ac:dyDescent="0.25">
      <c r="A13" s="15">
        <v>10</v>
      </c>
      <c r="B13" s="16" t="s">
        <v>15</v>
      </c>
      <c r="C13" s="17" t="s">
        <v>11</v>
      </c>
      <c r="D13" s="17">
        <v>35.799999999999997</v>
      </c>
      <c r="E13" s="17">
        <v>100</v>
      </c>
      <c r="F13" s="18"/>
      <c r="G13" s="18">
        <v>155</v>
      </c>
      <c r="H13" s="19">
        <f>Table4435[[#This Row],[Fuel]]/Table4435[[#This Row],[Actual Days/machine hours ]]</f>
        <v>4.3296089385474863</v>
      </c>
      <c r="I13" s="20">
        <v>2000</v>
      </c>
      <c r="J13" s="20">
        <f>+Table4435[[#This Row],[RATE HOUR /DAY]]*Table4435[[#This Row],[Actual Days/machine hours ]]</f>
        <v>71600</v>
      </c>
      <c r="K13" s="20">
        <f>+Table4435[[#This Row],[RATE HOUR /DAY]]*Table4435[[#This Row],[Days/machine hours consider for costing2]]</f>
        <v>200000</v>
      </c>
      <c r="L13" s="21" t="s">
        <v>0</v>
      </c>
      <c r="M13" s="23"/>
      <c r="N13" s="32"/>
      <c r="O13" s="32"/>
    </row>
    <row r="14" spans="1:15" ht="15.75" x14ac:dyDescent="0.25">
      <c r="A14" s="15">
        <v>11</v>
      </c>
      <c r="B14" s="16" t="s">
        <v>23</v>
      </c>
      <c r="C14" s="28" t="s">
        <v>11</v>
      </c>
      <c r="D14" s="28">
        <v>88</v>
      </c>
      <c r="E14" s="28">
        <v>100</v>
      </c>
      <c r="F14" s="30"/>
      <c r="G14" s="30">
        <v>355</v>
      </c>
      <c r="H14" s="19">
        <f>Table4435[[#This Row],[Fuel]]/Table4435[[#This Row],[Actual Days/machine hours ]]</f>
        <v>4.0340909090909092</v>
      </c>
      <c r="I14" s="20">
        <v>2000</v>
      </c>
      <c r="J14" s="20">
        <f>+Table4435[[#This Row],[RATE HOUR /DAY]]*Table4435[[#This Row],[Actual Days/machine hours ]]</f>
        <v>176000</v>
      </c>
      <c r="K14" s="20">
        <f>+Table4435[[#This Row],[RATE HOUR /DAY]]*Table4435[[#This Row],[Days/machine hours consider for costing2]]</f>
        <v>200000</v>
      </c>
      <c r="L14" s="21" t="s">
        <v>0</v>
      </c>
      <c r="M14" s="28"/>
      <c r="N14" s="32"/>
      <c r="O14" s="32"/>
    </row>
    <row r="15" spans="1:15" ht="15.75" x14ac:dyDescent="0.25">
      <c r="A15" s="15">
        <v>12</v>
      </c>
      <c r="B15" s="16" t="s">
        <v>24</v>
      </c>
      <c r="C15" s="28" t="s">
        <v>11</v>
      </c>
      <c r="D15" s="28">
        <v>99</v>
      </c>
      <c r="E15" s="28">
        <v>100</v>
      </c>
      <c r="F15" s="30"/>
      <c r="G15" s="30">
        <v>465</v>
      </c>
      <c r="H15" s="19">
        <f>Table4435[[#This Row],[Fuel]]/Table4435[[#This Row],[Actual Days/machine hours ]]</f>
        <v>4.6969696969696972</v>
      </c>
      <c r="I15" s="20">
        <v>2000</v>
      </c>
      <c r="J15" s="20">
        <f>+Table4435[[#This Row],[RATE HOUR /DAY]]*Table4435[[#This Row],[Actual Days/machine hours ]]</f>
        <v>198000</v>
      </c>
      <c r="K15" s="20">
        <f>+Table4435[[#This Row],[RATE HOUR /DAY]]*Table4435[[#This Row],[Days/machine hours consider for costing2]]</f>
        <v>200000</v>
      </c>
      <c r="L15" s="21" t="s">
        <v>0</v>
      </c>
      <c r="M15" s="28"/>
      <c r="N15" s="32"/>
      <c r="O15" s="32"/>
    </row>
    <row r="16" spans="1:15" ht="15.75" x14ac:dyDescent="0.25">
      <c r="A16" s="15">
        <v>13</v>
      </c>
      <c r="B16" s="16" t="s">
        <v>29</v>
      </c>
      <c r="C16" s="28" t="s">
        <v>13</v>
      </c>
      <c r="D16" s="28">
        <v>27</v>
      </c>
      <c r="E16" s="28">
        <v>27</v>
      </c>
      <c r="F16" s="30"/>
      <c r="G16" s="30">
        <v>140</v>
      </c>
      <c r="H16" s="31"/>
      <c r="I16" s="29">
        <v>3500</v>
      </c>
      <c r="J16" s="29">
        <f>+Table4435[[#This Row],[RATE HOUR /DAY]]*Table4435[[#This Row],[Actual Days/machine hours ]]</f>
        <v>94500</v>
      </c>
      <c r="K16" s="20">
        <f>+Table4435[[#This Row],[RATE HOUR /DAY]]*Table4435[[#This Row],[Days/machine hours consider for costing2]]</f>
        <v>94500</v>
      </c>
      <c r="L16" s="21" t="s">
        <v>0</v>
      </c>
      <c r="M16" s="28"/>
      <c r="N16" s="35"/>
      <c r="O16" s="35"/>
    </row>
    <row r="17" spans="1:15" ht="15.75" x14ac:dyDescent="0.25">
      <c r="A17" s="15">
        <v>14</v>
      </c>
      <c r="B17" s="16" t="s">
        <v>14</v>
      </c>
      <c r="C17" s="28" t="s">
        <v>13</v>
      </c>
      <c r="D17" s="28">
        <v>24</v>
      </c>
      <c r="E17" s="28">
        <v>24</v>
      </c>
      <c r="F17" s="30"/>
      <c r="G17" s="30">
        <v>160</v>
      </c>
      <c r="H17" s="31"/>
      <c r="I17" s="29">
        <v>3500</v>
      </c>
      <c r="J17" s="29">
        <f>+Table4435[[#This Row],[RATE HOUR /DAY]]*Table4435[[#This Row],[Actual Days/machine hours ]]</f>
        <v>84000</v>
      </c>
      <c r="K17" s="20">
        <f>+Table4435[[#This Row],[RATE HOUR /DAY]]*Table4435[[#This Row],[Days/machine hours consider for costing2]]</f>
        <v>84000</v>
      </c>
      <c r="L17" s="21" t="s">
        <v>0</v>
      </c>
      <c r="M17" s="28"/>
      <c r="N17" s="32"/>
      <c r="O17" s="32"/>
    </row>
    <row r="18" spans="1:15" ht="15.75" x14ac:dyDescent="0.25">
      <c r="A18" s="15">
        <v>15</v>
      </c>
      <c r="B18" s="16" t="s">
        <v>26</v>
      </c>
      <c r="C18" s="28" t="s">
        <v>9</v>
      </c>
      <c r="D18" s="28">
        <f>6386-6359</f>
        <v>27</v>
      </c>
      <c r="E18" s="28">
        <v>50</v>
      </c>
      <c r="F18" s="30"/>
      <c r="G18" s="30">
        <v>135</v>
      </c>
      <c r="H18" s="19">
        <f>+Table4435[[#This Row],[Fuel]]/Table4435[[#This Row],[Actual Days/machine hours ]]</f>
        <v>5</v>
      </c>
      <c r="I18" s="29">
        <v>1680</v>
      </c>
      <c r="J18" s="29">
        <f>+Table4435[[#This Row],[RATE HOUR /DAY]]*Table4435[[#This Row],[Actual Days/machine hours ]]</f>
        <v>45360</v>
      </c>
      <c r="K18" s="20">
        <f>+Table4435[[#This Row],[RATE HOUR /DAY]]*Table4435[[#This Row],[Days/machine hours consider for costing2]]</f>
        <v>84000</v>
      </c>
      <c r="L18" s="21" t="s">
        <v>0</v>
      </c>
      <c r="M18" s="28"/>
      <c r="N18" s="32"/>
      <c r="O18" s="32"/>
    </row>
    <row r="19" spans="1:15" ht="15.75" x14ac:dyDescent="0.25">
      <c r="A19" s="15">
        <v>16</v>
      </c>
      <c r="B19" s="16" t="s">
        <v>16</v>
      </c>
      <c r="C19" s="17" t="s">
        <v>9</v>
      </c>
      <c r="D19" s="17">
        <v>69.2</v>
      </c>
      <c r="E19" s="17">
        <v>100</v>
      </c>
      <c r="F19" s="18"/>
      <c r="G19" s="18">
        <v>295</v>
      </c>
      <c r="H19" s="19">
        <f>+Table4435[[#This Row],[Fuel]]/Table4435[[#This Row],[Actual Days/machine hours ]]</f>
        <v>4.2630057803468207</v>
      </c>
      <c r="I19" s="20">
        <v>1680</v>
      </c>
      <c r="J19" s="20">
        <f>+Table4435[[#This Row],[RATE HOUR /DAY]]*Table4435[[#This Row],[Actual Days/machine hours ]]</f>
        <v>116256</v>
      </c>
      <c r="K19" s="20">
        <f>+Table4435[[#This Row],[RATE HOUR /DAY]]*Table4435[[#This Row],[Days/machine hours consider for costing2]]</f>
        <v>168000</v>
      </c>
      <c r="L19" s="21" t="s">
        <v>0</v>
      </c>
      <c r="M19" s="23"/>
      <c r="N19" s="32"/>
      <c r="O19" s="32"/>
    </row>
    <row r="20" spans="1:15" x14ac:dyDescent="0.25">
      <c r="C20" s="6"/>
      <c r="D20" s="34"/>
      <c r="E20" s="46"/>
      <c r="G20" s="39"/>
      <c r="M20" s="26"/>
    </row>
    <row r="21" spans="1:15" ht="16.5" thickBot="1" x14ac:dyDescent="0.3">
      <c r="A21" s="7"/>
      <c r="B21" s="7"/>
      <c r="C21" s="8"/>
      <c r="D21" s="9"/>
      <c r="E21" s="9"/>
      <c r="F21" s="7"/>
      <c r="G21" s="10"/>
      <c r="H21" s="11"/>
      <c r="I21" s="12"/>
      <c r="J21" s="22">
        <f>SUM(J4:J20)</f>
        <v>1549936</v>
      </c>
      <c r="K21" s="22">
        <f>SUM(K4:K20)</f>
        <v>1946120</v>
      </c>
      <c r="L21" s="7"/>
    </row>
    <row r="22" spans="1:15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="90" zoomScaleNormal="90"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50</v>
      </c>
      <c r="C1" s="66"/>
      <c r="D1" s="66"/>
      <c r="E1" s="66"/>
      <c r="F1" s="66"/>
      <c r="G1" s="66"/>
      <c r="H1" s="66"/>
      <c r="I1" s="66"/>
      <c r="J1" s="65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45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>
        <v>26</v>
      </c>
      <c r="E4" s="17"/>
      <c r="F4" s="18"/>
      <c r="G4" s="18">
        <v>450</v>
      </c>
      <c r="H4" s="19">
        <f>Table44356[[#This Row],[Distance]]/Table44356[[#This Row],[Fuel]]</f>
        <v>0</v>
      </c>
      <c r="I4" s="20">
        <v>4060</v>
      </c>
      <c r="J4" s="20">
        <f>+Table44356[[#This Row],[RATE HOUR /DAY]]*Table44356[[#This Row],[Actual Days/machine hours ]]</f>
        <v>105560</v>
      </c>
      <c r="K4" s="20">
        <f>+Table44356[[#This Row],[RATE HOUR /DAY]]*Table44356[[#This Row],[Days/machine hours consider for costing2]]</f>
        <v>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43</v>
      </c>
      <c r="C5" s="17" t="s">
        <v>42</v>
      </c>
      <c r="D5" s="41">
        <v>25</v>
      </c>
      <c r="E5" s="40"/>
      <c r="F5" s="42"/>
      <c r="G5" s="42">
        <v>434</v>
      </c>
      <c r="H5" s="43"/>
      <c r="I5" s="44">
        <v>3500</v>
      </c>
      <c r="J5" s="44">
        <f>+Table44356[[#This Row],[RATE HOUR /DAY]]*Table44356[[#This Row],[Actual Days/machine hours ]]</f>
        <v>87500</v>
      </c>
      <c r="K5" s="44">
        <f>+Table44356[[#This Row],[RATE HOUR /DAY]]*Table44356[[#This Row],[Days/machine hours consider for costing2]]</f>
        <v>0</v>
      </c>
      <c r="L5" s="49"/>
      <c r="M5" s="40"/>
      <c r="N5" s="45"/>
      <c r="O5" s="45">
        <f>35/7.8</f>
        <v>4.4871794871794872</v>
      </c>
    </row>
    <row r="6" spans="1:15" ht="15.75" x14ac:dyDescent="0.25">
      <c r="A6" s="15">
        <v>3</v>
      </c>
      <c r="B6" s="16" t="s">
        <v>20</v>
      </c>
      <c r="C6" s="17" t="s">
        <v>21</v>
      </c>
      <c r="D6" s="17">
        <v>27</v>
      </c>
      <c r="E6" s="17"/>
      <c r="F6" s="18"/>
      <c r="G6" s="18">
        <v>285</v>
      </c>
      <c r="H6" s="19">
        <f>Table44356[[#This Row],[Distance]]/Table44356[[#This Row],[Fuel]]</f>
        <v>0</v>
      </c>
      <c r="I6" s="20">
        <v>4480</v>
      </c>
      <c r="J6" s="20">
        <f>+Table44356[[#This Row],[RATE HOUR /DAY]]*Table44356[[#This Row],[Actual Days/machine hours ]]</f>
        <v>120960</v>
      </c>
      <c r="K6" s="20">
        <f>+Table44356[[#This Row],[RATE HOUR /DAY]]*Table44356[[#This Row],[Days/machine hours consider for costing2]]</f>
        <v>0</v>
      </c>
      <c r="L6" s="21" t="s">
        <v>0</v>
      </c>
      <c r="M6" s="23"/>
      <c r="N6" s="32"/>
      <c r="O6" s="32"/>
    </row>
    <row r="7" spans="1:15" ht="15.75" x14ac:dyDescent="0.25">
      <c r="A7" s="67"/>
      <c r="B7" s="16" t="s">
        <v>34</v>
      </c>
      <c r="C7" s="17" t="s">
        <v>28</v>
      </c>
      <c r="D7" s="59">
        <v>27</v>
      </c>
      <c r="E7" s="58"/>
      <c r="F7" s="60"/>
      <c r="G7" s="60">
        <v>280</v>
      </c>
      <c r="H7" s="61"/>
      <c r="I7" s="62">
        <v>3050</v>
      </c>
      <c r="J7" s="62">
        <f>+Table44356[[#This Row],[RATE HOUR /DAY]]*Table44356[[#This Row],[Actual Days/machine hours ]]</f>
        <v>82350</v>
      </c>
      <c r="K7" s="62">
        <f>+Table44356[[#This Row],[RATE HOUR /DAY]]*Table44356[[#This Row],[Days/machine hours consider for costing2]]</f>
        <v>0</v>
      </c>
      <c r="L7" s="63"/>
      <c r="M7" s="58"/>
      <c r="N7" s="64"/>
      <c r="O7" s="64">
        <f>35/7.8</f>
        <v>4.4871794871794872</v>
      </c>
    </row>
    <row r="8" spans="1:15" ht="15.75" x14ac:dyDescent="0.25">
      <c r="A8" s="15">
        <v>4</v>
      </c>
      <c r="B8" s="16" t="s">
        <v>32</v>
      </c>
      <c r="C8" s="17" t="s">
        <v>33</v>
      </c>
      <c r="D8" s="28"/>
      <c r="E8" s="28"/>
      <c r="F8" s="30"/>
      <c r="G8" s="30"/>
      <c r="H8" s="19" t="e">
        <f>Table44356[[#This Row],[Distance]]/Table44356[[#This Row],[Fuel]]</f>
        <v>#DIV/0!</v>
      </c>
      <c r="I8" s="29">
        <v>2800</v>
      </c>
      <c r="J8" s="29">
        <f>+Table44356[[#This Row],[RATE HOUR /DAY]]*Table44356[[#This Row],[Actual Days/machine hours ]]</f>
        <v>0</v>
      </c>
      <c r="K8" s="20">
        <f>+Table44356[[#This Row],[RATE HOUR /DAY]]*Table44356[[#This Row],[Days/machine hours consider for costing2]]</f>
        <v>0</v>
      </c>
      <c r="L8" s="21" t="s">
        <v>0</v>
      </c>
      <c r="M8" s="28"/>
      <c r="N8" s="32"/>
      <c r="O8" s="32"/>
    </row>
    <row r="9" spans="1:15" ht="15.75" x14ac:dyDescent="0.25">
      <c r="A9" s="15">
        <v>5</v>
      </c>
      <c r="B9" s="16" t="s">
        <v>38</v>
      </c>
      <c r="C9" s="40" t="s">
        <v>39</v>
      </c>
      <c r="D9" s="41">
        <v>19</v>
      </c>
      <c r="E9" s="40"/>
      <c r="F9" s="42"/>
      <c r="G9" s="42">
        <v>510</v>
      </c>
      <c r="H9" s="43"/>
      <c r="I9" s="44">
        <v>8000</v>
      </c>
      <c r="J9" s="44">
        <f>+Table44356[[#This Row],[RATE HOUR /DAY]]*Table44356[[#This Row],[Actual Days/machine hours ]]</f>
        <v>152000</v>
      </c>
      <c r="K9" s="44">
        <f>+Table44356[[#This Row],[RATE HOUR /DAY]]*Table44356[[#This Row],[Days/machine hours consider for costing2]]</f>
        <v>0</v>
      </c>
      <c r="L9" s="21" t="s">
        <v>0</v>
      </c>
      <c r="M9" s="40"/>
      <c r="N9" s="45"/>
      <c r="O9" s="45">
        <f>35/7.8</f>
        <v>4.4871794871794872</v>
      </c>
    </row>
    <row r="10" spans="1:15" ht="15.75" x14ac:dyDescent="0.25">
      <c r="A10" s="15">
        <v>6</v>
      </c>
      <c r="B10" s="16" t="s">
        <v>19</v>
      </c>
      <c r="C10" s="17" t="s">
        <v>31</v>
      </c>
      <c r="D10" s="23">
        <f>6850.3-6766.5</f>
        <v>83.800000000000182</v>
      </c>
      <c r="E10" s="23"/>
      <c r="F10" s="24"/>
      <c r="G10" s="24">
        <v>445</v>
      </c>
      <c r="H10" s="19">
        <f>Table44356[[#This Row],[Fuel]]/Table44356[[#This Row],[Actual Days/machine hours ]]</f>
        <v>5.310262529832924</v>
      </c>
      <c r="I10" s="20">
        <v>1200</v>
      </c>
      <c r="J10" s="20">
        <f>+Table44356[[#This Row],[RATE HOUR /DAY]]*Table44356[[#This Row],[Actual Days/machine hours ]]</f>
        <v>100560.00000000022</v>
      </c>
      <c r="K10" s="20">
        <f>+Table44356[[#This Row],[RATE HOUR /DAY]]*Table44356[[#This Row],[Days/machine hours consider for costing2]]</f>
        <v>0</v>
      </c>
      <c r="L10" s="21" t="s">
        <v>0</v>
      </c>
      <c r="M10" s="23"/>
      <c r="N10" s="32"/>
      <c r="O10" s="32"/>
    </row>
    <row r="11" spans="1:15" ht="15.75" x14ac:dyDescent="0.25">
      <c r="A11" s="15">
        <v>7</v>
      </c>
      <c r="B11" s="16" t="s">
        <v>30</v>
      </c>
      <c r="C11" s="17" t="s">
        <v>31</v>
      </c>
      <c r="D11" s="17">
        <f>61.1-49.1</f>
        <v>12</v>
      </c>
      <c r="E11" s="17"/>
      <c r="F11" s="37"/>
      <c r="G11" s="37">
        <v>100</v>
      </c>
      <c r="H11" s="19">
        <f>Table44356[[#This Row],[Fuel]]/Table44356[[#This Row],[Actual Days/machine hours ]]</f>
        <v>8.3333333333333339</v>
      </c>
      <c r="I11" s="20">
        <v>1200</v>
      </c>
      <c r="J11" s="20">
        <f>+Table44356[[#This Row],[RATE HOUR /DAY]]*Table44356[[#This Row],[Actual Days/machine hours ]]</f>
        <v>14400</v>
      </c>
      <c r="K11" s="20">
        <f>+Table44356[[#This Row],[RATE HOUR /DAY]]*Table44356[[#This Row],[Days/machine hours consider for costing2]]</f>
        <v>0</v>
      </c>
      <c r="L11" s="21" t="s">
        <v>0</v>
      </c>
      <c r="M11" s="17"/>
      <c r="N11" s="38"/>
      <c r="O11" s="38"/>
    </row>
    <row r="12" spans="1:15" ht="15.75" x14ac:dyDescent="0.25">
      <c r="A12" s="15">
        <v>8</v>
      </c>
      <c r="B12" s="16" t="s">
        <v>17</v>
      </c>
      <c r="C12" s="17" t="s">
        <v>31</v>
      </c>
      <c r="D12" s="28">
        <f>1633-1538.5</f>
        <v>94.5</v>
      </c>
      <c r="E12" s="28"/>
      <c r="F12" s="30"/>
      <c r="G12" s="37">
        <v>490</v>
      </c>
      <c r="H12" s="19">
        <f>Table44356[[#This Row],[Fuel]]/Table44356[[#This Row],[Actual Days/machine hours ]]</f>
        <v>5.1851851851851851</v>
      </c>
      <c r="I12" s="29">
        <v>1200</v>
      </c>
      <c r="J12" s="29">
        <f>+Table44356[[#This Row],[RATE HOUR /DAY]]*Table44356[[#This Row],[Actual Days/machine hours ]]</f>
        <v>113400</v>
      </c>
      <c r="K12" s="20">
        <f>+Table44356[[#This Row],[RATE HOUR /DAY]]*Table44356[[#This Row],[Days/machine hours consider for costing2]]</f>
        <v>0</v>
      </c>
      <c r="L12" s="21" t="s">
        <v>0</v>
      </c>
      <c r="M12" s="28"/>
      <c r="N12" s="32"/>
      <c r="O12" s="32"/>
    </row>
    <row r="13" spans="1:15" ht="15.75" x14ac:dyDescent="0.25">
      <c r="A13" s="15">
        <v>9</v>
      </c>
      <c r="B13" s="16" t="s">
        <v>12</v>
      </c>
      <c r="C13" s="17" t="s">
        <v>11</v>
      </c>
      <c r="D13" s="28">
        <f>3709.8-3662.3</f>
        <v>47.5</v>
      </c>
      <c r="E13" s="28"/>
      <c r="F13" s="30"/>
      <c r="G13" s="30">
        <v>210</v>
      </c>
      <c r="H13" s="36">
        <f>Table44356[[#This Row],[Fuel]]/Table44356[[#This Row],[Actual Days/machine hours ]]</f>
        <v>4.4210526315789478</v>
      </c>
      <c r="I13" s="29">
        <v>2000</v>
      </c>
      <c r="J13" s="29">
        <f>+Table44356[[#This Row],[RATE HOUR /DAY]]*Table44356[[#This Row],[Actual Days/machine hours ]]</f>
        <v>95000</v>
      </c>
      <c r="K13" s="20">
        <f>+Table44356[[#This Row],[RATE HOUR /DAY]]*Table44356[[#This Row],[Days/machine hours consider for costing2]]</f>
        <v>0</v>
      </c>
      <c r="L13" s="21" t="s">
        <v>0</v>
      </c>
      <c r="M13" s="28"/>
      <c r="N13" s="32"/>
      <c r="O13" s="32"/>
    </row>
    <row r="14" spans="1:15" ht="15.75" x14ac:dyDescent="0.25">
      <c r="A14" s="15">
        <v>10</v>
      </c>
      <c r="B14" s="16" t="s">
        <v>15</v>
      </c>
      <c r="C14" s="17" t="s">
        <v>11</v>
      </c>
      <c r="D14" s="17">
        <f>4598.2-4571.6</f>
        <v>26.599999999999454</v>
      </c>
      <c r="E14" s="17"/>
      <c r="F14" s="18"/>
      <c r="G14" s="18">
        <v>170</v>
      </c>
      <c r="H14" s="19">
        <f>Table44356[[#This Row],[Fuel]]/Table44356[[#This Row],[Actual Days/machine hours ]]</f>
        <v>6.3909774436091533</v>
      </c>
      <c r="I14" s="20">
        <v>2000</v>
      </c>
      <c r="J14" s="20">
        <f>+Table44356[[#This Row],[RATE HOUR /DAY]]*Table44356[[#This Row],[Actual Days/machine hours ]]</f>
        <v>53199.999999998909</v>
      </c>
      <c r="K14" s="20">
        <f>+Table44356[[#This Row],[RATE HOUR /DAY]]*Table44356[[#This Row],[Days/machine hours consider for costing2]]</f>
        <v>0</v>
      </c>
      <c r="L14" s="21" t="s">
        <v>0</v>
      </c>
      <c r="M14" s="23"/>
      <c r="N14" s="32"/>
      <c r="O14" s="32"/>
    </row>
    <row r="15" spans="1:15" ht="15.75" x14ac:dyDescent="0.25">
      <c r="A15" s="15">
        <v>11</v>
      </c>
      <c r="B15" s="16" t="s">
        <v>23</v>
      </c>
      <c r="C15" s="28" t="s">
        <v>11</v>
      </c>
      <c r="D15" s="28">
        <f>6854.9-6769.8</f>
        <v>85.099999999999454</v>
      </c>
      <c r="E15" s="28"/>
      <c r="F15" s="30"/>
      <c r="G15" s="30">
        <v>410</v>
      </c>
      <c r="H15" s="19">
        <f>Table44356[[#This Row],[Fuel]]/Table44356[[#This Row],[Actual Days/machine hours ]]</f>
        <v>4.8178613396005012</v>
      </c>
      <c r="I15" s="20">
        <v>2000</v>
      </c>
      <c r="J15" s="20">
        <f>+Table44356[[#This Row],[RATE HOUR /DAY]]*Table44356[[#This Row],[Actual Days/machine hours ]]</f>
        <v>170199.99999999889</v>
      </c>
      <c r="K15" s="20">
        <f>+Table44356[[#This Row],[RATE HOUR /DAY]]*Table44356[[#This Row],[Days/machine hours consider for costing2]]</f>
        <v>0</v>
      </c>
      <c r="L15" s="21" t="s">
        <v>0</v>
      </c>
      <c r="M15" s="28"/>
      <c r="N15" s="32"/>
      <c r="O15" s="32"/>
    </row>
    <row r="16" spans="1:15" ht="15.75" x14ac:dyDescent="0.25">
      <c r="A16" s="15">
        <v>12</v>
      </c>
      <c r="B16" s="16" t="s">
        <v>24</v>
      </c>
      <c r="C16" s="28" t="s">
        <v>11</v>
      </c>
      <c r="D16" s="28">
        <f>7273.3-7142.1</f>
        <v>131.19999999999982</v>
      </c>
      <c r="E16" s="28"/>
      <c r="F16" s="30"/>
      <c r="G16" s="30">
        <v>595</v>
      </c>
      <c r="H16" s="19">
        <f>Table44356[[#This Row],[Fuel]]/Table44356[[#This Row],[Actual Days/machine hours ]]</f>
        <v>4.5350609756097624</v>
      </c>
      <c r="I16" s="20">
        <v>2000</v>
      </c>
      <c r="J16" s="20">
        <f>+Table44356[[#This Row],[RATE HOUR /DAY]]*Table44356[[#This Row],[Actual Days/machine hours ]]</f>
        <v>262399.99999999965</v>
      </c>
      <c r="K16" s="20">
        <f>+Table44356[[#This Row],[RATE HOUR /DAY]]*Table44356[[#This Row],[Days/machine hours consider for costing2]]</f>
        <v>0</v>
      </c>
      <c r="L16" s="21" t="s">
        <v>0</v>
      </c>
      <c r="M16" s="28"/>
      <c r="N16" s="32"/>
      <c r="O16" s="32"/>
    </row>
    <row r="17" spans="1:15" ht="15.75" x14ac:dyDescent="0.25">
      <c r="A17" s="15">
        <v>13</v>
      </c>
      <c r="B17" s="16" t="s">
        <v>29</v>
      </c>
      <c r="C17" s="28" t="s">
        <v>13</v>
      </c>
      <c r="D17" s="28">
        <v>25</v>
      </c>
      <c r="E17" s="28"/>
      <c r="F17" s="30"/>
      <c r="G17" s="30">
        <v>140</v>
      </c>
      <c r="H17" s="31"/>
      <c r="I17" s="29">
        <v>3500</v>
      </c>
      <c r="J17" s="29">
        <f>+Table44356[[#This Row],[RATE HOUR /DAY]]*Table44356[[#This Row],[Actual Days/machine hours ]]</f>
        <v>87500</v>
      </c>
      <c r="K17" s="20">
        <f>+Table44356[[#This Row],[RATE HOUR /DAY]]*Table44356[[#This Row],[Days/machine hours consider for costing2]]</f>
        <v>0</v>
      </c>
      <c r="L17" s="21" t="s">
        <v>0</v>
      </c>
      <c r="M17" s="28"/>
      <c r="N17" s="35"/>
      <c r="O17" s="35"/>
    </row>
    <row r="18" spans="1:15" ht="15.75" x14ac:dyDescent="0.25">
      <c r="A18" s="15">
        <v>14</v>
      </c>
      <c r="B18" s="16" t="s">
        <v>14</v>
      </c>
      <c r="C18" s="28" t="s">
        <v>13</v>
      </c>
      <c r="D18" s="28">
        <v>18</v>
      </c>
      <c r="E18" s="28"/>
      <c r="F18" s="30"/>
      <c r="G18" s="30">
        <v>70</v>
      </c>
      <c r="H18" s="31"/>
      <c r="I18" s="29">
        <v>3500</v>
      </c>
      <c r="J18" s="29">
        <f>+Table44356[[#This Row],[RATE HOUR /DAY]]*Table44356[[#This Row],[Actual Days/machine hours ]]</f>
        <v>63000</v>
      </c>
      <c r="K18" s="20">
        <f>+Table44356[[#This Row],[RATE HOUR /DAY]]*Table44356[[#This Row],[Days/machine hours consider for costing2]]</f>
        <v>0</v>
      </c>
      <c r="L18" s="21" t="s">
        <v>0</v>
      </c>
      <c r="M18" s="28"/>
      <c r="N18" s="32"/>
      <c r="O18" s="32"/>
    </row>
    <row r="19" spans="1:15" ht="15.75" x14ac:dyDescent="0.25">
      <c r="A19" s="15">
        <v>15</v>
      </c>
      <c r="B19" s="16" t="s">
        <v>26</v>
      </c>
      <c r="C19" s="28" t="s">
        <v>9</v>
      </c>
      <c r="D19" s="28">
        <f>6412-6388.1</f>
        <v>23.899999999999636</v>
      </c>
      <c r="E19" s="28"/>
      <c r="F19" s="30"/>
      <c r="G19" s="30">
        <v>120</v>
      </c>
      <c r="H19" s="19">
        <f>+Table44356[[#This Row],[Fuel]]/Table44356[[#This Row],[Actual Days/machine hours ]]</f>
        <v>5.0209205020921264</v>
      </c>
      <c r="I19" s="29">
        <v>1680</v>
      </c>
      <c r="J19" s="29">
        <f>+Table44356[[#This Row],[RATE HOUR /DAY]]*Table44356[[#This Row],[Actual Days/machine hours ]]</f>
        <v>40151.999999999389</v>
      </c>
      <c r="K19" s="20">
        <f>+Table44356[[#This Row],[RATE HOUR /DAY]]*Table44356[[#This Row],[Days/machine hours consider for costing2]]</f>
        <v>0</v>
      </c>
      <c r="L19" s="21" t="s">
        <v>0</v>
      </c>
      <c r="M19" s="28"/>
      <c r="N19" s="32"/>
      <c r="O19" s="32"/>
    </row>
    <row r="20" spans="1:15" ht="15.75" x14ac:dyDescent="0.25">
      <c r="A20" s="15">
        <v>16</v>
      </c>
      <c r="B20" s="16" t="s">
        <v>16</v>
      </c>
      <c r="C20" s="17" t="s">
        <v>9</v>
      </c>
      <c r="D20" s="17">
        <f>2150.1-2088.8</f>
        <v>61.299999999999727</v>
      </c>
      <c r="E20" s="17"/>
      <c r="F20" s="18"/>
      <c r="G20" s="18">
        <v>285</v>
      </c>
      <c r="H20" s="19">
        <f>+Table44356[[#This Row],[Fuel]]/Table44356[[#This Row],[Actual Days/machine hours ]]</f>
        <v>4.6492659053833814</v>
      </c>
      <c r="I20" s="20">
        <v>1680</v>
      </c>
      <c r="J20" s="20">
        <f>+Table44356[[#This Row],[RATE HOUR /DAY]]*Table44356[[#This Row],[Actual Days/machine hours ]]</f>
        <v>102983.99999999953</v>
      </c>
      <c r="K20" s="20">
        <f>+Table44356[[#This Row],[RATE HOUR /DAY]]*Table44356[[#This Row],[Days/machine hours consider for costing2]]</f>
        <v>0</v>
      </c>
      <c r="L20" s="21" t="s">
        <v>0</v>
      </c>
      <c r="M20" s="23"/>
      <c r="N20" s="32"/>
      <c r="O20" s="32"/>
    </row>
    <row r="21" spans="1:15" x14ac:dyDescent="0.25">
      <c r="C21" s="6"/>
      <c r="D21" s="34"/>
      <c r="E21" s="46"/>
      <c r="G21" s="39">
        <f>SUBTOTAL(109,Table44356[Fuel])</f>
        <v>4994</v>
      </c>
      <c r="M21" s="26"/>
    </row>
    <row r="22" spans="1:15" ht="16.5" thickBot="1" x14ac:dyDescent="0.3">
      <c r="A22" s="7"/>
      <c r="B22" s="7"/>
      <c r="C22" s="8"/>
      <c r="D22" s="9"/>
      <c r="E22" s="9"/>
      <c r="F22" s="7"/>
      <c r="G22" s="10"/>
      <c r="H22" s="11"/>
      <c r="I22" s="12"/>
      <c r="J22" s="22">
        <f>SUM(J4:J21)</f>
        <v>1651165.9999999965</v>
      </c>
      <c r="K22" s="22">
        <f>SUM(K4:K21)</f>
        <v>0</v>
      </c>
      <c r="L22" s="7"/>
    </row>
    <row r="23" spans="1:15" ht="15.75" thickTop="1" x14ac:dyDescent="0.25"/>
    <row r="27" spans="1:15" x14ac:dyDescent="0.25">
      <c r="F27" t="s">
        <v>52</v>
      </c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90" zoomScaleNormal="9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2.7109375" style="1" customWidth="1"/>
    <col min="11" max="11" width="21.5703125" style="1" customWidth="1"/>
    <col min="12" max="12" width="10.5703125" bestFit="1" customWidth="1"/>
    <col min="13" max="13" width="21.140625" customWidth="1"/>
  </cols>
  <sheetData>
    <row r="1" spans="1:15" ht="18.75" x14ac:dyDescent="0.3">
      <c r="A1" s="3"/>
      <c r="B1" s="66" t="s">
        <v>51</v>
      </c>
      <c r="C1" s="66"/>
      <c r="D1" s="66"/>
      <c r="E1" s="66"/>
      <c r="F1" s="66"/>
      <c r="G1" s="66"/>
      <c r="H1" s="66"/>
      <c r="I1" s="66"/>
      <c r="J1" s="65"/>
      <c r="K1" s="4"/>
    </row>
    <row r="2" spans="1:15" x14ac:dyDescent="0.25">
      <c r="A2" s="3"/>
      <c r="B2" s="3"/>
      <c r="C2" s="3"/>
      <c r="D2" s="25"/>
      <c r="E2" s="25"/>
      <c r="F2" s="3"/>
      <c r="G2" s="3"/>
      <c r="H2" s="5"/>
      <c r="I2" s="4"/>
      <c r="J2" s="4"/>
      <c r="K2" s="4"/>
    </row>
    <row r="3" spans="1:15" ht="27.6" customHeight="1" x14ac:dyDescent="0.25">
      <c r="A3" s="50" t="s">
        <v>8</v>
      </c>
      <c r="B3" s="51" t="s">
        <v>7</v>
      </c>
      <c r="C3" s="51" t="s">
        <v>6</v>
      </c>
      <c r="D3" s="52" t="s">
        <v>36</v>
      </c>
      <c r="E3" s="52" t="s">
        <v>35</v>
      </c>
      <c r="F3" s="53" t="s">
        <v>5</v>
      </c>
      <c r="G3" s="51" t="s">
        <v>4</v>
      </c>
      <c r="H3" s="54" t="s">
        <v>3</v>
      </c>
      <c r="I3" s="55" t="s">
        <v>2</v>
      </c>
      <c r="J3" s="55" t="s">
        <v>45</v>
      </c>
      <c r="K3" s="13" t="s">
        <v>44</v>
      </c>
      <c r="L3" s="14" t="s">
        <v>1</v>
      </c>
      <c r="M3" s="27" t="s">
        <v>10</v>
      </c>
      <c r="N3" s="33" t="s">
        <v>25</v>
      </c>
      <c r="O3" s="33" t="s">
        <v>27</v>
      </c>
    </row>
    <row r="4" spans="1:15" ht="15.75" x14ac:dyDescent="0.25">
      <c r="A4" s="15">
        <v>1</v>
      </c>
      <c r="B4" s="16" t="s">
        <v>22</v>
      </c>
      <c r="C4" s="17" t="s">
        <v>18</v>
      </c>
      <c r="D4" s="17"/>
      <c r="E4" s="17"/>
      <c r="F4" s="18"/>
      <c r="G4" s="18"/>
      <c r="H4" s="19" t="e">
        <f>Table443567[[#This Row],[Distance]]/Table443567[[#This Row],[Fuel]]</f>
        <v>#DIV/0!</v>
      </c>
      <c r="I4" s="20">
        <v>4060</v>
      </c>
      <c r="J4" s="20">
        <f>+Table443567[[#This Row],[RATE HOUR /DAY]]*Table443567[[#This Row],[Actual Days/machine hours ]]</f>
        <v>0</v>
      </c>
      <c r="K4" s="20">
        <f>+Table443567[[#This Row],[RATE HOUR /DAY]]*Table443567[[#This Row],[Days/machine hours consider for costing2]]</f>
        <v>0</v>
      </c>
      <c r="L4" s="21" t="s">
        <v>0</v>
      </c>
      <c r="M4" s="17"/>
      <c r="N4" s="32"/>
      <c r="O4" s="32"/>
    </row>
    <row r="5" spans="1:15" ht="15.75" x14ac:dyDescent="0.25">
      <c r="A5" s="15">
        <v>2</v>
      </c>
      <c r="B5" s="16" t="s">
        <v>43</v>
      </c>
      <c r="C5" s="17" t="s">
        <v>42</v>
      </c>
      <c r="D5" s="41"/>
      <c r="E5" s="40"/>
      <c r="F5" s="42"/>
      <c r="G5" s="42"/>
      <c r="H5" s="43"/>
      <c r="I5" s="44">
        <v>3500</v>
      </c>
      <c r="J5" s="44">
        <f>+Table443567[[#This Row],[RATE HOUR /DAY]]*Table443567[[#This Row],[Actual Days/machine hours ]]</f>
        <v>0</v>
      </c>
      <c r="K5" s="44">
        <f>+Table443567[[#This Row],[RATE HOUR /DAY]]*Table443567[[#This Row],[Days/machine hours consider for costing2]]</f>
        <v>0</v>
      </c>
      <c r="L5" s="49"/>
      <c r="M5" s="40"/>
      <c r="N5" s="45"/>
      <c r="O5" s="45">
        <f>35/7.8</f>
        <v>4.4871794871794872</v>
      </c>
    </row>
    <row r="6" spans="1:15" ht="15.75" x14ac:dyDescent="0.25">
      <c r="A6" s="15">
        <v>3</v>
      </c>
      <c r="B6" s="16" t="s">
        <v>20</v>
      </c>
      <c r="C6" s="17" t="s">
        <v>21</v>
      </c>
      <c r="D6" s="17"/>
      <c r="E6" s="17"/>
      <c r="F6" s="18"/>
      <c r="G6" s="18"/>
      <c r="H6" s="19" t="e">
        <f>Table443567[[#This Row],[Distance]]/Table443567[[#This Row],[Fuel]]</f>
        <v>#DIV/0!</v>
      </c>
      <c r="I6" s="20">
        <v>4480</v>
      </c>
      <c r="J6" s="20">
        <f>+Table443567[[#This Row],[RATE HOUR /DAY]]*Table443567[[#This Row],[Actual Days/machine hours ]]</f>
        <v>0</v>
      </c>
      <c r="K6" s="20">
        <f>+Table443567[[#This Row],[RATE HOUR /DAY]]*Table443567[[#This Row],[Days/machine hours consider for costing2]]</f>
        <v>0</v>
      </c>
      <c r="L6" s="21" t="s">
        <v>0</v>
      </c>
      <c r="M6" s="23"/>
      <c r="N6" s="32"/>
      <c r="O6" s="32"/>
    </row>
    <row r="7" spans="1:15" ht="15.75" x14ac:dyDescent="0.25">
      <c r="A7" s="15">
        <v>4</v>
      </c>
      <c r="B7" s="16" t="s">
        <v>32</v>
      </c>
      <c r="C7" s="17" t="s">
        <v>33</v>
      </c>
      <c r="D7" s="28">
        <v>26</v>
      </c>
      <c r="E7" s="28">
        <v>26</v>
      </c>
      <c r="F7" s="30"/>
      <c r="G7" s="30">
        <v>140</v>
      </c>
      <c r="H7" s="19">
        <f>Table443567[[#This Row],[Distance]]/Table443567[[#This Row],[Fuel]]</f>
        <v>0</v>
      </c>
      <c r="I7" s="29">
        <v>2800</v>
      </c>
      <c r="J7" s="29">
        <f>+Table443567[[#This Row],[RATE HOUR /DAY]]*Table443567[[#This Row],[Actual Days/machine hours ]]</f>
        <v>72800</v>
      </c>
      <c r="K7" s="20">
        <f>+Table443567[[#This Row],[RATE HOUR /DAY]]*Table443567[[#This Row],[Days/machine hours consider for costing2]]</f>
        <v>72800</v>
      </c>
      <c r="L7" s="21" t="s">
        <v>0</v>
      </c>
      <c r="M7" s="28"/>
      <c r="N7" s="32"/>
      <c r="O7" s="32"/>
    </row>
    <row r="8" spans="1:15" ht="15.75" x14ac:dyDescent="0.25">
      <c r="A8" s="15">
        <v>5</v>
      </c>
      <c r="B8" s="16" t="s">
        <v>38</v>
      </c>
      <c r="C8" s="40" t="s">
        <v>39</v>
      </c>
      <c r="D8" s="41">
        <v>8</v>
      </c>
      <c r="E8" s="40">
        <v>8</v>
      </c>
      <c r="F8" s="42"/>
      <c r="G8" s="42">
        <v>190</v>
      </c>
      <c r="H8" s="43"/>
      <c r="I8" s="44">
        <v>8000</v>
      </c>
      <c r="J8" s="44">
        <f>+Table443567[[#This Row],[RATE HOUR /DAY]]*Table443567[[#This Row],[Actual Days/machine hours ]]</f>
        <v>64000</v>
      </c>
      <c r="K8" s="44">
        <f>+Table443567[[#This Row],[RATE HOUR /DAY]]*Table443567[[#This Row],[Days/machine hours consider for costing2]]</f>
        <v>64000</v>
      </c>
      <c r="L8" s="21" t="s">
        <v>0</v>
      </c>
      <c r="M8" s="40"/>
      <c r="N8" s="45"/>
      <c r="O8" s="45">
        <f>35/7.8</f>
        <v>4.4871794871794872</v>
      </c>
    </row>
    <row r="9" spans="1:15" ht="15.75" x14ac:dyDescent="0.25">
      <c r="A9" s="15">
        <v>6</v>
      </c>
      <c r="B9" s="16" t="s">
        <v>19</v>
      </c>
      <c r="C9" s="17" t="s">
        <v>31</v>
      </c>
      <c r="D9" s="23">
        <v>63.1</v>
      </c>
      <c r="E9" s="23">
        <v>63.1</v>
      </c>
      <c r="F9" s="24"/>
      <c r="G9" s="24">
        <v>300</v>
      </c>
      <c r="H9" s="19">
        <f>Table443567[[#This Row],[Fuel]]/Table443567[[#This Row],[Actual Days/machine hours ]]</f>
        <v>4.7543581616481774</v>
      </c>
      <c r="I9" s="20">
        <v>1200</v>
      </c>
      <c r="J9" s="20">
        <f>+Table443567[[#This Row],[RATE HOUR /DAY]]*Table443567[[#This Row],[Actual Days/machine hours ]]</f>
        <v>75720</v>
      </c>
      <c r="K9" s="20">
        <f>+Table443567[[#This Row],[RATE HOUR /DAY]]*Table443567[[#This Row],[Days/machine hours consider for costing2]]</f>
        <v>75720</v>
      </c>
      <c r="L9" s="21" t="s">
        <v>0</v>
      </c>
      <c r="M9" s="23"/>
      <c r="N9" s="32"/>
      <c r="O9" s="32"/>
    </row>
    <row r="10" spans="1:15" ht="15.75" x14ac:dyDescent="0.25">
      <c r="A10" s="15">
        <v>7</v>
      </c>
      <c r="B10" s="16" t="s">
        <v>30</v>
      </c>
      <c r="C10" s="17" t="s">
        <v>31</v>
      </c>
      <c r="D10" s="17">
        <v>30.8</v>
      </c>
      <c r="E10" s="17">
        <v>30.8</v>
      </c>
      <c r="F10" s="37"/>
      <c r="G10" s="37">
        <v>140</v>
      </c>
      <c r="H10" s="19">
        <f>Table443567[[#This Row],[Fuel]]/Table443567[[#This Row],[Actual Days/machine hours ]]</f>
        <v>4.545454545454545</v>
      </c>
      <c r="I10" s="20">
        <v>1200</v>
      </c>
      <c r="J10" s="20">
        <f>+Table443567[[#This Row],[RATE HOUR /DAY]]*Table443567[[#This Row],[Actual Days/machine hours ]]</f>
        <v>36960</v>
      </c>
      <c r="K10" s="20">
        <f>+Table443567[[#This Row],[RATE HOUR /DAY]]*Table443567[[#This Row],[Days/machine hours consider for costing2]]</f>
        <v>36960</v>
      </c>
      <c r="L10" s="21" t="s">
        <v>0</v>
      </c>
      <c r="M10" s="17"/>
      <c r="N10" s="38"/>
      <c r="O10" s="38"/>
    </row>
    <row r="11" spans="1:15" ht="15.75" x14ac:dyDescent="0.25">
      <c r="A11" s="15">
        <v>8</v>
      </c>
      <c r="B11" s="16" t="s">
        <v>17</v>
      </c>
      <c r="C11" s="17" t="s">
        <v>31</v>
      </c>
      <c r="D11" s="28">
        <v>44.1</v>
      </c>
      <c r="E11" s="28">
        <v>44.1</v>
      </c>
      <c r="F11" s="30"/>
      <c r="G11" s="30">
        <v>225</v>
      </c>
      <c r="H11" s="19">
        <f>Table443567[[#This Row],[Fuel]]/Table443567[[#This Row],[Actual Days/machine hours ]]</f>
        <v>5.1020408163265305</v>
      </c>
      <c r="I11" s="29">
        <v>1200</v>
      </c>
      <c r="J11" s="29">
        <f>+Table443567[[#This Row],[RATE HOUR /DAY]]*Table443567[[#This Row],[Actual Days/machine hours ]]</f>
        <v>52920</v>
      </c>
      <c r="K11" s="20">
        <f>+Table443567[[#This Row],[RATE HOUR /DAY]]*Table443567[[#This Row],[Days/machine hours consider for costing2]]</f>
        <v>52920</v>
      </c>
      <c r="L11" s="21" t="s">
        <v>0</v>
      </c>
      <c r="M11" s="28"/>
      <c r="N11" s="32"/>
      <c r="O11" s="32"/>
    </row>
    <row r="12" spans="1:15" ht="15.75" x14ac:dyDescent="0.25">
      <c r="A12" s="15">
        <v>9</v>
      </c>
      <c r="B12" s="16" t="s">
        <v>12</v>
      </c>
      <c r="C12" s="17" t="s">
        <v>11</v>
      </c>
      <c r="D12" s="28">
        <v>39.6</v>
      </c>
      <c r="E12" s="28">
        <v>39.6</v>
      </c>
      <c r="F12" s="30"/>
      <c r="G12" s="30">
        <v>200</v>
      </c>
      <c r="H12" s="36">
        <f>Table443567[[#This Row],[Fuel]]/Table443567[[#This Row],[Actual Days/machine hours ]]</f>
        <v>5.0505050505050502</v>
      </c>
      <c r="I12" s="29">
        <v>2000</v>
      </c>
      <c r="J12" s="29">
        <f>+Table443567[[#This Row],[RATE HOUR /DAY]]*Table443567[[#This Row],[Actual Days/machine hours ]]</f>
        <v>79200</v>
      </c>
      <c r="K12" s="20">
        <f>+Table443567[[#This Row],[RATE HOUR /DAY]]*Table443567[[#This Row],[Days/machine hours consider for costing2]]</f>
        <v>79200</v>
      </c>
      <c r="L12" s="21" t="s">
        <v>0</v>
      </c>
      <c r="M12" s="28"/>
      <c r="N12" s="32"/>
      <c r="O12" s="32"/>
    </row>
    <row r="13" spans="1:15" ht="15.75" x14ac:dyDescent="0.25">
      <c r="A13" s="15">
        <v>10</v>
      </c>
      <c r="B13" s="16" t="s">
        <v>15</v>
      </c>
      <c r="C13" s="17" t="s">
        <v>11</v>
      </c>
      <c r="D13" s="17"/>
      <c r="E13" s="17"/>
      <c r="F13" s="18"/>
      <c r="G13" s="18"/>
      <c r="H13" s="19" t="e">
        <f>Table443567[[#This Row],[Fuel]]/Table443567[[#This Row],[Actual Days/machine hours ]]</f>
        <v>#DIV/0!</v>
      </c>
      <c r="I13" s="20">
        <v>2000</v>
      </c>
      <c r="J13" s="20">
        <f>+Table443567[[#This Row],[RATE HOUR /DAY]]*Table443567[[#This Row],[Actual Days/machine hours ]]</f>
        <v>0</v>
      </c>
      <c r="K13" s="20">
        <f>+Table443567[[#This Row],[RATE HOUR /DAY]]*Table443567[[#This Row],[Days/machine hours consider for costing2]]</f>
        <v>0</v>
      </c>
      <c r="L13" s="21" t="s">
        <v>0</v>
      </c>
      <c r="M13" s="23"/>
      <c r="N13" s="32"/>
      <c r="O13" s="32"/>
    </row>
    <row r="14" spans="1:15" ht="15.75" x14ac:dyDescent="0.25">
      <c r="A14" s="15">
        <v>11</v>
      </c>
      <c r="B14" s="16" t="s">
        <v>23</v>
      </c>
      <c r="C14" s="28" t="s">
        <v>11</v>
      </c>
      <c r="D14" s="28">
        <v>92.3</v>
      </c>
      <c r="E14" s="28">
        <v>92.3</v>
      </c>
      <c r="F14" s="30"/>
      <c r="G14" s="30">
        <v>435</v>
      </c>
      <c r="H14" s="19">
        <f>Table443567[[#This Row],[Fuel]]/Table443567[[#This Row],[Actual Days/machine hours ]]</f>
        <v>4.7128927410617552</v>
      </c>
      <c r="I14" s="20">
        <v>2000</v>
      </c>
      <c r="J14" s="20">
        <f>+Table443567[[#This Row],[RATE HOUR /DAY]]*Table443567[[#This Row],[Actual Days/machine hours ]]</f>
        <v>184600</v>
      </c>
      <c r="K14" s="20">
        <f>+Table443567[[#This Row],[RATE HOUR /DAY]]*Table443567[[#This Row],[Days/machine hours consider for costing2]]</f>
        <v>184600</v>
      </c>
      <c r="L14" s="21" t="s">
        <v>0</v>
      </c>
      <c r="M14" s="28"/>
      <c r="N14" s="32"/>
      <c r="O14" s="32"/>
    </row>
    <row r="15" spans="1:15" ht="15.75" x14ac:dyDescent="0.25">
      <c r="A15" s="15">
        <v>12</v>
      </c>
      <c r="B15" s="16" t="s">
        <v>24</v>
      </c>
      <c r="C15" s="28" t="s">
        <v>11</v>
      </c>
      <c r="D15" s="28">
        <v>75.099999999999994</v>
      </c>
      <c r="E15" s="28">
        <v>75.099999999999994</v>
      </c>
      <c r="F15" s="30"/>
      <c r="G15" s="30">
        <v>305</v>
      </c>
      <c r="H15" s="19">
        <f>Table443567[[#This Row],[Fuel]]/Table443567[[#This Row],[Actual Days/machine hours ]]</f>
        <v>4.0612516644474042</v>
      </c>
      <c r="I15" s="20">
        <v>2000</v>
      </c>
      <c r="J15" s="20">
        <f>+Table443567[[#This Row],[RATE HOUR /DAY]]*Table443567[[#This Row],[Actual Days/machine hours ]]</f>
        <v>150200</v>
      </c>
      <c r="K15" s="20">
        <f>+Table443567[[#This Row],[RATE HOUR /DAY]]*Table443567[[#This Row],[Days/machine hours consider for costing2]]</f>
        <v>150200</v>
      </c>
      <c r="L15" s="21" t="s">
        <v>0</v>
      </c>
      <c r="M15" s="28"/>
      <c r="N15" s="32"/>
      <c r="O15" s="32"/>
    </row>
    <row r="16" spans="1:15" ht="15.75" x14ac:dyDescent="0.25">
      <c r="A16" s="15">
        <v>13</v>
      </c>
      <c r="B16" s="16" t="s">
        <v>29</v>
      </c>
      <c r="C16" s="28" t="s">
        <v>13</v>
      </c>
      <c r="D16" s="28">
        <v>26</v>
      </c>
      <c r="E16" s="28">
        <v>26</v>
      </c>
      <c r="F16" s="30"/>
      <c r="G16" s="30">
        <v>140</v>
      </c>
      <c r="H16" s="31"/>
      <c r="I16" s="29">
        <v>3500</v>
      </c>
      <c r="J16" s="29">
        <f>+Table443567[[#This Row],[RATE HOUR /DAY]]*Table443567[[#This Row],[Actual Days/machine hours ]]</f>
        <v>91000</v>
      </c>
      <c r="K16" s="20">
        <f>+Table443567[[#This Row],[RATE HOUR /DAY]]*Table443567[[#This Row],[Days/machine hours consider for costing2]]</f>
        <v>91000</v>
      </c>
      <c r="L16" s="21" t="s">
        <v>0</v>
      </c>
      <c r="M16" s="28"/>
      <c r="N16" s="35"/>
      <c r="O16" s="35"/>
    </row>
    <row r="17" spans="1:15" ht="15.75" x14ac:dyDescent="0.25">
      <c r="A17" s="15">
        <v>14</v>
      </c>
      <c r="B17" s="16" t="s">
        <v>14</v>
      </c>
      <c r="C17" s="28" t="s">
        <v>13</v>
      </c>
      <c r="D17" s="28">
        <v>10</v>
      </c>
      <c r="E17" s="28">
        <v>10</v>
      </c>
      <c r="F17" s="30"/>
      <c r="G17" s="30">
        <v>45</v>
      </c>
      <c r="H17" s="31"/>
      <c r="I17" s="29">
        <v>3500</v>
      </c>
      <c r="J17" s="29">
        <f>+Table443567[[#This Row],[RATE HOUR /DAY]]*Table443567[[#This Row],[Actual Days/machine hours ]]</f>
        <v>35000</v>
      </c>
      <c r="K17" s="20">
        <f>+Table443567[[#This Row],[RATE HOUR /DAY]]*Table443567[[#This Row],[Days/machine hours consider for costing2]]</f>
        <v>35000</v>
      </c>
      <c r="L17" s="21" t="s">
        <v>0</v>
      </c>
      <c r="M17" s="28"/>
      <c r="N17" s="32"/>
      <c r="O17" s="32"/>
    </row>
    <row r="18" spans="1:15" ht="15.75" x14ac:dyDescent="0.25">
      <c r="A18" s="15">
        <v>15</v>
      </c>
      <c r="B18" s="16" t="s">
        <v>26</v>
      </c>
      <c r="C18" s="28" t="s">
        <v>9</v>
      </c>
      <c r="D18" s="28"/>
      <c r="E18" s="28"/>
      <c r="F18" s="30"/>
      <c r="G18" s="30"/>
      <c r="H18" s="19" t="e">
        <f>+Table443567[[#This Row],[Fuel]]/Table443567[[#This Row],[Actual Days/machine hours ]]</f>
        <v>#DIV/0!</v>
      </c>
      <c r="I18" s="29">
        <v>1680</v>
      </c>
      <c r="J18" s="29">
        <f>+Table443567[[#This Row],[RATE HOUR /DAY]]*Table443567[[#This Row],[Actual Days/machine hours ]]</f>
        <v>0</v>
      </c>
      <c r="K18" s="20">
        <f>+Table443567[[#This Row],[RATE HOUR /DAY]]*Table443567[[#This Row],[Days/machine hours consider for costing2]]</f>
        <v>0</v>
      </c>
      <c r="L18" s="21" t="s">
        <v>0</v>
      </c>
      <c r="M18" s="28"/>
      <c r="N18" s="32"/>
      <c r="O18" s="32"/>
    </row>
    <row r="19" spans="1:15" ht="15.75" x14ac:dyDescent="0.25">
      <c r="A19" s="15">
        <v>16</v>
      </c>
      <c r="B19" s="16" t="s">
        <v>16</v>
      </c>
      <c r="C19" s="17" t="s">
        <v>9</v>
      </c>
      <c r="D19" s="17"/>
      <c r="E19" s="17"/>
      <c r="F19" s="18"/>
      <c r="G19" s="18"/>
      <c r="H19" s="19" t="e">
        <f>+Table443567[[#This Row],[Fuel]]/Table443567[[#This Row],[Actual Days/machine hours ]]</f>
        <v>#DIV/0!</v>
      </c>
      <c r="I19" s="20">
        <v>1680</v>
      </c>
      <c r="J19" s="20">
        <f>+Table443567[[#This Row],[RATE HOUR /DAY]]*Table443567[[#This Row],[Actual Days/machine hours ]]</f>
        <v>0</v>
      </c>
      <c r="K19" s="20">
        <f>+Table443567[[#This Row],[RATE HOUR /DAY]]*Table443567[[#This Row],[Days/machine hours consider for costing2]]</f>
        <v>0</v>
      </c>
      <c r="L19" s="21" t="s">
        <v>0</v>
      </c>
      <c r="M19" s="23"/>
      <c r="N19" s="32"/>
      <c r="O19" s="32"/>
    </row>
    <row r="20" spans="1:15" x14ac:dyDescent="0.25">
      <c r="C20" s="6"/>
      <c r="D20" s="34"/>
      <c r="E20" s="34"/>
      <c r="G20" s="39"/>
      <c r="M20" s="26"/>
    </row>
    <row r="21" spans="1:15" ht="16.5" thickBot="1" x14ac:dyDescent="0.3">
      <c r="A21" s="7"/>
      <c r="B21" s="7"/>
      <c r="C21" s="8"/>
      <c r="D21" s="9"/>
      <c r="E21" s="9"/>
      <c r="F21" s="7"/>
      <c r="G21" s="10"/>
      <c r="H21" s="11"/>
      <c r="I21" s="12"/>
      <c r="J21" s="22">
        <f>SUM(J4:J20)</f>
        <v>842400</v>
      </c>
      <c r="K21" s="22">
        <f>SUM(K4:K20)</f>
        <v>842400</v>
      </c>
      <c r="L21" s="7"/>
    </row>
    <row r="22" spans="1:15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October 2025 </vt:lpstr>
      <vt:lpstr>November 2025 </vt:lpstr>
      <vt:lpstr>December 2025</vt:lpstr>
      <vt:lpstr>January 2026</vt:lpstr>
      <vt:lpstr>February 2026</vt:lpstr>
      <vt:lpstr>March 2026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dcterms:created xsi:type="dcterms:W3CDTF">2023-12-20T11:25:26Z</dcterms:created>
  <dcterms:modified xsi:type="dcterms:W3CDTF">2026-06-16T13:12:57Z</dcterms:modified>
</cp:coreProperties>
</file>