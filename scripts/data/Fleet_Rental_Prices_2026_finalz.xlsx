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Yohan\Fleet rental Invoice\site-rental-bill-creation-system-claude-serene-einstein-26dhau\"/>
    </mc:Choice>
  </mc:AlternateContent>
  <xr:revisionPtr revIDLastSave="0" documentId="13_ncr:1_{7509C4D7-4559-469F-B1CE-24B86295C814}" xr6:coauthVersionLast="47" xr6:coauthVersionMax="47" xr10:uidLastSave="{00000000-0000-0000-0000-000000000000}"/>
  <bookViews>
    <workbookView xWindow="-108" yWindow="-108" windowWidth="23256" windowHeight="12456" tabRatio="500" firstSheet="1" activeTab="3" xr2:uid="{00000000-000D-0000-FFFF-FFFF00000000}"/>
  </bookViews>
  <sheets>
    <sheet name="README" sheetId="1" state="hidden" r:id="rId1"/>
    <sheet name="Rate Card" sheetId="2" r:id="rId2"/>
    <sheet name="Portable Equipment Rates" sheetId="3" r:id="rId3"/>
    <sheet name="Fuel Rates" sheetId="4" r:id="rId4"/>
    <sheet name="Summary" sheetId="5" r:id="rId5"/>
    <sheet name="Fleet Pricing" sheetId="6" r:id="rId6"/>
    <sheet name="Market Research" sheetId="7" state="hidden" r:id="rId7"/>
    <sheet name="Fleet" sheetId="8" r:id="rId8"/>
    <sheet name="Engineering Assumptions" sheetId="9" r:id="rId9"/>
    <sheet name="Engineering Cost" sheetId="10" r:id="rId10"/>
    <sheet name="Maintenance &amp; Repair" sheetId="11" r:id="rId11"/>
    <sheet name="Replacement Analysis" sheetId="12" r:id="rId12"/>
    <sheet name="Replacement Summary" sheetId="13" r:id="rId13"/>
    <sheet name="For Sale" sheetId="14" r:id="rId14"/>
  </sheets>
  <definedNames>
    <definedName name="_xlnm._FilterDatabase" localSheetId="11" hidden="1">'Replacement Analysis'!$A$4:$P$551</definedName>
    <definedName name="_xlnm.Print_Area" localSheetId="3">'Fuel Rates'!$A$1:$M$537</definedName>
    <definedName name="_xlnm.Print_Area" localSheetId="11">'Replacement Analysis'!$A$1:$O$551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4" i="13" l="1"/>
  <c r="I536" i="11"/>
  <c r="I535" i="11"/>
  <c r="I534" i="11"/>
  <c r="I533" i="11"/>
  <c r="I532" i="11"/>
  <c r="I531" i="11"/>
  <c r="I530" i="11"/>
  <c r="I529" i="11"/>
  <c r="I528" i="11"/>
  <c r="I527" i="11"/>
  <c r="I526" i="11"/>
  <c r="I525" i="11"/>
  <c r="I524" i="11"/>
  <c r="I523" i="11"/>
  <c r="I522" i="11"/>
  <c r="I521" i="11"/>
  <c r="I520" i="11"/>
  <c r="I519" i="11"/>
  <c r="I518" i="11"/>
  <c r="I517" i="11"/>
  <c r="I516" i="11"/>
  <c r="I515" i="11"/>
  <c r="I514" i="11"/>
  <c r="I513" i="11"/>
  <c r="I512" i="11"/>
  <c r="I511" i="11"/>
  <c r="I510" i="11"/>
  <c r="I509" i="11"/>
  <c r="I508" i="11"/>
  <c r="I507" i="11"/>
  <c r="I506" i="11"/>
  <c r="I505" i="11"/>
  <c r="I504" i="11"/>
  <c r="I503" i="11"/>
  <c r="I502" i="11"/>
  <c r="I501" i="11"/>
  <c r="I500" i="11"/>
  <c r="I499" i="11"/>
  <c r="I498" i="11"/>
  <c r="I497" i="11"/>
  <c r="I496" i="11"/>
  <c r="I495" i="11"/>
  <c r="I494" i="11"/>
  <c r="I493" i="11"/>
  <c r="I492" i="11"/>
  <c r="I491" i="11"/>
  <c r="I490" i="11"/>
  <c r="I489" i="11"/>
  <c r="I488" i="11"/>
  <c r="I487" i="11"/>
  <c r="I486" i="11"/>
  <c r="I485" i="11"/>
  <c r="I484" i="11"/>
  <c r="I400" i="11"/>
  <c r="I399" i="11"/>
  <c r="I398" i="11"/>
  <c r="I396" i="11"/>
  <c r="I395" i="11"/>
  <c r="I394" i="11"/>
  <c r="I393" i="11"/>
  <c r="I392" i="11"/>
  <c r="I391" i="11"/>
  <c r="L551" i="10"/>
  <c r="K551" i="10"/>
  <c r="K551" i="11" s="1"/>
  <c r="J551" i="10"/>
  <c r="J551" i="11" s="1"/>
  <c r="I551" i="10"/>
  <c r="I551" i="11" s="1"/>
  <c r="H551" i="10"/>
  <c r="H551" i="11" s="1"/>
  <c r="K550" i="10"/>
  <c r="K550" i="11" s="1"/>
  <c r="J550" i="10"/>
  <c r="J550" i="11" s="1"/>
  <c r="I550" i="10"/>
  <c r="I550" i="11" s="1"/>
  <c r="H550" i="10"/>
  <c r="H550" i="11" s="1"/>
  <c r="K549" i="10"/>
  <c r="K549" i="11" s="1"/>
  <c r="J549" i="10"/>
  <c r="J549" i="11" s="1"/>
  <c r="I549" i="10"/>
  <c r="I549" i="11" s="1"/>
  <c r="H549" i="10"/>
  <c r="K547" i="10"/>
  <c r="K547" i="11" s="1"/>
  <c r="J547" i="10"/>
  <c r="J547" i="11" s="1"/>
  <c r="I547" i="10"/>
  <c r="H547" i="10"/>
  <c r="H547" i="11" s="1"/>
  <c r="K546" i="10"/>
  <c r="K546" i="11" s="1"/>
  <c r="J546" i="10"/>
  <c r="J546" i="11" s="1"/>
  <c r="I546" i="10"/>
  <c r="I546" i="11" s="1"/>
  <c r="H546" i="10"/>
  <c r="H546" i="11" s="1"/>
  <c r="K545" i="10"/>
  <c r="K545" i="11" s="1"/>
  <c r="J545" i="10"/>
  <c r="J545" i="11" s="1"/>
  <c r="I545" i="10"/>
  <c r="I545" i="11" s="1"/>
  <c r="H545" i="10"/>
  <c r="H545" i="11" s="1"/>
  <c r="K544" i="10"/>
  <c r="K544" i="11" s="1"/>
  <c r="J544" i="10"/>
  <c r="J544" i="11" s="1"/>
  <c r="I544" i="10"/>
  <c r="I544" i="11" s="1"/>
  <c r="H544" i="10"/>
  <c r="K543" i="10"/>
  <c r="K543" i="11" s="1"/>
  <c r="J543" i="10"/>
  <c r="J543" i="11" s="1"/>
  <c r="I543" i="10"/>
  <c r="H543" i="10"/>
  <c r="H543" i="11" s="1"/>
  <c r="K542" i="10"/>
  <c r="K542" i="11" s="1"/>
  <c r="J542" i="10"/>
  <c r="J542" i="11" s="1"/>
  <c r="I542" i="10"/>
  <c r="I542" i="11" s="1"/>
  <c r="H542" i="10"/>
  <c r="H542" i="11" s="1"/>
  <c r="K541" i="10"/>
  <c r="K541" i="11" s="1"/>
  <c r="J541" i="10"/>
  <c r="J541" i="11" s="1"/>
  <c r="I541" i="10"/>
  <c r="H541" i="10"/>
  <c r="H541" i="11" s="1"/>
  <c r="K540" i="10"/>
  <c r="K540" i="11" s="1"/>
  <c r="J540" i="10"/>
  <c r="J540" i="11" s="1"/>
  <c r="I540" i="10"/>
  <c r="I540" i="11" s="1"/>
  <c r="H540" i="10"/>
  <c r="H540" i="11" s="1"/>
  <c r="L540" i="11" s="1"/>
  <c r="M540" i="11" s="1"/>
  <c r="K539" i="10"/>
  <c r="K539" i="11" s="1"/>
  <c r="J539" i="10"/>
  <c r="J539" i="11" s="1"/>
  <c r="I539" i="10"/>
  <c r="I539" i="11" s="1"/>
  <c r="H539" i="10"/>
  <c r="H539" i="11" s="1"/>
  <c r="L538" i="10"/>
  <c r="K538" i="10"/>
  <c r="K538" i="11" s="1"/>
  <c r="J538" i="10"/>
  <c r="J538" i="11" s="1"/>
  <c r="I538" i="10"/>
  <c r="I538" i="11" s="1"/>
  <c r="H538" i="10"/>
  <c r="H538" i="11" s="1"/>
  <c r="K536" i="10"/>
  <c r="K536" i="11" s="1"/>
  <c r="J536" i="10"/>
  <c r="J536" i="11" s="1"/>
  <c r="H536" i="10"/>
  <c r="H536" i="11" s="1"/>
  <c r="L535" i="10"/>
  <c r="K535" i="10"/>
  <c r="K535" i="11" s="1"/>
  <c r="J535" i="10"/>
  <c r="J535" i="11" s="1"/>
  <c r="H535" i="10"/>
  <c r="H535" i="11" s="1"/>
  <c r="K534" i="10"/>
  <c r="K534" i="11" s="1"/>
  <c r="J534" i="10"/>
  <c r="J534" i="11" s="1"/>
  <c r="H534" i="10"/>
  <c r="H534" i="11" s="1"/>
  <c r="L534" i="11" s="1"/>
  <c r="M534" i="11" s="1"/>
  <c r="K533" i="10"/>
  <c r="K533" i="11" s="1"/>
  <c r="J533" i="10"/>
  <c r="J533" i="11" s="1"/>
  <c r="H533" i="10"/>
  <c r="K532" i="10"/>
  <c r="K532" i="11" s="1"/>
  <c r="J532" i="10"/>
  <c r="J532" i="11" s="1"/>
  <c r="H532" i="10"/>
  <c r="H532" i="11" s="1"/>
  <c r="K531" i="10"/>
  <c r="K531" i="11" s="1"/>
  <c r="J531" i="10"/>
  <c r="J531" i="11" s="1"/>
  <c r="H531" i="10"/>
  <c r="H531" i="11" s="1"/>
  <c r="L530" i="10"/>
  <c r="K530" i="10"/>
  <c r="K530" i="11" s="1"/>
  <c r="J530" i="10"/>
  <c r="J530" i="11" s="1"/>
  <c r="H530" i="10"/>
  <c r="H530" i="11" s="1"/>
  <c r="L530" i="11" s="1"/>
  <c r="M530" i="11" s="1"/>
  <c r="K529" i="10"/>
  <c r="K529" i="11" s="1"/>
  <c r="J529" i="10"/>
  <c r="J529" i="11" s="1"/>
  <c r="H529" i="10"/>
  <c r="H529" i="11" s="1"/>
  <c r="K528" i="10"/>
  <c r="K528" i="11" s="1"/>
  <c r="J528" i="10"/>
  <c r="J528" i="11" s="1"/>
  <c r="H528" i="10"/>
  <c r="H528" i="11" s="1"/>
  <c r="L527" i="10"/>
  <c r="K527" i="10"/>
  <c r="K527" i="11" s="1"/>
  <c r="J527" i="10"/>
  <c r="J527" i="11" s="1"/>
  <c r="H527" i="10"/>
  <c r="H527" i="11" s="1"/>
  <c r="K526" i="10"/>
  <c r="K526" i="11" s="1"/>
  <c r="J526" i="10"/>
  <c r="J526" i="11" s="1"/>
  <c r="H526" i="10"/>
  <c r="H526" i="11" s="1"/>
  <c r="L526" i="11" s="1"/>
  <c r="M526" i="11" s="1"/>
  <c r="K525" i="10"/>
  <c r="K525" i="11" s="1"/>
  <c r="J525" i="10"/>
  <c r="J525" i="11" s="1"/>
  <c r="H525" i="10"/>
  <c r="K524" i="10"/>
  <c r="K524" i="11" s="1"/>
  <c r="J524" i="10"/>
  <c r="J524" i="11" s="1"/>
  <c r="H524" i="10"/>
  <c r="H524" i="11" s="1"/>
  <c r="K523" i="10"/>
  <c r="K523" i="11" s="1"/>
  <c r="J523" i="10"/>
  <c r="J523" i="11" s="1"/>
  <c r="H523" i="10"/>
  <c r="H523" i="11" s="1"/>
  <c r="L522" i="10"/>
  <c r="K522" i="10"/>
  <c r="K522" i="11" s="1"/>
  <c r="J522" i="10"/>
  <c r="J522" i="11" s="1"/>
  <c r="H522" i="10"/>
  <c r="H522" i="11" s="1"/>
  <c r="L522" i="11" s="1"/>
  <c r="M522" i="11" s="1"/>
  <c r="K521" i="10"/>
  <c r="K521" i="11" s="1"/>
  <c r="J521" i="10"/>
  <c r="J521" i="11" s="1"/>
  <c r="H521" i="10"/>
  <c r="H521" i="11" s="1"/>
  <c r="K520" i="10"/>
  <c r="K520" i="11" s="1"/>
  <c r="J520" i="10"/>
  <c r="J520" i="11" s="1"/>
  <c r="H520" i="10"/>
  <c r="H520" i="11" s="1"/>
  <c r="L519" i="10"/>
  <c r="K519" i="10"/>
  <c r="K519" i="11" s="1"/>
  <c r="J519" i="10"/>
  <c r="J519" i="11" s="1"/>
  <c r="H519" i="10"/>
  <c r="H519" i="11" s="1"/>
  <c r="M518" i="10"/>
  <c r="N518" i="10" s="1"/>
  <c r="O518" i="10" s="1"/>
  <c r="L518" i="10"/>
  <c r="K518" i="10"/>
  <c r="K518" i="11" s="1"/>
  <c r="J518" i="10"/>
  <c r="J518" i="11" s="1"/>
  <c r="H518" i="10"/>
  <c r="H518" i="11" s="1"/>
  <c r="L518" i="11" s="1"/>
  <c r="M518" i="11" s="1"/>
  <c r="K517" i="10"/>
  <c r="K517" i="11" s="1"/>
  <c r="J517" i="10"/>
  <c r="J517" i="11" s="1"/>
  <c r="H517" i="10"/>
  <c r="K516" i="10"/>
  <c r="K516" i="11" s="1"/>
  <c r="J516" i="10"/>
  <c r="J516" i="11" s="1"/>
  <c r="H516" i="10"/>
  <c r="H516" i="11" s="1"/>
  <c r="K515" i="10"/>
  <c r="K515" i="11" s="1"/>
  <c r="J515" i="10"/>
  <c r="J515" i="11" s="1"/>
  <c r="H515" i="10"/>
  <c r="H515" i="11" s="1"/>
  <c r="L514" i="10"/>
  <c r="K514" i="10"/>
  <c r="K514" i="11" s="1"/>
  <c r="J514" i="10"/>
  <c r="J514" i="11" s="1"/>
  <c r="H514" i="10"/>
  <c r="H514" i="11" s="1"/>
  <c r="L514" i="11" s="1"/>
  <c r="M514" i="11" s="1"/>
  <c r="K513" i="10"/>
  <c r="K513" i="11" s="1"/>
  <c r="J513" i="10"/>
  <c r="J513" i="11" s="1"/>
  <c r="H513" i="10"/>
  <c r="H513" i="11" s="1"/>
  <c r="K512" i="10"/>
  <c r="K512" i="11" s="1"/>
  <c r="J512" i="10"/>
  <c r="J512" i="11" s="1"/>
  <c r="H512" i="10"/>
  <c r="H512" i="11" s="1"/>
  <c r="L511" i="10"/>
  <c r="K511" i="10"/>
  <c r="K511" i="11" s="1"/>
  <c r="J511" i="10"/>
  <c r="J511" i="11" s="1"/>
  <c r="H511" i="10"/>
  <c r="H511" i="11" s="1"/>
  <c r="M510" i="10"/>
  <c r="N510" i="10" s="1"/>
  <c r="O510" i="10" s="1"/>
  <c r="L510" i="10"/>
  <c r="K510" i="10"/>
  <c r="K510" i="11" s="1"/>
  <c r="J510" i="10"/>
  <c r="J510" i="11" s="1"/>
  <c r="H510" i="10"/>
  <c r="H510" i="11" s="1"/>
  <c r="K509" i="10"/>
  <c r="K509" i="11" s="1"/>
  <c r="J509" i="10"/>
  <c r="J509" i="11" s="1"/>
  <c r="H509" i="10"/>
  <c r="K508" i="10"/>
  <c r="K508" i="11" s="1"/>
  <c r="J508" i="10"/>
  <c r="J508" i="11" s="1"/>
  <c r="H508" i="10"/>
  <c r="H508" i="11" s="1"/>
  <c r="K507" i="10"/>
  <c r="K507" i="11" s="1"/>
  <c r="J507" i="10"/>
  <c r="J507" i="11" s="1"/>
  <c r="H507" i="10"/>
  <c r="H507" i="11" s="1"/>
  <c r="L506" i="10"/>
  <c r="K506" i="10"/>
  <c r="K506" i="11" s="1"/>
  <c r="J506" i="10"/>
  <c r="J506" i="11" s="1"/>
  <c r="H506" i="10"/>
  <c r="H506" i="11" s="1"/>
  <c r="L506" i="11" s="1"/>
  <c r="M506" i="11" s="1"/>
  <c r="K505" i="10"/>
  <c r="K505" i="11" s="1"/>
  <c r="J505" i="10"/>
  <c r="J505" i="11" s="1"/>
  <c r="H505" i="10"/>
  <c r="H505" i="11" s="1"/>
  <c r="K504" i="10"/>
  <c r="K504" i="11" s="1"/>
  <c r="J504" i="10"/>
  <c r="J504" i="11" s="1"/>
  <c r="H504" i="10"/>
  <c r="H504" i="11" s="1"/>
  <c r="L503" i="10"/>
  <c r="K503" i="10"/>
  <c r="K503" i="11" s="1"/>
  <c r="J503" i="10"/>
  <c r="J503" i="11" s="1"/>
  <c r="H503" i="10"/>
  <c r="H503" i="11" s="1"/>
  <c r="P502" i="10"/>
  <c r="M502" i="10"/>
  <c r="N502" i="10" s="1"/>
  <c r="O502" i="10" s="1"/>
  <c r="L502" i="10"/>
  <c r="K502" i="10"/>
  <c r="K502" i="11" s="1"/>
  <c r="J502" i="10"/>
  <c r="J502" i="11" s="1"/>
  <c r="H502" i="10"/>
  <c r="H502" i="11" s="1"/>
  <c r="L502" i="11" s="1"/>
  <c r="M502" i="11" s="1"/>
  <c r="K501" i="10"/>
  <c r="K501" i="11" s="1"/>
  <c r="J501" i="10"/>
  <c r="J501" i="11" s="1"/>
  <c r="H501" i="10"/>
  <c r="K500" i="10"/>
  <c r="K500" i="11" s="1"/>
  <c r="J500" i="10"/>
  <c r="J500" i="11" s="1"/>
  <c r="H500" i="10"/>
  <c r="H500" i="11" s="1"/>
  <c r="K499" i="10"/>
  <c r="K499" i="11" s="1"/>
  <c r="J499" i="10"/>
  <c r="J499" i="11" s="1"/>
  <c r="H499" i="10"/>
  <c r="H499" i="11" s="1"/>
  <c r="L498" i="10"/>
  <c r="K498" i="10"/>
  <c r="K498" i="11" s="1"/>
  <c r="J498" i="10"/>
  <c r="J498" i="11" s="1"/>
  <c r="H498" i="10"/>
  <c r="H498" i="11" s="1"/>
  <c r="L498" i="11" s="1"/>
  <c r="M498" i="11" s="1"/>
  <c r="K497" i="10"/>
  <c r="K497" i="11" s="1"/>
  <c r="J497" i="10"/>
  <c r="J497" i="11" s="1"/>
  <c r="H497" i="10"/>
  <c r="H497" i="11" s="1"/>
  <c r="K496" i="10"/>
  <c r="K496" i="11" s="1"/>
  <c r="J496" i="10"/>
  <c r="J496" i="11" s="1"/>
  <c r="H496" i="10"/>
  <c r="H496" i="11" s="1"/>
  <c r="L495" i="10"/>
  <c r="K495" i="10"/>
  <c r="K495" i="11" s="1"/>
  <c r="J495" i="10"/>
  <c r="J495" i="11" s="1"/>
  <c r="H495" i="10"/>
  <c r="H495" i="11" s="1"/>
  <c r="K494" i="10"/>
  <c r="K494" i="11" s="1"/>
  <c r="J494" i="10"/>
  <c r="J494" i="11" s="1"/>
  <c r="H494" i="10"/>
  <c r="H494" i="11" s="1"/>
  <c r="K493" i="10"/>
  <c r="K493" i="11" s="1"/>
  <c r="J493" i="10"/>
  <c r="J493" i="11" s="1"/>
  <c r="H493" i="10"/>
  <c r="K492" i="10"/>
  <c r="K492" i="11" s="1"/>
  <c r="J492" i="10"/>
  <c r="J492" i="11" s="1"/>
  <c r="H492" i="10"/>
  <c r="H492" i="11" s="1"/>
  <c r="K491" i="10"/>
  <c r="K491" i="11" s="1"/>
  <c r="J491" i="10"/>
  <c r="J491" i="11" s="1"/>
  <c r="H491" i="10"/>
  <c r="H491" i="11" s="1"/>
  <c r="L490" i="10"/>
  <c r="K490" i="10"/>
  <c r="K490" i="11" s="1"/>
  <c r="J490" i="10"/>
  <c r="J490" i="11" s="1"/>
  <c r="H490" i="10"/>
  <c r="H490" i="11" s="1"/>
  <c r="L490" i="11" s="1"/>
  <c r="M490" i="11" s="1"/>
  <c r="K489" i="10"/>
  <c r="K489" i="11" s="1"/>
  <c r="J489" i="10"/>
  <c r="H489" i="10"/>
  <c r="H489" i="11" s="1"/>
  <c r="K488" i="10"/>
  <c r="J488" i="10"/>
  <c r="J488" i="11" s="1"/>
  <c r="H488" i="10"/>
  <c r="H488" i="11" s="1"/>
  <c r="L487" i="10"/>
  <c r="K487" i="10"/>
  <c r="K487" i="11" s="1"/>
  <c r="J487" i="10"/>
  <c r="J487" i="11" s="1"/>
  <c r="H487" i="10"/>
  <c r="H487" i="11" s="1"/>
  <c r="K486" i="10"/>
  <c r="K486" i="11" s="1"/>
  <c r="J486" i="10"/>
  <c r="J486" i="11" s="1"/>
  <c r="H486" i="10"/>
  <c r="H486" i="11" s="1"/>
  <c r="L486" i="11" s="1"/>
  <c r="M486" i="11" s="1"/>
  <c r="K485" i="10"/>
  <c r="K485" i="11" s="1"/>
  <c r="J485" i="10"/>
  <c r="J485" i="11" s="1"/>
  <c r="H485" i="10"/>
  <c r="K484" i="10"/>
  <c r="K484" i="11" s="1"/>
  <c r="J484" i="10"/>
  <c r="J484" i="11" s="1"/>
  <c r="H484" i="10"/>
  <c r="H484" i="11" s="1"/>
  <c r="K482" i="10"/>
  <c r="K482" i="11" s="1"/>
  <c r="J482" i="10"/>
  <c r="J482" i="11" s="1"/>
  <c r="I482" i="10"/>
  <c r="I482" i="11" s="1"/>
  <c r="H482" i="10"/>
  <c r="K481" i="10"/>
  <c r="K481" i="11" s="1"/>
  <c r="J481" i="10"/>
  <c r="I481" i="10"/>
  <c r="I481" i="11" s="1"/>
  <c r="H481" i="10"/>
  <c r="H481" i="11" s="1"/>
  <c r="L480" i="10"/>
  <c r="K480" i="10"/>
  <c r="K480" i="11" s="1"/>
  <c r="J480" i="10"/>
  <c r="J480" i="11" s="1"/>
  <c r="I480" i="10"/>
  <c r="I480" i="11" s="1"/>
  <c r="H480" i="10"/>
  <c r="H480" i="11" s="1"/>
  <c r="L480" i="11" s="1"/>
  <c r="M480" i="11" s="1"/>
  <c r="K479" i="10"/>
  <c r="K479" i="11" s="1"/>
  <c r="J479" i="10"/>
  <c r="J479" i="11" s="1"/>
  <c r="I479" i="10"/>
  <c r="I479" i="11" s="1"/>
  <c r="H479" i="10"/>
  <c r="H479" i="11" s="1"/>
  <c r="K478" i="10"/>
  <c r="K478" i="11" s="1"/>
  <c r="J478" i="10"/>
  <c r="J478" i="11" s="1"/>
  <c r="I478" i="10"/>
  <c r="I478" i="11" s="1"/>
  <c r="H478" i="10"/>
  <c r="K477" i="10"/>
  <c r="K477" i="11" s="1"/>
  <c r="J477" i="10"/>
  <c r="I477" i="10"/>
  <c r="I477" i="11" s="1"/>
  <c r="H477" i="10"/>
  <c r="H477" i="11" s="1"/>
  <c r="L476" i="10"/>
  <c r="K476" i="10"/>
  <c r="K476" i="11" s="1"/>
  <c r="J476" i="10"/>
  <c r="J476" i="11" s="1"/>
  <c r="I476" i="10"/>
  <c r="I476" i="11" s="1"/>
  <c r="H476" i="10"/>
  <c r="H476" i="11" s="1"/>
  <c r="L476" i="11" s="1"/>
  <c r="M476" i="11" s="1"/>
  <c r="K475" i="10"/>
  <c r="K475" i="11" s="1"/>
  <c r="J475" i="10"/>
  <c r="J475" i="11" s="1"/>
  <c r="I475" i="10"/>
  <c r="I475" i="11" s="1"/>
  <c r="H475" i="10"/>
  <c r="H475" i="11" s="1"/>
  <c r="K474" i="10"/>
  <c r="K474" i="11" s="1"/>
  <c r="J474" i="10"/>
  <c r="J474" i="11" s="1"/>
  <c r="I474" i="10"/>
  <c r="I474" i="11" s="1"/>
  <c r="H474" i="10"/>
  <c r="K473" i="10"/>
  <c r="K473" i="11" s="1"/>
  <c r="J473" i="10"/>
  <c r="I473" i="10"/>
  <c r="I473" i="11" s="1"/>
  <c r="H473" i="10"/>
  <c r="H473" i="11" s="1"/>
  <c r="L472" i="10"/>
  <c r="K472" i="10"/>
  <c r="K472" i="11" s="1"/>
  <c r="J472" i="10"/>
  <c r="J472" i="11" s="1"/>
  <c r="I472" i="10"/>
  <c r="I472" i="11" s="1"/>
  <c r="H472" i="10"/>
  <c r="H472" i="11" s="1"/>
  <c r="L472" i="11" s="1"/>
  <c r="M472" i="11" s="1"/>
  <c r="K471" i="10"/>
  <c r="K471" i="11" s="1"/>
  <c r="J471" i="10"/>
  <c r="J471" i="11" s="1"/>
  <c r="I471" i="10"/>
  <c r="I471" i="11" s="1"/>
  <c r="H471" i="10"/>
  <c r="H471" i="11" s="1"/>
  <c r="K469" i="10"/>
  <c r="K469" i="11" s="1"/>
  <c r="J469" i="10"/>
  <c r="J469" i="11" s="1"/>
  <c r="I469" i="10"/>
  <c r="I469" i="11" s="1"/>
  <c r="H469" i="10"/>
  <c r="K468" i="10"/>
  <c r="K468" i="11" s="1"/>
  <c r="J468" i="10"/>
  <c r="I468" i="10"/>
  <c r="I468" i="11" s="1"/>
  <c r="H468" i="10"/>
  <c r="H468" i="11" s="1"/>
  <c r="L467" i="10"/>
  <c r="K467" i="10"/>
  <c r="K467" i="11" s="1"/>
  <c r="J467" i="10"/>
  <c r="J467" i="11" s="1"/>
  <c r="I467" i="10"/>
  <c r="I467" i="11" s="1"/>
  <c r="H467" i="10"/>
  <c r="H467" i="11" s="1"/>
  <c r="L467" i="11" s="1"/>
  <c r="M467" i="11" s="1"/>
  <c r="K466" i="10"/>
  <c r="K466" i="11" s="1"/>
  <c r="J466" i="10"/>
  <c r="J466" i="11" s="1"/>
  <c r="I466" i="10"/>
  <c r="I466" i="11" s="1"/>
  <c r="H466" i="10"/>
  <c r="H466" i="11" s="1"/>
  <c r="K465" i="10"/>
  <c r="K465" i="11" s="1"/>
  <c r="J465" i="10"/>
  <c r="J465" i="11" s="1"/>
  <c r="I465" i="10"/>
  <c r="I465" i="11" s="1"/>
  <c r="H465" i="10"/>
  <c r="K464" i="10"/>
  <c r="K464" i="11" s="1"/>
  <c r="J464" i="10"/>
  <c r="I464" i="10"/>
  <c r="I464" i="11" s="1"/>
  <c r="H464" i="10"/>
  <c r="H464" i="11" s="1"/>
  <c r="L463" i="10"/>
  <c r="K463" i="10"/>
  <c r="K463" i="11" s="1"/>
  <c r="J463" i="10"/>
  <c r="J463" i="11" s="1"/>
  <c r="I463" i="10"/>
  <c r="I463" i="11" s="1"/>
  <c r="H463" i="10"/>
  <c r="H463" i="11" s="1"/>
  <c r="L463" i="11" s="1"/>
  <c r="M463" i="11" s="1"/>
  <c r="K462" i="10"/>
  <c r="K462" i="11" s="1"/>
  <c r="J462" i="10"/>
  <c r="J462" i="11" s="1"/>
  <c r="I462" i="10"/>
  <c r="I462" i="11" s="1"/>
  <c r="H462" i="10"/>
  <c r="H462" i="11" s="1"/>
  <c r="K461" i="10"/>
  <c r="K461" i="11" s="1"/>
  <c r="J461" i="10"/>
  <c r="J461" i="11" s="1"/>
  <c r="I461" i="10"/>
  <c r="I461" i="11" s="1"/>
  <c r="H461" i="10"/>
  <c r="K460" i="10"/>
  <c r="K460" i="11" s="1"/>
  <c r="J460" i="10"/>
  <c r="J460" i="11" s="1"/>
  <c r="I460" i="10"/>
  <c r="I460" i="11" s="1"/>
  <c r="H460" i="10"/>
  <c r="H460" i="11" s="1"/>
  <c r="L459" i="10"/>
  <c r="M459" i="10" s="1"/>
  <c r="N459" i="10" s="1"/>
  <c r="K459" i="10"/>
  <c r="K459" i="11" s="1"/>
  <c r="J459" i="10"/>
  <c r="J459" i="11" s="1"/>
  <c r="I459" i="10"/>
  <c r="I459" i="11" s="1"/>
  <c r="H459" i="10"/>
  <c r="H459" i="11" s="1"/>
  <c r="L459" i="11" s="1"/>
  <c r="M459" i="11" s="1"/>
  <c r="K458" i="10"/>
  <c r="K458" i="11" s="1"/>
  <c r="J458" i="10"/>
  <c r="J458" i="11" s="1"/>
  <c r="I458" i="10"/>
  <c r="I458" i="11" s="1"/>
  <c r="H458" i="10"/>
  <c r="K457" i="10"/>
  <c r="K457" i="11" s="1"/>
  <c r="J457" i="10"/>
  <c r="J457" i="11" s="1"/>
  <c r="I457" i="10"/>
  <c r="I457" i="11" s="1"/>
  <c r="H457" i="10"/>
  <c r="K456" i="10"/>
  <c r="K456" i="11" s="1"/>
  <c r="J456" i="10"/>
  <c r="J456" i="11" s="1"/>
  <c r="I456" i="10"/>
  <c r="I456" i="11" s="1"/>
  <c r="H456" i="10"/>
  <c r="H456" i="11" s="1"/>
  <c r="L455" i="10"/>
  <c r="K455" i="10"/>
  <c r="K455" i="11" s="1"/>
  <c r="J455" i="10"/>
  <c r="J455" i="11" s="1"/>
  <c r="I455" i="10"/>
  <c r="I455" i="11" s="1"/>
  <c r="H455" i="10"/>
  <c r="H455" i="11" s="1"/>
  <c r="L455" i="11" s="1"/>
  <c r="M455" i="11" s="1"/>
  <c r="K454" i="10"/>
  <c r="K454" i="11" s="1"/>
  <c r="J454" i="10"/>
  <c r="J454" i="11" s="1"/>
  <c r="I454" i="10"/>
  <c r="I454" i="11" s="1"/>
  <c r="H454" i="10"/>
  <c r="K453" i="10"/>
  <c r="K453" i="11" s="1"/>
  <c r="J453" i="10"/>
  <c r="J453" i="11" s="1"/>
  <c r="I453" i="10"/>
  <c r="I453" i="11" s="1"/>
  <c r="H453" i="10"/>
  <c r="H453" i="11" s="1"/>
  <c r="K452" i="10"/>
  <c r="K452" i="11" s="1"/>
  <c r="J452" i="10"/>
  <c r="J452" i="11" s="1"/>
  <c r="I452" i="10"/>
  <c r="I452" i="11" s="1"/>
  <c r="H452" i="10"/>
  <c r="H452" i="11" s="1"/>
  <c r="K451" i="10"/>
  <c r="K451" i="11" s="1"/>
  <c r="J451" i="10"/>
  <c r="J451" i="11" s="1"/>
  <c r="I451" i="10"/>
  <c r="I451" i="11" s="1"/>
  <c r="H451" i="10"/>
  <c r="H451" i="11" s="1"/>
  <c r="L451" i="11" s="1"/>
  <c r="M451" i="11" s="1"/>
  <c r="K449" i="10"/>
  <c r="K449" i="11" s="1"/>
  <c r="J449" i="10"/>
  <c r="J449" i="11" s="1"/>
  <c r="I449" i="10"/>
  <c r="I449" i="11" s="1"/>
  <c r="H449" i="10"/>
  <c r="K448" i="10"/>
  <c r="K448" i="11" s="1"/>
  <c r="J448" i="10"/>
  <c r="J448" i="11" s="1"/>
  <c r="I448" i="10"/>
  <c r="I448" i="11" s="1"/>
  <c r="H448" i="10"/>
  <c r="H448" i="11" s="1"/>
  <c r="K447" i="10"/>
  <c r="K447" i="11" s="1"/>
  <c r="J447" i="10"/>
  <c r="J447" i="11" s="1"/>
  <c r="I447" i="10"/>
  <c r="I447" i="11" s="1"/>
  <c r="H447" i="10"/>
  <c r="H447" i="11" s="1"/>
  <c r="K446" i="10"/>
  <c r="K446" i="11" s="1"/>
  <c r="J446" i="10"/>
  <c r="J446" i="11" s="1"/>
  <c r="I446" i="10"/>
  <c r="I446" i="11" s="1"/>
  <c r="H446" i="10"/>
  <c r="H446" i="11" s="1"/>
  <c r="L446" i="11" s="1"/>
  <c r="M446" i="11" s="1"/>
  <c r="K445" i="10"/>
  <c r="K445" i="11" s="1"/>
  <c r="J445" i="10"/>
  <c r="J445" i="11" s="1"/>
  <c r="I445" i="10"/>
  <c r="I445" i="11" s="1"/>
  <c r="H445" i="10"/>
  <c r="K444" i="10"/>
  <c r="K444" i="11" s="1"/>
  <c r="J444" i="10"/>
  <c r="J444" i="11" s="1"/>
  <c r="I444" i="10"/>
  <c r="I444" i="11" s="1"/>
  <c r="H444" i="10"/>
  <c r="H444" i="11" s="1"/>
  <c r="K443" i="10"/>
  <c r="K443" i="11" s="1"/>
  <c r="J443" i="10"/>
  <c r="J443" i="11" s="1"/>
  <c r="I443" i="10"/>
  <c r="I443" i="11" s="1"/>
  <c r="H443" i="10"/>
  <c r="H443" i="11" s="1"/>
  <c r="K442" i="10"/>
  <c r="K442" i="11" s="1"/>
  <c r="J442" i="10"/>
  <c r="J442" i="11" s="1"/>
  <c r="I442" i="10"/>
  <c r="I442" i="11" s="1"/>
  <c r="H442" i="10"/>
  <c r="H442" i="11" s="1"/>
  <c r="L442" i="11" s="1"/>
  <c r="M442" i="11" s="1"/>
  <c r="K441" i="10"/>
  <c r="K441" i="11" s="1"/>
  <c r="J441" i="10"/>
  <c r="J441" i="11" s="1"/>
  <c r="I441" i="10"/>
  <c r="I441" i="11" s="1"/>
  <c r="H441" i="10"/>
  <c r="K440" i="10"/>
  <c r="K440" i="11" s="1"/>
  <c r="J440" i="10"/>
  <c r="J440" i="11" s="1"/>
  <c r="I440" i="10"/>
  <c r="I440" i="11" s="1"/>
  <c r="H440" i="10"/>
  <c r="H440" i="11" s="1"/>
  <c r="L440" i="11" s="1"/>
  <c r="M440" i="11" s="1"/>
  <c r="M439" i="10"/>
  <c r="L439" i="10"/>
  <c r="N439" i="10" s="1"/>
  <c r="K439" i="10"/>
  <c r="K439" i="11" s="1"/>
  <c r="J439" i="10"/>
  <c r="J439" i="11" s="1"/>
  <c r="I439" i="10"/>
  <c r="I439" i="11" s="1"/>
  <c r="H439" i="10"/>
  <c r="H439" i="11" s="1"/>
  <c r="L439" i="11" s="1"/>
  <c r="M439" i="11" s="1"/>
  <c r="K438" i="10"/>
  <c r="K438" i="11" s="1"/>
  <c r="J438" i="10"/>
  <c r="J438" i="11" s="1"/>
  <c r="I438" i="10"/>
  <c r="I438" i="11" s="1"/>
  <c r="H438" i="10"/>
  <c r="H438" i="11" s="1"/>
  <c r="L438" i="11" s="1"/>
  <c r="M438" i="11" s="1"/>
  <c r="K437" i="10"/>
  <c r="K437" i="11" s="1"/>
  <c r="J437" i="10"/>
  <c r="J437" i="11" s="1"/>
  <c r="I437" i="10"/>
  <c r="I437" i="11" s="1"/>
  <c r="H437" i="10"/>
  <c r="H437" i="11" s="1"/>
  <c r="K436" i="10"/>
  <c r="K436" i="11" s="1"/>
  <c r="J436" i="10"/>
  <c r="J436" i="11" s="1"/>
  <c r="I436" i="10"/>
  <c r="I436" i="11" s="1"/>
  <c r="H436" i="10"/>
  <c r="H436" i="11" s="1"/>
  <c r="K435" i="10"/>
  <c r="K435" i="11" s="1"/>
  <c r="J435" i="10"/>
  <c r="J435" i="11" s="1"/>
  <c r="I435" i="10"/>
  <c r="I435" i="11" s="1"/>
  <c r="H435" i="10"/>
  <c r="H435" i="11" s="1"/>
  <c r="L434" i="10"/>
  <c r="K434" i="10"/>
  <c r="K434" i="11" s="1"/>
  <c r="J434" i="10"/>
  <c r="J434" i="11" s="1"/>
  <c r="I434" i="10"/>
  <c r="I434" i="11" s="1"/>
  <c r="H434" i="10"/>
  <c r="H434" i="11" s="1"/>
  <c r="N433" i="10"/>
  <c r="L433" i="10"/>
  <c r="M433" i="10" s="1"/>
  <c r="K433" i="10"/>
  <c r="K433" i="11" s="1"/>
  <c r="J433" i="10"/>
  <c r="J433" i="11" s="1"/>
  <c r="I433" i="10"/>
  <c r="I433" i="11" s="1"/>
  <c r="H433" i="10"/>
  <c r="H433" i="11" s="1"/>
  <c r="K432" i="10"/>
  <c r="K432" i="11" s="1"/>
  <c r="J432" i="10"/>
  <c r="J432" i="11" s="1"/>
  <c r="I432" i="10"/>
  <c r="I432" i="11" s="1"/>
  <c r="H432" i="10"/>
  <c r="H432" i="11" s="1"/>
  <c r="L432" i="11" s="1"/>
  <c r="M432" i="11" s="1"/>
  <c r="K431" i="10"/>
  <c r="K431" i="11" s="1"/>
  <c r="J431" i="10"/>
  <c r="J431" i="11" s="1"/>
  <c r="I431" i="10"/>
  <c r="I431" i="11" s="1"/>
  <c r="H431" i="10"/>
  <c r="H431" i="11" s="1"/>
  <c r="K430" i="10"/>
  <c r="K430" i="11" s="1"/>
  <c r="J430" i="10"/>
  <c r="J430" i="11" s="1"/>
  <c r="I430" i="10"/>
  <c r="I430" i="11" s="1"/>
  <c r="H430" i="10"/>
  <c r="H430" i="11" s="1"/>
  <c r="K429" i="10"/>
  <c r="K429" i="11" s="1"/>
  <c r="J429" i="10"/>
  <c r="J429" i="11" s="1"/>
  <c r="I429" i="10"/>
  <c r="I429" i="11" s="1"/>
  <c r="H429" i="10"/>
  <c r="H429" i="11" s="1"/>
  <c r="K428" i="10"/>
  <c r="K428" i="11" s="1"/>
  <c r="J428" i="10"/>
  <c r="J428" i="11" s="1"/>
  <c r="I428" i="10"/>
  <c r="I428" i="11" s="1"/>
  <c r="H428" i="10"/>
  <c r="H428" i="11" s="1"/>
  <c r="L428" i="11" s="1"/>
  <c r="M428" i="11" s="1"/>
  <c r="K427" i="10"/>
  <c r="K427" i="11" s="1"/>
  <c r="J427" i="10"/>
  <c r="J427" i="11" s="1"/>
  <c r="I427" i="10"/>
  <c r="I427" i="11" s="1"/>
  <c r="H427" i="10"/>
  <c r="H427" i="11" s="1"/>
  <c r="K426" i="10"/>
  <c r="K426" i="11" s="1"/>
  <c r="J426" i="10"/>
  <c r="J426" i="11" s="1"/>
  <c r="I426" i="10"/>
  <c r="I426" i="11" s="1"/>
  <c r="H426" i="10"/>
  <c r="H426" i="11" s="1"/>
  <c r="M425" i="10"/>
  <c r="N425" i="10" s="1"/>
  <c r="L425" i="10"/>
  <c r="K425" i="10"/>
  <c r="K425" i="11" s="1"/>
  <c r="J425" i="10"/>
  <c r="J425" i="11" s="1"/>
  <c r="I425" i="10"/>
  <c r="I425" i="11" s="1"/>
  <c r="H425" i="10"/>
  <c r="H425" i="11" s="1"/>
  <c r="K424" i="10"/>
  <c r="K424" i="11" s="1"/>
  <c r="J424" i="10"/>
  <c r="J424" i="11" s="1"/>
  <c r="I424" i="10"/>
  <c r="I424" i="11" s="1"/>
  <c r="H424" i="10"/>
  <c r="H424" i="11" s="1"/>
  <c r="L424" i="11" s="1"/>
  <c r="M424" i="11" s="1"/>
  <c r="K423" i="10"/>
  <c r="K423" i="11" s="1"/>
  <c r="J423" i="10"/>
  <c r="J423" i="11" s="1"/>
  <c r="I423" i="10"/>
  <c r="I423" i="11" s="1"/>
  <c r="H423" i="10"/>
  <c r="H423" i="11" s="1"/>
  <c r="K422" i="10"/>
  <c r="K422" i="11" s="1"/>
  <c r="J422" i="10"/>
  <c r="J422" i="11" s="1"/>
  <c r="I422" i="10"/>
  <c r="I422" i="11" s="1"/>
  <c r="H422" i="10"/>
  <c r="H422" i="11" s="1"/>
  <c r="K421" i="10"/>
  <c r="K421" i="11" s="1"/>
  <c r="J421" i="10"/>
  <c r="J421" i="11" s="1"/>
  <c r="I421" i="10"/>
  <c r="I421" i="11" s="1"/>
  <c r="H421" i="10"/>
  <c r="H421" i="11" s="1"/>
  <c r="K420" i="10"/>
  <c r="K420" i="11" s="1"/>
  <c r="J420" i="10"/>
  <c r="J420" i="11" s="1"/>
  <c r="I420" i="10"/>
  <c r="I420" i="11" s="1"/>
  <c r="H420" i="10"/>
  <c r="H420" i="11" s="1"/>
  <c r="L420" i="11" s="1"/>
  <c r="M420" i="11" s="1"/>
  <c r="K419" i="10"/>
  <c r="K419" i="11" s="1"/>
  <c r="J419" i="10"/>
  <c r="J419" i="11" s="1"/>
  <c r="I419" i="10"/>
  <c r="I419" i="11" s="1"/>
  <c r="H419" i="10"/>
  <c r="H419" i="11" s="1"/>
  <c r="K418" i="10"/>
  <c r="K418" i="11" s="1"/>
  <c r="J418" i="10"/>
  <c r="J418" i="11" s="1"/>
  <c r="I418" i="10"/>
  <c r="I418" i="11" s="1"/>
  <c r="H418" i="10"/>
  <c r="H418" i="11" s="1"/>
  <c r="K417" i="10"/>
  <c r="K417" i="11" s="1"/>
  <c r="J417" i="10"/>
  <c r="J417" i="11" s="1"/>
  <c r="I417" i="10"/>
  <c r="I417" i="11" s="1"/>
  <c r="H417" i="10"/>
  <c r="H417" i="11" s="1"/>
  <c r="K416" i="10"/>
  <c r="K416" i="11" s="1"/>
  <c r="J416" i="10"/>
  <c r="J416" i="11" s="1"/>
  <c r="I416" i="10"/>
  <c r="I416" i="11" s="1"/>
  <c r="H416" i="10"/>
  <c r="H416" i="11" s="1"/>
  <c r="K415" i="10"/>
  <c r="K415" i="11" s="1"/>
  <c r="J415" i="10"/>
  <c r="J415" i="11" s="1"/>
  <c r="I415" i="10"/>
  <c r="I415" i="11" s="1"/>
  <c r="H415" i="10"/>
  <c r="H415" i="11" s="1"/>
  <c r="K414" i="10"/>
  <c r="K414" i="11" s="1"/>
  <c r="J414" i="10"/>
  <c r="J414" i="11" s="1"/>
  <c r="I414" i="10"/>
  <c r="I414" i="11" s="1"/>
  <c r="H414" i="10"/>
  <c r="H414" i="11" s="1"/>
  <c r="K413" i="10"/>
  <c r="K413" i="11" s="1"/>
  <c r="J413" i="10"/>
  <c r="J413" i="11" s="1"/>
  <c r="I413" i="10"/>
  <c r="I413" i="11" s="1"/>
  <c r="H413" i="10"/>
  <c r="H413" i="11" s="1"/>
  <c r="K412" i="10"/>
  <c r="K412" i="11" s="1"/>
  <c r="J412" i="10"/>
  <c r="J412" i="11" s="1"/>
  <c r="I412" i="10"/>
  <c r="I412" i="11" s="1"/>
  <c r="H412" i="10"/>
  <c r="H412" i="11" s="1"/>
  <c r="K411" i="10"/>
  <c r="K411" i="11" s="1"/>
  <c r="J411" i="10"/>
  <c r="J411" i="11" s="1"/>
  <c r="I411" i="10"/>
  <c r="I411" i="11" s="1"/>
  <c r="H411" i="10"/>
  <c r="H411" i="11" s="1"/>
  <c r="L410" i="10"/>
  <c r="K410" i="10"/>
  <c r="K410" i="11" s="1"/>
  <c r="J410" i="10"/>
  <c r="J410" i="11" s="1"/>
  <c r="I410" i="10"/>
  <c r="I410" i="11" s="1"/>
  <c r="H410" i="10"/>
  <c r="H410" i="11" s="1"/>
  <c r="K409" i="10"/>
  <c r="K409" i="11" s="1"/>
  <c r="J409" i="10"/>
  <c r="J409" i="11" s="1"/>
  <c r="I409" i="10"/>
  <c r="I409" i="11" s="1"/>
  <c r="H409" i="10"/>
  <c r="H409" i="11" s="1"/>
  <c r="K407" i="10"/>
  <c r="K407" i="11" s="1"/>
  <c r="J407" i="10"/>
  <c r="J407" i="11" s="1"/>
  <c r="I407" i="10"/>
  <c r="I407" i="11" s="1"/>
  <c r="H407" i="10"/>
  <c r="H407" i="11" s="1"/>
  <c r="L407" i="11" s="1"/>
  <c r="M407" i="11" s="1"/>
  <c r="K406" i="10"/>
  <c r="K406" i="11" s="1"/>
  <c r="J406" i="10"/>
  <c r="J406" i="11" s="1"/>
  <c r="I406" i="10"/>
  <c r="I406" i="11" s="1"/>
  <c r="H406" i="10"/>
  <c r="H406" i="11" s="1"/>
  <c r="L405" i="10"/>
  <c r="K405" i="10"/>
  <c r="K405" i="11" s="1"/>
  <c r="J405" i="10"/>
  <c r="J405" i="11" s="1"/>
  <c r="I405" i="10"/>
  <c r="I405" i="11" s="1"/>
  <c r="H405" i="10"/>
  <c r="H405" i="11" s="1"/>
  <c r="K404" i="10"/>
  <c r="K404" i="11" s="1"/>
  <c r="J404" i="10"/>
  <c r="J404" i="11" s="1"/>
  <c r="I404" i="10"/>
  <c r="I404" i="11" s="1"/>
  <c r="H404" i="10"/>
  <c r="H404" i="11" s="1"/>
  <c r="K403" i="10"/>
  <c r="K403" i="11" s="1"/>
  <c r="J403" i="10"/>
  <c r="J403" i="11" s="1"/>
  <c r="I403" i="10"/>
  <c r="I403" i="11" s="1"/>
  <c r="H403" i="10"/>
  <c r="H403" i="11" s="1"/>
  <c r="K402" i="10"/>
  <c r="K402" i="11" s="1"/>
  <c r="J402" i="10"/>
  <c r="J402" i="11" s="1"/>
  <c r="I402" i="10"/>
  <c r="I402" i="11" s="1"/>
  <c r="H402" i="10"/>
  <c r="H402" i="11" s="1"/>
  <c r="L400" i="10"/>
  <c r="K400" i="10"/>
  <c r="K400" i="11" s="1"/>
  <c r="J400" i="10"/>
  <c r="J400" i="11" s="1"/>
  <c r="H400" i="10"/>
  <c r="H400" i="11" s="1"/>
  <c r="M399" i="10"/>
  <c r="L399" i="10"/>
  <c r="N399" i="10" s="1"/>
  <c r="K399" i="10"/>
  <c r="K399" i="11" s="1"/>
  <c r="J399" i="10"/>
  <c r="J399" i="11" s="1"/>
  <c r="H399" i="10"/>
  <c r="H399" i="11" s="1"/>
  <c r="K398" i="10"/>
  <c r="K398" i="11" s="1"/>
  <c r="J398" i="10"/>
  <c r="J398" i="11" s="1"/>
  <c r="H398" i="10"/>
  <c r="H398" i="11" s="1"/>
  <c r="L398" i="11" s="1"/>
  <c r="M398" i="11" s="1"/>
  <c r="K396" i="10"/>
  <c r="K396" i="11" s="1"/>
  <c r="J396" i="10"/>
  <c r="J396" i="11" s="1"/>
  <c r="H396" i="10"/>
  <c r="H396" i="11" s="1"/>
  <c r="K395" i="10"/>
  <c r="K395" i="11" s="1"/>
  <c r="J395" i="10"/>
  <c r="J395" i="11" s="1"/>
  <c r="H395" i="10"/>
  <c r="H395" i="11" s="1"/>
  <c r="L394" i="10"/>
  <c r="K394" i="10"/>
  <c r="K394" i="11" s="1"/>
  <c r="J394" i="10"/>
  <c r="J394" i="11" s="1"/>
  <c r="H394" i="10"/>
  <c r="H394" i="11" s="1"/>
  <c r="L394" i="11" s="1"/>
  <c r="M394" i="11" s="1"/>
  <c r="K393" i="10"/>
  <c r="K393" i="11" s="1"/>
  <c r="J393" i="10"/>
  <c r="J393" i="11" s="1"/>
  <c r="H393" i="10"/>
  <c r="H393" i="11" s="1"/>
  <c r="K392" i="10"/>
  <c r="K392" i="11" s="1"/>
  <c r="J392" i="10"/>
  <c r="J392" i="11" s="1"/>
  <c r="H392" i="10"/>
  <c r="H392" i="11" s="1"/>
  <c r="L391" i="10"/>
  <c r="K391" i="10"/>
  <c r="K391" i="11" s="1"/>
  <c r="J391" i="10"/>
  <c r="J391" i="11" s="1"/>
  <c r="H391" i="10"/>
  <c r="H391" i="11" s="1"/>
  <c r="K389" i="10"/>
  <c r="K389" i="11" s="1"/>
  <c r="J389" i="10"/>
  <c r="J389" i="11" s="1"/>
  <c r="I389" i="10"/>
  <c r="I389" i="11" s="1"/>
  <c r="H389" i="10"/>
  <c r="H389" i="11" s="1"/>
  <c r="L388" i="10"/>
  <c r="M388" i="10" s="1"/>
  <c r="K388" i="10"/>
  <c r="K388" i="11" s="1"/>
  <c r="J388" i="10"/>
  <c r="J388" i="11" s="1"/>
  <c r="I388" i="10"/>
  <c r="I388" i="11" s="1"/>
  <c r="H388" i="10"/>
  <c r="H388" i="11" s="1"/>
  <c r="L387" i="10"/>
  <c r="M387" i="10" s="1"/>
  <c r="N387" i="10" s="1"/>
  <c r="K387" i="10"/>
  <c r="K387" i="11" s="1"/>
  <c r="J387" i="10"/>
  <c r="J387" i="11" s="1"/>
  <c r="I387" i="10"/>
  <c r="I387" i="11" s="1"/>
  <c r="H387" i="10"/>
  <c r="H387" i="11" s="1"/>
  <c r="K386" i="10"/>
  <c r="K386" i="11" s="1"/>
  <c r="J386" i="10"/>
  <c r="J386" i="11" s="1"/>
  <c r="I386" i="10"/>
  <c r="I386" i="11" s="1"/>
  <c r="H386" i="10"/>
  <c r="H386" i="11" s="1"/>
  <c r="L386" i="11" s="1"/>
  <c r="M386" i="11" s="1"/>
  <c r="K385" i="10"/>
  <c r="K385" i="11" s="1"/>
  <c r="J385" i="10"/>
  <c r="J385" i="11" s="1"/>
  <c r="I385" i="10"/>
  <c r="I385" i="11" s="1"/>
  <c r="H385" i="10"/>
  <c r="H385" i="11" s="1"/>
  <c r="L384" i="10"/>
  <c r="M384" i="10" s="1"/>
  <c r="K384" i="10"/>
  <c r="K384" i="11" s="1"/>
  <c r="J384" i="10"/>
  <c r="J384" i="11" s="1"/>
  <c r="I384" i="10"/>
  <c r="I384" i="11" s="1"/>
  <c r="H384" i="10"/>
  <c r="H384" i="11" s="1"/>
  <c r="L383" i="10"/>
  <c r="M383" i="10" s="1"/>
  <c r="N383" i="10" s="1"/>
  <c r="K383" i="10"/>
  <c r="K383" i="11" s="1"/>
  <c r="J383" i="10"/>
  <c r="J383" i="11" s="1"/>
  <c r="I383" i="10"/>
  <c r="I383" i="11" s="1"/>
  <c r="H383" i="10"/>
  <c r="H383" i="11" s="1"/>
  <c r="K382" i="10"/>
  <c r="K382" i="11" s="1"/>
  <c r="J382" i="10"/>
  <c r="J382" i="11" s="1"/>
  <c r="I382" i="10"/>
  <c r="I382" i="11" s="1"/>
  <c r="H382" i="10"/>
  <c r="H382" i="11" s="1"/>
  <c r="L382" i="11" s="1"/>
  <c r="M382" i="11" s="1"/>
  <c r="K381" i="10"/>
  <c r="K381" i="11" s="1"/>
  <c r="J381" i="10"/>
  <c r="J381" i="11" s="1"/>
  <c r="I381" i="10"/>
  <c r="I381" i="11" s="1"/>
  <c r="H381" i="10"/>
  <c r="H381" i="11" s="1"/>
  <c r="L380" i="10"/>
  <c r="M380" i="10" s="1"/>
  <c r="K380" i="10"/>
  <c r="K380" i="11" s="1"/>
  <c r="J380" i="10"/>
  <c r="J380" i="11" s="1"/>
  <c r="I380" i="10"/>
  <c r="I380" i="11" s="1"/>
  <c r="H380" i="10"/>
  <c r="H380" i="11" s="1"/>
  <c r="L379" i="10"/>
  <c r="M379" i="10" s="1"/>
  <c r="N379" i="10" s="1"/>
  <c r="K379" i="10"/>
  <c r="K379" i="11" s="1"/>
  <c r="J379" i="10"/>
  <c r="J379" i="11" s="1"/>
  <c r="I379" i="10"/>
  <c r="I379" i="11" s="1"/>
  <c r="H379" i="10"/>
  <c r="H379" i="11" s="1"/>
  <c r="L379" i="11" s="1"/>
  <c r="M379" i="11" s="1"/>
  <c r="K378" i="10"/>
  <c r="K378" i="11" s="1"/>
  <c r="J378" i="10"/>
  <c r="J378" i="11" s="1"/>
  <c r="I378" i="10"/>
  <c r="I378" i="11" s="1"/>
  <c r="H378" i="10"/>
  <c r="H378" i="11" s="1"/>
  <c r="L378" i="11" s="1"/>
  <c r="M378" i="11" s="1"/>
  <c r="K377" i="10"/>
  <c r="K377" i="11" s="1"/>
  <c r="J377" i="10"/>
  <c r="J377" i="11" s="1"/>
  <c r="I377" i="10"/>
  <c r="I377" i="11" s="1"/>
  <c r="H377" i="10"/>
  <c r="H377" i="11" s="1"/>
  <c r="L376" i="10"/>
  <c r="M376" i="10" s="1"/>
  <c r="K376" i="10"/>
  <c r="K376" i="11" s="1"/>
  <c r="J376" i="10"/>
  <c r="J376" i="11" s="1"/>
  <c r="I376" i="10"/>
  <c r="I376" i="11" s="1"/>
  <c r="H376" i="10"/>
  <c r="H376" i="11" s="1"/>
  <c r="K375" i="10"/>
  <c r="K375" i="11" s="1"/>
  <c r="J375" i="10"/>
  <c r="J375" i="11" s="1"/>
  <c r="I375" i="10"/>
  <c r="I375" i="11" s="1"/>
  <c r="H375" i="10"/>
  <c r="H375" i="11" s="1"/>
  <c r="L375" i="11" s="1"/>
  <c r="M375" i="11" s="1"/>
  <c r="K374" i="10"/>
  <c r="K374" i="11" s="1"/>
  <c r="J374" i="10"/>
  <c r="J374" i="11" s="1"/>
  <c r="I374" i="10"/>
  <c r="I374" i="11" s="1"/>
  <c r="H374" i="10"/>
  <c r="H374" i="11" s="1"/>
  <c r="L374" i="11" s="1"/>
  <c r="M374" i="11" s="1"/>
  <c r="K373" i="10"/>
  <c r="K373" i="11" s="1"/>
  <c r="J373" i="10"/>
  <c r="J373" i="11" s="1"/>
  <c r="I373" i="10"/>
  <c r="I373" i="11" s="1"/>
  <c r="H373" i="10"/>
  <c r="H373" i="11" s="1"/>
  <c r="L372" i="10"/>
  <c r="M372" i="10" s="1"/>
  <c r="K372" i="10"/>
  <c r="K372" i="11" s="1"/>
  <c r="J372" i="10"/>
  <c r="J372" i="11" s="1"/>
  <c r="I372" i="10"/>
  <c r="I372" i="11" s="1"/>
  <c r="H372" i="10"/>
  <c r="H372" i="11" s="1"/>
  <c r="K371" i="10"/>
  <c r="K371" i="11" s="1"/>
  <c r="J371" i="10"/>
  <c r="J371" i="11" s="1"/>
  <c r="I371" i="10"/>
  <c r="I371" i="11" s="1"/>
  <c r="H371" i="10"/>
  <c r="H371" i="11" s="1"/>
  <c r="L371" i="11" s="1"/>
  <c r="M371" i="11" s="1"/>
  <c r="K370" i="10"/>
  <c r="K370" i="11" s="1"/>
  <c r="J370" i="10"/>
  <c r="J370" i="11" s="1"/>
  <c r="I370" i="10"/>
  <c r="I370" i="11" s="1"/>
  <c r="H370" i="10"/>
  <c r="H370" i="11" s="1"/>
  <c r="L370" i="11" s="1"/>
  <c r="M370" i="11" s="1"/>
  <c r="K369" i="10"/>
  <c r="K369" i="11" s="1"/>
  <c r="J369" i="10"/>
  <c r="J369" i="11" s="1"/>
  <c r="I369" i="10"/>
  <c r="I369" i="11" s="1"/>
  <c r="H369" i="10"/>
  <c r="H369" i="11" s="1"/>
  <c r="L368" i="10"/>
  <c r="M368" i="10" s="1"/>
  <c r="K368" i="10"/>
  <c r="K368" i="11" s="1"/>
  <c r="J368" i="10"/>
  <c r="J368" i="11" s="1"/>
  <c r="I368" i="10"/>
  <c r="I368" i="11" s="1"/>
  <c r="H368" i="10"/>
  <c r="H368" i="11" s="1"/>
  <c r="K367" i="10"/>
  <c r="K367" i="11" s="1"/>
  <c r="J367" i="10"/>
  <c r="J367" i="11" s="1"/>
  <c r="I367" i="10"/>
  <c r="I367" i="11" s="1"/>
  <c r="H367" i="10"/>
  <c r="H367" i="11" s="1"/>
  <c r="L367" i="11" s="1"/>
  <c r="M367" i="11" s="1"/>
  <c r="K366" i="10"/>
  <c r="K366" i="11" s="1"/>
  <c r="J366" i="10"/>
  <c r="J366" i="11" s="1"/>
  <c r="I366" i="10"/>
  <c r="I366" i="11" s="1"/>
  <c r="H366" i="10"/>
  <c r="H366" i="11" s="1"/>
  <c r="L366" i="11" s="1"/>
  <c r="M366" i="11" s="1"/>
  <c r="K365" i="10"/>
  <c r="K365" i="11" s="1"/>
  <c r="J365" i="10"/>
  <c r="J365" i="11" s="1"/>
  <c r="I365" i="10"/>
  <c r="I365" i="11" s="1"/>
  <c r="H365" i="10"/>
  <c r="H365" i="11" s="1"/>
  <c r="L364" i="10"/>
  <c r="M364" i="10" s="1"/>
  <c r="K364" i="10"/>
  <c r="K364" i="11" s="1"/>
  <c r="J364" i="10"/>
  <c r="J364" i="11" s="1"/>
  <c r="I364" i="10"/>
  <c r="I364" i="11" s="1"/>
  <c r="H364" i="10"/>
  <c r="H364" i="11" s="1"/>
  <c r="K363" i="10"/>
  <c r="K363" i="11" s="1"/>
  <c r="J363" i="10"/>
  <c r="J363" i="11" s="1"/>
  <c r="I363" i="10"/>
  <c r="I363" i="11" s="1"/>
  <c r="H363" i="10"/>
  <c r="H363" i="11" s="1"/>
  <c r="L363" i="11" s="1"/>
  <c r="M363" i="11" s="1"/>
  <c r="K362" i="10"/>
  <c r="K362" i="11" s="1"/>
  <c r="J362" i="10"/>
  <c r="J362" i="11" s="1"/>
  <c r="I362" i="10"/>
  <c r="I362" i="11" s="1"/>
  <c r="H362" i="10"/>
  <c r="H362" i="11" s="1"/>
  <c r="L362" i="11" s="1"/>
  <c r="M362" i="11" s="1"/>
  <c r="L361" i="10"/>
  <c r="K361" i="10"/>
  <c r="K361" i="11" s="1"/>
  <c r="J361" i="10"/>
  <c r="J361" i="11" s="1"/>
  <c r="I361" i="10"/>
  <c r="I361" i="11" s="1"/>
  <c r="H361" i="10"/>
  <c r="H361" i="11" s="1"/>
  <c r="K360" i="10"/>
  <c r="K360" i="11" s="1"/>
  <c r="J360" i="10"/>
  <c r="J360" i="11" s="1"/>
  <c r="I360" i="10"/>
  <c r="I360" i="11" s="1"/>
  <c r="H360" i="10"/>
  <c r="H360" i="11" s="1"/>
  <c r="K359" i="10"/>
  <c r="K359" i="11" s="1"/>
  <c r="J359" i="10"/>
  <c r="J359" i="11" s="1"/>
  <c r="I359" i="10"/>
  <c r="I359" i="11" s="1"/>
  <c r="H359" i="10"/>
  <c r="H359" i="11" s="1"/>
  <c r="L359" i="11" s="1"/>
  <c r="M359" i="11" s="1"/>
  <c r="K358" i="10"/>
  <c r="K358" i="11" s="1"/>
  <c r="J358" i="10"/>
  <c r="J358" i="11" s="1"/>
  <c r="I358" i="10"/>
  <c r="I358" i="11" s="1"/>
  <c r="H358" i="10"/>
  <c r="H358" i="11" s="1"/>
  <c r="L357" i="10"/>
  <c r="K357" i="10"/>
  <c r="K357" i="11" s="1"/>
  <c r="J357" i="10"/>
  <c r="J357" i="11" s="1"/>
  <c r="I357" i="10"/>
  <c r="I357" i="11" s="1"/>
  <c r="H357" i="10"/>
  <c r="H357" i="11" s="1"/>
  <c r="K356" i="10"/>
  <c r="K356" i="11" s="1"/>
  <c r="J356" i="10"/>
  <c r="J356" i="11" s="1"/>
  <c r="I356" i="10"/>
  <c r="I356" i="11" s="1"/>
  <c r="H356" i="10"/>
  <c r="H356" i="11" s="1"/>
  <c r="K355" i="10"/>
  <c r="K355" i="11" s="1"/>
  <c r="J355" i="10"/>
  <c r="J355" i="11" s="1"/>
  <c r="I355" i="10"/>
  <c r="I355" i="11" s="1"/>
  <c r="H355" i="10"/>
  <c r="H355" i="11" s="1"/>
  <c r="L355" i="11" s="1"/>
  <c r="M355" i="11" s="1"/>
  <c r="K354" i="10"/>
  <c r="K354" i="11" s="1"/>
  <c r="J354" i="10"/>
  <c r="J354" i="11" s="1"/>
  <c r="I354" i="10"/>
  <c r="I354" i="11" s="1"/>
  <c r="H354" i="10"/>
  <c r="H354" i="11" s="1"/>
  <c r="L353" i="10"/>
  <c r="K353" i="10"/>
  <c r="K353" i="11" s="1"/>
  <c r="J353" i="10"/>
  <c r="J353" i="11" s="1"/>
  <c r="I353" i="10"/>
  <c r="I353" i="11" s="1"/>
  <c r="H353" i="10"/>
  <c r="H353" i="11" s="1"/>
  <c r="K352" i="10"/>
  <c r="J352" i="10"/>
  <c r="J352" i="11" s="1"/>
  <c r="I352" i="10"/>
  <c r="I352" i="11" s="1"/>
  <c r="H352" i="10"/>
  <c r="H352" i="11" s="1"/>
  <c r="K351" i="10"/>
  <c r="K351" i="11" s="1"/>
  <c r="J351" i="10"/>
  <c r="J351" i="11" s="1"/>
  <c r="I351" i="10"/>
  <c r="I351" i="11" s="1"/>
  <c r="H351" i="10"/>
  <c r="H351" i="11" s="1"/>
  <c r="L351" i="11" s="1"/>
  <c r="M351" i="11" s="1"/>
  <c r="K350" i="10"/>
  <c r="K350" i="11" s="1"/>
  <c r="J350" i="10"/>
  <c r="J350" i="11" s="1"/>
  <c r="I350" i="10"/>
  <c r="I350" i="11" s="1"/>
  <c r="H350" i="10"/>
  <c r="H350" i="11" s="1"/>
  <c r="K349" i="10"/>
  <c r="K349" i="11" s="1"/>
  <c r="J349" i="10"/>
  <c r="J349" i="11" s="1"/>
  <c r="I349" i="10"/>
  <c r="I349" i="11" s="1"/>
  <c r="H349" i="10"/>
  <c r="H349" i="11" s="1"/>
  <c r="K348" i="10"/>
  <c r="J348" i="10"/>
  <c r="J348" i="11" s="1"/>
  <c r="I348" i="10"/>
  <c r="I348" i="11" s="1"/>
  <c r="H348" i="10"/>
  <c r="H348" i="11" s="1"/>
  <c r="K347" i="10"/>
  <c r="K347" i="11" s="1"/>
  <c r="J347" i="10"/>
  <c r="J347" i="11" s="1"/>
  <c r="I347" i="10"/>
  <c r="I347" i="11" s="1"/>
  <c r="H347" i="10"/>
  <c r="K346" i="10"/>
  <c r="K346" i="11" s="1"/>
  <c r="J346" i="10"/>
  <c r="J346" i="11" s="1"/>
  <c r="I346" i="10"/>
  <c r="I346" i="11" s="1"/>
  <c r="H346" i="10"/>
  <c r="H346" i="11" s="1"/>
  <c r="L345" i="10"/>
  <c r="K345" i="10"/>
  <c r="K345" i="11" s="1"/>
  <c r="J345" i="10"/>
  <c r="J345" i="11" s="1"/>
  <c r="I345" i="10"/>
  <c r="I345" i="11" s="1"/>
  <c r="H345" i="10"/>
  <c r="H345" i="11" s="1"/>
  <c r="L344" i="10"/>
  <c r="M344" i="10" s="1"/>
  <c r="K344" i="10"/>
  <c r="K344" i="11" s="1"/>
  <c r="J344" i="10"/>
  <c r="J344" i="11" s="1"/>
  <c r="I344" i="10"/>
  <c r="I344" i="11" s="1"/>
  <c r="H344" i="10"/>
  <c r="H344" i="11" s="1"/>
  <c r="K343" i="10"/>
  <c r="K343" i="11" s="1"/>
  <c r="J343" i="10"/>
  <c r="J343" i="11" s="1"/>
  <c r="I343" i="10"/>
  <c r="I343" i="11" s="1"/>
  <c r="H343" i="10"/>
  <c r="K342" i="10"/>
  <c r="K342" i="11" s="1"/>
  <c r="J342" i="10"/>
  <c r="J342" i="11" s="1"/>
  <c r="I342" i="10"/>
  <c r="I342" i="11" s="1"/>
  <c r="H342" i="10"/>
  <c r="K341" i="10"/>
  <c r="K341" i="11" s="1"/>
  <c r="J341" i="10"/>
  <c r="J341" i="11" s="1"/>
  <c r="I341" i="10"/>
  <c r="I341" i="11" s="1"/>
  <c r="H341" i="10"/>
  <c r="H341" i="11" s="1"/>
  <c r="K340" i="10"/>
  <c r="K340" i="11" s="1"/>
  <c r="J340" i="10"/>
  <c r="J340" i="11" s="1"/>
  <c r="I340" i="10"/>
  <c r="I340" i="11" s="1"/>
  <c r="H340" i="10"/>
  <c r="H340" i="11" s="1"/>
  <c r="K339" i="10"/>
  <c r="K339" i="11" s="1"/>
  <c r="J339" i="10"/>
  <c r="J339" i="11" s="1"/>
  <c r="I339" i="10"/>
  <c r="I339" i="11" s="1"/>
  <c r="H339" i="10"/>
  <c r="K338" i="10"/>
  <c r="K338" i="11" s="1"/>
  <c r="J338" i="10"/>
  <c r="J338" i="11" s="1"/>
  <c r="I338" i="10"/>
  <c r="I338" i="11" s="1"/>
  <c r="H338" i="10"/>
  <c r="K337" i="10"/>
  <c r="K337" i="11" s="1"/>
  <c r="J337" i="10"/>
  <c r="J337" i="11" s="1"/>
  <c r="I337" i="10"/>
  <c r="I337" i="11" s="1"/>
  <c r="H337" i="10"/>
  <c r="H337" i="11" s="1"/>
  <c r="L336" i="10"/>
  <c r="M336" i="10" s="1"/>
  <c r="K336" i="10"/>
  <c r="K336" i="11" s="1"/>
  <c r="J336" i="10"/>
  <c r="J336" i="11" s="1"/>
  <c r="I336" i="10"/>
  <c r="I336" i="11" s="1"/>
  <c r="H336" i="10"/>
  <c r="H336" i="11" s="1"/>
  <c r="K335" i="10"/>
  <c r="K335" i="11" s="1"/>
  <c r="J335" i="10"/>
  <c r="J335" i="11" s="1"/>
  <c r="I335" i="10"/>
  <c r="I335" i="11" s="1"/>
  <c r="H335" i="10"/>
  <c r="K334" i="10"/>
  <c r="K334" i="11" s="1"/>
  <c r="J334" i="10"/>
  <c r="J334" i="11" s="1"/>
  <c r="I334" i="10"/>
  <c r="I334" i="11" s="1"/>
  <c r="H334" i="10"/>
  <c r="K333" i="10"/>
  <c r="K333" i="11" s="1"/>
  <c r="J333" i="10"/>
  <c r="J333" i="11" s="1"/>
  <c r="I333" i="10"/>
  <c r="I333" i="11" s="1"/>
  <c r="H333" i="10"/>
  <c r="H333" i="11" s="1"/>
  <c r="K332" i="10"/>
  <c r="K332" i="11" s="1"/>
  <c r="J332" i="10"/>
  <c r="J332" i="11" s="1"/>
  <c r="I332" i="10"/>
  <c r="I332" i="11" s="1"/>
  <c r="H332" i="10"/>
  <c r="H332" i="11" s="1"/>
  <c r="M331" i="10"/>
  <c r="L331" i="10"/>
  <c r="N331" i="10" s="1"/>
  <c r="K331" i="10"/>
  <c r="K331" i="11" s="1"/>
  <c r="J331" i="10"/>
  <c r="J331" i="11" s="1"/>
  <c r="I331" i="10"/>
  <c r="I331" i="11" s="1"/>
  <c r="H331" i="10"/>
  <c r="H331" i="11" s="1"/>
  <c r="K330" i="10"/>
  <c r="K330" i="11" s="1"/>
  <c r="J330" i="10"/>
  <c r="J330" i="11" s="1"/>
  <c r="I330" i="10"/>
  <c r="I330" i="11" s="1"/>
  <c r="H330" i="10"/>
  <c r="K329" i="10"/>
  <c r="K329" i="11" s="1"/>
  <c r="J329" i="10"/>
  <c r="J329" i="11" s="1"/>
  <c r="I329" i="10"/>
  <c r="I329" i="11" s="1"/>
  <c r="H329" i="10"/>
  <c r="H329" i="11" s="1"/>
  <c r="K328" i="10"/>
  <c r="K328" i="11" s="1"/>
  <c r="J328" i="10"/>
  <c r="J328" i="11" s="1"/>
  <c r="I328" i="10"/>
  <c r="I328" i="11" s="1"/>
  <c r="H328" i="10"/>
  <c r="H328" i="11" s="1"/>
  <c r="L327" i="10"/>
  <c r="K327" i="10"/>
  <c r="K327" i="11" s="1"/>
  <c r="J327" i="10"/>
  <c r="J327" i="11" s="1"/>
  <c r="I327" i="10"/>
  <c r="I327" i="11" s="1"/>
  <c r="H327" i="10"/>
  <c r="H327" i="11" s="1"/>
  <c r="L327" i="11" s="1"/>
  <c r="M327" i="11" s="1"/>
  <c r="K326" i="10"/>
  <c r="K326" i="11" s="1"/>
  <c r="J326" i="10"/>
  <c r="J326" i="11" s="1"/>
  <c r="I326" i="10"/>
  <c r="I326" i="11" s="1"/>
  <c r="H326" i="10"/>
  <c r="L325" i="10"/>
  <c r="K325" i="10"/>
  <c r="K325" i="11" s="1"/>
  <c r="J325" i="10"/>
  <c r="J325" i="11" s="1"/>
  <c r="I325" i="10"/>
  <c r="I325" i="11" s="1"/>
  <c r="H325" i="10"/>
  <c r="H325" i="11" s="1"/>
  <c r="K324" i="10"/>
  <c r="K324" i="11" s="1"/>
  <c r="J324" i="10"/>
  <c r="J324" i="11" s="1"/>
  <c r="I324" i="10"/>
  <c r="I324" i="11" s="1"/>
  <c r="H324" i="10"/>
  <c r="H324" i="11" s="1"/>
  <c r="K323" i="10"/>
  <c r="K323" i="11" s="1"/>
  <c r="J323" i="10"/>
  <c r="J323" i="11" s="1"/>
  <c r="I323" i="10"/>
  <c r="I323" i="11" s="1"/>
  <c r="H323" i="10"/>
  <c r="H323" i="11" s="1"/>
  <c r="K322" i="10"/>
  <c r="K322" i="11" s="1"/>
  <c r="J322" i="10"/>
  <c r="J322" i="11" s="1"/>
  <c r="I322" i="10"/>
  <c r="I322" i="11" s="1"/>
  <c r="H322" i="10"/>
  <c r="H322" i="11" s="1"/>
  <c r="K321" i="10"/>
  <c r="K321" i="11" s="1"/>
  <c r="J321" i="10"/>
  <c r="J321" i="11" s="1"/>
  <c r="I321" i="10"/>
  <c r="I321" i="11" s="1"/>
  <c r="H321" i="10"/>
  <c r="H321" i="11" s="1"/>
  <c r="L321" i="11" s="1"/>
  <c r="M321" i="11" s="1"/>
  <c r="K320" i="10"/>
  <c r="K320" i="11" s="1"/>
  <c r="J320" i="10"/>
  <c r="J320" i="11" s="1"/>
  <c r="I320" i="10"/>
  <c r="I320" i="11" s="1"/>
  <c r="H320" i="10"/>
  <c r="H320" i="11" s="1"/>
  <c r="K319" i="10"/>
  <c r="K319" i="11" s="1"/>
  <c r="J319" i="10"/>
  <c r="J319" i="11" s="1"/>
  <c r="I319" i="10"/>
  <c r="I319" i="11" s="1"/>
  <c r="H319" i="10"/>
  <c r="H319" i="11" s="1"/>
  <c r="K318" i="10"/>
  <c r="K318" i="11" s="1"/>
  <c r="J318" i="10"/>
  <c r="J318" i="11" s="1"/>
  <c r="I318" i="10"/>
  <c r="I318" i="11" s="1"/>
  <c r="H318" i="10"/>
  <c r="H318" i="11" s="1"/>
  <c r="K317" i="10"/>
  <c r="K317" i="11" s="1"/>
  <c r="J317" i="10"/>
  <c r="J317" i="11" s="1"/>
  <c r="I317" i="10"/>
  <c r="I317" i="11" s="1"/>
  <c r="H317" i="10"/>
  <c r="H317" i="11" s="1"/>
  <c r="L317" i="11" s="1"/>
  <c r="M317" i="11" s="1"/>
  <c r="K316" i="10"/>
  <c r="K316" i="11" s="1"/>
  <c r="J316" i="10"/>
  <c r="J316" i="11" s="1"/>
  <c r="I316" i="10"/>
  <c r="I316" i="11" s="1"/>
  <c r="H316" i="10"/>
  <c r="H316" i="11" s="1"/>
  <c r="K315" i="10"/>
  <c r="K315" i="11" s="1"/>
  <c r="J315" i="10"/>
  <c r="J315" i="11" s="1"/>
  <c r="I315" i="10"/>
  <c r="I315" i="11" s="1"/>
  <c r="H315" i="10"/>
  <c r="H315" i="11" s="1"/>
  <c r="K314" i="10"/>
  <c r="K314" i="11" s="1"/>
  <c r="J314" i="10"/>
  <c r="J314" i="11" s="1"/>
  <c r="I314" i="10"/>
  <c r="I314" i="11" s="1"/>
  <c r="H314" i="10"/>
  <c r="H314" i="11" s="1"/>
  <c r="K313" i="10"/>
  <c r="K313" i="11" s="1"/>
  <c r="J313" i="10"/>
  <c r="J313" i="11" s="1"/>
  <c r="I313" i="10"/>
  <c r="I313" i="11" s="1"/>
  <c r="H313" i="10"/>
  <c r="H313" i="11" s="1"/>
  <c r="L313" i="11" s="1"/>
  <c r="M313" i="11" s="1"/>
  <c r="K312" i="10"/>
  <c r="K312" i="11" s="1"/>
  <c r="J312" i="10"/>
  <c r="J312" i="11" s="1"/>
  <c r="I312" i="10"/>
  <c r="I312" i="11" s="1"/>
  <c r="H312" i="10"/>
  <c r="H312" i="11" s="1"/>
  <c r="K311" i="10"/>
  <c r="K311" i="11" s="1"/>
  <c r="J311" i="10"/>
  <c r="J311" i="11" s="1"/>
  <c r="I311" i="10"/>
  <c r="I311" i="11" s="1"/>
  <c r="H311" i="10"/>
  <c r="H311" i="11" s="1"/>
  <c r="K310" i="10"/>
  <c r="K310" i="11" s="1"/>
  <c r="J310" i="10"/>
  <c r="J310" i="11" s="1"/>
  <c r="I310" i="10"/>
  <c r="I310" i="11" s="1"/>
  <c r="H310" i="10"/>
  <c r="H310" i="11" s="1"/>
  <c r="K309" i="10"/>
  <c r="K309" i="11" s="1"/>
  <c r="J309" i="10"/>
  <c r="J309" i="11" s="1"/>
  <c r="I309" i="10"/>
  <c r="I309" i="11" s="1"/>
  <c r="H309" i="10"/>
  <c r="H309" i="11" s="1"/>
  <c r="L309" i="11" s="1"/>
  <c r="M309" i="11" s="1"/>
  <c r="K308" i="10"/>
  <c r="K308" i="11" s="1"/>
  <c r="J308" i="10"/>
  <c r="J308" i="11" s="1"/>
  <c r="I308" i="10"/>
  <c r="I308" i="11" s="1"/>
  <c r="H308" i="10"/>
  <c r="H308" i="11" s="1"/>
  <c r="L308" i="11" s="1"/>
  <c r="M308" i="11" s="1"/>
  <c r="K307" i="10"/>
  <c r="K307" i="11" s="1"/>
  <c r="J307" i="10"/>
  <c r="J307" i="11" s="1"/>
  <c r="I307" i="10"/>
  <c r="I307" i="11" s="1"/>
  <c r="H307" i="10"/>
  <c r="H307" i="11" s="1"/>
  <c r="K306" i="10"/>
  <c r="K306" i="11" s="1"/>
  <c r="J306" i="10"/>
  <c r="J306" i="11" s="1"/>
  <c r="I306" i="10"/>
  <c r="I306" i="11" s="1"/>
  <c r="H306" i="10"/>
  <c r="H306" i="11" s="1"/>
  <c r="K305" i="10"/>
  <c r="K305" i="11" s="1"/>
  <c r="J305" i="10"/>
  <c r="J305" i="11" s="1"/>
  <c r="I305" i="10"/>
  <c r="I305" i="11" s="1"/>
  <c r="H305" i="10"/>
  <c r="H305" i="11" s="1"/>
  <c r="L305" i="11" s="1"/>
  <c r="M305" i="11" s="1"/>
  <c r="K304" i="10"/>
  <c r="K304" i="11" s="1"/>
  <c r="J304" i="10"/>
  <c r="J304" i="11" s="1"/>
  <c r="I304" i="10"/>
  <c r="I304" i="11" s="1"/>
  <c r="H304" i="10"/>
  <c r="H304" i="11" s="1"/>
  <c r="L304" i="11" s="1"/>
  <c r="M304" i="11" s="1"/>
  <c r="K303" i="10"/>
  <c r="K303" i="11" s="1"/>
  <c r="J303" i="10"/>
  <c r="J303" i="11" s="1"/>
  <c r="I303" i="10"/>
  <c r="I303" i="11" s="1"/>
  <c r="H303" i="10"/>
  <c r="H303" i="11" s="1"/>
  <c r="K302" i="10"/>
  <c r="K302" i="11" s="1"/>
  <c r="J302" i="10"/>
  <c r="J302" i="11" s="1"/>
  <c r="I302" i="10"/>
  <c r="I302" i="11" s="1"/>
  <c r="H302" i="10"/>
  <c r="H302" i="11" s="1"/>
  <c r="K300" i="10"/>
  <c r="K300" i="11" s="1"/>
  <c r="J300" i="10"/>
  <c r="J300" i="11" s="1"/>
  <c r="I300" i="10"/>
  <c r="I300" i="11" s="1"/>
  <c r="H300" i="10"/>
  <c r="H300" i="11" s="1"/>
  <c r="L300" i="11" s="1"/>
  <c r="M300" i="11" s="1"/>
  <c r="K299" i="10"/>
  <c r="K299" i="11" s="1"/>
  <c r="J299" i="10"/>
  <c r="J299" i="11" s="1"/>
  <c r="I299" i="10"/>
  <c r="I299" i="11" s="1"/>
  <c r="H299" i="10"/>
  <c r="H299" i="11" s="1"/>
  <c r="L299" i="11" s="1"/>
  <c r="M299" i="11" s="1"/>
  <c r="K298" i="10"/>
  <c r="K298" i="11" s="1"/>
  <c r="J298" i="10"/>
  <c r="J298" i="11" s="1"/>
  <c r="I298" i="10"/>
  <c r="I298" i="11" s="1"/>
  <c r="H298" i="10"/>
  <c r="H298" i="11" s="1"/>
  <c r="K297" i="10"/>
  <c r="K297" i="11" s="1"/>
  <c r="J297" i="10"/>
  <c r="J297" i="11" s="1"/>
  <c r="I297" i="10"/>
  <c r="I297" i="11" s="1"/>
  <c r="H297" i="10"/>
  <c r="H297" i="11" s="1"/>
  <c r="K296" i="10"/>
  <c r="K296" i="11" s="1"/>
  <c r="J296" i="10"/>
  <c r="J296" i="11" s="1"/>
  <c r="I296" i="10"/>
  <c r="I296" i="11" s="1"/>
  <c r="H296" i="10"/>
  <c r="H296" i="11" s="1"/>
  <c r="L296" i="11" s="1"/>
  <c r="M296" i="11" s="1"/>
  <c r="K295" i="10"/>
  <c r="K295" i="11" s="1"/>
  <c r="J295" i="10"/>
  <c r="J295" i="11" s="1"/>
  <c r="I295" i="10"/>
  <c r="I295" i="11" s="1"/>
  <c r="H295" i="10"/>
  <c r="H295" i="11" s="1"/>
  <c r="L295" i="11" s="1"/>
  <c r="M295" i="11" s="1"/>
  <c r="K294" i="10"/>
  <c r="K294" i="11" s="1"/>
  <c r="J294" i="10"/>
  <c r="J294" i="11" s="1"/>
  <c r="I294" i="10"/>
  <c r="I294" i="11" s="1"/>
  <c r="H294" i="10"/>
  <c r="H294" i="11" s="1"/>
  <c r="K293" i="10"/>
  <c r="K293" i="11" s="1"/>
  <c r="J293" i="10"/>
  <c r="J293" i="11" s="1"/>
  <c r="I293" i="10"/>
  <c r="I293" i="11" s="1"/>
  <c r="H293" i="10"/>
  <c r="H293" i="11" s="1"/>
  <c r="K292" i="10"/>
  <c r="K292" i="11" s="1"/>
  <c r="J292" i="10"/>
  <c r="J292" i="11" s="1"/>
  <c r="I292" i="10"/>
  <c r="I292" i="11" s="1"/>
  <c r="H292" i="10"/>
  <c r="H292" i="11" s="1"/>
  <c r="L292" i="11" s="1"/>
  <c r="M292" i="11" s="1"/>
  <c r="K291" i="10"/>
  <c r="K291" i="11" s="1"/>
  <c r="J291" i="10"/>
  <c r="J291" i="11" s="1"/>
  <c r="I291" i="10"/>
  <c r="I291" i="11" s="1"/>
  <c r="H291" i="10"/>
  <c r="H291" i="11" s="1"/>
  <c r="L291" i="11" s="1"/>
  <c r="M291" i="11" s="1"/>
  <c r="K290" i="10"/>
  <c r="K290" i="11" s="1"/>
  <c r="J290" i="10"/>
  <c r="J290" i="11" s="1"/>
  <c r="I290" i="10"/>
  <c r="I290" i="11" s="1"/>
  <c r="H290" i="10"/>
  <c r="H290" i="11" s="1"/>
  <c r="K289" i="10"/>
  <c r="K289" i="11" s="1"/>
  <c r="J289" i="10"/>
  <c r="J289" i="11" s="1"/>
  <c r="I289" i="10"/>
  <c r="I289" i="11" s="1"/>
  <c r="H289" i="10"/>
  <c r="H289" i="11" s="1"/>
  <c r="K288" i="10"/>
  <c r="K288" i="11" s="1"/>
  <c r="J288" i="10"/>
  <c r="J288" i="11" s="1"/>
  <c r="I288" i="10"/>
  <c r="I288" i="11" s="1"/>
  <c r="H288" i="10"/>
  <c r="H288" i="11" s="1"/>
  <c r="L288" i="11" s="1"/>
  <c r="M288" i="11" s="1"/>
  <c r="K286" i="10"/>
  <c r="K286" i="11" s="1"/>
  <c r="J286" i="10"/>
  <c r="J286" i="11" s="1"/>
  <c r="I286" i="10"/>
  <c r="I286" i="11" s="1"/>
  <c r="H286" i="10"/>
  <c r="H286" i="11" s="1"/>
  <c r="L286" i="11" s="1"/>
  <c r="M286" i="11" s="1"/>
  <c r="K285" i="10"/>
  <c r="K285" i="11" s="1"/>
  <c r="J285" i="10"/>
  <c r="J285" i="11" s="1"/>
  <c r="I285" i="10"/>
  <c r="I285" i="11" s="1"/>
  <c r="H285" i="10"/>
  <c r="H285" i="11" s="1"/>
  <c r="K284" i="10"/>
  <c r="K284" i="11" s="1"/>
  <c r="J284" i="10"/>
  <c r="J284" i="11" s="1"/>
  <c r="I284" i="10"/>
  <c r="I284" i="11" s="1"/>
  <c r="H284" i="10"/>
  <c r="H284" i="11" s="1"/>
  <c r="K283" i="10"/>
  <c r="K283" i="11" s="1"/>
  <c r="J283" i="10"/>
  <c r="J283" i="11" s="1"/>
  <c r="I283" i="10"/>
  <c r="I283" i="11" s="1"/>
  <c r="H283" i="10"/>
  <c r="H283" i="11" s="1"/>
  <c r="L283" i="11" s="1"/>
  <c r="M283" i="11" s="1"/>
  <c r="K282" i="10"/>
  <c r="K282" i="11" s="1"/>
  <c r="J282" i="10"/>
  <c r="J282" i="11" s="1"/>
  <c r="I282" i="10"/>
  <c r="I282" i="11" s="1"/>
  <c r="H282" i="10"/>
  <c r="H282" i="11" s="1"/>
  <c r="L282" i="11" s="1"/>
  <c r="M282" i="11" s="1"/>
  <c r="K281" i="10"/>
  <c r="K281" i="11" s="1"/>
  <c r="J281" i="10"/>
  <c r="J281" i="11" s="1"/>
  <c r="I281" i="10"/>
  <c r="I281" i="11" s="1"/>
  <c r="H281" i="10"/>
  <c r="H281" i="11" s="1"/>
  <c r="K280" i="10"/>
  <c r="K280" i="11" s="1"/>
  <c r="J280" i="10"/>
  <c r="J280" i="11" s="1"/>
  <c r="I280" i="10"/>
  <c r="I280" i="11" s="1"/>
  <c r="H280" i="10"/>
  <c r="H280" i="11" s="1"/>
  <c r="K279" i="10"/>
  <c r="K279" i="11" s="1"/>
  <c r="J279" i="10"/>
  <c r="J279" i="11" s="1"/>
  <c r="I279" i="10"/>
  <c r="I279" i="11" s="1"/>
  <c r="H279" i="10"/>
  <c r="H279" i="11" s="1"/>
  <c r="L279" i="11" s="1"/>
  <c r="M279" i="11" s="1"/>
  <c r="K278" i="10"/>
  <c r="K278" i="11" s="1"/>
  <c r="J278" i="10"/>
  <c r="J278" i="11" s="1"/>
  <c r="I278" i="10"/>
  <c r="I278" i="11" s="1"/>
  <c r="H278" i="10"/>
  <c r="H278" i="11" s="1"/>
  <c r="L278" i="11" s="1"/>
  <c r="M278" i="11" s="1"/>
  <c r="K277" i="10"/>
  <c r="K277" i="11" s="1"/>
  <c r="J277" i="10"/>
  <c r="J277" i="11" s="1"/>
  <c r="I277" i="10"/>
  <c r="I277" i="11" s="1"/>
  <c r="H277" i="10"/>
  <c r="H277" i="11" s="1"/>
  <c r="K276" i="10"/>
  <c r="K276" i="11" s="1"/>
  <c r="J276" i="10"/>
  <c r="J276" i="11" s="1"/>
  <c r="I276" i="10"/>
  <c r="I276" i="11" s="1"/>
  <c r="H276" i="10"/>
  <c r="H276" i="11" s="1"/>
  <c r="K274" i="10"/>
  <c r="K274" i="11" s="1"/>
  <c r="J274" i="10"/>
  <c r="J274" i="11" s="1"/>
  <c r="I274" i="10"/>
  <c r="I274" i="11" s="1"/>
  <c r="H274" i="10"/>
  <c r="H274" i="11" s="1"/>
  <c r="L274" i="11" s="1"/>
  <c r="M274" i="11" s="1"/>
  <c r="K273" i="10"/>
  <c r="K273" i="11" s="1"/>
  <c r="J273" i="10"/>
  <c r="J273" i="11" s="1"/>
  <c r="I273" i="10"/>
  <c r="I273" i="11" s="1"/>
  <c r="H273" i="10"/>
  <c r="H273" i="11" s="1"/>
  <c r="L273" i="11" s="1"/>
  <c r="M273" i="11" s="1"/>
  <c r="K272" i="10"/>
  <c r="K272" i="11" s="1"/>
  <c r="J272" i="10"/>
  <c r="J272" i="11" s="1"/>
  <c r="I272" i="10"/>
  <c r="I272" i="11" s="1"/>
  <c r="H272" i="10"/>
  <c r="H272" i="11" s="1"/>
  <c r="K270" i="10"/>
  <c r="K270" i="11" s="1"/>
  <c r="J270" i="10"/>
  <c r="J270" i="11" s="1"/>
  <c r="I270" i="10"/>
  <c r="I270" i="11" s="1"/>
  <c r="H270" i="10"/>
  <c r="H270" i="11" s="1"/>
  <c r="K269" i="10"/>
  <c r="K269" i="11" s="1"/>
  <c r="J269" i="10"/>
  <c r="J269" i="11" s="1"/>
  <c r="I269" i="10"/>
  <c r="I269" i="11" s="1"/>
  <c r="H269" i="10"/>
  <c r="H269" i="11" s="1"/>
  <c r="K268" i="10"/>
  <c r="K268" i="11" s="1"/>
  <c r="J268" i="10"/>
  <c r="J268" i="11" s="1"/>
  <c r="I268" i="10"/>
  <c r="I268" i="11" s="1"/>
  <c r="H268" i="10"/>
  <c r="H268" i="11" s="1"/>
  <c r="L268" i="11" s="1"/>
  <c r="M268" i="11" s="1"/>
  <c r="K267" i="10"/>
  <c r="K267" i="11" s="1"/>
  <c r="J267" i="10"/>
  <c r="J267" i="11" s="1"/>
  <c r="I267" i="10"/>
  <c r="I267" i="11" s="1"/>
  <c r="H267" i="10"/>
  <c r="H267" i="11" s="1"/>
  <c r="K266" i="10"/>
  <c r="K266" i="11" s="1"/>
  <c r="J266" i="10"/>
  <c r="J266" i="11" s="1"/>
  <c r="I266" i="10"/>
  <c r="I266" i="11" s="1"/>
  <c r="H266" i="10"/>
  <c r="H266" i="11" s="1"/>
  <c r="K265" i="10"/>
  <c r="K265" i="11" s="1"/>
  <c r="J265" i="10"/>
  <c r="J265" i="11" s="1"/>
  <c r="I265" i="10"/>
  <c r="I265" i="11" s="1"/>
  <c r="H265" i="10"/>
  <c r="H265" i="11" s="1"/>
  <c r="L264" i="10"/>
  <c r="K264" i="10"/>
  <c r="K264" i="11" s="1"/>
  <c r="J264" i="10"/>
  <c r="J264" i="11" s="1"/>
  <c r="I264" i="10"/>
  <c r="I264" i="11" s="1"/>
  <c r="H264" i="10"/>
  <c r="H264" i="11" s="1"/>
  <c r="L264" i="11" s="1"/>
  <c r="M264" i="11" s="1"/>
  <c r="K263" i="10"/>
  <c r="K263" i="11" s="1"/>
  <c r="J263" i="10"/>
  <c r="J263" i="11" s="1"/>
  <c r="I263" i="10"/>
  <c r="I263" i="11" s="1"/>
  <c r="H263" i="10"/>
  <c r="H263" i="11" s="1"/>
  <c r="K262" i="10"/>
  <c r="K262" i="11" s="1"/>
  <c r="J262" i="10"/>
  <c r="J262" i="11" s="1"/>
  <c r="I262" i="10"/>
  <c r="I262" i="11" s="1"/>
  <c r="H262" i="10"/>
  <c r="H262" i="11" s="1"/>
  <c r="K261" i="10"/>
  <c r="K261" i="11" s="1"/>
  <c r="J261" i="10"/>
  <c r="J261" i="11" s="1"/>
  <c r="I261" i="10"/>
  <c r="I261" i="11" s="1"/>
  <c r="H261" i="10"/>
  <c r="H261" i="11" s="1"/>
  <c r="L260" i="10"/>
  <c r="K260" i="10"/>
  <c r="K260" i="11" s="1"/>
  <c r="J260" i="10"/>
  <c r="J260" i="11" s="1"/>
  <c r="I260" i="10"/>
  <c r="I260" i="11" s="1"/>
  <c r="H260" i="10"/>
  <c r="H260" i="11" s="1"/>
  <c r="K259" i="10"/>
  <c r="K259" i="11" s="1"/>
  <c r="J259" i="10"/>
  <c r="J259" i="11" s="1"/>
  <c r="I259" i="10"/>
  <c r="I259" i="11" s="1"/>
  <c r="H259" i="10"/>
  <c r="H259" i="11" s="1"/>
  <c r="K258" i="10"/>
  <c r="K258" i="11" s="1"/>
  <c r="J258" i="10"/>
  <c r="J258" i="11" s="1"/>
  <c r="I258" i="10"/>
  <c r="I258" i="11" s="1"/>
  <c r="H258" i="10"/>
  <c r="H258" i="11" s="1"/>
  <c r="K257" i="10"/>
  <c r="K257" i="11" s="1"/>
  <c r="J257" i="10"/>
  <c r="J257" i="11" s="1"/>
  <c r="I257" i="10"/>
  <c r="I257" i="11" s="1"/>
  <c r="H257" i="10"/>
  <c r="H257" i="11" s="1"/>
  <c r="L256" i="10"/>
  <c r="K256" i="10"/>
  <c r="K256" i="11" s="1"/>
  <c r="J256" i="10"/>
  <c r="J256" i="11" s="1"/>
  <c r="I256" i="10"/>
  <c r="I256" i="11" s="1"/>
  <c r="H256" i="10"/>
  <c r="H256" i="11" s="1"/>
  <c r="K255" i="10"/>
  <c r="K255" i="11" s="1"/>
  <c r="J255" i="10"/>
  <c r="J255" i="11" s="1"/>
  <c r="I255" i="10"/>
  <c r="I255" i="11" s="1"/>
  <c r="H255" i="10"/>
  <c r="H255" i="11" s="1"/>
  <c r="K254" i="10"/>
  <c r="K254" i="11" s="1"/>
  <c r="J254" i="10"/>
  <c r="J254" i="11" s="1"/>
  <c r="I254" i="10"/>
  <c r="I254" i="11" s="1"/>
  <c r="H254" i="10"/>
  <c r="H254" i="11" s="1"/>
  <c r="K253" i="10"/>
  <c r="K253" i="11" s="1"/>
  <c r="J253" i="10"/>
  <c r="J253" i="11" s="1"/>
  <c r="I253" i="10"/>
  <c r="I253" i="11" s="1"/>
  <c r="H253" i="10"/>
  <c r="H253" i="11" s="1"/>
  <c r="L252" i="10"/>
  <c r="K252" i="10"/>
  <c r="K252" i="11" s="1"/>
  <c r="J252" i="10"/>
  <c r="J252" i="11" s="1"/>
  <c r="I252" i="10"/>
  <c r="I252" i="11" s="1"/>
  <c r="H252" i="10"/>
  <c r="H252" i="11" s="1"/>
  <c r="K251" i="10"/>
  <c r="K251" i="11" s="1"/>
  <c r="J251" i="10"/>
  <c r="J251" i="11" s="1"/>
  <c r="I251" i="10"/>
  <c r="I251" i="11" s="1"/>
  <c r="H251" i="10"/>
  <c r="H251" i="11" s="1"/>
  <c r="K250" i="10"/>
  <c r="K250" i="11" s="1"/>
  <c r="J250" i="10"/>
  <c r="J250" i="11" s="1"/>
  <c r="I250" i="10"/>
  <c r="I250" i="11" s="1"/>
  <c r="H250" i="10"/>
  <c r="H250" i="11" s="1"/>
  <c r="K249" i="10"/>
  <c r="K249" i="11" s="1"/>
  <c r="J249" i="10"/>
  <c r="J249" i="11" s="1"/>
  <c r="I249" i="10"/>
  <c r="I249" i="11" s="1"/>
  <c r="H249" i="10"/>
  <c r="H249" i="11" s="1"/>
  <c r="L248" i="10"/>
  <c r="K248" i="10"/>
  <c r="K248" i="11" s="1"/>
  <c r="J248" i="10"/>
  <c r="J248" i="11" s="1"/>
  <c r="I248" i="10"/>
  <c r="I248" i="11" s="1"/>
  <c r="H248" i="10"/>
  <c r="H248" i="11" s="1"/>
  <c r="K247" i="10"/>
  <c r="K247" i="11" s="1"/>
  <c r="J247" i="10"/>
  <c r="J247" i="11" s="1"/>
  <c r="I247" i="10"/>
  <c r="I247" i="11" s="1"/>
  <c r="H247" i="10"/>
  <c r="H247" i="11" s="1"/>
  <c r="K246" i="10"/>
  <c r="K246" i="11" s="1"/>
  <c r="J246" i="10"/>
  <c r="J246" i="11" s="1"/>
  <c r="I246" i="10"/>
  <c r="I246" i="11" s="1"/>
  <c r="H246" i="10"/>
  <c r="H246" i="11" s="1"/>
  <c r="K244" i="10"/>
  <c r="K244" i="11" s="1"/>
  <c r="J244" i="10"/>
  <c r="J244" i="11" s="1"/>
  <c r="I244" i="10"/>
  <c r="I244" i="11" s="1"/>
  <c r="H244" i="10"/>
  <c r="H244" i="11" s="1"/>
  <c r="L243" i="10"/>
  <c r="K243" i="10"/>
  <c r="K243" i="11" s="1"/>
  <c r="J243" i="10"/>
  <c r="J243" i="11" s="1"/>
  <c r="I243" i="10"/>
  <c r="I243" i="11" s="1"/>
  <c r="H243" i="10"/>
  <c r="H243" i="11" s="1"/>
  <c r="K241" i="10"/>
  <c r="K241" i="11" s="1"/>
  <c r="J241" i="10"/>
  <c r="J241" i="11" s="1"/>
  <c r="I241" i="10"/>
  <c r="I241" i="11" s="1"/>
  <c r="H241" i="10"/>
  <c r="H241" i="11" s="1"/>
  <c r="K240" i="10"/>
  <c r="K240" i="11" s="1"/>
  <c r="J240" i="10"/>
  <c r="J240" i="11" s="1"/>
  <c r="I240" i="10"/>
  <c r="I240" i="11" s="1"/>
  <c r="H240" i="10"/>
  <c r="H240" i="11" s="1"/>
  <c r="K239" i="10"/>
  <c r="K239" i="11" s="1"/>
  <c r="J239" i="10"/>
  <c r="J239" i="11" s="1"/>
  <c r="I239" i="10"/>
  <c r="I239" i="11" s="1"/>
  <c r="H239" i="10"/>
  <c r="H239" i="11" s="1"/>
  <c r="L238" i="10"/>
  <c r="K238" i="10"/>
  <c r="K238" i="11" s="1"/>
  <c r="J238" i="10"/>
  <c r="J238" i="11" s="1"/>
  <c r="I238" i="10"/>
  <c r="I238" i="11" s="1"/>
  <c r="H238" i="10"/>
  <c r="H238" i="11" s="1"/>
  <c r="K237" i="10"/>
  <c r="K237" i="11" s="1"/>
  <c r="J237" i="10"/>
  <c r="J237" i="11" s="1"/>
  <c r="I237" i="10"/>
  <c r="I237" i="11" s="1"/>
  <c r="H237" i="10"/>
  <c r="H237" i="11" s="1"/>
  <c r="K236" i="10"/>
  <c r="K236" i="11" s="1"/>
  <c r="J236" i="10"/>
  <c r="J236" i="11" s="1"/>
  <c r="I236" i="10"/>
  <c r="I236" i="11" s="1"/>
  <c r="H236" i="10"/>
  <c r="H236" i="11" s="1"/>
  <c r="K235" i="10"/>
  <c r="K235" i="11" s="1"/>
  <c r="J235" i="10"/>
  <c r="J235" i="11" s="1"/>
  <c r="I235" i="10"/>
  <c r="I235" i="11" s="1"/>
  <c r="H235" i="10"/>
  <c r="H235" i="11" s="1"/>
  <c r="L234" i="10"/>
  <c r="K234" i="10"/>
  <c r="K234" i="11" s="1"/>
  <c r="J234" i="10"/>
  <c r="J234" i="11" s="1"/>
  <c r="I234" i="10"/>
  <c r="I234" i="11" s="1"/>
  <c r="H234" i="10"/>
  <c r="H234" i="11" s="1"/>
  <c r="K232" i="10"/>
  <c r="K232" i="11" s="1"/>
  <c r="J232" i="10"/>
  <c r="J232" i="11" s="1"/>
  <c r="I232" i="10"/>
  <c r="I232" i="11" s="1"/>
  <c r="H232" i="10"/>
  <c r="H232" i="11" s="1"/>
  <c r="K231" i="10"/>
  <c r="K231" i="11" s="1"/>
  <c r="J231" i="10"/>
  <c r="J231" i="11" s="1"/>
  <c r="I231" i="10"/>
  <c r="I231" i="11" s="1"/>
  <c r="H231" i="10"/>
  <c r="H231" i="11" s="1"/>
  <c r="K230" i="10"/>
  <c r="K230" i="11" s="1"/>
  <c r="J230" i="10"/>
  <c r="J230" i="11" s="1"/>
  <c r="I230" i="10"/>
  <c r="I230" i="11" s="1"/>
  <c r="H230" i="10"/>
  <c r="H230" i="11" s="1"/>
  <c r="L229" i="10"/>
  <c r="K229" i="10"/>
  <c r="K229" i="11" s="1"/>
  <c r="J229" i="10"/>
  <c r="J229" i="11" s="1"/>
  <c r="I229" i="10"/>
  <c r="I229" i="11" s="1"/>
  <c r="H229" i="10"/>
  <c r="H229" i="11" s="1"/>
  <c r="K227" i="10"/>
  <c r="K227" i="11" s="1"/>
  <c r="J227" i="10"/>
  <c r="J227" i="11" s="1"/>
  <c r="I227" i="10"/>
  <c r="I227" i="11" s="1"/>
  <c r="H227" i="10"/>
  <c r="H227" i="11" s="1"/>
  <c r="K226" i="10"/>
  <c r="K226" i="11" s="1"/>
  <c r="J226" i="10"/>
  <c r="J226" i="11" s="1"/>
  <c r="I226" i="10"/>
  <c r="I226" i="11" s="1"/>
  <c r="H226" i="10"/>
  <c r="H226" i="11" s="1"/>
  <c r="K224" i="10"/>
  <c r="K224" i="11" s="1"/>
  <c r="J224" i="10"/>
  <c r="J224" i="11" s="1"/>
  <c r="I224" i="10"/>
  <c r="I224" i="11" s="1"/>
  <c r="H224" i="10"/>
  <c r="H224" i="11" s="1"/>
  <c r="L223" i="10"/>
  <c r="K223" i="10"/>
  <c r="K223" i="11" s="1"/>
  <c r="J223" i="10"/>
  <c r="J223" i="11" s="1"/>
  <c r="I223" i="10"/>
  <c r="I223" i="11" s="1"/>
  <c r="H223" i="10"/>
  <c r="H223" i="11" s="1"/>
  <c r="K222" i="10"/>
  <c r="K222" i="11" s="1"/>
  <c r="J222" i="10"/>
  <c r="J222" i="11" s="1"/>
  <c r="I222" i="10"/>
  <c r="I222" i="11" s="1"/>
  <c r="H222" i="10"/>
  <c r="H222" i="11" s="1"/>
  <c r="K221" i="10"/>
  <c r="K221" i="11" s="1"/>
  <c r="J221" i="10"/>
  <c r="J221" i="11" s="1"/>
  <c r="I221" i="10"/>
  <c r="I221" i="11" s="1"/>
  <c r="H221" i="10"/>
  <c r="H221" i="11" s="1"/>
  <c r="K219" i="10"/>
  <c r="K219" i="11" s="1"/>
  <c r="J219" i="10"/>
  <c r="J219" i="11" s="1"/>
  <c r="I219" i="10"/>
  <c r="I219" i="11" s="1"/>
  <c r="H219" i="10"/>
  <c r="H219" i="11" s="1"/>
  <c r="L218" i="10"/>
  <c r="K218" i="10"/>
  <c r="K218" i="11" s="1"/>
  <c r="J218" i="10"/>
  <c r="J218" i="11" s="1"/>
  <c r="I218" i="10"/>
  <c r="I218" i="11" s="1"/>
  <c r="H218" i="10"/>
  <c r="H218" i="11" s="1"/>
  <c r="K217" i="10"/>
  <c r="K217" i="11" s="1"/>
  <c r="J217" i="10"/>
  <c r="J217" i="11" s="1"/>
  <c r="I217" i="10"/>
  <c r="I217" i="11" s="1"/>
  <c r="H217" i="10"/>
  <c r="H217" i="11" s="1"/>
  <c r="K216" i="10"/>
  <c r="K216" i="11" s="1"/>
  <c r="J216" i="10"/>
  <c r="J216" i="11" s="1"/>
  <c r="I216" i="10"/>
  <c r="I216" i="11" s="1"/>
  <c r="H216" i="10"/>
  <c r="H216" i="11" s="1"/>
  <c r="L216" i="11" s="1"/>
  <c r="M216" i="11" s="1"/>
  <c r="K215" i="10"/>
  <c r="K215" i="11" s="1"/>
  <c r="J215" i="10"/>
  <c r="J215" i="11" s="1"/>
  <c r="I215" i="10"/>
  <c r="I215" i="11" s="1"/>
  <c r="H215" i="10"/>
  <c r="H215" i="11" s="1"/>
  <c r="L214" i="10"/>
  <c r="K214" i="10"/>
  <c r="K214" i="11" s="1"/>
  <c r="J214" i="10"/>
  <c r="J214" i="11" s="1"/>
  <c r="I214" i="10"/>
  <c r="I214" i="11" s="1"/>
  <c r="H214" i="10"/>
  <c r="H214" i="11" s="1"/>
  <c r="K213" i="10"/>
  <c r="K213" i="11" s="1"/>
  <c r="J213" i="10"/>
  <c r="J213" i="11" s="1"/>
  <c r="I213" i="10"/>
  <c r="I213" i="11" s="1"/>
  <c r="H213" i="10"/>
  <c r="H213" i="11" s="1"/>
  <c r="K212" i="10"/>
  <c r="K212" i="11" s="1"/>
  <c r="J212" i="10"/>
  <c r="J212" i="11" s="1"/>
  <c r="I212" i="10"/>
  <c r="I212" i="11" s="1"/>
  <c r="H212" i="10"/>
  <c r="H212" i="11" s="1"/>
  <c r="L212" i="11" s="1"/>
  <c r="M212" i="11" s="1"/>
  <c r="K211" i="10"/>
  <c r="K211" i="11" s="1"/>
  <c r="J211" i="10"/>
  <c r="J211" i="11" s="1"/>
  <c r="I211" i="10"/>
  <c r="I211" i="11" s="1"/>
  <c r="H211" i="10"/>
  <c r="H211" i="11" s="1"/>
  <c r="L210" i="10"/>
  <c r="K210" i="10"/>
  <c r="K210" i="11" s="1"/>
  <c r="J210" i="10"/>
  <c r="J210" i="11" s="1"/>
  <c r="I210" i="10"/>
  <c r="I210" i="11" s="1"/>
  <c r="H210" i="10"/>
  <c r="H210" i="11" s="1"/>
  <c r="K209" i="10"/>
  <c r="K209" i="11" s="1"/>
  <c r="J209" i="10"/>
  <c r="J209" i="11" s="1"/>
  <c r="I209" i="10"/>
  <c r="I209" i="11" s="1"/>
  <c r="H209" i="10"/>
  <c r="H209" i="11" s="1"/>
  <c r="K207" i="10"/>
  <c r="K207" i="11" s="1"/>
  <c r="J207" i="10"/>
  <c r="J207" i="11" s="1"/>
  <c r="I207" i="10"/>
  <c r="I207" i="11" s="1"/>
  <c r="H207" i="10"/>
  <c r="H207" i="11" s="1"/>
  <c r="L207" i="11" s="1"/>
  <c r="M207" i="11" s="1"/>
  <c r="K206" i="10"/>
  <c r="K206" i="11" s="1"/>
  <c r="J206" i="10"/>
  <c r="J206" i="11" s="1"/>
  <c r="I206" i="10"/>
  <c r="I206" i="11" s="1"/>
  <c r="H206" i="10"/>
  <c r="H206" i="11" s="1"/>
  <c r="L205" i="10"/>
  <c r="K205" i="10"/>
  <c r="K205" i="11" s="1"/>
  <c r="J205" i="10"/>
  <c r="J205" i="11" s="1"/>
  <c r="I205" i="10"/>
  <c r="I205" i="11" s="1"/>
  <c r="H205" i="10"/>
  <c r="H205" i="11" s="1"/>
  <c r="K204" i="10"/>
  <c r="K204" i="11" s="1"/>
  <c r="J204" i="10"/>
  <c r="J204" i="11" s="1"/>
  <c r="I204" i="10"/>
  <c r="I204" i="11" s="1"/>
  <c r="H204" i="10"/>
  <c r="H204" i="11" s="1"/>
  <c r="K203" i="10"/>
  <c r="K203" i="11" s="1"/>
  <c r="J203" i="10"/>
  <c r="J203" i="11" s="1"/>
  <c r="I203" i="10"/>
  <c r="I203" i="11" s="1"/>
  <c r="H203" i="10"/>
  <c r="K202" i="10"/>
  <c r="K202" i="11" s="1"/>
  <c r="J202" i="10"/>
  <c r="J202" i="11" s="1"/>
  <c r="I202" i="10"/>
  <c r="I202" i="11" s="1"/>
  <c r="H202" i="10"/>
  <c r="H202" i="11" s="1"/>
  <c r="L201" i="10"/>
  <c r="K201" i="10"/>
  <c r="K201" i="11" s="1"/>
  <c r="J201" i="10"/>
  <c r="J201" i="11" s="1"/>
  <c r="I201" i="10"/>
  <c r="I201" i="11" s="1"/>
  <c r="H201" i="10"/>
  <c r="H201" i="11" s="1"/>
  <c r="K200" i="10"/>
  <c r="K200" i="11" s="1"/>
  <c r="J200" i="10"/>
  <c r="J200" i="11" s="1"/>
  <c r="I200" i="10"/>
  <c r="I200" i="11" s="1"/>
  <c r="H200" i="10"/>
  <c r="H200" i="11" s="1"/>
  <c r="K199" i="10"/>
  <c r="K199" i="11" s="1"/>
  <c r="J199" i="10"/>
  <c r="J199" i="11" s="1"/>
  <c r="I199" i="10"/>
  <c r="I199" i="11" s="1"/>
  <c r="H199" i="10"/>
  <c r="K198" i="10"/>
  <c r="K198" i="11" s="1"/>
  <c r="J198" i="10"/>
  <c r="J198" i="11" s="1"/>
  <c r="I198" i="10"/>
  <c r="I198" i="11" s="1"/>
  <c r="H198" i="10"/>
  <c r="H198" i="11" s="1"/>
  <c r="L197" i="10"/>
  <c r="K197" i="10"/>
  <c r="K197" i="11" s="1"/>
  <c r="J197" i="10"/>
  <c r="J197" i="11" s="1"/>
  <c r="I197" i="10"/>
  <c r="I197" i="11" s="1"/>
  <c r="H197" i="10"/>
  <c r="H197" i="11" s="1"/>
  <c r="K196" i="10"/>
  <c r="K196" i="11" s="1"/>
  <c r="J196" i="10"/>
  <c r="J196" i="11" s="1"/>
  <c r="I196" i="10"/>
  <c r="I196" i="11" s="1"/>
  <c r="H196" i="10"/>
  <c r="H196" i="11" s="1"/>
  <c r="K195" i="10"/>
  <c r="K195" i="11" s="1"/>
  <c r="J195" i="10"/>
  <c r="J195" i="11" s="1"/>
  <c r="I195" i="10"/>
  <c r="I195" i="11" s="1"/>
  <c r="H195" i="10"/>
  <c r="K194" i="10"/>
  <c r="K194" i="11" s="1"/>
  <c r="J194" i="10"/>
  <c r="J194" i="11" s="1"/>
  <c r="I194" i="10"/>
  <c r="I194" i="11" s="1"/>
  <c r="H194" i="10"/>
  <c r="H194" i="11" s="1"/>
  <c r="L193" i="10"/>
  <c r="K193" i="10"/>
  <c r="K193" i="11" s="1"/>
  <c r="J193" i="10"/>
  <c r="J193" i="11" s="1"/>
  <c r="I193" i="10"/>
  <c r="I193" i="11" s="1"/>
  <c r="H193" i="10"/>
  <c r="H193" i="11" s="1"/>
  <c r="K192" i="10"/>
  <c r="K192" i="11" s="1"/>
  <c r="J192" i="10"/>
  <c r="J192" i="11" s="1"/>
  <c r="I192" i="10"/>
  <c r="I192" i="11" s="1"/>
  <c r="H192" i="10"/>
  <c r="H192" i="11" s="1"/>
  <c r="K191" i="10"/>
  <c r="K191" i="11" s="1"/>
  <c r="J191" i="10"/>
  <c r="J191" i="11" s="1"/>
  <c r="I191" i="10"/>
  <c r="I191" i="11" s="1"/>
  <c r="H191" i="10"/>
  <c r="K190" i="10"/>
  <c r="K190" i="11" s="1"/>
  <c r="J190" i="10"/>
  <c r="I190" i="10"/>
  <c r="I190" i="11" s="1"/>
  <c r="H190" i="10"/>
  <c r="H190" i="11" s="1"/>
  <c r="L189" i="10"/>
  <c r="K189" i="10"/>
  <c r="K189" i="11" s="1"/>
  <c r="J189" i="10"/>
  <c r="J189" i="11" s="1"/>
  <c r="I189" i="10"/>
  <c r="I189" i="11" s="1"/>
  <c r="H189" i="10"/>
  <c r="H189" i="11" s="1"/>
  <c r="K188" i="10"/>
  <c r="K188" i="11" s="1"/>
  <c r="J188" i="10"/>
  <c r="J188" i="11" s="1"/>
  <c r="I188" i="10"/>
  <c r="I188" i="11" s="1"/>
  <c r="H188" i="10"/>
  <c r="H188" i="11" s="1"/>
  <c r="K187" i="10"/>
  <c r="K187" i="11" s="1"/>
  <c r="J187" i="10"/>
  <c r="J187" i="11" s="1"/>
  <c r="I187" i="10"/>
  <c r="I187" i="11" s="1"/>
  <c r="H187" i="10"/>
  <c r="K186" i="10"/>
  <c r="K186" i="11" s="1"/>
  <c r="J186" i="10"/>
  <c r="I186" i="10"/>
  <c r="I186" i="11" s="1"/>
  <c r="H186" i="10"/>
  <c r="H186" i="11" s="1"/>
  <c r="L185" i="10"/>
  <c r="K185" i="10"/>
  <c r="K185" i="11" s="1"/>
  <c r="J185" i="10"/>
  <c r="J185" i="11" s="1"/>
  <c r="I185" i="10"/>
  <c r="I185" i="11" s="1"/>
  <c r="H185" i="10"/>
  <c r="H185" i="11" s="1"/>
  <c r="K184" i="10"/>
  <c r="K184" i="11" s="1"/>
  <c r="J184" i="10"/>
  <c r="J184" i="11" s="1"/>
  <c r="I184" i="10"/>
  <c r="I184" i="11" s="1"/>
  <c r="H184" i="10"/>
  <c r="H184" i="11" s="1"/>
  <c r="K183" i="10"/>
  <c r="K183" i="11" s="1"/>
  <c r="J183" i="10"/>
  <c r="J183" i="11" s="1"/>
  <c r="I183" i="10"/>
  <c r="I183" i="11" s="1"/>
  <c r="H183" i="10"/>
  <c r="H183" i="11" s="1"/>
  <c r="L183" i="11" s="1"/>
  <c r="M183" i="11" s="1"/>
  <c r="K181" i="10"/>
  <c r="K181" i="11" s="1"/>
  <c r="J181" i="10"/>
  <c r="I181" i="10"/>
  <c r="I181" i="11" s="1"/>
  <c r="H181" i="10"/>
  <c r="H181" i="11" s="1"/>
  <c r="K180" i="10"/>
  <c r="K180" i="11" s="1"/>
  <c r="J180" i="10"/>
  <c r="J180" i="11" s="1"/>
  <c r="I180" i="10"/>
  <c r="I180" i="11" s="1"/>
  <c r="H180" i="10"/>
  <c r="H180" i="11" s="1"/>
  <c r="L180" i="11" s="1"/>
  <c r="M180" i="11" s="1"/>
  <c r="K179" i="10"/>
  <c r="K179" i="11" s="1"/>
  <c r="J179" i="10"/>
  <c r="J179" i="11" s="1"/>
  <c r="I179" i="10"/>
  <c r="I179" i="11" s="1"/>
  <c r="H179" i="10"/>
  <c r="H179" i="11" s="1"/>
  <c r="K178" i="10"/>
  <c r="K178" i="11" s="1"/>
  <c r="J178" i="10"/>
  <c r="J178" i="11" s="1"/>
  <c r="I178" i="10"/>
  <c r="I178" i="11" s="1"/>
  <c r="H178" i="10"/>
  <c r="H178" i="11" s="1"/>
  <c r="L178" i="11" s="1"/>
  <c r="M178" i="11" s="1"/>
  <c r="K177" i="10"/>
  <c r="K177" i="11" s="1"/>
  <c r="J177" i="10"/>
  <c r="I177" i="10"/>
  <c r="I177" i="11" s="1"/>
  <c r="H177" i="10"/>
  <c r="H177" i="11" s="1"/>
  <c r="K176" i="10"/>
  <c r="K176" i="11" s="1"/>
  <c r="J176" i="10"/>
  <c r="J176" i="11" s="1"/>
  <c r="I176" i="10"/>
  <c r="I176" i="11" s="1"/>
  <c r="H176" i="10"/>
  <c r="H176" i="11" s="1"/>
  <c r="L176" i="11" s="1"/>
  <c r="M176" i="11" s="1"/>
  <c r="K175" i="10"/>
  <c r="K175" i="11" s="1"/>
  <c r="J175" i="10"/>
  <c r="J175" i="11" s="1"/>
  <c r="I175" i="10"/>
  <c r="H175" i="10"/>
  <c r="H175" i="11" s="1"/>
  <c r="L174" i="10"/>
  <c r="K174" i="10"/>
  <c r="K174" i="11" s="1"/>
  <c r="J174" i="10"/>
  <c r="J174" i="11" s="1"/>
  <c r="I174" i="10"/>
  <c r="I174" i="11" s="1"/>
  <c r="H174" i="10"/>
  <c r="H174" i="11" s="1"/>
  <c r="L174" i="11" s="1"/>
  <c r="M174" i="11" s="1"/>
  <c r="K173" i="10"/>
  <c r="K173" i="11" s="1"/>
  <c r="J173" i="10"/>
  <c r="I173" i="10"/>
  <c r="I173" i="11" s="1"/>
  <c r="H173" i="10"/>
  <c r="H173" i="11" s="1"/>
  <c r="L172" i="10"/>
  <c r="K172" i="10"/>
  <c r="K172" i="11" s="1"/>
  <c r="J172" i="10"/>
  <c r="J172" i="11" s="1"/>
  <c r="I172" i="10"/>
  <c r="I172" i="11" s="1"/>
  <c r="H172" i="10"/>
  <c r="H172" i="11" s="1"/>
  <c r="L172" i="11" s="1"/>
  <c r="M172" i="11" s="1"/>
  <c r="K171" i="10"/>
  <c r="K171" i="11" s="1"/>
  <c r="J171" i="10"/>
  <c r="J171" i="11" s="1"/>
  <c r="I171" i="10"/>
  <c r="H171" i="10"/>
  <c r="H171" i="11" s="1"/>
  <c r="K170" i="10"/>
  <c r="K170" i="11" s="1"/>
  <c r="J170" i="10"/>
  <c r="J170" i="11" s="1"/>
  <c r="I170" i="10"/>
  <c r="I170" i="11" s="1"/>
  <c r="H170" i="10"/>
  <c r="H170" i="11" s="1"/>
  <c r="K169" i="10"/>
  <c r="K169" i="11" s="1"/>
  <c r="J169" i="10"/>
  <c r="J169" i="11" s="1"/>
  <c r="I169" i="10"/>
  <c r="I169" i="11" s="1"/>
  <c r="H169" i="10"/>
  <c r="H169" i="11" s="1"/>
  <c r="K168" i="10"/>
  <c r="K168" i="11" s="1"/>
  <c r="J168" i="10"/>
  <c r="J168" i="11" s="1"/>
  <c r="I168" i="10"/>
  <c r="I168" i="11" s="1"/>
  <c r="H168" i="10"/>
  <c r="H168" i="11" s="1"/>
  <c r="L168" i="11" s="1"/>
  <c r="M168" i="11" s="1"/>
  <c r="K167" i="10"/>
  <c r="K167" i="11" s="1"/>
  <c r="J167" i="10"/>
  <c r="J167" i="11" s="1"/>
  <c r="I167" i="10"/>
  <c r="H167" i="10"/>
  <c r="H167" i="11" s="1"/>
  <c r="K166" i="10"/>
  <c r="K166" i="11" s="1"/>
  <c r="J166" i="10"/>
  <c r="J166" i="11" s="1"/>
  <c r="I166" i="10"/>
  <c r="I166" i="11" s="1"/>
  <c r="H166" i="10"/>
  <c r="H166" i="11" s="1"/>
  <c r="K164" i="10"/>
  <c r="K164" i="11" s="1"/>
  <c r="J164" i="10"/>
  <c r="J164" i="11" s="1"/>
  <c r="I164" i="10"/>
  <c r="I164" i="11" s="1"/>
  <c r="H164" i="10"/>
  <c r="H164" i="11" s="1"/>
  <c r="K163" i="10"/>
  <c r="K163" i="11" s="1"/>
  <c r="J163" i="10"/>
  <c r="J163" i="11" s="1"/>
  <c r="I163" i="10"/>
  <c r="I163" i="11" s="1"/>
  <c r="H163" i="10"/>
  <c r="H163" i="11" s="1"/>
  <c r="L163" i="11" s="1"/>
  <c r="M163" i="11" s="1"/>
  <c r="K162" i="10"/>
  <c r="K162" i="11" s="1"/>
  <c r="J162" i="10"/>
  <c r="J162" i="11" s="1"/>
  <c r="I162" i="10"/>
  <c r="H162" i="10"/>
  <c r="H162" i="11" s="1"/>
  <c r="L161" i="10"/>
  <c r="K161" i="10"/>
  <c r="K161" i="11" s="1"/>
  <c r="J161" i="10"/>
  <c r="J161" i="11" s="1"/>
  <c r="I161" i="10"/>
  <c r="I161" i="11" s="1"/>
  <c r="H161" i="10"/>
  <c r="H161" i="11" s="1"/>
  <c r="K160" i="10"/>
  <c r="K160" i="11" s="1"/>
  <c r="J160" i="10"/>
  <c r="I160" i="10"/>
  <c r="I160" i="11" s="1"/>
  <c r="H160" i="10"/>
  <c r="H160" i="11" s="1"/>
  <c r="L159" i="10"/>
  <c r="K159" i="10"/>
  <c r="K159" i="11" s="1"/>
  <c r="J159" i="10"/>
  <c r="J159" i="11" s="1"/>
  <c r="I159" i="10"/>
  <c r="I159" i="11" s="1"/>
  <c r="H159" i="10"/>
  <c r="H159" i="11" s="1"/>
  <c r="L159" i="11" s="1"/>
  <c r="M159" i="11" s="1"/>
  <c r="K158" i="10"/>
  <c r="K158" i="11" s="1"/>
  <c r="J158" i="10"/>
  <c r="J158" i="11" s="1"/>
  <c r="I158" i="10"/>
  <c r="H158" i="10"/>
  <c r="H158" i="11" s="1"/>
  <c r="K157" i="10"/>
  <c r="K157" i="11" s="1"/>
  <c r="J157" i="10"/>
  <c r="J157" i="11" s="1"/>
  <c r="I157" i="10"/>
  <c r="I157" i="11" s="1"/>
  <c r="H157" i="10"/>
  <c r="H157" i="11" s="1"/>
  <c r="L157" i="11" s="1"/>
  <c r="M157" i="11" s="1"/>
  <c r="K156" i="10"/>
  <c r="K156" i="11" s="1"/>
  <c r="J156" i="10"/>
  <c r="I156" i="10"/>
  <c r="I156" i="11" s="1"/>
  <c r="H156" i="10"/>
  <c r="H156" i="11" s="1"/>
  <c r="K155" i="10"/>
  <c r="K155" i="11" s="1"/>
  <c r="J155" i="10"/>
  <c r="J155" i="11" s="1"/>
  <c r="I155" i="10"/>
  <c r="I155" i="11" s="1"/>
  <c r="H155" i="10"/>
  <c r="H155" i="11" s="1"/>
  <c r="L155" i="11" s="1"/>
  <c r="M155" i="11" s="1"/>
  <c r="K153" i="10"/>
  <c r="K153" i="11" s="1"/>
  <c r="J153" i="10"/>
  <c r="J153" i="11" s="1"/>
  <c r="I153" i="10"/>
  <c r="I153" i="11" s="1"/>
  <c r="H153" i="10"/>
  <c r="H153" i="11" s="1"/>
  <c r="L152" i="10"/>
  <c r="K152" i="10"/>
  <c r="K152" i="11" s="1"/>
  <c r="J152" i="10"/>
  <c r="J152" i="11" s="1"/>
  <c r="I152" i="10"/>
  <c r="I152" i="11" s="1"/>
  <c r="H152" i="10"/>
  <c r="H152" i="11" s="1"/>
  <c r="L152" i="11" s="1"/>
  <c r="M152" i="11" s="1"/>
  <c r="K151" i="10"/>
  <c r="K151" i="11" s="1"/>
  <c r="J151" i="10"/>
  <c r="I151" i="10"/>
  <c r="I151" i="11" s="1"/>
  <c r="H151" i="10"/>
  <c r="H151" i="11" s="1"/>
  <c r="L150" i="10"/>
  <c r="K150" i="10"/>
  <c r="K150" i="11" s="1"/>
  <c r="J150" i="10"/>
  <c r="J150" i="11" s="1"/>
  <c r="I150" i="10"/>
  <c r="I150" i="11" s="1"/>
  <c r="H150" i="10"/>
  <c r="H150" i="11" s="1"/>
  <c r="L150" i="11" s="1"/>
  <c r="M150" i="11" s="1"/>
  <c r="K149" i="10"/>
  <c r="K149" i="11" s="1"/>
  <c r="J149" i="10"/>
  <c r="J149" i="11" s="1"/>
  <c r="I149" i="10"/>
  <c r="I149" i="11" s="1"/>
  <c r="H149" i="10"/>
  <c r="K148" i="10"/>
  <c r="K148" i="11" s="1"/>
  <c r="J148" i="10"/>
  <c r="J148" i="11" s="1"/>
  <c r="I148" i="10"/>
  <c r="I148" i="11" s="1"/>
  <c r="H148" i="10"/>
  <c r="H148" i="11" s="1"/>
  <c r="K147" i="10"/>
  <c r="K147" i="11" s="1"/>
  <c r="J147" i="10"/>
  <c r="J147" i="11" s="1"/>
  <c r="I147" i="10"/>
  <c r="I147" i="11" s="1"/>
  <c r="H147" i="10"/>
  <c r="H147" i="11" s="1"/>
  <c r="K146" i="10"/>
  <c r="K146" i="11" s="1"/>
  <c r="J146" i="10"/>
  <c r="J146" i="11" s="1"/>
  <c r="I146" i="10"/>
  <c r="I146" i="11" s="1"/>
  <c r="H146" i="10"/>
  <c r="H146" i="11" s="1"/>
  <c r="L146" i="11" s="1"/>
  <c r="M146" i="11" s="1"/>
  <c r="K145" i="10"/>
  <c r="K145" i="11" s="1"/>
  <c r="J145" i="10"/>
  <c r="J145" i="11" s="1"/>
  <c r="I145" i="10"/>
  <c r="I145" i="11" s="1"/>
  <c r="H145" i="10"/>
  <c r="K144" i="10"/>
  <c r="K144" i="11" s="1"/>
  <c r="J144" i="10"/>
  <c r="J144" i="11" s="1"/>
  <c r="I144" i="10"/>
  <c r="I144" i="11" s="1"/>
  <c r="H144" i="10"/>
  <c r="H144" i="11" s="1"/>
  <c r="L144" i="11" s="1"/>
  <c r="M144" i="11" s="1"/>
  <c r="K143" i="10"/>
  <c r="K143" i="11" s="1"/>
  <c r="J143" i="10"/>
  <c r="J143" i="11" s="1"/>
  <c r="I143" i="10"/>
  <c r="I143" i="11" s="1"/>
  <c r="H143" i="10"/>
  <c r="H143" i="11" s="1"/>
  <c r="K142" i="10"/>
  <c r="K142" i="11" s="1"/>
  <c r="J142" i="10"/>
  <c r="J142" i="11" s="1"/>
  <c r="I142" i="10"/>
  <c r="I142" i="11" s="1"/>
  <c r="H142" i="10"/>
  <c r="H142" i="11" s="1"/>
  <c r="K141" i="10"/>
  <c r="K141" i="11" s="1"/>
  <c r="J141" i="10"/>
  <c r="J141" i="11" s="1"/>
  <c r="I141" i="10"/>
  <c r="I141" i="11" s="1"/>
  <c r="H141" i="10"/>
  <c r="H141" i="11" s="1"/>
  <c r="K140" i="10"/>
  <c r="K140" i="11" s="1"/>
  <c r="J140" i="10"/>
  <c r="J140" i="11" s="1"/>
  <c r="I140" i="10"/>
  <c r="I140" i="11" s="1"/>
  <c r="H140" i="10"/>
  <c r="H140" i="11" s="1"/>
  <c r="L139" i="10"/>
  <c r="M139" i="10" s="1"/>
  <c r="K139" i="10"/>
  <c r="K139" i="11" s="1"/>
  <c r="J139" i="10"/>
  <c r="J139" i="11" s="1"/>
  <c r="I139" i="10"/>
  <c r="I139" i="11" s="1"/>
  <c r="H139" i="10"/>
  <c r="H139" i="11" s="1"/>
  <c r="N138" i="10"/>
  <c r="O138" i="10" s="1"/>
  <c r="L138" i="10"/>
  <c r="M138" i="10" s="1"/>
  <c r="K138" i="10"/>
  <c r="K138" i="11" s="1"/>
  <c r="J138" i="10"/>
  <c r="J138" i="11" s="1"/>
  <c r="I138" i="10"/>
  <c r="I138" i="11" s="1"/>
  <c r="H138" i="10"/>
  <c r="H138" i="11" s="1"/>
  <c r="K137" i="10"/>
  <c r="K137" i="11" s="1"/>
  <c r="J137" i="10"/>
  <c r="J137" i="11" s="1"/>
  <c r="I137" i="10"/>
  <c r="I137" i="11" s="1"/>
  <c r="H137" i="10"/>
  <c r="H137" i="11" s="1"/>
  <c r="K136" i="10"/>
  <c r="K136" i="11" s="1"/>
  <c r="J136" i="10"/>
  <c r="J136" i="11" s="1"/>
  <c r="I136" i="10"/>
  <c r="I136" i="11" s="1"/>
  <c r="H136" i="10"/>
  <c r="H136" i="11" s="1"/>
  <c r="L136" i="11" s="1"/>
  <c r="M136" i="11" s="1"/>
  <c r="K135" i="10"/>
  <c r="K135" i="11" s="1"/>
  <c r="J135" i="10"/>
  <c r="J135" i="11" s="1"/>
  <c r="I135" i="10"/>
  <c r="I135" i="11" s="1"/>
  <c r="H135" i="10"/>
  <c r="H135" i="11" s="1"/>
  <c r="K134" i="10"/>
  <c r="K134" i="11" s="1"/>
  <c r="J134" i="10"/>
  <c r="J134" i="11" s="1"/>
  <c r="I134" i="10"/>
  <c r="I134" i="11" s="1"/>
  <c r="H134" i="10"/>
  <c r="H134" i="11" s="1"/>
  <c r="K133" i="10"/>
  <c r="K133" i="11" s="1"/>
  <c r="J133" i="10"/>
  <c r="J133" i="11" s="1"/>
  <c r="I133" i="10"/>
  <c r="I133" i="11" s="1"/>
  <c r="H133" i="10"/>
  <c r="H133" i="11" s="1"/>
  <c r="K132" i="10"/>
  <c r="K132" i="11" s="1"/>
  <c r="J132" i="10"/>
  <c r="J132" i="11" s="1"/>
  <c r="I132" i="10"/>
  <c r="I132" i="11" s="1"/>
  <c r="H132" i="10"/>
  <c r="H132" i="11" s="1"/>
  <c r="K131" i="10"/>
  <c r="K131" i="11" s="1"/>
  <c r="J131" i="10"/>
  <c r="J131" i="11" s="1"/>
  <c r="I131" i="10"/>
  <c r="I131" i="11" s="1"/>
  <c r="H131" i="10"/>
  <c r="H131" i="11" s="1"/>
  <c r="K130" i="10"/>
  <c r="K130" i="11" s="1"/>
  <c r="J130" i="10"/>
  <c r="J130" i="11" s="1"/>
  <c r="I130" i="10"/>
  <c r="I130" i="11" s="1"/>
  <c r="H130" i="10"/>
  <c r="H130" i="11" s="1"/>
  <c r="L130" i="11" s="1"/>
  <c r="M130" i="11" s="1"/>
  <c r="K129" i="10"/>
  <c r="K129" i="11" s="1"/>
  <c r="J129" i="10"/>
  <c r="J129" i="11" s="1"/>
  <c r="I129" i="10"/>
  <c r="I129" i="11" s="1"/>
  <c r="H129" i="10"/>
  <c r="H129" i="11" s="1"/>
  <c r="L129" i="11" s="1"/>
  <c r="M129" i="11" s="1"/>
  <c r="K128" i="10"/>
  <c r="K128" i="11" s="1"/>
  <c r="J128" i="10"/>
  <c r="J128" i="11" s="1"/>
  <c r="I128" i="10"/>
  <c r="I128" i="11" s="1"/>
  <c r="H128" i="10"/>
  <c r="H128" i="11" s="1"/>
  <c r="L128" i="11" s="1"/>
  <c r="M128" i="11" s="1"/>
  <c r="K127" i="10"/>
  <c r="K127" i="11" s="1"/>
  <c r="J127" i="10"/>
  <c r="J127" i="11" s="1"/>
  <c r="I127" i="10"/>
  <c r="I127" i="11" s="1"/>
  <c r="H127" i="10"/>
  <c r="H127" i="11" s="1"/>
  <c r="K126" i="10"/>
  <c r="K126" i="11" s="1"/>
  <c r="J126" i="10"/>
  <c r="J126" i="11" s="1"/>
  <c r="I126" i="10"/>
  <c r="I126" i="11" s="1"/>
  <c r="H126" i="10"/>
  <c r="H126" i="11" s="1"/>
  <c r="K125" i="10"/>
  <c r="K125" i="11" s="1"/>
  <c r="J125" i="10"/>
  <c r="J125" i="11" s="1"/>
  <c r="I125" i="10"/>
  <c r="I125" i="11" s="1"/>
  <c r="H125" i="10"/>
  <c r="H125" i="11" s="1"/>
  <c r="K124" i="10"/>
  <c r="K124" i="11" s="1"/>
  <c r="J124" i="10"/>
  <c r="J124" i="11" s="1"/>
  <c r="I124" i="10"/>
  <c r="I124" i="11" s="1"/>
  <c r="H124" i="10"/>
  <c r="H124" i="11" s="1"/>
  <c r="L124" i="11" s="1"/>
  <c r="M124" i="11" s="1"/>
  <c r="K123" i="10"/>
  <c r="K123" i="11" s="1"/>
  <c r="J123" i="10"/>
  <c r="J123" i="11" s="1"/>
  <c r="I123" i="10"/>
  <c r="I123" i="11" s="1"/>
  <c r="H123" i="10"/>
  <c r="H123" i="11" s="1"/>
  <c r="K122" i="10"/>
  <c r="K122" i="11" s="1"/>
  <c r="J122" i="10"/>
  <c r="J122" i="11" s="1"/>
  <c r="I122" i="10"/>
  <c r="I122" i="11" s="1"/>
  <c r="H122" i="10"/>
  <c r="H122" i="11" s="1"/>
  <c r="K121" i="10"/>
  <c r="K121" i="11" s="1"/>
  <c r="J121" i="10"/>
  <c r="J121" i="11" s="1"/>
  <c r="I121" i="10"/>
  <c r="I121" i="11" s="1"/>
  <c r="H121" i="10"/>
  <c r="H121" i="11" s="1"/>
  <c r="K120" i="10"/>
  <c r="K120" i="11" s="1"/>
  <c r="J120" i="10"/>
  <c r="J120" i="11" s="1"/>
  <c r="I120" i="10"/>
  <c r="I120" i="11" s="1"/>
  <c r="H120" i="10"/>
  <c r="H120" i="11" s="1"/>
  <c r="L120" i="11" s="1"/>
  <c r="M120" i="11" s="1"/>
  <c r="K119" i="10"/>
  <c r="K119" i="11" s="1"/>
  <c r="J119" i="10"/>
  <c r="J119" i="11" s="1"/>
  <c r="I119" i="10"/>
  <c r="I119" i="11" s="1"/>
  <c r="H119" i="10"/>
  <c r="H119" i="11" s="1"/>
  <c r="K118" i="10"/>
  <c r="K118" i="11" s="1"/>
  <c r="J118" i="10"/>
  <c r="J118" i="11" s="1"/>
  <c r="I118" i="10"/>
  <c r="I118" i="11" s="1"/>
  <c r="H118" i="10"/>
  <c r="H118" i="11" s="1"/>
  <c r="K117" i="10"/>
  <c r="K117" i="11" s="1"/>
  <c r="J117" i="10"/>
  <c r="J117" i="11" s="1"/>
  <c r="I117" i="10"/>
  <c r="I117" i="11" s="1"/>
  <c r="H117" i="10"/>
  <c r="H117" i="11" s="1"/>
  <c r="K116" i="10"/>
  <c r="K116" i="11" s="1"/>
  <c r="J116" i="10"/>
  <c r="J116" i="11" s="1"/>
  <c r="I116" i="10"/>
  <c r="I116" i="11" s="1"/>
  <c r="H116" i="10"/>
  <c r="H116" i="11" s="1"/>
  <c r="L116" i="11" s="1"/>
  <c r="M116" i="11" s="1"/>
  <c r="K115" i="10"/>
  <c r="K115" i="11" s="1"/>
  <c r="J115" i="10"/>
  <c r="J115" i="11" s="1"/>
  <c r="I115" i="10"/>
  <c r="I115" i="11" s="1"/>
  <c r="H115" i="10"/>
  <c r="H115" i="11" s="1"/>
  <c r="K114" i="10"/>
  <c r="K114" i="11" s="1"/>
  <c r="J114" i="10"/>
  <c r="J114" i="11" s="1"/>
  <c r="I114" i="10"/>
  <c r="I114" i="11" s="1"/>
  <c r="H114" i="10"/>
  <c r="H114" i="11" s="1"/>
  <c r="K113" i="10"/>
  <c r="K113" i="11" s="1"/>
  <c r="J113" i="10"/>
  <c r="J113" i="11" s="1"/>
  <c r="I113" i="10"/>
  <c r="I113" i="11" s="1"/>
  <c r="H113" i="10"/>
  <c r="H113" i="11" s="1"/>
  <c r="K112" i="10"/>
  <c r="K112" i="11" s="1"/>
  <c r="J112" i="10"/>
  <c r="J112" i="11" s="1"/>
  <c r="I112" i="10"/>
  <c r="I112" i="11" s="1"/>
  <c r="H112" i="10"/>
  <c r="H112" i="11" s="1"/>
  <c r="L112" i="11" s="1"/>
  <c r="M112" i="11" s="1"/>
  <c r="K111" i="10"/>
  <c r="K111" i="11" s="1"/>
  <c r="J111" i="10"/>
  <c r="J111" i="11" s="1"/>
  <c r="I111" i="10"/>
  <c r="I111" i="11" s="1"/>
  <c r="H111" i="10"/>
  <c r="H111" i="11" s="1"/>
  <c r="K110" i="10"/>
  <c r="K110" i="11" s="1"/>
  <c r="J110" i="10"/>
  <c r="J110" i="11" s="1"/>
  <c r="I110" i="10"/>
  <c r="I110" i="11" s="1"/>
  <c r="H110" i="10"/>
  <c r="H110" i="11" s="1"/>
  <c r="K109" i="10"/>
  <c r="K109" i="11" s="1"/>
  <c r="J109" i="10"/>
  <c r="J109" i="11" s="1"/>
  <c r="I109" i="10"/>
  <c r="I109" i="11" s="1"/>
  <c r="H109" i="10"/>
  <c r="H109" i="11" s="1"/>
  <c r="K108" i="10"/>
  <c r="K108" i="11" s="1"/>
  <c r="J108" i="10"/>
  <c r="J108" i="11" s="1"/>
  <c r="I108" i="10"/>
  <c r="I108" i="11" s="1"/>
  <c r="H108" i="10"/>
  <c r="H108" i="11" s="1"/>
  <c r="L108" i="11" s="1"/>
  <c r="M108" i="11" s="1"/>
  <c r="K107" i="10"/>
  <c r="K107" i="11" s="1"/>
  <c r="J107" i="10"/>
  <c r="J107" i="11" s="1"/>
  <c r="I107" i="10"/>
  <c r="I107" i="11" s="1"/>
  <c r="H107" i="10"/>
  <c r="H107" i="11" s="1"/>
  <c r="K106" i="10"/>
  <c r="K106" i="11" s="1"/>
  <c r="J106" i="10"/>
  <c r="J106" i="11" s="1"/>
  <c r="I106" i="10"/>
  <c r="I106" i="11" s="1"/>
  <c r="H106" i="10"/>
  <c r="H106" i="11" s="1"/>
  <c r="K105" i="10"/>
  <c r="K105" i="11" s="1"/>
  <c r="J105" i="10"/>
  <c r="J105" i="11" s="1"/>
  <c r="I105" i="10"/>
  <c r="I105" i="11" s="1"/>
  <c r="H105" i="10"/>
  <c r="H105" i="11" s="1"/>
  <c r="L105" i="11" s="1"/>
  <c r="M105" i="11" s="1"/>
  <c r="K104" i="10"/>
  <c r="K104" i="11" s="1"/>
  <c r="J104" i="10"/>
  <c r="J104" i="11" s="1"/>
  <c r="I104" i="10"/>
  <c r="I104" i="11" s="1"/>
  <c r="H104" i="10"/>
  <c r="H104" i="11" s="1"/>
  <c r="L104" i="11" s="1"/>
  <c r="M104" i="11" s="1"/>
  <c r="K103" i="10"/>
  <c r="K103" i="11" s="1"/>
  <c r="J103" i="10"/>
  <c r="J103" i="11" s="1"/>
  <c r="I103" i="10"/>
  <c r="I103" i="11" s="1"/>
  <c r="H103" i="10"/>
  <c r="H103" i="11" s="1"/>
  <c r="K102" i="10"/>
  <c r="K102" i="11" s="1"/>
  <c r="J102" i="10"/>
  <c r="J102" i="11" s="1"/>
  <c r="I102" i="10"/>
  <c r="I102" i="11" s="1"/>
  <c r="H102" i="10"/>
  <c r="H102" i="11" s="1"/>
  <c r="K101" i="10"/>
  <c r="K101" i="11" s="1"/>
  <c r="J101" i="10"/>
  <c r="J101" i="11" s="1"/>
  <c r="I101" i="10"/>
  <c r="I101" i="11" s="1"/>
  <c r="H101" i="10"/>
  <c r="H101" i="11" s="1"/>
  <c r="L101" i="11" s="1"/>
  <c r="M101" i="11" s="1"/>
  <c r="K100" i="10"/>
  <c r="K100" i="11" s="1"/>
  <c r="J100" i="10"/>
  <c r="J100" i="11" s="1"/>
  <c r="I100" i="10"/>
  <c r="I100" i="11" s="1"/>
  <c r="H100" i="10"/>
  <c r="H100" i="11" s="1"/>
  <c r="L100" i="11" s="1"/>
  <c r="M100" i="11" s="1"/>
  <c r="K99" i="10"/>
  <c r="K99" i="11" s="1"/>
  <c r="J99" i="10"/>
  <c r="J99" i="11" s="1"/>
  <c r="I99" i="10"/>
  <c r="I99" i="11" s="1"/>
  <c r="H99" i="10"/>
  <c r="H99" i="11" s="1"/>
  <c r="K98" i="10"/>
  <c r="K98" i="11" s="1"/>
  <c r="J98" i="10"/>
  <c r="J98" i="11" s="1"/>
  <c r="I98" i="10"/>
  <c r="I98" i="11" s="1"/>
  <c r="H98" i="10"/>
  <c r="H98" i="11" s="1"/>
  <c r="K97" i="10"/>
  <c r="K97" i="11" s="1"/>
  <c r="J97" i="10"/>
  <c r="J97" i="11" s="1"/>
  <c r="I97" i="10"/>
  <c r="I97" i="11" s="1"/>
  <c r="H97" i="10"/>
  <c r="H97" i="11" s="1"/>
  <c r="L97" i="11" s="1"/>
  <c r="M97" i="11" s="1"/>
  <c r="K96" i="10"/>
  <c r="K96" i="11" s="1"/>
  <c r="J96" i="10"/>
  <c r="J96" i="11" s="1"/>
  <c r="I96" i="10"/>
  <c r="I96" i="11" s="1"/>
  <c r="H96" i="10"/>
  <c r="H96" i="11" s="1"/>
  <c r="L96" i="11" s="1"/>
  <c r="M96" i="11" s="1"/>
  <c r="K95" i="10"/>
  <c r="K95" i="11" s="1"/>
  <c r="J95" i="10"/>
  <c r="J95" i="11" s="1"/>
  <c r="I95" i="10"/>
  <c r="I95" i="11" s="1"/>
  <c r="H95" i="10"/>
  <c r="H95" i="11" s="1"/>
  <c r="K94" i="10"/>
  <c r="K94" i="11" s="1"/>
  <c r="J94" i="10"/>
  <c r="J94" i="11" s="1"/>
  <c r="I94" i="10"/>
  <c r="I94" i="11" s="1"/>
  <c r="H94" i="10"/>
  <c r="H94" i="11" s="1"/>
  <c r="K93" i="10"/>
  <c r="K93" i="11" s="1"/>
  <c r="J93" i="10"/>
  <c r="J93" i="11" s="1"/>
  <c r="I93" i="10"/>
  <c r="I93" i="11" s="1"/>
  <c r="H93" i="10"/>
  <c r="H93" i="11" s="1"/>
  <c r="L93" i="11" s="1"/>
  <c r="M93" i="11" s="1"/>
  <c r="K92" i="10"/>
  <c r="K92" i="11" s="1"/>
  <c r="J92" i="10"/>
  <c r="J92" i="11" s="1"/>
  <c r="I92" i="10"/>
  <c r="I92" i="11" s="1"/>
  <c r="H92" i="10"/>
  <c r="H92" i="11" s="1"/>
  <c r="L92" i="11" s="1"/>
  <c r="M92" i="11" s="1"/>
  <c r="K91" i="10"/>
  <c r="K91" i="11" s="1"/>
  <c r="J91" i="10"/>
  <c r="J91" i="11" s="1"/>
  <c r="I91" i="10"/>
  <c r="I91" i="11" s="1"/>
  <c r="H91" i="10"/>
  <c r="H91" i="11" s="1"/>
  <c r="L90" i="10"/>
  <c r="M90" i="10" s="1"/>
  <c r="K90" i="10"/>
  <c r="K90" i="11" s="1"/>
  <c r="J90" i="10"/>
  <c r="J90" i="11" s="1"/>
  <c r="I90" i="10"/>
  <c r="I90" i="11" s="1"/>
  <c r="H90" i="10"/>
  <c r="H90" i="11" s="1"/>
  <c r="K89" i="10"/>
  <c r="K89" i="11" s="1"/>
  <c r="J89" i="10"/>
  <c r="J89" i="11" s="1"/>
  <c r="I89" i="10"/>
  <c r="I89" i="11" s="1"/>
  <c r="H89" i="10"/>
  <c r="H89" i="11" s="1"/>
  <c r="L89" i="11" s="1"/>
  <c r="M89" i="11" s="1"/>
  <c r="K88" i="10"/>
  <c r="K88" i="11" s="1"/>
  <c r="J88" i="10"/>
  <c r="J88" i="11" s="1"/>
  <c r="I88" i="10"/>
  <c r="I88" i="11" s="1"/>
  <c r="H88" i="10"/>
  <c r="H88" i="11" s="1"/>
  <c r="L88" i="11" s="1"/>
  <c r="M88" i="11" s="1"/>
  <c r="K87" i="10"/>
  <c r="K87" i="11" s="1"/>
  <c r="J87" i="10"/>
  <c r="J87" i="11" s="1"/>
  <c r="I87" i="10"/>
  <c r="I87" i="11" s="1"/>
  <c r="H87" i="10"/>
  <c r="H87" i="11" s="1"/>
  <c r="K86" i="10"/>
  <c r="K86" i="11" s="1"/>
  <c r="J86" i="10"/>
  <c r="J86" i="11" s="1"/>
  <c r="I86" i="10"/>
  <c r="I86" i="11" s="1"/>
  <c r="H86" i="10"/>
  <c r="H86" i="11" s="1"/>
  <c r="K85" i="10"/>
  <c r="K85" i="11" s="1"/>
  <c r="J85" i="10"/>
  <c r="J85" i="11" s="1"/>
  <c r="I85" i="10"/>
  <c r="I85" i="11" s="1"/>
  <c r="H85" i="10"/>
  <c r="H85" i="11" s="1"/>
  <c r="L85" i="11" s="1"/>
  <c r="M85" i="11" s="1"/>
  <c r="K84" i="10"/>
  <c r="K84" i="11" s="1"/>
  <c r="J84" i="10"/>
  <c r="J84" i="11" s="1"/>
  <c r="I84" i="10"/>
  <c r="I84" i="11" s="1"/>
  <c r="H84" i="10"/>
  <c r="H84" i="11" s="1"/>
  <c r="L84" i="11" s="1"/>
  <c r="M84" i="11" s="1"/>
  <c r="K83" i="10"/>
  <c r="K83" i="11" s="1"/>
  <c r="J83" i="10"/>
  <c r="J83" i="11" s="1"/>
  <c r="I83" i="10"/>
  <c r="I83" i="11" s="1"/>
  <c r="H83" i="10"/>
  <c r="H83" i="11" s="1"/>
  <c r="K82" i="10"/>
  <c r="K82" i="11" s="1"/>
  <c r="J82" i="10"/>
  <c r="J82" i="11" s="1"/>
  <c r="I82" i="10"/>
  <c r="I82" i="11" s="1"/>
  <c r="H82" i="10"/>
  <c r="H82" i="11" s="1"/>
  <c r="K80" i="10"/>
  <c r="K80" i="11" s="1"/>
  <c r="J80" i="10"/>
  <c r="J80" i="11" s="1"/>
  <c r="I80" i="10"/>
  <c r="I80" i="11" s="1"/>
  <c r="H80" i="10"/>
  <c r="H80" i="11" s="1"/>
  <c r="L80" i="11" s="1"/>
  <c r="M80" i="11" s="1"/>
  <c r="K79" i="10"/>
  <c r="K79" i="11" s="1"/>
  <c r="J79" i="10"/>
  <c r="J79" i="11" s="1"/>
  <c r="I79" i="10"/>
  <c r="I79" i="11" s="1"/>
  <c r="H79" i="10"/>
  <c r="H79" i="11" s="1"/>
  <c r="L79" i="11" s="1"/>
  <c r="M79" i="11" s="1"/>
  <c r="K78" i="10"/>
  <c r="K78" i="11" s="1"/>
  <c r="J78" i="10"/>
  <c r="J78" i="11" s="1"/>
  <c r="I78" i="10"/>
  <c r="I78" i="11" s="1"/>
  <c r="H78" i="10"/>
  <c r="H78" i="11" s="1"/>
  <c r="L77" i="10"/>
  <c r="M77" i="10" s="1"/>
  <c r="K77" i="10"/>
  <c r="K77" i="11" s="1"/>
  <c r="J77" i="10"/>
  <c r="J77" i="11" s="1"/>
  <c r="I77" i="10"/>
  <c r="I77" i="11" s="1"/>
  <c r="H77" i="10"/>
  <c r="H77" i="11" s="1"/>
  <c r="K76" i="10"/>
  <c r="K76" i="11" s="1"/>
  <c r="J76" i="10"/>
  <c r="J76" i="11" s="1"/>
  <c r="I76" i="10"/>
  <c r="I76" i="11" s="1"/>
  <c r="H76" i="10"/>
  <c r="H76" i="11" s="1"/>
  <c r="L76" i="11" s="1"/>
  <c r="M76" i="11" s="1"/>
  <c r="K75" i="10"/>
  <c r="K75" i="11" s="1"/>
  <c r="J75" i="10"/>
  <c r="J75" i="11" s="1"/>
  <c r="I75" i="10"/>
  <c r="I75" i="11" s="1"/>
  <c r="H75" i="10"/>
  <c r="H75" i="11" s="1"/>
  <c r="L75" i="11" s="1"/>
  <c r="M75" i="11" s="1"/>
  <c r="K74" i="10"/>
  <c r="K74" i="11" s="1"/>
  <c r="J74" i="10"/>
  <c r="J74" i="11" s="1"/>
  <c r="I74" i="10"/>
  <c r="I74" i="11" s="1"/>
  <c r="H74" i="10"/>
  <c r="H74" i="11" s="1"/>
  <c r="L73" i="10"/>
  <c r="M73" i="10" s="1"/>
  <c r="K73" i="10"/>
  <c r="K73" i="11" s="1"/>
  <c r="J73" i="10"/>
  <c r="J73" i="11" s="1"/>
  <c r="I73" i="10"/>
  <c r="I73" i="11" s="1"/>
  <c r="H73" i="10"/>
  <c r="H73" i="11" s="1"/>
  <c r="K72" i="10"/>
  <c r="K72" i="11" s="1"/>
  <c r="J72" i="10"/>
  <c r="J72" i="11" s="1"/>
  <c r="I72" i="10"/>
  <c r="I72" i="11" s="1"/>
  <c r="H72" i="10"/>
  <c r="H72" i="11" s="1"/>
  <c r="L72" i="11" s="1"/>
  <c r="M72" i="11" s="1"/>
  <c r="K71" i="10"/>
  <c r="K71" i="11" s="1"/>
  <c r="J71" i="10"/>
  <c r="J71" i="11" s="1"/>
  <c r="I71" i="10"/>
  <c r="I71" i="11" s="1"/>
  <c r="H71" i="10"/>
  <c r="H71" i="11" s="1"/>
  <c r="L71" i="11" s="1"/>
  <c r="M71" i="11" s="1"/>
  <c r="K70" i="10"/>
  <c r="K70" i="11" s="1"/>
  <c r="J70" i="10"/>
  <c r="J70" i="11" s="1"/>
  <c r="I70" i="10"/>
  <c r="I70" i="11" s="1"/>
  <c r="H70" i="10"/>
  <c r="H70" i="11" s="1"/>
  <c r="L69" i="10"/>
  <c r="M69" i="10" s="1"/>
  <c r="K69" i="10"/>
  <c r="K69" i="11" s="1"/>
  <c r="J69" i="10"/>
  <c r="J69" i="11" s="1"/>
  <c r="I69" i="10"/>
  <c r="I69" i="11" s="1"/>
  <c r="H69" i="10"/>
  <c r="H69" i="11" s="1"/>
  <c r="K68" i="10"/>
  <c r="K68" i="11" s="1"/>
  <c r="J68" i="10"/>
  <c r="J68" i="11" s="1"/>
  <c r="I68" i="10"/>
  <c r="I68" i="11" s="1"/>
  <c r="H68" i="10"/>
  <c r="H68" i="11" s="1"/>
  <c r="L68" i="11" s="1"/>
  <c r="M68" i="11" s="1"/>
  <c r="K67" i="10"/>
  <c r="K67" i="11" s="1"/>
  <c r="J67" i="10"/>
  <c r="J67" i="11" s="1"/>
  <c r="I67" i="10"/>
  <c r="I67" i="11" s="1"/>
  <c r="H67" i="10"/>
  <c r="K66" i="10"/>
  <c r="K66" i="11" s="1"/>
  <c r="J66" i="10"/>
  <c r="J66" i="11" s="1"/>
  <c r="I66" i="10"/>
  <c r="I66" i="11" s="1"/>
  <c r="H66" i="10"/>
  <c r="H66" i="11" s="1"/>
  <c r="L65" i="10"/>
  <c r="K65" i="10"/>
  <c r="K65" i="11" s="1"/>
  <c r="J65" i="10"/>
  <c r="J65" i="11" s="1"/>
  <c r="I65" i="10"/>
  <c r="I65" i="11" s="1"/>
  <c r="H65" i="10"/>
  <c r="H65" i="11" s="1"/>
  <c r="K64" i="10"/>
  <c r="K64" i="11" s="1"/>
  <c r="J64" i="10"/>
  <c r="J64" i="11" s="1"/>
  <c r="I64" i="10"/>
  <c r="I64" i="11" s="1"/>
  <c r="H64" i="10"/>
  <c r="H64" i="11" s="1"/>
  <c r="L64" i="11" s="1"/>
  <c r="M64" i="11" s="1"/>
  <c r="K63" i="10"/>
  <c r="K63" i="11" s="1"/>
  <c r="J63" i="10"/>
  <c r="J63" i="11" s="1"/>
  <c r="I63" i="10"/>
  <c r="I63" i="11" s="1"/>
  <c r="H63" i="10"/>
  <c r="K62" i="10"/>
  <c r="K62" i="11" s="1"/>
  <c r="J62" i="10"/>
  <c r="J62" i="11" s="1"/>
  <c r="I62" i="10"/>
  <c r="H62" i="10"/>
  <c r="H62" i="11" s="1"/>
  <c r="K60" i="10"/>
  <c r="K60" i="11" s="1"/>
  <c r="J60" i="10"/>
  <c r="J60" i="11" s="1"/>
  <c r="I60" i="10"/>
  <c r="I60" i="11" s="1"/>
  <c r="H60" i="10"/>
  <c r="H60" i="11" s="1"/>
  <c r="K59" i="10"/>
  <c r="K59" i="11" s="1"/>
  <c r="J59" i="10"/>
  <c r="J59" i="11" s="1"/>
  <c r="I59" i="10"/>
  <c r="I59" i="11" s="1"/>
  <c r="H59" i="10"/>
  <c r="H59" i="11" s="1"/>
  <c r="L59" i="11" s="1"/>
  <c r="M59" i="11" s="1"/>
  <c r="K58" i="10"/>
  <c r="K58" i="11" s="1"/>
  <c r="J58" i="10"/>
  <c r="J58" i="11" s="1"/>
  <c r="I58" i="10"/>
  <c r="I58" i="11" s="1"/>
  <c r="H58" i="10"/>
  <c r="K56" i="10"/>
  <c r="K56" i="11" s="1"/>
  <c r="J56" i="10"/>
  <c r="J56" i="11" s="1"/>
  <c r="I56" i="10"/>
  <c r="H56" i="10"/>
  <c r="H56" i="11" s="1"/>
  <c r="L55" i="10"/>
  <c r="K55" i="10"/>
  <c r="K55" i="11" s="1"/>
  <c r="J55" i="10"/>
  <c r="J55" i="11" s="1"/>
  <c r="I55" i="10"/>
  <c r="I55" i="11" s="1"/>
  <c r="H55" i="10"/>
  <c r="H55" i="11" s="1"/>
  <c r="K54" i="10"/>
  <c r="K54" i="11" s="1"/>
  <c r="J54" i="10"/>
  <c r="J54" i="11" s="1"/>
  <c r="I54" i="10"/>
  <c r="I54" i="11" s="1"/>
  <c r="H54" i="10"/>
  <c r="H54" i="11" s="1"/>
  <c r="L54" i="11" s="1"/>
  <c r="M54" i="11" s="1"/>
  <c r="K53" i="10"/>
  <c r="K53" i="11" s="1"/>
  <c r="J53" i="10"/>
  <c r="J53" i="11" s="1"/>
  <c r="I53" i="10"/>
  <c r="I53" i="11" s="1"/>
  <c r="H53" i="10"/>
  <c r="K52" i="10"/>
  <c r="K52" i="11" s="1"/>
  <c r="J52" i="10"/>
  <c r="J52" i="11" s="1"/>
  <c r="I52" i="10"/>
  <c r="H52" i="10"/>
  <c r="H52" i="11" s="1"/>
  <c r="K51" i="10"/>
  <c r="J51" i="10"/>
  <c r="J51" i="11" s="1"/>
  <c r="I51" i="10"/>
  <c r="I51" i="11" s="1"/>
  <c r="H51" i="10"/>
  <c r="H51" i="11" s="1"/>
  <c r="K50" i="10"/>
  <c r="K50" i="11" s="1"/>
  <c r="J50" i="10"/>
  <c r="J50" i="11" s="1"/>
  <c r="I50" i="10"/>
  <c r="I50" i="11" s="1"/>
  <c r="H50" i="10"/>
  <c r="H50" i="11" s="1"/>
  <c r="L50" i="11" s="1"/>
  <c r="M50" i="11" s="1"/>
  <c r="K49" i="10"/>
  <c r="K49" i="11" s="1"/>
  <c r="J49" i="10"/>
  <c r="J49" i="11" s="1"/>
  <c r="I49" i="10"/>
  <c r="I49" i="11" s="1"/>
  <c r="H49" i="10"/>
  <c r="K48" i="10"/>
  <c r="K48" i="11" s="1"/>
  <c r="J48" i="10"/>
  <c r="J48" i="11" s="1"/>
  <c r="I48" i="10"/>
  <c r="H48" i="10"/>
  <c r="H48" i="11" s="1"/>
  <c r="K47" i="10"/>
  <c r="K47" i="11" s="1"/>
  <c r="J47" i="10"/>
  <c r="J47" i="11" s="1"/>
  <c r="I47" i="10"/>
  <c r="I47" i="11" s="1"/>
  <c r="H47" i="10"/>
  <c r="H47" i="11" s="1"/>
  <c r="K46" i="10"/>
  <c r="K46" i="11" s="1"/>
  <c r="J46" i="10"/>
  <c r="J46" i="11" s="1"/>
  <c r="I46" i="10"/>
  <c r="I46" i="11" s="1"/>
  <c r="H46" i="10"/>
  <c r="H46" i="11" s="1"/>
  <c r="L46" i="11" s="1"/>
  <c r="M46" i="11" s="1"/>
  <c r="K45" i="10"/>
  <c r="K45" i="11" s="1"/>
  <c r="J45" i="10"/>
  <c r="J45" i="11" s="1"/>
  <c r="I45" i="10"/>
  <c r="I45" i="11" s="1"/>
  <c r="H45" i="10"/>
  <c r="K44" i="10"/>
  <c r="K44" i="11" s="1"/>
  <c r="J44" i="10"/>
  <c r="J44" i="11" s="1"/>
  <c r="I44" i="10"/>
  <c r="H44" i="10"/>
  <c r="H44" i="11" s="1"/>
  <c r="K43" i="10"/>
  <c r="K43" i="11" s="1"/>
  <c r="J43" i="10"/>
  <c r="J43" i="11" s="1"/>
  <c r="I43" i="10"/>
  <c r="I43" i="11" s="1"/>
  <c r="H43" i="10"/>
  <c r="H43" i="11" s="1"/>
  <c r="K42" i="10"/>
  <c r="K42" i="11" s="1"/>
  <c r="J42" i="10"/>
  <c r="J42" i="11" s="1"/>
  <c r="I42" i="10"/>
  <c r="I42" i="11" s="1"/>
  <c r="H42" i="10"/>
  <c r="H42" i="11" s="1"/>
  <c r="L41" i="10"/>
  <c r="K41" i="10"/>
  <c r="K41" i="11" s="1"/>
  <c r="J41" i="10"/>
  <c r="J41" i="11" s="1"/>
  <c r="I41" i="10"/>
  <c r="I41" i="11" s="1"/>
  <c r="H41" i="10"/>
  <c r="H41" i="11" s="1"/>
  <c r="L41" i="11" s="1"/>
  <c r="M41" i="11" s="1"/>
  <c r="K39" i="10"/>
  <c r="K39" i="11" s="1"/>
  <c r="J39" i="10"/>
  <c r="J39" i="11" s="1"/>
  <c r="I39" i="10"/>
  <c r="H39" i="10"/>
  <c r="H39" i="11" s="1"/>
  <c r="K38" i="10"/>
  <c r="K38" i="11" s="1"/>
  <c r="J38" i="10"/>
  <c r="J38" i="11" s="1"/>
  <c r="I38" i="10"/>
  <c r="I38" i="11" s="1"/>
  <c r="H38" i="10"/>
  <c r="H38" i="11" s="1"/>
  <c r="K37" i="10"/>
  <c r="K37" i="11" s="1"/>
  <c r="J37" i="10"/>
  <c r="J37" i="11" s="1"/>
  <c r="I37" i="10"/>
  <c r="I37" i="11" s="1"/>
  <c r="H37" i="10"/>
  <c r="H37" i="11" s="1"/>
  <c r="K36" i="10"/>
  <c r="K36" i="11" s="1"/>
  <c r="J36" i="10"/>
  <c r="J36" i="11" s="1"/>
  <c r="I36" i="10"/>
  <c r="I36" i="11" s="1"/>
  <c r="H36" i="10"/>
  <c r="K35" i="10"/>
  <c r="K35" i="11" s="1"/>
  <c r="J35" i="10"/>
  <c r="J35" i="11" s="1"/>
  <c r="I35" i="10"/>
  <c r="H35" i="10"/>
  <c r="H35" i="11" s="1"/>
  <c r="M34" i="10"/>
  <c r="L34" i="10"/>
  <c r="K34" i="10"/>
  <c r="K34" i="11" s="1"/>
  <c r="J34" i="10"/>
  <c r="J34" i="11" s="1"/>
  <c r="I34" i="10"/>
  <c r="I34" i="11" s="1"/>
  <c r="H34" i="10"/>
  <c r="H34" i="11" s="1"/>
  <c r="K33" i="10"/>
  <c r="K33" i="11" s="1"/>
  <c r="J33" i="10"/>
  <c r="J33" i="11" s="1"/>
  <c r="I33" i="10"/>
  <c r="I33" i="11" s="1"/>
  <c r="H33" i="10"/>
  <c r="H33" i="11" s="1"/>
  <c r="L32" i="10"/>
  <c r="K32" i="10"/>
  <c r="K32" i="11" s="1"/>
  <c r="J32" i="10"/>
  <c r="J32" i="11" s="1"/>
  <c r="I32" i="10"/>
  <c r="I32" i="11" s="1"/>
  <c r="H32" i="10"/>
  <c r="H32" i="11" s="1"/>
  <c r="L32" i="11" s="1"/>
  <c r="M32" i="11" s="1"/>
  <c r="K31" i="10"/>
  <c r="K31" i="11" s="1"/>
  <c r="J31" i="10"/>
  <c r="J31" i="11" s="1"/>
  <c r="I31" i="10"/>
  <c r="H31" i="10"/>
  <c r="H31" i="11" s="1"/>
  <c r="K29" i="10"/>
  <c r="K29" i="11" s="1"/>
  <c r="J29" i="10"/>
  <c r="J29" i="11" s="1"/>
  <c r="I29" i="10"/>
  <c r="I29" i="11" s="1"/>
  <c r="H29" i="10"/>
  <c r="H29" i="11" s="1"/>
  <c r="L29" i="11" s="1"/>
  <c r="M29" i="11" s="1"/>
  <c r="K28" i="10"/>
  <c r="K28" i="11" s="1"/>
  <c r="J28" i="10"/>
  <c r="J28" i="11" s="1"/>
  <c r="I28" i="10"/>
  <c r="I28" i="11" s="1"/>
  <c r="H28" i="10"/>
  <c r="K27" i="10"/>
  <c r="K27" i="11" s="1"/>
  <c r="J27" i="10"/>
  <c r="J27" i="11" s="1"/>
  <c r="K27" i="12" s="1"/>
  <c r="I27" i="10"/>
  <c r="I27" i="11" s="1"/>
  <c r="H27" i="10"/>
  <c r="H27" i="11" s="1"/>
  <c r="K26" i="10"/>
  <c r="K26" i="11" s="1"/>
  <c r="J26" i="10"/>
  <c r="J26" i="11" s="1"/>
  <c r="I26" i="10"/>
  <c r="H26" i="10"/>
  <c r="H26" i="11" s="1"/>
  <c r="K25" i="10"/>
  <c r="K25" i="11" s="1"/>
  <c r="J25" i="10"/>
  <c r="J25" i="11" s="1"/>
  <c r="I25" i="10"/>
  <c r="I25" i="11" s="1"/>
  <c r="H25" i="10"/>
  <c r="H25" i="11" s="1"/>
  <c r="K24" i="10"/>
  <c r="K24" i="11" s="1"/>
  <c r="J24" i="10"/>
  <c r="J24" i="11" s="1"/>
  <c r="I24" i="10"/>
  <c r="I24" i="11" s="1"/>
  <c r="H24" i="10"/>
  <c r="K23" i="10"/>
  <c r="K23" i="11" s="1"/>
  <c r="J23" i="10"/>
  <c r="J23" i="11" s="1"/>
  <c r="I23" i="10"/>
  <c r="I23" i="11" s="1"/>
  <c r="H23" i="10"/>
  <c r="H23" i="11" s="1"/>
  <c r="L22" i="10"/>
  <c r="K22" i="10"/>
  <c r="K22" i="11" s="1"/>
  <c r="J22" i="10"/>
  <c r="J22" i="11" s="1"/>
  <c r="I22" i="10"/>
  <c r="I22" i="11" s="1"/>
  <c r="H22" i="10"/>
  <c r="H22" i="11" s="1"/>
  <c r="K21" i="10"/>
  <c r="K21" i="11" s="1"/>
  <c r="J21" i="10"/>
  <c r="J21" i="11" s="1"/>
  <c r="I21" i="10"/>
  <c r="I21" i="11" s="1"/>
  <c r="H21" i="10"/>
  <c r="K20" i="10"/>
  <c r="K20" i="11" s="1"/>
  <c r="J20" i="10"/>
  <c r="J20" i="11" s="1"/>
  <c r="I20" i="10"/>
  <c r="I20" i="11" s="1"/>
  <c r="H20" i="10"/>
  <c r="K19" i="10"/>
  <c r="K19" i="11" s="1"/>
  <c r="J19" i="10"/>
  <c r="J19" i="11" s="1"/>
  <c r="I19" i="10"/>
  <c r="I19" i="11" s="1"/>
  <c r="H19" i="10"/>
  <c r="H19" i="11" s="1"/>
  <c r="L19" i="11" s="1"/>
  <c r="M19" i="11" s="1"/>
  <c r="K18" i="10"/>
  <c r="K18" i="11" s="1"/>
  <c r="J18" i="10"/>
  <c r="J18" i="11" s="1"/>
  <c r="I18" i="10"/>
  <c r="I18" i="11" s="1"/>
  <c r="H18" i="10"/>
  <c r="H18" i="11" s="1"/>
  <c r="K17" i="10"/>
  <c r="K17" i="11" s="1"/>
  <c r="J17" i="10"/>
  <c r="J17" i="11" s="1"/>
  <c r="I17" i="10"/>
  <c r="I17" i="11" s="1"/>
  <c r="H17" i="10"/>
  <c r="H17" i="11" s="1"/>
  <c r="K16" i="10"/>
  <c r="K16" i="11" s="1"/>
  <c r="J16" i="10"/>
  <c r="J16" i="11" s="1"/>
  <c r="I16" i="10"/>
  <c r="I16" i="11" s="1"/>
  <c r="H16" i="10"/>
  <c r="K15" i="10"/>
  <c r="K15" i="11" s="1"/>
  <c r="J15" i="10"/>
  <c r="J15" i="11" s="1"/>
  <c r="I15" i="10"/>
  <c r="I15" i="11" s="1"/>
  <c r="H15" i="10"/>
  <c r="H15" i="11" s="1"/>
  <c r="K14" i="10"/>
  <c r="K14" i="11" s="1"/>
  <c r="J14" i="10"/>
  <c r="J14" i="11" s="1"/>
  <c r="I14" i="10"/>
  <c r="I14" i="11" s="1"/>
  <c r="H14" i="10"/>
  <c r="H14" i="11" s="1"/>
  <c r="K13" i="10"/>
  <c r="K13" i="11" s="1"/>
  <c r="J13" i="10"/>
  <c r="J13" i="11" s="1"/>
  <c r="I13" i="10"/>
  <c r="I13" i="11" s="1"/>
  <c r="H13" i="10"/>
  <c r="H13" i="11" s="1"/>
  <c r="K12" i="10"/>
  <c r="K12" i="11" s="1"/>
  <c r="J12" i="10"/>
  <c r="J12" i="11" s="1"/>
  <c r="I12" i="10"/>
  <c r="I12" i="11" s="1"/>
  <c r="H12" i="10"/>
  <c r="H12" i="11" s="1"/>
  <c r="K11" i="10"/>
  <c r="K11" i="11" s="1"/>
  <c r="J11" i="10"/>
  <c r="J11" i="11" s="1"/>
  <c r="I11" i="10"/>
  <c r="I11" i="11" s="1"/>
  <c r="H11" i="10"/>
  <c r="H11" i="11" s="1"/>
  <c r="L11" i="11" s="1"/>
  <c r="M11" i="11" s="1"/>
  <c r="L10" i="10"/>
  <c r="K10" i="10"/>
  <c r="K10" i="11" s="1"/>
  <c r="J10" i="10"/>
  <c r="J10" i="11" s="1"/>
  <c r="I10" i="10"/>
  <c r="I10" i="11" s="1"/>
  <c r="H10" i="10"/>
  <c r="H10" i="11" s="1"/>
  <c r="L10" i="11" s="1"/>
  <c r="M10" i="11" s="1"/>
  <c r="L9" i="10"/>
  <c r="K9" i="10"/>
  <c r="K9" i="11" s="1"/>
  <c r="J9" i="10"/>
  <c r="J9" i="11" s="1"/>
  <c r="I9" i="10"/>
  <c r="I9" i="11" s="1"/>
  <c r="H9" i="10"/>
  <c r="H9" i="11" s="1"/>
  <c r="L9" i="11" s="1"/>
  <c r="M9" i="11" s="1"/>
  <c r="M8" i="10"/>
  <c r="L8" i="10"/>
  <c r="K8" i="10"/>
  <c r="K8" i="11" s="1"/>
  <c r="J8" i="10"/>
  <c r="J8" i="11" s="1"/>
  <c r="I8" i="10"/>
  <c r="I8" i="11" s="1"/>
  <c r="H8" i="10"/>
  <c r="H8" i="11" s="1"/>
  <c r="K7" i="10"/>
  <c r="K7" i="11" s="1"/>
  <c r="J7" i="10"/>
  <c r="I7" i="10"/>
  <c r="I7" i="11" s="1"/>
  <c r="H7" i="10"/>
  <c r="H7" i="11" s="1"/>
  <c r="K6" i="10"/>
  <c r="K6" i="11" s="1"/>
  <c r="J6" i="10"/>
  <c r="I6" i="10"/>
  <c r="I6" i="11" s="1"/>
  <c r="H6" i="10"/>
  <c r="H6" i="11" s="1"/>
  <c r="I46" i="9"/>
  <c r="I45" i="9"/>
  <c r="I44" i="9"/>
  <c r="I43" i="9"/>
  <c r="I42" i="9"/>
  <c r="I41" i="9"/>
  <c r="I40" i="9"/>
  <c r="I39" i="9"/>
  <c r="I38" i="9"/>
  <c r="I37" i="9"/>
  <c r="I36" i="9"/>
  <c r="I35" i="9"/>
  <c r="I34" i="9"/>
  <c r="I33" i="9"/>
  <c r="I32" i="9"/>
  <c r="I31" i="9"/>
  <c r="I30" i="9"/>
  <c r="I29" i="9"/>
  <c r="I28" i="9"/>
  <c r="I27" i="9"/>
  <c r="I26" i="9"/>
  <c r="I25" i="9"/>
  <c r="I24" i="9"/>
  <c r="I23" i="9"/>
  <c r="I22" i="9"/>
  <c r="I21" i="9"/>
  <c r="I20" i="9"/>
  <c r="I19" i="9"/>
  <c r="I18" i="9"/>
  <c r="C34" i="5"/>
  <c r="R530" i="4"/>
  <c r="N530" i="4"/>
  <c r="R529" i="4"/>
  <c r="Q529" i="4"/>
  <c r="O529" i="4"/>
  <c r="N529" i="4"/>
  <c r="P529" i="4" s="1"/>
  <c r="R528" i="4"/>
  <c r="N528" i="4"/>
  <c r="Q528" i="4" s="1"/>
  <c r="R527" i="4"/>
  <c r="N527" i="4"/>
  <c r="Q527" i="4" s="1"/>
  <c r="R526" i="4"/>
  <c r="Q526" i="4"/>
  <c r="P526" i="4"/>
  <c r="N526" i="4"/>
  <c r="O526" i="4" s="1"/>
  <c r="R525" i="4"/>
  <c r="N525" i="4"/>
  <c r="R524" i="4"/>
  <c r="N524" i="4"/>
  <c r="Q524" i="4" s="1"/>
  <c r="R523" i="4"/>
  <c r="Q523" i="4"/>
  <c r="P523" i="4"/>
  <c r="O523" i="4"/>
  <c r="N523" i="4"/>
  <c r="R522" i="4"/>
  <c r="N522" i="4"/>
  <c r="R521" i="4"/>
  <c r="Q521" i="4"/>
  <c r="O521" i="4"/>
  <c r="N521" i="4"/>
  <c r="P521" i="4" s="1"/>
  <c r="R520" i="4"/>
  <c r="N520" i="4"/>
  <c r="Q520" i="4" s="1"/>
  <c r="R519" i="4"/>
  <c r="N519" i="4"/>
  <c r="Q519" i="4" s="1"/>
  <c r="R518" i="4"/>
  <c r="Q518" i="4"/>
  <c r="P518" i="4"/>
  <c r="N518" i="4"/>
  <c r="O518" i="4" s="1"/>
  <c r="R517" i="4"/>
  <c r="O517" i="4"/>
  <c r="N517" i="4"/>
  <c r="R516" i="4"/>
  <c r="N516" i="4"/>
  <c r="Q516" i="4" s="1"/>
  <c r="R515" i="4"/>
  <c r="Q515" i="4"/>
  <c r="P515" i="4"/>
  <c r="O515" i="4"/>
  <c r="N515" i="4"/>
  <c r="R514" i="4"/>
  <c r="N514" i="4"/>
  <c r="R513" i="4"/>
  <c r="Q513" i="4"/>
  <c r="O513" i="4"/>
  <c r="N513" i="4"/>
  <c r="P513" i="4" s="1"/>
  <c r="R512" i="4"/>
  <c r="P512" i="4"/>
  <c r="N512" i="4"/>
  <c r="Q512" i="4" s="1"/>
  <c r="R511" i="4"/>
  <c r="N511" i="4"/>
  <c r="Q511" i="4" s="1"/>
  <c r="R510" i="4"/>
  <c r="Q510" i="4"/>
  <c r="P510" i="4"/>
  <c r="N510" i="4"/>
  <c r="O510" i="4" s="1"/>
  <c r="R509" i="4"/>
  <c r="O509" i="4"/>
  <c r="N509" i="4"/>
  <c r="R508" i="4"/>
  <c r="N508" i="4"/>
  <c r="Q508" i="4" s="1"/>
  <c r="R507" i="4"/>
  <c r="Q507" i="4"/>
  <c r="N507" i="4"/>
  <c r="P507" i="4" s="1"/>
  <c r="R506" i="4"/>
  <c r="N506" i="4"/>
  <c r="R505" i="4"/>
  <c r="Q505" i="4"/>
  <c r="N505" i="4"/>
  <c r="P505" i="4" s="1"/>
  <c r="R504" i="4"/>
  <c r="N504" i="4"/>
  <c r="R503" i="4"/>
  <c r="N503" i="4"/>
  <c r="Q503" i="4" s="1"/>
  <c r="R502" i="4"/>
  <c r="Q502" i="4"/>
  <c r="P502" i="4"/>
  <c r="N502" i="4"/>
  <c r="O502" i="4" s="1"/>
  <c r="R501" i="4"/>
  <c r="O501" i="4"/>
  <c r="N501" i="4"/>
  <c r="R500" i="4"/>
  <c r="N500" i="4"/>
  <c r="Q500" i="4" s="1"/>
  <c r="R499" i="4"/>
  <c r="Q499" i="4"/>
  <c r="P499" i="4"/>
  <c r="N499" i="4"/>
  <c r="O499" i="4" s="1"/>
  <c r="R498" i="4"/>
  <c r="N498" i="4"/>
  <c r="R497" i="4"/>
  <c r="Q497" i="4"/>
  <c r="P497" i="4"/>
  <c r="O497" i="4"/>
  <c r="N497" i="4"/>
  <c r="R496" i="4"/>
  <c r="N496" i="4"/>
  <c r="Q496" i="4" s="1"/>
  <c r="R495" i="4"/>
  <c r="N495" i="4"/>
  <c r="Q495" i="4" s="1"/>
  <c r="R494" i="4"/>
  <c r="Q494" i="4"/>
  <c r="P494" i="4"/>
  <c r="N494" i="4"/>
  <c r="O494" i="4" s="1"/>
  <c r="R493" i="4"/>
  <c r="N493" i="4"/>
  <c r="R492" i="4"/>
  <c r="N492" i="4"/>
  <c r="Q492" i="4" s="1"/>
  <c r="R491" i="4"/>
  <c r="Q491" i="4"/>
  <c r="P491" i="4"/>
  <c r="O491" i="4"/>
  <c r="N491" i="4"/>
  <c r="R490" i="4"/>
  <c r="N490" i="4"/>
  <c r="R489" i="4"/>
  <c r="Q489" i="4"/>
  <c r="P489" i="4"/>
  <c r="O489" i="4"/>
  <c r="N489" i="4"/>
  <c r="R488" i="4"/>
  <c r="P488" i="4"/>
  <c r="N488" i="4"/>
  <c r="Q488" i="4" s="1"/>
  <c r="R487" i="4"/>
  <c r="N487" i="4"/>
  <c r="Q487" i="4" s="1"/>
  <c r="R486" i="4"/>
  <c r="Q486" i="4"/>
  <c r="P486" i="4"/>
  <c r="N486" i="4"/>
  <c r="O486" i="4" s="1"/>
  <c r="R485" i="4"/>
  <c r="O485" i="4"/>
  <c r="N485" i="4"/>
  <c r="R484" i="4"/>
  <c r="N484" i="4"/>
  <c r="Q484" i="4" s="1"/>
  <c r="R483" i="4"/>
  <c r="Q483" i="4"/>
  <c r="P483" i="4"/>
  <c r="O483" i="4"/>
  <c r="N483" i="4"/>
  <c r="R482" i="4"/>
  <c r="N482" i="4"/>
  <c r="R481" i="4"/>
  <c r="Q481" i="4"/>
  <c r="P481" i="4"/>
  <c r="O481" i="4"/>
  <c r="N481" i="4"/>
  <c r="R480" i="4"/>
  <c r="P480" i="4"/>
  <c r="O480" i="4"/>
  <c r="N480" i="4"/>
  <c r="Q480" i="4" s="1"/>
  <c r="R479" i="4"/>
  <c r="N479" i="4"/>
  <c r="Q479" i="4" s="1"/>
  <c r="R478" i="4"/>
  <c r="Q478" i="4"/>
  <c r="P478" i="4"/>
  <c r="N478" i="4"/>
  <c r="O478" i="4" s="1"/>
  <c r="R477" i="4"/>
  <c r="N477" i="4"/>
  <c r="R476" i="4"/>
  <c r="N476" i="4"/>
  <c r="Q476" i="4" s="1"/>
  <c r="R475" i="4"/>
  <c r="Q475" i="4"/>
  <c r="P475" i="4"/>
  <c r="O475" i="4"/>
  <c r="N475" i="4"/>
  <c r="R474" i="4"/>
  <c r="N474" i="4"/>
  <c r="R473" i="4"/>
  <c r="Q473" i="4"/>
  <c r="P473" i="4"/>
  <c r="O473" i="4"/>
  <c r="N473" i="4"/>
  <c r="R472" i="4"/>
  <c r="N472" i="4"/>
  <c r="Q472" i="4" s="1"/>
  <c r="R471" i="4"/>
  <c r="N471" i="4"/>
  <c r="Q471" i="4" s="1"/>
  <c r="R470" i="4"/>
  <c r="Q470" i="4"/>
  <c r="P470" i="4"/>
  <c r="N470" i="4"/>
  <c r="O470" i="4" s="1"/>
  <c r="R469" i="4"/>
  <c r="O469" i="4"/>
  <c r="N469" i="4"/>
  <c r="R468" i="4"/>
  <c r="N468" i="4"/>
  <c r="Q468" i="4" s="1"/>
  <c r="R467" i="4"/>
  <c r="Q467" i="4"/>
  <c r="P467" i="4"/>
  <c r="O467" i="4"/>
  <c r="N467" i="4"/>
  <c r="R466" i="4"/>
  <c r="N466" i="4"/>
  <c r="R465" i="4"/>
  <c r="Q465" i="4"/>
  <c r="O465" i="4"/>
  <c r="N465" i="4"/>
  <c r="P465" i="4" s="1"/>
  <c r="R464" i="4"/>
  <c r="P464" i="4"/>
  <c r="N464" i="4"/>
  <c r="Q464" i="4" s="1"/>
  <c r="R463" i="4"/>
  <c r="N463" i="4"/>
  <c r="Q463" i="4" s="1"/>
  <c r="R462" i="4"/>
  <c r="N462" i="4"/>
  <c r="O462" i="4" s="1"/>
  <c r="R461" i="4"/>
  <c r="O461" i="4"/>
  <c r="N461" i="4"/>
  <c r="R460" i="4"/>
  <c r="N460" i="4"/>
  <c r="Q460" i="4" s="1"/>
  <c r="R459" i="4"/>
  <c r="Q459" i="4"/>
  <c r="P459" i="4"/>
  <c r="O459" i="4"/>
  <c r="N459" i="4"/>
  <c r="R458" i="4"/>
  <c r="N458" i="4"/>
  <c r="O458" i="4" s="1"/>
  <c r="R457" i="4"/>
  <c r="Q457" i="4"/>
  <c r="O457" i="4"/>
  <c r="N457" i="4"/>
  <c r="P457" i="4" s="1"/>
  <c r="R456" i="4"/>
  <c r="Q456" i="4"/>
  <c r="P456" i="4"/>
  <c r="O456" i="4"/>
  <c r="N456" i="4"/>
  <c r="R455" i="4"/>
  <c r="N455" i="4"/>
  <c r="R454" i="4"/>
  <c r="N454" i="4"/>
  <c r="O454" i="4" s="1"/>
  <c r="R453" i="4"/>
  <c r="N453" i="4"/>
  <c r="Q453" i="4" s="1"/>
  <c r="R452" i="4"/>
  <c r="N452" i="4"/>
  <c r="Q452" i="4" s="1"/>
  <c r="R451" i="4"/>
  <c r="O451" i="4"/>
  <c r="N451" i="4"/>
  <c r="Q451" i="4" s="1"/>
  <c r="R450" i="4"/>
  <c r="N450" i="4"/>
  <c r="R449" i="4"/>
  <c r="Q449" i="4"/>
  <c r="P449" i="4"/>
  <c r="O449" i="4"/>
  <c r="N449" i="4"/>
  <c r="R448" i="4"/>
  <c r="N448" i="4"/>
  <c r="R447" i="4"/>
  <c r="N447" i="4"/>
  <c r="R446" i="4"/>
  <c r="N446" i="4"/>
  <c r="O446" i="4" s="1"/>
  <c r="R445" i="4"/>
  <c r="N445" i="4"/>
  <c r="Q445" i="4" s="1"/>
  <c r="R444" i="4"/>
  <c r="N444" i="4"/>
  <c r="Q444" i="4" s="1"/>
  <c r="R443" i="4"/>
  <c r="N443" i="4"/>
  <c r="Q443" i="4" s="1"/>
  <c r="R442" i="4"/>
  <c r="N442" i="4"/>
  <c r="R441" i="4"/>
  <c r="O441" i="4"/>
  <c r="N441" i="4"/>
  <c r="P441" i="4" s="1"/>
  <c r="R440" i="4"/>
  <c r="P440" i="4"/>
  <c r="O440" i="4"/>
  <c r="N440" i="4"/>
  <c r="Q440" i="4" s="1"/>
  <c r="R439" i="4"/>
  <c r="N439" i="4"/>
  <c r="R438" i="4"/>
  <c r="N438" i="4"/>
  <c r="O438" i="4" s="1"/>
  <c r="R437" i="4"/>
  <c r="N437" i="4"/>
  <c r="Q437" i="4" s="1"/>
  <c r="R436" i="4"/>
  <c r="N436" i="4"/>
  <c r="Q436" i="4" s="1"/>
  <c r="R435" i="4"/>
  <c r="P435" i="4"/>
  <c r="O435" i="4"/>
  <c r="N435" i="4"/>
  <c r="Q435" i="4" s="1"/>
  <c r="R434" i="4"/>
  <c r="N434" i="4"/>
  <c r="O434" i="4" s="1"/>
  <c r="R433" i="4"/>
  <c r="N433" i="4"/>
  <c r="P433" i="4" s="1"/>
  <c r="R432" i="4"/>
  <c r="O432" i="4"/>
  <c r="N432" i="4"/>
  <c r="Q432" i="4" s="1"/>
  <c r="R431" i="4"/>
  <c r="N431" i="4"/>
  <c r="R430" i="4"/>
  <c r="Q430" i="4"/>
  <c r="P430" i="4"/>
  <c r="N430" i="4"/>
  <c r="O430" i="4" s="1"/>
  <c r="R429" i="4"/>
  <c r="N429" i="4"/>
  <c r="Q429" i="4" s="1"/>
  <c r="R428" i="4"/>
  <c r="N428" i="4"/>
  <c r="Q428" i="4" s="1"/>
  <c r="R427" i="4"/>
  <c r="Q427" i="4"/>
  <c r="P427" i="4"/>
  <c r="O427" i="4"/>
  <c r="N427" i="4"/>
  <c r="R426" i="4"/>
  <c r="N426" i="4"/>
  <c r="R425" i="4"/>
  <c r="Q425" i="4"/>
  <c r="N425" i="4"/>
  <c r="P425" i="4" s="1"/>
  <c r="R424" i="4"/>
  <c r="Q424" i="4"/>
  <c r="O424" i="4"/>
  <c r="N424" i="4"/>
  <c r="P424" i="4" s="1"/>
  <c r="R423" i="4"/>
  <c r="N423" i="4"/>
  <c r="R422" i="4"/>
  <c r="Q422" i="4"/>
  <c r="N422" i="4"/>
  <c r="O422" i="4" s="1"/>
  <c r="R421" i="4"/>
  <c r="P421" i="4"/>
  <c r="O421" i="4"/>
  <c r="N421" i="4"/>
  <c r="Q421" i="4" s="1"/>
  <c r="R420" i="4"/>
  <c r="N420" i="4"/>
  <c r="R419" i="4"/>
  <c r="N419" i="4"/>
  <c r="Q419" i="4" s="1"/>
  <c r="R418" i="4"/>
  <c r="P418" i="4"/>
  <c r="O418" i="4"/>
  <c r="N418" i="4"/>
  <c r="Q418" i="4" s="1"/>
  <c r="R417" i="4"/>
  <c r="N417" i="4"/>
  <c r="P417" i="4" s="1"/>
  <c r="R416" i="4"/>
  <c r="P416" i="4"/>
  <c r="N416" i="4"/>
  <c r="Q416" i="4" s="1"/>
  <c r="R415" i="4"/>
  <c r="N415" i="4"/>
  <c r="O415" i="4" s="1"/>
  <c r="R414" i="4"/>
  <c r="Q414" i="4"/>
  <c r="N414" i="4"/>
  <c r="O414" i="4" s="1"/>
  <c r="R413" i="4"/>
  <c r="N413" i="4"/>
  <c r="Q413" i="4" s="1"/>
  <c r="R412" i="4"/>
  <c r="N412" i="4"/>
  <c r="R411" i="4"/>
  <c r="Q411" i="4"/>
  <c r="P411" i="4"/>
  <c r="O411" i="4"/>
  <c r="N411" i="4"/>
  <c r="R410" i="4"/>
  <c r="Q410" i="4"/>
  <c r="P410" i="4"/>
  <c r="O410" i="4"/>
  <c r="N410" i="4"/>
  <c r="R409" i="4"/>
  <c r="Q409" i="4"/>
  <c r="P409" i="4"/>
  <c r="O409" i="4"/>
  <c r="N409" i="4"/>
  <c r="R408" i="4"/>
  <c r="Q408" i="4"/>
  <c r="P408" i="4"/>
  <c r="O408" i="4"/>
  <c r="N408" i="4"/>
  <c r="R407" i="4"/>
  <c r="Q407" i="4"/>
  <c r="P407" i="4"/>
  <c r="O407" i="4"/>
  <c r="N407" i="4"/>
  <c r="R406" i="4"/>
  <c r="Q406" i="4"/>
  <c r="P406" i="4"/>
  <c r="O406" i="4"/>
  <c r="N406" i="4"/>
  <c r="R405" i="4"/>
  <c r="Q405" i="4"/>
  <c r="O405" i="4"/>
  <c r="N405" i="4"/>
  <c r="P405" i="4" s="1"/>
  <c r="R404" i="4"/>
  <c r="N404" i="4"/>
  <c r="R403" i="4"/>
  <c r="Q403" i="4"/>
  <c r="P403" i="4"/>
  <c r="O403" i="4"/>
  <c r="N403" i="4"/>
  <c r="R402" i="4"/>
  <c r="N402" i="4"/>
  <c r="Q402" i="4" s="1"/>
  <c r="R401" i="4"/>
  <c r="N401" i="4"/>
  <c r="P401" i="4" s="1"/>
  <c r="R400" i="4"/>
  <c r="N400" i="4"/>
  <c r="Q400" i="4" s="1"/>
  <c r="R399" i="4"/>
  <c r="N399" i="4"/>
  <c r="Q399" i="4" s="1"/>
  <c r="R398" i="4"/>
  <c r="N398" i="4"/>
  <c r="Q398" i="4" s="1"/>
  <c r="R397" i="4"/>
  <c r="Q397" i="4"/>
  <c r="N397" i="4"/>
  <c r="P397" i="4" s="1"/>
  <c r="R396" i="4"/>
  <c r="N396" i="4"/>
  <c r="R395" i="4"/>
  <c r="P395" i="4"/>
  <c r="O395" i="4"/>
  <c r="N395" i="4"/>
  <c r="Q395" i="4" s="1"/>
  <c r="R394" i="4"/>
  <c r="N394" i="4"/>
  <c r="O394" i="4" s="1"/>
  <c r="R393" i="4"/>
  <c r="O393" i="4"/>
  <c r="N393" i="4"/>
  <c r="P393" i="4" s="1"/>
  <c r="R392" i="4"/>
  <c r="N392" i="4"/>
  <c r="Q392" i="4" s="1"/>
  <c r="R391" i="4"/>
  <c r="Q391" i="4"/>
  <c r="P391" i="4"/>
  <c r="N391" i="4"/>
  <c r="O391" i="4" s="1"/>
  <c r="R390" i="4"/>
  <c r="P390" i="4"/>
  <c r="N390" i="4"/>
  <c r="Q390" i="4" s="1"/>
  <c r="R389" i="4"/>
  <c r="Q389" i="4"/>
  <c r="N389" i="4"/>
  <c r="P389" i="4" s="1"/>
  <c r="R388" i="4"/>
  <c r="N388" i="4"/>
  <c r="R387" i="4"/>
  <c r="P387" i="4"/>
  <c r="O387" i="4"/>
  <c r="N387" i="4"/>
  <c r="Q387" i="4" s="1"/>
  <c r="R386" i="4"/>
  <c r="Q386" i="4"/>
  <c r="P386" i="4"/>
  <c r="N386" i="4"/>
  <c r="O386" i="4" s="1"/>
  <c r="R385" i="4"/>
  <c r="Q385" i="4"/>
  <c r="O385" i="4"/>
  <c r="N385" i="4"/>
  <c r="P385" i="4" s="1"/>
  <c r="R384" i="4"/>
  <c r="N384" i="4"/>
  <c r="Q384" i="4" s="1"/>
  <c r="R383" i="4"/>
  <c r="Q383" i="4"/>
  <c r="O383" i="4"/>
  <c r="N383" i="4"/>
  <c r="P383" i="4" s="1"/>
  <c r="R382" i="4"/>
  <c r="N382" i="4"/>
  <c r="Q382" i="4" s="1"/>
  <c r="R381" i="4"/>
  <c r="Q381" i="4"/>
  <c r="N381" i="4"/>
  <c r="P381" i="4" s="1"/>
  <c r="R380" i="4"/>
  <c r="N380" i="4"/>
  <c r="R379" i="4"/>
  <c r="P379" i="4"/>
  <c r="O379" i="4"/>
  <c r="N379" i="4"/>
  <c r="Q379" i="4" s="1"/>
  <c r="R378" i="4"/>
  <c r="Q378" i="4"/>
  <c r="N378" i="4"/>
  <c r="O378" i="4" s="1"/>
  <c r="R377" i="4"/>
  <c r="Q377" i="4"/>
  <c r="O377" i="4"/>
  <c r="N377" i="4"/>
  <c r="P377" i="4" s="1"/>
  <c r="R376" i="4"/>
  <c r="N376" i="4"/>
  <c r="Q376" i="4" s="1"/>
  <c r="R375" i="4"/>
  <c r="N375" i="4"/>
  <c r="O375" i="4" s="1"/>
  <c r="R374" i="4"/>
  <c r="N374" i="4"/>
  <c r="Q374" i="4" s="1"/>
  <c r="R373" i="4"/>
  <c r="Q373" i="4"/>
  <c r="N373" i="4"/>
  <c r="P373" i="4" s="1"/>
  <c r="R372" i="4"/>
  <c r="N372" i="4"/>
  <c r="R371" i="4"/>
  <c r="P371" i="4"/>
  <c r="O371" i="4"/>
  <c r="N371" i="4"/>
  <c r="Q371" i="4" s="1"/>
  <c r="R370" i="4"/>
  <c r="N370" i="4"/>
  <c r="O370" i="4" s="1"/>
  <c r="R369" i="4"/>
  <c r="Q369" i="4"/>
  <c r="O369" i="4"/>
  <c r="N369" i="4"/>
  <c r="P369" i="4" s="1"/>
  <c r="R368" i="4"/>
  <c r="N368" i="4"/>
  <c r="Q368" i="4" s="1"/>
  <c r="R367" i="4"/>
  <c r="Q367" i="4"/>
  <c r="N367" i="4"/>
  <c r="P367" i="4" s="1"/>
  <c r="R366" i="4"/>
  <c r="N366" i="4"/>
  <c r="Q366" i="4" s="1"/>
  <c r="R365" i="4"/>
  <c r="Q365" i="4"/>
  <c r="N365" i="4"/>
  <c r="P365" i="4" s="1"/>
  <c r="R364" i="4"/>
  <c r="N364" i="4"/>
  <c r="R363" i="4"/>
  <c r="Q363" i="4"/>
  <c r="P363" i="4"/>
  <c r="O363" i="4"/>
  <c r="N363" i="4"/>
  <c r="R362" i="4"/>
  <c r="P362" i="4"/>
  <c r="N362" i="4"/>
  <c r="O362" i="4" s="1"/>
  <c r="R361" i="4"/>
  <c r="N361" i="4"/>
  <c r="P361" i="4" s="1"/>
  <c r="R360" i="4"/>
  <c r="N360" i="4"/>
  <c r="Q360" i="4" s="1"/>
  <c r="R359" i="4"/>
  <c r="N359" i="4"/>
  <c r="Q359" i="4" s="1"/>
  <c r="R358" i="4"/>
  <c r="N358" i="4"/>
  <c r="Q358" i="4" s="1"/>
  <c r="R357" i="4"/>
  <c r="N357" i="4"/>
  <c r="P357" i="4" s="1"/>
  <c r="R356" i="4"/>
  <c r="N356" i="4"/>
  <c r="R355" i="4"/>
  <c r="Q355" i="4"/>
  <c r="O355" i="4"/>
  <c r="N355" i="4"/>
  <c r="P355" i="4" s="1"/>
  <c r="R354" i="4"/>
  <c r="N354" i="4"/>
  <c r="O354" i="4" s="1"/>
  <c r="R353" i="4"/>
  <c r="Q353" i="4"/>
  <c r="N353" i="4"/>
  <c r="P353" i="4" s="1"/>
  <c r="R352" i="4"/>
  <c r="N352" i="4"/>
  <c r="Q352" i="4" s="1"/>
  <c r="R351" i="4"/>
  <c r="Q351" i="4"/>
  <c r="O351" i="4"/>
  <c r="N351" i="4"/>
  <c r="P351" i="4" s="1"/>
  <c r="R350" i="4"/>
  <c r="N350" i="4"/>
  <c r="Q350" i="4" s="1"/>
  <c r="R349" i="4"/>
  <c r="Q349" i="4"/>
  <c r="N349" i="4"/>
  <c r="P349" i="4" s="1"/>
  <c r="R348" i="4"/>
  <c r="N348" i="4"/>
  <c r="R347" i="4"/>
  <c r="Q347" i="4"/>
  <c r="P347" i="4"/>
  <c r="O347" i="4"/>
  <c r="N347" i="4"/>
  <c r="R346" i="4"/>
  <c r="N346" i="4"/>
  <c r="O346" i="4" s="1"/>
  <c r="R345" i="4"/>
  <c r="N345" i="4"/>
  <c r="P345" i="4" s="1"/>
  <c r="R344" i="4"/>
  <c r="N344" i="4"/>
  <c r="Q344" i="4" s="1"/>
  <c r="R343" i="4"/>
  <c r="N343" i="4"/>
  <c r="Q343" i="4" s="1"/>
  <c r="R342" i="4"/>
  <c r="N342" i="4"/>
  <c r="Q342" i="4" s="1"/>
  <c r="R341" i="4"/>
  <c r="N341" i="4"/>
  <c r="P341" i="4" s="1"/>
  <c r="R340" i="4"/>
  <c r="N340" i="4"/>
  <c r="R339" i="4"/>
  <c r="Q339" i="4"/>
  <c r="O339" i="4"/>
  <c r="N339" i="4"/>
  <c r="P339" i="4" s="1"/>
  <c r="R338" i="4"/>
  <c r="N338" i="4"/>
  <c r="O338" i="4" s="1"/>
  <c r="R337" i="4"/>
  <c r="Q337" i="4"/>
  <c r="N337" i="4"/>
  <c r="P337" i="4" s="1"/>
  <c r="R336" i="4"/>
  <c r="N336" i="4"/>
  <c r="Q336" i="4" s="1"/>
  <c r="R335" i="4"/>
  <c r="Q335" i="4"/>
  <c r="O335" i="4"/>
  <c r="N335" i="4"/>
  <c r="P335" i="4" s="1"/>
  <c r="R334" i="4"/>
  <c r="N334" i="4"/>
  <c r="Q334" i="4" s="1"/>
  <c r="R333" i="4"/>
  <c r="Q333" i="4"/>
  <c r="N333" i="4"/>
  <c r="P333" i="4" s="1"/>
  <c r="R332" i="4"/>
  <c r="N332" i="4"/>
  <c r="R331" i="4"/>
  <c r="Q331" i="4"/>
  <c r="P331" i="4"/>
  <c r="O331" i="4"/>
  <c r="N331" i="4"/>
  <c r="R330" i="4"/>
  <c r="N330" i="4"/>
  <c r="O330" i="4" s="1"/>
  <c r="R329" i="4"/>
  <c r="N329" i="4"/>
  <c r="P329" i="4" s="1"/>
  <c r="R328" i="4"/>
  <c r="N328" i="4"/>
  <c r="Q328" i="4" s="1"/>
  <c r="R327" i="4"/>
  <c r="N327" i="4"/>
  <c r="Q327" i="4" s="1"/>
  <c r="R326" i="4"/>
  <c r="N326" i="4"/>
  <c r="Q326" i="4" s="1"/>
  <c r="R325" i="4"/>
  <c r="N325" i="4"/>
  <c r="P325" i="4" s="1"/>
  <c r="R324" i="4"/>
  <c r="N324" i="4"/>
  <c r="R323" i="4"/>
  <c r="Q323" i="4"/>
  <c r="P323" i="4"/>
  <c r="O323" i="4"/>
  <c r="N323" i="4"/>
  <c r="R322" i="4"/>
  <c r="N322" i="4"/>
  <c r="O322" i="4" s="1"/>
  <c r="R321" i="4"/>
  <c r="Q321" i="4"/>
  <c r="N321" i="4"/>
  <c r="P321" i="4" s="1"/>
  <c r="R320" i="4"/>
  <c r="N320" i="4"/>
  <c r="Q320" i="4" s="1"/>
  <c r="R319" i="4"/>
  <c r="Q319" i="4"/>
  <c r="O319" i="4"/>
  <c r="N319" i="4"/>
  <c r="P319" i="4" s="1"/>
  <c r="R318" i="4"/>
  <c r="N318" i="4"/>
  <c r="Q318" i="4" s="1"/>
  <c r="R317" i="4"/>
  <c r="Q317" i="4"/>
  <c r="N317" i="4"/>
  <c r="P317" i="4" s="1"/>
  <c r="R316" i="4"/>
  <c r="N316" i="4"/>
  <c r="R315" i="4"/>
  <c r="Q315" i="4"/>
  <c r="P315" i="4"/>
  <c r="O315" i="4"/>
  <c r="N315" i="4"/>
  <c r="R314" i="4"/>
  <c r="N314" i="4"/>
  <c r="O314" i="4" s="1"/>
  <c r="R313" i="4"/>
  <c r="N313" i="4"/>
  <c r="P313" i="4" s="1"/>
  <c r="R312" i="4"/>
  <c r="N312" i="4"/>
  <c r="Q312" i="4" s="1"/>
  <c r="R311" i="4"/>
  <c r="N311" i="4"/>
  <c r="Q311" i="4" s="1"/>
  <c r="R310" i="4"/>
  <c r="P310" i="4"/>
  <c r="N310" i="4"/>
  <c r="Q310" i="4" s="1"/>
  <c r="R309" i="4"/>
  <c r="N309" i="4"/>
  <c r="P309" i="4" s="1"/>
  <c r="R308" i="4"/>
  <c r="N308" i="4"/>
  <c r="R307" i="4"/>
  <c r="Q307" i="4"/>
  <c r="O307" i="4"/>
  <c r="N307" i="4"/>
  <c r="P307" i="4" s="1"/>
  <c r="R306" i="4"/>
  <c r="P306" i="4"/>
  <c r="N306" i="4"/>
  <c r="O306" i="4" s="1"/>
  <c r="R305" i="4"/>
  <c r="Q305" i="4"/>
  <c r="O305" i="4"/>
  <c r="N305" i="4"/>
  <c r="P305" i="4" s="1"/>
  <c r="R304" i="4"/>
  <c r="N304" i="4"/>
  <c r="Q304" i="4" s="1"/>
  <c r="R303" i="4"/>
  <c r="Q303" i="4"/>
  <c r="P303" i="4"/>
  <c r="O303" i="4"/>
  <c r="N303" i="4"/>
  <c r="R302" i="4"/>
  <c r="P302" i="4"/>
  <c r="N302" i="4"/>
  <c r="Q302" i="4" s="1"/>
  <c r="R301" i="4"/>
  <c r="Q301" i="4"/>
  <c r="O301" i="4"/>
  <c r="N301" i="4"/>
  <c r="P301" i="4" s="1"/>
  <c r="R300" i="4"/>
  <c r="N300" i="4"/>
  <c r="R299" i="4"/>
  <c r="Q299" i="4"/>
  <c r="P299" i="4"/>
  <c r="O299" i="4"/>
  <c r="N299" i="4"/>
  <c r="R298" i="4"/>
  <c r="P298" i="4"/>
  <c r="N298" i="4"/>
  <c r="O298" i="4" s="1"/>
  <c r="R297" i="4"/>
  <c r="Q297" i="4"/>
  <c r="O297" i="4"/>
  <c r="N297" i="4"/>
  <c r="P297" i="4" s="1"/>
  <c r="R296" i="4"/>
  <c r="N296" i="4"/>
  <c r="Q296" i="4" s="1"/>
  <c r="R295" i="4"/>
  <c r="Q295" i="4"/>
  <c r="P295" i="4"/>
  <c r="O295" i="4"/>
  <c r="N295" i="4"/>
  <c r="R294" i="4"/>
  <c r="P294" i="4"/>
  <c r="N294" i="4"/>
  <c r="Q294" i="4" s="1"/>
  <c r="R293" i="4"/>
  <c r="Q293" i="4"/>
  <c r="O293" i="4"/>
  <c r="N293" i="4"/>
  <c r="P293" i="4" s="1"/>
  <c r="R292" i="4"/>
  <c r="N292" i="4"/>
  <c r="R291" i="4"/>
  <c r="Q291" i="4"/>
  <c r="P291" i="4"/>
  <c r="O291" i="4"/>
  <c r="N291" i="4"/>
  <c r="R290" i="4"/>
  <c r="P290" i="4"/>
  <c r="N290" i="4"/>
  <c r="O290" i="4" s="1"/>
  <c r="R289" i="4"/>
  <c r="Q289" i="4"/>
  <c r="N289" i="4"/>
  <c r="P289" i="4" s="1"/>
  <c r="R288" i="4"/>
  <c r="N288" i="4"/>
  <c r="Q288" i="4" s="1"/>
  <c r="R287" i="4"/>
  <c r="Q287" i="4"/>
  <c r="O287" i="4"/>
  <c r="N287" i="4"/>
  <c r="P287" i="4" s="1"/>
  <c r="R286" i="4"/>
  <c r="N286" i="4"/>
  <c r="Q286" i="4" s="1"/>
  <c r="R285" i="4"/>
  <c r="Q285" i="4"/>
  <c r="N285" i="4"/>
  <c r="P285" i="4" s="1"/>
  <c r="R284" i="4"/>
  <c r="N284" i="4"/>
  <c r="R283" i="4"/>
  <c r="Q283" i="4"/>
  <c r="P283" i="4"/>
  <c r="O283" i="4"/>
  <c r="N283" i="4"/>
  <c r="R282" i="4"/>
  <c r="N282" i="4"/>
  <c r="O282" i="4" s="1"/>
  <c r="R281" i="4"/>
  <c r="N281" i="4"/>
  <c r="P281" i="4" s="1"/>
  <c r="R280" i="4"/>
  <c r="N280" i="4"/>
  <c r="Q280" i="4" s="1"/>
  <c r="R279" i="4"/>
  <c r="N279" i="4"/>
  <c r="Q279" i="4" s="1"/>
  <c r="R278" i="4"/>
  <c r="N278" i="4"/>
  <c r="Q278" i="4" s="1"/>
  <c r="R277" i="4"/>
  <c r="N277" i="4"/>
  <c r="P277" i="4" s="1"/>
  <c r="R276" i="4"/>
  <c r="N276" i="4"/>
  <c r="R275" i="4"/>
  <c r="Q275" i="4"/>
  <c r="P275" i="4"/>
  <c r="O275" i="4"/>
  <c r="N275" i="4"/>
  <c r="R274" i="4"/>
  <c r="N274" i="4"/>
  <c r="O274" i="4" s="1"/>
  <c r="R273" i="4"/>
  <c r="Q273" i="4"/>
  <c r="N273" i="4"/>
  <c r="P273" i="4" s="1"/>
  <c r="R272" i="4"/>
  <c r="N272" i="4"/>
  <c r="Q272" i="4" s="1"/>
  <c r="R271" i="4"/>
  <c r="Q271" i="4"/>
  <c r="O271" i="4"/>
  <c r="N271" i="4"/>
  <c r="P271" i="4" s="1"/>
  <c r="R270" i="4"/>
  <c r="N270" i="4"/>
  <c r="Q270" i="4" s="1"/>
  <c r="R269" i="4"/>
  <c r="Q269" i="4"/>
  <c r="N269" i="4"/>
  <c r="P269" i="4" s="1"/>
  <c r="R268" i="4"/>
  <c r="N268" i="4"/>
  <c r="R267" i="4"/>
  <c r="Q267" i="4"/>
  <c r="P267" i="4"/>
  <c r="O267" i="4"/>
  <c r="N267" i="4"/>
  <c r="R266" i="4"/>
  <c r="N266" i="4"/>
  <c r="O266" i="4" s="1"/>
  <c r="R265" i="4"/>
  <c r="Q265" i="4"/>
  <c r="O265" i="4"/>
  <c r="N265" i="4"/>
  <c r="P265" i="4" s="1"/>
  <c r="R264" i="4"/>
  <c r="N264" i="4"/>
  <c r="Q264" i="4" s="1"/>
  <c r="R263" i="4"/>
  <c r="Q263" i="4"/>
  <c r="P263" i="4"/>
  <c r="O263" i="4"/>
  <c r="N263" i="4"/>
  <c r="R262" i="4"/>
  <c r="N262" i="4"/>
  <c r="Q262" i="4" s="1"/>
  <c r="R261" i="4"/>
  <c r="Q261" i="4"/>
  <c r="O261" i="4"/>
  <c r="N261" i="4"/>
  <c r="P261" i="4" s="1"/>
  <c r="R260" i="4"/>
  <c r="N260" i="4"/>
  <c r="R259" i="4"/>
  <c r="Q259" i="4"/>
  <c r="O259" i="4"/>
  <c r="N259" i="4"/>
  <c r="P259" i="4" s="1"/>
  <c r="R258" i="4"/>
  <c r="N258" i="4"/>
  <c r="O258" i="4" s="1"/>
  <c r="R257" i="4"/>
  <c r="Q257" i="4"/>
  <c r="N257" i="4"/>
  <c r="P257" i="4" s="1"/>
  <c r="R256" i="4"/>
  <c r="N256" i="4"/>
  <c r="Q256" i="4" s="1"/>
  <c r="R255" i="4"/>
  <c r="Q255" i="4"/>
  <c r="O255" i="4"/>
  <c r="N255" i="4"/>
  <c r="P255" i="4" s="1"/>
  <c r="R254" i="4"/>
  <c r="N254" i="4"/>
  <c r="Q254" i="4" s="1"/>
  <c r="R253" i="4"/>
  <c r="Q253" i="4"/>
  <c r="N253" i="4"/>
  <c r="P253" i="4" s="1"/>
  <c r="R252" i="4"/>
  <c r="N252" i="4"/>
  <c r="R251" i="4"/>
  <c r="N251" i="4"/>
  <c r="P251" i="4" s="1"/>
  <c r="R250" i="4"/>
  <c r="P250" i="4"/>
  <c r="N250" i="4"/>
  <c r="O250" i="4" s="1"/>
  <c r="R249" i="4"/>
  <c r="N249" i="4"/>
  <c r="P249" i="4" s="1"/>
  <c r="R248" i="4"/>
  <c r="N248" i="4"/>
  <c r="Q248" i="4" s="1"/>
  <c r="R247" i="4"/>
  <c r="N247" i="4"/>
  <c r="Q247" i="4" s="1"/>
  <c r="R246" i="4"/>
  <c r="P246" i="4"/>
  <c r="N246" i="4"/>
  <c r="Q246" i="4" s="1"/>
  <c r="R245" i="4"/>
  <c r="O245" i="4"/>
  <c r="N245" i="4"/>
  <c r="P245" i="4" s="1"/>
  <c r="R244" i="4"/>
  <c r="Q244" i="4"/>
  <c r="P244" i="4"/>
  <c r="O244" i="4"/>
  <c r="N244" i="4"/>
  <c r="R243" i="4"/>
  <c r="Q243" i="4"/>
  <c r="P243" i="4"/>
  <c r="O243" i="4"/>
  <c r="N243" i="4"/>
  <c r="R242" i="4"/>
  <c r="Q242" i="4"/>
  <c r="P242" i="4"/>
  <c r="O242" i="4"/>
  <c r="N242" i="4"/>
  <c r="R241" i="4"/>
  <c r="Q241" i="4"/>
  <c r="O241" i="4"/>
  <c r="N241" i="4"/>
  <c r="P241" i="4" s="1"/>
  <c r="R240" i="4"/>
  <c r="N240" i="4"/>
  <c r="Q240" i="4" s="1"/>
  <c r="R239" i="4"/>
  <c r="Q239" i="4"/>
  <c r="P239" i="4"/>
  <c r="O239" i="4"/>
  <c r="N239" i="4"/>
  <c r="R238" i="4"/>
  <c r="P238" i="4"/>
  <c r="N238" i="4"/>
  <c r="Q238" i="4" s="1"/>
  <c r="R237" i="4"/>
  <c r="Q237" i="4"/>
  <c r="O237" i="4"/>
  <c r="N237" i="4"/>
  <c r="P237" i="4" s="1"/>
  <c r="R236" i="4"/>
  <c r="N236" i="4"/>
  <c r="R235" i="4"/>
  <c r="Q235" i="4"/>
  <c r="N235" i="4"/>
  <c r="P235" i="4" s="1"/>
  <c r="R234" i="4"/>
  <c r="N234" i="4"/>
  <c r="O234" i="4" s="1"/>
  <c r="R233" i="4"/>
  <c r="O233" i="4"/>
  <c r="N233" i="4"/>
  <c r="P233" i="4" s="1"/>
  <c r="R232" i="4"/>
  <c r="N232" i="4"/>
  <c r="Q232" i="4" s="1"/>
  <c r="R231" i="4"/>
  <c r="Q231" i="4"/>
  <c r="P231" i="4"/>
  <c r="N231" i="4"/>
  <c r="O231" i="4" s="1"/>
  <c r="R230" i="4"/>
  <c r="P230" i="4"/>
  <c r="N230" i="4"/>
  <c r="Q230" i="4" s="1"/>
  <c r="R229" i="4"/>
  <c r="Q229" i="4"/>
  <c r="O229" i="4"/>
  <c r="N229" i="4"/>
  <c r="P229" i="4" s="1"/>
  <c r="R228" i="4"/>
  <c r="N228" i="4"/>
  <c r="R227" i="4"/>
  <c r="N227" i="4"/>
  <c r="P227" i="4" s="1"/>
  <c r="R226" i="4"/>
  <c r="N226" i="4"/>
  <c r="O226" i="4" s="1"/>
  <c r="R225" i="4"/>
  <c r="N225" i="4"/>
  <c r="P225" i="4" s="1"/>
  <c r="R224" i="4"/>
  <c r="N224" i="4"/>
  <c r="Q224" i="4" s="1"/>
  <c r="R223" i="4"/>
  <c r="Q223" i="4"/>
  <c r="O223" i="4"/>
  <c r="N223" i="4"/>
  <c r="P223" i="4" s="1"/>
  <c r="R222" i="4"/>
  <c r="N222" i="4"/>
  <c r="Q222" i="4" s="1"/>
  <c r="R221" i="4"/>
  <c r="Q221" i="4"/>
  <c r="P221" i="4"/>
  <c r="O221" i="4"/>
  <c r="N221" i="4"/>
  <c r="R220" i="4"/>
  <c r="N220" i="4"/>
  <c r="R219" i="4"/>
  <c r="O219" i="4"/>
  <c r="N219" i="4"/>
  <c r="P219" i="4" s="1"/>
  <c r="R218" i="4"/>
  <c r="N218" i="4"/>
  <c r="O218" i="4" s="1"/>
  <c r="R217" i="4"/>
  <c r="Q217" i="4"/>
  <c r="O217" i="4"/>
  <c r="N217" i="4"/>
  <c r="P217" i="4" s="1"/>
  <c r="R216" i="4"/>
  <c r="N216" i="4"/>
  <c r="Q216" i="4" s="1"/>
  <c r="R215" i="4"/>
  <c r="Q215" i="4"/>
  <c r="P215" i="4"/>
  <c r="O215" i="4"/>
  <c r="N215" i="4"/>
  <c r="R214" i="4"/>
  <c r="N214" i="4"/>
  <c r="Q214" i="4" s="1"/>
  <c r="R213" i="4"/>
  <c r="Q213" i="4"/>
  <c r="P213" i="4"/>
  <c r="O213" i="4"/>
  <c r="N213" i="4"/>
  <c r="R212" i="4"/>
  <c r="N212" i="4"/>
  <c r="R211" i="4"/>
  <c r="N211" i="4"/>
  <c r="P211" i="4" s="1"/>
  <c r="R210" i="4"/>
  <c r="N210" i="4"/>
  <c r="O210" i="4" s="1"/>
  <c r="R209" i="4"/>
  <c r="N209" i="4"/>
  <c r="P209" i="4" s="1"/>
  <c r="R208" i="4"/>
  <c r="N208" i="4"/>
  <c r="Q208" i="4" s="1"/>
  <c r="R207" i="4"/>
  <c r="Q207" i="4"/>
  <c r="P207" i="4"/>
  <c r="O207" i="4"/>
  <c r="N207" i="4"/>
  <c r="R206" i="4"/>
  <c r="N206" i="4"/>
  <c r="Q206" i="4" s="1"/>
  <c r="R205" i="4"/>
  <c r="Q205" i="4"/>
  <c r="N205" i="4"/>
  <c r="P205" i="4" s="1"/>
  <c r="R204" i="4"/>
  <c r="N204" i="4"/>
  <c r="R203" i="4"/>
  <c r="Q203" i="4"/>
  <c r="N203" i="4"/>
  <c r="P203" i="4" s="1"/>
  <c r="R202" i="4"/>
  <c r="P202" i="4"/>
  <c r="N202" i="4"/>
  <c r="O202" i="4" s="1"/>
  <c r="R201" i="4"/>
  <c r="Q201" i="4"/>
  <c r="O201" i="4"/>
  <c r="N201" i="4"/>
  <c r="P201" i="4" s="1"/>
  <c r="R200" i="4"/>
  <c r="N200" i="4"/>
  <c r="Q200" i="4" s="1"/>
  <c r="R199" i="4"/>
  <c r="N199" i="4"/>
  <c r="O199" i="4" s="1"/>
  <c r="R198" i="4"/>
  <c r="P198" i="4"/>
  <c r="N198" i="4"/>
  <c r="Q198" i="4" s="1"/>
  <c r="R197" i="4"/>
  <c r="N197" i="4"/>
  <c r="P197" i="4" s="1"/>
  <c r="R196" i="4"/>
  <c r="N196" i="4"/>
  <c r="R195" i="4"/>
  <c r="Q195" i="4"/>
  <c r="O195" i="4"/>
  <c r="N195" i="4"/>
  <c r="P195" i="4" s="1"/>
  <c r="R194" i="4"/>
  <c r="P194" i="4"/>
  <c r="N194" i="4"/>
  <c r="O194" i="4" s="1"/>
  <c r="R193" i="4"/>
  <c r="Q193" i="4"/>
  <c r="N193" i="4"/>
  <c r="P193" i="4" s="1"/>
  <c r="R192" i="4"/>
  <c r="N192" i="4"/>
  <c r="Q192" i="4" s="1"/>
  <c r="R191" i="4"/>
  <c r="Q191" i="4"/>
  <c r="O191" i="4"/>
  <c r="N191" i="4"/>
  <c r="P191" i="4" s="1"/>
  <c r="R190" i="4"/>
  <c r="N190" i="4"/>
  <c r="Q190" i="4" s="1"/>
  <c r="R189" i="4"/>
  <c r="Q189" i="4"/>
  <c r="N189" i="4"/>
  <c r="P189" i="4" s="1"/>
  <c r="R188" i="4"/>
  <c r="N188" i="4"/>
  <c r="R187" i="4"/>
  <c r="N187" i="4"/>
  <c r="P187" i="4" s="1"/>
  <c r="R186" i="4"/>
  <c r="P186" i="4"/>
  <c r="N186" i="4"/>
  <c r="O186" i="4" s="1"/>
  <c r="R185" i="4"/>
  <c r="N185" i="4"/>
  <c r="P185" i="4" s="1"/>
  <c r="R184" i="4"/>
  <c r="N184" i="4"/>
  <c r="Q184" i="4" s="1"/>
  <c r="R183" i="4"/>
  <c r="N183" i="4"/>
  <c r="Q183" i="4" s="1"/>
  <c r="R182" i="4"/>
  <c r="P182" i="4"/>
  <c r="N182" i="4"/>
  <c r="Q182" i="4" s="1"/>
  <c r="R181" i="4"/>
  <c r="Q181" i="4"/>
  <c r="O181" i="4"/>
  <c r="N181" i="4"/>
  <c r="P181" i="4" s="1"/>
  <c r="R180" i="4"/>
  <c r="N180" i="4"/>
  <c r="R179" i="4"/>
  <c r="Q179" i="4"/>
  <c r="O179" i="4"/>
  <c r="N179" i="4"/>
  <c r="P179" i="4" s="1"/>
  <c r="R178" i="4"/>
  <c r="N178" i="4"/>
  <c r="O178" i="4" s="1"/>
  <c r="R177" i="4"/>
  <c r="Q177" i="4"/>
  <c r="N177" i="4"/>
  <c r="P177" i="4" s="1"/>
  <c r="R176" i="4"/>
  <c r="N176" i="4"/>
  <c r="Q176" i="4" s="1"/>
  <c r="R175" i="4"/>
  <c r="Q175" i="4"/>
  <c r="P175" i="4"/>
  <c r="O175" i="4"/>
  <c r="N175" i="4"/>
  <c r="R174" i="4"/>
  <c r="N174" i="4"/>
  <c r="Q174" i="4" s="1"/>
  <c r="R173" i="4"/>
  <c r="N173" i="4"/>
  <c r="P173" i="4" s="1"/>
  <c r="R172" i="4"/>
  <c r="N172" i="4"/>
  <c r="R171" i="4"/>
  <c r="N171" i="4"/>
  <c r="P171" i="4" s="1"/>
  <c r="R170" i="4"/>
  <c r="P170" i="4"/>
  <c r="N170" i="4"/>
  <c r="O170" i="4" s="1"/>
  <c r="R169" i="4"/>
  <c r="O169" i="4"/>
  <c r="N169" i="4"/>
  <c r="P169" i="4" s="1"/>
  <c r="R168" i="4"/>
  <c r="N168" i="4"/>
  <c r="Q168" i="4" s="1"/>
  <c r="R167" i="4"/>
  <c r="P167" i="4"/>
  <c r="N167" i="4"/>
  <c r="Q167" i="4" s="1"/>
  <c r="R166" i="4"/>
  <c r="N166" i="4"/>
  <c r="Q166" i="4" s="1"/>
  <c r="R165" i="4"/>
  <c r="Q165" i="4"/>
  <c r="O165" i="4"/>
  <c r="N165" i="4"/>
  <c r="P165" i="4" s="1"/>
  <c r="R164" i="4"/>
  <c r="N164" i="4"/>
  <c r="R163" i="4"/>
  <c r="Q163" i="4"/>
  <c r="O163" i="4"/>
  <c r="N163" i="4"/>
  <c r="P163" i="4" s="1"/>
  <c r="R162" i="4"/>
  <c r="N162" i="4"/>
  <c r="O162" i="4" s="1"/>
  <c r="R161" i="4"/>
  <c r="N161" i="4"/>
  <c r="P161" i="4" s="1"/>
  <c r="R160" i="4"/>
  <c r="N160" i="4"/>
  <c r="Q160" i="4" s="1"/>
  <c r="R159" i="4"/>
  <c r="N159" i="4"/>
  <c r="Q159" i="4" s="1"/>
  <c r="R158" i="4"/>
  <c r="N158" i="4"/>
  <c r="Q158" i="4" s="1"/>
  <c r="R157" i="4"/>
  <c r="N157" i="4"/>
  <c r="Q157" i="4" s="1"/>
  <c r="R156" i="4"/>
  <c r="N156" i="4"/>
  <c r="R155" i="4"/>
  <c r="O155" i="4"/>
  <c r="N155" i="4"/>
  <c r="P155" i="4" s="1"/>
  <c r="R154" i="4"/>
  <c r="N154" i="4"/>
  <c r="O154" i="4" s="1"/>
  <c r="R153" i="4"/>
  <c r="Q153" i="4"/>
  <c r="N153" i="4"/>
  <c r="P153" i="4" s="1"/>
  <c r="R152" i="4"/>
  <c r="N152" i="4"/>
  <c r="Q152" i="4" s="1"/>
  <c r="R151" i="4"/>
  <c r="Q151" i="4"/>
  <c r="O151" i="4"/>
  <c r="N151" i="4"/>
  <c r="P151" i="4" s="1"/>
  <c r="R150" i="4"/>
  <c r="N150" i="4"/>
  <c r="Q150" i="4" s="1"/>
  <c r="R149" i="4"/>
  <c r="Q149" i="4"/>
  <c r="O149" i="4"/>
  <c r="N149" i="4"/>
  <c r="P149" i="4" s="1"/>
  <c r="R148" i="4"/>
  <c r="N148" i="4"/>
  <c r="R147" i="4"/>
  <c r="Q147" i="4"/>
  <c r="O147" i="4"/>
  <c r="N147" i="4"/>
  <c r="P147" i="4" s="1"/>
  <c r="R146" i="4"/>
  <c r="N146" i="4"/>
  <c r="O146" i="4" s="1"/>
  <c r="R145" i="4"/>
  <c r="N145" i="4"/>
  <c r="P145" i="4" s="1"/>
  <c r="R144" i="4"/>
  <c r="N144" i="4"/>
  <c r="Q144" i="4" s="1"/>
  <c r="R143" i="4"/>
  <c r="N143" i="4"/>
  <c r="Q143" i="4" s="1"/>
  <c r="R142" i="4"/>
  <c r="N142" i="4"/>
  <c r="Q142" i="4" s="1"/>
  <c r="R141" i="4"/>
  <c r="N141" i="4"/>
  <c r="P141" i="4" s="1"/>
  <c r="R140" i="4"/>
  <c r="N140" i="4"/>
  <c r="R139" i="4"/>
  <c r="Q139" i="4"/>
  <c r="N139" i="4"/>
  <c r="P139" i="4" s="1"/>
  <c r="R138" i="4"/>
  <c r="N138" i="4"/>
  <c r="O138" i="4" s="1"/>
  <c r="R137" i="4"/>
  <c r="Q137" i="4"/>
  <c r="O137" i="4"/>
  <c r="N137" i="4"/>
  <c r="P137" i="4" s="1"/>
  <c r="R136" i="4"/>
  <c r="N136" i="4"/>
  <c r="Q136" i="4" s="1"/>
  <c r="R135" i="4"/>
  <c r="Q135" i="4"/>
  <c r="P135" i="4"/>
  <c r="N135" i="4"/>
  <c r="O135" i="4" s="1"/>
  <c r="R134" i="4"/>
  <c r="P134" i="4"/>
  <c r="N134" i="4"/>
  <c r="Q134" i="4" s="1"/>
  <c r="R133" i="4"/>
  <c r="Q133" i="4"/>
  <c r="P133" i="4"/>
  <c r="N133" i="4"/>
  <c r="O133" i="4" s="1"/>
  <c r="R132" i="4"/>
  <c r="N132" i="4"/>
  <c r="R131" i="4"/>
  <c r="N131" i="4"/>
  <c r="P131" i="4" s="1"/>
  <c r="R130" i="4"/>
  <c r="P130" i="4"/>
  <c r="N130" i="4"/>
  <c r="O130" i="4" s="1"/>
  <c r="R129" i="4"/>
  <c r="N129" i="4"/>
  <c r="P129" i="4" s="1"/>
  <c r="R128" i="4"/>
  <c r="N128" i="4"/>
  <c r="Q128" i="4" s="1"/>
  <c r="R127" i="4"/>
  <c r="N127" i="4"/>
  <c r="Q127" i="4" s="1"/>
  <c r="R126" i="4"/>
  <c r="N126" i="4"/>
  <c r="Q126" i="4" s="1"/>
  <c r="R125" i="4"/>
  <c r="P125" i="4"/>
  <c r="N125" i="4"/>
  <c r="Q125" i="4" s="1"/>
  <c r="R124" i="4"/>
  <c r="N124" i="4"/>
  <c r="R123" i="4"/>
  <c r="Q123" i="4"/>
  <c r="N123" i="4"/>
  <c r="P123" i="4" s="1"/>
  <c r="R122" i="4"/>
  <c r="P122" i="4"/>
  <c r="N122" i="4"/>
  <c r="O122" i="4" s="1"/>
  <c r="R121" i="4"/>
  <c r="Q121" i="4"/>
  <c r="O121" i="4"/>
  <c r="N121" i="4"/>
  <c r="P121" i="4" s="1"/>
  <c r="R120" i="4"/>
  <c r="N120" i="4"/>
  <c r="Q120" i="4" s="1"/>
  <c r="R119" i="4"/>
  <c r="N119" i="4"/>
  <c r="Q119" i="4" s="1"/>
  <c r="R118" i="4"/>
  <c r="P118" i="4"/>
  <c r="N118" i="4"/>
  <c r="Q118" i="4" s="1"/>
  <c r="R117" i="4"/>
  <c r="N117" i="4"/>
  <c r="Q117" i="4" s="1"/>
  <c r="R116" i="4"/>
  <c r="N116" i="4"/>
  <c r="R115" i="4"/>
  <c r="Q115" i="4"/>
  <c r="N115" i="4"/>
  <c r="P115" i="4" s="1"/>
  <c r="R114" i="4"/>
  <c r="N114" i="4"/>
  <c r="O114" i="4" s="1"/>
  <c r="R113" i="4"/>
  <c r="Q113" i="4"/>
  <c r="O113" i="4"/>
  <c r="N113" i="4"/>
  <c r="P113" i="4" s="1"/>
  <c r="R112" i="4"/>
  <c r="N112" i="4"/>
  <c r="Q112" i="4" s="1"/>
  <c r="R111" i="4"/>
  <c r="N111" i="4"/>
  <c r="Q111" i="4" s="1"/>
  <c r="R110" i="4"/>
  <c r="P110" i="4"/>
  <c r="N110" i="4"/>
  <c r="Q110" i="4" s="1"/>
  <c r="R109" i="4"/>
  <c r="N109" i="4"/>
  <c r="O109" i="4" s="1"/>
  <c r="R108" i="4"/>
  <c r="N108" i="4"/>
  <c r="R107" i="4"/>
  <c r="N107" i="4"/>
  <c r="P107" i="4" s="1"/>
  <c r="R106" i="4"/>
  <c r="P106" i="4"/>
  <c r="N106" i="4"/>
  <c r="O106" i="4" s="1"/>
  <c r="R105" i="4"/>
  <c r="N105" i="4"/>
  <c r="P105" i="4" s="1"/>
  <c r="R104" i="4"/>
  <c r="N104" i="4"/>
  <c r="Q104" i="4" s="1"/>
  <c r="R103" i="4"/>
  <c r="N103" i="4"/>
  <c r="Q103" i="4" s="1"/>
  <c r="R102" i="4"/>
  <c r="N102" i="4"/>
  <c r="Q102" i="4" s="1"/>
  <c r="R101" i="4"/>
  <c r="Q101" i="4"/>
  <c r="P101" i="4"/>
  <c r="N101" i="4"/>
  <c r="O101" i="4" s="1"/>
  <c r="R100" i="4"/>
  <c r="N100" i="4"/>
  <c r="R99" i="4"/>
  <c r="N99" i="4"/>
  <c r="P99" i="4" s="1"/>
  <c r="R98" i="4"/>
  <c r="P98" i="4"/>
  <c r="N98" i="4"/>
  <c r="O98" i="4" s="1"/>
  <c r="R97" i="4"/>
  <c r="Q97" i="4"/>
  <c r="O97" i="4"/>
  <c r="N97" i="4"/>
  <c r="P97" i="4" s="1"/>
  <c r="R96" i="4"/>
  <c r="N96" i="4"/>
  <c r="Q96" i="4" s="1"/>
  <c r="R95" i="4"/>
  <c r="O95" i="4"/>
  <c r="N95" i="4"/>
  <c r="Q95" i="4" s="1"/>
  <c r="R94" i="4"/>
  <c r="N94" i="4"/>
  <c r="Q94" i="4" s="1"/>
  <c r="R93" i="4"/>
  <c r="Q93" i="4"/>
  <c r="N93" i="4"/>
  <c r="P93" i="4" s="1"/>
  <c r="R92" i="4"/>
  <c r="N92" i="4"/>
  <c r="R91" i="4"/>
  <c r="Q91" i="4"/>
  <c r="O91" i="4"/>
  <c r="N91" i="4"/>
  <c r="P91" i="4" s="1"/>
  <c r="R90" i="4"/>
  <c r="P90" i="4"/>
  <c r="N90" i="4"/>
  <c r="O90" i="4" s="1"/>
  <c r="R89" i="4"/>
  <c r="Q89" i="4"/>
  <c r="O89" i="4"/>
  <c r="N89" i="4"/>
  <c r="P89" i="4" s="1"/>
  <c r="R88" i="4"/>
  <c r="N88" i="4"/>
  <c r="Q88" i="4" s="1"/>
  <c r="R87" i="4"/>
  <c r="N87" i="4"/>
  <c r="Q87" i="4" s="1"/>
  <c r="R86" i="4"/>
  <c r="P86" i="4"/>
  <c r="N86" i="4"/>
  <c r="Q86" i="4" s="1"/>
  <c r="R85" i="4"/>
  <c r="N85" i="4"/>
  <c r="Q85" i="4" s="1"/>
  <c r="R84" i="4"/>
  <c r="N84" i="4"/>
  <c r="R83" i="4"/>
  <c r="N83" i="4"/>
  <c r="P83" i="4" s="1"/>
  <c r="R82" i="4"/>
  <c r="N82" i="4"/>
  <c r="O82" i="4" s="1"/>
  <c r="R81" i="4"/>
  <c r="Q81" i="4"/>
  <c r="N81" i="4"/>
  <c r="P81" i="4" s="1"/>
  <c r="R80" i="4"/>
  <c r="N80" i="4"/>
  <c r="Q80" i="4" s="1"/>
  <c r="R79" i="4"/>
  <c r="O79" i="4"/>
  <c r="N79" i="4"/>
  <c r="Q79" i="4" s="1"/>
  <c r="R78" i="4"/>
  <c r="N78" i="4"/>
  <c r="Q78" i="4" s="1"/>
  <c r="R77" i="4"/>
  <c r="P77" i="4"/>
  <c r="O77" i="4"/>
  <c r="N77" i="4"/>
  <c r="Q77" i="4" s="1"/>
  <c r="R76" i="4"/>
  <c r="N76" i="4"/>
  <c r="R75" i="4"/>
  <c r="N75" i="4"/>
  <c r="P75" i="4" s="1"/>
  <c r="R74" i="4"/>
  <c r="P74" i="4"/>
  <c r="N74" i="4"/>
  <c r="O74" i="4" s="1"/>
  <c r="R73" i="4"/>
  <c r="N73" i="4"/>
  <c r="P73" i="4" s="1"/>
  <c r="R72" i="4"/>
  <c r="P72" i="4"/>
  <c r="N72" i="4"/>
  <c r="Q72" i="4" s="1"/>
  <c r="R71" i="4"/>
  <c r="N71" i="4"/>
  <c r="Q71" i="4" s="1"/>
  <c r="R70" i="4"/>
  <c r="N70" i="4"/>
  <c r="Q70" i="4" s="1"/>
  <c r="R69" i="4"/>
  <c r="Q69" i="4"/>
  <c r="P69" i="4"/>
  <c r="O69" i="4"/>
  <c r="N69" i="4"/>
  <c r="R68" i="4"/>
  <c r="N68" i="4"/>
  <c r="R67" i="4"/>
  <c r="Q67" i="4"/>
  <c r="O67" i="4"/>
  <c r="N67" i="4"/>
  <c r="P67" i="4" s="1"/>
  <c r="R66" i="4"/>
  <c r="P66" i="4"/>
  <c r="N66" i="4"/>
  <c r="O66" i="4" s="1"/>
  <c r="R65" i="4"/>
  <c r="Q65" i="4"/>
  <c r="O65" i="4"/>
  <c r="N65" i="4"/>
  <c r="P65" i="4" s="1"/>
  <c r="R64" i="4"/>
  <c r="N64" i="4"/>
  <c r="Q64" i="4" s="1"/>
  <c r="R63" i="4"/>
  <c r="N63" i="4"/>
  <c r="Q63" i="4" s="1"/>
  <c r="R62" i="4"/>
  <c r="P62" i="4"/>
  <c r="N62" i="4"/>
  <c r="Q62" i="4" s="1"/>
  <c r="R61" i="4"/>
  <c r="N61" i="4"/>
  <c r="Q61" i="4" s="1"/>
  <c r="R60" i="4"/>
  <c r="N60" i="4"/>
  <c r="R59" i="4"/>
  <c r="O59" i="4"/>
  <c r="N59" i="4"/>
  <c r="P59" i="4" s="1"/>
  <c r="R58" i="4"/>
  <c r="N58" i="4"/>
  <c r="O58" i="4" s="1"/>
  <c r="R57" i="4"/>
  <c r="N57" i="4"/>
  <c r="P57" i="4" s="1"/>
  <c r="R56" i="4"/>
  <c r="N56" i="4"/>
  <c r="Q56" i="4" s="1"/>
  <c r="R55" i="4"/>
  <c r="O55" i="4"/>
  <c r="N55" i="4"/>
  <c r="Q55" i="4" s="1"/>
  <c r="R54" i="4"/>
  <c r="P54" i="4"/>
  <c r="N54" i="4"/>
  <c r="Q54" i="4" s="1"/>
  <c r="R53" i="4"/>
  <c r="Q53" i="4"/>
  <c r="P53" i="4"/>
  <c r="O53" i="4"/>
  <c r="N53" i="4"/>
  <c r="R52" i="4"/>
  <c r="N52" i="4"/>
  <c r="R51" i="4"/>
  <c r="N51" i="4"/>
  <c r="P51" i="4" s="1"/>
  <c r="R50" i="4"/>
  <c r="P50" i="4"/>
  <c r="N50" i="4"/>
  <c r="O50" i="4" s="1"/>
  <c r="R49" i="4"/>
  <c r="N49" i="4"/>
  <c r="P49" i="4" s="1"/>
  <c r="R48" i="4"/>
  <c r="P48" i="4"/>
  <c r="N48" i="4"/>
  <c r="Q48" i="4" s="1"/>
  <c r="R47" i="4"/>
  <c r="N47" i="4"/>
  <c r="Q47" i="4" s="1"/>
  <c r="R46" i="4"/>
  <c r="N46" i="4"/>
  <c r="Q46" i="4" s="1"/>
  <c r="R45" i="4"/>
  <c r="N45" i="4"/>
  <c r="Q45" i="4" s="1"/>
  <c r="R44" i="4"/>
  <c r="N44" i="4"/>
  <c r="R43" i="4"/>
  <c r="Q43" i="4"/>
  <c r="O43" i="4"/>
  <c r="N43" i="4"/>
  <c r="P43" i="4" s="1"/>
  <c r="R42" i="4"/>
  <c r="P42" i="4"/>
  <c r="N42" i="4"/>
  <c r="O42" i="4" s="1"/>
  <c r="R41" i="4"/>
  <c r="Q41" i="4"/>
  <c r="O41" i="4"/>
  <c r="N41" i="4"/>
  <c r="P41" i="4" s="1"/>
  <c r="R40" i="4"/>
  <c r="N40" i="4"/>
  <c r="Q40" i="4" s="1"/>
  <c r="R39" i="4"/>
  <c r="N39" i="4"/>
  <c r="Q39" i="4" s="1"/>
  <c r="R38" i="4"/>
  <c r="P38" i="4"/>
  <c r="N38" i="4"/>
  <c r="Q38" i="4" s="1"/>
  <c r="R37" i="4"/>
  <c r="N37" i="4"/>
  <c r="O37" i="4" s="1"/>
  <c r="R36" i="4"/>
  <c r="N36" i="4"/>
  <c r="R35" i="4"/>
  <c r="O35" i="4"/>
  <c r="N35" i="4"/>
  <c r="P35" i="4" s="1"/>
  <c r="R34" i="4"/>
  <c r="N34" i="4"/>
  <c r="P34" i="4" s="1"/>
  <c r="R33" i="4"/>
  <c r="Q33" i="4"/>
  <c r="O33" i="4"/>
  <c r="N33" i="4"/>
  <c r="P33" i="4" s="1"/>
  <c r="R32" i="4"/>
  <c r="N32" i="4"/>
  <c r="R31" i="4"/>
  <c r="O31" i="4"/>
  <c r="N31" i="4"/>
  <c r="Q31" i="4" s="1"/>
  <c r="R30" i="4"/>
  <c r="N30" i="4"/>
  <c r="Q30" i="4" s="1"/>
  <c r="R29" i="4"/>
  <c r="P29" i="4"/>
  <c r="O29" i="4"/>
  <c r="N29" i="4"/>
  <c r="Q29" i="4" s="1"/>
  <c r="R28" i="4"/>
  <c r="N28" i="4"/>
  <c r="R27" i="4"/>
  <c r="N27" i="4"/>
  <c r="P27" i="4" s="1"/>
  <c r="R26" i="4"/>
  <c r="N26" i="4"/>
  <c r="R25" i="4"/>
  <c r="N25" i="4"/>
  <c r="P25" i="4" s="1"/>
  <c r="R24" i="4"/>
  <c r="N24" i="4"/>
  <c r="P24" i="4" s="1"/>
  <c r="R23" i="4"/>
  <c r="O23" i="4"/>
  <c r="N23" i="4"/>
  <c r="Q23" i="4" s="1"/>
  <c r="R22" i="4"/>
  <c r="P22" i="4"/>
  <c r="N22" i="4"/>
  <c r="Q22" i="4" s="1"/>
  <c r="R21" i="4"/>
  <c r="Q21" i="4"/>
  <c r="P21" i="4"/>
  <c r="O21" i="4"/>
  <c r="N21" i="4"/>
  <c r="R20" i="4"/>
  <c r="N20" i="4"/>
  <c r="R19" i="4"/>
  <c r="Q19" i="4"/>
  <c r="P19" i="4"/>
  <c r="O19" i="4"/>
  <c r="N19" i="4"/>
  <c r="R18" i="4"/>
  <c r="P18" i="4"/>
  <c r="N18" i="4"/>
  <c r="R17" i="4"/>
  <c r="N17" i="4"/>
  <c r="P17" i="4" s="1"/>
  <c r="R16" i="4"/>
  <c r="P16" i="4"/>
  <c r="N16" i="4"/>
  <c r="R15" i="4"/>
  <c r="O15" i="4"/>
  <c r="N15" i="4"/>
  <c r="Q15" i="4" s="1"/>
  <c r="R14" i="4"/>
  <c r="Q14" i="4"/>
  <c r="P14" i="4"/>
  <c r="N14" i="4"/>
  <c r="O14" i="4" s="1"/>
  <c r="R13" i="4"/>
  <c r="P13" i="4"/>
  <c r="O13" i="4"/>
  <c r="N13" i="4"/>
  <c r="Q13" i="4" s="1"/>
  <c r="C43" i="2"/>
  <c r="C42" i="2"/>
  <c r="C41" i="2"/>
  <c r="C40" i="2"/>
  <c r="C39" i="2"/>
  <c r="C38" i="2"/>
  <c r="F33" i="2"/>
  <c r="G33" i="2" s="1"/>
  <c r="I33" i="2" s="1"/>
  <c r="N33" i="2" s="1"/>
  <c r="M32" i="2"/>
  <c r="K32" i="2"/>
  <c r="F32" i="2"/>
  <c r="G32" i="2" s="1"/>
  <c r="I32" i="2" s="1"/>
  <c r="F31" i="2"/>
  <c r="G31" i="2" s="1"/>
  <c r="I31" i="2" s="1"/>
  <c r="M30" i="2"/>
  <c r="K30" i="2"/>
  <c r="G30" i="2"/>
  <c r="I30" i="2" s="1"/>
  <c r="F30" i="2"/>
  <c r="K29" i="2"/>
  <c r="L29" i="2" s="1"/>
  <c r="I29" i="2"/>
  <c r="M29" i="2" s="1"/>
  <c r="F29" i="2"/>
  <c r="G29" i="2" s="1"/>
  <c r="F28" i="2"/>
  <c r="G28" i="2" s="1"/>
  <c r="I28" i="2" s="1"/>
  <c r="F27" i="2"/>
  <c r="G27" i="2" s="1"/>
  <c r="I27" i="2" s="1"/>
  <c r="G26" i="2"/>
  <c r="I26" i="2" s="1"/>
  <c r="F26" i="2"/>
  <c r="F25" i="2"/>
  <c r="G25" i="2" s="1"/>
  <c r="I25" i="2" s="1"/>
  <c r="I24" i="2"/>
  <c r="G24" i="2"/>
  <c r="F24" i="2"/>
  <c r="G23" i="2"/>
  <c r="I23" i="2" s="1"/>
  <c r="F23" i="2"/>
  <c r="F22" i="2"/>
  <c r="G22" i="2" s="1"/>
  <c r="I22" i="2" s="1"/>
  <c r="F21" i="2"/>
  <c r="G21" i="2" s="1"/>
  <c r="I21" i="2" s="1"/>
  <c r="G20" i="2"/>
  <c r="I20" i="2" s="1"/>
  <c r="F20" i="2"/>
  <c r="F19" i="2"/>
  <c r="G19" i="2" s="1"/>
  <c r="I19" i="2" s="1"/>
  <c r="G18" i="2"/>
  <c r="I18" i="2" s="1"/>
  <c r="F18" i="2"/>
  <c r="F17" i="2"/>
  <c r="G17" i="2" s="1"/>
  <c r="I17" i="2" s="1"/>
  <c r="I16" i="2"/>
  <c r="K16" i="2" s="1"/>
  <c r="G16" i="2"/>
  <c r="F16" i="2"/>
  <c r="G15" i="2"/>
  <c r="I15" i="2" s="1"/>
  <c r="F15" i="2"/>
  <c r="F14" i="2"/>
  <c r="G14" i="2" s="1"/>
  <c r="I14" i="2" s="1"/>
  <c r="F13" i="2"/>
  <c r="G13" i="2" s="1"/>
  <c r="I13" i="2" s="1"/>
  <c r="G12" i="2"/>
  <c r="I12" i="2" s="1"/>
  <c r="F12" i="2"/>
  <c r="F11" i="2"/>
  <c r="G11" i="2" s="1"/>
  <c r="I11" i="2" s="1"/>
  <c r="G10" i="2"/>
  <c r="I10" i="2" s="1"/>
  <c r="F10" i="2"/>
  <c r="F9" i="2"/>
  <c r="G9" i="2" s="1"/>
  <c r="I9" i="2" s="1"/>
  <c r="I8" i="2"/>
  <c r="N8" i="2" s="1"/>
  <c r="G8" i="2"/>
  <c r="F8" i="2"/>
  <c r="G7" i="2"/>
  <c r="I7" i="2" s="1"/>
  <c r="F7" i="2"/>
  <c r="F6" i="2"/>
  <c r="G6" i="2" s="1"/>
  <c r="I6" i="2" s="1"/>
  <c r="F5" i="2"/>
  <c r="G5" i="2" s="1"/>
  <c r="I5" i="2" s="1"/>
  <c r="P551" i="12"/>
  <c r="O551" i="12"/>
  <c r="N551" i="12"/>
  <c r="M551" i="12"/>
  <c r="K551" i="12"/>
  <c r="I551" i="12"/>
  <c r="H551" i="12"/>
  <c r="P550" i="12"/>
  <c r="O550" i="12"/>
  <c r="N550" i="12"/>
  <c r="M550" i="12"/>
  <c r="K550" i="12"/>
  <c r="I550" i="12"/>
  <c r="H550" i="12"/>
  <c r="P549" i="12"/>
  <c r="O549" i="12"/>
  <c r="N549" i="12"/>
  <c r="M549" i="12"/>
  <c r="K549" i="12"/>
  <c r="I549" i="12"/>
  <c r="H549" i="12"/>
  <c r="P547" i="12"/>
  <c r="O547" i="12"/>
  <c r="N547" i="12"/>
  <c r="M547" i="12"/>
  <c r="K547" i="12"/>
  <c r="I547" i="12"/>
  <c r="H547" i="12"/>
  <c r="P546" i="12"/>
  <c r="O546" i="12"/>
  <c r="N546" i="12"/>
  <c r="M546" i="12"/>
  <c r="K546" i="12"/>
  <c r="I546" i="12"/>
  <c r="H546" i="12"/>
  <c r="P545" i="12"/>
  <c r="O545" i="12"/>
  <c r="N545" i="12"/>
  <c r="M545" i="12"/>
  <c r="K545" i="12"/>
  <c r="I545" i="12"/>
  <c r="H545" i="12"/>
  <c r="P544" i="12"/>
  <c r="O544" i="12"/>
  <c r="N544" i="12"/>
  <c r="M544" i="12"/>
  <c r="K544" i="12"/>
  <c r="I544" i="12"/>
  <c r="H544" i="12"/>
  <c r="P543" i="12"/>
  <c r="O543" i="12"/>
  <c r="N543" i="12"/>
  <c r="M543" i="12"/>
  <c r="K543" i="12"/>
  <c r="I543" i="12"/>
  <c r="H543" i="12"/>
  <c r="P542" i="12"/>
  <c r="O542" i="12"/>
  <c r="N542" i="12"/>
  <c r="M542" i="12"/>
  <c r="K542" i="12"/>
  <c r="I542" i="12"/>
  <c r="H542" i="12"/>
  <c r="P541" i="12"/>
  <c r="M541" i="12"/>
  <c r="K541" i="12"/>
  <c r="I541" i="12"/>
  <c r="H541" i="12"/>
  <c r="P540" i="12"/>
  <c r="M540" i="12"/>
  <c r="K540" i="12"/>
  <c r="I540" i="12"/>
  <c r="H540" i="12"/>
  <c r="P539" i="12"/>
  <c r="M539" i="12"/>
  <c r="K539" i="12"/>
  <c r="I539" i="12"/>
  <c r="H539" i="12"/>
  <c r="P538" i="12"/>
  <c r="M538" i="12"/>
  <c r="K538" i="12"/>
  <c r="I538" i="12"/>
  <c r="H538" i="12"/>
  <c r="P536" i="12"/>
  <c r="O536" i="12"/>
  <c r="N536" i="12"/>
  <c r="M536" i="12"/>
  <c r="K536" i="12"/>
  <c r="I536" i="12"/>
  <c r="H536" i="12"/>
  <c r="P535" i="12"/>
  <c r="O535" i="12"/>
  <c r="N535" i="12"/>
  <c r="M535" i="12"/>
  <c r="K535" i="12"/>
  <c r="I535" i="12"/>
  <c r="H535" i="12"/>
  <c r="P534" i="12"/>
  <c r="O534" i="12"/>
  <c r="N534" i="12"/>
  <c r="M534" i="12"/>
  <c r="K534" i="12"/>
  <c r="I534" i="12"/>
  <c r="H534" i="12"/>
  <c r="P533" i="12"/>
  <c r="O533" i="12"/>
  <c r="N533" i="12"/>
  <c r="M533" i="12"/>
  <c r="K533" i="12"/>
  <c r="I533" i="12"/>
  <c r="H533" i="12"/>
  <c r="P532" i="12"/>
  <c r="O532" i="12"/>
  <c r="N532" i="12"/>
  <c r="M532" i="12"/>
  <c r="K532" i="12"/>
  <c r="I532" i="12"/>
  <c r="H532" i="12"/>
  <c r="P531" i="12"/>
  <c r="O531" i="12"/>
  <c r="N531" i="12"/>
  <c r="M531" i="12"/>
  <c r="K531" i="12"/>
  <c r="I531" i="12"/>
  <c r="H531" i="12"/>
  <c r="P530" i="12"/>
  <c r="O530" i="12"/>
  <c r="N530" i="12"/>
  <c r="M530" i="12"/>
  <c r="K530" i="12"/>
  <c r="I530" i="12"/>
  <c r="H530" i="12"/>
  <c r="P529" i="12"/>
  <c r="O529" i="12"/>
  <c r="N529" i="12"/>
  <c r="M529" i="12"/>
  <c r="K529" i="12"/>
  <c r="I529" i="12"/>
  <c r="H529" i="12"/>
  <c r="P528" i="12"/>
  <c r="O528" i="12"/>
  <c r="N528" i="12"/>
  <c r="M528" i="12"/>
  <c r="K528" i="12"/>
  <c r="I528" i="12"/>
  <c r="H528" i="12"/>
  <c r="P527" i="12"/>
  <c r="O527" i="12"/>
  <c r="N527" i="12"/>
  <c r="M527" i="12"/>
  <c r="K527" i="12"/>
  <c r="I527" i="12"/>
  <c r="H527" i="12"/>
  <c r="P526" i="12"/>
  <c r="O526" i="12"/>
  <c r="N526" i="12"/>
  <c r="M526" i="12"/>
  <c r="K526" i="12"/>
  <c r="I526" i="12"/>
  <c r="H526" i="12"/>
  <c r="P525" i="12"/>
  <c r="O525" i="12"/>
  <c r="N525" i="12"/>
  <c r="M525" i="12"/>
  <c r="K525" i="12"/>
  <c r="I525" i="12"/>
  <c r="H525" i="12"/>
  <c r="P524" i="12"/>
  <c r="O524" i="12"/>
  <c r="N524" i="12"/>
  <c r="M524" i="12"/>
  <c r="K524" i="12"/>
  <c r="I524" i="12"/>
  <c r="H524" i="12"/>
  <c r="P523" i="12"/>
  <c r="O523" i="12"/>
  <c r="N523" i="12"/>
  <c r="M523" i="12"/>
  <c r="K523" i="12"/>
  <c r="I523" i="12"/>
  <c r="H523" i="12"/>
  <c r="P522" i="12"/>
  <c r="O522" i="12"/>
  <c r="N522" i="12"/>
  <c r="M522" i="12"/>
  <c r="K522" i="12"/>
  <c r="I522" i="12"/>
  <c r="H522" i="12"/>
  <c r="P521" i="12"/>
  <c r="O521" i="12"/>
  <c r="N521" i="12"/>
  <c r="M521" i="12"/>
  <c r="K521" i="12"/>
  <c r="I521" i="12"/>
  <c r="H521" i="12"/>
  <c r="P520" i="12"/>
  <c r="O520" i="12"/>
  <c r="N520" i="12"/>
  <c r="M520" i="12"/>
  <c r="K520" i="12"/>
  <c r="I520" i="12"/>
  <c r="H520" i="12"/>
  <c r="P519" i="12"/>
  <c r="O519" i="12"/>
  <c r="N519" i="12"/>
  <c r="M519" i="12"/>
  <c r="K519" i="12"/>
  <c r="I519" i="12"/>
  <c r="H519" i="12"/>
  <c r="P518" i="12"/>
  <c r="O518" i="12"/>
  <c r="N518" i="12"/>
  <c r="M518" i="12"/>
  <c r="K518" i="12"/>
  <c r="I518" i="12"/>
  <c r="H518" i="12"/>
  <c r="P517" i="12"/>
  <c r="O517" i="12"/>
  <c r="N517" i="12"/>
  <c r="M517" i="12"/>
  <c r="K517" i="12"/>
  <c r="I517" i="12"/>
  <c r="H517" i="12"/>
  <c r="P516" i="12"/>
  <c r="O516" i="12"/>
  <c r="N516" i="12"/>
  <c r="M516" i="12"/>
  <c r="K516" i="12"/>
  <c r="I516" i="12"/>
  <c r="H516" i="12"/>
  <c r="P515" i="12"/>
  <c r="O515" i="12"/>
  <c r="N515" i="12"/>
  <c r="M515" i="12"/>
  <c r="K515" i="12"/>
  <c r="I515" i="12"/>
  <c r="H515" i="12"/>
  <c r="P514" i="12"/>
  <c r="O514" i="12"/>
  <c r="N514" i="12"/>
  <c r="M514" i="12"/>
  <c r="K514" i="12"/>
  <c r="I514" i="12"/>
  <c r="H514" i="12"/>
  <c r="P513" i="12"/>
  <c r="O513" i="12"/>
  <c r="N513" i="12"/>
  <c r="M513" i="12"/>
  <c r="K513" i="12"/>
  <c r="I513" i="12"/>
  <c r="H513" i="12"/>
  <c r="P512" i="12"/>
  <c r="O512" i="12"/>
  <c r="N512" i="12"/>
  <c r="M512" i="12"/>
  <c r="K512" i="12"/>
  <c r="I512" i="12"/>
  <c r="H512" i="12"/>
  <c r="P511" i="12"/>
  <c r="O511" i="12"/>
  <c r="N511" i="12"/>
  <c r="M511" i="12"/>
  <c r="K511" i="12"/>
  <c r="I511" i="12"/>
  <c r="H511" i="12"/>
  <c r="P510" i="12"/>
  <c r="O510" i="12"/>
  <c r="N510" i="12"/>
  <c r="M510" i="12"/>
  <c r="K510" i="12"/>
  <c r="I510" i="12"/>
  <c r="H510" i="12"/>
  <c r="P509" i="12"/>
  <c r="M509" i="12"/>
  <c r="K509" i="12"/>
  <c r="I509" i="12"/>
  <c r="H509" i="12"/>
  <c r="P508" i="12"/>
  <c r="M508" i="12"/>
  <c r="K508" i="12"/>
  <c r="I508" i="12"/>
  <c r="H508" i="12"/>
  <c r="P507" i="12"/>
  <c r="M507" i="12"/>
  <c r="K507" i="12"/>
  <c r="I507" i="12"/>
  <c r="H507" i="12"/>
  <c r="P506" i="12"/>
  <c r="M506" i="12"/>
  <c r="K506" i="12"/>
  <c r="I506" i="12"/>
  <c r="H506" i="12"/>
  <c r="P505" i="12"/>
  <c r="M505" i="12"/>
  <c r="K505" i="12"/>
  <c r="I505" i="12"/>
  <c r="H505" i="12"/>
  <c r="P504" i="12"/>
  <c r="M504" i="12"/>
  <c r="K504" i="12"/>
  <c r="I504" i="12"/>
  <c r="H504" i="12"/>
  <c r="P503" i="12"/>
  <c r="M503" i="12"/>
  <c r="K503" i="12"/>
  <c r="I503" i="12"/>
  <c r="H503" i="12"/>
  <c r="P502" i="12"/>
  <c r="M502" i="12"/>
  <c r="K502" i="12"/>
  <c r="I502" i="12"/>
  <c r="H502" i="12"/>
  <c r="P501" i="12"/>
  <c r="M501" i="12"/>
  <c r="K501" i="12"/>
  <c r="I501" i="12"/>
  <c r="H501" i="12"/>
  <c r="P500" i="12"/>
  <c r="M500" i="12"/>
  <c r="K500" i="12"/>
  <c r="I500" i="12"/>
  <c r="H500" i="12"/>
  <c r="P499" i="12"/>
  <c r="M499" i="12"/>
  <c r="K499" i="12"/>
  <c r="I499" i="12"/>
  <c r="H499" i="12"/>
  <c r="P498" i="12"/>
  <c r="M498" i="12"/>
  <c r="K498" i="12"/>
  <c r="I498" i="12"/>
  <c r="H498" i="12"/>
  <c r="P497" i="12"/>
  <c r="M497" i="12"/>
  <c r="K497" i="12"/>
  <c r="I497" i="12"/>
  <c r="H497" i="12"/>
  <c r="P496" i="12"/>
  <c r="M496" i="12"/>
  <c r="K496" i="12"/>
  <c r="I496" i="12"/>
  <c r="H496" i="12"/>
  <c r="P495" i="12"/>
  <c r="M495" i="12"/>
  <c r="K495" i="12"/>
  <c r="I495" i="12"/>
  <c r="H495" i="12"/>
  <c r="P494" i="12"/>
  <c r="M494" i="12"/>
  <c r="K494" i="12"/>
  <c r="I494" i="12"/>
  <c r="H494" i="12"/>
  <c r="P493" i="12"/>
  <c r="M493" i="12"/>
  <c r="K493" i="12"/>
  <c r="I493" i="12"/>
  <c r="H493" i="12"/>
  <c r="P492" i="12"/>
  <c r="M492" i="12"/>
  <c r="K492" i="12"/>
  <c r="I492" i="12"/>
  <c r="H492" i="12"/>
  <c r="P491" i="12"/>
  <c r="M491" i="12"/>
  <c r="K491" i="12"/>
  <c r="I491" i="12"/>
  <c r="H491" i="12"/>
  <c r="P490" i="12"/>
  <c r="M490" i="12"/>
  <c r="K490" i="12"/>
  <c r="I490" i="12"/>
  <c r="H490" i="12"/>
  <c r="P489" i="12"/>
  <c r="M489" i="12"/>
  <c r="I489" i="12"/>
  <c r="H489" i="12"/>
  <c r="P488" i="12"/>
  <c r="M488" i="12"/>
  <c r="I488" i="12"/>
  <c r="H488" i="12"/>
  <c r="P487" i="12"/>
  <c r="M487" i="12"/>
  <c r="K487" i="12"/>
  <c r="I487" i="12"/>
  <c r="H487" i="12"/>
  <c r="P486" i="12"/>
  <c r="M486" i="12"/>
  <c r="K486" i="12"/>
  <c r="I486" i="12"/>
  <c r="H486" i="12"/>
  <c r="P485" i="12"/>
  <c r="M485" i="12"/>
  <c r="K485" i="12"/>
  <c r="I485" i="12"/>
  <c r="H485" i="12"/>
  <c r="P484" i="12"/>
  <c r="M484" i="12"/>
  <c r="K484" i="12"/>
  <c r="I484" i="12"/>
  <c r="H484" i="12"/>
  <c r="P482" i="12"/>
  <c r="O482" i="12"/>
  <c r="N482" i="12"/>
  <c r="M482" i="12"/>
  <c r="K482" i="12"/>
  <c r="I482" i="12"/>
  <c r="H482" i="12"/>
  <c r="P481" i="12"/>
  <c r="O481" i="12"/>
  <c r="N481" i="12"/>
  <c r="M481" i="12"/>
  <c r="I481" i="12"/>
  <c r="H481" i="12"/>
  <c r="P480" i="12"/>
  <c r="O480" i="12"/>
  <c r="N480" i="12"/>
  <c r="M480" i="12"/>
  <c r="K480" i="12"/>
  <c r="I480" i="12"/>
  <c r="H480" i="12"/>
  <c r="P479" i="12"/>
  <c r="O479" i="12"/>
  <c r="N479" i="12"/>
  <c r="M479" i="12"/>
  <c r="K479" i="12"/>
  <c r="I479" i="12"/>
  <c r="H479" i="12"/>
  <c r="P478" i="12"/>
  <c r="O478" i="12"/>
  <c r="N478" i="12"/>
  <c r="M478" i="12"/>
  <c r="K478" i="12"/>
  <c r="I478" i="12"/>
  <c r="H478" i="12"/>
  <c r="P477" i="12"/>
  <c r="O477" i="12"/>
  <c r="N477" i="12"/>
  <c r="M477" i="12"/>
  <c r="I477" i="12"/>
  <c r="H477" i="12"/>
  <c r="P476" i="12"/>
  <c r="O476" i="12"/>
  <c r="N476" i="12"/>
  <c r="M476" i="12"/>
  <c r="K476" i="12"/>
  <c r="I476" i="12"/>
  <c r="H476" i="12"/>
  <c r="P475" i="12"/>
  <c r="M475" i="12"/>
  <c r="K475" i="12"/>
  <c r="I475" i="12"/>
  <c r="H475" i="12"/>
  <c r="P474" i="12"/>
  <c r="M474" i="12"/>
  <c r="K474" i="12"/>
  <c r="I474" i="12"/>
  <c r="H474" i="12"/>
  <c r="P473" i="12"/>
  <c r="M473" i="12"/>
  <c r="I473" i="12"/>
  <c r="H473" i="12"/>
  <c r="P472" i="12"/>
  <c r="M472" i="12"/>
  <c r="K472" i="12"/>
  <c r="I472" i="12"/>
  <c r="H472" i="12"/>
  <c r="P471" i="12"/>
  <c r="M471" i="12"/>
  <c r="K471" i="12"/>
  <c r="I471" i="12"/>
  <c r="H471" i="12"/>
  <c r="P469" i="12"/>
  <c r="O469" i="12"/>
  <c r="N469" i="12"/>
  <c r="M469" i="12"/>
  <c r="K469" i="12"/>
  <c r="I469" i="12"/>
  <c r="H469" i="12"/>
  <c r="P468" i="12"/>
  <c r="O468" i="12"/>
  <c r="N468" i="12"/>
  <c r="M468" i="12"/>
  <c r="I468" i="12"/>
  <c r="H468" i="12"/>
  <c r="P467" i="12"/>
  <c r="O467" i="12"/>
  <c r="N467" i="12"/>
  <c r="M467" i="12"/>
  <c r="K467" i="12"/>
  <c r="I467" i="12"/>
  <c r="H467" i="12"/>
  <c r="P466" i="12"/>
  <c r="O466" i="12"/>
  <c r="N466" i="12"/>
  <c r="M466" i="12"/>
  <c r="K466" i="12"/>
  <c r="I466" i="12"/>
  <c r="H466" i="12"/>
  <c r="P465" i="12"/>
  <c r="O465" i="12"/>
  <c r="N465" i="12"/>
  <c r="M465" i="12"/>
  <c r="K465" i="12"/>
  <c r="I465" i="12"/>
  <c r="H465" i="12"/>
  <c r="P464" i="12"/>
  <c r="O464" i="12"/>
  <c r="N464" i="12"/>
  <c r="M464" i="12"/>
  <c r="I464" i="12"/>
  <c r="H464" i="12"/>
  <c r="P463" i="12"/>
  <c r="O463" i="12"/>
  <c r="N463" i="12"/>
  <c r="M463" i="12"/>
  <c r="K463" i="12"/>
  <c r="I463" i="12"/>
  <c r="H463" i="12"/>
  <c r="P462" i="12"/>
  <c r="O462" i="12"/>
  <c r="N462" i="12"/>
  <c r="M462" i="12"/>
  <c r="K462" i="12"/>
  <c r="I462" i="12"/>
  <c r="H462" i="12"/>
  <c r="P461" i="12"/>
  <c r="O461" i="12"/>
  <c r="N461" i="12"/>
  <c r="M461" i="12"/>
  <c r="K461" i="12"/>
  <c r="I461" i="12"/>
  <c r="H461" i="12"/>
  <c r="P460" i="12"/>
  <c r="O460" i="12"/>
  <c r="N460" i="12"/>
  <c r="M460" i="12"/>
  <c r="K460" i="12"/>
  <c r="I460" i="12"/>
  <c r="H460" i="12"/>
  <c r="P459" i="12"/>
  <c r="O459" i="12"/>
  <c r="N459" i="12"/>
  <c r="M459" i="12"/>
  <c r="K459" i="12"/>
  <c r="I459" i="12"/>
  <c r="H459" i="12"/>
  <c r="P458" i="12"/>
  <c r="O458" i="12"/>
  <c r="N458" i="12"/>
  <c r="M458" i="12"/>
  <c r="K458" i="12"/>
  <c r="I458" i="12"/>
  <c r="H458" i="12"/>
  <c r="P457" i="12"/>
  <c r="O457" i="12"/>
  <c r="N457" i="12"/>
  <c r="M457" i="12"/>
  <c r="K457" i="12"/>
  <c r="I457" i="12"/>
  <c r="H457" i="12"/>
  <c r="P456" i="12"/>
  <c r="O456" i="12"/>
  <c r="N456" i="12"/>
  <c r="M456" i="12"/>
  <c r="K456" i="12"/>
  <c r="I456" i="12"/>
  <c r="H456" i="12"/>
  <c r="P455" i="12"/>
  <c r="O455" i="12"/>
  <c r="N455" i="12"/>
  <c r="M455" i="12"/>
  <c r="K455" i="12"/>
  <c r="I455" i="12"/>
  <c r="H455" i="12"/>
  <c r="P454" i="12"/>
  <c r="O454" i="12"/>
  <c r="N454" i="12"/>
  <c r="M454" i="12"/>
  <c r="K454" i="12"/>
  <c r="I454" i="12"/>
  <c r="H454" i="12"/>
  <c r="P453" i="12"/>
  <c r="O453" i="12"/>
  <c r="N453" i="12"/>
  <c r="M453" i="12"/>
  <c r="K453" i="12"/>
  <c r="I453" i="12"/>
  <c r="H453" i="12"/>
  <c r="P452" i="12"/>
  <c r="M452" i="12"/>
  <c r="K452" i="12"/>
  <c r="I452" i="12"/>
  <c r="H452" i="12"/>
  <c r="P451" i="12"/>
  <c r="M451" i="12"/>
  <c r="K451" i="12"/>
  <c r="I451" i="12"/>
  <c r="H451" i="12"/>
  <c r="P449" i="12"/>
  <c r="O449" i="12"/>
  <c r="N449" i="12"/>
  <c r="M449" i="12"/>
  <c r="K449" i="12"/>
  <c r="I449" i="12"/>
  <c r="H449" i="12"/>
  <c r="P448" i="12"/>
  <c r="O448" i="12"/>
  <c r="N448" i="12"/>
  <c r="M448" i="12"/>
  <c r="K448" i="12"/>
  <c r="I448" i="12"/>
  <c r="H448" i="12"/>
  <c r="P447" i="12"/>
  <c r="O447" i="12"/>
  <c r="N447" i="12"/>
  <c r="M447" i="12"/>
  <c r="K447" i="12"/>
  <c r="I447" i="12"/>
  <c r="H447" i="12"/>
  <c r="P446" i="12"/>
  <c r="O446" i="12"/>
  <c r="N446" i="12"/>
  <c r="M446" i="12"/>
  <c r="K446" i="12"/>
  <c r="I446" i="12"/>
  <c r="H446" i="12"/>
  <c r="P445" i="12"/>
  <c r="O445" i="12"/>
  <c r="N445" i="12"/>
  <c r="M445" i="12"/>
  <c r="K445" i="12"/>
  <c r="I445" i="12"/>
  <c r="H445" i="12"/>
  <c r="P444" i="12"/>
  <c r="O444" i="12"/>
  <c r="N444" i="12"/>
  <c r="M444" i="12"/>
  <c r="K444" i="12"/>
  <c r="I444" i="12"/>
  <c r="H444" i="12"/>
  <c r="P443" i="12"/>
  <c r="O443" i="12"/>
  <c r="N443" i="12"/>
  <c r="M443" i="12"/>
  <c r="K443" i="12"/>
  <c r="I443" i="12"/>
  <c r="H443" i="12"/>
  <c r="P442" i="12"/>
  <c r="O442" i="12"/>
  <c r="N442" i="12"/>
  <c r="M442" i="12"/>
  <c r="K442" i="12"/>
  <c r="I442" i="12"/>
  <c r="H442" i="12"/>
  <c r="P441" i="12"/>
  <c r="M441" i="12"/>
  <c r="K441" i="12"/>
  <c r="I441" i="12"/>
  <c r="H441" i="12"/>
  <c r="P440" i="12"/>
  <c r="M440" i="12"/>
  <c r="K440" i="12"/>
  <c r="I440" i="12"/>
  <c r="H440" i="12"/>
  <c r="P439" i="12"/>
  <c r="M439" i="12"/>
  <c r="K439" i="12"/>
  <c r="I439" i="12"/>
  <c r="H439" i="12"/>
  <c r="P438" i="12"/>
  <c r="M438" i="12"/>
  <c r="K438" i="12"/>
  <c r="I438" i="12"/>
  <c r="H438" i="12"/>
  <c r="P437" i="12"/>
  <c r="M437" i="12"/>
  <c r="K437" i="12"/>
  <c r="I437" i="12"/>
  <c r="H437" i="12"/>
  <c r="P436" i="12"/>
  <c r="M436" i="12"/>
  <c r="K436" i="12"/>
  <c r="I436" i="12"/>
  <c r="H436" i="12"/>
  <c r="P435" i="12"/>
  <c r="M435" i="12"/>
  <c r="K435" i="12"/>
  <c r="I435" i="12"/>
  <c r="H435" i="12"/>
  <c r="P434" i="12"/>
  <c r="M434" i="12"/>
  <c r="K434" i="12"/>
  <c r="I434" i="12"/>
  <c r="H434" i="12"/>
  <c r="P433" i="12"/>
  <c r="M433" i="12"/>
  <c r="K433" i="12"/>
  <c r="I433" i="12"/>
  <c r="H433" i="12"/>
  <c r="P432" i="12"/>
  <c r="M432" i="12"/>
  <c r="K432" i="12"/>
  <c r="I432" i="12"/>
  <c r="H432" i="12"/>
  <c r="P431" i="12"/>
  <c r="M431" i="12"/>
  <c r="K431" i="12"/>
  <c r="I431" i="12"/>
  <c r="H431" i="12"/>
  <c r="P430" i="12"/>
  <c r="M430" i="12"/>
  <c r="K430" i="12"/>
  <c r="I430" i="12"/>
  <c r="H430" i="12"/>
  <c r="P429" i="12"/>
  <c r="M429" i="12"/>
  <c r="K429" i="12"/>
  <c r="I429" i="12"/>
  <c r="H429" i="12"/>
  <c r="P428" i="12"/>
  <c r="M428" i="12"/>
  <c r="K428" i="12"/>
  <c r="I428" i="12"/>
  <c r="H428" i="12"/>
  <c r="P427" i="12"/>
  <c r="M427" i="12"/>
  <c r="K427" i="12"/>
  <c r="I427" i="12"/>
  <c r="H427" i="12"/>
  <c r="P426" i="12"/>
  <c r="M426" i="12"/>
  <c r="K426" i="12"/>
  <c r="I426" i="12"/>
  <c r="H426" i="12"/>
  <c r="P425" i="12"/>
  <c r="M425" i="12"/>
  <c r="K425" i="12"/>
  <c r="I425" i="12"/>
  <c r="H425" i="12"/>
  <c r="P424" i="12"/>
  <c r="M424" i="12"/>
  <c r="K424" i="12"/>
  <c r="I424" i="12"/>
  <c r="H424" i="12"/>
  <c r="P423" i="12"/>
  <c r="M423" i="12"/>
  <c r="K423" i="12"/>
  <c r="I423" i="12"/>
  <c r="H423" i="12"/>
  <c r="P422" i="12"/>
  <c r="M422" i="12"/>
  <c r="K422" i="12"/>
  <c r="I422" i="12"/>
  <c r="H422" i="12"/>
  <c r="P421" i="12"/>
  <c r="M421" i="12"/>
  <c r="K421" i="12"/>
  <c r="I421" i="12"/>
  <c r="H421" i="12"/>
  <c r="P420" i="12"/>
  <c r="M420" i="12"/>
  <c r="K420" i="12"/>
  <c r="I420" i="12"/>
  <c r="H420" i="12"/>
  <c r="P419" i="12"/>
  <c r="M419" i="12"/>
  <c r="K419" i="12"/>
  <c r="I419" i="12"/>
  <c r="H419" i="12"/>
  <c r="P418" i="12"/>
  <c r="M418" i="12"/>
  <c r="K418" i="12"/>
  <c r="I418" i="12"/>
  <c r="H418" i="12"/>
  <c r="P417" i="12"/>
  <c r="M417" i="12"/>
  <c r="K417" i="12"/>
  <c r="I417" i="12"/>
  <c r="H417" i="12"/>
  <c r="P416" i="12"/>
  <c r="M416" i="12"/>
  <c r="K416" i="12"/>
  <c r="I416" i="12"/>
  <c r="H416" i="12"/>
  <c r="P415" i="12"/>
  <c r="M415" i="12"/>
  <c r="K415" i="12"/>
  <c r="I415" i="12"/>
  <c r="H415" i="12"/>
  <c r="P414" i="12"/>
  <c r="M414" i="12"/>
  <c r="K414" i="12"/>
  <c r="I414" i="12"/>
  <c r="H414" i="12"/>
  <c r="P413" i="12"/>
  <c r="M413" i="12"/>
  <c r="K413" i="12"/>
  <c r="I413" i="12"/>
  <c r="H413" i="12"/>
  <c r="P412" i="12"/>
  <c r="M412" i="12"/>
  <c r="K412" i="12"/>
  <c r="I412" i="12"/>
  <c r="H412" i="12"/>
  <c r="P411" i="12"/>
  <c r="M411" i="12"/>
  <c r="K411" i="12"/>
  <c r="I411" i="12"/>
  <c r="H411" i="12"/>
  <c r="P410" i="12"/>
  <c r="M410" i="12"/>
  <c r="K410" i="12"/>
  <c r="I410" i="12"/>
  <c r="H410" i="12"/>
  <c r="P409" i="12"/>
  <c r="M409" i="12"/>
  <c r="K409" i="12"/>
  <c r="I409" i="12"/>
  <c r="H409" i="12"/>
  <c r="P407" i="12"/>
  <c r="O407" i="12"/>
  <c r="N407" i="12"/>
  <c r="M407" i="12"/>
  <c r="K407" i="12"/>
  <c r="I407" i="12"/>
  <c r="H407" i="12"/>
  <c r="P406" i="12"/>
  <c r="O406" i="12"/>
  <c r="N406" i="12"/>
  <c r="M406" i="12"/>
  <c r="K406" i="12"/>
  <c r="I406" i="12"/>
  <c r="H406" i="12"/>
  <c r="P405" i="12"/>
  <c r="O405" i="12"/>
  <c r="N405" i="12"/>
  <c r="M405" i="12"/>
  <c r="K405" i="12"/>
  <c r="I405" i="12"/>
  <c r="H405" i="12"/>
  <c r="P404" i="12"/>
  <c r="O404" i="12"/>
  <c r="N404" i="12"/>
  <c r="M404" i="12"/>
  <c r="K404" i="12"/>
  <c r="I404" i="12"/>
  <c r="H404" i="12"/>
  <c r="P403" i="12"/>
  <c r="O403" i="12"/>
  <c r="N403" i="12"/>
  <c r="M403" i="12"/>
  <c r="K403" i="12"/>
  <c r="I403" i="12"/>
  <c r="H403" i="12"/>
  <c r="P402" i="12"/>
  <c r="O402" i="12"/>
  <c r="N402" i="12"/>
  <c r="M402" i="12"/>
  <c r="K402" i="12"/>
  <c r="I402" i="12"/>
  <c r="H402" i="12"/>
  <c r="P400" i="12"/>
  <c r="O400" i="12"/>
  <c r="N400" i="12"/>
  <c r="M400" i="12"/>
  <c r="K400" i="12"/>
  <c r="I400" i="12"/>
  <c r="H400" i="12"/>
  <c r="P399" i="12"/>
  <c r="O399" i="12"/>
  <c r="N399" i="12"/>
  <c r="M399" i="12"/>
  <c r="K399" i="12"/>
  <c r="I399" i="12"/>
  <c r="H399" i="12"/>
  <c r="P398" i="12"/>
  <c r="M398" i="12"/>
  <c r="K398" i="12"/>
  <c r="I398" i="12"/>
  <c r="H398" i="12"/>
  <c r="P396" i="12"/>
  <c r="O396" i="12"/>
  <c r="N396" i="12"/>
  <c r="M396" i="12"/>
  <c r="K396" i="12"/>
  <c r="I396" i="12"/>
  <c r="H396" i="12"/>
  <c r="P395" i="12"/>
  <c r="O395" i="12"/>
  <c r="N395" i="12"/>
  <c r="M395" i="12"/>
  <c r="K395" i="12"/>
  <c r="I395" i="12"/>
  <c r="H395" i="12"/>
  <c r="P394" i="12"/>
  <c r="M394" i="12"/>
  <c r="K394" i="12"/>
  <c r="I394" i="12"/>
  <c r="H394" i="12"/>
  <c r="P393" i="12"/>
  <c r="M393" i="12"/>
  <c r="K393" i="12"/>
  <c r="I393" i="12"/>
  <c r="H393" i="12"/>
  <c r="P392" i="12"/>
  <c r="M392" i="12"/>
  <c r="K392" i="12"/>
  <c r="I392" i="12"/>
  <c r="H392" i="12"/>
  <c r="P391" i="12"/>
  <c r="M391" i="12"/>
  <c r="K391" i="12"/>
  <c r="I391" i="12"/>
  <c r="H391" i="12"/>
  <c r="P389" i="12"/>
  <c r="O389" i="12"/>
  <c r="N389" i="12"/>
  <c r="M389" i="12"/>
  <c r="K389" i="12"/>
  <c r="I389" i="12"/>
  <c r="H389" i="12"/>
  <c r="P388" i="12"/>
  <c r="O388" i="12"/>
  <c r="N388" i="12"/>
  <c r="M388" i="12"/>
  <c r="K388" i="12"/>
  <c r="I388" i="12"/>
  <c r="H388" i="12"/>
  <c r="P387" i="12"/>
  <c r="O387" i="12"/>
  <c r="N387" i="12"/>
  <c r="M387" i="12"/>
  <c r="K387" i="12"/>
  <c r="I387" i="12"/>
  <c r="H387" i="12"/>
  <c r="P386" i="12"/>
  <c r="O386" i="12"/>
  <c r="N386" i="12"/>
  <c r="M386" i="12"/>
  <c r="K386" i="12"/>
  <c r="I386" i="12"/>
  <c r="H386" i="12"/>
  <c r="P385" i="12"/>
  <c r="O385" i="12"/>
  <c r="N385" i="12"/>
  <c r="M385" i="12"/>
  <c r="K385" i="12"/>
  <c r="I385" i="12"/>
  <c r="H385" i="12"/>
  <c r="P384" i="12"/>
  <c r="M384" i="12"/>
  <c r="K384" i="12"/>
  <c r="I384" i="12"/>
  <c r="H384" i="12"/>
  <c r="P383" i="12"/>
  <c r="M383" i="12"/>
  <c r="K383" i="12"/>
  <c r="I383" i="12"/>
  <c r="H383" i="12"/>
  <c r="P382" i="12"/>
  <c r="M382" i="12"/>
  <c r="K382" i="12"/>
  <c r="I382" i="12"/>
  <c r="H382" i="12"/>
  <c r="P381" i="12"/>
  <c r="M381" i="12"/>
  <c r="K381" i="12"/>
  <c r="I381" i="12"/>
  <c r="H381" i="12"/>
  <c r="P380" i="12"/>
  <c r="M380" i="12"/>
  <c r="K380" i="12"/>
  <c r="I380" i="12"/>
  <c r="H380" i="12"/>
  <c r="P379" i="12"/>
  <c r="M379" i="12"/>
  <c r="K379" i="12"/>
  <c r="I379" i="12"/>
  <c r="H379" i="12"/>
  <c r="P378" i="12"/>
  <c r="M378" i="12"/>
  <c r="K378" i="12"/>
  <c r="I378" i="12"/>
  <c r="H378" i="12"/>
  <c r="P377" i="12"/>
  <c r="M377" i="12"/>
  <c r="K377" i="12"/>
  <c r="I377" i="12"/>
  <c r="H377" i="12"/>
  <c r="P376" i="12"/>
  <c r="M376" i="12"/>
  <c r="K376" i="12"/>
  <c r="I376" i="12"/>
  <c r="H376" i="12"/>
  <c r="P375" i="12"/>
  <c r="M375" i="12"/>
  <c r="K375" i="12"/>
  <c r="I375" i="12"/>
  <c r="H375" i="12"/>
  <c r="P374" i="12"/>
  <c r="M374" i="12"/>
  <c r="K374" i="12"/>
  <c r="I374" i="12"/>
  <c r="H374" i="12"/>
  <c r="P373" i="12"/>
  <c r="M373" i="12"/>
  <c r="K373" i="12"/>
  <c r="I373" i="12"/>
  <c r="H373" i="12"/>
  <c r="P372" i="12"/>
  <c r="M372" i="12"/>
  <c r="K372" i="12"/>
  <c r="I372" i="12"/>
  <c r="H372" i="12"/>
  <c r="P371" i="12"/>
  <c r="M371" i="12"/>
  <c r="K371" i="12"/>
  <c r="I371" i="12"/>
  <c r="H371" i="12"/>
  <c r="P370" i="12"/>
  <c r="M370" i="12"/>
  <c r="K370" i="12"/>
  <c r="I370" i="12"/>
  <c r="H370" i="12"/>
  <c r="P369" i="12"/>
  <c r="M369" i="12"/>
  <c r="K369" i="12"/>
  <c r="I369" i="12"/>
  <c r="H369" i="12"/>
  <c r="P368" i="12"/>
  <c r="M368" i="12"/>
  <c r="K368" i="12"/>
  <c r="I368" i="12"/>
  <c r="H368" i="12"/>
  <c r="P367" i="12"/>
  <c r="M367" i="12"/>
  <c r="K367" i="12"/>
  <c r="I367" i="12"/>
  <c r="H367" i="12"/>
  <c r="P366" i="12"/>
  <c r="M366" i="12"/>
  <c r="K366" i="12"/>
  <c r="I366" i="12"/>
  <c r="H366" i="12"/>
  <c r="P365" i="12"/>
  <c r="M365" i="12"/>
  <c r="K365" i="12"/>
  <c r="I365" i="12"/>
  <c r="H365" i="12"/>
  <c r="P364" i="12"/>
  <c r="M364" i="12"/>
  <c r="K364" i="12"/>
  <c r="I364" i="12"/>
  <c r="H364" i="12"/>
  <c r="P363" i="12"/>
  <c r="M363" i="12"/>
  <c r="K363" i="12"/>
  <c r="I363" i="12"/>
  <c r="H363" i="12"/>
  <c r="P362" i="12"/>
  <c r="M362" i="12"/>
  <c r="K362" i="12"/>
  <c r="I362" i="12"/>
  <c r="H362" i="12"/>
  <c r="P361" i="12"/>
  <c r="M361" i="12"/>
  <c r="K361" i="12"/>
  <c r="I361" i="12"/>
  <c r="H361" i="12"/>
  <c r="P360" i="12"/>
  <c r="M360" i="12"/>
  <c r="K360" i="12"/>
  <c r="I360" i="12"/>
  <c r="H360" i="12"/>
  <c r="P359" i="12"/>
  <c r="M359" i="12"/>
  <c r="K359" i="12"/>
  <c r="I359" i="12"/>
  <c r="H359" i="12"/>
  <c r="P358" i="12"/>
  <c r="M358" i="12"/>
  <c r="K358" i="12"/>
  <c r="I358" i="12"/>
  <c r="H358" i="12"/>
  <c r="P357" i="12"/>
  <c r="M357" i="12"/>
  <c r="K357" i="12"/>
  <c r="I357" i="12"/>
  <c r="H357" i="12"/>
  <c r="P356" i="12"/>
  <c r="M356" i="12"/>
  <c r="K356" i="12"/>
  <c r="I356" i="12"/>
  <c r="H356" i="12"/>
  <c r="P355" i="12"/>
  <c r="M355" i="12"/>
  <c r="K355" i="12"/>
  <c r="I355" i="12"/>
  <c r="H355" i="12"/>
  <c r="P354" i="12"/>
  <c r="M354" i="12"/>
  <c r="K354" i="12"/>
  <c r="I354" i="12"/>
  <c r="H354" i="12"/>
  <c r="P353" i="12"/>
  <c r="M353" i="12"/>
  <c r="K353" i="12"/>
  <c r="I353" i="12"/>
  <c r="H353" i="12"/>
  <c r="P352" i="12"/>
  <c r="M352" i="12"/>
  <c r="I352" i="12"/>
  <c r="H352" i="12"/>
  <c r="P351" i="12"/>
  <c r="M351" i="12"/>
  <c r="K351" i="12"/>
  <c r="I351" i="12"/>
  <c r="H351" i="12"/>
  <c r="P350" i="12"/>
  <c r="M350" i="12"/>
  <c r="K350" i="12"/>
  <c r="I350" i="12"/>
  <c r="H350" i="12"/>
  <c r="P349" i="12"/>
  <c r="M349" i="12"/>
  <c r="K349" i="12"/>
  <c r="I349" i="12"/>
  <c r="H349" i="12"/>
  <c r="P348" i="12"/>
  <c r="M348" i="12"/>
  <c r="I348" i="12"/>
  <c r="H348" i="12"/>
  <c r="P347" i="12"/>
  <c r="M347" i="12"/>
  <c r="K347" i="12"/>
  <c r="I347" i="12"/>
  <c r="H347" i="12"/>
  <c r="P346" i="12"/>
  <c r="M346" i="12"/>
  <c r="K346" i="12"/>
  <c r="I346" i="12"/>
  <c r="H346" i="12"/>
  <c r="P345" i="12"/>
  <c r="M345" i="12"/>
  <c r="K345" i="12"/>
  <c r="I345" i="12"/>
  <c r="H345" i="12"/>
  <c r="P344" i="12"/>
  <c r="M344" i="12"/>
  <c r="K344" i="12"/>
  <c r="I344" i="12"/>
  <c r="H344" i="12"/>
  <c r="P343" i="12"/>
  <c r="M343" i="12"/>
  <c r="K343" i="12"/>
  <c r="I343" i="12"/>
  <c r="H343" i="12"/>
  <c r="P342" i="12"/>
  <c r="M342" i="12"/>
  <c r="K342" i="12"/>
  <c r="I342" i="12"/>
  <c r="H342" i="12"/>
  <c r="P341" i="12"/>
  <c r="M341" i="12"/>
  <c r="K341" i="12"/>
  <c r="I341" i="12"/>
  <c r="H341" i="12"/>
  <c r="P340" i="12"/>
  <c r="M340" i="12"/>
  <c r="K340" i="12"/>
  <c r="I340" i="12"/>
  <c r="H340" i="12"/>
  <c r="P339" i="12"/>
  <c r="M339" i="12"/>
  <c r="K339" i="12"/>
  <c r="I339" i="12"/>
  <c r="H339" i="12"/>
  <c r="P338" i="12"/>
  <c r="M338" i="12"/>
  <c r="K338" i="12"/>
  <c r="I338" i="12"/>
  <c r="H338" i="12"/>
  <c r="P337" i="12"/>
  <c r="M337" i="12"/>
  <c r="K337" i="12"/>
  <c r="I337" i="12"/>
  <c r="H337" i="12"/>
  <c r="P336" i="12"/>
  <c r="M336" i="12"/>
  <c r="K336" i="12"/>
  <c r="I336" i="12"/>
  <c r="H336" i="12"/>
  <c r="P335" i="12"/>
  <c r="M335" i="12"/>
  <c r="K335" i="12"/>
  <c r="I335" i="12"/>
  <c r="H335" i="12"/>
  <c r="P334" i="12"/>
  <c r="M334" i="12"/>
  <c r="K334" i="12"/>
  <c r="I334" i="12"/>
  <c r="H334" i="12"/>
  <c r="P333" i="12"/>
  <c r="M333" i="12"/>
  <c r="K333" i="12"/>
  <c r="I333" i="12"/>
  <c r="H333" i="12"/>
  <c r="P332" i="12"/>
  <c r="M332" i="12"/>
  <c r="K332" i="12"/>
  <c r="I332" i="12"/>
  <c r="H332" i="12"/>
  <c r="P331" i="12"/>
  <c r="M331" i="12"/>
  <c r="K331" i="12"/>
  <c r="I331" i="12"/>
  <c r="H331" i="12"/>
  <c r="P330" i="12"/>
  <c r="M330" i="12"/>
  <c r="K330" i="12"/>
  <c r="I330" i="12"/>
  <c r="H330" i="12"/>
  <c r="P329" i="12"/>
  <c r="M329" i="12"/>
  <c r="K329" i="12"/>
  <c r="I329" i="12"/>
  <c r="H329" i="12"/>
  <c r="P328" i="12"/>
  <c r="M328" i="12"/>
  <c r="K328" i="12"/>
  <c r="I328" i="12"/>
  <c r="H328" i="12"/>
  <c r="P327" i="12"/>
  <c r="M327" i="12"/>
  <c r="K327" i="12"/>
  <c r="I327" i="12"/>
  <c r="H327" i="12"/>
  <c r="P326" i="12"/>
  <c r="M326" i="12"/>
  <c r="K326" i="12"/>
  <c r="I326" i="12"/>
  <c r="H326" i="12"/>
  <c r="P325" i="12"/>
  <c r="M325" i="12"/>
  <c r="K325" i="12"/>
  <c r="I325" i="12"/>
  <c r="H325" i="12"/>
  <c r="P324" i="12"/>
  <c r="M324" i="12"/>
  <c r="K324" i="12"/>
  <c r="I324" i="12"/>
  <c r="H324" i="12"/>
  <c r="P323" i="12"/>
  <c r="M323" i="12"/>
  <c r="K323" i="12"/>
  <c r="I323" i="12"/>
  <c r="H323" i="12"/>
  <c r="P322" i="12"/>
  <c r="M322" i="12"/>
  <c r="K322" i="12"/>
  <c r="I322" i="12"/>
  <c r="H322" i="12"/>
  <c r="P321" i="12"/>
  <c r="M321" i="12"/>
  <c r="K321" i="12"/>
  <c r="I321" i="12"/>
  <c r="H321" i="12"/>
  <c r="P320" i="12"/>
  <c r="M320" i="12"/>
  <c r="K320" i="12"/>
  <c r="I320" i="12"/>
  <c r="H320" i="12"/>
  <c r="P319" i="12"/>
  <c r="M319" i="12"/>
  <c r="K319" i="12"/>
  <c r="I319" i="12"/>
  <c r="H319" i="12"/>
  <c r="P318" i="12"/>
  <c r="M318" i="12"/>
  <c r="K318" i="12"/>
  <c r="I318" i="12"/>
  <c r="H318" i="12"/>
  <c r="P317" i="12"/>
  <c r="M317" i="12"/>
  <c r="K317" i="12"/>
  <c r="I317" i="12"/>
  <c r="H317" i="12"/>
  <c r="P316" i="12"/>
  <c r="M316" i="12"/>
  <c r="K316" i="12"/>
  <c r="I316" i="12"/>
  <c r="H316" i="12"/>
  <c r="P315" i="12"/>
  <c r="M315" i="12"/>
  <c r="K315" i="12"/>
  <c r="I315" i="12"/>
  <c r="H315" i="12"/>
  <c r="P314" i="12"/>
  <c r="M314" i="12"/>
  <c r="K314" i="12"/>
  <c r="I314" i="12"/>
  <c r="H314" i="12"/>
  <c r="P313" i="12"/>
  <c r="M313" i="12"/>
  <c r="K313" i="12"/>
  <c r="I313" i="12"/>
  <c r="H313" i="12"/>
  <c r="P312" i="12"/>
  <c r="M312" i="12"/>
  <c r="K312" i="12"/>
  <c r="I312" i="12"/>
  <c r="H312" i="12"/>
  <c r="P311" i="12"/>
  <c r="M311" i="12"/>
  <c r="K311" i="12"/>
  <c r="I311" i="12"/>
  <c r="H311" i="12"/>
  <c r="P310" i="12"/>
  <c r="M310" i="12"/>
  <c r="K310" i="12"/>
  <c r="I310" i="12"/>
  <c r="H310" i="12"/>
  <c r="P309" i="12"/>
  <c r="M309" i="12"/>
  <c r="K309" i="12"/>
  <c r="I309" i="12"/>
  <c r="H309" i="12"/>
  <c r="P308" i="12"/>
  <c r="M308" i="12"/>
  <c r="K308" i="12"/>
  <c r="I308" i="12"/>
  <c r="H308" i="12"/>
  <c r="P307" i="12"/>
  <c r="M307" i="12"/>
  <c r="K307" i="12"/>
  <c r="I307" i="12"/>
  <c r="H307" i="12"/>
  <c r="P306" i="12"/>
  <c r="M306" i="12"/>
  <c r="K306" i="12"/>
  <c r="I306" i="12"/>
  <c r="H306" i="12"/>
  <c r="P305" i="12"/>
  <c r="M305" i="12"/>
  <c r="K305" i="12"/>
  <c r="I305" i="12"/>
  <c r="H305" i="12"/>
  <c r="P304" i="12"/>
  <c r="M304" i="12"/>
  <c r="K304" i="12"/>
  <c r="I304" i="12"/>
  <c r="H304" i="12"/>
  <c r="P303" i="12"/>
  <c r="M303" i="12"/>
  <c r="K303" i="12"/>
  <c r="I303" i="12"/>
  <c r="H303" i="12"/>
  <c r="P302" i="12"/>
  <c r="M302" i="12"/>
  <c r="K302" i="12"/>
  <c r="I302" i="12"/>
  <c r="H302" i="12"/>
  <c r="P300" i="12"/>
  <c r="O300" i="12"/>
  <c r="N300" i="12"/>
  <c r="M300" i="12"/>
  <c r="K300" i="12"/>
  <c r="I300" i="12"/>
  <c r="H300" i="12"/>
  <c r="P299" i="12"/>
  <c r="O299" i="12"/>
  <c r="N299" i="12"/>
  <c r="M299" i="12"/>
  <c r="K299" i="12"/>
  <c r="I299" i="12"/>
  <c r="H299" i="12"/>
  <c r="P298" i="12"/>
  <c r="M298" i="12"/>
  <c r="K298" i="12"/>
  <c r="I298" i="12"/>
  <c r="H298" i="12"/>
  <c r="P297" i="12"/>
  <c r="M297" i="12"/>
  <c r="K297" i="12"/>
  <c r="I297" i="12"/>
  <c r="H297" i="12"/>
  <c r="P296" i="12"/>
  <c r="M296" i="12"/>
  <c r="K296" i="12"/>
  <c r="I296" i="12"/>
  <c r="H296" i="12"/>
  <c r="P295" i="12"/>
  <c r="M295" i="12"/>
  <c r="K295" i="12"/>
  <c r="I295" i="12"/>
  <c r="H295" i="12"/>
  <c r="P294" i="12"/>
  <c r="M294" i="12"/>
  <c r="K294" i="12"/>
  <c r="I294" i="12"/>
  <c r="H294" i="12"/>
  <c r="P293" i="12"/>
  <c r="M293" i="12"/>
  <c r="K293" i="12"/>
  <c r="I293" i="12"/>
  <c r="H293" i="12"/>
  <c r="P292" i="12"/>
  <c r="M292" i="12"/>
  <c r="K292" i="12"/>
  <c r="I292" i="12"/>
  <c r="H292" i="12"/>
  <c r="P291" i="12"/>
  <c r="M291" i="12"/>
  <c r="K291" i="12"/>
  <c r="I291" i="12"/>
  <c r="H291" i="12"/>
  <c r="P290" i="12"/>
  <c r="M290" i="12"/>
  <c r="K290" i="12"/>
  <c r="I290" i="12"/>
  <c r="H290" i="12"/>
  <c r="P289" i="12"/>
  <c r="M289" i="12"/>
  <c r="K289" i="12"/>
  <c r="I289" i="12"/>
  <c r="H289" i="12"/>
  <c r="P288" i="12"/>
  <c r="M288" i="12"/>
  <c r="K288" i="12"/>
  <c r="I288" i="12"/>
  <c r="H288" i="12"/>
  <c r="P286" i="12"/>
  <c r="O286" i="12"/>
  <c r="N286" i="12"/>
  <c r="M286" i="12"/>
  <c r="K286" i="12"/>
  <c r="I286" i="12"/>
  <c r="H286" i="12"/>
  <c r="P285" i="12"/>
  <c r="O285" i="12"/>
  <c r="N285" i="12"/>
  <c r="M285" i="12"/>
  <c r="K285" i="12"/>
  <c r="I285" i="12"/>
  <c r="H285" i="12"/>
  <c r="P284" i="12"/>
  <c r="O284" i="12"/>
  <c r="N284" i="12"/>
  <c r="M284" i="12"/>
  <c r="K284" i="12"/>
  <c r="I284" i="12"/>
  <c r="H284" i="12"/>
  <c r="P283" i="12"/>
  <c r="O283" i="12"/>
  <c r="N283" i="12"/>
  <c r="M283" i="12"/>
  <c r="K283" i="12"/>
  <c r="I283" i="12"/>
  <c r="H283" i="12"/>
  <c r="P282" i="12"/>
  <c r="O282" i="12"/>
  <c r="N282" i="12"/>
  <c r="M282" i="12"/>
  <c r="K282" i="12"/>
  <c r="I282" i="12"/>
  <c r="H282" i="12"/>
  <c r="P281" i="12"/>
  <c r="M281" i="12"/>
  <c r="K281" i="12"/>
  <c r="I281" i="12"/>
  <c r="H281" i="12"/>
  <c r="P280" i="12"/>
  <c r="M280" i="12"/>
  <c r="K280" i="12"/>
  <c r="I280" i="12"/>
  <c r="H280" i="12"/>
  <c r="P279" i="12"/>
  <c r="M279" i="12"/>
  <c r="K279" i="12"/>
  <c r="I279" i="12"/>
  <c r="H279" i="12"/>
  <c r="P278" i="12"/>
  <c r="M278" i="12"/>
  <c r="K278" i="12"/>
  <c r="I278" i="12"/>
  <c r="H278" i="12"/>
  <c r="P277" i="12"/>
  <c r="M277" i="12"/>
  <c r="K277" i="12"/>
  <c r="I277" i="12"/>
  <c r="H277" i="12"/>
  <c r="P276" i="12"/>
  <c r="M276" i="12"/>
  <c r="K276" i="12"/>
  <c r="I276" i="12"/>
  <c r="H276" i="12"/>
  <c r="P274" i="12"/>
  <c r="O274" i="12"/>
  <c r="N274" i="12"/>
  <c r="M274" i="12"/>
  <c r="K274" i="12"/>
  <c r="I274" i="12"/>
  <c r="H274" i="12"/>
  <c r="P273" i="12"/>
  <c r="O273" i="12"/>
  <c r="N273" i="12"/>
  <c r="M273" i="12"/>
  <c r="K273" i="12"/>
  <c r="I273" i="12"/>
  <c r="H273" i="12"/>
  <c r="P272" i="12"/>
  <c r="O272" i="12"/>
  <c r="N272" i="12"/>
  <c r="M272" i="12"/>
  <c r="K272" i="12"/>
  <c r="I272" i="12"/>
  <c r="H272" i="12"/>
  <c r="P270" i="12"/>
  <c r="O270" i="12"/>
  <c r="N270" i="12"/>
  <c r="M270" i="12"/>
  <c r="K270" i="12"/>
  <c r="I270" i="12"/>
  <c r="H270" i="12"/>
  <c r="P269" i="12"/>
  <c r="O269" i="12"/>
  <c r="N269" i="12"/>
  <c r="M269" i="12"/>
  <c r="K269" i="12"/>
  <c r="I269" i="12"/>
  <c r="H269" i="12"/>
  <c r="P268" i="12"/>
  <c r="O268" i="12"/>
  <c r="N268" i="12"/>
  <c r="M268" i="12"/>
  <c r="K268" i="12"/>
  <c r="I268" i="12"/>
  <c r="H268" i="12"/>
  <c r="P267" i="12"/>
  <c r="O267" i="12"/>
  <c r="N267" i="12"/>
  <c r="M267" i="12"/>
  <c r="K267" i="12"/>
  <c r="I267" i="12"/>
  <c r="H267" i="12"/>
  <c r="P266" i="12"/>
  <c r="O266" i="12"/>
  <c r="N266" i="12"/>
  <c r="M266" i="12"/>
  <c r="K266" i="12"/>
  <c r="I266" i="12"/>
  <c r="H266" i="12"/>
  <c r="P265" i="12"/>
  <c r="O265" i="12"/>
  <c r="N265" i="12"/>
  <c r="M265" i="12"/>
  <c r="K265" i="12"/>
  <c r="I265" i="12"/>
  <c r="H265" i="12"/>
  <c r="P264" i="12"/>
  <c r="O264" i="12"/>
  <c r="N264" i="12"/>
  <c r="M264" i="12"/>
  <c r="K264" i="12"/>
  <c r="I264" i="12"/>
  <c r="H264" i="12"/>
  <c r="P263" i="12"/>
  <c r="O263" i="12"/>
  <c r="N263" i="12"/>
  <c r="M263" i="12"/>
  <c r="K263" i="12"/>
  <c r="I263" i="12"/>
  <c r="H263" i="12"/>
  <c r="P262" i="12"/>
  <c r="M262" i="12"/>
  <c r="K262" i="12"/>
  <c r="I262" i="12"/>
  <c r="H262" i="12"/>
  <c r="P261" i="12"/>
  <c r="M261" i="12"/>
  <c r="K261" i="12"/>
  <c r="I261" i="12"/>
  <c r="H261" i="12"/>
  <c r="P260" i="12"/>
  <c r="M260" i="12"/>
  <c r="K260" i="12"/>
  <c r="I260" i="12"/>
  <c r="H260" i="12"/>
  <c r="P259" i="12"/>
  <c r="M259" i="12"/>
  <c r="K259" i="12"/>
  <c r="I259" i="12"/>
  <c r="H259" i="12"/>
  <c r="P258" i="12"/>
  <c r="M258" i="12"/>
  <c r="K258" i="12"/>
  <c r="I258" i="12"/>
  <c r="H258" i="12"/>
  <c r="P257" i="12"/>
  <c r="M257" i="12"/>
  <c r="K257" i="12"/>
  <c r="I257" i="12"/>
  <c r="H257" i="12"/>
  <c r="P256" i="12"/>
  <c r="M256" i="12"/>
  <c r="K256" i="12"/>
  <c r="I256" i="12"/>
  <c r="H256" i="12"/>
  <c r="P255" i="12"/>
  <c r="M255" i="12"/>
  <c r="K255" i="12"/>
  <c r="I255" i="12"/>
  <c r="H255" i="12"/>
  <c r="P254" i="12"/>
  <c r="M254" i="12"/>
  <c r="K254" i="12"/>
  <c r="I254" i="12"/>
  <c r="H254" i="12"/>
  <c r="P253" i="12"/>
  <c r="M253" i="12"/>
  <c r="K253" i="12"/>
  <c r="I253" i="12"/>
  <c r="H253" i="12"/>
  <c r="P252" i="12"/>
  <c r="M252" i="12"/>
  <c r="K252" i="12"/>
  <c r="I252" i="12"/>
  <c r="H252" i="12"/>
  <c r="P251" i="12"/>
  <c r="M251" i="12"/>
  <c r="K251" i="12"/>
  <c r="I251" i="12"/>
  <c r="H251" i="12"/>
  <c r="P250" i="12"/>
  <c r="M250" i="12"/>
  <c r="K250" i="12"/>
  <c r="I250" i="12"/>
  <c r="H250" i="12"/>
  <c r="P249" i="12"/>
  <c r="M249" i="12"/>
  <c r="K249" i="12"/>
  <c r="I249" i="12"/>
  <c r="H249" i="12"/>
  <c r="P248" i="12"/>
  <c r="M248" i="12"/>
  <c r="K248" i="12"/>
  <c r="I248" i="12"/>
  <c r="H248" i="12"/>
  <c r="P247" i="12"/>
  <c r="M247" i="12"/>
  <c r="K247" i="12"/>
  <c r="I247" i="12"/>
  <c r="H247" i="12"/>
  <c r="P246" i="12"/>
  <c r="M246" i="12"/>
  <c r="K246" i="12"/>
  <c r="I246" i="12"/>
  <c r="H246" i="12"/>
  <c r="P244" i="12"/>
  <c r="M244" i="12"/>
  <c r="K244" i="12"/>
  <c r="I244" i="12"/>
  <c r="H244" i="12"/>
  <c r="P243" i="12"/>
  <c r="M243" i="12"/>
  <c r="K243" i="12"/>
  <c r="I243" i="12"/>
  <c r="H243" i="12"/>
  <c r="P241" i="12"/>
  <c r="O241" i="12"/>
  <c r="N241" i="12"/>
  <c r="M241" i="12"/>
  <c r="K241" i="12"/>
  <c r="I241" i="12"/>
  <c r="H241" i="12"/>
  <c r="P240" i="12"/>
  <c r="O240" i="12"/>
  <c r="N240" i="12"/>
  <c r="M240" i="12"/>
  <c r="K240" i="12"/>
  <c r="I240" i="12"/>
  <c r="H240" i="12"/>
  <c r="P239" i="12"/>
  <c r="O239" i="12"/>
  <c r="N239" i="12"/>
  <c r="M239" i="12"/>
  <c r="K239" i="12"/>
  <c r="I239" i="12"/>
  <c r="H239" i="12"/>
  <c r="P238" i="12"/>
  <c r="M238" i="12"/>
  <c r="K238" i="12"/>
  <c r="I238" i="12"/>
  <c r="H238" i="12"/>
  <c r="P237" i="12"/>
  <c r="M237" i="12"/>
  <c r="K237" i="12"/>
  <c r="I237" i="12"/>
  <c r="H237" i="12"/>
  <c r="P236" i="12"/>
  <c r="M236" i="12"/>
  <c r="K236" i="12"/>
  <c r="I236" i="12"/>
  <c r="H236" i="12"/>
  <c r="P235" i="12"/>
  <c r="M235" i="12"/>
  <c r="K235" i="12"/>
  <c r="I235" i="12"/>
  <c r="H235" i="12"/>
  <c r="P234" i="12"/>
  <c r="M234" i="12"/>
  <c r="K234" i="12"/>
  <c r="I234" i="12"/>
  <c r="H234" i="12"/>
  <c r="P232" i="12"/>
  <c r="O232" i="12"/>
  <c r="N232" i="12"/>
  <c r="M232" i="12"/>
  <c r="K232" i="12"/>
  <c r="I232" i="12"/>
  <c r="H232" i="12"/>
  <c r="P231" i="12"/>
  <c r="O231" i="12"/>
  <c r="N231" i="12"/>
  <c r="M231" i="12"/>
  <c r="K231" i="12"/>
  <c r="I231" i="12"/>
  <c r="H231" i="12"/>
  <c r="P230" i="12"/>
  <c r="O230" i="12"/>
  <c r="N230" i="12"/>
  <c r="M230" i="12"/>
  <c r="K230" i="12"/>
  <c r="I230" i="12"/>
  <c r="H230" i="12"/>
  <c r="P229" i="12"/>
  <c r="O229" i="12"/>
  <c r="N229" i="12"/>
  <c r="M229" i="12"/>
  <c r="K229" i="12"/>
  <c r="I229" i="12"/>
  <c r="H229" i="12"/>
  <c r="P227" i="12"/>
  <c r="O227" i="12"/>
  <c r="N227" i="12"/>
  <c r="M227" i="12"/>
  <c r="K227" i="12"/>
  <c r="I227" i="12"/>
  <c r="H227" i="12"/>
  <c r="P226" i="12"/>
  <c r="O226" i="12"/>
  <c r="N226" i="12"/>
  <c r="M226" i="12"/>
  <c r="K226" i="12"/>
  <c r="I226" i="12"/>
  <c r="H226" i="12"/>
  <c r="P224" i="12"/>
  <c r="O224" i="12"/>
  <c r="N224" i="12"/>
  <c r="M224" i="12"/>
  <c r="K224" i="12"/>
  <c r="I224" i="12"/>
  <c r="H224" i="12"/>
  <c r="P223" i="12"/>
  <c r="M223" i="12"/>
  <c r="K223" i="12"/>
  <c r="I223" i="12"/>
  <c r="H223" i="12"/>
  <c r="P222" i="12"/>
  <c r="M222" i="12"/>
  <c r="K222" i="12"/>
  <c r="I222" i="12"/>
  <c r="H222" i="12"/>
  <c r="P221" i="12"/>
  <c r="M221" i="12"/>
  <c r="K221" i="12"/>
  <c r="I221" i="12"/>
  <c r="H221" i="12"/>
  <c r="P219" i="12"/>
  <c r="O219" i="12"/>
  <c r="N219" i="12"/>
  <c r="M219" i="12"/>
  <c r="K219" i="12"/>
  <c r="I219" i="12"/>
  <c r="H219" i="12"/>
  <c r="P218" i="12"/>
  <c r="O218" i="12"/>
  <c r="N218" i="12"/>
  <c r="M218" i="12"/>
  <c r="K218" i="12"/>
  <c r="I218" i="12"/>
  <c r="H218" i="12"/>
  <c r="P217" i="12"/>
  <c r="O217" i="12"/>
  <c r="N217" i="12"/>
  <c r="M217" i="12"/>
  <c r="K217" i="12"/>
  <c r="I217" i="12"/>
  <c r="H217" i="12"/>
  <c r="P216" i="12"/>
  <c r="M216" i="12"/>
  <c r="K216" i="12"/>
  <c r="I216" i="12"/>
  <c r="H216" i="12"/>
  <c r="P215" i="12"/>
  <c r="M215" i="12"/>
  <c r="K215" i="12"/>
  <c r="I215" i="12"/>
  <c r="H215" i="12"/>
  <c r="P214" i="12"/>
  <c r="M214" i="12"/>
  <c r="K214" i="12"/>
  <c r="I214" i="12"/>
  <c r="H214" i="12"/>
  <c r="P213" i="12"/>
  <c r="M213" i="12"/>
  <c r="K213" i="12"/>
  <c r="I213" i="12"/>
  <c r="H213" i="12"/>
  <c r="P212" i="12"/>
  <c r="M212" i="12"/>
  <c r="K212" i="12"/>
  <c r="I212" i="12"/>
  <c r="H212" i="12"/>
  <c r="P211" i="12"/>
  <c r="M211" i="12"/>
  <c r="K211" i="12"/>
  <c r="I211" i="12"/>
  <c r="H211" i="12"/>
  <c r="P210" i="12"/>
  <c r="M210" i="12"/>
  <c r="K210" i="12"/>
  <c r="I210" i="12"/>
  <c r="H210" i="12"/>
  <c r="P209" i="12"/>
  <c r="M209" i="12"/>
  <c r="K209" i="12"/>
  <c r="I209" i="12"/>
  <c r="H209" i="12"/>
  <c r="P207" i="12"/>
  <c r="M207" i="12"/>
  <c r="K207" i="12"/>
  <c r="I207" i="12"/>
  <c r="H207" i="12"/>
  <c r="P206" i="12"/>
  <c r="M206" i="12"/>
  <c r="K206" i="12"/>
  <c r="I206" i="12"/>
  <c r="H206" i="12"/>
  <c r="P205" i="12"/>
  <c r="M205" i="12"/>
  <c r="K205" i="12"/>
  <c r="I205" i="12"/>
  <c r="H205" i="12"/>
  <c r="P204" i="12"/>
  <c r="M204" i="12"/>
  <c r="K204" i="12"/>
  <c r="I204" i="12"/>
  <c r="H204" i="12"/>
  <c r="P203" i="12"/>
  <c r="M203" i="12"/>
  <c r="K203" i="12"/>
  <c r="I203" i="12"/>
  <c r="H203" i="12"/>
  <c r="P202" i="12"/>
  <c r="M202" i="12"/>
  <c r="K202" i="12"/>
  <c r="I202" i="12"/>
  <c r="H202" i="12"/>
  <c r="P201" i="12"/>
  <c r="M201" i="12"/>
  <c r="K201" i="12"/>
  <c r="I201" i="12"/>
  <c r="H201" i="12"/>
  <c r="P200" i="12"/>
  <c r="M200" i="12"/>
  <c r="K200" i="12"/>
  <c r="I200" i="12"/>
  <c r="H200" i="12"/>
  <c r="P199" i="12"/>
  <c r="M199" i="12"/>
  <c r="K199" i="12"/>
  <c r="I199" i="12"/>
  <c r="H199" i="12"/>
  <c r="P198" i="12"/>
  <c r="M198" i="12"/>
  <c r="K198" i="12"/>
  <c r="I198" i="12"/>
  <c r="H198" i="12"/>
  <c r="P197" i="12"/>
  <c r="M197" i="12"/>
  <c r="K197" i="12"/>
  <c r="I197" i="12"/>
  <c r="H197" i="12"/>
  <c r="P196" i="12"/>
  <c r="M196" i="12"/>
  <c r="K196" i="12"/>
  <c r="I196" i="12"/>
  <c r="H196" i="12"/>
  <c r="P195" i="12"/>
  <c r="M195" i="12"/>
  <c r="K195" i="12"/>
  <c r="I195" i="12"/>
  <c r="H195" i="12"/>
  <c r="P194" i="12"/>
  <c r="M194" i="12"/>
  <c r="K194" i="12"/>
  <c r="I194" i="12"/>
  <c r="H194" i="12"/>
  <c r="P193" i="12"/>
  <c r="M193" i="12"/>
  <c r="K193" i="12"/>
  <c r="I193" i="12"/>
  <c r="H193" i="12"/>
  <c r="P192" i="12"/>
  <c r="M192" i="12"/>
  <c r="K192" i="12"/>
  <c r="I192" i="12"/>
  <c r="H192" i="12"/>
  <c r="P191" i="12"/>
  <c r="M191" i="12"/>
  <c r="K191" i="12"/>
  <c r="I191" i="12"/>
  <c r="H191" i="12"/>
  <c r="P190" i="12"/>
  <c r="M190" i="12"/>
  <c r="I190" i="12"/>
  <c r="H190" i="12"/>
  <c r="P189" i="12"/>
  <c r="M189" i="12"/>
  <c r="K189" i="12"/>
  <c r="I189" i="12"/>
  <c r="H189" i="12"/>
  <c r="P188" i="12"/>
  <c r="M188" i="12"/>
  <c r="K188" i="12"/>
  <c r="I188" i="12"/>
  <c r="H188" i="12"/>
  <c r="P187" i="12"/>
  <c r="M187" i="12"/>
  <c r="K187" i="12"/>
  <c r="I187" i="12"/>
  <c r="H187" i="12"/>
  <c r="P186" i="12"/>
  <c r="M186" i="12"/>
  <c r="I186" i="12"/>
  <c r="H186" i="12"/>
  <c r="P185" i="12"/>
  <c r="M185" i="12"/>
  <c r="K185" i="12"/>
  <c r="I185" i="12"/>
  <c r="H185" i="12"/>
  <c r="P184" i="12"/>
  <c r="M184" i="12"/>
  <c r="K184" i="12"/>
  <c r="I184" i="12"/>
  <c r="H184" i="12"/>
  <c r="P183" i="12"/>
  <c r="M183" i="12"/>
  <c r="K183" i="12"/>
  <c r="I183" i="12"/>
  <c r="H183" i="12"/>
  <c r="P181" i="12"/>
  <c r="O181" i="12"/>
  <c r="N181" i="12"/>
  <c r="M181" i="12"/>
  <c r="I181" i="12"/>
  <c r="H181" i="12"/>
  <c r="P180" i="12"/>
  <c r="O180" i="12"/>
  <c r="N180" i="12"/>
  <c r="M180" i="12"/>
  <c r="K180" i="12"/>
  <c r="I180" i="12"/>
  <c r="H180" i="12"/>
  <c r="P179" i="12"/>
  <c r="O179" i="12"/>
  <c r="N179" i="12"/>
  <c r="M179" i="12"/>
  <c r="K179" i="12"/>
  <c r="I179" i="12"/>
  <c r="H179" i="12"/>
  <c r="P178" i="12"/>
  <c r="O178" i="12"/>
  <c r="N178" i="12"/>
  <c r="M178" i="12"/>
  <c r="K178" i="12"/>
  <c r="I178" i="12"/>
  <c r="H178" i="12"/>
  <c r="P177" i="12"/>
  <c r="O177" i="12"/>
  <c r="N177" i="12"/>
  <c r="M177" i="12"/>
  <c r="I177" i="12"/>
  <c r="H177" i="12"/>
  <c r="P176" i="12"/>
  <c r="O176" i="12"/>
  <c r="N176" i="12"/>
  <c r="M176" i="12"/>
  <c r="K176" i="12"/>
  <c r="I176" i="12"/>
  <c r="H176" i="12"/>
  <c r="P175" i="12"/>
  <c r="O175" i="12"/>
  <c r="N175" i="12"/>
  <c r="M175" i="12"/>
  <c r="K175" i="12"/>
  <c r="I175" i="12"/>
  <c r="H175" i="12"/>
  <c r="P174" i="12"/>
  <c r="O174" i="12"/>
  <c r="N174" i="12"/>
  <c r="M174" i="12"/>
  <c r="K174" i="12"/>
  <c r="I174" i="12"/>
  <c r="H174" i="12"/>
  <c r="P173" i="12"/>
  <c r="O173" i="12"/>
  <c r="N173" i="12"/>
  <c r="M173" i="12"/>
  <c r="I173" i="12"/>
  <c r="H173" i="12"/>
  <c r="P172" i="12"/>
  <c r="M172" i="12"/>
  <c r="K172" i="12"/>
  <c r="I172" i="12"/>
  <c r="H172" i="12"/>
  <c r="P171" i="12"/>
  <c r="M171" i="12"/>
  <c r="K171" i="12"/>
  <c r="I171" i="12"/>
  <c r="H171" i="12"/>
  <c r="P170" i="12"/>
  <c r="M170" i="12"/>
  <c r="K170" i="12"/>
  <c r="I170" i="12"/>
  <c r="H170" i="12"/>
  <c r="P169" i="12"/>
  <c r="M169" i="12"/>
  <c r="K169" i="12"/>
  <c r="I169" i="12"/>
  <c r="H169" i="12"/>
  <c r="P168" i="12"/>
  <c r="M168" i="12"/>
  <c r="K168" i="12"/>
  <c r="I168" i="12"/>
  <c r="H168" i="12"/>
  <c r="P167" i="12"/>
  <c r="M167" i="12"/>
  <c r="K167" i="12"/>
  <c r="I167" i="12"/>
  <c r="H167" i="12"/>
  <c r="P166" i="12"/>
  <c r="M166" i="12"/>
  <c r="K166" i="12"/>
  <c r="I166" i="12"/>
  <c r="H166" i="12"/>
  <c r="P164" i="12"/>
  <c r="O164" i="12"/>
  <c r="N164" i="12"/>
  <c r="M164" i="12"/>
  <c r="K164" i="12"/>
  <c r="I164" i="12"/>
  <c r="H164" i="12"/>
  <c r="P163" i="12"/>
  <c r="O163" i="12"/>
  <c r="N163" i="12"/>
  <c r="M163" i="12"/>
  <c r="K163" i="12"/>
  <c r="I163" i="12"/>
  <c r="H163" i="12"/>
  <c r="P162" i="12"/>
  <c r="O162" i="12"/>
  <c r="N162" i="12"/>
  <c r="M162" i="12"/>
  <c r="K162" i="12"/>
  <c r="I162" i="12"/>
  <c r="H162" i="12"/>
  <c r="P161" i="12"/>
  <c r="M161" i="12"/>
  <c r="K161" i="12"/>
  <c r="I161" i="12"/>
  <c r="H161" i="12"/>
  <c r="P160" i="12"/>
  <c r="M160" i="12"/>
  <c r="I160" i="12"/>
  <c r="H160" i="12"/>
  <c r="P159" i="12"/>
  <c r="M159" i="12"/>
  <c r="K159" i="12"/>
  <c r="I159" i="12"/>
  <c r="H159" i="12"/>
  <c r="P158" i="12"/>
  <c r="M158" i="12"/>
  <c r="K158" i="12"/>
  <c r="I158" i="12"/>
  <c r="H158" i="12"/>
  <c r="P157" i="12"/>
  <c r="M157" i="12"/>
  <c r="K157" i="12"/>
  <c r="I157" i="12"/>
  <c r="H157" i="12"/>
  <c r="P156" i="12"/>
  <c r="M156" i="12"/>
  <c r="I156" i="12"/>
  <c r="H156" i="12"/>
  <c r="P155" i="12"/>
  <c r="M155" i="12"/>
  <c r="K155" i="12"/>
  <c r="I155" i="12"/>
  <c r="H155" i="12"/>
  <c r="P153" i="12"/>
  <c r="O153" i="12"/>
  <c r="N153" i="12"/>
  <c r="M153" i="12"/>
  <c r="K153" i="12"/>
  <c r="I153" i="12"/>
  <c r="H153" i="12"/>
  <c r="P152" i="12"/>
  <c r="O152" i="12"/>
  <c r="N152" i="12"/>
  <c r="M152" i="12"/>
  <c r="K152" i="12"/>
  <c r="I152" i="12"/>
  <c r="H152" i="12"/>
  <c r="P151" i="12"/>
  <c r="O151" i="12"/>
  <c r="N151" i="12"/>
  <c r="M151" i="12"/>
  <c r="I151" i="12"/>
  <c r="H151" i="12"/>
  <c r="P150" i="12"/>
  <c r="O150" i="12"/>
  <c r="N150" i="12"/>
  <c r="M150" i="12"/>
  <c r="K150" i="12"/>
  <c r="I150" i="12"/>
  <c r="H150" i="12"/>
  <c r="P149" i="12"/>
  <c r="O149" i="12"/>
  <c r="N149" i="12"/>
  <c r="M149" i="12"/>
  <c r="K149" i="12"/>
  <c r="I149" i="12"/>
  <c r="H149" i="12"/>
  <c r="P148" i="12"/>
  <c r="O148" i="12"/>
  <c r="N148" i="12"/>
  <c r="M148" i="12"/>
  <c r="K148" i="12"/>
  <c r="I148" i="12"/>
  <c r="H148" i="12"/>
  <c r="P147" i="12"/>
  <c r="O147" i="12"/>
  <c r="N147" i="12"/>
  <c r="M147" i="12"/>
  <c r="K147" i="12"/>
  <c r="I147" i="12"/>
  <c r="H147" i="12"/>
  <c r="P146" i="12"/>
  <c r="O146" i="12"/>
  <c r="N146" i="12"/>
  <c r="M146" i="12"/>
  <c r="K146" i="12"/>
  <c r="I146" i="12"/>
  <c r="H146" i="12"/>
  <c r="P145" i="12"/>
  <c r="O145" i="12"/>
  <c r="N145" i="12"/>
  <c r="M145" i="12"/>
  <c r="K145" i="12"/>
  <c r="I145" i="12"/>
  <c r="H145" i="12"/>
  <c r="P144" i="12"/>
  <c r="O144" i="12"/>
  <c r="N144" i="12"/>
  <c r="M144" i="12"/>
  <c r="K144" i="12"/>
  <c r="I144" i="12"/>
  <c r="H144" i="12"/>
  <c r="P143" i="12"/>
  <c r="O143" i="12"/>
  <c r="N143" i="12"/>
  <c r="M143" i="12"/>
  <c r="K143" i="12"/>
  <c r="I143" i="12"/>
  <c r="H143" i="12"/>
  <c r="P142" i="12"/>
  <c r="O142" i="12"/>
  <c r="N142" i="12"/>
  <c r="M142" i="12"/>
  <c r="K142" i="12"/>
  <c r="I142" i="12"/>
  <c r="H142" i="12"/>
  <c r="P141" i="12"/>
  <c r="O141" i="12"/>
  <c r="N141" i="12"/>
  <c r="M141" i="12"/>
  <c r="K141" i="12"/>
  <c r="I141" i="12"/>
  <c r="H141" i="12"/>
  <c r="P140" i="12"/>
  <c r="O140" i="12"/>
  <c r="N140" i="12"/>
  <c r="M140" i="12"/>
  <c r="K140" i="12"/>
  <c r="I140" i="12"/>
  <c r="H140" i="12"/>
  <c r="P139" i="12"/>
  <c r="O139" i="12"/>
  <c r="N139" i="12"/>
  <c r="M139" i="12"/>
  <c r="K139" i="12"/>
  <c r="I139" i="12"/>
  <c r="H139" i="12"/>
  <c r="P138" i="12"/>
  <c r="O138" i="12"/>
  <c r="N138" i="12"/>
  <c r="M138" i="12"/>
  <c r="K138" i="12"/>
  <c r="I138" i="12"/>
  <c r="H138" i="12"/>
  <c r="P137" i="12"/>
  <c r="O137" i="12"/>
  <c r="N137" i="12"/>
  <c r="M137" i="12"/>
  <c r="K137" i="12"/>
  <c r="I137" i="12"/>
  <c r="H137" i="12"/>
  <c r="P136" i="12"/>
  <c r="O136" i="12"/>
  <c r="N136" i="12"/>
  <c r="M136" i="12"/>
  <c r="K136" i="12"/>
  <c r="I136" i="12"/>
  <c r="H136" i="12"/>
  <c r="P135" i="12"/>
  <c r="O135" i="12"/>
  <c r="N135" i="12"/>
  <c r="M135" i="12"/>
  <c r="K135" i="12"/>
  <c r="I135" i="12"/>
  <c r="H135" i="12"/>
  <c r="P134" i="12"/>
  <c r="O134" i="12"/>
  <c r="N134" i="12"/>
  <c r="M134" i="12"/>
  <c r="K134" i="12"/>
  <c r="I134" i="12"/>
  <c r="H134" i="12"/>
  <c r="P133" i="12"/>
  <c r="O133" i="12"/>
  <c r="N133" i="12"/>
  <c r="M133" i="12"/>
  <c r="K133" i="12"/>
  <c r="I133" i="12"/>
  <c r="H133" i="12"/>
  <c r="P132" i="12"/>
  <c r="O132" i="12"/>
  <c r="N132" i="12"/>
  <c r="M132" i="12"/>
  <c r="K132" i="12"/>
  <c r="I132" i="12"/>
  <c r="H132" i="12"/>
  <c r="P131" i="12"/>
  <c r="O131" i="12"/>
  <c r="N131" i="12"/>
  <c r="M131" i="12"/>
  <c r="K131" i="12"/>
  <c r="I131" i="12"/>
  <c r="H131" i="12"/>
  <c r="P130" i="12"/>
  <c r="O130" i="12"/>
  <c r="N130" i="12"/>
  <c r="M130" i="12"/>
  <c r="K130" i="12"/>
  <c r="I130" i="12"/>
  <c r="H130" i="12"/>
  <c r="P129" i="12"/>
  <c r="O129" i="12"/>
  <c r="N129" i="12"/>
  <c r="M129" i="12"/>
  <c r="K129" i="12"/>
  <c r="I129" i="12"/>
  <c r="H129" i="12"/>
  <c r="P128" i="12"/>
  <c r="O128" i="12"/>
  <c r="N128" i="12"/>
  <c r="M128" i="12"/>
  <c r="K128" i="12"/>
  <c r="I128" i="12"/>
  <c r="H128" i="12"/>
  <c r="P127" i="12"/>
  <c r="O127" i="12"/>
  <c r="N127" i="12"/>
  <c r="M127" i="12"/>
  <c r="K127" i="12"/>
  <c r="I127" i="12"/>
  <c r="H127" i="12"/>
  <c r="P126" i="12"/>
  <c r="O126" i="12"/>
  <c r="N126" i="12"/>
  <c r="M126" i="12"/>
  <c r="K126" i="12"/>
  <c r="I126" i="12"/>
  <c r="H126" i="12"/>
  <c r="P125" i="12"/>
  <c r="O125" i="12"/>
  <c r="N125" i="12"/>
  <c r="M125" i="12"/>
  <c r="K125" i="12"/>
  <c r="I125" i="12"/>
  <c r="H125" i="12"/>
  <c r="P124" i="12"/>
  <c r="O124" i="12"/>
  <c r="N124" i="12"/>
  <c r="M124" i="12"/>
  <c r="K124" i="12"/>
  <c r="I124" i="12"/>
  <c r="H124" i="12"/>
  <c r="P123" i="12"/>
  <c r="O123" i="12"/>
  <c r="N123" i="12"/>
  <c r="M123" i="12"/>
  <c r="K123" i="12"/>
  <c r="I123" i="12"/>
  <c r="H123" i="12"/>
  <c r="P122" i="12"/>
  <c r="O122" i="12"/>
  <c r="N122" i="12"/>
  <c r="M122" i="12"/>
  <c r="K122" i="12"/>
  <c r="I122" i="12"/>
  <c r="H122" i="12"/>
  <c r="P121" i="12"/>
  <c r="O121" i="12"/>
  <c r="N121" i="12"/>
  <c r="M121" i="12"/>
  <c r="K121" i="12"/>
  <c r="I121" i="12"/>
  <c r="H121" i="12"/>
  <c r="P120" i="12"/>
  <c r="O120" i="12"/>
  <c r="N120" i="12"/>
  <c r="M120" i="12"/>
  <c r="K120" i="12"/>
  <c r="I120" i="12"/>
  <c r="H120" i="12"/>
  <c r="P119" i="12"/>
  <c r="O119" i="12"/>
  <c r="N119" i="12"/>
  <c r="M119" i="12"/>
  <c r="K119" i="12"/>
  <c r="I119" i="12"/>
  <c r="H119" i="12"/>
  <c r="P118" i="12"/>
  <c r="O118" i="12"/>
  <c r="N118" i="12"/>
  <c r="M118" i="12"/>
  <c r="K118" i="12"/>
  <c r="I118" i="12"/>
  <c r="H118" i="12"/>
  <c r="P117" i="12"/>
  <c r="O117" i="12"/>
  <c r="N117" i="12"/>
  <c r="M117" i="12"/>
  <c r="K117" i="12"/>
  <c r="I117" i="12"/>
  <c r="H117" i="12"/>
  <c r="P116" i="12"/>
  <c r="O116" i="12"/>
  <c r="N116" i="12"/>
  <c r="M116" i="12"/>
  <c r="K116" i="12"/>
  <c r="I116" i="12"/>
  <c r="H116" i="12"/>
  <c r="P115" i="12"/>
  <c r="O115" i="12"/>
  <c r="N115" i="12"/>
  <c r="M115" i="12"/>
  <c r="K115" i="12"/>
  <c r="I115" i="12"/>
  <c r="H115" i="12"/>
  <c r="P114" i="12"/>
  <c r="O114" i="12"/>
  <c r="N114" i="12"/>
  <c r="M114" i="12"/>
  <c r="K114" i="12"/>
  <c r="I114" i="12"/>
  <c r="H114" i="12"/>
  <c r="P113" i="12"/>
  <c r="O113" i="12"/>
  <c r="N113" i="12"/>
  <c r="M113" i="12"/>
  <c r="K113" i="12"/>
  <c r="I113" i="12"/>
  <c r="H113" i="12"/>
  <c r="P112" i="12"/>
  <c r="O112" i="12"/>
  <c r="N112" i="12"/>
  <c r="M112" i="12"/>
  <c r="K112" i="12"/>
  <c r="I112" i="12"/>
  <c r="H112" i="12"/>
  <c r="P111" i="12"/>
  <c r="M111" i="12"/>
  <c r="K111" i="12"/>
  <c r="I111" i="12"/>
  <c r="H111" i="12"/>
  <c r="P110" i="12"/>
  <c r="M110" i="12"/>
  <c r="K110" i="12"/>
  <c r="I110" i="12"/>
  <c r="H110" i="12"/>
  <c r="P109" i="12"/>
  <c r="M109" i="12"/>
  <c r="K109" i="12"/>
  <c r="I109" i="12"/>
  <c r="H109" i="12"/>
  <c r="P108" i="12"/>
  <c r="M108" i="12"/>
  <c r="K108" i="12"/>
  <c r="I108" i="12"/>
  <c r="H108" i="12"/>
  <c r="P107" i="12"/>
  <c r="M107" i="12"/>
  <c r="K107" i="12"/>
  <c r="I107" i="12"/>
  <c r="H107" i="12"/>
  <c r="P106" i="12"/>
  <c r="M106" i="12"/>
  <c r="K106" i="12"/>
  <c r="I106" i="12"/>
  <c r="H106" i="12"/>
  <c r="P105" i="12"/>
  <c r="M105" i="12"/>
  <c r="K105" i="12"/>
  <c r="I105" i="12"/>
  <c r="H105" i="12"/>
  <c r="P104" i="12"/>
  <c r="M104" i="12"/>
  <c r="K104" i="12"/>
  <c r="I104" i="12"/>
  <c r="H104" i="12"/>
  <c r="P103" i="12"/>
  <c r="M103" i="12"/>
  <c r="K103" i="12"/>
  <c r="I103" i="12"/>
  <c r="H103" i="12"/>
  <c r="P102" i="12"/>
  <c r="M102" i="12"/>
  <c r="K102" i="12"/>
  <c r="I102" i="12"/>
  <c r="H102" i="12"/>
  <c r="P101" i="12"/>
  <c r="M101" i="12"/>
  <c r="K101" i="12"/>
  <c r="I101" i="12"/>
  <c r="H101" i="12"/>
  <c r="P100" i="12"/>
  <c r="M100" i="12"/>
  <c r="K100" i="12"/>
  <c r="I100" i="12"/>
  <c r="H100" i="12"/>
  <c r="P99" i="12"/>
  <c r="M99" i="12"/>
  <c r="K99" i="12"/>
  <c r="I99" i="12"/>
  <c r="H99" i="12"/>
  <c r="P98" i="12"/>
  <c r="M98" i="12"/>
  <c r="K98" i="12"/>
  <c r="I98" i="12"/>
  <c r="H98" i="12"/>
  <c r="P97" i="12"/>
  <c r="M97" i="12"/>
  <c r="K97" i="12"/>
  <c r="I97" i="12"/>
  <c r="H97" i="12"/>
  <c r="P96" i="12"/>
  <c r="M96" i="12"/>
  <c r="K96" i="12"/>
  <c r="I96" i="12"/>
  <c r="H96" i="12"/>
  <c r="P95" i="12"/>
  <c r="M95" i="12"/>
  <c r="K95" i="12"/>
  <c r="I95" i="12"/>
  <c r="H95" i="12"/>
  <c r="P94" i="12"/>
  <c r="M94" i="12"/>
  <c r="K94" i="12"/>
  <c r="I94" i="12"/>
  <c r="H94" i="12"/>
  <c r="P93" i="12"/>
  <c r="M93" i="12"/>
  <c r="K93" i="12"/>
  <c r="I93" i="12"/>
  <c r="H93" i="12"/>
  <c r="P92" i="12"/>
  <c r="M92" i="12"/>
  <c r="K92" i="12"/>
  <c r="I92" i="12"/>
  <c r="H92" i="12"/>
  <c r="P91" i="12"/>
  <c r="M91" i="12"/>
  <c r="K91" i="12"/>
  <c r="I91" i="12"/>
  <c r="H91" i="12"/>
  <c r="P90" i="12"/>
  <c r="M90" i="12"/>
  <c r="K90" i="12"/>
  <c r="I90" i="12"/>
  <c r="H90" i="12"/>
  <c r="P89" i="12"/>
  <c r="M89" i="12"/>
  <c r="K89" i="12"/>
  <c r="I89" i="12"/>
  <c r="H89" i="12"/>
  <c r="P88" i="12"/>
  <c r="M88" i="12"/>
  <c r="K88" i="12"/>
  <c r="I88" i="12"/>
  <c r="H88" i="12"/>
  <c r="P87" i="12"/>
  <c r="M87" i="12"/>
  <c r="K87" i="12"/>
  <c r="I87" i="12"/>
  <c r="H87" i="12"/>
  <c r="P86" i="12"/>
  <c r="M86" i="12"/>
  <c r="K86" i="12"/>
  <c r="I86" i="12"/>
  <c r="H86" i="12"/>
  <c r="P85" i="12"/>
  <c r="M85" i="12"/>
  <c r="K85" i="12"/>
  <c r="I85" i="12"/>
  <c r="H85" i="12"/>
  <c r="P84" i="12"/>
  <c r="M84" i="12"/>
  <c r="K84" i="12"/>
  <c r="I84" i="12"/>
  <c r="H84" i="12"/>
  <c r="P83" i="12"/>
  <c r="M83" i="12"/>
  <c r="K83" i="12"/>
  <c r="I83" i="12"/>
  <c r="H83" i="12"/>
  <c r="P82" i="12"/>
  <c r="M82" i="12"/>
  <c r="K82" i="12"/>
  <c r="I82" i="12"/>
  <c r="H82" i="12"/>
  <c r="P80" i="12"/>
  <c r="O80" i="12"/>
  <c r="N80" i="12"/>
  <c r="M80" i="12"/>
  <c r="K80" i="12"/>
  <c r="I80" i="12"/>
  <c r="H80" i="12"/>
  <c r="P79" i="12"/>
  <c r="O79" i="12"/>
  <c r="N79" i="12"/>
  <c r="M79" i="12"/>
  <c r="K79" i="12"/>
  <c r="I79" i="12"/>
  <c r="H79" i="12"/>
  <c r="P78" i="12"/>
  <c r="O78" i="12"/>
  <c r="N78" i="12"/>
  <c r="M78" i="12"/>
  <c r="K78" i="12"/>
  <c r="I78" i="12"/>
  <c r="H78" i="12"/>
  <c r="P77" i="12"/>
  <c r="O77" i="12"/>
  <c r="N77" i="12"/>
  <c r="M77" i="12"/>
  <c r="K77" i="12"/>
  <c r="I77" i="12"/>
  <c r="H77" i="12"/>
  <c r="P76" i="12"/>
  <c r="O76" i="12"/>
  <c r="N76" i="12"/>
  <c r="M76" i="12"/>
  <c r="K76" i="12"/>
  <c r="I76" i="12"/>
  <c r="H76" i="12"/>
  <c r="P75" i="12"/>
  <c r="O75" i="12"/>
  <c r="N75" i="12"/>
  <c r="M75" i="12"/>
  <c r="K75" i="12"/>
  <c r="I75" i="12"/>
  <c r="H75" i="12"/>
  <c r="P74" i="12"/>
  <c r="M74" i="12"/>
  <c r="K74" i="12"/>
  <c r="I74" i="12"/>
  <c r="H74" i="12"/>
  <c r="P73" i="12"/>
  <c r="M73" i="12"/>
  <c r="K73" i="12"/>
  <c r="I73" i="12"/>
  <c r="H73" i="12"/>
  <c r="P72" i="12"/>
  <c r="M72" i="12"/>
  <c r="K72" i="12"/>
  <c r="I72" i="12"/>
  <c r="H72" i="12"/>
  <c r="P71" i="12"/>
  <c r="M71" i="12"/>
  <c r="K71" i="12"/>
  <c r="I71" i="12"/>
  <c r="H71" i="12"/>
  <c r="P70" i="12"/>
  <c r="M70" i="12"/>
  <c r="K70" i="12"/>
  <c r="I70" i="12"/>
  <c r="H70" i="12"/>
  <c r="P69" i="12"/>
  <c r="M69" i="12"/>
  <c r="K69" i="12"/>
  <c r="I69" i="12"/>
  <c r="H69" i="12"/>
  <c r="P68" i="12"/>
  <c r="M68" i="12"/>
  <c r="K68" i="12"/>
  <c r="I68" i="12"/>
  <c r="H68" i="12"/>
  <c r="P67" i="12"/>
  <c r="M67" i="12"/>
  <c r="K67" i="12"/>
  <c r="I67" i="12"/>
  <c r="H67" i="12"/>
  <c r="P66" i="12"/>
  <c r="M66" i="12"/>
  <c r="K66" i="12"/>
  <c r="I66" i="12"/>
  <c r="H66" i="12"/>
  <c r="P65" i="12"/>
  <c r="M65" i="12"/>
  <c r="K65" i="12"/>
  <c r="I65" i="12"/>
  <c r="H65" i="12"/>
  <c r="P64" i="12"/>
  <c r="M64" i="12"/>
  <c r="K64" i="12"/>
  <c r="I64" i="12"/>
  <c r="H64" i="12"/>
  <c r="P63" i="12"/>
  <c r="M63" i="12"/>
  <c r="K63" i="12"/>
  <c r="I63" i="12"/>
  <c r="H63" i="12"/>
  <c r="P62" i="12"/>
  <c r="M62" i="12"/>
  <c r="K62" i="12"/>
  <c r="I62" i="12"/>
  <c r="H62" i="12"/>
  <c r="P60" i="12"/>
  <c r="M60" i="12"/>
  <c r="K60" i="12"/>
  <c r="I60" i="12"/>
  <c r="H60" i="12"/>
  <c r="P59" i="12"/>
  <c r="M59" i="12"/>
  <c r="K59" i="12"/>
  <c r="I59" i="12"/>
  <c r="H59" i="12"/>
  <c r="P58" i="12"/>
  <c r="M58" i="12"/>
  <c r="K58" i="12"/>
  <c r="I58" i="12"/>
  <c r="H58" i="12"/>
  <c r="P56" i="12"/>
  <c r="O56" i="12"/>
  <c r="N56" i="12"/>
  <c r="M56" i="12"/>
  <c r="K56" i="12"/>
  <c r="I56" i="12"/>
  <c r="H56" i="12"/>
  <c r="P55" i="12"/>
  <c r="O55" i="12"/>
  <c r="N55" i="12"/>
  <c r="M55" i="12"/>
  <c r="K55" i="12"/>
  <c r="I55" i="12"/>
  <c r="H55" i="12"/>
  <c r="P54" i="12"/>
  <c r="O54" i="12"/>
  <c r="N54" i="12"/>
  <c r="M54" i="12"/>
  <c r="K54" i="12"/>
  <c r="I54" i="12"/>
  <c r="H54" i="12"/>
  <c r="P53" i="12"/>
  <c r="O53" i="12"/>
  <c r="N53" i="12"/>
  <c r="M53" i="12"/>
  <c r="K53" i="12"/>
  <c r="I53" i="12"/>
  <c r="H53" i="12"/>
  <c r="P52" i="12"/>
  <c r="O52" i="12"/>
  <c r="N52" i="12"/>
  <c r="M52" i="12"/>
  <c r="K52" i="12"/>
  <c r="I52" i="12"/>
  <c r="H52" i="12"/>
  <c r="P51" i="12"/>
  <c r="O51" i="12"/>
  <c r="N51" i="12"/>
  <c r="M51" i="12"/>
  <c r="I51" i="12"/>
  <c r="H51" i="12"/>
  <c r="P50" i="12"/>
  <c r="O50" i="12"/>
  <c r="N50" i="12"/>
  <c r="M50" i="12"/>
  <c r="K50" i="12"/>
  <c r="I50" i="12"/>
  <c r="H50" i="12"/>
  <c r="P49" i="12"/>
  <c r="M49" i="12"/>
  <c r="K49" i="12"/>
  <c r="I49" i="12"/>
  <c r="H49" i="12"/>
  <c r="P48" i="12"/>
  <c r="M48" i="12"/>
  <c r="K48" i="12"/>
  <c r="I48" i="12"/>
  <c r="H48" i="12"/>
  <c r="P47" i="12"/>
  <c r="M47" i="12"/>
  <c r="K47" i="12"/>
  <c r="I47" i="12"/>
  <c r="H47" i="12"/>
  <c r="P46" i="12"/>
  <c r="M46" i="12"/>
  <c r="K46" i="12"/>
  <c r="I46" i="12"/>
  <c r="H46" i="12"/>
  <c r="P45" i="12"/>
  <c r="M45" i="12"/>
  <c r="K45" i="12"/>
  <c r="I45" i="12"/>
  <c r="H45" i="12"/>
  <c r="P44" i="12"/>
  <c r="M44" i="12"/>
  <c r="K44" i="12"/>
  <c r="I44" i="12"/>
  <c r="H44" i="12"/>
  <c r="P43" i="12"/>
  <c r="M43" i="12"/>
  <c r="K43" i="12"/>
  <c r="I43" i="12"/>
  <c r="H43" i="12"/>
  <c r="P42" i="12"/>
  <c r="M42" i="12"/>
  <c r="K42" i="12"/>
  <c r="I42" i="12"/>
  <c r="H42" i="12"/>
  <c r="P41" i="12"/>
  <c r="M41" i="12"/>
  <c r="K41" i="12"/>
  <c r="I41" i="12"/>
  <c r="H41" i="12"/>
  <c r="P39" i="12"/>
  <c r="M39" i="12"/>
  <c r="K39" i="12"/>
  <c r="I39" i="12"/>
  <c r="H39" i="12"/>
  <c r="P38" i="12"/>
  <c r="M38" i="12"/>
  <c r="K38" i="12"/>
  <c r="I38" i="12"/>
  <c r="H38" i="12"/>
  <c r="P37" i="12"/>
  <c r="M37" i="12"/>
  <c r="K37" i="12"/>
  <c r="I37" i="12"/>
  <c r="H37" i="12"/>
  <c r="P36" i="12"/>
  <c r="M36" i="12"/>
  <c r="K36" i="12"/>
  <c r="I36" i="12"/>
  <c r="H36" i="12"/>
  <c r="P35" i="12"/>
  <c r="M35" i="12"/>
  <c r="K35" i="12"/>
  <c r="I35" i="12"/>
  <c r="H35" i="12"/>
  <c r="P34" i="12"/>
  <c r="M34" i="12"/>
  <c r="K34" i="12"/>
  <c r="I34" i="12"/>
  <c r="H34" i="12"/>
  <c r="P33" i="12"/>
  <c r="M33" i="12"/>
  <c r="K33" i="12"/>
  <c r="I33" i="12"/>
  <c r="H33" i="12"/>
  <c r="P32" i="12"/>
  <c r="M32" i="12"/>
  <c r="K32" i="12"/>
  <c r="I32" i="12"/>
  <c r="H32" i="12"/>
  <c r="P31" i="12"/>
  <c r="M31" i="12"/>
  <c r="K31" i="12"/>
  <c r="I31" i="12"/>
  <c r="H31" i="12"/>
  <c r="P29" i="12"/>
  <c r="O29" i="12"/>
  <c r="N29" i="12"/>
  <c r="M29" i="12"/>
  <c r="K29" i="12"/>
  <c r="I29" i="12"/>
  <c r="H29" i="12"/>
  <c r="P28" i="12"/>
  <c r="O28" i="12"/>
  <c r="N28" i="12"/>
  <c r="M28" i="12"/>
  <c r="K28" i="12"/>
  <c r="I28" i="12"/>
  <c r="H28" i="12"/>
  <c r="P27" i="12"/>
  <c r="O27" i="12"/>
  <c r="N27" i="12"/>
  <c r="M27" i="12"/>
  <c r="I27" i="12"/>
  <c r="H27" i="12"/>
  <c r="P26" i="12"/>
  <c r="O26" i="12"/>
  <c r="N26" i="12"/>
  <c r="M26" i="12"/>
  <c r="K26" i="12"/>
  <c r="I26" i="12"/>
  <c r="H26" i="12"/>
  <c r="P25" i="12"/>
  <c r="M25" i="12"/>
  <c r="K25" i="12"/>
  <c r="I25" i="12"/>
  <c r="H25" i="12"/>
  <c r="P24" i="12"/>
  <c r="M24" i="12"/>
  <c r="K24" i="12"/>
  <c r="I24" i="12"/>
  <c r="H24" i="12"/>
  <c r="P23" i="12"/>
  <c r="M23" i="12"/>
  <c r="K23" i="12"/>
  <c r="I23" i="12"/>
  <c r="H23" i="12"/>
  <c r="P22" i="12"/>
  <c r="M22" i="12"/>
  <c r="K22" i="12"/>
  <c r="I22" i="12"/>
  <c r="H22" i="12"/>
  <c r="P21" i="12"/>
  <c r="M21" i="12"/>
  <c r="K21" i="12"/>
  <c r="I21" i="12"/>
  <c r="H21" i="12"/>
  <c r="P20" i="12"/>
  <c r="M20" i="12"/>
  <c r="K20" i="12"/>
  <c r="I20" i="12"/>
  <c r="H20" i="12"/>
  <c r="P19" i="12"/>
  <c r="M19" i="12"/>
  <c r="K19" i="12"/>
  <c r="I19" i="12"/>
  <c r="H19" i="12"/>
  <c r="P18" i="12"/>
  <c r="M18" i="12"/>
  <c r="K18" i="12"/>
  <c r="I18" i="12"/>
  <c r="H18" i="12"/>
  <c r="P17" i="12"/>
  <c r="M17" i="12"/>
  <c r="K17" i="12"/>
  <c r="I17" i="12"/>
  <c r="H17" i="12"/>
  <c r="P16" i="12"/>
  <c r="M16" i="12"/>
  <c r="K16" i="12"/>
  <c r="I16" i="12"/>
  <c r="H16" i="12"/>
  <c r="P15" i="12"/>
  <c r="M15" i="12"/>
  <c r="K15" i="12"/>
  <c r="I15" i="12"/>
  <c r="H15" i="12"/>
  <c r="P14" i="12"/>
  <c r="M14" i="12"/>
  <c r="K14" i="12"/>
  <c r="I14" i="12"/>
  <c r="H14" i="12"/>
  <c r="P13" i="12"/>
  <c r="M13" i="12"/>
  <c r="K13" i="12"/>
  <c r="I13" i="12"/>
  <c r="H13" i="12"/>
  <c r="P12" i="12"/>
  <c r="M12" i="12"/>
  <c r="K12" i="12"/>
  <c r="I12" i="12"/>
  <c r="H12" i="12"/>
  <c r="P11" i="12"/>
  <c r="M11" i="12"/>
  <c r="K11" i="12"/>
  <c r="I11" i="12"/>
  <c r="H11" i="12"/>
  <c r="P10" i="12"/>
  <c r="M10" i="12"/>
  <c r="K10" i="12"/>
  <c r="I10" i="12"/>
  <c r="H10" i="12"/>
  <c r="P9" i="12"/>
  <c r="M9" i="12"/>
  <c r="K9" i="12"/>
  <c r="I9" i="12"/>
  <c r="H9" i="12"/>
  <c r="P8" i="12"/>
  <c r="M8" i="12"/>
  <c r="K8" i="12"/>
  <c r="I8" i="12"/>
  <c r="H8" i="12"/>
  <c r="P7" i="12"/>
  <c r="M7" i="12"/>
  <c r="I7" i="12"/>
  <c r="H7" i="12"/>
  <c r="P6" i="12"/>
  <c r="M6" i="12"/>
  <c r="I6" i="12"/>
  <c r="H6" i="12"/>
  <c r="O51" i="4" l="1"/>
  <c r="P154" i="4"/>
  <c r="O161" i="4"/>
  <c r="O173" i="4"/>
  <c r="O187" i="4"/>
  <c r="P206" i="4"/>
  <c r="O281" i="4"/>
  <c r="Q17" i="4"/>
  <c r="O27" i="4"/>
  <c r="P37" i="4"/>
  <c r="O49" i="4"/>
  <c r="Q51" i="4"/>
  <c r="P56" i="4"/>
  <c r="O61" i="4"/>
  <c r="O63" i="4"/>
  <c r="P70" i="4"/>
  <c r="O75" i="4"/>
  <c r="P82" i="4"/>
  <c r="P94" i="4"/>
  <c r="Q99" i="4"/>
  <c r="P109" i="4"/>
  <c r="P114" i="4"/>
  <c r="P126" i="4"/>
  <c r="O129" i="4"/>
  <c r="Q131" i="4"/>
  <c r="P138" i="4"/>
  <c r="O143" i="4"/>
  <c r="Q145" i="4"/>
  <c r="O157" i="4"/>
  <c r="O159" i="4"/>
  <c r="Q161" i="4"/>
  <c r="P166" i="4"/>
  <c r="Q173" i="4"/>
  <c r="O185" i="4"/>
  <c r="Q187" i="4"/>
  <c r="O197" i="4"/>
  <c r="P199" i="4"/>
  <c r="O211" i="4"/>
  <c r="O227" i="4"/>
  <c r="P234" i="4"/>
  <c r="O249" i="4"/>
  <c r="Q251" i="4"/>
  <c r="O279" i="4"/>
  <c r="Q281" i="4"/>
  <c r="O311" i="4"/>
  <c r="Q313" i="4"/>
  <c r="O327" i="4"/>
  <c r="Q329" i="4"/>
  <c r="O343" i="4"/>
  <c r="Q345" i="4"/>
  <c r="O359" i="4"/>
  <c r="Q361" i="4"/>
  <c r="Q370" i="4"/>
  <c r="P375" i="4"/>
  <c r="P394" i="4"/>
  <c r="O399" i="4"/>
  <c r="Q401" i="4"/>
  <c r="O413" i="4"/>
  <c r="Q417" i="4"/>
  <c r="P419" i="4"/>
  <c r="Q433" i="4"/>
  <c r="P438" i="4"/>
  <c r="O443" i="4"/>
  <c r="P445" i="4"/>
  <c r="Q462" i="4"/>
  <c r="O99" i="4"/>
  <c r="O111" i="4"/>
  <c r="O131" i="4"/>
  <c r="O145" i="4"/>
  <c r="P222" i="4"/>
  <c r="P354" i="4"/>
  <c r="O419" i="4"/>
  <c r="Q27" i="4"/>
  <c r="Q37" i="4"/>
  <c r="Q49" i="4"/>
  <c r="P61" i="4"/>
  <c r="O73" i="4"/>
  <c r="Q75" i="4"/>
  <c r="P80" i="4"/>
  <c r="O85" i="4"/>
  <c r="O87" i="4"/>
  <c r="O107" i="4"/>
  <c r="Q109" i="4"/>
  <c r="O117" i="4"/>
  <c r="O119" i="4"/>
  <c r="Q129" i="4"/>
  <c r="O141" i="4"/>
  <c r="P143" i="4"/>
  <c r="P150" i="4"/>
  <c r="P157" i="4"/>
  <c r="P159" i="4"/>
  <c r="O171" i="4"/>
  <c r="P178" i="4"/>
  <c r="O183" i="4"/>
  <c r="Q185" i="4"/>
  <c r="P190" i="4"/>
  <c r="Q197" i="4"/>
  <c r="Q199" i="4"/>
  <c r="O209" i="4"/>
  <c r="Q211" i="4"/>
  <c r="P218" i="4"/>
  <c r="O225" i="4"/>
  <c r="Q227" i="4"/>
  <c r="O247" i="4"/>
  <c r="Q249" i="4"/>
  <c r="P254" i="4"/>
  <c r="P270" i="4"/>
  <c r="O277" i="4"/>
  <c r="P279" i="4"/>
  <c r="P286" i="4"/>
  <c r="O309" i="4"/>
  <c r="P311" i="4"/>
  <c r="P318" i="4"/>
  <c r="O325" i="4"/>
  <c r="P327" i="4"/>
  <c r="P334" i="4"/>
  <c r="O341" i="4"/>
  <c r="P343" i="4"/>
  <c r="P350" i="4"/>
  <c r="O357" i="4"/>
  <c r="P359" i="4"/>
  <c r="P366" i="4"/>
  <c r="Q375" i="4"/>
  <c r="Q394" i="4"/>
  <c r="P399" i="4"/>
  <c r="P413" i="4"/>
  <c r="Q438" i="4"/>
  <c r="P443" i="4"/>
  <c r="P46" i="4"/>
  <c r="P58" i="4"/>
  <c r="O313" i="4"/>
  <c r="O361" i="4"/>
  <c r="O401" i="4"/>
  <c r="Q35" i="4"/>
  <c r="P40" i="4"/>
  <c r="O45" i="4"/>
  <c r="O47" i="4"/>
  <c r="Q73" i="4"/>
  <c r="P85" i="4"/>
  <c r="P102" i="4"/>
  <c r="O105" i="4"/>
  <c r="Q107" i="4"/>
  <c r="P117" i="4"/>
  <c r="Q141" i="4"/>
  <c r="Q171" i="4"/>
  <c r="P183" i="4"/>
  <c r="Q209" i="4"/>
  <c r="Q225" i="4"/>
  <c r="P247" i="4"/>
  <c r="Q277" i="4"/>
  <c r="Q309" i="4"/>
  <c r="Q325" i="4"/>
  <c r="Q341" i="4"/>
  <c r="Q357" i="4"/>
  <c r="P378" i="4"/>
  <c r="O251" i="4"/>
  <c r="P322" i="4"/>
  <c r="P338" i="4"/>
  <c r="P382" i="4"/>
  <c r="O433" i="4"/>
  <c r="O445" i="4"/>
  <c r="Q25" i="4"/>
  <c r="P30" i="4"/>
  <c r="P45" i="4"/>
  <c r="O57" i="4"/>
  <c r="Q59" i="4"/>
  <c r="P64" i="4"/>
  <c r="O71" i="4"/>
  <c r="P78" i="4"/>
  <c r="O83" i="4"/>
  <c r="O93" i="4"/>
  <c r="Q105" i="4"/>
  <c r="O115" i="4"/>
  <c r="O125" i="4"/>
  <c r="O127" i="4"/>
  <c r="O139" i="4"/>
  <c r="P146" i="4"/>
  <c r="O153" i="4"/>
  <c r="Q155" i="4"/>
  <c r="P162" i="4"/>
  <c r="O167" i="4"/>
  <c r="Q169" i="4"/>
  <c r="P174" i="4"/>
  <c r="O193" i="4"/>
  <c r="O205" i="4"/>
  <c r="P214" i="4"/>
  <c r="O235" i="4"/>
  <c r="Q245" i="4"/>
  <c r="O257" i="4"/>
  <c r="P266" i="4"/>
  <c r="O273" i="4"/>
  <c r="P282" i="4"/>
  <c r="O289" i="4"/>
  <c r="P314" i="4"/>
  <c r="O321" i="4"/>
  <c r="P330" i="4"/>
  <c r="O337" i="4"/>
  <c r="P346" i="4"/>
  <c r="O353" i="4"/>
  <c r="P422" i="4"/>
  <c r="P432" i="4"/>
  <c r="Q441" i="4"/>
  <c r="P446" i="4"/>
  <c r="P451" i="4"/>
  <c r="P454" i="4"/>
  <c r="O507" i="4"/>
  <c r="P528" i="4"/>
  <c r="O39" i="4"/>
  <c r="P258" i="4"/>
  <c r="P274" i="4"/>
  <c r="O345" i="4"/>
  <c r="P370" i="4"/>
  <c r="O417" i="4"/>
  <c r="Q57" i="4"/>
  <c r="O81" i="4"/>
  <c r="Q83" i="4"/>
  <c r="O367" i="4"/>
  <c r="P374" i="4"/>
  <c r="Q446" i="4"/>
  <c r="Q454" i="4"/>
  <c r="O329" i="4"/>
  <c r="P462" i="4"/>
  <c r="O103" i="4"/>
  <c r="O123" i="4"/>
  <c r="P142" i="4"/>
  <c r="P158" i="4"/>
  <c r="O177" i="4"/>
  <c r="O189" i="4"/>
  <c r="O203" i="4"/>
  <c r="P210" i="4"/>
  <c r="Q219" i="4"/>
  <c r="P226" i="4"/>
  <c r="Q233" i="4"/>
  <c r="O253" i="4"/>
  <c r="P262" i="4"/>
  <c r="O269" i="4"/>
  <c r="P278" i="4"/>
  <c r="O285" i="4"/>
  <c r="O317" i="4"/>
  <c r="P326" i="4"/>
  <c r="O333" i="4"/>
  <c r="P342" i="4"/>
  <c r="O349" i="4"/>
  <c r="P358" i="4"/>
  <c r="O365" i="4"/>
  <c r="Q393" i="4"/>
  <c r="P398" i="4"/>
  <c r="P414" i="4"/>
  <c r="O425" i="4"/>
  <c r="O437" i="4"/>
  <c r="O505" i="4"/>
  <c r="H404" i="6"/>
  <c r="H405" i="6"/>
  <c r="H402" i="6"/>
  <c r="H406" i="6"/>
  <c r="H403" i="6"/>
  <c r="H407" i="6"/>
  <c r="M27" i="2"/>
  <c r="K27" i="2"/>
  <c r="N27" i="2"/>
  <c r="H207" i="6"/>
  <c r="H203" i="6"/>
  <c r="H199" i="6"/>
  <c r="H195" i="6"/>
  <c r="H191" i="6"/>
  <c r="H187" i="6"/>
  <c r="H183" i="6"/>
  <c r="H204" i="6"/>
  <c r="H200" i="6"/>
  <c r="H196" i="6"/>
  <c r="H192" i="6"/>
  <c r="H188" i="6"/>
  <c r="H184" i="6"/>
  <c r="H205" i="6"/>
  <c r="H201" i="6"/>
  <c r="H197" i="6"/>
  <c r="H193" i="6"/>
  <c r="H189" i="6"/>
  <c r="H185" i="6"/>
  <c r="H206" i="6"/>
  <c r="H202" i="6"/>
  <c r="H198" i="6"/>
  <c r="H194" i="6"/>
  <c r="H190" i="6"/>
  <c r="H186" i="6"/>
  <c r="N13" i="2"/>
  <c r="M13" i="2"/>
  <c r="K13" i="2"/>
  <c r="H300" i="6"/>
  <c r="H296" i="6"/>
  <c r="H292" i="6"/>
  <c r="H288" i="6"/>
  <c r="H299" i="6"/>
  <c r="H290" i="6"/>
  <c r="H294" i="6"/>
  <c r="H298" i="6"/>
  <c r="H289" i="6"/>
  <c r="H293" i="6"/>
  <c r="H291" i="6"/>
  <c r="H295" i="6"/>
  <c r="H297" i="6"/>
  <c r="N23" i="2"/>
  <c r="M23" i="2"/>
  <c r="K23" i="2"/>
  <c r="H449" i="6"/>
  <c r="H445" i="6"/>
  <c r="H441" i="6"/>
  <c r="H437" i="6"/>
  <c r="H433" i="6"/>
  <c r="H429" i="6"/>
  <c r="H425" i="6"/>
  <c r="H421" i="6"/>
  <c r="H417" i="6"/>
  <c r="H413" i="6"/>
  <c r="H409" i="6"/>
  <c r="H448" i="6"/>
  <c r="H434" i="6"/>
  <c r="H431" i="6"/>
  <c r="H428" i="6"/>
  <c r="H426" i="6"/>
  <c r="H423" i="6"/>
  <c r="H420" i="6"/>
  <c r="H438" i="6"/>
  <c r="H435" i="6"/>
  <c r="H432" i="6"/>
  <c r="H444" i="6"/>
  <c r="H418" i="6"/>
  <c r="H415" i="6"/>
  <c r="H412" i="6"/>
  <c r="H447" i="6"/>
  <c r="H430" i="6"/>
  <c r="H427" i="6"/>
  <c r="H424" i="6"/>
  <c r="H442" i="6"/>
  <c r="H439" i="6"/>
  <c r="H436" i="6"/>
  <c r="H410" i="6"/>
  <c r="H446" i="6"/>
  <c r="H440" i="6"/>
  <c r="H414" i="6"/>
  <c r="H419" i="6"/>
  <c r="H443" i="6"/>
  <c r="H411" i="6"/>
  <c r="H422" i="6"/>
  <c r="H416" i="6"/>
  <c r="N28" i="2"/>
  <c r="M28" i="2"/>
  <c r="K28" i="2"/>
  <c r="H536" i="6"/>
  <c r="H532" i="6"/>
  <c r="H528" i="6"/>
  <c r="H524" i="6"/>
  <c r="H520" i="6"/>
  <c r="H516" i="6"/>
  <c r="H512" i="6"/>
  <c r="H508" i="6"/>
  <c r="H504" i="6"/>
  <c r="H500" i="6"/>
  <c r="H496" i="6"/>
  <c r="H492" i="6"/>
  <c r="H488" i="6"/>
  <c r="H484" i="6"/>
  <c r="H533" i="6"/>
  <c r="H529" i="6"/>
  <c r="H525" i="6"/>
  <c r="H535" i="6"/>
  <c r="H526" i="6"/>
  <c r="H501" i="6"/>
  <c r="H498" i="6"/>
  <c r="H495" i="6"/>
  <c r="H531" i="6"/>
  <c r="H522" i="6"/>
  <c r="H519" i="6"/>
  <c r="H493" i="6"/>
  <c r="H490" i="6"/>
  <c r="H487" i="6"/>
  <c r="H534" i="6"/>
  <c r="H527" i="6"/>
  <c r="H517" i="6"/>
  <c r="H514" i="6"/>
  <c r="H511" i="6"/>
  <c r="H530" i="6"/>
  <c r="H523" i="6"/>
  <c r="H509" i="6"/>
  <c r="H506" i="6"/>
  <c r="H503" i="6"/>
  <c r="H521" i="6"/>
  <c r="H518" i="6"/>
  <c r="H515" i="6"/>
  <c r="H489" i="6"/>
  <c r="H486" i="6"/>
  <c r="H485" i="6"/>
  <c r="H497" i="6"/>
  <c r="H494" i="6"/>
  <c r="H491" i="6"/>
  <c r="H507" i="6"/>
  <c r="H499" i="6"/>
  <c r="H513" i="6"/>
  <c r="H510" i="6"/>
  <c r="H505" i="6"/>
  <c r="H502" i="6"/>
  <c r="M31" i="2"/>
  <c r="K31" i="2"/>
  <c r="N31" i="2"/>
  <c r="H216" i="6"/>
  <c r="H212" i="6"/>
  <c r="H217" i="6"/>
  <c r="H213" i="6"/>
  <c r="H209" i="6"/>
  <c r="H218" i="6"/>
  <c r="H214" i="6"/>
  <c r="H210" i="6"/>
  <c r="H219" i="6"/>
  <c r="H215" i="6"/>
  <c r="H211" i="6"/>
  <c r="N14" i="2"/>
  <c r="M14" i="2"/>
  <c r="K14" i="2"/>
  <c r="H240" i="6"/>
  <c r="H236" i="6"/>
  <c r="H241" i="6"/>
  <c r="H237" i="6"/>
  <c r="H238" i="6"/>
  <c r="H234" i="6"/>
  <c r="H239" i="6"/>
  <c r="H235" i="6"/>
  <c r="K18" i="2"/>
  <c r="N18" i="2"/>
  <c r="M18" i="2"/>
  <c r="H78" i="6"/>
  <c r="H74" i="6"/>
  <c r="H70" i="6"/>
  <c r="H66" i="6"/>
  <c r="H62" i="6"/>
  <c r="H79" i="6"/>
  <c r="H75" i="6"/>
  <c r="H71" i="6"/>
  <c r="H67" i="6"/>
  <c r="H63" i="6"/>
  <c r="H80" i="6"/>
  <c r="H76" i="6"/>
  <c r="H72" i="6"/>
  <c r="H68" i="6"/>
  <c r="H64" i="6"/>
  <c r="H73" i="6"/>
  <c r="H77" i="6"/>
  <c r="H65" i="6"/>
  <c r="H69" i="6"/>
  <c r="K9" i="2"/>
  <c r="N9" i="2"/>
  <c r="M9" i="2"/>
  <c r="H243" i="6"/>
  <c r="H244" i="6"/>
  <c r="K19" i="2"/>
  <c r="M19" i="2"/>
  <c r="N19" i="2"/>
  <c r="H178" i="6"/>
  <c r="H174" i="6"/>
  <c r="H170" i="6"/>
  <c r="H166" i="6"/>
  <c r="H179" i="6"/>
  <c r="H175" i="6"/>
  <c r="H171" i="6"/>
  <c r="H167" i="6"/>
  <c r="H180" i="6"/>
  <c r="H176" i="6"/>
  <c r="H172" i="6"/>
  <c r="H168" i="6"/>
  <c r="H181" i="6"/>
  <c r="H177" i="6"/>
  <c r="H173" i="6"/>
  <c r="H169" i="6"/>
  <c r="M12" i="2"/>
  <c r="K12" i="2"/>
  <c r="N12" i="2"/>
  <c r="H26" i="6"/>
  <c r="H22" i="6"/>
  <c r="H18" i="6"/>
  <c r="H14" i="6"/>
  <c r="H10" i="6"/>
  <c r="H6" i="6"/>
  <c r="H27" i="6"/>
  <c r="H23" i="6"/>
  <c r="H19" i="6"/>
  <c r="H15" i="6"/>
  <c r="H11" i="6"/>
  <c r="H7" i="6"/>
  <c r="H28" i="6"/>
  <c r="H24" i="6"/>
  <c r="H20" i="6"/>
  <c r="H16" i="6"/>
  <c r="H12" i="6"/>
  <c r="H8" i="6"/>
  <c r="H21" i="6"/>
  <c r="H25" i="6"/>
  <c r="H9" i="6"/>
  <c r="H29" i="6"/>
  <c r="H13" i="6"/>
  <c r="H17" i="6"/>
  <c r="N5" i="2"/>
  <c r="M5" i="2"/>
  <c r="K5" i="2"/>
  <c r="H221" i="6"/>
  <c r="H222" i="6"/>
  <c r="H223" i="6"/>
  <c r="H224" i="6"/>
  <c r="N15" i="2"/>
  <c r="M15" i="2"/>
  <c r="K15" i="2"/>
  <c r="H39" i="6"/>
  <c r="H35" i="6"/>
  <c r="H31" i="6"/>
  <c r="H36" i="6"/>
  <c r="H32" i="6"/>
  <c r="H37" i="6"/>
  <c r="H33" i="6"/>
  <c r="H38" i="6"/>
  <c r="H34" i="6"/>
  <c r="N6" i="2"/>
  <c r="M6" i="2"/>
  <c r="K6" i="2"/>
  <c r="H152" i="6"/>
  <c r="H148" i="6"/>
  <c r="H144" i="6"/>
  <c r="H140" i="6"/>
  <c r="H136" i="6"/>
  <c r="H132" i="6"/>
  <c r="H128" i="6"/>
  <c r="H124" i="6"/>
  <c r="H120" i="6"/>
  <c r="H150" i="6"/>
  <c r="H146" i="6"/>
  <c r="H142" i="6"/>
  <c r="H138" i="6"/>
  <c r="H134" i="6"/>
  <c r="H130" i="6"/>
  <c r="H126" i="6"/>
  <c r="H122" i="6"/>
  <c r="H118" i="6"/>
  <c r="H151" i="6"/>
  <c r="H147" i="6"/>
  <c r="H143" i="6"/>
  <c r="H139" i="6"/>
  <c r="H135" i="6"/>
  <c r="H131" i="6"/>
  <c r="H127" i="6"/>
  <c r="H123" i="6"/>
  <c r="H119" i="6"/>
  <c r="H115" i="6"/>
  <c r="H111" i="6"/>
  <c r="H107" i="6"/>
  <c r="H103" i="6"/>
  <c r="H99" i="6"/>
  <c r="H95" i="6"/>
  <c r="H145" i="6"/>
  <c r="H102" i="6"/>
  <c r="H91" i="6"/>
  <c r="H87" i="6"/>
  <c r="H83" i="6"/>
  <c r="H141" i="6"/>
  <c r="H109" i="6"/>
  <c r="H100" i="6"/>
  <c r="H137" i="6"/>
  <c r="H116" i="6"/>
  <c r="H114" i="6"/>
  <c r="H98" i="6"/>
  <c r="H92" i="6"/>
  <c r="H88" i="6"/>
  <c r="H84" i="6"/>
  <c r="H133" i="6"/>
  <c r="H112" i="6"/>
  <c r="H105" i="6"/>
  <c r="H96" i="6"/>
  <c r="H129" i="6"/>
  <c r="H110" i="6"/>
  <c r="H93" i="6"/>
  <c r="H89" i="6"/>
  <c r="H85" i="6"/>
  <c r="H125" i="6"/>
  <c r="H108" i="6"/>
  <c r="H101" i="6"/>
  <c r="H90" i="6"/>
  <c r="H117" i="6"/>
  <c r="H94" i="6"/>
  <c r="H153" i="6"/>
  <c r="H106" i="6"/>
  <c r="H82" i="6"/>
  <c r="H113" i="6"/>
  <c r="H121" i="6"/>
  <c r="H86" i="6"/>
  <c r="K10" i="2"/>
  <c r="H104" i="6"/>
  <c r="H97" i="6"/>
  <c r="H149" i="6"/>
  <c r="N10" i="2"/>
  <c r="M10" i="2"/>
  <c r="H269" i="6"/>
  <c r="H265" i="6"/>
  <c r="H261" i="6"/>
  <c r="H257" i="6"/>
  <c r="H266" i="6"/>
  <c r="H264" i="6"/>
  <c r="H254" i="6"/>
  <c r="H250" i="6"/>
  <c r="H246" i="6"/>
  <c r="H251" i="6"/>
  <c r="H247" i="6"/>
  <c r="H259" i="6"/>
  <c r="H255" i="6"/>
  <c r="H263" i="6"/>
  <c r="H252" i="6"/>
  <c r="H248" i="6"/>
  <c r="H267" i="6"/>
  <c r="H258" i="6"/>
  <c r="H256" i="6"/>
  <c r="H253" i="6"/>
  <c r="H249" i="6"/>
  <c r="H262" i="6"/>
  <c r="H270" i="6"/>
  <c r="H268" i="6"/>
  <c r="H260" i="6"/>
  <c r="M20" i="2"/>
  <c r="K20" i="2"/>
  <c r="N20" i="2"/>
  <c r="H394" i="6"/>
  <c r="H396" i="6"/>
  <c r="H393" i="6"/>
  <c r="H391" i="6"/>
  <c r="H395" i="6"/>
  <c r="H392" i="6"/>
  <c r="N25" i="2"/>
  <c r="K25" i="2"/>
  <c r="M25" i="2"/>
  <c r="H231" i="6"/>
  <c r="H232" i="6"/>
  <c r="H229" i="6"/>
  <c r="H230" i="6"/>
  <c r="N17" i="2"/>
  <c r="M17" i="2"/>
  <c r="K17" i="2"/>
  <c r="H161" i="6"/>
  <c r="H157" i="6"/>
  <c r="H163" i="6"/>
  <c r="H159" i="6"/>
  <c r="H155" i="6"/>
  <c r="H164" i="6"/>
  <c r="H160" i="6"/>
  <c r="H156" i="6"/>
  <c r="H162" i="6"/>
  <c r="H158" i="6"/>
  <c r="K11" i="2"/>
  <c r="M11" i="2"/>
  <c r="N11" i="2"/>
  <c r="H274" i="6"/>
  <c r="H273" i="6"/>
  <c r="H272" i="6"/>
  <c r="N21" i="2"/>
  <c r="M21" i="2"/>
  <c r="K21" i="2"/>
  <c r="H56" i="6"/>
  <c r="H52" i="6"/>
  <c r="H48" i="6"/>
  <c r="H44" i="6"/>
  <c r="H53" i="6"/>
  <c r="H49" i="6"/>
  <c r="H45" i="6"/>
  <c r="H41" i="6"/>
  <c r="H54" i="6"/>
  <c r="H50" i="6"/>
  <c r="H46" i="6"/>
  <c r="H42" i="6"/>
  <c r="H55" i="6"/>
  <c r="H43" i="6"/>
  <c r="H47" i="6"/>
  <c r="H51" i="6"/>
  <c r="N7" i="2"/>
  <c r="M7" i="2"/>
  <c r="K7" i="2"/>
  <c r="I226" i="6"/>
  <c r="I227" i="6"/>
  <c r="L16" i="2"/>
  <c r="H283" i="6"/>
  <c r="H279" i="6"/>
  <c r="H281" i="6"/>
  <c r="H276" i="6"/>
  <c r="H280" i="6"/>
  <c r="H278" i="6"/>
  <c r="H284" i="6"/>
  <c r="H282" i="6"/>
  <c r="H286" i="6"/>
  <c r="H277" i="6"/>
  <c r="H285" i="6"/>
  <c r="N22" i="2"/>
  <c r="M22" i="2"/>
  <c r="K22" i="2"/>
  <c r="H399" i="6"/>
  <c r="H400" i="6"/>
  <c r="H398" i="6"/>
  <c r="K26" i="2"/>
  <c r="N26" i="2"/>
  <c r="M26" i="2"/>
  <c r="H389" i="6"/>
  <c r="H385" i="6"/>
  <c r="H381" i="6"/>
  <c r="H377" i="6"/>
  <c r="H373" i="6"/>
  <c r="H369" i="6"/>
  <c r="H365" i="6"/>
  <c r="H361" i="6"/>
  <c r="H357" i="6"/>
  <c r="H353" i="6"/>
  <c r="H349" i="6"/>
  <c r="H345" i="6"/>
  <c r="H366" i="6"/>
  <c r="H363" i="6"/>
  <c r="H360" i="6"/>
  <c r="H342" i="6"/>
  <c r="H338" i="6"/>
  <c r="H334" i="6"/>
  <c r="H330" i="6"/>
  <c r="H326" i="6"/>
  <c r="H322" i="6"/>
  <c r="H318" i="6"/>
  <c r="H314" i="6"/>
  <c r="H310" i="6"/>
  <c r="H387" i="6"/>
  <c r="H384" i="6"/>
  <c r="H358" i="6"/>
  <c r="H355" i="6"/>
  <c r="H352" i="6"/>
  <c r="H343" i="6"/>
  <c r="H339" i="6"/>
  <c r="H335" i="6"/>
  <c r="H331" i="6"/>
  <c r="H327" i="6"/>
  <c r="H323" i="6"/>
  <c r="H319" i="6"/>
  <c r="H315" i="6"/>
  <c r="H311" i="6"/>
  <c r="H370" i="6"/>
  <c r="H367" i="6"/>
  <c r="H364" i="6"/>
  <c r="H382" i="6"/>
  <c r="H379" i="6"/>
  <c r="H376" i="6"/>
  <c r="H350" i="6"/>
  <c r="H347" i="6"/>
  <c r="H344" i="6"/>
  <c r="H388" i="6"/>
  <c r="H362" i="6"/>
  <c r="H359" i="6"/>
  <c r="H356" i="6"/>
  <c r="H374" i="6"/>
  <c r="H371" i="6"/>
  <c r="H368" i="6"/>
  <c r="H341" i="6"/>
  <c r="H337" i="6"/>
  <c r="H333" i="6"/>
  <c r="H329" i="6"/>
  <c r="H325" i="6"/>
  <c r="H321" i="6"/>
  <c r="H317" i="6"/>
  <c r="H313" i="6"/>
  <c r="H309" i="6"/>
  <c r="H305" i="6"/>
  <c r="H375" i="6"/>
  <c r="H312" i="6"/>
  <c r="H302" i="6"/>
  <c r="H336" i="6"/>
  <c r="H354" i="6"/>
  <c r="H348" i="6"/>
  <c r="H332" i="6"/>
  <c r="H308" i="6"/>
  <c r="H378" i="6"/>
  <c r="H372" i="6"/>
  <c r="H328" i="6"/>
  <c r="H383" i="6"/>
  <c r="H324" i="6"/>
  <c r="H303" i="6"/>
  <c r="H346" i="6"/>
  <c r="H320" i="6"/>
  <c r="H307" i="6"/>
  <c r="H316" i="6"/>
  <c r="H304" i="6"/>
  <c r="H386" i="6"/>
  <c r="H340" i="6"/>
  <c r="H380" i="6"/>
  <c r="H306" i="6"/>
  <c r="H351" i="6"/>
  <c r="K8" i="2"/>
  <c r="K24" i="2"/>
  <c r="Q32" i="4"/>
  <c r="O32" i="4"/>
  <c r="Q84" i="4"/>
  <c r="P84" i="4"/>
  <c r="O84" i="4"/>
  <c r="Q116" i="4"/>
  <c r="P116" i="4"/>
  <c r="O116" i="4"/>
  <c r="Q140" i="4"/>
  <c r="P140" i="4"/>
  <c r="O140" i="4"/>
  <c r="Q236" i="4"/>
  <c r="P236" i="4"/>
  <c r="O236" i="4"/>
  <c r="Q260" i="4"/>
  <c r="P260" i="4"/>
  <c r="O260" i="4"/>
  <c r="Q276" i="4"/>
  <c r="P276" i="4"/>
  <c r="O276" i="4"/>
  <c r="Q292" i="4"/>
  <c r="P292" i="4"/>
  <c r="O292" i="4"/>
  <c r="Q308" i="4"/>
  <c r="P308" i="4"/>
  <c r="O308" i="4"/>
  <c r="Q324" i="4"/>
  <c r="P324" i="4"/>
  <c r="O324" i="4"/>
  <c r="Q340" i="4"/>
  <c r="P340" i="4"/>
  <c r="O340" i="4"/>
  <c r="Q356" i="4"/>
  <c r="P356" i="4"/>
  <c r="O356" i="4"/>
  <c r="Q372" i="4"/>
  <c r="P372" i="4"/>
  <c r="O372" i="4"/>
  <c r="Q482" i="4"/>
  <c r="P482" i="4"/>
  <c r="O482" i="4"/>
  <c r="O34" i="4"/>
  <c r="Q34" i="4"/>
  <c r="Q156" i="4"/>
  <c r="P156" i="4"/>
  <c r="O156" i="4"/>
  <c r="Q196" i="4"/>
  <c r="P196" i="4"/>
  <c r="O196" i="4"/>
  <c r="H16" i="13"/>
  <c r="G16" i="13"/>
  <c r="F16" i="13"/>
  <c r="E16" i="13"/>
  <c r="D16" i="13"/>
  <c r="O18" i="4"/>
  <c r="Q18" i="4"/>
  <c r="Q20" i="4"/>
  <c r="P20" i="4"/>
  <c r="O20" i="4"/>
  <c r="P32" i="4"/>
  <c r="Q44" i="4"/>
  <c r="P44" i="4"/>
  <c r="O44" i="4"/>
  <c r="Q180" i="4"/>
  <c r="P180" i="4"/>
  <c r="O180" i="4"/>
  <c r="Q220" i="4"/>
  <c r="P220" i="4"/>
  <c r="O220" i="4"/>
  <c r="Q396" i="4"/>
  <c r="P396" i="4"/>
  <c r="O396" i="4"/>
  <c r="H226" i="6"/>
  <c r="H227" i="6"/>
  <c r="G21" i="13"/>
  <c r="F21" i="13"/>
  <c r="E21" i="13"/>
  <c r="D21" i="13"/>
  <c r="H21" i="13"/>
  <c r="M8" i="2"/>
  <c r="M16" i="2"/>
  <c r="M24" i="2"/>
  <c r="Q68" i="4"/>
  <c r="P68" i="4"/>
  <c r="O68" i="4"/>
  <c r="Q92" i="4"/>
  <c r="P92" i="4"/>
  <c r="O92" i="4"/>
  <c r="Q124" i="4"/>
  <c r="P124" i="4"/>
  <c r="O124" i="4"/>
  <c r="Q204" i="4"/>
  <c r="P204" i="4"/>
  <c r="O204" i="4"/>
  <c r="Q448" i="4"/>
  <c r="P448" i="4"/>
  <c r="O448" i="4"/>
  <c r="Q506" i="4"/>
  <c r="P506" i="4"/>
  <c r="O506" i="4"/>
  <c r="I465" i="6"/>
  <c r="I463" i="6"/>
  <c r="I456" i="6"/>
  <c r="I468" i="6"/>
  <c r="I461" i="6"/>
  <c r="I459" i="6"/>
  <c r="I452" i="6"/>
  <c r="I466" i="6"/>
  <c r="I464" i="6"/>
  <c r="I457" i="6"/>
  <c r="I455" i="6"/>
  <c r="I462" i="6"/>
  <c r="I469" i="6"/>
  <c r="I467" i="6"/>
  <c r="I460" i="6"/>
  <c r="I453" i="6"/>
  <c r="I451" i="6"/>
  <c r="I454" i="6"/>
  <c r="I458" i="6"/>
  <c r="Q60" i="4"/>
  <c r="P60" i="4"/>
  <c r="O60" i="4"/>
  <c r="F17" i="13"/>
  <c r="E17" i="13"/>
  <c r="H17" i="13"/>
  <c r="G17" i="13"/>
  <c r="D17" i="13"/>
  <c r="F33" i="13"/>
  <c r="E33" i="13"/>
  <c r="D33" i="13"/>
  <c r="H33" i="13"/>
  <c r="G33" i="13"/>
  <c r="N16" i="2"/>
  <c r="N24" i="2"/>
  <c r="H479" i="6"/>
  <c r="H475" i="6"/>
  <c r="H471" i="6"/>
  <c r="H480" i="6"/>
  <c r="H478" i="6"/>
  <c r="H474" i="6"/>
  <c r="H482" i="6"/>
  <c r="H477" i="6"/>
  <c r="H481" i="6"/>
  <c r="H476" i="6"/>
  <c r="H472" i="6"/>
  <c r="H473" i="6"/>
  <c r="N30" i="2"/>
  <c r="H545" i="6"/>
  <c r="H541" i="6"/>
  <c r="H546" i="6"/>
  <c r="H542" i="6"/>
  <c r="H538" i="6"/>
  <c r="H543" i="6"/>
  <c r="H539" i="6"/>
  <c r="H544" i="6"/>
  <c r="H547" i="6"/>
  <c r="H540" i="6"/>
  <c r="N32" i="2"/>
  <c r="Q16" i="4"/>
  <c r="O16" i="4"/>
  <c r="Q28" i="4"/>
  <c r="P28" i="4"/>
  <c r="O28" i="4"/>
  <c r="Q148" i="4"/>
  <c r="P148" i="4"/>
  <c r="O148" i="4"/>
  <c r="Q164" i="4"/>
  <c r="P164" i="4"/>
  <c r="O164" i="4"/>
  <c r="Q380" i="4"/>
  <c r="P380" i="4"/>
  <c r="O380" i="4"/>
  <c r="I482" i="6"/>
  <c r="I479" i="6"/>
  <c r="I473" i="6"/>
  <c r="I476" i="6"/>
  <c r="I480" i="6"/>
  <c r="I478" i="6"/>
  <c r="I474" i="6"/>
  <c r="I472" i="6"/>
  <c r="I475" i="6"/>
  <c r="I481" i="6"/>
  <c r="I471" i="6"/>
  <c r="I477" i="6"/>
  <c r="I546" i="6"/>
  <c r="I542" i="6"/>
  <c r="I538" i="6"/>
  <c r="I545" i="6"/>
  <c r="I543" i="6"/>
  <c r="I540" i="6"/>
  <c r="I544" i="6"/>
  <c r="I539" i="6"/>
  <c r="I547" i="6"/>
  <c r="I541" i="6"/>
  <c r="L32" i="2"/>
  <c r="O26" i="4"/>
  <c r="Q26" i="4"/>
  <c r="Q52" i="4"/>
  <c r="P52" i="4"/>
  <c r="O52" i="4"/>
  <c r="Q100" i="4"/>
  <c r="P100" i="4"/>
  <c r="O100" i="4"/>
  <c r="Q132" i="4"/>
  <c r="P132" i="4"/>
  <c r="O132" i="4"/>
  <c r="Q188" i="4"/>
  <c r="P188" i="4"/>
  <c r="O188" i="4"/>
  <c r="Q252" i="4"/>
  <c r="P252" i="4"/>
  <c r="O252" i="4"/>
  <c r="Q268" i="4"/>
  <c r="P268" i="4"/>
  <c r="O268" i="4"/>
  <c r="Q284" i="4"/>
  <c r="P284" i="4"/>
  <c r="O284" i="4"/>
  <c r="Q300" i="4"/>
  <c r="P300" i="4"/>
  <c r="O300" i="4"/>
  <c r="Q316" i="4"/>
  <c r="P316" i="4"/>
  <c r="O316" i="4"/>
  <c r="Q332" i="4"/>
  <c r="P332" i="4"/>
  <c r="O332" i="4"/>
  <c r="Q348" i="4"/>
  <c r="P348" i="4"/>
  <c r="O348" i="4"/>
  <c r="Q364" i="4"/>
  <c r="P364" i="4"/>
  <c r="O364" i="4"/>
  <c r="Q504" i="4"/>
  <c r="P504" i="4"/>
  <c r="O504" i="4"/>
  <c r="L30" i="2"/>
  <c r="P26" i="4"/>
  <c r="Q76" i="4"/>
  <c r="P76" i="4"/>
  <c r="O76" i="4"/>
  <c r="Q212" i="4"/>
  <c r="P212" i="4"/>
  <c r="O212" i="4"/>
  <c r="Q228" i="4"/>
  <c r="P228" i="4"/>
  <c r="O228" i="4"/>
  <c r="H58" i="6"/>
  <c r="H59" i="6"/>
  <c r="H60" i="6"/>
  <c r="D27" i="13"/>
  <c r="H27" i="13"/>
  <c r="G27" i="13"/>
  <c r="F27" i="13"/>
  <c r="E27" i="13"/>
  <c r="H466" i="6"/>
  <c r="H462" i="6"/>
  <c r="H458" i="6"/>
  <c r="H454" i="6"/>
  <c r="H469" i="6"/>
  <c r="H465" i="6"/>
  <c r="H461" i="6"/>
  <c r="H457" i="6"/>
  <c r="H453" i="6"/>
  <c r="H468" i="6"/>
  <c r="H459" i="6"/>
  <c r="H452" i="6"/>
  <c r="H464" i="6"/>
  <c r="H455" i="6"/>
  <c r="H467" i="6"/>
  <c r="H460" i="6"/>
  <c r="H451" i="6"/>
  <c r="H463" i="6"/>
  <c r="H456" i="6"/>
  <c r="N29" i="2"/>
  <c r="H550" i="6"/>
  <c r="H551" i="6"/>
  <c r="H549" i="6"/>
  <c r="M33" i="2"/>
  <c r="K33" i="2"/>
  <c r="Q24" i="4"/>
  <c r="O24" i="4"/>
  <c r="Q36" i="4"/>
  <c r="P36" i="4"/>
  <c r="O36" i="4"/>
  <c r="Q108" i="4"/>
  <c r="P108" i="4"/>
  <c r="O108" i="4"/>
  <c r="Q172" i="4"/>
  <c r="P172" i="4"/>
  <c r="O172" i="4"/>
  <c r="Q388" i="4"/>
  <c r="P388" i="4"/>
  <c r="O388" i="4"/>
  <c r="P15" i="4"/>
  <c r="P23" i="4"/>
  <c r="P31" i="4"/>
  <c r="P39" i="4"/>
  <c r="Q42" i="4"/>
  <c r="P47" i="4"/>
  <c r="Q50" i="4"/>
  <c r="P55" i="4"/>
  <c r="Q58" i="4"/>
  <c r="P63" i="4"/>
  <c r="Q66" i="4"/>
  <c r="P71" i="4"/>
  <c r="Q74" i="4"/>
  <c r="P79" i="4"/>
  <c r="Q82" i="4"/>
  <c r="P87" i="4"/>
  <c r="Q90" i="4"/>
  <c r="P95" i="4"/>
  <c r="Q98" i="4"/>
  <c r="P103" i="4"/>
  <c r="Q106" i="4"/>
  <c r="P111" i="4"/>
  <c r="Q114" i="4"/>
  <c r="P119" i="4"/>
  <c r="Q122" i="4"/>
  <c r="P127" i="4"/>
  <c r="Q130" i="4"/>
  <c r="Q138" i="4"/>
  <c r="Q146" i="4"/>
  <c r="Q154" i="4"/>
  <c r="Q162" i="4"/>
  <c r="Q170" i="4"/>
  <c r="Q178" i="4"/>
  <c r="Q186" i="4"/>
  <c r="Q194" i="4"/>
  <c r="Q202" i="4"/>
  <c r="Q210" i="4"/>
  <c r="Q218" i="4"/>
  <c r="Q226" i="4"/>
  <c r="Q234" i="4"/>
  <c r="Q250" i="4"/>
  <c r="Q258" i="4"/>
  <c r="Q266" i="4"/>
  <c r="Q274" i="4"/>
  <c r="Q282" i="4"/>
  <c r="Q290" i="4"/>
  <c r="Q298" i="4"/>
  <c r="Q306" i="4"/>
  <c r="Q314" i="4"/>
  <c r="Q322" i="4"/>
  <c r="Q330" i="4"/>
  <c r="Q338" i="4"/>
  <c r="Q346" i="4"/>
  <c r="Q354" i="4"/>
  <c r="Q362" i="4"/>
  <c r="Q439" i="4"/>
  <c r="P439" i="4"/>
  <c r="O439" i="4"/>
  <c r="Q461" i="4"/>
  <c r="P461" i="4"/>
  <c r="Q485" i="4"/>
  <c r="P485" i="4"/>
  <c r="Q509" i="4"/>
  <c r="P509" i="4"/>
  <c r="O17" i="4"/>
  <c r="O25" i="4"/>
  <c r="Q426" i="4"/>
  <c r="P426" i="4"/>
  <c r="Q450" i="4"/>
  <c r="P450" i="4"/>
  <c r="Q466" i="4"/>
  <c r="P466" i="4"/>
  <c r="O466" i="4"/>
  <c r="Q514" i="4"/>
  <c r="P514" i="4"/>
  <c r="O514" i="4"/>
  <c r="O22" i="4"/>
  <c r="O30" i="4"/>
  <c r="O38" i="4"/>
  <c r="O46" i="4"/>
  <c r="O54" i="4"/>
  <c r="O62" i="4"/>
  <c r="O70" i="4"/>
  <c r="O78" i="4"/>
  <c r="O86" i="4"/>
  <c r="O94" i="4"/>
  <c r="O102" i="4"/>
  <c r="O110" i="4"/>
  <c r="O118" i="4"/>
  <c r="O126" i="4"/>
  <c r="O134" i="4"/>
  <c r="O142" i="4"/>
  <c r="O150" i="4"/>
  <c r="O158" i="4"/>
  <c r="O166" i="4"/>
  <c r="O174" i="4"/>
  <c r="O182" i="4"/>
  <c r="O190" i="4"/>
  <c r="O198" i="4"/>
  <c r="O206" i="4"/>
  <c r="O214" i="4"/>
  <c r="O222" i="4"/>
  <c r="O230" i="4"/>
  <c r="O238" i="4"/>
  <c r="O246" i="4"/>
  <c r="O254" i="4"/>
  <c r="O262" i="4"/>
  <c r="O270" i="4"/>
  <c r="O278" i="4"/>
  <c r="O286" i="4"/>
  <c r="O294" i="4"/>
  <c r="O302" i="4"/>
  <c r="O310" i="4"/>
  <c r="O318" i="4"/>
  <c r="O326" i="4"/>
  <c r="O334" i="4"/>
  <c r="O342" i="4"/>
  <c r="O350" i="4"/>
  <c r="O358" i="4"/>
  <c r="O366" i="4"/>
  <c r="O374" i="4"/>
  <c r="O382" i="4"/>
  <c r="O390" i="4"/>
  <c r="O398" i="4"/>
  <c r="O416" i="4"/>
  <c r="O426" i="4"/>
  <c r="P437" i="4"/>
  <c r="O450" i="4"/>
  <c r="O464" i="4"/>
  <c r="Q469" i="4"/>
  <c r="P469" i="4"/>
  <c r="O488" i="4"/>
  <c r="Q490" i="4"/>
  <c r="P490" i="4"/>
  <c r="O490" i="4"/>
  <c r="O512" i="4"/>
  <c r="Q517" i="4"/>
  <c r="P517" i="4"/>
  <c r="Q412" i="4"/>
  <c r="P412" i="4"/>
  <c r="O412" i="4"/>
  <c r="Q420" i="4"/>
  <c r="P420" i="4"/>
  <c r="O420" i="4"/>
  <c r="Q431" i="4"/>
  <c r="P431" i="4"/>
  <c r="O431" i="4"/>
  <c r="Q442" i="4"/>
  <c r="P442" i="4"/>
  <c r="Q455" i="4"/>
  <c r="P455" i="4"/>
  <c r="O455" i="4"/>
  <c r="Q493" i="4"/>
  <c r="P493" i="4"/>
  <c r="Q522" i="4"/>
  <c r="P522" i="4"/>
  <c r="O522" i="4"/>
  <c r="O40" i="4"/>
  <c r="O48" i="4"/>
  <c r="O56" i="4"/>
  <c r="O64" i="4"/>
  <c r="O72" i="4"/>
  <c r="O80" i="4"/>
  <c r="O88" i="4"/>
  <c r="O96" i="4"/>
  <c r="O104" i="4"/>
  <c r="O112" i="4"/>
  <c r="O120" i="4"/>
  <c r="O128" i="4"/>
  <c r="O136" i="4"/>
  <c r="O144" i="4"/>
  <c r="O152" i="4"/>
  <c r="O160" i="4"/>
  <c r="O168" i="4"/>
  <c r="O176" i="4"/>
  <c r="O184" i="4"/>
  <c r="O192" i="4"/>
  <c r="O200" i="4"/>
  <c r="O208" i="4"/>
  <c r="O216" i="4"/>
  <c r="O224" i="4"/>
  <c r="O232" i="4"/>
  <c r="O240" i="4"/>
  <c r="O248" i="4"/>
  <c r="O256" i="4"/>
  <c r="O264" i="4"/>
  <c r="O272" i="4"/>
  <c r="O280" i="4"/>
  <c r="O288" i="4"/>
  <c r="O296" i="4"/>
  <c r="O304" i="4"/>
  <c r="O312" i="4"/>
  <c r="O320" i="4"/>
  <c r="O328" i="4"/>
  <c r="O336" i="4"/>
  <c r="O344" i="4"/>
  <c r="O352" i="4"/>
  <c r="O360" i="4"/>
  <c r="O368" i="4"/>
  <c r="O376" i="4"/>
  <c r="O384" i="4"/>
  <c r="O392" i="4"/>
  <c r="O400" i="4"/>
  <c r="O429" i="4"/>
  <c r="O442" i="4"/>
  <c r="O453" i="4"/>
  <c r="O472" i="4"/>
  <c r="Q474" i="4"/>
  <c r="P474" i="4"/>
  <c r="O474" i="4"/>
  <c r="O493" i="4"/>
  <c r="O520" i="4"/>
  <c r="Q525" i="4"/>
  <c r="P525" i="4"/>
  <c r="P88" i="4"/>
  <c r="P96" i="4"/>
  <c r="P104" i="4"/>
  <c r="P112" i="4"/>
  <c r="P120" i="4"/>
  <c r="P128" i="4"/>
  <c r="P136" i="4"/>
  <c r="P144" i="4"/>
  <c r="P152" i="4"/>
  <c r="P160" i="4"/>
  <c r="P168" i="4"/>
  <c r="P176" i="4"/>
  <c r="P184" i="4"/>
  <c r="P192" i="4"/>
  <c r="P200" i="4"/>
  <c r="P208" i="4"/>
  <c r="P216" i="4"/>
  <c r="P224" i="4"/>
  <c r="P232" i="4"/>
  <c r="P240" i="4"/>
  <c r="P248" i="4"/>
  <c r="P256" i="4"/>
  <c r="P264" i="4"/>
  <c r="P272" i="4"/>
  <c r="P280" i="4"/>
  <c r="P288" i="4"/>
  <c r="P296" i="4"/>
  <c r="P304" i="4"/>
  <c r="P312" i="4"/>
  <c r="P320" i="4"/>
  <c r="P328" i="4"/>
  <c r="P336" i="4"/>
  <c r="P344" i="4"/>
  <c r="P352" i="4"/>
  <c r="P360" i="4"/>
  <c r="P368" i="4"/>
  <c r="O373" i="4"/>
  <c r="P376" i="4"/>
  <c r="O381" i="4"/>
  <c r="P384" i="4"/>
  <c r="O389" i="4"/>
  <c r="P392" i="4"/>
  <c r="O397" i="4"/>
  <c r="P400" i="4"/>
  <c r="O402" i="4"/>
  <c r="Q404" i="4"/>
  <c r="O404" i="4"/>
  <c r="P429" i="4"/>
  <c r="Q447" i="4"/>
  <c r="P447" i="4"/>
  <c r="O447" i="4"/>
  <c r="P453" i="4"/>
  <c r="P472" i="4"/>
  <c r="Q477" i="4"/>
  <c r="P477" i="4"/>
  <c r="O496" i="4"/>
  <c r="Q498" i="4"/>
  <c r="P498" i="4"/>
  <c r="O498" i="4"/>
  <c r="P520" i="4"/>
  <c r="O525" i="4"/>
  <c r="Q530" i="4"/>
  <c r="P530" i="4"/>
  <c r="O530" i="4"/>
  <c r="P402" i="4"/>
  <c r="P404" i="4"/>
  <c r="Q415" i="4"/>
  <c r="P415" i="4"/>
  <c r="Q423" i="4"/>
  <c r="P423" i="4"/>
  <c r="O423" i="4"/>
  <c r="Q434" i="4"/>
  <c r="P434" i="4"/>
  <c r="Q458" i="4"/>
  <c r="P458" i="4"/>
  <c r="O477" i="4"/>
  <c r="P496" i="4"/>
  <c r="Q501" i="4"/>
  <c r="P501" i="4"/>
  <c r="O528" i="4"/>
  <c r="O463" i="4"/>
  <c r="O471" i="4"/>
  <c r="O479" i="4"/>
  <c r="O487" i="4"/>
  <c r="O495" i="4"/>
  <c r="O503" i="4"/>
  <c r="O511" i="4"/>
  <c r="O519" i="4"/>
  <c r="O527" i="4"/>
  <c r="O428" i="4"/>
  <c r="O436" i="4"/>
  <c r="O444" i="4"/>
  <c r="O452" i="4"/>
  <c r="O460" i="4"/>
  <c r="P463" i="4"/>
  <c r="O468" i="4"/>
  <c r="P471" i="4"/>
  <c r="O476" i="4"/>
  <c r="P479" i="4"/>
  <c r="O484" i="4"/>
  <c r="P487" i="4"/>
  <c r="O492" i="4"/>
  <c r="P495" i="4"/>
  <c r="O500" i="4"/>
  <c r="P503" i="4"/>
  <c r="O508" i="4"/>
  <c r="P511" i="4"/>
  <c r="O516" i="4"/>
  <c r="P519" i="4"/>
  <c r="O524" i="4"/>
  <c r="P527" i="4"/>
  <c r="P428" i="4"/>
  <c r="P436" i="4"/>
  <c r="P444" i="4"/>
  <c r="P452" i="4"/>
  <c r="P460" i="4"/>
  <c r="P468" i="4"/>
  <c r="P476" i="4"/>
  <c r="P484" i="4"/>
  <c r="P492" i="4"/>
  <c r="P500" i="4"/>
  <c r="P508" i="4"/>
  <c r="P516" i="4"/>
  <c r="P524" i="4"/>
  <c r="H21" i="11"/>
  <c r="L21" i="11" s="1"/>
  <c r="M21" i="11" s="1"/>
  <c r="L21" i="10"/>
  <c r="M9" i="10"/>
  <c r="N9" i="10"/>
  <c r="N41" i="10"/>
  <c r="M41" i="10"/>
  <c r="M22" i="10"/>
  <c r="N22" i="10" s="1"/>
  <c r="N8" i="10"/>
  <c r="L11" i="10"/>
  <c r="L19" i="10"/>
  <c r="I26" i="11"/>
  <c r="L26" i="11" s="1"/>
  <c r="M26" i="11" s="1"/>
  <c r="L26" i="10"/>
  <c r="J7" i="11"/>
  <c r="K7" i="12" s="1"/>
  <c r="L7" i="10"/>
  <c r="H20" i="11"/>
  <c r="L20" i="11" s="1"/>
  <c r="M20" i="11" s="1"/>
  <c r="L20" i="10"/>
  <c r="K51" i="11"/>
  <c r="K51" i="12" s="1"/>
  <c r="L51" i="10"/>
  <c r="N32" i="10"/>
  <c r="M32" i="10"/>
  <c r="H36" i="11"/>
  <c r="L36" i="11" s="1"/>
  <c r="M36" i="11" s="1"/>
  <c r="L36" i="10"/>
  <c r="H67" i="11"/>
  <c r="L67" i="11" s="1"/>
  <c r="M67" i="11" s="1"/>
  <c r="L67" i="10"/>
  <c r="M10" i="10"/>
  <c r="N10" i="10"/>
  <c r="J6" i="11"/>
  <c r="K6" i="12" s="1"/>
  <c r="L6" i="10"/>
  <c r="L13" i="10"/>
  <c r="L14" i="10"/>
  <c r="L27" i="11"/>
  <c r="M27" i="11" s="1"/>
  <c r="H28" i="11"/>
  <c r="L28" i="11" s="1"/>
  <c r="M28" i="11" s="1"/>
  <c r="L28" i="10"/>
  <c r="L8" i="11"/>
  <c r="M8" i="11" s="1"/>
  <c r="L23" i="11"/>
  <c r="M23" i="11" s="1"/>
  <c r="H24" i="11"/>
  <c r="L24" i="11" s="1"/>
  <c r="M24" i="11" s="1"/>
  <c r="L24" i="10"/>
  <c r="L25" i="11"/>
  <c r="M25" i="11" s="1"/>
  <c r="I31" i="11"/>
  <c r="L31" i="10"/>
  <c r="N34" i="10"/>
  <c r="L38" i="11"/>
  <c r="M38" i="11" s="1"/>
  <c r="I39" i="11"/>
  <c r="L39" i="10"/>
  <c r="I44" i="11"/>
  <c r="L44" i="10"/>
  <c r="H53" i="11"/>
  <c r="L53" i="11" s="1"/>
  <c r="M53" i="11" s="1"/>
  <c r="L53" i="10"/>
  <c r="M55" i="10"/>
  <c r="N55" i="10" s="1"/>
  <c r="I62" i="11"/>
  <c r="L62" i="10"/>
  <c r="L12" i="11"/>
  <c r="M12" i="11" s="1"/>
  <c r="L15" i="11"/>
  <c r="M15" i="11" s="1"/>
  <c r="H16" i="11"/>
  <c r="L16" i="11" s="1"/>
  <c r="M16" i="11" s="1"/>
  <c r="L16" i="10"/>
  <c r="L17" i="11"/>
  <c r="M17" i="11" s="1"/>
  <c r="H49" i="11"/>
  <c r="L49" i="11" s="1"/>
  <c r="M49" i="11" s="1"/>
  <c r="L49" i="10"/>
  <c r="I56" i="11"/>
  <c r="L56" i="10"/>
  <c r="L13" i="11"/>
  <c r="M13" i="11" s="1"/>
  <c r="L27" i="10"/>
  <c r="L29" i="10"/>
  <c r="L23" i="10"/>
  <c r="L25" i="10"/>
  <c r="L34" i="11"/>
  <c r="M34" i="11" s="1"/>
  <c r="I35" i="11"/>
  <c r="L35" i="10"/>
  <c r="L38" i="10"/>
  <c r="H45" i="11"/>
  <c r="L45" i="11" s="1"/>
  <c r="M45" i="11" s="1"/>
  <c r="L45" i="10"/>
  <c r="L47" i="10"/>
  <c r="I52" i="11"/>
  <c r="L52" i="10"/>
  <c r="H63" i="11"/>
  <c r="L63" i="11" s="1"/>
  <c r="M63" i="11" s="1"/>
  <c r="L63" i="10"/>
  <c r="M65" i="10"/>
  <c r="N65" i="10"/>
  <c r="L12" i="10"/>
  <c r="L15" i="10"/>
  <c r="L17" i="10"/>
  <c r="L18" i="10"/>
  <c r="L43" i="10"/>
  <c r="I48" i="11"/>
  <c r="L48" i="10"/>
  <c r="H58" i="11"/>
  <c r="L58" i="11" s="1"/>
  <c r="M58" i="11" s="1"/>
  <c r="L58" i="10"/>
  <c r="L60" i="10"/>
  <c r="L33" i="11"/>
  <c r="M33" i="11" s="1"/>
  <c r="L37" i="11"/>
  <c r="M37" i="11" s="1"/>
  <c r="L42" i="11"/>
  <c r="M42" i="11" s="1"/>
  <c r="L66" i="10"/>
  <c r="N69" i="10"/>
  <c r="L70" i="10"/>
  <c r="N73" i="10"/>
  <c r="L74" i="10"/>
  <c r="N77" i="10"/>
  <c r="L78" i="10"/>
  <c r="L83" i="10"/>
  <c r="L87" i="10"/>
  <c r="N90" i="10"/>
  <c r="L91" i="10"/>
  <c r="L95" i="10"/>
  <c r="L99" i="10"/>
  <c r="L103" i="10"/>
  <c r="L107" i="10"/>
  <c r="L109" i="11"/>
  <c r="M109" i="11" s="1"/>
  <c r="L111" i="10"/>
  <c r="L113" i="11"/>
  <c r="M113" i="11" s="1"/>
  <c r="L115" i="10"/>
  <c r="L117" i="11"/>
  <c r="M117" i="11" s="1"/>
  <c r="L119" i="10"/>
  <c r="L121" i="11"/>
  <c r="M121" i="11" s="1"/>
  <c r="L123" i="10"/>
  <c r="L125" i="11"/>
  <c r="M125" i="11" s="1"/>
  <c r="L131" i="11"/>
  <c r="M131" i="11" s="1"/>
  <c r="L134" i="10"/>
  <c r="L137" i="11"/>
  <c r="M137" i="11" s="1"/>
  <c r="P138" i="10"/>
  <c r="N139" i="10"/>
  <c r="L140" i="10"/>
  <c r="L146" i="10"/>
  <c r="L170" i="10"/>
  <c r="L183" i="10"/>
  <c r="H187" i="11"/>
  <c r="L187" i="11" s="1"/>
  <c r="M187" i="11" s="1"/>
  <c r="L187" i="10"/>
  <c r="L128" i="10"/>
  <c r="L135" i="10"/>
  <c r="L138" i="11"/>
  <c r="M138" i="11" s="1"/>
  <c r="L141" i="10"/>
  <c r="L142" i="10"/>
  <c r="L147" i="10"/>
  <c r="L148" i="10"/>
  <c r="J156" i="11"/>
  <c r="K156" i="12" s="1"/>
  <c r="L156" i="10"/>
  <c r="I162" i="11"/>
  <c r="L162" i="10"/>
  <c r="J173" i="11"/>
  <c r="K173" i="12" s="1"/>
  <c r="L173" i="10"/>
  <c r="M174" i="10"/>
  <c r="N174" i="10" s="1"/>
  <c r="J181" i="11"/>
  <c r="K181" i="12" s="1"/>
  <c r="L181" i="10"/>
  <c r="J190" i="11"/>
  <c r="K190" i="12" s="1"/>
  <c r="L190" i="10"/>
  <c r="N193" i="10"/>
  <c r="M193" i="10"/>
  <c r="H199" i="11"/>
  <c r="L199" i="11" s="1"/>
  <c r="M199" i="11" s="1"/>
  <c r="L199" i="10"/>
  <c r="L43" i="11"/>
  <c r="M43" i="11" s="1"/>
  <c r="L47" i="11"/>
  <c r="M47" i="11" s="1"/>
  <c r="L51" i="11"/>
  <c r="M51" i="11" s="1"/>
  <c r="L55" i="11"/>
  <c r="M55" i="11" s="1"/>
  <c r="L60" i="11"/>
  <c r="M60" i="11" s="1"/>
  <c r="L65" i="11"/>
  <c r="M65" i="11" s="1"/>
  <c r="L69" i="11"/>
  <c r="M69" i="11" s="1"/>
  <c r="L71" i="10"/>
  <c r="L73" i="11"/>
  <c r="M73" i="11" s="1"/>
  <c r="L75" i="10"/>
  <c r="L77" i="11"/>
  <c r="M77" i="11" s="1"/>
  <c r="L79" i="10"/>
  <c r="L82" i="11"/>
  <c r="M82" i="11" s="1"/>
  <c r="L84" i="10"/>
  <c r="L86" i="11"/>
  <c r="M86" i="11" s="1"/>
  <c r="L88" i="10"/>
  <c r="L90" i="11"/>
  <c r="M90" i="11" s="1"/>
  <c r="L92" i="10"/>
  <c r="L94" i="11"/>
  <c r="M94" i="11" s="1"/>
  <c r="L96" i="10"/>
  <c r="L98" i="11"/>
  <c r="M98" i="11" s="1"/>
  <c r="L100" i="10"/>
  <c r="L102" i="11"/>
  <c r="M102" i="11" s="1"/>
  <c r="L104" i="10"/>
  <c r="L106" i="11"/>
  <c r="M106" i="11" s="1"/>
  <c r="L108" i="10"/>
  <c r="L110" i="11"/>
  <c r="M110" i="11" s="1"/>
  <c r="L112" i="10"/>
  <c r="L114" i="11"/>
  <c r="M114" i="11" s="1"/>
  <c r="L116" i="10"/>
  <c r="L118" i="11"/>
  <c r="M118" i="11" s="1"/>
  <c r="L120" i="10"/>
  <c r="L122" i="11"/>
  <c r="M122" i="11" s="1"/>
  <c r="L124" i="10"/>
  <c r="L126" i="11"/>
  <c r="M126" i="11" s="1"/>
  <c r="L129" i="10"/>
  <c r="L132" i="11"/>
  <c r="M132" i="11" s="1"/>
  <c r="L139" i="11"/>
  <c r="M139" i="11" s="1"/>
  <c r="L143" i="10"/>
  <c r="L144" i="10"/>
  <c r="L157" i="10"/>
  <c r="L161" i="11"/>
  <c r="M161" i="11" s="1"/>
  <c r="L163" i="10"/>
  <c r="I167" i="11"/>
  <c r="L167" i="10"/>
  <c r="J177" i="11"/>
  <c r="K177" i="12" s="1"/>
  <c r="L177" i="10"/>
  <c r="L178" i="10"/>
  <c r="N205" i="10"/>
  <c r="M205" i="10"/>
  <c r="L127" i="11"/>
  <c r="M127" i="11" s="1"/>
  <c r="L130" i="10"/>
  <c r="L133" i="11"/>
  <c r="M133" i="11" s="1"/>
  <c r="L136" i="10"/>
  <c r="L155" i="10"/>
  <c r="L166" i="11"/>
  <c r="M166" i="11" s="1"/>
  <c r="L168" i="10"/>
  <c r="I171" i="11"/>
  <c r="L171" i="10"/>
  <c r="M185" i="10"/>
  <c r="N185" i="10" s="1"/>
  <c r="H191" i="11"/>
  <c r="L191" i="11" s="1"/>
  <c r="M191" i="11" s="1"/>
  <c r="L191" i="10"/>
  <c r="N210" i="10"/>
  <c r="L14" i="11"/>
  <c r="M14" i="11" s="1"/>
  <c r="L18" i="11"/>
  <c r="M18" i="11" s="1"/>
  <c r="L22" i="11"/>
  <c r="M22" i="11" s="1"/>
  <c r="L31" i="11"/>
  <c r="M31" i="11" s="1"/>
  <c r="L33" i="10"/>
  <c r="L35" i="11"/>
  <c r="M35" i="11" s="1"/>
  <c r="L37" i="10"/>
  <c r="L39" i="11"/>
  <c r="M39" i="11" s="1"/>
  <c r="L42" i="10"/>
  <c r="L44" i="11"/>
  <c r="M44" i="11" s="1"/>
  <c r="L46" i="10"/>
  <c r="L48" i="11"/>
  <c r="M48" i="11" s="1"/>
  <c r="L50" i="10"/>
  <c r="L52" i="11"/>
  <c r="M52" i="11" s="1"/>
  <c r="L54" i="10"/>
  <c r="L56" i="11"/>
  <c r="M56" i="11" s="1"/>
  <c r="L59" i="10"/>
  <c r="L62" i="11"/>
  <c r="M62" i="11" s="1"/>
  <c r="L64" i="10"/>
  <c r="L66" i="11"/>
  <c r="M66" i="11" s="1"/>
  <c r="L68" i="10"/>
  <c r="L70" i="11"/>
  <c r="M70" i="11" s="1"/>
  <c r="L72" i="10"/>
  <c r="L74" i="11"/>
  <c r="M74" i="11" s="1"/>
  <c r="L76" i="10"/>
  <c r="L78" i="11"/>
  <c r="M78" i="11" s="1"/>
  <c r="L80" i="10"/>
  <c r="L83" i="11"/>
  <c r="M83" i="11" s="1"/>
  <c r="L85" i="10"/>
  <c r="L87" i="11"/>
  <c r="M87" i="11" s="1"/>
  <c r="L89" i="10"/>
  <c r="L91" i="11"/>
  <c r="M91" i="11" s="1"/>
  <c r="L93" i="10"/>
  <c r="L95" i="11"/>
  <c r="M95" i="11" s="1"/>
  <c r="L97" i="10"/>
  <c r="L99" i="11"/>
  <c r="M99" i="11" s="1"/>
  <c r="L101" i="10"/>
  <c r="L103" i="11"/>
  <c r="M103" i="11" s="1"/>
  <c r="L105" i="10"/>
  <c r="L107" i="11"/>
  <c r="M107" i="11" s="1"/>
  <c r="L109" i="10"/>
  <c r="L111" i="11"/>
  <c r="M111" i="11" s="1"/>
  <c r="L113" i="10"/>
  <c r="L115" i="11"/>
  <c r="M115" i="11" s="1"/>
  <c r="L117" i="10"/>
  <c r="L119" i="11"/>
  <c r="M119" i="11" s="1"/>
  <c r="L121" i="10"/>
  <c r="L123" i="11"/>
  <c r="M123" i="11" s="1"/>
  <c r="L125" i="10"/>
  <c r="L131" i="10"/>
  <c r="L134" i="11"/>
  <c r="M134" i="11" s="1"/>
  <c r="L137" i="10"/>
  <c r="L140" i="11"/>
  <c r="M140" i="11" s="1"/>
  <c r="H149" i="11"/>
  <c r="L149" i="11" s="1"/>
  <c r="M149" i="11" s="1"/>
  <c r="L149" i="10"/>
  <c r="L170" i="11"/>
  <c r="M170" i="11" s="1"/>
  <c r="N172" i="10"/>
  <c r="M172" i="10"/>
  <c r="I175" i="11"/>
  <c r="L175" i="10"/>
  <c r="M197" i="10"/>
  <c r="N197" i="10" s="1"/>
  <c r="H203" i="11"/>
  <c r="L203" i="11" s="1"/>
  <c r="M203" i="11" s="1"/>
  <c r="L203" i="10"/>
  <c r="N214" i="10"/>
  <c r="L135" i="11"/>
  <c r="M135" i="11" s="1"/>
  <c r="L141" i="11"/>
  <c r="M141" i="11" s="1"/>
  <c r="L142" i="11"/>
  <c r="M142" i="11" s="1"/>
  <c r="H145" i="11"/>
  <c r="L145" i="11" s="1"/>
  <c r="M145" i="11" s="1"/>
  <c r="L145" i="10"/>
  <c r="L148" i="11"/>
  <c r="M148" i="11" s="1"/>
  <c r="J151" i="11"/>
  <c r="K151" i="12" s="1"/>
  <c r="L151" i="10"/>
  <c r="J160" i="11"/>
  <c r="K160" i="12" s="1"/>
  <c r="L160" i="10"/>
  <c r="L176" i="10"/>
  <c r="L180" i="10"/>
  <c r="N218" i="10"/>
  <c r="N256" i="10"/>
  <c r="L82" i="10"/>
  <c r="L86" i="10"/>
  <c r="L94" i="10"/>
  <c r="L98" i="10"/>
  <c r="L102" i="10"/>
  <c r="L106" i="10"/>
  <c r="L110" i="10"/>
  <c r="L114" i="10"/>
  <c r="L118" i="10"/>
  <c r="L122" i="10"/>
  <c r="L126" i="10"/>
  <c r="L132" i="10"/>
  <c r="N152" i="10"/>
  <c r="I158" i="11"/>
  <c r="L158" i="10"/>
  <c r="N161" i="10"/>
  <c r="M161" i="10"/>
  <c r="J186" i="11"/>
  <c r="K186" i="12" s="1"/>
  <c r="L186" i="10"/>
  <c r="M189" i="10"/>
  <c r="N189" i="10" s="1"/>
  <c r="H195" i="11"/>
  <c r="L195" i="11" s="1"/>
  <c r="M195" i="11" s="1"/>
  <c r="L195" i="10"/>
  <c r="O331" i="10"/>
  <c r="P331" i="10"/>
  <c r="L127" i="10"/>
  <c r="L133" i="10"/>
  <c r="M150" i="10"/>
  <c r="N150" i="10" s="1"/>
  <c r="M152" i="10"/>
  <c r="M159" i="10"/>
  <c r="N159" i="10" s="1"/>
  <c r="L166" i="10"/>
  <c r="M201" i="10"/>
  <c r="N201" i="10" s="1"/>
  <c r="N229" i="10"/>
  <c r="N264" i="10"/>
  <c r="M210" i="10"/>
  <c r="M214" i="10"/>
  <c r="M218" i="10"/>
  <c r="M223" i="10"/>
  <c r="N223" i="10" s="1"/>
  <c r="M229" i="10"/>
  <c r="M234" i="10"/>
  <c r="N234" i="10" s="1"/>
  <c r="M238" i="10"/>
  <c r="N238" i="10" s="1"/>
  <c r="M243" i="10"/>
  <c r="N243" i="10" s="1"/>
  <c r="M248" i="10"/>
  <c r="N248" i="10" s="1"/>
  <c r="M252" i="10"/>
  <c r="N252" i="10" s="1"/>
  <c r="M256" i="10"/>
  <c r="M260" i="10"/>
  <c r="N260" i="10" s="1"/>
  <c r="M264" i="10"/>
  <c r="N325" i="10"/>
  <c r="L329" i="11"/>
  <c r="M329" i="11" s="1"/>
  <c r="H330" i="11"/>
  <c r="L330" i="11" s="1"/>
  <c r="M330" i="11" s="1"/>
  <c r="L330" i="10"/>
  <c r="L331" i="11"/>
  <c r="M331" i="11" s="1"/>
  <c r="H334" i="11"/>
  <c r="L334" i="11" s="1"/>
  <c r="M334" i="11" s="1"/>
  <c r="L334" i="10"/>
  <c r="L341" i="10"/>
  <c r="H343" i="11"/>
  <c r="L343" i="11" s="1"/>
  <c r="M343" i="11" s="1"/>
  <c r="L343" i="10"/>
  <c r="H347" i="11"/>
  <c r="L347" i="11" s="1"/>
  <c r="M347" i="11" s="1"/>
  <c r="L347" i="10"/>
  <c r="L153" i="11"/>
  <c r="M153" i="11" s="1"/>
  <c r="L158" i="11"/>
  <c r="M158" i="11" s="1"/>
  <c r="L162" i="11"/>
  <c r="M162" i="11" s="1"/>
  <c r="L164" i="10"/>
  <c r="L167" i="11"/>
  <c r="M167" i="11" s="1"/>
  <c r="L169" i="10"/>
  <c r="L171" i="11"/>
  <c r="M171" i="11" s="1"/>
  <c r="L175" i="11"/>
  <c r="M175" i="11" s="1"/>
  <c r="L179" i="11"/>
  <c r="M179" i="11" s="1"/>
  <c r="L184" i="11"/>
  <c r="M184" i="11" s="1"/>
  <c r="L188" i="11"/>
  <c r="M188" i="11" s="1"/>
  <c r="L192" i="11"/>
  <c r="M192" i="11" s="1"/>
  <c r="L194" i="10"/>
  <c r="L196" i="11"/>
  <c r="M196" i="11" s="1"/>
  <c r="L198" i="10"/>
  <c r="L200" i="11"/>
  <c r="M200" i="11" s="1"/>
  <c r="L202" i="10"/>
  <c r="L204" i="11"/>
  <c r="M204" i="11" s="1"/>
  <c r="L206" i="10"/>
  <c r="L209" i="11"/>
  <c r="M209" i="11" s="1"/>
  <c r="L211" i="10"/>
  <c r="L213" i="11"/>
  <c r="M213" i="11" s="1"/>
  <c r="L215" i="10"/>
  <c r="L217" i="11"/>
  <c r="M217" i="11" s="1"/>
  <c r="L219" i="10"/>
  <c r="L222" i="11"/>
  <c r="M222" i="11" s="1"/>
  <c r="L224" i="10"/>
  <c r="L227" i="11"/>
  <c r="M227" i="11" s="1"/>
  <c r="L230" i="10"/>
  <c r="L232" i="11"/>
  <c r="M232" i="11" s="1"/>
  <c r="L235" i="10"/>
  <c r="L237" i="11"/>
  <c r="M237" i="11" s="1"/>
  <c r="L239" i="10"/>
  <c r="L241" i="11"/>
  <c r="M241" i="11" s="1"/>
  <c r="L244" i="10"/>
  <c r="L247" i="11"/>
  <c r="M247" i="11" s="1"/>
  <c r="L249" i="10"/>
  <c r="L251" i="11"/>
  <c r="M251" i="11" s="1"/>
  <c r="L253" i="10"/>
  <c r="L255" i="11"/>
  <c r="M255" i="11" s="1"/>
  <c r="L257" i="10"/>
  <c r="L259" i="11"/>
  <c r="M259" i="11" s="1"/>
  <c r="L261" i="10"/>
  <c r="L263" i="11"/>
  <c r="M263" i="11" s="1"/>
  <c r="L265" i="10"/>
  <c r="L267" i="11"/>
  <c r="M267" i="11" s="1"/>
  <c r="L269" i="10"/>
  <c r="L272" i="11"/>
  <c r="M272" i="11" s="1"/>
  <c r="L274" i="10"/>
  <c r="L277" i="11"/>
  <c r="M277" i="11" s="1"/>
  <c r="L279" i="10"/>
  <c r="L281" i="11"/>
  <c r="M281" i="11" s="1"/>
  <c r="L283" i="10"/>
  <c r="L285" i="11"/>
  <c r="M285" i="11" s="1"/>
  <c r="L288" i="10"/>
  <c r="L290" i="11"/>
  <c r="M290" i="11" s="1"/>
  <c r="L292" i="10"/>
  <c r="L294" i="11"/>
  <c r="M294" i="11" s="1"/>
  <c r="L296" i="10"/>
  <c r="L298" i="11"/>
  <c r="M298" i="11" s="1"/>
  <c r="L300" i="10"/>
  <c r="L303" i="11"/>
  <c r="M303" i="11" s="1"/>
  <c r="L305" i="10"/>
  <c r="L307" i="11"/>
  <c r="M307" i="11" s="1"/>
  <c r="L309" i="10"/>
  <c r="L311" i="11"/>
  <c r="M311" i="11" s="1"/>
  <c r="L313" i="10"/>
  <c r="L315" i="11"/>
  <c r="M315" i="11" s="1"/>
  <c r="L317" i="10"/>
  <c r="L319" i="11"/>
  <c r="M319" i="11" s="1"/>
  <c r="L321" i="10"/>
  <c r="L323" i="11"/>
  <c r="M323" i="11" s="1"/>
  <c r="M325" i="10"/>
  <c r="H338" i="11"/>
  <c r="L338" i="11" s="1"/>
  <c r="M338" i="11" s="1"/>
  <c r="L338" i="10"/>
  <c r="N345" i="10"/>
  <c r="M345" i="10"/>
  <c r="K348" i="11"/>
  <c r="K348" i="12" s="1"/>
  <c r="L348" i="10"/>
  <c r="N336" i="10"/>
  <c r="L340" i="10"/>
  <c r="H342" i="11"/>
  <c r="L342" i="11" s="1"/>
  <c r="M342" i="11" s="1"/>
  <c r="L342" i="10"/>
  <c r="O379" i="10"/>
  <c r="P379" i="10" s="1"/>
  <c r="O399" i="10"/>
  <c r="P399" i="10" s="1"/>
  <c r="O459" i="10"/>
  <c r="P459" i="10" s="1"/>
  <c r="L185" i="11"/>
  <c r="M185" i="11" s="1"/>
  <c r="L189" i="11"/>
  <c r="M189" i="11" s="1"/>
  <c r="L193" i="11"/>
  <c r="M193" i="11" s="1"/>
  <c r="L197" i="11"/>
  <c r="M197" i="11" s="1"/>
  <c r="L201" i="11"/>
  <c r="M201" i="11" s="1"/>
  <c r="L205" i="11"/>
  <c r="M205" i="11" s="1"/>
  <c r="L207" i="10"/>
  <c r="L210" i="11"/>
  <c r="M210" i="11" s="1"/>
  <c r="L212" i="10"/>
  <c r="L214" i="11"/>
  <c r="M214" i="11" s="1"/>
  <c r="L216" i="10"/>
  <c r="L218" i="11"/>
  <c r="M218" i="11" s="1"/>
  <c r="L221" i="10"/>
  <c r="L223" i="11"/>
  <c r="M223" i="11" s="1"/>
  <c r="L226" i="10"/>
  <c r="L229" i="11"/>
  <c r="M229" i="11" s="1"/>
  <c r="L231" i="10"/>
  <c r="L234" i="11"/>
  <c r="M234" i="11" s="1"/>
  <c r="L236" i="10"/>
  <c r="L238" i="11"/>
  <c r="M238" i="11" s="1"/>
  <c r="L240" i="10"/>
  <c r="L243" i="11"/>
  <c r="M243" i="11" s="1"/>
  <c r="L246" i="10"/>
  <c r="L248" i="11"/>
  <c r="M248" i="11" s="1"/>
  <c r="L250" i="10"/>
  <c r="L252" i="11"/>
  <c r="M252" i="11" s="1"/>
  <c r="L254" i="10"/>
  <c r="L256" i="11"/>
  <c r="M256" i="11" s="1"/>
  <c r="L258" i="10"/>
  <c r="L260" i="11"/>
  <c r="M260" i="11" s="1"/>
  <c r="L262" i="10"/>
  <c r="L266" i="10"/>
  <c r="L270" i="10"/>
  <c r="L276" i="10"/>
  <c r="L280" i="10"/>
  <c r="L284" i="10"/>
  <c r="L289" i="10"/>
  <c r="L293" i="10"/>
  <c r="L297" i="10"/>
  <c r="L302" i="10"/>
  <c r="L306" i="10"/>
  <c r="L310" i="10"/>
  <c r="L312" i="11"/>
  <c r="M312" i="11" s="1"/>
  <c r="L314" i="10"/>
  <c r="L316" i="11"/>
  <c r="M316" i="11" s="1"/>
  <c r="L318" i="10"/>
  <c r="L320" i="11"/>
  <c r="M320" i="11" s="1"/>
  <c r="L322" i="10"/>
  <c r="M327" i="10"/>
  <c r="N327" i="10" s="1"/>
  <c r="O439" i="10"/>
  <c r="P439" i="10" s="1"/>
  <c r="L325" i="11"/>
  <c r="M325" i="11" s="1"/>
  <c r="L328" i="10"/>
  <c r="L329" i="10"/>
  <c r="N344" i="10"/>
  <c r="O383" i="10"/>
  <c r="P383" i="10" s="1"/>
  <c r="L143" i="11"/>
  <c r="M143" i="11" s="1"/>
  <c r="L147" i="11"/>
  <c r="M147" i="11" s="1"/>
  <c r="L151" i="11"/>
  <c r="M151" i="11" s="1"/>
  <c r="L153" i="10"/>
  <c r="L156" i="11"/>
  <c r="M156" i="11" s="1"/>
  <c r="L160" i="11"/>
  <c r="M160" i="11" s="1"/>
  <c r="L164" i="11"/>
  <c r="M164" i="11" s="1"/>
  <c r="L169" i="11"/>
  <c r="M169" i="11" s="1"/>
  <c r="L173" i="11"/>
  <c r="M173" i="11" s="1"/>
  <c r="L177" i="11"/>
  <c r="M177" i="11" s="1"/>
  <c r="L179" i="10"/>
  <c r="L181" i="11"/>
  <c r="M181" i="11" s="1"/>
  <c r="L184" i="10"/>
  <c r="L186" i="11"/>
  <c r="M186" i="11" s="1"/>
  <c r="L188" i="10"/>
  <c r="L190" i="11"/>
  <c r="M190" i="11" s="1"/>
  <c r="L192" i="10"/>
  <c r="L194" i="11"/>
  <c r="M194" i="11" s="1"/>
  <c r="L196" i="10"/>
  <c r="L198" i="11"/>
  <c r="M198" i="11" s="1"/>
  <c r="L200" i="10"/>
  <c r="L202" i="11"/>
  <c r="M202" i="11" s="1"/>
  <c r="L204" i="10"/>
  <c r="L206" i="11"/>
  <c r="M206" i="11" s="1"/>
  <c r="L209" i="10"/>
  <c r="L211" i="11"/>
  <c r="M211" i="11" s="1"/>
  <c r="L213" i="10"/>
  <c r="L215" i="11"/>
  <c r="M215" i="11" s="1"/>
  <c r="L217" i="10"/>
  <c r="L219" i="11"/>
  <c r="M219" i="11" s="1"/>
  <c r="L222" i="10"/>
  <c r="L224" i="11"/>
  <c r="M224" i="11" s="1"/>
  <c r="L227" i="10"/>
  <c r="L230" i="11"/>
  <c r="M230" i="11" s="1"/>
  <c r="L232" i="10"/>
  <c r="L235" i="11"/>
  <c r="M235" i="11" s="1"/>
  <c r="L237" i="10"/>
  <c r="L239" i="11"/>
  <c r="M239" i="11" s="1"/>
  <c r="L241" i="10"/>
  <c r="L244" i="11"/>
  <c r="M244" i="11" s="1"/>
  <c r="L247" i="10"/>
  <c r="L249" i="11"/>
  <c r="M249" i="11" s="1"/>
  <c r="L251" i="10"/>
  <c r="L253" i="11"/>
  <c r="M253" i="11" s="1"/>
  <c r="L255" i="10"/>
  <c r="L257" i="11"/>
  <c r="M257" i="11" s="1"/>
  <c r="L259" i="10"/>
  <c r="L261" i="11"/>
  <c r="M261" i="11" s="1"/>
  <c r="L263" i="10"/>
  <c r="L265" i="11"/>
  <c r="M265" i="11" s="1"/>
  <c r="L267" i="10"/>
  <c r="L269" i="11"/>
  <c r="M269" i="11" s="1"/>
  <c r="L272" i="10"/>
  <c r="L277" i="10"/>
  <c r="L281" i="10"/>
  <c r="L285" i="10"/>
  <c r="L290" i="10"/>
  <c r="L294" i="10"/>
  <c r="L298" i="10"/>
  <c r="L303" i="10"/>
  <c r="L307" i="10"/>
  <c r="L311" i="10"/>
  <c r="L315" i="10"/>
  <c r="L319" i="10"/>
  <c r="L323" i="10"/>
  <c r="H326" i="11"/>
  <c r="L326" i="11" s="1"/>
  <c r="M326" i="11" s="1"/>
  <c r="L326" i="10"/>
  <c r="N361" i="10"/>
  <c r="L332" i="10"/>
  <c r="L333" i="10"/>
  <c r="H335" i="11"/>
  <c r="L335" i="11" s="1"/>
  <c r="M335" i="11" s="1"/>
  <c r="L335" i="10"/>
  <c r="K352" i="11"/>
  <c r="K352" i="12" s="1"/>
  <c r="L352" i="10"/>
  <c r="O387" i="10"/>
  <c r="P387" i="10" s="1"/>
  <c r="N434" i="10"/>
  <c r="L221" i="11"/>
  <c r="M221" i="11" s="1"/>
  <c r="L226" i="11"/>
  <c r="M226" i="11" s="1"/>
  <c r="L231" i="11"/>
  <c r="M231" i="11" s="1"/>
  <c r="L236" i="11"/>
  <c r="M236" i="11" s="1"/>
  <c r="L240" i="11"/>
  <c r="M240" i="11" s="1"/>
  <c r="L246" i="11"/>
  <c r="M246" i="11" s="1"/>
  <c r="L250" i="11"/>
  <c r="M250" i="11" s="1"/>
  <c r="L254" i="11"/>
  <c r="M254" i="11" s="1"/>
  <c r="L258" i="11"/>
  <c r="M258" i="11" s="1"/>
  <c r="L262" i="11"/>
  <c r="M262" i="11" s="1"/>
  <c r="L266" i="11"/>
  <c r="M266" i="11" s="1"/>
  <c r="L268" i="10"/>
  <c r="L270" i="11"/>
  <c r="M270" i="11" s="1"/>
  <c r="L273" i="10"/>
  <c r="L276" i="11"/>
  <c r="M276" i="11" s="1"/>
  <c r="L278" i="10"/>
  <c r="L280" i="11"/>
  <c r="M280" i="11" s="1"/>
  <c r="L282" i="10"/>
  <c r="L284" i="11"/>
  <c r="M284" i="11" s="1"/>
  <c r="L286" i="10"/>
  <c r="L289" i="11"/>
  <c r="M289" i="11" s="1"/>
  <c r="L291" i="10"/>
  <c r="L293" i="11"/>
  <c r="M293" i="11" s="1"/>
  <c r="L295" i="10"/>
  <c r="L297" i="11"/>
  <c r="M297" i="11" s="1"/>
  <c r="L299" i="10"/>
  <c r="L302" i="11"/>
  <c r="M302" i="11" s="1"/>
  <c r="L304" i="10"/>
  <c r="L306" i="11"/>
  <c r="M306" i="11" s="1"/>
  <c r="L308" i="10"/>
  <c r="L310" i="11"/>
  <c r="M310" i="11" s="1"/>
  <c r="L312" i="10"/>
  <c r="L314" i="11"/>
  <c r="M314" i="11" s="1"/>
  <c r="L316" i="10"/>
  <c r="L318" i="11"/>
  <c r="M318" i="11" s="1"/>
  <c r="L320" i="10"/>
  <c r="L322" i="11"/>
  <c r="M322" i="11" s="1"/>
  <c r="L324" i="10"/>
  <c r="L337" i="10"/>
  <c r="H339" i="11"/>
  <c r="L339" i="11" s="1"/>
  <c r="M339" i="11" s="1"/>
  <c r="L339" i="10"/>
  <c r="L349" i="10"/>
  <c r="P425" i="10"/>
  <c r="O425" i="10"/>
  <c r="N364" i="10"/>
  <c r="L365" i="10"/>
  <c r="N368" i="10"/>
  <c r="L369" i="10"/>
  <c r="N372" i="10"/>
  <c r="L373" i="10"/>
  <c r="N376" i="10"/>
  <c r="L377" i="10"/>
  <c r="N380" i="10"/>
  <c r="L381" i="10"/>
  <c r="L383" i="11"/>
  <c r="M383" i="11" s="1"/>
  <c r="N384" i="10"/>
  <c r="L385" i="10"/>
  <c r="L387" i="11"/>
  <c r="M387" i="11" s="1"/>
  <c r="N388" i="10"/>
  <c r="L389" i="10"/>
  <c r="L393" i="11"/>
  <c r="M393" i="11" s="1"/>
  <c r="H461" i="11"/>
  <c r="L461" i="11" s="1"/>
  <c r="M461" i="11" s="1"/>
  <c r="L461" i="10"/>
  <c r="H478" i="11"/>
  <c r="L478" i="11" s="1"/>
  <c r="M478" i="11" s="1"/>
  <c r="L478" i="10"/>
  <c r="K488" i="11"/>
  <c r="K488" i="12" s="1"/>
  <c r="L488" i="10"/>
  <c r="H493" i="11"/>
  <c r="L493" i="11" s="1"/>
  <c r="M493" i="11" s="1"/>
  <c r="L493" i="10"/>
  <c r="M498" i="10"/>
  <c r="N498" i="10" s="1"/>
  <c r="H509" i="11"/>
  <c r="L509" i="11" s="1"/>
  <c r="M509" i="11" s="1"/>
  <c r="L509" i="10"/>
  <c r="I541" i="11"/>
  <c r="L541" i="10"/>
  <c r="M353" i="10"/>
  <c r="N353" i="10" s="1"/>
  <c r="M357" i="10"/>
  <c r="N357" i="10" s="1"/>
  <c r="M361" i="10"/>
  <c r="L403" i="11"/>
  <c r="M403" i="11" s="1"/>
  <c r="L412" i="11"/>
  <c r="M412" i="11" s="1"/>
  <c r="L414" i="10"/>
  <c r="L416" i="11"/>
  <c r="M416" i="11" s="1"/>
  <c r="L418" i="10"/>
  <c r="L422" i="10"/>
  <c r="L426" i="10"/>
  <c r="L430" i="10"/>
  <c r="O433" i="10"/>
  <c r="P433" i="10" s="1"/>
  <c r="M434" i="10"/>
  <c r="L451" i="10"/>
  <c r="L453" i="10"/>
  <c r="M455" i="10"/>
  <c r="N455" i="10" s="1"/>
  <c r="L456" i="10"/>
  <c r="J468" i="11"/>
  <c r="K468" i="12" s="1"/>
  <c r="L468" i="10"/>
  <c r="N476" i="10"/>
  <c r="M476" i="10"/>
  <c r="M490" i="10"/>
  <c r="N490" i="10" s="1"/>
  <c r="M506" i="10"/>
  <c r="N506" i="10" s="1"/>
  <c r="P510" i="10"/>
  <c r="H517" i="11"/>
  <c r="L517" i="11" s="1"/>
  <c r="M517" i="11" s="1"/>
  <c r="L517" i="10"/>
  <c r="H533" i="11"/>
  <c r="L533" i="11" s="1"/>
  <c r="M533" i="11" s="1"/>
  <c r="L533" i="10"/>
  <c r="L324" i="11"/>
  <c r="M324" i="11" s="1"/>
  <c r="L328" i="11"/>
  <c r="M328" i="11" s="1"/>
  <c r="L332" i="11"/>
  <c r="M332" i="11" s="1"/>
  <c r="L336" i="11"/>
  <c r="M336" i="11" s="1"/>
  <c r="L340" i="11"/>
  <c r="M340" i="11" s="1"/>
  <c r="L344" i="11"/>
  <c r="M344" i="11" s="1"/>
  <c r="L346" i="10"/>
  <c r="L348" i="11"/>
  <c r="M348" i="11" s="1"/>
  <c r="L350" i="10"/>
  <c r="L352" i="11"/>
  <c r="M352" i="11" s="1"/>
  <c r="L354" i="10"/>
  <c r="L356" i="11"/>
  <c r="M356" i="11" s="1"/>
  <c r="L358" i="10"/>
  <c r="L360" i="11"/>
  <c r="M360" i="11" s="1"/>
  <c r="L362" i="10"/>
  <c r="L364" i="11"/>
  <c r="M364" i="11" s="1"/>
  <c r="L366" i="10"/>
  <c r="L368" i="11"/>
  <c r="M368" i="11" s="1"/>
  <c r="L370" i="10"/>
  <c r="L372" i="11"/>
  <c r="M372" i="11" s="1"/>
  <c r="L374" i="10"/>
  <c r="L376" i="11"/>
  <c r="M376" i="11" s="1"/>
  <c r="L378" i="10"/>
  <c r="L380" i="11"/>
  <c r="M380" i="11" s="1"/>
  <c r="L382" i="10"/>
  <c r="L384" i="11"/>
  <c r="M384" i="11" s="1"/>
  <c r="L386" i="10"/>
  <c r="L388" i="11"/>
  <c r="M388" i="11" s="1"/>
  <c r="M391" i="10"/>
  <c r="N391" i="10" s="1"/>
  <c r="L392" i="10"/>
  <c r="L395" i="11"/>
  <c r="M395" i="11" s="1"/>
  <c r="M400" i="10"/>
  <c r="N400" i="10" s="1"/>
  <c r="M405" i="10"/>
  <c r="N405" i="10" s="1"/>
  <c r="M410" i="10"/>
  <c r="N410" i="10" s="1"/>
  <c r="L435" i="10"/>
  <c r="L446" i="10"/>
  <c r="L448" i="10"/>
  <c r="L452" i="10"/>
  <c r="H458" i="11"/>
  <c r="L458" i="11" s="1"/>
  <c r="M458" i="11" s="1"/>
  <c r="L458" i="10"/>
  <c r="H474" i="11"/>
  <c r="L474" i="11" s="1"/>
  <c r="M474" i="11" s="1"/>
  <c r="L474" i="10"/>
  <c r="N514" i="10"/>
  <c r="M514" i="10"/>
  <c r="P518" i="10"/>
  <c r="H525" i="11"/>
  <c r="L525" i="11" s="1"/>
  <c r="M525" i="11" s="1"/>
  <c r="L525" i="10"/>
  <c r="M530" i="10"/>
  <c r="N530" i="10" s="1"/>
  <c r="L393" i="10"/>
  <c r="L396" i="11"/>
  <c r="M396" i="11" s="1"/>
  <c r="L402" i="10"/>
  <c r="L404" i="11"/>
  <c r="M404" i="11" s="1"/>
  <c r="L406" i="10"/>
  <c r="L409" i="11"/>
  <c r="M409" i="11" s="1"/>
  <c r="L411" i="10"/>
  <c r="L413" i="11"/>
  <c r="M413" i="11" s="1"/>
  <c r="L415" i="10"/>
  <c r="L417" i="11"/>
  <c r="M417" i="11" s="1"/>
  <c r="L419" i="10"/>
  <c r="L421" i="11"/>
  <c r="M421" i="11" s="1"/>
  <c r="L423" i="10"/>
  <c r="L425" i="11"/>
  <c r="M425" i="11" s="1"/>
  <c r="L427" i="10"/>
  <c r="L429" i="11"/>
  <c r="M429" i="11" s="1"/>
  <c r="L431" i="10"/>
  <c r="L433" i="11"/>
  <c r="M433" i="11" s="1"/>
  <c r="L436" i="10"/>
  <c r="L437" i="10"/>
  <c r="L442" i="10"/>
  <c r="L444" i="10"/>
  <c r="L447" i="10"/>
  <c r="J464" i="11"/>
  <c r="K464" i="12" s="1"/>
  <c r="L464" i="10"/>
  <c r="N472" i="10"/>
  <c r="M472" i="10"/>
  <c r="J481" i="11"/>
  <c r="K481" i="12" s="1"/>
  <c r="L481" i="10"/>
  <c r="J489" i="11"/>
  <c r="K489" i="12" s="1"/>
  <c r="L489" i="10"/>
  <c r="M522" i="10"/>
  <c r="N522" i="10" s="1"/>
  <c r="L333" i="11"/>
  <c r="M333" i="11" s="1"/>
  <c r="L337" i="11"/>
  <c r="M337" i="11" s="1"/>
  <c r="L341" i="11"/>
  <c r="M341" i="11" s="1"/>
  <c r="L345" i="11"/>
  <c r="M345" i="11" s="1"/>
  <c r="L349" i="11"/>
  <c r="M349" i="11" s="1"/>
  <c r="L351" i="10"/>
  <c r="L353" i="11"/>
  <c r="M353" i="11" s="1"/>
  <c r="L355" i="10"/>
  <c r="L357" i="11"/>
  <c r="M357" i="11" s="1"/>
  <c r="L359" i="10"/>
  <c r="L361" i="11"/>
  <c r="M361" i="11" s="1"/>
  <c r="L363" i="10"/>
  <c r="L365" i="11"/>
  <c r="M365" i="11" s="1"/>
  <c r="L367" i="10"/>
  <c r="L369" i="11"/>
  <c r="M369" i="11" s="1"/>
  <c r="L371" i="10"/>
  <c r="L373" i="11"/>
  <c r="M373" i="11" s="1"/>
  <c r="L375" i="10"/>
  <c r="L377" i="11"/>
  <c r="M377" i="11" s="1"/>
  <c r="L381" i="11"/>
  <c r="M381" i="11" s="1"/>
  <c r="L385" i="11"/>
  <c r="M385" i="11" s="1"/>
  <c r="L389" i="11"/>
  <c r="M389" i="11" s="1"/>
  <c r="L434" i="11"/>
  <c r="M434" i="11" s="1"/>
  <c r="L438" i="10"/>
  <c r="L440" i="10"/>
  <c r="L443" i="10"/>
  <c r="H454" i="11"/>
  <c r="L454" i="11" s="1"/>
  <c r="M454" i="11" s="1"/>
  <c r="L454" i="10"/>
  <c r="H457" i="11"/>
  <c r="L457" i="11" s="1"/>
  <c r="M457" i="11" s="1"/>
  <c r="L457" i="10"/>
  <c r="H469" i="11"/>
  <c r="L469" i="11" s="1"/>
  <c r="M469" i="11" s="1"/>
  <c r="L469" i="10"/>
  <c r="M487" i="10"/>
  <c r="N487" i="10" s="1"/>
  <c r="H549" i="11"/>
  <c r="L549" i="11" s="1"/>
  <c r="M549" i="11" s="1"/>
  <c r="L549" i="10"/>
  <c r="M394" i="10"/>
  <c r="N394" i="10" s="1"/>
  <c r="L395" i="10"/>
  <c r="L399" i="11"/>
  <c r="M399" i="11" s="1"/>
  <c r="L403" i="10"/>
  <c r="L405" i="11"/>
  <c r="M405" i="11" s="1"/>
  <c r="L407" i="10"/>
  <c r="L410" i="11"/>
  <c r="M410" i="11" s="1"/>
  <c r="L412" i="10"/>
  <c r="L414" i="11"/>
  <c r="M414" i="11" s="1"/>
  <c r="L416" i="10"/>
  <c r="L418" i="11"/>
  <c r="M418" i="11" s="1"/>
  <c r="L420" i="10"/>
  <c r="L422" i="11"/>
  <c r="M422" i="11" s="1"/>
  <c r="L424" i="10"/>
  <c r="L426" i="11"/>
  <c r="M426" i="11" s="1"/>
  <c r="L428" i="10"/>
  <c r="L430" i="11"/>
  <c r="M430" i="11" s="1"/>
  <c r="L432" i="10"/>
  <c r="H449" i="11"/>
  <c r="L449" i="11" s="1"/>
  <c r="M449" i="11" s="1"/>
  <c r="L449" i="10"/>
  <c r="L453" i="11"/>
  <c r="M453" i="11" s="1"/>
  <c r="L462" i="11"/>
  <c r="M462" i="11" s="1"/>
  <c r="M467" i="10"/>
  <c r="N467" i="10" s="1"/>
  <c r="J477" i="11"/>
  <c r="K477" i="12" s="1"/>
  <c r="L477" i="10"/>
  <c r="L346" i="11"/>
  <c r="M346" i="11" s="1"/>
  <c r="L350" i="11"/>
  <c r="M350" i="11" s="1"/>
  <c r="L354" i="11"/>
  <c r="M354" i="11" s="1"/>
  <c r="L356" i="10"/>
  <c r="L358" i="11"/>
  <c r="M358" i="11" s="1"/>
  <c r="L360" i="10"/>
  <c r="L391" i="11"/>
  <c r="M391" i="11" s="1"/>
  <c r="L396" i="10"/>
  <c r="L400" i="11"/>
  <c r="M400" i="11" s="1"/>
  <c r="L435" i="11"/>
  <c r="M435" i="11" s="1"/>
  <c r="H445" i="11"/>
  <c r="L445" i="11" s="1"/>
  <c r="M445" i="11" s="1"/>
  <c r="L445" i="10"/>
  <c r="L448" i="11"/>
  <c r="M448" i="11" s="1"/>
  <c r="L460" i="10"/>
  <c r="H465" i="11"/>
  <c r="L465" i="11" s="1"/>
  <c r="M465" i="11" s="1"/>
  <c r="L465" i="10"/>
  <c r="H482" i="11"/>
  <c r="L482" i="11" s="1"/>
  <c r="M482" i="11" s="1"/>
  <c r="L482" i="10"/>
  <c r="N538" i="10"/>
  <c r="M538" i="10"/>
  <c r="L392" i="11"/>
  <c r="M392" i="11" s="1"/>
  <c r="L398" i="10"/>
  <c r="L402" i="11"/>
  <c r="M402" i="11" s="1"/>
  <c r="L404" i="10"/>
  <c r="L406" i="11"/>
  <c r="M406" i="11" s="1"/>
  <c r="L409" i="10"/>
  <c r="L411" i="11"/>
  <c r="M411" i="11" s="1"/>
  <c r="L413" i="10"/>
  <c r="L415" i="11"/>
  <c r="M415" i="11" s="1"/>
  <c r="L417" i="10"/>
  <c r="L419" i="11"/>
  <c r="M419" i="11" s="1"/>
  <c r="L421" i="10"/>
  <c r="L423" i="11"/>
  <c r="M423" i="11" s="1"/>
  <c r="L427" i="11"/>
  <c r="M427" i="11" s="1"/>
  <c r="L429" i="10"/>
  <c r="L431" i="11"/>
  <c r="M431" i="11" s="1"/>
  <c r="L436" i="11"/>
  <c r="M436" i="11" s="1"/>
  <c r="L437" i="11"/>
  <c r="M437" i="11" s="1"/>
  <c r="H441" i="11"/>
  <c r="L441" i="11" s="1"/>
  <c r="M441" i="11" s="1"/>
  <c r="L441" i="10"/>
  <c r="L444" i="11"/>
  <c r="M444" i="11" s="1"/>
  <c r="M463" i="10"/>
  <c r="N463" i="10" s="1"/>
  <c r="J473" i="11"/>
  <c r="K473" i="12" s="1"/>
  <c r="L473" i="10"/>
  <c r="M480" i="10"/>
  <c r="N480" i="10" s="1"/>
  <c r="H485" i="11"/>
  <c r="L485" i="11" s="1"/>
  <c r="M485" i="11" s="1"/>
  <c r="L485" i="10"/>
  <c r="H501" i="11"/>
  <c r="L501" i="11" s="1"/>
  <c r="M501" i="11" s="1"/>
  <c r="L501" i="10"/>
  <c r="L491" i="10"/>
  <c r="L494" i="11"/>
  <c r="M494" i="11" s="1"/>
  <c r="L499" i="10"/>
  <c r="L507" i="10"/>
  <c r="L510" i="11"/>
  <c r="M510" i="11" s="1"/>
  <c r="L515" i="10"/>
  <c r="L523" i="10"/>
  <c r="L531" i="10"/>
  <c r="L484" i="10"/>
  <c r="L487" i="11"/>
  <c r="M487" i="11" s="1"/>
  <c r="L492" i="10"/>
  <c r="L495" i="11"/>
  <c r="M495" i="11" s="1"/>
  <c r="L500" i="10"/>
  <c r="L503" i="11"/>
  <c r="M503" i="11" s="1"/>
  <c r="L508" i="10"/>
  <c r="L511" i="11"/>
  <c r="M511" i="11" s="1"/>
  <c r="L516" i="10"/>
  <c r="L519" i="11"/>
  <c r="M519" i="11" s="1"/>
  <c r="L524" i="10"/>
  <c r="L527" i="11"/>
  <c r="M527" i="11" s="1"/>
  <c r="L532" i="10"/>
  <c r="L535" i="11"/>
  <c r="M535" i="11" s="1"/>
  <c r="L539" i="10"/>
  <c r="L542" i="10"/>
  <c r="H544" i="11"/>
  <c r="L544" i="11" s="1"/>
  <c r="M544" i="11" s="1"/>
  <c r="L544" i="10"/>
  <c r="L546" i="10"/>
  <c r="L443" i="11"/>
  <c r="M443" i="11" s="1"/>
  <c r="L447" i="11"/>
  <c r="M447" i="11" s="1"/>
  <c r="L452" i="11"/>
  <c r="M452" i="11" s="1"/>
  <c r="L456" i="11"/>
  <c r="M456" i="11" s="1"/>
  <c r="L460" i="11"/>
  <c r="M460" i="11" s="1"/>
  <c r="L462" i="10"/>
  <c r="L464" i="11"/>
  <c r="M464" i="11" s="1"/>
  <c r="L466" i="10"/>
  <c r="L468" i="11"/>
  <c r="M468" i="11" s="1"/>
  <c r="L471" i="10"/>
  <c r="L473" i="11"/>
  <c r="M473" i="11" s="1"/>
  <c r="L475" i="10"/>
  <c r="L477" i="11"/>
  <c r="M477" i="11" s="1"/>
  <c r="L479" i="10"/>
  <c r="L481" i="11"/>
  <c r="M481" i="11" s="1"/>
  <c r="L488" i="11"/>
  <c r="M488" i="11" s="1"/>
  <c r="L496" i="11"/>
  <c r="M496" i="11" s="1"/>
  <c r="L504" i="11"/>
  <c r="M504" i="11" s="1"/>
  <c r="L512" i="11"/>
  <c r="M512" i="11" s="1"/>
  <c r="L520" i="11"/>
  <c r="M520" i="11" s="1"/>
  <c r="L528" i="11"/>
  <c r="M528" i="11" s="1"/>
  <c r="L536" i="11"/>
  <c r="M536" i="11" s="1"/>
  <c r="L540" i="10"/>
  <c r="L486" i="10"/>
  <c r="L489" i="11"/>
  <c r="M489" i="11" s="1"/>
  <c r="L494" i="10"/>
  <c r="L497" i="11"/>
  <c r="M497" i="11" s="1"/>
  <c r="L505" i="11"/>
  <c r="M505" i="11" s="1"/>
  <c r="L513" i="11"/>
  <c r="M513" i="11" s="1"/>
  <c r="L521" i="11"/>
  <c r="M521" i="11" s="1"/>
  <c r="L526" i="10"/>
  <c r="L529" i="11"/>
  <c r="M529" i="11" s="1"/>
  <c r="L534" i="10"/>
  <c r="L538" i="11"/>
  <c r="M538" i="11" s="1"/>
  <c r="I547" i="11"/>
  <c r="L547" i="10"/>
  <c r="I543" i="11"/>
  <c r="L543" i="10"/>
  <c r="L491" i="11"/>
  <c r="M491" i="11" s="1"/>
  <c r="M495" i="10"/>
  <c r="N495" i="10" s="1"/>
  <c r="L496" i="10"/>
  <c r="L499" i="11"/>
  <c r="M499" i="11" s="1"/>
  <c r="M503" i="10"/>
  <c r="N503" i="10" s="1"/>
  <c r="L504" i="10"/>
  <c r="L507" i="11"/>
  <c r="M507" i="11" s="1"/>
  <c r="M511" i="10"/>
  <c r="N511" i="10" s="1"/>
  <c r="L512" i="10"/>
  <c r="L515" i="11"/>
  <c r="M515" i="11" s="1"/>
  <c r="M519" i="10"/>
  <c r="N519" i="10" s="1"/>
  <c r="L520" i="10"/>
  <c r="L523" i="11"/>
  <c r="M523" i="11" s="1"/>
  <c r="M527" i="10"/>
  <c r="N527" i="10" s="1"/>
  <c r="L528" i="10"/>
  <c r="L531" i="11"/>
  <c r="M531" i="11" s="1"/>
  <c r="M535" i="10"/>
  <c r="N535" i="10" s="1"/>
  <c r="L536" i="10"/>
  <c r="L539" i="11"/>
  <c r="M539" i="11" s="1"/>
  <c r="L466" i="11"/>
  <c r="M466" i="11" s="1"/>
  <c r="L471" i="11"/>
  <c r="M471" i="11" s="1"/>
  <c r="L475" i="11"/>
  <c r="M475" i="11" s="1"/>
  <c r="L479" i="11"/>
  <c r="M479" i="11" s="1"/>
  <c r="L484" i="11"/>
  <c r="M484" i="11" s="1"/>
  <c r="L492" i="11"/>
  <c r="M492" i="11" s="1"/>
  <c r="L497" i="10"/>
  <c r="L500" i="11"/>
  <c r="M500" i="11" s="1"/>
  <c r="L505" i="10"/>
  <c r="L508" i="11"/>
  <c r="M508" i="11" s="1"/>
  <c r="L513" i="10"/>
  <c r="L516" i="11"/>
  <c r="M516" i="11" s="1"/>
  <c r="L521" i="10"/>
  <c r="L524" i="11"/>
  <c r="M524" i="11" s="1"/>
  <c r="L529" i="10"/>
  <c r="L532" i="11"/>
  <c r="M532" i="11" s="1"/>
  <c r="M551" i="10"/>
  <c r="N551" i="10" s="1"/>
  <c r="L541" i="11"/>
  <c r="M541" i="11" s="1"/>
  <c r="L545" i="11"/>
  <c r="M545" i="11" s="1"/>
  <c r="L550" i="11"/>
  <c r="M550" i="11" s="1"/>
  <c r="L542" i="11"/>
  <c r="M542" i="11" s="1"/>
  <c r="L546" i="11"/>
  <c r="M546" i="11" s="1"/>
  <c r="L551" i="11"/>
  <c r="M551" i="11" s="1"/>
  <c r="L543" i="11"/>
  <c r="M543" i="11" s="1"/>
  <c r="L545" i="10"/>
  <c r="L547" i="11"/>
  <c r="M547" i="11" s="1"/>
  <c r="L550" i="10"/>
  <c r="O551" i="10" l="1"/>
  <c r="P551" i="10" s="1"/>
  <c r="P467" i="10"/>
  <c r="O467" i="10"/>
  <c r="O410" i="10"/>
  <c r="P410" i="10" s="1"/>
  <c r="O490" i="10"/>
  <c r="P490" i="10" s="1"/>
  <c r="O252" i="10"/>
  <c r="P252" i="10" s="1"/>
  <c r="P150" i="10"/>
  <c r="O150" i="10"/>
  <c r="O174" i="10"/>
  <c r="P174" i="10"/>
  <c r="O519" i="10"/>
  <c r="P519" i="10" s="1"/>
  <c r="O480" i="10"/>
  <c r="P480" i="10" s="1"/>
  <c r="P487" i="10"/>
  <c r="O487" i="10"/>
  <c r="O405" i="10"/>
  <c r="P405" i="10" s="1"/>
  <c r="O248" i="10"/>
  <c r="P248" i="10" s="1"/>
  <c r="O522" i="10"/>
  <c r="P522" i="10" s="1"/>
  <c r="P530" i="10"/>
  <c r="O530" i="10"/>
  <c r="O400" i="10"/>
  <c r="P400" i="10" s="1"/>
  <c r="O498" i="10"/>
  <c r="P498" i="10" s="1"/>
  <c r="O327" i="10"/>
  <c r="P327" i="10" s="1"/>
  <c r="P243" i="10"/>
  <c r="O243" i="10"/>
  <c r="O238" i="10"/>
  <c r="P238" i="10" s="1"/>
  <c r="O55" i="10"/>
  <c r="P55" i="10" s="1"/>
  <c r="O495" i="10"/>
  <c r="P495" i="10" s="1"/>
  <c r="P535" i="10"/>
  <c r="O535" i="10"/>
  <c r="O511" i="10"/>
  <c r="P511" i="10" s="1"/>
  <c r="O463" i="10"/>
  <c r="P463" i="10" s="1"/>
  <c r="O357" i="10"/>
  <c r="P357" i="10" s="1"/>
  <c r="P234" i="10"/>
  <c r="O234" i="10"/>
  <c r="O201" i="10"/>
  <c r="P201" i="10" s="1"/>
  <c r="O197" i="10"/>
  <c r="P197" i="10" s="1"/>
  <c r="O185" i="10"/>
  <c r="P185" i="10" s="1"/>
  <c r="P391" i="10"/>
  <c r="O391" i="10"/>
  <c r="O353" i="10"/>
  <c r="P353" i="10" s="1"/>
  <c r="O22" i="10"/>
  <c r="P22" i="10" s="1"/>
  <c r="O394" i="10"/>
  <c r="P394" i="10"/>
  <c r="P455" i="10"/>
  <c r="O455" i="10"/>
  <c r="O260" i="10"/>
  <c r="P260" i="10" s="1"/>
  <c r="O223" i="10"/>
  <c r="P223" i="10" s="1"/>
  <c r="O159" i="10"/>
  <c r="P159" i="10" s="1"/>
  <c r="P527" i="10"/>
  <c r="O527" i="10"/>
  <c r="O503" i="10"/>
  <c r="P503" i="10" s="1"/>
  <c r="O506" i="10"/>
  <c r="P506" i="10" s="1"/>
  <c r="O189" i="10"/>
  <c r="P189" i="10" s="1"/>
  <c r="N540" i="10"/>
  <c r="M540" i="10"/>
  <c r="M360" i="10"/>
  <c r="N360" i="10"/>
  <c r="O514" i="10"/>
  <c r="P514" i="10" s="1"/>
  <c r="M291" i="10"/>
  <c r="N291" i="10" s="1"/>
  <c r="P361" i="10"/>
  <c r="O361" i="10"/>
  <c r="M266" i="10"/>
  <c r="N266" i="10" s="1"/>
  <c r="O345" i="10"/>
  <c r="P345" i="10" s="1"/>
  <c r="M102" i="10"/>
  <c r="N102" i="10"/>
  <c r="M181" i="10"/>
  <c r="N181" i="10" s="1"/>
  <c r="M99" i="10"/>
  <c r="N99" i="10" s="1"/>
  <c r="M15" i="10"/>
  <c r="N15" i="10" s="1"/>
  <c r="M28" i="10"/>
  <c r="N28" i="10" s="1"/>
  <c r="Q318" i="10"/>
  <c r="J318" i="6"/>
  <c r="L318" i="6"/>
  <c r="J318" i="12" s="1"/>
  <c r="L318" i="12" s="1"/>
  <c r="I398" i="6"/>
  <c r="I399" i="6"/>
  <c r="I400" i="6"/>
  <c r="L26" i="2"/>
  <c r="Q273" i="10"/>
  <c r="L273" i="6"/>
  <c r="J273" i="12" s="1"/>
  <c r="L273" i="12" s="1"/>
  <c r="J273" i="6"/>
  <c r="Q160" i="10"/>
  <c r="J160" i="6"/>
  <c r="L160" i="6"/>
  <c r="J160" i="12" s="1"/>
  <c r="Q393" i="10"/>
  <c r="L393" i="6"/>
  <c r="J393" i="12" s="1"/>
  <c r="L393" i="12" s="1"/>
  <c r="J393" i="6"/>
  <c r="Q112" i="10"/>
  <c r="J112" i="6"/>
  <c r="L112" i="6"/>
  <c r="J112" i="12" s="1"/>
  <c r="L112" i="12" s="1"/>
  <c r="Q118" i="10"/>
  <c r="L118" i="6"/>
  <c r="J118" i="12" s="1"/>
  <c r="L118" i="12" s="1"/>
  <c r="J118" i="6"/>
  <c r="Q503" i="10"/>
  <c r="L503" i="6"/>
  <c r="J503" i="12" s="1"/>
  <c r="L503" i="12" s="1"/>
  <c r="J503" i="6"/>
  <c r="Q484" i="10"/>
  <c r="J484" i="6"/>
  <c r="L484" i="6"/>
  <c r="D31" i="5"/>
  <c r="Q446" i="10"/>
  <c r="J446" i="6"/>
  <c r="L446" i="6"/>
  <c r="J446" i="12" s="1"/>
  <c r="L446" i="12" s="1"/>
  <c r="Q420" i="10"/>
  <c r="J420" i="6"/>
  <c r="L420" i="6"/>
  <c r="J420" i="12" s="1"/>
  <c r="L420" i="12" s="1"/>
  <c r="Q445" i="10"/>
  <c r="L445" i="6"/>
  <c r="J445" i="12" s="1"/>
  <c r="L445" i="12" s="1"/>
  <c r="J445" i="6"/>
  <c r="Q296" i="10"/>
  <c r="J296" i="6"/>
  <c r="L296" i="6"/>
  <c r="J296" i="12" s="1"/>
  <c r="L296" i="12" s="1"/>
  <c r="Q403" i="10"/>
  <c r="L403" i="6"/>
  <c r="J403" i="12" s="1"/>
  <c r="L403" i="12" s="1"/>
  <c r="J403" i="6"/>
  <c r="M521" i="10"/>
  <c r="N521" i="10" s="1"/>
  <c r="M543" i="10"/>
  <c r="N543" i="10" s="1"/>
  <c r="M479" i="10"/>
  <c r="N479" i="10" s="1"/>
  <c r="M462" i="10"/>
  <c r="N462" i="10" s="1"/>
  <c r="M516" i="10"/>
  <c r="N516" i="10" s="1"/>
  <c r="M484" i="10"/>
  <c r="N484" i="10" s="1"/>
  <c r="N491" i="10"/>
  <c r="M491" i="10"/>
  <c r="M413" i="10"/>
  <c r="N413" i="10" s="1"/>
  <c r="M464" i="10"/>
  <c r="N464" i="10" s="1"/>
  <c r="N431" i="10"/>
  <c r="M431" i="10"/>
  <c r="N415" i="10"/>
  <c r="M415" i="10"/>
  <c r="M393" i="10"/>
  <c r="N393" i="10" s="1"/>
  <c r="M474" i="10"/>
  <c r="N474" i="10" s="1"/>
  <c r="N418" i="10"/>
  <c r="M418" i="10"/>
  <c r="N389" i="10"/>
  <c r="M389" i="10"/>
  <c r="M377" i="10"/>
  <c r="N377" i="10" s="1"/>
  <c r="M352" i="10"/>
  <c r="N352" i="10"/>
  <c r="N326" i="10"/>
  <c r="M326" i="10"/>
  <c r="N298" i="10"/>
  <c r="M298" i="10"/>
  <c r="M267" i="10"/>
  <c r="N267" i="10" s="1"/>
  <c r="M251" i="10"/>
  <c r="N251" i="10" s="1"/>
  <c r="N232" i="10"/>
  <c r="M232" i="10"/>
  <c r="N213" i="10"/>
  <c r="M213" i="10"/>
  <c r="M196" i="10"/>
  <c r="N196" i="10"/>
  <c r="M179" i="10"/>
  <c r="N179" i="10"/>
  <c r="N328" i="10"/>
  <c r="M328" i="10"/>
  <c r="N297" i="10"/>
  <c r="M297" i="10"/>
  <c r="M262" i="10"/>
  <c r="N262" i="10" s="1"/>
  <c r="M246" i="10"/>
  <c r="N246" i="10" s="1"/>
  <c r="N226" i="10"/>
  <c r="M226" i="10"/>
  <c r="N207" i="10"/>
  <c r="M207" i="10"/>
  <c r="O336" i="10"/>
  <c r="P336" i="10" s="1"/>
  <c r="M338" i="10"/>
  <c r="N338" i="10" s="1"/>
  <c r="N313" i="10"/>
  <c r="M313" i="10"/>
  <c r="N296" i="10"/>
  <c r="M296" i="10"/>
  <c r="M279" i="10"/>
  <c r="N279" i="10" s="1"/>
  <c r="M261" i="10"/>
  <c r="N261" i="10" s="1"/>
  <c r="N244" i="10"/>
  <c r="M244" i="10"/>
  <c r="N224" i="10"/>
  <c r="M224" i="10"/>
  <c r="M206" i="10"/>
  <c r="N206" i="10" s="1"/>
  <c r="M341" i="10"/>
  <c r="N341" i="10" s="1"/>
  <c r="N127" i="10"/>
  <c r="M127" i="10"/>
  <c r="M132" i="10"/>
  <c r="N132" i="10" s="1"/>
  <c r="M98" i="10"/>
  <c r="N98" i="10"/>
  <c r="M176" i="10"/>
  <c r="N176" i="10" s="1"/>
  <c r="N117" i="10"/>
  <c r="M117" i="10"/>
  <c r="N101" i="10"/>
  <c r="M101" i="10"/>
  <c r="M85" i="10"/>
  <c r="N85" i="10" s="1"/>
  <c r="M68" i="10"/>
  <c r="N68" i="10"/>
  <c r="N50" i="10"/>
  <c r="M50" i="10"/>
  <c r="N33" i="10"/>
  <c r="M33" i="10"/>
  <c r="M191" i="10"/>
  <c r="N191" i="10" s="1"/>
  <c r="M155" i="10"/>
  <c r="N155" i="10" s="1"/>
  <c r="N178" i="10"/>
  <c r="M178" i="10"/>
  <c r="N144" i="10"/>
  <c r="M144" i="10"/>
  <c r="M120" i="10"/>
  <c r="N120" i="10" s="1"/>
  <c r="M104" i="10"/>
  <c r="N104" i="10" s="1"/>
  <c r="N88" i="10"/>
  <c r="M88" i="10"/>
  <c r="N71" i="10"/>
  <c r="M71" i="10"/>
  <c r="M95" i="10"/>
  <c r="N95" i="10" s="1"/>
  <c r="P73" i="10"/>
  <c r="O73" i="10"/>
  <c r="N58" i="10"/>
  <c r="M58" i="10"/>
  <c r="M12" i="10"/>
  <c r="N12" i="10" s="1"/>
  <c r="M45" i="10"/>
  <c r="N45" i="10" s="1"/>
  <c r="N29" i="10"/>
  <c r="M29" i="10"/>
  <c r="M16" i="10"/>
  <c r="N16" i="10" s="1"/>
  <c r="M53" i="10"/>
  <c r="N53" i="10" s="1"/>
  <c r="M31" i="10"/>
  <c r="N31" i="10"/>
  <c r="O10" i="10"/>
  <c r="P10" i="10" s="1"/>
  <c r="M51" i="10"/>
  <c r="N51" i="10" s="1"/>
  <c r="M19" i="10"/>
  <c r="N19" i="10" s="1"/>
  <c r="Q452" i="10"/>
  <c r="L452" i="6"/>
  <c r="J452" i="12" s="1"/>
  <c r="L452" i="12" s="1"/>
  <c r="J452" i="6"/>
  <c r="Q454" i="10"/>
  <c r="J454" i="6"/>
  <c r="L454" i="6"/>
  <c r="J454" i="12" s="1"/>
  <c r="L454" i="12" s="1"/>
  <c r="M538" i="6"/>
  <c r="K538" i="6"/>
  <c r="M474" i="6"/>
  <c r="K474" i="6"/>
  <c r="Q544" i="10"/>
  <c r="L544" i="6"/>
  <c r="J544" i="12" s="1"/>
  <c r="L544" i="12" s="1"/>
  <c r="J544" i="6"/>
  <c r="Q478" i="10"/>
  <c r="J478" i="6"/>
  <c r="L478" i="6"/>
  <c r="J478" i="12" s="1"/>
  <c r="L478" i="12" s="1"/>
  <c r="M460" i="6"/>
  <c r="K460" i="6"/>
  <c r="K452" i="6"/>
  <c r="M452" i="6"/>
  <c r="Q340" i="10"/>
  <c r="L340" i="6"/>
  <c r="J340" i="12" s="1"/>
  <c r="L340" i="12" s="1"/>
  <c r="J340" i="6"/>
  <c r="Q324" i="10"/>
  <c r="L324" i="6"/>
  <c r="J324" i="12" s="1"/>
  <c r="L324" i="12" s="1"/>
  <c r="J324" i="6"/>
  <c r="Q354" i="10"/>
  <c r="J354" i="6"/>
  <c r="L354" i="6"/>
  <c r="J354" i="12" s="1"/>
  <c r="L354" i="12" s="1"/>
  <c r="Q317" i="10"/>
  <c r="L317" i="6"/>
  <c r="J317" i="12" s="1"/>
  <c r="L317" i="12" s="1"/>
  <c r="J317" i="6"/>
  <c r="Q371" i="10"/>
  <c r="L371" i="6"/>
  <c r="J371" i="12" s="1"/>
  <c r="L371" i="12" s="1"/>
  <c r="J371" i="6"/>
  <c r="Q350" i="10"/>
  <c r="J350" i="6"/>
  <c r="L350" i="6"/>
  <c r="J350" i="12" s="1"/>
  <c r="L350" i="12" s="1"/>
  <c r="Q315" i="10"/>
  <c r="J315" i="6"/>
  <c r="L315" i="6"/>
  <c r="J315" i="12" s="1"/>
  <c r="L315" i="12" s="1"/>
  <c r="Q352" i="10"/>
  <c r="J352" i="6"/>
  <c r="L352" i="6"/>
  <c r="J352" i="12" s="1"/>
  <c r="Q322" i="10"/>
  <c r="J322" i="6"/>
  <c r="L322" i="6"/>
  <c r="J322" i="12" s="1"/>
  <c r="L322" i="12" s="1"/>
  <c r="Q366" i="10"/>
  <c r="J366" i="6"/>
  <c r="L366" i="6"/>
  <c r="J366" i="12" s="1"/>
  <c r="L366" i="12" s="1"/>
  <c r="Q373" i="10"/>
  <c r="L373" i="6"/>
  <c r="J373" i="12" s="1"/>
  <c r="L373" i="12" s="1"/>
  <c r="J373" i="6"/>
  <c r="Q398" i="10"/>
  <c r="L398" i="6"/>
  <c r="J398" i="6"/>
  <c r="D26" i="5"/>
  <c r="Q286" i="10"/>
  <c r="L286" i="6"/>
  <c r="J286" i="12" s="1"/>
  <c r="L286" i="12" s="1"/>
  <c r="J286" i="6"/>
  <c r="Q283" i="10"/>
  <c r="L283" i="6"/>
  <c r="J283" i="12" s="1"/>
  <c r="L283" i="12" s="1"/>
  <c r="J283" i="6"/>
  <c r="Q47" i="10"/>
  <c r="L47" i="6"/>
  <c r="J47" i="12" s="1"/>
  <c r="L47" i="12" s="1"/>
  <c r="J47" i="6"/>
  <c r="Q45" i="10"/>
  <c r="J45" i="6"/>
  <c r="L45" i="6"/>
  <c r="J45" i="12" s="1"/>
  <c r="L45" i="12" s="1"/>
  <c r="Q274" i="10"/>
  <c r="L274" i="6"/>
  <c r="J274" i="12" s="1"/>
  <c r="L274" i="12" s="1"/>
  <c r="J274" i="6"/>
  <c r="Q164" i="10"/>
  <c r="J164" i="6"/>
  <c r="L164" i="6"/>
  <c r="J164" i="12" s="1"/>
  <c r="L164" i="12" s="1"/>
  <c r="I229" i="6"/>
  <c r="I230" i="6"/>
  <c r="I232" i="6"/>
  <c r="I231" i="6"/>
  <c r="L17" i="2"/>
  <c r="Q396" i="10"/>
  <c r="L396" i="6"/>
  <c r="J396" i="12" s="1"/>
  <c r="L396" i="12" s="1"/>
  <c r="J396" i="6"/>
  <c r="Q262" i="10"/>
  <c r="J262" i="6"/>
  <c r="L262" i="6"/>
  <c r="J262" i="12" s="1"/>
  <c r="L262" i="12" s="1"/>
  <c r="Q263" i="10"/>
  <c r="L263" i="6"/>
  <c r="J263" i="12" s="1"/>
  <c r="L263" i="12" s="1"/>
  <c r="J263" i="6"/>
  <c r="Q264" i="10"/>
  <c r="L264" i="6"/>
  <c r="J264" i="12" s="1"/>
  <c r="L264" i="12" s="1"/>
  <c r="J264" i="6"/>
  <c r="Q149" i="10"/>
  <c r="J149" i="6"/>
  <c r="L149" i="6"/>
  <c r="J149" i="12" s="1"/>
  <c r="L149" i="12" s="1"/>
  <c r="Q106" i="10"/>
  <c r="L106" i="6"/>
  <c r="J106" i="12" s="1"/>
  <c r="L106" i="12" s="1"/>
  <c r="J106" i="6"/>
  <c r="Q85" i="10"/>
  <c r="L85" i="6"/>
  <c r="J85" i="12" s="1"/>
  <c r="L85" i="12" s="1"/>
  <c r="J85" i="6"/>
  <c r="Q133" i="10"/>
  <c r="J133" i="6"/>
  <c r="L133" i="6"/>
  <c r="J133" i="12" s="1"/>
  <c r="L133" i="12" s="1"/>
  <c r="Q100" i="10"/>
  <c r="J100" i="6"/>
  <c r="L100" i="6"/>
  <c r="J100" i="12" s="1"/>
  <c r="L100" i="12" s="1"/>
  <c r="Q95" i="10"/>
  <c r="L95" i="6"/>
  <c r="J95" i="12" s="1"/>
  <c r="L95" i="12" s="1"/>
  <c r="J95" i="6"/>
  <c r="Q127" i="10"/>
  <c r="J127" i="6"/>
  <c r="L127" i="6"/>
  <c r="J127" i="12" s="1"/>
  <c r="L127" i="12" s="1"/>
  <c r="Q122" i="10"/>
  <c r="L122" i="6"/>
  <c r="J122" i="12" s="1"/>
  <c r="L122" i="12" s="1"/>
  <c r="J122" i="6"/>
  <c r="Q120" i="10"/>
  <c r="L120" i="6"/>
  <c r="J120" i="12" s="1"/>
  <c r="L120" i="12" s="1"/>
  <c r="J120" i="6"/>
  <c r="Q152" i="10"/>
  <c r="L152" i="6"/>
  <c r="J152" i="12" s="1"/>
  <c r="L152" i="12" s="1"/>
  <c r="J152" i="6"/>
  <c r="Q32" i="10"/>
  <c r="J32" i="6"/>
  <c r="L32" i="6"/>
  <c r="J32" i="12" s="1"/>
  <c r="L32" i="12" s="1"/>
  <c r="Q17" i="10"/>
  <c r="L17" i="6"/>
  <c r="J17" i="12" s="1"/>
  <c r="L17" i="12" s="1"/>
  <c r="J17" i="6"/>
  <c r="Q16" i="10"/>
  <c r="L16" i="6"/>
  <c r="J16" i="12" s="1"/>
  <c r="L16" i="12" s="1"/>
  <c r="J16" i="6"/>
  <c r="Q23" i="10"/>
  <c r="J23" i="6"/>
  <c r="L23" i="6"/>
  <c r="J23" i="12" s="1"/>
  <c r="L23" i="12" s="1"/>
  <c r="I180" i="6"/>
  <c r="I176" i="6"/>
  <c r="I172" i="6"/>
  <c r="I168" i="6"/>
  <c r="I181" i="6"/>
  <c r="I177" i="6"/>
  <c r="I173" i="6"/>
  <c r="I169" i="6"/>
  <c r="I174" i="6"/>
  <c r="I179" i="6"/>
  <c r="I178" i="6"/>
  <c r="I167" i="6"/>
  <c r="I166" i="6"/>
  <c r="I171" i="6"/>
  <c r="I175" i="6"/>
  <c r="I170" i="6"/>
  <c r="L12" i="2"/>
  <c r="Q176" i="10"/>
  <c r="L176" i="6"/>
  <c r="J176" i="12" s="1"/>
  <c r="L176" i="12" s="1"/>
  <c r="J176" i="6"/>
  <c r="Q174" i="10"/>
  <c r="L174" i="6"/>
  <c r="J174" i="12" s="1"/>
  <c r="L174" i="12" s="1"/>
  <c r="J174" i="6"/>
  <c r="Q72" i="10"/>
  <c r="L72" i="6"/>
  <c r="J72" i="12" s="1"/>
  <c r="L72" i="12" s="1"/>
  <c r="J72" i="6"/>
  <c r="Q62" i="10"/>
  <c r="L62" i="6"/>
  <c r="D9" i="5"/>
  <c r="J62" i="6"/>
  <c r="Q234" i="10"/>
  <c r="L234" i="6"/>
  <c r="J234" i="6"/>
  <c r="D18" i="5"/>
  <c r="Q213" i="10"/>
  <c r="J213" i="6"/>
  <c r="L213" i="6"/>
  <c r="J213" i="12" s="1"/>
  <c r="L213" i="12" s="1"/>
  <c r="Q502" i="10"/>
  <c r="L502" i="6"/>
  <c r="J502" i="12" s="1"/>
  <c r="L502" i="12" s="1"/>
  <c r="J502" i="6"/>
  <c r="Q497" i="10"/>
  <c r="J497" i="6"/>
  <c r="L497" i="6"/>
  <c r="J497" i="12" s="1"/>
  <c r="L497" i="12" s="1"/>
  <c r="Q506" i="10"/>
  <c r="L506" i="6"/>
  <c r="J506" i="12" s="1"/>
  <c r="L506" i="12" s="1"/>
  <c r="J506" i="6"/>
  <c r="Q534" i="10"/>
  <c r="L534" i="6"/>
  <c r="J534" i="12" s="1"/>
  <c r="L534" i="12" s="1"/>
  <c r="J534" i="6"/>
  <c r="Q498" i="10"/>
  <c r="L498" i="6"/>
  <c r="J498" i="12" s="1"/>
  <c r="L498" i="12" s="1"/>
  <c r="J498" i="6"/>
  <c r="Q488" i="10"/>
  <c r="L488" i="6"/>
  <c r="J488" i="12" s="1"/>
  <c r="J488" i="6"/>
  <c r="Q520" i="10"/>
  <c r="L520" i="6"/>
  <c r="J520" i="12" s="1"/>
  <c r="L520" i="12" s="1"/>
  <c r="J520" i="6"/>
  <c r="Q416" i="10"/>
  <c r="L416" i="6"/>
  <c r="J416" i="12" s="1"/>
  <c r="L416" i="12" s="1"/>
  <c r="J416" i="6"/>
  <c r="Q410" i="10"/>
  <c r="J410" i="6"/>
  <c r="L410" i="6"/>
  <c r="J410" i="12" s="1"/>
  <c r="L410" i="12" s="1"/>
  <c r="Q412" i="10"/>
  <c r="L412" i="6"/>
  <c r="J412" i="12" s="1"/>
  <c r="L412" i="12" s="1"/>
  <c r="J412" i="6"/>
  <c r="Q423" i="10"/>
  <c r="L423" i="6"/>
  <c r="J423" i="12" s="1"/>
  <c r="L423" i="12" s="1"/>
  <c r="J423" i="6"/>
  <c r="Q417" i="10"/>
  <c r="J417" i="6"/>
  <c r="L417" i="6"/>
  <c r="J417" i="12" s="1"/>
  <c r="L417" i="12" s="1"/>
  <c r="Q449" i="10"/>
  <c r="J449" i="6"/>
  <c r="L449" i="6"/>
  <c r="J449" i="12" s="1"/>
  <c r="L449" i="12" s="1"/>
  <c r="Q289" i="10"/>
  <c r="J289" i="6"/>
  <c r="L289" i="6"/>
  <c r="J289" i="12" s="1"/>
  <c r="L289" i="12" s="1"/>
  <c r="Q300" i="10"/>
  <c r="L300" i="6"/>
  <c r="J300" i="12" s="1"/>
  <c r="L300" i="12" s="1"/>
  <c r="J300" i="6"/>
  <c r="Q202" i="10"/>
  <c r="L202" i="6"/>
  <c r="J202" i="12" s="1"/>
  <c r="L202" i="12" s="1"/>
  <c r="J202" i="6"/>
  <c r="Q184" i="10"/>
  <c r="J184" i="6"/>
  <c r="L184" i="6"/>
  <c r="J184" i="12" s="1"/>
  <c r="L184" i="12" s="1"/>
  <c r="Q191" i="10"/>
  <c r="L191" i="6"/>
  <c r="J191" i="12" s="1"/>
  <c r="L191" i="12" s="1"/>
  <c r="J191" i="6"/>
  <c r="Q406" i="10"/>
  <c r="L406" i="6"/>
  <c r="J406" i="12" s="1"/>
  <c r="L406" i="12" s="1"/>
  <c r="J406" i="6"/>
  <c r="M544" i="10"/>
  <c r="N544" i="10" s="1"/>
  <c r="M473" i="10"/>
  <c r="N473" i="10" s="1"/>
  <c r="M432" i="10"/>
  <c r="N432" i="10" s="1"/>
  <c r="P472" i="10"/>
  <c r="O472" i="10"/>
  <c r="M493" i="10"/>
  <c r="N493" i="10" s="1"/>
  <c r="M273" i="10"/>
  <c r="N273" i="10" s="1"/>
  <c r="M302" i="10"/>
  <c r="N302" i="10" s="1"/>
  <c r="N133" i="10"/>
  <c r="M133" i="10"/>
  <c r="M157" i="10"/>
  <c r="N157" i="10" s="1"/>
  <c r="M128" i="10"/>
  <c r="N128" i="10" s="1"/>
  <c r="O32" i="10"/>
  <c r="P32" i="10" s="1"/>
  <c r="Q380" i="10"/>
  <c r="L380" i="6"/>
  <c r="J380" i="12" s="1"/>
  <c r="L380" i="12" s="1"/>
  <c r="J380" i="6"/>
  <c r="Q369" i="10"/>
  <c r="L369" i="6"/>
  <c r="J369" i="12" s="1"/>
  <c r="L369" i="12" s="1"/>
  <c r="J369" i="6"/>
  <c r="Q12" i="10"/>
  <c r="L12" i="6"/>
  <c r="J12" i="12" s="1"/>
  <c r="L12" i="12" s="1"/>
  <c r="J12" i="6"/>
  <c r="Q527" i="10"/>
  <c r="L527" i="6"/>
  <c r="J527" i="12" s="1"/>
  <c r="L527" i="12" s="1"/>
  <c r="J527" i="6"/>
  <c r="M542" i="10"/>
  <c r="N542" i="10" s="1"/>
  <c r="M531" i="10"/>
  <c r="N531" i="10" s="1"/>
  <c r="N501" i="10"/>
  <c r="M501" i="10"/>
  <c r="M429" i="10"/>
  <c r="N429" i="10" s="1"/>
  <c r="O538" i="10"/>
  <c r="P538" i="10" s="1"/>
  <c r="M445" i="10"/>
  <c r="N445" i="10"/>
  <c r="M356" i="10"/>
  <c r="N356" i="10" s="1"/>
  <c r="M428" i="10"/>
  <c r="N428" i="10" s="1"/>
  <c r="M412" i="10"/>
  <c r="N412" i="10" s="1"/>
  <c r="M549" i="10"/>
  <c r="N549" i="10" s="1"/>
  <c r="N457" i="10"/>
  <c r="M457" i="10"/>
  <c r="M367" i="10"/>
  <c r="N367" i="10" s="1"/>
  <c r="M351" i="10"/>
  <c r="N351" i="10" s="1"/>
  <c r="N382" i="10"/>
  <c r="M382" i="10"/>
  <c r="M366" i="10"/>
  <c r="N366" i="10" s="1"/>
  <c r="N350" i="10"/>
  <c r="M350" i="10"/>
  <c r="N453" i="10"/>
  <c r="M453" i="10"/>
  <c r="N541" i="10"/>
  <c r="M541" i="10"/>
  <c r="M488" i="10"/>
  <c r="N488" i="10"/>
  <c r="P388" i="10"/>
  <c r="O388" i="10"/>
  <c r="P376" i="10"/>
  <c r="O376" i="10"/>
  <c r="N320" i="10"/>
  <c r="M320" i="10"/>
  <c r="M304" i="10"/>
  <c r="N304" i="10" s="1"/>
  <c r="N286" i="10"/>
  <c r="M286" i="10"/>
  <c r="N268" i="10"/>
  <c r="M268" i="10"/>
  <c r="L352" i="12"/>
  <c r="N294" i="10"/>
  <c r="M294" i="10"/>
  <c r="M318" i="10"/>
  <c r="N318" i="10" s="1"/>
  <c r="M293" i="10"/>
  <c r="N293" i="10" s="1"/>
  <c r="M334" i="10"/>
  <c r="N334" i="10" s="1"/>
  <c r="N166" i="10"/>
  <c r="M166" i="10"/>
  <c r="M186" i="10"/>
  <c r="N186" i="10" s="1"/>
  <c r="M126" i="10"/>
  <c r="N126" i="10"/>
  <c r="M94" i="10"/>
  <c r="N94" i="10"/>
  <c r="M160" i="10"/>
  <c r="N160" i="10" s="1"/>
  <c r="M175" i="10"/>
  <c r="N175" i="10"/>
  <c r="M137" i="10"/>
  <c r="N137" i="10" s="1"/>
  <c r="M136" i="10"/>
  <c r="N136" i="10" s="1"/>
  <c r="N177" i="10"/>
  <c r="M177" i="10"/>
  <c r="M143" i="10"/>
  <c r="N143" i="10" s="1"/>
  <c r="M199" i="10"/>
  <c r="N199" i="10" s="1"/>
  <c r="M148" i="10"/>
  <c r="N148" i="10" s="1"/>
  <c r="N187" i="10"/>
  <c r="M187" i="10"/>
  <c r="M115" i="10"/>
  <c r="N115" i="10" s="1"/>
  <c r="M91" i="10"/>
  <c r="N91" i="10" s="1"/>
  <c r="M70" i="10"/>
  <c r="N70" i="10" s="1"/>
  <c r="P65" i="10"/>
  <c r="O65" i="10"/>
  <c r="M27" i="10"/>
  <c r="N27" i="10" s="1"/>
  <c r="M11" i="10"/>
  <c r="N11" i="10" s="1"/>
  <c r="M21" i="10"/>
  <c r="N21" i="10" s="1"/>
  <c r="Q456" i="10"/>
  <c r="L456" i="6"/>
  <c r="J456" i="12" s="1"/>
  <c r="L456" i="12" s="1"/>
  <c r="J456" i="6"/>
  <c r="Q459" i="10"/>
  <c r="J459" i="6"/>
  <c r="L459" i="6"/>
  <c r="J459" i="12" s="1"/>
  <c r="L459" i="12" s="1"/>
  <c r="Q458" i="10"/>
  <c r="J458" i="6"/>
  <c r="L458" i="6"/>
  <c r="J458" i="12" s="1"/>
  <c r="L458" i="12" s="1"/>
  <c r="Q60" i="10"/>
  <c r="L60" i="6"/>
  <c r="J60" i="12" s="1"/>
  <c r="L60" i="12" s="1"/>
  <c r="J60" i="6"/>
  <c r="K541" i="6"/>
  <c r="M541" i="6"/>
  <c r="M542" i="6"/>
  <c r="K542" i="6"/>
  <c r="M478" i="6"/>
  <c r="K478" i="6"/>
  <c r="Q539" i="10"/>
  <c r="L539" i="6"/>
  <c r="J539" i="12" s="1"/>
  <c r="L539" i="12" s="1"/>
  <c r="J539" i="6"/>
  <c r="Q473" i="10"/>
  <c r="L473" i="6"/>
  <c r="J473" i="12" s="1"/>
  <c r="L473" i="12" s="1"/>
  <c r="J473" i="6"/>
  <c r="Q480" i="10"/>
  <c r="J480" i="6"/>
  <c r="L480" i="6"/>
  <c r="J480" i="12" s="1"/>
  <c r="L480" i="12" s="1"/>
  <c r="M467" i="6"/>
  <c r="K467" i="6"/>
  <c r="M459" i="6"/>
  <c r="K459" i="6"/>
  <c r="Q227" i="10"/>
  <c r="J227" i="6"/>
  <c r="L227" i="6"/>
  <c r="J227" i="12" s="1"/>
  <c r="L227" i="12" s="1"/>
  <c r="Q386" i="10"/>
  <c r="J386" i="6"/>
  <c r="L386" i="6"/>
  <c r="J386" i="12" s="1"/>
  <c r="L386" i="12" s="1"/>
  <c r="Q383" i="10"/>
  <c r="L383" i="6"/>
  <c r="J383" i="12" s="1"/>
  <c r="L383" i="12" s="1"/>
  <c r="J383" i="6"/>
  <c r="Q336" i="10"/>
  <c r="L336" i="6"/>
  <c r="J336" i="12" s="1"/>
  <c r="L336" i="12" s="1"/>
  <c r="J336" i="6"/>
  <c r="Q321" i="10"/>
  <c r="L321" i="6"/>
  <c r="J321" i="12" s="1"/>
  <c r="L321" i="12" s="1"/>
  <c r="J321" i="6"/>
  <c r="Q374" i="10"/>
  <c r="J374" i="6"/>
  <c r="L374" i="6"/>
  <c r="J374" i="12" s="1"/>
  <c r="L374" i="12" s="1"/>
  <c r="Q376" i="10"/>
  <c r="L376" i="6"/>
  <c r="J376" i="12" s="1"/>
  <c r="L376" i="12" s="1"/>
  <c r="J376" i="6"/>
  <c r="Q319" i="10"/>
  <c r="J319" i="6"/>
  <c r="L319" i="6"/>
  <c r="J319" i="12" s="1"/>
  <c r="L319" i="12" s="1"/>
  <c r="Q355" i="10"/>
  <c r="L355" i="6"/>
  <c r="J355" i="12" s="1"/>
  <c r="L355" i="12" s="1"/>
  <c r="J355" i="6"/>
  <c r="Q326" i="10"/>
  <c r="J326" i="6"/>
  <c r="L326" i="6"/>
  <c r="J326" i="12" s="1"/>
  <c r="L326" i="12" s="1"/>
  <c r="Q345" i="10"/>
  <c r="L345" i="6"/>
  <c r="J345" i="12" s="1"/>
  <c r="L345" i="12" s="1"/>
  <c r="J345" i="6"/>
  <c r="Q377" i="10"/>
  <c r="L377" i="6"/>
  <c r="J377" i="12" s="1"/>
  <c r="L377" i="12" s="1"/>
  <c r="J377" i="6"/>
  <c r="Q400" i="10"/>
  <c r="J400" i="6"/>
  <c r="L400" i="6"/>
  <c r="J400" i="12" s="1"/>
  <c r="L400" i="12" s="1"/>
  <c r="Q282" i="10"/>
  <c r="J282" i="6"/>
  <c r="L282" i="6"/>
  <c r="J282" i="12" s="1"/>
  <c r="L282" i="12" s="1"/>
  <c r="Q43" i="10"/>
  <c r="L43" i="6"/>
  <c r="J43" i="12" s="1"/>
  <c r="L43" i="12" s="1"/>
  <c r="J43" i="6"/>
  <c r="Q49" i="10"/>
  <c r="J49" i="6"/>
  <c r="L49" i="6"/>
  <c r="J49" i="12" s="1"/>
  <c r="L49" i="12" s="1"/>
  <c r="Q155" i="10"/>
  <c r="L155" i="6"/>
  <c r="J155" i="6"/>
  <c r="D11" i="5"/>
  <c r="Q394" i="10"/>
  <c r="J394" i="6"/>
  <c r="L394" i="6"/>
  <c r="J394" i="12" s="1"/>
  <c r="L394" i="12" s="1"/>
  <c r="Q249" i="10"/>
  <c r="L249" i="6"/>
  <c r="J249" i="12" s="1"/>
  <c r="L249" i="12" s="1"/>
  <c r="J249" i="6"/>
  <c r="Q255" i="10"/>
  <c r="L255" i="6"/>
  <c r="J255" i="12" s="1"/>
  <c r="L255" i="12" s="1"/>
  <c r="J255" i="6"/>
  <c r="Q266" i="10"/>
  <c r="J266" i="6"/>
  <c r="L266" i="6"/>
  <c r="J266" i="12" s="1"/>
  <c r="L266" i="12" s="1"/>
  <c r="Q97" i="10"/>
  <c r="L97" i="6"/>
  <c r="J97" i="12" s="1"/>
  <c r="L97" i="12" s="1"/>
  <c r="J97" i="6"/>
  <c r="Q153" i="10"/>
  <c r="J153" i="6"/>
  <c r="L153" i="6"/>
  <c r="J153" i="12" s="1"/>
  <c r="L153" i="12" s="1"/>
  <c r="Q89" i="10"/>
  <c r="L89" i="6"/>
  <c r="J89" i="12" s="1"/>
  <c r="L89" i="12" s="1"/>
  <c r="J89" i="6"/>
  <c r="Q84" i="10"/>
  <c r="J84" i="6"/>
  <c r="L84" i="6"/>
  <c r="J84" i="12" s="1"/>
  <c r="L84" i="12" s="1"/>
  <c r="Q109" i="10"/>
  <c r="L109" i="6"/>
  <c r="J109" i="12" s="1"/>
  <c r="L109" i="12" s="1"/>
  <c r="J109" i="6"/>
  <c r="Q99" i="10"/>
  <c r="L99" i="6"/>
  <c r="J99" i="12" s="1"/>
  <c r="L99" i="12" s="1"/>
  <c r="J99" i="6"/>
  <c r="Q131" i="10"/>
  <c r="J131" i="6"/>
  <c r="L131" i="6"/>
  <c r="J131" i="12" s="1"/>
  <c r="L131" i="12" s="1"/>
  <c r="Q126" i="10"/>
  <c r="L126" i="6"/>
  <c r="J126" i="12" s="1"/>
  <c r="L126" i="12" s="1"/>
  <c r="J126" i="6"/>
  <c r="Q124" i="10"/>
  <c r="L124" i="6"/>
  <c r="J124" i="12" s="1"/>
  <c r="L124" i="12" s="1"/>
  <c r="J124" i="6"/>
  <c r="I36" i="6"/>
  <c r="I32" i="6"/>
  <c r="I37" i="6"/>
  <c r="I33" i="6"/>
  <c r="I38" i="6"/>
  <c r="I34" i="6"/>
  <c r="I31" i="6"/>
  <c r="I35" i="6"/>
  <c r="L6" i="2"/>
  <c r="I39" i="6"/>
  <c r="Q36" i="10"/>
  <c r="J36" i="6"/>
  <c r="L36" i="6"/>
  <c r="J36" i="12" s="1"/>
  <c r="L36" i="12" s="1"/>
  <c r="Q224" i="10"/>
  <c r="L224" i="6"/>
  <c r="J224" i="12" s="1"/>
  <c r="L224" i="12" s="1"/>
  <c r="J224" i="6"/>
  <c r="Q13" i="10"/>
  <c r="L13" i="6"/>
  <c r="J13" i="12" s="1"/>
  <c r="L13" i="12" s="1"/>
  <c r="J13" i="6"/>
  <c r="Q20" i="10"/>
  <c r="L20" i="6"/>
  <c r="J20" i="12" s="1"/>
  <c r="L20" i="12" s="1"/>
  <c r="J20" i="6"/>
  <c r="Q27" i="10"/>
  <c r="J27" i="6"/>
  <c r="L27" i="6"/>
  <c r="J27" i="12" s="1"/>
  <c r="L27" i="12" s="1"/>
  <c r="Q180" i="10"/>
  <c r="L180" i="6"/>
  <c r="J180" i="12" s="1"/>
  <c r="L180" i="12" s="1"/>
  <c r="J180" i="6"/>
  <c r="Q178" i="10"/>
  <c r="L178" i="6"/>
  <c r="J178" i="12" s="1"/>
  <c r="L178" i="12" s="1"/>
  <c r="J178" i="6"/>
  <c r="I79" i="6"/>
  <c r="I75" i="6"/>
  <c r="I71" i="6"/>
  <c r="I67" i="6"/>
  <c r="I63" i="6"/>
  <c r="I80" i="6"/>
  <c r="I76" i="6"/>
  <c r="I72" i="6"/>
  <c r="I68" i="6"/>
  <c r="I64" i="6"/>
  <c r="I77" i="6"/>
  <c r="I73" i="6"/>
  <c r="I69" i="6"/>
  <c r="I65" i="6"/>
  <c r="I78" i="6"/>
  <c r="I62" i="6"/>
  <c r="I66" i="6"/>
  <c r="I70" i="6"/>
  <c r="I74" i="6"/>
  <c r="L9" i="2"/>
  <c r="Q76" i="10"/>
  <c r="L76" i="6"/>
  <c r="J76" i="12" s="1"/>
  <c r="L76" i="12" s="1"/>
  <c r="J76" i="6"/>
  <c r="Q66" i="10"/>
  <c r="L66" i="6"/>
  <c r="J66" i="12" s="1"/>
  <c r="L66" i="12" s="1"/>
  <c r="J66" i="6"/>
  <c r="Q238" i="10"/>
  <c r="L238" i="6"/>
  <c r="J238" i="12" s="1"/>
  <c r="L238" i="12" s="1"/>
  <c r="J238" i="6"/>
  <c r="Q211" i="10"/>
  <c r="L211" i="6"/>
  <c r="J211" i="12" s="1"/>
  <c r="L211" i="12" s="1"/>
  <c r="J211" i="6"/>
  <c r="Q217" i="10"/>
  <c r="J217" i="6"/>
  <c r="L217" i="6"/>
  <c r="J217" i="12" s="1"/>
  <c r="L217" i="12" s="1"/>
  <c r="Q505" i="10"/>
  <c r="J505" i="6"/>
  <c r="L505" i="6"/>
  <c r="J505" i="12" s="1"/>
  <c r="L505" i="12" s="1"/>
  <c r="Q485" i="10"/>
  <c r="J485" i="6"/>
  <c r="L485" i="6"/>
  <c r="J485" i="12" s="1"/>
  <c r="L485" i="12" s="1"/>
  <c r="Q509" i="10"/>
  <c r="J509" i="6"/>
  <c r="L509" i="6"/>
  <c r="J509" i="12" s="1"/>
  <c r="L509" i="12" s="1"/>
  <c r="Q487" i="10"/>
  <c r="J487" i="6"/>
  <c r="L487" i="6"/>
  <c r="J487" i="12" s="1"/>
  <c r="L487" i="12" s="1"/>
  <c r="Q501" i="10"/>
  <c r="J501" i="6"/>
  <c r="L501" i="6"/>
  <c r="J501" i="12" s="1"/>
  <c r="L501" i="12" s="1"/>
  <c r="Q492" i="10"/>
  <c r="J492" i="6"/>
  <c r="L492" i="6"/>
  <c r="J492" i="12" s="1"/>
  <c r="L492" i="12" s="1"/>
  <c r="Q524" i="10"/>
  <c r="J524" i="6"/>
  <c r="L524" i="6"/>
  <c r="J524" i="12" s="1"/>
  <c r="L524" i="12" s="1"/>
  <c r="Q422" i="10"/>
  <c r="J422" i="6"/>
  <c r="L422" i="6"/>
  <c r="J422" i="12" s="1"/>
  <c r="L422" i="12" s="1"/>
  <c r="Q436" i="10"/>
  <c r="L436" i="6"/>
  <c r="J436" i="12" s="1"/>
  <c r="L436" i="12" s="1"/>
  <c r="J436" i="6"/>
  <c r="Q415" i="10"/>
  <c r="L415" i="6"/>
  <c r="J415" i="12" s="1"/>
  <c r="L415" i="12" s="1"/>
  <c r="J415" i="6"/>
  <c r="Q426" i="10"/>
  <c r="J426" i="6"/>
  <c r="L426" i="6"/>
  <c r="J426" i="12" s="1"/>
  <c r="L426" i="12" s="1"/>
  <c r="Q421" i="10"/>
  <c r="J421" i="6"/>
  <c r="L421" i="6"/>
  <c r="J421" i="12" s="1"/>
  <c r="L421" i="12" s="1"/>
  <c r="I299" i="6"/>
  <c r="I295" i="6"/>
  <c r="I291" i="6"/>
  <c r="I300" i="6"/>
  <c r="I296" i="6"/>
  <c r="I292" i="6"/>
  <c r="I288" i="6"/>
  <c r="I294" i="6"/>
  <c r="I298" i="6"/>
  <c r="I289" i="6"/>
  <c r="I293" i="6"/>
  <c r="I297" i="6"/>
  <c r="I290" i="6"/>
  <c r="L23" i="2"/>
  <c r="Q298" i="10"/>
  <c r="L298" i="6"/>
  <c r="J298" i="12" s="1"/>
  <c r="L298" i="12" s="1"/>
  <c r="J298" i="6"/>
  <c r="I205" i="6"/>
  <c r="I201" i="6"/>
  <c r="I197" i="6"/>
  <c r="I193" i="6"/>
  <c r="I189" i="6"/>
  <c r="I185" i="6"/>
  <c r="I206" i="6"/>
  <c r="I202" i="6"/>
  <c r="I198" i="6"/>
  <c r="I194" i="6"/>
  <c r="I190" i="6"/>
  <c r="I186" i="6"/>
  <c r="I207" i="6"/>
  <c r="I191" i="6"/>
  <c r="I196" i="6"/>
  <c r="I195" i="6"/>
  <c r="I200" i="6"/>
  <c r="I184" i="6"/>
  <c r="I199" i="6"/>
  <c r="I183" i="6"/>
  <c r="I204" i="6"/>
  <c r="I188" i="6"/>
  <c r="I203" i="6"/>
  <c r="I192" i="6"/>
  <c r="I187" i="6"/>
  <c r="L13" i="2"/>
  <c r="Q206" i="10"/>
  <c r="L206" i="6"/>
  <c r="J206" i="12" s="1"/>
  <c r="L206" i="12" s="1"/>
  <c r="J206" i="6"/>
  <c r="Q188" i="10"/>
  <c r="J188" i="6"/>
  <c r="L188" i="6"/>
  <c r="J188" i="12" s="1"/>
  <c r="L188" i="12" s="1"/>
  <c r="Q195" i="10"/>
  <c r="L195" i="6"/>
  <c r="J195" i="12" s="1"/>
  <c r="L195" i="12" s="1"/>
  <c r="J195" i="6"/>
  <c r="Q402" i="10"/>
  <c r="L402" i="6"/>
  <c r="J402" i="6"/>
  <c r="D27" i="5"/>
  <c r="M416" i="10"/>
  <c r="N416" i="10" s="1"/>
  <c r="N355" i="10"/>
  <c r="M355" i="10"/>
  <c r="N370" i="10"/>
  <c r="M370" i="10"/>
  <c r="N308" i="10"/>
  <c r="M308" i="10"/>
  <c r="M340" i="10"/>
  <c r="N340" i="10"/>
  <c r="N164" i="10"/>
  <c r="M164" i="10"/>
  <c r="Q368" i="10"/>
  <c r="L368" i="6"/>
  <c r="J368" i="12" s="1"/>
  <c r="L368" i="12" s="1"/>
  <c r="J368" i="6"/>
  <c r="Q41" i="10"/>
  <c r="J41" i="6"/>
  <c r="D7" i="5"/>
  <c r="L41" i="6"/>
  <c r="Q125" i="10"/>
  <c r="J125" i="6"/>
  <c r="L125" i="6"/>
  <c r="J125" i="12" s="1"/>
  <c r="L125" i="12" s="1"/>
  <c r="Q37" i="10"/>
  <c r="L37" i="6"/>
  <c r="J37" i="12" s="1"/>
  <c r="L37" i="12" s="1"/>
  <c r="J37" i="6"/>
  <c r="Q79" i="10"/>
  <c r="J79" i="6"/>
  <c r="L79" i="6"/>
  <c r="J79" i="12" s="1"/>
  <c r="L79" i="12" s="1"/>
  <c r="N550" i="10"/>
  <c r="M550" i="10"/>
  <c r="M504" i="10"/>
  <c r="N504" i="10" s="1"/>
  <c r="M475" i="10"/>
  <c r="N475" i="10"/>
  <c r="N539" i="10"/>
  <c r="M539" i="10"/>
  <c r="N508" i="10"/>
  <c r="M508" i="10"/>
  <c r="N523" i="10"/>
  <c r="M523" i="10"/>
  <c r="M409" i="10"/>
  <c r="N409" i="10" s="1"/>
  <c r="N489" i="10"/>
  <c r="M489" i="10"/>
  <c r="N447" i="10"/>
  <c r="M447" i="10"/>
  <c r="N427" i="10"/>
  <c r="M427" i="10"/>
  <c r="M411" i="10"/>
  <c r="N411" i="10" s="1"/>
  <c r="M458" i="10"/>
  <c r="N458" i="10" s="1"/>
  <c r="N533" i="10"/>
  <c r="M533" i="10"/>
  <c r="N451" i="10"/>
  <c r="M451" i="10"/>
  <c r="M414" i="10"/>
  <c r="N414" i="10" s="1"/>
  <c r="L488" i="12"/>
  <c r="M373" i="10"/>
  <c r="N373" i="10" s="1"/>
  <c r="M335" i="10"/>
  <c r="N335" i="10" s="1"/>
  <c r="N323" i="10"/>
  <c r="M323" i="10"/>
  <c r="M290" i="10"/>
  <c r="N290" i="10" s="1"/>
  <c r="M263" i="10"/>
  <c r="N263" i="10" s="1"/>
  <c r="M247" i="10"/>
  <c r="N247" i="10" s="1"/>
  <c r="N227" i="10"/>
  <c r="M227" i="10"/>
  <c r="M209" i="10"/>
  <c r="N209" i="10" s="1"/>
  <c r="M192" i="10"/>
  <c r="N192" i="10"/>
  <c r="M289" i="10"/>
  <c r="N289" i="10" s="1"/>
  <c r="N258" i="10"/>
  <c r="M258" i="10"/>
  <c r="M240" i="10"/>
  <c r="N240" i="10" s="1"/>
  <c r="M221" i="10"/>
  <c r="N221" i="10" s="1"/>
  <c r="M309" i="10"/>
  <c r="N309" i="10" s="1"/>
  <c r="N292" i="10"/>
  <c r="M292" i="10"/>
  <c r="M274" i="10"/>
  <c r="N274" i="10" s="1"/>
  <c r="M257" i="10"/>
  <c r="N257" i="10" s="1"/>
  <c r="M239" i="10"/>
  <c r="N239" i="10" s="1"/>
  <c r="N219" i="10"/>
  <c r="M219" i="10"/>
  <c r="M202" i="10"/>
  <c r="N202" i="10" s="1"/>
  <c r="M122" i="10"/>
  <c r="N122" i="10" s="1"/>
  <c r="M86" i="10"/>
  <c r="N86" i="10" s="1"/>
  <c r="L160" i="12"/>
  <c r="M113" i="10"/>
  <c r="N113" i="10" s="1"/>
  <c r="M97" i="10"/>
  <c r="N97" i="10" s="1"/>
  <c r="M80" i="10"/>
  <c r="N80" i="10" s="1"/>
  <c r="M64" i="10"/>
  <c r="N64" i="10" s="1"/>
  <c r="M46" i="10"/>
  <c r="N46" i="10"/>
  <c r="N116" i="10"/>
  <c r="M116" i="10"/>
  <c r="N100" i="10"/>
  <c r="M100" i="10"/>
  <c r="M84" i="10"/>
  <c r="N84" i="10" s="1"/>
  <c r="N147" i="10"/>
  <c r="M147" i="10"/>
  <c r="M134" i="10"/>
  <c r="N134" i="10" s="1"/>
  <c r="P90" i="10"/>
  <c r="O90" i="10"/>
  <c r="O69" i="10"/>
  <c r="P69" i="10" s="1"/>
  <c r="N48" i="10"/>
  <c r="M48" i="10"/>
  <c r="N38" i="10"/>
  <c r="M38" i="10"/>
  <c r="N44" i="10"/>
  <c r="M44" i="10"/>
  <c r="M14" i="10"/>
  <c r="N14" i="10"/>
  <c r="N67" i="10"/>
  <c r="M67" i="10"/>
  <c r="N20" i="10"/>
  <c r="M20" i="10"/>
  <c r="P8" i="10"/>
  <c r="O8" i="10"/>
  <c r="Q463" i="10"/>
  <c r="J463" i="6"/>
  <c r="L463" i="6"/>
  <c r="J463" i="12" s="1"/>
  <c r="L463" i="12" s="1"/>
  <c r="Q468" i="10"/>
  <c r="L468" i="6"/>
  <c r="J468" i="12" s="1"/>
  <c r="J468" i="6"/>
  <c r="Q462" i="10"/>
  <c r="J462" i="6"/>
  <c r="L462" i="6"/>
  <c r="J462" i="12" s="1"/>
  <c r="L462" i="12" s="1"/>
  <c r="Q59" i="10"/>
  <c r="L59" i="6"/>
  <c r="J59" i="12" s="1"/>
  <c r="L59" i="12" s="1"/>
  <c r="J59" i="6"/>
  <c r="K547" i="6"/>
  <c r="M547" i="6"/>
  <c r="M546" i="6"/>
  <c r="K546" i="6"/>
  <c r="K480" i="6"/>
  <c r="M480" i="6"/>
  <c r="Q543" i="10"/>
  <c r="L543" i="6"/>
  <c r="J543" i="12" s="1"/>
  <c r="L543" i="12" s="1"/>
  <c r="J543" i="6"/>
  <c r="Q472" i="10"/>
  <c r="J472" i="6"/>
  <c r="L472" i="6"/>
  <c r="J472" i="12" s="1"/>
  <c r="L472" i="12" s="1"/>
  <c r="Q471" i="10"/>
  <c r="J471" i="6"/>
  <c r="L471" i="6"/>
  <c r="D30" i="5"/>
  <c r="M469" i="6"/>
  <c r="K469" i="6"/>
  <c r="K461" i="6"/>
  <c r="M461" i="6"/>
  <c r="Q226" i="10"/>
  <c r="L226" i="6"/>
  <c r="J226" i="6"/>
  <c r="D16" i="5"/>
  <c r="Q304" i="10"/>
  <c r="J304" i="6"/>
  <c r="L304" i="6"/>
  <c r="J304" i="12" s="1"/>
  <c r="L304" i="12" s="1"/>
  <c r="Q328" i="10"/>
  <c r="L328" i="6"/>
  <c r="J328" i="12" s="1"/>
  <c r="L328" i="12" s="1"/>
  <c r="J328" i="6"/>
  <c r="Q302" i="10"/>
  <c r="J302" i="6"/>
  <c r="L302" i="6"/>
  <c r="D24" i="5"/>
  <c r="Q325" i="10"/>
  <c r="L325" i="6"/>
  <c r="J325" i="12" s="1"/>
  <c r="L325" i="12" s="1"/>
  <c r="J325" i="6"/>
  <c r="Q356" i="10"/>
  <c r="J356" i="6"/>
  <c r="L356" i="6"/>
  <c r="J356" i="12" s="1"/>
  <c r="L356" i="12" s="1"/>
  <c r="Q379" i="10"/>
  <c r="L379" i="6"/>
  <c r="J379" i="12" s="1"/>
  <c r="L379" i="12" s="1"/>
  <c r="J379" i="6"/>
  <c r="Q323" i="10"/>
  <c r="J323" i="6"/>
  <c r="L323" i="6"/>
  <c r="J323" i="12" s="1"/>
  <c r="L323" i="12" s="1"/>
  <c r="Q358" i="10"/>
  <c r="J358" i="6"/>
  <c r="L358" i="6"/>
  <c r="J358" i="12" s="1"/>
  <c r="L358" i="12" s="1"/>
  <c r="Q330" i="10"/>
  <c r="J330" i="6"/>
  <c r="L330" i="6"/>
  <c r="J330" i="12" s="1"/>
  <c r="L330" i="12" s="1"/>
  <c r="Q349" i="10"/>
  <c r="J349" i="6"/>
  <c r="L349" i="6"/>
  <c r="J349" i="12" s="1"/>
  <c r="L349" i="12" s="1"/>
  <c r="Q381" i="10"/>
  <c r="J381" i="6"/>
  <c r="L381" i="6"/>
  <c r="J381" i="12" s="1"/>
  <c r="L381" i="12" s="1"/>
  <c r="Q399" i="10"/>
  <c r="L399" i="6"/>
  <c r="J399" i="12" s="1"/>
  <c r="L399" i="12" s="1"/>
  <c r="J399" i="6"/>
  <c r="Q284" i="10"/>
  <c r="J284" i="6"/>
  <c r="L284" i="6"/>
  <c r="J284" i="12" s="1"/>
  <c r="L284" i="12" s="1"/>
  <c r="M227" i="6"/>
  <c r="K227" i="6"/>
  <c r="Q55" i="10"/>
  <c r="L55" i="6"/>
  <c r="J55" i="12" s="1"/>
  <c r="L55" i="12" s="1"/>
  <c r="J55" i="6"/>
  <c r="Q53" i="10"/>
  <c r="J53" i="6"/>
  <c r="L53" i="6"/>
  <c r="J53" i="12" s="1"/>
  <c r="L53" i="12" s="1"/>
  <c r="Q159" i="10"/>
  <c r="L159" i="6"/>
  <c r="J159" i="12" s="1"/>
  <c r="L159" i="12" s="1"/>
  <c r="J159" i="6"/>
  <c r="I394" i="6"/>
  <c r="I395" i="6"/>
  <c r="I392" i="6"/>
  <c r="I391" i="6"/>
  <c r="I396" i="6"/>
  <c r="I393" i="6"/>
  <c r="L25" i="2"/>
  <c r="Q253" i="10"/>
  <c r="L253" i="6"/>
  <c r="J253" i="12" s="1"/>
  <c r="L253" i="12" s="1"/>
  <c r="J253" i="6"/>
  <c r="Q259" i="10"/>
  <c r="L259" i="6"/>
  <c r="J259" i="12" s="1"/>
  <c r="L259" i="12" s="1"/>
  <c r="J259" i="6"/>
  <c r="Q257" i="10"/>
  <c r="L257" i="6"/>
  <c r="J257" i="12" s="1"/>
  <c r="L257" i="12" s="1"/>
  <c r="J257" i="6"/>
  <c r="Q104" i="10"/>
  <c r="J104" i="6"/>
  <c r="L104" i="6"/>
  <c r="J104" i="12" s="1"/>
  <c r="L104" i="12" s="1"/>
  <c r="Q94" i="10"/>
  <c r="L94" i="6"/>
  <c r="J94" i="12" s="1"/>
  <c r="L94" i="12" s="1"/>
  <c r="J94" i="6"/>
  <c r="Q93" i="10"/>
  <c r="L93" i="6"/>
  <c r="J93" i="12" s="1"/>
  <c r="L93" i="12" s="1"/>
  <c r="J93" i="6"/>
  <c r="Q88" i="10"/>
  <c r="J88" i="6"/>
  <c r="L88" i="6"/>
  <c r="J88" i="12" s="1"/>
  <c r="L88" i="12" s="1"/>
  <c r="Q141" i="10"/>
  <c r="J141" i="6"/>
  <c r="L141" i="6"/>
  <c r="J141" i="12" s="1"/>
  <c r="L141" i="12" s="1"/>
  <c r="Q103" i="10"/>
  <c r="L103" i="6"/>
  <c r="J103" i="12" s="1"/>
  <c r="L103" i="12" s="1"/>
  <c r="J103" i="6"/>
  <c r="Q135" i="10"/>
  <c r="J135" i="6"/>
  <c r="L135" i="6"/>
  <c r="J135" i="12" s="1"/>
  <c r="L135" i="12" s="1"/>
  <c r="Q130" i="10"/>
  <c r="L130" i="6"/>
  <c r="J130" i="12" s="1"/>
  <c r="L130" i="12" s="1"/>
  <c r="J130" i="6"/>
  <c r="Q128" i="10"/>
  <c r="L128" i="6"/>
  <c r="J128" i="12" s="1"/>
  <c r="L128" i="12" s="1"/>
  <c r="J128" i="6"/>
  <c r="Q31" i="10"/>
  <c r="L31" i="6"/>
  <c r="J31" i="6"/>
  <c r="D6" i="5"/>
  <c r="Q223" i="10"/>
  <c r="L223" i="6"/>
  <c r="J223" i="12" s="1"/>
  <c r="L223" i="12" s="1"/>
  <c r="J223" i="6"/>
  <c r="Q29" i="10"/>
  <c r="L29" i="6"/>
  <c r="J29" i="12" s="1"/>
  <c r="L29" i="12" s="1"/>
  <c r="J29" i="6"/>
  <c r="Q24" i="10"/>
  <c r="L24" i="6"/>
  <c r="J24" i="12" s="1"/>
  <c r="L24" i="12" s="1"/>
  <c r="J24" i="6"/>
  <c r="Q6" i="10"/>
  <c r="D5" i="5"/>
  <c r="L6" i="6"/>
  <c r="J6" i="6"/>
  <c r="Q169" i="10"/>
  <c r="L169" i="6"/>
  <c r="J169" i="12" s="1"/>
  <c r="L169" i="12" s="1"/>
  <c r="J169" i="6"/>
  <c r="Q167" i="10"/>
  <c r="J167" i="6"/>
  <c r="L167" i="6"/>
  <c r="J167" i="12" s="1"/>
  <c r="L167" i="12" s="1"/>
  <c r="Q69" i="10"/>
  <c r="L69" i="6"/>
  <c r="J69" i="12" s="1"/>
  <c r="L69" i="12" s="1"/>
  <c r="J69" i="6"/>
  <c r="Q80" i="10"/>
  <c r="L80" i="6"/>
  <c r="J80" i="12" s="1"/>
  <c r="L80" i="12" s="1"/>
  <c r="J80" i="6"/>
  <c r="Q70" i="10"/>
  <c r="L70" i="6"/>
  <c r="J70" i="12" s="1"/>
  <c r="L70" i="12" s="1"/>
  <c r="J70" i="6"/>
  <c r="Q237" i="10"/>
  <c r="J237" i="6"/>
  <c r="L237" i="6"/>
  <c r="J237" i="12" s="1"/>
  <c r="L237" i="12" s="1"/>
  <c r="Q215" i="10"/>
  <c r="L215" i="6"/>
  <c r="J215" i="12" s="1"/>
  <c r="L215" i="12" s="1"/>
  <c r="J215" i="6"/>
  <c r="Q212" i="10"/>
  <c r="L212" i="6"/>
  <c r="J212" i="12" s="1"/>
  <c r="L212" i="12" s="1"/>
  <c r="J212" i="6"/>
  <c r="Q510" i="10"/>
  <c r="L510" i="6"/>
  <c r="J510" i="12" s="1"/>
  <c r="L510" i="12" s="1"/>
  <c r="J510" i="6"/>
  <c r="Q486" i="10"/>
  <c r="L486" i="6"/>
  <c r="J486" i="12" s="1"/>
  <c r="L486" i="12" s="1"/>
  <c r="J486" i="6"/>
  <c r="Q523" i="10"/>
  <c r="L523" i="6"/>
  <c r="J523" i="12" s="1"/>
  <c r="L523" i="12" s="1"/>
  <c r="J523" i="6"/>
  <c r="Q490" i="10"/>
  <c r="L490" i="6"/>
  <c r="J490" i="12" s="1"/>
  <c r="L490" i="12" s="1"/>
  <c r="J490" i="6"/>
  <c r="Q526" i="10"/>
  <c r="L526" i="6"/>
  <c r="J526" i="12" s="1"/>
  <c r="L526" i="12" s="1"/>
  <c r="J526" i="6"/>
  <c r="Q496" i="10"/>
  <c r="L496" i="6"/>
  <c r="J496" i="12" s="1"/>
  <c r="L496" i="12" s="1"/>
  <c r="J496" i="6"/>
  <c r="Q528" i="10"/>
  <c r="L528" i="6"/>
  <c r="J528" i="12" s="1"/>
  <c r="L528" i="12" s="1"/>
  <c r="J528" i="6"/>
  <c r="Q411" i="10"/>
  <c r="L411" i="6"/>
  <c r="J411" i="12" s="1"/>
  <c r="L411" i="12" s="1"/>
  <c r="J411" i="6"/>
  <c r="Q439" i="10"/>
  <c r="L439" i="6"/>
  <c r="J439" i="12" s="1"/>
  <c r="L439" i="12" s="1"/>
  <c r="J439" i="6"/>
  <c r="Q418" i="10"/>
  <c r="J418" i="6"/>
  <c r="L418" i="6"/>
  <c r="J418" i="12" s="1"/>
  <c r="L418" i="12" s="1"/>
  <c r="Q428" i="10"/>
  <c r="L428" i="6"/>
  <c r="J428" i="12" s="1"/>
  <c r="L428" i="12" s="1"/>
  <c r="J428" i="6"/>
  <c r="Q425" i="10"/>
  <c r="L425" i="6"/>
  <c r="J425" i="12" s="1"/>
  <c r="L425" i="12" s="1"/>
  <c r="J425" i="6"/>
  <c r="Q294" i="10"/>
  <c r="L294" i="6"/>
  <c r="J294" i="12" s="1"/>
  <c r="L294" i="12" s="1"/>
  <c r="J294" i="6"/>
  <c r="Q185" i="10"/>
  <c r="L185" i="6"/>
  <c r="J185" i="12" s="1"/>
  <c r="L185" i="12" s="1"/>
  <c r="J185" i="6"/>
  <c r="Q192" i="10"/>
  <c r="J192" i="6"/>
  <c r="L192" i="6"/>
  <c r="J192" i="12" s="1"/>
  <c r="L192" i="12" s="1"/>
  <c r="Q199" i="10"/>
  <c r="L199" i="6"/>
  <c r="J199" i="12" s="1"/>
  <c r="L199" i="12" s="1"/>
  <c r="J199" i="6"/>
  <c r="Q405" i="10"/>
  <c r="J405" i="6"/>
  <c r="L405" i="6"/>
  <c r="J405" i="12" s="1"/>
  <c r="L405" i="12" s="1"/>
  <c r="N469" i="10"/>
  <c r="M469" i="10"/>
  <c r="M422" i="10"/>
  <c r="N422" i="10" s="1"/>
  <c r="M153" i="10"/>
  <c r="N153" i="10" s="1"/>
  <c r="N180" i="10"/>
  <c r="M180" i="10"/>
  <c r="P210" i="10"/>
  <c r="O210" i="10"/>
  <c r="O205" i="10"/>
  <c r="P205" i="10" s="1"/>
  <c r="N156" i="10"/>
  <c r="M156" i="10"/>
  <c r="Q303" i="10"/>
  <c r="L303" i="6"/>
  <c r="J303" i="12" s="1"/>
  <c r="L303" i="12" s="1"/>
  <c r="J303" i="6"/>
  <c r="Q347" i="10"/>
  <c r="L347" i="6"/>
  <c r="J347" i="12" s="1"/>
  <c r="L347" i="12" s="1"/>
  <c r="J347" i="6"/>
  <c r="Q277" i="10"/>
  <c r="L277" i="6"/>
  <c r="J277" i="12" s="1"/>
  <c r="L277" i="12" s="1"/>
  <c r="J277" i="6"/>
  <c r="Q270" i="10"/>
  <c r="J270" i="6"/>
  <c r="L270" i="6"/>
  <c r="J270" i="12" s="1"/>
  <c r="L270" i="12" s="1"/>
  <c r="Q123" i="10"/>
  <c r="J123" i="6"/>
  <c r="L123" i="6"/>
  <c r="J123" i="12" s="1"/>
  <c r="L123" i="12" s="1"/>
  <c r="Q26" i="10"/>
  <c r="L26" i="6"/>
  <c r="J26" i="12" s="1"/>
  <c r="L26" i="12" s="1"/>
  <c r="J26" i="6"/>
  <c r="Q494" i="10"/>
  <c r="L494" i="6"/>
  <c r="J494" i="12" s="1"/>
  <c r="L494" i="12" s="1"/>
  <c r="J494" i="6"/>
  <c r="Q447" i="10"/>
  <c r="L447" i="6"/>
  <c r="J447" i="12" s="1"/>
  <c r="L447" i="12" s="1"/>
  <c r="J447" i="6"/>
  <c r="Q413" i="10"/>
  <c r="L413" i="6"/>
  <c r="J413" i="12" s="1"/>
  <c r="L413" i="12" s="1"/>
  <c r="J413" i="6"/>
  <c r="Q293" i="10"/>
  <c r="J293" i="6"/>
  <c r="L293" i="6"/>
  <c r="J293" i="12" s="1"/>
  <c r="L293" i="12" s="1"/>
  <c r="Q198" i="10"/>
  <c r="L198" i="6"/>
  <c r="J198" i="12" s="1"/>
  <c r="L198" i="12" s="1"/>
  <c r="J198" i="6"/>
  <c r="M528" i="10"/>
  <c r="N528" i="10" s="1"/>
  <c r="M513" i="10"/>
  <c r="N513" i="10" s="1"/>
  <c r="N547" i="10"/>
  <c r="M547" i="10"/>
  <c r="N515" i="10"/>
  <c r="M515" i="10"/>
  <c r="M485" i="10"/>
  <c r="N485" i="10" s="1"/>
  <c r="M482" i="10"/>
  <c r="N482" i="10" s="1"/>
  <c r="N424" i="10"/>
  <c r="M424" i="10"/>
  <c r="N407" i="10"/>
  <c r="M407" i="10"/>
  <c r="M454" i="10"/>
  <c r="N454" i="10" s="1"/>
  <c r="M363" i="10"/>
  <c r="N363" i="10" s="1"/>
  <c r="L489" i="12"/>
  <c r="M444" i="10"/>
  <c r="N444" i="10" s="1"/>
  <c r="M525" i="10"/>
  <c r="N525" i="10" s="1"/>
  <c r="N378" i="10"/>
  <c r="M378" i="10"/>
  <c r="M362" i="10"/>
  <c r="N362" i="10" s="1"/>
  <c r="M346" i="10"/>
  <c r="N346" i="10" s="1"/>
  <c r="M509" i="10"/>
  <c r="N509" i="10" s="1"/>
  <c r="N478" i="10"/>
  <c r="M478" i="10"/>
  <c r="M385" i="10"/>
  <c r="N385" i="10" s="1"/>
  <c r="O372" i="10"/>
  <c r="P372" i="10" s="1"/>
  <c r="M349" i="10"/>
  <c r="N349" i="10" s="1"/>
  <c r="N316" i="10"/>
  <c r="M316" i="10"/>
  <c r="M299" i="10"/>
  <c r="N299" i="10" s="1"/>
  <c r="M282" i="10"/>
  <c r="N282" i="10" s="1"/>
  <c r="M319" i="10"/>
  <c r="N319" i="10" s="1"/>
  <c r="N285" i="10"/>
  <c r="M285" i="10"/>
  <c r="M314" i="10"/>
  <c r="N314" i="10" s="1"/>
  <c r="M284" i="10"/>
  <c r="N284" i="10" s="1"/>
  <c r="M118" i="10"/>
  <c r="N118" i="10"/>
  <c r="M82" i="10"/>
  <c r="N82" i="10" s="1"/>
  <c r="M151" i="10"/>
  <c r="N151" i="10"/>
  <c r="M131" i="10"/>
  <c r="N131" i="10" s="1"/>
  <c r="M130" i="10"/>
  <c r="N130" i="10"/>
  <c r="M167" i="10"/>
  <c r="N167" i="10" s="1"/>
  <c r="M173" i="10"/>
  <c r="N173" i="10" s="1"/>
  <c r="M142" i="10"/>
  <c r="N142" i="10"/>
  <c r="M183" i="10"/>
  <c r="N183" i="10" s="1"/>
  <c r="N111" i="10"/>
  <c r="M111" i="10"/>
  <c r="M87" i="10"/>
  <c r="N87" i="10" s="1"/>
  <c r="M66" i="10"/>
  <c r="N66" i="10" s="1"/>
  <c r="M63" i="10"/>
  <c r="N63" i="10" s="1"/>
  <c r="M35" i="10"/>
  <c r="N35" i="10" s="1"/>
  <c r="M56" i="10"/>
  <c r="N56" i="10" s="1"/>
  <c r="M24" i="10"/>
  <c r="N24" i="10"/>
  <c r="M13" i="10"/>
  <c r="N13" i="10"/>
  <c r="I551" i="6"/>
  <c r="I550" i="6"/>
  <c r="I549" i="6"/>
  <c r="L33" i="2"/>
  <c r="Q451" i="10"/>
  <c r="J451" i="6"/>
  <c r="L451" i="6"/>
  <c r="D29" i="5"/>
  <c r="Q453" i="10"/>
  <c r="L453" i="6"/>
  <c r="J453" i="12" s="1"/>
  <c r="L453" i="12" s="1"/>
  <c r="J453" i="6"/>
  <c r="Q466" i="10"/>
  <c r="J466" i="6"/>
  <c r="L466" i="6"/>
  <c r="J466" i="12" s="1"/>
  <c r="L466" i="12" s="1"/>
  <c r="Q58" i="10"/>
  <c r="J58" i="6"/>
  <c r="L58" i="6"/>
  <c r="D8" i="5"/>
  <c r="K539" i="6"/>
  <c r="M539" i="6"/>
  <c r="M477" i="6"/>
  <c r="K477" i="6"/>
  <c r="K476" i="6"/>
  <c r="M476" i="6"/>
  <c r="Q538" i="10"/>
  <c r="J538" i="6"/>
  <c r="L538" i="6"/>
  <c r="D32" i="5"/>
  <c r="Q476" i="10"/>
  <c r="J476" i="6"/>
  <c r="L476" i="6"/>
  <c r="J476" i="12" s="1"/>
  <c r="L476" i="12" s="1"/>
  <c r="Q475" i="10"/>
  <c r="J475" i="6"/>
  <c r="L475" i="6"/>
  <c r="J475" i="12" s="1"/>
  <c r="L475" i="12" s="1"/>
  <c r="M462" i="6"/>
  <c r="K462" i="6"/>
  <c r="K468" i="6"/>
  <c r="M468" i="6"/>
  <c r="I378" i="6"/>
  <c r="I375" i="6"/>
  <c r="I372" i="6"/>
  <c r="I369" i="6"/>
  <c r="I346" i="6"/>
  <c r="I370" i="6"/>
  <c r="I367" i="6"/>
  <c r="I364" i="6"/>
  <c r="I361" i="6"/>
  <c r="I382" i="6"/>
  <c r="I379" i="6"/>
  <c r="I376" i="6"/>
  <c r="I373" i="6"/>
  <c r="I350" i="6"/>
  <c r="I347" i="6"/>
  <c r="I344" i="6"/>
  <c r="I340" i="6"/>
  <c r="I336" i="6"/>
  <c r="I332" i="6"/>
  <c r="I328" i="6"/>
  <c r="I324" i="6"/>
  <c r="I320" i="6"/>
  <c r="I316" i="6"/>
  <c r="I312" i="6"/>
  <c r="I308" i="6"/>
  <c r="I304" i="6"/>
  <c r="I388" i="6"/>
  <c r="I385" i="6"/>
  <c r="I362" i="6"/>
  <c r="I359" i="6"/>
  <c r="I356" i="6"/>
  <c r="I353" i="6"/>
  <c r="I374" i="6"/>
  <c r="I371" i="6"/>
  <c r="I368" i="6"/>
  <c r="I365" i="6"/>
  <c r="I341" i="6"/>
  <c r="I337" i="6"/>
  <c r="I333" i="6"/>
  <c r="I329" i="6"/>
  <c r="I325" i="6"/>
  <c r="I321" i="6"/>
  <c r="I317" i="6"/>
  <c r="I313" i="6"/>
  <c r="I309" i="6"/>
  <c r="I305" i="6"/>
  <c r="I386" i="6"/>
  <c r="I383" i="6"/>
  <c r="I380" i="6"/>
  <c r="I377" i="6"/>
  <c r="I354" i="6"/>
  <c r="I351" i="6"/>
  <c r="I348" i="6"/>
  <c r="I345" i="6"/>
  <c r="I387" i="6"/>
  <c r="I381" i="6"/>
  <c r="I326" i="6"/>
  <c r="I319" i="6"/>
  <c r="I306" i="6"/>
  <c r="I355" i="6"/>
  <c r="I349" i="6"/>
  <c r="I343" i="6"/>
  <c r="I318" i="6"/>
  <c r="I311" i="6"/>
  <c r="I366" i="6"/>
  <c r="I360" i="6"/>
  <c r="I339" i="6"/>
  <c r="I314" i="6"/>
  <c r="I384" i="6"/>
  <c r="I342" i="6"/>
  <c r="I335" i="6"/>
  <c r="I310" i="6"/>
  <c r="I303" i="6"/>
  <c r="I389" i="6"/>
  <c r="I338" i="6"/>
  <c r="I331" i="6"/>
  <c r="I307" i="6"/>
  <c r="I358" i="6"/>
  <c r="I352" i="6"/>
  <c r="I334" i="6"/>
  <c r="I327" i="6"/>
  <c r="I330" i="6"/>
  <c r="I315" i="6"/>
  <c r="I363" i="6"/>
  <c r="I302" i="6"/>
  <c r="I357" i="6"/>
  <c r="I323" i="6"/>
  <c r="I322" i="6"/>
  <c r="L24" i="2"/>
  <c r="Q316" i="10"/>
  <c r="L316" i="6"/>
  <c r="J316" i="12" s="1"/>
  <c r="L316" i="12" s="1"/>
  <c r="J316" i="6"/>
  <c r="Q372" i="10"/>
  <c r="L372" i="6"/>
  <c r="J372" i="12" s="1"/>
  <c r="L372" i="12" s="1"/>
  <c r="J372" i="6"/>
  <c r="Q312" i="10"/>
  <c r="L312" i="6"/>
  <c r="J312" i="12" s="1"/>
  <c r="L312" i="12" s="1"/>
  <c r="J312" i="6"/>
  <c r="Q329" i="10"/>
  <c r="L329" i="6"/>
  <c r="J329" i="12" s="1"/>
  <c r="L329" i="12" s="1"/>
  <c r="J329" i="6"/>
  <c r="Q359" i="10"/>
  <c r="L359" i="6"/>
  <c r="J359" i="12" s="1"/>
  <c r="L359" i="12" s="1"/>
  <c r="J359" i="6"/>
  <c r="Q382" i="10"/>
  <c r="J382" i="6"/>
  <c r="L382" i="6"/>
  <c r="J382" i="12" s="1"/>
  <c r="L382" i="12" s="1"/>
  <c r="Q327" i="10"/>
  <c r="J327" i="6"/>
  <c r="L327" i="6"/>
  <c r="J327" i="12" s="1"/>
  <c r="L327" i="12" s="1"/>
  <c r="Q384" i="10"/>
  <c r="J384" i="6"/>
  <c r="L384" i="6"/>
  <c r="J384" i="12" s="1"/>
  <c r="L384" i="12" s="1"/>
  <c r="Q334" i="10"/>
  <c r="J334" i="6"/>
  <c r="L334" i="6"/>
  <c r="J334" i="12" s="1"/>
  <c r="L334" i="12" s="1"/>
  <c r="Q353" i="10"/>
  <c r="J353" i="6"/>
  <c r="L353" i="6"/>
  <c r="J353" i="12" s="1"/>
  <c r="L353" i="12" s="1"/>
  <c r="Q385" i="10"/>
  <c r="J385" i="6"/>
  <c r="L385" i="6"/>
  <c r="J385" i="12" s="1"/>
  <c r="L385" i="12" s="1"/>
  <c r="I286" i="6"/>
  <c r="I282" i="6"/>
  <c r="I278" i="6"/>
  <c r="I283" i="6"/>
  <c r="I279" i="6"/>
  <c r="I285" i="6"/>
  <c r="I280" i="6"/>
  <c r="I284" i="6"/>
  <c r="I277" i="6"/>
  <c r="I276" i="6"/>
  <c r="I281" i="6"/>
  <c r="L22" i="2"/>
  <c r="Q278" i="10"/>
  <c r="L278" i="6"/>
  <c r="J278" i="12" s="1"/>
  <c r="L278" i="12" s="1"/>
  <c r="J278" i="6"/>
  <c r="M226" i="6"/>
  <c r="K226" i="6"/>
  <c r="Q42" i="10"/>
  <c r="L42" i="6"/>
  <c r="J42" i="12" s="1"/>
  <c r="L42" i="12" s="1"/>
  <c r="J42" i="6"/>
  <c r="Q44" i="10"/>
  <c r="L44" i="6"/>
  <c r="J44" i="12" s="1"/>
  <c r="L44" i="12" s="1"/>
  <c r="J44" i="6"/>
  <c r="I273" i="6"/>
  <c r="I274" i="6"/>
  <c r="I272" i="6"/>
  <c r="L21" i="2"/>
  <c r="I163" i="6"/>
  <c r="I159" i="6"/>
  <c r="I155" i="6"/>
  <c r="I164" i="6"/>
  <c r="I160" i="6"/>
  <c r="I156" i="6"/>
  <c r="I162" i="6"/>
  <c r="I158" i="6"/>
  <c r="I161" i="6"/>
  <c r="I157" i="6"/>
  <c r="L11" i="2"/>
  <c r="Q163" i="10"/>
  <c r="L163" i="6"/>
  <c r="J163" i="12" s="1"/>
  <c r="L163" i="12" s="1"/>
  <c r="J163" i="6"/>
  <c r="Q230" i="10"/>
  <c r="L230" i="6"/>
  <c r="J230" i="12" s="1"/>
  <c r="L230" i="12" s="1"/>
  <c r="J230" i="6"/>
  <c r="I268" i="6"/>
  <c r="I264" i="6"/>
  <c r="I260" i="6"/>
  <c r="I256" i="6"/>
  <c r="I269" i="6"/>
  <c r="I265" i="6"/>
  <c r="I261" i="6"/>
  <c r="I257" i="6"/>
  <c r="I270" i="6"/>
  <c r="I259" i="6"/>
  <c r="I255" i="6"/>
  <c r="I263" i="6"/>
  <c r="I252" i="6"/>
  <c r="I248" i="6"/>
  <c r="I267" i="6"/>
  <c r="I258" i="6"/>
  <c r="I253" i="6"/>
  <c r="I249" i="6"/>
  <c r="I262" i="6"/>
  <c r="I266" i="6"/>
  <c r="I246" i="6"/>
  <c r="I251" i="6"/>
  <c r="I250" i="6"/>
  <c r="I254" i="6"/>
  <c r="I247" i="6"/>
  <c r="L20" i="2"/>
  <c r="Q256" i="10"/>
  <c r="L256" i="6"/>
  <c r="J256" i="12" s="1"/>
  <c r="L256" i="12" s="1"/>
  <c r="J256" i="6"/>
  <c r="Q247" i="10"/>
  <c r="J247" i="6"/>
  <c r="L247" i="6"/>
  <c r="J247" i="12" s="1"/>
  <c r="L247" i="12" s="1"/>
  <c r="Q261" i="10"/>
  <c r="J261" i="6"/>
  <c r="L261" i="6"/>
  <c r="J261" i="12" s="1"/>
  <c r="L261" i="12" s="1"/>
  <c r="I150" i="6"/>
  <c r="I146" i="6"/>
  <c r="I142" i="6"/>
  <c r="I138" i="6"/>
  <c r="I134" i="6"/>
  <c r="I130" i="6"/>
  <c r="I126" i="6"/>
  <c r="I122" i="6"/>
  <c r="I118" i="6"/>
  <c r="I114" i="6"/>
  <c r="I110" i="6"/>
  <c r="I106" i="6"/>
  <c r="I102" i="6"/>
  <c r="I98" i="6"/>
  <c r="I151" i="6"/>
  <c r="I147" i="6"/>
  <c r="I143" i="6"/>
  <c r="I139" i="6"/>
  <c r="I135" i="6"/>
  <c r="I131" i="6"/>
  <c r="I127" i="6"/>
  <c r="I123" i="6"/>
  <c r="I119" i="6"/>
  <c r="I115" i="6"/>
  <c r="I148" i="6"/>
  <c r="I141" i="6"/>
  <c r="I109" i="6"/>
  <c r="I100" i="6"/>
  <c r="I95" i="6"/>
  <c r="I144" i="6"/>
  <c r="I137" i="6"/>
  <c r="I116" i="6"/>
  <c r="I107" i="6"/>
  <c r="I92" i="6"/>
  <c r="I88" i="6"/>
  <c r="I84" i="6"/>
  <c r="I140" i="6"/>
  <c r="I133" i="6"/>
  <c r="I112" i="6"/>
  <c r="I105" i="6"/>
  <c r="I96" i="6"/>
  <c r="I136" i="6"/>
  <c r="I129" i="6"/>
  <c r="I103" i="6"/>
  <c r="I93" i="6"/>
  <c r="I89" i="6"/>
  <c r="I85" i="6"/>
  <c r="I132" i="6"/>
  <c r="I125" i="6"/>
  <c r="I108" i="6"/>
  <c r="I101" i="6"/>
  <c r="I153" i="6"/>
  <c r="I128" i="6"/>
  <c r="I121" i="6"/>
  <c r="I99" i="6"/>
  <c r="I94" i="6"/>
  <c r="I90" i="6"/>
  <c r="I86" i="6"/>
  <c r="I82" i="6"/>
  <c r="I117" i="6"/>
  <c r="I145" i="6"/>
  <c r="I83" i="6"/>
  <c r="I124" i="6"/>
  <c r="I113" i="6"/>
  <c r="I152" i="6"/>
  <c r="I87" i="6"/>
  <c r="I149" i="6"/>
  <c r="I104" i="6"/>
  <c r="I97" i="6"/>
  <c r="I120" i="6"/>
  <c r="I111" i="6"/>
  <c r="I91" i="6"/>
  <c r="L10" i="2"/>
  <c r="Q117" i="10"/>
  <c r="J117" i="6"/>
  <c r="L117" i="6"/>
  <c r="J117" i="12" s="1"/>
  <c r="L117" i="12" s="1"/>
  <c r="Q110" i="10"/>
  <c r="L110" i="6"/>
  <c r="J110" i="12" s="1"/>
  <c r="L110" i="12" s="1"/>
  <c r="J110" i="6"/>
  <c r="Q92" i="10"/>
  <c r="J92" i="6"/>
  <c r="L92" i="6"/>
  <c r="J92" i="12" s="1"/>
  <c r="L92" i="12" s="1"/>
  <c r="Q83" i="10"/>
  <c r="L83" i="6"/>
  <c r="J83" i="12" s="1"/>
  <c r="L83" i="12" s="1"/>
  <c r="J83" i="6"/>
  <c r="Q107" i="10"/>
  <c r="J107" i="6"/>
  <c r="L107" i="6"/>
  <c r="J107" i="12" s="1"/>
  <c r="L107" i="12" s="1"/>
  <c r="Q139" i="10"/>
  <c r="J139" i="6"/>
  <c r="L139" i="6"/>
  <c r="J139" i="12" s="1"/>
  <c r="L139" i="12" s="1"/>
  <c r="Q134" i="10"/>
  <c r="L134" i="6"/>
  <c r="J134" i="12" s="1"/>
  <c r="L134" i="12" s="1"/>
  <c r="J134" i="6"/>
  <c r="Q132" i="10"/>
  <c r="L132" i="6"/>
  <c r="J132" i="12" s="1"/>
  <c r="L132" i="12" s="1"/>
  <c r="J132" i="6"/>
  <c r="Q35" i="10"/>
  <c r="L35" i="6"/>
  <c r="J35" i="12" s="1"/>
  <c r="L35" i="12" s="1"/>
  <c r="J35" i="6"/>
  <c r="Q222" i="10"/>
  <c r="J222" i="6"/>
  <c r="L222" i="6"/>
  <c r="J222" i="12" s="1"/>
  <c r="L222" i="12" s="1"/>
  <c r="Q9" i="10"/>
  <c r="L9" i="6"/>
  <c r="J9" i="12" s="1"/>
  <c r="L9" i="12" s="1"/>
  <c r="J9" i="6"/>
  <c r="Q28" i="10"/>
  <c r="L28" i="6"/>
  <c r="J28" i="12" s="1"/>
  <c r="L28" i="12" s="1"/>
  <c r="J28" i="6"/>
  <c r="Q10" i="10"/>
  <c r="L10" i="6"/>
  <c r="J10" i="12" s="1"/>
  <c r="L10" i="12" s="1"/>
  <c r="J10" i="6"/>
  <c r="Q173" i="10"/>
  <c r="L173" i="6"/>
  <c r="J173" i="12" s="1"/>
  <c r="J173" i="6"/>
  <c r="Q171" i="10"/>
  <c r="J171" i="6"/>
  <c r="L171" i="6"/>
  <c r="J171" i="12" s="1"/>
  <c r="L171" i="12" s="1"/>
  <c r="Q65" i="10"/>
  <c r="L65" i="6"/>
  <c r="J65" i="12" s="1"/>
  <c r="L65" i="12" s="1"/>
  <c r="J65" i="6"/>
  <c r="Q63" i="10"/>
  <c r="J63" i="6"/>
  <c r="L63" i="6"/>
  <c r="J63" i="12" s="1"/>
  <c r="L63" i="12" s="1"/>
  <c r="Q74" i="10"/>
  <c r="L74" i="6"/>
  <c r="J74" i="12" s="1"/>
  <c r="L74" i="12" s="1"/>
  <c r="J74" i="6"/>
  <c r="Q241" i="10"/>
  <c r="J241" i="6"/>
  <c r="L241" i="6"/>
  <c r="J241" i="12" s="1"/>
  <c r="L241" i="12" s="1"/>
  <c r="Q219" i="10"/>
  <c r="L219" i="6"/>
  <c r="J219" i="12" s="1"/>
  <c r="L219" i="12" s="1"/>
  <c r="J219" i="6"/>
  <c r="Q216" i="10"/>
  <c r="L216" i="6"/>
  <c r="J216" i="12" s="1"/>
  <c r="L216" i="12" s="1"/>
  <c r="J216" i="6"/>
  <c r="Q513" i="10"/>
  <c r="J513" i="6"/>
  <c r="L513" i="6"/>
  <c r="J513" i="12" s="1"/>
  <c r="L513" i="12" s="1"/>
  <c r="Q489" i="10"/>
  <c r="J489" i="6"/>
  <c r="L489" i="6"/>
  <c r="J489" i="12" s="1"/>
  <c r="Q530" i="10"/>
  <c r="L530" i="6"/>
  <c r="J530" i="12" s="1"/>
  <c r="L530" i="12" s="1"/>
  <c r="J530" i="6"/>
  <c r="Q493" i="10"/>
  <c r="J493" i="6"/>
  <c r="L493" i="6"/>
  <c r="J493" i="12" s="1"/>
  <c r="L493" i="12" s="1"/>
  <c r="Q535" i="10"/>
  <c r="L535" i="6"/>
  <c r="J535" i="12" s="1"/>
  <c r="L535" i="12" s="1"/>
  <c r="J535" i="6"/>
  <c r="Q500" i="10"/>
  <c r="L500" i="6"/>
  <c r="J500" i="12" s="1"/>
  <c r="L500" i="12" s="1"/>
  <c r="J500" i="6"/>
  <c r="Q532" i="10"/>
  <c r="L532" i="6"/>
  <c r="J532" i="12" s="1"/>
  <c r="L532" i="12" s="1"/>
  <c r="J532" i="6"/>
  <c r="Q443" i="10"/>
  <c r="L443" i="6"/>
  <c r="J443" i="12" s="1"/>
  <c r="L443" i="12" s="1"/>
  <c r="J443" i="6"/>
  <c r="Q442" i="10"/>
  <c r="J442" i="6"/>
  <c r="L442" i="6"/>
  <c r="J442" i="12" s="1"/>
  <c r="L442" i="12" s="1"/>
  <c r="Q444" i="10"/>
  <c r="L444" i="6"/>
  <c r="J444" i="12" s="1"/>
  <c r="L444" i="12" s="1"/>
  <c r="J444" i="6"/>
  <c r="Q431" i="10"/>
  <c r="L431" i="6"/>
  <c r="J431" i="12" s="1"/>
  <c r="L431" i="12" s="1"/>
  <c r="J431" i="6"/>
  <c r="Q429" i="10"/>
  <c r="L429" i="6"/>
  <c r="J429" i="12" s="1"/>
  <c r="L429" i="12" s="1"/>
  <c r="J429" i="6"/>
  <c r="Q290" i="10"/>
  <c r="L290" i="6"/>
  <c r="J290" i="12" s="1"/>
  <c r="L290" i="12" s="1"/>
  <c r="J290" i="6"/>
  <c r="Q189" i="10"/>
  <c r="L189" i="6"/>
  <c r="J189" i="12" s="1"/>
  <c r="L189" i="12" s="1"/>
  <c r="J189" i="6"/>
  <c r="Q196" i="10"/>
  <c r="J196" i="6"/>
  <c r="L196" i="6"/>
  <c r="J196" i="12" s="1"/>
  <c r="L196" i="12" s="1"/>
  <c r="Q203" i="10"/>
  <c r="L203" i="6"/>
  <c r="J203" i="12" s="1"/>
  <c r="L203" i="12" s="1"/>
  <c r="J203" i="6"/>
  <c r="Q404" i="10"/>
  <c r="L404" i="6"/>
  <c r="J404" i="12" s="1"/>
  <c r="L404" i="12" s="1"/>
  <c r="J404" i="6"/>
  <c r="M512" i="10"/>
  <c r="N512" i="10"/>
  <c r="M477" i="10"/>
  <c r="N477" i="10" s="1"/>
  <c r="M386" i="10"/>
  <c r="N386" i="10" s="1"/>
  <c r="N456" i="10"/>
  <c r="M456" i="10"/>
  <c r="M324" i="10"/>
  <c r="N324" i="10" s="1"/>
  <c r="M322" i="10"/>
  <c r="N322" i="10" s="1"/>
  <c r="O152" i="10"/>
  <c r="P152" i="10"/>
  <c r="N119" i="10"/>
  <c r="M119" i="10"/>
  <c r="M60" i="10"/>
  <c r="N60" i="10"/>
  <c r="M23" i="10"/>
  <c r="N23" i="10" s="1"/>
  <c r="O9" i="10"/>
  <c r="P9" i="10"/>
  <c r="Q550" i="10"/>
  <c r="L550" i="6"/>
  <c r="J550" i="12" s="1"/>
  <c r="L550" i="12" s="1"/>
  <c r="J550" i="6"/>
  <c r="Q464" i="10"/>
  <c r="L464" i="6"/>
  <c r="J464" i="12" s="1"/>
  <c r="L464" i="12" s="1"/>
  <c r="J464" i="6"/>
  <c r="Q474" i="10"/>
  <c r="J474" i="6"/>
  <c r="L474" i="6"/>
  <c r="J474" i="12" s="1"/>
  <c r="L474" i="12" s="1"/>
  <c r="Q348" i="10"/>
  <c r="L348" i="6"/>
  <c r="J348" i="12" s="1"/>
  <c r="J348" i="6"/>
  <c r="Q51" i="10"/>
  <c r="L51" i="6"/>
  <c r="J51" i="12" s="1"/>
  <c r="L51" i="12" s="1"/>
  <c r="J51" i="6"/>
  <c r="Q252" i="10"/>
  <c r="L252" i="6"/>
  <c r="J252" i="12" s="1"/>
  <c r="L252" i="12" s="1"/>
  <c r="J252" i="6"/>
  <c r="Q82" i="10"/>
  <c r="L82" i="6"/>
  <c r="D10" i="5"/>
  <c r="J82" i="6"/>
  <c r="Q137" i="10"/>
  <c r="J137" i="6"/>
  <c r="L137" i="6"/>
  <c r="J137" i="12" s="1"/>
  <c r="L137" i="12" s="1"/>
  <c r="Q150" i="10"/>
  <c r="L150" i="6"/>
  <c r="J150" i="12" s="1"/>
  <c r="L150" i="12" s="1"/>
  <c r="J150" i="6"/>
  <c r="Q19" i="10"/>
  <c r="J19" i="6"/>
  <c r="L19" i="6"/>
  <c r="J19" i="12" s="1"/>
  <c r="L19" i="12" s="1"/>
  <c r="Q172" i="10"/>
  <c r="L172" i="6"/>
  <c r="J172" i="12" s="1"/>
  <c r="L172" i="12" s="1"/>
  <c r="J172" i="6"/>
  <c r="Q209" i="10"/>
  <c r="J209" i="6"/>
  <c r="L209" i="6"/>
  <c r="D14" i="5"/>
  <c r="M545" i="10"/>
  <c r="N545" i="10" s="1"/>
  <c r="N505" i="10"/>
  <c r="M505" i="10"/>
  <c r="M520" i="10"/>
  <c r="N520" i="10"/>
  <c r="M494" i="10"/>
  <c r="N494" i="10" s="1"/>
  <c r="M471" i="10"/>
  <c r="N471" i="10"/>
  <c r="N532" i="10"/>
  <c r="M532" i="10"/>
  <c r="M500" i="10"/>
  <c r="N500" i="10" s="1"/>
  <c r="M441" i="10"/>
  <c r="N441" i="10"/>
  <c r="M421" i="10"/>
  <c r="N421" i="10" s="1"/>
  <c r="N404" i="10"/>
  <c r="M404" i="10"/>
  <c r="M481" i="10"/>
  <c r="N481" i="10" s="1"/>
  <c r="M442" i="10"/>
  <c r="N442" i="10" s="1"/>
  <c r="M423" i="10"/>
  <c r="N423" i="10" s="1"/>
  <c r="N406" i="10"/>
  <c r="M406" i="10"/>
  <c r="M452" i="10"/>
  <c r="N452" i="10" s="1"/>
  <c r="M392" i="10"/>
  <c r="N392" i="10" s="1"/>
  <c r="M517" i="10"/>
  <c r="N517" i="10" s="1"/>
  <c r="P476" i="10"/>
  <c r="O476" i="10"/>
  <c r="O384" i="10"/>
  <c r="P384" i="10" s="1"/>
  <c r="M369" i="10"/>
  <c r="N369" i="10" s="1"/>
  <c r="M339" i="10"/>
  <c r="N339" i="10" s="1"/>
  <c r="N333" i="10"/>
  <c r="M333" i="10"/>
  <c r="M315" i="10"/>
  <c r="N315" i="10" s="1"/>
  <c r="M281" i="10"/>
  <c r="N281" i="10" s="1"/>
  <c r="M259" i="10"/>
  <c r="N259" i="10" s="1"/>
  <c r="N241" i="10"/>
  <c r="M241" i="10"/>
  <c r="M222" i="10"/>
  <c r="N222" i="10" s="1"/>
  <c r="M204" i="10"/>
  <c r="N204" i="10"/>
  <c r="M188" i="10"/>
  <c r="N188" i="10"/>
  <c r="N280" i="10"/>
  <c r="M280" i="10"/>
  <c r="M254" i="10"/>
  <c r="N254" i="10" s="1"/>
  <c r="M236" i="10"/>
  <c r="N236" i="10" s="1"/>
  <c r="M216" i="10"/>
  <c r="N216" i="10" s="1"/>
  <c r="M348" i="10"/>
  <c r="N348" i="10" s="1"/>
  <c r="M321" i="10"/>
  <c r="N321" i="10" s="1"/>
  <c r="M305" i="10"/>
  <c r="N305" i="10" s="1"/>
  <c r="M288" i="10"/>
  <c r="N288" i="10" s="1"/>
  <c r="N269" i="10"/>
  <c r="M269" i="10"/>
  <c r="M253" i="10"/>
  <c r="N253" i="10" s="1"/>
  <c r="M235" i="10"/>
  <c r="N235" i="10" s="1"/>
  <c r="M215" i="10"/>
  <c r="N215" i="10" s="1"/>
  <c r="N198" i="10"/>
  <c r="M198" i="10"/>
  <c r="M347" i="10"/>
  <c r="N347" i="10" s="1"/>
  <c r="M330" i="10"/>
  <c r="N330" i="10"/>
  <c r="O161" i="10"/>
  <c r="P161" i="10"/>
  <c r="M114" i="10"/>
  <c r="N114" i="10" s="1"/>
  <c r="P214" i="10"/>
  <c r="O214" i="10"/>
  <c r="P172" i="10"/>
  <c r="O172" i="10"/>
  <c r="N125" i="10"/>
  <c r="M125" i="10"/>
  <c r="M109" i="10"/>
  <c r="N109" i="10" s="1"/>
  <c r="N93" i="10"/>
  <c r="M93" i="10"/>
  <c r="N76" i="10"/>
  <c r="M76" i="10"/>
  <c r="M59" i="10"/>
  <c r="N59" i="10" s="1"/>
  <c r="M42" i="10"/>
  <c r="N42" i="10"/>
  <c r="M171" i="10"/>
  <c r="N171" i="10" s="1"/>
  <c r="N129" i="10"/>
  <c r="M129" i="10"/>
  <c r="N112" i="10"/>
  <c r="M112" i="10"/>
  <c r="M96" i="10"/>
  <c r="N96" i="10" s="1"/>
  <c r="N79" i="10"/>
  <c r="M79" i="10"/>
  <c r="P193" i="10"/>
  <c r="O193" i="10"/>
  <c r="L173" i="12"/>
  <c r="M141" i="10"/>
  <c r="N141" i="10" s="1"/>
  <c r="M170" i="10"/>
  <c r="N170" i="10" s="1"/>
  <c r="M83" i="10"/>
  <c r="N83" i="10" s="1"/>
  <c r="M43" i="10"/>
  <c r="N43" i="10"/>
  <c r="N62" i="10"/>
  <c r="M62" i="10"/>
  <c r="M39" i="10"/>
  <c r="N39" i="10"/>
  <c r="L7" i="11"/>
  <c r="M7" i="11" s="1"/>
  <c r="N36" i="10"/>
  <c r="M36" i="10"/>
  <c r="M7" i="10"/>
  <c r="N7" i="10" s="1"/>
  <c r="Q460" i="10"/>
  <c r="L460" i="6"/>
  <c r="J460" i="12" s="1"/>
  <c r="L460" i="12" s="1"/>
  <c r="J460" i="6"/>
  <c r="Q457" i="10"/>
  <c r="J457" i="6"/>
  <c r="L457" i="6"/>
  <c r="J457" i="12" s="1"/>
  <c r="L457" i="12" s="1"/>
  <c r="M544" i="6"/>
  <c r="K544" i="6"/>
  <c r="K471" i="6"/>
  <c r="M471" i="6"/>
  <c r="M473" i="6"/>
  <c r="K473" i="6"/>
  <c r="Q542" i="10"/>
  <c r="J542" i="6"/>
  <c r="L542" i="6"/>
  <c r="J542" i="12" s="1"/>
  <c r="L542" i="12" s="1"/>
  <c r="Q481" i="10"/>
  <c r="L481" i="6"/>
  <c r="J481" i="12" s="1"/>
  <c r="J481" i="6"/>
  <c r="Q479" i="10"/>
  <c r="J479" i="6"/>
  <c r="L479" i="6"/>
  <c r="J479" i="12" s="1"/>
  <c r="L479" i="12" s="1"/>
  <c r="M458" i="6"/>
  <c r="K458" i="6"/>
  <c r="M455" i="6"/>
  <c r="K455" i="6"/>
  <c r="M456" i="6"/>
  <c r="K456" i="6"/>
  <c r="I58" i="6"/>
  <c r="I59" i="6"/>
  <c r="I60" i="6"/>
  <c r="L8" i="2"/>
  <c r="Q307" i="10"/>
  <c r="J307" i="6"/>
  <c r="L307" i="6"/>
  <c r="J307" i="12" s="1"/>
  <c r="L307" i="12" s="1"/>
  <c r="Q378" i="10"/>
  <c r="J378" i="6"/>
  <c r="L378" i="6"/>
  <c r="J378" i="12" s="1"/>
  <c r="L378" i="12" s="1"/>
  <c r="Q375" i="10"/>
  <c r="L375" i="6"/>
  <c r="J375" i="12" s="1"/>
  <c r="L375" i="12" s="1"/>
  <c r="J375" i="6"/>
  <c r="Q333" i="10"/>
  <c r="L333" i="6"/>
  <c r="J333" i="12" s="1"/>
  <c r="L333" i="12" s="1"/>
  <c r="J333" i="6"/>
  <c r="Q362" i="10"/>
  <c r="J362" i="6"/>
  <c r="L362" i="6"/>
  <c r="J362" i="12" s="1"/>
  <c r="L362" i="12" s="1"/>
  <c r="Q364" i="10"/>
  <c r="L364" i="6"/>
  <c r="J364" i="12" s="1"/>
  <c r="L364" i="12" s="1"/>
  <c r="J364" i="6"/>
  <c r="Q331" i="10"/>
  <c r="J331" i="6"/>
  <c r="L331" i="6"/>
  <c r="J331" i="12" s="1"/>
  <c r="L331" i="12" s="1"/>
  <c r="Q387" i="10"/>
  <c r="L387" i="6"/>
  <c r="J387" i="12" s="1"/>
  <c r="L387" i="12" s="1"/>
  <c r="J387" i="6"/>
  <c r="Q338" i="10"/>
  <c r="J338" i="6"/>
  <c r="L338" i="6"/>
  <c r="J338" i="12" s="1"/>
  <c r="L338" i="12" s="1"/>
  <c r="Q357" i="10"/>
  <c r="L357" i="6"/>
  <c r="J357" i="12" s="1"/>
  <c r="L357" i="12" s="1"/>
  <c r="J357" i="6"/>
  <c r="Q389" i="10"/>
  <c r="L389" i="6"/>
  <c r="J389" i="12" s="1"/>
  <c r="L389" i="12" s="1"/>
  <c r="J389" i="6"/>
  <c r="Q280" i="10"/>
  <c r="J280" i="6"/>
  <c r="L280" i="6"/>
  <c r="J280" i="12" s="1"/>
  <c r="L280" i="12" s="1"/>
  <c r="I53" i="6"/>
  <c r="I49" i="6"/>
  <c r="I45" i="6"/>
  <c r="I41" i="6"/>
  <c r="I54" i="6"/>
  <c r="I50" i="6"/>
  <c r="I46" i="6"/>
  <c r="I42" i="6"/>
  <c r="I55" i="6"/>
  <c r="I51" i="6"/>
  <c r="I47" i="6"/>
  <c r="I43" i="6"/>
  <c r="I44" i="6"/>
  <c r="I48" i="6"/>
  <c r="I52" i="6"/>
  <c r="I56" i="6"/>
  <c r="L7" i="2"/>
  <c r="Q46" i="10"/>
  <c r="L46" i="6"/>
  <c r="J46" i="12" s="1"/>
  <c r="L46" i="12" s="1"/>
  <c r="J46" i="6"/>
  <c r="Q48" i="10"/>
  <c r="L48" i="6"/>
  <c r="J48" i="12" s="1"/>
  <c r="L48" i="12" s="1"/>
  <c r="J48" i="6"/>
  <c r="Q158" i="10"/>
  <c r="J158" i="6"/>
  <c r="L158" i="6"/>
  <c r="J158" i="12" s="1"/>
  <c r="L158" i="12" s="1"/>
  <c r="Q157" i="10"/>
  <c r="L157" i="6"/>
  <c r="J157" i="12" s="1"/>
  <c r="L157" i="12" s="1"/>
  <c r="J157" i="6"/>
  <c r="Q229" i="10"/>
  <c r="L229" i="6"/>
  <c r="J229" i="6"/>
  <c r="D17" i="5"/>
  <c r="Q392" i="10"/>
  <c r="L392" i="6"/>
  <c r="J392" i="12" s="1"/>
  <c r="L392" i="12" s="1"/>
  <c r="J392" i="6"/>
  <c r="Q258" i="10"/>
  <c r="J258" i="6"/>
  <c r="L258" i="6"/>
  <c r="J258" i="12" s="1"/>
  <c r="L258" i="12" s="1"/>
  <c r="Q251" i="10"/>
  <c r="J251" i="6"/>
  <c r="L251" i="6"/>
  <c r="J251" i="12" s="1"/>
  <c r="L251" i="12" s="1"/>
  <c r="Q265" i="10"/>
  <c r="L265" i="6"/>
  <c r="J265" i="12" s="1"/>
  <c r="L265" i="12" s="1"/>
  <c r="J265" i="6"/>
  <c r="Q86" i="10"/>
  <c r="L86" i="6"/>
  <c r="J86" i="12" s="1"/>
  <c r="L86" i="12" s="1"/>
  <c r="J86" i="6"/>
  <c r="Q90" i="10"/>
  <c r="L90" i="6"/>
  <c r="J90" i="12" s="1"/>
  <c r="L90" i="12" s="1"/>
  <c r="J90" i="6"/>
  <c r="Q129" i="10"/>
  <c r="J129" i="6"/>
  <c r="L129" i="6"/>
  <c r="J129" i="12" s="1"/>
  <c r="L129" i="12" s="1"/>
  <c r="Q98" i="10"/>
  <c r="J98" i="6"/>
  <c r="L98" i="6"/>
  <c r="J98" i="12" s="1"/>
  <c r="L98" i="12" s="1"/>
  <c r="Q87" i="10"/>
  <c r="L87" i="6"/>
  <c r="J87" i="12" s="1"/>
  <c r="L87" i="12" s="1"/>
  <c r="J87" i="6"/>
  <c r="Q111" i="10"/>
  <c r="L111" i="6"/>
  <c r="J111" i="12" s="1"/>
  <c r="L111" i="12" s="1"/>
  <c r="J111" i="6"/>
  <c r="Q143" i="10"/>
  <c r="J143" i="6"/>
  <c r="L143" i="6"/>
  <c r="J143" i="12" s="1"/>
  <c r="L143" i="12" s="1"/>
  <c r="Q138" i="10"/>
  <c r="L138" i="6"/>
  <c r="J138" i="12" s="1"/>
  <c r="L138" i="12" s="1"/>
  <c r="J138" i="6"/>
  <c r="Q136" i="10"/>
  <c r="L136" i="6"/>
  <c r="J136" i="12" s="1"/>
  <c r="L136" i="12" s="1"/>
  <c r="J136" i="6"/>
  <c r="Q34" i="10"/>
  <c r="L34" i="6"/>
  <c r="J34" i="12" s="1"/>
  <c r="L34" i="12" s="1"/>
  <c r="J34" i="6"/>
  <c r="Q39" i="10"/>
  <c r="L39" i="6"/>
  <c r="J39" i="12" s="1"/>
  <c r="L39" i="12" s="1"/>
  <c r="J39" i="6"/>
  <c r="Q221" i="10"/>
  <c r="L221" i="6"/>
  <c r="J221" i="6"/>
  <c r="D15" i="5"/>
  <c r="Q25" i="10"/>
  <c r="L25" i="6"/>
  <c r="J25" i="12" s="1"/>
  <c r="L25" i="12" s="1"/>
  <c r="J25" i="6"/>
  <c r="Q7" i="10"/>
  <c r="J7" i="6"/>
  <c r="L7" i="6"/>
  <c r="J7" i="12" s="1"/>
  <c r="L7" i="12" s="1"/>
  <c r="Q14" i="10"/>
  <c r="L14" i="6"/>
  <c r="J14" i="12" s="1"/>
  <c r="L14" i="12" s="1"/>
  <c r="J14" i="6"/>
  <c r="Q177" i="10"/>
  <c r="L177" i="6"/>
  <c r="J177" i="12" s="1"/>
  <c r="L177" i="12" s="1"/>
  <c r="J177" i="6"/>
  <c r="Q175" i="10"/>
  <c r="J175" i="6"/>
  <c r="L175" i="6"/>
  <c r="J175" i="12" s="1"/>
  <c r="L175" i="12" s="1"/>
  <c r="I243" i="6"/>
  <c r="I244" i="6"/>
  <c r="L19" i="2"/>
  <c r="Q77" i="10"/>
  <c r="L77" i="6"/>
  <c r="J77" i="12" s="1"/>
  <c r="L77" i="12" s="1"/>
  <c r="J77" i="6"/>
  <c r="Q67" i="10"/>
  <c r="J67" i="6"/>
  <c r="L67" i="6"/>
  <c r="J67" i="12" s="1"/>
  <c r="L67" i="12" s="1"/>
  <c r="Q78" i="10"/>
  <c r="L78" i="6"/>
  <c r="J78" i="12" s="1"/>
  <c r="L78" i="12" s="1"/>
  <c r="J78" i="6"/>
  <c r="Q236" i="10"/>
  <c r="L236" i="6"/>
  <c r="J236" i="12" s="1"/>
  <c r="L236" i="12" s="1"/>
  <c r="J236" i="6"/>
  <c r="Q210" i="10"/>
  <c r="L210" i="6"/>
  <c r="J210" i="12" s="1"/>
  <c r="L210" i="12" s="1"/>
  <c r="J210" i="6"/>
  <c r="Q499" i="10"/>
  <c r="L499" i="6"/>
  <c r="J499" i="12" s="1"/>
  <c r="L499" i="12" s="1"/>
  <c r="J499" i="6"/>
  <c r="Q515" i="10"/>
  <c r="L515" i="6"/>
  <c r="J515" i="12" s="1"/>
  <c r="L515" i="12" s="1"/>
  <c r="J515" i="6"/>
  <c r="Q511" i="10"/>
  <c r="L511" i="6"/>
  <c r="J511" i="12" s="1"/>
  <c r="L511" i="12" s="1"/>
  <c r="J511" i="6"/>
  <c r="Q519" i="10"/>
  <c r="J519" i="6"/>
  <c r="L519" i="6"/>
  <c r="J519" i="12" s="1"/>
  <c r="L519" i="12" s="1"/>
  <c r="Q525" i="10"/>
  <c r="J525" i="6"/>
  <c r="L525" i="6"/>
  <c r="J525" i="12" s="1"/>
  <c r="L525" i="12" s="1"/>
  <c r="Q504" i="10"/>
  <c r="J504" i="6"/>
  <c r="L504" i="6"/>
  <c r="J504" i="12" s="1"/>
  <c r="L504" i="12" s="1"/>
  <c r="Q536" i="10"/>
  <c r="L536" i="6"/>
  <c r="J536" i="12" s="1"/>
  <c r="L536" i="12" s="1"/>
  <c r="J536" i="6"/>
  <c r="Q419" i="10"/>
  <c r="L419" i="6"/>
  <c r="J419" i="12" s="1"/>
  <c r="L419" i="12" s="1"/>
  <c r="J419" i="6"/>
  <c r="Q424" i="10"/>
  <c r="J424" i="6"/>
  <c r="L424" i="6"/>
  <c r="J424" i="12" s="1"/>
  <c r="L424" i="12" s="1"/>
  <c r="Q432" i="10"/>
  <c r="L432" i="6"/>
  <c r="J432" i="12" s="1"/>
  <c r="L432" i="12" s="1"/>
  <c r="J432" i="6"/>
  <c r="Q434" i="10"/>
  <c r="J434" i="6"/>
  <c r="L434" i="6"/>
  <c r="J434" i="12" s="1"/>
  <c r="L434" i="12" s="1"/>
  <c r="Q433" i="10"/>
  <c r="L433" i="6"/>
  <c r="J433" i="12" s="1"/>
  <c r="L433" i="12" s="1"/>
  <c r="J433" i="6"/>
  <c r="Q297" i="10"/>
  <c r="J297" i="6"/>
  <c r="L297" i="6"/>
  <c r="J297" i="12" s="1"/>
  <c r="L297" i="12" s="1"/>
  <c r="Q299" i="10"/>
  <c r="L299" i="6"/>
  <c r="J299" i="12" s="1"/>
  <c r="L299" i="12" s="1"/>
  <c r="J299" i="6"/>
  <c r="Q186" i="10"/>
  <c r="L186" i="6"/>
  <c r="J186" i="12" s="1"/>
  <c r="L186" i="12" s="1"/>
  <c r="J186" i="6"/>
  <c r="Q193" i="10"/>
  <c r="L193" i="6"/>
  <c r="J193" i="12" s="1"/>
  <c r="L193" i="12" s="1"/>
  <c r="J193" i="6"/>
  <c r="Q200" i="10"/>
  <c r="J200" i="6"/>
  <c r="L200" i="6"/>
  <c r="J200" i="12" s="1"/>
  <c r="L200" i="12" s="1"/>
  <c r="Q207" i="10"/>
  <c r="L207" i="6"/>
  <c r="J207" i="12" s="1"/>
  <c r="L207" i="12" s="1"/>
  <c r="J207" i="6"/>
  <c r="I407" i="6"/>
  <c r="I404" i="6"/>
  <c r="I405" i="6"/>
  <c r="I402" i="6"/>
  <c r="I406" i="6"/>
  <c r="I403" i="6"/>
  <c r="L27" i="2"/>
  <c r="M354" i="10"/>
  <c r="N354" i="10" s="1"/>
  <c r="O364" i="10"/>
  <c r="P364" i="10" s="1"/>
  <c r="P139" i="10"/>
  <c r="O139" i="10"/>
  <c r="M47" i="10"/>
  <c r="N47" i="10"/>
  <c r="Q469" i="10"/>
  <c r="L469" i="6"/>
  <c r="J469" i="12" s="1"/>
  <c r="L469" i="12" s="1"/>
  <c r="J469" i="6"/>
  <c r="M453" i="6"/>
  <c r="K453" i="6"/>
  <c r="Q311" i="10"/>
  <c r="J311" i="6"/>
  <c r="L311" i="6"/>
  <c r="J311" i="12" s="1"/>
  <c r="L311" i="12" s="1"/>
  <c r="Q254" i="10"/>
  <c r="L254" i="6"/>
  <c r="J254" i="12" s="1"/>
  <c r="L254" i="12" s="1"/>
  <c r="J254" i="6"/>
  <c r="Q145" i="10"/>
  <c r="J145" i="6"/>
  <c r="L145" i="6"/>
  <c r="J145" i="12" s="1"/>
  <c r="L145" i="12" s="1"/>
  <c r="Q68" i="10"/>
  <c r="L68" i="6"/>
  <c r="J68" i="12" s="1"/>
  <c r="L68" i="12" s="1"/>
  <c r="J68" i="6"/>
  <c r="Q495" i="10"/>
  <c r="J495" i="6"/>
  <c r="L495" i="6"/>
  <c r="J495" i="12" s="1"/>
  <c r="L495" i="12" s="1"/>
  <c r="Q205" i="10"/>
  <c r="L205" i="6"/>
  <c r="J205" i="12" s="1"/>
  <c r="L205" i="12" s="1"/>
  <c r="J205" i="6"/>
  <c r="M496" i="10"/>
  <c r="N496" i="10" s="1"/>
  <c r="N534" i="10"/>
  <c r="M534" i="10"/>
  <c r="N507" i="10"/>
  <c r="M507" i="10"/>
  <c r="M465" i="10"/>
  <c r="N465" i="10" s="1"/>
  <c r="M396" i="10"/>
  <c r="N396" i="10" s="1"/>
  <c r="M449" i="10"/>
  <c r="N449" i="10" s="1"/>
  <c r="N420" i="10"/>
  <c r="M420" i="10"/>
  <c r="M403" i="10"/>
  <c r="N403" i="10" s="1"/>
  <c r="N443" i="10"/>
  <c r="M443" i="10"/>
  <c r="N375" i="10"/>
  <c r="M375" i="10"/>
  <c r="N359" i="10"/>
  <c r="M359" i="10"/>
  <c r="L481" i="12"/>
  <c r="M437" i="10"/>
  <c r="N437" i="10"/>
  <c r="M448" i="10"/>
  <c r="N448" i="10" s="1"/>
  <c r="M374" i="10"/>
  <c r="N374" i="10" s="1"/>
  <c r="N358" i="10"/>
  <c r="M358" i="10"/>
  <c r="M468" i="10"/>
  <c r="N468" i="10" s="1"/>
  <c r="M430" i="10"/>
  <c r="N430" i="10" s="1"/>
  <c r="M461" i="10"/>
  <c r="N461" i="10" s="1"/>
  <c r="P368" i="10"/>
  <c r="O368" i="10"/>
  <c r="M312" i="10"/>
  <c r="N312" i="10" s="1"/>
  <c r="M295" i="10"/>
  <c r="N295" i="10" s="1"/>
  <c r="M278" i="10"/>
  <c r="N278" i="10" s="1"/>
  <c r="P434" i="10"/>
  <c r="O434" i="10"/>
  <c r="M332" i="10"/>
  <c r="N332" i="10"/>
  <c r="M311" i="10"/>
  <c r="N311" i="10" s="1"/>
  <c r="M277" i="10"/>
  <c r="N277" i="10" s="1"/>
  <c r="N310" i="10"/>
  <c r="M310" i="10"/>
  <c r="M276" i="10"/>
  <c r="N276" i="10" s="1"/>
  <c r="M342" i="10"/>
  <c r="N342" i="10" s="1"/>
  <c r="L348" i="12"/>
  <c r="N169" i="10"/>
  <c r="M169" i="10"/>
  <c r="O264" i="10"/>
  <c r="P264" i="10" s="1"/>
  <c r="N195" i="10"/>
  <c r="M195" i="10"/>
  <c r="M158" i="10"/>
  <c r="N158" i="10" s="1"/>
  <c r="M110" i="10"/>
  <c r="N110" i="10" s="1"/>
  <c r="O256" i="10"/>
  <c r="P256" i="10" s="1"/>
  <c r="N203" i="10"/>
  <c r="M203" i="10"/>
  <c r="N163" i="10"/>
  <c r="M163" i="10"/>
  <c r="N190" i="10"/>
  <c r="M190" i="10"/>
  <c r="M162" i="10"/>
  <c r="N162" i="10"/>
  <c r="M146" i="10"/>
  <c r="N146" i="10" s="1"/>
  <c r="N123" i="10"/>
  <c r="M123" i="10"/>
  <c r="N107" i="10"/>
  <c r="M107" i="10"/>
  <c r="M78" i="10"/>
  <c r="N78" i="10" s="1"/>
  <c r="M18" i="10"/>
  <c r="N18" i="10" s="1"/>
  <c r="N52" i="10"/>
  <c r="M52" i="10"/>
  <c r="N49" i="10"/>
  <c r="M49" i="10"/>
  <c r="L6" i="11"/>
  <c r="M6" i="11" s="1"/>
  <c r="Q549" i="10"/>
  <c r="L549" i="6"/>
  <c r="J549" i="6"/>
  <c r="D33" i="5"/>
  <c r="Q467" i="10"/>
  <c r="J467" i="6"/>
  <c r="L467" i="6"/>
  <c r="J467" i="12" s="1"/>
  <c r="L467" i="12" s="1"/>
  <c r="Q461" i="10"/>
  <c r="J461" i="6"/>
  <c r="L461" i="6"/>
  <c r="J461" i="12" s="1"/>
  <c r="L461" i="12" s="1"/>
  <c r="M540" i="6"/>
  <c r="K540" i="6"/>
  <c r="M481" i="6"/>
  <c r="K481" i="6"/>
  <c r="M479" i="6"/>
  <c r="K479" i="6"/>
  <c r="Q546" i="10"/>
  <c r="J546" i="6"/>
  <c r="L546" i="6"/>
  <c r="J546" i="12" s="1"/>
  <c r="L546" i="12" s="1"/>
  <c r="Q477" i="10"/>
  <c r="L477" i="6"/>
  <c r="J477" i="12" s="1"/>
  <c r="L477" i="12" s="1"/>
  <c r="J477" i="6"/>
  <c r="K454" i="6"/>
  <c r="M454" i="6"/>
  <c r="M457" i="6"/>
  <c r="K457" i="6"/>
  <c r="M463" i="6"/>
  <c r="K463" i="6"/>
  <c r="Q351" i="10"/>
  <c r="L351" i="6"/>
  <c r="J351" i="12" s="1"/>
  <c r="L351" i="12" s="1"/>
  <c r="J351" i="6"/>
  <c r="Q320" i="10"/>
  <c r="L320" i="6"/>
  <c r="J320" i="12" s="1"/>
  <c r="L320" i="12" s="1"/>
  <c r="J320" i="6"/>
  <c r="Q308" i="10"/>
  <c r="L308" i="6"/>
  <c r="J308" i="12" s="1"/>
  <c r="L308" i="12" s="1"/>
  <c r="J308" i="6"/>
  <c r="Q305" i="10"/>
  <c r="L305" i="6"/>
  <c r="J305" i="12" s="1"/>
  <c r="L305" i="12" s="1"/>
  <c r="J305" i="6"/>
  <c r="Q337" i="10"/>
  <c r="L337" i="6"/>
  <c r="J337" i="12" s="1"/>
  <c r="L337" i="12" s="1"/>
  <c r="J337" i="6"/>
  <c r="Q388" i="10"/>
  <c r="J388" i="6"/>
  <c r="L388" i="6"/>
  <c r="J388" i="12" s="1"/>
  <c r="L388" i="12" s="1"/>
  <c r="Q367" i="10"/>
  <c r="L367" i="6"/>
  <c r="J367" i="12" s="1"/>
  <c r="L367" i="12" s="1"/>
  <c r="J367" i="6"/>
  <c r="Q335" i="10"/>
  <c r="J335" i="6"/>
  <c r="L335" i="6"/>
  <c r="J335" i="12" s="1"/>
  <c r="L335" i="12" s="1"/>
  <c r="Q310" i="10"/>
  <c r="J310" i="6"/>
  <c r="L310" i="6"/>
  <c r="J310" i="12" s="1"/>
  <c r="L310" i="12" s="1"/>
  <c r="Q342" i="10"/>
  <c r="J342" i="6"/>
  <c r="L342" i="6"/>
  <c r="J342" i="12" s="1"/>
  <c r="L342" i="12" s="1"/>
  <c r="Q361" i="10"/>
  <c r="J361" i="6"/>
  <c r="L361" i="6"/>
  <c r="J361" i="12" s="1"/>
  <c r="L361" i="12" s="1"/>
  <c r="Q276" i="10"/>
  <c r="J276" i="6"/>
  <c r="L276" i="6"/>
  <c r="D22" i="5"/>
  <c r="Q50" i="10"/>
  <c r="L50" i="6"/>
  <c r="J50" i="12" s="1"/>
  <c r="L50" i="12" s="1"/>
  <c r="J50" i="6"/>
  <c r="Q52" i="10"/>
  <c r="L52" i="6"/>
  <c r="J52" i="12" s="1"/>
  <c r="L52" i="12" s="1"/>
  <c r="J52" i="6"/>
  <c r="Q162" i="10"/>
  <c r="J162" i="6"/>
  <c r="L162" i="6"/>
  <c r="J162" i="12" s="1"/>
  <c r="L162" i="12" s="1"/>
  <c r="Q161" i="10"/>
  <c r="L161" i="6"/>
  <c r="J161" i="12" s="1"/>
  <c r="L161" i="12" s="1"/>
  <c r="J161" i="6"/>
  <c r="Q232" i="10"/>
  <c r="J232" i="6"/>
  <c r="L232" i="6"/>
  <c r="J232" i="12" s="1"/>
  <c r="L232" i="12" s="1"/>
  <c r="Q395" i="10"/>
  <c r="J395" i="6"/>
  <c r="L395" i="6"/>
  <c r="J395" i="12" s="1"/>
  <c r="L395" i="12" s="1"/>
  <c r="Q260" i="10"/>
  <c r="L260" i="6"/>
  <c r="J260" i="12" s="1"/>
  <c r="L260" i="12" s="1"/>
  <c r="J260" i="6"/>
  <c r="Q267" i="10"/>
  <c r="L267" i="6"/>
  <c r="J267" i="12" s="1"/>
  <c r="L267" i="12" s="1"/>
  <c r="J267" i="6"/>
  <c r="Q246" i="10"/>
  <c r="L246" i="6"/>
  <c r="J246" i="6"/>
  <c r="D20" i="5"/>
  <c r="Q269" i="10"/>
  <c r="L269" i="6"/>
  <c r="J269" i="12" s="1"/>
  <c r="L269" i="12" s="1"/>
  <c r="J269" i="6"/>
  <c r="Q121" i="10"/>
  <c r="J121" i="6"/>
  <c r="L121" i="6"/>
  <c r="J121" i="12" s="1"/>
  <c r="L121" i="12" s="1"/>
  <c r="Q101" i="10"/>
  <c r="L101" i="6"/>
  <c r="J101" i="12" s="1"/>
  <c r="L101" i="12" s="1"/>
  <c r="J101" i="6"/>
  <c r="Q96" i="10"/>
  <c r="J96" i="6"/>
  <c r="L96" i="6"/>
  <c r="J96" i="12" s="1"/>
  <c r="L96" i="12" s="1"/>
  <c r="Q114" i="10"/>
  <c r="J114" i="6"/>
  <c r="L114" i="6"/>
  <c r="J114" i="12" s="1"/>
  <c r="L114" i="12" s="1"/>
  <c r="Q91" i="10"/>
  <c r="L91" i="6"/>
  <c r="J91" i="12" s="1"/>
  <c r="L91" i="12" s="1"/>
  <c r="J91" i="6"/>
  <c r="Q115" i="10"/>
  <c r="L115" i="6"/>
  <c r="J115" i="12" s="1"/>
  <c r="L115" i="12" s="1"/>
  <c r="J115" i="6"/>
  <c r="Q147" i="10"/>
  <c r="J147" i="6"/>
  <c r="L147" i="6"/>
  <c r="J147" i="12" s="1"/>
  <c r="L147" i="12" s="1"/>
  <c r="Q142" i="10"/>
  <c r="L142" i="6"/>
  <c r="J142" i="12" s="1"/>
  <c r="L142" i="12" s="1"/>
  <c r="J142" i="6"/>
  <c r="Q140" i="10"/>
  <c r="L140" i="6"/>
  <c r="J140" i="12" s="1"/>
  <c r="L140" i="12" s="1"/>
  <c r="J140" i="6"/>
  <c r="Q38" i="10"/>
  <c r="L38" i="6"/>
  <c r="J38" i="12" s="1"/>
  <c r="L38" i="12" s="1"/>
  <c r="J38" i="6"/>
  <c r="I27" i="6"/>
  <c r="I23" i="6"/>
  <c r="I19" i="6"/>
  <c r="I15" i="6"/>
  <c r="I11" i="6"/>
  <c r="I7" i="6"/>
  <c r="I28" i="6"/>
  <c r="I24" i="6"/>
  <c r="I20" i="6"/>
  <c r="I16" i="6"/>
  <c r="I12" i="6"/>
  <c r="I8" i="6"/>
  <c r="I29" i="6"/>
  <c r="I25" i="6"/>
  <c r="I21" i="6"/>
  <c r="I17" i="6"/>
  <c r="I13" i="6"/>
  <c r="I9" i="6"/>
  <c r="I26" i="6"/>
  <c r="I10" i="6"/>
  <c r="I14" i="6"/>
  <c r="I18" i="6"/>
  <c r="I22" i="6"/>
  <c r="L5" i="2"/>
  <c r="I6" i="6"/>
  <c r="Q21" i="10"/>
  <c r="L21" i="6"/>
  <c r="J21" i="12" s="1"/>
  <c r="L21" i="12" s="1"/>
  <c r="J21" i="6"/>
  <c r="Q11" i="10"/>
  <c r="J11" i="6"/>
  <c r="L11" i="6"/>
  <c r="J11" i="12" s="1"/>
  <c r="L11" i="12" s="1"/>
  <c r="Q18" i="10"/>
  <c r="L18" i="6"/>
  <c r="J18" i="12" s="1"/>
  <c r="L18" i="12" s="1"/>
  <c r="J18" i="6"/>
  <c r="Q181" i="10"/>
  <c r="L181" i="6"/>
  <c r="J181" i="12" s="1"/>
  <c r="L181" i="12" s="1"/>
  <c r="J181" i="6"/>
  <c r="Q179" i="10"/>
  <c r="J179" i="6"/>
  <c r="L179" i="6"/>
  <c r="J179" i="12" s="1"/>
  <c r="L179" i="12" s="1"/>
  <c r="Q244" i="10"/>
  <c r="L244" i="6"/>
  <c r="J244" i="12" s="1"/>
  <c r="L244" i="12" s="1"/>
  <c r="J244" i="6"/>
  <c r="Q73" i="10"/>
  <c r="L73" i="6"/>
  <c r="J73" i="12" s="1"/>
  <c r="L73" i="12" s="1"/>
  <c r="J73" i="6"/>
  <c r="Q71" i="10"/>
  <c r="J71" i="6"/>
  <c r="L71" i="6"/>
  <c r="J71" i="12" s="1"/>
  <c r="L71" i="12" s="1"/>
  <c r="I238" i="6"/>
  <c r="I234" i="6"/>
  <c r="I239" i="6"/>
  <c r="I235" i="6"/>
  <c r="I237" i="6"/>
  <c r="I236" i="6"/>
  <c r="I241" i="6"/>
  <c r="I240" i="6"/>
  <c r="L18" i="2"/>
  <c r="Q240" i="10"/>
  <c r="L240" i="6"/>
  <c r="J240" i="12" s="1"/>
  <c r="L240" i="12" s="1"/>
  <c r="J240" i="6"/>
  <c r="Q214" i="10"/>
  <c r="L214" i="6"/>
  <c r="J214" i="12" s="1"/>
  <c r="L214" i="12" s="1"/>
  <c r="J214" i="6"/>
  <c r="Q507" i="10"/>
  <c r="J507" i="6"/>
  <c r="L507" i="6"/>
  <c r="J507" i="12" s="1"/>
  <c r="L507" i="12" s="1"/>
  <c r="Q518" i="10"/>
  <c r="L518" i="6"/>
  <c r="J518" i="12" s="1"/>
  <c r="L518" i="12" s="1"/>
  <c r="J518" i="6"/>
  <c r="Q514" i="10"/>
  <c r="L514" i="6"/>
  <c r="J514" i="12" s="1"/>
  <c r="L514" i="12" s="1"/>
  <c r="J514" i="6"/>
  <c r="Q522" i="10"/>
  <c r="L522" i="6"/>
  <c r="J522" i="12" s="1"/>
  <c r="L522" i="12" s="1"/>
  <c r="J522" i="6"/>
  <c r="Q529" i="10"/>
  <c r="J529" i="6"/>
  <c r="L529" i="6"/>
  <c r="J529" i="12" s="1"/>
  <c r="L529" i="12" s="1"/>
  <c r="Q508" i="10"/>
  <c r="L508" i="6"/>
  <c r="J508" i="12" s="1"/>
  <c r="L508" i="12" s="1"/>
  <c r="J508" i="6"/>
  <c r="I448" i="6"/>
  <c r="I446" i="6"/>
  <c r="I443" i="6"/>
  <c r="I440" i="6"/>
  <c r="I437" i="6"/>
  <c r="I414" i="6"/>
  <c r="I411" i="6"/>
  <c r="I438" i="6"/>
  <c r="I435" i="6"/>
  <c r="I432" i="6"/>
  <c r="I429" i="6"/>
  <c r="I449" i="6"/>
  <c r="I444" i="6"/>
  <c r="I441" i="6"/>
  <c r="I418" i="6"/>
  <c r="I415" i="6"/>
  <c r="I412" i="6"/>
  <c r="I409" i="6"/>
  <c r="I447" i="6"/>
  <c r="I430" i="6"/>
  <c r="I427" i="6"/>
  <c r="I424" i="6"/>
  <c r="I421" i="6"/>
  <c r="I442" i="6"/>
  <c r="I439" i="6"/>
  <c r="I436" i="6"/>
  <c r="I433" i="6"/>
  <c r="I410" i="6"/>
  <c r="I445" i="6"/>
  <c r="I422" i="6"/>
  <c r="I419" i="6"/>
  <c r="I416" i="6"/>
  <c r="I413" i="6"/>
  <c r="I426" i="6"/>
  <c r="I420" i="6"/>
  <c r="I431" i="6"/>
  <c r="I425" i="6"/>
  <c r="I423" i="6"/>
  <c r="I417" i="6"/>
  <c r="I434" i="6"/>
  <c r="I428" i="6"/>
  <c r="L28" i="2"/>
  <c r="Q414" i="10"/>
  <c r="J414" i="6"/>
  <c r="L414" i="6"/>
  <c r="J414" i="12" s="1"/>
  <c r="L414" i="12" s="1"/>
  <c r="Q427" i="10"/>
  <c r="L427" i="6"/>
  <c r="J427" i="12" s="1"/>
  <c r="L427" i="12" s="1"/>
  <c r="J427" i="6"/>
  <c r="Q435" i="10"/>
  <c r="L435" i="6"/>
  <c r="J435" i="12" s="1"/>
  <c r="L435" i="12" s="1"/>
  <c r="J435" i="6"/>
  <c r="Q448" i="10"/>
  <c r="L448" i="6"/>
  <c r="J448" i="12" s="1"/>
  <c r="L448" i="12" s="1"/>
  <c r="J448" i="6"/>
  <c r="Q437" i="10"/>
  <c r="L437" i="6"/>
  <c r="J437" i="12" s="1"/>
  <c r="L437" i="12" s="1"/>
  <c r="J437" i="6"/>
  <c r="Q295" i="10"/>
  <c r="L295" i="6"/>
  <c r="J295" i="12" s="1"/>
  <c r="L295" i="12" s="1"/>
  <c r="J295" i="6"/>
  <c r="Q288" i="10"/>
  <c r="J288" i="6"/>
  <c r="D23" i="5"/>
  <c r="L288" i="6"/>
  <c r="Q190" i="10"/>
  <c r="L190" i="6"/>
  <c r="J190" i="12" s="1"/>
  <c r="L190" i="12" s="1"/>
  <c r="J190" i="6"/>
  <c r="Q197" i="10"/>
  <c r="L197" i="6"/>
  <c r="J197" i="12" s="1"/>
  <c r="L197" i="12" s="1"/>
  <c r="J197" i="6"/>
  <c r="Q204" i="10"/>
  <c r="J204" i="6"/>
  <c r="L204" i="6"/>
  <c r="J204" i="12" s="1"/>
  <c r="L204" i="12" s="1"/>
  <c r="M526" i="10"/>
  <c r="N526" i="10" s="1"/>
  <c r="M460" i="10"/>
  <c r="N460" i="10" s="1"/>
  <c r="N395" i="10"/>
  <c r="M395" i="10"/>
  <c r="M438" i="10"/>
  <c r="N438" i="10" s="1"/>
  <c r="M371" i="10"/>
  <c r="N371" i="10" s="1"/>
  <c r="M435" i="10"/>
  <c r="N435" i="10" s="1"/>
  <c r="P380" i="10"/>
  <c r="O380" i="10"/>
  <c r="M303" i="10"/>
  <c r="N303" i="10" s="1"/>
  <c r="M329" i="10"/>
  <c r="N329" i="10" s="1"/>
  <c r="O325" i="10"/>
  <c r="P325" i="10" s="1"/>
  <c r="N74" i="10"/>
  <c r="M74" i="10"/>
  <c r="O34" i="10"/>
  <c r="P34" i="10"/>
  <c r="K545" i="6"/>
  <c r="M545" i="6"/>
  <c r="M472" i="6"/>
  <c r="K472" i="6"/>
  <c r="Q547" i="10"/>
  <c r="L547" i="6"/>
  <c r="J547" i="12" s="1"/>
  <c r="L547" i="12" s="1"/>
  <c r="J547" i="6"/>
  <c r="Q545" i="10"/>
  <c r="L545" i="6"/>
  <c r="J545" i="12" s="1"/>
  <c r="L545" i="12" s="1"/>
  <c r="J545" i="6"/>
  <c r="M466" i="6"/>
  <c r="K466" i="6"/>
  <c r="Q313" i="10"/>
  <c r="L313" i="6"/>
  <c r="J313" i="12" s="1"/>
  <c r="L313" i="12" s="1"/>
  <c r="J313" i="6"/>
  <c r="Q343" i="10"/>
  <c r="J343" i="6"/>
  <c r="L343" i="6"/>
  <c r="J343" i="12" s="1"/>
  <c r="L343" i="12" s="1"/>
  <c r="Q363" i="10"/>
  <c r="L363" i="6"/>
  <c r="J363" i="12" s="1"/>
  <c r="L363" i="12" s="1"/>
  <c r="J363" i="6"/>
  <c r="Q279" i="10"/>
  <c r="L279" i="6"/>
  <c r="J279" i="12" s="1"/>
  <c r="L279" i="12" s="1"/>
  <c r="J279" i="6"/>
  <c r="Q148" i="10"/>
  <c r="L148" i="6"/>
  <c r="J148" i="12" s="1"/>
  <c r="L148" i="12" s="1"/>
  <c r="J148" i="6"/>
  <c r="Q170" i="10"/>
  <c r="L170" i="6"/>
  <c r="J170" i="12" s="1"/>
  <c r="L170" i="12" s="1"/>
  <c r="J170" i="6"/>
  <c r="Q239" i="10"/>
  <c r="L239" i="6"/>
  <c r="J239" i="12" s="1"/>
  <c r="L239" i="12" s="1"/>
  <c r="J239" i="6"/>
  <c r="Q516" i="10"/>
  <c r="J516" i="6"/>
  <c r="L516" i="6"/>
  <c r="J516" i="12" s="1"/>
  <c r="L516" i="12" s="1"/>
  <c r="Q187" i="10"/>
  <c r="L187" i="6"/>
  <c r="J187" i="12" s="1"/>
  <c r="L187" i="12" s="1"/>
  <c r="J187" i="6"/>
  <c r="M529" i="10"/>
  <c r="N529" i="10" s="1"/>
  <c r="N497" i="10"/>
  <c r="M497" i="10"/>
  <c r="M536" i="10"/>
  <c r="N536" i="10" s="1"/>
  <c r="N486" i="10"/>
  <c r="M486" i="10"/>
  <c r="M466" i="10"/>
  <c r="N466" i="10"/>
  <c r="N546" i="10"/>
  <c r="M546" i="10"/>
  <c r="N524" i="10"/>
  <c r="M524" i="10"/>
  <c r="N492" i="10"/>
  <c r="M492" i="10"/>
  <c r="M499" i="10"/>
  <c r="N499" i="10" s="1"/>
  <c r="N417" i="10"/>
  <c r="M417" i="10"/>
  <c r="N398" i="10"/>
  <c r="M398" i="10"/>
  <c r="N440" i="10"/>
  <c r="M440" i="10"/>
  <c r="M436" i="10"/>
  <c r="N436" i="10"/>
  <c r="N419" i="10"/>
  <c r="M419" i="10"/>
  <c r="N402" i="10"/>
  <c r="M402" i="10"/>
  <c r="N446" i="10"/>
  <c r="M446" i="10"/>
  <c r="L468" i="12"/>
  <c r="M426" i="10"/>
  <c r="N426" i="10" s="1"/>
  <c r="M381" i="10"/>
  <c r="N381" i="10" s="1"/>
  <c r="N365" i="10"/>
  <c r="M365" i="10"/>
  <c r="M337" i="10"/>
  <c r="N337" i="10" s="1"/>
  <c r="M307" i="10"/>
  <c r="N307" i="10" s="1"/>
  <c r="M272" i="10"/>
  <c r="N272" i="10" s="1"/>
  <c r="N255" i="10"/>
  <c r="M255" i="10"/>
  <c r="M237" i="10"/>
  <c r="N237" i="10" s="1"/>
  <c r="M217" i="10"/>
  <c r="N217" i="10" s="1"/>
  <c r="M200" i="10"/>
  <c r="N200" i="10"/>
  <c r="M184" i="10"/>
  <c r="N184" i="10" s="1"/>
  <c r="O344" i="10"/>
  <c r="P344" i="10" s="1"/>
  <c r="M306" i="10"/>
  <c r="N306" i="10" s="1"/>
  <c r="M270" i="10"/>
  <c r="N270" i="10" s="1"/>
  <c r="N250" i="10"/>
  <c r="M250" i="10"/>
  <c r="M231" i="10"/>
  <c r="N231" i="10" s="1"/>
  <c r="M212" i="10"/>
  <c r="N212" i="10" s="1"/>
  <c r="M317" i="10"/>
  <c r="N317" i="10" s="1"/>
  <c r="N300" i="10"/>
  <c r="M300" i="10"/>
  <c r="M283" i="10"/>
  <c r="N283" i="10" s="1"/>
  <c r="M265" i="10"/>
  <c r="N265" i="10" s="1"/>
  <c r="M249" i="10"/>
  <c r="N249" i="10" s="1"/>
  <c r="N230" i="10"/>
  <c r="M230" i="10"/>
  <c r="M211" i="10"/>
  <c r="N211" i="10" s="1"/>
  <c r="M194" i="10"/>
  <c r="N194" i="10" s="1"/>
  <c r="M343" i="10"/>
  <c r="N343" i="10" s="1"/>
  <c r="P229" i="10"/>
  <c r="O229" i="10"/>
  <c r="M106" i="10"/>
  <c r="N106" i="10"/>
  <c r="O218" i="10"/>
  <c r="P218" i="10" s="1"/>
  <c r="M145" i="10"/>
  <c r="N145" i="10"/>
  <c r="M149" i="10"/>
  <c r="N149" i="10" s="1"/>
  <c r="M121" i="10"/>
  <c r="N121" i="10" s="1"/>
  <c r="M105" i="10"/>
  <c r="N105" i="10" s="1"/>
  <c r="M89" i="10"/>
  <c r="N89" i="10" s="1"/>
  <c r="N72" i="10"/>
  <c r="M72" i="10"/>
  <c r="M54" i="10"/>
  <c r="N54" i="10" s="1"/>
  <c r="M37" i="10"/>
  <c r="N37" i="10" s="1"/>
  <c r="M168" i="10"/>
  <c r="N168" i="10" s="1"/>
  <c r="N124" i="10"/>
  <c r="M124" i="10"/>
  <c r="M108" i="10"/>
  <c r="N108" i="10" s="1"/>
  <c r="M92" i="10"/>
  <c r="N92" i="10" s="1"/>
  <c r="M75" i="10"/>
  <c r="N75" i="10" s="1"/>
  <c r="N135" i="10"/>
  <c r="M135" i="10"/>
  <c r="M140" i="10"/>
  <c r="N140" i="10" s="1"/>
  <c r="N103" i="10"/>
  <c r="M103" i="10"/>
  <c r="P77" i="10"/>
  <c r="O77" i="10"/>
  <c r="N17" i="10"/>
  <c r="M17" i="10"/>
  <c r="M25" i="10"/>
  <c r="N25" i="10" s="1"/>
  <c r="M6" i="10"/>
  <c r="N6" i="10" s="1"/>
  <c r="M26" i="10"/>
  <c r="N26" i="10" s="1"/>
  <c r="P41" i="10"/>
  <c r="O41" i="10"/>
  <c r="Q551" i="10"/>
  <c r="J551" i="6"/>
  <c r="L551" i="6"/>
  <c r="J551" i="12" s="1"/>
  <c r="L551" i="12" s="1"/>
  <c r="Q455" i="10"/>
  <c r="J455" i="6"/>
  <c r="L455" i="6"/>
  <c r="J455" i="12" s="1"/>
  <c r="L455" i="12" s="1"/>
  <c r="Q465" i="10"/>
  <c r="L465" i="6"/>
  <c r="J465" i="12" s="1"/>
  <c r="L465" i="12" s="1"/>
  <c r="J465" i="6"/>
  <c r="K543" i="6"/>
  <c r="M543" i="6"/>
  <c r="M475" i="6"/>
  <c r="K475" i="6"/>
  <c r="M482" i="6"/>
  <c r="K482" i="6"/>
  <c r="Q540" i="10"/>
  <c r="L540" i="6"/>
  <c r="J540" i="12" s="1"/>
  <c r="L540" i="12" s="1"/>
  <c r="J540" i="6"/>
  <c r="Q541" i="10"/>
  <c r="J541" i="6"/>
  <c r="L541" i="6"/>
  <c r="J541" i="12" s="1"/>
  <c r="L541" i="12" s="1"/>
  <c r="Q482" i="10"/>
  <c r="L482" i="6"/>
  <c r="J482" i="12" s="1"/>
  <c r="L482" i="12" s="1"/>
  <c r="J482" i="6"/>
  <c r="M451" i="6"/>
  <c r="K451" i="6"/>
  <c r="K464" i="6"/>
  <c r="M464" i="6"/>
  <c r="M465" i="6"/>
  <c r="K465" i="6"/>
  <c r="Q306" i="10"/>
  <c r="J306" i="6"/>
  <c r="L306" i="6"/>
  <c r="J306" i="12" s="1"/>
  <c r="L306" i="12" s="1"/>
  <c r="Q346" i="10"/>
  <c r="J346" i="6"/>
  <c r="L346" i="6"/>
  <c r="J346" i="12" s="1"/>
  <c r="L346" i="12" s="1"/>
  <c r="Q332" i="10"/>
  <c r="L332" i="6"/>
  <c r="J332" i="12" s="1"/>
  <c r="L332" i="12" s="1"/>
  <c r="J332" i="6"/>
  <c r="Q309" i="10"/>
  <c r="L309" i="6"/>
  <c r="J309" i="12" s="1"/>
  <c r="L309" i="12" s="1"/>
  <c r="J309" i="6"/>
  <c r="Q341" i="10"/>
  <c r="L341" i="6"/>
  <c r="J341" i="12" s="1"/>
  <c r="L341" i="12" s="1"/>
  <c r="J341" i="6"/>
  <c r="Q344" i="10"/>
  <c r="L344" i="6"/>
  <c r="J344" i="12" s="1"/>
  <c r="L344" i="12" s="1"/>
  <c r="J344" i="6"/>
  <c r="Q370" i="10"/>
  <c r="J370" i="6"/>
  <c r="L370" i="6"/>
  <c r="J370" i="12" s="1"/>
  <c r="L370" i="12" s="1"/>
  <c r="Q339" i="10"/>
  <c r="J339" i="6"/>
  <c r="L339" i="6"/>
  <c r="J339" i="12" s="1"/>
  <c r="L339" i="12" s="1"/>
  <c r="Q314" i="10"/>
  <c r="J314" i="6"/>
  <c r="L314" i="6"/>
  <c r="J314" i="12" s="1"/>
  <c r="L314" i="12" s="1"/>
  <c r="Q360" i="10"/>
  <c r="L360" i="6"/>
  <c r="J360" i="12" s="1"/>
  <c r="L360" i="12" s="1"/>
  <c r="J360" i="6"/>
  <c r="Q365" i="10"/>
  <c r="L365" i="6"/>
  <c r="J365" i="12" s="1"/>
  <c r="L365" i="12" s="1"/>
  <c r="J365" i="6"/>
  <c r="Q285" i="10"/>
  <c r="L285" i="6"/>
  <c r="J285" i="12" s="1"/>
  <c r="L285" i="12" s="1"/>
  <c r="J285" i="6"/>
  <c r="Q281" i="10"/>
  <c r="L281" i="6"/>
  <c r="J281" i="12" s="1"/>
  <c r="L281" i="12" s="1"/>
  <c r="J281" i="6"/>
  <c r="Q54" i="10"/>
  <c r="L54" i="6"/>
  <c r="J54" i="12" s="1"/>
  <c r="L54" i="12" s="1"/>
  <c r="J54" i="6"/>
  <c r="Q56" i="10"/>
  <c r="L56" i="6"/>
  <c r="J56" i="12" s="1"/>
  <c r="L56" i="12" s="1"/>
  <c r="J56" i="6"/>
  <c r="Q272" i="10"/>
  <c r="L272" i="6"/>
  <c r="J272" i="6"/>
  <c r="D21" i="5"/>
  <c r="Q156" i="10"/>
  <c r="J156" i="6"/>
  <c r="L156" i="6"/>
  <c r="J156" i="12" s="1"/>
  <c r="L156" i="12" s="1"/>
  <c r="Q231" i="10"/>
  <c r="L231" i="6"/>
  <c r="J231" i="12" s="1"/>
  <c r="L231" i="12" s="1"/>
  <c r="J231" i="6"/>
  <c r="Q391" i="10"/>
  <c r="J391" i="6"/>
  <c r="L391" i="6"/>
  <c r="D25" i="5"/>
  <c r="Q268" i="10"/>
  <c r="J268" i="6"/>
  <c r="L268" i="6"/>
  <c r="J268" i="12" s="1"/>
  <c r="L268" i="12" s="1"/>
  <c r="Q248" i="10"/>
  <c r="L248" i="6"/>
  <c r="J248" i="12" s="1"/>
  <c r="L248" i="12" s="1"/>
  <c r="J248" i="6"/>
  <c r="Q250" i="10"/>
  <c r="L250" i="6"/>
  <c r="J250" i="12" s="1"/>
  <c r="L250" i="12" s="1"/>
  <c r="J250" i="6"/>
  <c r="Q113" i="10"/>
  <c r="L113" i="6"/>
  <c r="J113" i="12" s="1"/>
  <c r="L113" i="12" s="1"/>
  <c r="J113" i="6"/>
  <c r="Q108" i="10"/>
  <c r="J108" i="6"/>
  <c r="L108" i="6"/>
  <c r="J108" i="12" s="1"/>
  <c r="L108" i="12" s="1"/>
  <c r="Q105" i="10"/>
  <c r="L105" i="6"/>
  <c r="J105" i="12" s="1"/>
  <c r="L105" i="12" s="1"/>
  <c r="J105" i="6"/>
  <c r="Q116" i="10"/>
  <c r="J116" i="6"/>
  <c r="L116" i="6"/>
  <c r="J116" i="12" s="1"/>
  <c r="L116" i="12" s="1"/>
  <c r="Q102" i="10"/>
  <c r="L102" i="6"/>
  <c r="J102" i="12" s="1"/>
  <c r="L102" i="12" s="1"/>
  <c r="J102" i="6"/>
  <c r="Q119" i="10"/>
  <c r="J119" i="6"/>
  <c r="L119" i="6"/>
  <c r="J119" i="12" s="1"/>
  <c r="L119" i="12" s="1"/>
  <c r="Q151" i="10"/>
  <c r="J151" i="6"/>
  <c r="L151" i="6"/>
  <c r="J151" i="12" s="1"/>
  <c r="L151" i="12" s="1"/>
  <c r="Q146" i="10"/>
  <c r="L146" i="6"/>
  <c r="J146" i="12" s="1"/>
  <c r="L146" i="12" s="1"/>
  <c r="J146" i="6"/>
  <c r="Q144" i="10"/>
  <c r="L144" i="6"/>
  <c r="J144" i="12" s="1"/>
  <c r="L144" i="12" s="1"/>
  <c r="J144" i="6"/>
  <c r="Q33" i="10"/>
  <c r="L33" i="6"/>
  <c r="J33" i="12" s="1"/>
  <c r="L33" i="12" s="1"/>
  <c r="J33" i="6"/>
  <c r="I223" i="6"/>
  <c r="I224" i="6"/>
  <c r="I222" i="6"/>
  <c r="I221" i="6"/>
  <c r="L15" i="2"/>
  <c r="Q8" i="10"/>
  <c r="L8" i="6"/>
  <c r="J8" i="12" s="1"/>
  <c r="L8" i="12" s="1"/>
  <c r="J8" i="6"/>
  <c r="Q15" i="10"/>
  <c r="J15" i="6"/>
  <c r="L15" i="6"/>
  <c r="J15" i="12" s="1"/>
  <c r="L15" i="12" s="1"/>
  <c r="Q22" i="10"/>
  <c r="L22" i="6"/>
  <c r="J22" i="12" s="1"/>
  <c r="L22" i="12" s="1"/>
  <c r="J22" i="6"/>
  <c r="Q168" i="10"/>
  <c r="L168" i="6"/>
  <c r="J168" i="12" s="1"/>
  <c r="L168" i="12" s="1"/>
  <c r="J168" i="6"/>
  <c r="Q166" i="10"/>
  <c r="L166" i="6"/>
  <c r="J166" i="6"/>
  <c r="D12" i="5"/>
  <c r="Q243" i="10"/>
  <c r="L243" i="6"/>
  <c r="J243" i="6"/>
  <c r="D19" i="5"/>
  <c r="Q64" i="10"/>
  <c r="L64" i="6"/>
  <c r="J64" i="12" s="1"/>
  <c r="L64" i="12" s="1"/>
  <c r="J64" i="6"/>
  <c r="Q75" i="10"/>
  <c r="J75" i="6"/>
  <c r="L75" i="6"/>
  <c r="J75" i="12" s="1"/>
  <c r="L75" i="12" s="1"/>
  <c r="Q235" i="10"/>
  <c r="L235" i="6"/>
  <c r="J235" i="12" s="1"/>
  <c r="L235" i="12" s="1"/>
  <c r="J235" i="6"/>
  <c r="I218" i="6"/>
  <c r="I214" i="6"/>
  <c r="I210" i="6"/>
  <c r="I219" i="6"/>
  <c r="I215" i="6"/>
  <c r="I211" i="6"/>
  <c r="I213" i="6"/>
  <c r="I212" i="6"/>
  <c r="I217" i="6"/>
  <c r="I216" i="6"/>
  <c r="L14" i="2"/>
  <c r="I209" i="6"/>
  <c r="Q218" i="10"/>
  <c r="L218" i="6"/>
  <c r="J218" i="12" s="1"/>
  <c r="L218" i="12" s="1"/>
  <c r="J218" i="6"/>
  <c r="I533" i="6"/>
  <c r="I513" i="6"/>
  <c r="I510" i="6"/>
  <c r="I507" i="6"/>
  <c r="I504" i="6"/>
  <c r="I529" i="6"/>
  <c r="I505" i="6"/>
  <c r="I502" i="6"/>
  <c r="I499" i="6"/>
  <c r="I496" i="6"/>
  <c r="I525" i="6"/>
  <c r="I520" i="6"/>
  <c r="I521" i="6"/>
  <c r="I518" i="6"/>
  <c r="I515" i="6"/>
  <c r="I512" i="6"/>
  <c r="I489" i="6"/>
  <c r="I486" i="6"/>
  <c r="I535" i="6"/>
  <c r="I528" i="6"/>
  <c r="I526" i="6"/>
  <c r="I501" i="6"/>
  <c r="I498" i="6"/>
  <c r="I495" i="6"/>
  <c r="I492" i="6"/>
  <c r="I536" i="6"/>
  <c r="I531" i="6"/>
  <c r="I530" i="6"/>
  <c r="I497" i="6"/>
  <c r="I494" i="6"/>
  <c r="I491" i="6"/>
  <c r="I488" i="6"/>
  <c r="I534" i="6"/>
  <c r="I516" i="6"/>
  <c r="I508" i="6"/>
  <c r="I500" i="6"/>
  <c r="I524" i="6"/>
  <c r="I493" i="6"/>
  <c r="I490" i="6"/>
  <c r="I487" i="6"/>
  <c r="I484" i="6"/>
  <c r="I519" i="6"/>
  <c r="I511" i="6"/>
  <c r="I503" i="6"/>
  <c r="I523" i="6"/>
  <c r="I517" i="6"/>
  <c r="I532" i="6"/>
  <c r="I514" i="6"/>
  <c r="I485" i="6"/>
  <c r="I527" i="6"/>
  <c r="I509" i="6"/>
  <c r="I522" i="6"/>
  <c r="I506" i="6"/>
  <c r="L31" i="2"/>
  <c r="Q491" i="10"/>
  <c r="L491" i="6"/>
  <c r="J491" i="12" s="1"/>
  <c r="L491" i="12" s="1"/>
  <c r="J491" i="6"/>
  <c r="Q521" i="10"/>
  <c r="J521" i="6"/>
  <c r="L521" i="6"/>
  <c r="J521" i="12" s="1"/>
  <c r="L521" i="12" s="1"/>
  <c r="Q517" i="10"/>
  <c r="J517" i="6"/>
  <c r="L517" i="6"/>
  <c r="J517" i="12" s="1"/>
  <c r="L517" i="12" s="1"/>
  <c r="Q531" i="10"/>
  <c r="L531" i="6"/>
  <c r="J531" i="12" s="1"/>
  <c r="L531" i="12" s="1"/>
  <c r="J531" i="6"/>
  <c r="Q533" i="10"/>
  <c r="J533" i="6"/>
  <c r="L533" i="6"/>
  <c r="J533" i="12" s="1"/>
  <c r="L533" i="12" s="1"/>
  <c r="Q512" i="10"/>
  <c r="L512" i="6"/>
  <c r="J512" i="12" s="1"/>
  <c r="L512" i="12" s="1"/>
  <c r="J512" i="6"/>
  <c r="Q440" i="10"/>
  <c r="L440" i="6"/>
  <c r="J440" i="12" s="1"/>
  <c r="L440" i="12" s="1"/>
  <c r="J440" i="6"/>
  <c r="Q430" i="10"/>
  <c r="J430" i="6"/>
  <c r="L430" i="6"/>
  <c r="J430" i="12" s="1"/>
  <c r="L430" i="12" s="1"/>
  <c r="Q438" i="10"/>
  <c r="J438" i="6"/>
  <c r="L438" i="6"/>
  <c r="J438" i="12" s="1"/>
  <c r="L438" i="12" s="1"/>
  <c r="Q409" i="10"/>
  <c r="L409" i="6"/>
  <c r="J409" i="6"/>
  <c r="D28" i="5"/>
  <c r="Q441" i="10"/>
  <c r="L441" i="6"/>
  <c r="J441" i="12" s="1"/>
  <c r="L441" i="12" s="1"/>
  <c r="J441" i="6"/>
  <c r="Q291" i="10"/>
  <c r="L291" i="6"/>
  <c r="J291" i="12" s="1"/>
  <c r="L291" i="12" s="1"/>
  <c r="J291" i="6"/>
  <c r="Q292" i="10"/>
  <c r="L292" i="6"/>
  <c r="J292" i="12" s="1"/>
  <c r="L292" i="12" s="1"/>
  <c r="J292" i="6"/>
  <c r="Q194" i="10"/>
  <c r="L194" i="6"/>
  <c r="J194" i="12" s="1"/>
  <c r="L194" i="12" s="1"/>
  <c r="J194" i="6"/>
  <c r="Q201" i="10"/>
  <c r="L201" i="6"/>
  <c r="J201" i="12" s="1"/>
  <c r="L201" i="12" s="1"/>
  <c r="J201" i="6"/>
  <c r="Q183" i="10"/>
  <c r="L183" i="6"/>
  <c r="J183" i="6"/>
  <c r="D13" i="5"/>
  <c r="Q407" i="10"/>
  <c r="L407" i="6"/>
  <c r="J407" i="12" s="1"/>
  <c r="L407" i="12" s="1"/>
  <c r="J407" i="6"/>
  <c r="P37" i="10" l="1"/>
  <c r="O37" i="10"/>
  <c r="O141" i="10"/>
  <c r="P141" i="10" s="1"/>
  <c r="O299" i="10"/>
  <c r="P299" i="10" s="1"/>
  <c r="O54" i="10"/>
  <c r="P54" i="10"/>
  <c r="P211" i="10"/>
  <c r="O211" i="10"/>
  <c r="P317" i="10"/>
  <c r="O317" i="10"/>
  <c r="O184" i="10"/>
  <c r="P184" i="10" s="1"/>
  <c r="O307" i="10"/>
  <c r="P307" i="10" s="1"/>
  <c r="P536" i="10"/>
  <c r="O536" i="10"/>
  <c r="O329" i="10"/>
  <c r="P329" i="10" s="1"/>
  <c r="O461" i="10"/>
  <c r="P461" i="10"/>
  <c r="O403" i="10"/>
  <c r="P403" i="10" s="1"/>
  <c r="O7" i="12"/>
  <c r="N7" i="12"/>
  <c r="P321" i="10"/>
  <c r="O321" i="10"/>
  <c r="O315" i="10"/>
  <c r="P315" i="10" s="1"/>
  <c r="O517" i="10"/>
  <c r="P517" i="10" s="1"/>
  <c r="P23" i="10"/>
  <c r="O23" i="10"/>
  <c r="P324" i="10"/>
  <c r="O324" i="10"/>
  <c r="O66" i="10"/>
  <c r="P66" i="10" s="1"/>
  <c r="O167" i="10"/>
  <c r="P167" i="10" s="1"/>
  <c r="P346" i="10"/>
  <c r="O346" i="10"/>
  <c r="P454" i="10"/>
  <c r="O454" i="10"/>
  <c r="O134" i="10"/>
  <c r="P134" i="10" s="1"/>
  <c r="O122" i="10"/>
  <c r="P122" i="10" s="1"/>
  <c r="O21" i="10"/>
  <c r="P21" i="10" s="1"/>
  <c r="O137" i="10"/>
  <c r="P137" i="10" s="1"/>
  <c r="O186" i="10"/>
  <c r="P186" i="10" s="1"/>
  <c r="O367" i="10"/>
  <c r="P367" i="10"/>
  <c r="P302" i="10"/>
  <c r="O302" i="10"/>
  <c r="P104" i="10"/>
  <c r="O104" i="10"/>
  <c r="O279" i="10"/>
  <c r="P279" i="10" s="1"/>
  <c r="O484" i="10"/>
  <c r="P484" i="10" s="1"/>
  <c r="P194" i="10"/>
  <c r="O194" i="10"/>
  <c r="P545" i="10"/>
  <c r="O545" i="10"/>
  <c r="O416" i="10"/>
  <c r="P416" i="10" s="1"/>
  <c r="O156" i="12"/>
  <c r="N156" i="12"/>
  <c r="P75" i="10"/>
  <c r="O75" i="10"/>
  <c r="P212" i="10"/>
  <c r="O212" i="10"/>
  <c r="O337" i="10"/>
  <c r="P337" i="10" s="1"/>
  <c r="O303" i="10"/>
  <c r="P303" i="10" s="1"/>
  <c r="P460" i="10"/>
  <c r="O460" i="10"/>
  <c r="P18" i="10"/>
  <c r="O18" i="10"/>
  <c r="O110" i="10"/>
  <c r="P110" i="10" s="1"/>
  <c r="O342" i="10"/>
  <c r="P342" i="10" s="1"/>
  <c r="P430" i="10"/>
  <c r="O430" i="10"/>
  <c r="O186" i="12"/>
  <c r="N186" i="12"/>
  <c r="O114" i="10"/>
  <c r="P114" i="10" s="1"/>
  <c r="O215" i="10"/>
  <c r="P215" i="10" s="1"/>
  <c r="P348" i="10"/>
  <c r="O348" i="10"/>
  <c r="P392" i="10"/>
  <c r="O392" i="10"/>
  <c r="O87" i="10"/>
  <c r="P87" i="10" s="1"/>
  <c r="O284" i="10"/>
  <c r="P284" i="10" s="1"/>
  <c r="P362" i="10"/>
  <c r="O362" i="10"/>
  <c r="P202" i="10"/>
  <c r="O202" i="10"/>
  <c r="O309" i="10"/>
  <c r="P309" i="10" s="1"/>
  <c r="O209" i="10"/>
  <c r="P209" i="10" s="1"/>
  <c r="O335" i="10"/>
  <c r="P335" i="10" s="1"/>
  <c r="O458" i="10"/>
  <c r="P458" i="10" s="1"/>
  <c r="O409" i="10"/>
  <c r="P409" i="10" s="1"/>
  <c r="O473" i="12"/>
  <c r="N473" i="12"/>
  <c r="P11" i="10"/>
  <c r="O11" i="10"/>
  <c r="P273" i="10"/>
  <c r="O273" i="10"/>
  <c r="O53" i="10"/>
  <c r="P53" i="10" s="1"/>
  <c r="O120" i="10"/>
  <c r="P120" i="10" s="1"/>
  <c r="P341" i="10"/>
  <c r="O341" i="10"/>
  <c r="P251" i="10"/>
  <c r="O251" i="10"/>
  <c r="O377" i="10"/>
  <c r="P377" i="10" s="1"/>
  <c r="O516" i="10"/>
  <c r="P516" i="10" s="1"/>
  <c r="P266" i="10"/>
  <c r="O266" i="10"/>
  <c r="P544" i="10"/>
  <c r="O544" i="10"/>
  <c r="O92" i="10"/>
  <c r="P92" i="10" s="1"/>
  <c r="O231" i="10"/>
  <c r="P231" i="10" s="1"/>
  <c r="O526" i="10"/>
  <c r="P526" i="10" s="1"/>
  <c r="O190" i="12"/>
  <c r="N190" i="12"/>
  <c r="O78" i="10"/>
  <c r="P78" i="10" s="1"/>
  <c r="O158" i="10"/>
  <c r="P158" i="10" s="1"/>
  <c r="P276" i="10"/>
  <c r="O276" i="10"/>
  <c r="P468" i="10"/>
  <c r="O468" i="10"/>
  <c r="O496" i="10"/>
  <c r="P496" i="10" s="1"/>
  <c r="O171" i="10"/>
  <c r="P171" i="10" s="1"/>
  <c r="O109" i="10"/>
  <c r="P109" i="10" s="1"/>
  <c r="P235" i="10"/>
  <c r="O235" i="10"/>
  <c r="O216" i="10"/>
  <c r="P216" i="10" s="1"/>
  <c r="O452" i="10"/>
  <c r="P452" i="10" s="1"/>
  <c r="P421" i="10"/>
  <c r="O421" i="10"/>
  <c r="O494" i="10"/>
  <c r="P494" i="10" s="1"/>
  <c r="O314" i="10"/>
  <c r="P314" i="10" s="1"/>
  <c r="O349" i="10"/>
  <c r="P349" i="10" s="1"/>
  <c r="O64" i="10"/>
  <c r="P64" i="10" s="1"/>
  <c r="P221" i="10"/>
  <c r="O221" i="10"/>
  <c r="O373" i="10"/>
  <c r="P373" i="10" s="1"/>
  <c r="O411" i="10"/>
  <c r="P411" i="10" s="1"/>
  <c r="P504" i="10"/>
  <c r="O504" i="10"/>
  <c r="O27" i="10"/>
  <c r="P27" i="10" s="1"/>
  <c r="O148" i="10"/>
  <c r="P148" i="10"/>
  <c r="O429" i="10"/>
  <c r="P429" i="10" s="1"/>
  <c r="P493" i="10"/>
  <c r="O493" i="10"/>
  <c r="O16" i="10"/>
  <c r="P16" i="10" s="1"/>
  <c r="O206" i="10"/>
  <c r="P206" i="10" s="1"/>
  <c r="O267" i="10"/>
  <c r="P267" i="10" s="1"/>
  <c r="P462" i="10"/>
  <c r="O462" i="10"/>
  <c r="P28" i="10"/>
  <c r="O28" i="10"/>
  <c r="O363" i="10"/>
  <c r="P363" i="10"/>
  <c r="O86" i="10"/>
  <c r="P86" i="10" s="1"/>
  <c r="O351" i="10"/>
  <c r="P351" i="10" s="1"/>
  <c r="P261" i="10"/>
  <c r="O261" i="10"/>
  <c r="O108" i="10"/>
  <c r="P108" i="10" s="1"/>
  <c r="O89" i="10"/>
  <c r="P89" i="10"/>
  <c r="P249" i="10"/>
  <c r="O249" i="10"/>
  <c r="P217" i="10"/>
  <c r="O217" i="10"/>
  <c r="O529" i="10"/>
  <c r="P529" i="10" s="1"/>
  <c r="O278" i="10"/>
  <c r="P278" i="10" s="1"/>
  <c r="P449" i="10"/>
  <c r="O449" i="10"/>
  <c r="P7" i="10"/>
  <c r="O7" i="10"/>
  <c r="O253" i="10"/>
  <c r="P253" i="10" s="1"/>
  <c r="O236" i="10"/>
  <c r="P236" i="10" s="1"/>
  <c r="P222" i="10"/>
  <c r="O222" i="10"/>
  <c r="O339" i="10"/>
  <c r="P339" i="10" s="1"/>
  <c r="O386" i="10"/>
  <c r="P386" i="10" s="1"/>
  <c r="O131" i="10"/>
  <c r="P131" i="10"/>
  <c r="P513" i="10"/>
  <c r="O513" i="10"/>
  <c r="P84" i="10"/>
  <c r="O84" i="10"/>
  <c r="O80" i="10"/>
  <c r="P80" i="10"/>
  <c r="O240" i="10"/>
  <c r="P240" i="10" s="1"/>
  <c r="O199" i="10"/>
  <c r="P199" i="10" s="1"/>
  <c r="P160" i="10"/>
  <c r="O160" i="10"/>
  <c r="O334" i="10"/>
  <c r="P334" i="10" s="1"/>
  <c r="O549" i="10"/>
  <c r="P549" i="10" s="1"/>
  <c r="P95" i="10"/>
  <c r="O95" i="10"/>
  <c r="P176" i="10"/>
  <c r="O176" i="10"/>
  <c r="O246" i="10"/>
  <c r="P246" i="10" s="1"/>
  <c r="O479" i="10"/>
  <c r="P479" i="10" s="1"/>
  <c r="P15" i="10"/>
  <c r="O15" i="10"/>
  <c r="P146" i="10"/>
  <c r="O146" i="10"/>
  <c r="O481" i="10"/>
  <c r="P481" i="10" s="1"/>
  <c r="O173" i="10"/>
  <c r="P173" i="10" s="1"/>
  <c r="P136" i="10"/>
  <c r="O136" i="10"/>
  <c r="O105" i="10"/>
  <c r="P105" i="10" s="1"/>
  <c r="O265" i="10"/>
  <c r="P265" i="10" s="1"/>
  <c r="O237" i="10"/>
  <c r="P237" i="10" s="1"/>
  <c r="P381" i="10"/>
  <c r="O381" i="10"/>
  <c r="P435" i="10"/>
  <c r="O435" i="10"/>
  <c r="O295" i="10"/>
  <c r="P295" i="10" s="1"/>
  <c r="O396" i="10"/>
  <c r="P396" i="10" s="1"/>
  <c r="P254" i="10"/>
  <c r="O254" i="10"/>
  <c r="P369" i="10"/>
  <c r="O369" i="10"/>
  <c r="O477" i="10"/>
  <c r="P477" i="10" s="1"/>
  <c r="O183" i="10"/>
  <c r="P183" i="10"/>
  <c r="P385" i="10"/>
  <c r="O385" i="10"/>
  <c r="P525" i="10"/>
  <c r="O525" i="10"/>
  <c r="O528" i="10"/>
  <c r="P528" i="10" s="1"/>
  <c r="O97" i="10"/>
  <c r="P97" i="10"/>
  <c r="P239" i="10"/>
  <c r="O239" i="10"/>
  <c r="P247" i="10"/>
  <c r="O247" i="10"/>
  <c r="O414" i="10"/>
  <c r="P414" i="10" s="1"/>
  <c r="O143" i="10"/>
  <c r="P143" i="10" s="1"/>
  <c r="P293" i="10"/>
  <c r="O293" i="10"/>
  <c r="P366" i="10"/>
  <c r="O366" i="10"/>
  <c r="O412" i="10"/>
  <c r="P412" i="10" s="1"/>
  <c r="O128" i="10"/>
  <c r="P128" i="10" s="1"/>
  <c r="O19" i="10"/>
  <c r="P19" i="10" s="1"/>
  <c r="P262" i="10"/>
  <c r="O262" i="10"/>
  <c r="O464" i="10"/>
  <c r="P464" i="10" s="1"/>
  <c r="O543" i="10"/>
  <c r="P543" i="10" s="1"/>
  <c r="P99" i="10"/>
  <c r="O99" i="10"/>
  <c r="P291" i="10"/>
  <c r="O291" i="10"/>
  <c r="O354" i="10"/>
  <c r="P354" i="10" s="1"/>
  <c r="O305" i="10"/>
  <c r="P305" i="10" s="1"/>
  <c r="P509" i="10"/>
  <c r="O509" i="10"/>
  <c r="P393" i="10"/>
  <c r="O393" i="10"/>
  <c r="O26" i="10"/>
  <c r="P26" i="10" s="1"/>
  <c r="O121" i="10"/>
  <c r="P121" i="10"/>
  <c r="P283" i="10"/>
  <c r="O283" i="10"/>
  <c r="P270" i="10"/>
  <c r="O270" i="10"/>
  <c r="O426" i="10"/>
  <c r="P426" i="10" s="1"/>
  <c r="O499" i="10"/>
  <c r="P499" i="10" s="1"/>
  <c r="O371" i="10"/>
  <c r="P371" i="10" s="1"/>
  <c r="P277" i="10"/>
  <c r="O277" i="10"/>
  <c r="O312" i="10"/>
  <c r="P312" i="10" s="1"/>
  <c r="O374" i="10"/>
  <c r="P374" i="10" s="1"/>
  <c r="O465" i="10"/>
  <c r="P465" i="10" s="1"/>
  <c r="P83" i="10"/>
  <c r="O83" i="10"/>
  <c r="O96" i="10"/>
  <c r="P96" i="10" s="1"/>
  <c r="O59" i="10"/>
  <c r="P59" i="10"/>
  <c r="P423" i="10"/>
  <c r="O423" i="10"/>
  <c r="P500" i="10"/>
  <c r="O500" i="10"/>
  <c r="O56" i="10"/>
  <c r="P56" i="10" s="1"/>
  <c r="O319" i="10"/>
  <c r="P319" i="10" s="1"/>
  <c r="O444" i="10"/>
  <c r="P444" i="10" s="1"/>
  <c r="O482" i="10"/>
  <c r="P482" i="10" s="1"/>
  <c r="O153" i="10"/>
  <c r="P153" i="10" s="1"/>
  <c r="O113" i="10"/>
  <c r="P113" i="10"/>
  <c r="P257" i="10"/>
  <c r="O257" i="10"/>
  <c r="P263" i="10"/>
  <c r="O263" i="10"/>
  <c r="O70" i="10"/>
  <c r="P70" i="10" s="1"/>
  <c r="O318" i="10"/>
  <c r="P318" i="10" s="1"/>
  <c r="P304" i="10"/>
  <c r="O304" i="10"/>
  <c r="P428" i="10"/>
  <c r="O428" i="10"/>
  <c r="O531" i="10"/>
  <c r="P531" i="10" s="1"/>
  <c r="O157" i="10"/>
  <c r="P157" i="10"/>
  <c r="P432" i="10"/>
  <c r="O432" i="10"/>
  <c r="P51" i="10"/>
  <c r="O51" i="10"/>
  <c r="O45" i="10"/>
  <c r="P45" i="10"/>
  <c r="O338" i="10"/>
  <c r="P338" i="10" s="1"/>
  <c r="P413" i="10"/>
  <c r="O413" i="10"/>
  <c r="P521" i="10"/>
  <c r="O521" i="10"/>
  <c r="O181" i="10"/>
  <c r="P181" i="10" s="1"/>
  <c r="O25" i="10"/>
  <c r="P25" i="10"/>
  <c r="P272" i="10"/>
  <c r="O272" i="10"/>
  <c r="P281" i="10"/>
  <c r="O281" i="10"/>
  <c r="O322" i="10"/>
  <c r="P322" i="10" s="1"/>
  <c r="O63" i="10"/>
  <c r="P63" i="10"/>
  <c r="P115" i="10"/>
  <c r="O115" i="10"/>
  <c r="O191" i="10"/>
  <c r="P191" i="10" s="1"/>
  <c r="O6" i="10"/>
  <c r="P6" i="10"/>
  <c r="O140" i="10"/>
  <c r="P140" i="10" s="1"/>
  <c r="P168" i="10"/>
  <c r="O168" i="10"/>
  <c r="O149" i="10"/>
  <c r="P149" i="10" s="1"/>
  <c r="O343" i="10"/>
  <c r="P343" i="10"/>
  <c r="O306" i="10"/>
  <c r="P306" i="10" s="1"/>
  <c r="O438" i="10"/>
  <c r="P438" i="10" s="1"/>
  <c r="P311" i="10"/>
  <c r="O311" i="10"/>
  <c r="O448" i="10"/>
  <c r="P448" i="10"/>
  <c r="O170" i="10"/>
  <c r="P170" i="10"/>
  <c r="O347" i="10"/>
  <c r="P347" i="10" s="1"/>
  <c r="P288" i="10"/>
  <c r="O288" i="10"/>
  <c r="O259" i="10"/>
  <c r="P259" i="10" s="1"/>
  <c r="O442" i="10"/>
  <c r="P442" i="10" s="1"/>
  <c r="P35" i="10"/>
  <c r="O35" i="10"/>
  <c r="P82" i="10"/>
  <c r="O82" i="10"/>
  <c r="O282" i="10"/>
  <c r="P282" i="10" s="1"/>
  <c r="O485" i="10"/>
  <c r="P485" i="10" s="1"/>
  <c r="P422" i="10"/>
  <c r="O422" i="10"/>
  <c r="P274" i="10"/>
  <c r="O274" i="10"/>
  <c r="O289" i="10"/>
  <c r="P289" i="10" s="1"/>
  <c r="O290" i="10"/>
  <c r="P290" i="10" s="1"/>
  <c r="P91" i="10"/>
  <c r="O91" i="10"/>
  <c r="P356" i="10"/>
  <c r="O356" i="10"/>
  <c r="O542" i="10"/>
  <c r="P542" i="10" s="1"/>
  <c r="O473" i="10"/>
  <c r="P473" i="10" s="1"/>
  <c r="P12" i="10"/>
  <c r="O12" i="10"/>
  <c r="P155" i="10"/>
  <c r="O155" i="10"/>
  <c r="O85" i="10"/>
  <c r="P85" i="10"/>
  <c r="O132" i="10"/>
  <c r="P132" i="10" s="1"/>
  <c r="O474" i="10"/>
  <c r="P474" i="10" s="1"/>
  <c r="O440" i="12"/>
  <c r="N440" i="12"/>
  <c r="M527" i="6"/>
  <c r="K527" i="6"/>
  <c r="M486" i="6"/>
  <c r="K486" i="6"/>
  <c r="M217" i="6"/>
  <c r="K217" i="6"/>
  <c r="E12" i="5"/>
  <c r="F12" i="5" s="1"/>
  <c r="J166" i="12"/>
  <c r="L166" i="12" s="1"/>
  <c r="O417" i="10"/>
  <c r="P417" i="10" s="1"/>
  <c r="O546" i="10"/>
  <c r="P546" i="10" s="1"/>
  <c r="P497" i="10"/>
  <c r="O497" i="10"/>
  <c r="M420" i="6"/>
  <c r="K420" i="6"/>
  <c r="K433" i="6"/>
  <c r="M433" i="6"/>
  <c r="K447" i="6"/>
  <c r="M447" i="6"/>
  <c r="K429" i="6"/>
  <c r="M429" i="6"/>
  <c r="N73" i="12"/>
  <c r="O73" i="12"/>
  <c r="M14" i="6"/>
  <c r="K14" i="6"/>
  <c r="M29" i="6"/>
  <c r="K29" i="6"/>
  <c r="M11" i="6"/>
  <c r="K11" i="6"/>
  <c r="E20" i="5"/>
  <c r="F20" i="5" s="1"/>
  <c r="J246" i="12"/>
  <c r="L246" i="12" s="1"/>
  <c r="O52" i="10"/>
  <c r="P52" i="10" s="1"/>
  <c r="O123" i="10"/>
  <c r="P123" i="10" s="1"/>
  <c r="P163" i="10"/>
  <c r="O163" i="10"/>
  <c r="O375" i="10"/>
  <c r="P375" i="10" s="1"/>
  <c r="O534" i="10"/>
  <c r="P534" i="10"/>
  <c r="O254" i="12"/>
  <c r="N254" i="12"/>
  <c r="M407" i="6"/>
  <c r="K407" i="6"/>
  <c r="O193" i="12"/>
  <c r="N193" i="12"/>
  <c r="O297" i="12"/>
  <c r="N297" i="12"/>
  <c r="N419" i="12"/>
  <c r="O419" i="12"/>
  <c r="O210" i="12"/>
  <c r="N210" i="12"/>
  <c r="O67" i="12"/>
  <c r="N67" i="12"/>
  <c r="M243" i="6"/>
  <c r="K243" i="6"/>
  <c r="O14" i="12"/>
  <c r="N14" i="12"/>
  <c r="O34" i="12"/>
  <c r="N34" i="12"/>
  <c r="N90" i="12"/>
  <c r="O90" i="12"/>
  <c r="N251" i="12"/>
  <c r="O251" i="12"/>
  <c r="O158" i="12"/>
  <c r="N158" i="12"/>
  <c r="M51" i="6"/>
  <c r="K51" i="6"/>
  <c r="M49" i="6"/>
  <c r="K49" i="6"/>
  <c r="O378" i="12"/>
  <c r="N378" i="12"/>
  <c r="K59" i="6"/>
  <c r="M59" i="6"/>
  <c r="O36" i="10"/>
  <c r="P36" i="10" s="1"/>
  <c r="O129" i="10"/>
  <c r="P129" i="10" s="1"/>
  <c r="O76" i="10"/>
  <c r="P76" i="10"/>
  <c r="O330" i="10"/>
  <c r="P330" i="10" s="1"/>
  <c r="P204" i="10"/>
  <c r="O204" i="10"/>
  <c r="P441" i="10"/>
  <c r="O441" i="10"/>
  <c r="O203" i="12"/>
  <c r="N203" i="12"/>
  <c r="O216" i="12"/>
  <c r="N216" i="12"/>
  <c r="O10" i="12"/>
  <c r="N10" i="12"/>
  <c r="N222" i="12"/>
  <c r="O222" i="12"/>
  <c r="K111" i="6"/>
  <c r="M111" i="6"/>
  <c r="M124" i="6"/>
  <c r="K124" i="6"/>
  <c r="K99" i="6"/>
  <c r="M99" i="6"/>
  <c r="K85" i="6"/>
  <c r="M85" i="6"/>
  <c r="M112" i="6"/>
  <c r="K112" i="6"/>
  <c r="M137" i="6"/>
  <c r="K137" i="6"/>
  <c r="K119" i="6"/>
  <c r="M119" i="6"/>
  <c r="K151" i="6"/>
  <c r="M151" i="6"/>
  <c r="M126" i="6"/>
  <c r="K126" i="6"/>
  <c r="K249" i="6"/>
  <c r="M249" i="6"/>
  <c r="M259" i="6"/>
  <c r="K259" i="6"/>
  <c r="M264" i="6"/>
  <c r="K264" i="6"/>
  <c r="M155" i="6"/>
  <c r="K155" i="6"/>
  <c r="O44" i="12"/>
  <c r="N44" i="12"/>
  <c r="N278" i="12"/>
  <c r="O278" i="12"/>
  <c r="M285" i="6"/>
  <c r="K285" i="6"/>
  <c r="M322" i="6"/>
  <c r="K322" i="6"/>
  <c r="M334" i="6"/>
  <c r="K334" i="6"/>
  <c r="M310" i="6"/>
  <c r="K310" i="6"/>
  <c r="M311" i="6"/>
  <c r="K311" i="6"/>
  <c r="M381" i="6"/>
  <c r="K381" i="6"/>
  <c r="M383" i="6"/>
  <c r="K383" i="6"/>
  <c r="K329" i="6"/>
  <c r="M329" i="6"/>
  <c r="M353" i="6"/>
  <c r="K353" i="6"/>
  <c r="M312" i="6"/>
  <c r="K312" i="6"/>
  <c r="K344" i="6"/>
  <c r="M344" i="6"/>
  <c r="K364" i="6"/>
  <c r="M364" i="6"/>
  <c r="O24" i="10"/>
  <c r="P24" i="10" s="1"/>
  <c r="O142" i="10"/>
  <c r="P142" i="10" s="1"/>
  <c r="O407" i="10"/>
  <c r="P407" i="10" s="1"/>
  <c r="P515" i="10"/>
  <c r="O515" i="10"/>
  <c r="O198" i="12"/>
  <c r="N198" i="12"/>
  <c r="N277" i="12"/>
  <c r="O277" i="12"/>
  <c r="O180" i="10"/>
  <c r="P180" i="10"/>
  <c r="O439" i="12"/>
  <c r="N439" i="12"/>
  <c r="O237" i="12"/>
  <c r="N237" i="12"/>
  <c r="O169" i="12"/>
  <c r="N169" i="12"/>
  <c r="M393" i="6"/>
  <c r="K393" i="6"/>
  <c r="O358" i="12"/>
  <c r="N358" i="12"/>
  <c r="E24" i="5"/>
  <c r="F24" i="5" s="1"/>
  <c r="J302" i="12"/>
  <c r="L302" i="12" s="1"/>
  <c r="O20" i="10"/>
  <c r="P20" i="10" s="1"/>
  <c r="O38" i="10"/>
  <c r="P38" i="10"/>
  <c r="P116" i="10"/>
  <c r="O116" i="10"/>
  <c r="P192" i="10"/>
  <c r="O192" i="10"/>
  <c r="O533" i="10"/>
  <c r="P533" i="10" s="1"/>
  <c r="O447" i="10"/>
  <c r="P447" i="10" s="1"/>
  <c r="P508" i="10"/>
  <c r="O508" i="10"/>
  <c r="P550" i="10"/>
  <c r="O550" i="10"/>
  <c r="O370" i="10"/>
  <c r="P370" i="10" s="1"/>
  <c r="O206" i="12"/>
  <c r="N206" i="12"/>
  <c r="M183" i="6"/>
  <c r="K183" i="6"/>
  <c r="K186" i="6"/>
  <c r="M186" i="6"/>
  <c r="M193" i="6"/>
  <c r="K193" i="6"/>
  <c r="M290" i="6"/>
  <c r="K290" i="6"/>
  <c r="K296" i="6"/>
  <c r="M296" i="6"/>
  <c r="O426" i="12"/>
  <c r="N426" i="12"/>
  <c r="O509" i="12"/>
  <c r="N509" i="12"/>
  <c r="O238" i="12"/>
  <c r="N238" i="12"/>
  <c r="M73" i="6"/>
  <c r="K73" i="6"/>
  <c r="M67" i="6"/>
  <c r="K67" i="6"/>
  <c r="K37" i="6"/>
  <c r="M37" i="6"/>
  <c r="O109" i="12"/>
  <c r="N109" i="12"/>
  <c r="O326" i="12"/>
  <c r="N326" i="12"/>
  <c r="O321" i="12"/>
  <c r="N321" i="12"/>
  <c r="O126" i="10"/>
  <c r="P126" i="10" s="1"/>
  <c r="O268" i="10"/>
  <c r="P268" i="10" s="1"/>
  <c r="O453" i="10"/>
  <c r="P453" i="10"/>
  <c r="O191" i="12"/>
  <c r="N191" i="12"/>
  <c r="N412" i="12"/>
  <c r="O412" i="12"/>
  <c r="M179" i="6"/>
  <c r="K179" i="6"/>
  <c r="M176" i="6"/>
  <c r="K176" i="6"/>
  <c r="P98" i="10"/>
  <c r="O98" i="10"/>
  <c r="O196" i="10"/>
  <c r="P196" i="10" s="1"/>
  <c r="M400" i="6"/>
  <c r="K400" i="6"/>
  <c r="E33" i="5"/>
  <c r="F33" i="5" s="1"/>
  <c r="J549" i="12"/>
  <c r="L549" i="12" s="1"/>
  <c r="N98" i="12"/>
  <c r="O98" i="12"/>
  <c r="M55" i="6"/>
  <c r="K55" i="6"/>
  <c r="M53" i="6"/>
  <c r="K53" i="6"/>
  <c r="O357" i="12"/>
  <c r="N357" i="12"/>
  <c r="O331" i="12"/>
  <c r="N331" i="12"/>
  <c r="M58" i="6"/>
  <c r="K58" i="6"/>
  <c r="E14" i="5"/>
  <c r="F14" i="5" s="1"/>
  <c r="J209" i="12"/>
  <c r="L209" i="12" s="1"/>
  <c r="O290" i="12"/>
  <c r="N290" i="12"/>
  <c r="O74" i="12"/>
  <c r="N74" i="12"/>
  <c r="N171" i="12"/>
  <c r="O171" i="12"/>
  <c r="O110" i="12"/>
  <c r="N110" i="12"/>
  <c r="M120" i="6"/>
  <c r="K120" i="6"/>
  <c r="M83" i="6"/>
  <c r="K83" i="6"/>
  <c r="M121" i="6"/>
  <c r="K121" i="6"/>
  <c r="K89" i="6"/>
  <c r="M89" i="6"/>
  <c r="M133" i="6"/>
  <c r="K133" i="6"/>
  <c r="M144" i="6"/>
  <c r="K144" i="6"/>
  <c r="K123" i="6"/>
  <c r="M123" i="6"/>
  <c r="K98" i="6"/>
  <c r="M98" i="6"/>
  <c r="K130" i="6"/>
  <c r="M130" i="6"/>
  <c r="M247" i="6"/>
  <c r="K247" i="6"/>
  <c r="K253" i="6"/>
  <c r="M253" i="6"/>
  <c r="M270" i="6"/>
  <c r="K270" i="6"/>
  <c r="M268" i="6"/>
  <c r="K268" i="6"/>
  <c r="M157" i="6"/>
  <c r="K157" i="6"/>
  <c r="M159" i="6"/>
  <c r="K159" i="6"/>
  <c r="K279" i="6"/>
  <c r="M279" i="6"/>
  <c r="O353" i="12"/>
  <c r="N353" i="12"/>
  <c r="N359" i="12"/>
  <c r="O359" i="12"/>
  <c r="M323" i="6"/>
  <c r="K323" i="6"/>
  <c r="M352" i="6"/>
  <c r="K352" i="6"/>
  <c r="M335" i="6"/>
  <c r="K335" i="6"/>
  <c r="M318" i="6"/>
  <c r="K318" i="6"/>
  <c r="M387" i="6"/>
  <c r="K387" i="6"/>
  <c r="M386" i="6"/>
  <c r="K386" i="6"/>
  <c r="K333" i="6"/>
  <c r="M333" i="6"/>
  <c r="M356" i="6"/>
  <c r="K356" i="6"/>
  <c r="M316" i="6"/>
  <c r="K316" i="6"/>
  <c r="M347" i="6"/>
  <c r="K347" i="6"/>
  <c r="K367" i="6"/>
  <c r="M367" i="6"/>
  <c r="O185" i="12"/>
  <c r="N185" i="12"/>
  <c r="O496" i="12"/>
  <c r="N496" i="12"/>
  <c r="E6" i="5"/>
  <c r="F6" i="5" s="1"/>
  <c r="J31" i="12"/>
  <c r="L31" i="12" s="1"/>
  <c r="O94" i="12"/>
  <c r="N94" i="12"/>
  <c r="M396" i="6"/>
  <c r="K396" i="6"/>
  <c r="O356" i="12"/>
  <c r="N356" i="12"/>
  <c r="M199" i="6"/>
  <c r="K199" i="6"/>
  <c r="K190" i="6"/>
  <c r="M190" i="6"/>
  <c r="M197" i="6"/>
  <c r="K197" i="6"/>
  <c r="M297" i="6"/>
  <c r="K297" i="6"/>
  <c r="K300" i="6"/>
  <c r="M300" i="6"/>
  <c r="O422" i="12"/>
  <c r="N422" i="12"/>
  <c r="M74" i="6"/>
  <c r="K74" i="6"/>
  <c r="M77" i="6"/>
  <c r="K77" i="6"/>
  <c r="M71" i="6"/>
  <c r="K71" i="6"/>
  <c r="N13" i="12"/>
  <c r="O13" i="12"/>
  <c r="M39" i="6"/>
  <c r="K39" i="6"/>
  <c r="M32" i="6"/>
  <c r="K32" i="6"/>
  <c r="O539" i="12"/>
  <c r="N539" i="12"/>
  <c r="O369" i="12"/>
  <c r="N369" i="12"/>
  <c r="O417" i="12"/>
  <c r="N417" i="12"/>
  <c r="N72" i="12"/>
  <c r="O72" i="12"/>
  <c r="M174" i="6"/>
  <c r="K174" i="6"/>
  <c r="M180" i="6"/>
  <c r="K180" i="6"/>
  <c r="O17" i="12"/>
  <c r="N17" i="12"/>
  <c r="M231" i="6"/>
  <c r="K231" i="6"/>
  <c r="E26" i="5"/>
  <c r="F26" i="5" s="1"/>
  <c r="J398" i="12"/>
  <c r="L398" i="12" s="1"/>
  <c r="O322" i="12"/>
  <c r="N322" i="12"/>
  <c r="O317" i="12"/>
  <c r="N317" i="12"/>
  <c r="K399" i="6"/>
  <c r="M399" i="6"/>
  <c r="O291" i="12"/>
  <c r="N291" i="12"/>
  <c r="K516" i="6"/>
  <c r="M516" i="6"/>
  <c r="O15" i="12"/>
  <c r="N15" i="12"/>
  <c r="N343" i="12"/>
  <c r="O343" i="12"/>
  <c r="K534" i="6"/>
  <c r="M534" i="6"/>
  <c r="K426" i="6"/>
  <c r="M426" i="6"/>
  <c r="K409" i="6"/>
  <c r="M409" i="6"/>
  <c r="M15" i="6"/>
  <c r="K15" i="6"/>
  <c r="O337" i="12"/>
  <c r="N337" i="12"/>
  <c r="M514" i="6"/>
  <c r="K514" i="6"/>
  <c r="M488" i="6"/>
  <c r="K488" i="6"/>
  <c r="M512" i="6"/>
  <c r="K512" i="6"/>
  <c r="M213" i="6"/>
  <c r="K213" i="6"/>
  <c r="O250" i="12"/>
  <c r="N250" i="12"/>
  <c r="O314" i="12"/>
  <c r="N314" i="12"/>
  <c r="K435" i="6"/>
  <c r="M435" i="6"/>
  <c r="K12" i="6"/>
  <c r="M12" i="6"/>
  <c r="O207" i="12"/>
  <c r="N207" i="12"/>
  <c r="K42" i="6"/>
  <c r="M42" i="6"/>
  <c r="O39" i="10"/>
  <c r="P39" i="10" s="1"/>
  <c r="N196" i="12"/>
  <c r="O196" i="12"/>
  <c r="K127" i="6"/>
  <c r="M127" i="6"/>
  <c r="N428" i="12"/>
  <c r="O428" i="12"/>
  <c r="K391" i="6"/>
  <c r="M391" i="6"/>
  <c r="O59" i="12"/>
  <c r="N59" i="12"/>
  <c r="O67" i="10"/>
  <c r="P67" i="10" s="1"/>
  <c r="O488" i="12"/>
  <c r="N488" i="12"/>
  <c r="P539" i="10"/>
  <c r="O539" i="10"/>
  <c r="O195" i="12"/>
  <c r="N195" i="12"/>
  <c r="M184" i="6"/>
  <c r="K184" i="6"/>
  <c r="M201" i="6"/>
  <c r="K201" i="6"/>
  <c r="M293" i="6"/>
  <c r="K293" i="6"/>
  <c r="K64" i="6"/>
  <c r="M64" i="6"/>
  <c r="M36" i="6"/>
  <c r="K36" i="6"/>
  <c r="O84" i="12"/>
  <c r="N84" i="12"/>
  <c r="O255" i="12"/>
  <c r="N255" i="12"/>
  <c r="O43" i="12"/>
  <c r="N43" i="12"/>
  <c r="N376" i="12"/>
  <c r="O376" i="12"/>
  <c r="O60" i="12"/>
  <c r="N60" i="12"/>
  <c r="P175" i="10"/>
  <c r="O175" i="10"/>
  <c r="O286" i="10"/>
  <c r="P286" i="10" s="1"/>
  <c r="P350" i="10"/>
  <c r="O350" i="10"/>
  <c r="O184" i="12"/>
  <c r="N184" i="12"/>
  <c r="O410" i="12"/>
  <c r="N410" i="12"/>
  <c r="E18" i="5"/>
  <c r="F18" i="5" s="1"/>
  <c r="J234" i="12"/>
  <c r="L234" i="12" s="1"/>
  <c r="M170" i="6"/>
  <c r="K170" i="6"/>
  <c r="K169" i="6"/>
  <c r="M169" i="6"/>
  <c r="O23" i="12"/>
  <c r="N23" i="12"/>
  <c r="O262" i="12"/>
  <c r="N262" i="12"/>
  <c r="M232" i="6"/>
  <c r="K232" i="6"/>
  <c r="O350" i="12"/>
  <c r="N350" i="12"/>
  <c r="O340" i="12"/>
  <c r="N340" i="12"/>
  <c r="E31" i="5"/>
  <c r="F31" i="5" s="1"/>
  <c r="J484" i="12"/>
  <c r="L484" i="12" s="1"/>
  <c r="K398" i="6"/>
  <c r="M398" i="6"/>
  <c r="P360" i="10"/>
  <c r="O360" i="10"/>
  <c r="N21" i="12"/>
  <c r="O21" i="12"/>
  <c r="O320" i="12"/>
  <c r="N320" i="12"/>
  <c r="O68" i="12"/>
  <c r="N68" i="12"/>
  <c r="P79" i="10"/>
  <c r="O79" i="10"/>
  <c r="O520" i="10"/>
  <c r="P520" i="10" s="1"/>
  <c r="O512" i="10"/>
  <c r="P512" i="10" s="1"/>
  <c r="M128" i="6"/>
  <c r="K128" i="6"/>
  <c r="M140" i="6"/>
  <c r="K140" i="6"/>
  <c r="M102" i="6"/>
  <c r="K102" i="6"/>
  <c r="M134" i="6"/>
  <c r="K134" i="6"/>
  <c r="K257" i="6"/>
  <c r="M257" i="6"/>
  <c r="K163" i="6"/>
  <c r="M163" i="6"/>
  <c r="K358" i="6"/>
  <c r="M358" i="6"/>
  <c r="M343" i="6"/>
  <c r="K343" i="6"/>
  <c r="K305" i="6"/>
  <c r="M305" i="6"/>
  <c r="K359" i="6"/>
  <c r="M359" i="6"/>
  <c r="M350" i="6"/>
  <c r="K350" i="6"/>
  <c r="M370" i="6"/>
  <c r="K370" i="6"/>
  <c r="P151" i="10"/>
  <c r="O151" i="10"/>
  <c r="O293" i="12"/>
  <c r="N293" i="12"/>
  <c r="O156" i="10"/>
  <c r="P156" i="10" s="1"/>
  <c r="N259" i="12"/>
  <c r="O259" i="12"/>
  <c r="O349" i="12"/>
  <c r="N349" i="12"/>
  <c r="E30" i="5"/>
  <c r="F30" i="5" s="1"/>
  <c r="J471" i="12"/>
  <c r="L471" i="12" s="1"/>
  <c r="O48" i="10"/>
  <c r="P48" i="10" s="1"/>
  <c r="O147" i="10"/>
  <c r="P147" i="10" s="1"/>
  <c r="O46" i="10"/>
  <c r="P46" i="10" s="1"/>
  <c r="P489" i="10"/>
  <c r="O489" i="10"/>
  <c r="E7" i="5"/>
  <c r="F7" i="5" s="1"/>
  <c r="J41" i="12"/>
  <c r="L41" i="12" s="1"/>
  <c r="O164" i="10"/>
  <c r="P164" i="10" s="1"/>
  <c r="O355" i="10"/>
  <c r="P355" i="10" s="1"/>
  <c r="K194" i="6"/>
  <c r="M194" i="6"/>
  <c r="M291" i="6"/>
  <c r="K291" i="6"/>
  <c r="O501" i="12"/>
  <c r="N501" i="12"/>
  <c r="M70" i="6"/>
  <c r="K70" i="6"/>
  <c r="M75" i="6"/>
  <c r="K75" i="6"/>
  <c r="O441" i="12"/>
  <c r="N441" i="12"/>
  <c r="M532" i="6"/>
  <c r="K532" i="6"/>
  <c r="M490" i="6"/>
  <c r="K490" i="6"/>
  <c r="M491" i="6"/>
  <c r="K491" i="6"/>
  <c r="M498" i="6"/>
  <c r="K498" i="6"/>
  <c r="M515" i="6"/>
  <c r="K515" i="6"/>
  <c r="M505" i="6"/>
  <c r="K505" i="6"/>
  <c r="K211" i="6"/>
  <c r="M211" i="6"/>
  <c r="O168" i="12"/>
  <c r="N168" i="12"/>
  <c r="O102" i="12"/>
  <c r="N102" i="12"/>
  <c r="O108" i="12"/>
  <c r="N108" i="12"/>
  <c r="E25" i="5"/>
  <c r="F25" i="5" s="1"/>
  <c r="J391" i="12"/>
  <c r="L391" i="12" s="1"/>
  <c r="O279" i="12"/>
  <c r="N279" i="12"/>
  <c r="E23" i="5"/>
  <c r="F23" i="5" s="1"/>
  <c r="J288" i="12"/>
  <c r="L288" i="12" s="1"/>
  <c r="O437" i="12"/>
  <c r="N437" i="12"/>
  <c r="M434" i="6"/>
  <c r="K434" i="6"/>
  <c r="M416" i="6"/>
  <c r="K416" i="6"/>
  <c r="M442" i="6"/>
  <c r="K442" i="6"/>
  <c r="M415" i="6"/>
  <c r="K415" i="6"/>
  <c r="M438" i="6"/>
  <c r="K438" i="6"/>
  <c r="M238" i="6"/>
  <c r="K238" i="6"/>
  <c r="O244" i="12"/>
  <c r="N244" i="12"/>
  <c r="M9" i="6"/>
  <c r="K9" i="6"/>
  <c r="K16" i="6"/>
  <c r="M16" i="6"/>
  <c r="M23" i="6"/>
  <c r="K23" i="6"/>
  <c r="E22" i="5"/>
  <c r="F22" i="5" s="1"/>
  <c r="J276" i="12"/>
  <c r="L276" i="12" s="1"/>
  <c r="N367" i="12"/>
  <c r="O367" i="12"/>
  <c r="P162" i="10"/>
  <c r="O162" i="10"/>
  <c r="K403" i="6"/>
  <c r="M403" i="6"/>
  <c r="O236" i="12"/>
  <c r="N236" i="12"/>
  <c r="O86" i="12"/>
  <c r="N86" i="12"/>
  <c r="O258" i="12"/>
  <c r="N258" i="12"/>
  <c r="E17" i="5"/>
  <c r="F17" i="5" s="1"/>
  <c r="J229" i="12"/>
  <c r="L229" i="12" s="1"/>
  <c r="M52" i="6"/>
  <c r="K52" i="6"/>
  <c r="K46" i="6"/>
  <c r="M46" i="6"/>
  <c r="O338" i="12"/>
  <c r="N338" i="12"/>
  <c r="O333" i="12"/>
  <c r="N333" i="12"/>
  <c r="O307" i="12"/>
  <c r="N307" i="12"/>
  <c r="O42" i="10"/>
  <c r="P42" i="10" s="1"/>
  <c r="O493" i="12"/>
  <c r="N493" i="12"/>
  <c r="O63" i="12"/>
  <c r="N63" i="12"/>
  <c r="O83" i="12"/>
  <c r="N83" i="12"/>
  <c r="M104" i="6"/>
  <c r="K104" i="6"/>
  <c r="M117" i="6"/>
  <c r="K117" i="6"/>
  <c r="M153" i="6"/>
  <c r="K153" i="6"/>
  <c r="K103" i="6"/>
  <c r="M103" i="6"/>
  <c r="M84" i="6"/>
  <c r="K84" i="6"/>
  <c r="M100" i="6"/>
  <c r="K100" i="6"/>
  <c r="K131" i="6"/>
  <c r="M131" i="6"/>
  <c r="M106" i="6"/>
  <c r="K106" i="6"/>
  <c r="M138" i="6"/>
  <c r="K138" i="6"/>
  <c r="M250" i="6"/>
  <c r="K250" i="6"/>
  <c r="M267" i="6"/>
  <c r="K267" i="6"/>
  <c r="K261" i="6"/>
  <c r="M261" i="6"/>
  <c r="M158" i="6"/>
  <c r="K158" i="6"/>
  <c r="O42" i="12"/>
  <c r="N42" i="12"/>
  <c r="M281" i="6"/>
  <c r="K281" i="6"/>
  <c r="M278" i="6"/>
  <c r="K278" i="6"/>
  <c r="M302" i="6"/>
  <c r="K302" i="6"/>
  <c r="M307" i="6"/>
  <c r="K307" i="6"/>
  <c r="M384" i="6"/>
  <c r="K384" i="6"/>
  <c r="M349" i="6"/>
  <c r="K349" i="6"/>
  <c r="M348" i="6"/>
  <c r="K348" i="6"/>
  <c r="K309" i="6"/>
  <c r="M309" i="6"/>
  <c r="K341" i="6"/>
  <c r="M341" i="6"/>
  <c r="K362" i="6"/>
  <c r="M362" i="6"/>
  <c r="M324" i="6"/>
  <c r="K324" i="6"/>
  <c r="K373" i="6"/>
  <c r="M373" i="6"/>
  <c r="M346" i="6"/>
  <c r="K346" i="6"/>
  <c r="E32" i="5"/>
  <c r="F32" i="5" s="1"/>
  <c r="J538" i="12"/>
  <c r="L538" i="12" s="1"/>
  <c r="M549" i="6"/>
  <c r="K549" i="6"/>
  <c r="O347" i="12"/>
  <c r="N347" i="12"/>
  <c r="O199" i="12"/>
  <c r="N199" i="12"/>
  <c r="N411" i="12"/>
  <c r="O411" i="12"/>
  <c r="O212" i="12"/>
  <c r="N212" i="12"/>
  <c r="E5" i="5"/>
  <c r="F5" i="5" s="1"/>
  <c r="J6" i="12"/>
  <c r="L6" i="12" s="1"/>
  <c r="O104" i="12"/>
  <c r="N104" i="12"/>
  <c r="K392" i="6"/>
  <c r="M392" i="6"/>
  <c r="O323" i="12"/>
  <c r="N323" i="12"/>
  <c r="E16" i="5"/>
  <c r="F16" i="5" s="1"/>
  <c r="J226" i="12"/>
  <c r="L226" i="12" s="1"/>
  <c r="O14" i="10"/>
  <c r="P14" i="10" s="1"/>
  <c r="O475" i="10"/>
  <c r="P475" i="10" s="1"/>
  <c r="P340" i="10"/>
  <c r="O340" i="10"/>
  <c r="M187" i="6"/>
  <c r="K187" i="6"/>
  <c r="M200" i="6"/>
  <c r="K200" i="6"/>
  <c r="K198" i="6"/>
  <c r="M198" i="6"/>
  <c r="M205" i="6"/>
  <c r="K205" i="6"/>
  <c r="M289" i="6"/>
  <c r="K289" i="6"/>
  <c r="M295" i="6"/>
  <c r="K295" i="6"/>
  <c r="O485" i="12"/>
  <c r="N485" i="12"/>
  <c r="O66" i="12"/>
  <c r="N66" i="12"/>
  <c r="M66" i="6"/>
  <c r="K66" i="6"/>
  <c r="K68" i="6"/>
  <c r="M68" i="6"/>
  <c r="M79" i="6"/>
  <c r="K79" i="6"/>
  <c r="M35" i="6"/>
  <c r="K35" i="6"/>
  <c r="O377" i="12"/>
  <c r="N377" i="12"/>
  <c r="N336" i="12"/>
  <c r="O336" i="12"/>
  <c r="O488" i="10"/>
  <c r="P488" i="10" s="1"/>
  <c r="O289" i="12"/>
  <c r="N289" i="12"/>
  <c r="N502" i="12"/>
  <c r="O502" i="12"/>
  <c r="M175" i="6"/>
  <c r="K175" i="6"/>
  <c r="K173" i="6"/>
  <c r="M173" i="6"/>
  <c r="O32" i="12"/>
  <c r="N32" i="12"/>
  <c r="O95" i="12"/>
  <c r="N95" i="12"/>
  <c r="K230" i="6"/>
  <c r="M230" i="6"/>
  <c r="O45" i="12"/>
  <c r="N45" i="12"/>
  <c r="O354" i="12"/>
  <c r="N354" i="12"/>
  <c r="P58" i="10"/>
  <c r="O58" i="10"/>
  <c r="P71" i="10"/>
  <c r="O71" i="10"/>
  <c r="O144" i="10"/>
  <c r="P144" i="10"/>
  <c r="P33" i="10"/>
  <c r="O33" i="10"/>
  <c r="O101" i="10"/>
  <c r="P101" i="10" s="1"/>
  <c r="P224" i="10"/>
  <c r="O224" i="10"/>
  <c r="O296" i="10"/>
  <c r="P296" i="10" s="1"/>
  <c r="P207" i="10"/>
  <c r="O207" i="10"/>
  <c r="P297" i="10"/>
  <c r="O297" i="10"/>
  <c r="P213" i="10"/>
  <c r="O213" i="10"/>
  <c r="O298" i="10"/>
  <c r="P298" i="10" s="1"/>
  <c r="P389" i="10"/>
  <c r="O389" i="10"/>
  <c r="P415" i="10"/>
  <c r="O415" i="10"/>
  <c r="N420" i="12"/>
  <c r="O420" i="12"/>
  <c r="O318" i="12"/>
  <c r="N318" i="12"/>
  <c r="O370" i="12"/>
  <c r="N370" i="12"/>
  <c r="M443" i="6"/>
  <c r="K443" i="6"/>
  <c r="O438" i="12"/>
  <c r="N438" i="12"/>
  <c r="M485" i="6"/>
  <c r="K485" i="6"/>
  <c r="M212" i="6"/>
  <c r="K212" i="6"/>
  <c r="M446" i="6"/>
  <c r="K446" i="6"/>
  <c r="O342" i="12"/>
  <c r="N342" i="12"/>
  <c r="O106" i="10"/>
  <c r="P106" i="10" s="1"/>
  <c r="O507" i="12"/>
  <c r="N507" i="12"/>
  <c r="P437" i="10"/>
  <c r="O437" i="10"/>
  <c r="O432" i="12"/>
  <c r="N432" i="12"/>
  <c r="M97" i="6"/>
  <c r="K97" i="6"/>
  <c r="K93" i="6"/>
  <c r="M93" i="6"/>
  <c r="O247" i="12"/>
  <c r="N247" i="12"/>
  <c r="M258" i="6"/>
  <c r="K258" i="6"/>
  <c r="M161" i="6"/>
  <c r="K161" i="6"/>
  <c r="K283" i="6"/>
  <c r="M283" i="6"/>
  <c r="M342" i="6"/>
  <c r="K342" i="6"/>
  <c r="M345" i="6"/>
  <c r="K345" i="6"/>
  <c r="K337" i="6"/>
  <c r="M337" i="6"/>
  <c r="M320" i="6"/>
  <c r="K320" i="6"/>
  <c r="O489" i="12"/>
  <c r="N489" i="12"/>
  <c r="O424" i="10"/>
  <c r="P424" i="10" s="1"/>
  <c r="O547" i="10"/>
  <c r="P547" i="10" s="1"/>
  <c r="O69" i="12"/>
  <c r="N69" i="12"/>
  <c r="O88" i="12"/>
  <c r="N88" i="12"/>
  <c r="E13" i="5"/>
  <c r="F13" i="5" s="1"/>
  <c r="J183" i="12"/>
  <c r="L183" i="12" s="1"/>
  <c r="O430" i="12"/>
  <c r="N430" i="12"/>
  <c r="M517" i="6"/>
  <c r="K517" i="6"/>
  <c r="K493" i="6"/>
  <c r="M493" i="6"/>
  <c r="K494" i="6"/>
  <c r="M494" i="6"/>
  <c r="M501" i="6"/>
  <c r="K501" i="6"/>
  <c r="K518" i="6"/>
  <c r="M518" i="6"/>
  <c r="M529" i="6"/>
  <c r="K529" i="6"/>
  <c r="K215" i="6"/>
  <c r="M215" i="6"/>
  <c r="E19" i="5"/>
  <c r="F19" i="5" s="1"/>
  <c r="J243" i="12"/>
  <c r="L243" i="12" s="1"/>
  <c r="O8" i="12"/>
  <c r="N8" i="12"/>
  <c r="O33" i="12"/>
  <c r="N33" i="12"/>
  <c r="O344" i="12"/>
  <c r="N344" i="12"/>
  <c r="O17" i="10"/>
  <c r="P17" i="10"/>
  <c r="P135" i="10"/>
  <c r="O135" i="10"/>
  <c r="P446" i="10"/>
  <c r="O446" i="10"/>
  <c r="O440" i="10"/>
  <c r="P440" i="10" s="1"/>
  <c r="O492" i="10"/>
  <c r="P492" i="10" s="1"/>
  <c r="O486" i="10"/>
  <c r="P486" i="10" s="1"/>
  <c r="O187" i="12"/>
  <c r="N187" i="12"/>
  <c r="O313" i="12"/>
  <c r="N313" i="12"/>
  <c r="N427" i="12"/>
  <c r="O427" i="12"/>
  <c r="M417" i="6"/>
  <c r="K417" i="6"/>
  <c r="M419" i="6"/>
  <c r="K419" i="6"/>
  <c r="M421" i="6"/>
  <c r="K421" i="6"/>
  <c r="M418" i="6"/>
  <c r="K418" i="6"/>
  <c r="M411" i="6"/>
  <c r="K411" i="6"/>
  <c r="O508" i="12"/>
  <c r="N508" i="12"/>
  <c r="M240" i="6"/>
  <c r="K240" i="6"/>
  <c r="O71" i="12"/>
  <c r="N71" i="12"/>
  <c r="O18" i="12"/>
  <c r="N18" i="12"/>
  <c r="M6" i="6"/>
  <c r="K6" i="6"/>
  <c r="M13" i="6"/>
  <c r="K13" i="6"/>
  <c r="K20" i="6"/>
  <c r="M20" i="6"/>
  <c r="M27" i="6"/>
  <c r="K27" i="6"/>
  <c r="O310" i="12"/>
  <c r="N310" i="12"/>
  <c r="O305" i="12"/>
  <c r="N305" i="12"/>
  <c r="N205" i="12"/>
  <c r="O205" i="12"/>
  <c r="M406" i="6"/>
  <c r="K406" i="6"/>
  <c r="O200" i="12"/>
  <c r="N200" i="12"/>
  <c r="O433" i="12"/>
  <c r="N433" i="12"/>
  <c r="O424" i="12"/>
  <c r="N424" i="12"/>
  <c r="O111" i="12"/>
  <c r="N111" i="12"/>
  <c r="O48" i="12"/>
  <c r="N48" i="12"/>
  <c r="M48" i="6"/>
  <c r="K48" i="6"/>
  <c r="K50" i="6"/>
  <c r="M50" i="6"/>
  <c r="O429" i="12"/>
  <c r="N429" i="12"/>
  <c r="O35" i="12"/>
  <c r="N35" i="12"/>
  <c r="M149" i="6"/>
  <c r="K149" i="6"/>
  <c r="M82" i="6"/>
  <c r="K82" i="6"/>
  <c r="M101" i="6"/>
  <c r="K101" i="6"/>
  <c r="M129" i="6"/>
  <c r="K129" i="6"/>
  <c r="M88" i="6"/>
  <c r="K88" i="6"/>
  <c r="M109" i="6"/>
  <c r="K109" i="6"/>
  <c r="K135" i="6"/>
  <c r="M135" i="6"/>
  <c r="M110" i="6"/>
  <c r="K110" i="6"/>
  <c r="M142" i="6"/>
  <c r="K142" i="6"/>
  <c r="M251" i="6"/>
  <c r="K251" i="6"/>
  <c r="M248" i="6"/>
  <c r="K248" i="6"/>
  <c r="K265" i="6"/>
  <c r="M265" i="6"/>
  <c r="M162" i="6"/>
  <c r="K162" i="6"/>
  <c r="M272" i="6"/>
  <c r="K272" i="6"/>
  <c r="M276" i="6"/>
  <c r="K276" i="6"/>
  <c r="M282" i="6"/>
  <c r="K282" i="6"/>
  <c r="O334" i="12"/>
  <c r="N334" i="12"/>
  <c r="O329" i="12"/>
  <c r="N329" i="12"/>
  <c r="M363" i="6"/>
  <c r="K363" i="6"/>
  <c r="M331" i="6"/>
  <c r="K331" i="6"/>
  <c r="M314" i="6"/>
  <c r="K314" i="6"/>
  <c r="M355" i="6"/>
  <c r="K355" i="6"/>
  <c r="M351" i="6"/>
  <c r="K351" i="6"/>
  <c r="K313" i="6"/>
  <c r="M313" i="6"/>
  <c r="K365" i="6"/>
  <c r="M365" i="6"/>
  <c r="M385" i="6"/>
  <c r="K385" i="6"/>
  <c r="M328" i="6"/>
  <c r="K328" i="6"/>
  <c r="M376" i="6"/>
  <c r="K376" i="6"/>
  <c r="M369" i="6"/>
  <c r="K369" i="6"/>
  <c r="O475" i="12"/>
  <c r="N475" i="12"/>
  <c r="M550" i="6"/>
  <c r="K550" i="6"/>
  <c r="N494" i="12"/>
  <c r="O494" i="12"/>
  <c r="N294" i="12"/>
  <c r="O294" i="12"/>
  <c r="O418" i="12"/>
  <c r="N418" i="12"/>
  <c r="O70" i="12"/>
  <c r="N70" i="12"/>
  <c r="O167" i="12"/>
  <c r="N167" i="12"/>
  <c r="K395" i="6"/>
  <c r="M395" i="6"/>
  <c r="N328" i="12"/>
  <c r="O328" i="12"/>
  <c r="O160" i="12"/>
  <c r="N160" i="12"/>
  <c r="N188" i="12"/>
  <c r="O188" i="12"/>
  <c r="M192" i="6"/>
  <c r="K192" i="6"/>
  <c r="M195" i="6"/>
  <c r="K195" i="6"/>
  <c r="K202" i="6"/>
  <c r="M202" i="6"/>
  <c r="M298" i="6"/>
  <c r="K298" i="6"/>
  <c r="M299" i="6"/>
  <c r="K299" i="6"/>
  <c r="O415" i="12"/>
  <c r="N415" i="12"/>
  <c r="M62" i="6"/>
  <c r="K62" i="6"/>
  <c r="K72" i="6"/>
  <c r="M72" i="6"/>
  <c r="M31" i="6"/>
  <c r="K31" i="6"/>
  <c r="N97" i="12"/>
  <c r="O97" i="12"/>
  <c r="E11" i="5"/>
  <c r="F11" i="5" s="1"/>
  <c r="J155" i="12"/>
  <c r="L155" i="12" s="1"/>
  <c r="O355" i="12"/>
  <c r="N355" i="12"/>
  <c r="O374" i="12"/>
  <c r="N374" i="12"/>
  <c r="O380" i="12"/>
  <c r="N380" i="12"/>
  <c r="M171" i="6"/>
  <c r="K171" i="6"/>
  <c r="K177" i="6"/>
  <c r="M177" i="6"/>
  <c r="O85" i="12"/>
  <c r="N85" i="12"/>
  <c r="M229" i="6"/>
  <c r="K229" i="6"/>
  <c r="O373" i="12"/>
  <c r="N373" i="12"/>
  <c r="N64" i="12"/>
  <c r="O64" i="12"/>
  <c r="N360" i="12"/>
  <c r="O360" i="12"/>
  <c r="O419" i="10"/>
  <c r="P419" i="10" s="1"/>
  <c r="N295" i="12"/>
  <c r="O295" i="12"/>
  <c r="M492" i="6"/>
  <c r="K492" i="6"/>
  <c r="K224" i="6"/>
  <c r="M224" i="6"/>
  <c r="M495" i="6"/>
  <c r="K495" i="6"/>
  <c r="O306" i="12"/>
  <c r="N306" i="12"/>
  <c r="N204" i="12"/>
  <c r="O204" i="12"/>
  <c r="O203" i="10"/>
  <c r="P203" i="10" s="1"/>
  <c r="O332" i="10"/>
  <c r="P332" i="10" s="1"/>
  <c r="P443" i="10"/>
  <c r="O443" i="10"/>
  <c r="P47" i="10"/>
  <c r="O47" i="10"/>
  <c r="O280" i="12"/>
  <c r="N280" i="12"/>
  <c r="O60" i="10"/>
  <c r="P60" i="10" s="1"/>
  <c r="M145" i="6"/>
  <c r="K145" i="6"/>
  <c r="M95" i="6"/>
  <c r="K95" i="6"/>
  <c r="K254" i="6"/>
  <c r="M254" i="6"/>
  <c r="N327" i="12"/>
  <c r="O327" i="12"/>
  <c r="O292" i="12"/>
  <c r="N292" i="12"/>
  <c r="M506" i="6"/>
  <c r="K506" i="6"/>
  <c r="M523" i="6"/>
  <c r="K523" i="6"/>
  <c r="K524" i="6"/>
  <c r="M524" i="6"/>
  <c r="M497" i="6"/>
  <c r="K497" i="6"/>
  <c r="K526" i="6"/>
  <c r="M526" i="6"/>
  <c r="M521" i="6"/>
  <c r="K521" i="6"/>
  <c r="M504" i="6"/>
  <c r="K504" i="6"/>
  <c r="M209" i="6"/>
  <c r="K209" i="6"/>
  <c r="K219" i="6"/>
  <c r="M219" i="6"/>
  <c r="O248" i="12"/>
  <c r="N248" i="12"/>
  <c r="O365" i="12"/>
  <c r="N365" i="12"/>
  <c r="O339" i="12"/>
  <c r="N339" i="12"/>
  <c r="O332" i="12"/>
  <c r="N332" i="12"/>
  <c r="P124" i="10"/>
  <c r="O124" i="10"/>
  <c r="O72" i="10"/>
  <c r="P72" i="10"/>
  <c r="P230" i="10"/>
  <c r="O230" i="10"/>
  <c r="P300" i="10"/>
  <c r="O300" i="10"/>
  <c r="P250" i="10"/>
  <c r="O250" i="10"/>
  <c r="O255" i="10"/>
  <c r="P255" i="10" s="1"/>
  <c r="P365" i="10"/>
  <c r="O365" i="10"/>
  <c r="O170" i="12"/>
  <c r="N170" i="12"/>
  <c r="P74" i="10"/>
  <c r="O74" i="10"/>
  <c r="O395" i="10"/>
  <c r="P395" i="10" s="1"/>
  <c r="M423" i="6"/>
  <c r="K423" i="6"/>
  <c r="M422" i="6"/>
  <c r="K422" i="6"/>
  <c r="M424" i="6"/>
  <c r="K424" i="6"/>
  <c r="M441" i="6"/>
  <c r="K441" i="6"/>
  <c r="M414" i="6"/>
  <c r="K414" i="6"/>
  <c r="M241" i="6"/>
  <c r="K241" i="6"/>
  <c r="M17" i="6"/>
  <c r="K17" i="6"/>
  <c r="K24" i="6"/>
  <c r="M24" i="6"/>
  <c r="O91" i="12"/>
  <c r="N91" i="12"/>
  <c r="N351" i="12"/>
  <c r="O351" i="12"/>
  <c r="P310" i="10"/>
  <c r="O310" i="10"/>
  <c r="O358" i="10"/>
  <c r="P358" i="10" s="1"/>
  <c r="K402" i="6"/>
  <c r="M402" i="6"/>
  <c r="O504" i="12"/>
  <c r="N504" i="12"/>
  <c r="O499" i="12"/>
  <c r="N499" i="12"/>
  <c r="O39" i="12"/>
  <c r="N39" i="12"/>
  <c r="M44" i="6"/>
  <c r="K44" i="6"/>
  <c r="K54" i="6"/>
  <c r="M54" i="6"/>
  <c r="O364" i="12"/>
  <c r="N364" i="12"/>
  <c r="O62" i="10"/>
  <c r="P62" i="10" s="1"/>
  <c r="P198" i="10"/>
  <c r="O198" i="10"/>
  <c r="P269" i="10"/>
  <c r="O269" i="10"/>
  <c r="P280" i="10"/>
  <c r="O280" i="10"/>
  <c r="O241" i="10"/>
  <c r="P241" i="10" s="1"/>
  <c r="P333" i="10"/>
  <c r="O333" i="10"/>
  <c r="P406" i="10"/>
  <c r="O406" i="10"/>
  <c r="P404" i="10"/>
  <c r="O404" i="10"/>
  <c r="O532" i="10"/>
  <c r="P532" i="10" s="1"/>
  <c r="P505" i="10"/>
  <c r="O505" i="10"/>
  <c r="N172" i="12"/>
  <c r="O172" i="12"/>
  <c r="N252" i="12"/>
  <c r="O252" i="12"/>
  <c r="O474" i="12"/>
  <c r="N474" i="12"/>
  <c r="P119" i="10"/>
  <c r="O119" i="10"/>
  <c r="P456" i="10"/>
  <c r="O456" i="10"/>
  <c r="O92" i="12"/>
  <c r="N92" i="12"/>
  <c r="M87" i="6"/>
  <c r="K87" i="6"/>
  <c r="M86" i="6"/>
  <c r="K86" i="6"/>
  <c r="M108" i="6"/>
  <c r="K108" i="6"/>
  <c r="M136" i="6"/>
  <c r="K136" i="6"/>
  <c r="M92" i="6"/>
  <c r="K92" i="6"/>
  <c r="M141" i="6"/>
  <c r="K141" i="6"/>
  <c r="K139" i="6"/>
  <c r="M139" i="6"/>
  <c r="K114" i="6"/>
  <c r="M114" i="6"/>
  <c r="M146" i="6"/>
  <c r="K146" i="6"/>
  <c r="M246" i="6"/>
  <c r="K246" i="6"/>
  <c r="M252" i="6"/>
  <c r="K252" i="6"/>
  <c r="K269" i="6"/>
  <c r="M269" i="6"/>
  <c r="K156" i="6"/>
  <c r="M156" i="6"/>
  <c r="K274" i="6"/>
  <c r="M274" i="6"/>
  <c r="M277" i="6"/>
  <c r="K277" i="6"/>
  <c r="K286" i="6"/>
  <c r="M286" i="6"/>
  <c r="O382" i="12"/>
  <c r="N382" i="12"/>
  <c r="O316" i="12"/>
  <c r="N316" i="12"/>
  <c r="M315" i="6"/>
  <c r="K315" i="6"/>
  <c r="M338" i="6"/>
  <c r="K338" i="6"/>
  <c r="M339" i="6"/>
  <c r="K339" i="6"/>
  <c r="M306" i="6"/>
  <c r="K306" i="6"/>
  <c r="M354" i="6"/>
  <c r="K354" i="6"/>
  <c r="K317" i="6"/>
  <c r="M317" i="6"/>
  <c r="K368" i="6"/>
  <c r="M368" i="6"/>
  <c r="M388" i="6"/>
  <c r="K388" i="6"/>
  <c r="K332" i="6"/>
  <c r="M332" i="6"/>
  <c r="M379" i="6"/>
  <c r="K379" i="6"/>
  <c r="M372" i="6"/>
  <c r="K372" i="6"/>
  <c r="E8" i="5"/>
  <c r="F8" i="5" s="1"/>
  <c r="J58" i="12"/>
  <c r="L58" i="12" s="1"/>
  <c r="K551" i="6"/>
  <c r="M551" i="6"/>
  <c r="P111" i="10"/>
  <c r="O111" i="10"/>
  <c r="O285" i="10"/>
  <c r="P285" i="10" s="1"/>
  <c r="P316" i="10"/>
  <c r="O316" i="10"/>
  <c r="O478" i="10"/>
  <c r="P478" i="10" s="1"/>
  <c r="P378" i="10"/>
  <c r="O378" i="10"/>
  <c r="O192" i="12"/>
  <c r="N192" i="12"/>
  <c r="N486" i="12"/>
  <c r="O486" i="12"/>
  <c r="N223" i="12"/>
  <c r="O223" i="12"/>
  <c r="O103" i="12"/>
  <c r="N103" i="12"/>
  <c r="O253" i="12"/>
  <c r="N253" i="12"/>
  <c r="K394" i="6"/>
  <c r="M394" i="6"/>
  <c r="O330" i="12"/>
  <c r="N330" i="12"/>
  <c r="O325" i="12"/>
  <c r="N325" i="12"/>
  <c r="O472" i="12"/>
  <c r="N472" i="12"/>
  <c r="P219" i="10"/>
  <c r="O219" i="10"/>
  <c r="P292" i="10"/>
  <c r="O292" i="10"/>
  <c r="P258" i="10"/>
  <c r="O258" i="10"/>
  <c r="O227" i="10"/>
  <c r="P227" i="10" s="1"/>
  <c r="P323" i="10"/>
  <c r="O323" i="10"/>
  <c r="N37" i="12"/>
  <c r="O37" i="12"/>
  <c r="M203" i="6"/>
  <c r="K203" i="6"/>
  <c r="M196" i="6"/>
  <c r="K196" i="6"/>
  <c r="K206" i="6"/>
  <c r="M206" i="6"/>
  <c r="O298" i="12"/>
  <c r="N298" i="12"/>
  <c r="M294" i="6"/>
  <c r="K294" i="6"/>
  <c r="O421" i="12"/>
  <c r="N421" i="12"/>
  <c r="N487" i="12"/>
  <c r="O487" i="12"/>
  <c r="O211" i="12"/>
  <c r="N211" i="12"/>
  <c r="M78" i="6"/>
  <c r="K78" i="6"/>
  <c r="K76" i="6"/>
  <c r="M76" i="6"/>
  <c r="M34" i="6"/>
  <c r="K34" i="6"/>
  <c r="O99" i="12"/>
  <c r="N99" i="12"/>
  <c r="O249" i="12"/>
  <c r="N249" i="12"/>
  <c r="O187" i="10"/>
  <c r="P187" i="10"/>
  <c r="P177" i="10"/>
  <c r="O177" i="10"/>
  <c r="O166" i="10"/>
  <c r="P166" i="10" s="1"/>
  <c r="P294" i="10"/>
  <c r="O294" i="10"/>
  <c r="O457" i="10"/>
  <c r="P457" i="10"/>
  <c r="P501" i="10"/>
  <c r="O501" i="10"/>
  <c r="O133" i="10"/>
  <c r="P133" i="10" s="1"/>
  <c r="O423" i="12"/>
  <c r="N423" i="12"/>
  <c r="O506" i="12"/>
  <c r="N506" i="12"/>
  <c r="N213" i="12"/>
  <c r="O213" i="12"/>
  <c r="M166" i="6"/>
  <c r="K166" i="6"/>
  <c r="K181" i="6"/>
  <c r="M181" i="6"/>
  <c r="O100" i="12"/>
  <c r="N100" i="12"/>
  <c r="O29" i="10"/>
  <c r="P29" i="10" s="1"/>
  <c r="P88" i="10"/>
  <c r="O88" i="10"/>
  <c r="O178" i="10"/>
  <c r="P178" i="10" s="1"/>
  <c r="O50" i="10"/>
  <c r="P50" i="10"/>
  <c r="O117" i="10"/>
  <c r="P117" i="10" s="1"/>
  <c r="P127" i="10"/>
  <c r="O127" i="10"/>
  <c r="P244" i="10"/>
  <c r="O244" i="10"/>
  <c r="O313" i="10"/>
  <c r="P313" i="10" s="1"/>
  <c r="P226" i="10"/>
  <c r="O226" i="10"/>
  <c r="P328" i="10"/>
  <c r="O328" i="10"/>
  <c r="P232" i="10"/>
  <c r="O232" i="10"/>
  <c r="O326" i="10"/>
  <c r="P326" i="10" s="1"/>
  <c r="P418" i="10"/>
  <c r="O418" i="10"/>
  <c r="P431" i="10"/>
  <c r="O431" i="10"/>
  <c r="P491" i="10"/>
  <c r="O491" i="10"/>
  <c r="O296" i="12"/>
  <c r="N296" i="12"/>
  <c r="P540" i="10"/>
  <c r="O540" i="10"/>
  <c r="M536" i="6"/>
  <c r="K536" i="6"/>
  <c r="K513" i="6"/>
  <c r="M513" i="6"/>
  <c r="K235" i="6"/>
  <c r="M235" i="6"/>
  <c r="K484" i="6"/>
  <c r="M484" i="6"/>
  <c r="M489" i="6"/>
  <c r="K489" i="6"/>
  <c r="K533" i="6"/>
  <c r="M533" i="6"/>
  <c r="O436" i="10"/>
  <c r="P436" i="10"/>
  <c r="P466" i="10"/>
  <c r="O466" i="10"/>
  <c r="K436" i="6"/>
  <c r="M436" i="6"/>
  <c r="K239" i="6"/>
  <c r="M239" i="6"/>
  <c r="K8" i="6"/>
  <c r="M8" i="6"/>
  <c r="O540" i="12"/>
  <c r="N540" i="12"/>
  <c r="M413" i="6"/>
  <c r="K413" i="6"/>
  <c r="M448" i="6"/>
  <c r="K448" i="6"/>
  <c r="M19" i="6"/>
  <c r="K19" i="6"/>
  <c r="O195" i="10"/>
  <c r="P195" i="10" s="1"/>
  <c r="N311" i="12"/>
  <c r="O311" i="12"/>
  <c r="O93" i="10"/>
  <c r="P93" i="10" s="1"/>
  <c r="E10" i="5"/>
  <c r="F10" i="5" s="1"/>
  <c r="J82" i="12"/>
  <c r="L82" i="12" s="1"/>
  <c r="M357" i="6"/>
  <c r="K357" i="6"/>
  <c r="K500" i="6"/>
  <c r="M500" i="6"/>
  <c r="M528" i="6"/>
  <c r="K528" i="6"/>
  <c r="M520" i="6"/>
  <c r="K520" i="6"/>
  <c r="M210" i="6"/>
  <c r="K210" i="6"/>
  <c r="O22" i="12"/>
  <c r="N22" i="12"/>
  <c r="E21" i="5"/>
  <c r="F21" i="5" s="1"/>
  <c r="J272" i="12"/>
  <c r="L272" i="12" s="1"/>
  <c r="O541" i="12"/>
  <c r="N541" i="12"/>
  <c r="O145" i="10"/>
  <c r="P145" i="10" s="1"/>
  <c r="P200" i="10"/>
  <c r="O200" i="10"/>
  <c r="P402" i="10"/>
  <c r="O402" i="10"/>
  <c r="O398" i="10"/>
  <c r="P398" i="10" s="1"/>
  <c r="P524" i="10"/>
  <c r="O524" i="10"/>
  <c r="O363" i="12"/>
  <c r="N363" i="12"/>
  <c r="O197" i="12"/>
  <c r="N197" i="12"/>
  <c r="O414" i="12"/>
  <c r="N414" i="12"/>
  <c r="M425" i="6"/>
  <c r="K425" i="6"/>
  <c r="M445" i="6"/>
  <c r="K445" i="6"/>
  <c r="K427" i="6"/>
  <c r="M427" i="6"/>
  <c r="M444" i="6"/>
  <c r="K444" i="6"/>
  <c r="M437" i="6"/>
  <c r="K437" i="6"/>
  <c r="N214" i="12"/>
  <c r="O214" i="12"/>
  <c r="M236" i="6"/>
  <c r="K236" i="6"/>
  <c r="O11" i="12"/>
  <c r="N11" i="12"/>
  <c r="M22" i="6"/>
  <c r="K22" i="6"/>
  <c r="M21" i="6"/>
  <c r="K21" i="6"/>
  <c r="K28" i="6"/>
  <c r="M28" i="6"/>
  <c r="N38" i="12"/>
  <c r="O38" i="12"/>
  <c r="O101" i="12"/>
  <c r="N101" i="12"/>
  <c r="N260" i="12"/>
  <c r="O260" i="12"/>
  <c r="O361" i="12"/>
  <c r="N361" i="12"/>
  <c r="O49" i="10"/>
  <c r="P49" i="10"/>
  <c r="P107" i="10"/>
  <c r="O107" i="10"/>
  <c r="P190" i="10"/>
  <c r="O190" i="10"/>
  <c r="P169" i="10"/>
  <c r="O169" i="10"/>
  <c r="O359" i="10"/>
  <c r="P359" i="10"/>
  <c r="P420" i="10"/>
  <c r="O420" i="10"/>
  <c r="P507" i="10"/>
  <c r="O507" i="10"/>
  <c r="N495" i="12"/>
  <c r="O495" i="12"/>
  <c r="M405" i="6"/>
  <c r="K405" i="6"/>
  <c r="O434" i="12"/>
  <c r="N434" i="12"/>
  <c r="O25" i="12"/>
  <c r="N25" i="12"/>
  <c r="O157" i="12"/>
  <c r="N157" i="12"/>
  <c r="M43" i="6"/>
  <c r="K43" i="6"/>
  <c r="M41" i="6"/>
  <c r="K41" i="6"/>
  <c r="N375" i="12"/>
  <c r="O375" i="12"/>
  <c r="P43" i="10"/>
  <c r="O43" i="10"/>
  <c r="O112" i="10"/>
  <c r="P112" i="10" s="1"/>
  <c r="O125" i="10"/>
  <c r="P125" i="10" s="1"/>
  <c r="P188" i="10"/>
  <c r="O188" i="10"/>
  <c r="P471" i="10"/>
  <c r="O471" i="10"/>
  <c r="N189" i="12"/>
  <c r="O189" i="12"/>
  <c r="O500" i="12"/>
  <c r="N500" i="12"/>
  <c r="O9" i="12"/>
  <c r="N9" i="12"/>
  <c r="M152" i="6"/>
  <c r="K152" i="6"/>
  <c r="M90" i="6"/>
  <c r="K90" i="6"/>
  <c r="M125" i="6"/>
  <c r="K125" i="6"/>
  <c r="M96" i="6"/>
  <c r="K96" i="6"/>
  <c r="K107" i="6"/>
  <c r="M107" i="6"/>
  <c r="M148" i="6"/>
  <c r="K148" i="6"/>
  <c r="K143" i="6"/>
  <c r="M143" i="6"/>
  <c r="M118" i="6"/>
  <c r="K118" i="6"/>
  <c r="M150" i="6"/>
  <c r="K150" i="6"/>
  <c r="O256" i="12"/>
  <c r="N256" i="12"/>
  <c r="M266" i="6"/>
  <c r="K266" i="6"/>
  <c r="M263" i="6"/>
  <c r="K263" i="6"/>
  <c r="M256" i="6"/>
  <c r="K256" i="6"/>
  <c r="K160" i="6"/>
  <c r="M160" i="6"/>
  <c r="K273" i="6"/>
  <c r="M273" i="6"/>
  <c r="M284" i="6"/>
  <c r="K284" i="6"/>
  <c r="M330" i="6"/>
  <c r="K330" i="6"/>
  <c r="M389" i="6"/>
  <c r="K389" i="6"/>
  <c r="M360" i="6"/>
  <c r="K360" i="6"/>
  <c r="M319" i="6"/>
  <c r="K319" i="6"/>
  <c r="M377" i="6"/>
  <c r="K377" i="6"/>
  <c r="K321" i="6"/>
  <c r="M321" i="6"/>
  <c r="M371" i="6"/>
  <c r="K371" i="6"/>
  <c r="M304" i="6"/>
  <c r="K304" i="6"/>
  <c r="M336" i="6"/>
  <c r="K336" i="6"/>
  <c r="M382" i="6"/>
  <c r="K382" i="6"/>
  <c r="M375" i="6"/>
  <c r="K375" i="6"/>
  <c r="O13" i="10"/>
  <c r="P13" i="10" s="1"/>
  <c r="P130" i="10"/>
  <c r="O130" i="10"/>
  <c r="O118" i="10"/>
  <c r="P118" i="10" s="1"/>
  <c r="O413" i="12"/>
  <c r="N413" i="12"/>
  <c r="N303" i="12"/>
  <c r="O303" i="12"/>
  <c r="O469" i="10"/>
  <c r="P469" i="10" s="1"/>
  <c r="O215" i="12"/>
  <c r="N215" i="12"/>
  <c r="O93" i="12"/>
  <c r="N93" i="12"/>
  <c r="N304" i="12"/>
  <c r="O304" i="12"/>
  <c r="P44" i="10"/>
  <c r="O44" i="10"/>
  <c r="O100" i="10"/>
  <c r="P100" i="10" s="1"/>
  <c r="P451" i="10"/>
  <c r="O451" i="10"/>
  <c r="P427" i="10"/>
  <c r="O427" i="10"/>
  <c r="P523" i="10"/>
  <c r="O523" i="10"/>
  <c r="O308" i="10"/>
  <c r="P308" i="10" s="1"/>
  <c r="M188" i="6"/>
  <c r="K188" i="6"/>
  <c r="M191" i="6"/>
  <c r="K191" i="6"/>
  <c r="M185" i="6"/>
  <c r="K185" i="6"/>
  <c r="K288" i="6"/>
  <c r="M288" i="6"/>
  <c r="O505" i="12"/>
  <c r="N505" i="12"/>
  <c r="M65" i="6"/>
  <c r="K65" i="6"/>
  <c r="K80" i="6"/>
  <c r="M80" i="6"/>
  <c r="N20" i="12"/>
  <c r="O20" i="12"/>
  <c r="O36" i="12"/>
  <c r="N36" i="12"/>
  <c r="M38" i="6"/>
  <c r="K38" i="6"/>
  <c r="N89" i="12"/>
  <c r="O89" i="12"/>
  <c r="O49" i="12"/>
  <c r="N49" i="12"/>
  <c r="O345" i="12"/>
  <c r="N345" i="12"/>
  <c r="N319" i="12"/>
  <c r="O319" i="12"/>
  <c r="N383" i="12"/>
  <c r="O383" i="12"/>
  <c r="O94" i="10"/>
  <c r="P94" i="10" s="1"/>
  <c r="N352" i="12"/>
  <c r="O352" i="12"/>
  <c r="P320" i="10"/>
  <c r="O320" i="10"/>
  <c r="P541" i="10"/>
  <c r="O541" i="10"/>
  <c r="O382" i="10"/>
  <c r="P382" i="10" s="1"/>
  <c r="P445" i="10"/>
  <c r="O445" i="10"/>
  <c r="N12" i="12"/>
  <c r="O12" i="12"/>
  <c r="O202" i="12"/>
  <c r="N202" i="12"/>
  <c r="O416" i="12"/>
  <c r="N416" i="12"/>
  <c r="E9" i="5"/>
  <c r="F9" i="5" s="1"/>
  <c r="J62" i="12"/>
  <c r="L62" i="12" s="1"/>
  <c r="M167" i="6"/>
  <c r="K167" i="6"/>
  <c r="M168" i="6"/>
  <c r="K168" i="6"/>
  <c r="O16" i="12"/>
  <c r="N16" i="12"/>
  <c r="O366" i="12"/>
  <c r="N366" i="12"/>
  <c r="O371" i="12"/>
  <c r="N371" i="12"/>
  <c r="N452" i="12"/>
  <c r="O452" i="12"/>
  <c r="O31" i="10"/>
  <c r="P31" i="10" s="1"/>
  <c r="O68" i="10"/>
  <c r="P68" i="10" s="1"/>
  <c r="P179" i="10"/>
  <c r="O179" i="10"/>
  <c r="P352" i="10"/>
  <c r="O352" i="10"/>
  <c r="N503" i="12"/>
  <c r="O503" i="12"/>
  <c r="P102" i="10"/>
  <c r="O102" i="10"/>
  <c r="K519" i="6"/>
  <c r="M519" i="6"/>
  <c r="K496" i="6"/>
  <c r="M496" i="6"/>
  <c r="M218" i="6"/>
  <c r="K218" i="6"/>
  <c r="M222" i="6"/>
  <c r="K222" i="6"/>
  <c r="P103" i="10"/>
  <c r="O103" i="10"/>
  <c r="K499" i="6"/>
  <c r="M499" i="6"/>
  <c r="N105" i="12"/>
  <c r="O105" i="12"/>
  <c r="N435" i="12"/>
  <c r="O435" i="12"/>
  <c r="K432" i="6"/>
  <c r="M432" i="6"/>
  <c r="M10" i="6"/>
  <c r="K10" i="6"/>
  <c r="O194" i="12"/>
  <c r="N194" i="12"/>
  <c r="O491" i="12"/>
  <c r="N491" i="12"/>
  <c r="K487" i="6"/>
  <c r="M487" i="6"/>
  <c r="K502" i="6"/>
  <c r="M502" i="6"/>
  <c r="O235" i="12"/>
  <c r="N235" i="12"/>
  <c r="M223" i="6"/>
  <c r="K223" i="6"/>
  <c r="O309" i="12"/>
  <c r="N309" i="12"/>
  <c r="M428" i="6"/>
  <c r="K428" i="6"/>
  <c r="M439" i="6"/>
  <c r="K439" i="6"/>
  <c r="M412" i="6"/>
  <c r="K412" i="6"/>
  <c r="M234" i="6"/>
  <c r="K234" i="6"/>
  <c r="M26" i="6"/>
  <c r="K26" i="6"/>
  <c r="O96" i="12"/>
  <c r="N96" i="12"/>
  <c r="E15" i="5"/>
  <c r="F15" i="5" s="1"/>
  <c r="J221" i="12"/>
  <c r="L221" i="12" s="1"/>
  <c r="M56" i="6"/>
  <c r="K56" i="6"/>
  <c r="O372" i="12"/>
  <c r="N372" i="12"/>
  <c r="K522" i="6"/>
  <c r="M522" i="6"/>
  <c r="M503" i="6"/>
  <c r="K503" i="6"/>
  <c r="K530" i="6"/>
  <c r="M530" i="6"/>
  <c r="M507" i="6"/>
  <c r="K507" i="6"/>
  <c r="O201" i="12"/>
  <c r="N201" i="12"/>
  <c r="E28" i="5"/>
  <c r="F28" i="5" s="1"/>
  <c r="J409" i="12"/>
  <c r="L409" i="12" s="1"/>
  <c r="M509" i="6"/>
  <c r="K509" i="6"/>
  <c r="M511" i="6"/>
  <c r="K511" i="6"/>
  <c r="M508" i="6"/>
  <c r="K508" i="6"/>
  <c r="M531" i="6"/>
  <c r="K531" i="6"/>
  <c r="M535" i="6"/>
  <c r="K535" i="6"/>
  <c r="K525" i="6"/>
  <c r="M525" i="6"/>
  <c r="K510" i="6"/>
  <c r="M510" i="6"/>
  <c r="M216" i="6"/>
  <c r="K216" i="6"/>
  <c r="M214" i="6"/>
  <c r="K214" i="6"/>
  <c r="M221" i="6"/>
  <c r="K221" i="6"/>
  <c r="O281" i="12"/>
  <c r="N281" i="12"/>
  <c r="O341" i="12"/>
  <c r="N341" i="12"/>
  <c r="O346" i="12"/>
  <c r="N346" i="12"/>
  <c r="M431" i="6"/>
  <c r="K431" i="6"/>
  <c r="M410" i="6"/>
  <c r="K410" i="6"/>
  <c r="K430" i="6"/>
  <c r="M430" i="6"/>
  <c r="M449" i="6"/>
  <c r="K449" i="6"/>
  <c r="M440" i="6"/>
  <c r="K440" i="6"/>
  <c r="M237" i="6"/>
  <c r="K237" i="6"/>
  <c r="M18" i="6"/>
  <c r="K18" i="6"/>
  <c r="M25" i="6"/>
  <c r="K25" i="6"/>
  <c r="M7" i="6"/>
  <c r="K7" i="6"/>
  <c r="O161" i="12"/>
  <c r="N161" i="12"/>
  <c r="N335" i="12"/>
  <c r="O335" i="12"/>
  <c r="O308" i="12"/>
  <c r="N308" i="12"/>
  <c r="O348" i="12"/>
  <c r="N348" i="12"/>
  <c r="M404" i="6"/>
  <c r="K404" i="6"/>
  <c r="K244" i="6"/>
  <c r="M244" i="6"/>
  <c r="O87" i="12"/>
  <c r="N87" i="12"/>
  <c r="N392" i="12"/>
  <c r="O392" i="12"/>
  <c r="N46" i="12"/>
  <c r="O46" i="12"/>
  <c r="M47" i="6"/>
  <c r="K47" i="6"/>
  <c r="M45" i="6"/>
  <c r="K45" i="6"/>
  <c r="O362" i="12"/>
  <c r="N362" i="12"/>
  <c r="M60" i="6"/>
  <c r="K60" i="6"/>
  <c r="O19" i="12"/>
  <c r="N19" i="12"/>
  <c r="O431" i="12"/>
  <c r="N431" i="12"/>
  <c r="O65" i="12"/>
  <c r="N65" i="12"/>
  <c r="O107" i="12"/>
  <c r="N107" i="12"/>
  <c r="M91" i="6"/>
  <c r="K91" i="6"/>
  <c r="M113" i="6"/>
  <c r="K113" i="6"/>
  <c r="M94" i="6"/>
  <c r="K94" i="6"/>
  <c r="M132" i="6"/>
  <c r="K132" i="6"/>
  <c r="K105" i="6"/>
  <c r="M105" i="6"/>
  <c r="M116" i="6"/>
  <c r="K116" i="6"/>
  <c r="K115" i="6"/>
  <c r="M115" i="6"/>
  <c r="K147" i="6"/>
  <c r="M147" i="6"/>
  <c r="M122" i="6"/>
  <c r="K122" i="6"/>
  <c r="O261" i="12"/>
  <c r="N261" i="12"/>
  <c r="M262" i="6"/>
  <c r="K262" i="6"/>
  <c r="M255" i="6"/>
  <c r="K255" i="6"/>
  <c r="M260" i="6"/>
  <c r="K260" i="6"/>
  <c r="K164" i="6"/>
  <c r="M164" i="6"/>
  <c r="M280" i="6"/>
  <c r="K280" i="6"/>
  <c r="N384" i="12"/>
  <c r="O384" i="12"/>
  <c r="O312" i="12"/>
  <c r="N312" i="12"/>
  <c r="M327" i="6"/>
  <c r="K327" i="6"/>
  <c r="M303" i="6"/>
  <c r="K303" i="6"/>
  <c r="M366" i="6"/>
  <c r="K366" i="6"/>
  <c r="M326" i="6"/>
  <c r="K326" i="6"/>
  <c r="M380" i="6"/>
  <c r="K380" i="6"/>
  <c r="K325" i="6"/>
  <c r="M325" i="6"/>
  <c r="M374" i="6"/>
  <c r="K374" i="6"/>
  <c r="M308" i="6"/>
  <c r="K308" i="6"/>
  <c r="K340" i="6"/>
  <c r="M340" i="6"/>
  <c r="K361" i="6"/>
  <c r="M361" i="6"/>
  <c r="M378" i="6"/>
  <c r="K378" i="6"/>
  <c r="E29" i="5"/>
  <c r="F29" i="5" s="1"/>
  <c r="J451" i="12"/>
  <c r="L451" i="12" s="1"/>
  <c r="O425" i="12"/>
  <c r="N425" i="12"/>
  <c r="O490" i="12"/>
  <c r="N490" i="12"/>
  <c r="O24" i="12"/>
  <c r="N24" i="12"/>
  <c r="O257" i="12"/>
  <c r="N257" i="12"/>
  <c r="O159" i="12"/>
  <c r="N159" i="12"/>
  <c r="O381" i="12"/>
  <c r="N381" i="12"/>
  <c r="O379" i="12"/>
  <c r="N379" i="12"/>
  <c r="N368" i="12"/>
  <c r="O368" i="12"/>
  <c r="E27" i="5"/>
  <c r="F27" i="5" s="1"/>
  <c r="J402" i="12"/>
  <c r="L402" i="12" s="1"/>
  <c r="M204" i="6"/>
  <c r="K204" i="6"/>
  <c r="M207" i="6"/>
  <c r="K207" i="6"/>
  <c r="M189" i="6"/>
  <c r="K189" i="6"/>
  <c r="K292" i="6"/>
  <c r="M292" i="6"/>
  <c r="N436" i="12"/>
  <c r="O436" i="12"/>
  <c r="O492" i="12"/>
  <c r="N492" i="12"/>
  <c r="M69" i="6"/>
  <c r="K69" i="6"/>
  <c r="M63" i="6"/>
  <c r="K63" i="6"/>
  <c r="K33" i="6"/>
  <c r="M33" i="6"/>
  <c r="O394" i="12"/>
  <c r="N394" i="12"/>
  <c r="O498" i="12"/>
  <c r="N498" i="12"/>
  <c r="O497" i="12"/>
  <c r="N497" i="12"/>
  <c r="M178" i="6"/>
  <c r="K178" i="6"/>
  <c r="M172" i="6"/>
  <c r="K172" i="6"/>
  <c r="O106" i="12"/>
  <c r="N106" i="12"/>
  <c r="O47" i="12"/>
  <c r="N47" i="12"/>
  <c r="O315" i="12"/>
  <c r="N315" i="12"/>
  <c r="O324" i="12"/>
  <c r="N324" i="12"/>
  <c r="N393" i="12"/>
  <c r="O393" i="12"/>
  <c r="N243" i="12" l="1"/>
  <c r="O243" i="12"/>
  <c r="O31" i="12"/>
  <c r="N31" i="12"/>
  <c r="O538" i="12"/>
  <c r="N538" i="12"/>
  <c r="O276" i="12"/>
  <c r="N276" i="12"/>
  <c r="O209" i="12"/>
  <c r="N209" i="12"/>
  <c r="O183" i="12"/>
  <c r="N183" i="12"/>
  <c r="O41" i="12"/>
  <c r="N41" i="12"/>
  <c r="O288" i="12"/>
  <c r="N288" i="12"/>
  <c r="O484" i="12"/>
  <c r="N484" i="12"/>
  <c r="O398" i="12"/>
  <c r="N398" i="12"/>
  <c r="N82" i="12"/>
  <c r="O82" i="12"/>
  <c r="N234" i="12"/>
  <c r="O234" i="12"/>
  <c r="O6" i="12"/>
  <c r="N6" i="12"/>
  <c r="O391" i="12"/>
  <c r="N391" i="12"/>
  <c r="O471" i="12"/>
  <c r="N471" i="12"/>
  <c r="O302" i="12"/>
  <c r="N302" i="12"/>
  <c r="O246" i="12"/>
  <c r="N246" i="12"/>
  <c r="O166" i="12"/>
  <c r="N166" i="12"/>
  <c r="F34" i="5"/>
  <c r="O451" i="12"/>
  <c r="N451" i="12"/>
  <c r="O409" i="12"/>
  <c r="N409" i="12"/>
  <c r="O221" i="12"/>
  <c r="N221" i="12"/>
  <c r="O62" i="12"/>
  <c r="N62" i="12"/>
  <c r="O58" i="12"/>
  <c r="N58" i="12"/>
  <c r="N155" i="12"/>
  <c r="O155" i="12"/>
  <c r="H24" i="13" l="1"/>
  <c r="G24" i="13"/>
  <c r="F24" i="13"/>
  <c r="E24" i="13"/>
  <c r="D24" i="13"/>
  <c r="E22" i="13"/>
  <c r="D22" i="13"/>
  <c r="H22" i="13"/>
  <c r="G22" i="13"/>
  <c r="F22" i="13"/>
  <c r="H18" i="13"/>
  <c r="F18" i="13"/>
  <c r="E18" i="13"/>
  <c r="D18" i="13"/>
  <c r="G18" i="13"/>
  <c r="E30" i="13"/>
  <c r="D30" i="13"/>
  <c r="H30" i="13"/>
  <c r="G30" i="13"/>
  <c r="F30" i="13"/>
  <c r="H7" i="13"/>
  <c r="G7" i="13"/>
  <c r="E7" i="13"/>
  <c r="D7" i="13"/>
  <c r="F7" i="13"/>
  <c r="H32" i="13"/>
  <c r="G32" i="13"/>
  <c r="F32" i="13"/>
  <c r="E32" i="13"/>
  <c r="D32" i="13"/>
  <c r="D11" i="13"/>
  <c r="H11" i="13"/>
  <c r="G11" i="13"/>
  <c r="F11" i="13"/>
  <c r="E11" i="13"/>
  <c r="G29" i="13"/>
  <c r="F29" i="13"/>
  <c r="E29" i="13"/>
  <c r="D29" i="13"/>
  <c r="H29" i="13"/>
  <c r="F9" i="13"/>
  <c r="E9" i="13"/>
  <c r="H9" i="13"/>
  <c r="G9" i="13"/>
  <c r="D9" i="13"/>
  <c r="H10" i="13"/>
  <c r="F10" i="13"/>
  <c r="E10" i="13"/>
  <c r="D10" i="13"/>
  <c r="G10" i="13"/>
  <c r="H8" i="13"/>
  <c r="G8" i="13"/>
  <c r="F8" i="13"/>
  <c r="E8" i="13"/>
  <c r="D8" i="13"/>
  <c r="G12" i="13"/>
  <c r="F12" i="13"/>
  <c r="D12" i="13"/>
  <c r="H12" i="13"/>
  <c r="E12" i="13"/>
  <c r="F25" i="13"/>
  <c r="E25" i="13"/>
  <c r="H25" i="13"/>
  <c r="G25" i="13"/>
  <c r="D25" i="13"/>
  <c r="H26" i="13"/>
  <c r="F26" i="13"/>
  <c r="E26" i="13"/>
  <c r="D26" i="13"/>
  <c r="G26" i="13"/>
  <c r="G13" i="13"/>
  <c r="F13" i="13"/>
  <c r="E13" i="13"/>
  <c r="D13" i="13"/>
  <c r="H13" i="13"/>
  <c r="E6" i="13"/>
  <c r="D6" i="13"/>
  <c r="H6" i="13"/>
  <c r="G6" i="13"/>
  <c r="F6" i="13"/>
  <c r="G28" i="13"/>
  <c r="F28" i="13"/>
  <c r="D28" i="13"/>
  <c r="H28" i="13"/>
  <c r="E28" i="13"/>
  <c r="H23" i="13"/>
  <c r="G23" i="13"/>
  <c r="E23" i="13"/>
  <c r="D23" i="13"/>
  <c r="F23" i="13"/>
  <c r="H15" i="13"/>
  <c r="G15" i="13"/>
  <c r="E15" i="13"/>
  <c r="D15" i="13"/>
  <c r="F15" i="13"/>
  <c r="G20" i="13"/>
  <c r="F20" i="13"/>
  <c r="D20" i="13"/>
  <c r="H20" i="13"/>
  <c r="E20" i="13"/>
  <c r="G5" i="13"/>
  <c r="F5" i="13"/>
  <c r="E5" i="13"/>
  <c r="D5" i="13"/>
  <c r="H5" i="13"/>
  <c r="H31" i="13"/>
  <c r="G31" i="13"/>
  <c r="F31" i="13"/>
  <c r="E31" i="13"/>
  <c r="D31" i="13"/>
  <c r="E14" i="13"/>
  <c r="D14" i="13"/>
  <c r="H14" i="13"/>
  <c r="G14" i="13"/>
  <c r="F14" i="13"/>
  <c r="D19" i="13"/>
  <c r="H19" i="13"/>
  <c r="G19" i="13"/>
  <c r="F19" i="13"/>
  <c r="E19" i="13"/>
  <c r="E34" i="13" l="1"/>
  <c r="D34" i="13"/>
  <c r="F34" i="13"/>
  <c r="G34" i="13"/>
  <c r="H34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M6" authorId="0" shapeId="0" xr:uid="{00000000-0006-0000-0D00-000001000000}">
      <text>
        <r>
          <rPr>
            <sz val="11"/>
            <color theme="1"/>
            <rFont val="Calibri"/>
            <family val="2"/>
            <charset val="1"/>
          </rPr>
          <t>Source: Riyasewana.com — 2002 JCB 3CX listed Apr 2026 at Rs. 6,300,000. URL: https://riyasewana.com/search/heavy-duties/jcb/3cx</t>
        </r>
      </text>
    </comment>
    <comment ref="M7" authorId="0" shapeId="0" xr:uid="{00000000-0006-0000-0D00-000002000000}">
      <text>
        <r>
          <rPr>
            <sz val="11"/>
            <color theme="1"/>
            <rFont val="Calibri"/>
            <family val="2"/>
            <charset val="1"/>
          </rPr>
          <t>Source: Riyasewana.com — 1999 JCB SLP3CX estimated ~Rs. 5.2M (adjusted ~17% below 2002 unit at Rs. 6.3M for 3yr age gap). URL: https://riyasewana.com/search/heavy-duties/jcb/3cx</t>
        </r>
      </text>
    </comment>
    <comment ref="M8" authorId="0" shapeId="0" xr:uid="{00000000-0006-0000-0D00-000003000000}">
      <text>
        <r>
          <rPr>
            <sz val="11"/>
            <color theme="1"/>
            <rFont val="Calibri"/>
            <family val="2"/>
            <charset val="1"/>
          </rPr>
          <t>Source: Riyasewana.com — Ashok Leyland Comet Tip 2003 tipper, mid-range of listings Rs. 1.45M–4.1M. URL: https://riyasewana.com/search/lorries/ashok-leyland/comet-tip</t>
        </r>
      </text>
    </comment>
    <comment ref="M9" authorId="0" shapeId="0" xr:uid="{00000000-0006-0000-0D00-000004000000}">
      <text>
        <r>
          <rPr>
            <sz val="11"/>
            <color theme="1"/>
            <rFont val="Calibri"/>
            <family val="2"/>
            <charset val="1"/>
          </rPr>
          <t>Source: Riyasewana.com — Ashok Leyland Comet Tip 2003. Upper-mid of listings range. URL: https://riyasewana.com/search/lorries/ashok-leyland/comet-tip</t>
        </r>
      </text>
    </comment>
    <comment ref="M10" authorId="0" shapeId="0" xr:uid="{00000000-0006-0000-0D00-000005000000}">
      <text>
        <r>
          <rPr>
            <sz val="11"/>
            <color theme="1"/>
            <rFont val="Calibri"/>
            <family val="2"/>
            <charset val="1"/>
          </rPr>
          <t>Source: Riyasewana.com — Ashok Leyland Comet 2003, water bowser conversion. Comet Tip range Rs. 1.45M–4.1M; bowser uplift applied. URL: https://riyasewana.com/search/lorries/ashok-leyland/comet-tip</t>
        </r>
      </text>
    </comment>
    <comment ref="M11" authorId="0" shapeId="0" xr:uid="{00000000-0006-0000-0D00-000006000000}">
      <text>
        <r>
          <rPr>
            <sz val="11"/>
            <color theme="1"/>
            <rFont val="Calibri"/>
            <family val="2"/>
            <charset val="1"/>
          </rPr>
          <t>Source: Riyasewana.com — Tata LPK 1615 3-cube 2011; comparable tipper trucks 2011 vintage listed Rs. 4–5.5M. URL: https://riyasewana.com/search/lorries</t>
        </r>
      </text>
    </comment>
    <comment ref="M12" authorId="0" shapeId="0" xr:uid="{00000000-0006-0000-0D00-000007000000}">
      <text>
        <r>
          <rPr>
            <sz val="11"/>
            <color theme="1"/>
            <rFont val="Calibri"/>
            <family val="2"/>
            <charset val="1"/>
          </rPr>
          <t>Source: Riyasewana.com — Eicher 1080 (2011) listed at Rs. 5,500,000. Eicher Terra16 HDR 2011 comparable. URL: https://riyasewana.com/search/lorries/eicher</t>
        </r>
      </text>
    </comment>
    <comment ref="M13" authorId="0" shapeId="0" xr:uid="{00000000-0006-0000-0D00-000008000000}">
      <text>
        <r>
          <rPr>
            <sz val="11"/>
            <color theme="1"/>
            <rFont val="Calibri"/>
            <family val="2"/>
            <charset val="1"/>
          </rPr>
          <t>Source: Riyasewana.com — Ashok Leyland Tipper 2006 listed at Rs. 1,750,000. URL: https://riyasewana.com/search/lorries/ashok-leyland/diesel</t>
        </r>
      </text>
    </comment>
    <comment ref="M14" authorId="0" shapeId="0" xr:uid="{00000000-0006-0000-0D00-000009000000}">
      <text>
        <r>
          <rPr>
            <sz val="11"/>
            <color theme="1"/>
            <rFont val="Calibri"/>
            <family val="2"/>
            <charset val="1"/>
          </rPr>
          <t>HP:
Source: Riyasewana.com — Eicher 20.16 tipper 2007 estimated ~Rs. 3.5M based on comparable Eicher lorry listings Rs. 3–5.5M. URL: https://riyasewana.com/search/lorries/eicher</t>
        </r>
      </text>
    </comment>
    <comment ref="A15" authorId="0" shapeId="0" xr:uid="{00000000-0006-0000-0D00-00000A000000}">
      <text>
        <r>
          <rPr>
            <sz val="11"/>
            <color theme="1"/>
            <rFont val="Calibri"/>
            <family val="2"/>
            <charset val="1"/>
          </rPr>
          <t>HP:
Source: Riyasewana.com — Ashok Leyland 2516 (2010) listed at Rs. 6,550,000. URL: https://riyasewana.com/search/lorries/ashok-leyland/2516</t>
        </r>
      </text>
    </comment>
    <comment ref="M15" authorId="0" shapeId="0" xr:uid="{00000000-0006-0000-0D00-00000B000000}">
      <text>
        <r>
          <rPr>
            <sz val="11"/>
            <color theme="1"/>
            <rFont val="Calibri"/>
            <family val="2"/>
            <charset val="1"/>
          </rPr>
          <t>HP:
Source: Riyasewana.com — Ashok Leyland 2516 (2010) listed at Rs. 6,550,000. URL: https://riyasewana.com/search/lorries/ashok-leyland/2516</t>
        </r>
      </text>
    </comment>
    <comment ref="M16" authorId="0" shapeId="0" xr:uid="{00000000-0006-0000-0D00-00000C000000}">
      <text>
        <r>
          <rPr>
            <sz val="11"/>
            <color theme="1"/>
            <rFont val="Calibri"/>
            <family val="2"/>
            <charset val="1"/>
          </rPr>
          <t>HP:
Source: Riyasewana.com — SAKAI roller listings in Sri Lanka ~Rs. 5–6M. URL: https://riyasewana.com/search/heavy-duties/sakai/roller</t>
        </r>
      </text>
    </comment>
    <comment ref="M17" authorId="0" shapeId="0" xr:uid="{00000000-0006-0000-0D00-00000D000000}">
      <text>
        <r>
          <rPr>
            <sz val="11"/>
            <color theme="1"/>
            <rFont val="Calibri"/>
            <family val="2"/>
            <charset val="1"/>
          </rPr>
          <t>HP:
Source: Market estimate — CAT CB-504C 8T vibratory roller. CAT premium brand; comparable 8T class rollers trade ~USD 15,000–25,000 in region. Est. LKR 8.5M. Cross-ref: plantandequipment.com</t>
        </r>
      </text>
    </comment>
    <comment ref="M18" authorId="0" shapeId="0" xr:uid="{00000000-0006-0000-0D00-00000E000000}">
      <text>
        <r>
          <rPr>
            <sz val="11"/>
            <color theme="1"/>
            <rFont val="Calibri"/>
            <family val="2"/>
            <charset val="1"/>
          </rPr>
          <t>HP:
Source: Riyasewana.com — SAKAI TW-41 roller estimated ~Rs. 5.5M based on comparable SAKAI roller listings. URL: https://riyasewana.com/search/heavy-duties/sakai/roller</t>
        </r>
      </text>
    </comment>
    <comment ref="M19" authorId="0" shapeId="0" xr:uid="{00000000-0006-0000-0D00-00000F000000}">
      <text>
        <r>
          <rPr>
            <sz val="11"/>
            <color theme="1"/>
            <rFont val="Calibri"/>
            <family val="2"/>
            <charset val="1"/>
          </rPr>
          <t>Source: Market estimate — KOMATSU 4T vibrating roller 2012. Comparable mid-size rollers trade Rs. 3–5M in Sri Lanka used market.</t>
        </r>
      </text>
    </comment>
    <comment ref="M20" authorId="0" shapeId="0" xr:uid="{00000000-0006-0000-0D00-000010000000}">
      <text>
        <r>
          <rPr>
            <sz val="11"/>
            <color theme="1"/>
            <rFont val="Calibri"/>
            <family val="2"/>
            <charset val="1"/>
          </rPr>
          <t>HP:
Source: Market estimate — 4T vibrating roller 2013, brand unknown. Comparable mid-size rollers trade Rs. 2.5–4M in Sri Lanka used market.</t>
        </r>
      </text>
    </comment>
  </commentList>
</comments>
</file>

<file path=xl/sharedStrings.xml><?xml version="1.0" encoding="utf-8"?>
<sst xmlns="http://schemas.openxmlformats.org/spreadsheetml/2006/main" count="19370" uniqueCount="2879">
  <si>
    <t>KEEP / REPLACE ANALYSIS — 2026 depreciated value, expected resale, and new unit cost</t>
  </si>
  <si>
    <t>Decision rule:  KEEP if age ≤ 10 yrs.  MONITOR if age 11–15 and revenue &gt; 2× monthly repair cost.  REPLACE if age &gt; 15 yrs OR repair &gt; 60% of revenue OR major failure expected.</t>
  </si>
  <si>
    <t>#</t>
  </si>
  <si>
    <t>Category</t>
  </si>
  <si>
    <t>Brand / Model</t>
  </si>
  <si>
    <t>E&amp;C No.</t>
  </si>
  <si>
    <t>Registration No.</t>
  </si>
  <si>
    <t>Year</t>
  </si>
  <si>
    <t>Age</t>
  </si>
  <si>
    <t>Est. 2026 resale (LKR mln)</t>
  </si>
  <si>
    <t>Brand-new 2026 price (LKR mln)</t>
  </si>
  <si>
    <t>Monthly revenue (wet)</t>
  </si>
  <si>
    <t>Monthly repair cost</t>
  </si>
  <si>
    <t>Repair % of revenue</t>
  </si>
  <si>
    <t>Years of life left (est.)</t>
  </si>
  <si>
    <t>Decision</t>
  </si>
  <si>
    <t>Rationale</t>
  </si>
  <si>
    <t>Reliability / replacement note</t>
  </si>
  <si>
    <t>BACKHOE LOADER</t>
  </si>
  <si>
    <t>Backhoe Loader</t>
  </si>
  <si>
    <t>BOB CAT B760</t>
  </si>
  <si>
    <t>LB-22</t>
  </si>
  <si>
    <t>ZB-2586</t>
  </si>
  <si>
    <t>2021</t>
  </si>
  <si>
    <t>LB-23</t>
  </si>
  <si>
    <t>ZB-2587</t>
  </si>
  <si>
    <t>LB-24</t>
  </si>
  <si>
    <t>ZB-2583</t>
  </si>
  <si>
    <t>J.C.B 3DX</t>
  </si>
  <si>
    <t>LB-16</t>
  </si>
  <si>
    <t>ZB-1547</t>
  </si>
  <si>
    <t>2020</t>
  </si>
  <si>
    <t>LB-17</t>
  </si>
  <si>
    <t>ZB-1546</t>
  </si>
  <si>
    <t>LB-18</t>
  </si>
  <si>
    <t>ZB-1548</t>
  </si>
  <si>
    <t>LB-19</t>
  </si>
  <si>
    <t>ZB-1978</t>
  </si>
  <si>
    <t>LB-20</t>
  </si>
  <si>
    <t>ZB-1979</t>
  </si>
  <si>
    <t>LB-21</t>
  </si>
  <si>
    <t>ZB-1980</t>
  </si>
  <si>
    <t>J.C.B 570ST</t>
  </si>
  <si>
    <t>LB-15</t>
  </si>
  <si>
    <t>ZB-1047</t>
  </si>
  <si>
    <t>2019</t>
  </si>
  <si>
    <t>JCB JCB 3DX</t>
  </si>
  <si>
    <t>LB-10</t>
  </si>
  <si>
    <t>ZA-7034</t>
  </si>
  <si>
    <t>2016</t>
  </si>
  <si>
    <t>LB-11</t>
  </si>
  <si>
    <t>ZA-7092</t>
  </si>
  <si>
    <t>JCB 3DX</t>
  </si>
  <si>
    <t>LB-12</t>
  </si>
  <si>
    <t>ZA-8337</t>
  </si>
  <si>
    <t>LB-13</t>
  </si>
  <si>
    <t>ZA-7965</t>
  </si>
  <si>
    <t>LB-14</t>
  </si>
  <si>
    <t>ZA-7968</t>
  </si>
  <si>
    <t>LB-08</t>
  </si>
  <si>
    <t>ZA-6068</t>
  </si>
  <si>
    <t>2015</t>
  </si>
  <si>
    <t>LB-09</t>
  </si>
  <si>
    <t>ZA-6069</t>
  </si>
  <si>
    <t>LB-01</t>
  </si>
  <si>
    <t>ZA-2609</t>
  </si>
  <si>
    <t>2012</t>
  </si>
  <si>
    <t>LB-02</t>
  </si>
  <si>
    <t>ZA-2963</t>
  </si>
  <si>
    <t>LB-03</t>
  </si>
  <si>
    <t>ZA-2964</t>
  </si>
  <si>
    <t>LB-05</t>
  </si>
  <si>
    <t>RS-0483</t>
  </si>
  <si>
    <t>2006</t>
  </si>
  <si>
    <t>JCB JCB 3CX</t>
  </si>
  <si>
    <t>LB-07</t>
  </si>
  <si>
    <t>ZA-2608</t>
  </si>
  <si>
    <t>2004</t>
  </si>
  <si>
    <t>JCB 3CX</t>
  </si>
  <si>
    <t>LB-06</t>
  </si>
  <si>
    <t>ZA-0447</t>
  </si>
  <si>
    <t>2002</t>
  </si>
  <si>
    <t>JCB SLP3CX</t>
  </si>
  <si>
    <t>LB-04</t>
  </si>
  <si>
    <t>RS-0401</t>
  </si>
  <si>
    <t>1999</t>
  </si>
  <si>
    <t>WHEEL LOADER</t>
  </si>
  <si>
    <t>Wheel Loader</t>
  </si>
  <si>
    <t>SHANTUI SL-50WN</t>
  </si>
  <si>
    <t>LD-09</t>
  </si>
  <si>
    <t>KOMATSU WA-80SS</t>
  </si>
  <si>
    <t>LD-07</t>
  </si>
  <si>
    <t>KOMATSU WA150</t>
  </si>
  <si>
    <t>LD-05</t>
  </si>
  <si>
    <t>2014</t>
  </si>
  <si>
    <t>SANTUI SL30W</t>
  </si>
  <si>
    <t>LD-08</t>
  </si>
  <si>
    <t>KOMATSU 924F</t>
  </si>
  <si>
    <t>LD-04</t>
  </si>
  <si>
    <t>2013</t>
  </si>
  <si>
    <t>KOMATSU 510</t>
  </si>
  <si>
    <t>LD-06</t>
  </si>
  <si>
    <t>ZA-3116</t>
  </si>
  <si>
    <t>KOMATSU WA100</t>
  </si>
  <si>
    <t>LD-03</t>
  </si>
  <si>
    <t>CAT CAT910</t>
  </si>
  <si>
    <t>LD-02</t>
  </si>
  <si>
    <t>2010</t>
  </si>
  <si>
    <t>CAT 910E</t>
  </si>
  <si>
    <t>LD-01</t>
  </si>
  <si>
    <t>2009</t>
  </si>
  <si>
    <t>TRUCK MIXER</t>
  </si>
  <si>
    <t>Truck Mixer</t>
  </si>
  <si>
    <t>TATA LPK 1618</t>
  </si>
  <si>
    <t>TM-18</t>
  </si>
  <si>
    <t>ZA-8511</t>
  </si>
  <si>
    <t>2017</t>
  </si>
  <si>
    <t>TATA LPK 2518</t>
  </si>
  <si>
    <t>TM-19</t>
  </si>
  <si>
    <t>ZA-8445</t>
  </si>
  <si>
    <t>TM-21</t>
  </si>
  <si>
    <t>ZA-0050</t>
  </si>
  <si>
    <t>ELCHER TERRA 16</t>
  </si>
  <si>
    <t>TM-11</t>
  </si>
  <si>
    <t>ZA-7291</t>
  </si>
  <si>
    <t>TM-12</t>
  </si>
  <si>
    <t>ZA-7290</t>
  </si>
  <si>
    <t>TM-14</t>
  </si>
  <si>
    <t>ZA-7810</t>
  </si>
  <si>
    <t>TM-15</t>
  </si>
  <si>
    <t>ZA-7925</t>
  </si>
  <si>
    <t>TM-16</t>
  </si>
  <si>
    <t>ZA-8033</t>
  </si>
  <si>
    <t>ASHOK LEYLAND TUSKER SUPER 1613</t>
  </si>
  <si>
    <t>TM-10</t>
  </si>
  <si>
    <t>ZA-6395</t>
  </si>
  <si>
    <t>MITSUBISHI KK-FE73EB CANTER</t>
  </si>
  <si>
    <t>TM-09</t>
  </si>
  <si>
    <t>ZA-6255</t>
  </si>
  <si>
    <t>2003</t>
  </si>
  <si>
    <t>ISUZU KK-NRR35C4 FORWARD</t>
  </si>
  <si>
    <t>TM-04</t>
  </si>
  <si>
    <t>LL-0690</t>
  </si>
  <si>
    <t>2000</t>
  </si>
  <si>
    <t>ISUZU KC-NRR33C20</t>
  </si>
  <si>
    <t>TM-03</t>
  </si>
  <si>
    <t>LK-5047</t>
  </si>
  <si>
    <t>1996</t>
  </si>
  <si>
    <t>TM-08</t>
  </si>
  <si>
    <t>LJ-8055</t>
  </si>
  <si>
    <t>MITSUBISHI KC-FH217C</t>
  </si>
  <si>
    <t>TM-01</t>
  </si>
  <si>
    <t>LK-5048</t>
  </si>
  <si>
    <t>MITSUBISHI KC-FE517BN</t>
  </si>
  <si>
    <t>TM-05</t>
  </si>
  <si>
    <t>LH-5474</t>
  </si>
  <si>
    <t>MITSUBISHI U.FE315BN</t>
  </si>
  <si>
    <t>TM-06</t>
  </si>
  <si>
    <t>LH-5475</t>
  </si>
  <si>
    <t>1991</t>
  </si>
  <si>
    <t>SELF LOADER MIXER</t>
  </si>
  <si>
    <t>Self Loader Mixer</t>
  </si>
  <si>
    <t>FIORI BF08H01307</t>
  </si>
  <si>
    <t>TM-20</t>
  </si>
  <si>
    <t>Fiori</t>
  </si>
  <si>
    <t>2018</t>
  </si>
  <si>
    <t>FIORI 8FO8H01246</t>
  </si>
  <si>
    <t>TM-13</t>
  </si>
  <si>
    <t>FIORI 8FO8H01252</t>
  </si>
  <si>
    <t>TM-17</t>
  </si>
  <si>
    <t>STATIC ROLLER</t>
  </si>
  <si>
    <t>Static Roller</t>
  </si>
  <si>
    <t>DYNAPAC CC425</t>
  </si>
  <si>
    <t>SR-17</t>
  </si>
  <si>
    <t>DYNAPAC CA30D</t>
  </si>
  <si>
    <t>SR-18</t>
  </si>
  <si>
    <t>SR-19</t>
  </si>
  <si>
    <t>CASE 1107EXD</t>
  </si>
  <si>
    <t>SR-08</t>
  </si>
  <si>
    <t>SR-09</t>
  </si>
  <si>
    <t>HAMM HAMM 311D</t>
  </si>
  <si>
    <t>SR-12</t>
  </si>
  <si>
    <t>CASE —</t>
  </si>
  <si>
    <t>SR-06</t>
  </si>
  <si>
    <t>SAKAI SW-900</t>
  </si>
  <si>
    <t>SR-05</t>
  </si>
  <si>
    <t>(Unknown) R12</t>
  </si>
  <si>
    <t>SR-04</t>
  </si>
  <si>
    <t>(Unknown) —</t>
  </si>
  <si>
    <t>SR-01</t>
  </si>
  <si>
    <t>SR-03</t>
  </si>
  <si>
    <t>IR 2860-01</t>
  </si>
  <si>
    <t>SR-07</t>
  </si>
  <si>
    <t>SR-02</t>
  </si>
  <si>
    <t>SR-10</t>
  </si>
  <si>
    <t>—</t>
  </si>
  <si>
    <t>DYNAPAC CA250D</t>
  </si>
  <si>
    <t>SR-13</t>
  </si>
  <si>
    <t>SR-16</t>
  </si>
  <si>
    <t>SR-11</t>
  </si>
  <si>
    <t>MACADAM —</t>
  </si>
  <si>
    <t>SR-15</t>
  </si>
  <si>
    <t>SAKAI R2V</t>
  </si>
  <si>
    <t>SR-14</t>
  </si>
  <si>
    <t>VIBRATING ROLLER</t>
  </si>
  <si>
    <t>Vibrating Roller</t>
  </si>
  <si>
    <t>VR-22</t>
  </si>
  <si>
    <t>(Unknown) SL203468</t>
  </si>
  <si>
    <t>VR-23</t>
  </si>
  <si>
    <t>VR-19</t>
  </si>
  <si>
    <t>BOMAG BW-138 AD</t>
  </si>
  <si>
    <t>VR-14</t>
  </si>
  <si>
    <t>BOMAG SA-00-350</t>
  </si>
  <si>
    <t>VR-18</t>
  </si>
  <si>
    <t>BOMAG BW 75 H</t>
  </si>
  <si>
    <t>VR-31</t>
  </si>
  <si>
    <t>TACOM TFR60TDS</t>
  </si>
  <si>
    <t>VR-30</t>
  </si>
  <si>
    <t>TACOM BW 75 H</t>
  </si>
  <si>
    <t>VR-32</t>
  </si>
  <si>
    <t>VR-33</t>
  </si>
  <si>
    <t>VR-06</t>
  </si>
  <si>
    <t>VR-28</t>
  </si>
  <si>
    <t>VR-29</t>
  </si>
  <si>
    <t>VR-27</t>
  </si>
  <si>
    <t>VR-21</t>
  </si>
  <si>
    <t>VR-03</t>
  </si>
  <si>
    <t>BOMAG —</t>
  </si>
  <si>
    <t>VR-08</t>
  </si>
  <si>
    <t>BOMAG BW 138 AD-05</t>
  </si>
  <si>
    <t>VR-10</t>
  </si>
  <si>
    <t>VR-12</t>
  </si>
  <si>
    <t>VR-24</t>
  </si>
  <si>
    <t>VR-25</t>
  </si>
  <si>
    <t>CAT 1650NK0285</t>
  </si>
  <si>
    <t>VR-07</t>
  </si>
  <si>
    <t>DYNAPAC CC142 II</t>
  </si>
  <si>
    <t>VR-09</t>
  </si>
  <si>
    <t>DYNAPAC CC1300</t>
  </si>
  <si>
    <t>VR-11</t>
  </si>
  <si>
    <t>SAKAI SW-300</t>
  </si>
  <si>
    <t>VR-20</t>
  </si>
  <si>
    <t>VR-05</t>
  </si>
  <si>
    <t>VR-26</t>
  </si>
  <si>
    <t>HAMM —</t>
  </si>
  <si>
    <t>VR-13</t>
  </si>
  <si>
    <t>KOMATSU —</t>
  </si>
  <si>
    <t>VR-02</t>
  </si>
  <si>
    <t>VR-01</t>
  </si>
  <si>
    <t>VR-04</t>
  </si>
  <si>
    <t>VR-15</t>
  </si>
  <si>
    <t>VR-16</t>
  </si>
  <si>
    <t>VR-17</t>
  </si>
  <si>
    <t>VR-34</t>
  </si>
  <si>
    <t>VR-35</t>
  </si>
  <si>
    <t>VR-36</t>
  </si>
  <si>
    <t>VR-38</t>
  </si>
  <si>
    <t>VR-39</t>
  </si>
  <si>
    <t>VR-40</t>
  </si>
  <si>
    <t>VR-41</t>
  </si>
  <si>
    <t>VR-42</t>
  </si>
  <si>
    <t>VR-46</t>
  </si>
  <si>
    <t>VR-47</t>
  </si>
  <si>
    <t>VR-48</t>
  </si>
  <si>
    <t>VR-49</t>
  </si>
  <si>
    <t>VR-50</t>
  </si>
  <si>
    <t>VR-51</t>
  </si>
  <si>
    <t>VR-52</t>
  </si>
  <si>
    <t>VR-53</t>
  </si>
  <si>
    <t>VR-54</t>
  </si>
  <si>
    <t>VR-55</t>
  </si>
  <si>
    <t>VR-56</t>
  </si>
  <si>
    <t>VR-57</t>
  </si>
  <si>
    <t>VR-58</t>
  </si>
  <si>
    <t>VR-59</t>
  </si>
  <si>
    <t>VR-60</t>
  </si>
  <si>
    <t>(Unknown) CC-1250</t>
  </si>
  <si>
    <t>VR-61</t>
  </si>
  <si>
    <t>VR-62</t>
  </si>
  <si>
    <t>VR-63</t>
  </si>
  <si>
    <t>VR-64</t>
  </si>
  <si>
    <t>VR-65</t>
  </si>
  <si>
    <t>VR-66</t>
  </si>
  <si>
    <t>VR-67</t>
  </si>
  <si>
    <t>VR-68</t>
  </si>
  <si>
    <t>VR-69</t>
  </si>
  <si>
    <t>VR-70</t>
  </si>
  <si>
    <t>VR-71</t>
  </si>
  <si>
    <t>ATLAS —</t>
  </si>
  <si>
    <t>CAT CB-504C</t>
  </si>
  <si>
    <t>VR-44</t>
  </si>
  <si>
    <t>VR-37</t>
  </si>
  <si>
    <t>SAKAI —</t>
  </si>
  <si>
    <t>VR-43</t>
  </si>
  <si>
    <t>SAKAI TW-41</t>
  </si>
  <si>
    <t>VR-45</t>
  </si>
  <si>
    <t>PNEUMATIC ROLLER</t>
  </si>
  <si>
    <t>Pneumatic Roller</t>
  </si>
  <si>
    <t>PTR-03</t>
  </si>
  <si>
    <t>DYNAPAC CP-201W</t>
  </si>
  <si>
    <t>PTR-04</t>
  </si>
  <si>
    <t>PTR-05</t>
  </si>
  <si>
    <t>FURUKAWA FT-20W</t>
  </si>
  <si>
    <t>PTR-07</t>
  </si>
  <si>
    <t>KAWASAKI KR-20 D</t>
  </si>
  <si>
    <t>PTR-01</t>
  </si>
  <si>
    <t>KTDTO RT-200W</t>
  </si>
  <si>
    <t>PTR-06</t>
  </si>
  <si>
    <t>SAKAI 6BD1LJ-01</t>
  </si>
  <si>
    <t>PTR-02</t>
  </si>
  <si>
    <t>SAKAI C200</t>
  </si>
  <si>
    <t>PTR-09</t>
  </si>
  <si>
    <t>SAKAI TS200</t>
  </si>
  <si>
    <t>PTR-10</t>
  </si>
  <si>
    <t>1990</t>
  </si>
  <si>
    <t>KOMATSU J.W 200</t>
  </si>
  <si>
    <t>PTR-08</t>
  </si>
  <si>
    <t>MOTOR GRADER</t>
  </si>
  <si>
    <t>Motor Grader</t>
  </si>
  <si>
    <t>SANY STG170C-8</t>
  </si>
  <si>
    <t>MG-12</t>
  </si>
  <si>
    <t>ZB-2564</t>
  </si>
  <si>
    <t>SANY STG170C-9</t>
  </si>
  <si>
    <t>MG-13</t>
  </si>
  <si>
    <t>ZB-2585</t>
  </si>
  <si>
    <t>MG-08</t>
  </si>
  <si>
    <t>ZB-2561</t>
  </si>
  <si>
    <t>MG-09</t>
  </si>
  <si>
    <t>ZB-2562</t>
  </si>
  <si>
    <t>MG-10</t>
  </si>
  <si>
    <t>ZB-2559</t>
  </si>
  <si>
    <t>MITSUBISHI 2GB00258</t>
  </si>
  <si>
    <t>MG-14</t>
  </si>
  <si>
    <t>MITSUBISHI 2GB01241</t>
  </si>
  <si>
    <t>MG-15</t>
  </si>
  <si>
    <t>2008</t>
  </si>
  <si>
    <t>MG-02</t>
  </si>
  <si>
    <t>MG-04</t>
  </si>
  <si>
    <t>CATERPILLER *CAT0140HC5HM03479*</t>
  </si>
  <si>
    <t>MG-16</t>
  </si>
  <si>
    <t>MG-01</t>
  </si>
  <si>
    <t>KOMATSU 2501</t>
  </si>
  <si>
    <t>MG-05</t>
  </si>
  <si>
    <t>MG-07</t>
  </si>
  <si>
    <t>ZA-4344</t>
  </si>
  <si>
    <t>MITSUBHISHI MG 230</t>
  </si>
  <si>
    <t>MG-11</t>
  </si>
  <si>
    <t>MITSUBISHI 452-65-147</t>
  </si>
  <si>
    <t>MG-03</t>
  </si>
  <si>
    <t>MITSUBISHI 320-11-21GD</t>
  </si>
  <si>
    <t>MG-06</t>
  </si>
  <si>
    <t>SKID STEER</t>
  </si>
  <si>
    <t>Skid Steer</t>
  </si>
  <si>
    <t>BOB CAT S-450</t>
  </si>
  <si>
    <t>SL-21</t>
  </si>
  <si>
    <t>SL-22</t>
  </si>
  <si>
    <t>SL-23</t>
  </si>
  <si>
    <t>BOB CAT S-16</t>
  </si>
  <si>
    <t>SL-24</t>
  </si>
  <si>
    <t>SL-25</t>
  </si>
  <si>
    <t>SL-20</t>
  </si>
  <si>
    <t>BOB CAT —</t>
  </si>
  <si>
    <t>SL-05</t>
  </si>
  <si>
    <t>SL-06</t>
  </si>
  <si>
    <t>SL-07</t>
  </si>
  <si>
    <t>SL-09</t>
  </si>
  <si>
    <t>SL-11</t>
  </si>
  <si>
    <t>SL-16</t>
  </si>
  <si>
    <t>SL-17</t>
  </si>
  <si>
    <t>SL-18</t>
  </si>
  <si>
    <t>BOB CAT S450 —</t>
  </si>
  <si>
    <t>SL-10</t>
  </si>
  <si>
    <t>CAT 216B3</t>
  </si>
  <si>
    <t>SL-08</t>
  </si>
  <si>
    <t>SL-12</t>
  </si>
  <si>
    <t>SL-13</t>
  </si>
  <si>
    <t>SL-14</t>
  </si>
  <si>
    <t>SL-15</t>
  </si>
  <si>
    <t>BOB CAT S770</t>
  </si>
  <si>
    <t>SL-19</t>
  </si>
  <si>
    <t>SL-01</t>
  </si>
  <si>
    <t>BOB CAT S130</t>
  </si>
  <si>
    <t>SL-02</t>
  </si>
  <si>
    <t>SL-03</t>
  </si>
  <si>
    <t>SL-04</t>
  </si>
  <si>
    <t>ASPHALT PAVER</t>
  </si>
  <si>
    <t>Asphalt Paver</t>
  </si>
  <si>
    <t>DYNAPAC SD2500C</t>
  </si>
  <si>
    <t>AP-10</t>
  </si>
  <si>
    <t>VOLVO P6820C</t>
  </si>
  <si>
    <t>AP-08</t>
  </si>
  <si>
    <t>MITSUBISHI MF-55WH</t>
  </si>
  <si>
    <t>AP-03</t>
  </si>
  <si>
    <t>MITSUBISHI MF60WD</t>
  </si>
  <si>
    <t>AP-04</t>
  </si>
  <si>
    <t>MITSUBISHI MF40WH</t>
  </si>
  <si>
    <t>AP-02</t>
  </si>
  <si>
    <t>NIGATA —</t>
  </si>
  <si>
    <t>AP-05</t>
  </si>
  <si>
    <t>SUMITOMO HA45C-2065</t>
  </si>
  <si>
    <t>AP-01</t>
  </si>
  <si>
    <t>SUMITOMO HA60W-7</t>
  </si>
  <si>
    <t>AP-09</t>
  </si>
  <si>
    <t>SUMITOMO HA60W-5</t>
  </si>
  <si>
    <t>AP-11</t>
  </si>
  <si>
    <t>AP-06</t>
  </si>
  <si>
    <t>AP-07</t>
  </si>
  <si>
    <t>BITUMEN BOWSER</t>
  </si>
  <si>
    <t>Bitumen Bowser</t>
  </si>
  <si>
    <t>DFAC EQ1110SJ8BDC</t>
  </si>
  <si>
    <t>BS-05</t>
  </si>
  <si>
    <t>ZB-1469</t>
  </si>
  <si>
    <t>TATA LPT 709</t>
  </si>
  <si>
    <t>BS-02</t>
  </si>
  <si>
    <t>LL-0623</t>
  </si>
  <si>
    <t>FOTON BJ1056R</t>
  </si>
  <si>
    <t>BS-04</t>
  </si>
  <si>
    <t>LM-2298</t>
  </si>
  <si>
    <t>ASHOK LEYLAND COMET SUPER</t>
  </si>
  <si>
    <t>BS-01</t>
  </si>
  <si>
    <t>43-3416</t>
  </si>
  <si>
    <t>1992</t>
  </si>
  <si>
    <t>MOBILE CRANE</t>
  </si>
  <si>
    <t>Mobile Crane</t>
  </si>
  <si>
    <t>TADANO TR-350M-3-00101</t>
  </si>
  <si>
    <t>CR-01</t>
  </si>
  <si>
    <t>ZA-8395</t>
  </si>
  <si>
    <t>1998</t>
  </si>
  <si>
    <t>KOBELCO RK 250</t>
  </si>
  <si>
    <t>CR-02</t>
  </si>
  <si>
    <t>ZA-9716</t>
  </si>
  <si>
    <t>1995</t>
  </si>
  <si>
    <t>BOOM TRUCK</t>
  </si>
  <si>
    <t>Boom Truck</t>
  </si>
  <si>
    <t>TATA LPT1613</t>
  </si>
  <si>
    <t>BM-02</t>
  </si>
  <si>
    <t>LC-0434</t>
  </si>
  <si>
    <t>ISUZU PJ.CYZ51V5.OIOA</t>
  </si>
  <si>
    <t>BM-03</t>
  </si>
  <si>
    <t>LN-8277</t>
  </si>
  <si>
    <t>2005</t>
  </si>
  <si>
    <t>ISUZU KL.FSR34LARFORWARD</t>
  </si>
  <si>
    <t>BM-04</t>
  </si>
  <si>
    <t>LN-8278</t>
  </si>
  <si>
    <t>FREIGHT ROVER —</t>
  </si>
  <si>
    <t>BM-01</t>
  </si>
  <si>
    <t>48-4849</t>
  </si>
  <si>
    <t>PRIME MOVER / BED</t>
  </si>
  <si>
    <t>Prime Mover / Bed</t>
  </si>
  <si>
    <t>ASHOK LELAND TAURUS 2518</t>
  </si>
  <si>
    <t>BD-05</t>
  </si>
  <si>
    <t>LM-6653</t>
  </si>
  <si>
    <t>RENAULT PREMIUM</t>
  </si>
  <si>
    <t>BD-04</t>
  </si>
  <si>
    <t>LY-4524</t>
  </si>
  <si>
    <t>TATA LPS4018</t>
  </si>
  <si>
    <t>BD-03</t>
  </si>
  <si>
    <t>LY-1614</t>
  </si>
  <si>
    <t>2011</t>
  </si>
  <si>
    <t>TATA LPT2516</t>
  </si>
  <si>
    <t>HINO PROFLA</t>
  </si>
  <si>
    <t>BD-08</t>
  </si>
  <si>
    <t>LN-8279</t>
  </si>
  <si>
    <t>ASHOK LELAND CAROO 709</t>
  </si>
  <si>
    <t>BD-06</t>
  </si>
  <si>
    <t>325-5120</t>
  </si>
  <si>
    <t>RENAULT —</t>
  </si>
  <si>
    <t>BD-02</t>
  </si>
  <si>
    <t>GL-0019</t>
  </si>
  <si>
    <t>ISUZU GIGA</t>
  </si>
  <si>
    <t>BD-01</t>
  </si>
  <si>
    <t>LL-1782</t>
  </si>
  <si>
    <t>PUMP TRUCK (CONCRETE)</t>
  </si>
  <si>
    <t>Pump Truck (Concrete)</t>
  </si>
  <si>
    <t>SANY LZZ1BCKH2KW579978</t>
  </si>
  <si>
    <t>PC-02</t>
  </si>
  <si>
    <t>ZB-1496</t>
  </si>
  <si>
    <t>HINO FS1EWY</t>
  </si>
  <si>
    <t>PC-01</t>
  </si>
  <si>
    <t>ZA-8373</t>
  </si>
  <si>
    <t>DOUBLE CAB (PICKUP)</t>
  </si>
  <si>
    <t>Double Cab (Pickup)</t>
  </si>
  <si>
    <t>TOYOTA HILUX</t>
  </si>
  <si>
    <t>DC-25</t>
  </si>
  <si>
    <t>PJ-5688</t>
  </si>
  <si>
    <t>DC-26</t>
  </si>
  <si>
    <t>PJ-7604</t>
  </si>
  <si>
    <t>DC-27</t>
  </si>
  <si>
    <t>PJ-7605</t>
  </si>
  <si>
    <t>DC-28</t>
  </si>
  <si>
    <t>PJ-7606</t>
  </si>
  <si>
    <t>DC-29</t>
  </si>
  <si>
    <t>PJ-7598</t>
  </si>
  <si>
    <t>DC-30</t>
  </si>
  <si>
    <t>PJ-7601</t>
  </si>
  <si>
    <t>TOYOTA HILUX CUN126R DTTLH</t>
  </si>
  <si>
    <t>DC-31</t>
  </si>
  <si>
    <t>PI-3982</t>
  </si>
  <si>
    <t>DC-32</t>
  </si>
  <si>
    <t>PH-9072</t>
  </si>
  <si>
    <t>MAHINDRA IMPERIO DCVX</t>
  </si>
  <si>
    <t>DC-21</t>
  </si>
  <si>
    <t>PH-3945</t>
  </si>
  <si>
    <t>MAHINDRA BOLERO CAMPER GOLD</t>
  </si>
  <si>
    <t>DC-20</t>
  </si>
  <si>
    <t>PH-0765</t>
  </si>
  <si>
    <t>DC-22</t>
  </si>
  <si>
    <t>PE-3911</t>
  </si>
  <si>
    <t>DC-14</t>
  </si>
  <si>
    <t>PD-6917</t>
  </si>
  <si>
    <t>MITSUBISHI L 200</t>
  </si>
  <si>
    <t>DC-15</t>
  </si>
  <si>
    <t>PE-6582</t>
  </si>
  <si>
    <t>TOYOTA HILUX VIGO</t>
  </si>
  <si>
    <t>DC-18</t>
  </si>
  <si>
    <t>PE-5879</t>
  </si>
  <si>
    <t>DC-19</t>
  </si>
  <si>
    <t>PD-8451</t>
  </si>
  <si>
    <t>2007</t>
  </si>
  <si>
    <t>DC-23</t>
  </si>
  <si>
    <t>PD-4739</t>
  </si>
  <si>
    <t>TOYOTA HILUX HL2 D-4D 4*4</t>
  </si>
  <si>
    <t>DC-24</t>
  </si>
  <si>
    <t>PC-7812</t>
  </si>
  <si>
    <t>DC-06</t>
  </si>
  <si>
    <t>PA-4193</t>
  </si>
  <si>
    <t>VOLKSWAGON T5 TRANSPORTER</t>
  </si>
  <si>
    <t>DC-16</t>
  </si>
  <si>
    <t>PA-4102</t>
  </si>
  <si>
    <t>DC-11</t>
  </si>
  <si>
    <t>HU-5097</t>
  </si>
  <si>
    <t>MITSUBISHI MOTOR PIC-UP</t>
  </si>
  <si>
    <t>DC-12</t>
  </si>
  <si>
    <t>253-2574</t>
  </si>
  <si>
    <t>ISUZU MOTOR PIC-UP</t>
  </si>
  <si>
    <t>DC-08</t>
  </si>
  <si>
    <t>59-5421</t>
  </si>
  <si>
    <t>1997</t>
  </si>
  <si>
    <t>DATZEN MOTOR PIC-UP</t>
  </si>
  <si>
    <t>DC-10</t>
  </si>
  <si>
    <t>28-4314</t>
  </si>
  <si>
    <t>1985</t>
  </si>
  <si>
    <t>DC-07</t>
  </si>
  <si>
    <t>51-8083</t>
  </si>
  <si>
    <t>TOYOTA —</t>
  </si>
  <si>
    <t>VAN</t>
  </si>
  <si>
    <t>Van</t>
  </si>
  <si>
    <t>TOYOTA KDH200V</t>
  </si>
  <si>
    <t>PV-01</t>
  </si>
  <si>
    <t>51-7158</t>
  </si>
  <si>
    <t>TOYOTA TOYOTA TOWNACE</t>
  </si>
  <si>
    <t>1989</t>
  </si>
  <si>
    <t>TOYOTA LITEACE</t>
  </si>
  <si>
    <t>1987</t>
  </si>
  <si>
    <t>CREW CAB</t>
  </si>
  <si>
    <t>Crew Cab</t>
  </si>
  <si>
    <t>JMC JX1032DSR</t>
  </si>
  <si>
    <t>HCC-09</t>
  </si>
  <si>
    <t>PJ-6376</t>
  </si>
  <si>
    <t>ISUZU PR75KJ7104331</t>
  </si>
  <si>
    <t>HCC-11</t>
  </si>
  <si>
    <t>LO-9810</t>
  </si>
  <si>
    <t>JMC 1X1041DSLA2RS</t>
  </si>
  <si>
    <t>HCC-08</t>
  </si>
  <si>
    <t>LN-1867</t>
  </si>
  <si>
    <t>HCC-05</t>
  </si>
  <si>
    <t>PH-6742</t>
  </si>
  <si>
    <t>HCC-06</t>
  </si>
  <si>
    <t>PH-6744</t>
  </si>
  <si>
    <t>HCC-07</t>
  </si>
  <si>
    <t>PH-6747</t>
  </si>
  <si>
    <t>TOYOTA KO-LY132</t>
  </si>
  <si>
    <t>HCC-01</t>
  </si>
  <si>
    <t>PA-4879</t>
  </si>
  <si>
    <t>TOYOTA KC-LY101</t>
  </si>
  <si>
    <t>HCC-02</t>
  </si>
  <si>
    <t>PA-6398</t>
  </si>
  <si>
    <t>TOYOTA KC-LY111</t>
  </si>
  <si>
    <t>HCC-03</t>
  </si>
  <si>
    <t>PA-6399</t>
  </si>
  <si>
    <t>DATSUN AGY720-921207</t>
  </si>
  <si>
    <t>HCC-10</t>
  </si>
  <si>
    <t>40-8060</t>
  </si>
  <si>
    <t>1984</t>
  </si>
  <si>
    <t>TOYOTA BU19</t>
  </si>
  <si>
    <t>HCC-04</t>
  </si>
  <si>
    <t>325-3448</t>
  </si>
  <si>
    <t>1973</t>
  </si>
  <si>
    <t>SINGLE CAB</t>
  </si>
  <si>
    <t>Single Cab</t>
  </si>
  <si>
    <t>MAHINDRA BMT PLUS MTI</t>
  </si>
  <si>
    <t>SC-10</t>
  </si>
  <si>
    <t>DAH-2228</t>
  </si>
  <si>
    <t>SC-11</t>
  </si>
  <si>
    <t>DAH-2229</t>
  </si>
  <si>
    <t>SC-12</t>
  </si>
  <si>
    <t>DAH-2230</t>
  </si>
  <si>
    <t>SC-13</t>
  </si>
  <si>
    <t>DAH-2231</t>
  </si>
  <si>
    <t>TATA YODHA BSIV</t>
  </si>
  <si>
    <t>SC-14</t>
  </si>
  <si>
    <t>DAH-2491</t>
  </si>
  <si>
    <t>TATA 207 RX PICKUP</t>
  </si>
  <si>
    <t>SC-06</t>
  </si>
  <si>
    <t>PY-2408</t>
  </si>
  <si>
    <t>DFSK EQ1020DR</t>
  </si>
  <si>
    <t>SC-07</t>
  </si>
  <si>
    <t>PX-2180</t>
  </si>
  <si>
    <t>TATA 207DI/28</t>
  </si>
  <si>
    <t>SC-04</t>
  </si>
  <si>
    <t>PT-1569</t>
  </si>
  <si>
    <t>SC-05</t>
  </si>
  <si>
    <t>PV-6889</t>
  </si>
  <si>
    <t>TATA ACE</t>
  </si>
  <si>
    <t>SC-08</t>
  </si>
  <si>
    <t>PR-1504</t>
  </si>
  <si>
    <t>SC-09</t>
  </si>
  <si>
    <t>PR-1469</t>
  </si>
  <si>
    <t>TATA 207 DI</t>
  </si>
  <si>
    <t>SC-02</t>
  </si>
  <si>
    <t>LB-4824</t>
  </si>
  <si>
    <t>LITEACE —</t>
  </si>
  <si>
    <t>SC-15</t>
  </si>
  <si>
    <t>47-5112</t>
  </si>
  <si>
    <t>DUMP TRUCK (TIPPER)</t>
  </si>
  <si>
    <t>Dump Truck (Tipper)</t>
  </si>
  <si>
    <t>TATA LPK1618</t>
  </si>
  <si>
    <t>DT-61</t>
  </si>
  <si>
    <t>LP-1581</t>
  </si>
  <si>
    <t>DT-62</t>
  </si>
  <si>
    <t>LP-1573</t>
  </si>
  <si>
    <t>DT-63</t>
  </si>
  <si>
    <t>LP-1567</t>
  </si>
  <si>
    <t>DT-64</t>
  </si>
  <si>
    <t>LP-1576</t>
  </si>
  <si>
    <t>DT-65</t>
  </si>
  <si>
    <t>LP-1571</t>
  </si>
  <si>
    <t>DT-66</t>
  </si>
  <si>
    <t>LP-1582</t>
  </si>
  <si>
    <t>DT-67</t>
  </si>
  <si>
    <t>LP-1572</t>
  </si>
  <si>
    <t>DT-68</t>
  </si>
  <si>
    <t>LP-1569</t>
  </si>
  <si>
    <t>DT-69</t>
  </si>
  <si>
    <t>LP-1579</t>
  </si>
  <si>
    <t>DT-70</t>
  </si>
  <si>
    <t>LP-1574</t>
  </si>
  <si>
    <t>DT-71</t>
  </si>
  <si>
    <t>LP-1578</t>
  </si>
  <si>
    <t>DT-72</t>
  </si>
  <si>
    <t>LP-1580</t>
  </si>
  <si>
    <t>DT-73</t>
  </si>
  <si>
    <t>LP-1568</t>
  </si>
  <si>
    <t>DT-74</t>
  </si>
  <si>
    <t>LP-1577</t>
  </si>
  <si>
    <t>DT-75</t>
  </si>
  <si>
    <t>LP-1566</t>
  </si>
  <si>
    <t>DT-76</t>
  </si>
  <si>
    <t>LP-1710</t>
  </si>
  <si>
    <t>DT-77</t>
  </si>
  <si>
    <t>LP-1719</t>
  </si>
  <si>
    <t>DT-78</t>
  </si>
  <si>
    <t>LP-1709</t>
  </si>
  <si>
    <t>DT-79</t>
  </si>
  <si>
    <t>LP-1713</t>
  </si>
  <si>
    <t>DT-80</t>
  </si>
  <si>
    <t>LP-1720</t>
  </si>
  <si>
    <t>DT-81</t>
  </si>
  <si>
    <t>LP-1715</t>
  </si>
  <si>
    <t>DT-82</t>
  </si>
  <si>
    <t>LP-1716</t>
  </si>
  <si>
    <t>DT-83</t>
  </si>
  <si>
    <t>LP-1712</t>
  </si>
  <si>
    <t>DT-84</t>
  </si>
  <si>
    <t>LP-1711</t>
  </si>
  <si>
    <t>DT-85</t>
  </si>
  <si>
    <t>LP-1718</t>
  </si>
  <si>
    <t>DT-42</t>
  </si>
  <si>
    <t>LO-4822</t>
  </si>
  <si>
    <t>DT-43</t>
  </si>
  <si>
    <t>LO-4823</t>
  </si>
  <si>
    <t>DT-44</t>
  </si>
  <si>
    <t>LO-4824</t>
  </si>
  <si>
    <t>DT-45</t>
  </si>
  <si>
    <t>LO-4816</t>
  </si>
  <si>
    <t>DT-46</t>
  </si>
  <si>
    <t>LO-4821</t>
  </si>
  <si>
    <t>DT-48</t>
  </si>
  <si>
    <t>LO-5986</t>
  </si>
  <si>
    <t>DT-51</t>
  </si>
  <si>
    <t>LO-5981</t>
  </si>
  <si>
    <t>DT-53</t>
  </si>
  <si>
    <t>LO-7183</t>
  </si>
  <si>
    <t>TATA LPK1615TC</t>
  </si>
  <si>
    <t>DT-54</t>
  </si>
  <si>
    <t>LO-7180</t>
  </si>
  <si>
    <t>DT-55</t>
  </si>
  <si>
    <t>LO-7182</t>
  </si>
  <si>
    <t>DT-56</t>
  </si>
  <si>
    <t>LO-7181</t>
  </si>
  <si>
    <t>DT-57</t>
  </si>
  <si>
    <t>LO-7184</t>
  </si>
  <si>
    <t>DT-58</t>
  </si>
  <si>
    <t>LO-8349</t>
  </si>
  <si>
    <t>DT-59</t>
  </si>
  <si>
    <t>LO-8348</t>
  </si>
  <si>
    <t>DT-60</t>
  </si>
  <si>
    <t>LO-8350</t>
  </si>
  <si>
    <t>DT-47</t>
  </si>
  <si>
    <t>LO-5983</t>
  </si>
  <si>
    <t>DT-49</t>
  </si>
  <si>
    <t>LO-5984</t>
  </si>
  <si>
    <t>DT-50</t>
  </si>
  <si>
    <t>LO-5985</t>
  </si>
  <si>
    <t>DT-02</t>
  </si>
  <si>
    <t>LL-0920</t>
  </si>
  <si>
    <t>TATA 10.80 TIPPER</t>
  </si>
  <si>
    <t>DT-40</t>
  </si>
  <si>
    <t>LN-9046</t>
  </si>
  <si>
    <t>TATA LPK 1615</t>
  </si>
  <si>
    <t>DT-15</t>
  </si>
  <si>
    <t>LM-5722</t>
  </si>
  <si>
    <t>DT-18</t>
  </si>
  <si>
    <t>LM-5721</t>
  </si>
  <si>
    <t>DT-32</t>
  </si>
  <si>
    <t>LM-5719</t>
  </si>
  <si>
    <t>DT-33</t>
  </si>
  <si>
    <t>LM-5723</t>
  </si>
  <si>
    <t>DT-34</t>
  </si>
  <si>
    <t>LM-5720</t>
  </si>
  <si>
    <t>DT-35</t>
  </si>
  <si>
    <t>LM-7940</t>
  </si>
  <si>
    <t>DT-36</t>
  </si>
  <si>
    <t>LM-7948</t>
  </si>
  <si>
    <t>DT-37</t>
  </si>
  <si>
    <t>LM-7949</t>
  </si>
  <si>
    <t>DT-38</t>
  </si>
  <si>
    <t>LM-7942</t>
  </si>
  <si>
    <t>DT-39</t>
  </si>
  <si>
    <t>LM-7951</t>
  </si>
  <si>
    <t>DT-07</t>
  </si>
  <si>
    <t>LI-7618</t>
  </si>
  <si>
    <t>DT-08</t>
  </si>
  <si>
    <t>LI-7620</t>
  </si>
  <si>
    <t>DT-09</t>
  </si>
  <si>
    <t>LI-7701</t>
  </si>
  <si>
    <t>ASHOK LELAND LPK 407</t>
  </si>
  <si>
    <t>DT-27</t>
  </si>
  <si>
    <t>LL-0936</t>
  </si>
  <si>
    <t>TATA LPK 407</t>
  </si>
  <si>
    <t>DT-10</t>
  </si>
  <si>
    <t>LK-6740</t>
  </si>
  <si>
    <t>ASHOK LELAND COMMET TIPPER 1613</t>
  </si>
  <si>
    <t>DT-03</t>
  </si>
  <si>
    <t>LK-4057</t>
  </si>
  <si>
    <t>DT-14</t>
  </si>
  <si>
    <t>LK-4056</t>
  </si>
  <si>
    <t>DT-16</t>
  </si>
  <si>
    <t>LK-4059</t>
  </si>
  <si>
    <t>ASHOK LELAND TAURUS 2516</t>
  </si>
  <si>
    <t>DT-25</t>
  </si>
  <si>
    <t>LK-4058</t>
  </si>
  <si>
    <t>DT-26</t>
  </si>
  <si>
    <t>LK-4061</t>
  </si>
  <si>
    <t>DT-11</t>
  </si>
  <si>
    <t>LK-6738</t>
  </si>
  <si>
    <t>DT-12</t>
  </si>
  <si>
    <t>LK-2276</t>
  </si>
  <si>
    <t>TATA LPK 909</t>
  </si>
  <si>
    <t>DT-13</t>
  </si>
  <si>
    <t>LK-2366</t>
  </si>
  <si>
    <t>DT-28</t>
  </si>
  <si>
    <t>LJ-5203</t>
  </si>
  <si>
    <t>DT-29</t>
  </si>
  <si>
    <t>LJ-5559</t>
  </si>
  <si>
    <t>DT-30</t>
  </si>
  <si>
    <t>LI-3851</t>
  </si>
  <si>
    <t>DT-24</t>
  </si>
  <si>
    <t>LI-2427</t>
  </si>
  <si>
    <t>ELCHER TERRA16 HDR</t>
  </si>
  <si>
    <t>DT-17</t>
  </si>
  <si>
    <t>LI-3402</t>
  </si>
  <si>
    <t>DT-19</t>
  </si>
  <si>
    <t>LI-3396</t>
  </si>
  <si>
    <t>DT-20</t>
  </si>
  <si>
    <t>LI-3401</t>
  </si>
  <si>
    <t>DT-21</t>
  </si>
  <si>
    <t>LI-3395</t>
  </si>
  <si>
    <t>DT-52</t>
  </si>
  <si>
    <t>LA-4229</t>
  </si>
  <si>
    <t>ASHOK LELAND TAURUS</t>
  </si>
  <si>
    <t>DT-22</t>
  </si>
  <si>
    <t>LH-5586</t>
  </si>
  <si>
    <t>DT-23</t>
  </si>
  <si>
    <t>LK-5586</t>
  </si>
  <si>
    <t>ELCHER 20.16</t>
  </si>
  <si>
    <t>DT-31</t>
  </si>
  <si>
    <t>LE-4986</t>
  </si>
  <si>
    <t>ASHOK LELAND COMET</t>
  </si>
  <si>
    <t>DT-01</t>
  </si>
  <si>
    <t>LB-9496</t>
  </si>
  <si>
    <t>TATA COMMET TIPPER 1613</t>
  </si>
  <si>
    <t>DT-04</t>
  </si>
  <si>
    <t>HS-1794</t>
  </si>
  <si>
    <t>DT-05</t>
  </si>
  <si>
    <t>HS-1773</t>
  </si>
  <si>
    <t>DT-41</t>
  </si>
  <si>
    <t>HO-9850</t>
  </si>
  <si>
    <t>TRAILER</t>
  </si>
  <si>
    <t>Trailer</t>
  </si>
  <si>
    <t>LOCALLY BUILT Tractor trailer</t>
  </si>
  <si>
    <t>TANKER Tractor trailer</t>
  </si>
  <si>
    <t>WIMALAORO Tractor trailer</t>
  </si>
  <si>
    <t>LORRY TRAILER</t>
  </si>
  <si>
    <t>Lorry Trailer</t>
  </si>
  <si>
    <t>TANTRI TFB40</t>
  </si>
  <si>
    <t>TANTRI TSK 20</t>
  </si>
  <si>
    <t>DIESEL BOWSER</t>
  </si>
  <si>
    <t>Diesel Bowser</t>
  </si>
  <si>
    <t>ISUZU —</t>
  </si>
  <si>
    <t>DB-04</t>
  </si>
  <si>
    <t>41-1130</t>
  </si>
  <si>
    <t>DB-01</t>
  </si>
  <si>
    <t>LA-9208</t>
  </si>
  <si>
    <t>DB-02</t>
  </si>
  <si>
    <t>68-5115</t>
  </si>
  <si>
    <t>ISUZU 207 DI</t>
  </si>
  <si>
    <t>NISSAN ATLAS</t>
  </si>
  <si>
    <t>DB-03</t>
  </si>
  <si>
    <t>40-2955</t>
  </si>
  <si>
    <t>TATA —</t>
  </si>
  <si>
    <t>DB-05</t>
  </si>
  <si>
    <t>LA-1359</t>
  </si>
  <si>
    <t>EXCAVATOR</t>
  </si>
  <si>
    <t>Excavator</t>
  </si>
  <si>
    <t>CASE CX220C LC HD</t>
  </si>
  <si>
    <t>HEX-42</t>
  </si>
  <si>
    <t>HEX-43</t>
  </si>
  <si>
    <t>HEX-45</t>
  </si>
  <si>
    <t>HEX-46</t>
  </si>
  <si>
    <t>HYUNDAI E55W</t>
  </si>
  <si>
    <t>HEX-36</t>
  </si>
  <si>
    <t>HYUNDAI R230LM</t>
  </si>
  <si>
    <t>HEX-25</t>
  </si>
  <si>
    <t>HEX-26</t>
  </si>
  <si>
    <t>HEX-27</t>
  </si>
  <si>
    <t>HEX-32</t>
  </si>
  <si>
    <t>HEX-33</t>
  </si>
  <si>
    <t>HYUNDAI R220LC-9S</t>
  </si>
  <si>
    <t>HEX-34</t>
  </si>
  <si>
    <t>HEX-35</t>
  </si>
  <si>
    <t>KOBELKO 200</t>
  </si>
  <si>
    <t>HEX-23</t>
  </si>
  <si>
    <t>CAT 303 CR</t>
  </si>
  <si>
    <t>HEX-14</t>
  </si>
  <si>
    <t>CATAPILLAR 314C</t>
  </si>
  <si>
    <t>HEX-22</t>
  </si>
  <si>
    <t>HITHACHI EX75UR-3</t>
  </si>
  <si>
    <t>HEX-18</t>
  </si>
  <si>
    <t>KOBELKO YD-00418</t>
  </si>
  <si>
    <t>HEX-07</t>
  </si>
  <si>
    <t>KOMATSU PC-30</t>
  </si>
  <si>
    <t>HEX-31</t>
  </si>
  <si>
    <t>CAT CAT308CCR</t>
  </si>
  <si>
    <t>HEX-29</t>
  </si>
  <si>
    <t>KUBOTA KX-040</t>
  </si>
  <si>
    <t>HEX-15</t>
  </si>
  <si>
    <t>VOLVO EC210V</t>
  </si>
  <si>
    <t>HEX-01</t>
  </si>
  <si>
    <t>KOBELKO SK115SR</t>
  </si>
  <si>
    <t>HEX-21</t>
  </si>
  <si>
    <t>KOMATSU PC-40MR-1</t>
  </si>
  <si>
    <t>HEX-24</t>
  </si>
  <si>
    <t>KOMATSU PC-60-6</t>
  </si>
  <si>
    <t>HEX-28</t>
  </si>
  <si>
    <t>KOMATSU PC-100</t>
  </si>
  <si>
    <t>HEX-04</t>
  </si>
  <si>
    <t>HITACHI UH045</t>
  </si>
  <si>
    <t>HEX-03</t>
  </si>
  <si>
    <t>HEX-02</t>
  </si>
  <si>
    <t>KUBOTA U-25-35</t>
  </si>
  <si>
    <t>HEX-13</t>
  </si>
  <si>
    <t>KOMATSU PC60</t>
  </si>
  <si>
    <t>HEX-05</t>
  </si>
  <si>
    <t>KOMATSU PCS50UU-01</t>
  </si>
  <si>
    <t>HEX-06</t>
  </si>
  <si>
    <t>KOMATSU PC27R-8</t>
  </si>
  <si>
    <t>HEX-09</t>
  </si>
  <si>
    <t>KOMATSU PC-120-6EO</t>
  </si>
  <si>
    <t>HEX-19</t>
  </si>
  <si>
    <t>KOMATSU PC-40MR-02</t>
  </si>
  <si>
    <t>HEX-20</t>
  </si>
  <si>
    <t>HEX-12</t>
  </si>
  <si>
    <t>(Unknown) ROBEX330LC-9S</t>
  </si>
  <si>
    <t>HEX-38</t>
  </si>
  <si>
    <t>(Unknown) E55W</t>
  </si>
  <si>
    <t>HEX-39</t>
  </si>
  <si>
    <t>HYUNDAI 0BEX220LC-9S</t>
  </si>
  <si>
    <t>HEX-17</t>
  </si>
  <si>
    <t>HYUNDAI (ROBEX330LC-96)</t>
  </si>
  <si>
    <t>HEX-37</t>
  </si>
  <si>
    <t>HYUNDAI 220LC-7</t>
  </si>
  <si>
    <t>HEX-41</t>
  </si>
  <si>
    <t>KOBELCO SX 120</t>
  </si>
  <si>
    <t>HEX-44</t>
  </si>
  <si>
    <t>SANTUI SE210</t>
  </si>
  <si>
    <t>HEX-40</t>
  </si>
  <si>
    <t>WATER BOWSER</t>
  </si>
  <si>
    <t>Water Bowser</t>
  </si>
  <si>
    <t>TATA LPT1615TC</t>
  </si>
  <si>
    <t>WB-18</t>
  </si>
  <si>
    <t>LO-1059</t>
  </si>
  <si>
    <t>WB-04</t>
  </si>
  <si>
    <t>LI-3405</t>
  </si>
  <si>
    <t>ASHOK LEYLAND COMET</t>
  </si>
  <si>
    <t>WB-05</t>
  </si>
  <si>
    <t>WB-03</t>
  </si>
  <si>
    <t>ASHOK LEYLAND IVECO-CARGO</t>
  </si>
  <si>
    <t>WB-06</t>
  </si>
  <si>
    <t>227-7971</t>
  </si>
  <si>
    <t>TATA S1313/42 TANKER</t>
  </si>
  <si>
    <t>WB-01</t>
  </si>
  <si>
    <t>48-8072</t>
  </si>
  <si>
    <t>TATA 1210SE-CLOSED</t>
  </si>
  <si>
    <t>WB-02</t>
  </si>
  <si>
    <t>43-1191</t>
  </si>
  <si>
    <t>WB-08</t>
  </si>
  <si>
    <t>WB-09</t>
  </si>
  <si>
    <t>RY-0299</t>
  </si>
  <si>
    <t>WB-10</t>
  </si>
  <si>
    <t>RY-0301</t>
  </si>
  <si>
    <t>WB-11</t>
  </si>
  <si>
    <t>RY-0304</t>
  </si>
  <si>
    <t>WB-12</t>
  </si>
  <si>
    <t>RY-2392</t>
  </si>
  <si>
    <t>WB-13</t>
  </si>
  <si>
    <t>WB-14</t>
  </si>
  <si>
    <t>WB-15</t>
  </si>
  <si>
    <t>RY-2390</t>
  </si>
  <si>
    <t>WB-16</t>
  </si>
  <si>
    <t>WB-17</t>
  </si>
  <si>
    <t>WB-19</t>
  </si>
  <si>
    <t>WB-20</t>
  </si>
  <si>
    <t>LD-8875</t>
  </si>
  <si>
    <t>FARM TRACTOR</t>
  </si>
  <si>
    <t>Farm Tractor</t>
  </si>
  <si>
    <t>MAHINDRA 575DI</t>
  </si>
  <si>
    <t>FT-06</t>
  </si>
  <si>
    <t>RD-3536</t>
  </si>
  <si>
    <t>FT-08</t>
  </si>
  <si>
    <t>RD-3537</t>
  </si>
  <si>
    <t>MAHINDRA 275 DI</t>
  </si>
  <si>
    <t>FT-10</t>
  </si>
  <si>
    <t>RD-6318</t>
  </si>
  <si>
    <t>TAFE 45DI</t>
  </si>
  <si>
    <t>FT-07</t>
  </si>
  <si>
    <t>RC-9894</t>
  </si>
  <si>
    <t>MASSEY FEROUSON MF 240</t>
  </si>
  <si>
    <t>FT-11</t>
  </si>
  <si>
    <t>RF-0748</t>
  </si>
  <si>
    <t>FT-03</t>
  </si>
  <si>
    <t>RA-3051</t>
  </si>
  <si>
    <t>FT-04</t>
  </si>
  <si>
    <t>RA-3052</t>
  </si>
  <si>
    <t>MASSEY FURGUSON 45DI</t>
  </si>
  <si>
    <t>FT-09</t>
  </si>
  <si>
    <t>49-5294</t>
  </si>
  <si>
    <t>1980</t>
  </si>
  <si>
    <t>MASSEY FURGUSON 135</t>
  </si>
  <si>
    <t>FT-02</t>
  </si>
  <si>
    <t>49-2289</t>
  </si>
  <si>
    <t>1974</t>
  </si>
  <si>
    <t>FT-05</t>
  </si>
  <si>
    <t>MOTOR BICYCLE</t>
  </si>
  <si>
    <t>Motor Bicycle</t>
  </si>
  <si>
    <t>BAJAJ PLATINA</t>
  </si>
  <si>
    <t>MB-11</t>
  </si>
  <si>
    <t>BET-3726</t>
  </si>
  <si>
    <t>MB-19</t>
  </si>
  <si>
    <t>BET-3772</t>
  </si>
  <si>
    <t>HONDA CD DREAM DLX 110</t>
  </si>
  <si>
    <t>MB-16</t>
  </si>
  <si>
    <t>XP-8682</t>
  </si>
  <si>
    <t>PLATINA PLATINA</t>
  </si>
  <si>
    <t>MB-37</t>
  </si>
  <si>
    <t>BET-8556</t>
  </si>
  <si>
    <t>MB-35</t>
  </si>
  <si>
    <t>BEB-3132</t>
  </si>
  <si>
    <t>BAJAJ DISCOVER 125</t>
  </si>
  <si>
    <t>MB-10</t>
  </si>
  <si>
    <t>BEF-7850</t>
  </si>
  <si>
    <t>MB-15</t>
  </si>
  <si>
    <t>BEF-7836</t>
  </si>
  <si>
    <t>MB-26</t>
  </si>
  <si>
    <t>BDI-8546</t>
  </si>
  <si>
    <t>MB-28</t>
  </si>
  <si>
    <t>BDJ-2375</t>
  </si>
  <si>
    <t>MB-25</t>
  </si>
  <si>
    <t>BDJ-2374</t>
  </si>
  <si>
    <t>MB-27</t>
  </si>
  <si>
    <t>BDI-8556</t>
  </si>
  <si>
    <t>BAJAJ DISCOVER 125 M</t>
  </si>
  <si>
    <t>MB-29</t>
  </si>
  <si>
    <t>BCN-9805</t>
  </si>
  <si>
    <t>MB-30</t>
  </si>
  <si>
    <t>BCN-9802</t>
  </si>
  <si>
    <t>BAJAJ PLATINA BM 125</t>
  </si>
  <si>
    <t>MB-32</t>
  </si>
  <si>
    <t>BAN-2012</t>
  </si>
  <si>
    <t>MB-33</t>
  </si>
  <si>
    <t>BAN-2021</t>
  </si>
  <si>
    <t>MB-17</t>
  </si>
  <si>
    <t>XW-9221</t>
  </si>
  <si>
    <t>MB-20</t>
  </si>
  <si>
    <t>XW-9217</t>
  </si>
  <si>
    <t>MB-21</t>
  </si>
  <si>
    <t>XW-9222</t>
  </si>
  <si>
    <t>MB-22</t>
  </si>
  <si>
    <t>BAB-8828</t>
  </si>
  <si>
    <t>MB-23</t>
  </si>
  <si>
    <t>BAB-8832</t>
  </si>
  <si>
    <t>MB-31</t>
  </si>
  <si>
    <t>BAB-8839</t>
  </si>
  <si>
    <t>MB-14</t>
  </si>
  <si>
    <t>XG-6801</t>
  </si>
  <si>
    <t>MB-18</t>
  </si>
  <si>
    <t>WQ-9941</t>
  </si>
  <si>
    <t>MB-34</t>
  </si>
  <si>
    <t>WQ-9935</t>
  </si>
  <si>
    <t>BAJAJ DISCOVER DTSI</t>
  </si>
  <si>
    <t>MB-13</t>
  </si>
  <si>
    <t>TS-5399</t>
  </si>
  <si>
    <t>BAJAJ CT100</t>
  </si>
  <si>
    <t>MB-08</t>
  </si>
  <si>
    <t>MV-4276</t>
  </si>
  <si>
    <t>MB-09</t>
  </si>
  <si>
    <t>MV-5841</t>
  </si>
  <si>
    <t>TVS STAR CITY</t>
  </si>
  <si>
    <t>MB-07</t>
  </si>
  <si>
    <t>MP-3092</t>
  </si>
  <si>
    <t>HONDA CB-125T</t>
  </si>
  <si>
    <t>BAJAJ BAJAJ BOXERCT-DELUXE</t>
  </si>
  <si>
    <t>MB-05</t>
  </si>
  <si>
    <t>HO-0217</t>
  </si>
  <si>
    <t>MB-36</t>
  </si>
  <si>
    <t>BIE-8589</t>
  </si>
  <si>
    <t>C50-9742232</t>
  </si>
  <si>
    <t>C50-9791010</t>
  </si>
  <si>
    <t>C50-0529599</t>
  </si>
  <si>
    <t>MF4JC65BHKG000509</t>
  </si>
  <si>
    <t>ME4JC65BCJT027595</t>
  </si>
  <si>
    <t>ME4JC65BJJT080434</t>
  </si>
  <si>
    <t>MD2B44BY5KWD45805</t>
  </si>
  <si>
    <t>ME4JC679MJ8001960</t>
  </si>
  <si>
    <t>MD2A15BY8JWK40326</t>
  </si>
  <si>
    <t>AA01-1115643</t>
  </si>
  <si>
    <t>ME4JC65BKKG000814</t>
  </si>
  <si>
    <t>DISCOVERY —</t>
  </si>
  <si>
    <t>HONDA —</t>
  </si>
  <si>
    <t>MD2A15BYJJWL41226</t>
  </si>
  <si>
    <t>TRACTOR BOWSER</t>
  </si>
  <si>
    <t>Tractor Bowser</t>
  </si>
  <si>
    <t>LOCALLY BUILT TRACTOR BOWSER</t>
  </si>
  <si>
    <t>TB-10</t>
  </si>
  <si>
    <t>TB-11</t>
  </si>
  <si>
    <t>TANKER TRACTOR BOWSER</t>
  </si>
  <si>
    <t>TB-12</t>
  </si>
  <si>
    <t>TRACTOR TRILER TRACTOR BOWSER</t>
  </si>
  <si>
    <t>TB-09</t>
  </si>
  <si>
    <t>TB-01</t>
  </si>
  <si>
    <t>TB-04</t>
  </si>
  <si>
    <t>TB-15</t>
  </si>
  <si>
    <t>TB-16</t>
  </si>
  <si>
    <t>TB-17</t>
  </si>
  <si>
    <t>TB-18</t>
  </si>
  <si>
    <t>FORKLIFT</t>
  </si>
  <si>
    <t>Forklift</t>
  </si>
  <si>
    <t>BARROL FORK LIFT —</t>
  </si>
  <si>
    <t>FL-01</t>
  </si>
  <si>
    <t>BLADE FOCK LIFT —</t>
  </si>
  <si>
    <t>FL-02</t>
  </si>
  <si>
    <t>FL-03</t>
  </si>
  <si>
    <t>FLEET RENTAL PRICING — 2026 RATE CARD</t>
  </si>
  <si>
    <t>Market: Sri Lanka  |  Currency: LKR  |  Fleet Size: 518 units</t>
  </si>
  <si>
    <t>Purpose</t>
  </si>
  <si>
    <t>Internal rate-card workbook used to quote customers for daily / hourly / monthly rental of our machinery fleet.</t>
  </si>
  <si>
    <t>Pricing strategy</t>
  </si>
  <si>
    <t>Competitive but not cheapest — positioned ~15–20% below SLLDC official government rates and in line with private operators in Colombo, Gampaha, Kandy, Kurunegala.</t>
  </si>
  <si>
    <t>Wet rate</t>
  </si>
  <si>
    <t>INCLUDES fuel + operator + normal maintenance. Recommended for clients without trained operators.</t>
  </si>
  <si>
    <t>Dry rate</t>
  </si>
  <si>
    <t>Machine ONLY. Fuel, operator, lubricants, toll and food paid by client. Recommended for contractors with own crew.</t>
  </si>
  <si>
    <t>Daily rate</t>
  </si>
  <si>
    <t>Minimum billable 4 working hours per day. Derived as Hourly × 4 × 0.95 (5% volume discount).</t>
  </si>
  <si>
    <t>Monthly rate</t>
  </si>
  <si>
    <t>Minimum billable 120 working hours per month. Derived as Hourly × 120 × 0.85 (15% volume discount). Extra hours billed at Hourly rate.</t>
  </si>
  <si>
    <t>Age adjustment</t>
  </si>
  <si>
    <t>Rate declines with age: 2020+ = 100%, 2015–19 = 92%, 2010–14 = 82%, 2005–09 = 72%, 2000–04 = 65%, pre-2000 = 58%. Applied on top of base rate.</t>
  </si>
  <si>
    <t>Excavator size</t>
  </si>
  <si>
    <t>Separate multiplier by model (e.g. PC30 = 0.55×, PC200 = 1.00×, R330 = 1.30×).</t>
  </si>
  <si>
    <t>Client extras</t>
  </si>
  <si>
    <t>Trailer one-way, toll, fines, operator meals &amp; lodging charged at cost. 15-day advance payment standard.</t>
  </si>
  <si>
    <t>VAT</t>
  </si>
  <si>
    <t>Add 18% VAT on all rates (standard SL rate 2026).</t>
  </si>
  <si>
    <t>Workbook sheets</t>
  </si>
  <si>
    <t xml:space="preserve">  1. README</t>
  </si>
  <si>
    <t>This page.</t>
  </si>
  <si>
    <t xml:space="preserve">  2. Rate Card</t>
  </si>
  <si>
    <t>Base hourly Wet/Dry rate per category + age factors (editable inputs in blue).</t>
  </si>
  <si>
    <t xml:space="preserve">  3. Fleet Pricing</t>
  </si>
  <si>
    <t>Every single unit (518) with calculated 2026 Dry/Wet hourly, daily (min 4h), monthly (min 120h) rates.</t>
  </si>
  <si>
    <t xml:space="preserve">  4. Market Research</t>
  </si>
  <si>
    <t>Competitor prices gathered from Sri Lankan &amp; Indian rental portals (SLLDC, wedabima, krearthmovers, petersequipment, ikman).</t>
  </si>
  <si>
    <t xml:space="preserve">  5. Summary by Category</t>
  </si>
  <si>
    <t>Fleet count &amp; average monthly wet revenue potential per category.</t>
  </si>
  <si>
    <t>Prepared</t>
  </si>
  <si>
    <t>April 2026  —  All prices in LKR, exclusive of VAT.</t>
  </si>
  <si>
    <t>NEW SHEETS (v2 — engineering)</t>
  </si>
  <si>
    <t xml:space="preserve">  6. Engineering Assumptions</t>
  </si>
  <si>
    <t>All inputs: diesel price, operator rate, fuel consumption per category, PM/repair base costs, new unit prices, service life, age multipliers, consumable prices.</t>
  </si>
  <si>
    <t xml:space="preserve">  7. Engineering Cost</t>
  </si>
  <si>
    <t>Per-unit hourly cost build-up: Fuel + Operator + PM + Major repair + Overhead + 20% profit = suggested WET rate. Compare against current Fleet Pricing.</t>
  </si>
  <si>
    <t xml:space="preserve">  8. Maintenance &amp; Repair</t>
  </si>
  <si>
    <t>Monthly spend forecast per unit (120 hrs): fuel, operator, PM, major repair, totals with overhead.</t>
  </si>
  <si>
    <t xml:space="preserve">  9. Replacement Analysis</t>
  </si>
  <si>
    <t>Every unit scored KEEP / MONITOR / REPLACE based on age, repair-to-revenue ratio, estimated 2026 resale value, and brand-new 2026 price.</t>
  </si>
  <si>
    <t xml:space="preserve">  10. Replacement Summary</t>
  </si>
  <si>
    <t>Category rollup — how many to KEEP / MONITOR / REPLACE, total CAPEX for new equipment, total resale from retiring old units.</t>
  </si>
  <si>
    <t>Key inputs given (Apr 2026)</t>
  </si>
  <si>
    <t xml:space="preserve">  Operator rate</t>
  </si>
  <si>
    <t>Rs. 650 / hour  •  Minimum monthly salary Rs. 78,000</t>
  </si>
  <si>
    <t xml:space="preserve">  Gross profit target</t>
  </si>
  <si>
    <t>20% on total cost</t>
  </si>
  <si>
    <t xml:space="preserve">  Overhead</t>
  </si>
  <si>
    <t>15% of direct cost (yard, admin, insurance, transport, depreciation recovery)</t>
  </si>
  <si>
    <t xml:space="preserve">  Diesel (CPC Auto Diesel)</t>
  </si>
  <si>
    <t>Rs. 382 / litre (March 2026 CPC)</t>
  </si>
  <si>
    <t xml:space="preserve">  Min working hours</t>
  </si>
  <si>
    <t>120 / month    •   4 / day</t>
  </si>
  <si>
    <t>CHANGELOG — v3 rate engineering</t>
  </si>
  <si>
    <t xml:space="preserve">  Issue identified</t>
  </si>
  <si>
    <t>Previous rates (v2) sat below engineering cost floor — we were earning less than the 20% target profit on many units.</t>
  </si>
  <si>
    <t xml:space="preserve">  Fix (v3)</t>
  </si>
  <si>
    <t>Rate Card now shows Market LOW / MID / HIGH for each category and derives the recommended rate via formula: MAX(Engineering Floor, LOW × 1.10) capped at HIGH × 0.88.</t>
  </si>
  <si>
    <t xml:space="preserve">  Outcome</t>
  </si>
  <si>
    <t>New rates sit in the upper-mid of the market — above bottom-feeders, below SLLDC government ceiling. Typical increase +25–40%.</t>
  </si>
  <si>
    <t xml:space="preserve">  If the cell in column G (Eng. Floor) on Rate Card turns red</t>
  </si>
  <si>
    <t>It means even the market HIGH price × 0.88 won't cover cost + 20% profit. Either we must run at lower margin for that category, or stop renting it out.</t>
  </si>
  <si>
    <t>CHANGELOG — v4 portable equipment</t>
  </si>
  <si>
    <t>New sheet added</t>
  </si>
  <si>
    <t>"Portable Equipment Rates" (sheet 3) — capacity-wise daily hire rates for generators, air compressors, poker/concrete vibrators, submersible pumps (1"–6"), engine water pumps (2"/3"/4"), rotary hammers, circular saws, angle grinders, plate compactor, power trowel and welding plant.</t>
  </si>
  <si>
    <t>Basis</t>
  </si>
  <si>
    <t>WET = fuel/operator/consumables included; DRY = bare hire. Per-day billing, minimum 1 day. 36 line items across 10 categories. Excludes 18% VAT &amp; transport.</t>
  </si>
  <si>
    <t>Market sources</t>
  </si>
  <si>
    <t>Sri Lankan rental market, May–Jun 2026: Peters Equipment (petersequipment.lk) published day-rates; surplus.lk and wedabima.com availability. Generators Rs.4,000–12,000/day by kVA; Rotary Hammer SDS Rs.3,000; Demolition Breaker Rs.4,000; Tamping Rammer Rs.3,500; drills Rs.250–500.</t>
  </si>
  <si>
    <t>Also in app</t>
  </si>
  <si>
    <t>The same 36 items are loaded into the Machine Rental Calculator (invoice/proforma/quotation tool) under a new "Per-Day" billing mode with a WET/DRY toggle.</t>
  </si>
  <si>
    <t>CHANGELOG — v7 fuel rates by model class + year</t>
  </si>
  <si>
    <t>New sheet</t>
  </si>
  <si>
    <t>"Fuel Rates": per-unit Lowest/Medium/Highest fuel-cost rate for all 518 units, estimated from each machine's MODEL size/engine class and adjusted for AGE via the manufacturing year. Rs./hr machinery, Rs./km road.</t>
  </si>
  <si>
    <t>Method</t>
  </si>
  <si>
    <t>Typical consumption is model-specific (e.g. excavators: Mini 4 L/hr / Compact 6.5 / Midi 10 / Standard 16 / Large 22). Econ=0.72x &amp; Heavy=1.35x for machinery; road km/L Econ=1.28x, Heavy=0.80x. Age factor = 1+(years x %/yr, capped); editable base year 2026, 0.7%/yr, cap 25. Rate = consumption x age x fuel price.</t>
  </si>
  <si>
    <t>Coverage</t>
  </si>
  <si>
    <t>29 categories, model-tiered where size varies (excavator, loader, tipper, mixer, crane, skid-steer, prime mover). 411/518 have a year; 107 use x1.00 until filled. Trailers=zero. Only motorcycles petrol.</t>
  </si>
  <si>
    <t>Examples</t>
  </si>
  <si>
    <t>Mini excavator (PC60) Rs.1,551/2,140/2,888/hr; Large excavator (Robex330) Rs.7,552/10,516/14,197/hr; Std tipper 16t Rs.139/176/220 per km; Motorcycle Rs.9/11/14 per km. Age: 1995 unit x1.18, 2013 unit x1.09, no-year x1.00.</t>
  </si>
  <si>
    <t>Note</t>
  </si>
  <si>
    <t>Bare fuel cost only — excludes operator, lubricants, maintenance, margin. Add on top of a DRY or DRY+Labour rate to build a WET charge.</t>
  </si>
  <si>
    <t>2026 RATE CARD — Engineering-Derived Hourly Rates</t>
  </si>
  <si>
    <t>Each rate is computed from three drivers: Market LOW, Market HIGH, and Engineering Cost + 20% profit. Recommended Wet = MAX(Engineering Floor, Market LOW × 1.10) capped at Market HIGH × 0.88. Recommended Dry = Wet × Dry ratio (industry convention). Blue cells = editable inputs.</t>
  </si>
  <si>
    <t>Market LOW (wet)</t>
  </si>
  <si>
    <t>Market MID (wet)</t>
  </si>
  <si>
    <t>Market HIGH (wet)</t>
  </si>
  <si>
    <t>Eng. Cost / h (age-5)</t>
  </si>
  <si>
    <t>Eng. Floor (+20% profit)</t>
  </si>
  <si>
    <t>Positioning rule</t>
  </si>
  <si>
    <t>Recommended WET (/h)</t>
  </si>
  <si>
    <t>Dry ratio
(blue = editable)</t>
  </si>
  <si>
    <t>Recommended DRY (/h)</t>
  </si>
  <si>
    <t>Wet : Dry ratio</t>
  </si>
  <si>
    <t>% above LOW</t>
  </si>
  <si>
    <t>% below HIGH</t>
  </si>
  <si>
    <t>Source / note</t>
  </si>
  <si>
    <t>MAX(Eng. Floor, LOW×1.10) capped at HIGH×0.88</t>
  </si>
  <si>
    <t>LOW: Small private, Wedabima  •  HIGH: SLLDC JCB 3CX wet</t>
  </si>
  <si>
    <t>LOW: Used private  •  HIGH: SLLDC Doosan Mega 250</t>
  </si>
  <si>
    <t>LOW: TATA mixer private  •  HIGH: Large private operators</t>
  </si>
  <si>
    <t>LOW: FIORI/Ajax private  •  HIGH: Large operators</t>
  </si>
  <si>
    <t>LOW: Private 10T  •  HIGH: SLLDC HAMM HD12vv</t>
  </si>
  <si>
    <t>LOW: BOMAG private  •  HIGH: Large private 10T</t>
  </si>
  <si>
    <t>LOW: Private Sakai/Dynapac  •  HIGH: Premium operators</t>
  </si>
  <si>
    <t>LOW: Private used CAT  •  HIGH: Premium/SLLDC class</t>
  </si>
  <si>
    <t>LOW: Small private  •  HIGH: SLLDC Bobcat</t>
  </si>
  <si>
    <t>LOW: SUMITOMO private  •  HIGH: VOLVO premium</t>
  </si>
  <si>
    <t>LOW: Private 4-cu  •  HIGH: Large insulated bowser</t>
  </si>
  <si>
    <t>LOW: Private 25T  •  HIGH: SLLDC Kobelco RK250</t>
  </si>
  <si>
    <t>LOW: Califolink private  •  HIGH: SLLDC 17T 3T-crane</t>
  </si>
  <si>
    <t>LOW: Private HINO/TATA  •  HIGH: Premium lowbed operators</t>
  </si>
  <si>
    <t>LOW: Private Sany pump  •  HIGH: Premium operators</t>
  </si>
  <si>
    <t>LOW: Hilux long-term private  •  HIGH: Malkey/Lanka Rent premium</t>
  </si>
  <si>
    <t>LOW: Liteace private  •  HIGH: KDH200 premium</t>
  </si>
  <si>
    <t>LOW: JMC private  •  HIGH: ISUZU premium</t>
  </si>
  <si>
    <t>LOW: Tata Ace small  •  HIGH: Mahindra BMT premium</t>
  </si>
  <si>
    <t>LOW: Ikman monthly low  •  HIGH: Premium Tata LPK1618</t>
  </si>
  <si>
    <t>LOW: Private tractor trailer  •  HIGH: Premium operators</t>
  </si>
  <si>
    <t>LOW: Private Tantri  •  HIGH: Premium Tantri TFB40</t>
  </si>
  <si>
    <t>LOW: Private fuel bowser  •  HIGH: Premium large bowser</t>
  </si>
  <si>
    <t>LOW: Private 20T Hyundai  •  HIGH: SLLDC Doosan DX200</t>
  </si>
  <si>
    <t>LOW: Private small  •  HIGH: SLLDC 6,000L equiv.</t>
  </si>
  <si>
    <t>LOW: MASSEY/TAFE private  •  HIGH: MAHINDRA premium</t>
  </si>
  <si>
    <t>LOW: Staff rental private  •  HIGH: Daily hire</t>
  </si>
  <si>
    <t>LOW: Private combo  •  HIGH: Premium combo</t>
  </si>
  <si>
    <t>LOW: Private 3T  •  HIGH: Premium insulated/specialist</t>
  </si>
  <si>
    <t>AGE DEPRECIATION APPLIED TO FLEET UNITS</t>
  </si>
  <si>
    <t>Year of manufacture</t>
  </si>
  <si>
    <t>Age factor</t>
  </si>
  <si>
    <t>% of base rate</t>
  </si>
  <si>
    <t>2020 and newer</t>
  </si>
  <si>
    <t>Same as new — no discount</t>
  </si>
  <si>
    <t>2015 – 2019</t>
  </si>
  <si>
    <t>Light depreciation</t>
  </si>
  <si>
    <t>2010 – 2014</t>
  </si>
  <si>
    <t>Used but serviceable</t>
  </si>
  <si>
    <t>2005 – 2009</t>
  </si>
  <si>
    <t>Older unit — customer expects discount</t>
  </si>
  <si>
    <t>2000 – 2004</t>
  </si>
  <si>
    <t>Legacy — only for budget-sensitive clients</t>
  </si>
  <si>
    <t>Before 2000 / Unknown</t>
  </si>
  <si>
    <t>End-of-life — last resort only</t>
  </si>
  <si>
    <t>VOLUME DISCOUNT APPLIED TO FLEET UNITS</t>
  </si>
  <si>
    <t>Daily (≥ 4 hrs)</t>
  </si>
  <si>
    <t>5% off hourly × 4</t>
  </si>
  <si>
    <t>Monthly (≥ 120 hrs)</t>
  </si>
  <si>
    <t>15% off hourly × 120</t>
  </si>
  <si>
    <t>2026 PORTABLE EQUIPMENT RATES — Day-Hire, Sri Lankan Market</t>
  </si>
  <si>
    <t>Capacity-wise daily hire rates (Rs./day) for portable plant, surveyed from the Sri Lankan rental market (May–Jun 2026). WET = with fuel/operator/consumables; DRY = bare machine hire only. Min. billing 1 day. Rates exclude 18% VAT and transport.</t>
  </si>
  <si>
    <t>Capacity / Size</t>
  </si>
  <si>
    <t>WET  Rs./day</t>
  </si>
  <si>
    <t>DRY  Rs./day</t>
  </si>
  <si>
    <t>Billing</t>
  </si>
  <si>
    <t>Min.</t>
  </si>
  <si>
    <t>Source / basis note</t>
  </si>
  <si>
    <t>Generator</t>
  </si>
  <si>
    <t>3–5 kVA (petrol, 1-ph)</t>
  </si>
  <si>
    <t>Per day</t>
  </si>
  <si>
    <t>1 day</t>
  </si>
  <si>
    <t>Peters Equipment: 5kVA Rs.4,000 / 2-3kVA Rs.5,000 per day</t>
  </si>
  <si>
    <t>10 kVA (diesel, 1-ph)</t>
  </si>
  <si>
    <t>Peters Equipment 10kVA diesel Rs.6,000/day (op w/fuel basis)</t>
  </si>
  <si>
    <t>20–25 kVA (diesel, 3-ph)</t>
  </si>
  <si>
    <t>Peters Equipment 25kVA diesel Rs.8,000/day</t>
  </si>
  <si>
    <t>30–50 kVA (diesel, 3-ph)</t>
  </si>
  <si>
    <t>Peters Equipment 50kVA diesel Rs.10-12,000/day</t>
  </si>
  <si>
    <t>60–80 kVA (soundproof)</t>
  </si>
  <si>
    <t>Interpolated from 50kVA card + UTE/Generators.lk band</t>
  </si>
  <si>
    <t>100–125 kVA (soundproof)</t>
  </si>
  <si>
    <t>Generators.lk / UTE long-term construction band</t>
  </si>
  <si>
    <t>150 kVA (soundproof)</t>
  </si>
  <si>
    <t>Generators.lk 150kVA upper rental band</t>
  </si>
  <si>
    <t>Air Compressor</t>
  </si>
  <si>
    <t>2–3 HP (portable, electric)</t>
  </si>
  <si>
    <t>SL hire-shop day-rate; surplus.lk "any capacity per day"</t>
  </si>
  <si>
    <t>5–7 HP (belt-drive, petrol)</t>
  </si>
  <si>
    <t>Competitive Western-Province hire-shop day-rate</t>
  </si>
  <si>
    <t>10–15 HP (industrial)</t>
  </si>
  <si>
    <t>185 cfm (towable diesel)</t>
  </si>
  <si>
    <t>Towable jackhammer-feed compressor; project day-rate</t>
  </si>
  <si>
    <t>375 cfm (towable diesel)</t>
  </si>
  <si>
    <t>Large towable diesel; project day-rate</t>
  </si>
  <si>
    <t>Poker / Concrete Vibrator</t>
  </si>
  <si>
    <t>Petrol drive unit + shaft</t>
  </si>
  <si>
    <t>wedabima poker-machine listings; petrol drive day-hire</t>
  </si>
  <si>
    <t>Electric drive unit + shaft</t>
  </si>
  <si>
    <t>Electric concrete vibrator day-hire</t>
  </si>
  <si>
    <t>Needle/shaft only (35–60 mm)</t>
  </si>
  <si>
    <t>Accessory needle/shaft only</t>
  </si>
  <si>
    <t>Submersible Pump</t>
  </si>
  <si>
    <t>1" (dewatering, electric)</t>
  </si>
  <si>
    <t>Dewatering day-hire; 1HP class</t>
  </si>
  <si>
    <t>2" (dewatering, electric)</t>
  </si>
  <si>
    <t>Dewatering day-hire; 2" class</t>
  </si>
  <si>
    <t>3" (dewatering, electric)</t>
  </si>
  <si>
    <t>Dewatering day-hire; 3" class</t>
  </si>
  <si>
    <t>4" (dewatering, electric)</t>
  </si>
  <si>
    <t>Dewatering day-hire; 4" class</t>
  </si>
  <si>
    <t>6" (high-volume)</t>
  </si>
  <si>
    <t>High-volume dewatering day-hire</t>
  </si>
  <si>
    <t>Engine Water Pump</t>
  </si>
  <si>
    <t>2" (petrol, self-priming)</t>
  </si>
  <si>
    <t>Honda-type 2" petrol pump day-hire</t>
  </si>
  <si>
    <t>3" (petrol, self-priming)</t>
  </si>
  <si>
    <t>3" petrol pump day-hire</t>
  </si>
  <si>
    <t>4" (diesel)</t>
  </si>
  <si>
    <t>4" diesel trash/water pump day-hire</t>
  </si>
  <si>
    <t>3" trash pump (solids-handling)</t>
  </si>
  <si>
    <t>Trash pump day-hire</t>
  </si>
  <si>
    <t>Rotary Hammer</t>
  </si>
  <si>
    <t>2–4 kg (SDS-plus)</t>
  </si>
  <si>
    <t>Peters Equipment Rotary Hammer SDS Rs.3,000/day (wet incl. bits/op)</t>
  </si>
  <si>
    <t>5–7 kg (SDS-max)</t>
  </si>
  <si>
    <t>Heavier SDS-max class day-hire</t>
  </si>
  <si>
    <t>Demolition breaker 10–16 kg</t>
  </si>
  <si>
    <t>Peters Equipment Demolition Breaker Rs.4,000/day</t>
  </si>
  <si>
    <t>Circular Saw</t>
  </si>
  <si>
    <t>7" (185 mm, hand-held)</t>
  </si>
  <si>
    <t>Hand-held circular saw day-hire</t>
  </si>
  <si>
    <t>9" (235 mm, hand-held)</t>
  </si>
  <si>
    <t>Larger hand-held circular saw day-hire</t>
  </si>
  <si>
    <t>14" cut-off / metal saw</t>
  </si>
  <si>
    <t>Abrasive cut-off saw day-hire</t>
  </si>
  <si>
    <t>Angle Grinder</t>
  </si>
  <si>
    <t>4–5" (100–125 mm)</t>
  </si>
  <si>
    <t>Small angle grinder day-hire</t>
  </si>
  <si>
    <t>7–9" (180–230 mm)</t>
  </si>
  <si>
    <t>Large angle grinder day-hire</t>
  </si>
  <si>
    <t>Power Tool — Other</t>
  </si>
  <si>
    <t>Hand / hammer / impact drill</t>
  </si>
  <si>
    <t>Peters Equipment hand/hammer drill Rs.250–500/day band</t>
  </si>
  <si>
    <t>Plate compactor (forward)</t>
  </si>
  <si>
    <t>Plate compactor day-hire (cf. Tamping Rammer Rs.3,500)</t>
  </si>
  <si>
    <t>Power trowel (concrete)</t>
  </si>
  <si>
    <t>Power trowel day-hire</t>
  </si>
  <si>
    <t>Welding Plant</t>
  </si>
  <si>
    <t>300 A diesel (engine-driven)</t>
  </si>
  <si>
    <t>Engine-driven welder day-hire</t>
  </si>
  <si>
    <t>Methodology &amp; sources</t>
  </si>
  <si>
    <t>•  WET rate = machine + fuel/power + operator + routine consumables (bits, oil, nozzles). DRY rate = bare equipment hire; customer supplies fuel, power and operator.</t>
  </si>
  <si>
    <t>•  Anchored to published Sri Lankan rental day-rates from Peters Equipment (petersequipment.lk, 2026): generators Rs.4,000–12,000/day by kVA; Rotary Hammer SDS Rs.3,000; Jack Hammer Rs.10,000; Demolition Breaker Rs.4,000; Tamping Rammer Rs.3,500; drills Rs.250–500/day.</t>
  </si>
  <si>
    <t>•  Air compressors, poker/concrete vibrators, submersible &amp; engine water pumps, circular saws and angle grinders are confirmed available for daily hire in the Sri Lankan market (surplus.lk, wedabima.com); where a vendor lists "call for price", the rate shown is a competitive Colombo / Western-Province hire-shop day-rate.</t>
  </si>
  <si>
    <t>•  Rates are indicative for quotation/proforma use and exclude 18% VAT, transport/mobilisation, and any operator overtime. Minimum billing is one (1) day unless agreed otherwise.</t>
  </si>
  <si>
    <t>•  Review the WET/DRY cells (blue/green) each quarter against current market quotes; they are hardcoded inputs, not formulas.</t>
  </si>
  <si>
    <t>FLEET FUEL RATES — estimated by model size-class &amp; manufacturing year (518 units)</t>
  </si>
  <si>
    <t>Per-unit fuel-cost rate at three duty scenarios (Lowest / Medium / Highest). Typical consumption is set from each machine's model size/engine class, then adjusted for age via the manufacturing year. Machinery Rs./hr, road vehicles Rs./km. Edit the blue cells (fuel prices, age factor, or any vehicle's consumption) and rates recalculate. SL prices, Jun 2026.</t>
  </si>
  <si>
    <t>FUEL PRICE &amp; AGE INPUTS  (edit to update every rate)</t>
  </si>
  <si>
    <t>Auto Diesel (Rs./litre)</t>
  </si>
  <si>
    <t>← Ceypetco/LIOC 01-Jun-2026</t>
  </si>
  <si>
    <t>Petrol 92 Octane (Rs./litre)</t>
  </si>
  <si>
    <t>Base year (new = no penalty)</t>
  </si>
  <si>
    <t>Extra fuel % per year of age</t>
  </si>
  <si>
    <t>← older engines burn more (e.g. 0.7%/yr)</t>
  </si>
  <si>
    <t>Cap age (years)</t>
  </si>
  <si>
    <t>PER-VEHICLE FUEL RATES  (518 units) — by model class &amp; year</t>
  </si>
  <si>
    <t>E&amp;C No</t>
  </si>
  <si>
    <t>Reg No</t>
  </si>
  <si>
    <t>Model</t>
  </si>
  <si>
    <t>Fuel</t>
  </si>
  <si>
    <t>Size / Engine Class</t>
  </si>
  <si>
    <t>Unit</t>
  </si>
  <si>
    <t>Cons Econ</t>
  </si>
  <si>
    <t>Cons Typ</t>
  </si>
  <si>
    <t>Cons Heavy</t>
  </si>
  <si>
    <t>Age ×</t>
  </si>
  <si>
    <t>Lowest Rate</t>
  </si>
  <si>
    <t>Medium Rate</t>
  </si>
  <si>
    <t>Highest Rate</t>
  </si>
  <si>
    <t>Rate Unit</t>
  </si>
  <si>
    <t>Sumitomo Ha45C-2065</t>
  </si>
  <si>
    <t>Diesel</t>
  </si>
  <si>
    <t>Hour</t>
  </si>
  <si>
    <t>Standard (class avg)</t>
  </si>
  <si>
    <t>L/hr</t>
  </si>
  <si>
    <t>Mitsubishi Mf40Wh</t>
  </si>
  <si>
    <t>Mitsubishi Mf-55Wh</t>
  </si>
  <si>
    <t>Mitsubishi Mf60Wd</t>
  </si>
  <si>
    <t>Nigata —</t>
  </si>
  <si>
    <t>Volvo P6820C</t>
  </si>
  <si>
    <t>Sumitomo Ha60W-7</t>
  </si>
  <si>
    <t>Dynapac Sd2500C</t>
  </si>
  <si>
    <t>Sumitomo Ha60W-5</t>
  </si>
  <si>
    <t>Jcb 3Dx</t>
  </si>
  <si>
    <t>Jcb Slp3Cx</t>
  </si>
  <si>
    <t>Jcb 3Cx</t>
  </si>
  <si>
    <t>Jcb Jcb 3Cx</t>
  </si>
  <si>
    <t>Jcb Jcb 3Dx</t>
  </si>
  <si>
    <t>J.C.B 570St</t>
  </si>
  <si>
    <t>J.C.B 3Dx</t>
  </si>
  <si>
    <t>J.C.B Jcb 3Dx</t>
  </si>
  <si>
    <t>Bob Cat B760</t>
  </si>
  <si>
    <t>Ashok Leyland Comet Super</t>
  </si>
  <si>
    <t>Tata Lpt 709</t>
  </si>
  <si>
    <t>Foton Bj1056R</t>
  </si>
  <si>
    <t>Dfac Eq1110Sj8Bdc</t>
  </si>
  <si>
    <t>Freight Rover —</t>
  </si>
  <si>
    <t>Medium</t>
  </si>
  <si>
    <t>Tata Lpt1613</t>
  </si>
  <si>
    <t>Standard 16t</t>
  </si>
  <si>
    <t>Isuzu Pj.Cyz51V5.Oioa</t>
  </si>
  <si>
    <t>Heavy</t>
  </si>
  <si>
    <t>Isuzu Kl.Fsr34Larforward</t>
  </si>
  <si>
    <t>Toyota Ko-Ly132</t>
  </si>
  <si>
    <t>KM</t>
  </si>
  <si>
    <t>km/L</t>
  </si>
  <si>
    <t>Toyota Kc-Ly101</t>
  </si>
  <si>
    <t>Toyota Kc-Ly111</t>
  </si>
  <si>
    <t>Toyota Bu19</t>
  </si>
  <si>
    <t>Jmc Jx1032Dsr</t>
  </si>
  <si>
    <t>Jmc 1X1041Dsla2Rs</t>
  </si>
  <si>
    <t>Datsun Agy720-921207</t>
  </si>
  <si>
    <t>Isuzu Pr75Kj7104331</t>
  </si>
  <si>
    <t>Tata 207 Di</t>
  </si>
  <si>
    <t>Isuzu 207 Di</t>
  </si>
  <si>
    <t>Nissan Atlas</t>
  </si>
  <si>
    <t>Isuzu —</t>
  </si>
  <si>
    <t>Tata —</t>
  </si>
  <si>
    <t>Toyota Hilux</t>
  </si>
  <si>
    <t>Datzen Motor Pic-Up</t>
  </si>
  <si>
    <t>Isuzu Motor Pic-Up</t>
  </si>
  <si>
    <t>Mitsubishi L 200</t>
  </si>
  <si>
    <t>Mitsubishi Motor Pic-Up</t>
  </si>
  <si>
    <t>Mahindra Bolero Camper Gold</t>
  </si>
  <si>
    <t>Volkswagon T5 Transporter</t>
  </si>
  <si>
    <t>Toyota Hilux Vigo</t>
  </si>
  <si>
    <t>Mahindra Imperio Dcvx</t>
  </si>
  <si>
    <t>Toyota Hilux Hl2 D-4D 4*4</t>
  </si>
  <si>
    <t>Toyota Hilux Cun126R Dttlh</t>
  </si>
  <si>
    <t>Toyota —</t>
  </si>
  <si>
    <t>Ashok Leland Comet</t>
  </si>
  <si>
    <t>Standard ~16t</t>
  </si>
  <si>
    <t>Tata Lpk 407</t>
  </si>
  <si>
    <t>Light 4t</t>
  </si>
  <si>
    <t>Ashok Leland Commet Tipper 1613</t>
  </si>
  <si>
    <t>Tata Lpk 1615</t>
  </si>
  <si>
    <t>Tata Lpk1618</t>
  </si>
  <si>
    <t>Tata Lpk 909</t>
  </si>
  <si>
    <t>Medium 9t</t>
  </si>
  <si>
    <t>Ashok Leland Taurus 2516</t>
  </si>
  <si>
    <t>Heavy 25t</t>
  </si>
  <si>
    <t>Elcher Terra16 Hdr</t>
  </si>
  <si>
    <t>Ashok Leland Taurus</t>
  </si>
  <si>
    <t>Ashok Leland Lpk 407</t>
  </si>
  <si>
    <t>Elcher 20.16</t>
  </si>
  <si>
    <t>Standard 16-20t</t>
  </si>
  <si>
    <t>Tata 10.80 Tipper</t>
  </si>
  <si>
    <t>Medium 10t</t>
  </si>
  <si>
    <t>Tata Lpk 1618</t>
  </si>
  <si>
    <t>Tata Lpk1615Tc</t>
  </si>
  <si>
    <t>Tata Commet Tipper 1613</t>
  </si>
  <si>
    <t>Volvo Ec210V</t>
  </si>
  <si>
    <t>Standard 21t</t>
  </si>
  <si>
    <t>Komatsu Pc-100</t>
  </si>
  <si>
    <t>Midi 10t</t>
  </si>
  <si>
    <t>Hitachi Uh045</t>
  </si>
  <si>
    <t>Midi 15t</t>
  </si>
  <si>
    <t>Komatsu Pc60</t>
  </si>
  <si>
    <t>Mini 6t</t>
  </si>
  <si>
    <t>Komatsu Pcs50Uu-01</t>
  </si>
  <si>
    <t>Mini 5t</t>
  </si>
  <si>
    <t>Kobelko Yd-00418</t>
  </si>
  <si>
    <t>Standard (assumed)</t>
  </si>
  <si>
    <t>Komatsu Pc27R-8</t>
  </si>
  <si>
    <t>Mini 2.7t</t>
  </si>
  <si>
    <t>Kubota U-25-35</t>
  </si>
  <si>
    <t>Mini 2.5t</t>
  </si>
  <si>
    <t>Cat 303 Cr</t>
  </si>
  <si>
    <t>Mini 3t</t>
  </si>
  <si>
    <t>Kubota Kx-040</t>
  </si>
  <si>
    <t>Mini 4t</t>
  </si>
  <si>
    <t>Hyundai 0Bex220Lc-9S</t>
  </si>
  <si>
    <t>Standard 22t</t>
  </si>
  <si>
    <t>Hithachi Ex75Ur-3</t>
  </si>
  <si>
    <t>Compact 7.5t</t>
  </si>
  <si>
    <t>Komatsu Pc-120-6Eo</t>
  </si>
  <si>
    <t>Midi 12t</t>
  </si>
  <si>
    <t>Komatsu Pc-40Mr-02</t>
  </si>
  <si>
    <t>Kobelko Sk115Sr</t>
  </si>
  <si>
    <t>Midi 11.5t</t>
  </si>
  <si>
    <t>Catapillar 314C</t>
  </si>
  <si>
    <t>Midi 14t</t>
  </si>
  <si>
    <t>Kobelko 200</t>
  </si>
  <si>
    <t>Standard 20t</t>
  </si>
  <si>
    <t>Komatsu Pc-40Mr-1</t>
  </si>
  <si>
    <t>14160</t>
  </si>
  <si>
    <t>Hyundai R230Lm</t>
  </si>
  <si>
    <t>Standard 20-23t</t>
  </si>
  <si>
    <t>Hyundai Robex330Lc-9S</t>
  </si>
  <si>
    <t>Large 33t</t>
  </si>
  <si>
    <t>Hyundai E55W</t>
  </si>
  <si>
    <t>Mini 5.5t</t>
  </si>
  <si>
    <t>Komatsu Pc-60-6</t>
  </si>
  <si>
    <t>Cat Cat308Ccr</t>
  </si>
  <si>
    <t>Compact 8t</t>
  </si>
  <si>
    <t>Komatsu Pc-30</t>
  </si>
  <si>
    <t>Hyundai R220Lc-9S</t>
  </si>
  <si>
    <t>Hyundai (Robex330Lc-96)</t>
  </si>
  <si>
    <t>Santui Se210</t>
  </si>
  <si>
    <t>Hyundai 220Lc-7</t>
  </si>
  <si>
    <t>Case Cx220C Lc Hd</t>
  </si>
  <si>
    <t>Kobelco Sx 120</t>
  </si>
  <si>
    <t>Massey Furguson 135</t>
  </si>
  <si>
    <t>Tafe 45Di</t>
  </si>
  <si>
    <t>Massey Ferouson Mf 240</t>
  </si>
  <si>
    <t>Mahindra 575Di</t>
  </si>
  <si>
    <t>Massey Furguson 45Di</t>
  </si>
  <si>
    <t>Mahindra 275 Di</t>
  </si>
  <si>
    <t>49-2288</t>
  </si>
  <si>
    <t>Barrol Fork Lift —</t>
  </si>
  <si>
    <t>Blade Fock Lift —</t>
  </si>
  <si>
    <t>HD-9005</t>
  </si>
  <si>
    <t>Tantri Tsk 20</t>
  </si>
  <si>
    <t>None</t>
  </si>
  <si>
    <t>Towed (no engine)</t>
  </si>
  <si>
    <t>LX-1045</t>
  </si>
  <si>
    <t>LX-1679</t>
  </si>
  <si>
    <t>Tantri Tfb40</t>
  </si>
  <si>
    <t>Tadano Tr-350M-3-00101</t>
  </si>
  <si>
    <t>35t crane</t>
  </si>
  <si>
    <t>Kobelco Rk 250</t>
  </si>
  <si>
    <t>25t crane</t>
  </si>
  <si>
    <t>Bajaj Bajaj Boxerct-Deluxe</t>
  </si>
  <si>
    <t>Petrol</t>
  </si>
  <si>
    <t>Tvs Star City</t>
  </si>
  <si>
    <t>Bajaj Ct100</t>
  </si>
  <si>
    <t>Bajaj Cd Dream Dlx 110</t>
  </si>
  <si>
    <t>Bajaj Discover 125</t>
  </si>
  <si>
    <t>Bajaj Platina</t>
  </si>
  <si>
    <t>Bajaj Discover Dtsi</t>
  </si>
  <si>
    <t>Bajaj Platina Bm 125</t>
  </si>
  <si>
    <t>Honda Cb-125T</t>
  </si>
  <si>
    <t>Bajaj —</t>
  </si>
  <si>
    <t>Bajaj Discover 125 M</t>
  </si>
  <si>
    <t>Platina Platina</t>
  </si>
  <si>
    <t>Discovery —</t>
  </si>
  <si>
    <t>Platina —</t>
  </si>
  <si>
    <t>BFR-4276</t>
  </si>
  <si>
    <t>BGI-5000</t>
  </si>
  <si>
    <t>BGY-6440</t>
  </si>
  <si>
    <t>BGY-6445</t>
  </si>
  <si>
    <t>BGY-6446</t>
  </si>
  <si>
    <t>BHT-3482</t>
  </si>
  <si>
    <t>BID-8738</t>
  </si>
  <si>
    <t>Honda —</t>
  </si>
  <si>
    <t>BIE-8552</t>
  </si>
  <si>
    <t>BIG-4988</t>
  </si>
  <si>
    <t>BII-2125</t>
  </si>
  <si>
    <t>Komatsu —</t>
  </si>
  <si>
    <t>Mitsubishi 452-65-147</t>
  </si>
  <si>
    <t>Komatsu 2501</t>
  </si>
  <si>
    <t>Mitsubishi 320-11-21Gd</t>
  </si>
  <si>
    <t>Sany Stg170C-8</t>
  </si>
  <si>
    <t>Mitsubhishi Mg 230</t>
  </si>
  <si>
    <t>Sany Stg170C-9</t>
  </si>
  <si>
    <t>Mitsubishi 2Gb00258</t>
  </si>
  <si>
    <t>Mitsubishi 2Gb01241</t>
  </si>
  <si>
    <t>Caterpiller *Cat0140Hc5Hm03479*</t>
  </si>
  <si>
    <t>Kawasaki Kr-20 D</t>
  </si>
  <si>
    <t>Sakai 6Bd1Lj-01</t>
  </si>
  <si>
    <t>Dynapac Cp-201W</t>
  </si>
  <si>
    <t>Ktdto Rt-200W</t>
  </si>
  <si>
    <t>Furukawa Ft-20W</t>
  </si>
  <si>
    <t>Komatsu J.W 200</t>
  </si>
  <si>
    <t>Sakai C200</t>
  </si>
  <si>
    <t>Sakai Ts200</t>
  </si>
  <si>
    <t>Isuzu Giga</t>
  </si>
  <si>
    <t>Renault —</t>
  </si>
  <si>
    <t>Standard</t>
  </si>
  <si>
    <t>Tata Lps4018</t>
  </si>
  <si>
    <t>Heavy 40t GCW</t>
  </si>
  <si>
    <t>Renault Premium</t>
  </si>
  <si>
    <t>Ashok Leland Taurus 2518</t>
  </si>
  <si>
    <t>Standard 6x4</t>
  </si>
  <si>
    <t>Ashok Leland Caroo 709</t>
  </si>
  <si>
    <t>Light 7t</t>
  </si>
  <si>
    <t>Hino Profla</t>
  </si>
  <si>
    <t>BM-05</t>
  </si>
  <si>
    <t>LK-5041</t>
  </si>
  <si>
    <t>Tata Lpt2516</t>
  </si>
  <si>
    <t>Hino Fs1Ewy</t>
  </si>
  <si>
    <t>Sany Lzz1Bckh2Kw579978</t>
  </si>
  <si>
    <t>Fiori 8Fo8H01246</t>
  </si>
  <si>
    <t>Fiori 8Fo8H01252</t>
  </si>
  <si>
    <t>Fiori Bf08H01307</t>
  </si>
  <si>
    <t>Tata 207Di/28</t>
  </si>
  <si>
    <t>Tata 207 Rx Pickup</t>
  </si>
  <si>
    <t>Dfsk Eq1020Dr</t>
  </si>
  <si>
    <t>Tata Ace</t>
  </si>
  <si>
    <t>Mahindra Bmt Plus Mti</t>
  </si>
  <si>
    <t>Tata Yodha Bsiv</t>
  </si>
  <si>
    <t>Liteace Ace</t>
  </si>
  <si>
    <t>Bob Cat —</t>
  </si>
  <si>
    <t>Standard ~2t</t>
  </si>
  <si>
    <t>Bob Cat S130</t>
  </si>
  <si>
    <t>Compact</t>
  </si>
  <si>
    <t>Cat 216B3</t>
  </si>
  <si>
    <t>Bob Cat S450 S-450</t>
  </si>
  <si>
    <t>Bob Cat S-450</t>
  </si>
  <si>
    <t>Bob Cat S-16</t>
  </si>
  <si>
    <t>Bob Cat S770</t>
  </si>
  <si>
    <t>Large ~3.5t</t>
  </si>
  <si>
    <t>Case —</t>
  </si>
  <si>
    <t>Sakai Sw-900</t>
  </si>
  <si>
    <t>Ir 2860-01</t>
  </si>
  <si>
    <t>Case 1107Exd</t>
  </si>
  <si>
    <t>Macadam —</t>
  </si>
  <si>
    <t>Hamm Hamm 311D</t>
  </si>
  <si>
    <t>Dynapac Ca250D</t>
  </si>
  <si>
    <t>Sakai R2V</t>
  </si>
  <si>
    <t>Macadam 1107Exd</t>
  </si>
  <si>
    <t>Dynapac Ca30D</t>
  </si>
  <si>
    <t>Dynapac Cc425</t>
  </si>
  <si>
    <t>Tractor Triler Tractor Bowser</t>
  </si>
  <si>
    <t>Locally Built Tractor Bowser</t>
  </si>
  <si>
    <t>Tanker Tractor Bowser</t>
  </si>
  <si>
    <t>RV-1990</t>
  </si>
  <si>
    <t>Locally Built Tractor Trailer</t>
  </si>
  <si>
    <t>RY-0614</t>
  </si>
  <si>
    <t>Wimalaoro Tractor Trailer</t>
  </si>
  <si>
    <t>Tanker Tractor Trailer</t>
  </si>
  <si>
    <t>Mitsubishi Kc-Fh217C</t>
  </si>
  <si>
    <t>Isuzu Kc-Nrr33C20</t>
  </si>
  <si>
    <t>Mini mixer</t>
  </si>
  <si>
    <t>Isuzu Kk-Nrr35C4 Forward</t>
  </si>
  <si>
    <t>Mitsubishi Kc-Fe517Bn</t>
  </si>
  <si>
    <t>Mitsubishi U.Fe315Bn</t>
  </si>
  <si>
    <t>Mitsubishi Kk-Fe73Eb Canter</t>
  </si>
  <si>
    <t>Ashok Leyland Tusker Super 1613</t>
  </si>
  <si>
    <t>Elcher Terra 16</t>
  </si>
  <si>
    <t>Tata Lpk 2518</t>
  </si>
  <si>
    <t>Large 25t/7m³</t>
  </si>
  <si>
    <t>Standard 16t/6m³</t>
  </si>
  <si>
    <t>Toyota Liteace</t>
  </si>
  <si>
    <t>54-7084</t>
  </si>
  <si>
    <t>Toyota Toyota Townace</t>
  </si>
  <si>
    <t>PE-7986</t>
  </si>
  <si>
    <t>Toyota Kdh200V</t>
  </si>
  <si>
    <t>Komatsu Sl203468</t>
  </si>
  <si>
    <t>Bomag —</t>
  </si>
  <si>
    <t>Cat 1650Nk0285</t>
  </si>
  <si>
    <t>Atlas —</t>
  </si>
  <si>
    <t>Dynapac Cc142 Ii</t>
  </si>
  <si>
    <t>Bomag Bw 138 Ad-05</t>
  </si>
  <si>
    <t>Dynapac Cc1300</t>
  </si>
  <si>
    <t>Hamm —</t>
  </si>
  <si>
    <t>Bomag Bw-138 Ad</t>
  </si>
  <si>
    <t>Bomag Sa-00-350</t>
  </si>
  <si>
    <t>Sakai Sw-300</t>
  </si>
  <si>
    <t>Tacom Tfr60Tds</t>
  </si>
  <si>
    <t>Bomag Bw 75 H</t>
  </si>
  <si>
    <t>Tacom Bw 75 H</t>
  </si>
  <si>
    <t>Tacom —</t>
  </si>
  <si>
    <t>Sakai —</t>
  </si>
  <si>
    <t>Cat Cb-504C</t>
  </si>
  <si>
    <t>Sakai Tw-41</t>
  </si>
  <si>
    <t>(Unknown) Cc-1250</t>
  </si>
  <si>
    <t>Tata S1313/42 Tanker</t>
  </si>
  <si>
    <t>Tata 1210Se-Closed</t>
  </si>
  <si>
    <t>Ashok Leyland Comet</t>
  </si>
  <si>
    <t>Ashok Leyland Iveco-Cargo</t>
  </si>
  <si>
    <t>Tata Lpt1615Tc</t>
  </si>
  <si>
    <t>Cat 910E</t>
  </si>
  <si>
    <t>Small-mid</t>
  </si>
  <si>
    <t>Cat Cat910</t>
  </si>
  <si>
    <t>Komatsu Wa100</t>
  </si>
  <si>
    <t>Small ~1m³</t>
  </si>
  <si>
    <t>Komatsu 924F</t>
  </si>
  <si>
    <t>Mid</t>
  </si>
  <si>
    <t>Komatsu Wa150</t>
  </si>
  <si>
    <t>Mid ~1.5m³</t>
  </si>
  <si>
    <t>Komatsu 510</t>
  </si>
  <si>
    <t>Komatsu Wa-80Ss</t>
  </si>
  <si>
    <t>Santui Sl30W</t>
  </si>
  <si>
    <t>Shantui Sl-50Wn</t>
  </si>
  <si>
    <t>Large ~3m³</t>
  </si>
  <si>
    <t>Methodology &amp; notes</t>
  </si>
  <si>
    <t>•  TYPICAL consumption is set per machine from its model size/engine class. Excavators: Mini (&lt;=6t) 4 L/hr, Compact (7-10t) 6.5, Midi (11-15t) 10, Standard (18-23t) 16, Large (&gt;24t) 22. Loaders, tippers, mixers, cranes, skid-steers and prime movers are tiered the same way; uniform categories use a class-average figure.</t>
  </si>
  <si>
    <t>•  Econ / Heavy bands are derived from Typical: machinery Econ=0.72x, Heavy=1.35x (L/hr); road Econ=1.28x best economy, Heavy=0.80x worst (km/L). Lowest/Medium/Highest rates follow.</t>
  </si>
  <si>
    <t>•  AGE x: rate is multiplied by 1 + (years of age x extra%/yr, capped). Base year, %/yr and cap are editable. 411 of 518 units have a year; the 107 without (shown "—") use x1.00 until you fill the year in.</t>
  </si>
  <si>
    <t>•  Rate = consumption x age x fuel price. Diesel Rs.478/L, Petrol 92 Rs.434/L (SL, Jun 2026). Trailers/Lorry Trailers towed (no engine) = zero. Only motorcycles use petrol.</t>
  </si>
  <si>
    <t>•  Bare fuel cost only (no operator, lubricants, maintenance or margin). Model sizes are estimates from the model text; correct any class or consumption in the blue cells, or replace with measured litres from your diesel logbook for the exact figure.</t>
  </si>
  <si>
    <t>FLEET SUMMARY — Counts &amp; Monthly Revenue Potential</t>
  </si>
  <si>
    <t>Monthly potential = unit count × average monthly WET rate (120 hrs, 85% volume discount) if every machine deployed 1 full month.</t>
  </si>
  <si>
    <t>Unit count</t>
  </si>
  <si>
    <t>Avg. Hourly WET</t>
  </si>
  <si>
    <t>Avg. Monthly WET (120h)</t>
  </si>
  <si>
    <t>Category Monthly Revenue Potential</t>
  </si>
  <si>
    <t>TOTAL FLEET</t>
  </si>
  <si>
    <t>FLEET PRICING 2026 — ALL 518 UNITS (engineered rates)</t>
  </si>
  <si>
    <t>Rates in LKR, excluding 18% VAT.  Daily min. 4 hrs  •  Monthly min. 120 hrs. Driven by Rate Card sheet.</t>
  </si>
  <si>
    <t>Brand</t>
  </si>
  <si>
    <t>Hourly WET</t>
  </si>
  <si>
    <t>Hourly DRY</t>
  </si>
  <si>
    <t>Daily WET (4h)</t>
  </si>
  <si>
    <t>Daily DRY (4h)</t>
  </si>
  <si>
    <t>Monthly WET (120h)</t>
  </si>
  <si>
    <t>Monthly DRY (120h)</t>
  </si>
  <si>
    <t>Remarks</t>
  </si>
  <si>
    <t>age_f</t>
  </si>
  <si>
    <t>size_m</t>
  </si>
  <si>
    <t>BOB CAT</t>
  </si>
  <si>
    <t>B760</t>
  </si>
  <si>
    <t>J.C.B</t>
  </si>
  <si>
    <t>3DX</t>
  </si>
  <si>
    <t>JCB</t>
  </si>
  <si>
    <t>570ST</t>
  </si>
  <si>
    <t>age factor 72%</t>
  </si>
  <si>
    <t>age factor 65%</t>
  </si>
  <si>
    <t>3CX</t>
  </si>
  <si>
    <t>SLP3CX</t>
  </si>
  <si>
    <t>age factor 57%</t>
  </si>
  <si>
    <t>SHANTUI</t>
  </si>
  <si>
    <t>SL-50WN</t>
  </si>
  <si>
    <t>KOMATSU</t>
  </si>
  <si>
    <t>WA-80SS</t>
  </si>
  <si>
    <t>WA150</t>
  </si>
  <si>
    <t>SANTUI</t>
  </si>
  <si>
    <t>SL30W</t>
  </si>
  <si>
    <t>924F</t>
  </si>
  <si>
    <t>510</t>
  </si>
  <si>
    <t>WA100</t>
  </si>
  <si>
    <t>CAT</t>
  </si>
  <si>
    <t>CAT910</t>
  </si>
  <si>
    <t>910E</t>
  </si>
  <si>
    <t>TATA</t>
  </si>
  <si>
    <t>LPK 1618</t>
  </si>
  <si>
    <t>LPK 2518</t>
  </si>
  <si>
    <t>ELCHER</t>
  </si>
  <si>
    <t>TERRA 16</t>
  </si>
  <si>
    <t>ASHOK LEYLAND</t>
  </si>
  <si>
    <t>TUSKER SUPER 1613</t>
  </si>
  <si>
    <t>MITSUBISHI</t>
  </si>
  <si>
    <t>KK-FE73EB CANTER</t>
  </si>
  <si>
    <t>ISUZU</t>
  </si>
  <si>
    <t>KK-NRR35C4 FORWARD</t>
  </si>
  <si>
    <t>KC-NRR33C20</t>
  </si>
  <si>
    <t>KC-FH217C</t>
  </si>
  <si>
    <t>KC-FE517BN</t>
  </si>
  <si>
    <t>U.FE315BN</t>
  </si>
  <si>
    <t>FIORI</t>
  </si>
  <si>
    <t>BF08H01307</t>
  </si>
  <si>
    <t>8FO8H01246</t>
  </si>
  <si>
    <t>8FO8H01252</t>
  </si>
  <si>
    <t>DYNAPAC</t>
  </si>
  <si>
    <t>CC425</t>
  </si>
  <si>
    <t>CA30D</t>
  </si>
  <si>
    <t>CASE</t>
  </si>
  <si>
    <t>1107EXD</t>
  </si>
  <si>
    <t>MACADAM</t>
  </si>
  <si>
    <t>HAMM</t>
  </si>
  <si>
    <t>HAMM 311D</t>
  </si>
  <si>
    <t>SAKAI</t>
  </si>
  <si>
    <t>SW-900</t>
  </si>
  <si>
    <t>(Unknown)</t>
  </si>
  <si>
    <t>R12</t>
  </si>
  <si>
    <t>IR</t>
  </si>
  <si>
    <t>2860-01</t>
  </si>
  <si>
    <t>year unknown → 58% factor</t>
  </si>
  <si>
    <t>CA250D</t>
  </si>
  <si>
    <t>R2V</t>
  </si>
  <si>
    <t>SL203468</t>
  </si>
  <si>
    <t>BOMAG</t>
  </si>
  <si>
    <t>BW-138 AD</t>
  </si>
  <si>
    <t>SA-00-350</t>
  </si>
  <si>
    <t>BW 75 H</t>
  </si>
  <si>
    <t>TACOM</t>
  </si>
  <si>
    <t>TFR60TDS</t>
  </si>
  <si>
    <t>BW 138 AD-05</t>
  </si>
  <si>
    <t>1650NK0285</t>
  </si>
  <si>
    <t>CC142 II</t>
  </si>
  <si>
    <t>CC1300</t>
  </si>
  <si>
    <t>SW-300</t>
  </si>
  <si>
    <t>ATLAS</t>
  </si>
  <si>
    <t>CC-1250</t>
  </si>
  <si>
    <t>CB-504C</t>
  </si>
  <si>
    <t>TW-41</t>
  </si>
  <si>
    <t>CP-201W</t>
  </si>
  <si>
    <t>FURUKAWA</t>
  </si>
  <si>
    <t>FT-20W</t>
  </si>
  <si>
    <t>KAWASAKI</t>
  </si>
  <si>
    <t>KR-20 D</t>
  </si>
  <si>
    <t>KTDTO</t>
  </si>
  <si>
    <t>RT-200W</t>
  </si>
  <si>
    <t>6BD1LJ-01</t>
  </si>
  <si>
    <t>C200</t>
  </si>
  <si>
    <t>TS200</t>
  </si>
  <si>
    <t>J.W 200</t>
  </si>
  <si>
    <t>SANY</t>
  </si>
  <si>
    <t>STG170C-8</t>
  </si>
  <si>
    <t>STG170C-9</t>
  </si>
  <si>
    <t>2GB00258</t>
  </si>
  <si>
    <t>2GB01241</t>
  </si>
  <si>
    <t>CATERPILLER</t>
  </si>
  <si>
    <t>*CAT0140HC5HM03479*</t>
  </si>
  <si>
    <t>2501</t>
  </si>
  <si>
    <t>MITSUBHISHI</t>
  </si>
  <si>
    <t>MG 230</t>
  </si>
  <si>
    <t>452-65-147</t>
  </si>
  <si>
    <t>320-11-21GD</t>
  </si>
  <si>
    <t>S-450</t>
  </si>
  <si>
    <t>BOB CAT S450</t>
  </si>
  <si>
    <t>S-16</t>
  </si>
  <si>
    <t>216B3</t>
  </si>
  <si>
    <t>S770</t>
  </si>
  <si>
    <t>S130</t>
  </si>
  <si>
    <t>SD2500C</t>
  </si>
  <si>
    <t>VOLVO</t>
  </si>
  <si>
    <t>P6820C</t>
  </si>
  <si>
    <t>MF-55WH</t>
  </si>
  <si>
    <t>MF60WD</t>
  </si>
  <si>
    <t>MF40WH</t>
  </si>
  <si>
    <t>NIGATA</t>
  </si>
  <si>
    <t>SUMITOMO</t>
  </si>
  <si>
    <t>HA45C-2065</t>
  </si>
  <si>
    <t>HA60W-7</t>
  </si>
  <si>
    <t>HA60W-5</t>
  </si>
  <si>
    <t>DFAC</t>
  </si>
  <si>
    <t>EQ1110SJ8BDC</t>
  </si>
  <si>
    <t>LPT 709</t>
  </si>
  <si>
    <t>FOTON</t>
  </si>
  <si>
    <t>BJ1056R</t>
  </si>
  <si>
    <t>COMET SUPER</t>
  </si>
  <si>
    <t>TADANO</t>
  </si>
  <si>
    <t>TR-350M-3-00101</t>
  </si>
  <si>
    <t>KOBELCO</t>
  </si>
  <si>
    <t>RK 250</t>
  </si>
  <si>
    <t>LPT1613</t>
  </si>
  <si>
    <t>PJ.CYZ51V5.OIOA</t>
  </si>
  <si>
    <t>KL.FSR34LARFORWARD</t>
  </si>
  <si>
    <t>FREIGHT ROVER</t>
  </si>
  <si>
    <t>ASHOK LELAND</t>
  </si>
  <si>
    <t>TAURUS 2518</t>
  </si>
  <si>
    <t>RENAULT</t>
  </si>
  <si>
    <t>PREMIUM</t>
  </si>
  <si>
    <t>LPS4018</t>
  </si>
  <si>
    <t>LPT2516</t>
  </si>
  <si>
    <t>HINO</t>
  </si>
  <si>
    <t>PROFLA</t>
  </si>
  <si>
    <t>CAROO 709</t>
  </si>
  <si>
    <t>GIGA</t>
  </si>
  <si>
    <t>LZZ1BCKH2KW579978</t>
  </si>
  <si>
    <t>FS1EWY</t>
  </si>
  <si>
    <t>TOYOTA</t>
  </si>
  <si>
    <t>HILUX</t>
  </si>
  <si>
    <t>HILUX CUN126R DTTLH</t>
  </si>
  <si>
    <t>MAHINDRA</t>
  </si>
  <si>
    <t>IMPERIO DCVX</t>
  </si>
  <si>
    <t>BOLERO CAMPER GOLD</t>
  </si>
  <si>
    <t>L 200</t>
  </si>
  <si>
    <t>HILUX VIGO</t>
  </si>
  <si>
    <t>HILUX HL2 D-4D 4*4</t>
  </si>
  <si>
    <t>VOLKSWAGON</t>
  </si>
  <si>
    <t>T5 TRANSPORTER</t>
  </si>
  <si>
    <t>MOTOR PIC-UP</t>
  </si>
  <si>
    <t>DATZEN</t>
  </si>
  <si>
    <t>KDH200V</t>
  </si>
  <si>
    <t>TOYOTA TOWNACE</t>
  </si>
  <si>
    <t>LITEACE</t>
  </si>
  <si>
    <t>JMC</t>
  </si>
  <si>
    <t>JX1032DSR</t>
  </si>
  <si>
    <t>PR75KJ7104331</t>
  </si>
  <si>
    <t>1X1041DSLA2RS</t>
  </si>
  <si>
    <t>KO-LY132</t>
  </si>
  <si>
    <t>KC-LY101</t>
  </si>
  <si>
    <t>KC-LY111</t>
  </si>
  <si>
    <t>DATSUN</t>
  </si>
  <si>
    <t>AGY720-921207</t>
  </si>
  <si>
    <t>BU19</t>
  </si>
  <si>
    <t>BMT PLUS MTI</t>
  </si>
  <si>
    <t>YODHA BSIV</t>
  </si>
  <si>
    <t>207 RX PICKUP</t>
  </si>
  <si>
    <t>DFSK</t>
  </si>
  <si>
    <t>EQ1020DR</t>
  </si>
  <si>
    <t>207DI/28</t>
  </si>
  <si>
    <t>ACE</t>
  </si>
  <si>
    <t>207 DI</t>
  </si>
  <si>
    <t>LPK1618</t>
  </si>
  <si>
    <t>LPK1615TC</t>
  </si>
  <si>
    <t>10.80 TIPPER</t>
  </si>
  <si>
    <t>LPK 1615</t>
  </si>
  <si>
    <t>LPK 407</t>
  </si>
  <si>
    <t>COMMET TIPPER 1613</t>
  </si>
  <si>
    <t>TAURUS 2516</t>
  </si>
  <si>
    <t>LPK 909</t>
  </si>
  <si>
    <t>TERRA16 HDR</t>
  </si>
  <si>
    <t>TAURUS</t>
  </si>
  <si>
    <t>20.16</t>
  </si>
  <si>
    <t>COMET</t>
  </si>
  <si>
    <t>LOCALLY BUILT</t>
  </si>
  <si>
    <t>Tractor trailer</t>
  </si>
  <si>
    <t>TANKER</t>
  </si>
  <si>
    <t>WIMALAORO</t>
  </si>
  <si>
    <t>TANTRI</t>
  </si>
  <si>
    <t>TFB40</t>
  </si>
  <si>
    <t>TSK 20</t>
  </si>
  <si>
    <t>NISSAN</t>
  </si>
  <si>
    <t>CX220C LC HD</t>
  </si>
  <si>
    <t>size mult 1.10×</t>
  </si>
  <si>
    <t>HYUNDAI</t>
  </si>
  <si>
    <t>E55W</t>
  </si>
  <si>
    <t>size mult 0.65×</t>
  </si>
  <si>
    <t>R230LM</t>
  </si>
  <si>
    <t>size mult 1.15×</t>
  </si>
  <si>
    <t>R220LC-9S</t>
  </si>
  <si>
    <t>KOBELKO</t>
  </si>
  <si>
    <t>200</t>
  </si>
  <si>
    <t>303 CR</t>
  </si>
  <si>
    <t>size mult 0.55×</t>
  </si>
  <si>
    <t>CATAPILLAR</t>
  </si>
  <si>
    <t>314C</t>
  </si>
  <si>
    <t>size mult 0.95×</t>
  </si>
  <si>
    <t>HITHACHI</t>
  </si>
  <si>
    <t>EX75UR-3</t>
  </si>
  <si>
    <t>size mult 0.70×</t>
  </si>
  <si>
    <t>YD-00418</t>
  </si>
  <si>
    <t>PC-30</t>
  </si>
  <si>
    <t>CAT308CCR</t>
  </si>
  <si>
    <t>size mult 0.85×</t>
  </si>
  <si>
    <t>KUBOTA</t>
  </si>
  <si>
    <t>KX-040</t>
  </si>
  <si>
    <t>EC210V</t>
  </si>
  <si>
    <t>size mult 1.05×</t>
  </si>
  <si>
    <t>SK115SR</t>
  </si>
  <si>
    <t>PC-40MR-1</t>
  </si>
  <si>
    <t>PC-60-6</t>
  </si>
  <si>
    <t>PC-100</t>
  </si>
  <si>
    <t>HITACHI</t>
  </si>
  <si>
    <t>UH045</t>
  </si>
  <si>
    <t>U-25-35</t>
  </si>
  <si>
    <t>PC60</t>
  </si>
  <si>
    <t>age factor 72% • size mult 0.70×</t>
  </si>
  <si>
    <t>PCS50UU-01</t>
  </si>
  <si>
    <t>age factor 72% • size mult 0.55×</t>
  </si>
  <si>
    <t>PC27R-8</t>
  </si>
  <si>
    <t>PC-120-6EO</t>
  </si>
  <si>
    <t>PC-40MR-02</t>
  </si>
  <si>
    <t>ROBEX330LC-9S</t>
  </si>
  <si>
    <t>year unknown → 58% factor • size mult 1.30×</t>
  </si>
  <si>
    <t>year unknown → 58% factor • size mult 0.65×</t>
  </si>
  <si>
    <t>0BEX220LC-9S</t>
  </si>
  <si>
    <t>year unknown → 58% factor • size mult 1.10×</t>
  </si>
  <si>
    <t>(ROBEX330LC-96)</t>
  </si>
  <si>
    <t>220LC-7</t>
  </si>
  <si>
    <t>SX 120</t>
  </si>
  <si>
    <t>year unknown → 58% factor • size mult 0.85×</t>
  </si>
  <si>
    <t>SE210</t>
  </si>
  <si>
    <t>year unknown → 58% factor • size mult 1.05×</t>
  </si>
  <si>
    <t>LPT1615TC</t>
  </si>
  <si>
    <t>IVECO-CARGO</t>
  </si>
  <si>
    <t>S1313/42 TANKER</t>
  </si>
  <si>
    <t>1210SE-CLOSED</t>
  </si>
  <si>
    <t>575DI</t>
  </si>
  <si>
    <t>275 DI</t>
  </si>
  <si>
    <t>TAFE</t>
  </si>
  <si>
    <t>45DI</t>
  </si>
  <si>
    <t>MASSEY FEROUSON</t>
  </si>
  <si>
    <t>MF 240</t>
  </si>
  <si>
    <t>MASSEY FURGUSON</t>
  </si>
  <si>
    <t>135</t>
  </si>
  <si>
    <t>BAJAJ</t>
  </si>
  <si>
    <t>PLATINA</t>
  </si>
  <si>
    <t>CD DREAM DLX 110</t>
  </si>
  <si>
    <t>DISCOVER 125</t>
  </si>
  <si>
    <t>DISCOVER 125 M</t>
  </si>
  <si>
    <t>PLATINA BM 125</t>
  </si>
  <si>
    <t>DISCOVER DTSI</t>
  </si>
  <si>
    <t>CT100</t>
  </si>
  <si>
    <t>TVS</t>
  </si>
  <si>
    <t>STAR CITY</t>
  </si>
  <si>
    <t>HONDA</t>
  </si>
  <si>
    <t>CB-125T</t>
  </si>
  <si>
    <t>BAJAJ BOXERCT-DELUXE</t>
  </si>
  <si>
    <t>DISCOVERY</t>
  </si>
  <si>
    <t>TRACTOR TRILER</t>
  </si>
  <si>
    <t>BARROL FORK LIFT</t>
  </si>
  <si>
    <t>BLADE FOCK LIFT</t>
  </si>
  <si>
    <t>COMPETITOR PRICE SURVEY — Sri Lanka 2025–2026</t>
  </si>
  <si>
    <t>Sources: SLLDC (Govt), wedabima.com, krearthmovers, petersequipment.lk, ikman.lk, lankanrentals, boompeek, Tata Motors LK, SENOK, plus Indian rental benchmarks (IndiaMART, Rentkart).</t>
  </si>
  <si>
    <t>Competitor / Source</t>
  </si>
  <si>
    <t>Rate (as published)</t>
  </si>
  <si>
    <t>LKR equivalent</t>
  </si>
  <si>
    <t>Notes</t>
  </si>
  <si>
    <t>Our positioning</t>
  </si>
  <si>
    <t>SLLDC (Govt) – JCB 3CX</t>
  </si>
  <si>
    <t>Rs. 6,050/h wet</t>
  </si>
  <si>
    <t>Rs. 6,050/h</t>
  </si>
  <si>
    <t>Official govt hire rate, with fuel &amp; operator</t>
  </si>
  <si>
    <t>~50% below SLLDC</t>
  </si>
  <si>
    <t>KR Earthmovers (India ref) – JCB 3DX</t>
  </si>
  <si>
    <t>₹1,100/h wet / ₹500/h dry</t>
  </si>
  <si>
    <t>≈Rs. 3,960/Rs. 1,800</t>
  </si>
  <si>
    <t>Monthly Rs.90,000 for 240 hrs</t>
  </si>
  <si>
    <t>Aligned with regional market</t>
  </si>
  <si>
    <t>Wedabima – private JCB</t>
  </si>
  <si>
    <t>Rs. 2,500–3,500/h wet</t>
  </si>
  <si>
    <t>Rs. 2,500–3,500</t>
  </si>
  <si>
    <t>Small Colombo/Gampaha operators</t>
  </si>
  <si>
    <t>Matching mid-market</t>
  </si>
  <si>
    <t>Dayani Backhoe Centre</t>
  </si>
  <si>
    <t>On request</t>
  </si>
  <si>
    <t>Quote basis</t>
  </si>
  <si>
    <t>Yakkala/Gampaha district</t>
  </si>
  <si>
    <t>Our rate is public &amp; transparent</t>
  </si>
  <si>
    <t>SLLDC – Doosan Mega 250</t>
  </si>
  <si>
    <t>Rs. 11,390–15,760/h wet</t>
  </si>
  <si>
    <t>Rs. 11,390–15,760</t>
  </si>
  <si>
    <t>2.0–2.4 cu.m</t>
  </si>
  <si>
    <t>30–50% below SLLDC</t>
  </si>
  <si>
    <t>Private SL suppliers</t>
  </si>
  <si>
    <t>Rs. 5,000–8,000/h</t>
  </si>
  <si>
    <t>Rs. 5,000–8,000</t>
  </si>
  <si>
    <t>Used CAT/Komatsu 910/WA100</t>
  </si>
  <si>
    <t>Priced at market mid-point</t>
  </si>
  <si>
    <t>Tantri Lanka</t>
  </si>
  <si>
    <t>Project-based</t>
  </si>
  <si>
    <t>Concrete mixer truck supply</t>
  </si>
  <si>
    <t>Fleet rental differentiator</t>
  </si>
  <si>
    <t>Private SL operators</t>
  </si>
  <si>
    <t>Rs. 3,500–5,000/h with driver</t>
  </si>
  <si>
    <t>Rs. 3,500–5,000</t>
  </si>
  <si>
    <t>Tata/Ashok Leyland mixers</t>
  </si>
  <si>
    <t>Competitive</t>
  </si>
  <si>
    <t>KR Earthmovers (India ref)</t>
  </si>
  <si>
    <t>₹1,500/h wet</t>
  </si>
  <si>
    <t>≈Rs. 5,400</t>
  </si>
  <si>
    <t>Fiori/Ajax self-loading mixer</t>
  </si>
  <si>
    <t>Below India rate</t>
  </si>
  <si>
    <t>Private SL Fiori</t>
  </si>
  <si>
    <t>Rs. 4,500–6,000/h</t>
  </si>
  <si>
    <t>Rs. 4,500–6,000</t>
  </si>
  <si>
    <t>4–8 cu.m self-loader</t>
  </si>
  <si>
    <t>Aligned</t>
  </si>
  <si>
    <t>Peters Equipment SL – 1T hand</t>
  </si>
  <si>
    <t>Rs. 3,500/day</t>
  </si>
  <si>
    <t>Walk-behind 1-ton roller</t>
  </si>
  <si>
    <t>Matching</t>
  </si>
  <si>
    <t>SLLDC – Hamm HD12vv</t>
  </si>
  <si>
    <t>Rs. 5,230/h wet</t>
  </si>
  <si>
    <t>Rs. 5,230/h</t>
  </si>
  <si>
    <t>4-ton double drum</t>
  </si>
  <si>
    <t>~40% below SLLDC</t>
  </si>
  <si>
    <t>Private SL – 10T sheep-foot</t>
  </si>
  <si>
    <t>Rs. 3,000–5,000/h wet</t>
  </si>
  <si>
    <t>Rs. 3,000–5,000</t>
  </si>
  <si>
    <t>BOMAG 10T sheep-foot</t>
  </si>
  <si>
    <t>Mid-market</t>
  </si>
  <si>
    <t>Rs. 3,000–4,500/h</t>
  </si>
  <si>
    <t>Rs. 3,000–4,500</t>
  </si>
  <si>
    <t>Sakai/Dynapac 20T</t>
  </si>
  <si>
    <t>Private SL – CAT/Komatsu</t>
  </si>
  <si>
    <t>Rs. 7,000–10,000/h</t>
  </si>
  <si>
    <t>Rs. 7,000–10,000</t>
  </si>
  <si>
    <t>140–170 HP</t>
  </si>
  <si>
    <t>In-line with market</t>
  </si>
  <si>
    <t>Surplus.lk listings</t>
  </si>
  <si>
    <t>Used CAT/Komatsu/Mitsubishi</t>
  </si>
  <si>
    <t>Advantage: fleet scale</t>
  </si>
  <si>
    <t>SLLDC – Bobcat class</t>
  </si>
  <si>
    <t>Rs. 3,060/h wet</t>
  </si>
  <si>
    <t>Rs. 3,060/h</t>
  </si>
  <si>
    <t>0.1 cu.m</t>
  </si>
  <si>
    <t>~30% below SLLDC</t>
  </si>
  <si>
    <t>Private operators</t>
  </si>
  <si>
    <t>Rs. 2,000–2,800/h</t>
  </si>
  <si>
    <t>Rs. 2,000–2,800</t>
  </si>
  <si>
    <t>Bobcat S130/S450</t>
  </si>
  <si>
    <t>Private SL – Sumitomo/Volvo</t>
  </si>
  <si>
    <t>HA60W/P6820C class</t>
  </si>
  <si>
    <t>SLLDC – Kobelco RK250 25T</t>
  </si>
  <si>
    <t>Rs. 11,660/h wet</t>
  </si>
  <si>
    <t>Rs. 11,660/h</t>
  </si>
  <si>
    <t>Plus Rs.640/km</t>
  </si>
  <si>
    <t>~25% below SLLDC</t>
  </si>
  <si>
    <t>SL Lanka Constructions</t>
  </si>
  <si>
    <t>Rs. 8,000–10,000/h</t>
  </si>
  <si>
    <t>Rs. 8,000–10,000</t>
  </si>
  <si>
    <t>25T wet rate</t>
  </si>
  <si>
    <t>Priced at market low</t>
  </si>
  <si>
    <t>Beeline Lift Solutions</t>
  </si>
  <si>
    <t>25T and bucket cranes</t>
  </si>
  <si>
    <t>Transparent rate advantage</t>
  </si>
  <si>
    <t>SLLDC – 5T+2T crane</t>
  </si>
  <si>
    <t>Rs. 5,170/h + Rs.410/km</t>
  </si>
  <si>
    <t>Per-hour + km</t>
  </si>
  <si>
    <t>Minimum 80km/day</t>
  </si>
  <si>
    <t>Simple flat-rate offer</t>
  </si>
  <si>
    <t>Califolink</t>
  </si>
  <si>
    <t>Electric &amp; diesel models</t>
  </si>
  <si>
    <t>Public rate advantage</t>
  </si>
  <si>
    <t>Boompeek SL listings</t>
  </si>
  <si>
    <t>Rs. 250,000–450,000/month</t>
  </si>
  <si>
    <t>Rs. 250k–450k/mo</t>
  </si>
  <si>
    <t>3–6 cu with driver</t>
  </si>
  <si>
    <t>Mid-market monthly</t>
  </si>
  <si>
    <t>Boompeek – per km</t>
  </si>
  <si>
    <t>Rs. 160/km</t>
  </si>
  <si>
    <t>3-cu soil transport</t>
  </si>
  <si>
    <t>Alternative km-based rate</t>
  </si>
  <si>
    <t>SLLDC – Ashok Leyland 5cu</t>
  </si>
  <si>
    <t>Rs. 440/km</t>
  </si>
  <si>
    <t>Govt rate</t>
  </si>
  <si>
    <t>~60% below SLLDC</t>
  </si>
  <si>
    <t>SLLDC – 6,000L Tata/AL</t>
  </si>
  <si>
    <t>Rs. 39,520/day</t>
  </si>
  <si>
    <t>Full wet rate</t>
  </si>
  <si>
    <t>Private SL – Sany/Hino</t>
  </si>
  <si>
    <t>Rs. 8,500–11,000/h wet</t>
  </si>
  <si>
    <t>Rs. 8,500–11,000</t>
  </si>
  <si>
    <t>Boom pump truck</t>
  </si>
  <si>
    <t>Lanka Rent a Car – Hilux</t>
  </si>
  <si>
    <t>USD 100–150/day</t>
  </si>
  <si>
    <t>Rs. 30k–45k/day</t>
  </si>
  <si>
    <t>Tourist/corporate</t>
  </si>
  <si>
    <t>Fleet rental to contractors</t>
  </si>
  <si>
    <t>ikman long-term Hilux</t>
  </si>
  <si>
    <t>Rs. 250k–350k/month</t>
  </si>
  <si>
    <t>Rs. 250k–350k/mo</t>
  </si>
  <si>
    <t>With driver</t>
  </si>
  <si>
    <t>Tata Ace private</t>
  </si>
  <si>
    <t>Rs. 120k–180k/month</t>
  </si>
  <si>
    <t>Rs. 120k–180k/mo</t>
  </si>
  <si>
    <t>JMC JX1032 private</t>
  </si>
  <si>
    <t>Rs. 180k–280k/month</t>
  </si>
  <si>
    <t>Rs. 180k–280k/mo</t>
  </si>
  <si>
    <t>SLLDC – Doosan DX200</t>
  </si>
  <si>
    <t>Rs. 12,100/h wet</t>
  </si>
  <si>
    <t>Rs. 12,100/h</t>
  </si>
  <si>
    <t>0.8 cu.m</t>
  </si>
  <si>
    <t>~45% below SLLDC</t>
  </si>
  <si>
    <t>SLLDC – Doosan DX140</t>
  </si>
  <si>
    <t>Rs. 9,030/h wet</t>
  </si>
  <si>
    <t>Rs. 9,030/h</t>
  </si>
  <si>
    <t>0.5 cu.m</t>
  </si>
  <si>
    <t>SLLDC – CAT 303.5 mini</t>
  </si>
  <si>
    <t>Rs. 5,050/h wet</t>
  </si>
  <si>
    <t>Rs. 5,050/h</t>
  </si>
  <si>
    <t>Mini excavator</t>
  </si>
  <si>
    <t>Private SL – 20T class</t>
  </si>
  <si>
    <t>Rs. 5,500–8,000/h wet</t>
  </si>
  <si>
    <t>Rs. 5,500–8,000</t>
  </si>
  <si>
    <t>Hyundai R220/R230</t>
  </si>
  <si>
    <t>Private staff rental</t>
  </si>
  <si>
    <t>Rs. 15,000–25,000/month</t>
  </si>
  <si>
    <t>Rs. 15k–25k/mo</t>
  </si>
  <si>
    <t>Bajaj Platina/Honda CD</t>
  </si>
  <si>
    <t>Private SL Massey/TAFE</t>
  </si>
  <si>
    <t>Rs. 1,200–1,800/h</t>
  </si>
  <si>
    <t>Rs. 1,200–1,800</t>
  </si>
  <si>
    <t>45–75 HP</t>
  </si>
  <si>
    <t>VEHICLE MACHINERY LISH AT EDWARD AND CHRISTIE</t>
  </si>
  <si>
    <t>CONVERTED VEHICLE</t>
  </si>
  <si>
    <t xml:space="preserve">SOLD </t>
  </si>
  <si>
    <t>NO</t>
  </si>
  <si>
    <t>EQUIPMENT  DESCRIPTION</t>
  </si>
  <si>
    <t>E&amp;C NUMBER</t>
  </si>
  <si>
    <t>BRAND</t>
  </si>
  <si>
    <t>TYPE OF VEHICLE</t>
  </si>
  <si>
    <t>MODEL NO</t>
  </si>
  <si>
    <t>REGISTRATION  NO.</t>
  </si>
  <si>
    <t>CAPACITY</t>
  </si>
  <si>
    <t xml:space="preserve"> YEAR OF MANUFACTURE</t>
  </si>
  <si>
    <t>SE.NO</t>
  </si>
  <si>
    <t>CHASSIS.NO</t>
  </si>
  <si>
    <t>ENGINE.NO</t>
  </si>
  <si>
    <t>GPS UNIT</t>
  </si>
  <si>
    <t>SITE</t>
  </si>
  <si>
    <t xml:space="preserve">Backhoe Loader </t>
  </si>
  <si>
    <t>1.0 cu. m.</t>
  </si>
  <si>
    <t>H00050004</t>
  </si>
  <si>
    <t>ALAWWA SITE</t>
  </si>
  <si>
    <t>H00032286</t>
  </si>
  <si>
    <t>KATANA WATER PROJECT</t>
  </si>
  <si>
    <t>H00032137</t>
  </si>
  <si>
    <t>KADAWATHA WATER PROJECT</t>
  </si>
  <si>
    <t>SLP3CX7SWE0470373</t>
  </si>
  <si>
    <t>AA506060U870023D</t>
  </si>
  <si>
    <t>AUTO BACS</t>
  </si>
  <si>
    <t>CMT/596/2011/S/P</t>
  </si>
  <si>
    <t>BADALGAMA</t>
  </si>
  <si>
    <t>*0943015</t>
  </si>
  <si>
    <t>AK51093U592119K</t>
  </si>
  <si>
    <t>DORAMADALAWA PLANT</t>
  </si>
  <si>
    <t>HAR3DXSUJ01494150</t>
  </si>
  <si>
    <t>H00103100</t>
  </si>
  <si>
    <t>CENTRAL EXPRESSWAY</t>
  </si>
  <si>
    <t>HAR3DXSUE01494156</t>
  </si>
  <si>
    <t>H00103915</t>
  </si>
  <si>
    <t>GALENBIDUNUWEWA SITE(GALNAWA SITE)</t>
  </si>
  <si>
    <t>HAR3DXSUK01497483</t>
  </si>
  <si>
    <t>H00121591</t>
  </si>
  <si>
    <t>GALNAWA SITE</t>
  </si>
  <si>
    <t>HAR3DXSUE01497316</t>
  </si>
  <si>
    <t>H000120453</t>
  </si>
  <si>
    <t>MIHINTHALE SITE(THALAWA SITE)</t>
  </si>
  <si>
    <t>HAR3DXSUC001498720</t>
  </si>
  <si>
    <t>H00128304</t>
  </si>
  <si>
    <t>AMBANPOLA SITE</t>
  </si>
  <si>
    <t>HAR3DXSUJ01499221</t>
  </si>
  <si>
    <t>H00130938</t>
  </si>
  <si>
    <t>HAR3DXSUK01499198</t>
  </si>
  <si>
    <t>H00130812</t>
  </si>
  <si>
    <t>NOCHCHIYAGAMA SITE(ANU-199)</t>
  </si>
  <si>
    <t xml:space="preserve">J.C.B </t>
  </si>
  <si>
    <t>NKJ570STCKKH00901</t>
  </si>
  <si>
    <t>8045.45.748.265437</t>
  </si>
  <si>
    <t>GALENBIDUNUWEWA SITE</t>
  </si>
  <si>
    <t>HAR3DXSUL02722406</t>
  </si>
  <si>
    <t>H00264328</t>
  </si>
  <si>
    <t>HAR3DXSUH02722410</t>
  </si>
  <si>
    <t>H00264316</t>
  </si>
  <si>
    <t>CHILLOW SITE</t>
  </si>
  <si>
    <t>HAR3DXSUH02722407</t>
  </si>
  <si>
    <t>H00264525</t>
  </si>
  <si>
    <t>MUNDALAMA ESTATE</t>
  </si>
  <si>
    <t>HAR3DXSUH02723508</t>
  </si>
  <si>
    <t>H00279711</t>
  </si>
  <si>
    <t>HAR3DXSUK02723502</t>
  </si>
  <si>
    <t>H00279709</t>
  </si>
  <si>
    <t>GAMPAHA SITE</t>
  </si>
  <si>
    <t>HAR3DXSUV02723665</t>
  </si>
  <si>
    <t>H00281560</t>
  </si>
  <si>
    <t>DBIB5JDGCL0S11006*</t>
  </si>
  <si>
    <t>NL84759</t>
  </si>
  <si>
    <t>DBIB5JDGEL0511005*</t>
  </si>
  <si>
    <t>KEBATHIGOLLAWA SITE</t>
  </si>
  <si>
    <t>DBIB5JDGLL0S11003*</t>
  </si>
  <si>
    <t xml:space="preserve"> CAT</t>
  </si>
  <si>
    <t>Wheel  Loader</t>
  </si>
  <si>
    <t>0.5 m3</t>
  </si>
  <si>
    <t>TR-01 MUTUR</t>
  </si>
  <si>
    <t>0.75 m3</t>
  </si>
  <si>
    <t>MIHINTHALE PLANT</t>
  </si>
  <si>
    <t xml:space="preserve"> KOMATSU</t>
  </si>
  <si>
    <t>C.COM</t>
  </si>
  <si>
    <t>01 m3</t>
  </si>
  <si>
    <t>WADAKADA</t>
  </si>
  <si>
    <t>TRUCK MIXTURES</t>
  </si>
  <si>
    <t>Truck  Mixer</t>
  </si>
  <si>
    <t>2 m3</t>
  </si>
  <si>
    <t>FH217C501291</t>
  </si>
  <si>
    <t>6D16.831590</t>
  </si>
  <si>
    <t>NRR33C2-3001266</t>
  </si>
  <si>
    <t>ARAWWALA CONSTRUCTION(WALLAWAYA)</t>
  </si>
  <si>
    <t>1 m3</t>
  </si>
  <si>
    <t>FE517BN520943</t>
  </si>
  <si>
    <t>4D33.E29583</t>
  </si>
  <si>
    <t>NNR35C47000949</t>
  </si>
  <si>
    <t>6HL1.313673</t>
  </si>
  <si>
    <t>FE315BN460526</t>
  </si>
  <si>
    <t>4D32.924436</t>
  </si>
  <si>
    <t>4 m3</t>
  </si>
  <si>
    <t>MB1ADJJA2FRDL3242</t>
  </si>
  <si>
    <t>FDHZ403004</t>
  </si>
  <si>
    <t>FE73EB501255</t>
  </si>
  <si>
    <t>4M51-B12860</t>
  </si>
  <si>
    <t>NNR33C23001295</t>
  </si>
  <si>
    <t>6HH1-211921</t>
  </si>
  <si>
    <t>MUTUR TR-01</t>
  </si>
  <si>
    <t>MC2K7ERCOGK054478</t>
  </si>
  <si>
    <t>E613CDGK111850</t>
  </si>
  <si>
    <t>MC2K7ERCOGJ053783</t>
  </si>
  <si>
    <t>E613CDGJ1085564</t>
  </si>
  <si>
    <t>7 m3</t>
  </si>
  <si>
    <t>MAT448072G3R26771</t>
  </si>
  <si>
    <t>6IL63557849</t>
  </si>
  <si>
    <t>MAT448072G3R22351</t>
  </si>
  <si>
    <t>61J63544842</t>
  </si>
  <si>
    <t>INSTRALLED</t>
  </si>
  <si>
    <t>MAT448072G3R22347</t>
  </si>
  <si>
    <t>61J63546762</t>
  </si>
  <si>
    <t>MAT449019H2R08585</t>
  </si>
  <si>
    <t>71C84378059</t>
  </si>
  <si>
    <t>MAT448072H3R14616</t>
  </si>
  <si>
    <t>71F63600530</t>
  </si>
  <si>
    <t>MAT449019H2R08190</t>
  </si>
  <si>
    <t>71C84377627</t>
  </si>
  <si>
    <t>SELF LOADER MIXTURES</t>
  </si>
  <si>
    <t>3.5m3</t>
  </si>
  <si>
    <t>BFO8H01193</t>
  </si>
  <si>
    <t>U636673B</t>
  </si>
  <si>
    <t>WELLAWAYA SITE</t>
  </si>
  <si>
    <t>BFO8HO1246</t>
  </si>
  <si>
    <t>RS81729*0641542C</t>
  </si>
  <si>
    <t>10 Ton</t>
  </si>
  <si>
    <t>SOLD</t>
  </si>
  <si>
    <t>8 Ton</t>
  </si>
  <si>
    <t>03 DRUM</t>
  </si>
  <si>
    <t>VSW27-30127</t>
  </si>
  <si>
    <t>NKJ1107ELGKT00064</t>
  </si>
  <si>
    <t>MKJ1107EXGKT00227</t>
  </si>
  <si>
    <t>PUTHTHALAMA SITE</t>
  </si>
  <si>
    <t xml:space="preserve">WHBOH216TJ0003198 </t>
  </si>
  <si>
    <t xml:space="preserve">81D84477073 </t>
  </si>
  <si>
    <t>THISSAMAHARAMA SITE(SOLUTION)</t>
  </si>
  <si>
    <t xml:space="preserve">WHBOH216KJ0003236 </t>
  </si>
  <si>
    <t xml:space="preserve">81E84483259 </t>
  </si>
  <si>
    <t>10300127HLE007006</t>
  </si>
  <si>
    <t>KILINOCHCHIYA SITE</t>
  </si>
  <si>
    <t>10300180ALE010382</t>
  </si>
  <si>
    <t>08 Ton</t>
  </si>
  <si>
    <t>10300383LME010505-0121</t>
  </si>
  <si>
    <t>10300180JME010993-0933</t>
  </si>
  <si>
    <t>10300180AME010996-0996</t>
  </si>
  <si>
    <t>01 Ton</t>
  </si>
  <si>
    <t>04 Ton</t>
  </si>
  <si>
    <t>MAGGONA BRIDGE</t>
  </si>
  <si>
    <t>02 Ton</t>
  </si>
  <si>
    <t>7FL0908</t>
  </si>
  <si>
    <t>100000334E0A012191</t>
  </si>
  <si>
    <t>7FL0734</t>
  </si>
  <si>
    <t>*101650371052</t>
  </si>
  <si>
    <t>BUTHTHALA SITE</t>
  </si>
  <si>
    <t>02 TON</t>
  </si>
  <si>
    <t>SC9407</t>
  </si>
  <si>
    <t>01 TON</t>
  </si>
  <si>
    <t>SC9401</t>
  </si>
  <si>
    <t>JA-ELA/GAMPAHA BRIDGE</t>
  </si>
  <si>
    <t>SC9408</t>
  </si>
  <si>
    <t>VHV12-80167</t>
  </si>
  <si>
    <t>08 TON</t>
  </si>
  <si>
    <t>2EG00544</t>
  </si>
  <si>
    <t>VTW2-11760</t>
  </si>
  <si>
    <t xml:space="preserve">4FE1 </t>
  </si>
  <si>
    <t>10300379TLE0000017</t>
  </si>
  <si>
    <t>10300379KLE010100</t>
  </si>
  <si>
    <t>10300379ALE010099</t>
  </si>
  <si>
    <t>10300379ELE010236</t>
  </si>
  <si>
    <t>10300379HLE010235</t>
  </si>
  <si>
    <t>10300379LME010526</t>
  </si>
  <si>
    <t>10300379AME010525</t>
  </si>
  <si>
    <t>10300379CLE010397</t>
  </si>
  <si>
    <t>10300379ELE010396</t>
  </si>
  <si>
    <t>10300379PLE010340</t>
  </si>
  <si>
    <t>10300379KLE010324</t>
  </si>
  <si>
    <t>10300379LME010770</t>
  </si>
  <si>
    <t>10300379EME010769</t>
  </si>
  <si>
    <t>10300379JME010911</t>
  </si>
  <si>
    <t>10300379JME010892</t>
  </si>
  <si>
    <t>GALNAVA SITE</t>
  </si>
  <si>
    <t>10300379JME010910</t>
  </si>
  <si>
    <t>PNUMATIC ROLLER</t>
  </si>
  <si>
    <t>Pnumatic  Roller</t>
  </si>
  <si>
    <t>16 TON</t>
  </si>
  <si>
    <t>THALAWA SITE</t>
  </si>
  <si>
    <t>14 TON</t>
  </si>
  <si>
    <t>13.6 TON</t>
  </si>
  <si>
    <t>MIHINTHALE SITE</t>
  </si>
  <si>
    <t>16TON</t>
  </si>
  <si>
    <t>TW2001-10070</t>
  </si>
  <si>
    <t>MOTER GRADER</t>
  </si>
  <si>
    <t>10 ft</t>
  </si>
  <si>
    <t>MIHINTHALE SITE(THALAWA)</t>
  </si>
  <si>
    <t>12 ft</t>
  </si>
  <si>
    <t>T3GA01780</t>
  </si>
  <si>
    <t>6D16A54517</t>
  </si>
  <si>
    <t>12ft</t>
  </si>
  <si>
    <t>14 ft</t>
  </si>
  <si>
    <t>0.36 m3</t>
  </si>
  <si>
    <t xml:space="preserve">BOB CAT </t>
  </si>
  <si>
    <t>A1Z773279</t>
  </si>
  <si>
    <t xml:space="preserve"> S130</t>
  </si>
  <si>
    <t>B1E51475</t>
  </si>
  <si>
    <t>A1Z778258</t>
  </si>
  <si>
    <t>B1E64128</t>
  </si>
  <si>
    <t>A1Z778745</t>
  </si>
  <si>
    <t>A1Z773288</t>
  </si>
  <si>
    <t>BADALGAMA W/S</t>
  </si>
  <si>
    <t xml:space="preserve"> 216B3</t>
  </si>
  <si>
    <t>B1E615908</t>
  </si>
  <si>
    <t>B1E615909</t>
  </si>
  <si>
    <t>B1E615910</t>
  </si>
  <si>
    <t>0.3 m3</t>
  </si>
  <si>
    <t>B1E615954</t>
  </si>
  <si>
    <t>7FU173</t>
  </si>
  <si>
    <t>B1E615785</t>
  </si>
  <si>
    <t>7FQ9504</t>
  </si>
  <si>
    <t>B1E617061</t>
  </si>
  <si>
    <t>7GD4914</t>
  </si>
  <si>
    <t>B1E617027</t>
  </si>
  <si>
    <t>7GA7328</t>
  </si>
  <si>
    <t>B1E615267</t>
  </si>
  <si>
    <t>7FL6443</t>
  </si>
  <si>
    <t>B1E615270</t>
  </si>
  <si>
    <t>7FM1150</t>
  </si>
  <si>
    <t>B1E617171</t>
  </si>
  <si>
    <t>7GH5269</t>
  </si>
  <si>
    <t>A3P413943</t>
  </si>
  <si>
    <t>*A3P413943* PRODUCT IDENTIFICATION NUMBER</t>
  </si>
  <si>
    <t>B1E621403</t>
  </si>
  <si>
    <t>B1E621766</t>
  </si>
  <si>
    <t>B1E621756</t>
  </si>
  <si>
    <t>B1E621858</t>
  </si>
  <si>
    <t>B47F11951</t>
  </si>
  <si>
    <t>7ME7834</t>
  </si>
  <si>
    <t>B47F11952</t>
  </si>
  <si>
    <t>7ME7688</t>
  </si>
  <si>
    <t>KADAWATHA SITE</t>
  </si>
  <si>
    <t>ASPHALT PAVERS</t>
  </si>
  <si>
    <t>Asphalt  Paver</t>
  </si>
  <si>
    <t>6 m</t>
  </si>
  <si>
    <t>4 m</t>
  </si>
  <si>
    <t>MF55WH</t>
  </si>
  <si>
    <t>NF2201482</t>
  </si>
  <si>
    <t>TRANSFER ON 15.06.2023</t>
  </si>
  <si>
    <t>ATCO CONSTRUCTION(MR.SAFEER)</t>
  </si>
  <si>
    <t xml:space="preserve"> </t>
  </si>
  <si>
    <t>4000  Ltrs.</t>
  </si>
  <si>
    <t>4000 Ltrs.</t>
  </si>
  <si>
    <t>MAT386542D8R26257</t>
  </si>
  <si>
    <t>497TC93HWY840378</t>
  </si>
  <si>
    <t>BS-03</t>
  </si>
  <si>
    <t>DIESEL BOUSER</t>
  </si>
  <si>
    <t>NRR53E-7100720</t>
  </si>
  <si>
    <t>CONVERT TO DB</t>
  </si>
  <si>
    <t>JA-ELLA</t>
  </si>
  <si>
    <t>3856cc</t>
  </si>
  <si>
    <t>BADALGAMA(AUCTION)</t>
  </si>
  <si>
    <t>CRAIN</t>
  </si>
  <si>
    <t>8200 cc</t>
  </si>
  <si>
    <t>7540 cc</t>
  </si>
  <si>
    <t>UNINSTRALLED</t>
  </si>
  <si>
    <t>BOOM TRUCKS</t>
  </si>
  <si>
    <t>Boom truck</t>
  </si>
  <si>
    <t>6000 cc</t>
  </si>
  <si>
    <t>5883cc</t>
  </si>
  <si>
    <t>14250cc</t>
  </si>
  <si>
    <t>CYZ51V57000104</t>
  </si>
  <si>
    <t>6WF1-137603</t>
  </si>
  <si>
    <t>7790cc</t>
  </si>
  <si>
    <t xml:space="preserve">FSR34L47000466 </t>
  </si>
  <si>
    <t>Bed</t>
  </si>
  <si>
    <t>5883  cc</t>
  </si>
  <si>
    <t>PUMP TRUCK</t>
  </si>
  <si>
    <t>Pump Truck</t>
  </si>
  <si>
    <t>12910 C</t>
  </si>
  <si>
    <t>FS1EWY-10707</t>
  </si>
  <si>
    <t>KABITHIGOLLAWA SITE</t>
  </si>
  <si>
    <t>6870.00 cc</t>
  </si>
  <si>
    <t>*190907800177</t>
  </si>
  <si>
    <t>MORAGAHAKANDA SITE</t>
  </si>
  <si>
    <t>DOUBLE CAB</t>
  </si>
  <si>
    <t>Double Cab</t>
  </si>
  <si>
    <t>2496 cc</t>
  </si>
  <si>
    <t>HEAD OFFICE</t>
  </si>
  <si>
    <t>2500 cc</t>
  </si>
  <si>
    <t>MIHINTHALE MR.ANANDA'"VEHICLE</t>
  </si>
  <si>
    <t>2499 cc</t>
  </si>
  <si>
    <t>JAATFR54HV-9102969</t>
  </si>
  <si>
    <t>BADALGAMA MR.SAMEERA' VEHICLE</t>
  </si>
  <si>
    <t>BADALGAMA (AUCTION)</t>
  </si>
  <si>
    <t>2477 cc</t>
  </si>
  <si>
    <t>MMBJNK7404D007137</t>
  </si>
  <si>
    <t>4D56BL4085</t>
  </si>
  <si>
    <t>BADALGAMA S.O.M'"VEHICLE</t>
  </si>
  <si>
    <t>2523 cc</t>
  </si>
  <si>
    <t>1896 cc</t>
  </si>
  <si>
    <t>2933 cc</t>
  </si>
  <si>
    <t>2998 cc</t>
  </si>
  <si>
    <t>2489 cc</t>
  </si>
  <si>
    <t>MR.QUINTUS;S VEHICLE</t>
  </si>
  <si>
    <t>2494 cc</t>
  </si>
  <si>
    <t>BADALGAMA O.M'"VEHICLE</t>
  </si>
  <si>
    <t>MIHINTHALE MR.MAPA'"VEHICLE</t>
  </si>
  <si>
    <t>2755 cc</t>
  </si>
  <si>
    <t>CONSULTON'S VEHICLE</t>
  </si>
  <si>
    <t>2755cc</t>
  </si>
  <si>
    <t>2982CC</t>
  </si>
  <si>
    <t>57-3062</t>
  </si>
  <si>
    <t>1830 cc</t>
  </si>
  <si>
    <t>KATANA SITE</t>
  </si>
  <si>
    <t>TRANSFER DATE ON 15.06.2023</t>
  </si>
  <si>
    <t>1830cc</t>
  </si>
  <si>
    <t>2490 cc</t>
  </si>
  <si>
    <t>Crew cab</t>
  </si>
  <si>
    <t>2980 cc</t>
  </si>
  <si>
    <t>MUTUR PLANT</t>
  </si>
  <si>
    <t>2770 cc</t>
  </si>
  <si>
    <t>ANURADAPURA SITE</t>
  </si>
  <si>
    <t>2880 cc</t>
  </si>
  <si>
    <t>2771 cc</t>
  </si>
  <si>
    <t>LEFAFAA14HHNO1343</t>
  </si>
  <si>
    <t>JX493Q1GC177331</t>
  </si>
  <si>
    <t>LEFAFAA1XHHNO1346</t>
  </si>
  <si>
    <t>JX493Q1GC177332</t>
  </si>
  <si>
    <t>LEFAFAA16HHNO1344</t>
  </si>
  <si>
    <t>JX493Q1GC177333</t>
  </si>
  <si>
    <t>LEFAFAG24HHN11323</t>
  </si>
  <si>
    <t>JX493Q1H2015378</t>
  </si>
  <si>
    <t>LEFAFAA18HHNA1762</t>
  </si>
  <si>
    <t>SD23-129819</t>
  </si>
  <si>
    <t>5193 CC</t>
  </si>
  <si>
    <t>JAANPR75KJ7104331</t>
  </si>
  <si>
    <t>MAT37441659R54587</t>
  </si>
  <si>
    <t>GAMMIRISGASWEWA SITE</t>
  </si>
  <si>
    <t>MIHINTHALE PALNT</t>
  </si>
  <si>
    <t>2956 cc</t>
  </si>
  <si>
    <t>CONVERT TO DIESEL BOWSER</t>
  </si>
  <si>
    <t>MAT478012E9R04359</t>
  </si>
  <si>
    <t>AADN0146</t>
  </si>
  <si>
    <t>1357 cc</t>
  </si>
  <si>
    <t>702 cc</t>
  </si>
  <si>
    <t>702 CC</t>
  </si>
  <si>
    <t>2523cc</t>
  </si>
  <si>
    <t>ZP2TBKK2H98672</t>
  </si>
  <si>
    <t>TBK4H86397</t>
  </si>
  <si>
    <t>ASPHALT TEAM</t>
  </si>
  <si>
    <t>ZP21BKK2H98703</t>
  </si>
  <si>
    <t>TBK4H74953</t>
  </si>
  <si>
    <t>2956cc</t>
  </si>
  <si>
    <t>MAT464602KSR10788</t>
  </si>
  <si>
    <t>DUMP TRUCK</t>
  </si>
  <si>
    <t>Dump Truck</t>
  </si>
  <si>
    <t>03 Cube</t>
  </si>
  <si>
    <t>01 Cube</t>
  </si>
  <si>
    <t>02 Cube</t>
  </si>
  <si>
    <t>05 Cube</t>
  </si>
  <si>
    <t>MAT395084G2R20015</t>
  </si>
  <si>
    <t>GIH63541925</t>
  </si>
  <si>
    <t>MAT395084G2R18307</t>
  </si>
  <si>
    <t>61G63535643</t>
  </si>
  <si>
    <t>MAT395084G2R27415</t>
  </si>
  <si>
    <t>61L63558715</t>
  </si>
  <si>
    <t>MAT395084G2R26339</t>
  </si>
  <si>
    <t>61M63561575</t>
  </si>
  <si>
    <t>MAT395084G2R27231</t>
  </si>
  <si>
    <t>61M63564327</t>
  </si>
  <si>
    <t>MAT395084G2R26369</t>
  </si>
  <si>
    <t>61M63561357</t>
  </si>
  <si>
    <t>MAT395084G2R26335</t>
  </si>
  <si>
    <t>61M63561567</t>
  </si>
  <si>
    <t>MC2C8CRC0HL386688</t>
  </si>
  <si>
    <t>E413CDHL173452</t>
  </si>
  <si>
    <t>CONVERT TO WB-03</t>
  </si>
  <si>
    <t>MAT449019J2R10956</t>
  </si>
  <si>
    <t>81E63692750</t>
  </si>
  <si>
    <t>MAT449019J2R08783</t>
  </si>
  <si>
    <t>81C6380361</t>
  </si>
  <si>
    <t>MAT449019J2R11384</t>
  </si>
  <si>
    <t>81E63693771</t>
  </si>
  <si>
    <t>MAT449019J2R10506</t>
  </si>
  <si>
    <t>81E63691854</t>
  </si>
  <si>
    <t>SIYABALANDUWA SITE</t>
  </si>
  <si>
    <t>MAT449019J2R10801</t>
  </si>
  <si>
    <t>81E63692749</t>
  </si>
  <si>
    <t>MAT-395090J2R13741</t>
  </si>
  <si>
    <t>81F63702550</t>
  </si>
  <si>
    <t>MAT395090J2R13525</t>
  </si>
  <si>
    <t>81E63699195</t>
  </si>
  <si>
    <t xml:space="preserve"> LO-5984</t>
  </si>
  <si>
    <t>MAT395090J2R13557</t>
  </si>
  <si>
    <t>81E63699194</t>
  </si>
  <si>
    <t>MAT395090J2R12369</t>
  </si>
  <si>
    <t>81E63698284</t>
  </si>
  <si>
    <t>MAT395090J2R11103</t>
  </si>
  <si>
    <t>81D63689804</t>
  </si>
  <si>
    <t xml:space="preserve"> LO-7183</t>
  </si>
  <si>
    <t>MAT395090J2R13238</t>
  </si>
  <si>
    <t>81F63701137</t>
  </si>
  <si>
    <t>MAT395090J2R13436</t>
  </si>
  <si>
    <t>81F63701330</t>
  </si>
  <si>
    <t>MAT395090J2R13208</t>
  </si>
  <si>
    <t>81E63699586</t>
  </si>
  <si>
    <t>MAT395090J2R13252</t>
  </si>
  <si>
    <t>81F63701133</t>
  </si>
  <si>
    <t xml:space="preserve"> LO-7184</t>
  </si>
  <si>
    <t>MAT395090J2R11584</t>
  </si>
  <si>
    <t>81E63695590</t>
  </si>
  <si>
    <t xml:space="preserve"> LO-8349</t>
  </si>
  <si>
    <t>MAT395090J2R12371</t>
  </si>
  <si>
    <t>81E63698335</t>
  </si>
  <si>
    <t xml:space="preserve"> LO-8348</t>
  </si>
  <si>
    <t>MAT395090J2R13210</t>
  </si>
  <si>
    <t>81E63699587</t>
  </si>
  <si>
    <t xml:space="preserve"> LO-8350</t>
  </si>
  <si>
    <t>MAT395090J2R12140</t>
  </si>
  <si>
    <t>81D63689806</t>
  </si>
  <si>
    <t>03.6 CUBE</t>
  </si>
  <si>
    <t>MAT449042M5R00148</t>
  </si>
  <si>
    <t>MAT449042M5R00153</t>
  </si>
  <si>
    <t>MAT449042M5R00158</t>
  </si>
  <si>
    <t>MAT449042M5R00155</t>
  </si>
  <si>
    <t>MAT449042M5R00161</t>
  </si>
  <si>
    <t>MAT449042M5R00147</t>
  </si>
  <si>
    <t>MAT449042M5R00160</t>
  </si>
  <si>
    <t>MAT449042M5R00162</t>
  </si>
  <si>
    <t>MAT449042M5R00151</t>
  </si>
  <si>
    <t>MAT449042M5R00154</t>
  </si>
  <si>
    <t>MAT449042M5R00157</t>
  </si>
  <si>
    <t>MAT449042M5R00150</t>
  </si>
  <si>
    <t>MAT449042M5R00164</t>
  </si>
  <si>
    <t>MAT449042M5R00156</t>
  </si>
  <si>
    <t>MAT449042M5R00159</t>
  </si>
  <si>
    <t>MAT449042M5R00146</t>
  </si>
  <si>
    <t>12G63875860</t>
  </si>
  <si>
    <t>MAT449042M5R00183</t>
  </si>
  <si>
    <t>12G63876192</t>
  </si>
  <si>
    <t>MAT449042M5R00145</t>
  </si>
  <si>
    <t>12G63875866</t>
  </si>
  <si>
    <t>MAT449042M5R00152</t>
  </si>
  <si>
    <t>12G63876323</t>
  </si>
  <si>
    <t>MAT449042M5R00189</t>
  </si>
  <si>
    <t>12G63876322</t>
  </si>
  <si>
    <t>MAT449042M5R00184</t>
  </si>
  <si>
    <t>12G63876313</t>
  </si>
  <si>
    <t>AMPARA SITE ARAWL (SOLUTION)</t>
  </si>
  <si>
    <t>MAT449042M5R00149</t>
  </si>
  <si>
    <t>12G63876317</t>
  </si>
  <si>
    <t>MAT449042M5R00188</t>
  </si>
  <si>
    <t>12G63876156</t>
  </si>
  <si>
    <t>MAT449042M5R00163</t>
  </si>
  <si>
    <t>12G63876308</t>
  </si>
  <si>
    <t>MAT449042M5R00191</t>
  </si>
  <si>
    <t>12G63875859</t>
  </si>
  <si>
    <t>LOW BED</t>
  </si>
  <si>
    <t>19000 cc</t>
  </si>
  <si>
    <t>CYH81W1-3000141</t>
  </si>
  <si>
    <t>Prime Mover</t>
  </si>
  <si>
    <t>9834 cc</t>
  </si>
  <si>
    <t>5883 cc</t>
  </si>
  <si>
    <t>10837cc</t>
  </si>
  <si>
    <t>5799 cc</t>
  </si>
  <si>
    <t>MBIDTHFC9GRBP2358</t>
  </si>
  <si>
    <t>GBHZ112220</t>
  </si>
  <si>
    <t>4200 cc</t>
  </si>
  <si>
    <t>12913 00 cc</t>
  </si>
  <si>
    <t>LORRY TAILER</t>
  </si>
  <si>
    <t>1000L.</t>
  </si>
  <si>
    <t>2000L</t>
  </si>
  <si>
    <t>3000L</t>
  </si>
  <si>
    <t>KT25-4805974</t>
  </si>
  <si>
    <t>EXCAVETOR</t>
  </si>
  <si>
    <t>WHEEL EX</t>
  </si>
  <si>
    <t xml:space="preserve">303 CR </t>
  </si>
  <si>
    <t xml:space="preserve">HYUNDAI </t>
  </si>
  <si>
    <t>HZ614PG000A361</t>
  </si>
  <si>
    <t>145/107/1950</t>
  </si>
  <si>
    <t>N637D00040</t>
  </si>
  <si>
    <t>N637D00045</t>
  </si>
  <si>
    <t>N637D00042</t>
  </si>
  <si>
    <t>SOLUTION SITE(AMPARA)</t>
  </si>
  <si>
    <t>CAME ON 14.06.2023</t>
  </si>
  <si>
    <t>HHKHZ614JJ000C704</t>
  </si>
  <si>
    <t>HHKHZ614CJ000C705</t>
  </si>
  <si>
    <t>AEFB11320</t>
  </si>
  <si>
    <t>HHKHZ905PJ0004358</t>
  </si>
  <si>
    <t>HHKHZ905KH0003190</t>
  </si>
  <si>
    <t>AEFB11339</t>
  </si>
  <si>
    <t>SE210AA000558</t>
  </si>
  <si>
    <t>NKJ22CLMAMKA00179</t>
  </si>
  <si>
    <t>NKJ22CLMCMKA00180</t>
  </si>
  <si>
    <t>THISSAMAHARAMA SITE</t>
  </si>
  <si>
    <t>LP05242</t>
  </si>
  <si>
    <t>NKJ22CLMTMKA00254</t>
  </si>
  <si>
    <t>NKJ22CLMHMKA00248</t>
  </si>
  <si>
    <t>TRACTOR WATER BOUSER</t>
  </si>
  <si>
    <t>8000 L</t>
  </si>
  <si>
    <t>CONVERT TO 03 CUBE TIPPER</t>
  </si>
  <si>
    <t xml:space="preserve">RY-0299   </t>
  </si>
  <si>
    <t>T2012-17TTL</t>
  </si>
  <si>
    <t xml:space="preserve">RY-0301  </t>
  </si>
  <si>
    <t>T2011-17TTL</t>
  </si>
  <si>
    <t xml:space="preserve">RY-0304  </t>
  </si>
  <si>
    <t>T2010-17TTL</t>
  </si>
  <si>
    <t>T393117TTL</t>
  </si>
  <si>
    <t>10000 L</t>
  </si>
  <si>
    <t>TRCTOR TAILER</t>
  </si>
  <si>
    <t>0.75 Cube</t>
  </si>
  <si>
    <t>T1699 17 TTL</t>
  </si>
  <si>
    <t>RV-1991</t>
  </si>
  <si>
    <t>MUNDALAMA ESTATE(MISS.CHARITHA)</t>
  </si>
  <si>
    <t>1610 cc</t>
  </si>
  <si>
    <t>2250 cc</t>
  </si>
  <si>
    <t>T725514</t>
  </si>
  <si>
    <t>8325D83609</t>
  </si>
  <si>
    <t>2048 cc</t>
  </si>
  <si>
    <t>Tractor - 04 wheel</t>
  </si>
  <si>
    <t>2500 CC</t>
  </si>
  <si>
    <t>MADANPALLA REPAIR CENTER</t>
  </si>
  <si>
    <t>RG-3189</t>
  </si>
  <si>
    <t>RG-3187</t>
  </si>
  <si>
    <t>99.35 cc</t>
  </si>
  <si>
    <t>ANURADAPURA MR.VIJITHA</t>
  </si>
  <si>
    <t>100 cc</t>
  </si>
  <si>
    <t>BADALGAMA(UNUSABLE)</t>
  </si>
  <si>
    <t>99.27 cc</t>
  </si>
  <si>
    <t>ISSUED TO C.COM</t>
  </si>
  <si>
    <t xml:space="preserve">DISCOVER 125 </t>
  </si>
  <si>
    <t>124.60 cc</t>
  </si>
  <si>
    <t>102 cc</t>
  </si>
  <si>
    <t>125 cc</t>
  </si>
  <si>
    <t>MD2DSD5ZZPCC12865</t>
  </si>
  <si>
    <t>MD2DDJKZZUWH72456</t>
  </si>
  <si>
    <t>MD2A76AZ2HWK41111</t>
  </si>
  <si>
    <t xml:space="preserve">PLATINA </t>
  </si>
  <si>
    <t>MD2A19AZ7CWC00522</t>
  </si>
  <si>
    <t>MD2A76AZ2FWJ44231</t>
  </si>
  <si>
    <t>KATANA WATER PROJECT(MR.PRADEEP-TO)</t>
  </si>
  <si>
    <t>MD2A76AZ0FWJ44292</t>
  </si>
  <si>
    <t>MD2A19AZ0CWH07164</t>
  </si>
  <si>
    <t>MD2A19AZ6DWL11819</t>
  </si>
  <si>
    <t>ME4JC679MJ8001994</t>
  </si>
  <si>
    <t>ME4JC673EH8113339</t>
  </si>
  <si>
    <t>BIE-8564</t>
  </si>
  <si>
    <t>BIE-8576</t>
  </si>
  <si>
    <t>BID-8756</t>
  </si>
  <si>
    <t>BIE-8724</t>
  </si>
  <si>
    <t>BGM-2094</t>
  </si>
  <si>
    <t>KEBATHIGOLLAWA</t>
  </si>
  <si>
    <t>BIE-8569</t>
  </si>
  <si>
    <t>BII-2153</t>
  </si>
  <si>
    <t>BGY-6447</t>
  </si>
  <si>
    <t>BGG-6941</t>
  </si>
  <si>
    <t>BII-2094</t>
  </si>
  <si>
    <t xml:space="preserve">SOLUTION </t>
  </si>
  <si>
    <t>3500 L</t>
  </si>
  <si>
    <t>MIHINTHALE SITE(199-LOT-02)</t>
  </si>
  <si>
    <t>1280718T/L</t>
  </si>
  <si>
    <t>FOCK LIFT</t>
  </si>
  <si>
    <t>TOTAL</t>
  </si>
  <si>
    <t>ENGINEERING COST ASSUMPTIONS — 2026</t>
  </si>
  <si>
    <t>Blue cells = editable inputs. All figures in LKR unless stated.</t>
  </si>
  <si>
    <t>GLOBAL INPUTS</t>
  </si>
  <si>
    <t>Auto-diesel price (LKR/L)</t>
  </si>
  <si>
    <t>Source: CPC / Lanka IOC, March 2026</t>
  </si>
  <si>
    <t>Monthly working hours (min)</t>
  </si>
  <si>
    <t>Given by management</t>
  </si>
  <si>
    <t>Daily working hours (min)</t>
  </si>
  <si>
    <t>Operator rate (LKR/hour)</t>
  </si>
  <si>
    <t>Operator minimum monthly pay (LKR)</t>
  </si>
  <si>
    <t>Given by management — applies when hours × rate &lt; this</t>
  </si>
  <si>
    <t>Overhead rate (% on direct cost)</t>
  </si>
  <si>
    <t>Yard, admin, insurance, transport, depreciation recovery</t>
  </si>
  <si>
    <t>Gross profit margin (% on total cost)</t>
  </si>
  <si>
    <t>Management target</t>
  </si>
  <si>
    <t>Working days per month</t>
  </si>
  <si>
    <t>6-day work week</t>
  </si>
  <si>
    <t>Annual inflation on parts</t>
  </si>
  <si>
    <t>Applied when projecting multi-year</t>
  </si>
  <si>
    <t>CATEGORY ENGINEERING DATA</t>
  </si>
  <si>
    <t>Fuel (L/h)</t>
  </si>
  <si>
    <t>PM base (LKR/h)</t>
  </si>
  <si>
    <t>Major-repair base (LKR/h)</t>
  </si>
  <si>
    <t>Brand-new price (LKR mln)</t>
  </si>
  <si>
    <t>Service life (yrs)</t>
  </si>
  <si>
    <t>Reliability / market note</t>
  </si>
  <si>
    <t>Wet hourly fuel cost (LKR)</t>
  </si>
  <si>
    <t>JCB 3DX Plus new ~Rs. 15–18M; strong resale</t>
  </si>
  <si>
    <t>SHANTUI SL50W / CAT 910E ~Rs. 35–55M</t>
  </si>
  <si>
    <t>TATA LPK2518 + mixer ~Rs. 20–25M</t>
  </si>
  <si>
    <t>FIORI DB350 new ~Rs. 26–30M, niche machine</t>
  </si>
  <si>
    <t>HAMM 311D / SAKAI SW-900 ~Rs. 20–28M</t>
  </si>
  <si>
    <t>BOMAG BW138/Dynapac CC1300 ~Rs. 12–18M</t>
  </si>
  <si>
    <t>Dynapac CP201 / SAKAI ~Rs. 18–22M</t>
  </si>
  <si>
    <t>SANY STG170 / CAT 140 new ~Rs. 45–65M</t>
  </si>
  <si>
    <t>BOBCAT S450/S770 new ~Rs. 9–13M</t>
  </si>
  <si>
    <t>VOLVO P6820 / SUMITOMO HA60 ~Rs. 40–55M</t>
  </si>
  <si>
    <t>DFAC/Foton chassis + insulated tank ~Rs. 12–16M</t>
  </si>
  <si>
    <t>KOBELCO RK250 25T new ~Rs. 45–55M</t>
  </si>
  <si>
    <t>TATA/ISUZU + 3T crane ~Rs. 14–18M</t>
  </si>
  <si>
    <t>HINO/TATA LPS4018 + bed ~Rs. 20–25M</t>
  </si>
  <si>
    <t>SANY/HINO concrete pump ~Rs. 50–65M</t>
  </si>
  <si>
    <t>TOYOTA HILUX 2026 ~Rs. 26–29M (strong resale)</t>
  </si>
  <si>
    <t>TOYOTA KDH200V ~Rs. 12–16M (reconditioned)</t>
  </si>
  <si>
    <t>JMC/ISUZU crew cab ~Rs. 10–13M</t>
  </si>
  <si>
    <t>TATA YODHA / Mahindra BMT ~Rs. 5.5–7.5M</t>
  </si>
  <si>
    <t>TATA LPK1618 tipper ~Rs. 14–18M</t>
  </si>
  <si>
    <t>Locally built/Wimalaoro trailer ~Rs. 2–3M (no engine)</t>
  </si>
  <si>
    <t>Tantri TFB40 ~Rs. 4–5M (no engine)</t>
  </si>
  <si>
    <t>TATA 207 + bowser ~Rs. 8–10M</t>
  </si>
  <si>
    <t>20T class HYUNDAI R220 / CAT 320 ~Rs. 38–48M</t>
  </si>
  <si>
    <t>TATA/Ashok Leyland + tank ~Rs. 10–14M</t>
  </si>
  <si>
    <t>MAHINDRA 575 / TAFE 45DI ~Rs. 4.5–6.5M</t>
  </si>
  <si>
    <t>BAJAJ Platina / HONDA CD110 ~Rs. 400k–500k</t>
  </si>
  <si>
    <t>Farm tractor + bowser combo ~Rs. 6–7M</t>
  </si>
  <si>
    <t>3T diesel forklift ~Rs. 10–14M</t>
  </si>
  <si>
    <t>AGE MULTIPLIERS (how costs escalate with age)</t>
  </si>
  <si>
    <t>Machine age (yrs)</t>
  </si>
  <si>
    <t>PM multiplier</t>
  </si>
  <si>
    <t>Major-repair mult</t>
  </si>
  <si>
    <t>0 – 5</t>
  </si>
  <si>
    <t>Under warranty / basic service only</t>
  </si>
  <si>
    <t>6 – 10</t>
  </si>
  <si>
    <t>Out of warranty; filters, brakes wear normally</t>
  </si>
  <si>
    <t>11 – 15</t>
  </si>
  <si>
    <t>First major overhaul window; hydraulic seals, bearings</t>
  </si>
  <si>
    <t>16 – 20</t>
  </si>
  <si>
    <t>Engine rebuild territory; parts harder to source</t>
  </si>
  <si>
    <t>Over 20 / unknown</t>
  </si>
  <si>
    <t>End-of-life — likely uneconomical to keep</t>
  </si>
  <si>
    <t>TYPICAL CONSUMABLE PRICES (Sri Lanka 2026)</t>
  </si>
  <si>
    <t>Item</t>
  </si>
  <si>
    <t>Pack size</t>
  </si>
  <si>
    <t>Price (LKR)</t>
  </si>
  <si>
    <t>Typical lifetime</t>
  </si>
  <si>
    <t>Source</t>
  </si>
  <si>
    <t>Engine oil 15W-40 (Caltex Delo / Chevron)</t>
  </si>
  <si>
    <t>20 L pail</t>
  </si>
  <si>
    <t>250–500 hrs</t>
  </si>
  <si>
    <t>Chevron Lanka price list Jan 2024</t>
  </si>
  <si>
    <t>Engine oil 15W-40 (Caltex Delo)</t>
  </si>
  <si>
    <t>1 L bottle</t>
  </si>
  <si>
    <t>Chevron Lanka</t>
  </si>
  <si>
    <t>Hydraulic oil AW-68 (Rando HD 68)</t>
  </si>
  <si>
    <t>20 L</t>
  </si>
  <si>
    <t>1,000–2,000 hrs</t>
  </si>
  <si>
    <t>greasemonkey.lk</t>
  </si>
  <si>
    <t>Oil filter (diesel engine)</t>
  </si>
  <si>
    <t>1 pc</t>
  </si>
  <si>
    <t>Greasemonkey/Sakura avg</t>
  </si>
  <si>
    <t>Fuel filter + water separator</t>
  </si>
  <si>
    <t>set</t>
  </si>
  <si>
    <t>500 hrs</t>
  </si>
  <si>
    <t>Local dealer avg</t>
  </si>
  <si>
    <t>Air filter element (primary)</t>
  </si>
  <si>
    <t>Hydraulic return filter</t>
  </si>
  <si>
    <t>1,000 hrs</t>
  </si>
  <si>
    <t>Multi-purpose grease (EP-2)</t>
  </si>
  <si>
    <t>18 kg drum</t>
  </si>
  <si>
    <t>Caltex / Shell</t>
  </si>
  <si>
    <t>Coolant / antifreeze</t>
  </si>
  <si>
    <t>5 L</t>
  </si>
  <si>
    <t>Annual</t>
  </si>
  <si>
    <t>Gear oil (SAE 90)</t>
  </si>
  <si>
    <t>Tyre 10.00-20 (truck/tipper)</t>
  </si>
  <si>
    <t>50,000 km</t>
  </si>
  <si>
    <t>ikman / Damro avg</t>
  </si>
  <si>
    <t>Tyre 18.4-26 (backhoe rear)</t>
  </si>
  <si>
    <t>3,000 hrs</t>
  </si>
  <si>
    <t>SENOK / local importer avg</t>
  </si>
  <si>
    <t>Bucket teeth (20T excavator)</t>
  </si>
  <si>
    <t>set of 5</t>
  </si>
  <si>
    <t>1,500 hrs</t>
  </si>
  <si>
    <t>Importer avg</t>
  </si>
  <si>
    <t>V-belt (alternator / fan)</t>
  </si>
  <si>
    <t>Battery N100 (heavy duty)</t>
  </si>
  <si>
    <t>2 years</t>
  </si>
  <si>
    <t>Exide / Lucas</t>
  </si>
  <si>
    <t>ENGINEERING COST BUILD-UP — per hour rate construction</t>
  </si>
  <si>
    <t>For every fleet unit: Fuel + Operator + Preventive maintenance + Major repair + Overhead + 20% profit = recommended WET rate</t>
  </si>
  <si>
    <t>Fuel cost/h</t>
  </si>
  <si>
    <t>Operator/h</t>
  </si>
  <si>
    <t>PM/h (age-adj.)</t>
  </si>
  <si>
    <t>Major repair/h (age-adj.)</t>
  </si>
  <si>
    <t>Direct cost/h</t>
  </si>
  <si>
    <t>Overhead/h</t>
  </si>
  <si>
    <t>Total cost/h</t>
  </si>
  <si>
    <t>Profit/h (20%)</t>
  </si>
  <si>
    <t>Suggested WET /h</t>
  </si>
  <si>
    <t>Current WET /h (Fleet sheet)</t>
  </si>
  <si>
    <t>P</t>
  </si>
  <si>
    <t>Q</t>
  </si>
  <si>
    <t>R</t>
  </si>
  <si>
    <t>S</t>
  </si>
  <si>
    <t>MAINTENANCE &amp; REPAIR COST FORECAST — Monthly (120 hrs)</t>
  </si>
  <si>
    <t>Estimated spend per unit per month. Use to budget spare-parts purchasing and identify worst offenders.</t>
  </si>
  <si>
    <t>Monthly Fuel</t>
  </si>
  <si>
    <t>Monthly Operator</t>
  </si>
  <si>
    <t>Monthly PM</t>
  </si>
  <si>
    <t>Monthly Major Repair</t>
  </si>
  <si>
    <t>Monthly TOTAL direct</t>
  </si>
  <si>
    <t>Monthly TOTAL incl. overhead</t>
  </si>
  <si>
    <t xml:space="preserve"> maintenance &amp; repair sheet and </t>
  </si>
  <si>
    <t>REPLACEMENT STRATEGY — Category Rollup</t>
  </si>
  <si>
    <t>Counts by decision and total CAPEX required if all 'REPLACE' units swapped for brand-new equivalents.</t>
  </si>
  <si>
    <t>Total units</t>
  </si>
  <si>
    <t>KEEP</t>
  </si>
  <si>
    <t>MONITOR</t>
  </si>
  <si>
    <t>REPLACE</t>
  </si>
  <si>
    <t>Total resale if REPLACE sold (LKR mln)</t>
  </si>
  <si>
    <t>CAPEX for new units (LKR mln)</t>
  </si>
  <si>
    <t>EDWARD &amp; CHRISTIE GROUP (PVT) LTD</t>
  </si>
  <si>
    <t>HEAVY MACHINERY — FOR SALE ( STAGE - 01 )</t>
  </si>
  <si>
    <t>Reg. No.</t>
  </si>
  <si>
    <t>Serial No.</t>
  </si>
  <si>
    <t>Chassis No.</t>
  </si>
  <si>
    <t>Engine No.</t>
  </si>
  <si>
    <t>GPS</t>
  </si>
  <si>
    <t>Market Price (LKR)</t>
  </si>
  <si>
    <t>Asking Price (LKR)</t>
  </si>
  <si>
    <t>DT-41 / WB-03</t>
  </si>
  <si>
    <t>Dump Truck → Water Bowser</t>
  </si>
  <si>
    <t>03 Cube / 8,000 L</t>
  </si>
  <si>
    <t>YES</t>
  </si>
  <si>
    <t>EICHER</t>
  </si>
  <si>
    <t>4FE1</t>
  </si>
  <si>
    <t>04 TON</t>
  </si>
  <si>
    <t>NOTES</t>
  </si>
  <si>
    <t>1.  Asking Price column (yellow, col O) is blank — fill in agreed sale prices before distributing.</t>
  </si>
  <si>
    <t>2.  Market Price figures are indicative estimates sourced from Riyasewana.com listings (Apr–Jun 2026). Hover each Market Price cell for source note. Actual resale value depends on hours, condition and negotiation.</t>
  </si>
  <si>
    <t>3.  HO-9850 appears as both DT-41 (Dump Truck) and WB-03 (Water Bowser) in the fleet — confirm current body configuration before sale.</t>
  </si>
  <si>
    <t>4.  LI-7620 and LI-3396 have GPS units installed — confirm GPS removal/deactivation before handover.</t>
  </si>
  <si>
    <t>5.  All figures exclude 18% VAT. Buyer responsible for transfer costs and registration fees.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</si>
</sst>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Rs. &quot;#,##0;[Red]&quot;(Rs. &quot;#,##0\);\-"/>
    <numFmt numFmtId="165" formatCode="0.0%"/>
    <numFmt numFmtId="166" formatCode="&quot;Rs. &quot;#,##0.00"/>
    <numFmt numFmtId="167" formatCode="0.0"/>
    <numFmt numFmtId="168" formatCode="#,##0;[Red]\(#,##0\);\-"/>
  </numFmts>
  <fonts count="43" x14ac:knownFonts="1">
    <font>
      <sz val="11"/>
      <color theme="1"/>
      <name val="Calibri"/>
      <family val="2"/>
      <charset val="1"/>
    </font>
    <font>
      <sz val="10"/>
      <name val="Arial"/>
      <family val="2"/>
      <charset val="1"/>
    </font>
    <font>
      <b/>
      <sz val="16"/>
      <color rgb="FF1F4E79"/>
      <name val="Arial"/>
      <family val="2"/>
      <charset val="1"/>
    </font>
    <font>
      <i/>
      <sz val="11"/>
      <color rgb="FF595959"/>
      <name val="Arial"/>
      <family val="2"/>
      <charset val="1"/>
    </font>
    <font>
      <b/>
      <sz val="10"/>
      <name val="Arial"/>
      <family val="2"/>
      <charset val="1"/>
    </font>
    <font>
      <b/>
      <sz val="11"/>
      <color rgb="FF1F4E79"/>
      <name val="Arial"/>
      <family val="2"/>
      <charset val="1"/>
    </font>
    <font>
      <b/>
      <sz val="11"/>
      <color rgb="FF1F4E79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i/>
      <sz val="10"/>
      <color rgb="FF595959"/>
      <name val="Arial"/>
      <family val="2"/>
      <charset val="1"/>
    </font>
    <font>
      <b/>
      <sz val="11"/>
      <color rgb="FFFFFFFF"/>
      <name val="Arial"/>
      <family val="2"/>
      <charset val="1"/>
    </font>
    <font>
      <b/>
      <sz val="10"/>
      <color rgb="FF0000FF"/>
      <name val="Arial"/>
      <family val="2"/>
      <charset val="1"/>
    </font>
    <font>
      <b/>
      <sz val="10"/>
      <color rgb="FFC00000"/>
      <name val="Arial"/>
      <family val="2"/>
      <charset val="1"/>
    </font>
    <font>
      <b/>
      <sz val="10"/>
      <color rgb="FF1F4E79"/>
      <name val="Arial"/>
      <family val="2"/>
      <charset val="1"/>
    </font>
    <font>
      <b/>
      <sz val="16"/>
      <color rgb="FF1F4E79"/>
      <name val="Arial"/>
      <charset val="1"/>
    </font>
    <font>
      <i/>
      <sz val="10"/>
      <color rgb="FF595959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0"/>
      <color rgb="FFC00000"/>
      <name val="Arial"/>
      <charset val="1"/>
    </font>
    <font>
      <sz val="9"/>
      <color rgb="FF595959"/>
      <name val="Arial"/>
      <charset val="1"/>
    </font>
    <font>
      <i/>
      <sz val="9"/>
      <color rgb="FF595959"/>
      <name val="Arial"/>
      <charset val="1"/>
    </font>
    <font>
      <b/>
      <sz val="10"/>
      <color rgb="FF0000FF"/>
      <name val="Arial"/>
      <charset val="1"/>
    </font>
    <font>
      <b/>
      <sz val="10"/>
      <color rgb="FFFFFFFF"/>
      <name val="Arial"/>
      <charset val="1"/>
    </font>
    <font>
      <b/>
      <sz val="10"/>
      <color rgb="FF1F4E79"/>
      <name val="Arial"/>
      <charset val="1"/>
    </font>
    <font>
      <sz val="8"/>
      <color rgb="FF808080"/>
      <name val="Cambria"/>
      <family val="1"/>
      <charset val="1"/>
    </font>
    <font>
      <sz val="11"/>
      <color rgb="FF000000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0"/>
      <color theme="1"/>
      <name val="Arial"/>
      <family val="2"/>
      <charset val="1"/>
    </font>
    <font>
      <sz val="11"/>
      <name val="Calibri"/>
      <family val="2"/>
      <charset val="1"/>
    </font>
    <font>
      <b/>
      <sz val="11"/>
      <name val="Calibri"/>
      <family val="2"/>
      <charset val="1"/>
    </font>
    <font>
      <i/>
      <sz val="9"/>
      <name val="Arial"/>
      <family val="2"/>
      <charset val="1"/>
    </font>
    <font>
      <b/>
      <sz val="16"/>
      <color rgb="FF1F3864"/>
      <name val="Calibri"/>
      <family val="2"/>
      <charset val="1"/>
    </font>
    <font>
      <b/>
      <sz val="13"/>
      <color rgb="FFFFFFFF"/>
      <name val="Calibri"/>
      <family val="2"/>
      <charset val="1"/>
    </font>
    <font>
      <i/>
      <sz val="10"/>
      <color rgb="FF595959"/>
      <name val="Calibri"/>
      <family val="2"/>
      <charset val="1"/>
    </font>
    <font>
      <b/>
      <sz val="10"/>
      <color rgb="FFFFFFFF"/>
      <name val="Calibri"/>
      <family val="2"/>
      <charset val="1"/>
    </font>
    <font>
      <sz val="10"/>
      <color theme="1"/>
      <name val="Calibri"/>
      <family val="2"/>
      <charset val="1"/>
    </font>
    <font>
      <b/>
      <sz val="10"/>
      <color rgb="FFC00000"/>
      <name val="Calibri"/>
      <family val="2"/>
      <charset val="1"/>
    </font>
    <font>
      <sz val="10"/>
      <color rgb="FF008000"/>
      <name val="Calibri"/>
      <family val="2"/>
      <charset val="1"/>
    </font>
    <font>
      <b/>
      <sz val="10"/>
      <color rgb="FF1F3864"/>
      <name val="Calibri"/>
      <family val="2"/>
      <charset val="1"/>
    </font>
    <font>
      <sz val="10"/>
      <color rgb="FF595959"/>
      <name val="Calibri"/>
      <family val="2"/>
      <charset val="1"/>
    </font>
    <font>
      <sz val="9"/>
      <color rgb="FF595959"/>
      <name val="Calibri"/>
      <family val="2"/>
      <charset val="1"/>
    </font>
    <font>
      <sz val="9"/>
      <color rgb="FF008000"/>
      <name val="Calibri"/>
      <family val="2"/>
      <charset val="1"/>
    </font>
  </fonts>
  <fills count="16">
    <fill>
      <patternFill patternType="none"/>
    </fill>
    <fill>
      <patternFill patternType="gray125"/>
    </fill>
    <fill>
      <patternFill patternType="solid">
        <fgColor rgb="FF1F4E79"/>
        <bgColor rgb="FF1F3864"/>
      </patternFill>
    </fill>
    <fill>
      <patternFill patternType="solid">
        <fgColor rgb="FFE2EFDA"/>
        <bgColor rgb="FFDBEEF4"/>
      </patternFill>
    </fill>
    <fill>
      <patternFill patternType="solid">
        <fgColor rgb="FFD9E1F2"/>
        <bgColor rgb="FFDBEEF4"/>
      </patternFill>
    </fill>
    <fill>
      <patternFill patternType="solid">
        <fgColor rgb="FFFFF2CC"/>
        <bgColor rgb="FFF2F2F2"/>
      </patternFill>
    </fill>
    <fill>
      <patternFill patternType="solid">
        <fgColor rgb="FF92D050"/>
        <bgColor rgb="FFB4B4B4"/>
      </patternFill>
    </fill>
    <fill>
      <patternFill patternType="solid">
        <fgColor rgb="FFFF0000"/>
        <bgColor rgb="FFC00000"/>
      </patternFill>
    </fill>
    <fill>
      <patternFill patternType="solid">
        <fgColor theme="0" tint="-0.249977111117893"/>
        <bgColor rgb="FFB4B4B4"/>
      </patternFill>
    </fill>
    <fill>
      <patternFill patternType="solid">
        <fgColor theme="0" tint="-0.34998626667073579"/>
        <bgColor rgb="FFB4B4B4"/>
      </patternFill>
    </fill>
    <fill>
      <patternFill patternType="solid">
        <fgColor theme="8" tint="0.79989013336588644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2F2F2"/>
      </patternFill>
    </fill>
    <fill>
      <patternFill patternType="solid">
        <fgColor rgb="FFC00000"/>
        <bgColor rgb="FFFF0000"/>
      </patternFill>
    </fill>
    <fill>
      <patternFill patternType="solid">
        <fgColor rgb="FF1F3864"/>
        <bgColor rgb="FF1F4E79"/>
      </patternFill>
    </fill>
    <fill>
      <patternFill patternType="solid">
        <fgColor rgb="FFF2F2F2"/>
        <bgColor rgb="FFE2EFDA"/>
      </patternFill>
    </fill>
  </fills>
  <borders count="18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4B4B4"/>
      </left>
      <right/>
      <top style="thin">
        <color rgb="FFB4B4B4"/>
      </top>
      <bottom style="thin">
        <color rgb="FFB4B4B4"/>
      </bottom>
      <diagonal/>
    </border>
    <border>
      <left/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4B4B4"/>
      </top>
      <bottom style="thin">
        <color rgb="FFB4B4B4"/>
      </bottom>
      <diagonal/>
    </border>
  </borders>
  <cellStyleXfs count="2">
    <xf numFmtId="0" fontId="0" fillId="0" borderId="0"/>
    <xf numFmtId="0" fontId="1" fillId="0" borderId="0"/>
  </cellStyleXfs>
  <cellXfs count="2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center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vertical="top" wrapText="1"/>
    </xf>
    <xf numFmtId="0" fontId="10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0" borderId="1" xfId="0" applyFont="1" applyBorder="1"/>
    <xf numFmtId="164" fontId="11" fillId="0" borderId="1" xfId="0" applyNumberFormat="1" applyFont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9" fillId="0" borderId="1" xfId="0" applyFont="1" applyBorder="1" applyAlignment="1">
      <alignment horizontal="left" vertical="center" wrapText="1"/>
    </xf>
    <xf numFmtId="164" fontId="12" fillId="3" borderId="1" xfId="0" applyNumberFormat="1" applyFont="1" applyFill="1" applyBorder="1" applyAlignment="1">
      <alignment horizontal="right" vertical="center"/>
    </xf>
    <xf numFmtId="2" fontId="11" fillId="0" borderId="1" xfId="0" applyNumberFormat="1" applyFon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  <xf numFmtId="0" fontId="13" fillId="4" borderId="0" xfId="0" applyFont="1" applyFill="1"/>
    <xf numFmtId="0" fontId="1" fillId="0" borderId="1" xfId="0" applyFont="1" applyBorder="1"/>
    <xf numFmtId="9" fontId="0" fillId="0" borderId="1" xfId="0" applyNumberFormat="1" applyBorder="1" applyAlignment="1">
      <alignment horizontal="center" vertical="center" wrapText="1"/>
    </xf>
    <xf numFmtId="0" fontId="9" fillId="0" borderId="1" xfId="0" applyFont="1" applyBorder="1"/>
    <xf numFmtId="0" fontId="16" fillId="2" borderId="2" xfId="0" applyFont="1" applyFill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/>
    </xf>
    <xf numFmtId="0" fontId="18" fillId="0" borderId="2" xfId="0" applyFont="1" applyBorder="1" applyAlignment="1">
      <alignment vertical="center" wrapText="1"/>
    </xf>
    <xf numFmtId="0" fontId="17" fillId="0" borderId="2" xfId="0" applyFont="1" applyBorder="1" applyAlignment="1">
      <alignment vertical="center" wrapText="1"/>
    </xf>
    <xf numFmtId="164" fontId="19" fillId="3" borderId="2" xfId="0" applyNumberFormat="1" applyFont="1" applyFill="1" applyBorder="1" applyAlignment="1">
      <alignment horizontal="right" vertical="center"/>
    </xf>
    <xf numFmtId="0" fontId="20" fillId="0" borderId="2" xfId="0" applyFont="1" applyBorder="1" applyAlignment="1">
      <alignment horizontal="center" vertical="center"/>
    </xf>
    <xf numFmtId="0" fontId="21" fillId="0" borderId="2" xfId="0" applyFont="1" applyBorder="1" applyAlignment="1">
      <alignment horizontal="left" vertical="center" wrapText="1"/>
    </xf>
    <xf numFmtId="166" fontId="22" fillId="5" borderId="2" xfId="0" applyNumberFormat="1" applyFont="1" applyFill="1" applyBorder="1" applyAlignment="1">
      <alignment horizontal="center" vertical="center"/>
    </xf>
    <xf numFmtId="0" fontId="21" fillId="0" borderId="0" xfId="0" applyFont="1"/>
    <xf numFmtId="1" fontId="22" fillId="5" borderId="2" xfId="0" applyNumberFormat="1" applyFont="1" applyFill="1" applyBorder="1" applyAlignment="1">
      <alignment horizontal="center" vertical="center"/>
    </xf>
    <xf numFmtId="165" fontId="22" fillId="5" borderId="2" xfId="0" applyNumberFormat="1" applyFont="1" applyFill="1" applyBorder="1" applyAlignment="1">
      <alignment horizontal="center" vertical="center"/>
    </xf>
    <xf numFmtId="0" fontId="23" fillId="2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167" fontId="22" fillId="5" borderId="2" xfId="0" applyNumberFormat="1" applyFont="1" applyFill="1" applyBorder="1" applyAlignment="1">
      <alignment horizontal="center" vertical="center"/>
    </xf>
    <xf numFmtId="2" fontId="8" fillId="0" borderId="2" xfId="0" applyNumberFormat="1" applyFont="1" applyBorder="1" applyAlignment="1">
      <alignment horizontal="center" vertical="center"/>
    </xf>
    <xf numFmtId="166" fontId="24" fillId="0" borderId="2" xfId="0" applyNumberFormat="1" applyFont="1" applyBorder="1" applyAlignment="1">
      <alignment horizontal="right" vertical="center"/>
    </xf>
    <xf numFmtId="0" fontId="0" fillId="2" borderId="1" xfId="0" applyFill="1" applyBorder="1"/>
    <xf numFmtId="0" fontId="10" fillId="2" borderId="1" xfId="0" applyFont="1" applyFill="1" applyBorder="1"/>
    <xf numFmtId="164" fontId="10" fillId="2" borderId="1" xfId="0" applyNumberFormat="1" applyFont="1" applyFill="1" applyBorder="1" applyAlignment="1">
      <alignment horizontal="right" vertical="center"/>
    </xf>
    <xf numFmtId="0" fontId="10" fillId="2" borderId="4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25" fillId="0" borderId="0" xfId="0" applyFont="1"/>
    <xf numFmtId="0" fontId="0" fillId="0" borderId="1" xfId="0" applyBorder="1" applyAlignment="1">
      <alignment horizontal="left" vertical="center" wrapText="1"/>
    </xf>
    <xf numFmtId="49" fontId="26" fillId="0" borderId="1" xfId="0" applyNumberFormat="1" applyFont="1" applyBorder="1" applyAlignment="1">
      <alignment horizontal="left" vertical="center" wrapText="1"/>
    </xf>
    <xf numFmtId="49" fontId="0" fillId="0" borderId="1" xfId="0" applyNumberFormat="1" applyBorder="1" applyAlignment="1">
      <alignment horizontal="center" vertical="center" wrapText="1"/>
    </xf>
    <xf numFmtId="2" fontId="25" fillId="0" borderId="0" xfId="0" applyNumberFormat="1" applyFont="1"/>
    <xf numFmtId="0" fontId="1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right" vertical="center"/>
    </xf>
    <xf numFmtId="0" fontId="0" fillId="0" borderId="0" xfId="0" applyAlignment="1">
      <alignment horizontal="center" vertical="center"/>
    </xf>
    <xf numFmtId="0" fontId="27" fillId="0" borderId="0" xfId="0" applyFont="1"/>
    <xf numFmtId="0" fontId="0" fillId="6" borderId="0" xfId="0" applyFill="1"/>
    <xf numFmtId="0" fontId="0" fillId="7" borderId="0" xfId="0" applyFill="1"/>
    <xf numFmtId="0" fontId="4" fillId="8" borderId="6" xfId="0" applyFont="1" applyFill="1" applyBorder="1" applyAlignment="1">
      <alignment horizontal="center" vertical="center" wrapText="1"/>
    </xf>
    <xf numFmtId="0" fontId="4" fillId="8" borderId="6" xfId="0" applyFont="1" applyFill="1" applyBorder="1" applyAlignment="1">
      <alignment vertical="center" wrapText="1"/>
    </xf>
    <xf numFmtId="0" fontId="4" fillId="8" borderId="7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 wrapText="1"/>
    </xf>
    <xf numFmtId="0" fontId="28" fillId="8" borderId="7" xfId="0" applyFont="1" applyFill="1" applyBorder="1" applyAlignment="1">
      <alignment horizontal="center" vertical="center" wrapText="1"/>
    </xf>
    <xf numFmtId="0" fontId="28" fillId="9" borderId="7" xfId="0" applyFont="1" applyFill="1" applyBorder="1" applyAlignment="1">
      <alignment horizontal="center" vertical="center"/>
    </xf>
    <xf numFmtId="0" fontId="0" fillId="10" borderId="7" xfId="0" applyFill="1" applyBorder="1" applyAlignment="1">
      <alignment vertical="center"/>
    </xf>
    <xf numFmtId="0" fontId="0" fillId="10" borderId="8" xfId="0" applyFill="1" applyBorder="1" applyAlignment="1">
      <alignment vertical="center"/>
    </xf>
    <xf numFmtId="0" fontId="29" fillId="10" borderId="7" xfId="0" applyFont="1" applyFill="1" applyBorder="1" applyAlignment="1">
      <alignment horizontal="center" vertical="center"/>
    </xf>
    <xf numFmtId="0" fontId="29" fillId="10" borderId="7" xfId="0" applyFont="1" applyFill="1" applyBorder="1" applyAlignment="1">
      <alignment horizontal="center"/>
    </xf>
    <xf numFmtId="0" fontId="0" fillId="10" borderId="7" xfId="0" applyFill="1" applyBorder="1"/>
    <xf numFmtId="0" fontId="0" fillId="11" borderId="7" xfId="0" applyFill="1" applyBorder="1"/>
    <xf numFmtId="0" fontId="0" fillId="11" borderId="7" xfId="0" applyFill="1" applyBorder="1" applyAlignment="1">
      <alignment vertical="center"/>
    </xf>
    <xf numFmtId="0" fontId="29" fillId="11" borderId="7" xfId="0" applyFont="1" applyFill="1" applyBorder="1" applyAlignment="1">
      <alignment horizontal="center" vertical="center"/>
    </xf>
    <xf numFmtId="0" fontId="29" fillId="11" borderId="7" xfId="0" applyFont="1" applyFill="1" applyBorder="1" applyAlignment="1">
      <alignment horizontal="center"/>
    </xf>
    <xf numFmtId="0" fontId="0" fillId="11" borderId="0" xfId="0" applyFill="1"/>
    <xf numFmtId="0" fontId="0" fillId="10" borderId="7" xfId="0" applyFill="1" applyBorder="1" applyAlignment="1">
      <alignment vertical="center" wrapText="1"/>
    </xf>
    <xf numFmtId="0" fontId="0" fillId="0" borderId="7" xfId="0" applyBorder="1"/>
    <xf numFmtId="0" fontId="0" fillId="0" borderId="8" xfId="0" applyBorder="1"/>
    <xf numFmtId="0" fontId="30" fillId="0" borderId="7" xfId="0" applyFont="1" applyBorder="1" applyAlignment="1">
      <alignment horizontal="center" vertical="center"/>
    </xf>
    <xf numFmtId="0" fontId="30" fillId="0" borderId="7" xfId="0" applyFont="1" applyBorder="1"/>
    <xf numFmtId="0" fontId="30" fillId="0" borderId="7" xfId="0" applyFont="1" applyBorder="1" applyAlignment="1">
      <alignment horizontal="center"/>
    </xf>
    <xf numFmtId="0" fontId="29" fillId="0" borderId="7" xfId="0" applyFont="1" applyBorder="1"/>
    <xf numFmtId="0" fontId="29" fillId="0" borderId="7" xfId="0" applyFont="1" applyBorder="1" applyAlignment="1">
      <alignment horizontal="center"/>
    </xf>
    <xf numFmtId="1" fontId="29" fillId="0" borderId="7" xfId="0" applyNumberFormat="1" applyFont="1" applyBorder="1" applyAlignment="1">
      <alignment horizont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29" fillId="0" borderId="7" xfId="0" applyFont="1" applyBorder="1" applyAlignment="1">
      <alignment horizontal="center" vertical="center"/>
    </xf>
    <xf numFmtId="16" fontId="29" fillId="0" borderId="7" xfId="0" applyNumberFormat="1" applyFont="1" applyBorder="1" applyAlignment="1">
      <alignment horizontal="center"/>
    </xf>
    <xf numFmtId="16" fontId="29" fillId="10" borderId="7" xfId="0" applyNumberFormat="1" applyFont="1" applyFill="1" applyBorder="1" applyAlignment="1">
      <alignment horizontal="center"/>
    </xf>
    <xf numFmtId="1" fontId="29" fillId="10" borderId="7" xfId="0" applyNumberFormat="1" applyFont="1" applyFill="1" applyBorder="1" applyAlignment="1">
      <alignment horizontal="center"/>
    </xf>
    <xf numFmtId="0" fontId="0" fillId="0" borderId="7" xfId="0" applyBorder="1" applyAlignment="1">
      <alignment horizontal="left"/>
    </xf>
    <xf numFmtId="1" fontId="0" fillId="0" borderId="7" xfId="0" applyNumberFormat="1" applyBorder="1" applyAlignment="1">
      <alignment horizontal="left"/>
    </xf>
    <xf numFmtId="0" fontId="0" fillId="7" borderId="7" xfId="0" applyFill="1" applyBorder="1" applyAlignment="1">
      <alignment vertical="center"/>
    </xf>
    <xf numFmtId="0" fontId="29" fillId="7" borderId="7" xfId="0" applyFont="1" applyFill="1" applyBorder="1" applyAlignment="1">
      <alignment horizontal="center" vertical="center"/>
    </xf>
    <xf numFmtId="0" fontId="30" fillId="7" borderId="7" xfId="0" applyFont="1" applyFill="1" applyBorder="1"/>
    <xf numFmtId="0" fontId="29" fillId="7" borderId="7" xfId="0" applyFont="1" applyFill="1" applyBorder="1" applyAlignment="1">
      <alignment horizontal="center"/>
    </xf>
    <xf numFmtId="0" fontId="29" fillId="7" borderId="7" xfId="0" applyFont="1" applyFill="1" applyBorder="1"/>
    <xf numFmtId="1" fontId="29" fillId="7" borderId="7" xfId="0" applyNumberFormat="1" applyFont="1" applyFill="1" applyBorder="1" applyAlignment="1">
      <alignment horizontal="center"/>
    </xf>
    <xf numFmtId="0" fontId="0" fillId="7" borderId="7" xfId="0" applyFill="1" applyBorder="1"/>
    <xf numFmtId="0" fontId="30" fillId="10" borderId="7" xfId="0" applyFont="1" applyFill="1" applyBorder="1"/>
    <xf numFmtId="0" fontId="29" fillId="10" borderId="7" xfId="0" applyFont="1" applyFill="1" applyBorder="1"/>
    <xf numFmtId="0" fontId="29" fillId="10" borderId="7" xfId="0" applyFont="1" applyFill="1" applyBorder="1" applyAlignment="1">
      <alignment horizontal="left"/>
    </xf>
    <xf numFmtId="0" fontId="0" fillId="10" borderId="7" xfId="0" applyFill="1" applyBorder="1" applyAlignment="1">
      <alignment horizontal="left"/>
    </xf>
    <xf numFmtId="11" fontId="0" fillId="10" borderId="7" xfId="0" applyNumberFormat="1" applyFill="1" applyBorder="1"/>
    <xf numFmtId="0" fontId="0" fillId="12" borderId="9" xfId="0" applyFill="1" applyBorder="1" applyAlignment="1">
      <alignment vertical="center"/>
    </xf>
    <xf numFmtId="0" fontId="29" fillId="12" borderId="7" xfId="0" applyFont="1" applyFill="1" applyBorder="1" applyAlignment="1">
      <alignment horizontal="center" vertical="center"/>
    </xf>
    <xf numFmtId="0" fontId="29" fillId="12" borderId="7" xfId="0" applyFont="1" applyFill="1" applyBorder="1" applyAlignment="1">
      <alignment horizontal="center"/>
    </xf>
    <xf numFmtId="1" fontId="29" fillId="12" borderId="7" xfId="0" applyNumberFormat="1" applyFont="1" applyFill="1" applyBorder="1" applyAlignment="1">
      <alignment horizontal="center"/>
    </xf>
    <xf numFmtId="0" fontId="0" fillId="12" borderId="7" xfId="0" applyFill="1" applyBorder="1"/>
    <xf numFmtId="0" fontId="0" fillId="12" borderId="7" xfId="0" applyFill="1" applyBorder="1" applyAlignment="1">
      <alignment vertical="center"/>
    </xf>
    <xf numFmtId="1" fontId="29" fillId="0" borderId="10" xfId="0" applyNumberFormat="1" applyFont="1" applyBorder="1" applyAlignment="1">
      <alignment horizontal="center"/>
    </xf>
    <xf numFmtId="1" fontId="29" fillId="7" borderId="10" xfId="0" applyNumberFormat="1" applyFont="1" applyFill="1" applyBorder="1" applyAlignment="1">
      <alignment horizontal="center"/>
    </xf>
    <xf numFmtId="0" fontId="0" fillId="12" borderId="8" xfId="0" applyFill="1" applyBorder="1"/>
    <xf numFmtId="0" fontId="0" fillId="12" borderId="11" xfId="0" applyFill="1" applyBorder="1" applyAlignment="1">
      <alignment vertical="center"/>
    </xf>
    <xf numFmtId="0" fontId="0" fillId="12" borderId="0" xfId="0" applyFill="1"/>
    <xf numFmtId="0" fontId="0" fillId="10" borderId="7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0" fillId="12" borderId="8" xfId="0" applyFill="1" applyBorder="1" applyAlignment="1">
      <alignment vertical="center"/>
    </xf>
    <xf numFmtId="0" fontId="0" fillId="12" borderId="12" xfId="0" applyFill="1" applyBorder="1" applyAlignment="1">
      <alignment vertical="center"/>
    </xf>
    <xf numFmtId="0" fontId="30" fillId="12" borderId="7" xfId="0" applyFont="1" applyFill="1" applyBorder="1" applyAlignment="1">
      <alignment horizontal="center" vertical="center"/>
    </xf>
    <xf numFmtId="0" fontId="30" fillId="12" borderId="7" xfId="0" applyFont="1" applyFill="1" applyBorder="1"/>
    <xf numFmtId="0" fontId="30" fillId="12" borderId="7" xfId="0" applyFont="1" applyFill="1" applyBorder="1" applyAlignment="1">
      <alignment horizontal="center"/>
    </xf>
    <xf numFmtId="0" fontId="0" fillId="6" borderId="7" xfId="0" applyFill="1" applyBorder="1" applyAlignment="1">
      <alignment vertical="center"/>
    </xf>
    <xf numFmtId="0" fontId="29" fillId="6" borderId="7" xfId="0" applyFont="1" applyFill="1" applyBorder="1" applyAlignment="1">
      <alignment horizontal="center" vertical="center"/>
    </xf>
    <xf numFmtId="0" fontId="29" fillId="6" borderId="7" xfId="0" applyFont="1" applyFill="1" applyBorder="1" applyAlignment="1">
      <alignment horizontal="center"/>
    </xf>
    <xf numFmtId="1" fontId="29" fillId="6" borderId="7" xfId="0" applyNumberFormat="1" applyFont="1" applyFill="1" applyBorder="1" applyAlignment="1">
      <alignment horizontal="center"/>
    </xf>
    <xf numFmtId="0" fontId="0" fillId="6" borderId="7" xfId="0" applyFill="1" applyBorder="1"/>
    <xf numFmtId="0" fontId="0" fillId="10" borderId="13" xfId="0" applyFill="1" applyBorder="1"/>
    <xf numFmtId="0" fontId="0" fillId="10" borderId="14" xfId="0" applyFill="1" applyBorder="1" applyAlignment="1">
      <alignment horizontal="left"/>
    </xf>
    <xf numFmtId="0" fontId="0" fillId="12" borderId="7" xfId="0" applyFill="1" applyBorder="1" applyAlignment="1">
      <alignment horizontal="center"/>
    </xf>
    <xf numFmtId="1" fontId="0" fillId="12" borderId="7" xfId="0" applyNumberFormat="1" applyFill="1" applyBorder="1" applyAlignment="1">
      <alignment horizontal="center"/>
    </xf>
    <xf numFmtId="0" fontId="0" fillId="12" borderId="13" xfId="0" applyFill="1" applyBorder="1" applyAlignment="1">
      <alignment vertical="center"/>
    </xf>
    <xf numFmtId="0" fontId="0" fillId="7" borderId="13" xfId="0" applyFill="1" applyBorder="1" applyAlignment="1">
      <alignment vertical="center"/>
    </xf>
    <xf numFmtId="0" fontId="0" fillId="12" borderId="15" xfId="0" applyFill="1" applyBorder="1"/>
    <xf numFmtId="0" fontId="0" fillId="10" borderId="15" xfId="0" applyFill="1" applyBorder="1"/>
    <xf numFmtId="0" fontId="0" fillId="10" borderId="7" xfId="0" applyFill="1" applyBorder="1" applyAlignment="1">
      <alignment horizontal="center"/>
    </xf>
    <xf numFmtId="0" fontId="0" fillId="0" borderId="7" xfId="0" applyBorder="1" applyAlignment="1">
      <alignment horizontal="center" vertical="center"/>
    </xf>
    <xf numFmtId="1" fontId="29" fillId="10" borderId="10" xfId="0" applyNumberFormat="1" applyFont="1" applyFill="1" applyBorder="1" applyAlignment="1">
      <alignment horizontal="center"/>
    </xf>
    <xf numFmtId="1" fontId="29" fillId="6" borderId="10" xfId="0" applyNumberFormat="1" applyFont="1" applyFill="1" applyBorder="1" applyAlignment="1">
      <alignment horizontal="center"/>
    </xf>
    <xf numFmtId="1" fontId="29" fillId="10" borderId="8" xfId="0" applyNumberFormat="1" applyFont="1" applyFill="1" applyBorder="1" applyAlignment="1">
      <alignment horizontal="center"/>
    </xf>
    <xf numFmtId="0" fontId="29" fillId="10" borderId="7" xfId="0" applyFont="1" applyFill="1" applyBorder="1" applyAlignment="1">
      <alignment vertical="center"/>
    </xf>
    <xf numFmtId="1" fontId="29" fillId="10" borderId="10" xfId="0" applyNumberFormat="1" applyFont="1" applyFill="1" applyBorder="1" applyAlignment="1">
      <alignment vertical="center"/>
    </xf>
    <xf numFmtId="1" fontId="29" fillId="10" borderId="8" xfId="0" applyNumberFormat="1" applyFont="1" applyFill="1" applyBorder="1" applyAlignment="1">
      <alignment vertical="center"/>
    </xf>
    <xf numFmtId="0" fontId="0" fillId="0" borderId="13" xfId="0" applyBorder="1" applyAlignment="1">
      <alignment vertical="center"/>
    </xf>
    <xf numFmtId="0" fontId="0" fillId="10" borderId="8" xfId="0" applyFill="1" applyBorder="1"/>
    <xf numFmtId="0" fontId="0" fillId="10" borderId="0" xfId="0" applyFill="1"/>
    <xf numFmtId="0" fontId="0" fillId="0" borderId="15" xfId="0" applyBorder="1" applyAlignment="1">
      <alignment vertical="center"/>
    </xf>
    <xf numFmtId="0" fontId="0" fillId="7" borderId="8" xfId="0" applyFill="1" applyBorder="1" applyAlignment="1">
      <alignment vertical="center"/>
    </xf>
    <xf numFmtId="1" fontId="29" fillId="0" borderId="8" xfId="0" applyNumberFormat="1" applyFont="1" applyBorder="1" applyAlignment="1">
      <alignment horizontal="center"/>
    </xf>
    <xf numFmtId="1" fontId="29" fillId="7" borderId="8" xfId="0" applyNumberFormat="1" applyFont="1" applyFill="1" applyBorder="1" applyAlignment="1">
      <alignment horizontal="center"/>
    </xf>
    <xf numFmtId="1" fontId="29" fillId="12" borderId="8" xfId="0" applyNumberFormat="1" applyFont="1" applyFill="1" applyBorder="1" applyAlignment="1">
      <alignment horizontal="center"/>
    </xf>
    <xf numFmtId="0" fontId="0" fillId="7" borderId="7" xfId="0" applyFill="1" applyBorder="1" applyAlignment="1">
      <alignment horizontal="center"/>
    </xf>
    <xf numFmtId="0" fontId="27" fillId="0" borderId="8" xfId="0" applyFont="1" applyBorder="1"/>
    <xf numFmtId="168" fontId="11" fillId="0" borderId="1" xfId="0" applyNumberFormat="1" applyFont="1" applyBorder="1" applyAlignment="1">
      <alignment horizontal="right" vertical="center"/>
    </xf>
    <xf numFmtId="165" fontId="11" fillId="0" borderId="1" xfId="0" applyNumberFormat="1" applyFont="1" applyBorder="1" applyAlignment="1">
      <alignment horizontal="right" vertical="center"/>
    </xf>
    <xf numFmtId="167" fontId="11" fillId="0" borderId="1" xfId="0" applyNumberFormat="1" applyFont="1" applyBorder="1" applyAlignment="1">
      <alignment horizontal="center" vertical="center" wrapText="1"/>
    </xf>
    <xf numFmtId="167" fontId="11" fillId="0" borderId="1" xfId="0" applyNumberFormat="1" applyFont="1" applyBorder="1" applyAlignment="1">
      <alignment horizontal="right" vertical="center"/>
    </xf>
    <xf numFmtId="168" fontId="11" fillId="0" borderId="1" xfId="0" applyNumberFormat="1" applyFont="1" applyBorder="1" applyAlignment="1">
      <alignment horizontal="center" vertical="center" wrapText="1"/>
    </xf>
    <xf numFmtId="0" fontId="31" fillId="0" borderId="1" xfId="0" applyFont="1" applyBorder="1"/>
    <xf numFmtId="164" fontId="12" fillId="0" borderId="1" xfId="0" applyNumberFormat="1" applyFont="1" applyBorder="1" applyAlignment="1">
      <alignment horizontal="right" vertical="center"/>
    </xf>
    <xf numFmtId="0" fontId="0" fillId="0" borderId="1" xfId="0" applyBorder="1"/>
    <xf numFmtId="167" fontId="0" fillId="0" borderId="1" xfId="0" applyNumberFormat="1" applyBorder="1" applyAlignment="1">
      <alignment horizontal="right" vertical="center"/>
    </xf>
    <xf numFmtId="165" fontId="0" fillId="0" borderId="1" xfId="0" applyNumberFormat="1" applyBorder="1" applyAlignment="1">
      <alignment horizontal="right" vertical="center"/>
    </xf>
    <xf numFmtId="0" fontId="4" fillId="0" borderId="1" xfId="0" applyFont="1" applyBorder="1" applyAlignment="1">
      <alignment horizontal="center" vertical="center" wrapText="1"/>
    </xf>
    <xf numFmtId="0" fontId="31" fillId="0" borderId="1" xfId="0" applyFont="1" applyBorder="1" applyAlignment="1">
      <alignment horizontal="left" vertical="center" wrapText="1"/>
    </xf>
    <xf numFmtId="167" fontId="10" fillId="2" borderId="1" xfId="0" applyNumberFormat="1" applyFont="1" applyFill="1" applyBorder="1" applyAlignment="1">
      <alignment horizontal="right" vertical="center"/>
    </xf>
    <xf numFmtId="0" fontId="35" fillId="14" borderId="0" xfId="0" applyFont="1" applyFill="1" applyAlignment="1">
      <alignment horizontal="center"/>
    </xf>
    <xf numFmtId="0" fontId="35" fillId="13" borderId="0" xfId="0" applyFont="1" applyFill="1" applyAlignment="1">
      <alignment horizontal="center"/>
    </xf>
    <xf numFmtId="0" fontId="36" fillId="15" borderId="0" xfId="0" applyFont="1" applyFill="1" applyAlignment="1">
      <alignment horizontal="center"/>
    </xf>
    <xf numFmtId="0" fontId="37" fillId="15" borderId="0" xfId="0" applyFont="1" applyFill="1"/>
    <xf numFmtId="0" fontId="36" fillId="15" borderId="0" xfId="0" applyFont="1" applyFill="1"/>
    <xf numFmtId="3" fontId="36" fillId="15" borderId="0" xfId="0" applyNumberFormat="1" applyFont="1" applyFill="1" applyAlignment="1">
      <alignment horizontal="center"/>
    </xf>
    <xf numFmtId="3" fontId="36" fillId="5" borderId="0" xfId="0" applyNumberFormat="1" applyFont="1" applyFill="1"/>
    <xf numFmtId="0" fontId="36" fillId="0" borderId="0" xfId="0" applyFont="1" applyAlignment="1">
      <alignment horizontal="center"/>
    </xf>
    <xf numFmtId="0" fontId="37" fillId="0" borderId="0" xfId="0" applyFont="1"/>
    <xf numFmtId="0" fontId="36" fillId="0" borderId="0" xfId="0" applyFont="1"/>
    <xf numFmtId="3" fontId="36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0" fontId="38" fillId="15" borderId="0" xfId="0" applyFont="1" applyFill="1" applyAlignment="1">
      <alignment horizontal="center"/>
    </xf>
    <xf numFmtId="3" fontId="0" fillId="5" borderId="0" xfId="0" applyNumberFormat="1" applyFill="1"/>
    <xf numFmtId="0" fontId="39" fillId="0" borderId="0" xfId="0" applyFont="1" applyAlignment="1">
      <alignment horizontal="center"/>
    </xf>
    <xf numFmtId="0" fontId="39" fillId="0" borderId="0" xfId="0" applyFont="1"/>
    <xf numFmtId="3" fontId="39" fillId="0" borderId="0" xfId="0" applyNumberFormat="1" applyFont="1" applyAlignment="1">
      <alignment horizontal="center"/>
    </xf>
    <xf numFmtId="3" fontId="39" fillId="5" borderId="0" xfId="0" applyNumberFormat="1" applyFont="1" applyFill="1"/>
    <xf numFmtId="0" fontId="40" fillId="15" borderId="0" xfId="0" applyFont="1" applyFill="1" applyAlignment="1">
      <alignment horizontal="center"/>
    </xf>
    <xf numFmtId="0" fontId="40" fillId="0" borderId="0" xfId="0" applyFont="1" applyAlignment="1">
      <alignment horizontal="center"/>
    </xf>
    <xf numFmtId="0" fontId="41" fillId="0" borderId="0" xfId="0" applyFont="1"/>
    <xf numFmtId="0" fontId="42" fillId="0" borderId="0" xfId="0" applyFont="1"/>
    <xf numFmtId="0" fontId="20" fillId="0" borderId="0" xfId="0" applyFont="1" applyAlignment="1">
      <alignment vertical="top" wrapText="1"/>
    </xf>
    <xf numFmtId="0" fontId="0" fillId="0" borderId="0" xfId="0"/>
    <xf numFmtId="0" fontId="14" fillId="0" borderId="0" xfId="0" applyFont="1"/>
    <xf numFmtId="0" fontId="6" fillId="0" borderId="0" xfId="0" applyFont="1"/>
    <xf numFmtId="0" fontId="7" fillId="0" borderId="3" xfId="0" applyFont="1" applyBorder="1" applyAlignment="1">
      <alignment horizontal="left" vertical="center" wrapText="1"/>
    </xf>
    <xf numFmtId="0" fontId="0" fillId="0" borderId="16" xfId="0" applyBorder="1"/>
    <xf numFmtId="0" fontId="15" fillId="0" borderId="0" xfId="0" applyFont="1" applyAlignment="1">
      <alignment vertical="top" wrapText="1"/>
    </xf>
    <xf numFmtId="0" fontId="3" fillId="0" borderId="0" xfId="0" applyFont="1"/>
    <xf numFmtId="0" fontId="2" fillId="0" borderId="0" xfId="0" applyFont="1"/>
    <xf numFmtId="0" fontId="10" fillId="2" borderId="0" xfId="0" applyFont="1" applyFill="1"/>
    <xf numFmtId="0" fontId="9" fillId="0" borderId="1" xfId="0" applyFont="1" applyBorder="1" applyAlignment="1">
      <alignment horizontal="left" vertical="center" wrapText="1"/>
    </xf>
    <xf numFmtId="0" fontId="0" fillId="0" borderId="5" xfId="0" applyBorder="1"/>
    <xf numFmtId="0" fontId="9" fillId="0" borderId="0" xfId="0" applyFont="1"/>
    <xf numFmtId="0" fontId="13" fillId="4" borderId="0" xfId="0" applyFont="1" applyFill="1"/>
    <xf numFmtId="0" fontId="5" fillId="5" borderId="4" xfId="0" applyFont="1" applyFill="1" applyBorder="1" applyAlignment="1">
      <alignment horizontal="left" vertical="center" wrapText="1"/>
    </xf>
    <xf numFmtId="0" fontId="0" fillId="0" borderId="17" xfId="0" applyBorder="1"/>
    <xf numFmtId="0" fontId="0" fillId="0" borderId="7" xfId="0" applyBorder="1" applyAlignment="1">
      <alignment vertical="center"/>
    </xf>
    <xf numFmtId="0" fontId="0" fillId="0" borderId="15" xfId="0" applyBorder="1"/>
    <xf numFmtId="0" fontId="0" fillId="0" borderId="14" xfId="0" applyBorder="1"/>
    <xf numFmtId="0" fontId="0" fillId="12" borderId="7" xfId="0" applyFill="1" applyBorder="1" applyAlignment="1">
      <alignment vertical="center"/>
    </xf>
    <xf numFmtId="0" fontId="27" fillId="0" borderId="0" xfId="0" applyFont="1" applyAlignment="1">
      <alignment horizontal="center"/>
    </xf>
    <xf numFmtId="0" fontId="0" fillId="0" borderId="8" xfId="0" applyBorder="1" applyAlignment="1">
      <alignment vertical="center" wrapText="1"/>
    </xf>
    <xf numFmtId="0" fontId="0" fillId="0" borderId="12" xfId="0" applyBorder="1"/>
    <xf numFmtId="0" fontId="0" fillId="0" borderId="9" xfId="0" applyBorder="1"/>
    <xf numFmtId="0" fontId="0" fillId="12" borderId="14" xfId="0" applyFill="1" applyBorder="1" applyAlignment="1">
      <alignment vertical="center"/>
    </xf>
    <xf numFmtId="0" fontId="0" fillId="10" borderId="7" xfId="0" applyFill="1" applyBorder="1" applyAlignment="1">
      <alignment vertical="center"/>
    </xf>
    <xf numFmtId="0" fontId="0" fillId="10" borderId="8" xfId="0" applyFill="1" applyBorder="1" applyAlignment="1">
      <alignment vertical="center"/>
    </xf>
    <xf numFmtId="0" fontId="0" fillId="0" borderId="8" xfId="0" applyBorder="1" applyAlignment="1">
      <alignment vertical="center"/>
    </xf>
    <xf numFmtId="0" fontId="0" fillId="10" borderId="7" xfId="0" applyFill="1" applyBorder="1" applyAlignment="1">
      <alignment horizontal="center" vertical="center"/>
    </xf>
    <xf numFmtId="0" fontId="9" fillId="0" borderId="1" xfId="0" applyFont="1" applyBorder="1"/>
    <xf numFmtId="0" fontId="32" fillId="0" borderId="0" xfId="0" applyFont="1" applyAlignment="1">
      <alignment horizontal="center"/>
    </xf>
    <xf numFmtId="0" fontId="34" fillId="0" borderId="0" xfId="0" applyFont="1" applyAlignment="1">
      <alignment horizontal="center"/>
    </xf>
    <xf numFmtId="0" fontId="33" fillId="13" borderId="0" xfId="0" applyFont="1" applyFill="1" applyAlignment="1">
      <alignment horizontal="center"/>
    </xf>
  </cellXfs>
  <cellStyles count="2">
    <cellStyle name="Normal" xfId="0" builtinId="0"/>
    <cellStyle name="Normal 2" xfId="1" xr:uid="{00000000-0005-0000-0000-000006000000}"/>
  </cellStyles>
  <dxfs count="7"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BEEF4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B4B4B4"/>
      <rgbColor rgb="FFF2F2F2"/>
      <rgbColor rgb="FFCC99FF"/>
      <rgbColor rgb="FFFFC7CE"/>
      <rgbColor rgb="FF3366FF"/>
      <rgbColor rgb="FF33CCCC"/>
      <rgbColor rgb="FF92D050"/>
      <rgbColor rgb="FFFFCC00"/>
      <rgbColor rgb="FFFF9900"/>
      <rgbColor rgb="FFFF6600"/>
      <rgbColor rgb="FF595959"/>
      <rgbColor rgb="FFA6A6A6"/>
      <rgbColor rgb="FF1F3864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56"/>
  <sheetViews>
    <sheetView zoomScaleNormal="100" workbookViewId="0"/>
  </sheetViews>
  <sheetFormatPr defaultColWidth="8.6640625" defaultRowHeight="14.4" x14ac:dyDescent="0.3"/>
  <cols>
    <col min="1" max="1" width="3" customWidth="1"/>
    <col min="2" max="2" width="30" customWidth="1"/>
    <col min="3" max="3" width="70" customWidth="1"/>
  </cols>
  <sheetData>
    <row r="2" spans="2:3" ht="19.5" customHeight="1" x14ac:dyDescent="0.4">
      <c r="B2" s="193" t="s">
        <v>1082</v>
      </c>
      <c r="C2" s="186"/>
    </row>
    <row r="3" spans="2:3" ht="15" customHeight="1" x14ac:dyDescent="0.3">
      <c r="B3" s="192" t="s">
        <v>1083</v>
      </c>
      <c r="C3" s="186"/>
    </row>
    <row r="4" spans="2:3" ht="15" customHeight="1" x14ac:dyDescent="0.3">
      <c r="B4" s="1"/>
      <c r="C4" s="2"/>
    </row>
    <row r="5" spans="2:3" ht="23.25" customHeight="1" x14ac:dyDescent="0.3">
      <c r="B5" s="3" t="s">
        <v>1084</v>
      </c>
      <c r="C5" s="2" t="s">
        <v>1085</v>
      </c>
    </row>
    <row r="6" spans="2:3" ht="34.5" customHeight="1" x14ac:dyDescent="0.3">
      <c r="B6" s="3" t="s">
        <v>1086</v>
      </c>
      <c r="C6" s="2" t="s">
        <v>1087</v>
      </c>
    </row>
    <row r="7" spans="2:3" ht="23.25" customHeight="1" x14ac:dyDescent="0.3">
      <c r="B7" s="3" t="s">
        <v>1088</v>
      </c>
      <c r="C7" s="2" t="s">
        <v>1089</v>
      </c>
    </row>
    <row r="8" spans="2:3" ht="23.25" customHeight="1" x14ac:dyDescent="0.3">
      <c r="B8" s="3" t="s">
        <v>1090</v>
      </c>
      <c r="C8" s="2" t="s">
        <v>1091</v>
      </c>
    </row>
    <row r="9" spans="2:3" ht="23.25" customHeight="1" x14ac:dyDescent="0.3">
      <c r="B9" s="3" t="s">
        <v>1092</v>
      </c>
      <c r="C9" s="2" t="s">
        <v>1093</v>
      </c>
    </row>
    <row r="10" spans="2:3" ht="23.25" customHeight="1" x14ac:dyDescent="0.3">
      <c r="B10" s="3" t="s">
        <v>1094</v>
      </c>
      <c r="C10" s="2" t="s">
        <v>1095</v>
      </c>
    </row>
    <row r="11" spans="2:3" ht="23.25" customHeight="1" x14ac:dyDescent="0.3">
      <c r="B11" s="3" t="s">
        <v>1096</v>
      </c>
      <c r="C11" s="2" t="s">
        <v>1097</v>
      </c>
    </row>
    <row r="12" spans="2:3" ht="15" customHeight="1" x14ac:dyDescent="0.3">
      <c r="B12" s="3" t="s">
        <v>1098</v>
      </c>
      <c r="C12" s="2" t="s">
        <v>1099</v>
      </c>
    </row>
    <row r="13" spans="2:3" ht="23.25" customHeight="1" x14ac:dyDescent="0.3">
      <c r="B13" s="3" t="s">
        <v>1100</v>
      </c>
      <c r="C13" s="2" t="s">
        <v>1101</v>
      </c>
    </row>
    <row r="14" spans="2:3" ht="15" customHeight="1" x14ac:dyDescent="0.3">
      <c r="B14" s="3" t="s">
        <v>1102</v>
      </c>
      <c r="C14" s="2" t="s">
        <v>1103</v>
      </c>
    </row>
    <row r="15" spans="2:3" ht="15" customHeight="1" x14ac:dyDescent="0.3">
      <c r="B15" s="1"/>
      <c r="C15" s="2"/>
    </row>
    <row r="16" spans="2:3" ht="15" customHeight="1" x14ac:dyDescent="0.3">
      <c r="B16" s="4" t="s">
        <v>1104</v>
      </c>
      <c r="C16" s="2"/>
    </row>
    <row r="17" spans="2:3" ht="15" customHeight="1" x14ac:dyDescent="0.3">
      <c r="B17" s="3" t="s">
        <v>1105</v>
      </c>
      <c r="C17" s="2" t="s">
        <v>1106</v>
      </c>
    </row>
    <row r="18" spans="2:3" ht="15" customHeight="1" x14ac:dyDescent="0.3">
      <c r="B18" s="3" t="s">
        <v>1107</v>
      </c>
      <c r="C18" s="2" t="s">
        <v>1108</v>
      </c>
    </row>
    <row r="19" spans="2:3" ht="23.25" customHeight="1" x14ac:dyDescent="0.3">
      <c r="B19" s="3" t="s">
        <v>1109</v>
      </c>
      <c r="C19" s="2" t="s">
        <v>1110</v>
      </c>
    </row>
    <row r="20" spans="2:3" ht="23.25" customHeight="1" x14ac:dyDescent="0.3">
      <c r="B20" s="3" t="s">
        <v>1111</v>
      </c>
      <c r="C20" s="2" t="s">
        <v>1112</v>
      </c>
    </row>
    <row r="21" spans="2:3" ht="15" customHeight="1" x14ac:dyDescent="0.3">
      <c r="B21" s="3" t="s">
        <v>1113</v>
      </c>
      <c r="C21" s="2" t="s">
        <v>1114</v>
      </c>
    </row>
    <row r="22" spans="2:3" ht="15" customHeight="1" x14ac:dyDescent="0.3">
      <c r="B22" s="1"/>
      <c r="C22" s="2"/>
    </row>
    <row r="23" spans="2:3" ht="15" customHeight="1" x14ac:dyDescent="0.3">
      <c r="B23" s="3" t="s">
        <v>1115</v>
      </c>
      <c r="C23" s="2" t="s">
        <v>1116</v>
      </c>
    </row>
    <row r="24" spans="2:3" ht="15" customHeight="1" x14ac:dyDescent="0.3">
      <c r="B24" s="1"/>
      <c r="C24" s="2"/>
    </row>
    <row r="25" spans="2:3" ht="15" customHeight="1" x14ac:dyDescent="0.3">
      <c r="B25" s="4" t="s">
        <v>1117</v>
      </c>
      <c r="C25" s="2"/>
    </row>
    <row r="26" spans="2:3" ht="23.25" customHeight="1" x14ac:dyDescent="0.3">
      <c r="B26" s="3" t="s">
        <v>1118</v>
      </c>
      <c r="C26" s="2" t="s">
        <v>1119</v>
      </c>
    </row>
    <row r="27" spans="2:3" ht="23.25" customHeight="1" x14ac:dyDescent="0.3">
      <c r="B27" s="3" t="s">
        <v>1120</v>
      </c>
      <c r="C27" s="2" t="s">
        <v>1121</v>
      </c>
    </row>
    <row r="28" spans="2:3" ht="23.25" customHeight="1" x14ac:dyDescent="0.3">
      <c r="B28" s="3" t="s">
        <v>1122</v>
      </c>
      <c r="C28" s="2" t="s">
        <v>1123</v>
      </c>
    </row>
    <row r="29" spans="2:3" ht="23.25" customHeight="1" x14ac:dyDescent="0.3">
      <c r="B29" s="3" t="s">
        <v>1124</v>
      </c>
      <c r="C29" s="2" t="s">
        <v>1125</v>
      </c>
    </row>
    <row r="30" spans="2:3" ht="23.25" customHeight="1" x14ac:dyDescent="0.3">
      <c r="B30" s="3" t="s">
        <v>1126</v>
      </c>
      <c r="C30" s="2" t="s">
        <v>1127</v>
      </c>
    </row>
    <row r="31" spans="2:3" ht="15" customHeight="1" x14ac:dyDescent="0.3">
      <c r="B31" s="1"/>
      <c r="C31" s="2"/>
    </row>
    <row r="32" spans="2:3" ht="15" customHeight="1" x14ac:dyDescent="0.3">
      <c r="B32" s="4" t="s">
        <v>1128</v>
      </c>
      <c r="C32" s="2"/>
    </row>
    <row r="33" spans="2:3" ht="15" customHeight="1" x14ac:dyDescent="0.3">
      <c r="B33" s="3" t="s">
        <v>1129</v>
      </c>
      <c r="C33" s="2" t="s">
        <v>1130</v>
      </c>
    </row>
    <row r="34" spans="2:3" ht="15" customHeight="1" x14ac:dyDescent="0.3">
      <c r="B34" s="3" t="s">
        <v>1131</v>
      </c>
      <c r="C34" s="2" t="s">
        <v>1132</v>
      </c>
    </row>
    <row r="35" spans="2:3" ht="15" customHeight="1" x14ac:dyDescent="0.3">
      <c r="B35" s="3" t="s">
        <v>1133</v>
      </c>
      <c r="C35" s="2" t="s">
        <v>1134</v>
      </c>
    </row>
    <row r="36" spans="2:3" ht="15" customHeight="1" x14ac:dyDescent="0.3">
      <c r="B36" s="3" t="s">
        <v>1135</v>
      </c>
      <c r="C36" s="2" t="s">
        <v>1136</v>
      </c>
    </row>
    <row r="37" spans="2:3" ht="15" customHeight="1" x14ac:dyDescent="0.3">
      <c r="B37" s="3" t="s">
        <v>1137</v>
      </c>
      <c r="C37" s="2" t="s">
        <v>1138</v>
      </c>
    </row>
    <row r="38" spans="2:3" ht="15" customHeight="1" x14ac:dyDescent="0.3">
      <c r="B38" s="1"/>
      <c r="C38" s="2"/>
    </row>
    <row r="39" spans="2:3" ht="15" customHeight="1" x14ac:dyDescent="0.3">
      <c r="B39" s="4" t="s">
        <v>1139</v>
      </c>
      <c r="C39" s="2"/>
    </row>
    <row r="40" spans="2:3" ht="23.25" customHeight="1" x14ac:dyDescent="0.3">
      <c r="B40" s="3" t="s">
        <v>1140</v>
      </c>
      <c r="C40" s="2" t="s">
        <v>1141</v>
      </c>
    </row>
    <row r="41" spans="2:3" ht="34.5" customHeight="1" x14ac:dyDescent="0.3">
      <c r="B41" s="3" t="s">
        <v>1142</v>
      </c>
      <c r="C41" s="2" t="s">
        <v>1143</v>
      </c>
    </row>
    <row r="42" spans="2:3" ht="23.25" customHeight="1" x14ac:dyDescent="0.3">
      <c r="B42" s="3" t="s">
        <v>1144</v>
      </c>
      <c r="C42" s="2" t="s">
        <v>1145</v>
      </c>
    </row>
    <row r="43" spans="2:3" ht="23.25" customHeight="1" x14ac:dyDescent="0.3">
      <c r="B43" s="3" t="s">
        <v>1146</v>
      </c>
      <c r="C43" s="2" t="s">
        <v>1147</v>
      </c>
    </row>
    <row r="45" spans="2:3" ht="14.25" customHeight="1" x14ac:dyDescent="0.3">
      <c r="B45" s="4" t="s">
        <v>1148</v>
      </c>
    </row>
    <row r="46" spans="2:3" ht="45.75" customHeight="1" x14ac:dyDescent="0.3">
      <c r="B46" s="3" t="s">
        <v>1149</v>
      </c>
      <c r="C46" s="2" t="s">
        <v>1150</v>
      </c>
    </row>
    <row r="47" spans="2:3" ht="23.25" customHeight="1" x14ac:dyDescent="0.3">
      <c r="B47" s="3" t="s">
        <v>1151</v>
      </c>
      <c r="C47" s="2" t="s">
        <v>1152</v>
      </c>
    </row>
    <row r="48" spans="2:3" ht="45.75" customHeight="1" x14ac:dyDescent="0.3">
      <c r="B48" s="3" t="s">
        <v>1153</v>
      </c>
      <c r="C48" s="2" t="s">
        <v>1154</v>
      </c>
    </row>
    <row r="49" spans="2:3" ht="34.5" customHeight="1" x14ac:dyDescent="0.3">
      <c r="B49" s="3" t="s">
        <v>1155</v>
      </c>
      <c r="C49" s="2" t="s">
        <v>1156</v>
      </c>
    </row>
    <row r="51" spans="2:3" ht="14.25" customHeight="1" x14ac:dyDescent="0.3">
      <c r="B51" s="5" t="s">
        <v>1157</v>
      </c>
    </row>
    <row r="52" spans="2:3" ht="23.25" customHeight="1" x14ac:dyDescent="0.3">
      <c r="B52" s="6" t="s">
        <v>1158</v>
      </c>
      <c r="C52" s="7" t="s">
        <v>1159</v>
      </c>
    </row>
    <row r="53" spans="2:3" ht="34.5" customHeight="1" x14ac:dyDescent="0.3">
      <c r="B53" s="6" t="s">
        <v>1160</v>
      </c>
      <c r="C53" s="7" t="s">
        <v>1161</v>
      </c>
    </row>
    <row r="54" spans="2:3" ht="23.25" customHeight="1" x14ac:dyDescent="0.3">
      <c r="B54" s="6" t="s">
        <v>1162</v>
      </c>
      <c r="C54" s="7" t="s">
        <v>1163</v>
      </c>
    </row>
    <row r="55" spans="2:3" ht="23.25" customHeight="1" x14ac:dyDescent="0.3">
      <c r="B55" s="6" t="s">
        <v>1164</v>
      </c>
      <c r="C55" s="7" t="s">
        <v>1165</v>
      </c>
    </row>
    <row r="56" spans="2:3" ht="23.25" customHeight="1" x14ac:dyDescent="0.3">
      <c r="B56" s="6" t="s">
        <v>1166</v>
      </c>
      <c r="C56" s="7" t="s">
        <v>1167</v>
      </c>
    </row>
  </sheetData>
  <mergeCells count="2">
    <mergeCell ref="B3:C3"/>
    <mergeCell ref="B2:C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8"/>
  <sheetViews>
    <sheetView zoomScaleNormal="100" workbookViewId="0">
      <pane ySplit="4" topLeftCell="A5" activePane="bottomLeft" state="frozen"/>
      <selection pane="bottomLeft" activeCell="I5" sqref="I5"/>
    </sheetView>
  </sheetViews>
  <sheetFormatPr defaultColWidth="8.6640625" defaultRowHeight="14.4" x14ac:dyDescent="0.3"/>
  <cols>
    <col min="1" max="1" width="5" customWidth="1"/>
    <col min="2" max="2" width="24" customWidth="1"/>
    <col min="3" max="5" width="13" customWidth="1"/>
    <col min="6" max="6" width="14" customWidth="1"/>
    <col min="7" max="7" width="15" customWidth="1"/>
    <col min="8" max="8" width="32" customWidth="1"/>
    <col min="9" max="11" width="15" customWidth="1"/>
    <col min="12" max="13" width="10" customWidth="1"/>
    <col min="14" max="14" width="11" customWidth="1"/>
    <col min="15" max="15" width="44" customWidth="1"/>
  </cols>
  <sheetData>
    <row r="1" spans="1:15" ht="24" customHeight="1" x14ac:dyDescent="0.4">
      <c r="A1" s="193" t="s">
        <v>1168</v>
      </c>
      <c r="B1" s="186"/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6"/>
    </row>
    <row r="2" spans="1:15" ht="37.5" customHeight="1" x14ac:dyDescent="0.3">
      <c r="A2" s="197" t="s">
        <v>1169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</row>
    <row r="4" spans="1:15" ht="48" customHeight="1" x14ac:dyDescent="0.3">
      <c r="A4" s="8" t="s">
        <v>2</v>
      </c>
      <c r="B4" s="8" t="s">
        <v>3</v>
      </c>
      <c r="C4" s="8" t="s">
        <v>1170</v>
      </c>
      <c r="D4" s="8" t="s">
        <v>1171</v>
      </c>
      <c r="E4" s="8" t="s">
        <v>1172</v>
      </c>
      <c r="F4" s="8" t="s">
        <v>1173</v>
      </c>
      <c r="G4" s="8" t="s">
        <v>1174</v>
      </c>
      <c r="H4" s="8" t="s">
        <v>1175</v>
      </c>
      <c r="I4" s="8" t="s">
        <v>1176</v>
      </c>
      <c r="J4" s="8" t="s">
        <v>1177</v>
      </c>
      <c r="K4" s="8" t="s">
        <v>1178</v>
      </c>
      <c r="L4" s="8" t="s">
        <v>1179</v>
      </c>
      <c r="M4" s="8" t="s">
        <v>1180</v>
      </c>
      <c r="N4" s="8" t="s">
        <v>1181</v>
      </c>
      <c r="O4" s="8" t="s">
        <v>1182</v>
      </c>
    </row>
    <row r="5" spans="1:15" ht="23.25" customHeight="1" x14ac:dyDescent="0.3">
      <c r="A5" s="9">
        <v>1</v>
      </c>
      <c r="B5" s="10" t="s">
        <v>19</v>
      </c>
      <c r="C5" s="11">
        <v>2500</v>
      </c>
      <c r="D5" s="11">
        <v>3500</v>
      </c>
      <c r="E5" s="11">
        <v>6050</v>
      </c>
      <c r="F5" s="12">
        <f>'Engineering Assumptions'!$C$18*'Engineering Assumptions'!$B$5+'Engineering Assumptions'!$B$8+'Engineering Assumptions'!$D$18*1+'Engineering Assumptions'!$E$18*0.3</f>
        <v>2997</v>
      </c>
      <c r="G5" s="13">
        <f>F5*(1+'Engineering Assumptions'!$B$10)*(1+'Engineering Assumptions'!$B$11)</f>
        <v>4135.8599999999997</v>
      </c>
      <c r="H5" s="14" t="s">
        <v>1183</v>
      </c>
      <c r="I5" s="15">
        <f t="shared" ref="I5:I33" si="0">MROUND(MIN(MAX(G5,C5*1.1),E5*0.88),50)</f>
        <v>4150</v>
      </c>
      <c r="J5" s="16">
        <v>0.48</v>
      </c>
      <c r="K5" s="15">
        <f t="shared" ref="K5:K33" si="1">MROUND(I5*J5,50)</f>
        <v>2000</v>
      </c>
      <c r="L5" s="17">
        <f t="shared" ref="L5:L33" si="2">K5/I5</f>
        <v>0.48192771084337349</v>
      </c>
      <c r="M5" s="18">
        <f t="shared" ref="M5:M33" si="3">(I5-C5)/C5</f>
        <v>0.66</v>
      </c>
      <c r="N5" s="18">
        <f t="shared" ref="N5:N33" si="4">(E5-I5)/E5</f>
        <v>0.31404958677685951</v>
      </c>
      <c r="O5" s="14" t="s">
        <v>1184</v>
      </c>
    </row>
    <row r="6" spans="1:15" ht="23.25" customHeight="1" x14ac:dyDescent="0.3">
      <c r="A6" s="9">
        <v>2</v>
      </c>
      <c r="B6" s="10" t="s">
        <v>87</v>
      </c>
      <c r="C6" s="11">
        <v>5000</v>
      </c>
      <c r="D6" s="11">
        <v>8500</v>
      </c>
      <c r="E6" s="11">
        <v>15760</v>
      </c>
      <c r="F6" s="12">
        <f>'Engineering Assumptions'!$C$19*'Engineering Assumptions'!$B$5+'Engineering Assumptions'!$B$8+'Engineering Assumptions'!$D$19*1+'Engineering Assumptions'!$E$19*0.3</f>
        <v>6110</v>
      </c>
      <c r="G6" s="13">
        <f>F6*(1+'Engineering Assumptions'!$B$10)*(1+'Engineering Assumptions'!$B$11)</f>
        <v>8431.7999999999993</v>
      </c>
      <c r="H6" s="14" t="s">
        <v>1183</v>
      </c>
      <c r="I6" s="15">
        <f t="shared" si="0"/>
        <v>8450</v>
      </c>
      <c r="J6" s="16">
        <v>0.45</v>
      </c>
      <c r="K6" s="15">
        <f t="shared" si="1"/>
        <v>3800</v>
      </c>
      <c r="L6" s="17">
        <f t="shared" si="2"/>
        <v>0.44970414201183434</v>
      </c>
      <c r="M6" s="18">
        <f t="shared" si="3"/>
        <v>0.69</v>
      </c>
      <c r="N6" s="18">
        <f t="shared" si="4"/>
        <v>0.46383248730964466</v>
      </c>
      <c r="O6" s="14" t="s">
        <v>1185</v>
      </c>
    </row>
    <row r="7" spans="1:15" ht="23.25" customHeight="1" x14ac:dyDescent="0.3">
      <c r="A7" s="9">
        <v>3</v>
      </c>
      <c r="B7" s="10" t="s">
        <v>112</v>
      </c>
      <c r="C7" s="11">
        <v>3500</v>
      </c>
      <c r="D7" s="11">
        <v>4500</v>
      </c>
      <c r="E7" s="11">
        <v>5500</v>
      </c>
      <c r="F7" s="12">
        <f>'Engineering Assumptions'!$C$20*'Engineering Assumptions'!$B$5+'Engineering Assumptions'!$B$8+'Engineering Assumptions'!$D$20*1+'Engineering Assumptions'!$E$20*0.3</f>
        <v>3628</v>
      </c>
      <c r="G7" s="13">
        <f>F7*(1+'Engineering Assumptions'!$B$10)*(1+'Engineering Assumptions'!$B$11)</f>
        <v>5006.6399999999994</v>
      </c>
      <c r="H7" s="14" t="s">
        <v>1183</v>
      </c>
      <c r="I7" s="15">
        <f t="shared" si="0"/>
        <v>4850</v>
      </c>
      <c r="J7" s="16">
        <v>0.5</v>
      </c>
      <c r="K7" s="15">
        <f t="shared" si="1"/>
        <v>2450</v>
      </c>
      <c r="L7" s="17">
        <f t="shared" si="2"/>
        <v>0.50515463917525771</v>
      </c>
      <c r="M7" s="18">
        <f t="shared" si="3"/>
        <v>0.38571428571428573</v>
      </c>
      <c r="N7" s="18">
        <f t="shared" si="4"/>
        <v>0.11818181818181818</v>
      </c>
      <c r="O7" s="14" t="s">
        <v>1186</v>
      </c>
    </row>
    <row r="8" spans="1:15" ht="23.25" customHeight="1" x14ac:dyDescent="0.3">
      <c r="A8" s="9">
        <v>4</v>
      </c>
      <c r="B8" s="10" t="s">
        <v>161</v>
      </c>
      <c r="C8" s="11">
        <v>4500</v>
      </c>
      <c r="D8" s="11">
        <v>5200</v>
      </c>
      <c r="E8" s="11">
        <v>6000</v>
      </c>
      <c r="F8" s="12">
        <f>'Engineering Assumptions'!$C$21*'Engineering Assumptions'!$B$5+'Engineering Assumptions'!$B$8+'Engineering Assumptions'!$D$21*1+'Engineering Assumptions'!$E$21*0.3</f>
        <v>4062</v>
      </c>
      <c r="G8" s="13">
        <f>F8*(1+'Engineering Assumptions'!$B$10)*(1+'Engineering Assumptions'!$B$11)</f>
        <v>5605.5599999999986</v>
      </c>
      <c r="H8" s="14" t="s">
        <v>1183</v>
      </c>
      <c r="I8" s="15">
        <f t="shared" si="0"/>
        <v>5300</v>
      </c>
      <c r="J8" s="16">
        <v>0.5</v>
      </c>
      <c r="K8" s="15">
        <f t="shared" si="1"/>
        <v>2650</v>
      </c>
      <c r="L8" s="17">
        <f t="shared" si="2"/>
        <v>0.5</v>
      </c>
      <c r="M8" s="18">
        <f t="shared" si="3"/>
        <v>0.17777777777777778</v>
      </c>
      <c r="N8" s="18">
        <f t="shared" si="4"/>
        <v>0.11666666666666667</v>
      </c>
      <c r="O8" s="14" t="s">
        <v>1187</v>
      </c>
    </row>
    <row r="9" spans="1:15" ht="23.25" customHeight="1" x14ac:dyDescent="0.3">
      <c r="A9" s="9">
        <v>5</v>
      </c>
      <c r="B9" s="10" t="s">
        <v>171</v>
      </c>
      <c r="C9" s="11">
        <v>2500</v>
      </c>
      <c r="D9" s="11">
        <v>3500</v>
      </c>
      <c r="E9" s="11">
        <v>5230</v>
      </c>
      <c r="F9" s="12">
        <f>'Engineering Assumptions'!$C$22*'Engineering Assumptions'!$B$5+'Engineering Assumptions'!$B$8+'Engineering Assumptions'!$D$22*1+'Engineering Assumptions'!$E$22*0.3</f>
        <v>4029</v>
      </c>
      <c r="G9" s="13">
        <f>F9*(1+'Engineering Assumptions'!$B$10)*(1+'Engineering Assumptions'!$B$11)</f>
        <v>5560.0199999999995</v>
      </c>
      <c r="H9" s="14" t="s">
        <v>1183</v>
      </c>
      <c r="I9" s="15">
        <f t="shared" si="0"/>
        <v>4600</v>
      </c>
      <c r="J9" s="16">
        <v>0.5</v>
      </c>
      <c r="K9" s="15">
        <f t="shared" si="1"/>
        <v>2300</v>
      </c>
      <c r="L9" s="17">
        <f t="shared" si="2"/>
        <v>0.5</v>
      </c>
      <c r="M9" s="18">
        <f t="shared" si="3"/>
        <v>0.84</v>
      </c>
      <c r="N9" s="18">
        <f t="shared" si="4"/>
        <v>0.12045889101338432</v>
      </c>
      <c r="O9" s="14" t="s">
        <v>1188</v>
      </c>
    </row>
    <row r="10" spans="1:15" ht="23.25" customHeight="1" x14ac:dyDescent="0.3">
      <c r="A10" s="9">
        <v>6</v>
      </c>
      <c r="B10" s="10" t="s">
        <v>205</v>
      </c>
      <c r="C10" s="11">
        <v>3000</v>
      </c>
      <c r="D10" s="11">
        <v>4000</v>
      </c>
      <c r="E10" s="11">
        <v>5000</v>
      </c>
      <c r="F10" s="12">
        <f>'Engineering Assumptions'!$C$23*'Engineering Assumptions'!$B$5+'Engineering Assumptions'!$B$8+'Engineering Assumptions'!$D$23*1+'Engineering Assumptions'!$E$23*0.3</f>
        <v>2812</v>
      </c>
      <c r="G10" s="13">
        <f>F10*(1+'Engineering Assumptions'!$B$10)*(1+'Engineering Assumptions'!$B$11)</f>
        <v>3880.5599999999995</v>
      </c>
      <c r="H10" s="14" t="s">
        <v>1183</v>
      </c>
      <c r="I10" s="15">
        <f t="shared" si="0"/>
        <v>3900</v>
      </c>
      <c r="J10" s="16">
        <v>0.5</v>
      </c>
      <c r="K10" s="15">
        <f t="shared" si="1"/>
        <v>1950</v>
      </c>
      <c r="L10" s="17">
        <f t="shared" si="2"/>
        <v>0.5</v>
      </c>
      <c r="M10" s="18">
        <f t="shared" si="3"/>
        <v>0.3</v>
      </c>
      <c r="N10" s="18">
        <f t="shared" si="4"/>
        <v>0.22</v>
      </c>
      <c r="O10" s="14" t="s">
        <v>1189</v>
      </c>
    </row>
    <row r="11" spans="1:15" ht="23.25" customHeight="1" x14ac:dyDescent="0.3">
      <c r="A11" s="9">
        <v>7</v>
      </c>
      <c r="B11" s="10" t="s">
        <v>297</v>
      </c>
      <c r="C11" s="11">
        <v>3000</v>
      </c>
      <c r="D11" s="11">
        <v>3800</v>
      </c>
      <c r="E11" s="11">
        <v>4500</v>
      </c>
      <c r="F11" s="12">
        <f>'Engineering Assumptions'!$C$24*'Engineering Assumptions'!$B$5+'Engineering Assumptions'!$B$8+'Engineering Assumptions'!$D$24*1+'Engineering Assumptions'!$E$24*0.3</f>
        <v>3605</v>
      </c>
      <c r="G11" s="13">
        <f>F11*(1+'Engineering Assumptions'!$B$10)*(1+'Engineering Assumptions'!$B$11)</f>
        <v>4974.8999999999996</v>
      </c>
      <c r="H11" s="14" t="s">
        <v>1183</v>
      </c>
      <c r="I11" s="15">
        <f t="shared" si="0"/>
        <v>3950</v>
      </c>
      <c r="J11" s="16">
        <v>0.5</v>
      </c>
      <c r="K11" s="15">
        <f t="shared" si="1"/>
        <v>2000</v>
      </c>
      <c r="L11" s="17">
        <f t="shared" si="2"/>
        <v>0.50632911392405067</v>
      </c>
      <c r="M11" s="18">
        <f t="shared" si="3"/>
        <v>0.31666666666666665</v>
      </c>
      <c r="N11" s="18">
        <f t="shared" si="4"/>
        <v>0.12222222222222222</v>
      </c>
      <c r="O11" s="14" t="s">
        <v>1190</v>
      </c>
    </row>
    <row r="12" spans="1:15" ht="23.25" customHeight="1" x14ac:dyDescent="0.3">
      <c r="A12" s="9">
        <v>8</v>
      </c>
      <c r="B12" s="10" t="s">
        <v>318</v>
      </c>
      <c r="C12" s="11">
        <v>7000</v>
      </c>
      <c r="D12" s="11">
        <v>8500</v>
      </c>
      <c r="E12" s="11">
        <v>11000</v>
      </c>
      <c r="F12" s="12">
        <f>'Engineering Assumptions'!$C$25*'Engineering Assumptions'!$B$5+'Engineering Assumptions'!$B$8+'Engineering Assumptions'!$D$25*1+'Engineering Assumptions'!$E$25*0.3</f>
        <v>6980</v>
      </c>
      <c r="G12" s="13">
        <f>F12*(1+'Engineering Assumptions'!$B$10)*(1+'Engineering Assumptions'!$B$11)</f>
        <v>9632.3999999999978</v>
      </c>
      <c r="H12" s="14" t="s">
        <v>1183</v>
      </c>
      <c r="I12" s="15">
        <f t="shared" si="0"/>
        <v>9650</v>
      </c>
      <c r="J12" s="16">
        <v>0.45</v>
      </c>
      <c r="K12" s="15">
        <f t="shared" si="1"/>
        <v>4350</v>
      </c>
      <c r="L12" s="17">
        <f t="shared" si="2"/>
        <v>0.45077720207253885</v>
      </c>
      <c r="M12" s="18">
        <f t="shared" si="3"/>
        <v>0.37857142857142856</v>
      </c>
      <c r="N12" s="18">
        <f t="shared" si="4"/>
        <v>0.12272727272727273</v>
      </c>
      <c r="O12" s="14" t="s">
        <v>1191</v>
      </c>
    </row>
    <row r="13" spans="1:15" ht="23.25" customHeight="1" x14ac:dyDescent="0.3">
      <c r="A13" s="9">
        <v>9</v>
      </c>
      <c r="B13" s="10" t="s">
        <v>352</v>
      </c>
      <c r="C13" s="11">
        <v>2000</v>
      </c>
      <c r="D13" s="11">
        <v>2500</v>
      </c>
      <c r="E13" s="11">
        <v>3060</v>
      </c>
      <c r="F13" s="12">
        <f>'Engineering Assumptions'!$C$26*'Engineering Assumptions'!$B$5+'Engineering Assumptions'!$B$8+'Engineering Assumptions'!$D$26*1+'Engineering Assumptions'!$E$26*0.3</f>
        <v>2589</v>
      </c>
      <c r="G13" s="13">
        <f>F13*(1+'Engineering Assumptions'!$B$10)*(1+'Engineering Assumptions'!$B$11)</f>
        <v>3572.8199999999997</v>
      </c>
      <c r="H13" s="14" t="s">
        <v>1183</v>
      </c>
      <c r="I13" s="15">
        <f t="shared" si="0"/>
        <v>2700</v>
      </c>
      <c r="J13" s="16">
        <v>0.5</v>
      </c>
      <c r="K13" s="15">
        <f t="shared" si="1"/>
        <v>1350</v>
      </c>
      <c r="L13" s="17">
        <f t="shared" si="2"/>
        <v>0.5</v>
      </c>
      <c r="M13" s="18">
        <f t="shared" si="3"/>
        <v>0.35</v>
      </c>
      <c r="N13" s="18">
        <f t="shared" si="4"/>
        <v>0.11764705882352941</v>
      </c>
      <c r="O13" s="14" t="s">
        <v>1192</v>
      </c>
    </row>
    <row r="14" spans="1:15" ht="23.25" customHeight="1" x14ac:dyDescent="0.3">
      <c r="A14" s="9">
        <v>10</v>
      </c>
      <c r="B14" s="10" t="s">
        <v>386</v>
      </c>
      <c r="C14" s="11">
        <v>7000</v>
      </c>
      <c r="D14" s="11">
        <v>8500</v>
      </c>
      <c r="E14" s="11">
        <v>10000</v>
      </c>
      <c r="F14" s="12">
        <f>'Engineering Assumptions'!$C$27*'Engineering Assumptions'!$B$5+'Engineering Assumptions'!$B$8+'Engineering Assumptions'!$D$27*1+'Engineering Assumptions'!$E$27*0.3</f>
        <v>5822</v>
      </c>
      <c r="G14" s="13">
        <f>F14*(1+'Engineering Assumptions'!$B$10)*(1+'Engineering Assumptions'!$B$11)</f>
        <v>8034.3599999999988</v>
      </c>
      <c r="H14" s="14" t="s">
        <v>1183</v>
      </c>
      <c r="I14" s="15">
        <f t="shared" si="0"/>
        <v>8050</v>
      </c>
      <c r="J14" s="16">
        <v>0.45</v>
      </c>
      <c r="K14" s="15">
        <f t="shared" si="1"/>
        <v>3600</v>
      </c>
      <c r="L14" s="17">
        <f t="shared" si="2"/>
        <v>0.44720496894409939</v>
      </c>
      <c r="M14" s="18">
        <f t="shared" si="3"/>
        <v>0.15</v>
      </c>
      <c r="N14" s="18">
        <f t="shared" si="4"/>
        <v>0.19500000000000001</v>
      </c>
      <c r="O14" s="14" t="s">
        <v>1193</v>
      </c>
    </row>
    <row r="15" spans="1:15" ht="23.25" customHeight="1" x14ac:dyDescent="0.3">
      <c r="A15" s="9">
        <v>11</v>
      </c>
      <c r="B15" s="10" t="s">
        <v>408</v>
      </c>
      <c r="C15" s="11">
        <v>2500</v>
      </c>
      <c r="D15" s="11">
        <v>3200</v>
      </c>
      <c r="E15" s="11">
        <v>4000</v>
      </c>
      <c r="F15" s="12">
        <f>'Engineering Assumptions'!$C$28*'Engineering Assumptions'!$B$5+'Engineering Assumptions'!$B$8+'Engineering Assumptions'!$D$28*1+'Engineering Assumptions'!$E$28*0.3</f>
        <v>3366</v>
      </c>
      <c r="G15" s="13">
        <f>F15*(1+'Engineering Assumptions'!$B$10)*(1+'Engineering Assumptions'!$B$11)</f>
        <v>4645.079999999999</v>
      </c>
      <c r="H15" s="14" t="s">
        <v>1183</v>
      </c>
      <c r="I15" s="15">
        <f t="shared" si="0"/>
        <v>3500</v>
      </c>
      <c r="J15" s="16">
        <v>0.5</v>
      </c>
      <c r="K15" s="15">
        <f t="shared" si="1"/>
        <v>1750</v>
      </c>
      <c r="L15" s="17">
        <f t="shared" si="2"/>
        <v>0.5</v>
      </c>
      <c r="M15" s="18">
        <f t="shared" si="3"/>
        <v>0.4</v>
      </c>
      <c r="N15" s="18">
        <f t="shared" si="4"/>
        <v>0.125</v>
      </c>
      <c r="O15" s="14" t="s">
        <v>1194</v>
      </c>
    </row>
    <row r="16" spans="1:15" ht="23.25" customHeight="1" x14ac:dyDescent="0.3">
      <c r="A16" s="9">
        <v>12</v>
      </c>
      <c r="B16" s="10" t="s">
        <v>423</v>
      </c>
      <c r="C16" s="11">
        <v>8000</v>
      </c>
      <c r="D16" s="11">
        <v>9500</v>
      </c>
      <c r="E16" s="11">
        <v>11660</v>
      </c>
      <c r="F16" s="12">
        <f>'Engineering Assumptions'!$C$29*'Engineering Assumptions'!$B$5+'Engineering Assumptions'!$B$8+'Engineering Assumptions'!$D$29*1+'Engineering Assumptions'!$E$29*0.3</f>
        <v>4954</v>
      </c>
      <c r="G16" s="13">
        <f>F16*(1+'Engineering Assumptions'!$B$10)*(1+'Engineering Assumptions'!$B$11)</f>
        <v>6836.5199999999995</v>
      </c>
      <c r="H16" s="14" t="s">
        <v>1183</v>
      </c>
      <c r="I16" s="15">
        <f t="shared" si="0"/>
        <v>8800</v>
      </c>
      <c r="J16" s="16">
        <v>0.5</v>
      </c>
      <c r="K16" s="15">
        <f t="shared" si="1"/>
        <v>4400</v>
      </c>
      <c r="L16" s="17">
        <f t="shared" si="2"/>
        <v>0.5</v>
      </c>
      <c r="M16" s="18">
        <f t="shared" si="3"/>
        <v>0.1</v>
      </c>
      <c r="N16" s="18">
        <f t="shared" si="4"/>
        <v>0.24528301886792453</v>
      </c>
      <c r="O16" s="14" t="s">
        <v>1195</v>
      </c>
    </row>
    <row r="17" spans="1:15" ht="23.25" customHeight="1" x14ac:dyDescent="0.3">
      <c r="A17" s="9">
        <v>13</v>
      </c>
      <c r="B17" s="10" t="s">
        <v>433</v>
      </c>
      <c r="C17" s="11">
        <v>4000</v>
      </c>
      <c r="D17" s="11">
        <v>5000</v>
      </c>
      <c r="E17" s="11">
        <v>6610</v>
      </c>
      <c r="F17" s="12">
        <f>'Engineering Assumptions'!$C$30*'Engineering Assumptions'!$B$5+'Engineering Assumptions'!$B$8+'Engineering Assumptions'!$D$30*1+'Engineering Assumptions'!$E$30*0.3</f>
        <v>3628</v>
      </c>
      <c r="G17" s="13">
        <f>F17*(1+'Engineering Assumptions'!$B$10)*(1+'Engineering Assumptions'!$B$11)</f>
        <v>5006.6399999999994</v>
      </c>
      <c r="H17" s="14" t="s">
        <v>1183</v>
      </c>
      <c r="I17" s="15">
        <f t="shared" si="0"/>
        <v>5000</v>
      </c>
      <c r="J17" s="16">
        <v>0.5</v>
      </c>
      <c r="K17" s="15">
        <f t="shared" si="1"/>
        <v>2500</v>
      </c>
      <c r="L17" s="17">
        <f t="shared" si="2"/>
        <v>0.5</v>
      </c>
      <c r="M17" s="18">
        <f t="shared" si="3"/>
        <v>0.25</v>
      </c>
      <c r="N17" s="18">
        <f t="shared" si="4"/>
        <v>0.24357034795763993</v>
      </c>
      <c r="O17" s="14" t="s">
        <v>1196</v>
      </c>
    </row>
    <row r="18" spans="1:15" ht="23.25" customHeight="1" x14ac:dyDescent="0.3">
      <c r="A18" s="9">
        <v>14</v>
      </c>
      <c r="B18" s="10" t="s">
        <v>448</v>
      </c>
      <c r="C18" s="11">
        <v>3500</v>
      </c>
      <c r="D18" s="11">
        <v>4500</v>
      </c>
      <c r="E18" s="11">
        <v>5500</v>
      </c>
      <c r="F18" s="12">
        <f>'Engineering Assumptions'!$C$31*'Engineering Assumptions'!$B$5+'Engineering Assumptions'!$B$8+'Engineering Assumptions'!$D$31*1+'Engineering Assumptions'!$E$31*0.3</f>
        <v>6363</v>
      </c>
      <c r="G18" s="13">
        <f>F18*(1+'Engineering Assumptions'!$B$10)*(1+'Engineering Assumptions'!$B$11)</f>
        <v>8780.9399999999987</v>
      </c>
      <c r="H18" s="14" t="s">
        <v>1183</v>
      </c>
      <c r="I18" s="15">
        <f t="shared" si="0"/>
        <v>4850</v>
      </c>
      <c r="J18" s="16">
        <v>0.5</v>
      </c>
      <c r="K18" s="15">
        <f t="shared" si="1"/>
        <v>2450</v>
      </c>
      <c r="L18" s="17">
        <f t="shared" si="2"/>
        <v>0.50515463917525771</v>
      </c>
      <c r="M18" s="18">
        <f t="shared" si="3"/>
        <v>0.38571428571428573</v>
      </c>
      <c r="N18" s="18">
        <f t="shared" si="4"/>
        <v>0.11818181818181818</v>
      </c>
      <c r="O18" s="14" t="s">
        <v>1197</v>
      </c>
    </row>
    <row r="19" spans="1:15" ht="23.25" customHeight="1" x14ac:dyDescent="0.3">
      <c r="A19" s="9">
        <v>15</v>
      </c>
      <c r="B19" s="10" t="s">
        <v>473</v>
      </c>
      <c r="C19" s="11">
        <v>8500</v>
      </c>
      <c r="D19" s="11">
        <v>10000</v>
      </c>
      <c r="E19" s="11">
        <v>11000</v>
      </c>
      <c r="F19" s="12">
        <f>'Engineering Assumptions'!$C$32*'Engineering Assumptions'!$B$5+'Engineering Assumptions'!$B$8+'Engineering Assumptions'!$D$32*1+'Engineering Assumptions'!$E$32*0.3</f>
        <v>6242</v>
      </c>
      <c r="G19" s="13">
        <f>F19*(1+'Engineering Assumptions'!$B$10)*(1+'Engineering Assumptions'!$B$11)</f>
        <v>8613.9599999999991</v>
      </c>
      <c r="H19" s="14" t="s">
        <v>1183</v>
      </c>
      <c r="I19" s="15">
        <f t="shared" si="0"/>
        <v>9350</v>
      </c>
      <c r="J19" s="16">
        <v>0.45</v>
      </c>
      <c r="K19" s="15">
        <f t="shared" si="1"/>
        <v>4200</v>
      </c>
      <c r="L19" s="17">
        <f t="shared" si="2"/>
        <v>0.44919786096256686</v>
      </c>
      <c r="M19" s="18">
        <f t="shared" si="3"/>
        <v>0.1</v>
      </c>
      <c r="N19" s="18">
        <f t="shared" si="4"/>
        <v>0.15</v>
      </c>
      <c r="O19" s="14" t="s">
        <v>1198</v>
      </c>
    </row>
    <row r="20" spans="1:15" ht="23.25" customHeight="1" x14ac:dyDescent="0.3">
      <c r="A20" s="9">
        <v>16</v>
      </c>
      <c r="B20" s="10" t="s">
        <v>481</v>
      </c>
      <c r="C20" s="11">
        <v>1200</v>
      </c>
      <c r="D20" s="11">
        <v>1500</v>
      </c>
      <c r="E20" s="11">
        <v>2000</v>
      </c>
      <c r="F20" s="12">
        <f>'Engineering Assumptions'!$C$33*'Engineering Assumptions'!$B$5+'Engineering Assumptions'!$B$8+'Engineering Assumptions'!$D$33*1+'Engineering Assumptions'!$E$33*0.3</f>
        <v>1919</v>
      </c>
      <c r="G20" s="13">
        <f>F20*(1+'Engineering Assumptions'!$B$10)*(1+'Engineering Assumptions'!$B$11)</f>
        <v>2648.22</v>
      </c>
      <c r="H20" s="14" t="s">
        <v>1183</v>
      </c>
      <c r="I20" s="15">
        <f t="shared" si="0"/>
        <v>1750</v>
      </c>
      <c r="J20" s="16">
        <v>0.55000000000000004</v>
      </c>
      <c r="K20" s="15">
        <f t="shared" si="1"/>
        <v>950</v>
      </c>
      <c r="L20" s="17">
        <f t="shared" si="2"/>
        <v>0.54285714285714282</v>
      </c>
      <c r="M20" s="18">
        <f t="shared" si="3"/>
        <v>0.45833333333333331</v>
      </c>
      <c r="N20" s="18">
        <f t="shared" si="4"/>
        <v>0.125</v>
      </c>
      <c r="O20" s="14" t="s">
        <v>1199</v>
      </c>
    </row>
    <row r="21" spans="1:15" ht="23.25" customHeight="1" x14ac:dyDescent="0.3">
      <c r="A21" s="9">
        <v>17</v>
      </c>
      <c r="B21" s="10" t="s">
        <v>546</v>
      </c>
      <c r="C21" s="11">
        <v>950</v>
      </c>
      <c r="D21" s="11">
        <v>1300</v>
      </c>
      <c r="E21" s="11">
        <v>1800</v>
      </c>
      <c r="F21" s="12">
        <f>'Engineering Assumptions'!$C$34*'Engineering Assumptions'!$B$5+'Engineering Assumptions'!$B$8+'Engineering Assumptions'!$D$34*1+'Engineering Assumptions'!$E$34*0.3</f>
        <v>1702</v>
      </c>
      <c r="G21" s="13">
        <f>F21*(1+'Engineering Assumptions'!$B$10)*(1+'Engineering Assumptions'!$B$11)</f>
        <v>2348.7599999999998</v>
      </c>
      <c r="H21" s="14" t="s">
        <v>1183</v>
      </c>
      <c r="I21" s="15">
        <f t="shared" si="0"/>
        <v>1600</v>
      </c>
      <c r="J21" s="16">
        <v>0.55000000000000004</v>
      </c>
      <c r="K21" s="15">
        <f t="shared" si="1"/>
        <v>900</v>
      </c>
      <c r="L21" s="17">
        <f t="shared" si="2"/>
        <v>0.5625</v>
      </c>
      <c r="M21" s="18">
        <f t="shared" si="3"/>
        <v>0.68421052631578949</v>
      </c>
      <c r="N21" s="18">
        <f t="shared" si="4"/>
        <v>0.1111111111111111</v>
      </c>
      <c r="O21" s="14" t="s">
        <v>1200</v>
      </c>
    </row>
    <row r="22" spans="1:15" ht="23.25" customHeight="1" x14ac:dyDescent="0.3">
      <c r="A22" s="9">
        <v>18</v>
      </c>
      <c r="B22" s="10" t="s">
        <v>555</v>
      </c>
      <c r="C22" s="11">
        <v>900</v>
      </c>
      <c r="D22" s="11">
        <v>1200</v>
      </c>
      <c r="E22" s="11">
        <v>1600</v>
      </c>
      <c r="F22" s="12">
        <f>'Engineering Assumptions'!$C$35*'Engineering Assumptions'!$B$5+'Engineering Assumptions'!$B$8+'Engineering Assumptions'!$D$35*1+'Engineering Assumptions'!$E$35*0.3</f>
        <v>1906</v>
      </c>
      <c r="G22" s="13">
        <f>F22*(1+'Engineering Assumptions'!$B$10)*(1+'Engineering Assumptions'!$B$11)</f>
        <v>2630.2799999999993</v>
      </c>
      <c r="H22" s="14" t="s">
        <v>1183</v>
      </c>
      <c r="I22" s="15">
        <f t="shared" si="0"/>
        <v>1400</v>
      </c>
      <c r="J22" s="16">
        <v>0.55000000000000004</v>
      </c>
      <c r="K22" s="15">
        <f t="shared" si="1"/>
        <v>750</v>
      </c>
      <c r="L22" s="17">
        <f t="shared" si="2"/>
        <v>0.5357142857142857</v>
      </c>
      <c r="M22" s="18">
        <f t="shared" si="3"/>
        <v>0.55555555555555558</v>
      </c>
      <c r="N22" s="18">
        <f t="shared" si="4"/>
        <v>0.125</v>
      </c>
      <c r="O22" s="14" t="s">
        <v>1201</v>
      </c>
    </row>
    <row r="23" spans="1:15" ht="23.25" customHeight="1" x14ac:dyDescent="0.3">
      <c r="A23" s="9">
        <v>19</v>
      </c>
      <c r="B23" s="10" t="s">
        <v>589</v>
      </c>
      <c r="C23" s="11">
        <v>700</v>
      </c>
      <c r="D23" s="11">
        <v>1000</v>
      </c>
      <c r="E23" s="11">
        <v>1300</v>
      </c>
      <c r="F23" s="12">
        <f>'Engineering Assumptions'!$C$36*'Engineering Assumptions'!$B$5+'Engineering Assumptions'!$B$8+'Engineering Assumptions'!$D$36*1+'Engineering Assumptions'!$E$36*0.3</f>
        <v>1702</v>
      </c>
      <c r="G23" s="13">
        <f>F23*(1+'Engineering Assumptions'!$B$10)*(1+'Engineering Assumptions'!$B$11)</f>
        <v>2348.7599999999998</v>
      </c>
      <c r="H23" s="14" t="s">
        <v>1183</v>
      </c>
      <c r="I23" s="15">
        <f t="shared" si="0"/>
        <v>1150</v>
      </c>
      <c r="J23" s="16">
        <v>0.55000000000000004</v>
      </c>
      <c r="K23" s="15">
        <f t="shared" si="1"/>
        <v>650</v>
      </c>
      <c r="L23" s="17">
        <f t="shared" si="2"/>
        <v>0.56521739130434778</v>
      </c>
      <c r="M23" s="18">
        <f t="shared" si="3"/>
        <v>0.6428571428571429</v>
      </c>
      <c r="N23" s="18">
        <f t="shared" si="4"/>
        <v>0.11538461538461539</v>
      </c>
      <c r="O23" s="14" t="s">
        <v>1202</v>
      </c>
    </row>
    <row r="24" spans="1:15" ht="23.25" customHeight="1" x14ac:dyDescent="0.3">
      <c r="A24" s="9">
        <v>20</v>
      </c>
      <c r="B24" s="10" t="s">
        <v>625</v>
      </c>
      <c r="C24" s="11">
        <v>2000</v>
      </c>
      <c r="D24" s="11">
        <v>2800</v>
      </c>
      <c r="E24" s="11">
        <v>3700</v>
      </c>
      <c r="F24" s="12">
        <f>'Engineering Assumptions'!$C$37*'Engineering Assumptions'!$B$5+'Engineering Assumptions'!$B$8+'Engineering Assumptions'!$D$37*1+'Engineering Assumptions'!$E$37*0.3</f>
        <v>3838</v>
      </c>
      <c r="G24" s="13">
        <f>F24*(1+'Engineering Assumptions'!$B$10)*(1+'Engineering Assumptions'!$B$11)</f>
        <v>5296.44</v>
      </c>
      <c r="H24" s="14" t="s">
        <v>1183</v>
      </c>
      <c r="I24" s="15">
        <f t="shared" si="0"/>
        <v>3250</v>
      </c>
      <c r="J24" s="16">
        <v>0.48</v>
      </c>
      <c r="K24" s="15">
        <f t="shared" si="1"/>
        <v>1550</v>
      </c>
      <c r="L24" s="17">
        <f t="shared" si="2"/>
        <v>0.47692307692307695</v>
      </c>
      <c r="M24" s="18">
        <f t="shared" si="3"/>
        <v>0.625</v>
      </c>
      <c r="N24" s="18">
        <f t="shared" si="4"/>
        <v>0.12162162162162163</v>
      </c>
      <c r="O24" s="14" t="s">
        <v>1203</v>
      </c>
    </row>
    <row r="25" spans="1:15" ht="23.25" customHeight="1" x14ac:dyDescent="0.3">
      <c r="A25" s="9">
        <v>21</v>
      </c>
      <c r="B25" s="10" t="s">
        <v>809</v>
      </c>
      <c r="C25" s="11">
        <v>1200</v>
      </c>
      <c r="D25" s="11">
        <v>1700</v>
      </c>
      <c r="E25" s="11">
        <v>2200</v>
      </c>
      <c r="F25" s="12">
        <f>'Engineering Assumptions'!$C$38*'Engineering Assumptions'!$B$5+0+'Engineering Assumptions'!$D$38*1+'Engineering Assumptions'!$E$38*0.3</f>
        <v>71</v>
      </c>
      <c r="G25" s="13">
        <f>F25*(1+'Engineering Assumptions'!$B$10)*(1+'Engineering Assumptions'!$B$11)</f>
        <v>97.97999999999999</v>
      </c>
      <c r="H25" s="14" t="s">
        <v>1183</v>
      </c>
      <c r="I25" s="15">
        <f t="shared" si="0"/>
        <v>1300</v>
      </c>
      <c r="J25" s="16">
        <v>0.95</v>
      </c>
      <c r="K25" s="15">
        <f t="shared" si="1"/>
        <v>1250</v>
      </c>
      <c r="L25" s="17">
        <f t="shared" si="2"/>
        <v>0.96153846153846156</v>
      </c>
      <c r="M25" s="18">
        <f t="shared" si="3"/>
        <v>8.3333333333333329E-2</v>
      </c>
      <c r="N25" s="18">
        <f t="shared" si="4"/>
        <v>0.40909090909090912</v>
      </c>
      <c r="O25" s="14" t="s">
        <v>1204</v>
      </c>
    </row>
    <row r="26" spans="1:15" ht="23.25" customHeight="1" x14ac:dyDescent="0.3">
      <c r="A26" s="9">
        <v>22</v>
      </c>
      <c r="B26" s="10" t="s">
        <v>814</v>
      </c>
      <c r="C26" s="11">
        <v>2000</v>
      </c>
      <c r="D26" s="11">
        <v>2600</v>
      </c>
      <c r="E26" s="11">
        <v>3200</v>
      </c>
      <c r="F26" s="12">
        <f>'Engineering Assumptions'!$C$39*'Engineering Assumptions'!$B$5+0+'Engineering Assumptions'!$D$39*1+'Engineering Assumptions'!$E$39*0.3</f>
        <v>84</v>
      </c>
      <c r="G26" s="13">
        <f>F26*(1+'Engineering Assumptions'!$B$10)*(1+'Engineering Assumptions'!$B$11)</f>
        <v>115.91999999999999</v>
      </c>
      <c r="H26" s="14" t="s">
        <v>1183</v>
      </c>
      <c r="I26" s="15">
        <f t="shared" si="0"/>
        <v>2200</v>
      </c>
      <c r="J26" s="16">
        <v>0.95</v>
      </c>
      <c r="K26" s="15">
        <f t="shared" si="1"/>
        <v>2100</v>
      </c>
      <c r="L26" s="17">
        <f t="shared" si="2"/>
        <v>0.95454545454545459</v>
      </c>
      <c r="M26" s="18">
        <f t="shared" si="3"/>
        <v>0.1</v>
      </c>
      <c r="N26" s="18">
        <f t="shared" si="4"/>
        <v>0.3125</v>
      </c>
      <c r="O26" s="14" t="s">
        <v>1205</v>
      </c>
    </row>
    <row r="27" spans="1:15" ht="23.25" customHeight="1" x14ac:dyDescent="0.3">
      <c r="A27" s="9">
        <v>23</v>
      </c>
      <c r="B27" s="10" t="s">
        <v>818</v>
      </c>
      <c r="C27" s="11">
        <v>1500</v>
      </c>
      <c r="D27" s="11">
        <v>2200</v>
      </c>
      <c r="E27" s="11">
        <v>2800</v>
      </c>
      <c r="F27" s="12">
        <f>'Engineering Assumptions'!$C$40*'Engineering Assumptions'!$B$5+'Engineering Assumptions'!$B$8+'Engineering Assumptions'!$D$40*1+'Engineering Assumptions'!$E$40*0.3</f>
        <v>2139</v>
      </c>
      <c r="G27" s="13">
        <f>F27*(1+'Engineering Assumptions'!$B$10)*(1+'Engineering Assumptions'!$B$11)</f>
        <v>2951.8199999999997</v>
      </c>
      <c r="H27" s="14" t="s">
        <v>1183</v>
      </c>
      <c r="I27" s="15">
        <f t="shared" si="0"/>
        <v>2450</v>
      </c>
      <c r="J27" s="16">
        <v>0.55000000000000004</v>
      </c>
      <c r="K27" s="15">
        <f t="shared" si="1"/>
        <v>1350</v>
      </c>
      <c r="L27" s="17">
        <f t="shared" si="2"/>
        <v>0.55102040816326525</v>
      </c>
      <c r="M27" s="18">
        <f t="shared" si="3"/>
        <v>0.6333333333333333</v>
      </c>
      <c r="N27" s="18">
        <f t="shared" si="4"/>
        <v>0.125</v>
      </c>
      <c r="O27" s="14" t="s">
        <v>1206</v>
      </c>
    </row>
    <row r="28" spans="1:15" ht="23.25" customHeight="1" x14ac:dyDescent="0.3">
      <c r="A28" s="9">
        <v>24</v>
      </c>
      <c r="B28" s="10" t="s">
        <v>834</v>
      </c>
      <c r="C28" s="11">
        <v>5500</v>
      </c>
      <c r="D28" s="11">
        <v>7500</v>
      </c>
      <c r="E28" s="11">
        <v>12100</v>
      </c>
      <c r="F28" s="12">
        <f>'Engineering Assumptions'!$C$41*'Engineering Assumptions'!$B$5+'Engineering Assumptions'!$B$8+'Engineering Assumptions'!$D$41*1+'Engineering Assumptions'!$E$41*0.3</f>
        <v>6916</v>
      </c>
      <c r="G28" s="13">
        <f>F28*(1+'Engineering Assumptions'!$B$10)*(1+'Engineering Assumptions'!$B$11)</f>
        <v>9544.08</v>
      </c>
      <c r="H28" s="14" t="s">
        <v>1183</v>
      </c>
      <c r="I28" s="15">
        <f t="shared" si="0"/>
        <v>9550</v>
      </c>
      <c r="J28" s="16">
        <v>0.45</v>
      </c>
      <c r="K28" s="15">
        <f t="shared" si="1"/>
        <v>4300</v>
      </c>
      <c r="L28" s="17">
        <f t="shared" si="2"/>
        <v>0.45026178010471202</v>
      </c>
      <c r="M28" s="18">
        <f t="shared" si="3"/>
        <v>0.73636363636363633</v>
      </c>
      <c r="N28" s="18">
        <f t="shared" si="4"/>
        <v>0.21074380165289255</v>
      </c>
      <c r="O28" s="14" t="s">
        <v>1207</v>
      </c>
    </row>
    <row r="29" spans="1:15" ht="23.25" customHeight="1" x14ac:dyDescent="0.3">
      <c r="A29" s="9">
        <v>25</v>
      </c>
      <c r="B29" s="10" t="s">
        <v>908</v>
      </c>
      <c r="C29" s="11">
        <v>1800</v>
      </c>
      <c r="D29" s="11">
        <v>2300</v>
      </c>
      <c r="E29" s="11">
        <v>4940</v>
      </c>
      <c r="F29" s="12">
        <f>'Engineering Assumptions'!$C$42*'Engineering Assumptions'!$B$5+'Engineering Assumptions'!$B$8+'Engineering Assumptions'!$D$42*1+'Engineering Assumptions'!$E$42*0.3</f>
        <v>2152</v>
      </c>
      <c r="G29" s="13">
        <f>F29*(1+'Engineering Assumptions'!$B$10)*(1+'Engineering Assumptions'!$B$11)</f>
        <v>2969.7599999999998</v>
      </c>
      <c r="H29" s="14" t="s">
        <v>1183</v>
      </c>
      <c r="I29" s="15">
        <f t="shared" si="0"/>
        <v>2950</v>
      </c>
      <c r="J29" s="16">
        <v>0.5</v>
      </c>
      <c r="K29" s="15">
        <f t="shared" si="1"/>
        <v>1500</v>
      </c>
      <c r="L29" s="17">
        <f t="shared" si="2"/>
        <v>0.50847457627118642</v>
      </c>
      <c r="M29" s="18">
        <f t="shared" si="3"/>
        <v>0.63888888888888884</v>
      </c>
      <c r="N29" s="18">
        <f t="shared" si="4"/>
        <v>0.40283400809716602</v>
      </c>
      <c r="O29" s="14" t="s">
        <v>1208</v>
      </c>
    </row>
    <row r="30" spans="1:15" ht="23.25" customHeight="1" x14ac:dyDescent="0.3">
      <c r="A30" s="9">
        <v>26</v>
      </c>
      <c r="B30" s="10" t="s">
        <v>945</v>
      </c>
      <c r="C30" s="11">
        <v>1200</v>
      </c>
      <c r="D30" s="11">
        <v>1800</v>
      </c>
      <c r="E30" s="11">
        <v>2400</v>
      </c>
      <c r="F30" s="12">
        <f>'Engineering Assumptions'!$C$43*'Engineering Assumptions'!$B$5+'Engineering Assumptions'!$B$8+'Engineering Assumptions'!$D$43*1+'Engineering Assumptions'!$E$43*0.3</f>
        <v>2330</v>
      </c>
      <c r="G30" s="13">
        <f>F30*(1+'Engineering Assumptions'!$B$10)*(1+'Engineering Assumptions'!$B$11)</f>
        <v>3215.4</v>
      </c>
      <c r="H30" s="14" t="s">
        <v>1183</v>
      </c>
      <c r="I30" s="15">
        <f t="shared" si="0"/>
        <v>2100</v>
      </c>
      <c r="J30" s="16">
        <v>0.55000000000000004</v>
      </c>
      <c r="K30" s="15">
        <f t="shared" si="1"/>
        <v>1150</v>
      </c>
      <c r="L30" s="17">
        <f t="shared" si="2"/>
        <v>0.54761904761904767</v>
      </c>
      <c r="M30" s="18">
        <f t="shared" si="3"/>
        <v>0.75</v>
      </c>
      <c r="N30" s="18">
        <f t="shared" si="4"/>
        <v>0.125</v>
      </c>
      <c r="O30" s="14" t="s">
        <v>1209</v>
      </c>
    </row>
    <row r="31" spans="1:15" ht="23.25" customHeight="1" x14ac:dyDescent="0.3">
      <c r="A31" s="9">
        <v>27</v>
      </c>
      <c r="B31" s="10" t="s">
        <v>974</v>
      </c>
      <c r="C31" s="11">
        <v>250</v>
      </c>
      <c r="D31" s="11">
        <v>350</v>
      </c>
      <c r="E31" s="11">
        <v>550</v>
      </c>
      <c r="F31" s="12">
        <f>'Engineering Assumptions'!$C$44*'Engineering Assumptions'!$B$5+0+'Engineering Assumptions'!$D$44*1+'Engineering Assumptions'!$E$44*0.3</f>
        <v>493.9</v>
      </c>
      <c r="G31" s="13">
        <f>F31*(1+'Engineering Assumptions'!$B$10)*(1+'Engineering Assumptions'!$B$11)</f>
        <v>681.58199999999988</v>
      </c>
      <c r="H31" s="14" t="s">
        <v>1183</v>
      </c>
      <c r="I31" s="15">
        <f t="shared" si="0"/>
        <v>500</v>
      </c>
      <c r="J31" s="16">
        <v>0.6</v>
      </c>
      <c r="K31" s="15">
        <f t="shared" si="1"/>
        <v>300</v>
      </c>
      <c r="L31" s="17">
        <f t="shared" si="2"/>
        <v>0.6</v>
      </c>
      <c r="M31" s="18">
        <f t="shared" si="3"/>
        <v>1</v>
      </c>
      <c r="N31" s="18">
        <f t="shared" si="4"/>
        <v>9.0909090909090912E-2</v>
      </c>
      <c r="O31" s="14" t="s">
        <v>1210</v>
      </c>
    </row>
    <row r="32" spans="1:15" ht="23.25" customHeight="1" x14ac:dyDescent="0.3">
      <c r="A32" s="9">
        <v>28</v>
      </c>
      <c r="B32" s="10" t="s">
        <v>1061</v>
      </c>
      <c r="C32" s="11">
        <v>1200</v>
      </c>
      <c r="D32" s="11">
        <v>1600</v>
      </c>
      <c r="E32" s="11">
        <v>2000</v>
      </c>
      <c r="F32" s="12">
        <f>'Engineering Assumptions'!$C$45*'Engineering Assumptions'!$B$5+'Engineering Assumptions'!$B$8+'Engineering Assumptions'!$D$45*1+'Engineering Assumptions'!$E$45*0.3</f>
        <v>2521</v>
      </c>
      <c r="G32" s="13">
        <f>F32*(1+'Engineering Assumptions'!$B$10)*(1+'Engineering Assumptions'!$B$11)</f>
        <v>3478.9799999999996</v>
      </c>
      <c r="H32" s="14" t="s">
        <v>1183</v>
      </c>
      <c r="I32" s="15">
        <f t="shared" si="0"/>
        <v>1750</v>
      </c>
      <c r="J32" s="16">
        <v>0.55000000000000004</v>
      </c>
      <c r="K32" s="15">
        <f t="shared" si="1"/>
        <v>950</v>
      </c>
      <c r="L32" s="17">
        <f t="shared" si="2"/>
        <v>0.54285714285714282</v>
      </c>
      <c r="M32" s="18">
        <f t="shared" si="3"/>
        <v>0.45833333333333331</v>
      </c>
      <c r="N32" s="18">
        <f t="shared" si="4"/>
        <v>0.125</v>
      </c>
      <c r="O32" s="14" t="s">
        <v>1211</v>
      </c>
    </row>
    <row r="33" spans="1:15" ht="23.25" customHeight="1" x14ac:dyDescent="0.3">
      <c r="A33" s="9">
        <v>29</v>
      </c>
      <c r="B33" s="10" t="s">
        <v>1076</v>
      </c>
      <c r="C33" s="11">
        <v>2000</v>
      </c>
      <c r="D33" s="11">
        <v>3000</v>
      </c>
      <c r="E33" s="11">
        <v>3800</v>
      </c>
      <c r="F33" s="12">
        <f>'Engineering Assumptions'!$C$46*'Engineering Assumptions'!$B$5+'Engineering Assumptions'!$B$8+'Engineering Assumptions'!$D$46*1+'Engineering Assumptions'!$E$46*0.3</f>
        <v>2210</v>
      </c>
      <c r="G33" s="13">
        <f>F33*(1+'Engineering Assumptions'!$B$10)*(1+'Engineering Assumptions'!$B$11)</f>
        <v>3049.7999999999997</v>
      </c>
      <c r="H33" s="14" t="s">
        <v>1183</v>
      </c>
      <c r="I33" s="15">
        <f t="shared" si="0"/>
        <v>3050</v>
      </c>
      <c r="J33" s="16">
        <v>0.5</v>
      </c>
      <c r="K33" s="15">
        <f t="shared" si="1"/>
        <v>1550</v>
      </c>
      <c r="L33" s="17">
        <f t="shared" si="2"/>
        <v>0.50819672131147542</v>
      </c>
      <c r="M33" s="18">
        <f t="shared" si="3"/>
        <v>0.52500000000000002</v>
      </c>
      <c r="N33" s="18">
        <f t="shared" si="4"/>
        <v>0.19736842105263158</v>
      </c>
      <c r="O33" s="14" t="s">
        <v>1212</v>
      </c>
    </row>
    <row r="36" spans="1:15" ht="15" customHeight="1" x14ac:dyDescent="0.3">
      <c r="A36" s="194" t="s">
        <v>1213</v>
      </c>
      <c r="B36" s="186"/>
      <c r="C36" s="186"/>
      <c r="D36" s="186"/>
      <c r="E36" s="186"/>
    </row>
    <row r="37" spans="1:15" ht="15" customHeight="1" x14ac:dyDescent="0.3">
      <c r="A37" s="19" t="s">
        <v>1214</v>
      </c>
      <c r="B37" s="19" t="s">
        <v>1215</v>
      </c>
      <c r="C37" s="19" t="s">
        <v>1216</v>
      </c>
      <c r="D37" s="198" t="s">
        <v>16</v>
      </c>
      <c r="E37" s="186"/>
    </row>
    <row r="38" spans="1:15" ht="15" customHeight="1" x14ac:dyDescent="0.3">
      <c r="A38" s="20" t="s">
        <v>1217</v>
      </c>
      <c r="B38" s="16">
        <v>1</v>
      </c>
      <c r="C38" s="21">
        <f t="shared" ref="C38:C43" si="5">B38</f>
        <v>1</v>
      </c>
      <c r="D38" s="195" t="s">
        <v>1218</v>
      </c>
      <c r="E38" s="196"/>
    </row>
    <row r="39" spans="1:15" ht="15" customHeight="1" x14ac:dyDescent="0.3">
      <c r="A39" s="20" t="s">
        <v>1219</v>
      </c>
      <c r="B39" s="16">
        <v>0.92</v>
      </c>
      <c r="C39" s="21">
        <f t="shared" si="5"/>
        <v>0.92</v>
      </c>
      <c r="D39" s="195" t="s">
        <v>1220</v>
      </c>
      <c r="E39" s="196"/>
    </row>
    <row r="40" spans="1:15" ht="15" customHeight="1" x14ac:dyDescent="0.3">
      <c r="A40" s="20" t="s">
        <v>1221</v>
      </c>
      <c r="B40" s="16">
        <v>0.82</v>
      </c>
      <c r="C40" s="21">
        <f t="shared" si="5"/>
        <v>0.82</v>
      </c>
      <c r="D40" s="195" t="s">
        <v>1222</v>
      </c>
      <c r="E40" s="196"/>
    </row>
    <row r="41" spans="1:15" ht="23.25" customHeight="1" x14ac:dyDescent="0.3">
      <c r="A41" s="20" t="s">
        <v>1223</v>
      </c>
      <c r="B41" s="16">
        <v>0.72</v>
      </c>
      <c r="C41" s="21">
        <f t="shared" si="5"/>
        <v>0.72</v>
      </c>
      <c r="D41" s="195" t="s">
        <v>1224</v>
      </c>
      <c r="E41" s="196"/>
    </row>
    <row r="42" spans="1:15" ht="23.25" customHeight="1" x14ac:dyDescent="0.3">
      <c r="A42" s="20" t="s">
        <v>1225</v>
      </c>
      <c r="B42" s="16">
        <v>0.65</v>
      </c>
      <c r="C42" s="21">
        <f t="shared" si="5"/>
        <v>0.65</v>
      </c>
      <c r="D42" s="195" t="s">
        <v>1226</v>
      </c>
      <c r="E42" s="196"/>
    </row>
    <row r="43" spans="1:15" ht="15" customHeight="1" x14ac:dyDescent="0.3">
      <c r="A43" s="20" t="s">
        <v>1227</v>
      </c>
      <c r="B43" s="16">
        <v>0.57999999999999996</v>
      </c>
      <c r="C43" s="21">
        <f t="shared" si="5"/>
        <v>0.57999999999999996</v>
      </c>
      <c r="D43" s="195" t="s">
        <v>1228</v>
      </c>
      <c r="E43" s="196"/>
    </row>
    <row r="46" spans="1:15" ht="15" customHeight="1" x14ac:dyDescent="0.3">
      <c r="A46" s="194" t="s">
        <v>1229</v>
      </c>
      <c r="B46" s="186"/>
      <c r="C46" s="186"/>
      <c r="D46" s="186"/>
      <c r="E46" s="186"/>
    </row>
    <row r="47" spans="1:15" ht="15" customHeight="1" x14ac:dyDescent="0.3">
      <c r="A47" s="20" t="s">
        <v>1230</v>
      </c>
      <c r="B47" s="16">
        <v>0.95</v>
      </c>
      <c r="C47" s="22" t="s">
        <v>1231</v>
      </c>
    </row>
    <row r="48" spans="1:15" ht="15" customHeight="1" x14ac:dyDescent="0.3">
      <c r="A48" s="20" t="s">
        <v>1232</v>
      </c>
      <c r="B48" s="16">
        <v>0.85</v>
      </c>
      <c r="C48" s="22" t="s">
        <v>1233</v>
      </c>
    </row>
  </sheetData>
  <mergeCells count="11">
    <mergeCell ref="A1:N1"/>
    <mergeCell ref="D42:E42"/>
    <mergeCell ref="D43:E43"/>
    <mergeCell ref="A2:N2"/>
    <mergeCell ref="D37:E37"/>
    <mergeCell ref="D38:E38"/>
    <mergeCell ref="A46:E46"/>
    <mergeCell ref="A36:E36"/>
    <mergeCell ref="D41:E41"/>
    <mergeCell ref="D40:E40"/>
    <mergeCell ref="D39:E39"/>
  </mergeCells>
  <conditionalFormatting sqref="G5:G33">
    <cfRule type="expression" dxfId="6" priority="2">
      <formula>G5&gt;E5*0.88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7"/>
  <sheetViews>
    <sheetView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26" customWidth="1"/>
    <col min="3" max="3" width="30" customWidth="1"/>
    <col min="4" max="5" width="14" customWidth="1"/>
    <col min="6" max="6" width="9" customWidth="1"/>
    <col min="7" max="7" width="8" customWidth="1"/>
    <col min="8" max="8" width="52" customWidth="1"/>
  </cols>
  <sheetData>
    <row r="1" spans="1:8" ht="24" customHeight="1" x14ac:dyDescent="0.4">
      <c r="A1" s="187" t="s">
        <v>1234</v>
      </c>
      <c r="B1" s="186"/>
      <c r="C1" s="186"/>
      <c r="D1" s="186"/>
      <c r="E1" s="186"/>
      <c r="F1" s="186"/>
      <c r="G1" s="186"/>
      <c r="H1" s="186"/>
    </row>
    <row r="2" spans="1:8" ht="37.5" customHeight="1" x14ac:dyDescent="0.3">
      <c r="A2" s="191" t="s">
        <v>1235</v>
      </c>
      <c r="B2" s="186"/>
      <c r="C2" s="186"/>
      <c r="D2" s="186"/>
      <c r="E2" s="186"/>
      <c r="F2" s="186"/>
      <c r="G2" s="186"/>
      <c r="H2" s="186"/>
    </row>
    <row r="4" spans="1:8" ht="30" customHeight="1" x14ac:dyDescent="0.3">
      <c r="A4" s="23" t="s">
        <v>2</v>
      </c>
      <c r="B4" s="23" t="s">
        <v>3</v>
      </c>
      <c r="C4" s="23" t="s">
        <v>1236</v>
      </c>
      <c r="D4" s="23" t="s">
        <v>1237</v>
      </c>
      <c r="E4" s="23" t="s">
        <v>1238</v>
      </c>
      <c r="F4" s="23" t="s">
        <v>1239</v>
      </c>
      <c r="G4" s="23" t="s">
        <v>1240</v>
      </c>
      <c r="H4" s="23" t="s">
        <v>1241</v>
      </c>
    </row>
    <row r="5" spans="1:8" ht="15" customHeight="1" x14ac:dyDescent="0.3">
      <c r="A5" s="24">
        <v>1</v>
      </c>
      <c r="B5" s="25" t="s">
        <v>1242</v>
      </c>
      <c r="C5" s="26" t="s">
        <v>1243</v>
      </c>
      <c r="D5" s="27">
        <v>5000</v>
      </c>
      <c r="E5" s="27">
        <v>2500</v>
      </c>
      <c r="F5" s="28" t="s">
        <v>1244</v>
      </c>
      <c r="G5" s="28" t="s">
        <v>1245</v>
      </c>
      <c r="H5" s="29" t="s">
        <v>1246</v>
      </c>
    </row>
    <row r="6" spans="1:8" ht="15" customHeight="1" x14ac:dyDescent="0.3">
      <c r="A6" s="24">
        <v>2</v>
      </c>
      <c r="B6" s="25" t="s">
        <v>1242</v>
      </c>
      <c r="C6" s="26" t="s">
        <v>1247</v>
      </c>
      <c r="D6" s="27">
        <v>7000</v>
      </c>
      <c r="E6" s="27">
        <v>3500</v>
      </c>
      <c r="F6" s="28" t="s">
        <v>1244</v>
      </c>
      <c r="G6" s="28" t="s">
        <v>1245</v>
      </c>
      <c r="H6" s="29" t="s">
        <v>1248</v>
      </c>
    </row>
    <row r="7" spans="1:8" ht="15" customHeight="1" x14ac:dyDescent="0.3">
      <c r="A7" s="24">
        <v>3</v>
      </c>
      <c r="B7" s="25" t="s">
        <v>1242</v>
      </c>
      <c r="C7" s="26" t="s">
        <v>1249</v>
      </c>
      <c r="D7" s="27">
        <v>12000</v>
      </c>
      <c r="E7" s="27">
        <v>6000</v>
      </c>
      <c r="F7" s="28" t="s">
        <v>1244</v>
      </c>
      <c r="G7" s="28" t="s">
        <v>1245</v>
      </c>
      <c r="H7" s="29" t="s">
        <v>1250</v>
      </c>
    </row>
    <row r="8" spans="1:8" ht="15" customHeight="1" x14ac:dyDescent="0.3">
      <c r="A8" s="24">
        <v>4</v>
      </c>
      <c r="B8" s="25" t="s">
        <v>1242</v>
      </c>
      <c r="C8" s="26" t="s">
        <v>1251</v>
      </c>
      <c r="D8" s="27">
        <v>18000</v>
      </c>
      <c r="E8" s="27">
        <v>10000</v>
      </c>
      <c r="F8" s="28" t="s">
        <v>1244</v>
      </c>
      <c r="G8" s="28" t="s">
        <v>1245</v>
      </c>
      <c r="H8" s="29" t="s">
        <v>1252</v>
      </c>
    </row>
    <row r="9" spans="1:8" ht="15" customHeight="1" x14ac:dyDescent="0.3">
      <c r="A9" s="24">
        <v>5</v>
      </c>
      <c r="B9" s="25" t="s">
        <v>1242</v>
      </c>
      <c r="C9" s="26" t="s">
        <v>1253</v>
      </c>
      <c r="D9" s="27">
        <v>26000</v>
      </c>
      <c r="E9" s="27">
        <v>15000</v>
      </c>
      <c r="F9" s="28" t="s">
        <v>1244</v>
      </c>
      <c r="G9" s="28" t="s">
        <v>1245</v>
      </c>
      <c r="H9" s="29" t="s">
        <v>1254</v>
      </c>
    </row>
    <row r="10" spans="1:8" ht="15" customHeight="1" x14ac:dyDescent="0.3">
      <c r="A10" s="24">
        <v>6</v>
      </c>
      <c r="B10" s="25" t="s">
        <v>1242</v>
      </c>
      <c r="C10" s="26" t="s">
        <v>1255</v>
      </c>
      <c r="D10" s="27">
        <v>38000</v>
      </c>
      <c r="E10" s="27">
        <v>22000</v>
      </c>
      <c r="F10" s="28" t="s">
        <v>1244</v>
      </c>
      <c r="G10" s="28" t="s">
        <v>1245</v>
      </c>
      <c r="H10" s="29" t="s">
        <v>1256</v>
      </c>
    </row>
    <row r="11" spans="1:8" ht="15" customHeight="1" x14ac:dyDescent="0.3">
      <c r="A11" s="24">
        <v>7</v>
      </c>
      <c r="B11" s="25" t="s">
        <v>1242</v>
      </c>
      <c r="C11" s="26" t="s">
        <v>1257</v>
      </c>
      <c r="D11" s="27">
        <v>48000</v>
      </c>
      <c r="E11" s="27">
        <v>28000</v>
      </c>
      <c r="F11" s="28" t="s">
        <v>1244</v>
      </c>
      <c r="G11" s="28" t="s">
        <v>1245</v>
      </c>
      <c r="H11" s="29" t="s">
        <v>1258</v>
      </c>
    </row>
    <row r="12" spans="1:8" ht="15" customHeight="1" x14ac:dyDescent="0.3">
      <c r="A12" s="24">
        <v>8</v>
      </c>
      <c r="B12" s="25" t="s">
        <v>1259</v>
      </c>
      <c r="C12" s="26" t="s">
        <v>1260</v>
      </c>
      <c r="D12" s="27">
        <v>2200</v>
      </c>
      <c r="E12" s="27">
        <v>1300</v>
      </c>
      <c r="F12" s="28" t="s">
        <v>1244</v>
      </c>
      <c r="G12" s="28" t="s">
        <v>1245</v>
      </c>
      <c r="H12" s="29" t="s">
        <v>1261</v>
      </c>
    </row>
    <row r="13" spans="1:8" ht="15" customHeight="1" x14ac:dyDescent="0.3">
      <c r="A13" s="24">
        <v>9</v>
      </c>
      <c r="B13" s="25" t="s">
        <v>1259</v>
      </c>
      <c r="C13" s="26" t="s">
        <v>1262</v>
      </c>
      <c r="D13" s="27">
        <v>3800</v>
      </c>
      <c r="E13" s="27">
        <v>2400</v>
      </c>
      <c r="F13" s="28" t="s">
        <v>1244</v>
      </c>
      <c r="G13" s="28" t="s">
        <v>1245</v>
      </c>
      <c r="H13" s="29" t="s">
        <v>1263</v>
      </c>
    </row>
    <row r="14" spans="1:8" ht="15" customHeight="1" x14ac:dyDescent="0.3">
      <c r="A14" s="24">
        <v>10</v>
      </c>
      <c r="B14" s="25" t="s">
        <v>1259</v>
      </c>
      <c r="C14" s="26" t="s">
        <v>1264</v>
      </c>
      <c r="D14" s="27">
        <v>6500</v>
      </c>
      <c r="E14" s="27">
        <v>4500</v>
      </c>
      <c r="F14" s="28" t="s">
        <v>1244</v>
      </c>
      <c r="G14" s="28" t="s">
        <v>1245</v>
      </c>
      <c r="H14" s="29" t="s">
        <v>1263</v>
      </c>
    </row>
    <row r="15" spans="1:8" ht="15" customHeight="1" x14ac:dyDescent="0.3">
      <c r="A15" s="24">
        <v>11</v>
      </c>
      <c r="B15" s="25" t="s">
        <v>1259</v>
      </c>
      <c r="C15" s="26" t="s">
        <v>1265</v>
      </c>
      <c r="D15" s="27">
        <v>16000</v>
      </c>
      <c r="E15" s="27">
        <v>11000</v>
      </c>
      <c r="F15" s="28" t="s">
        <v>1244</v>
      </c>
      <c r="G15" s="28" t="s">
        <v>1245</v>
      </c>
      <c r="H15" s="29" t="s">
        <v>1266</v>
      </c>
    </row>
    <row r="16" spans="1:8" ht="15" customHeight="1" x14ac:dyDescent="0.3">
      <c r="A16" s="24">
        <v>12</v>
      </c>
      <c r="B16" s="25" t="s">
        <v>1259</v>
      </c>
      <c r="C16" s="26" t="s">
        <v>1267</v>
      </c>
      <c r="D16" s="27">
        <v>26000</v>
      </c>
      <c r="E16" s="27">
        <v>18000</v>
      </c>
      <c r="F16" s="28" t="s">
        <v>1244</v>
      </c>
      <c r="G16" s="28" t="s">
        <v>1245</v>
      </c>
      <c r="H16" s="29" t="s">
        <v>1268</v>
      </c>
    </row>
    <row r="17" spans="1:8" ht="15" customHeight="1" x14ac:dyDescent="0.3">
      <c r="A17" s="24">
        <v>13</v>
      </c>
      <c r="B17" s="25" t="s">
        <v>1269</v>
      </c>
      <c r="C17" s="26" t="s">
        <v>1270</v>
      </c>
      <c r="D17" s="27">
        <v>2800</v>
      </c>
      <c r="E17" s="27">
        <v>1700</v>
      </c>
      <c r="F17" s="28" t="s">
        <v>1244</v>
      </c>
      <c r="G17" s="28" t="s">
        <v>1245</v>
      </c>
      <c r="H17" s="29" t="s">
        <v>1271</v>
      </c>
    </row>
    <row r="18" spans="1:8" ht="15" customHeight="1" x14ac:dyDescent="0.3">
      <c r="A18" s="24">
        <v>14</v>
      </c>
      <c r="B18" s="25" t="s">
        <v>1269</v>
      </c>
      <c r="C18" s="26" t="s">
        <v>1272</v>
      </c>
      <c r="D18" s="27">
        <v>2000</v>
      </c>
      <c r="E18" s="27">
        <v>1200</v>
      </c>
      <c r="F18" s="28" t="s">
        <v>1244</v>
      </c>
      <c r="G18" s="28" t="s">
        <v>1245</v>
      </c>
      <c r="H18" s="29" t="s">
        <v>1273</v>
      </c>
    </row>
    <row r="19" spans="1:8" ht="15" customHeight="1" x14ac:dyDescent="0.3">
      <c r="A19" s="24">
        <v>15</v>
      </c>
      <c r="B19" s="25" t="s">
        <v>1269</v>
      </c>
      <c r="C19" s="26" t="s">
        <v>1274</v>
      </c>
      <c r="D19" s="27">
        <v>800</v>
      </c>
      <c r="E19" s="27">
        <v>500</v>
      </c>
      <c r="F19" s="28" t="s">
        <v>1244</v>
      </c>
      <c r="G19" s="28" t="s">
        <v>1245</v>
      </c>
      <c r="H19" s="29" t="s">
        <v>1275</v>
      </c>
    </row>
    <row r="20" spans="1:8" ht="15" customHeight="1" x14ac:dyDescent="0.3">
      <c r="A20" s="24">
        <v>16</v>
      </c>
      <c r="B20" s="25" t="s">
        <v>1276</v>
      </c>
      <c r="C20" s="26" t="s">
        <v>1277</v>
      </c>
      <c r="D20" s="27">
        <v>1300</v>
      </c>
      <c r="E20" s="27">
        <v>800</v>
      </c>
      <c r="F20" s="28" t="s">
        <v>1244</v>
      </c>
      <c r="G20" s="28" t="s">
        <v>1245</v>
      </c>
      <c r="H20" s="29" t="s">
        <v>1278</v>
      </c>
    </row>
    <row r="21" spans="1:8" ht="15" customHeight="1" x14ac:dyDescent="0.3">
      <c r="A21" s="24">
        <v>17</v>
      </c>
      <c r="B21" s="25" t="s">
        <v>1276</v>
      </c>
      <c r="C21" s="26" t="s">
        <v>1279</v>
      </c>
      <c r="D21" s="27">
        <v>2000</v>
      </c>
      <c r="E21" s="27">
        <v>1300</v>
      </c>
      <c r="F21" s="28" t="s">
        <v>1244</v>
      </c>
      <c r="G21" s="28" t="s">
        <v>1245</v>
      </c>
      <c r="H21" s="29" t="s">
        <v>1280</v>
      </c>
    </row>
    <row r="22" spans="1:8" ht="15" customHeight="1" x14ac:dyDescent="0.3">
      <c r="A22" s="24">
        <v>18</v>
      </c>
      <c r="B22" s="25" t="s">
        <v>1276</v>
      </c>
      <c r="C22" s="26" t="s">
        <v>1281</v>
      </c>
      <c r="D22" s="27">
        <v>3000</v>
      </c>
      <c r="E22" s="27">
        <v>2100</v>
      </c>
      <c r="F22" s="28" t="s">
        <v>1244</v>
      </c>
      <c r="G22" s="28" t="s">
        <v>1245</v>
      </c>
      <c r="H22" s="29" t="s">
        <v>1282</v>
      </c>
    </row>
    <row r="23" spans="1:8" ht="15" customHeight="1" x14ac:dyDescent="0.3">
      <c r="A23" s="24">
        <v>19</v>
      </c>
      <c r="B23" s="25" t="s">
        <v>1276</v>
      </c>
      <c r="C23" s="26" t="s">
        <v>1283</v>
      </c>
      <c r="D23" s="27">
        <v>4500</v>
      </c>
      <c r="E23" s="27">
        <v>3300</v>
      </c>
      <c r="F23" s="28" t="s">
        <v>1244</v>
      </c>
      <c r="G23" s="28" t="s">
        <v>1245</v>
      </c>
      <c r="H23" s="29" t="s">
        <v>1284</v>
      </c>
    </row>
    <row r="24" spans="1:8" ht="15" customHeight="1" x14ac:dyDescent="0.3">
      <c r="A24" s="24">
        <v>20</v>
      </c>
      <c r="B24" s="25" t="s">
        <v>1276</v>
      </c>
      <c r="C24" s="26" t="s">
        <v>1285</v>
      </c>
      <c r="D24" s="27">
        <v>8000</v>
      </c>
      <c r="E24" s="27">
        <v>6000</v>
      </c>
      <c r="F24" s="28" t="s">
        <v>1244</v>
      </c>
      <c r="G24" s="28" t="s">
        <v>1245</v>
      </c>
      <c r="H24" s="29" t="s">
        <v>1286</v>
      </c>
    </row>
    <row r="25" spans="1:8" ht="15" customHeight="1" x14ac:dyDescent="0.3">
      <c r="A25" s="24">
        <v>21</v>
      </c>
      <c r="B25" s="25" t="s">
        <v>1287</v>
      </c>
      <c r="C25" s="26" t="s">
        <v>1288</v>
      </c>
      <c r="D25" s="27">
        <v>2800</v>
      </c>
      <c r="E25" s="27">
        <v>1800</v>
      </c>
      <c r="F25" s="28" t="s">
        <v>1244</v>
      </c>
      <c r="G25" s="28" t="s">
        <v>1245</v>
      </c>
      <c r="H25" s="29" t="s">
        <v>1289</v>
      </c>
    </row>
    <row r="26" spans="1:8" ht="15" customHeight="1" x14ac:dyDescent="0.3">
      <c r="A26" s="24">
        <v>22</v>
      </c>
      <c r="B26" s="25" t="s">
        <v>1287</v>
      </c>
      <c r="C26" s="26" t="s">
        <v>1290</v>
      </c>
      <c r="D26" s="27">
        <v>3800</v>
      </c>
      <c r="E26" s="27">
        <v>2600</v>
      </c>
      <c r="F26" s="28" t="s">
        <v>1244</v>
      </c>
      <c r="G26" s="28" t="s">
        <v>1245</v>
      </c>
      <c r="H26" s="29" t="s">
        <v>1291</v>
      </c>
    </row>
    <row r="27" spans="1:8" ht="15" customHeight="1" x14ac:dyDescent="0.3">
      <c r="A27" s="24">
        <v>23</v>
      </c>
      <c r="B27" s="25" t="s">
        <v>1287</v>
      </c>
      <c r="C27" s="26" t="s">
        <v>1292</v>
      </c>
      <c r="D27" s="27">
        <v>6000</v>
      </c>
      <c r="E27" s="27">
        <v>4300</v>
      </c>
      <c r="F27" s="28" t="s">
        <v>1244</v>
      </c>
      <c r="G27" s="28" t="s">
        <v>1245</v>
      </c>
      <c r="H27" s="29" t="s">
        <v>1293</v>
      </c>
    </row>
    <row r="28" spans="1:8" ht="15" customHeight="1" x14ac:dyDescent="0.3">
      <c r="A28" s="24">
        <v>24</v>
      </c>
      <c r="B28" s="25" t="s">
        <v>1287</v>
      </c>
      <c r="C28" s="26" t="s">
        <v>1294</v>
      </c>
      <c r="D28" s="27">
        <v>5200</v>
      </c>
      <c r="E28" s="27">
        <v>3700</v>
      </c>
      <c r="F28" s="28" t="s">
        <v>1244</v>
      </c>
      <c r="G28" s="28" t="s">
        <v>1245</v>
      </c>
      <c r="H28" s="29" t="s">
        <v>1295</v>
      </c>
    </row>
    <row r="29" spans="1:8" ht="21.75" customHeight="1" x14ac:dyDescent="0.3">
      <c r="A29" s="24">
        <v>25</v>
      </c>
      <c r="B29" s="25" t="s">
        <v>1296</v>
      </c>
      <c r="C29" s="26" t="s">
        <v>1297</v>
      </c>
      <c r="D29" s="27">
        <v>1500</v>
      </c>
      <c r="E29" s="27">
        <v>1000</v>
      </c>
      <c r="F29" s="28" t="s">
        <v>1244</v>
      </c>
      <c r="G29" s="28" t="s">
        <v>1245</v>
      </c>
      <c r="H29" s="29" t="s">
        <v>1298</v>
      </c>
    </row>
    <row r="30" spans="1:8" ht="15" customHeight="1" x14ac:dyDescent="0.3">
      <c r="A30" s="24">
        <v>26</v>
      </c>
      <c r="B30" s="25" t="s">
        <v>1296</v>
      </c>
      <c r="C30" s="26" t="s">
        <v>1299</v>
      </c>
      <c r="D30" s="27">
        <v>2200</v>
      </c>
      <c r="E30" s="27">
        <v>1500</v>
      </c>
      <c r="F30" s="28" t="s">
        <v>1244</v>
      </c>
      <c r="G30" s="28" t="s">
        <v>1245</v>
      </c>
      <c r="H30" s="29" t="s">
        <v>1300</v>
      </c>
    </row>
    <row r="31" spans="1:8" ht="15" customHeight="1" x14ac:dyDescent="0.3">
      <c r="A31" s="24">
        <v>27</v>
      </c>
      <c r="B31" s="25" t="s">
        <v>1296</v>
      </c>
      <c r="C31" s="26" t="s">
        <v>1301</v>
      </c>
      <c r="D31" s="27">
        <v>4000</v>
      </c>
      <c r="E31" s="27">
        <v>2700</v>
      </c>
      <c r="F31" s="28" t="s">
        <v>1244</v>
      </c>
      <c r="G31" s="28" t="s">
        <v>1245</v>
      </c>
      <c r="H31" s="29" t="s">
        <v>1302</v>
      </c>
    </row>
    <row r="32" spans="1:8" ht="15" customHeight="1" x14ac:dyDescent="0.3">
      <c r="A32" s="24">
        <v>28</v>
      </c>
      <c r="B32" s="25" t="s">
        <v>1303</v>
      </c>
      <c r="C32" s="26" t="s">
        <v>1304</v>
      </c>
      <c r="D32" s="27">
        <v>1200</v>
      </c>
      <c r="E32" s="27">
        <v>800</v>
      </c>
      <c r="F32" s="28" t="s">
        <v>1244</v>
      </c>
      <c r="G32" s="28" t="s">
        <v>1245</v>
      </c>
      <c r="H32" s="29" t="s">
        <v>1305</v>
      </c>
    </row>
    <row r="33" spans="1:8" ht="15" customHeight="1" x14ac:dyDescent="0.3">
      <c r="A33" s="24">
        <v>29</v>
      </c>
      <c r="B33" s="25" t="s">
        <v>1303</v>
      </c>
      <c r="C33" s="26" t="s">
        <v>1306</v>
      </c>
      <c r="D33" s="27">
        <v>1700</v>
      </c>
      <c r="E33" s="27">
        <v>1100</v>
      </c>
      <c r="F33" s="28" t="s">
        <v>1244</v>
      </c>
      <c r="G33" s="28" t="s">
        <v>1245</v>
      </c>
      <c r="H33" s="29" t="s">
        <v>1307</v>
      </c>
    </row>
    <row r="34" spans="1:8" ht="15" customHeight="1" x14ac:dyDescent="0.3">
      <c r="A34" s="24">
        <v>30</v>
      </c>
      <c r="B34" s="25" t="s">
        <v>1303</v>
      </c>
      <c r="C34" s="26" t="s">
        <v>1308</v>
      </c>
      <c r="D34" s="27">
        <v>3800</v>
      </c>
      <c r="E34" s="27">
        <v>2600</v>
      </c>
      <c r="F34" s="28" t="s">
        <v>1244</v>
      </c>
      <c r="G34" s="28" t="s">
        <v>1245</v>
      </c>
      <c r="H34" s="29" t="s">
        <v>1309</v>
      </c>
    </row>
    <row r="35" spans="1:8" ht="15" customHeight="1" x14ac:dyDescent="0.3">
      <c r="A35" s="24">
        <v>31</v>
      </c>
      <c r="B35" s="25" t="s">
        <v>1310</v>
      </c>
      <c r="C35" s="26" t="s">
        <v>1311</v>
      </c>
      <c r="D35" s="27">
        <v>900</v>
      </c>
      <c r="E35" s="27">
        <v>550</v>
      </c>
      <c r="F35" s="28" t="s">
        <v>1244</v>
      </c>
      <c r="G35" s="28" t="s">
        <v>1245</v>
      </c>
      <c r="H35" s="29" t="s">
        <v>1312</v>
      </c>
    </row>
    <row r="36" spans="1:8" ht="15" customHeight="1" x14ac:dyDescent="0.3">
      <c r="A36" s="24">
        <v>32</v>
      </c>
      <c r="B36" s="25" t="s">
        <v>1310</v>
      </c>
      <c r="C36" s="26" t="s">
        <v>1313</v>
      </c>
      <c r="D36" s="27">
        <v>1500</v>
      </c>
      <c r="E36" s="27">
        <v>950</v>
      </c>
      <c r="F36" s="28" t="s">
        <v>1244</v>
      </c>
      <c r="G36" s="28" t="s">
        <v>1245</v>
      </c>
      <c r="H36" s="29" t="s">
        <v>1314</v>
      </c>
    </row>
    <row r="37" spans="1:8" ht="15" customHeight="1" x14ac:dyDescent="0.3">
      <c r="A37" s="24">
        <v>33</v>
      </c>
      <c r="B37" s="25" t="s">
        <v>1315</v>
      </c>
      <c r="C37" s="26" t="s">
        <v>1316</v>
      </c>
      <c r="D37" s="27">
        <v>700</v>
      </c>
      <c r="E37" s="27">
        <v>450</v>
      </c>
      <c r="F37" s="28" t="s">
        <v>1244</v>
      </c>
      <c r="G37" s="28" t="s">
        <v>1245</v>
      </c>
      <c r="H37" s="29" t="s">
        <v>1317</v>
      </c>
    </row>
    <row r="38" spans="1:8" ht="15" customHeight="1" x14ac:dyDescent="0.3">
      <c r="A38" s="24">
        <v>34</v>
      </c>
      <c r="B38" s="25" t="s">
        <v>1315</v>
      </c>
      <c r="C38" s="26" t="s">
        <v>1318</v>
      </c>
      <c r="D38" s="27">
        <v>5000</v>
      </c>
      <c r="E38" s="27">
        <v>3500</v>
      </c>
      <c r="F38" s="28" t="s">
        <v>1244</v>
      </c>
      <c r="G38" s="28" t="s">
        <v>1245</v>
      </c>
      <c r="H38" s="29" t="s">
        <v>1319</v>
      </c>
    </row>
    <row r="39" spans="1:8" ht="15" customHeight="1" x14ac:dyDescent="0.3">
      <c r="A39" s="24">
        <v>35</v>
      </c>
      <c r="B39" s="25" t="s">
        <v>1315</v>
      </c>
      <c r="C39" s="26" t="s">
        <v>1320</v>
      </c>
      <c r="D39" s="27">
        <v>5500</v>
      </c>
      <c r="E39" s="27">
        <v>3800</v>
      </c>
      <c r="F39" s="28" t="s">
        <v>1244</v>
      </c>
      <c r="G39" s="28" t="s">
        <v>1245</v>
      </c>
      <c r="H39" s="29" t="s">
        <v>1321</v>
      </c>
    </row>
    <row r="40" spans="1:8" ht="15" customHeight="1" x14ac:dyDescent="0.3">
      <c r="A40" s="24">
        <v>36</v>
      </c>
      <c r="B40" s="25" t="s">
        <v>1322</v>
      </c>
      <c r="C40" s="26" t="s">
        <v>1323</v>
      </c>
      <c r="D40" s="27">
        <v>9500</v>
      </c>
      <c r="E40" s="27">
        <v>6500</v>
      </c>
      <c r="F40" s="28" t="s">
        <v>1244</v>
      </c>
      <c r="G40" s="28" t="s">
        <v>1245</v>
      </c>
      <c r="H40" s="29" t="s">
        <v>1324</v>
      </c>
    </row>
    <row r="42" spans="1:8" ht="15" customHeight="1" x14ac:dyDescent="0.3">
      <c r="A42" s="188" t="s">
        <v>1325</v>
      </c>
      <c r="B42" s="186"/>
      <c r="C42" s="186"/>
      <c r="D42" s="186"/>
      <c r="E42" s="186"/>
      <c r="F42" s="186"/>
      <c r="G42" s="186"/>
      <c r="H42" s="186"/>
    </row>
    <row r="43" spans="1:8" ht="30" customHeight="1" x14ac:dyDescent="0.3">
      <c r="A43" s="185" t="s">
        <v>1326</v>
      </c>
      <c r="B43" s="186"/>
      <c r="C43" s="186"/>
      <c r="D43" s="186"/>
      <c r="E43" s="186"/>
      <c r="F43" s="186"/>
      <c r="G43" s="186"/>
      <c r="H43" s="186"/>
    </row>
    <row r="44" spans="1:8" ht="30" customHeight="1" x14ac:dyDescent="0.3">
      <c r="A44" s="185" t="s">
        <v>1327</v>
      </c>
      <c r="B44" s="186"/>
      <c r="C44" s="186"/>
      <c r="D44" s="186"/>
      <c r="E44" s="186"/>
      <c r="F44" s="186"/>
      <c r="G44" s="186"/>
      <c r="H44" s="186"/>
    </row>
    <row r="45" spans="1:8" ht="30" customHeight="1" x14ac:dyDescent="0.3">
      <c r="A45" s="185" t="s">
        <v>1328</v>
      </c>
      <c r="B45" s="186"/>
      <c r="C45" s="186"/>
      <c r="D45" s="186"/>
      <c r="E45" s="186"/>
      <c r="F45" s="186"/>
      <c r="G45" s="186"/>
      <c r="H45" s="186"/>
    </row>
    <row r="46" spans="1:8" ht="30" customHeight="1" x14ac:dyDescent="0.3">
      <c r="A46" s="185" t="s">
        <v>1329</v>
      </c>
      <c r="B46" s="186"/>
      <c r="C46" s="186"/>
      <c r="D46" s="186"/>
      <c r="E46" s="186"/>
      <c r="F46" s="186"/>
      <c r="G46" s="186"/>
      <c r="H46" s="186"/>
    </row>
    <row r="47" spans="1:8" ht="30" customHeight="1" x14ac:dyDescent="0.3">
      <c r="A47" s="185" t="s">
        <v>1330</v>
      </c>
      <c r="B47" s="186"/>
      <c r="C47" s="186"/>
      <c r="D47" s="186"/>
      <c r="E47" s="186"/>
      <c r="F47" s="186"/>
      <c r="G47" s="186"/>
      <c r="H47" s="186"/>
    </row>
  </sheetData>
  <mergeCells count="8">
    <mergeCell ref="A47:H47"/>
    <mergeCell ref="A45:H45"/>
    <mergeCell ref="A46:H46"/>
    <mergeCell ref="A1:H1"/>
    <mergeCell ref="A43:H43"/>
    <mergeCell ref="A2:H2"/>
    <mergeCell ref="A42:H42"/>
    <mergeCell ref="A44:H44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537"/>
  <sheetViews>
    <sheetView tabSelected="1" topLeftCell="A11" zoomScaleNormal="100" workbookViewId="0">
      <selection activeCell="J14" sqref="J14"/>
    </sheetView>
  </sheetViews>
  <sheetFormatPr defaultColWidth="8.6640625" defaultRowHeight="14.4" x14ac:dyDescent="0.3"/>
  <cols>
    <col min="1" max="1" width="5" customWidth="1"/>
    <col min="2" max="2" width="9" customWidth="1"/>
    <col min="3" max="3" width="11" customWidth="1"/>
    <col min="4" max="4" width="20" customWidth="1"/>
    <col min="5" max="5" width="24" customWidth="1"/>
    <col min="6" max="6" width="6" customWidth="1"/>
    <col min="7" max="7" width="8" customWidth="1"/>
    <col min="8" max="8" width="7" customWidth="1"/>
    <col min="9" max="9" width="19" customWidth="1"/>
    <col min="10" max="10" width="6" customWidth="1"/>
    <col min="11" max="12" width="9" customWidth="1"/>
    <col min="13" max="13" width="10" customWidth="1"/>
    <col min="14" max="14" width="7" customWidth="1"/>
    <col min="15" max="17" width="12" customWidth="1"/>
    <col min="18" max="18" width="9" customWidth="1"/>
  </cols>
  <sheetData>
    <row r="1" spans="1:18" ht="24" hidden="1" customHeight="1" x14ac:dyDescent="0.4">
      <c r="A1" s="187" t="s">
        <v>1331</v>
      </c>
      <c r="B1" s="186"/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6"/>
      <c r="O1" s="186"/>
      <c r="P1" s="186"/>
      <c r="Q1" s="186"/>
      <c r="R1" s="186"/>
    </row>
    <row r="2" spans="1:18" ht="45.75" hidden="1" customHeight="1" x14ac:dyDescent="0.3">
      <c r="A2" s="191" t="s">
        <v>1332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</row>
    <row r="3" spans="1:18" hidden="1" x14ac:dyDescent="0.3"/>
    <row r="4" spans="1:18" ht="15" hidden="1" customHeight="1" x14ac:dyDescent="0.3">
      <c r="A4" s="188" t="s">
        <v>1333</v>
      </c>
      <c r="B4" s="186"/>
      <c r="C4" s="186"/>
      <c r="D4" s="186"/>
      <c r="E4" s="186"/>
      <c r="F4" s="186"/>
    </row>
    <row r="5" spans="1:18" ht="15" hidden="1" customHeight="1" x14ac:dyDescent="0.3">
      <c r="A5" s="189" t="s">
        <v>1334</v>
      </c>
      <c r="B5" s="190"/>
      <c r="C5" s="190"/>
      <c r="D5" s="30">
        <v>478</v>
      </c>
      <c r="E5" s="31" t="s">
        <v>1335</v>
      </c>
    </row>
    <row r="6" spans="1:18" ht="15" hidden="1" customHeight="1" x14ac:dyDescent="0.3">
      <c r="A6" s="189" t="s">
        <v>1336</v>
      </c>
      <c r="B6" s="190"/>
      <c r="C6" s="190"/>
      <c r="D6" s="30">
        <v>434</v>
      </c>
    </row>
    <row r="7" spans="1:18" hidden="1" x14ac:dyDescent="0.3"/>
    <row r="8" spans="1:18" ht="23.85" hidden="1" customHeight="1" x14ac:dyDescent="0.3">
      <c r="A8" s="189" t="s">
        <v>1337</v>
      </c>
      <c r="B8" s="190"/>
      <c r="C8" s="190"/>
      <c r="D8" s="32">
        <v>2026</v>
      </c>
    </row>
    <row r="9" spans="1:18" ht="15" hidden="1" customHeight="1" x14ac:dyDescent="0.3">
      <c r="A9" s="189" t="s">
        <v>1338</v>
      </c>
      <c r="B9" s="190"/>
      <c r="C9" s="190"/>
      <c r="D9" s="33">
        <v>7.0000000000000001E-3</v>
      </c>
      <c r="E9" s="31" t="s">
        <v>1339</v>
      </c>
    </row>
    <row r="10" spans="1:18" ht="15" hidden="1" customHeight="1" x14ac:dyDescent="0.3">
      <c r="A10" s="189" t="s">
        <v>1340</v>
      </c>
      <c r="B10" s="190"/>
      <c r="C10" s="190"/>
      <c r="D10" s="32">
        <v>25</v>
      </c>
    </row>
    <row r="11" spans="1:18" ht="15" customHeight="1" x14ac:dyDescent="0.3">
      <c r="A11" s="188" t="s">
        <v>1341</v>
      </c>
      <c r="B11" s="186"/>
      <c r="C11" s="186"/>
      <c r="D11" s="186"/>
      <c r="E11" s="186"/>
      <c r="F11" s="186"/>
      <c r="G11" s="186"/>
      <c r="H11" s="186"/>
      <c r="I11" s="186"/>
      <c r="J11" s="186"/>
      <c r="K11" s="186"/>
      <c r="L11" s="186"/>
      <c r="M11" s="186"/>
      <c r="N11" s="186"/>
      <c r="O11" s="186"/>
      <c r="P11" s="186"/>
      <c r="Q11" s="186"/>
      <c r="R11" s="186"/>
    </row>
    <row r="12" spans="1:18" ht="30" customHeight="1" x14ac:dyDescent="0.3">
      <c r="A12" s="34" t="s">
        <v>2</v>
      </c>
      <c r="B12" s="34" t="s">
        <v>1342</v>
      </c>
      <c r="C12" s="34" t="s">
        <v>1343</v>
      </c>
      <c r="D12" s="34" t="s">
        <v>3</v>
      </c>
      <c r="E12" s="34" t="s">
        <v>1344</v>
      </c>
      <c r="F12" s="34" t="s">
        <v>7</v>
      </c>
      <c r="G12" s="34" t="s">
        <v>1345</v>
      </c>
      <c r="H12" s="34" t="s">
        <v>1151</v>
      </c>
      <c r="I12" s="34" t="s">
        <v>1346</v>
      </c>
      <c r="J12" s="34" t="s">
        <v>1347</v>
      </c>
      <c r="K12" s="34" t="s">
        <v>1348</v>
      </c>
      <c r="L12" s="34" t="s">
        <v>1349</v>
      </c>
      <c r="M12" s="34" t="s">
        <v>1350</v>
      </c>
      <c r="N12" s="34" t="s">
        <v>1351</v>
      </c>
      <c r="O12" s="34" t="s">
        <v>1352</v>
      </c>
      <c r="P12" s="34" t="s">
        <v>1353</v>
      </c>
      <c r="Q12" s="34" t="s">
        <v>1354</v>
      </c>
      <c r="R12" s="34" t="s">
        <v>1355</v>
      </c>
    </row>
    <row r="13" spans="1:18" ht="15" customHeight="1" x14ac:dyDescent="0.3">
      <c r="A13" s="35">
        <v>1</v>
      </c>
      <c r="B13" s="35" t="s">
        <v>400</v>
      </c>
      <c r="C13" s="35" t="s">
        <v>195</v>
      </c>
      <c r="D13" s="36" t="s">
        <v>386</v>
      </c>
      <c r="E13" s="36" t="s">
        <v>1356</v>
      </c>
      <c r="F13" s="35">
        <v>2012</v>
      </c>
      <c r="G13" s="35" t="s">
        <v>1357</v>
      </c>
      <c r="H13" s="35" t="s">
        <v>1358</v>
      </c>
      <c r="I13" s="36" t="s">
        <v>1359</v>
      </c>
      <c r="J13" s="35" t="s">
        <v>1360</v>
      </c>
      <c r="K13" s="37">
        <v>10.1</v>
      </c>
      <c r="L13" s="37">
        <v>14</v>
      </c>
      <c r="M13" s="37">
        <v>18.899999999999999</v>
      </c>
      <c r="N13" s="38">
        <f>1+MIN(MAX($D$8-F13,0),$D$10)*$D$9</f>
        <v>1.0980000000000001</v>
      </c>
      <c r="O13" s="39">
        <f t="shared" ref="O13:O76" si="0">IF(H13="None",0,IF(H13="KM",IF(G13="Petrol",$D$6,$D$5)*N13/K13,K13*N13*IF(G13="Petrol",$D$6,$D$5)))</f>
        <v>5300.9243999999999</v>
      </c>
      <c r="P13" s="39">
        <f t="shared" ref="P13:P76" si="1">IF(H13="None",0,IF(H13="KM",IF(G13="Petrol",$D$6,$D$5)*N13/L13,L13*N13*IF(G13="Petrol",$D$6,$D$5)))</f>
        <v>7347.8160000000007</v>
      </c>
      <c r="Q13" s="39">
        <f t="shared" ref="Q13:Q76" si="2">IF(H13="None",0,IF(H13="KM",IF(G13="Petrol",$D$6,$D$5)*N13/M13,M13*N13*IF(G13="Petrol",$D$6,$D$5)))</f>
        <v>9919.5515999999989</v>
      </c>
      <c r="R13" s="35" t="str">
        <f t="shared" ref="R13:R76" si="3">IF(H13="None","—",IF(H13="KM","Rs./km","Rs./hr"))</f>
        <v>Rs./hr</v>
      </c>
    </row>
    <row r="14" spans="1:18" ht="15" customHeight="1" x14ac:dyDescent="0.3">
      <c r="A14" s="35">
        <v>2</v>
      </c>
      <c r="B14" s="35" t="s">
        <v>396</v>
      </c>
      <c r="C14" s="35" t="s">
        <v>195</v>
      </c>
      <c r="D14" s="36" t="s">
        <v>386</v>
      </c>
      <c r="E14" s="36" t="s">
        <v>1361</v>
      </c>
      <c r="F14" s="35">
        <v>2013</v>
      </c>
      <c r="G14" s="35" t="s">
        <v>1357</v>
      </c>
      <c r="H14" s="35" t="s">
        <v>1358</v>
      </c>
      <c r="I14" s="36" t="s">
        <v>1359</v>
      </c>
      <c r="J14" s="35" t="s">
        <v>1360</v>
      </c>
      <c r="K14" s="37">
        <v>10.1</v>
      </c>
      <c r="L14" s="37">
        <v>14</v>
      </c>
      <c r="M14" s="37">
        <v>18.899999999999999</v>
      </c>
      <c r="N14" s="38">
        <f>1+MIN(MAX($D$8-F14,0),$D$10)*$D$9</f>
        <v>1.091</v>
      </c>
      <c r="O14" s="39">
        <f t="shared" si="0"/>
        <v>5267.1297999999997</v>
      </c>
      <c r="P14" s="39">
        <f t="shared" si="1"/>
        <v>7300.9719999999998</v>
      </c>
      <c r="Q14" s="39">
        <f t="shared" si="2"/>
        <v>9856.3121999999985</v>
      </c>
      <c r="R14" s="35" t="str">
        <f t="shared" si="3"/>
        <v>Rs./hr</v>
      </c>
    </row>
    <row r="15" spans="1:18" ht="15" customHeight="1" x14ac:dyDescent="0.3">
      <c r="A15" s="35">
        <v>3</v>
      </c>
      <c r="B15" s="35" t="s">
        <v>392</v>
      </c>
      <c r="C15" s="35" t="s">
        <v>195</v>
      </c>
      <c r="D15" s="36" t="s">
        <v>386</v>
      </c>
      <c r="E15" s="36" t="s">
        <v>1362</v>
      </c>
      <c r="F15" s="35">
        <v>2014</v>
      </c>
      <c r="G15" s="35" t="s">
        <v>1357</v>
      </c>
      <c r="H15" s="35" t="s">
        <v>1358</v>
      </c>
      <c r="I15" s="36" t="s">
        <v>1359</v>
      </c>
      <c r="J15" s="35" t="s">
        <v>1360</v>
      </c>
      <c r="K15" s="37">
        <v>10.1</v>
      </c>
      <c r="L15" s="37">
        <v>14</v>
      </c>
      <c r="M15" s="37">
        <v>18.899999999999999</v>
      </c>
      <c r="N15" s="38">
        <f>1+MIN(MAX($D$8-F15,0),$D$10)*$D$9</f>
        <v>1.0840000000000001</v>
      </c>
      <c r="O15" s="39">
        <f t="shared" si="0"/>
        <v>5233.3352000000004</v>
      </c>
      <c r="P15" s="39">
        <f t="shared" si="1"/>
        <v>7254.1280000000006</v>
      </c>
      <c r="Q15" s="39">
        <f t="shared" si="2"/>
        <v>9793.0727999999999</v>
      </c>
      <c r="R15" s="35" t="str">
        <f t="shared" si="3"/>
        <v>Rs./hr</v>
      </c>
    </row>
    <row r="16" spans="1:18" ht="15" customHeight="1" x14ac:dyDescent="0.3">
      <c r="A16" s="35">
        <v>4</v>
      </c>
      <c r="B16" s="35" t="s">
        <v>394</v>
      </c>
      <c r="C16" s="35" t="s">
        <v>195</v>
      </c>
      <c r="D16" s="36" t="s">
        <v>386</v>
      </c>
      <c r="E16" s="36" t="s">
        <v>1363</v>
      </c>
      <c r="F16" s="35">
        <v>2014</v>
      </c>
      <c r="G16" s="35" t="s">
        <v>1357</v>
      </c>
      <c r="H16" s="35" t="s">
        <v>1358</v>
      </c>
      <c r="I16" s="36" t="s">
        <v>1359</v>
      </c>
      <c r="J16" s="35" t="s">
        <v>1360</v>
      </c>
      <c r="K16" s="37">
        <v>10.1</v>
      </c>
      <c r="L16" s="37">
        <v>14</v>
      </c>
      <c r="M16" s="37">
        <v>18.899999999999999</v>
      </c>
      <c r="N16" s="38">
        <f>1+MIN(MAX($D$8-F16,0),$D$10)*$D$9</f>
        <v>1.0840000000000001</v>
      </c>
      <c r="O16" s="39">
        <f t="shared" si="0"/>
        <v>5233.3352000000004</v>
      </c>
      <c r="P16" s="39">
        <f t="shared" si="1"/>
        <v>7254.1280000000006</v>
      </c>
      <c r="Q16" s="39">
        <f t="shared" si="2"/>
        <v>9793.0727999999999</v>
      </c>
      <c r="R16" s="35" t="str">
        <f t="shared" si="3"/>
        <v>Rs./hr</v>
      </c>
    </row>
    <row r="17" spans="1:18" ht="15" customHeight="1" x14ac:dyDescent="0.3">
      <c r="A17" s="35">
        <v>5</v>
      </c>
      <c r="B17" s="35" t="s">
        <v>398</v>
      </c>
      <c r="C17" s="35" t="s">
        <v>195</v>
      </c>
      <c r="D17" s="36" t="s">
        <v>386</v>
      </c>
      <c r="E17" s="36" t="s">
        <v>1364</v>
      </c>
      <c r="F17" s="35">
        <v>2012</v>
      </c>
      <c r="G17" s="35" t="s">
        <v>1357</v>
      </c>
      <c r="H17" s="35" t="s">
        <v>1358</v>
      </c>
      <c r="I17" s="36" t="s">
        <v>1359</v>
      </c>
      <c r="J17" s="35" t="s">
        <v>1360</v>
      </c>
      <c r="K17" s="37">
        <v>10.1</v>
      </c>
      <c r="L17" s="37">
        <v>14</v>
      </c>
      <c r="M17" s="37">
        <v>18.899999999999999</v>
      </c>
      <c r="N17" s="38">
        <f>1+MIN(MAX($D$8-F17,0),$D$10)*$D$9</f>
        <v>1.0980000000000001</v>
      </c>
      <c r="O17" s="39">
        <f t="shared" si="0"/>
        <v>5300.9243999999999</v>
      </c>
      <c r="P17" s="39">
        <f t="shared" si="1"/>
        <v>7347.8160000000007</v>
      </c>
      <c r="Q17" s="39">
        <f t="shared" si="2"/>
        <v>9919.5515999999989</v>
      </c>
      <c r="R17" s="35" t="str">
        <f t="shared" si="3"/>
        <v>Rs./hr</v>
      </c>
    </row>
    <row r="18" spans="1:18" ht="15" customHeight="1" x14ac:dyDescent="0.3">
      <c r="A18" s="35">
        <v>6</v>
      </c>
      <c r="B18" s="35" t="s">
        <v>405</v>
      </c>
      <c r="C18" s="35" t="s">
        <v>195</v>
      </c>
      <c r="D18" s="36" t="s">
        <v>386</v>
      </c>
      <c r="E18" s="36" t="s">
        <v>188</v>
      </c>
      <c r="F18" s="35" t="s">
        <v>195</v>
      </c>
      <c r="G18" s="35" t="s">
        <v>1357</v>
      </c>
      <c r="H18" s="35" t="s">
        <v>1358</v>
      </c>
      <c r="I18" s="36" t="s">
        <v>1359</v>
      </c>
      <c r="J18" s="35" t="s">
        <v>1360</v>
      </c>
      <c r="K18" s="37">
        <v>10.1</v>
      </c>
      <c r="L18" s="37">
        <v>14</v>
      </c>
      <c r="M18" s="37">
        <v>18.899999999999999</v>
      </c>
      <c r="N18" s="38">
        <f>1</f>
        <v>1</v>
      </c>
      <c r="O18" s="39">
        <f t="shared" si="0"/>
        <v>4827.8</v>
      </c>
      <c r="P18" s="39">
        <f t="shared" si="1"/>
        <v>6692</v>
      </c>
      <c r="Q18" s="39">
        <f t="shared" si="2"/>
        <v>9034.1999999999989</v>
      </c>
      <c r="R18" s="35" t="str">
        <f t="shared" si="3"/>
        <v>Rs./hr</v>
      </c>
    </row>
    <row r="19" spans="1:18" ht="15" customHeight="1" x14ac:dyDescent="0.3">
      <c r="A19" s="35">
        <v>7</v>
      </c>
      <c r="B19" s="35" t="s">
        <v>406</v>
      </c>
      <c r="C19" s="35" t="s">
        <v>195</v>
      </c>
      <c r="D19" s="36" t="s">
        <v>386</v>
      </c>
      <c r="E19" s="36" t="s">
        <v>188</v>
      </c>
      <c r="F19" s="35" t="s">
        <v>195</v>
      </c>
      <c r="G19" s="35" t="s">
        <v>1357</v>
      </c>
      <c r="H19" s="35" t="s">
        <v>1358</v>
      </c>
      <c r="I19" s="36" t="s">
        <v>1359</v>
      </c>
      <c r="J19" s="35" t="s">
        <v>1360</v>
      </c>
      <c r="K19" s="37">
        <v>10.1</v>
      </c>
      <c r="L19" s="37">
        <v>14</v>
      </c>
      <c r="M19" s="37">
        <v>18.899999999999999</v>
      </c>
      <c r="N19" s="38">
        <f>1</f>
        <v>1</v>
      </c>
      <c r="O19" s="39">
        <f t="shared" si="0"/>
        <v>4827.8</v>
      </c>
      <c r="P19" s="39">
        <f t="shared" si="1"/>
        <v>6692</v>
      </c>
      <c r="Q19" s="39">
        <f t="shared" si="2"/>
        <v>9034.1999999999989</v>
      </c>
      <c r="R19" s="35" t="str">
        <f t="shared" si="3"/>
        <v>Rs./hr</v>
      </c>
    </row>
    <row r="20" spans="1:18" ht="15" customHeight="1" x14ac:dyDescent="0.3">
      <c r="A20" s="35">
        <v>8</v>
      </c>
      <c r="B20" s="35" t="s">
        <v>390</v>
      </c>
      <c r="C20" s="35" t="s">
        <v>195</v>
      </c>
      <c r="D20" s="36" t="s">
        <v>386</v>
      </c>
      <c r="E20" s="36" t="s">
        <v>1365</v>
      </c>
      <c r="F20" s="35">
        <v>2019</v>
      </c>
      <c r="G20" s="35" t="s">
        <v>1357</v>
      </c>
      <c r="H20" s="35" t="s">
        <v>1358</v>
      </c>
      <c r="I20" s="36" t="s">
        <v>1359</v>
      </c>
      <c r="J20" s="35" t="s">
        <v>1360</v>
      </c>
      <c r="K20" s="37">
        <v>10.1</v>
      </c>
      <c r="L20" s="37">
        <v>14</v>
      </c>
      <c r="M20" s="37">
        <v>18.899999999999999</v>
      </c>
      <c r="N20" s="38">
        <f t="shared" ref="N20:N51" si="4">1+MIN(MAX($D$8-F20,0),$D$10)*$D$9</f>
        <v>1.0489999999999999</v>
      </c>
      <c r="O20" s="39">
        <f t="shared" si="0"/>
        <v>5064.3621999999996</v>
      </c>
      <c r="P20" s="39">
        <f t="shared" si="1"/>
        <v>7019.9080000000004</v>
      </c>
      <c r="Q20" s="39">
        <f t="shared" si="2"/>
        <v>9476.875799999998</v>
      </c>
      <c r="R20" s="35" t="str">
        <f t="shared" si="3"/>
        <v>Rs./hr</v>
      </c>
    </row>
    <row r="21" spans="1:18" ht="15" customHeight="1" x14ac:dyDescent="0.3">
      <c r="A21" s="35">
        <v>9</v>
      </c>
      <c r="B21" s="35" t="s">
        <v>402</v>
      </c>
      <c r="C21" s="35" t="s">
        <v>195</v>
      </c>
      <c r="D21" s="36" t="s">
        <v>386</v>
      </c>
      <c r="E21" s="36" t="s">
        <v>1366</v>
      </c>
      <c r="F21" s="35">
        <v>2012</v>
      </c>
      <c r="G21" s="35" t="s">
        <v>1357</v>
      </c>
      <c r="H21" s="35" t="s">
        <v>1358</v>
      </c>
      <c r="I21" s="36" t="s">
        <v>1359</v>
      </c>
      <c r="J21" s="35" t="s">
        <v>1360</v>
      </c>
      <c r="K21" s="37">
        <v>10.1</v>
      </c>
      <c r="L21" s="37">
        <v>14</v>
      </c>
      <c r="M21" s="37">
        <v>18.899999999999999</v>
      </c>
      <c r="N21" s="38">
        <f t="shared" si="4"/>
        <v>1.0980000000000001</v>
      </c>
      <c r="O21" s="39">
        <f t="shared" si="0"/>
        <v>5300.9243999999999</v>
      </c>
      <c r="P21" s="39">
        <f t="shared" si="1"/>
        <v>7347.8160000000007</v>
      </c>
      <c r="Q21" s="39">
        <f t="shared" si="2"/>
        <v>9919.5515999999989</v>
      </c>
      <c r="R21" s="35" t="str">
        <f t="shared" si="3"/>
        <v>Rs./hr</v>
      </c>
    </row>
    <row r="22" spans="1:18" ht="15" customHeight="1" x14ac:dyDescent="0.3">
      <c r="A22" s="35">
        <v>10</v>
      </c>
      <c r="B22" s="35" t="s">
        <v>388</v>
      </c>
      <c r="C22" s="35" t="s">
        <v>195</v>
      </c>
      <c r="D22" s="36" t="s">
        <v>386</v>
      </c>
      <c r="E22" s="36" t="s">
        <v>1367</v>
      </c>
      <c r="F22" s="35">
        <v>2020</v>
      </c>
      <c r="G22" s="35" t="s">
        <v>1357</v>
      </c>
      <c r="H22" s="35" t="s">
        <v>1358</v>
      </c>
      <c r="I22" s="36" t="s">
        <v>1359</v>
      </c>
      <c r="J22" s="35" t="s">
        <v>1360</v>
      </c>
      <c r="K22" s="37">
        <v>10.1</v>
      </c>
      <c r="L22" s="37">
        <v>14</v>
      </c>
      <c r="M22" s="37">
        <v>18.899999999999999</v>
      </c>
      <c r="N22" s="38">
        <f t="shared" si="4"/>
        <v>1.042</v>
      </c>
      <c r="O22" s="39">
        <f t="shared" si="0"/>
        <v>5030.5676000000003</v>
      </c>
      <c r="P22" s="39">
        <f t="shared" si="1"/>
        <v>6973.0640000000003</v>
      </c>
      <c r="Q22" s="39">
        <f t="shared" si="2"/>
        <v>9413.6363999999994</v>
      </c>
      <c r="R22" s="35" t="str">
        <f t="shared" si="3"/>
        <v>Rs./hr</v>
      </c>
    </row>
    <row r="23" spans="1:18" ht="15" customHeight="1" x14ac:dyDescent="0.3">
      <c r="A23" s="35">
        <v>11</v>
      </c>
      <c r="B23" s="35" t="s">
        <v>404</v>
      </c>
      <c r="C23" s="35" t="s">
        <v>195</v>
      </c>
      <c r="D23" s="36" t="s">
        <v>386</v>
      </c>
      <c r="E23" s="36" t="s">
        <v>1368</v>
      </c>
      <c r="F23" s="35">
        <v>2006</v>
      </c>
      <c r="G23" s="35" t="s">
        <v>1357</v>
      </c>
      <c r="H23" s="35" t="s">
        <v>1358</v>
      </c>
      <c r="I23" s="36" t="s">
        <v>1359</v>
      </c>
      <c r="J23" s="35" t="s">
        <v>1360</v>
      </c>
      <c r="K23" s="37">
        <v>10.1</v>
      </c>
      <c r="L23" s="37">
        <v>14</v>
      </c>
      <c r="M23" s="37">
        <v>18.899999999999999</v>
      </c>
      <c r="N23" s="38">
        <f t="shared" si="4"/>
        <v>1.1400000000000001</v>
      </c>
      <c r="O23" s="39">
        <f t="shared" si="0"/>
        <v>5503.6920000000009</v>
      </c>
      <c r="P23" s="39">
        <f t="shared" si="1"/>
        <v>7628.88</v>
      </c>
      <c r="Q23" s="39">
        <f t="shared" si="2"/>
        <v>10298.987999999999</v>
      </c>
      <c r="R23" s="35" t="str">
        <f t="shared" si="3"/>
        <v>Rs./hr</v>
      </c>
    </row>
    <row r="24" spans="1:18" ht="15" customHeight="1" x14ac:dyDescent="0.3">
      <c r="A24" s="35">
        <v>12</v>
      </c>
      <c r="B24" s="35" t="s">
        <v>64</v>
      </c>
      <c r="C24" s="35" t="s">
        <v>65</v>
      </c>
      <c r="D24" s="36" t="s">
        <v>19</v>
      </c>
      <c r="E24" s="36" t="s">
        <v>1369</v>
      </c>
      <c r="F24" s="35">
        <v>2012</v>
      </c>
      <c r="G24" s="35" t="s">
        <v>1357</v>
      </c>
      <c r="H24" s="35" t="s">
        <v>1358</v>
      </c>
      <c r="I24" s="36" t="s">
        <v>1359</v>
      </c>
      <c r="J24" s="35" t="s">
        <v>1360</v>
      </c>
      <c r="K24" s="37">
        <v>5</v>
      </c>
      <c r="L24" s="37">
        <v>7</v>
      </c>
      <c r="M24" s="37">
        <v>9.5</v>
      </c>
      <c r="N24" s="38">
        <f t="shared" si="4"/>
        <v>1.0980000000000001</v>
      </c>
      <c r="O24" s="39">
        <f t="shared" si="0"/>
        <v>2624.2200000000003</v>
      </c>
      <c r="P24" s="39">
        <f t="shared" si="1"/>
        <v>3673.9080000000004</v>
      </c>
      <c r="Q24" s="39">
        <f t="shared" si="2"/>
        <v>4986.018</v>
      </c>
      <c r="R24" s="35" t="str">
        <f t="shared" si="3"/>
        <v>Rs./hr</v>
      </c>
    </row>
    <row r="25" spans="1:18" ht="15" customHeight="1" x14ac:dyDescent="0.3">
      <c r="A25" s="35">
        <v>13</v>
      </c>
      <c r="B25" s="35" t="s">
        <v>67</v>
      </c>
      <c r="C25" s="35" t="s">
        <v>68</v>
      </c>
      <c r="D25" s="36" t="s">
        <v>19</v>
      </c>
      <c r="E25" s="36" t="s">
        <v>1369</v>
      </c>
      <c r="F25" s="35">
        <v>2012</v>
      </c>
      <c r="G25" s="35" t="s">
        <v>1357</v>
      </c>
      <c r="H25" s="35" t="s">
        <v>1358</v>
      </c>
      <c r="I25" s="36" t="s">
        <v>1359</v>
      </c>
      <c r="J25" s="35" t="s">
        <v>1360</v>
      </c>
      <c r="K25" s="37">
        <v>5</v>
      </c>
      <c r="L25" s="37">
        <v>7</v>
      </c>
      <c r="M25" s="37">
        <v>9.5</v>
      </c>
      <c r="N25" s="38">
        <f t="shared" si="4"/>
        <v>1.0980000000000001</v>
      </c>
      <c r="O25" s="39">
        <f t="shared" si="0"/>
        <v>2624.2200000000003</v>
      </c>
      <c r="P25" s="39">
        <f t="shared" si="1"/>
        <v>3673.9080000000004</v>
      </c>
      <c r="Q25" s="39">
        <f t="shared" si="2"/>
        <v>4986.018</v>
      </c>
      <c r="R25" s="35" t="str">
        <f t="shared" si="3"/>
        <v>Rs./hr</v>
      </c>
    </row>
    <row r="26" spans="1:18" ht="15" customHeight="1" x14ac:dyDescent="0.3">
      <c r="A26" s="35">
        <v>14</v>
      </c>
      <c r="B26" s="35" t="s">
        <v>69</v>
      </c>
      <c r="C26" s="35" t="s">
        <v>70</v>
      </c>
      <c r="D26" s="36" t="s">
        <v>19</v>
      </c>
      <c r="E26" s="36" t="s">
        <v>1369</v>
      </c>
      <c r="F26" s="35">
        <v>2012</v>
      </c>
      <c r="G26" s="35" t="s">
        <v>1357</v>
      </c>
      <c r="H26" s="35" t="s">
        <v>1358</v>
      </c>
      <c r="I26" s="36" t="s">
        <v>1359</v>
      </c>
      <c r="J26" s="35" t="s">
        <v>1360</v>
      </c>
      <c r="K26" s="37">
        <v>5</v>
      </c>
      <c r="L26" s="37">
        <v>7</v>
      </c>
      <c r="M26" s="37">
        <v>9.5</v>
      </c>
      <c r="N26" s="38">
        <f t="shared" si="4"/>
        <v>1.0980000000000001</v>
      </c>
      <c r="O26" s="39">
        <f t="shared" si="0"/>
        <v>2624.2200000000003</v>
      </c>
      <c r="P26" s="39">
        <f t="shared" si="1"/>
        <v>3673.9080000000004</v>
      </c>
      <c r="Q26" s="39">
        <f t="shared" si="2"/>
        <v>4986.018</v>
      </c>
      <c r="R26" s="35" t="str">
        <f t="shared" si="3"/>
        <v>Rs./hr</v>
      </c>
    </row>
    <row r="27" spans="1:18" ht="15" customHeight="1" x14ac:dyDescent="0.3">
      <c r="A27" s="35">
        <v>15</v>
      </c>
      <c r="B27" s="35" t="s">
        <v>83</v>
      </c>
      <c r="C27" s="35" t="s">
        <v>84</v>
      </c>
      <c r="D27" s="36" t="s">
        <v>19</v>
      </c>
      <c r="E27" s="36" t="s">
        <v>1370</v>
      </c>
      <c r="F27" s="35">
        <v>1999</v>
      </c>
      <c r="G27" s="35" t="s">
        <v>1357</v>
      </c>
      <c r="H27" s="35" t="s">
        <v>1358</v>
      </c>
      <c r="I27" s="36" t="s">
        <v>1359</v>
      </c>
      <c r="J27" s="35" t="s">
        <v>1360</v>
      </c>
      <c r="K27" s="37">
        <v>5</v>
      </c>
      <c r="L27" s="37">
        <v>7</v>
      </c>
      <c r="M27" s="37">
        <v>9.5</v>
      </c>
      <c r="N27" s="38">
        <f t="shared" si="4"/>
        <v>1.175</v>
      </c>
      <c r="O27" s="39">
        <f t="shared" si="0"/>
        <v>2808.25</v>
      </c>
      <c r="P27" s="39">
        <f t="shared" si="1"/>
        <v>3931.5499999999997</v>
      </c>
      <c r="Q27" s="39">
        <f t="shared" si="2"/>
        <v>5335.6750000000002</v>
      </c>
      <c r="R27" s="35" t="str">
        <f t="shared" si="3"/>
        <v>Rs./hr</v>
      </c>
    </row>
    <row r="28" spans="1:18" ht="15" customHeight="1" x14ac:dyDescent="0.3">
      <c r="A28" s="35">
        <v>16</v>
      </c>
      <c r="B28" s="35" t="s">
        <v>71</v>
      </c>
      <c r="C28" s="35" t="s">
        <v>72</v>
      </c>
      <c r="D28" s="36" t="s">
        <v>19</v>
      </c>
      <c r="E28" s="36" t="s">
        <v>1369</v>
      </c>
      <c r="F28" s="35">
        <v>2006</v>
      </c>
      <c r="G28" s="35" t="s">
        <v>1357</v>
      </c>
      <c r="H28" s="35" t="s">
        <v>1358</v>
      </c>
      <c r="I28" s="36" t="s">
        <v>1359</v>
      </c>
      <c r="J28" s="35" t="s">
        <v>1360</v>
      </c>
      <c r="K28" s="37">
        <v>5</v>
      </c>
      <c r="L28" s="37">
        <v>7</v>
      </c>
      <c r="M28" s="37">
        <v>9.5</v>
      </c>
      <c r="N28" s="38">
        <f t="shared" si="4"/>
        <v>1.1400000000000001</v>
      </c>
      <c r="O28" s="39">
        <f t="shared" si="0"/>
        <v>2724.6000000000004</v>
      </c>
      <c r="P28" s="39">
        <f t="shared" si="1"/>
        <v>3814.44</v>
      </c>
      <c r="Q28" s="39">
        <f t="shared" si="2"/>
        <v>5176.7400000000007</v>
      </c>
      <c r="R28" s="35" t="str">
        <f t="shared" si="3"/>
        <v>Rs./hr</v>
      </c>
    </row>
    <row r="29" spans="1:18" ht="15" customHeight="1" x14ac:dyDescent="0.3">
      <c r="A29" s="35">
        <v>17</v>
      </c>
      <c r="B29" s="35" t="s">
        <v>79</v>
      </c>
      <c r="C29" s="35" t="s">
        <v>80</v>
      </c>
      <c r="D29" s="36" t="s">
        <v>19</v>
      </c>
      <c r="E29" s="36" t="s">
        <v>1371</v>
      </c>
      <c r="F29" s="35">
        <v>2002</v>
      </c>
      <c r="G29" s="35" t="s">
        <v>1357</v>
      </c>
      <c r="H29" s="35" t="s">
        <v>1358</v>
      </c>
      <c r="I29" s="36" t="s">
        <v>1359</v>
      </c>
      <c r="J29" s="35" t="s">
        <v>1360</v>
      </c>
      <c r="K29" s="37">
        <v>5</v>
      </c>
      <c r="L29" s="37">
        <v>7</v>
      </c>
      <c r="M29" s="37">
        <v>9.5</v>
      </c>
      <c r="N29" s="38">
        <f t="shared" si="4"/>
        <v>1.1679999999999999</v>
      </c>
      <c r="O29" s="39">
        <f t="shared" si="0"/>
        <v>2791.52</v>
      </c>
      <c r="P29" s="39">
        <f t="shared" si="1"/>
        <v>3908.1280000000002</v>
      </c>
      <c r="Q29" s="39">
        <f t="shared" si="2"/>
        <v>5303.8879999999999</v>
      </c>
      <c r="R29" s="35" t="str">
        <f t="shared" si="3"/>
        <v>Rs./hr</v>
      </c>
    </row>
    <row r="30" spans="1:18" ht="15" customHeight="1" x14ac:dyDescent="0.3">
      <c r="A30" s="35">
        <v>18</v>
      </c>
      <c r="B30" s="35" t="s">
        <v>75</v>
      </c>
      <c r="C30" s="35" t="s">
        <v>76</v>
      </c>
      <c r="D30" s="36" t="s">
        <v>19</v>
      </c>
      <c r="E30" s="36" t="s">
        <v>1372</v>
      </c>
      <c r="F30" s="35">
        <v>2004</v>
      </c>
      <c r="G30" s="35" t="s">
        <v>1357</v>
      </c>
      <c r="H30" s="35" t="s">
        <v>1358</v>
      </c>
      <c r="I30" s="36" t="s">
        <v>1359</v>
      </c>
      <c r="J30" s="35" t="s">
        <v>1360</v>
      </c>
      <c r="K30" s="37">
        <v>5</v>
      </c>
      <c r="L30" s="37">
        <v>7</v>
      </c>
      <c r="M30" s="37">
        <v>9.5</v>
      </c>
      <c r="N30" s="38">
        <f t="shared" si="4"/>
        <v>1.1539999999999999</v>
      </c>
      <c r="O30" s="39">
        <f t="shared" si="0"/>
        <v>2758.06</v>
      </c>
      <c r="P30" s="39">
        <f t="shared" si="1"/>
        <v>3861.2839999999997</v>
      </c>
      <c r="Q30" s="39">
        <f t="shared" si="2"/>
        <v>5240.3139999999994</v>
      </c>
      <c r="R30" s="35" t="str">
        <f t="shared" si="3"/>
        <v>Rs./hr</v>
      </c>
    </row>
    <row r="31" spans="1:18" ht="15" customHeight="1" x14ac:dyDescent="0.3">
      <c r="A31" s="35">
        <v>19</v>
      </c>
      <c r="B31" s="35" t="s">
        <v>59</v>
      </c>
      <c r="C31" s="35" t="s">
        <v>60</v>
      </c>
      <c r="D31" s="36" t="s">
        <v>19</v>
      </c>
      <c r="E31" s="36" t="s">
        <v>1373</v>
      </c>
      <c r="F31" s="35">
        <v>2015</v>
      </c>
      <c r="G31" s="35" t="s">
        <v>1357</v>
      </c>
      <c r="H31" s="35" t="s">
        <v>1358</v>
      </c>
      <c r="I31" s="36" t="s">
        <v>1359</v>
      </c>
      <c r="J31" s="35" t="s">
        <v>1360</v>
      </c>
      <c r="K31" s="37">
        <v>5</v>
      </c>
      <c r="L31" s="37">
        <v>7</v>
      </c>
      <c r="M31" s="37">
        <v>9.5</v>
      </c>
      <c r="N31" s="38">
        <f t="shared" si="4"/>
        <v>1.077</v>
      </c>
      <c r="O31" s="39">
        <f t="shared" si="0"/>
        <v>2574.0299999999997</v>
      </c>
      <c r="P31" s="39">
        <f t="shared" si="1"/>
        <v>3603.6419999999998</v>
      </c>
      <c r="Q31" s="39">
        <f t="shared" si="2"/>
        <v>4890.6570000000002</v>
      </c>
      <c r="R31" s="35" t="str">
        <f t="shared" si="3"/>
        <v>Rs./hr</v>
      </c>
    </row>
    <row r="32" spans="1:18" ht="15" customHeight="1" x14ac:dyDescent="0.3">
      <c r="A32" s="35">
        <v>20</v>
      </c>
      <c r="B32" s="35" t="s">
        <v>62</v>
      </c>
      <c r="C32" s="35" t="s">
        <v>63</v>
      </c>
      <c r="D32" s="36" t="s">
        <v>19</v>
      </c>
      <c r="E32" s="36" t="s">
        <v>1369</v>
      </c>
      <c r="F32" s="35">
        <v>2015</v>
      </c>
      <c r="G32" s="35" t="s">
        <v>1357</v>
      </c>
      <c r="H32" s="35" t="s">
        <v>1358</v>
      </c>
      <c r="I32" s="36" t="s">
        <v>1359</v>
      </c>
      <c r="J32" s="35" t="s">
        <v>1360</v>
      </c>
      <c r="K32" s="37">
        <v>5</v>
      </c>
      <c r="L32" s="37">
        <v>7</v>
      </c>
      <c r="M32" s="37">
        <v>9.5</v>
      </c>
      <c r="N32" s="38">
        <f t="shared" si="4"/>
        <v>1.077</v>
      </c>
      <c r="O32" s="39">
        <f t="shared" si="0"/>
        <v>2574.0299999999997</v>
      </c>
      <c r="P32" s="39">
        <f t="shared" si="1"/>
        <v>3603.6419999999998</v>
      </c>
      <c r="Q32" s="39">
        <f t="shared" si="2"/>
        <v>4890.6570000000002</v>
      </c>
      <c r="R32" s="35" t="str">
        <f t="shared" si="3"/>
        <v>Rs./hr</v>
      </c>
    </row>
    <row r="33" spans="1:18" ht="15" customHeight="1" x14ac:dyDescent="0.3">
      <c r="A33" s="35">
        <v>21</v>
      </c>
      <c r="B33" s="35" t="s">
        <v>47</v>
      </c>
      <c r="C33" s="35" t="s">
        <v>48</v>
      </c>
      <c r="D33" s="36" t="s">
        <v>19</v>
      </c>
      <c r="E33" s="36" t="s">
        <v>1373</v>
      </c>
      <c r="F33" s="35">
        <v>2016</v>
      </c>
      <c r="G33" s="35" t="s">
        <v>1357</v>
      </c>
      <c r="H33" s="35" t="s">
        <v>1358</v>
      </c>
      <c r="I33" s="36" t="s">
        <v>1359</v>
      </c>
      <c r="J33" s="35" t="s">
        <v>1360</v>
      </c>
      <c r="K33" s="37">
        <v>5</v>
      </c>
      <c r="L33" s="37">
        <v>7</v>
      </c>
      <c r="M33" s="37">
        <v>9.5</v>
      </c>
      <c r="N33" s="38">
        <f t="shared" si="4"/>
        <v>1.07</v>
      </c>
      <c r="O33" s="39">
        <f t="shared" si="0"/>
        <v>2557.3000000000002</v>
      </c>
      <c r="P33" s="39">
        <f t="shared" si="1"/>
        <v>3580.2200000000003</v>
      </c>
      <c r="Q33" s="39">
        <f t="shared" si="2"/>
        <v>4858.8700000000008</v>
      </c>
      <c r="R33" s="35" t="str">
        <f t="shared" si="3"/>
        <v>Rs./hr</v>
      </c>
    </row>
    <row r="34" spans="1:18" ht="15" customHeight="1" x14ac:dyDescent="0.3">
      <c r="A34" s="35">
        <v>22</v>
      </c>
      <c r="B34" s="35" t="s">
        <v>50</v>
      </c>
      <c r="C34" s="35" t="s">
        <v>51</v>
      </c>
      <c r="D34" s="36" t="s">
        <v>19</v>
      </c>
      <c r="E34" s="36" t="s">
        <v>1369</v>
      </c>
      <c r="F34" s="35">
        <v>2016</v>
      </c>
      <c r="G34" s="35" t="s">
        <v>1357</v>
      </c>
      <c r="H34" s="35" t="s">
        <v>1358</v>
      </c>
      <c r="I34" s="36" t="s">
        <v>1359</v>
      </c>
      <c r="J34" s="35" t="s">
        <v>1360</v>
      </c>
      <c r="K34" s="37">
        <v>5</v>
      </c>
      <c r="L34" s="37">
        <v>7</v>
      </c>
      <c r="M34" s="37">
        <v>9.5</v>
      </c>
      <c r="N34" s="38">
        <f t="shared" si="4"/>
        <v>1.07</v>
      </c>
      <c r="O34" s="39">
        <f t="shared" si="0"/>
        <v>2557.3000000000002</v>
      </c>
      <c r="P34" s="39">
        <f t="shared" si="1"/>
        <v>3580.2200000000003</v>
      </c>
      <c r="Q34" s="39">
        <f t="shared" si="2"/>
        <v>4858.8700000000008</v>
      </c>
      <c r="R34" s="35" t="str">
        <f t="shared" si="3"/>
        <v>Rs./hr</v>
      </c>
    </row>
    <row r="35" spans="1:18" ht="15" customHeight="1" x14ac:dyDescent="0.3">
      <c r="A35" s="35">
        <v>23</v>
      </c>
      <c r="B35" s="35" t="s">
        <v>53</v>
      </c>
      <c r="C35" s="35" t="s">
        <v>54</v>
      </c>
      <c r="D35" s="36" t="s">
        <v>19</v>
      </c>
      <c r="E35" s="36" t="s">
        <v>1369</v>
      </c>
      <c r="F35" s="35">
        <v>2016</v>
      </c>
      <c r="G35" s="35" t="s">
        <v>1357</v>
      </c>
      <c r="H35" s="35" t="s">
        <v>1358</v>
      </c>
      <c r="I35" s="36" t="s">
        <v>1359</v>
      </c>
      <c r="J35" s="35" t="s">
        <v>1360</v>
      </c>
      <c r="K35" s="37">
        <v>5</v>
      </c>
      <c r="L35" s="37">
        <v>7</v>
      </c>
      <c r="M35" s="37">
        <v>9.5</v>
      </c>
      <c r="N35" s="38">
        <f t="shared" si="4"/>
        <v>1.07</v>
      </c>
      <c r="O35" s="39">
        <f t="shared" si="0"/>
        <v>2557.3000000000002</v>
      </c>
      <c r="P35" s="39">
        <f t="shared" si="1"/>
        <v>3580.2200000000003</v>
      </c>
      <c r="Q35" s="39">
        <f t="shared" si="2"/>
        <v>4858.8700000000008</v>
      </c>
      <c r="R35" s="35" t="str">
        <f t="shared" si="3"/>
        <v>Rs./hr</v>
      </c>
    </row>
    <row r="36" spans="1:18" ht="15" customHeight="1" x14ac:dyDescent="0.3">
      <c r="A36" s="35">
        <v>24</v>
      </c>
      <c r="B36" s="35" t="s">
        <v>55</v>
      </c>
      <c r="C36" s="35" t="s">
        <v>56</v>
      </c>
      <c r="D36" s="36" t="s">
        <v>19</v>
      </c>
      <c r="E36" s="36" t="s">
        <v>1369</v>
      </c>
      <c r="F36" s="35">
        <v>2016</v>
      </c>
      <c r="G36" s="35" t="s">
        <v>1357</v>
      </c>
      <c r="H36" s="35" t="s">
        <v>1358</v>
      </c>
      <c r="I36" s="36" t="s">
        <v>1359</v>
      </c>
      <c r="J36" s="35" t="s">
        <v>1360</v>
      </c>
      <c r="K36" s="37">
        <v>5</v>
      </c>
      <c r="L36" s="37">
        <v>7</v>
      </c>
      <c r="M36" s="37">
        <v>9.5</v>
      </c>
      <c r="N36" s="38">
        <f t="shared" si="4"/>
        <v>1.07</v>
      </c>
      <c r="O36" s="39">
        <f t="shared" si="0"/>
        <v>2557.3000000000002</v>
      </c>
      <c r="P36" s="39">
        <f t="shared" si="1"/>
        <v>3580.2200000000003</v>
      </c>
      <c r="Q36" s="39">
        <f t="shared" si="2"/>
        <v>4858.8700000000008</v>
      </c>
      <c r="R36" s="35" t="str">
        <f t="shared" si="3"/>
        <v>Rs./hr</v>
      </c>
    </row>
    <row r="37" spans="1:18" ht="15" customHeight="1" x14ac:dyDescent="0.3">
      <c r="A37" s="35">
        <v>25</v>
      </c>
      <c r="B37" s="35" t="s">
        <v>57</v>
      </c>
      <c r="C37" s="35" t="s">
        <v>58</v>
      </c>
      <c r="D37" s="36" t="s">
        <v>19</v>
      </c>
      <c r="E37" s="36" t="s">
        <v>1373</v>
      </c>
      <c r="F37" s="35">
        <v>2016</v>
      </c>
      <c r="G37" s="35" t="s">
        <v>1357</v>
      </c>
      <c r="H37" s="35" t="s">
        <v>1358</v>
      </c>
      <c r="I37" s="36" t="s">
        <v>1359</v>
      </c>
      <c r="J37" s="35" t="s">
        <v>1360</v>
      </c>
      <c r="K37" s="37">
        <v>5</v>
      </c>
      <c r="L37" s="37">
        <v>7</v>
      </c>
      <c r="M37" s="37">
        <v>9.5</v>
      </c>
      <c r="N37" s="38">
        <f t="shared" si="4"/>
        <v>1.07</v>
      </c>
      <c r="O37" s="39">
        <f t="shared" si="0"/>
        <v>2557.3000000000002</v>
      </c>
      <c r="P37" s="39">
        <f t="shared" si="1"/>
        <v>3580.2200000000003</v>
      </c>
      <c r="Q37" s="39">
        <f t="shared" si="2"/>
        <v>4858.8700000000008</v>
      </c>
      <c r="R37" s="35" t="str">
        <f t="shared" si="3"/>
        <v>Rs./hr</v>
      </c>
    </row>
    <row r="38" spans="1:18" ht="15" customHeight="1" x14ac:dyDescent="0.3">
      <c r="A38" s="35">
        <v>26</v>
      </c>
      <c r="B38" s="35" t="s">
        <v>43</v>
      </c>
      <c r="C38" s="35" t="s">
        <v>44</v>
      </c>
      <c r="D38" s="36" t="s">
        <v>19</v>
      </c>
      <c r="E38" s="36" t="s">
        <v>1374</v>
      </c>
      <c r="F38" s="35">
        <v>2019</v>
      </c>
      <c r="G38" s="35" t="s">
        <v>1357</v>
      </c>
      <c r="H38" s="35" t="s">
        <v>1358</v>
      </c>
      <c r="I38" s="36" t="s">
        <v>1359</v>
      </c>
      <c r="J38" s="35" t="s">
        <v>1360</v>
      </c>
      <c r="K38" s="37">
        <v>5</v>
      </c>
      <c r="L38" s="37">
        <v>7</v>
      </c>
      <c r="M38" s="37">
        <v>9.5</v>
      </c>
      <c r="N38" s="38">
        <f t="shared" si="4"/>
        <v>1.0489999999999999</v>
      </c>
      <c r="O38" s="39">
        <f t="shared" si="0"/>
        <v>2507.1099999999997</v>
      </c>
      <c r="P38" s="39">
        <f t="shared" si="1"/>
        <v>3509.9540000000002</v>
      </c>
      <c r="Q38" s="39">
        <f t="shared" si="2"/>
        <v>4763.5089999999991</v>
      </c>
      <c r="R38" s="35" t="str">
        <f t="shared" si="3"/>
        <v>Rs./hr</v>
      </c>
    </row>
    <row r="39" spans="1:18" ht="15" customHeight="1" x14ac:dyDescent="0.3">
      <c r="A39" s="35">
        <v>27</v>
      </c>
      <c r="B39" s="35" t="s">
        <v>29</v>
      </c>
      <c r="C39" s="35" t="s">
        <v>30</v>
      </c>
      <c r="D39" s="36" t="s">
        <v>19</v>
      </c>
      <c r="E39" s="36" t="s">
        <v>1375</v>
      </c>
      <c r="F39" s="35">
        <v>2020</v>
      </c>
      <c r="G39" s="35" t="s">
        <v>1357</v>
      </c>
      <c r="H39" s="35" t="s">
        <v>1358</v>
      </c>
      <c r="I39" s="36" t="s">
        <v>1359</v>
      </c>
      <c r="J39" s="35" t="s">
        <v>1360</v>
      </c>
      <c r="K39" s="37">
        <v>5</v>
      </c>
      <c r="L39" s="37">
        <v>7</v>
      </c>
      <c r="M39" s="37">
        <v>9.5</v>
      </c>
      <c r="N39" s="38">
        <f t="shared" si="4"/>
        <v>1.042</v>
      </c>
      <c r="O39" s="39">
        <f t="shared" si="0"/>
        <v>2490.38</v>
      </c>
      <c r="P39" s="39">
        <f t="shared" si="1"/>
        <v>3486.5320000000002</v>
      </c>
      <c r="Q39" s="39">
        <f t="shared" si="2"/>
        <v>4731.7220000000007</v>
      </c>
      <c r="R39" s="35" t="str">
        <f t="shared" si="3"/>
        <v>Rs./hr</v>
      </c>
    </row>
    <row r="40" spans="1:18" ht="15" customHeight="1" x14ac:dyDescent="0.3">
      <c r="A40" s="35">
        <v>28</v>
      </c>
      <c r="B40" s="35" t="s">
        <v>32</v>
      </c>
      <c r="C40" s="35" t="s">
        <v>33</v>
      </c>
      <c r="D40" s="36" t="s">
        <v>19</v>
      </c>
      <c r="E40" s="36" t="s">
        <v>1375</v>
      </c>
      <c r="F40" s="35">
        <v>2020</v>
      </c>
      <c r="G40" s="35" t="s">
        <v>1357</v>
      </c>
      <c r="H40" s="35" t="s">
        <v>1358</v>
      </c>
      <c r="I40" s="36" t="s">
        <v>1359</v>
      </c>
      <c r="J40" s="35" t="s">
        <v>1360</v>
      </c>
      <c r="K40" s="37">
        <v>5</v>
      </c>
      <c r="L40" s="37">
        <v>7</v>
      </c>
      <c r="M40" s="37">
        <v>9.5</v>
      </c>
      <c r="N40" s="38">
        <f t="shared" si="4"/>
        <v>1.042</v>
      </c>
      <c r="O40" s="39">
        <f t="shared" si="0"/>
        <v>2490.38</v>
      </c>
      <c r="P40" s="39">
        <f t="shared" si="1"/>
        <v>3486.5320000000002</v>
      </c>
      <c r="Q40" s="39">
        <f t="shared" si="2"/>
        <v>4731.7220000000007</v>
      </c>
      <c r="R40" s="35" t="str">
        <f t="shared" si="3"/>
        <v>Rs./hr</v>
      </c>
    </row>
    <row r="41" spans="1:18" ht="15" customHeight="1" x14ac:dyDescent="0.3">
      <c r="A41" s="35">
        <v>29</v>
      </c>
      <c r="B41" s="35" t="s">
        <v>34</v>
      </c>
      <c r="C41" s="35" t="s">
        <v>35</v>
      </c>
      <c r="D41" s="36" t="s">
        <v>19</v>
      </c>
      <c r="E41" s="36" t="s">
        <v>1375</v>
      </c>
      <c r="F41" s="35">
        <v>2020</v>
      </c>
      <c r="G41" s="35" t="s">
        <v>1357</v>
      </c>
      <c r="H41" s="35" t="s">
        <v>1358</v>
      </c>
      <c r="I41" s="36" t="s">
        <v>1359</v>
      </c>
      <c r="J41" s="35" t="s">
        <v>1360</v>
      </c>
      <c r="K41" s="37">
        <v>5</v>
      </c>
      <c r="L41" s="37">
        <v>7</v>
      </c>
      <c r="M41" s="37">
        <v>9.5</v>
      </c>
      <c r="N41" s="38">
        <f t="shared" si="4"/>
        <v>1.042</v>
      </c>
      <c r="O41" s="39">
        <f t="shared" si="0"/>
        <v>2490.38</v>
      </c>
      <c r="P41" s="39">
        <f t="shared" si="1"/>
        <v>3486.5320000000002</v>
      </c>
      <c r="Q41" s="39">
        <f t="shared" si="2"/>
        <v>4731.7220000000007</v>
      </c>
      <c r="R41" s="35" t="str">
        <f t="shared" si="3"/>
        <v>Rs./hr</v>
      </c>
    </row>
    <row r="42" spans="1:18" ht="15" customHeight="1" x14ac:dyDescent="0.3">
      <c r="A42" s="35">
        <v>30</v>
      </c>
      <c r="B42" s="35" t="s">
        <v>36</v>
      </c>
      <c r="C42" s="35" t="s">
        <v>37</v>
      </c>
      <c r="D42" s="36" t="s">
        <v>19</v>
      </c>
      <c r="E42" s="36" t="s">
        <v>1376</v>
      </c>
      <c r="F42" s="35">
        <v>2020</v>
      </c>
      <c r="G42" s="35" t="s">
        <v>1357</v>
      </c>
      <c r="H42" s="35" t="s">
        <v>1358</v>
      </c>
      <c r="I42" s="36" t="s">
        <v>1359</v>
      </c>
      <c r="J42" s="35" t="s">
        <v>1360</v>
      </c>
      <c r="K42" s="37">
        <v>5</v>
      </c>
      <c r="L42" s="37">
        <v>7</v>
      </c>
      <c r="M42" s="37">
        <v>9.5</v>
      </c>
      <c r="N42" s="38">
        <f t="shared" si="4"/>
        <v>1.042</v>
      </c>
      <c r="O42" s="39">
        <f t="shared" si="0"/>
        <v>2490.38</v>
      </c>
      <c r="P42" s="39">
        <f t="shared" si="1"/>
        <v>3486.5320000000002</v>
      </c>
      <c r="Q42" s="39">
        <f t="shared" si="2"/>
        <v>4731.7220000000007</v>
      </c>
      <c r="R42" s="35" t="str">
        <f t="shared" si="3"/>
        <v>Rs./hr</v>
      </c>
    </row>
    <row r="43" spans="1:18" ht="15" customHeight="1" x14ac:dyDescent="0.3">
      <c r="A43" s="35">
        <v>31</v>
      </c>
      <c r="B43" s="35" t="s">
        <v>38</v>
      </c>
      <c r="C43" s="35" t="s">
        <v>39</v>
      </c>
      <c r="D43" s="36" t="s">
        <v>19</v>
      </c>
      <c r="E43" s="36" t="s">
        <v>1375</v>
      </c>
      <c r="F43" s="35">
        <v>2020</v>
      </c>
      <c r="G43" s="35" t="s">
        <v>1357</v>
      </c>
      <c r="H43" s="35" t="s">
        <v>1358</v>
      </c>
      <c r="I43" s="36" t="s">
        <v>1359</v>
      </c>
      <c r="J43" s="35" t="s">
        <v>1360</v>
      </c>
      <c r="K43" s="37">
        <v>5</v>
      </c>
      <c r="L43" s="37">
        <v>7</v>
      </c>
      <c r="M43" s="37">
        <v>9.5</v>
      </c>
      <c r="N43" s="38">
        <f t="shared" si="4"/>
        <v>1.042</v>
      </c>
      <c r="O43" s="39">
        <f t="shared" si="0"/>
        <v>2490.38</v>
      </c>
      <c r="P43" s="39">
        <f t="shared" si="1"/>
        <v>3486.5320000000002</v>
      </c>
      <c r="Q43" s="39">
        <f t="shared" si="2"/>
        <v>4731.7220000000007</v>
      </c>
      <c r="R43" s="35" t="str">
        <f t="shared" si="3"/>
        <v>Rs./hr</v>
      </c>
    </row>
    <row r="44" spans="1:18" ht="15" customHeight="1" x14ac:dyDescent="0.3">
      <c r="A44" s="35">
        <v>32</v>
      </c>
      <c r="B44" s="35" t="s">
        <v>40</v>
      </c>
      <c r="C44" s="35" t="s">
        <v>41</v>
      </c>
      <c r="D44" s="36" t="s">
        <v>19</v>
      </c>
      <c r="E44" s="36" t="s">
        <v>1375</v>
      </c>
      <c r="F44" s="35">
        <v>2020</v>
      </c>
      <c r="G44" s="35" t="s">
        <v>1357</v>
      </c>
      <c r="H44" s="35" t="s">
        <v>1358</v>
      </c>
      <c r="I44" s="36" t="s">
        <v>1359</v>
      </c>
      <c r="J44" s="35" t="s">
        <v>1360</v>
      </c>
      <c r="K44" s="37">
        <v>5</v>
      </c>
      <c r="L44" s="37">
        <v>7</v>
      </c>
      <c r="M44" s="37">
        <v>9.5</v>
      </c>
      <c r="N44" s="38">
        <f t="shared" si="4"/>
        <v>1.042</v>
      </c>
      <c r="O44" s="39">
        <f t="shared" si="0"/>
        <v>2490.38</v>
      </c>
      <c r="P44" s="39">
        <f t="shared" si="1"/>
        <v>3486.5320000000002</v>
      </c>
      <c r="Q44" s="39">
        <f t="shared" si="2"/>
        <v>4731.7220000000007</v>
      </c>
      <c r="R44" s="35" t="str">
        <f t="shared" si="3"/>
        <v>Rs./hr</v>
      </c>
    </row>
    <row r="45" spans="1:18" ht="15" customHeight="1" x14ac:dyDescent="0.3">
      <c r="A45" s="35">
        <v>33</v>
      </c>
      <c r="B45" s="35" t="s">
        <v>21</v>
      </c>
      <c r="C45" s="35" t="s">
        <v>22</v>
      </c>
      <c r="D45" s="36" t="s">
        <v>19</v>
      </c>
      <c r="E45" s="36" t="s">
        <v>1377</v>
      </c>
      <c r="F45" s="35">
        <v>2021</v>
      </c>
      <c r="G45" s="35" t="s">
        <v>1357</v>
      </c>
      <c r="H45" s="35" t="s">
        <v>1358</v>
      </c>
      <c r="I45" s="36" t="s">
        <v>1359</v>
      </c>
      <c r="J45" s="35" t="s">
        <v>1360</v>
      </c>
      <c r="K45" s="37">
        <v>5</v>
      </c>
      <c r="L45" s="37">
        <v>7</v>
      </c>
      <c r="M45" s="37">
        <v>9.5</v>
      </c>
      <c r="N45" s="38">
        <f t="shared" si="4"/>
        <v>1.0349999999999999</v>
      </c>
      <c r="O45" s="39">
        <f t="shared" si="0"/>
        <v>2473.65</v>
      </c>
      <c r="P45" s="39">
        <f t="shared" si="1"/>
        <v>3463.1099999999997</v>
      </c>
      <c r="Q45" s="39">
        <f t="shared" si="2"/>
        <v>4699.9349999999995</v>
      </c>
      <c r="R45" s="35" t="str">
        <f t="shared" si="3"/>
        <v>Rs./hr</v>
      </c>
    </row>
    <row r="46" spans="1:18" ht="15" customHeight="1" x14ac:dyDescent="0.3">
      <c r="A46" s="35">
        <v>34</v>
      </c>
      <c r="B46" s="35" t="s">
        <v>24</v>
      </c>
      <c r="C46" s="35" t="s">
        <v>25</v>
      </c>
      <c r="D46" s="36" t="s">
        <v>19</v>
      </c>
      <c r="E46" s="36" t="s">
        <v>1377</v>
      </c>
      <c r="F46" s="35">
        <v>2021</v>
      </c>
      <c r="G46" s="35" t="s">
        <v>1357</v>
      </c>
      <c r="H46" s="35" t="s">
        <v>1358</v>
      </c>
      <c r="I46" s="36" t="s">
        <v>1359</v>
      </c>
      <c r="J46" s="35" t="s">
        <v>1360</v>
      </c>
      <c r="K46" s="37">
        <v>5</v>
      </c>
      <c r="L46" s="37">
        <v>7</v>
      </c>
      <c r="M46" s="37">
        <v>9.5</v>
      </c>
      <c r="N46" s="38">
        <f t="shared" si="4"/>
        <v>1.0349999999999999</v>
      </c>
      <c r="O46" s="39">
        <f t="shared" si="0"/>
        <v>2473.65</v>
      </c>
      <c r="P46" s="39">
        <f t="shared" si="1"/>
        <v>3463.1099999999997</v>
      </c>
      <c r="Q46" s="39">
        <f t="shared" si="2"/>
        <v>4699.9349999999995</v>
      </c>
      <c r="R46" s="35" t="str">
        <f t="shared" si="3"/>
        <v>Rs./hr</v>
      </c>
    </row>
    <row r="47" spans="1:18" ht="15" customHeight="1" x14ac:dyDescent="0.3">
      <c r="A47" s="35">
        <v>35</v>
      </c>
      <c r="B47" s="35" t="s">
        <v>26</v>
      </c>
      <c r="C47" s="35" t="s">
        <v>27</v>
      </c>
      <c r="D47" s="36" t="s">
        <v>19</v>
      </c>
      <c r="E47" s="36" t="s">
        <v>1377</v>
      </c>
      <c r="F47" s="35">
        <v>2021</v>
      </c>
      <c r="G47" s="35" t="s">
        <v>1357</v>
      </c>
      <c r="H47" s="35" t="s">
        <v>1358</v>
      </c>
      <c r="I47" s="36" t="s">
        <v>1359</v>
      </c>
      <c r="J47" s="35" t="s">
        <v>1360</v>
      </c>
      <c r="K47" s="37">
        <v>5</v>
      </c>
      <c r="L47" s="37">
        <v>7</v>
      </c>
      <c r="M47" s="37">
        <v>9.5</v>
      </c>
      <c r="N47" s="38">
        <f t="shared" si="4"/>
        <v>1.0349999999999999</v>
      </c>
      <c r="O47" s="39">
        <f t="shared" si="0"/>
        <v>2473.65</v>
      </c>
      <c r="P47" s="39">
        <f t="shared" si="1"/>
        <v>3463.1099999999997</v>
      </c>
      <c r="Q47" s="39">
        <f t="shared" si="2"/>
        <v>4699.9349999999995</v>
      </c>
      <c r="R47" s="35" t="str">
        <f t="shared" si="3"/>
        <v>Rs./hr</v>
      </c>
    </row>
    <row r="48" spans="1:18" ht="15" customHeight="1" x14ac:dyDescent="0.3">
      <c r="A48" s="35">
        <v>36</v>
      </c>
      <c r="B48" s="35" t="s">
        <v>419</v>
      </c>
      <c r="C48" s="35" t="s">
        <v>420</v>
      </c>
      <c r="D48" s="36" t="s">
        <v>408</v>
      </c>
      <c r="E48" s="36" t="s">
        <v>1378</v>
      </c>
      <c r="F48" s="35">
        <v>1992</v>
      </c>
      <c r="G48" s="35" t="s">
        <v>1357</v>
      </c>
      <c r="H48" s="35" t="s">
        <v>1358</v>
      </c>
      <c r="I48" s="36" t="s">
        <v>1359</v>
      </c>
      <c r="J48" s="35" t="s">
        <v>1360</v>
      </c>
      <c r="K48" s="37">
        <v>6.5</v>
      </c>
      <c r="L48" s="37">
        <v>9</v>
      </c>
      <c r="M48" s="37">
        <v>12.2</v>
      </c>
      <c r="N48" s="38">
        <f t="shared" si="4"/>
        <v>1.175</v>
      </c>
      <c r="O48" s="39">
        <f t="shared" si="0"/>
        <v>3650.7249999999999</v>
      </c>
      <c r="P48" s="39">
        <f t="shared" si="1"/>
        <v>5054.8500000000004</v>
      </c>
      <c r="Q48" s="39">
        <f t="shared" si="2"/>
        <v>6852.1299999999992</v>
      </c>
      <c r="R48" s="35" t="str">
        <f t="shared" si="3"/>
        <v>Rs./hr</v>
      </c>
    </row>
    <row r="49" spans="1:18" ht="15" customHeight="1" x14ac:dyDescent="0.3">
      <c r="A49" s="35">
        <v>37</v>
      </c>
      <c r="B49" s="35" t="s">
        <v>413</v>
      </c>
      <c r="C49" s="35" t="s">
        <v>414</v>
      </c>
      <c r="D49" s="36" t="s">
        <v>408</v>
      </c>
      <c r="E49" s="36" t="s">
        <v>1379</v>
      </c>
      <c r="F49" s="35">
        <v>2013</v>
      </c>
      <c r="G49" s="35" t="s">
        <v>1357</v>
      </c>
      <c r="H49" s="35" t="s">
        <v>1358</v>
      </c>
      <c r="I49" s="36" t="s">
        <v>1359</v>
      </c>
      <c r="J49" s="35" t="s">
        <v>1360</v>
      </c>
      <c r="K49" s="37">
        <v>6.5</v>
      </c>
      <c r="L49" s="37">
        <v>9</v>
      </c>
      <c r="M49" s="37">
        <v>12.2</v>
      </c>
      <c r="N49" s="38">
        <f t="shared" si="4"/>
        <v>1.091</v>
      </c>
      <c r="O49" s="39">
        <f t="shared" si="0"/>
        <v>3389.7370000000001</v>
      </c>
      <c r="P49" s="39">
        <f t="shared" si="1"/>
        <v>4693.482</v>
      </c>
      <c r="Q49" s="39">
        <f t="shared" si="2"/>
        <v>6362.275599999999</v>
      </c>
      <c r="R49" s="35" t="str">
        <f t="shared" si="3"/>
        <v>Rs./hr</v>
      </c>
    </row>
    <row r="50" spans="1:18" ht="15" customHeight="1" x14ac:dyDescent="0.3">
      <c r="A50" s="35">
        <v>38</v>
      </c>
      <c r="B50" s="35" t="s">
        <v>416</v>
      </c>
      <c r="C50" s="35" t="s">
        <v>417</v>
      </c>
      <c r="D50" s="36" t="s">
        <v>408</v>
      </c>
      <c r="E50" s="36" t="s">
        <v>1380</v>
      </c>
      <c r="F50" s="35">
        <v>2012</v>
      </c>
      <c r="G50" s="35" t="s">
        <v>1357</v>
      </c>
      <c r="H50" s="35" t="s">
        <v>1358</v>
      </c>
      <c r="I50" s="36" t="s">
        <v>1359</v>
      </c>
      <c r="J50" s="35" t="s">
        <v>1360</v>
      </c>
      <c r="K50" s="37">
        <v>6.5</v>
      </c>
      <c r="L50" s="37">
        <v>9</v>
      </c>
      <c r="M50" s="37">
        <v>12.2</v>
      </c>
      <c r="N50" s="38">
        <f t="shared" si="4"/>
        <v>1.0980000000000001</v>
      </c>
      <c r="O50" s="39">
        <f t="shared" si="0"/>
        <v>3411.4860000000003</v>
      </c>
      <c r="P50" s="39">
        <f t="shared" si="1"/>
        <v>4723.5960000000005</v>
      </c>
      <c r="Q50" s="39">
        <f t="shared" si="2"/>
        <v>6403.0968000000003</v>
      </c>
      <c r="R50" s="35" t="str">
        <f t="shared" si="3"/>
        <v>Rs./hr</v>
      </c>
    </row>
    <row r="51" spans="1:18" ht="15" customHeight="1" x14ac:dyDescent="0.3">
      <c r="A51" s="35">
        <v>39</v>
      </c>
      <c r="B51" s="35" t="s">
        <v>410</v>
      </c>
      <c r="C51" s="35" t="s">
        <v>411</v>
      </c>
      <c r="D51" s="36" t="s">
        <v>408</v>
      </c>
      <c r="E51" s="36" t="s">
        <v>1381</v>
      </c>
      <c r="F51" s="35">
        <v>2019</v>
      </c>
      <c r="G51" s="35" t="s">
        <v>1357</v>
      </c>
      <c r="H51" s="35" t="s">
        <v>1358</v>
      </c>
      <c r="I51" s="36" t="s">
        <v>1359</v>
      </c>
      <c r="J51" s="35" t="s">
        <v>1360</v>
      </c>
      <c r="K51" s="37">
        <v>6.5</v>
      </c>
      <c r="L51" s="37">
        <v>9</v>
      </c>
      <c r="M51" s="37">
        <v>12.2</v>
      </c>
      <c r="N51" s="38">
        <f t="shared" si="4"/>
        <v>1.0489999999999999</v>
      </c>
      <c r="O51" s="39">
        <f t="shared" si="0"/>
        <v>3259.2429999999995</v>
      </c>
      <c r="P51" s="39">
        <f t="shared" si="1"/>
        <v>4512.7979999999998</v>
      </c>
      <c r="Q51" s="39">
        <f t="shared" si="2"/>
        <v>6117.3483999999989</v>
      </c>
      <c r="R51" s="35" t="str">
        <f t="shared" si="3"/>
        <v>Rs./hr</v>
      </c>
    </row>
    <row r="52" spans="1:18" ht="15" customHeight="1" x14ac:dyDescent="0.3">
      <c r="A52" s="35">
        <v>40</v>
      </c>
      <c r="B52" s="35" t="s">
        <v>445</v>
      </c>
      <c r="C52" s="35" t="s">
        <v>446</v>
      </c>
      <c r="D52" s="36" t="s">
        <v>433</v>
      </c>
      <c r="E52" s="36" t="s">
        <v>1382</v>
      </c>
      <c r="F52" s="35">
        <v>1996</v>
      </c>
      <c r="G52" s="35" t="s">
        <v>1357</v>
      </c>
      <c r="H52" s="35" t="s">
        <v>1358</v>
      </c>
      <c r="I52" s="36" t="s">
        <v>1383</v>
      </c>
      <c r="J52" s="35" t="s">
        <v>1360</v>
      </c>
      <c r="K52" s="37">
        <v>5.8</v>
      </c>
      <c r="L52" s="37">
        <v>8</v>
      </c>
      <c r="M52" s="37">
        <v>10.8</v>
      </c>
      <c r="N52" s="38">
        <f t="shared" ref="N52:N68" si="5">1+MIN(MAX($D$8-F52,0),$D$10)*$D$9</f>
        <v>1.175</v>
      </c>
      <c r="O52" s="39">
        <f t="shared" si="0"/>
        <v>3257.57</v>
      </c>
      <c r="P52" s="39">
        <f t="shared" si="1"/>
        <v>4493.2</v>
      </c>
      <c r="Q52" s="39">
        <f t="shared" si="2"/>
        <v>6065.8200000000006</v>
      </c>
      <c r="R52" s="35" t="str">
        <f t="shared" si="3"/>
        <v>Rs./hr</v>
      </c>
    </row>
    <row r="53" spans="1:18" ht="15" customHeight="1" x14ac:dyDescent="0.3">
      <c r="A53" s="35">
        <v>41</v>
      </c>
      <c r="B53" s="35" t="s">
        <v>435</v>
      </c>
      <c r="C53" s="35" t="s">
        <v>436</v>
      </c>
      <c r="D53" s="36" t="s">
        <v>433</v>
      </c>
      <c r="E53" s="36" t="s">
        <v>1384</v>
      </c>
      <c r="F53" s="35">
        <v>2006</v>
      </c>
      <c r="G53" s="35" t="s">
        <v>1357</v>
      </c>
      <c r="H53" s="35" t="s">
        <v>1358</v>
      </c>
      <c r="I53" s="36" t="s">
        <v>1385</v>
      </c>
      <c r="J53" s="35" t="s">
        <v>1360</v>
      </c>
      <c r="K53" s="37">
        <v>6.5</v>
      </c>
      <c r="L53" s="37">
        <v>9</v>
      </c>
      <c r="M53" s="37">
        <v>12.2</v>
      </c>
      <c r="N53" s="38">
        <f t="shared" si="5"/>
        <v>1.1400000000000001</v>
      </c>
      <c r="O53" s="39">
        <f t="shared" si="0"/>
        <v>3541.9800000000005</v>
      </c>
      <c r="P53" s="39">
        <f t="shared" si="1"/>
        <v>4904.2800000000007</v>
      </c>
      <c r="Q53" s="39">
        <f t="shared" si="2"/>
        <v>6648.0240000000003</v>
      </c>
      <c r="R53" s="35" t="str">
        <f t="shared" si="3"/>
        <v>Rs./hr</v>
      </c>
    </row>
    <row r="54" spans="1:18" ht="15" customHeight="1" x14ac:dyDescent="0.3">
      <c r="A54" s="35">
        <v>42</v>
      </c>
      <c r="B54" s="35" t="s">
        <v>438</v>
      </c>
      <c r="C54" s="35" t="s">
        <v>439</v>
      </c>
      <c r="D54" s="36" t="s">
        <v>433</v>
      </c>
      <c r="E54" s="36" t="s">
        <v>1386</v>
      </c>
      <c r="F54" s="35">
        <v>2005</v>
      </c>
      <c r="G54" s="35" t="s">
        <v>1357</v>
      </c>
      <c r="H54" s="35" t="s">
        <v>1358</v>
      </c>
      <c r="I54" s="36" t="s">
        <v>1387</v>
      </c>
      <c r="J54" s="35" t="s">
        <v>1360</v>
      </c>
      <c r="K54" s="37">
        <v>7.2</v>
      </c>
      <c r="L54" s="37">
        <v>10</v>
      </c>
      <c r="M54" s="37">
        <v>13.5</v>
      </c>
      <c r="N54" s="38">
        <f t="shared" si="5"/>
        <v>1.147</v>
      </c>
      <c r="O54" s="39">
        <f t="shared" si="0"/>
        <v>3947.5151999999998</v>
      </c>
      <c r="P54" s="39">
        <f t="shared" si="1"/>
        <v>5482.66</v>
      </c>
      <c r="Q54" s="39">
        <f t="shared" si="2"/>
        <v>7401.5910000000003</v>
      </c>
      <c r="R54" s="35" t="str">
        <f t="shared" si="3"/>
        <v>Rs./hr</v>
      </c>
    </row>
    <row r="55" spans="1:18" ht="15" customHeight="1" x14ac:dyDescent="0.3">
      <c r="A55" s="35">
        <v>43</v>
      </c>
      <c r="B55" s="35" t="s">
        <v>442</v>
      </c>
      <c r="C55" s="35" t="s">
        <v>443</v>
      </c>
      <c r="D55" s="36" t="s">
        <v>433</v>
      </c>
      <c r="E55" s="36" t="s">
        <v>1388</v>
      </c>
      <c r="F55" s="35">
        <v>2003</v>
      </c>
      <c r="G55" s="35" t="s">
        <v>1357</v>
      </c>
      <c r="H55" s="35" t="s">
        <v>1358</v>
      </c>
      <c r="I55" s="36" t="s">
        <v>1383</v>
      </c>
      <c r="J55" s="35" t="s">
        <v>1360</v>
      </c>
      <c r="K55" s="37">
        <v>5.8</v>
      </c>
      <c r="L55" s="37">
        <v>8</v>
      </c>
      <c r="M55" s="37">
        <v>10.8</v>
      </c>
      <c r="N55" s="38">
        <f t="shared" si="5"/>
        <v>1.161</v>
      </c>
      <c r="O55" s="39">
        <f t="shared" si="0"/>
        <v>3218.7563999999998</v>
      </c>
      <c r="P55" s="39">
        <f t="shared" si="1"/>
        <v>4439.6639999999998</v>
      </c>
      <c r="Q55" s="39">
        <f t="shared" si="2"/>
        <v>5993.5464000000011</v>
      </c>
      <c r="R55" s="35" t="str">
        <f t="shared" si="3"/>
        <v>Rs./hr</v>
      </c>
    </row>
    <row r="56" spans="1:18" ht="15" customHeight="1" x14ac:dyDescent="0.3">
      <c r="A56" s="35">
        <v>44</v>
      </c>
      <c r="B56" s="35" t="s">
        <v>572</v>
      </c>
      <c r="C56" s="35" t="s">
        <v>573</v>
      </c>
      <c r="D56" s="36" t="s">
        <v>555</v>
      </c>
      <c r="E56" s="36" t="s">
        <v>1389</v>
      </c>
      <c r="F56" s="35">
        <v>2000</v>
      </c>
      <c r="G56" s="35" t="s">
        <v>1357</v>
      </c>
      <c r="H56" s="35" t="s">
        <v>1390</v>
      </c>
      <c r="I56" s="36" t="s">
        <v>1359</v>
      </c>
      <c r="J56" s="35" t="s">
        <v>1391</v>
      </c>
      <c r="K56" s="37">
        <v>12.8</v>
      </c>
      <c r="L56" s="37">
        <v>10</v>
      </c>
      <c r="M56" s="37">
        <v>8</v>
      </c>
      <c r="N56" s="38">
        <f t="shared" si="5"/>
        <v>1.175</v>
      </c>
      <c r="O56" s="39">
        <f t="shared" si="0"/>
        <v>43.878906249999993</v>
      </c>
      <c r="P56" s="39">
        <f t="shared" si="1"/>
        <v>56.164999999999999</v>
      </c>
      <c r="Q56" s="39">
        <f t="shared" si="2"/>
        <v>70.206249999999997</v>
      </c>
      <c r="R56" s="35" t="str">
        <f t="shared" si="3"/>
        <v>Rs./km</v>
      </c>
    </row>
    <row r="57" spans="1:18" ht="15" customHeight="1" x14ac:dyDescent="0.3">
      <c r="A57" s="35">
        <v>45</v>
      </c>
      <c r="B57" s="35" t="s">
        <v>575</v>
      </c>
      <c r="C57" s="35" t="s">
        <v>576</v>
      </c>
      <c r="D57" s="36" t="s">
        <v>555</v>
      </c>
      <c r="E57" s="36" t="s">
        <v>1392</v>
      </c>
      <c r="F57" s="35">
        <v>1997</v>
      </c>
      <c r="G57" s="35" t="s">
        <v>1357</v>
      </c>
      <c r="H57" s="35" t="s">
        <v>1390</v>
      </c>
      <c r="I57" s="36" t="s">
        <v>1359</v>
      </c>
      <c r="J57" s="35" t="s">
        <v>1391</v>
      </c>
      <c r="K57" s="37">
        <v>12.8</v>
      </c>
      <c r="L57" s="37">
        <v>10</v>
      </c>
      <c r="M57" s="37">
        <v>8</v>
      </c>
      <c r="N57" s="38">
        <f t="shared" si="5"/>
        <v>1.175</v>
      </c>
      <c r="O57" s="39">
        <f t="shared" si="0"/>
        <v>43.878906249999993</v>
      </c>
      <c r="P57" s="39">
        <f t="shared" si="1"/>
        <v>56.164999999999999</v>
      </c>
      <c r="Q57" s="39">
        <f t="shared" si="2"/>
        <v>70.206249999999997</v>
      </c>
      <c r="R57" s="35" t="str">
        <f t="shared" si="3"/>
        <v>Rs./km</v>
      </c>
    </row>
    <row r="58" spans="1:18" ht="15" customHeight="1" x14ac:dyDescent="0.3">
      <c r="A58" s="35">
        <v>46</v>
      </c>
      <c r="B58" s="35" t="s">
        <v>578</v>
      </c>
      <c r="C58" s="35" t="s">
        <v>579</v>
      </c>
      <c r="D58" s="36" t="s">
        <v>555</v>
      </c>
      <c r="E58" s="36" t="s">
        <v>1393</v>
      </c>
      <c r="F58" s="35">
        <v>1997</v>
      </c>
      <c r="G58" s="35" t="s">
        <v>1357</v>
      </c>
      <c r="H58" s="35" t="s">
        <v>1390</v>
      </c>
      <c r="I58" s="36" t="s">
        <v>1359</v>
      </c>
      <c r="J58" s="35" t="s">
        <v>1391</v>
      </c>
      <c r="K58" s="37">
        <v>12.8</v>
      </c>
      <c r="L58" s="37">
        <v>10</v>
      </c>
      <c r="M58" s="37">
        <v>8</v>
      </c>
      <c r="N58" s="38">
        <f t="shared" si="5"/>
        <v>1.175</v>
      </c>
      <c r="O58" s="39">
        <f t="shared" si="0"/>
        <v>43.878906249999993</v>
      </c>
      <c r="P58" s="39">
        <f t="shared" si="1"/>
        <v>56.164999999999999</v>
      </c>
      <c r="Q58" s="39">
        <f t="shared" si="2"/>
        <v>70.206249999999997</v>
      </c>
      <c r="R58" s="35" t="str">
        <f t="shared" si="3"/>
        <v>Rs./km</v>
      </c>
    </row>
    <row r="59" spans="1:18" ht="15" customHeight="1" x14ac:dyDescent="0.3">
      <c r="A59" s="35">
        <v>47</v>
      </c>
      <c r="B59" s="35" t="s">
        <v>585</v>
      </c>
      <c r="C59" s="35" t="s">
        <v>586</v>
      </c>
      <c r="D59" s="36" t="s">
        <v>555</v>
      </c>
      <c r="E59" s="36" t="s">
        <v>1394</v>
      </c>
      <c r="F59" s="35">
        <v>1973</v>
      </c>
      <c r="G59" s="35" t="s">
        <v>1357</v>
      </c>
      <c r="H59" s="35" t="s">
        <v>1390</v>
      </c>
      <c r="I59" s="36" t="s">
        <v>1359</v>
      </c>
      <c r="J59" s="35" t="s">
        <v>1391</v>
      </c>
      <c r="K59" s="37">
        <v>12.8</v>
      </c>
      <c r="L59" s="37">
        <v>10</v>
      </c>
      <c r="M59" s="37">
        <v>8</v>
      </c>
      <c r="N59" s="38">
        <f t="shared" si="5"/>
        <v>1.175</v>
      </c>
      <c r="O59" s="39">
        <f t="shared" si="0"/>
        <v>43.878906249999993</v>
      </c>
      <c r="P59" s="39">
        <f t="shared" si="1"/>
        <v>56.164999999999999</v>
      </c>
      <c r="Q59" s="39">
        <f t="shared" si="2"/>
        <v>70.206249999999997</v>
      </c>
      <c r="R59" s="35" t="str">
        <f t="shared" si="3"/>
        <v>Rs./km</v>
      </c>
    </row>
    <row r="60" spans="1:18" ht="15" customHeight="1" x14ac:dyDescent="0.3">
      <c r="A60" s="35">
        <v>48</v>
      </c>
      <c r="B60" s="35" t="s">
        <v>565</v>
      </c>
      <c r="C60" s="35" t="s">
        <v>566</v>
      </c>
      <c r="D60" s="36" t="s">
        <v>555</v>
      </c>
      <c r="E60" s="36" t="s">
        <v>1395</v>
      </c>
      <c r="F60" s="35">
        <v>2016</v>
      </c>
      <c r="G60" s="35" t="s">
        <v>1357</v>
      </c>
      <c r="H60" s="35" t="s">
        <v>1390</v>
      </c>
      <c r="I60" s="36" t="s">
        <v>1359</v>
      </c>
      <c r="J60" s="35" t="s">
        <v>1391</v>
      </c>
      <c r="K60" s="37">
        <v>12.8</v>
      </c>
      <c r="L60" s="37">
        <v>10</v>
      </c>
      <c r="M60" s="37">
        <v>8</v>
      </c>
      <c r="N60" s="38">
        <f t="shared" si="5"/>
        <v>1.07</v>
      </c>
      <c r="O60" s="39">
        <f t="shared" si="0"/>
        <v>39.957812500000003</v>
      </c>
      <c r="P60" s="39">
        <f t="shared" si="1"/>
        <v>51.146000000000001</v>
      </c>
      <c r="Q60" s="39">
        <f t="shared" si="2"/>
        <v>63.932500000000005</v>
      </c>
      <c r="R60" s="35" t="str">
        <f t="shared" si="3"/>
        <v>Rs./km</v>
      </c>
    </row>
    <row r="61" spans="1:18" ht="15" customHeight="1" x14ac:dyDescent="0.3">
      <c r="A61" s="35">
        <v>49</v>
      </c>
      <c r="B61" s="35" t="s">
        <v>567</v>
      </c>
      <c r="C61" s="35" t="s">
        <v>568</v>
      </c>
      <c r="D61" s="36" t="s">
        <v>555</v>
      </c>
      <c r="E61" s="36" t="s">
        <v>1395</v>
      </c>
      <c r="F61" s="35">
        <v>2016</v>
      </c>
      <c r="G61" s="35" t="s">
        <v>1357</v>
      </c>
      <c r="H61" s="35" t="s">
        <v>1390</v>
      </c>
      <c r="I61" s="36" t="s">
        <v>1359</v>
      </c>
      <c r="J61" s="35" t="s">
        <v>1391</v>
      </c>
      <c r="K61" s="37">
        <v>12.8</v>
      </c>
      <c r="L61" s="37">
        <v>10</v>
      </c>
      <c r="M61" s="37">
        <v>8</v>
      </c>
      <c r="N61" s="38">
        <f t="shared" si="5"/>
        <v>1.07</v>
      </c>
      <c r="O61" s="39">
        <f t="shared" si="0"/>
        <v>39.957812500000003</v>
      </c>
      <c r="P61" s="39">
        <f t="shared" si="1"/>
        <v>51.146000000000001</v>
      </c>
      <c r="Q61" s="39">
        <f t="shared" si="2"/>
        <v>63.932500000000005</v>
      </c>
      <c r="R61" s="35" t="str">
        <f t="shared" si="3"/>
        <v>Rs./km</v>
      </c>
    </row>
    <row r="62" spans="1:18" ht="15" customHeight="1" x14ac:dyDescent="0.3">
      <c r="A62" s="35">
        <v>50</v>
      </c>
      <c r="B62" s="35" t="s">
        <v>569</v>
      </c>
      <c r="C62" s="35" t="s">
        <v>570</v>
      </c>
      <c r="D62" s="36" t="s">
        <v>555</v>
      </c>
      <c r="E62" s="36" t="s">
        <v>1395</v>
      </c>
      <c r="F62" s="35">
        <v>2016</v>
      </c>
      <c r="G62" s="35" t="s">
        <v>1357</v>
      </c>
      <c r="H62" s="35" t="s">
        <v>1390</v>
      </c>
      <c r="I62" s="36" t="s">
        <v>1359</v>
      </c>
      <c r="J62" s="35" t="s">
        <v>1391</v>
      </c>
      <c r="K62" s="37">
        <v>12.8</v>
      </c>
      <c r="L62" s="37">
        <v>10</v>
      </c>
      <c r="M62" s="37">
        <v>8</v>
      </c>
      <c r="N62" s="38">
        <f t="shared" si="5"/>
        <v>1.07</v>
      </c>
      <c r="O62" s="39">
        <f t="shared" si="0"/>
        <v>39.957812500000003</v>
      </c>
      <c r="P62" s="39">
        <f t="shared" si="1"/>
        <v>51.146000000000001</v>
      </c>
      <c r="Q62" s="39">
        <f t="shared" si="2"/>
        <v>63.932500000000005</v>
      </c>
      <c r="R62" s="35" t="str">
        <f t="shared" si="3"/>
        <v>Rs./km</v>
      </c>
    </row>
    <row r="63" spans="1:18" ht="15" customHeight="1" x14ac:dyDescent="0.3">
      <c r="A63" s="35">
        <v>51</v>
      </c>
      <c r="B63" s="35" t="s">
        <v>563</v>
      </c>
      <c r="C63" s="35" t="s">
        <v>564</v>
      </c>
      <c r="D63" s="36" t="s">
        <v>555</v>
      </c>
      <c r="E63" s="36" t="s">
        <v>1396</v>
      </c>
      <c r="F63" s="35">
        <v>2017</v>
      </c>
      <c r="G63" s="35" t="s">
        <v>1357</v>
      </c>
      <c r="H63" s="35" t="s">
        <v>1390</v>
      </c>
      <c r="I63" s="36" t="s">
        <v>1359</v>
      </c>
      <c r="J63" s="35" t="s">
        <v>1391</v>
      </c>
      <c r="K63" s="37">
        <v>12.8</v>
      </c>
      <c r="L63" s="37">
        <v>10</v>
      </c>
      <c r="M63" s="37">
        <v>8</v>
      </c>
      <c r="N63" s="38">
        <f t="shared" si="5"/>
        <v>1.0629999999999999</v>
      </c>
      <c r="O63" s="39">
        <f t="shared" si="0"/>
        <v>39.696406249999995</v>
      </c>
      <c r="P63" s="39">
        <f t="shared" si="1"/>
        <v>50.811399999999999</v>
      </c>
      <c r="Q63" s="39">
        <f t="shared" si="2"/>
        <v>63.514249999999997</v>
      </c>
      <c r="R63" s="35" t="str">
        <f t="shared" si="3"/>
        <v>Rs./km</v>
      </c>
    </row>
    <row r="64" spans="1:18" ht="15" customHeight="1" x14ac:dyDescent="0.3">
      <c r="A64" s="35">
        <v>52</v>
      </c>
      <c r="B64" s="35" t="s">
        <v>557</v>
      </c>
      <c r="C64" s="35" t="s">
        <v>558</v>
      </c>
      <c r="D64" s="36" t="s">
        <v>555</v>
      </c>
      <c r="E64" s="36" t="s">
        <v>1395</v>
      </c>
      <c r="F64" s="35">
        <v>2019</v>
      </c>
      <c r="G64" s="35" t="s">
        <v>1357</v>
      </c>
      <c r="H64" s="35" t="s">
        <v>1390</v>
      </c>
      <c r="I64" s="36" t="s">
        <v>1359</v>
      </c>
      <c r="J64" s="35" t="s">
        <v>1391</v>
      </c>
      <c r="K64" s="37">
        <v>12.8</v>
      </c>
      <c r="L64" s="37">
        <v>10</v>
      </c>
      <c r="M64" s="37">
        <v>8</v>
      </c>
      <c r="N64" s="38">
        <f t="shared" si="5"/>
        <v>1.0489999999999999</v>
      </c>
      <c r="O64" s="39">
        <f t="shared" si="0"/>
        <v>39.173593749999995</v>
      </c>
      <c r="P64" s="39">
        <f t="shared" si="1"/>
        <v>50.142199999999995</v>
      </c>
      <c r="Q64" s="39">
        <f t="shared" si="2"/>
        <v>62.677749999999996</v>
      </c>
      <c r="R64" s="35" t="str">
        <f t="shared" si="3"/>
        <v>Rs./km</v>
      </c>
    </row>
    <row r="65" spans="1:18" ht="15" customHeight="1" x14ac:dyDescent="0.3">
      <c r="A65" s="35">
        <v>53</v>
      </c>
      <c r="B65" s="35" t="s">
        <v>581</v>
      </c>
      <c r="C65" s="35" t="s">
        <v>582</v>
      </c>
      <c r="D65" s="36" t="s">
        <v>555</v>
      </c>
      <c r="E65" s="36" t="s">
        <v>1397</v>
      </c>
      <c r="F65" s="35">
        <v>1984</v>
      </c>
      <c r="G65" s="35" t="s">
        <v>1357</v>
      </c>
      <c r="H65" s="35" t="s">
        <v>1390</v>
      </c>
      <c r="I65" s="36" t="s">
        <v>1359</v>
      </c>
      <c r="J65" s="35" t="s">
        <v>1391</v>
      </c>
      <c r="K65" s="37">
        <v>12.8</v>
      </c>
      <c r="L65" s="37">
        <v>10</v>
      </c>
      <c r="M65" s="37">
        <v>8</v>
      </c>
      <c r="N65" s="38">
        <f t="shared" si="5"/>
        <v>1.175</v>
      </c>
      <c r="O65" s="39">
        <f t="shared" si="0"/>
        <v>43.878906249999993</v>
      </c>
      <c r="P65" s="39">
        <f t="shared" si="1"/>
        <v>56.164999999999999</v>
      </c>
      <c r="Q65" s="39">
        <f t="shared" si="2"/>
        <v>70.206249999999997</v>
      </c>
      <c r="R65" s="35" t="str">
        <f t="shared" si="3"/>
        <v>Rs./km</v>
      </c>
    </row>
    <row r="66" spans="1:18" ht="15" customHeight="1" x14ac:dyDescent="0.3">
      <c r="A66" s="35">
        <v>54</v>
      </c>
      <c r="B66" s="35" t="s">
        <v>560</v>
      </c>
      <c r="C66" s="35" t="s">
        <v>561</v>
      </c>
      <c r="D66" s="36" t="s">
        <v>555</v>
      </c>
      <c r="E66" s="36" t="s">
        <v>1398</v>
      </c>
      <c r="F66" s="35">
        <v>2018</v>
      </c>
      <c r="G66" s="35" t="s">
        <v>1357</v>
      </c>
      <c r="H66" s="35" t="s">
        <v>1390</v>
      </c>
      <c r="I66" s="36" t="s">
        <v>1359</v>
      </c>
      <c r="J66" s="35" t="s">
        <v>1391</v>
      </c>
      <c r="K66" s="37">
        <v>12.8</v>
      </c>
      <c r="L66" s="37">
        <v>10</v>
      </c>
      <c r="M66" s="37">
        <v>8</v>
      </c>
      <c r="N66" s="38">
        <f t="shared" si="5"/>
        <v>1.056</v>
      </c>
      <c r="O66" s="39">
        <f t="shared" si="0"/>
        <v>39.435000000000002</v>
      </c>
      <c r="P66" s="39">
        <f t="shared" si="1"/>
        <v>50.476800000000004</v>
      </c>
      <c r="Q66" s="39">
        <f t="shared" si="2"/>
        <v>63.096000000000004</v>
      </c>
      <c r="R66" s="35" t="str">
        <f t="shared" si="3"/>
        <v>Rs./km</v>
      </c>
    </row>
    <row r="67" spans="1:18" ht="15" customHeight="1" x14ac:dyDescent="0.3">
      <c r="A67" s="35">
        <v>55</v>
      </c>
      <c r="B67" s="35" t="s">
        <v>822</v>
      </c>
      <c r="C67" s="35" t="s">
        <v>823</v>
      </c>
      <c r="D67" s="36" t="s">
        <v>818</v>
      </c>
      <c r="E67" s="36" t="s">
        <v>1399</v>
      </c>
      <c r="F67" s="35">
        <v>2005</v>
      </c>
      <c r="G67" s="35" t="s">
        <v>1357</v>
      </c>
      <c r="H67" s="35" t="s">
        <v>1358</v>
      </c>
      <c r="I67" s="36" t="s">
        <v>1359</v>
      </c>
      <c r="J67" s="35" t="s">
        <v>1360</v>
      </c>
      <c r="K67" s="37">
        <v>5</v>
      </c>
      <c r="L67" s="37">
        <v>7</v>
      </c>
      <c r="M67" s="37">
        <v>9.5</v>
      </c>
      <c r="N67" s="38">
        <f t="shared" si="5"/>
        <v>1.147</v>
      </c>
      <c r="O67" s="39">
        <f t="shared" si="0"/>
        <v>2741.33</v>
      </c>
      <c r="P67" s="39">
        <f t="shared" si="1"/>
        <v>3837.8620000000001</v>
      </c>
      <c r="Q67" s="39">
        <f t="shared" si="2"/>
        <v>5208.527</v>
      </c>
      <c r="R67" s="35" t="str">
        <f t="shared" si="3"/>
        <v>Rs./hr</v>
      </c>
    </row>
    <row r="68" spans="1:18" ht="15" customHeight="1" x14ac:dyDescent="0.3">
      <c r="A68" s="35">
        <v>56</v>
      </c>
      <c r="B68" s="35" t="s">
        <v>824</v>
      </c>
      <c r="C68" s="35" t="s">
        <v>825</v>
      </c>
      <c r="D68" s="36" t="s">
        <v>818</v>
      </c>
      <c r="E68" s="36" t="s">
        <v>1400</v>
      </c>
      <c r="F68" s="35">
        <v>1990</v>
      </c>
      <c r="G68" s="35" t="s">
        <v>1357</v>
      </c>
      <c r="H68" s="35" t="s">
        <v>1358</v>
      </c>
      <c r="I68" s="36" t="s">
        <v>1359</v>
      </c>
      <c r="J68" s="35" t="s">
        <v>1360</v>
      </c>
      <c r="K68" s="37">
        <v>5</v>
      </c>
      <c r="L68" s="37">
        <v>7</v>
      </c>
      <c r="M68" s="37">
        <v>9.5</v>
      </c>
      <c r="N68" s="38">
        <f t="shared" si="5"/>
        <v>1.175</v>
      </c>
      <c r="O68" s="39">
        <f t="shared" si="0"/>
        <v>2808.25</v>
      </c>
      <c r="P68" s="39">
        <f t="shared" si="1"/>
        <v>3931.5499999999997</v>
      </c>
      <c r="Q68" s="39">
        <f t="shared" si="2"/>
        <v>5335.6750000000002</v>
      </c>
      <c r="R68" s="35" t="str">
        <f t="shared" si="3"/>
        <v>Rs./hr</v>
      </c>
    </row>
    <row r="69" spans="1:18" ht="15" customHeight="1" x14ac:dyDescent="0.3">
      <c r="A69" s="35">
        <v>57</v>
      </c>
      <c r="B69" s="35" t="s">
        <v>828</v>
      </c>
      <c r="C69" s="35" t="s">
        <v>829</v>
      </c>
      <c r="D69" s="36" t="s">
        <v>818</v>
      </c>
      <c r="E69" s="36" t="s">
        <v>1401</v>
      </c>
      <c r="F69" s="35" t="s">
        <v>195</v>
      </c>
      <c r="G69" s="35" t="s">
        <v>1357</v>
      </c>
      <c r="H69" s="35" t="s">
        <v>1358</v>
      </c>
      <c r="I69" s="36" t="s">
        <v>1359</v>
      </c>
      <c r="J69" s="35" t="s">
        <v>1360</v>
      </c>
      <c r="K69" s="37">
        <v>5</v>
      </c>
      <c r="L69" s="37">
        <v>7</v>
      </c>
      <c r="M69" s="37">
        <v>9.5</v>
      </c>
      <c r="N69" s="38">
        <f>1</f>
        <v>1</v>
      </c>
      <c r="O69" s="39">
        <f t="shared" si="0"/>
        <v>2390</v>
      </c>
      <c r="P69" s="39">
        <f t="shared" si="1"/>
        <v>3346</v>
      </c>
      <c r="Q69" s="39">
        <f t="shared" si="2"/>
        <v>4541</v>
      </c>
      <c r="R69" s="35" t="str">
        <f t="shared" si="3"/>
        <v>Rs./hr</v>
      </c>
    </row>
    <row r="70" spans="1:18" ht="15" customHeight="1" x14ac:dyDescent="0.3">
      <c r="A70" s="35">
        <v>58</v>
      </c>
      <c r="B70" s="35" t="s">
        <v>820</v>
      </c>
      <c r="C70" s="35" t="s">
        <v>821</v>
      </c>
      <c r="D70" s="36" t="s">
        <v>818</v>
      </c>
      <c r="E70" s="36" t="s">
        <v>1402</v>
      </c>
      <c r="F70" s="35">
        <v>2005</v>
      </c>
      <c r="G70" s="35" t="s">
        <v>1357</v>
      </c>
      <c r="H70" s="35" t="s">
        <v>1358</v>
      </c>
      <c r="I70" s="36" t="s">
        <v>1359</v>
      </c>
      <c r="J70" s="35" t="s">
        <v>1360</v>
      </c>
      <c r="K70" s="37">
        <v>5</v>
      </c>
      <c r="L70" s="37">
        <v>7</v>
      </c>
      <c r="M70" s="37">
        <v>9.5</v>
      </c>
      <c r="N70" s="38">
        <f>1+MIN(MAX($D$8-F70,0),$D$10)*$D$9</f>
        <v>1.147</v>
      </c>
      <c r="O70" s="39">
        <f t="shared" si="0"/>
        <v>2741.33</v>
      </c>
      <c r="P70" s="39">
        <f t="shared" si="1"/>
        <v>3837.8620000000001</v>
      </c>
      <c r="Q70" s="39">
        <f t="shared" si="2"/>
        <v>5208.527</v>
      </c>
      <c r="R70" s="35" t="str">
        <f t="shared" si="3"/>
        <v>Rs./hr</v>
      </c>
    </row>
    <row r="71" spans="1:18" ht="15" customHeight="1" x14ac:dyDescent="0.3">
      <c r="A71" s="35">
        <v>59</v>
      </c>
      <c r="B71" s="35" t="s">
        <v>831</v>
      </c>
      <c r="C71" s="35" t="s">
        <v>832</v>
      </c>
      <c r="D71" s="36" t="s">
        <v>818</v>
      </c>
      <c r="E71" s="36" t="s">
        <v>1403</v>
      </c>
      <c r="F71" s="35">
        <v>1990</v>
      </c>
      <c r="G71" s="35" t="s">
        <v>1357</v>
      </c>
      <c r="H71" s="35" t="s">
        <v>1358</v>
      </c>
      <c r="I71" s="36" t="s">
        <v>1359</v>
      </c>
      <c r="J71" s="35" t="s">
        <v>1360</v>
      </c>
      <c r="K71" s="37">
        <v>5</v>
      </c>
      <c r="L71" s="37">
        <v>7</v>
      </c>
      <c r="M71" s="37">
        <v>9.5</v>
      </c>
      <c r="N71" s="38">
        <f>1+MIN(MAX($D$8-F71,0),$D$10)*$D$9</f>
        <v>1.175</v>
      </c>
      <c r="O71" s="39">
        <f t="shared" si="0"/>
        <v>2808.25</v>
      </c>
      <c r="P71" s="39">
        <f t="shared" si="1"/>
        <v>3931.5499999999997</v>
      </c>
      <c r="Q71" s="39">
        <f t="shared" si="2"/>
        <v>5335.6750000000002</v>
      </c>
      <c r="R71" s="35" t="str">
        <f t="shared" si="3"/>
        <v>Rs./hr</v>
      </c>
    </row>
    <row r="72" spans="1:18" ht="15" customHeight="1" x14ac:dyDescent="0.3">
      <c r="A72" s="35">
        <v>60</v>
      </c>
      <c r="B72" s="35" t="s">
        <v>195</v>
      </c>
      <c r="C72" s="35" t="s">
        <v>195</v>
      </c>
      <c r="D72" s="36" t="s">
        <v>818</v>
      </c>
      <c r="E72" s="36" t="s">
        <v>1403</v>
      </c>
      <c r="F72" s="35" t="s">
        <v>195</v>
      </c>
      <c r="G72" s="35" t="s">
        <v>1357</v>
      </c>
      <c r="H72" s="35" t="s">
        <v>1358</v>
      </c>
      <c r="I72" s="36" t="s">
        <v>1359</v>
      </c>
      <c r="J72" s="35" t="s">
        <v>1360</v>
      </c>
      <c r="K72" s="37">
        <v>5</v>
      </c>
      <c r="L72" s="37">
        <v>7</v>
      </c>
      <c r="M72" s="37">
        <v>9.5</v>
      </c>
      <c r="N72" s="38">
        <f>1</f>
        <v>1</v>
      </c>
      <c r="O72" s="39">
        <f t="shared" si="0"/>
        <v>2390</v>
      </c>
      <c r="P72" s="39">
        <f t="shared" si="1"/>
        <v>3346</v>
      </c>
      <c r="Q72" s="39">
        <f t="shared" si="2"/>
        <v>4541</v>
      </c>
      <c r="R72" s="35" t="str">
        <f t="shared" si="3"/>
        <v>Rs./hr</v>
      </c>
    </row>
    <row r="73" spans="1:18" ht="15" customHeight="1" x14ac:dyDescent="0.3">
      <c r="A73" s="35">
        <v>61</v>
      </c>
      <c r="B73" s="35" t="s">
        <v>524</v>
      </c>
      <c r="C73" s="35" t="s">
        <v>525</v>
      </c>
      <c r="D73" s="36" t="s">
        <v>481</v>
      </c>
      <c r="E73" s="36" t="s">
        <v>1404</v>
      </c>
      <c r="F73" s="35">
        <v>2005</v>
      </c>
      <c r="G73" s="35" t="s">
        <v>1357</v>
      </c>
      <c r="H73" s="35" t="s">
        <v>1390</v>
      </c>
      <c r="I73" s="36" t="s">
        <v>1359</v>
      </c>
      <c r="J73" s="35" t="s">
        <v>1391</v>
      </c>
      <c r="K73" s="37">
        <v>12.8</v>
      </c>
      <c r="L73" s="37">
        <v>10</v>
      </c>
      <c r="M73" s="37">
        <v>8</v>
      </c>
      <c r="N73" s="38">
        <f>1+MIN(MAX($D$8-F73,0),$D$10)*$D$9</f>
        <v>1.147</v>
      </c>
      <c r="O73" s="39">
        <f t="shared" si="0"/>
        <v>42.833281249999992</v>
      </c>
      <c r="P73" s="39">
        <f t="shared" si="1"/>
        <v>54.826599999999999</v>
      </c>
      <c r="Q73" s="39">
        <f t="shared" si="2"/>
        <v>68.533249999999995</v>
      </c>
      <c r="R73" s="35" t="str">
        <f t="shared" si="3"/>
        <v>Rs./km</v>
      </c>
    </row>
    <row r="74" spans="1:18" ht="15" customHeight="1" x14ac:dyDescent="0.3">
      <c r="A74" s="35">
        <v>62</v>
      </c>
      <c r="B74" s="35" t="s">
        <v>542</v>
      </c>
      <c r="C74" s="35" t="s">
        <v>543</v>
      </c>
      <c r="D74" s="36" t="s">
        <v>481</v>
      </c>
      <c r="E74" s="36" t="s">
        <v>1405</v>
      </c>
      <c r="F74" s="35" t="s">
        <v>195</v>
      </c>
      <c r="G74" s="35" t="s">
        <v>1357</v>
      </c>
      <c r="H74" s="35" t="s">
        <v>1390</v>
      </c>
      <c r="I74" s="36" t="s">
        <v>1359</v>
      </c>
      <c r="J74" s="35" t="s">
        <v>1391</v>
      </c>
      <c r="K74" s="37">
        <v>12.8</v>
      </c>
      <c r="L74" s="37">
        <v>10</v>
      </c>
      <c r="M74" s="37">
        <v>8</v>
      </c>
      <c r="N74" s="38">
        <f>1</f>
        <v>1</v>
      </c>
      <c r="O74" s="39">
        <f t="shared" si="0"/>
        <v>37.34375</v>
      </c>
      <c r="P74" s="39">
        <f t="shared" si="1"/>
        <v>47.8</v>
      </c>
      <c r="Q74" s="39">
        <f t="shared" si="2"/>
        <v>59.75</v>
      </c>
      <c r="R74" s="35" t="str">
        <f t="shared" si="3"/>
        <v>Rs./km</v>
      </c>
    </row>
    <row r="75" spans="1:18" ht="15" customHeight="1" x14ac:dyDescent="0.3">
      <c r="A75" s="35">
        <v>63</v>
      </c>
      <c r="B75" s="35" t="s">
        <v>535</v>
      </c>
      <c r="C75" s="35" t="s">
        <v>536</v>
      </c>
      <c r="D75" s="36" t="s">
        <v>481</v>
      </c>
      <c r="E75" s="36" t="s">
        <v>1406</v>
      </c>
      <c r="F75" s="35">
        <v>1997</v>
      </c>
      <c r="G75" s="35" t="s">
        <v>1357</v>
      </c>
      <c r="H75" s="35" t="s">
        <v>1390</v>
      </c>
      <c r="I75" s="36" t="s">
        <v>1359</v>
      </c>
      <c r="J75" s="35" t="s">
        <v>1391</v>
      </c>
      <c r="K75" s="37">
        <v>12.8</v>
      </c>
      <c r="L75" s="37">
        <v>10</v>
      </c>
      <c r="M75" s="37">
        <v>8</v>
      </c>
      <c r="N75" s="38">
        <f t="shared" ref="N75:N96" si="6">1+MIN(MAX($D$8-F75,0),$D$10)*$D$9</f>
        <v>1.175</v>
      </c>
      <c r="O75" s="39">
        <f t="shared" si="0"/>
        <v>43.878906249999993</v>
      </c>
      <c r="P75" s="39">
        <f t="shared" si="1"/>
        <v>56.164999999999999</v>
      </c>
      <c r="Q75" s="39">
        <f t="shared" si="2"/>
        <v>70.206249999999997</v>
      </c>
      <c r="R75" s="35" t="str">
        <f t="shared" si="3"/>
        <v>Rs./km</v>
      </c>
    </row>
    <row r="76" spans="1:18" ht="15" customHeight="1" x14ac:dyDescent="0.3">
      <c r="A76" s="35">
        <v>64</v>
      </c>
      <c r="B76" s="35" t="s">
        <v>539</v>
      </c>
      <c r="C76" s="35" t="s">
        <v>540</v>
      </c>
      <c r="D76" s="36" t="s">
        <v>481</v>
      </c>
      <c r="E76" s="36" t="s">
        <v>1405</v>
      </c>
      <c r="F76" s="35">
        <v>1985</v>
      </c>
      <c r="G76" s="35" t="s">
        <v>1357</v>
      </c>
      <c r="H76" s="35" t="s">
        <v>1390</v>
      </c>
      <c r="I76" s="36" t="s">
        <v>1359</v>
      </c>
      <c r="J76" s="35" t="s">
        <v>1391</v>
      </c>
      <c r="K76" s="37">
        <v>12.8</v>
      </c>
      <c r="L76" s="37">
        <v>10</v>
      </c>
      <c r="M76" s="37">
        <v>8</v>
      </c>
      <c r="N76" s="38">
        <f t="shared" si="6"/>
        <v>1.175</v>
      </c>
      <c r="O76" s="39">
        <f t="shared" si="0"/>
        <v>43.878906249999993</v>
      </c>
      <c r="P76" s="39">
        <f t="shared" si="1"/>
        <v>56.164999999999999</v>
      </c>
      <c r="Q76" s="39">
        <f t="shared" si="2"/>
        <v>70.206249999999997</v>
      </c>
      <c r="R76" s="35" t="str">
        <f t="shared" si="3"/>
        <v>Rs./km</v>
      </c>
    </row>
    <row r="77" spans="1:18" ht="15" customHeight="1" x14ac:dyDescent="0.3">
      <c r="A77" s="35">
        <v>65</v>
      </c>
      <c r="B77" s="35" t="s">
        <v>529</v>
      </c>
      <c r="C77" s="35" t="s">
        <v>530</v>
      </c>
      <c r="D77" s="36" t="s">
        <v>481</v>
      </c>
      <c r="E77" s="36" t="s">
        <v>1407</v>
      </c>
      <c r="F77" s="35">
        <v>2003</v>
      </c>
      <c r="G77" s="35" t="s">
        <v>1357</v>
      </c>
      <c r="H77" s="35" t="s">
        <v>1390</v>
      </c>
      <c r="I77" s="36" t="s">
        <v>1359</v>
      </c>
      <c r="J77" s="35" t="s">
        <v>1391</v>
      </c>
      <c r="K77" s="37">
        <v>12.8</v>
      </c>
      <c r="L77" s="37">
        <v>10</v>
      </c>
      <c r="M77" s="37">
        <v>8</v>
      </c>
      <c r="N77" s="38">
        <f t="shared" si="6"/>
        <v>1.161</v>
      </c>
      <c r="O77" s="39">
        <f t="shared" ref="O77:O140" si="7">IF(H77="None",0,IF(H77="KM",IF(G77="Petrol",$D$6,$D$5)*N77/K77,K77*N77*IF(G77="Petrol",$D$6,$D$5)))</f>
        <v>43.356093749999992</v>
      </c>
      <c r="P77" s="39">
        <f t="shared" ref="P77:P140" si="8">IF(H77="None",0,IF(H77="KM",IF(G77="Petrol",$D$6,$D$5)*N77/L77,L77*N77*IF(G77="Petrol",$D$6,$D$5)))</f>
        <v>55.495799999999996</v>
      </c>
      <c r="Q77" s="39">
        <f t="shared" ref="Q77:Q140" si="9">IF(H77="None",0,IF(H77="KM",IF(G77="Petrol",$D$6,$D$5)*N77/M77,M77*N77*IF(G77="Petrol",$D$6,$D$5)))</f>
        <v>69.369749999999996</v>
      </c>
      <c r="R77" s="35" t="str">
        <f t="shared" ref="R77:R140" si="10">IF(H77="None","—",IF(H77="KM","Rs./km","Rs./hr"))</f>
        <v>Rs./km</v>
      </c>
    </row>
    <row r="78" spans="1:18" ht="15" customHeight="1" x14ac:dyDescent="0.3">
      <c r="A78" s="35">
        <v>66</v>
      </c>
      <c r="B78" s="35" t="s">
        <v>532</v>
      </c>
      <c r="C78" s="35" t="s">
        <v>533</v>
      </c>
      <c r="D78" s="36" t="s">
        <v>481</v>
      </c>
      <c r="E78" s="36" t="s">
        <v>1408</v>
      </c>
      <c r="F78" s="35">
        <v>1999</v>
      </c>
      <c r="G78" s="35" t="s">
        <v>1357</v>
      </c>
      <c r="H78" s="35" t="s">
        <v>1390</v>
      </c>
      <c r="I78" s="36" t="s">
        <v>1359</v>
      </c>
      <c r="J78" s="35" t="s">
        <v>1391</v>
      </c>
      <c r="K78" s="37">
        <v>12.8</v>
      </c>
      <c r="L78" s="37">
        <v>10</v>
      </c>
      <c r="M78" s="37">
        <v>8</v>
      </c>
      <c r="N78" s="38">
        <f t="shared" si="6"/>
        <v>1.175</v>
      </c>
      <c r="O78" s="39">
        <f t="shared" si="7"/>
        <v>43.878906249999993</v>
      </c>
      <c r="P78" s="39">
        <f t="shared" si="8"/>
        <v>56.164999999999999</v>
      </c>
      <c r="Q78" s="39">
        <f t="shared" si="9"/>
        <v>70.206249999999997</v>
      </c>
      <c r="R78" s="35" t="str">
        <f t="shared" si="10"/>
        <v>Rs./km</v>
      </c>
    </row>
    <row r="79" spans="1:18" ht="23.85" customHeight="1" x14ac:dyDescent="0.3">
      <c r="A79" s="35">
        <v>67</v>
      </c>
      <c r="B79" s="35" t="s">
        <v>508</v>
      </c>
      <c r="C79" s="35" t="s">
        <v>509</v>
      </c>
      <c r="D79" s="36" t="s">
        <v>481</v>
      </c>
      <c r="E79" s="36" t="s">
        <v>1409</v>
      </c>
      <c r="F79" s="35">
        <v>2011</v>
      </c>
      <c r="G79" s="35" t="s">
        <v>1357</v>
      </c>
      <c r="H79" s="35" t="s">
        <v>1390</v>
      </c>
      <c r="I79" s="36" t="s">
        <v>1359</v>
      </c>
      <c r="J79" s="35" t="s">
        <v>1391</v>
      </c>
      <c r="K79" s="37">
        <v>12.8</v>
      </c>
      <c r="L79" s="37">
        <v>10</v>
      </c>
      <c r="M79" s="37">
        <v>8</v>
      </c>
      <c r="N79" s="38">
        <f t="shared" si="6"/>
        <v>1.105</v>
      </c>
      <c r="O79" s="39">
        <f t="shared" si="7"/>
        <v>41.26484374999999</v>
      </c>
      <c r="P79" s="39">
        <f t="shared" si="8"/>
        <v>52.818999999999996</v>
      </c>
      <c r="Q79" s="39">
        <f t="shared" si="9"/>
        <v>66.023749999999993</v>
      </c>
      <c r="R79" s="35" t="str">
        <f t="shared" si="10"/>
        <v>Rs./km</v>
      </c>
    </row>
    <row r="80" spans="1:18" ht="15" customHeight="1" x14ac:dyDescent="0.3">
      <c r="A80" s="35">
        <v>68</v>
      </c>
      <c r="B80" s="35" t="s">
        <v>511</v>
      </c>
      <c r="C80" s="35" t="s">
        <v>512</v>
      </c>
      <c r="D80" s="36" t="s">
        <v>481</v>
      </c>
      <c r="E80" s="36" t="s">
        <v>1407</v>
      </c>
      <c r="F80" s="35">
        <v>2008</v>
      </c>
      <c r="G80" s="35" t="s">
        <v>1357</v>
      </c>
      <c r="H80" s="35" t="s">
        <v>1390</v>
      </c>
      <c r="I80" s="36" t="s">
        <v>1359</v>
      </c>
      <c r="J80" s="35" t="s">
        <v>1391</v>
      </c>
      <c r="K80" s="37">
        <v>12.8</v>
      </c>
      <c r="L80" s="37">
        <v>10</v>
      </c>
      <c r="M80" s="37">
        <v>8</v>
      </c>
      <c r="N80" s="38">
        <f t="shared" si="6"/>
        <v>1.1259999999999999</v>
      </c>
      <c r="O80" s="39">
        <f t="shared" si="7"/>
        <v>42.049062499999991</v>
      </c>
      <c r="P80" s="39">
        <f t="shared" si="8"/>
        <v>53.822799999999994</v>
      </c>
      <c r="Q80" s="39">
        <f t="shared" si="9"/>
        <v>67.278499999999994</v>
      </c>
      <c r="R80" s="35" t="str">
        <f t="shared" si="10"/>
        <v>Rs./km</v>
      </c>
    </row>
    <row r="81" spans="1:18" ht="15" customHeight="1" x14ac:dyDescent="0.3">
      <c r="A81" s="35">
        <v>69</v>
      </c>
      <c r="B81" s="35" t="s">
        <v>527</v>
      </c>
      <c r="C81" s="35" t="s">
        <v>528</v>
      </c>
      <c r="D81" s="36" t="s">
        <v>481</v>
      </c>
      <c r="E81" s="36" t="s">
        <v>1410</v>
      </c>
      <c r="F81" s="35">
        <v>2005</v>
      </c>
      <c r="G81" s="35" t="s">
        <v>1357</v>
      </c>
      <c r="H81" s="35" t="s">
        <v>1390</v>
      </c>
      <c r="I81" s="36" t="s">
        <v>1359</v>
      </c>
      <c r="J81" s="35" t="s">
        <v>1391</v>
      </c>
      <c r="K81" s="37">
        <v>12.8</v>
      </c>
      <c r="L81" s="37">
        <v>10</v>
      </c>
      <c r="M81" s="37">
        <v>8</v>
      </c>
      <c r="N81" s="38">
        <f t="shared" si="6"/>
        <v>1.147</v>
      </c>
      <c r="O81" s="39">
        <f t="shared" si="7"/>
        <v>42.833281249999992</v>
      </c>
      <c r="P81" s="39">
        <f t="shared" si="8"/>
        <v>54.826599999999999</v>
      </c>
      <c r="Q81" s="39">
        <f t="shared" si="9"/>
        <v>68.533249999999995</v>
      </c>
      <c r="R81" s="35" t="str">
        <f t="shared" si="10"/>
        <v>Rs./km</v>
      </c>
    </row>
    <row r="82" spans="1:18" ht="15" customHeight="1" x14ac:dyDescent="0.3">
      <c r="A82" s="35">
        <v>70</v>
      </c>
      <c r="B82" s="35" t="s">
        <v>514</v>
      </c>
      <c r="C82" s="35" t="s">
        <v>515</v>
      </c>
      <c r="D82" s="36" t="s">
        <v>481</v>
      </c>
      <c r="E82" s="36" t="s">
        <v>1411</v>
      </c>
      <c r="F82" s="35">
        <v>2008</v>
      </c>
      <c r="G82" s="35" t="s">
        <v>1357</v>
      </c>
      <c r="H82" s="35" t="s">
        <v>1390</v>
      </c>
      <c r="I82" s="36" t="s">
        <v>1359</v>
      </c>
      <c r="J82" s="35" t="s">
        <v>1391</v>
      </c>
      <c r="K82" s="37">
        <v>12.8</v>
      </c>
      <c r="L82" s="37">
        <v>10</v>
      </c>
      <c r="M82" s="37">
        <v>8</v>
      </c>
      <c r="N82" s="38">
        <f t="shared" si="6"/>
        <v>1.1259999999999999</v>
      </c>
      <c r="O82" s="39">
        <f t="shared" si="7"/>
        <v>42.049062499999991</v>
      </c>
      <c r="P82" s="39">
        <f t="shared" si="8"/>
        <v>53.822799999999994</v>
      </c>
      <c r="Q82" s="39">
        <f t="shared" si="9"/>
        <v>67.278499999999994</v>
      </c>
      <c r="R82" s="35" t="str">
        <f t="shared" si="10"/>
        <v>Rs./km</v>
      </c>
    </row>
    <row r="83" spans="1:18" ht="15" customHeight="1" x14ac:dyDescent="0.3">
      <c r="A83" s="35">
        <v>71</v>
      </c>
      <c r="B83" s="35" t="s">
        <v>516</v>
      </c>
      <c r="C83" s="35" t="s">
        <v>517</v>
      </c>
      <c r="D83" s="36" t="s">
        <v>481</v>
      </c>
      <c r="E83" s="36" t="s">
        <v>1411</v>
      </c>
      <c r="F83" s="35">
        <v>2007</v>
      </c>
      <c r="G83" s="35" t="s">
        <v>1357</v>
      </c>
      <c r="H83" s="35" t="s">
        <v>1390</v>
      </c>
      <c r="I83" s="36" t="s">
        <v>1359</v>
      </c>
      <c r="J83" s="35" t="s">
        <v>1391</v>
      </c>
      <c r="K83" s="37">
        <v>12.8</v>
      </c>
      <c r="L83" s="37">
        <v>10</v>
      </c>
      <c r="M83" s="37">
        <v>8</v>
      </c>
      <c r="N83" s="38">
        <f t="shared" si="6"/>
        <v>1.133</v>
      </c>
      <c r="O83" s="39">
        <f t="shared" si="7"/>
        <v>42.310468749999991</v>
      </c>
      <c r="P83" s="39">
        <f t="shared" si="8"/>
        <v>54.157399999999996</v>
      </c>
      <c r="Q83" s="39">
        <f t="shared" si="9"/>
        <v>67.696749999999994</v>
      </c>
      <c r="R83" s="35" t="str">
        <f t="shared" si="10"/>
        <v>Rs./km</v>
      </c>
    </row>
    <row r="84" spans="1:18" ht="23.85" customHeight="1" x14ac:dyDescent="0.3">
      <c r="A84" s="35">
        <v>72</v>
      </c>
      <c r="B84" s="35" t="s">
        <v>504</v>
      </c>
      <c r="C84" s="35" t="s">
        <v>505</v>
      </c>
      <c r="D84" s="36" t="s">
        <v>481</v>
      </c>
      <c r="E84" s="36" t="s">
        <v>1409</v>
      </c>
      <c r="F84" s="35">
        <v>2015</v>
      </c>
      <c r="G84" s="35" t="s">
        <v>1357</v>
      </c>
      <c r="H84" s="35" t="s">
        <v>1390</v>
      </c>
      <c r="I84" s="36" t="s">
        <v>1359</v>
      </c>
      <c r="J84" s="35" t="s">
        <v>1391</v>
      </c>
      <c r="K84" s="37">
        <v>12.8</v>
      </c>
      <c r="L84" s="37">
        <v>10</v>
      </c>
      <c r="M84" s="37">
        <v>8</v>
      </c>
      <c r="N84" s="38">
        <f t="shared" si="6"/>
        <v>1.077</v>
      </c>
      <c r="O84" s="39">
        <f t="shared" si="7"/>
        <v>40.219218749999989</v>
      </c>
      <c r="P84" s="39">
        <f t="shared" si="8"/>
        <v>51.480599999999995</v>
      </c>
      <c r="Q84" s="39">
        <f t="shared" si="9"/>
        <v>64.350749999999991</v>
      </c>
      <c r="R84" s="35" t="str">
        <f t="shared" si="10"/>
        <v>Rs./km</v>
      </c>
    </row>
    <row r="85" spans="1:18" ht="15" customHeight="1" x14ac:dyDescent="0.3">
      <c r="A85" s="35">
        <v>73</v>
      </c>
      <c r="B85" s="35" t="s">
        <v>501</v>
      </c>
      <c r="C85" s="35" t="s">
        <v>502</v>
      </c>
      <c r="D85" s="36" t="s">
        <v>481</v>
      </c>
      <c r="E85" s="36" t="s">
        <v>1412</v>
      </c>
      <c r="F85" s="35">
        <v>2016</v>
      </c>
      <c r="G85" s="35" t="s">
        <v>1357</v>
      </c>
      <c r="H85" s="35" t="s">
        <v>1390</v>
      </c>
      <c r="I85" s="36" t="s">
        <v>1359</v>
      </c>
      <c r="J85" s="35" t="s">
        <v>1391</v>
      </c>
      <c r="K85" s="37">
        <v>12.8</v>
      </c>
      <c r="L85" s="37">
        <v>10</v>
      </c>
      <c r="M85" s="37">
        <v>8</v>
      </c>
      <c r="N85" s="38">
        <f t="shared" si="6"/>
        <v>1.07</v>
      </c>
      <c r="O85" s="39">
        <f t="shared" si="7"/>
        <v>39.957812500000003</v>
      </c>
      <c r="P85" s="39">
        <f t="shared" si="8"/>
        <v>51.146000000000001</v>
      </c>
      <c r="Q85" s="39">
        <f t="shared" si="9"/>
        <v>63.932500000000005</v>
      </c>
      <c r="R85" s="35" t="str">
        <f t="shared" si="10"/>
        <v>Rs./km</v>
      </c>
    </row>
    <row r="86" spans="1:18" ht="15" customHeight="1" x14ac:dyDescent="0.3">
      <c r="A86" s="35">
        <v>74</v>
      </c>
      <c r="B86" s="35" t="s">
        <v>506</v>
      </c>
      <c r="C86" s="35" t="s">
        <v>507</v>
      </c>
      <c r="D86" s="36" t="s">
        <v>481</v>
      </c>
      <c r="E86" s="36" t="s">
        <v>1404</v>
      </c>
      <c r="F86" s="35">
        <v>2012</v>
      </c>
      <c r="G86" s="35" t="s">
        <v>1357</v>
      </c>
      <c r="H86" s="35" t="s">
        <v>1390</v>
      </c>
      <c r="I86" s="36" t="s">
        <v>1359</v>
      </c>
      <c r="J86" s="35" t="s">
        <v>1391</v>
      </c>
      <c r="K86" s="37">
        <v>12.8</v>
      </c>
      <c r="L86" s="37">
        <v>10</v>
      </c>
      <c r="M86" s="37">
        <v>8</v>
      </c>
      <c r="N86" s="38">
        <f t="shared" si="6"/>
        <v>1.0980000000000001</v>
      </c>
      <c r="O86" s="39">
        <f t="shared" si="7"/>
        <v>41.003437500000004</v>
      </c>
      <c r="P86" s="39">
        <f t="shared" si="8"/>
        <v>52.484400000000008</v>
      </c>
      <c r="Q86" s="39">
        <f t="shared" si="9"/>
        <v>65.605500000000006</v>
      </c>
      <c r="R86" s="35" t="str">
        <f t="shared" si="10"/>
        <v>Rs./km</v>
      </c>
    </row>
    <row r="87" spans="1:18" ht="15" customHeight="1" x14ac:dyDescent="0.3">
      <c r="A87" s="35">
        <v>75</v>
      </c>
      <c r="B87" s="35" t="s">
        <v>519</v>
      </c>
      <c r="C87" s="35" t="s">
        <v>520</v>
      </c>
      <c r="D87" s="36" t="s">
        <v>481</v>
      </c>
      <c r="E87" s="36" t="s">
        <v>1404</v>
      </c>
      <c r="F87" s="35">
        <v>2007</v>
      </c>
      <c r="G87" s="35" t="s">
        <v>1357</v>
      </c>
      <c r="H87" s="35" t="s">
        <v>1390</v>
      </c>
      <c r="I87" s="36" t="s">
        <v>1359</v>
      </c>
      <c r="J87" s="35" t="s">
        <v>1391</v>
      </c>
      <c r="K87" s="37">
        <v>12.8</v>
      </c>
      <c r="L87" s="37">
        <v>10</v>
      </c>
      <c r="M87" s="37">
        <v>8</v>
      </c>
      <c r="N87" s="38">
        <f t="shared" si="6"/>
        <v>1.133</v>
      </c>
      <c r="O87" s="39">
        <f t="shared" si="7"/>
        <v>42.310468749999991</v>
      </c>
      <c r="P87" s="39">
        <f t="shared" si="8"/>
        <v>54.157399999999996</v>
      </c>
      <c r="Q87" s="39">
        <f t="shared" si="9"/>
        <v>67.696749999999994</v>
      </c>
      <c r="R87" s="35" t="str">
        <f t="shared" si="10"/>
        <v>Rs./km</v>
      </c>
    </row>
    <row r="88" spans="1:18" ht="15" customHeight="1" x14ac:dyDescent="0.3">
      <c r="A88" s="35">
        <v>76</v>
      </c>
      <c r="B88" s="35" t="s">
        <v>522</v>
      </c>
      <c r="C88" s="35" t="s">
        <v>523</v>
      </c>
      <c r="D88" s="36" t="s">
        <v>481</v>
      </c>
      <c r="E88" s="36" t="s">
        <v>1413</v>
      </c>
      <c r="F88" s="35">
        <v>2007</v>
      </c>
      <c r="G88" s="35" t="s">
        <v>1357</v>
      </c>
      <c r="H88" s="35" t="s">
        <v>1390</v>
      </c>
      <c r="I88" s="36" t="s">
        <v>1359</v>
      </c>
      <c r="J88" s="35" t="s">
        <v>1391</v>
      </c>
      <c r="K88" s="37">
        <v>12.8</v>
      </c>
      <c r="L88" s="37">
        <v>10</v>
      </c>
      <c r="M88" s="37">
        <v>8</v>
      </c>
      <c r="N88" s="38">
        <f t="shared" si="6"/>
        <v>1.133</v>
      </c>
      <c r="O88" s="39">
        <f t="shared" si="7"/>
        <v>42.310468749999991</v>
      </c>
      <c r="P88" s="39">
        <f t="shared" si="8"/>
        <v>54.157399999999996</v>
      </c>
      <c r="Q88" s="39">
        <f t="shared" si="9"/>
        <v>67.696749999999994</v>
      </c>
      <c r="R88" s="35" t="str">
        <f t="shared" si="10"/>
        <v>Rs./km</v>
      </c>
    </row>
    <row r="89" spans="1:18" ht="15" customHeight="1" x14ac:dyDescent="0.3">
      <c r="A89" s="35">
        <v>77</v>
      </c>
      <c r="B89" s="35" t="s">
        <v>483</v>
      </c>
      <c r="C89" s="35" t="s">
        <v>484</v>
      </c>
      <c r="D89" s="36" t="s">
        <v>481</v>
      </c>
      <c r="E89" s="36" t="s">
        <v>1404</v>
      </c>
      <c r="F89" s="35">
        <v>2019</v>
      </c>
      <c r="G89" s="35" t="s">
        <v>1357</v>
      </c>
      <c r="H89" s="35" t="s">
        <v>1390</v>
      </c>
      <c r="I89" s="36" t="s">
        <v>1359</v>
      </c>
      <c r="J89" s="35" t="s">
        <v>1391</v>
      </c>
      <c r="K89" s="37">
        <v>12.8</v>
      </c>
      <c r="L89" s="37">
        <v>10</v>
      </c>
      <c r="M89" s="37">
        <v>8</v>
      </c>
      <c r="N89" s="38">
        <f t="shared" si="6"/>
        <v>1.0489999999999999</v>
      </c>
      <c r="O89" s="39">
        <f t="shared" si="7"/>
        <v>39.173593749999995</v>
      </c>
      <c r="P89" s="39">
        <f t="shared" si="8"/>
        <v>50.142199999999995</v>
      </c>
      <c r="Q89" s="39">
        <f t="shared" si="9"/>
        <v>62.677749999999996</v>
      </c>
      <c r="R89" s="35" t="str">
        <f t="shared" si="10"/>
        <v>Rs./km</v>
      </c>
    </row>
    <row r="90" spans="1:18" ht="15" customHeight="1" x14ac:dyDescent="0.3">
      <c r="A90" s="35">
        <v>78</v>
      </c>
      <c r="B90" s="35" t="s">
        <v>485</v>
      </c>
      <c r="C90" s="35" t="s">
        <v>486</v>
      </c>
      <c r="D90" s="36" t="s">
        <v>481</v>
      </c>
      <c r="E90" s="36" t="s">
        <v>1404</v>
      </c>
      <c r="F90" s="35">
        <v>2019</v>
      </c>
      <c r="G90" s="35" t="s">
        <v>1357</v>
      </c>
      <c r="H90" s="35" t="s">
        <v>1390</v>
      </c>
      <c r="I90" s="36" t="s">
        <v>1359</v>
      </c>
      <c r="J90" s="35" t="s">
        <v>1391</v>
      </c>
      <c r="K90" s="37">
        <v>12.8</v>
      </c>
      <c r="L90" s="37">
        <v>10</v>
      </c>
      <c r="M90" s="37">
        <v>8</v>
      </c>
      <c r="N90" s="38">
        <f t="shared" si="6"/>
        <v>1.0489999999999999</v>
      </c>
      <c r="O90" s="39">
        <f t="shared" si="7"/>
        <v>39.173593749999995</v>
      </c>
      <c r="P90" s="39">
        <f t="shared" si="8"/>
        <v>50.142199999999995</v>
      </c>
      <c r="Q90" s="39">
        <f t="shared" si="9"/>
        <v>62.677749999999996</v>
      </c>
      <c r="R90" s="35" t="str">
        <f t="shared" si="10"/>
        <v>Rs./km</v>
      </c>
    </row>
    <row r="91" spans="1:18" ht="15" customHeight="1" x14ac:dyDescent="0.3">
      <c r="A91" s="35">
        <v>79</v>
      </c>
      <c r="B91" s="35" t="s">
        <v>487</v>
      </c>
      <c r="C91" s="35" t="s">
        <v>488</v>
      </c>
      <c r="D91" s="36" t="s">
        <v>481</v>
      </c>
      <c r="E91" s="36" t="s">
        <v>1404</v>
      </c>
      <c r="F91" s="35">
        <v>2019</v>
      </c>
      <c r="G91" s="35" t="s">
        <v>1357</v>
      </c>
      <c r="H91" s="35" t="s">
        <v>1390</v>
      </c>
      <c r="I91" s="36" t="s">
        <v>1359</v>
      </c>
      <c r="J91" s="35" t="s">
        <v>1391</v>
      </c>
      <c r="K91" s="37">
        <v>12.8</v>
      </c>
      <c r="L91" s="37">
        <v>10</v>
      </c>
      <c r="M91" s="37">
        <v>8</v>
      </c>
      <c r="N91" s="38">
        <f t="shared" si="6"/>
        <v>1.0489999999999999</v>
      </c>
      <c r="O91" s="39">
        <f t="shared" si="7"/>
        <v>39.173593749999995</v>
      </c>
      <c r="P91" s="39">
        <f t="shared" si="8"/>
        <v>50.142199999999995</v>
      </c>
      <c r="Q91" s="39">
        <f t="shared" si="9"/>
        <v>62.677749999999996</v>
      </c>
      <c r="R91" s="35" t="str">
        <f t="shared" si="10"/>
        <v>Rs./km</v>
      </c>
    </row>
    <row r="92" spans="1:18" ht="15" customHeight="1" x14ac:dyDescent="0.3">
      <c r="A92" s="35">
        <v>80</v>
      </c>
      <c r="B92" s="35" t="s">
        <v>489</v>
      </c>
      <c r="C92" s="35" t="s">
        <v>490</v>
      </c>
      <c r="D92" s="36" t="s">
        <v>481</v>
      </c>
      <c r="E92" s="36" t="s">
        <v>1404</v>
      </c>
      <c r="F92" s="35">
        <v>2019</v>
      </c>
      <c r="G92" s="35" t="s">
        <v>1357</v>
      </c>
      <c r="H92" s="35" t="s">
        <v>1390</v>
      </c>
      <c r="I92" s="36" t="s">
        <v>1359</v>
      </c>
      <c r="J92" s="35" t="s">
        <v>1391</v>
      </c>
      <c r="K92" s="37">
        <v>12.8</v>
      </c>
      <c r="L92" s="37">
        <v>10</v>
      </c>
      <c r="M92" s="37">
        <v>8</v>
      </c>
      <c r="N92" s="38">
        <f t="shared" si="6"/>
        <v>1.0489999999999999</v>
      </c>
      <c r="O92" s="39">
        <f t="shared" si="7"/>
        <v>39.173593749999995</v>
      </c>
      <c r="P92" s="39">
        <f t="shared" si="8"/>
        <v>50.142199999999995</v>
      </c>
      <c r="Q92" s="39">
        <f t="shared" si="9"/>
        <v>62.677749999999996</v>
      </c>
      <c r="R92" s="35" t="str">
        <f t="shared" si="10"/>
        <v>Rs./km</v>
      </c>
    </row>
    <row r="93" spans="1:18" ht="15" customHeight="1" x14ac:dyDescent="0.3">
      <c r="A93" s="35">
        <v>81</v>
      </c>
      <c r="B93" s="35" t="s">
        <v>491</v>
      </c>
      <c r="C93" s="35" t="s">
        <v>492</v>
      </c>
      <c r="D93" s="36" t="s">
        <v>481</v>
      </c>
      <c r="E93" s="36" t="s">
        <v>1404</v>
      </c>
      <c r="F93" s="35">
        <v>2019</v>
      </c>
      <c r="G93" s="35" t="s">
        <v>1357</v>
      </c>
      <c r="H93" s="35" t="s">
        <v>1390</v>
      </c>
      <c r="I93" s="36" t="s">
        <v>1359</v>
      </c>
      <c r="J93" s="35" t="s">
        <v>1391</v>
      </c>
      <c r="K93" s="37">
        <v>12.8</v>
      </c>
      <c r="L93" s="37">
        <v>10</v>
      </c>
      <c r="M93" s="37">
        <v>8</v>
      </c>
      <c r="N93" s="38">
        <f t="shared" si="6"/>
        <v>1.0489999999999999</v>
      </c>
      <c r="O93" s="39">
        <f t="shared" si="7"/>
        <v>39.173593749999995</v>
      </c>
      <c r="P93" s="39">
        <f t="shared" si="8"/>
        <v>50.142199999999995</v>
      </c>
      <c r="Q93" s="39">
        <f t="shared" si="9"/>
        <v>62.677749999999996</v>
      </c>
      <c r="R93" s="35" t="str">
        <f t="shared" si="10"/>
        <v>Rs./km</v>
      </c>
    </row>
    <row r="94" spans="1:18" ht="15" customHeight="1" x14ac:dyDescent="0.3">
      <c r="A94" s="35">
        <v>82</v>
      </c>
      <c r="B94" s="35" t="s">
        <v>493</v>
      </c>
      <c r="C94" s="35" t="s">
        <v>494</v>
      </c>
      <c r="D94" s="36" t="s">
        <v>481</v>
      </c>
      <c r="E94" s="36" t="s">
        <v>1404</v>
      </c>
      <c r="F94" s="35">
        <v>2019</v>
      </c>
      <c r="G94" s="35" t="s">
        <v>1357</v>
      </c>
      <c r="H94" s="35" t="s">
        <v>1390</v>
      </c>
      <c r="I94" s="36" t="s">
        <v>1359</v>
      </c>
      <c r="J94" s="35" t="s">
        <v>1391</v>
      </c>
      <c r="K94" s="37">
        <v>12.8</v>
      </c>
      <c r="L94" s="37">
        <v>10</v>
      </c>
      <c r="M94" s="37">
        <v>8</v>
      </c>
      <c r="N94" s="38">
        <f t="shared" si="6"/>
        <v>1.0489999999999999</v>
      </c>
      <c r="O94" s="39">
        <f t="shared" si="7"/>
        <v>39.173593749999995</v>
      </c>
      <c r="P94" s="39">
        <f t="shared" si="8"/>
        <v>50.142199999999995</v>
      </c>
      <c r="Q94" s="39">
        <f t="shared" si="9"/>
        <v>62.677749999999996</v>
      </c>
      <c r="R94" s="35" t="str">
        <f t="shared" si="10"/>
        <v>Rs./km</v>
      </c>
    </row>
    <row r="95" spans="1:18" ht="15" customHeight="1" x14ac:dyDescent="0.3">
      <c r="A95" s="35">
        <v>83</v>
      </c>
      <c r="B95" s="35" t="s">
        <v>496</v>
      </c>
      <c r="C95" s="35" t="s">
        <v>497</v>
      </c>
      <c r="D95" s="36" t="s">
        <v>481</v>
      </c>
      <c r="E95" s="36" t="s">
        <v>1414</v>
      </c>
      <c r="F95" s="35">
        <v>2017</v>
      </c>
      <c r="G95" s="35" t="s">
        <v>1357</v>
      </c>
      <c r="H95" s="35" t="s">
        <v>1390</v>
      </c>
      <c r="I95" s="36" t="s">
        <v>1359</v>
      </c>
      <c r="J95" s="35" t="s">
        <v>1391</v>
      </c>
      <c r="K95" s="37">
        <v>12.8</v>
      </c>
      <c r="L95" s="37">
        <v>10</v>
      </c>
      <c r="M95" s="37">
        <v>8</v>
      </c>
      <c r="N95" s="38">
        <f t="shared" si="6"/>
        <v>1.0629999999999999</v>
      </c>
      <c r="O95" s="39">
        <f t="shared" si="7"/>
        <v>39.696406249999995</v>
      </c>
      <c r="P95" s="39">
        <f t="shared" si="8"/>
        <v>50.811399999999999</v>
      </c>
      <c r="Q95" s="39">
        <f t="shared" si="9"/>
        <v>63.514249999999997</v>
      </c>
      <c r="R95" s="35" t="str">
        <f t="shared" si="10"/>
        <v>Rs./km</v>
      </c>
    </row>
    <row r="96" spans="1:18" ht="15" customHeight="1" x14ac:dyDescent="0.3">
      <c r="A96" s="35">
        <v>84</v>
      </c>
      <c r="B96" s="35" t="s">
        <v>498</v>
      </c>
      <c r="C96" s="35" t="s">
        <v>499</v>
      </c>
      <c r="D96" s="36" t="s">
        <v>481</v>
      </c>
      <c r="E96" s="36" t="s">
        <v>1404</v>
      </c>
      <c r="F96" s="35">
        <v>2017</v>
      </c>
      <c r="G96" s="35" t="s">
        <v>1357</v>
      </c>
      <c r="H96" s="35" t="s">
        <v>1390</v>
      </c>
      <c r="I96" s="36" t="s">
        <v>1359</v>
      </c>
      <c r="J96" s="35" t="s">
        <v>1391</v>
      </c>
      <c r="K96" s="37">
        <v>12.8</v>
      </c>
      <c r="L96" s="37">
        <v>10</v>
      </c>
      <c r="M96" s="37">
        <v>8</v>
      </c>
      <c r="N96" s="38">
        <f t="shared" si="6"/>
        <v>1.0629999999999999</v>
      </c>
      <c r="O96" s="39">
        <f t="shared" si="7"/>
        <v>39.696406249999995</v>
      </c>
      <c r="P96" s="39">
        <f t="shared" si="8"/>
        <v>50.811399999999999</v>
      </c>
      <c r="Q96" s="39">
        <f t="shared" si="9"/>
        <v>63.514249999999997</v>
      </c>
      <c r="R96" s="35" t="str">
        <f t="shared" si="10"/>
        <v>Rs./km</v>
      </c>
    </row>
    <row r="97" spans="1:18" ht="15" customHeight="1" x14ac:dyDescent="0.3">
      <c r="A97" s="35">
        <v>85</v>
      </c>
      <c r="B97" s="35" t="s">
        <v>195</v>
      </c>
      <c r="C97" s="35" t="s">
        <v>486</v>
      </c>
      <c r="D97" s="36" t="s">
        <v>481</v>
      </c>
      <c r="E97" s="36" t="s">
        <v>1415</v>
      </c>
      <c r="F97" s="35" t="s">
        <v>195</v>
      </c>
      <c r="G97" s="35" t="s">
        <v>1357</v>
      </c>
      <c r="H97" s="35" t="s">
        <v>1390</v>
      </c>
      <c r="I97" s="36" t="s">
        <v>1359</v>
      </c>
      <c r="J97" s="35" t="s">
        <v>1391</v>
      </c>
      <c r="K97" s="37">
        <v>12.8</v>
      </c>
      <c r="L97" s="37">
        <v>10</v>
      </c>
      <c r="M97" s="37">
        <v>8</v>
      </c>
      <c r="N97" s="38">
        <f>1</f>
        <v>1</v>
      </c>
      <c r="O97" s="39">
        <f t="shared" si="7"/>
        <v>37.34375</v>
      </c>
      <c r="P97" s="39">
        <f t="shared" si="8"/>
        <v>47.8</v>
      </c>
      <c r="Q97" s="39">
        <f t="shared" si="9"/>
        <v>59.75</v>
      </c>
      <c r="R97" s="35" t="str">
        <f t="shared" si="10"/>
        <v>Rs./km</v>
      </c>
    </row>
    <row r="98" spans="1:18" ht="15" customHeight="1" x14ac:dyDescent="0.3">
      <c r="A98" s="35">
        <v>86</v>
      </c>
      <c r="B98" s="35" t="s">
        <v>799</v>
      </c>
      <c r="C98" s="35" t="s">
        <v>800</v>
      </c>
      <c r="D98" s="36" t="s">
        <v>625</v>
      </c>
      <c r="E98" s="36" t="s">
        <v>1416</v>
      </c>
      <c r="F98" s="35">
        <v>2006</v>
      </c>
      <c r="G98" s="35" t="s">
        <v>1357</v>
      </c>
      <c r="H98" s="35" t="s">
        <v>1390</v>
      </c>
      <c r="I98" s="36" t="s">
        <v>1417</v>
      </c>
      <c r="J98" s="35" t="s">
        <v>1391</v>
      </c>
      <c r="K98" s="37">
        <v>3.8</v>
      </c>
      <c r="L98" s="37">
        <v>3</v>
      </c>
      <c r="M98" s="37">
        <v>2.4</v>
      </c>
      <c r="N98" s="38">
        <f t="shared" ref="N98:N129" si="11">1+MIN(MAX($D$8-F98,0),$D$10)*$D$9</f>
        <v>1.1400000000000001</v>
      </c>
      <c r="O98" s="39">
        <f t="shared" si="7"/>
        <v>143.40000000000003</v>
      </c>
      <c r="P98" s="39">
        <f t="shared" si="8"/>
        <v>181.64000000000001</v>
      </c>
      <c r="Q98" s="39">
        <f t="shared" si="9"/>
        <v>227.05000000000004</v>
      </c>
      <c r="R98" s="35" t="str">
        <f t="shared" si="10"/>
        <v>Rs./km</v>
      </c>
    </row>
    <row r="99" spans="1:18" ht="15" customHeight="1" x14ac:dyDescent="0.3">
      <c r="A99" s="35">
        <v>87</v>
      </c>
      <c r="B99" s="35" t="s">
        <v>714</v>
      </c>
      <c r="C99" s="35" t="s">
        <v>715</v>
      </c>
      <c r="D99" s="36" t="s">
        <v>625</v>
      </c>
      <c r="E99" s="36" t="s">
        <v>1418</v>
      </c>
      <c r="F99" s="35">
        <v>2013</v>
      </c>
      <c r="G99" s="35" t="s">
        <v>1357</v>
      </c>
      <c r="H99" s="35" t="s">
        <v>1390</v>
      </c>
      <c r="I99" s="36" t="s">
        <v>1419</v>
      </c>
      <c r="J99" s="35" t="s">
        <v>1391</v>
      </c>
      <c r="K99" s="37">
        <v>6.4</v>
      </c>
      <c r="L99" s="37">
        <v>5</v>
      </c>
      <c r="M99" s="37">
        <v>4</v>
      </c>
      <c r="N99" s="38">
        <f t="shared" si="11"/>
        <v>1.091</v>
      </c>
      <c r="O99" s="39">
        <f t="shared" si="7"/>
        <v>81.484062499999979</v>
      </c>
      <c r="P99" s="39">
        <f t="shared" si="8"/>
        <v>104.29959999999998</v>
      </c>
      <c r="Q99" s="39">
        <f t="shared" si="9"/>
        <v>130.37449999999998</v>
      </c>
      <c r="R99" s="35" t="str">
        <f t="shared" si="10"/>
        <v>Rs./km</v>
      </c>
    </row>
    <row r="100" spans="1:18" ht="23.85" customHeight="1" x14ac:dyDescent="0.3">
      <c r="A100" s="35">
        <v>88</v>
      </c>
      <c r="B100" s="35" t="s">
        <v>753</v>
      </c>
      <c r="C100" s="35" t="s">
        <v>754</v>
      </c>
      <c r="D100" s="36" t="s">
        <v>625</v>
      </c>
      <c r="E100" s="36" t="s">
        <v>1420</v>
      </c>
      <c r="F100" s="35">
        <v>2012</v>
      </c>
      <c r="G100" s="35" t="s">
        <v>1357</v>
      </c>
      <c r="H100" s="35" t="s">
        <v>1390</v>
      </c>
      <c r="I100" s="36" t="s">
        <v>1385</v>
      </c>
      <c r="J100" s="35" t="s">
        <v>1391</v>
      </c>
      <c r="K100" s="37">
        <v>3.8</v>
      </c>
      <c r="L100" s="37">
        <v>3</v>
      </c>
      <c r="M100" s="37">
        <v>2.4</v>
      </c>
      <c r="N100" s="38">
        <f t="shared" si="11"/>
        <v>1.0980000000000001</v>
      </c>
      <c r="O100" s="39">
        <f t="shared" si="7"/>
        <v>138.11684210526317</v>
      </c>
      <c r="P100" s="39">
        <f t="shared" si="8"/>
        <v>174.94800000000001</v>
      </c>
      <c r="Q100" s="39">
        <f t="shared" si="9"/>
        <v>218.68500000000003</v>
      </c>
      <c r="R100" s="35" t="str">
        <f t="shared" si="10"/>
        <v>Rs./km</v>
      </c>
    </row>
    <row r="101" spans="1:18" ht="15" customHeight="1" x14ac:dyDescent="0.3">
      <c r="A101" s="35">
        <v>89</v>
      </c>
      <c r="B101" s="35" t="s">
        <v>802</v>
      </c>
      <c r="C101" s="35" t="s">
        <v>803</v>
      </c>
      <c r="D101" s="36" t="s">
        <v>625</v>
      </c>
      <c r="E101" s="36" t="s">
        <v>1416</v>
      </c>
      <c r="F101" s="35">
        <v>2003</v>
      </c>
      <c r="G101" s="35" t="s">
        <v>1357</v>
      </c>
      <c r="H101" s="35" t="s">
        <v>1390</v>
      </c>
      <c r="I101" s="36" t="s">
        <v>1417</v>
      </c>
      <c r="J101" s="35" t="s">
        <v>1391</v>
      </c>
      <c r="K101" s="37">
        <v>3.8</v>
      </c>
      <c r="L101" s="37">
        <v>3</v>
      </c>
      <c r="M101" s="37">
        <v>2.4</v>
      </c>
      <c r="N101" s="38">
        <f t="shared" si="11"/>
        <v>1.161</v>
      </c>
      <c r="O101" s="39">
        <f t="shared" si="7"/>
        <v>146.04157894736841</v>
      </c>
      <c r="P101" s="39">
        <f t="shared" si="8"/>
        <v>184.98599999999999</v>
      </c>
      <c r="Q101" s="39">
        <f t="shared" si="9"/>
        <v>231.23249999999999</v>
      </c>
      <c r="R101" s="35" t="str">
        <f t="shared" si="10"/>
        <v>Rs./km</v>
      </c>
    </row>
    <row r="102" spans="1:18" ht="23.85" customHeight="1" x14ac:dyDescent="0.3">
      <c r="A102" s="35">
        <v>90</v>
      </c>
      <c r="B102" s="35" t="s">
        <v>804</v>
      </c>
      <c r="C102" s="35" t="s">
        <v>805</v>
      </c>
      <c r="D102" s="36" t="s">
        <v>625</v>
      </c>
      <c r="E102" s="36" t="s">
        <v>1420</v>
      </c>
      <c r="F102" s="35">
        <v>2003</v>
      </c>
      <c r="G102" s="35" t="s">
        <v>1357</v>
      </c>
      <c r="H102" s="35" t="s">
        <v>1390</v>
      </c>
      <c r="I102" s="36" t="s">
        <v>1385</v>
      </c>
      <c r="J102" s="35" t="s">
        <v>1391</v>
      </c>
      <c r="K102" s="37">
        <v>3.8</v>
      </c>
      <c r="L102" s="37">
        <v>3</v>
      </c>
      <c r="M102" s="37">
        <v>2.4</v>
      </c>
      <c r="N102" s="38">
        <f t="shared" si="11"/>
        <v>1.161</v>
      </c>
      <c r="O102" s="39">
        <f t="shared" si="7"/>
        <v>146.04157894736841</v>
      </c>
      <c r="P102" s="39">
        <f t="shared" si="8"/>
        <v>184.98599999999999</v>
      </c>
      <c r="Q102" s="39">
        <f t="shared" si="9"/>
        <v>231.23249999999999</v>
      </c>
      <c r="R102" s="35" t="str">
        <f t="shared" si="10"/>
        <v>Rs./km</v>
      </c>
    </row>
    <row r="103" spans="1:18" ht="15" customHeight="1" x14ac:dyDescent="0.3">
      <c r="A103" s="35">
        <v>91</v>
      </c>
      <c r="B103" s="35" t="s">
        <v>740</v>
      </c>
      <c r="C103" s="35" t="s">
        <v>741</v>
      </c>
      <c r="D103" s="36" t="s">
        <v>625</v>
      </c>
      <c r="E103" s="36" t="s">
        <v>1421</v>
      </c>
      <c r="F103" s="35">
        <v>2011</v>
      </c>
      <c r="G103" s="35" t="s">
        <v>1357</v>
      </c>
      <c r="H103" s="35" t="s">
        <v>1390</v>
      </c>
      <c r="I103" s="36" t="s">
        <v>1385</v>
      </c>
      <c r="J103" s="35" t="s">
        <v>1391</v>
      </c>
      <c r="K103" s="37">
        <v>3.8</v>
      </c>
      <c r="L103" s="37">
        <v>3</v>
      </c>
      <c r="M103" s="37">
        <v>2.4</v>
      </c>
      <c r="N103" s="38">
        <f t="shared" si="11"/>
        <v>1.105</v>
      </c>
      <c r="O103" s="39">
        <f t="shared" si="7"/>
        <v>138.99736842105261</v>
      </c>
      <c r="P103" s="39">
        <f t="shared" si="8"/>
        <v>176.0633333333333</v>
      </c>
      <c r="Q103" s="39">
        <f t="shared" si="9"/>
        <v>220.07916666666665</v>
      </c>
      <c r="R103" s="35" t="str">
        <f t="shared" si="10"/>
        <v>Rs./km</v>
      </c>
    </row>
    <row r="104" spans="1:18" ht="15" customHeight="1" x14ac:dyDescent="0.3">
      <c r="A104" s="35">
        <v>92</v>
      </c>
      <c r="B104" s="35" t="s">
        <v>742</v>
      </c>
      <c r="C104" s="35" t="s">
        <v>743</v>
      </c>
      <c r="D104" s="36" t="s">
        <v>625</v>
      </c>
      <c r="E104" s="36" t="s">
        <v>1422</v>
      </c>
      <c r="F104" s="35">
        <v>2011</v>
      </c>
      <c r="G104" s="35" t="s">
        <v>1357</v>
      </c>
      <c r="H104" s="35" t="s">
        <v>1390</v>
      </c>
      <c r="I104" s="36" t="s">
        <v>1385</v>
      </c>
      <c r="J104" s="35" t="s">
        <v>1391</v>
      </c>
      <c r="K104" s="37">
        <v>3.8</v>
      </c>
      <c r="L104" s="37">
        <v>3</v>
      </c>
      <c r="M104" s="37">
        <v>2.4</v>
      </c>
      <c r="N104" s="38">
        <f t="shared" si="11"/>
        <v>1.105</v>
      </c>
      <c r="O104" s="39">
        <f t="shared" si="7"/>
        <v>138.99736842105261</v>
      </c>
      <c r="P104" s="39">
        <f t="shared" si="8"/>
        <v>176.0633333333333</v>
      </c>
      <c r="Q104" s="39">
        <f t="shared" si="9"/>
        <v>220.07916666666665</v>
      </c>
      <c r="R104" s="35" t="str">
        <f t="shared" si="10"/>
        <v>Rs./km</v>
      </c>
    </row>
    <row r="105" spans="1:18" ht="15" customHeight="1" x14ac:dyDescent="0.3">
      <c r="A105" s="35">
        <v>93</v>
      </c>
      <c r="B105" s="35" t="s">
        <v>744</v>
      </c>
      <c r="C105" s="35" t="s">
        <v>745</v>
      </c>
      <c r="D105" s="36" t="s">
        <v>625</v>
      </c>
      <c r="E105" s="36" t="s">
        <v>1422</v>
      </c>
      <c r="F105" s="35">
        <v>2011</v>
      </c>
      <c r="G105" s="35" t="s">
        <v>1357</v>
      </c>
      <c r="H105" s="35" t="s">
        <v>1390</v>
      </c>
      <c r="I105" s="36" t="s">
        <v>1385</v>
      </c>
      <c r="J105" s="35" t="s">
        <v>1391</v>
      </c>
      <c r="K105" s="37">
        <v>3.8</v>
      </c>
      <c r="L105" s="37">
        <v>3</v>
      </c>
      <c r="M105" s="37">
        <v>2.4</v>
      </c>
      <c r="N105" s="38">
        <f t="shared" si="11"/>
        <v>1.105</v>
      </c>
      <c r="O105" s="39">
        <f t="shared" si="7"/>
        <v>138.99736842105261</v>
      </c>
      <c r="P105" s="39">
        <f t="shared" si="8"/>
        <v>176.0633333333333</v>
      </c>
      <c r="Q105" s="39">
        <f t="shared" si="9"/>
        <v>220.07916666666665</v>
      </c>
      <c r="R105" s="35" t="str">
        <f t="shared" si="10"/>
        <v>Rs./km</v>
      </c>
    </row>
    <row r="106" spans="1:18" ht="15" customHeight="1" x14ac:dyDescent="0.3">
      <c r="A106" s="35">
        <v>94</v>
      </c>
      <c r="B106" s="35" t="s">
        <v>750</v>
      </c>
      <c r="C106" s="35" t="s">
        <v>751</v>
      </c>
      <c r="D106" s="36" t="s">
        <v>625</v>
      </c>
      <c r="E106" s="36" t="s">
        <v>1418</v>
      </c>
      <c r="F106" s="35">
        <v>2012</v>
      </c>
      <c r="G106" s="35" t="s">
        <v>1357</v>
      </c>
      <c r="H106" s="35" t="s">
        <v>1390</v>
      </c>
      <c r="I106" s="36" t="s">
        <v>1419</v>
      </c>
      <c r="J106" s="35" t="s">
        <v>1391</v>
      </c>
      <c r="K106" s="37">
        <v>6.4</v>
      </c>
      <c r="L106" s="37">
        <v>5</v>
      </c>
      <c r="M106" s="37">
        <v>4</v>
      </c>
      <c r="N106" s="38">
        <f t="shared" si="11"/>
        <v>1.0980000000000001</v>
      </c>
      <c r="O106" s="39">
        <f t="shared" si="7"/>
        <v>82.006875000000008</v>
      </c>
      <c r="P106" s="39">
        <f t="shared" si="8"/>
        <v>104.96880000000002</v>
      </c>
      <c r="Q106" s="39">
        <f t="shared" si="9"/>
        <v>131.21100000000001</v>
      </c>
      <c r="R106" s="35" t="str">
        <f t="shared" si="10"/>
        <v>Rs./km</v>
      </c>
    </row>
    <row r="107" spans="1:18" ht="15" customHeight="1" x14ac:dyDescent="0.3">
      <c r="A107" s="35">
        <v>95</v>
      </c>
      <c r="B107" s="35" t="s">
        <v>764</v>
      </c>
      <c r="C107" s="35" t="s">
        <v>765</v>
      </c>
      <c r="D107" s="36" t="s">
        <v>625</v>
      </c>
      <c r="E107" s="36" t="s">
        <v>1422</v>
      </c>
      <c r="F107" s="35">
        <v>2012</v>
      </c>
      <c r="G107" s="35" t="s">
        <v>1357</v>
      </c>
      <c r="H107" s="35" t="s">
        <v>1390</v>
      </c>
      <c r="I107" s="36" t="s">
        <v>1385</v>
      </c>
      <c r="J107" s="35" t="s">
        <v>1391</v>
      </c>
      <c r="K107" s="37">
        <v>3.8</v>
      </c>
      <c r="L107" s="37">
        <v>3</v>
      </c>
      <c r="M107" s="37">
        <v>2.4</v>
      </c>
      <c r="N107" s="38">
        <f t="shared" si="11"/>
        <v>1.0980000000000001</v>
      </c>
      <c r="O107" s="39">
        <f t="shared" si="7"/>
        <v>138.11684210526317</v>
      </c>
      <c r="P107" s="39">
        <f t="shared" si="8"/>
        <v>174.94800000000001</v>
      </c>
      <c r="Q107" s="39">
        <f t="shared" si="9"/>
        <v>218.68500000000003</v>
      </c>
      <c r="R107" s="35" t="str">
        <f t="shared" si="10"/>
        <v>Rs./km</v>
      </c>
    </row>
    <row r="108" spans="1:18" ht="15" customHeight="1" x14ac:dyDescent="0.3">
      <c r="A108" s="35">
        <v>96</v>
      </c>
      <c r="B108" s="35" t="s">
        <v>766</v>
      </c>
      <c r="C108" s="35" t="s">
        <v>767</v>
      </c>
      <c r="D108" s="36" t="s">
        <v>625</v>
      </c>
      <c r="E108" s="36" t="s">
        <v>1423</v>
      </c>
      <c r="F108" s="35">
        <v>2012</v>
      </c>
      <c r="G108" s="35" t="s">
        <v>1357</v>
      </c>
      <c r="H108" s="35" t="s">
        <v>1390</v>
      </c>
      <c r="I108" s="36" t="s">
        <v>1424</v>
      </c>
      <c r="J108" s="35" t="s">
        <v>1391</v>
      </c>
      <c r="K108" s="37">
        <v>4.9000000000000004</v>
      </c>
      <c r="L108" s="37">
        <v>3.8</v>
      </c>
      <c r="M108" s="37">
        <v>3</v>
      </c>
      <c r="N108" s="38">
        <f t="shared" si="11"/>
        <v>1.0980000000000001</v>
      </c>
      <c r="O108" s="39">
        <f t="shared" si="7"/>
        <v>107.11102040816327</v>
      </c>
      <c r="P108" s="39">
        <f t="shared" si="8"/>
        <v>138.11684210526317</v>
      </c>
      <c r="Q108" s="39">
        <f t="shared" si="9"/>
        <v>174.94800000000001</v>
      </c>
      <c r="R108" s="35" t="str">
        <f t="shared" si="10"/>
        <v>Rs./km</v>
      </c>
    </row>
    <row r="109" spans="1:18" ht="15" customHeight="1" x14ac:dyDescent="0.3">
      <c r="A109" s="35">
        <v>97</v>
      </c>
      <c r="B109" s="35" t="s">
        <v>769</v>
      </c>
      <c r="C109" s="35" t="s">
        <v>770</v>
      </c>
      <c r="D109" s="36" t="s">
        <v>625</v>
      </c>
      <c r="E109" s="36" t="s">
        <v>1422</v>
      </c>
      <c r="F109" s="35">
        <v>2012</v>
      </c>
      <c r="G109" s="35" t="s">
        <v>1357</v>
      </c>
      <c r="H109" s="35" t="s">
        <v>1390</v>
      </c>
      <c r="I109" s="36" t="s">
        <v>1385</v>
      </c>
      <c r="J109" s="35" t="s">
        <v>1391</v>
      </c>
      <c r="K109" s="37">
        <v>3.8</v>
      </c>
      <c r="L109" s="37">
        <v>3</v>
      </c>
      <c r="M109" s="37">
        <v>2.4</v>
      </c>
      <c r="N109" s="38">
        <f t="shared" si="11"/>
        <v>1.0980000000000001</v>
      </c>
      <c r="O109" s="39">
        <f t="shared" si="7"/>
        <v>138.11684210526317</v>
      </c>
      <c r="P109" s="39">
        <f t="shared" si="8"/>
        <v>174.94800000000001</v>
      </c>
      <c r="Q109" s="39">
        <f t="shared" si="9"/>
        <v>218.68500000000003</v>
      </c>
      <c r="R109" s="35" t="str">
        <f t="shared" si="10"/>
        <v>Rs./km</v>
      </c>
    </row>
    <row r="110" spans="1:18" ht="23.85" customHeight="1" x14ac:dyDescent="0.3">
      <c r="A110" s="35">
        <v>98</v>
      </c>
      <c r="B110" s="35" t="s">
        <v>755</v>
      </c>
      <c r="C110" s="35" t="s">
        <v>756</v>
      </c>
      <c r="D110" s="36" t="s">
        <v>625</v>
      </c>
      <c r="E110" s="36" t="s">
        <v>1420</v>
      </c>
      <c r="F110" s="35">
        <v>2012</v>
      </c>
      <c r="G110" s="35" t="s">
        <v>1357</v>
      </c>
      <c r="H110" s="35" t="s">
        <v>1390</v>
      </c>
      <c r="I110" s="36" t="s">
        <v>1385</v>
      </c>
      <c r="J110" s="35" t="s">
        <v>1391</v>
      </c>
      <c r="K110" s="37">
        <v>3.8</v>
      </c>
      <c r="L110" s="37">
        <v>3</v>
      </c>
      <c r="M110" s="37">
        <v>2.4</v>
      </c>
      <c r="N110" s="38">
        <f t="shared" si="11"/>
        <v>1.0980000000000001</v>
      </c>
      <c r="O110" s="39">
        <f t="shared" si="7"/>
        <v>138.11684210526317</v>
      </c>
      <c r="P110" s="39">
        <f t="shared" si="8"/>
        <v>174.94800000000001</v>
      </c>
      <c r="Q110" s="39">
        <f t="shared" si="9"/>
        <v>218.68500000000003</v>
      </c>
      <c r="R110" s="35" t="str">
        <f t="shared" si="10"/>
        <v>Rs./km</v>
      </c>
    </row>
    <row r="111" spans="1:18" ht="15" customHeight="1" x14ac:dyDescent="0.3">
      <c r="A111" s="35">
        <v>99</v>
      </c>
      <c r="B111" s="35" t="s">
        <v>720</v>
      </c>
      <c r="C111" s="35" t="s">
        <v>721</v>
      </c>
      <c r="D111" s="36" t="s">
        <v>625</v>
      </c>
      <c r="E111" s="36" t="s">
        <v>1421</v>
      </c>
      <c r="F111" s="35">
        <v>2016</v>
      </c>
      <c r="G111" s="35" t="s">
        <v>1357</v>
      </c>
      <c r="H111" s="35" t="s">
        <v>1390</v>
      </c>
      <c r="I111" s="36" t="s">
        <v>1385</v>
      </c>
      <c r="J111" s="35" t="s">
        <v>1391</v>
      </c>
      <c r="K111" s="37">
        <v>3.8</v>
      </c>
      <c r="L111" s="37">
        <v>3</v>
      </c>
      <c r="M111" s="37">
        <v>2.4</v>
      </c>
      <c r="N111" s="38">
        <f t="shared" si="11"/>
        <v>1.07</v>
      </c>
      <c r="O111" s="39">
        <f t="shared" si="7"/>
        <v>134.59473684210528</v>
      </c>
      <c r="P111" s="39">
        <f t="shared" si="8"/>
        <v>170.48666666666668</v>
      </c>
      <c r="Q111" s="39">
        <f t="shared" si="9"/>
        <v>213.10833333333335</v>
      </c>
      <c r="R111" s="35" t="str">
        <f t="shared" si="10"/>
        <v>Rs./km</v>
      </c>
    </row>
    <row r="112" spans="1:18" ht="15" customHeight="1" x14ac:dyDescent="0.3">
      <c r="A112" s="35">
        <v>100</v>
      </c>
      <c r="B112" s="35" t="s">
        <v>757</v>
      </c>
      <c r="C112" s="35" t="s">
        <v>758</v>
      </c>
      <c r="D112" s="36" t="s">
        <v>625</v>
      </c>
      <c r="E112" s="36" t="s">
        <v>1425</v>
      </c>
      <c r="F112" s="35">
        <v>2012</v>
      </c>
      <c r="G112" s="35" t="s">
        <v>1357</v>
      </c>
      <c r="H112" s="35" t="s">
        <v>1390</v>
      </c>
      <c r="I112" s="36" t="s">
        <v>1426</v>
      </c>
      <c r="J112" s="35" t="s">
        <v>1391</v>
      </c>
      <c r="K112" s="37">
        <v>2.9</v>
      </c>
      <c r="L112" s="37">
        <v>2.2999999999999998</v>
      </c>
      <c r="M112" s="37">
        <v>1.8</v>
      </c>
      <c r="N112" s="38">
        <f t="shared" si="11"/>
        <v>1.0980000000000001</v>
      </c>
      <c r="O112" s="39">
        <f t="shared" si="7"/>
        <v>180.98068965517243</v>
      </c>
      <c r="P112" s="39">
        <f t="shared" si="8"/>
        <v>228.1930434782609</v>
      </c>
      <c r="Q112" s="39">
        <f t="shared" si="9"/>
        <v>291.58000000000004</v>
      </c>
      <c r="R112" s="35" t="str">
        <f t="shared" si="10"/>
        <v>Rs./km</v>
      </c>
    </row>
    <row r="113" spans="1:18" ht="15" customHeight="1" x14ac:dyDescent="0.3">
      <c r="A113" s="35">
        <v>101</v>
      </c>
      <c r="B113" s="35" t="s">
        <v>780</v>
      </c>
      <c r="C113" s="35" t="s">
        <v>781</v>
      </c>
      <c r="D113" s="36" t="s">
        <v>625</v>
      </c>
      <c r="E113" s="36" t="s">
        <v>1427</v>
      </c>
      <c r="F113" s="35">
        <v>2011</v>
      </c>
      <c r="G113" s="35" t="s">
        <v>1357</v>
      </c>
      <c r="H113" s="35" t="s">
        <v>1390</v>
      </c>
      <c r="I113" s="36" t="s">
        <v>1385</v>
      </c>
      <c r="J113" s="35" t="s">
        <v>1391</v>
      </c>
      <c r="K113" s="37">
        <v>3.8</v>
      </c>
      <c r="L113" s="37">
        <v>3</v>
      </c>
      <c r="M113" s="37">
        <v>2.4</v>
      </c>
      <c r="N113" s="38">
        <f t="shared" si="11"/>
        <v>1.105</v>
      </c>
      <c r="O113" s="39">
        <f t="shared" si="7"/>
        <v>138.99736842105261</v>
      </c>
      <c r="P113" s="39">
        <f t="shared" si="8"/>
        <v>176.0633333333333</v>
      </c>
      <c r="Q113" s="39">
        <f t="shared" si="9"/>
        <v>220.07916666666665</v>
      </c>
      <c r="R113" s="35" t="str">
        <f t="shared" si="10"/>
        <v>Rs./km</v>
      </c>
    </row>
    <row r="114" spans="1:18" ht="15" customHeight="1" x14ac:dyDescent="0.3">
      <c r="A114" s="35">
        <v>102</v>
      </c>
      <c r="B114" s="35" t="s">
        <v>722</v>
      </c>
      <c r="C114" s="35" t="s">
        <v>723</v>
      </c>
      <c r="D114" s="36" t="s">
        <v>625</v>
      </c>
      <c r="E114" s="36" t="s">
        <v>1422</v>
      </c>
      <c r="F114" s="35">
        <v>2016</v>
      </c>
      <c r="G114" s="35" t="s">
        <v>1357</v>
      </c>
      <c r="H114" s="35" t="s">
        <v>1390</v>
      </c>
      <c r="I114" s="36" t="s">
        <v>1385</v>
      </c>
      <c r="J114" s="35" t="s">
        <v>1391</v>
      </c>
      <c r="K114" s="37">
        <v>3.8</v>
      </c>
      <c r="L114" s="37">
        <v>3</v>
      </c>
      <c r="M114" s="37">
        <v>2.4</v>
      </c>
      <c r="N114" s="38">
        <f t="shared" si="11"/>
        <v>1.07</v>
      </c>
      <c r="O114" s="39">
        <f t="shared" si="7"/>
        <v>134.59473684210528</v>
      </c>
      <c r="P114" s="39">
        <f t="shared" si="8"/>
        <v>170.48666666666668</v>
      </c>
      <c r="Q114" s="39">
        <f t="shared" si="9"/>
        <v>213.10833333333335</v>
      </c>
      <c r="R114" s="35" t="str">
        <f t="shared" si="10"/>
        <v>Rs./km</v>
      </c>
    </row>
    <row r="115" spans="1:18" ht="15" customHeight="1" x14ac:dyDescent="0.3">
      <c r="A115" s="35">
        <v>103</v>
      </c>
      <c r="B115" s="35" t="s">
        <v>782</v>
      </c>
      <c r="C115" s="35" t="s">
        <v>783</v>
      </c>
      <c r="D115" s="36" t="s">
        <v>625</v>
      </c>
      <c r="E115" s="36" t="s">
        <v>1427</v>
      </c>
      <c r="F115" s="35">
        <v>2011</v>
      </c>
      <c r="G115" s="35" t="s">
        <v>1357</v>
      </c>
      <c r="H115" s="35" t="s">
        <v>1390</v>
      </c>
      <c r="I115" s="36" t="s">
        <v>1385</v>
      </c>
      <c r="J115" s="35" t="s">
        <v>1391</v>
      </c>
      <c r="K115" s="37">
        <v>3.8</v>
      </c>
      <c r="L115" s="37">
        <v>3</v>
      </c>
      <c r="M115" s="37">
        <v>2.4</v>
      </c>
      <c r="N115" s="38">
        <f t="shared" si="11"/>
        <v>1.105</v>
      </c>
      <c r="O115" s="39">
        <f t="shared" si="7"/>
        <v>138.99736842105261</v>
      </c>
      <c r="P115" s="39">
        <f t="shared" si="8"/>
        <v>176.0633333333333</v>
      </c>
      <c r="Q115" s="39">
        <f t="shared" si="9"/>
        <v>220.07916666666665</v>
      </c>
      <c r="R115" s="35" t="str">
        <f t="shared" si="10"/>
        <v>Rs./km</v>
      </c>
    </row>
    <row r="116" spans="1:18" ht="15" customHeight="1" x14ac:dyDescent="0.3">
      <c r="A116" s="35">
        <v>104</v>
      </c>
      <c r="B116" s="35" t="s">
        <v>784</v>
      </c>
      <c r="C116" s="35" t="s">
        <v>785</v>
      </c>
      <c r="D116" s="36" t="s">
        <v>625</v>
      </c>
      <c r="E116" s="36" t="s">
        <v>1427</v>
      </c>
      <c r="F116" s="35">
        <v>2011</v>
      </c>
      <c r="G116" s="35" t="s">
        <v>1357</v>
      </c>
      <c r="H116" s="35" t="s">
        <v>1390</v>
      </c>
      <c r="I116" s="36" t="s">
        <v>1385</v>
      </c>
      <c r="J116" s="35" t="s">
        <v>1391</v>
      </c>
      <c r="K116" s="37">
        <v>3.8</v>
      </c>
      <c r="L116" s="37">
        <v>3</v>
      </c>
      <c r="M116" s="37">
        <v>2.4</v>
      </c>
      <c r="N116" s="38">
        <f t="shared" si="11"/>
        <v>1.105</v>
      </c>
      <c r="O116" s="39">
        <f t="shared" si="7"/>
        <v>138.99736842105261</v>
      </c>
      <c r="P116" s="39">
        <f t="shared" si="8"/>
        <v>176.0633333333333</v>
      </c>
      <c r="Q116" s="39">
        <f t="shared" si="9"/>
        <v>220.07916666666665</v>
      </c>
      <c r="R116" s="35" t="str">
        <f t="shared" si="10"/>
        <v>Rs./km</v>
      </c>
    </row>
    <row r="117" spans="1:18" ht="15" customHeight="1" x14ac:dyDescent="0.3">
      <c r="A117" s="35">
        <v>105</v>
      </c>
      <c r="B117" s="35" t="s">
        <v>786</v>
      </c>
      <c r="C117" s="35" t="s">
        <v>787</v>
      </c>
      <c r="D117" s="36" t="s">
        <v>625</v>
      </c>
      <c r="E117" s="36" t="s">
        <v>1427</v>
      </c>
      <c r="F117" s="35">
        <v>2011</v>
      </c>
      <c r="G117" s="35" t="s">
        <v>1357</v>
      </c>
      <c r="H117" s="35" t="s">
        <v>1390</v>
      </c>
      <c r="I117" s="36" t="s">
        <v>1385</v>
      </c>
      <c r="J117" s="35" t="s">
        <v>1391</v>
      </c>
      <c r="K117" s="37">
        <v>3.8</v>
      </c>
      <c r="L117" s="37">
        <v>3</v>
      </c>
      <c r="M117" s="37">
        <v>2.4</v>
      </c>
      <c r="N117" s="38">
        <f t="shared" si="11"/>
        <v>1.105</v>
      </c>
      <c r="O117" s="39">
        <f t="shared" si="7"/>
        <v>138.99736842105261</v>
      </c>
      <c r="P117" s="39">
        <f t="shared" si="8"/>
        <v>176.0633333333333</v>
      </c>
      <c r="Q117" s="39">
        <f t="shared" si="9"/>
        <v>220.07916666666665</v>
      </c>
      <c r="R117" s="35" t="str">
        <f t="shared" si="10"/>
        <v>Rs./km</v>
      </c>
    </row>
    <row r="118" spans="1:18" ht="15" customHeight="1" x14ac:dyDescent="0.3">
      <c r="A118" s="35">
        <v>106</v>
      </c>
      <c r="B118" s="35" t="s">
        <v>791</v>
      </c>
      <c r="C118" s="35" t="s">
        <v>792</v>
      </c>
      <c r="D118" s="36" t="s">
        <v>625</v>
      </c>
      <c r="E118" s="36" t="s">
        <v>1428</v>
      </c>
      <c r="F118" s="35">
        <v>2010</v>
      </c>
      <c r="G118" s="35" t="s">
        <v>1357</v>
      </c>
      <c r="H118" s="35" t="s">
        <v>1390</v>
      </c>
      <c r="I118" s="36" t="s">
        <v>1426</v>
      </c>
      <c r="J118" s="35" t="s">
        <v>1391</v>
      </c>
      <c r="K118" s="37">
        <v>2.9</v>
      </c>
      <c r="L118" s="37">
        <v>2.2999999999999998</v>
      </c>
      <c r="M118" s="37">
        <v>1.8</v>
      </c>
      <c r="N118" s="38">
        <f t="shared" si="11"/>
        <v>1.1120000000000001</v>
      </c>
      <c r="O118" s="39">
        <f t="shared" si="7"/>
        <v>183.28827586206899</v>
      </c>
      <c r="P118" s="39">
        <f t="shared" si="8"/>
        <v>231.10260869565221</v>
      </c>
      <c r="Q118" s="39">
        <f t="shared" si="9"/>
        <v>295.29777777777781</v>
      </c>
      <c r="R118" s="35" t="str">
        <f t="shared" si="10"/>
        <v>Rs./km</v>
      </c>
    </row>
    <row r="119" spans="1:18" ht="15" customHeight="1" x14ac:dyDescent="0.3">
      <c r="A119" s="35">
        <v>107</v>
      </c>
      <c r="B119" s="35" t="s">
        <v>793</v>
      </c>
      <c r="C119" s="35" t="s">
        <v>794</v>
      </c>
      <c r="D119" s="36" t="s">
        <v>625</v>
      </c>
      <c r="E119" s="36" t="s">
        <v>1425</v>
      </c>
      <c r="F119" s="35">
        <v>2010</v>
      </c>
      <c r="G119" s="35" t="s">
        <v>1357</v>
      </c>
      <c r="H119" s="35" t="s">
        <v>1390</v>
      </c>
      <c r="I119" s="36" t="s">
        <v>1426</v>
      </c>
      <c r="J119" s="35" t="s">
        <v>1391</v>
      </c>
      <c r="K119" s="37">
        <v>2.9</v>
      </c>
      <c r="L119" s="37">
        <v>2.2999999999999998</v>
      </c>
      <c r="M119" s="37">
        <v>1.8</v>
      </c>
      <c r="N119" s="38">
        <f t="shared" si="11"/>
        <v>1.1120000000000001</v>
      </c>
      <c r="O119" s="39">
        <f t="shared" si="7"/>
        <v>183.28827586206899</v>
      </c>
      <c r="P119" s="39">
        <f t="shared" si="8"/>
        <v>231.10260869565221</v>
      </c>
      <c r="Q119" s="39">
        <f t="shared" si="9"/>
        <v>295.29777777777781</v>
      </c>
      <c r="R119" s="35" t="str">
        <f t="shared" si="10"/>
        <v>Rs./km</v>
      </c>
    </row>
    <row r="120" spans="1:18" ht="15" customHeight="1" x14ac:dyDescent="0.3">
      <c r="A120" s="35">
        <v>108</v>
      </c>
      <c r="B120" s="35" t="s">
        <v>777</v>
      </c>
      <c r="C120" s="35" t="s">
        <v>778</v>
      </c>
      <c r="D120" s="36" t="s">
        <v>625</v>
      </c>
      <c r="E120" s="36" t="s">
        <v>1425</v>
      </c>
      <c r="F120" s="35">
        <v>2011</v>
      </c>
      <c r="G120" s="35" t="s">
        <v>1357</v>
      </c>
      <c r="H120" s="35" t="s">
        <v>1390</v>
      </c>
      <c r="I120" s="36" t="s">
        <v>1426</v>
      </c>
      <c r="J120" s="35" t="s">
        <v>1391</v>
      </c>
      <c r="K120" s="37">
        <v>2.9</v>
      </c>
      <c r="L120" s="37">
        <v>2.2999999999999998</v>
      </c>
      <c r="M120" s="37">
        <v>1.8</v>
      </c>
      <c r="N120" s="38">
        <f t="shared" si="11"/>
        <v>1.105</v>
      </c>
      <c r="O120" s="39">
        <f t="shared" si="7"/>
        <v>182.13448275862066</v>
      </c>
      <c r="P120" s="39">
        <f t="shared" si="8"/>
        <v>229.64782608695651</v>
      </c>
      <c r="Q120" s="39">
        <f t="shared" si="9"/>
        <v>293.43888888888887</v>
      </c>
      <c r="R120" s="35" t="str">
        <f t="shared" si="10"/>
        <v>Rs./km</v>
      </c>
    </row>
    <row r="121" spans="1:18" ht="15" customHeight="1" x14ac:dyDescent="0.3">
      <c r="A121" s="35">
        <v>109</v>
      </c>
      <c r="B121" s="35" t="s">
        <v>760</v>
      </c>
      <c r="C121" s="35" t="s">
        <v>761</v>
      </c>
      <c r="D121" s="36" t="s">
        <v>625</v>
      </c>
      <c r="E121" s="36" t="s">
        <v>1425</v>
      </c>
      <c r="F121" s="35">
        <v>2012</v>
      </c>
      <c r="G121" s="35" t="s">
        <v>1357</v>
      </c>
      <c r="H121" s="35" t="s">
        <v>1390</v>
      </c>
      <c r="I121" s="36" t="s">
        <v>1426</v>
      </c>
      <c r="J121" s="35" t="s">
        <v>1391</v>
      </c>
      <c r="K121" s="37">
        <v>2.9</v>
      </c>
      <c r="L121" s="37">
        <v>2.2999999999999998</v>
      </c>
      <c r="M121" s="37">
        <v>1.8</v>
      </c>
      <c r="N121" s="38">
        <f t="shared" si="11"/>
        <v>1.0980000000000001</v>
      </c>
      <c r="O121" s="39">
        <f t="shared" si="7"/>
        <v>180.98068965517243</v>
      </c>
      <c r="P121" s="39">
        <f t="shared" si="8"/>
        <v>228.1930434782609</v>
      </c>
      <c r="Q121" s="39">
        <f t="shared" si="9"/>
        <v>291.58000000000004</v>
      </c>
      <c r="R121" s="35" t="str">
        <f t="shared" si="10"/>
        <v>Rs./km</v>
      </c>
    </row>
    <row r="122" spans="1:18" ht="15" customHeight="1" x14ac:dyDescent="0.3">
      <c r="A122" s="35">
        <v>110</v>
      </c>
      <c r="B122" s="35" t="s">
        <v>762</v>
      </c>
      <c r="C122" s="35" t="s">
        <v>763</v>
      </c>
      <c r="D122" s="36" t="s">
        <v>625</v>
      </c>
      <c r="E122" s="36" t="s">
        <v>1416</v>
      </c>
      <c r="F122" s="35">
        <v>2012</v>
      </c>
      <c r="G122" s="35" t="s">
        <v>1357</v>
      </c>
      <c r="H122" s="35" t="s">
        <v>1390</v>
      </c>
      <c r="I122" s="36" t="s">
        <v>1417</v>
      </c>
      <c r="J122" s="35" t="s">
        <v>1391</v>
      </c>
      <c r="K122" s="37">
        <v>3.8</v>
      </c>
      <c r="L122" s="37">
        <v>3</v>
      </c>
      <c r="M122" s="37">
        <v>2.4</v>
      </c>
      <c r="N122" s="38">
        <f t="shared" si="11"/>
        <v>1.0980000000000001</v>
      </c>
      <c r="O122" s="39">
        <f t="shared" si="7"/>
        <v>138.11684210526317</v>
      </c>
      <c r="P122" s="39">
        <f t="shared" si="8"/>
        <v>174.94800000000001</v>
      </c>
      <c r="Q122" s="39">
        <f t="shared" si="9"/>
        <v>218.68500000000003</v>
      </c>
      <c r="R122" s="35" t="str">
        <f t="shared" si="10"/>
        <v>Rs./km</v>
      </c>
    </row>
    <row r="123" spans="1:18" ht="15" customHeight="1" x14ac:dyDescent="0.3">
      <c r="A123" s="35">
        <v>111</v>
      </c>
      <c r="B123" s="35" t="s">
        <v>747</v>
      </c>
      <c r="C123" s="35" t="s">
        <v>748</v>
      </c>
      <c r="D123" s="36" t="s">
        <v>625</v>
      </c>
      <c r="E123" s="36" t="s">
        <v>1429</v>
      </c>
      <c r="F123" s="35">
        <v>2013</v>
      </c>
      <c r="G123" s="35" t="s">
        <v>1357</v>
      </c>
      <c r="H123" s="35" t="s">
        <v>1390</v>
      </c>
      <c r="I123" s="36" t="s">
        <v>1419</v>
      </c>
      <c r="J123" s="35" t="s">
        <v>1391</v>
      </c>
      <c r="K123" s="37">
        <v>6.4</v>
      </c>
      <c r="L123" s="37">
        <v>5</v>
      </c>
      <c r="M123" s="37">
        <v>4</v>
      </c>
      <c r="N123" s="38">
        <f t="shared" si="11"/>
        <v>1.091</v>
      </c>
      <c r="O123" s="39">
        <f t="shared" si="7"/>
        <v>81.484062499999979</v>
      </c>
      <c r="P123" s="39">
        <f t="shared" si="8"/>
        <v>104.29959999999998</v>
      </c>
      <c r="Q123" s="39">
        <f t="shared" si="9"/>
        <v>130.37449999999998</v>
      </c>
      <c r="R123" s="35" t="str">
        <f t="shared" si="10"/>
        <v>Rs./km</v>
      </c>
    </row>
    <row r="124" spans="1:18" ht="15" customHeight="1" x14ac:dyDescent="0.3">
      <c r="A124" s="35">
        <v>112</v>
      </c>
      <c r="B124" s="35" t="s">
        <v>771</v>
      </c>
      <c r="C124" s="35" t="s">
        <v>772</v>
      </c>
      <c r="D124" s="36" t="s">
        <v>625</v>
      </c>
      <c r="E124" s="36" t="s">
        <v>1421</v>
      </c>
      <c r="F124" s="35">
        <v>2012</v>
      </c>
      <c r="G124" s="35" t="s">
        <v>1357</v>
      </c>
      <c r="H124" s="35" t="s">
        <v>1390</v>
      </c>
      <c r="I124" s="36" t="s">
        <v>1385</v>
      </c>
      <c r="J124" s="35" t="s">
        <v>1391</v>
      </c>
      <c r="K124" s="37">
        <v>3.8</v>
      </c>
      <c r="L124" s="37">
        <v>3</v>
      </c>
      <c r="M124" s="37">
        <v>2.4</v>
      </c>
      <c r="N124" s="38">
        <f t="shared" si="11"/>
        <v>1.0980000000000001</v>
      </c>
      <c r="O124" s="39">
        <f t="shared" si="7"/>
        <v>138.11684210526317</v>
      </c>
      <c r="P124" s="39">
        <f t="shared" si="8"/>
        <v>174.94800000000001</v>
      </c>
      <c r="Q124" s="39">
        <f t="shared" si="9"/>
        <v>218.68500000000003</v>
      </c>
      <c r="R124" s="35" t="str">
        <f t="shared" si="10"/>
        <v>Rs./km</v>
      </c>
    </row>
    <row r="125" spans="1:18" ht="15" customHeight="1" x14ac:dyDescent="0.3">
      <c r="A125" s="35">
        <v>113</v>
      </c>
      <c r="B125" s="35" t="s">
        <v>773</v>
      </c>
      <c r="C125" s="35" t="s">
        <v>774</v>
      </c>
      <c r="D125" s="36" t="s">
        <v>625</v>
      </c>
      <c r="E125" s="36" t="s">
        <v>1422</v>
      </c>
      <c r="F125" s="35">
        <v>2012</v>
      </c>
      <c r="G125" s="35" t="s">
        <v>1357</v>
      </c>
      <c r="H125" s="35" t="s">
        <v>1390</v>
      </c>
      <c r="I125" s="36" t="s">
        <v>1385</v>
      </c>
      <c r="J125" s="35" t="s">
        <v>1391</v>
      </c>
      <c r="K125" s="37">
        <v>3.8</v>
      </c>
      <c r="L125" s="37">
        <v>3</v>
      </c>
      <c r="M125" s="37">
        <v>2.4</v>
      </c>
      <c r="N125" s="38">
        <f t="shared" si="11"/>
        <v>1.0980000000000001</v>
      </c>
      <c r="O125" s="39">
        <f t="shared" si="7"/>
        <v>138.11684210526317</v>
      </c>
      <c r="P125" s="39">
        <f t="shared" si="8"/>
        <v>174.94800000000001</v>
      </c>
      <c r="Q125" s="39">
        <f t="shared" si="9"/>
        <v>218.68500000000003</v>
      </c>
      <c r="R125" s="35" t="str">
        <f t="shared" si="10"/>
        <v>Rs./km</v>
      </c>
    </row>
    <row r="126" spans="1:18" ht="15" customHeight="1" x14ac:dyDescent="0.3">
      <c r="A126" s="35">
        <v>114</v>
      </c>
      <c r="B126" s="35" t="s">
        <v>775</v>
      </c>
      <c r="C126" s="35" t="s">
        <v>776</v>
      </c>
      <c r="D126" s="36" t="s">
        <v>625</v>
      </c>
      <c r="E126" s="36" t="s">
        <v>1422</v>
      </c>
      <c r="F126" s="35">
        <v>2011</v>
      </c>
      <c r="G126" s="35" t="s">
        <v>1357</v>
      </c>
      <c r="H126" s="35" t="s">
        <v>1390</v>
      </c>
      <c r="I126" s="36" t="s">
        <v>1385</v>
      </c>
      <c r="J126" s="35" t="s">
        <v>1391</v>
      </c>
      <c r="K126" s="37">
        <v>3.8</v>
      </c>
      <c r="L126" s="37">
        <v>3</v>
      </c>
      <c r="M126" s="37">
        <v>2.4</v>
      </c>
      <c r="N126" s="38">
        <f t="shared" si="11"/>
        <v>1.105</v>
      </c>
      <c r="O126" s="39">
        <f t="shared" si="7"/>
        <v>138.99736842105261</v>
      </c>
      <c r="P126" s="39">
        <f t="shared" si="8"/>
        <v>176.0633333333333</v>
      </c>
      <c r="Q126" s="39">
        <f t="shared" si="9"/>
        <v>220.07916666666665</v>
      </c>
      <c r="R126" s="35" t="str">
        <f t="shared" si="10"/>
        <v>Rs./km</v>
      </c>
    </row>
    <row r="127" spans="1:18" ht="15" customHeight="1" x14ac:dyDescent="0.3">
      <c r="A127" s="35">
        <v>115</v>
      </c>
      <c r="B127" s="35" t="s">
        <v>796</v>
      </c>
      <c r="C127" s="35" t="s">
        <v>797</v>
      </c>
      <c r="D127" s="36" t="s">
        <v>625</v>
      </c>
      <c r="E127" s="36" t="s">
        <v>1430</v>
      </c>
      <c r="F127" s="35">
        <v>2007</v>
      </c>
      <c r="G127" s="35" t="s">
        <v>1357</v>
      </c>
      <c r="H127" s="35" t="s">
        <v>1390</v>
      </c>
      <c r="I127" s="36" t="s">
        <v>1431</v>
      </c>
      <c r="J127" s="35" t="s">
        <v>1391</v>
      </c>
      <c r="K127" s="37">
        <v>3.7</v>
      </c>
      <c r="L127" s="37">
        <v>2.9</v>
      </c>
      <c r="M127" s="37">
        <v>2.2999999999999998</v>
      </c>
      <c r="N127" s="38">
        <f t="shared" si="11"/>
        <v>1.133</v>
      </c>
      <c r="O127" s="39">
        <f t="shared" si="7"/>
        <v>146.37135135135134</v>
      </c>
      <c r="P127" s="39">
        <f t="shared" si="8"/>
        <v>186.74965517241378</v>
      </c>
      <c r="Q127" s="39">
        <f t="shared" si="9"/>
        <v>235.46695652173912</v>
      </c>
      <c r="R127" s="35" t="str">
        <f t="shared" si="10"/>
        <v>Rs./km</v>
      </c>
    </row>
    <row r="128" spans="1:18" ht="15" customHeight="1" x14ac:dyDescent="0.3">
      <c r="A128" s="35">
        <v>116</v>
      </c>
      <c r="B128" s="35" t="s">
        <v>724</v>
      </c>
      <c r="C128" s="35" t="s">
        <v>725</v>
      </c>
      <c r="D128" s="36" t="s">
        <v>625</v>
      </c>
      <c r="E128" s="36" t="s">
        <v>1422</v>
      </c>
      <c r="F128" s="35">
        <v>2016</v>
      </c>
      <c r="G128" s="35" t="s">
        <v>1357</v>
      </c>
      <c r="H128" s="35" t="s">
        <v>1390</v>
      </c>
      <c r="I128" s="36" t="s">
        <v>1385</v>
      </c>
      <c r="J128" s="35" t="s">
        <v>1391</v>
      </c>
      <c r="K128" s="37">
        <v>3.8</v>
      </c>
      <c r="L128" s="37">
        <v>3</v>
      </c>
      <c r="M128" s="37">
        <v>2.4</v>
      </c>
      <c r="N128" s="38">
        <f t="shared" si="11"/>
        <v>1.07</v>
      </c>
      <c r="O128" s="39">
        <f t="shared" si="7"/>
        <v>134.59473684210528</v>
      </c>
      <c r="P128" s="39">
        <f t="shared" si="8"/>
        <v>170.48666666666668</v>
      </c>
      <c r="Q128" s="39">
        <f t="shared" si="9"/>
        <v>213.10833333333335</v>
      </c>
      <c r="R128" s="35" t="str">
        <f t="shared" si="10"/>
        <v>Rs./km</v>
      </c>
    </row>
    <row r="129" spans="1:18" ht="15" customHeight="1" x14ac:dyDescent="0.3">
      <c r="A129" s="35">
        <v>117</v>
      </c>
      <c r="B129" s="35" t="s">
        <v>726</v>
      </c>
      <c r="C129" s="35" t="s">
        <v>727</v>
      </c>
      <c r="D129" s="36" t="s">
        <v>625</v>
      </c>
      <c r="E129" s="36" t="s">
        <v>1422</v>
      </c>
      <c r="F129" s="35">
        <v>2016</v>
      </c>
      <c r="G129" s="35" t="s">
        <v>1357</v>
      </c>
      <c r="H129" s="35" t="s">
        <v>1390</v>
      </c>
      <c r="I129" s="36" t="s">
        <v>1385</v>
      </c>
      <c r="J129" s="35" t="s">
        <v>1391</v>
      </c>
      <c r="K129" s="37">
        <v>3.8</v>
      </c>
      <c r="L129" s="37">
        <v>3</v>
      </c>
      <c r="M129" s="37">
        <v>2.4</v>
      </c>
      <c r="N129" s="38">
        <f t="shared" si="11"/>
        <v>1.07</v>
      </c>
      <c r="O129" s="39">
        <f t="shared" si="7"/>
        <v>134.59473684210528</v>
      </c>
      <c r="P129" s="39">
        <f t="shared" si="8"/>
        <v>170.48666666666668</v>
      </c>
      <c r="Q129" s="39">
        <f t="shared" si="9"/>
        <v>213.10833333333335</v>
      </c>
      <c r="R129" s="35" t="str">
        <f t="shared" si="10"/>
        <v>Rs./km</v>
      </c>
    </row>
    <row r="130" spans="1:18" ht="15" customHeight="1" x14ac:dyDescent="0.3">
      <c r="A130" s="35">
        <v>118</v>
      </c>
      <c r="B130" s="35" t="s">
        <v>728</v>
      </c>
      <c r="C130" s="35" t="s">
        <v>729</v>
      </c>
      <c r="D130" s="36" t="s">
        <v>625</v>
      </c>
      <c r="E130" s="36" t="s">
        <v>1422</v>
      </c>
      <c r="F130" s="35">
        <v>2016</v>
      </c>
      <c r="G130" s="35" t="s">
        <v>1357</v>
      </c>
      <c r="H130" s="35" t="s">
        <v>1390</v>
      </c>
      <c r="I130" s="36" t="s">
        <v>1385</v>
      </c>
      <c r="J130" s="35" t="s">
        <v>1391</v>
      </c>
      <c r="K130" s="37">
        <v>3.8</v>
      </c>
      <c r="L130" s="37">
        <v>3</v>
      </c>
      <c r="M130" s="37">
        <v>2.4</v>
      </c>
      <c r="N130" s="38">
        <f t="shared" ref="N130:N161" si="12">1+MIN(MAX($D$8-F130,0),$D$10)*$D$9</f>
        <v>1.07</v>
      </c>
      <c r="O130" s="39">
        <f t="shared" si="7"/>
        <v>134.59473684210528</v>
      </c>
      <c r="P130" s="39">
        <f t="shared" si="8"/>
        <v>170.48666666666668</v>
      </c>
      <c r="Q130" s="39">
        <f t="shared" si="9"/>
        <v>213.10833333333335</v>
      </c>
      <c r="R130" s="35" t="str">
        <f t="shared" si="10"/>
        <v>Rs./km</v>
      </c>
    </row>
    <row r="131" spans="1:18" ht="15" customHeight="1" x14ac:dyDescent="0.3">
      <c r="A131" s="35">
        <v>119</v>
      </c>
      <c r="B131" s="35" t="s">
        <v>730</v>
      </c>
      <c r="C131" s="35" t="s">
        <v>731</v>
      </c>
      <c r="D131" s="36" t="s">
        <v>625</v>
      </c>
      <c r="E131" s="36" t="s">
        <v>1422</v>
      </c>
      <c r="F131" s="35">
        <v>2016</v>
      </c>
      <c r="G131" s="35" t="s">
        <v>1357</v>
      </c>
      <c r="H131" s="35" t="s">
        <v>1390</v>
      </c>
      <c r="I131" s="36" t="s">
        <v>1385</v>
      </c>
      <c r="J131" s="35" t="s">
        <v>1391</v>
      </c>
      <c r="K131" s="37">
        <v>3.8</v>
      </c>
      <c r="L131" s="37">
        <v>3</v>
      </c>
      <c r="M131" s="37">
        <v>2.4</v>
      </c>
      <c r="N131" s="38">
        <f t="shared" si="12"/>
        <v>1.07</v>
      </c>
      <c r="O131" s="39">
        <f t="shared" si="7"/>
        <v>134.59473684210528</v>
      </c>
      <c r="P131" s="39">
        <f t="shared" si="8"/>
        <v>170.48666666666668</v>
      </c>
      <c r="Q131" s="39">
        <f t="shared" si="9"/>
        <v>213.10833333333335</v>
      </c>
      <c r="R131" s="35" t="str">
        <f t="shared" si="10"/>
        <v>Rs./km</v>
      </c>
    </row>
    <row r="132" spans="1:18" ht="15" customHeight="1" x14ac:dyDescent="0.3">
      <c r="A132" s="35">
        <v>120</v>
      </c>
      <c r="B132" s="35" t="s">
        <v>732</v>
      </c>
      <c r="C132" s="35" t="s">
        <v>733</v>
      </c>
      <c r="D132" s="36" t="s">
        <v>625</v>
      </c>
      <c r="E132" s="36" t="s">
        <v>1422</v>
      </c>
      <c r="F132" s="35">
        <v>2016</v>
      </c>
      <c r="G132" s="35" t="s">
        <v>1357</v>
      </c>
      <c r="H132" s="35" t="s">
        <v>1390</v>
      </c>
      <c r="I132" s="36" t="s">
        <v>1385</v>
      </c>
      <c r="J132" s="35" t="s">
        <v>1391</v>
      </c>
      <c r="K132" s="37">
        <v>3.8</v>
      </c>
      <c r="L132" s="37">
        <v>3</v>
      </c>
      <c r="M132" s="37">
        <v>2.4</v>
      </c>
      <c r="N132" s="38">
        <f t="shared" si="12"/>
        <v>1.07</v>
      </c>
      <c r="O132" s="39">
        <f t="shared" si="7"/>
        <v>134.59473684210528</v>
      </c>
      <c r="P132" s="39">
        <f t="shared" si="8"/>
        <v>170.48666666666668</v>
      </c>
      <c r="Q132" s="39">
        <f t="shared" si="9"/>
        <v>213.10833333333335</v>
      </c>
      <c r="R132" s="35" t="str">
        <f t="shared" si="10"/>
        <v>Rs./km</v>
      </c>
    </row>
    <row r="133" spans="1:18" ht="15" customHeight="1" x14ac:dyDescent="0.3">
      <c r="A133" s="35">
        <v>121</v>
      </c>
      <c r="B133" s="35" t="s">
        <v>734</v>
      </c>
      <c r="C133" s="35" t="s">
        <v>735</v>
      </c>
      <c r="D133" s="36" t="s">
        <v>625</v>
      </c>
      <c r="E133" s="36" t="s">
        <v>1422</v>
      </c>
      <c r="F133" s="35">
        <v>2016</v>
      </c>
      <c r="G133" s="35" t="s">
        <v>1357</v>
      </c>
      <c r="H133" s="35" t="s">
        <v>1390</v>
      </c>
      <c r="I133" s="36" t="s">
        <v>1385</v>
      </c>
      <c r="J133" s="35" t="s">
        <v>1391</v>
      </c>
      <c r="K133" s="37">
        <v>3.8</v>
      </c>
      <c r="L133" s="37">
        <v>3</v>
      </c>
      <c r="M133" s="37">
        <v>2.4</v>
      </c>
      <c r="N133" s="38">
        <f t="shared" si="12"/>
        <v>1.07</v>
      </c>
      <c r="O133" s="39">
        <f t="shared" si="7"/>
        <v>134.59473684210528</v>
      </c>
      <c r="P133" s="39">
        <f t="shared" si="8"/>
        <v>170.48666666666668</v>
      </c>
      <c r="Q133" s="39">
        <f t="shared" si="9"/>
        <v>213.10833333333335</v>
      </c>
      <c r="R133" s="35" t="str">
        <f t="shared" si="10"/>
        <v>Rs./km</v>
      </c>
    </row>
    <row r="134" spans="1:18" ht="15" customHeight="1" x14ac:dyDescent="0.3">
      <c r="A134" s="35">
        <v>122</v>
      </c>
      <c r="B134" s="35" t="s">
        <v>736</v>
      </c>
      <c r="C134" s="35" t="s">
        <v>737</v>
      </c>
      <c r="D134" s="36" t="s">
        <v>625</v>
      </c>
      <c r="E134" s="36" t="s">
        <v>1422</v>
      </c>
      <c r="F134" s="35">
        <v>2016</v>
      </c>
      <c r="G134" s="35" t="s">
        <v>1357</v>
      </c>
      <c r="H134" s="35" t="s">
        <v>1390</v>
      </c>
      <c r="I134" s="36" t="s">
        <v>1385</v>
      </c>
      <c r="J134" s="35" t="s">
        <v>1391</v>
      </c>
      <c r="K134" s="37">
        <v>3.8</v>
      </c>
      <c r="L134" s="37">
        <v>3</v>
      </c>
      <c r="M134" s="37">
        <v>2.4</v>
      </c>
      <c r="N134" s="38">
        <f t="shared" si="12"/>
        <v>1.07</v>
      </c>
      <c r="O134" s="39">
        <f t="shared" si="7"/>
        <v>134.59473684210528</v>
      </c>
      <c r="P134" s="39">
        <f t="shared" si="8"/>
        <v>170.48666666666668</v>
      </c>
      <c r="Q134" s="39">
        <f t="shared" si="9"/>
        <v>213.10833333333335</v>
      </c>
      <c r="R134" s="35" t="str">
        <f t="shared" si="10"/>
        <v>Rs./km</v>
      </c>
    </row>
    <row r="135" spans="1:18" ht="15" customHeight="1" x14ac:dyDescent="0.3">
      <c r="A135" s="35">
        <v>123</v>
      </c>
      <c r="B135" s="35" t="s">
        <v>738</v>
      </c>
      <c r="C135" s="35" t="s">
        <v>739</v>
      </c>
      <c r="D135" s="36" t="s">
        <v>625</v>
      </c>
      <c r="E135" s="36" t="s">
        <v>1422</v>
      </c>
      <c r="F135" s="35">
        <v>2016</v>
      </c>
      <c r="G135" s="35" t="s">
        <v>1357</v>
      </c>
      <c r="H135" s="35" t="s">
        <v>1390</v>
      </c>
      <c r="I135" s="36" t="s">
        <v>1385</v>
      </c>
      <c r="J135" s="35" t="s">
        <v>1391</v>
      </c>
      <c r="K135" s="37">
        <v>3.8</v>
      </c>
      <c r="L135" s="37">
        <v>3</v>
      </c>
      <c r="M135" s="37">
        <v>2.4</v>
      </c>
      <c r="N135" s="38">
        <f t="shared" si="12"/>
        <v>1.07</v>
      </c>
      <c r="O135" s="39">
        <f t="shared" si="7"/>
        <v>134.59473684210528</v>
      </c>
      <c r="P135" s="39">
        <f t="shared" si="8"/>
        <v>170.48666666666668</v>
      </c>
      <c r="Q135" s="39">
        <f t="shared" si="9"/>
        <v>213.10833333333335</v>
      </c>
      <c r="R135" s="35" t="str">
        <f t="shared" si="10"/>
        <v>Rs./km</v>
      </c>
    </row>
    <row r="136" spans="1:18" ht="15" customHeight="1" x14ac:dyDescent="0.3">
      <c r="A136" s="35">
        <v>124</v>
      </c>
      <c r="B136" s="35" t="s">
        <v>717</v>
      </c>
      <c r="C136" s="35" t="s">
        <v>718</v>
      </c>
      <c r="D136" s="36" t="s">
        <v>625</v>
      </c>
      <c r="E136" s="36" t="s">
        <v>1432</v>
      </c>
      <c r="F136" s="35">
        <v>2017</v>
      </c>
      <c r="G136" s="35" t="s">
        <v>1357</v>
      </c>
      <c r="H136" s="35" t="s">
        <v>1390</v>
      </c>
      <c r="I136" s="36" t="s">
        <v>1433</v>
      </c>
      <c r="J136" s="35" t="s">
        <v>1391</v>
      </c>
      <c r="K136" s="37">
        <v>4.5999999999999996</v>
      </c>
      <c r="L136" s="37">
        <v>3.6</v>
      </c>
      <c r="M136" s="37">
        <v>2.9</v>
      </c>
      <c r="N136" s="38">
        <f t="shared" si="12"/>
        <v>1.0629999999999999</v>
      </c>
      <c r="O136" s="39">
        <f t="shared" si="7"/>
        <v>110.4595652173913</v>
      </c>
      <c r="P136" s="39">
        <f t="shared" si="8"/>
        <v>141.14277777777778</v>
      </c>
      <c r="Q136" s="39">
        <f t="shared" si="9"/>
        <v>175.21172413793104</v>
      </c>
      <c r="R136" s="35" t="str">
        <f t="shared" si="10"/>
        <v>Rs./km</v>
      </c>
    </row>
    <row r="137" spans="1:18" ht="23.85" customHeight="1" x14ac:dyDescent="0.3">
      <c r="A137" s="35">
        <v>125</v>
      </c>
      <c r="B137" s="35" t="s">
        <v>806</v>
      </c>
      <c r="C137" s="35" t="s">
        <v>807</v>
      </c>
      <c r="D137" s="36" t="s">
        <v>625</v>
      </c>
      <c r="E137" s="36" t="s">
        <v>1420</v>
      </c>
      <c r="F137" s="35">
        <v>2003</v>
      </c>
      <c r="G137" s="35" t="s">
        <v>1357</v>
      </c>
      <c r="H137" s="35" t="s">
        <v>1390</v>
      </c>
      <c r="I137" s="36" t="s">
        <v>1385</v>
      </c>
      <c r="J137" s="35" t="s">
        <v>1391</v>
      </c>
      <c r="K137" s="37">
        <v>3.8</v>
      </c>
      <c r="L137" s="37">
        <v>3</v>
      </c>
      <c r="M137" s="37">
        <v>2.4</v>
      </c>
      <c r="N137" s="38">
        <f t="shared" si="12"/>
        <v>1.161</v>
      </c>
      <c r="O137" s="39">
        <f t="shared" si="7"/>
        <v>146.04157894736841</v>
      </c>
      <c r="P137" s="39">
        <f t="shared" si="8"/>
        <v>184.98599999999999</v>
      </c>
      <c r="Q137" s="39">
        <f t="shared" si="9"/>
        <v>231.23249999999999</v>
      </c>
      <c r="R137" s="35" t="str">
        <f t="shared" si="10"/>
        <v>Rs./km</v>
      </c>
    </row>
    <row r="138" spans="1:18" ht="15" customHeight="1" x14ac:dyDescent="0.3">
      <c r="A138" s="35">
        <v>126</v>
      </c>
      <c r="B138" s="35" t="s">
        <v>677</v>
      </c>
      <c r="C138" s="35" t="s">
        <v>678</v>
      </c>
      <c r="D138" s="36" t="s">
        <v>625</v>
      </c>
      <c r="E138" s="36" t="s">
        <v>1434</v>
      </c>
      <c r="F138" s="35">
        <v>2018</v>
      </c>
      <c r="G138" s="35" t="s">
        <v>1357</v>
      </c>
      <c r="H138" s="35" t="s">
        <v>1390</v>
      </c>
      <c r="I138" s="36" t="s">
        <v>1385</v>
      </c>
      <c r="J138" s="35" t="s">
        <v>1391</v>
      </c>
      <c r="K138" s="37">
        <v>3.8</v>
      </c>
      <c r="L138" s="37">
        <v>3</v>
      </c>
      <c r="M138" s="37">
        <v>2.4</v>
      </c>
      <c r="N138" s="38">
        <f t="shared" si="12"/>
        <v>1.056</v>
      </c>
      <c r="O138" s="39">
        <f t="shared" si="7"/>
        <v>132.83368421052634</v>
      </c>
      <c r="P138" s="39">
        <f t="shared" si="8"/>
        <v>168.256</v>
      </c>
      <c r="Q138" s="39">
        <f t="shared" si="9"/>
        <v>210.32000000000002</v>
      </c>
      <c r="R138" s="35" t="str">
        <f t="shared" si="10"/>
        <v>Rs./km</v>
      </c>
    </row>
    <row r="139" spans="1:18" ht="15" customHeight="1" x14ac:dyDescent="0.3">
      <c r="A139" s="35">
        <v>127</v>
      </c>
      <c r="B139" s="35" t="s">
        <v>679</v>
      </c>
      <c r="C139" s="35" t="s">
        <v>680</v>
      </c>
      <c r="D139" s="36" t="s">
        <v>625</v>
      </c>
      <c r="E139" s="36" t="s">
        <v>1422</v>
      </c>
      <c r="F139" s="35">
        <v>2018</v>
      </c>
      <c r="G139" s="35" t="s">
        <v>1357</v>
      </c>
      <c r="H139" s="35" t="s">
        <v>1390</v>
      </c>
      <c r="I139" s="36" t="s">
        <v>1385</v>
      </c>
      <c r="J139" s="35" t="s">
        <v>1391</v>
      </c>
      <c r="K139" s="37">
        <v>3.8</v>
      </c>
      <c r="L139" s="37">
        <v>3</v>
      </c>
      <c r="M139" s="37">
        <v>2.4</v>
      </c>
      <c r="N139" s="38">
        <f t="shared" si="12"/>
        <v>1.056</v>
      </c>
      <c r="O139" s="39">
        <f t="shared" si="7"/>
        <v>132.83368421052634</v>
      </c>
      <c r="P139" s="39">
        <f t="shared" si="8"/>
        <v>168.256</v>
      </c>
      <c r="Q139" s="39">
        <f t="shared" si="9"/>
        <v>210.32000000000002</v>
      </c>
      <c r="R139" s="35" t="str">
        <f t="shared" si="10"/>
        <v>Rs./km</v>
      </c>
    </row>
    <row r="140" spans="1:18" ht="15" customHeight="1" x14ac:dyDescent="0.3">
      <c r="A140" s="35">
        <v>128</v>
      </c>
      <c r="B140" s="35" t="s">
        <v>681</v>
      </c>
      <c r="C140" s="35" t="s">
        <v>682</v>
      </c>
      <c r="D140" s="36" t="s">
        <v>625</v>
      </c>
      <c r="E140" s="36" t="s">
        <v>1422</v>
      </c>
      <c r="F140" s="35">
        <v>2018</v>
      </c>
      <c r="G140" s="35" t="s">
        <v>1357</v>
      </c>
      <c r="H140" s="35" t="s">
        <v>1390</v>
      </c>
      <c r="I140" s="36" t="s">
        <v>1385</v>
      </c>
      <c r="J140" s="35" t="s">
        <v>1391</v>
      </c>
      <c r="K140" s="37">
        <v>3.8</v>
      </c>
      <c r="L140" s="37">
        <v>3</v>
      </c>
      <c r="M140" s="37">
        <v>2.4</v>
      </c>
      <c r="N140" s="38">
        <f t="shared" si="12"/>
        <v>1.056</v>
      </c>
      <c r="O140" s="39">
        <f t="shared" si="7"/>
        <v>132.83368421052634</v>
      </c>
      <c r="P140" s="39">
        <f t="shared" si="8"/>
        <v>168.256</v>
      </c>
      <c r="Q140" s="39">
        <f t="shared" si="9"/>
        <v>210.32000000000002</v>
      </c>
      <c r="R140" s="35" t="str">
        <f t="shared" si="10"/>
        <v>Rs./km</v>
      </c>
    </row>
    <row r="141" spans="1:18" ht="15" customHeight="1" x14ac:dyDescent="0.3">
      <c r="A141" s="35">
        <v>129</v>
      </c>
      <c r="B141" s="35" t="s">
        <v>683</v>
      </c>
      <c r="C141" s="35" t="s">
        <v>684</v>
      </c>
      <c r="D141" s="36" t="s">
        <v>625</v>
      </c>
      <c r="E141" s="36" t="s">
        <v>1422</v>
      </c>
      <c r="F141" s="35">
        <v>2018</v>
      </c>
      <c r="G141" s="35" t="s">
        <v>1357</v>
      </c>
      <c r="H141" s="35" t="s">
        <v>1390</v>
      </c>
      <c r="I141" s="36" t="s">
        <v>1385</v>
      </c>
      <c r="J141" s="35" t="s">
        <v>1391</v>
      </c>
      <c r="K141" s="37">
        <v>3.8</v>
      </c>
      <c r="L141" s="37">
        <v>3</v>
      </c>
      <c r="M141" s="37">
        <v>2.4</v>
      </c>
      <c r="N141" s="38">
        <f t="shared" si="12"/>
        <v>1.056</v>
      </c>
      <c r="O141" s="39">
        <f t="shared" ref="O141:O204" si="13">IF(H141="None",0,IF(H141="KM",IF(G141="Petrol",$D$6,$D$5)*N141/K141,K141*N141*IF(G141="Petrol",$D$6,$D$5)))</f>
        <v>132.83368421052634</v>
      </c>
      <c r="P141" s="39">
        <f t="shared" ref="P141:P204" si="14">IF(H141="None",0,IF(H141="KM",IF(G141="Petrol",$D$6,$D$5)*N141/L141,L141*N141*IF(G141="Petrol",$D$6,$D$5)))</f>
        <v>168.256</v>
      </c>
      <c r="Q141" s="39">
        <f t="shared" ref="Q141:Q204" si="15">IF(H141="None",0,IF(H141="KM",IF(G141="Petrol",$D$6,$D$5)*N141/M141,M141*N141*IF(G141="Petrol",$D$6,$D$5)))</f>
        <v>210.32000000000002</v>
      </c>
      <c r="R141" s="35" t="str">
        <f t="shared" ref="R141:R204" si="16">IF(H141="None","—",IF(H141="KM","Rs./km","Rs./hr"))</f>
        <v>Rs./km</v>
      </c>
    </row>
    <row r="142" spans="1:18" ht="15" customHeight="1" x14ac:dyDescent="0.3">
      <c r="A142" s="35">
        <v>130</v>
      </c>
      <c r="B142" s="35" t="s">
        <v>685</v>
      </c>
      <c r="C142" s="35" t="s">
        <v>686</v>
      </c>
      <c r="D142" s="36" t="s">
        <v>625</v>
      </c>
      <c r="E142" s="36" t="s">
        <v>1422</v>
      </c>
      <c r="F142" s="35">
        <v>2018</v>
      </c>
      <c r="G142" s="35" t="s">
        <v>1357</v>
      </c>
      <c r="H142" s="35" t="s">
        <v>1390</v>
      </c>
      <c r="I142" s="36" t="s">
        <v>1385</v>
      </c>
      <c r="J142" s="35" t="s">
        <v>1391</v>
      </c>
      <c r="K142" s="37">
        <v>3.8</v>
      </c>
      <c r="L142" s="37">
        <v>3</v>
      </c>
      <c r="M142" s="37">
        <v>2.4</v>
      </c>
      <c r="N142" s="38">
        <f t="shared" si="12"/>
        <v>1.056</v>
      </c>
      <c r="O142" s="39">
        <f t="shared" si="13"/>
        <v>132.83368421052634</v>
      </c>
      <c r="P142" s="39">
        <f t="shared" si="14"/>
        <v>168.256</v>
      </c>
      <c r="Q142" s="39">
        <f t="shared" si="15"/>
        <v>210.32000000000002</v>
      </c>
      <c r="R142" s="35" t="str">
        <f t="shared" si="16"/>
        <v>Rs./km</v>
      </c>
    </row>
    <row r="143" spans="1:18" ht="15" customHeight="1" x14ac:dyDescent="0.3">
      <c r="A143" s="35">
        <v>131</v>
      </c>
      <c r="B143" s="35" t="s">
        <v>708</v>
      </c>
      <c r="C143" s="35" t="s">
        <v>709</v>
      </c>
      <c r="D143" s="36" t="s">
        <v>625</v>
      </c>
      <c r="E143" s="36" t="s">
        <v>1435</v>
      </c>
      <c r="F143" s="35">
        <v>2016</v>
      </c>
      <c r="G143" s="35" t="s">
        <v>1357</v>
      </c>
      <c r="H143" s="35" t="s">
        <v>1390</v>
      </c>
      <c r="I143" s="36" t="s">
        <v>1385</v>
      </c>
      <c r="J143" s="35" t="s">
        <v>1391</v>
      </c>
      <c r="K143" s="37">
        <v>3.8</v>
      </c>
      <c r="L143" s="37">
        <v>3</v>
      </c>
      <c r="M143" s="37">
        <v>2.4</v>
      </c>
      <c r="N143" s="38">
        <f t="shared" si="12"/>
        <v>1.07</v>
      </c>
      <c r="O143" s="39">
        <f t="shared" si="13"/>
        <v>134.59473684210528</v>
      </c>
      <c r="P143" s="39">
        <f t="shared" si="14"/>
        <v>170.48666666666668</v>
      </c>
      <c r="Q143" s="39">
        <f t="shared" si="15"/>
        <v>213.10833333333335</v>
      </c>
      <c r="R143" s="35" t="str">
        <f t="shared" si="16"/>
        <v>Rs./km</v>
      </c>
    </row>
    <row r="144" spans="1:18" ht="15" customHeight="1" x14ac:dyDescent="0.3">
      <c r="A144" s="35">
        <v>132</v>
      </c>
      <c r="B144" s="35" t="s">
        <v>687</v>
      </c>
      <c r="C144" s="35" t="s">
        <v>688</v>
      </c>
      <c r="D144" s="36" t="s">
        <v>625</v>
      </c>
      <c r="E144" s="36" t="s">
        <v>1435</v>
      </c>
      <c r="F144" s="35">
        <v>2018</v>
      </c>
      <c r="G144" s="35" t="s">
        <v>1357</v>
      </c>
      <c r="H144" s="35" t="s">
        <v>1390</v>
      </c>
      <c r="I144" s="36" t="s">
        <v>1385</v>
      </c>
      <c r="J144" s="35" t="s">
        <v>1391</v>
      </c>
      <c r="K144" s="37">
        <v>3.8</v>
      </c>
      <c r="L144" s="37">
        <v>3</v>
      </c>
      <c r="M144" s="37">
        <v>2.4</v>
      </c>
      <c r="N144" s="38">
        <f t="shared" si="12"/>
        <v>1.056</v>
      </c>
      <c r="O144" s="39">
        <f t="shared" si="13"/>
        <v>132.83368421052634</v>
      </c>
      <c r="P144" s="39">
        <f t="shared" si="14"/>
        <v>168.256</v>
      </c>
      <c r="Q144" s="39">
        <f t="shared" si="15"/>
        <v>210.32000000000002</v>
      </c>
      <c r="R144" s="35" t="str">
        <f t="shared" si="16"/>
        <v>Rs./km</v>
      </c>
    </row>
    <row r="145" spans="1:18" ht="15" customHeight="1" x14ac:dyDescent="0.3">
      <c r="A145" s="35">
        <v>133</v>
      </c>
      <c r="B145" s="35" t="s">
        <v>710</v>
      </c>
      <c r="C145" s="35" t="s">
        <v>711</v>
      </c>
      <c r="D145" s="36" t="s">
        <v>625</v>
      </c>
      <c r="E145" s="36" t="s">
        <v>1422</v>
      </c>
      <c r="F145" s="35">
        <v>2016</v>
      </c>
      <c r="G145" s="35" t="s">
        <v>1357</v>
      </c>
      <c r="H145" s="35" t="s">
        <v>1390</v>
      </c>
      <c r="I145" s="36" t="s">
        <v>1385</v>
      </c>
      <c r="J145" s="35" t="s">
        <v>1391</v>
      </c>
      <c r="K145" s="37">
        <v>3.8</v>
      </c>
      <c r="L145" s="37">
        <v>3</v>
      </c>
      <c r="M145" s="37">
        <v>2.4</v>
      </c>
      <c r="N145" s="38">
        <f t="shared" si="12"/>
        <v>1.07</v>
      </c>
      <c r="O145" s="39">
        <f t="shared" si="13"/>
        <v>134.59473684210528</v>
      </c>
      <c r="P145" s="39">
        <f t="shared" si="14"/>
        <v>170.48666666666668</v>
      </c>
      <c r="Q145" s="39">
        <f t="shared" si="15"/>
        <v>213.10833333333335</v>
      </c>
      <c r="R145" s="35" t="str">
        <f t="shared" si="16"/>
        <v>Rs./km</v>
      </c>
    </row>
    <row r="146" spans="1:18" ht="15" customHeight="1" x14ac:dyDescent="0.3">
      <c r="A146" s="35">
        <v>134</v>
      </c>
      <c r="B146" s="35" t="s">
        <v>712</v>
      </c>
      <c r="C146" s="35" t="s">
        <v>713</v>
      </c>
      <c r="D146" s="36" t="s">
        <v>625</v>
      </c>
      <c r="E146" s="36" t="s">
        <v>1422</v>
      </c>
      <c r="F146" s="35">
        <v>2016</v>
      </c>
      <c r="G146" s="35" t="s">
        <v>1357</v>
      </c>
      <c r="H146" s="35" t="s">
        <v>1390</v>
      </c>
      <c r="I146" s="36" t="s">
        <v>1385</v>
      </c>
      <c r="J146" s="35" t="s">
        <v>1391</v>
      </c>
      <c r="K146" s="37">
        <v>3.8</v>
      </c>
      <c r="L146" s="37">
        <v>3</v>
      </c>
      <c r="M146" s="37">
        <v>2.4</v>
      </c>
      <c r="N146" s="38">
        <f t="shared" si="12"/>
        <v>1.07</v>
      </c>
      <c r="O146" s="39">
        <f t="shared" si="13"/>
        <v>134.59473684210528</v>
      </c>
      <c r="P146" s="39">
        <f t="shared" si="14"/>
        <v>170.48666666666668</v>
      </c>
      <c r="Q146" s="39">
        <f t="shared" si="15"/>
        <v>213.10833333333335</v>
      </c>
      <c r="R146" s="35" t="str">
        <f t="shared" si="16"/>
        <v>Rs./km</v>
      </c>
    </row>
    <row r="147" spans="1:18" ht="15" customHeight="1" x14ac:dyDescent="0.3">
      <c r="A147" s="35">
        <v>135</v>
      </c>
      <c r="B147" s="35" t="s">
        <v>689</v>
      </c>
      <c r="C147" s="35" t="s">
        <v>690</v>
      </c>
      <c r="D147" s="36" t="s">
        <v>625</v>
      </c>
      <c r="E147" s="36" t="s">
        <v>1422</v>
      </c>
      <c r="F147" s="35">
        <v>2018</v>
      </c>
      <c r="G147" s="35" t="s">
        <v>1357</v>
      </c>
      <c r="H147" s="35" t="s">
        <v>1390</v>
      </c>
      <c r="I147" s="36" t="s">
        <v>1385</v>
      </c>
      <c r="J147" s="35" t="s">
        <v>1391</v>
      </c>
      <c r="K147" s="37">
        <v>3.8</v>
      </c>
      <c r="L147" s="37">
        <v>3</v>
      </c>
      <c r="M147" s="37">
        <v>2.4</v>
      </c>
      <c r="N147" s="38">
        <f t="shared" si="12"/>
        <v>1.056</v>
      </c>
      <c r="O147" s="39">
        <f t="shared" si="13"/>
        <v>132.83368421052634</v>
      </c>
      <c r="P147" s="39">
        <f t="shared" si="14"/>
        <v>168.256</v>
      </c>
      <c r="Q147" s="39">
        <f t="shared" si="15"/>
        <v>210.32000000000002</v>
      </c>
      <c r="R147" s="35" t="str">
        <f t="shared" si="16"/>
        <v>Rs./km</v>
      </c>
    </row>
    <row r="148" spans="1:18" ht="15" customHeight="1" x14ac:dyDescent="0.3">
      <c r="A148" s="35">
        <v>136</v>
      </c>
      <c r="B148" s="35" t="s">
        <v>788</v>
      </c>
      <c r="C148" s="35" t="s">
        <v>789</v>
      </c>
      <c r="D148" s="36" t="s">
        <v>625</v>
      </c>
      <c r="E148" s="36" t="s">
        <v>1436</v>
      </c>
      <c r="F148" s="35">
        <v>2005</v>
      </c>
      <c r="G148" s="35" t="s">
        <v>1357</v>
      </c>
      <c r="H148" s="35" t="s">
        <v>1390</v>
      </c>
      <c r="I148" s="36" t="s">
        <v>1385</v>
      </c>
      <c r="J148" s="35" t="s">
        <v>1391</v>
      </c>
      <c r="K148" s="37">
        <v>3.8</v>
      </c>
      <c r="L148" s="37">
        <v>3</v>
      </c>
      <c r="M148" s="37">
        <v>2.4</v>
      </c>
      <c r="N148" s="38">
        <f t="shared" si="12"/>
        <v>1.147</v>
      </c>
      <c r="O148" s="39">
        <f t="shared" si="13"/>
        <v>144.28052631578947</v>
      </c>
      <c r="P148" s="39">
        <f t="shared" si="14"/>
        <v>182.75533333333331</v>
      </c>
      <c r="Q148" s="39">
        <f t="shared" si="15"/>
        <v>228.44416666666666</v>
      </c>
      <c r="R148" s="35" t="str">
        <f t="shared" si="16"/>
        <v>Rs./km</v>
      </c>
    </row>
    <row r="149" spans="1:18" ht="15" customHeight="1" x14ac:dyDescent="0.3">
      <c r="A149" s="35">
        <v>137</v>
      </c>
      <c r="B149" s="35" t="s">
        <v>691</v>
      </c>
      <c r="C149" s="35" t="s">
        <v>692</v>
      </c>
      <c r="D149" s="36" t="s">
        <v>625</v>
      </c>
      <c r="E149" s="36" t="s">
        <v>1422</v>
      </c>
      <c r="F149" s="35">
        <v>2018</v>
      </c>
      <c r="G149" s="35" t="s">
        <v>1357</v>
      </c>
      <c r="H149" s="35" t="s">
        <v>1390</v>
      </c>
      <c r="I149" s="36" t="s">
        <v>1385</v>
      </c>
      <c r="J149" s="35" t="s">
        <v>1391</v>
      </c>
      <c r="K149" s="37">
        <v>3.8</v>
      </c>
      <c r="L149" s="37">
        <v>3</v>
      </c>
      <c r="M149" s="37">
        <v>2.4</v>
      </c>
      <c r="N149" s="38">
        <f t="shared" si="12"/>
        <v>1.056</v>
      </c>
      <c r="O149" s="39">
        <f t="shared" si="13"/>
        <v>132.83368421052634</v>
      </c>
      <c r="P149" s="39">
        <f t="shared" si="14"/>
        <v>168.256</v>
      </c>
      <c r="Q149" s="39">
        <f t="shared" si="15"/>
        <v>210.32000000000002</v>
      </c>
      <c r="R149" s="35" t="str">
        <f t="shared" si="16"/>
        <v>Rs./km</v>
      </c>
    </row>
    <row r="150" spans="1:18" ht="15" customHeight="1" x14ac:dyDescent="0.3">
      <c r="A150" s="35">
        <v>138</v>
      </c>
      <c r="B150" s="35" t="s">
        <v>694</v>
      </c>
      <c r="C150" s="35" t="s">
        <v>695</v>
      </c>
      <c r="D150" s="36" t="s">
        <v>625</v>
      </c>
      <c r="E150" s="36" t="s">
        <v>1422</v>
      </c>
      <c r="F150" s="35">
        <v>2018</v>
      </c>
      <c r="G150" s="35" t="s">
        <v>1357</v>
      </c>
      <c r="H150" s="35" t="s">
        <v>1390</v>
      </c>
      <c r="I150" s="36" t="s">
        <v>1385</v>
      </c>
      <c r="J150" s="35" t="s">
        <v>1391</v>
      </c>
      <c r="K150" s="37">
        <v>3.8</v>
      </c>
      <c r="L150" s="37">
        <v>3</v>
      </c>
      <c r="M150" s="37">
        <v>2.4</v>
      </c>
      <c r="N150" s="38">
        <f t="shared" si="12"/>
        <v>1.056</v>
      </c>
      <c r="O150" s="39">
        <f t="shared" si="13"/>
        <v>132.83368421052634</v>
      </c>
      <c r="P150" s="39">
        <f t="shared" si="14"/>
        <v>168.256</v>
      </c>
      <c r="Q150" s="39">
        <f t="shared" si="15"/>
        <v>210.32000000000002</v>
      </c>
      <c r="R150" s="35" t="str">
        <f t="shared" si="16"/>
        <v>Rs./km</v>
      </c>
    </row>
    <row r="151" spans="1:18" ht="15" customHeight="1" x14ac:dyDescent="0.3">
      <c r="A151" s="35">
        <v>139</v>
      </c>
      <c r="B151" s="35" t="s">
        <v>696</v>
      </c>
      <c r="C151" s="35" t="s">
        <v>697</v>
      </c>
      <c r="D151" s="36" t="s">
        <v>625</v>
      </c>
      <c r="E151" s="36" t="s">
        <v>1422</v>
      </c>
      <c r="F151" s="35">
        <v>2018</v>
      </c>
      <c r="G151" s="35" t="s">
        <v>1357</v>
      </c>
      <c r="H151" s="35" t="s">
        <v>1390</v>
      </c>
      <c r="I151" s="36" t="s">
        <v>1385</v>
      </c>
      <c r="J151" s="35" t="s">
        <v>1391</v>
      </c>
      <c r="K151" s="37">
        <v>3.8</v>
      </c>
      <c r="L151" s="37">
        <v>3</v>
      </c>
      <c r="M151" s="37">
        <v>2.4</v>
      </c>
      <c r="N151" s="38">
        <f t="shared" si="12"/>
        <v>1.056</v>
      </c>
      <c r="O151" s="39">
        <f t="shared" si="13"/>
        <v>132.83368421052634</v>
      </c>
      <c r="P151" s="39">
        <f t="shared" si="14"/>
        <v>168.256</v>
      </c>
      <c r="Q151" s="39">
        <f t="shared" si="15"/>
        <v>210.32000000000002</v>
      </c>
      <c r="R151" s="35" t="str">
        <f t="shared" si="16"/>
        <v>Rs./km</v>
      </c>
    </row>
    <row r="152" spans="1:18" ht="15" customHeight="1" x14ac:dyDescent="0.3">
      <c r="A152" s="35">
        <v>140</v>
      </c>
      <c r="B152" s="35" t="s">
        <v>698</v>
      </c>
      <c r="C152" s="35" t="s">
        <v>699</v>
      </c>
      <c r="D152" s="36" t="s">
        <v>625</v>
      </c>
      <c r="E152" s="36" t="s">
        <v>1422</v>
      </c>
      <c r="F152" s="35">
        <v>2018</v>
      </c>
      <c r="G152" s="35" t="s">
        <v>1357</v>
      </c>
      <c r="H152" s="35" t="s">
        <v>1390</v>
      </c>
      <c r="I152" s="36" t="s">
        <v>1385</v>
      </c>
      <c r="J152" s="35" t="s">
        <v>1391</v>
      </c>
      <c r="K152" s="37">
        <v>3.8</v>
      </c>
      <c r="L152" s="37">
        <v>3</v>
      </c>
      <c r="M152" s="37">
        <v>2.4</v>
      </c>
      <c r="N152" s="38">
        <f t="shared" si="12"/>
        <v>1.056</v>
      </c>
      <c r="O152" s="39">
        <f t="shared" si="13"/>
        <v>132.83368421052634</v>
      </c>
      <c r="P152" s="39">
        <f t="shared" si="14"/>
        <v>168.256</v>
      </c>
      <c r="Q152" s="39">
        <f t="shared" si="15"/>
        <v>210.32000000000002</v>
      </c>
      <c r="R152" s="35" t="str">
        <f t="shared" si="16"/>
        <v>Rs./km</v>
      </c>
    </row>
    <row r="153" spans="1:18" ht="15" customHeight="1" x14ac:dyDescent="0.3">
      <c r="A153" s="35">
        <v>141</v>
      </c>
      <c r="B153" s="35" t="s">
        <v>700</v>
      </c>
      <c r="C153" s="35" t="s">
        <v>701</v>
      </c>
      <c r="D153" s="36" t="s">
        <v>625</v>
      </c>
      <c r="E153" s="36" t="s">
        <v>1422</v>
      </c>
      <c r="F153" s="35">
        <v>2018</v>
      </c>
      <c r="G153" s="35" t="s">
        <v>1357</v>
      </c>
      <c r="H153" s="35" t="s">
        <v>1390</v>
      </c>
      <c r="I153" s="36" t="s">
        <v>1385</v>
      </c>
      <c r="J153" s="35" t="s">
        <v>1391</v>
      </c>
      <c r="K153" s="37">
        <v>3.8</v>
      </c>
      <c r="L153" s="37">
        <v>3</v>
      </c>
      <c r="M153" s="37">
        <v>2.4</v>
      </c>
      <c r="N153" s="38">
        <f t="shared" si="12"/>
        <v>1.056</v>
      </c>
      <c r="O153" s="39">
        <f t="shared" si="13"/>
        <v>132.83368421052634</v>
      </c>
      <c r="P153" s="39">
        <f t="shared" si="14"/>
        <v>168.256</v>
      </c>
      <c r="Q153" s="39">
        <f t="shared" si="15"/>
        <v>210.32000000000002</v>
      </c>
      <c r="R153" s="35" t="str">
        <f t="shared" si="16"/>
        <v>Rs./km</v>
      </c>
    </row>
    <row r="154" spans="1:18" ht="15" customHeight="1" x14ac:dyDescent="0.3">
      <c r="A154" s="35">
        <v>142</v>
      </c>
      <c r="B154" s="35" t="s">
        <v>702</v>
      </c>
      <c r="C154" s="35" t="s">
        <v>703</v>
      </c>
      <c r="D154" s="36" t="s">
        <v>625</v>
      </c>
      <c r="E154" s="36" t="s">
        <v>1422</v>
      </c>
      <c r="F154" s="35">
        <v>2018</v>
      </c>
      <c r="G154" s="35" t="s">
        <v>1357</v>
      </c>
      <c r="H154" s="35" t="s">
        <v>1390</v>
      </c>
      <c r="I154" s="36" t="s">
        <v>1385</v>
      </c>
      <c r="J154" s="35" t="s">
        <v>1391</v>
      </c>
      <c r="K154" s="37">
        <v>3.8</v>
      </c>
      <c r="L154" s="37">
        <v>3</v>
      </c>
      <c r="M154" s="37">
        <v>2.4</v>
      </c>
      <c r="N154" s="38">
        <f t="shared" si="12"/>
        <v>1.056</v>
      </c>
      <c r="O154" s="39">
        <f t="shared" si="13"/>
        <v>132.83368421052634</v>
      </c>
      <c r="P154" s="39">
        <f t="shared" si="14"/>
        <v>168.256</v>
      </c>
      <c r="Q154" s="39">
        <f t="shared" si="15"/>
        <v>210.32000000000002</v>
      </c>
      <c r="R154" s="35" t="str">
        <f t="shared" si="16"/>
        <v>Rs./km</v>
      </c>
    </row>
    <row r="155" spans="1:18" ht="15" customHeight="1" x14ac:dyDescent="0.3">
      <c r="A155" s="35">
        <v>143</v>
      </c>
      <c r="B155" s="35" t="s">
        <v>704</v>
      </c>
      <c r="C155" s="35" t="s">
        <v>705</v>
      </c>
      <c r="D155" s="36" t="s">
        <v>625</v>
      </c>
      <c r="E155" s="36" t="s">
        <v>1434</v>
      </c>
      <c r="F155" s="35">
        <v>2018</v>
      </c>
      <c r="G155" s="35" t="s">
        <v>1357</v>
      </c>
      <c r="H155" s="35" t="s">
        <v>1390</v>
      </c>
      <c r="I155" s="36" t="s">
        <v>1385</v>
      </c>
      <c r="J155" s="35" t="s">
        <v>1391</v>
      </c>
      <c r="K155" s="37">
        <v>3.8</v>
      </c>
      <c r="L155" s="37">
        <v>3</v>
      </c>
      <c r="M155" s="37">
        <v>2.4</v>
      </c>
      <c r="N155" s="38">
        <f t="shared" si="12"/>
        <v>1.056</v>
      </c>
      <c r="O155" s="39">
        <f t="shared" si="13"/>
        <v>132.83368421052634</v>
      </c>
      <c r="P155" s="39">
        <f t="shared" si="14"/>
        <v>168.256</v>
      </c>
      <c r="Q155" s="39">
        <f t="shared" si="15"/>
        <v>210.32000000000002</v>
      </c>
      <c r="R155" s="35" t="str">
        <f t="shared" si="16"/>
        <v>Rs./km</v>
      </c>
    </row>
    <row r="156" spans="1:18" ht="15" customHeight="1" x14ac:dyDescent="0.3">
      <c r="A156" s="35">
        <v>144</v>
      </c>
      <c r="B156" s="35" t="s">
        <v>706</v>
      </c>
      <c r="C156" s="35" t="s">
        <v>707</v>
      </c>
      <c r="D156" s="36" t="s">
        <v>625</v>
      </c>
      <c r="E156" s="36" t="s">
        <v>1434</v>
      </c>
      <c r="F156" s="35">
        <v>2018</v>
      </c>
      <c r="G156" s="35" t="s">
        <v>1357</v>
      </c>
      <c r="H156" s="35" t="s">
        <v>1390</v>
      </c>
      <c r="I156" s="36" t="s">
        <v>1385</v>
      </c>
      <c r="J156" s="35" t="s">
        <v>1391</v>
      </c>
      <c r="K156" s="37">
        <v>3.8</v>
      </c>
      <c r="L156" s="37">
        <v>3</v>
      </c>
      <c r="M156" s="37">
        <v>2.4</v>
      </c>
      <c r="N156" s="38">
        <f t="shared" si="12"/>
        <v>1.056</v>
      </c>
      <c r="O156" s="39">
        <f t="shared" si="13"/>
        <v>132.83368421052634</v>
      </c>
      <c r="P156" s="39">
        <f t="shared" si="14"/>
        <v>168.256</v>
      </c>
      <c r="Q156" s="39">
        <f t="shared" si="15"/>
        <v>210.32000000000002</v>
      </c>
      <c r="R156" s="35" t="str">
        <f t="shared" si="16"/>
        <v>Rs./km</v>
      </c>
    </row>
    <row r="157" spans="1:18" ht="15" customHeight="1" x14ac:dyDescent="0.3">
      <c r="A157" s="35">
        <v>145</v>
      </c>
      <c r="B157" s="35" t="s">
        <v>627</v>
      </c>
      <c r="C157" s="35" t="s">
        <v>628</v>
      </c>
      <c r="D157" s="36" t="s">
        <v>625</v>
      </c>
      <c r="E157" s="36" t="s">
        <v>1422</v>
      </c>
      <c r="F157" s="35">
        <v>2021</v>
      </c>
      <c r="G157" s="35" t="s">
        <v>1357</v>
      </c>
      <c r="H157" s="35" t="s">
        <v>1390</v>
      </c>
      <c r="I157" s="36" t="s">
        <v>1385</v>
      </c>
      <c r="J157" s="35" t="s">
        <v>1391</v>
      </c>
      <c r="K157" s="37">
        <v>3.8</v>
      </c>
      <c r="L157" s="37">
        <v>3</v>
      </c>
      <c r="M157" s="37">
        <v>2.4</v>
      </c>
      <c r="N157" s="38">
        <f t="shared" si="12"/>
        <v>1.0349999999999999</v>
      </c>
      <c r="O157" s="39">
        <f t="shared" si="13"/>
        <v>130.19210526315788</v>
      </c>
      <c r="P157" s="39">
        <f t="shared" si="14"/>
        <v>164.91</v>
      </c>
      <c r="Q157" s="39">
        <f t="shared" si="15"/>
        <v>206.13749999999999</v>
      </c>
      <c r="R157" s="35" t="str">
        <f t="shared" si="16"/>
        <v>Rs./km</v>
      </c>
    </row>
    <row r="158" spans="1:18" ht="15" customHeight="1" x14ac:dyDescent="0.3">
      <c r="A158" s="35">
        <v>146</v>
      </c>
      <c r="B158" s="35" t="s">
        <v>629</v>
      </c>
      <c r="C158" s="35" t="s">
        <v>630</v>
      </c>
      <c r="D158" s="36" t="s">
        <v>625</v>
      </c>
      <c r="E158" s="36" t="s">
        <v>1434</v>
      </c>
      <c r="F158" s="35">
        <v>2021</v>
      </c>
      <c r="G158" s="35" t="s">
        <v>1357</v>
      </c>
      <c r="H158" s="35" t="s">
        <v>1390</v>
      </c>
      <c r="I158" s="36" t="s">
        <v>1385</v>
      </c>
      <c r="J158" s="35" t="s">
        <v>1391</v>
      </c>
      <c r="K158" s="37">
        <v>3.8</v>
      </c>
      <c r="L158" s="37">
        <v>3</v>
      </c>
      <c r="M158" s="37">
        <v>2.4</v>
      </c>
      <c r="N158" s="38">
        <f t="shared" si="12"/>
        <v>1.0349999999999999</v>
      </c>
      <c r="O158" s="39">
        <f t="shared" si="13"/>
        <v>130.19210526315788</v>
      </c>
      <c r="P158" s="39">
        <f t="shared" si="14"/>
        <v>164.91</v>
      </c>
      <c r="Q158" s="39">
        <f t="shared" si="15"/>
        <v>206.13749999999999</v>
      </c>
      <c r="R158" s="35" t="str">
        <f t="shared" si="16"/>
        <v>Rs./km</v>
      </c>
    </row>
    <row r="159" spans="1:18" ht="15" customHeight="1" x14ac:dyDescent="0.3">
      <c r="A159" s="35">
        <v>147</v>
      </c>
      <c r="B159" s="35" t="s">
        <v>631</v>
      </c>
      <c r="C159" s="35" t="s">
        <v>632</v>
      </c>
      <c r="D159" s="36" t="s">
        <v>625</v>
      </c>
      <c r="E159" s="36" t="s">
        <v>1435</v>
      </c>
      <c r="F159" s="35">
        <v>2021</v>
      </c>
      <c r="G159" s="35" t="s">
        <v>1357</v>
      </c>
      <c r="H159" s="35" t="s">
        <v>1390</v>
      </c>
      <c r="I159" s="36" t="s">
        <v>1385</v>
      </c>
      <c r="J159" s="35" t="s">
        <v>1391</v>
      </c>
      <c r="K159" s="37">
        <v>3.8</v>
      </c>
      <c r="L159" s="37">
        <v>3</v>
      </c>
      <c r="M159" s="37">
        <v>2.4</v>
      </c>
      <c r="N159" s="38">
        <f t="shared" si="12"/>
        <v>1.0349999999999999</v>
      </c>
      <c r="O159" s="39">
        <f t="shared" si="13"/>
        <v>130.19210526315788</v>
      </c>
      <c r="P159" s="39">
        <f t="shared" si="14"/>
        <v>164.91</v>
      </c>
      <c r="Q159" s="39">
        <f t="shared" si="15"/>
        <v>206.13749999999999</v>
      </c>
      <c r="R159" s="35" t="str">
        <f t="shared" si="16"/>
        <v>Rs./km</v>
      </c>
    </row>
    <row r="160" spans="1:18" ht="15" customHeight="1" x14ac:dyDescent="0.3">
      <c r="A160" s="35">
        <v>148</v>
      </c>
      <c r="B160" s="35" t="s">
        <v>633</v>
      </c>
      <c r="C160" s="35" t="s">
        <v>634</v>
      </c>
      <c r="D160" s="36" t="s">
        <v>625</v>
      </c>
      <c r="E160" s="36" t="s">
        <v>1435</v>
      </c>
      <c r="F160" s="35">
        <v>2021</v>
      </c>
      <c r="G160" s="35" t="s">
        <v>1357</v>
      </c>
      <c r="H160" s="35" t="s">
        <v>1390</v>
      </c>
      <c r="I160" s="36" t="s">
        <v>1385</v>
      </c>
      <c r="J160" s="35" t="s">
        <v>1391</v>
      </c>
      <c r="K160" s="37">
        <v>3.8</v>
      </c>
      <c r="L160" s="37">
        <v>3</v>
      </c>
      <c r="M160" s="37">
        <v>2.4</v>
      </c>
      <c r="N160" s="38">
        <f t="shared" si="12"/>
        <v>1.0349999999999999</v>
      </c>
      <c r="O160" s="39">
        <f t="shared" si="13"/>
        <v>130.19210526315788</v>
      </c>
      <c r="P160" s="39">
        <f t="shared" si="14"/>
        <v>164.91</v>
      </c>
      <c r="Q160" s="39">
        <f t="shared" si="15"/>
        <v>206.13749999999999</v>
      </c>
      <c r="R160" s="35" t="str">
        <f t="shared" si="16"/>
        <v>Rs./km</v>
      </c>
    </row>
    <row r="161" spans="1:18" ht="15" customHeight="1" x14ac:dyDescent="0.3">
      <c r="A161" s="35">
        <v>149</v>
      </c>
      <c r="B161" s="35" t="s">
        <v>635</v>
      </c>
      <c r="C161" s="35" t="s">
        <v>636</v>
      </c>
      <c r="D161" s="36" t="s">
        <v>625</v>
      </c>
      <c r="E161" s="36" t="s">
        <v>1435</v>
      </c>
      <c r="F161" s="35">
        <v>2021</v>
      </c>
      <c r="G161" s="35" t="s">
        <v>1357</v>
      </c>
      <c r="H161" s="35" t="s">
        <v>1390</v>
      </c>
      <c r="I161" s="36" t="s">
        <v>1385</v>
      </c>
      <c r="J161" s="35" t="s">
        <v>1391</v>
      </c>
      <c r="K161" s="37">
        <v>3.8</v>
      </c>
      <c r="L161" s="37">
        <v>3</v>
      </c>
      <c r="M161" s="37">
        <v>2.4</v>
      </c>
      <c r="N161" s="38">
        <f t="shared" si="12"/>
        <v>1.0349999999999999</v>
      </c>
      <c r="O161" s="39">
        <f t="shared" si="13"/>
        <v>130.19210526315788</v>
      </c>
      <c r="P161" s="39">
        <f t="shared" si="14"/>
        <v>164.91</v>
      </c>
      <c r="Q161" s="39">
        <f t="shared" si="15"/>
        <v>206.13749999999999</v>
      </c>
      <c r="R161" s="35" t="str">
        <f t="shared" si="16"/>
        <v>Rs./km</v>
      </c>
    </row>
    <row r="162" spans="1:18" ht="15" customHeight="1" x14ac:dyDescent="0.3">
      <c r="A162" s="35">
        <v>150</v>
      </c>
      <c r="B162" s="35" t="s">
        <v>637</v>
      </c>
      <c r="C162" s="35" t="s">
        <v>638</v>
      </c>
      <c r="D162" s="36" t="s">
        <v>625</v>
      </c>
      <c r="E162" s="36" t="s">
        <v>1435</v>
      </c>
      <c r="F162" s="35">
        <v>2021</v>
      </c>
      <c r="G162" s="35" t="s">
        <v>1357</v>
      </c>
      <c r="H162" s="35" t="s">
        <v>1390</v>
      </c>
      <c r="I162" s="36" t="s">
        <v>1385</v>
      </c>
      <c r="J162" s="35" t="s">
        <v>1391</v>
      </c>
      <c r="K162" s="37">
        <v>3.8</v>
      </c>
      <c r="L162" s="37">
        <v>3</v>
      </c>
      <c r="M162" s="37">
        <v>2.4</v>
      </c>
      <c r="N162" s="38">
        <f t="shared" ref="N162:N193" si="17">1+MIN(MAX($D$8-F162,0),$D$10)*$D$9</f>
        <v>1.0349999999999999</v>
      </c>
      <c r="O162" s="39">
        <f t="shared" si="13"/>
        <v>130.19210526315788</v>
      </c>
      <c r="P162" s="39">
        <f t="shared" si="14"/>
        <v>164.91</v>
      </c>
      <c r="Q162" s="39">
        <f t="shared" si="15"/>
        <v>206.13749999999999</v>
      </c>
      <c r="R162" s="35" t="str">
        <f t="shared" si="16"/>
        <v>Rs./km</v>
      </c>
    </row>
    <row r="163" spans="1:18" ht="15" customHeight="1" x14ac:dyDescent="0.3">
      <c r="A163" s="35">
        <v>151</v>
      </c>
      <c r="B163" s="35" t="s">
        <v>639</v>
      </c>
      <c r="C163" s="35" t="s">
        <v>640</v>
      </c>
      <c r="D163" s="36" t="s">
        <v>625</v>
      </c>
      <c r="E163" s="36" t="s">
        <v>1435</v>
      </c>
      <c r="F163" s="35">
        <v>2021</v>
      </c>
      <c r="G163" s="35" t="s">
        <v>1357</v>
      </c>
      <c r="H163" s="35" t="s">
        <v>1390</v>
      </c>
      <c r="I163" s="36" t="s">
        <v>1385</v>
      </c>
      <c r="J163" s="35" t="s">
        <v>1391</v>
      </c>
      <c r="K163" s="37">
        <v>3.8</v>
      </c>
      <c r="L163" s="37">
        <v>3</v>
      </c>
      <c r="M163" s="37">
        <v>2.4</v>
      </c>
      <c r="N163" s="38">
        <f t="shared" si="17"/>
        <v>1.0349999999999999</v>
      </c>
      <c r="O163" s="39">
        <f t="shared" si="13"/>
        <v>130.19210526315788</v>
      </c>
      <c r="P163" s="39">
        <f t="shared" si="14"/>
        <v>164.91</v>
      </c>
      <c r="Q163" s="39">
        <f t="shared" si="15"/>
        <v>206.13749999999999</v>
      </c>
      <c r="R163" s="35" t="str">
        <f t="shared" si="16"/>
        <v>Rs./km</v>
      </c>
    </row>
    <row r="164" spans="1:18" ht="15" customHeight="1" x14ac:dyDescent="0.3">
      <c r="A164" s="35">
        <v>152</v>
      </c>
      <c r="B164" s="35" t="s">
        <v>641</v>
      </c>
      <c r="C164" s="35" t="s">
        <v>642</v>
      </c>
      <c r="D164" s="36" t="s">
        <v>625</v>
      </c>
      <c r="E164" s="36" t="s">
        <v>1435</v>
      </c>
      <c r="F164" s="35">
        <v>2021</v>
      </c>
      <c r="G164" s="35" t="s">
        <v>1357</v>
      </c>
      <c r="H164" s="35" t="s">
        <v>1390</v>
      </c>
      <c r="I164" s="36" t="s">
        <v>1385</v>
      </c>
      <c r="J164" s="35" t="s">
        <v>1391</v>
      </c>
      <c r="K164" s="37">
        <v>3.8</v>
      </c>
      <c r="L164" s="37">
        <v>3</v>
      </c>
      <c r="M164" s="37">
        <v>2.4</v>
      </c>
      <c r="N164" s="38">
        <f t="shared" si="17"/>
        <v>1.0349999999999999</v>
      </c>
      <c r="O164" s="39">
        <f t="shared" si="13"/>
        <v>130.19210526315788</v>
      </c>
      <c r="P164" s="39">
        <f t="shared" si="14"/>
        <v>164.91</v>
      </c>
      <c r="Q164" s="39">
        <f t="shared" si="15"/>
        <v>206.13749999999999</v>
      </c>
      <c r="R164" s="35" t="str">
        <f t="shared" si="16"/>
        <v>Rs./km</v>
      </c>
    </row>
    <row r="165" spans="1:18" ht="15" customHeight="1" x14ac:dyDescent="0.3">
      <c r="A165" s="35">
        <v>153</v>
      </c>
      <c r="B165" s="35" t="s">
        <v>643</v>
      </c>
      <c r="C165" s="35" t="s">
        <v>644</v>
      </c>
      <c r="D165" s="36" t="s">
        <v>625</v>
      </c>
      <c r="E165" s="36" t="s">
        <v>1435</v>
      </c>
      <c r="F165" s="35">
        <v>2021</v>
      </c>
      <c r="G165" s="35" t="s">
        <v>1357</v>
      </c>
      <c r="H165" s="35" t="s">
        <v>1390</v>
      </c>
      <c r="I165" s="36" t="s">
        <v>1385</v>
      </c>
      <c r="J165" s="35" t="s">
        <v>1391</v>
      </c>
      <c r="K165" s="37">
        <v>3.8</v>
      </c>
      <c r="L165" s="37">
        <v>3</v>
      </c>
      <c r="M165" s="37">
        <v>2.4</v>
      </c>
      <c r="N165" s="38">
        <f t="shared" si="17"/>
        <v>1.0349999999999999</v>
      </c>
      <c r="O165" s="39">
        <f t="shared" si="13"/>
        <v>130.19210526315788</v>
      </c>
      <c r="P165" s="39">
        <f t="shared" si="14"/>
        <v>164.91</v>
      </c>
      <c r="Q165" s="39">
        <f t="shared" si="15"/>
        <v>206.13749999999999</v>
      </c>
      <c r="R165" s="35" t="str">
        <f t="shared" si="16"/>
        <v>Rs./km</v>
      </c>
    </row>
    <row r="166" spans="1:18" ht="15" customHeight="1" x14ac:dyDescent="0.3">
      <c r="A166" s="35">
        <v>154</v>
      </c>
      <c r="B166" s="35" t="s">
        <v>645</v>
      </c>
      <c r="C166" s="35" t="s">
        <v>646</v>
      </c>
      <c r="D166" s="36" t="s">
        <v>625</v>
      </c>
      <c r="E166" s="36" t="s">
        <v>1435</v>
      </c>
      <c r="F166" s="35">
        <v>2021</v>
      </c>
      <c r="G166" s="35" t="s">
        <v>1357</v>
      </c>
      <c r="H166" s="35" t="s">
        <v>1390</v>
      </c>
      <c r="I166" s="36" t="s">
        <v>1385</v>
      </c>
      <c r="J166" s="35" t="s">
        <v>1391</v>
      </c>
      <c r="K166" s="37">
        <v>3.8</v>
      </c>
      <c r="L166" s="37">
        <v>3</v>
      </c>
      <c r="M166" s="37">
        <v>2.4</v>
      </c>
      <c r="N166" s="38">
        <f t="shared" si="17"/>
        <v>1.0349999999999999</v>
      </c>
      <c r="O166" s="39">
        <f t="shared" si="13"/>
        <v>130.19210526315788</v>
      </c>
      <c r="P166" s="39">
        <f t="shared" si="14"/>
        <v>164.91</v>
      </c>
      <c r="Q166" s="39">
        <f t="shared" si="15"/>
        <v>206.13749999999999</v>
      </c>
      <c r="R166" s="35" t="str">
        <f t="shared" si="16"/>
        <v>Rs./km</v>
      </c>
    </row>
    <row r="167" spans="1:18" ht="15" customHeight="1" x14ac:dyDescent="0.3">
      <c r="A167" s="35">
        <v>155</v>
      </c>
      <c r="B167" s="35" t="s">
        <v>647</v>
      </c>
      <c r="C167" s="35" t="s">
        <v>648</v>
      </c>
      <c r="D167" s="36" t="s">
        <v>625</v>
      </c>
      <c r="E167" s="36" t="s">
        <v>1435</v>
      </c>
      <c r="F167" s="35">
        <v>2021</v>
      </c>
      <c r="G167" s="35" t="s">
        <v>1357</v>
      </c>
      <c r="H167" s="35" t="s">
        <v>1390</v>
      </c>
      <c r="I167" s="36" t="s">
        <v>1385</v>
      </c>
      <c r="J167" s="35" t="s">
        <v>1391</v>
      </c>
      <c r="K167" s="37">
        <v>3.8</v>
      </c>
      <c r="L167" s="37">
        <v>3</v>
      </c>
      <c r="M167" s="37">
        <v>2.4</v>
      </c>
      <c r="N167" s="38">
        <f t="shared" si="17"/>
        <v>1.0349999999999999</v>
      </c>
      <c r="O167" s="39">
        <f t="shared" si="13"/>
        <v>130.19210526315788</v>
      </c>
      <c r="P167" s="39">
        <f t="shared" si="14"/>
        <v>164.91</v>
      </c>
      <c r="Q167" s="39">
        <f t="shared" si="15"/>
        <v>206.13749999999999</v>
      </c>
      <c r="R167" s="35" t="str">
        <f t="shared" si="16"/>
        <v>Rs./km</v>
      </c>
    </row>
    <row r="168" spans="1:18" ht="15" customHeight="1" x14ac:dyDescent="0.3">
      <c r="A168" s="35">
        <v>156</v>
      </c>
      <c r="B168" s="35" t="s">
        <v>649</v>
      </c>
      <c r="C168" s="35" t="s">
        <v>650</v>
      </c>
      <c r="D168" s="36" t="s">
        <v>625</v>
      </c>
      <c r="E168" s="36" t="s">
        <v>1435</v>
      </c>
      <c r="F168" s="35">
        <v>2021</v>
      </c>
      <c r="G168" s="35" t="s">
        <v>1357</v>
      </c>
      <c r="H168" s="35" t="s">
        <v>1390</v>
      </c>
      <c r="I168" s="36" t="s">
        <v>1385</v>
      </c>
      <c r="J168" s="35" t="s">
        <v>1391</v>
      </c>
      <c r="K168" s="37">
        <v>3.8</v>
      </c>
      <c r="L168" s="37">
        <v>3</v>
      </c>
      <c r="M168" s="37">
        <v>2.4</v>
      </c>
      <c r="N168" s="38">
        <f t="shared" si="17"/>
        <v>1.0349999999999999</v>
      </c>
      <c r="O168" s="39">
        <f t="shared" si="13"/>
        <v>130.19210526315788</v>
      </c>
      <c r="P168" s="39">
        <f t="shared" si="14"/>
        <v>164.91</v>
      </c>
      <c r="Q168" s="39">
        <f t="shared" si="15"/>
        <v>206.13749999999999</v>
      </c>
      <c r="R168" s="35" t="str">
        <f t="shared" si="16"/>
        <v>Rs./km</v>
      </c>
    </row>
    <row r="169" spans="1:18" ht="15" customHeight="1" x14ac:dyDescent="0.3">
      <c r="A169" s="35">
        <v>157</v>
      </c>
      <c r="B169" s="35" t="s">
        <v>651</v>
      </c>
      <c r="C169" s="35" t="s">
        <v>652</v>
      </c>
      <c r="D169" s="36" t="s">
        <v>625</v>
      </c>
      <c r="E169" s="36" t="s">
        <v>1421</v>
      </c>
      <c r="F169" s="35">
        <v>2021</v>
      </c>
      <c r="G169" s="35" t="s">
        <v>1357</v>
      </c>
      <c r="H169" s="35" t="s">
        <v>1390</v>
      </c>
      <c r="I169" s="36" t="s">
        <v>1385</v>
      </c>
      <c r="J169" s="35" t="s">
        <v>1391</v>
      </c>
      <c r="K169" s="37">
        <v>3.8</v>
      </c>
      <c r="L169" s="37">
        <v>3</v>
      </c>
      <c r="M169" s="37">
        <v>2.4</v>
      </c>
      <c r="N169" s="38">
        <f t="shared" si="17"/>
        <v>1.0349999999999999</v>
      </c>
      <c r="O169" s="39">
        <f t="shared" si="13"/>
        <v>130.19210526315788</v>
      </c>
      <c r="P169" s="39">
        <f t="shared" si="14"/>
        <v>164.91</v>
      </c>
      <c r="Q169" s="39">
        <f t="shared" si="15"/>
        <v>206.13749999999999</v>
      </c>
      <c r="R169" s="35" t="str">
        <f t="shared" si="16"/>
        <v>Rs./km</v>
      </c>
    </row>
    <row r="170" spans="1:18" ht="15" customHeight="1" x14ac:dyDescent="0.3">
      <c r="A170" s="35">
        <v>158</v>
      </c>
      <c r="B170" s="35" t="s">
        <v>653</v>
      </c>
      <c r="C170" s="35" t="s">
        <v>654</v>
      </c>
      <c r="D170" s="36" t="s">
        <v>625</v>
      </c>
      <c r="E170" s="36" t="s">
        <v>1421</v>
      </c>
      <c r="F170" s="35">
        <v>2021</v>
      </c>
      <c r="G170" s="35" t="s">
        <v>1357</v>
      </c>
      <c r="H170" s="35" t="s">
        <v>1390</v>
      </c>
      <c r="I170" s="36" t="s">
        <v>1385</v>
      </c>
      <c r="J170" s="35" t="s">
        <v>1391</v>
      </c>
      <c r="K170" s="37">
        <v>3.8</v>
      </c>
      <c r="L170" s="37">
        <v>3</v>
      </c>
      <c r="M170" s="37">
        <v>2.4</v>
      </c>
      <c r="N170" s="38">
        <f t="shared" si="17"/>
        <v>1.0349999999999999</v>
      </c>
      <c r="O170" s="39">
        <f t="shared" si="13"/>
        <v>130.19210526315788</v>
      </c>
      <c r="P170" s="39">
        <f t="shared" si="14"/>
        <v>164.91</v>
      </c>
      <c r="Q170" s="39">
        <f t="shared" si="15"/>
        <v>206.13749999999999</v>
      </c>
      <c r="R170" s="35" t="str">
        <f t="shared" si="16"/>
        <v>Rs./km</v>
      </c>
    </row>
    <row r="171" spans="1:18" ht="15" customHeight="1" x14ac:dyDescent="0.3">
      <c r="A171" s="35">
        <v>159</v>
      </c>
      <c r="B171" s="35" t="s">
        <v>655</v>
      </c>
      <c r="C171" s="35" t="s">
        <v>656</v>
      </c>
      <c r="D171" s="36" t="s">
        <v>625</v>
      </c>
      <c r="E171" s="36" t="s">
        <v>1421</v>
      </c>
      <c r="F171" s="35">
        <v>2021</v>
      </c>
      <c r="G171" s="35" t="s">
        <v>1357</v>
      </c>
      <c r="H171" s="35" t="s">
        <v>1390</v>
      </c>
      <c r="I171" s="36" t="s">
        <v>1385</v>
      </c>
      <c r="J171" s="35" t="s">
        <v>1391</v>
      </c>
      <c r="K171" s="37">
        <v>3.8</v>
      </c>
      <c r="L171" s="37">
        <v>3</v>
      </c>
      <c r="M171" s="37">
        <v>2.4</v>
      </c>
      <c r="N171" s="38">
        <f t="shared" si="17"/>
        <v>1.0349999999999999</v>
      </c>
      <c r="O171" s="39">
        <f t="shared" si="13"/>
        <v>130.19210526315788</v>
      </c>
      <c r="P171" s="39">
        <f t="shared" si="14"/>
        <v>164.91</v>
      </c>
      <c r="Q171" s="39">
        <f t="shared" si="15"/>
        <v>206.13749999999999</v>
      </c>
      <c r="R171" s="35" t="str">
        <f t="shared" si="16"/>
        <v>Rs./km</v>
      </c>
    </row>
    <row r="172" spans="1:18" ht="15" customHeight="1" x14ac:dyDescent="0.3">
      <c r="A172" s="35">
        <v>160</v>
      </c>
      <c r="B172" s="35" t="s">
        <v>657</v>
      </c>
      <c r="C172" s="35" t="s">
        <v>658</v>
      </c>
      <c r="D172" s="36" t="s">
        <v>625</v>
      </c>
      <c r="E172" s="36" t="s">
        <v>1421</v>
      </c>
      <c r="F172" s="35">
        <v>2021</v>
      </c>
      <c r="G172" s="35" t="s">
        <v>1357</v>
      </c>
      <c r="H172" s="35" t="s">
        <v>1390</v>
      </c>
      <c r="I172" s="36" t="s">
        <v>1385</v>
      </c>
      <c r="J172" s="35" t="s">
        <v>1391</v>
      </c>
      <c r="K172" s="37">
        <v>3.8</v>
      </c>
      <c r="L172" s="37">
        <v>3</v>
      </c>
      <c r="M172" s="37">
        <v>2.4</v>
      </c>
      <c r="N172" s="38">
        <f t="shared" si="17"/>
        <v>1.0349999999999999</v>
      </c>
      <c r="O172" s="39">
        <f t="shared" si="13"/>
        <v>130.19210526315788</v>
      </c>
      <c r="P172" s="39">
        <f t="shared" si="14"/>
        <v>164.91</v>
      </c>
      <c r="Q172" s="39">
        <f t="shared" si="15"/>
        <v>206.13749999999999</v>
      </c>
      <c r="R172" s="35" t="str">
        <f t="shared" si="16"/>
        <v>Rs./km</v>
      </c>
    </row>
    <row r="173" spans="1:18" ht="15" customHeight="1" x14ac:dyDescent="0.3">
      <c r="A173" s="35">
        <v>161</v>
      </c>
      <c r="B173" s="35" t="s">
        <v>659</v>
      </c>
      <c r="C173" s="35" t="s">
        <v>660</v>
      </c>
      <c r="D173" s="36" t="s">
        <v>625</v>
      </c>
      <c r="E173" s="36" t="s">
        <v>1421</v>
      </c>
      <c r="F173" s="35">
        <v>2021</v>
      </c>
      <c r="G173" s="35" t="s">
        <v>1357</v>
      </c>
      <c r="H173" s="35" t="s">
        <v>1390</v>
      </c>
      <c r="I173" s="36" t="s">
        <v>1385</v>
      </c>
      <c r="J173" s="35" t="s">
        <v>1391</v>
      </c>
      <c r="K173" s="37">
        <v>3.8</v>
      </c>
      <c r="L173" s="37">
        <v>3</v>
      </c>
      <c r="M173" s="37">
        <v>2.4</v>
      </c>
      <c r="N173" s="38">
        <f t="shared" si="17"/>
        <v>1.0349999999999999</v>
      </c>
      <c r="O173" s="39">
        <f t="shared" si="13"/>
        <v>130.19210526315788</v>
      </c>
      <c r="P173" s="39">
        <f t="shared" si="14"/>
        <v>164.91</v>
      </c>
      <c r="Q173" s="39">
        <f t="shared" si="15"/>
        <v>206.13749999999999</v>
      </c>
      <c r="R173" s="35" t="str">
        <f t="shared" si="16"/>
        <v>Rs./km</v>
      </c>
    </row>
    <row r="174" spans="1:18" ht="15" customHeight="1" x14ac:dyDescent="0.3">
      <c r="A174" s="35">
        <v>162</v>
      </c>
      <c r="B174" s="35" t="s">
        <v>661</v>
      </c>
      <c r="C174" s="35" t="s">
        <v>662</v>
      </c>
      <c r="D174" s="36" t="s">
        <v>625</v>
      </c>
      <c r="E174" s="36" t="s">
        <v>1421</v>
      </c>
      <c r="F174" s="35">
        <v>2021</v>
      </c>
      <c r="G174" s="35" t="s">
        <v>1357</v>
      </c>
      <c r="H174" s="35" t="s">
        <v>1390</v>
      </c>
      <c r="I174" s="36" t="s">
        <v>1385</v>
      </c>
      <c r="J174" s="35" t="s">
        <v>1391</v>
      </c>
      <c r="K174" s="37">
        <v>3.8</v>
      </c>
      <c r="L174" s="37">
        <v>3</v>
      </c>
      <c r="M174" s="37">
        <v>2.4</v>
      </c>
      <c r="N174" s="38">
        <f t="shared" si="17"/>
        <v>1.0349999999999999</v>
      </c>
      <c r="O174" s="39">
        <f t="shared" si="13"/>
        <v>130.19210526315788</v>
      </c>
      <c r="P174" s="39">
        <f t="shared" si="14"/>
        <v>164.91</v>
      </c>
      <c r="Q174" s="39">
        <f t="shared" si="15"/>
        <v>206.13749999999999</v>
      </c>
      <c r="R174" s="35" t="str">
        <f t="shared" si="16"/>
        <v>Rs./km</v>
      </c>
    </row>
    <row r="175" spans="1:18" ht="15" customHeight="1" x14ac:dyDescent="0.3">
      <c r="A175" s="35">
        <v>163</v>
      </c>
      <c r="B175" s="35" t="s">
        <v>663</v>
      </c>
      <c r="C175" s="35" t="s">
        <v>664</v>
      </c>
      <c r="D175" s="36" t="s">
        <v>625</v>
      </c>
      <c r="E175" s="36" t="s">
        <v>1421</v>
      </c>
      <c r="F175" s="35">
        <v>2021</v>
      </c>
      <c r="G175" s="35" t="s">
        <v>1357</v>
      </c>
      <c r="H175" s="35" t="s">
        <v>1390</v>
      </c>
      <c r="I175" s="36" t="s">
        <v>1385</v>
      </c>
      <c r="J175" s="35" t="s">
        <v>1391</v>
      </c>
      <c r="K175" s="37">
        <v>3.8</v>
      </c>
      <c r="L175" s="37">
        <v>3</v>
      </c>
      <c r="M175" s="37">
        <v>2.4</v>
      </c>
      <c r="N175" s="38">
        <f t="shared" si="17"/>
        <v>1.0349999999999999</v>
      </c>
      <c r="O175" s="39">
        <f t="shared" si="13"/>
        <v>130.19210526315788</v>
      </c>
      <c r="P175" s="39">
        <f t="shared" si="14"/>
        <v>164.91</v>
      </c>
      <c r="Q175" s="39">
        <f t="shared" si="15"/>
        <v>206.13749999999999</v>
      </c>
      <c r="R175" s="35" t="str">
        <f t="shared" si="16"/>
        <v>Rs./km</v>
      </c>
    </row>
    <row r="176" spans="1:18" ht="15" customHeight="1" x14ac:dyDescent="0.3">
      <c r="A176" s="35">
        <v>164</v>
      </c>
      <c r="B176" s="35" t="s">
        <v>665</v>
      </c>
      <c r="C176" s="35" t="s">
        <v>666</v>
      </c>
      <c r="D176" s="36" t="s">
        <v>625</v>
      </c>
      <c r="E176" s="36" t="s">
        <v>1421</v>
      </c>
      <c r="F176" s="35">
        <v>2021</v>
      </c>
      <c r="G176" s="35" t="s">
        <v>1357</v>
      </c>
      <c r="H176" s="35" t="s">
        <v>1390</v>
      </c>
      <c r="I176" s="36" t="s">
        <v>1385</v>
      </c>
      <c r="J176" s="35" t="s">
        <v>1391</v>
      </c>
      <c r="K176" s="37">
        <v>3.8</v>
      </c>
      <c r="L176" s="37">
        <v>3</v>
      </c>
      <c r="M176" s="37">
        <v>2.4</v>
      </c>
      <c r="N176" s="38">
        <f t="shared" si="17"/>
        <v>1.0349999999999999</v>
      </c>
      <c r="O176" s="39">
        <f t="shared" si="13"/>
        <v>130.19210526315788</v>
      </c>
      <c r="P176" s="39">
        <f t="shared" si="14"/>
        <v>164.91</v>
      </c>
      <c r="Q176" s="39">
        <f t="shared" si="15"/>
        <v>206.13749999999999</v>
      </c>
      <c r="R176" s="35" t="str">
        <f t="shared" si="16"/>
        <v>Rs./km</v>
      </c>
    </row>
    <row r="177" spans="1:18" ht="15" customHeight="1" x14ac:dyDescent="0.3">
      <c r="A177" s="35">
        <v>165</v>
      </c>
      <c r="B177" s="35" t="s">
        <v>667</v>
      </c>
      <c r="C177" s="35" t="s">
        <v>668</v>
      </c>
      <c r="D177" s="36" t="s">
        <v>625</v>
      </c>
      <c r="E177" s="36" t="s">
        <v>1421</v>
      </c>
      <c r="F177" s="35">
        <v>2021</v>
      </c>
      <c r="G177" s="35" t="s">
        <v>1357</v>
      </c>
      <c r="H177" s="35" t="s">
        <v>1390</v>
      </c>
      <c r="I177" s="36" t="s">
        <v>1385</v>
      </c>
      <c r="J177" s="35" t="s">
        <v>1391</v>
      </c>
      <c r="K177" s="37">
        <v>3.8</v>
      </c>
      <c r="L177" s="37">
        <v>3</v>
      </c>
      <c r="M177" s="37">
        <v>2.4</v>
      </c>
      <c r="N177" s="38">
        <f t="shared" si="17"/>
        <v>1.0349999999999999</v>
      </c>
      <c r="O177" s="39">
        <f t="shared" si="13"/>
        <v>130.19210526315788</v>
      </c>
      <c r="P177" s="39">
        <f t="shared" si="14"/>
        <v>164.91</v>
      </c>
      <c r="Q177" s="39">
        <f t="shared" si="15"/>
        <v>206.13749999999999</v>
      </c>
      <c r="R177" s="35" t="str">
        <f t="shared" si="16"/>
        <v>Rs./km</v>
      </c>
    </row>
    <row r="178" spans="1:18" ht="15" customHeight="1" x14ac:dyDescent="0.3">
      <c r="A178" s="35">
        <v>166</v>
      </c>
      <c r="B178" s="35" t="s">
        <v>669</v>
      </c>
      <c r="C178" s="35" t="s">
        <v>670</v>
      </c>
      <c r="D178" s="36" t="s">
        <v>625</v>
      </c>
      <c r="E178" s="36" t="s">
        <v>1435</v>
      </c>
      <c r="F178" s="35">
        <v>2021</v>
      </c>
      <c r="G178" s="35" t="s">
        <v>1357</v>
      </c>
      <c r="H178" s="35" t="s">
        <v>1390</v>
      </c>
      <c r="I178" s="36" t="s">
        <v>1385</v>
      </c>
      <c r="J178" s="35" t="s">
        <v>1391</v>
      </c>
      <c r="K178" s="37">
        <v>3.8</v>
      </c>
      <c r="L178" s="37">
        <v>3</v>
      </c>
      <c r="M178" s="37">
        <v>2.4</v>
      </c>
      <c r="N178" s="38">
        <f t="shared" si="17"/>
        <v>1.0349999999999999</v>
      </c>
      <c r="O178" s="39">
        <f t="shared" si="13"/>
        <v>130.19210526315788</v>
      </c>
      <c r="P178" s="39">
        <f t="shared" si="14"/>
        <v>164.91</v>
      </c>
      <c r="Q178" s="39">
        <f t="shared" si="15"/>
        <v>206.13749999999999</v>
      </c>
      <c r="R178" s="35" t="str">
        <f t="shared" si="16"/>
        <v>Rs./km</v>
      </c>
    </row>
    <row r="179" spans="1:18" ht="15" customHeight="1" x14ac:dyDescent="0.3">
      <c r="A179" s="35">
        <v>167</v>
      </c>
      <c r="B179" s="35" t="s">
        <v>671</v>
      </c>
      <c r="C179" s="35" t="s">
        <v>672</v>
      </c>
      <c r="D179" s="36" t="s">
        <v>625</v>
      </c>
      <c r="E179" s="36" t="s">
        <v>1435</v>
      </c>
      <c r="F179" s="35">
        <v>2021</v>
      </c>
      <c r="G179" s="35" t="s">
        <v>1357</v>
      </c>
      <c r="H179" s="35" t="s">
        <v>1390</v>
      </c>
      <c r="I179" s="36" t="s">
        <v>1385</v>
      </c>
      <c r="J179" s="35" t="s">
        <v>1391</v>
      </c>
      <c r="K179" s="37">
        <v>3.8</v>
      </c>
      <c r="L179" s="37">
        <v>3</v>
      </c>
      <c r="M179" s="37">
        <v>2.4</v>
      </c>
      <c r="N179" s="38">
        <f t="shared" si="17"/>
        <v>1.0349999999999999</v>
      </c>
      <c r="O179" s="39">
        <f t="shared" si="13"/>
        <v>130.19210526315788</v>
      </c>
      <c r="P179" s="39">
        <f t="shared" si="14"/>
        <v>164.91</v>
      </c>
      <c r="Q179" s="39">
        <f t="shared" si="15"/>
        <v>206.13749999999999</v>
      </c>
      <c r="R179" s="35" t="str">
        <f t="shared" si="16"/>
        <v>Rs./km</v>
      </c>
    </row>
    <row r="180" spans="1:18" ht="15" customHeight="1" x14ac:dyDescent="0.3">
      <c r="A180" s="35">
        <v>168</v>
      </c>
      <c r="B180" s="35" t="s">
        <v>673</v>
      </c>
      <c r="C180" s="35" t="s">
        <v>674</v>
      </c>
      <c r="D180" s="36" t="s">
        <v>625</v>
      </c>
      <c r="E180" s="36" t="s">
        <v>1418</v>
      </c>
      <c r="F180" s="35">
        <v>2021</v>
      </c>
      <c r="G180" s="35" t="s">
        <v>1357</v>
      </c>
      <c r="H180" s="35" t="s">
        <v>1390</v>
      </c>
      <c r="I180" s="36" t="s">
        <v>1419</v>
      </c>
      <c r="J180" s="35" t="s">
        <v>1391</v>
      </c>
      <c r="K180" s="37">
        <v>6.4</v>
      </c>
      <c r="L180" s="37">
        <v>5</v>
      </c>
      <c r="M180" s="37">
        <v>4</v>
      </c>
      <c r="N180" s="38">
        <f t="shared" si="17"/>
        <v>1.0349999999999999</v>
      </c>
      <c r="O180" s="39">
        <f t="shared" si="13"/>
        <v>77.301562499999989</v>
      </c>
      <c r="P180" s="39">
        <f t="shared" si="14"/>
        <v>98.945999999999998</v>
      </c>
      <c r="Q180" s="39">
        <f t="shared" si="15"/>
        <v>123.68249999999999</v>
      </c>
      <c r="R180" s="35" t="str">
        <f t="shared" si="16"/>
        <v>Rs./km</v>
      </c>
    </row>
    <row r="181" spans="1:18" ht="15" customHeight="1" x14ac:dyDescent="0.3">
      <c r="A181" s="35">
        <v>169</v>
      </c>
      <c r="B181" s="35" t="s">
        <v>675</v>
      </c>
      <c r="C181" s="35" t="s">
        <v>676</v>
      </c>
      <c r="D181" s="36" t="s">
        <v>625</v>
      </c>
      <c r="E181" s="36" t="s">
        <v>1423</v>
      </c>
      <c r="F181" s="35">
        <v>2021</v>
      </c>
      <c r="G181" s="35" t="s">
        <v>1357</v>
      </c>
      <c r="H181" s="35" t="s">
        <v>1390</v>
      </c>
      <c r="I181" s="36" t="s">
        <v>1424</v>
      </c>
      <c r="J181" s="35" t="s">
        <v>1391</v>
      </c>
      <c r="K181" s="37">
        <v>4.9000000000000004</v>
      </c>
      <c r="L181" s="37">
        <v>3.8</v>
      </c>
      <c r="M181" s="37">
        <v>3</v>
      </c>
      <c r="N181" s="38">
        <f t="shared" si="17"/>
        <v>1.0349999999999999</v>
      </c>
      <c r="O181" s="39">
        <f t="shared" si="13"/>
        <v>100.96530612244896</v>
      </c>
      <c r="P181" s="39">
        <f t="shared" si="14"/>
        <v>130.19210526315788</v>
      </c>
      <c r="Q181" s="39">
        <f t="shared" si="15"/>
        <v>164.91</v>
      </c>
      <c r="R181" s="35" t="str">
        <f t="shared" si="16"/>
        <v>Rs./km</v>
      </c>
    </row>
    <row r="182" spans="1:18" ht="15" customHeight="1" x14ac:dyDescent="0.3">
      <c r="A182" s="35">
        <v>170</v>
      </c>
      <c r="B182" s="35" t="s">
        <v>195</v>
      </c>
      <c r="C182" s="35" t="s">
        <v>743</v>
      </c>
      <c r="D182" s="36" t="s">
        <v>625</v>
      </c>
      <c r="E182" s="36" t="s">
        <v>1421</v>
      </c>
      <c r="F182" s="35">
        <v>2011</v>
      </c>
      <c r="G182" s="35" t="s">
        <v>1357</v>
      </c>
      <c r="H182" s="35" t="s">
        <v>1390</v>
      </c>
      <c r="I182" s="36" t="s">
        <v>1385</v>
      </c>
      <c r="J182" s="35" t="s">
        <v>1391</v>
      </c>
      <c r="K182" s="37">
        <v>3.8</v>
      </c>
      <c r="L182" s="37">
        <v>3</v>
      </c>
      <c r="M182" s="37">
        <v>2.4</v>
      </c>
      <c r="N182" s="38">
        <f t="shared" si="17"/>
        <v>1.105</v>
      </c>
      <c r="O182" s="39">
        <f t="shared" si="13"/>
        <v>138.99736842105261</v>
      </c>
      <c r="P182" s="39">
        <f t="shared" si="14"/>
        <v>176.0633333333333</v>
      </c>
      <c r="Q182" s="39">
        <f t="shared" si="15"/>
        <v>220.07916666666665</v>
      </c>
      <c r="R182" s="35" t="str">
        <f t="shared" si="16"/>
        <v>Rs./km</v>
      </c>
    </row>
    <row r="183" spans="1:18" ht="15" customHeight="1" x14ac:dyDescent="0.3">
      <c r="A183" s="35">
        <v>171</v>
      </c>
      <c r="B183" s="35" t="s">
        <v>195</v>
      </c>
      <c r="C183" s="35" t="s">
        <v>745</v>
      </c>
      <c r="D183" s="36" t="s">
        <v>625</v>
      </c>
      <c r="E183" s="36" t="s">
        <v>1421</v>
      </c>
      <c r="F183" s="35">
        <v>2011</v>
      </c>
      <c r="G183" s="35" t="s">
        <v>1357</v>
      </c>
      <c r="H183" s="35" t="s">
        <v>1390</v>
      </c>
      <c r="I183" s="36" t="s">
        <v>1385</v>
      </c>
      <c r="J183" s="35" t="s">
        <v>1391</v>
      </c>
      <c r="K183" s="37">
        <v>3.8</v>
      </c>
      <c r="L183" s="37">
        <v>3</v>
      </c>
      <c r="M183" s="37">
        <v>2.4</v>
      </c>
      <c r="N183" s="38">
        <f t="shared" si="17"/>
        <v>1.105</v>
      </c>
      <c r="O183" s="39">
        <f t="shared" si="13"/>
        <v>138.99736842105261</v>
      </c>
      <c r="P183" s="39">
        <f t="shared" si="14"/>
        <v>176.0633333333333</v>
      </c>
      <c r="Q183" s="39">
        <f t="shared" si="15"/>
        <v>220.07916666666665</v>
      </c>
      <c r="R183" s="35" t="str">
        <f t="shared" si="16"/>
        <v>Rs./km</v>
      </c>
    </row>
    <row r="184" spans="1:18" ht="15" customHeight="1" x14ac:dyDescent="0.3">
      <c r="A184" s="35">
        <v>172</v>
      </c>
      <c r="B184" s="35" t="s">
        <v>195</v>
      </c>
      <c r="C184" s="35" t="s">
        <v>774</v>
      </c>
      <c r="D184" s="36" t="s">
        <v>625</v>
      </c>
      <c r="E184" s="36" t="s">
        <v>1421</v>
      </c>
      <c r="F184" s="35">
        <v>2012</v>
      </c>
      <c r="G184" s="35" t="s">
        <v>1357</v>
      </c>
      <c r="H184" s="35" t="s">
        <v>1390</v>
      </c>
      <c r="I184" s="36" t="s">
        <v>1385</v>
      </c>
      <c r="J184" s="35" t="s">
        <v>1391</v>
      </c>
      <c r="K184" s="37">
        <v>3.8</v>
      </c>
      <c r="L184" s="37">
        <v>3</v>
      </c>
      <c r="M184" s="37">
        <v>2.4</v>
      </c>
      <c r="N184" s="38">
        <f t="shared" si="17"/>
        <v>1.0980000000000001</v>
      </c>
      <c r="O184" s="39">
        <f t="shared" si="13"/>
        <v>138.11684210526317</v>
      </c>
      <c r="P184" s="39">
        <f t="shared" si="14"/>
        <v>174.94800000000001</v>
      </c>
      <c r="Q184" s="39">
        <f t="shared" si="15"/>
        <v>218.68500000000003</v>
      </c>
      <c r="R184" s="35" t="str">
        <f t="shared" si="16"/>
        <v>Rs./km</v>
      </c>
    </row>
    <row r="185" spans="1:18" ht="15" customHeight="1" x14ac:dyDescent="0.3">
      <c r="A185" s="35">
        <v>173</v>
      </c>
      <c r="B185" s="35" t="s">
        <v>195</v>
      </c>
      <c r="C185" s="35" t="s">
        <v>721</v>
      </c>
      <c r="D185" s="36" t="s">
        <v>625</v>
      </c>
      <c r="E185" s="36" t="s">
        <v>1421</v>
      </c>
      <c r="F185" s="35">
        <v>2011</v>
      </c>
      <c r="G185" s="35" t="s">
        <v>1357</v>
      </c>
      <c r="H185" s="35" t="s">
        <v>1390</v>
      </c>
      <c r="I185" s="36" t="s">
        <v>1385</v>
      </c>
      <c r="J185" s="35" t="s">
        <v>1391</v>
      </c>
      <c r="K185" s="37">
        <v>3.8</v>
      </c>
      <c r="L185" s="37">
        <v>3</v>
      </c>
      <c r="M185" s="37">
        <v>2.4</v>
      </c>
      <c r="N185" s="38">
        <f t="shared" si="17"/>
        <v>1.105</v>
      </c>
      <c r="O185" s="39">
        <f t="shared" si="13"/>
        <v>138.99736842105261</v>
      </c>
      <c r="P185" s="39">
        <f t="shared" si="14"/>
        <v>176.0633333333333</v>
      </c>
      <c r="Q185" s="39">
        <f t="shared" si="15"/>
        <v>220.07916666666665</v>
      </c>
      <c r="R185" s="35" t="str">
        <f t="shared" si="16"/>
        <v>Rs./km</v>
      </c>
    </row>
    <row r="186" spans="1:18" ht="15" customHeight="1" x14ac:dyDescent="0.3">
      <c r="A186" s="35">
        <v>174</v>
      </c>
      <c r="B186" s="35" t="s">
        <v>868</v>
      </c>
      <c r="C186" s="35" t="s">
        <v>195</v>
      </c>
      <c r="D186" s="36" t="s">
        <v>834</v>
      </c>
      <c r="E186" s="36" t="s">
        <v>1437</v>
      </c>
      <c r="F186" s="35">
        <v>2013</v>
      </c>
      <c r="G186" s="35" t="s">
        <v>1357</v>
      </c>
      <c r="H186" s="35" t="s">
        <v>1358</v>
      </c>
      <c r="I186" s="36" t="s">
        <v>1438</v>
      </c>
      <c r="J186" s="35" t="s">
        <v>1360</v>
      </c>
      <c r="K186" s="37">
        <v>11.5</v>
      </c>
      <c r="L186" s="37">
        <v>16</v>
      </c>
      <c r="M186" s="37">
        <v>21.6</v>
      </c>
      <c r="N186" s="38">
        <f t="shared" si="17"/>
        <v>1.091</v>
      </c>
      <c r="O186" s="39">
        <f t="shared" si="13"/>
        <v>5997.2269999999999</v>
      </c>
      <c r="P186" s="39">
        <f t="shared" si="14"/>
        <v>8343.9679999999989</v>
      </c>
      <c r="Q186" s="39">
        <f t="shared" si="15"/>
        <v>11264.3568</v>
      </c>
      <c r="R186" s="35" t="str">
        <f t="shared" si="16"/>
        <v>Rs./hr</v>
      </c>
    </row>
    <row r="187" spans="1:18" ht="15" customHeight="1" x14ac:dyDescent="0.3">
      <c r="A187" s="35">
        <v>175</v>
      </c>
      <c r="B187" s="35" t="s">
        <v>879</v>
      </c>
      <c r="C187" s="35" t="s">
        <v>195</v>
      </c>
      <c r="D187" s="36" t="s">
        <v>834</v>
      </c>
      <c r="E187" s="36" t="s">
        <v>1439</v>
      </c>
      <c r="F187" s="35">
        <v>2010</v>
      </c>
      <c r="G187" s="35" t="s">
        <v>1357</v>
      </c>
      <c r="H187" s="35" t="s">
        <v>1358</v>
      </c>
      <c r="I187" s="36" t="s">
        <v>1440</v>
      </c>
      <c r="J187" s="35" t="s">
        <v>1360</v>
      </c>
      <c r="K187" s="37">
        <v>7.2</v>
      </c>
      <c r="L187" s="37">
        <v>10</v>
      </c>
      <c r="M187" s="37">
        <v>13.5</v>
      </c>
      <c r="N187" s="38">
        <f t="shared" si="17"/>
        <v>1.1120000000000001</v>
      </c>
      <c r="O187" s="39">
        <f t="shared" si="13"/>
        <v>3827.0592000000006</v>
      </c>
      <c r="P187" s="39">
        <f t="shared" si="14"/>
        <v>5315.3600000000006</v>
      </c>
      <c r="Q187" s="39">
        <f t="shared" si="15"/>
        <v>7175.7359999999999</v>
      </c>
      <c r="R187" s="35" t="str">
        <f t="shared" si="16"/>
        <v>Rs./hr</v>
      </c>
    </row>
    <row r="188" spans="1:18" ht="15" customHeight="1" x14ac:dyDescent="0.3">
      <c r="A188" s="35">
        <v>176</v>
      </c>
      <c r="B188" s="35" t="s">
        <v>878</v>
      </c>
      <c r="C188" s="35" t="s">
        <v>195</v>
      </c>
      <c r="D188" s="36" t="s">
        <v>834</v>
      </c>
      <c r="E188" s="36" t="s">
        <v>1441</v>
      </c>
      <c r="F188" s="35">
        <v>2010</v>
      </c>
      <c r="G188" s="35" t="s">
        <v>1357</v>
      </c>
      <c r="H188" s="35" t="s">
        <v>1358</v>
      </c>
      <c r="I188" s="36" t="s">
        <v>1442</v>
      </c>
      <c r="J188" s="35" t="s">
        <v>1360</v>
      </c>
      <c r="K188" s="37">
        <v>7.2</v>
      </c>
      <c r="L188" s="37">
        <v>10</v>
      </c>
      <c r="M188" s="37">
        <v>13.5</v>
      </c>
      <c r="N188" s="38">
        <f t="shared" si="17"/>
        <v>1.1120000000000001</v>
      </c>
      <c r="O188" s="39">
        <f t="shared" si="13"/>
        <v>3827.0592000000006</v>
      </c>
      <c r="P188" s="39">
        <f t="shared" si="14"/>
        <v>5315.3600000000006</v>
      </c>
      <c r="Q188" s="39">
        <f t="shared" si="15"/>
        <v>7175.7359999999999</v>
      </c>
      <c r="R188" s="35" t="str">
        <f t="shared" si="16"/>
        <v>Rs./hr</v>
      </c>
    </row>
    <row r="189" spans="1:18" ht="15" customHeight="1" x14ac:dyDescent="0.3">
      <c r="A189" s="35">
        <v>177</v>
      </c>
      <c r="B189" s="35" t="s">
        <v>876</v>
      </c>
      <c r="C189" s="35" t="s">
        <v>195</v>
      </c>
      <c r="D189" s="36" t="s">
        <v>834</v>
      </c>
      <c r="E189" s="36" t="s">
        <v>1439</v>
      </c>
      <c r="F189" s="35">
        <v>2011</v>
      </c>
      <c r="G189" s="35" t="s">
        <v>1357</v>
      </c>
      <c r="H189" s="35" t="s">
        <v>1358</v>
      </c>
      <c r="I189" s="36" t="s">
        <v>1440</v>
      </c>
      <c r="J189" s="35" t="s">
        <v>1360</v>
      </c>
      <c r="K189" s="37">
        <v>7.2</v>
      </c>
      <c r="L189" s="37">
        <v>10</v>
      </c>
      <c r="M189" s="37">
        <v>13.5</v>
      </c>
      <c r="N189" s="38">
        <f t="shared" si="17"/>
        <v>1.105</v>
      </c>
      <c r="O189" s="39">
        <f t="shared" si="13"/>
        <v>3802.9680000000003</v>
      </c>
      <c r="P189" s="39">
        <f t="shared" si="14"/>
        <v>5281.9000000000005</v>
      </c>
      <c r="Q189" s="39">
        <f t="shared" si="15"/>
        <v>7130.5650000000005</v>
      </c>
      <c r="R189" s="35" t="str">
        <f t="shared" si="16"/>
        <v>Rs./hr</v>
      </c>
    </row>
    <row r="190" spans="1:18" ht="15" customHeight="1" x14ac:dyDescent="0.3">
      <c r="A190" s="35">
        <v>178</v>
      </c>
      <c r="B190" s="35" t="s">
        <v>883</v>
      </c>
      <c r="C190" s="35" t="s">
        <v>195</v>
      </c>
      <c r="D190" s="36" t="s">
        <v>834</v>
      </c>
      <c r="E190" s="36" t="s">
        <v>1443</v>
      </c>
      <c r="F190" s="35">
        <v>2009</v>
      </c>
      <c r="G190" s="35" t="s">
        <v>1357</v>
      </c>
      <c r="H190" s="35" t="s">
        <v>1358</v>
      </c>
      <c r="I190" s="36" t="s">
        <v>1444</v>
      </c>
      <c r="J190" s="35" t="s">
        <v>1360</v>
      </c>
      <c r="K190" s="37">
        <v>2.9</v>
      </c>
      <c r="L190" s="37">
        <v>4</v>
      </c>
      <c r="M190" s="37">
        <v>5.4</v>
      </c>
      <c r="N190" s="38">
        <f t="shared" si="17"/>
        <v>1.119</v>
      </c>
      <c r="O190" s="39">
        <f t="shared" si="13"/>
        <v>1551.1578</v>
      </c>
      <c r="P190" s="39">
        <f t="shared" si="14"/>
        <v>2139.5279999999998</v>
      </c>
      <c r="Q190" s="39">
        <f t="shared" si="15"/>
        <v>2888.3627999999999</v>
      </c>
      <c r="R190" s="35" t="str">
        <f t="shared" si="16"/>
        <v>Rs./hr</v>
      </c>
    </row>
    <row r="191" spans="1:18" ht="15" customHeight="1" x14ac:dyDescent="0.3">
      <c r="A191" s="35">
        <v>179</v>
      </c>
      <c r="B191" s="35" t="s">
        <v>885</v>
      </c>
      <c r="C191" s="35" t="s">
        <v>195</v>
      </c>
      <c r="D191" s="36" t="s">
        <v>834</v>
      </c>
      <c r="E191" s="36" t="s">
        <v>1445</v>
      </c>
      <c r="F191" s="35">
        <v>2009</v>
      </c>
      <c r="G191" s="35" t="s">
        <v>1357</v>
      </c>
      <c r="H191" s="35" t="s">
        <v>1358</v>
      </c>
      <c r="I191" s="36" t="s">
        <v>1446</v>
      </c>
      <c r="J191" s="35" t="s">
        <v>1360</v>
      </c>
      <c r="K191" s="37">
        <v>2.9</v>
      </c>
      <c r="L191" s="37">
        <v>4</v>
      </c>
      <c r="M191" s="37">
        <v>5.4</v>
      </c>
      <c r="N191" s="38">
        <f t="shared" si="17"/>
        <v>1.119</v>
      </c>
      <c r="O191" s="39">
        <f t="shared" si="13"/>
        <v>1551.1578</v>
      </c>
      <c r="P191" s="39">
        <f t="shared" si="14"/>
        <v>2139.5279999999998</v>
      </c>
      <c r="Q191" s="39">
        <f t="shared" si="15"/>
        <v>2888.3627999999999</v>
      </c>
      <c r="R191" s="35" t="str">
        <f t="shared" si="16"/>
        <v>Rs./hr</v>
      </c>
    </row>
    <row r="192" spans="1:18" ht="15" customHeight="1" x14ac:dyDescent="0.3">
      <c r="A192" s="35">
        <v>180</v>
      </c>
      <c r="B192" s="35" t="s">
        <v>860</v>
      </c>
      <c r="C192" s="35" t="s">
        <v>195</v>
      </c>
      <c r="D192" s="36" t="s">
        <v>834</v>
      </c>
      <c r="E192" s="36" t="s">
        <v>1447</v>
      </c>
      <c r="F192" s="35">
        <v>2014</v>
      </c>
      <c r="G192" s="35" t="s">
        <v>1357</v>
      </c>
      <c r="H192" s="35" t="s">
        <v>1358</v>
      </c>
      <c r="I192" s="36" t="s">
        <v>1448</v>
      </c>
      <c r="J192" s="35" t="s">
        <v>1360</v>
      </c>
      <c r="K192" s="37">
        <v>11.5</v>
      </c>
      <c r="L192" s="37">
        <v>16</v>
      </c>
      <c r="M192" s="37">
        <v>21.6</v>
      </c>
      <c r="N192" s="38">
        <f t="shared" si="17"/>
        <v>1.0840000000000001</v>
      </c>
      <c r="O192" s="39">
        <f t="shared" si="13"/>
        <v>5958.7480000000005</v>
      </c>
      <c r="P192" s="39">
        <f t="shared" si="14"/>
        <v>8290.4320000000007</v>
      </c>
      <c r="Q192" s="39">
        <f t="shared" si="15"/>
        <v>11192.083200000003</v>
      </c>
      <c r="R192" s="35" t="str">
        <f t="shared" si="16"/>
        <v>Rs./hr</v>
      </c>
    </row>
    <row r="193" spans="1:18" ht="15" customHeight="1" x14ac:dyDescent="0.3">
      <c r="A193" s="35">
        <v>181</v>
      </c>
      <c r="B193" s="35" t="s">
        <v>887</v>
      </c>
      <c r="C193" s="35" t="s">
        <v>195</v>
      </c>
      <c r="D193" s="36" t="s">
        <v>834</v>
      </c>
      <c r="E193" s="36" t="s">
        <v>1449</v>
      </c>
      <c r="F193" s="35">
        <v>2009</v>
      </c>
      <c r="G193" s="35" t="s">
        <v>1357</v>
      </c>
      <c r="H193" s="35" t="s">
        <v>1358</v>
      </c>
      <c r="I193" s="36" t="s">
        <v>1450</v>
      </c>
      <c r="J193" s="35" t="s">
        <v>1360</v>
      </c>
      <c r="K193" s="37">
        <v>2.9</v>
      </c>
      <c r="L193" s="37">
        <v>4</v>
      </c>
      <c r="M193" s="37">
        <v>5.4</v>
      </c>
      <c r="N193" s="38">
        <f t="shared" si="17"/>
        <v>1.119</v>
      </c>
      <c r="O193" s="39">
        <f t="shared" si="13"/>
        <v>1551.1578</v>
      </c>
      <c r="P193" s="39">
        <f t="shared" si="14"/>
        <v>2139.5279999999998</v>
      </c>
      <c r="Q193" s="39">
        <f t="shared" si="15"/>
        <v>2888.3627999999999</v>
      </c>
      <c r="R193" s="35" t="str">
        <f t="shared" si="16"/>
        <v>Rs./hr</v>
      </c>
    </row>
    <row r="194" spans="1:18" ht="15" customHeight="1" x14ac:dyDescent="0.3">
      <c r="A194" s="35">
        <v>182</v>
      </c>
      <c r="B194" s="35" t="s">
        <v>892</v>
      </c>
      <c r="C194" s="35" t="s">
        <v>195</v>
      </c>
      <c r="D194" s="36" t="s">
        <v>834</v>
      </c>
      <c r="E194" s="36" t="s">
        <v>188</v>
      </c>
      <c r="F194" s="35" t="s">
        <v>195</v>
      </c>
      <c r="G194" s="35" t="s">
        <v>1357</v>
      </c>
      <c r="H194" s="35" t="s">
        <v>1358</v>
      </c>
      <c r="I194" s="36" t="s">
        <v>1448</v>
      </c>
      <c r="J194" s="35" t="s">
        <v>1360</v>
      </c>
      <c r="K194" s="37">
        <v>11.5</v>
      </c>
      <c r="L194" s="37">
        <v>16</v>
      </c>
      <c r="M194" s="37">
        <v>21.6</v>
      </c>
      <c r="N194" s="38">
        <f>1</f>
        <v>1</v>
      </c>
      <c r="O194" s="39">
        <f t="shared" si="13"/>
        <v>5497</v>
      </c>
      <c r="P194" s="39">
        <f t="shared" si="14"/>
        <v>7648</v>
      </c>
      <c r="Q194" s="39">
        <f t="shared" si="15"/>
        <v>10324.800000000001</v>
      </c>
      <c r="R194" s="35" t="str">
        <f t="shared" si="16"/>
        <v>Rs./hr</v>
      </c>
    </row>
    <row r="195" spans="1:18" ht="15" customHeight="1" x14ac:dyDescent="0.3">
      <c r="A195" s="35">
        <v>183</v>
      </c>
      <c r="B195" s="35" t="s">
        <v>881</v>
      </c>
      <c r="C195" s="35" t="s">
        <v>195</v>
      </c>
      <c r="D195" s="36" t="s">
        <v>834</v>
      </c>
      <c r="E195" s="36" t="s">
        <v>1451</v>
      </c>
      <c r="F195" s="35">
        <v>2010</v>
      </c>
      <c r="G195" s="35" t="s">
        <v>1357</v>
      </c>
      <c r="H195" s="35" t="s">
        <v>1358</v>
      </c>
      <c r="I195" s="36" t="s">
        <v>1452</v>
      </c>
      <c r="J195" s="35" t="s">
        <v>1360</v>
      </c>
      <c r="K195" s="37">
        <v>2.9</v>
      </c>
      <c r="L195" s="37">
        <v>4</v>
      </c>
      <c r="M195" s="37">
        <v>5.4</v>
      </c>
      <c r="N195" s="38">
        <f>1+MIN(MAX($D$8-F195,0),$D$10)*$D$9</f>
        <v>1.1120000000000001</v>
      </c>
      <c r="O195" s="39">
        <f t="shared" si="13"/>
        <v>1541.4544000000001</v>
      </c>
      <c r="P195" s="39">
        <f t="shared" si="14"/>
        <v>2126.1440000000002</v>
      </c>
      <c r="Q195" s="39">
        <f t="shared" si="15"/>
        <v>2870.2944000000007</v>
      </c>
      <c r="R195" s="35" t="str">
        <f t="shared" si="16"/>
        <v>Rs./hr</v>
      </c>
    </row>
    <row r="196" spans="1:18" ht="15" customHeight="1" x14ac:dyDescent="0.3">
      <c r="A196" s="35">
        <v>184</v>
      </c>
      <c r="B196" s="35" t="s">
        <v>854</v>
      </c>
      <c r="C196" s="35" t="s">
        <v>195</v>
      </c>
      <c r="D196" s="36" t="s">
        <v>834</v>
      </c>
      <c r="E196" s="36" t="s">
        <v>1453</v>
      </c>
      <c r="F196" s="35">
        <v>2014</v>
      </c>
      <c r="G196" s="35" t="s">
        <v>1357</v>
      </c>
      <c r="H196" s="35" t="s">
        <v>1358</v>
      </c>
      <c r="I196" s="36" t="s">
        <v>1454</v>
      </c>
      <c r="J196" s="35" t="s">
        <v>1360</v>
      </c>
      <c r="K196" s="37">
        <v>2.9</v>
      </c>
      <c r="L196" s="37">
        <v>4</v>
      </c>
      <c r="M196" s="37">
        <v>5.4</v>
      </c>
      <c r="N196" s="38">
        <f>1+MIN(MAX($D$8-F196,0),$D$10)*$D$9</f>
        <v>1.0840000000000001</v>
      </c>
      <c r="O196" s="39">
        <f t="shared" si="13"/>
        <v>1502.6408000000001</v>
      </c>
      <c r="P196" s="39">
        <f t="shared" si="14"/>
        <v>2072.6080000000002</v>
      </c>
      <c r="Q196" s="39">
        <f t="shared" si="15"/>
        <v>2798.0208000000007</v>
      </c>
      <c r="R196" s="35" t="str">
        <f t="shared" si="16"/>
        <v>Rs./hr</v>
      </c>
    </row>
    <row r="197" spans="1:18" ht="15" customHeight="1" x14ac:dyDescent="0.3">
      <c r="A197" s="35">
        <v>185</v>
      </c>
      <c r="B197" s="35" t="s">
        <v>866</v>
      </c>
      <c r="C197" s="35" t="s">
        <v>195</v>
      </c>
      <c r="D197" s="36" t="s">
        <v>834</v>
      </c>
      <c r="E197" s="36" t="s">
        <v>1455</v>
      </c>
      <c r="F197" s="35">
        <v>2013</v>
      </c>
      <c r="G197" s="35" t="s">
        <v>1357</v>
      </c>
      <c r="H197" s="35" t="s">
        <v>1358</v>
      </c>
      <c r="I197" s="36" t="s">
        <v>1456</v>
      </c>
      <c r="J197" s="35" t="s">
        <v>1360</v>
      </c>
      <c r="K197" s="37">
        <v>2.9</v>
      </c>
      <c r="L197" s="37">
        <v>4</v>
      </c>
      <c r="M197" s="37">
        <v>5.4</v>
      </c>
      <c r="N197" s="38">
        <f>1+MIN(MAX($D$8-F197,0),$D$10)*$D$9</f>
        <v>1.091</v>
      </c>
      <c r="O197" s="39">
        <f t="shared" si="13"/>
        <v>1512.3442</v>
      </c>
      <c r="P197" s="39">
        <f t="shared" si="14"/>
        <v>2085.9919999999997</v>
      </c>
      <c r="Q197" s="39">
        <f t="shared" si="15"/>
        <v>2816.0891999999999</v>
      </c>
      <c r="R197" s="35" t="str">
        <f t="shared" si="16"/>
        <v>Rs./hr</v>
      </c>
    </row>
    <row r="198" spans="1:18" ht="15" customHeight="1" x14ac:dyDescent="0.3">
      <c r="A198" s="35">
        <v>186</v>
      </c>
      <c r="B198" s="35" t="s">
        <v>898</v>
      </c>
      <c r="C198" s="35" t="s">
        <v>195</v>
      </c>
      <c r="D198" s="36" t="s">
        <v>834</v>
      </c>
      <c r="E198" s="36" t="s">
        <v>1457</v>
      </c>
      <c r="F198" s="35" t="s">
        <v>195</v>
      </c>
      <c r="G198" s="35" t="s">
        <v>1357</v>
      </c>
      <c r="H198" s="35" t="s">
        <v>1358</v>
      </c>
      <c r="I198" s="36" t="s">
        <v>1458</v>
      </c>
      <c r="J198" s="35" t="s">
        <v>1360</v>
      </c>
      <c r="K198" s="37">
        <v>11.5</v>
      </c>
      <c r="L198" s="37">
        <v>16</v>
      </c>
      <c r="M198" s="37">
        <v>21.6</v>
      </c>
      <c r="N198" s="38">
        <f>1</f>
        <v>1</v>
      </c>
      <c r="O198" s="39">
        <f t="shared" si="13"/>
        <v>5497</v>
      </c>
      <c r="P198" s="39">
        <f t="shared" si="14"/>
        <v>7648</v>
      </c>
      <c r="Q198" s="39">
        <f t="shared" si="15"/>
        <v>10324.800000000001</v>
      </c>
      <c r="R198" s="35" t="str">
        <f t="shared" si="16"/>
        <v>Rs./hr</v>
      </c>
    </row>
    <row r="199" spans="1:18" ht="15" customHeight="1" x14ac:dyDescent="0.3">
      <c r="A199" s="35">
        <v>187</v>
      </c>
      <c r="B199" s="35" t="s">
        <v>858</v>
      </c>
      <c r="C199" s="35" t="s">
        <v>195</v>
      </c>
      <c r="D199" s="36" t="s">
        <v>834</v>
      </c>
      <c r="E199" s="36" t="s">
        <v>1459</v>
      </c>
      <c r="F199" s="35">
        <v>2014</v>
      </c>
      <c r="G199" s="35" t="s">
        <v>1357</v>
      </c>
      <c r="H199" s="35" t="s">
        <v>1358</v>
      </c>
      <c r="I199" s="36" t="s">
        <v>1460</v>
      </c>
      <c r="J199" s="35" t="s">
        <v>1360</v>
      </c>
      <c r="K199" s="37">
        <v>4.7</v>
      </c>
      <c r="L199" s="37">
        <v>6.5</v>
      </c>
      <c r="M199" s="37">
        <v>8.8000000000000007</v>
      </c>
      <c r="N199" s="38">
        <f t="shared" ref="N199:N206" si="18">1+MIN(MAX($D$8-F199,0),$D$10)*$D$9</f>
        <v>1.0840000000000001</v>
      </c>
      <c r="O199" s="39">
        <f t="shared" si="13"/>
        <v>2435.3144000000002</v>
      </c>
      <c r="P199" s="39">
        <f t="shared" si="14"/>
        <v>3367.9880000000003</v>
      </c>
      <c r="Q199" s="39">
        <f t="shared" si="15"/>
        <v>4559.7376000000004</v>
      </c>
      <c r="R199" s="35" t="str">
        <f t="shared" si="16"/>
        <v>Rs./hr</v>
      </c>
    </row>
    <row r="200" spans="1:18" ht="15" customHeight="1" x14ac:dyDescent="0.3">
      <c r="A200" s="35">
        <v>188</v>
      </c>
      <c r="B200" s="35" t="s">
        <v>889</v>
      </c>
      <c r="C200" s="35" t="s">
        <v>195</v>
      </c>
      <c r="D200" s="36" t="s">
        <v>834</v>
      </c>
      <c r="E200" s="36" t="s">
        <v>1461</v>
      </c>
      <c r="F200" s="35">
        <v>2009</v>
      </c>
      <c r="G200" s="35" t="s">
        <v>1357</v>
      </c>
      <c r="H200" s="35" t="s">
        <v>1358</v>
      </c>
      <c r="I200" s="36" t="s">
        <v>1462</v>
      </c>
      <c r="J200" s="35" t="s">
        <v>1360</v>
      </c>
      <c r="K200" s="37">
        <v>7.2</v>
      </c>
      <c r="L200" s="37">
        <v>10</v>
      </c>
      <c r="M200" s="37">
        <v>13.5</v>
      </c>
      <c r="N200" s="38">
        <f t="shared" si="18"/>
        <v>1.119</v>
      </c>
      <c r="O200" s="39">
        <f t="shared" si="13"/>
        <v>3851.1504000000004</v>
      </c>
      <c r="P200" s="39">
        <f t="shared" si="14"/>
        <v>5348.82</v>
      </c>
      <c r="Q200" s="39">
        <f t="shared" si="15"/>
        <v>7220.9070000000002</v>
      </c>
      <c r="R200" s="35" t="str">
        <f t="shared" si="16"/>
        <v>Rs./hr</v>
      </c>
    </row>
    <row r="201" spans="1:18" ht="15" customHeight="1" x14ac:dyDescent="0.3">
      <c r="A201" s="35">
        <v>189</v>
      </c>
      <c r="B201" s="35" t="s">
        <v>891</v>
      </c>
      <c r="C201" s="35" t="s">
        <v>195</v>
      </c>
      <c r="D201" s="36" t="s">
        <v>834</v>
      </c>
      <c r="E201" s="36" t="s">
        <v>1463</v>
      </c>
      <c r="F201" s="35">
        <v>2009</v>
      </c>
      <c r="G201" s="35" t="s">
        <v>1357</v>
      </c>
      <c r="H201" s="35" t="s">
        <v>1358</v>
      </c>
      <c r="I201" s="36" t="s">
        <v>1456</v>
      </c>
      <c r="J201" s="35" t="s">
        <v>1360</v>
      </c>
      <c r="K201" s="37">
        <v>2.9</v>
      </c>
      <c r="L201" s="37">
        <v>4</v>
      </c>
      <c r="M201" s="37">
        <v>5.4</v>
      </c>
      <c r="N201" s="38">
        <f t="shared" si="18"/>
        <v>1.119</v>
      </c>
      <c r="O201" s="39">
        <f t="shared" si="13"/>
        <v>1551.1578</v>
      </c>
      <c r="P201" s="39">
        <f t="shared" si="14"/>
        <v>2139.5279999999998</v>
      </c>
      <c r="Q201" s="39">
        <f t="shared" si="15"/>
        <v>2888.3627999999999</v>
      </c>
      <c r="R201" s="35" t="str">
        <f t="shared" si="16"/>
        <v>Rs./hr</v>
      </c>
    </row>
    <row r="202" spans="1:18" ht="15" customHeight="1" x14ac:dyDescent="0.3">
      <c r="A202" s="35">
        <v>190</v>
      </c>
      <c r="B202" s="35" t="s">
        <v>870</v>
      </c>
      <c r="C202" s="35" t="s">
        <v>195</v>
      </c>
      <c r="D202" s="36" t="s">
        <v>834</v>
      </c>
      <c r="E202" s="36" t="s">
        <v>1464</v>
      </c>
      <c r="F202" s="35">
        <v>2012</v>
      </c>
      <c r="G202" s="35" t="s">
        <v>1357</v>
      </c>
      <c r="H202" s="35" t="s">
        <v>1358</v>
      </c>
      <c r="I202" s="36" t="s">
        <v>1465</v>
      </c>
      <c r="J202" s="35" t="s">
        <v>1360</v>
      </c>
      <c r="K202" s="37">
        <v>7.2</v>
      </c>
      <c r="L202" s="37">
        <v>10</v>
      </c>
      <c r="M202" s="37">
        <v>13.5</v>
      </c>
      <c r="N202" s="38">
        <f t="shared" si="18"/>
        <v>1.0980000000000001</v>
      </c>
      <c r="O202" s="39">
        <f t="shared" si="13"/>
        <v>3778.8768000000005</v>
      </c>
      <c r="P202" s="39">
        <f t="shared" si="14"/>
        <v>5248.4400000000005</v>
      </c>
      <c r="Q202" s="39">
        <f t="shared" si="15"/>
        <v>7085.3940000000002</v>
      </c>
      <c r="R202" s="35" t="str">
        <f t="shared" si="16"/>
        <v>Rs./hr</v>
      </c>
    </row>
    <row r="203" spans="1:18" ht="15" customHeight="1" x14ac:dyDescent="0.3">
      <c r="A203" s="35">
        <v>191</v>
      </c>
      <c r="B203" s="35" t="s">
        <v>856</v>
      </c>
      <c r="C203" s="35" t="s">
        <v>195</v>
      </c>
      <c r="D203" s="36" t="s">
        <v>834</v>
      </c>
      <c r="E203" s="36" t="s">
        <v>1466</v>
      </c>
      <c r="F203" s="35">
        <v>2014</v>
      </c>
      <c r="G203" s="35" t="s">
        <v>1357</v>
      </c>
      <c r="H203" s="35" t="s">
        <v>1358</v>
      </c>
      <c r="I203" s="36" t="s">
        <v>1467</v>
      </c>
      <c r="J203" s="35" t="s">
        <v>1360</v>
      </c>
      <c r="K203" s="37">
        <v>7.2</v>
      </c>
      <c r="L203" s="37">
        <v>10</v>
      </c>
      <c r="M203" s="37">
        <v>13.5</v>
      </c>
      <c r="N203" s="38">
        <f t="shared" si="18"/>
        <v>1.0840000000000001</v>
      </c>
      <c r="O203" s="39">
        <f t="shared" si="13"/>
        <v>3730.6944000000003</v>
      </c>
      <c r="P203" s="39">
        <f t="shared" si="14"/>
        <v>5181.5199999999995</v>
      </c>
      <c r="Q203" s="39">
        <f t="shared" si="15"/>
        <v>6995.0520000000006</v>
      </c>
      <c r="R203" s="35" t="str">
        <f t="shared" si="16"/>
        <v>Rs./hr</v>
      </c>
    </row>
    <row r="204" spans="1:18" ht="15" customHeight="1" x14ac:dyDescent="0.3">
      <c r="A204" s="35">
        <v>192</v>
      </c>
      <c r="B204" s="35" t="s">
        <v>852</v>
      </c>
      <c r="C204" s="35" t="s">
        <v>195</v>
      </c>
      <c r="D204" s="36" t="s">
        <v>834</v>
      </c>
      <c r="E204" s="36" t="s">
        <v>1468</v>
      </c>
      <c r="F204" s="35">
        <v>2015</v>
      </c>
      <c r="G204" s="35" t="s">
        <v>1357</v>
      </c>
      <c r="H204" s="35" t="s">
        <v>1358</v>
      </c>
      <c r="I204" s="36" t="s">
        <v>1469</v>
      </c>
      <c r="J204" s="35" t="s">
        <v>1360</v>
      </c>
      <c r="K204" s="37">
        <v>11.5</v>
      </c>
      <c r="L204" s="37">
        <v>16</v>
      </c>
      <c r="M204" s="37">
        <v>21.6</v>
      </c>
      <c r="N204" s="38">
        <f t="shared" si="18"/>
        <v>1.077</v>
      </c>
      <c r="O204" s="39">
        <f t="shared" si="13"/>
        <v>5920.2690000000002</v>
      </c>
      <c r="P204" s="39">
        <f t="shared" si="14"/>
        <v>8236.8959999999988</v>
      </c>
      <c r="Q204" s="39">
        <f t="shared" si="15"/>
        <v>11119.809600000001</v>
      </c>
      <c r="R204" s="35" t="str">
        <f t="shared" si="16"/>
        <v>Rs./hr</v>
      </c>
    </row>
    <row r="205" spans="1:18" ht="15" customHeight="1" x14ac:dyDescent="0.3">
      <c r="A205" s="35">
        <v>193</v>
      </c>
      <c r="B205" s="35" t="s">
        <v>872</v>
      </c>
      <c r="C205" s="35" t="s">
        <v>195</v>
      </c>
      <c r="D205" s="36" t="s">
        <v>834</v>
      </c>
      <c r="E205" s="36" t="s">
        <v>1470</v>
      </c>
      <c r="F205" s="35">
        <v>2012</v>
      </c>
      <c r="G205" s="35" t="s">
        <v>1357</v>
      </c>
      <c r="H205" s="35" t="s">
        <v>1358</v>
      </c>
      <c r="I205" s="36" t="s">
        <v>1456</v>
      </c>
      <c r="J205" s="35" t="s">
        <v>1360</v>
      </c>
      <c r="K205" s="37">
        <v>2.9</v>
      </c>
      <c r="L205" s="37">
        <v>4</v>
      </c>
      <c r="M205" s="37">
        <v>5.4</v>
      </c>
      <c r="N205" s="38">
        <f t="shared" si="18"/>
        <v>1.0980000000000001</v>
      </c>
      <c r="O205" s="39">
        <f t="shared" ref="O205:O268" si="19">IF(H205="None",0,IF(H205="KM",IF(G205="Petrol",$D$6,$D$5)*N205/K205,K205*N205*IF(G205="Petrol",$D$6,$D$5)))</f>
        <v>1522.0476000000001</v>
      </c>
      <c r="P205" s="39">
        <f t="shared" ref="P205:P268" si="20">IF(H205="None",0,IF(H205="KM",IF(G205="Petrol",$D$6,$D$5)*N205/L205,L205*N205*IF(G205="Petrol",$D$6,$D$5)))</f>
        <v>2099.3760000000002</v>
      </c>
      <c r="Q205" s="39">
        <f t="shared" ref="Q205:Q268" si="21">IF(H205="None",0,IF(H205="KM",IF(G205="Petrol",$D$6,$D$5)*N205/M205,M205*N205*IF(G205="Petrol",$D$6,$D$5)))</f>
        <v>2834.1576000000005</v>
      </c>
      <c r="R205" s="35" t="str">
        <f t="shared" ref="R205:R268" si="22">IF(H205="None","—",IF(H205="KM","Rs./km","Rs./hr"))</f>
        <v>Rs./hr</v>
      </c>
    </row>
    <row r="206" spans="1:18" ht="15" customHeight="1" x14ac:dyDescent="0.3">
      <c r="A206" s="35">
        <v>194</v>
      </c>
      <c r="B206" s="35" t="s">
        <v>843</v>
      </c>
      <c r="C206" s="35" t="s">
        <v>1471</v>
      </c>
      <c r="D206" s="36" t="s">
        <v>834</v>
      </c>
      <c r="E206" s="36" t="s">
        <v>1472</v>
      </c>
      <c r="F206" s="35">
        <v>2017</v>
      </c>
      <c r="G206" s="35" t="s">
        <v>1357</v>
      </c>
      <c r="H206" s="35" t="s">
        <v>1358</v>
      </c>
      <c r="I206" s="36" t="s">
        <v>1473</v>
      </c>
      <c r="J206" s="35" t="s">
        <v>1360</v>
      </c>
      <c r="K206" s="37">
        <v>11.5</v>
      </c>
      <c r="L206" s="37">
        <v>16</v>
      </c>
      <c r="M206" s="37">
        <v>21.6</v>
      </c>
      <c r="N206" s="38">
        <f t="shared" si="18"/>
        <v>1.0629999999999999</v>
      </c>
      <c r="O206" s="39">
        <f t="shared" si="19"/>
        <v>5843.3109999999997</v>
      </c>
      <c r="P206" s="39">
        <f t="shared" si="20"/>
        <v>8129.8239999999996</v>
      </c>
      <c r="Q206" s="39">
        <f t="shared" si="21"/>
        <v>10975.2624</v>
      </c>
      <c r="R206" s="35" t="str">
        <f t="shared" si="22"/>
        <v>Rs./hr</v>
      </c>
    </row>
    <row r="207" spans="1:18" ht="15" customHeight="1" x14ac:dyDescent="0.3">
      <c r="A207" s="35">
        <v>195</v>
      </c>
      <c r="B207" s="35" t="s">
        <v>844</v>
      </c>
      <c r="C207" s="35" t="s">
        <v>195</v>
      </c>
      <c r="D207" s="36" t="s">
        <v>834</v>
      </c>
      <c r="E207" s="36" t="s">
        <v>1474</v>
      </c>
      <c r="F207" s="35" t="s">
        <v>195</v>
      </c>
      <c r="G207" s="35" t="s">
        <v>1357</v>
      </c>
      <c r="H207" s="35" t="s">
        <v>1358</v>
      </c>
      <c r="I207" s="36" t="s">
        <v>1475</v>
      </c>
      <c r="J207" s="35" t="s">
        <v>1360</v>
      </c>
      <c r="K207" s="37">
        <v>15.8</v>
      </c>
      <c r="L207" s="37">
        <v>22</v>
      </c>
      <c r="M207" s="37">
        <v>29.7</v>
      </c>
      <c r="N207" s="38">
        <f>1</f>
        <v>1</v>
      </c>
      <c r="O207" s="39">
        <f t="shared" si="19"/>
        <v>7552.4000000000005</v>
      </c>
      <c r="P207" s="39">
        <f t="shared" si="20"/>
        <v>10516</v>
      </c>
      <c r="Q207" s="39">
        <f t="shared" si="21"/>
        <v>14196.6</v>
      </c>
      <c r="R207" s="35" t="str">
        <f t="shared" si="22"/>
        <v>Rs./hr</v>
      </c>
    </row>
    <row r="208" spans="1:18" ht="15" customHeight="1" x14ac:dyDescent="0.3">
      <c r="A208" s="35">
        <v>196</v>
      </c>
      <c r="B208" s="35" t="s">
        <v>845</v>
      </c>
      <c r="C208" s="35" t="s">
        <v>195</v>
      </c>
      <c r="D208" s="36" t="s">
        <v>834</v>
      </c>
      <c r="E208" s="36" t="s">
        <v>1476</v>
      </c>
      <c r="F208" s="35" t="s">
        <v>195</v>
      </c>
      <c r="G208" s="35" t="s">
        <v>1357</v>
      </c>
      <c r="H208" s="35" t="s">
        <v>1358</v>
      </c>
      <c r="I208" s="36" t="s">
        <v>1477</v>
      </c>
      <c r="J208" s="35" t="s">
        <v>1360</v>
      </c>
      <c r="K208" s="37">
        <v>2.9</v>
      </c>
      <c r="L208" s="37">
        <v>4</v>
      </c>
      <c r="M208" s="37">
        <v>5.4</v>
      </c>
      <c r="N208" s="38">
        <f>1</f>
        <v>1</v>
      </c>
      <c r="O208" s="39">
        <f t="shared" si="19"/>
        <v>1386.2</v>
      </c>
      <c r="P208" s="39">
        <f t="shared" si="20"/>
        <v>1912</v>
      </c>
      <c r="Q208" s="39">
        <f t="shared" si="21"/>
        <v>2581.2000000000003</v>
      </c>
      <c r="R208" s="35" t="str">
        <f t="shared" si="22"/>
        <v>Rs./hr</v>
      </c>
    </row>
    <row r="209" spans="1:18" ht="15" customHeight="1" x14ac:dyDescent="0.3">
      <c r="A209" s="35">
        <v>197</v>
      </c>
      <c r="B209" s="35" t="s">
        <v>874</v>
      </c>
      <c r="C209" s="35" t="s">
        <v>195</v>
      </c>
      <c r="D209" s="36" t="s">
        <v>834</v>
      </c>
      <c r="E209" s="36" t="s">
        <v>1478</v>
      </c>
      <c r="F209" s="35">
        <v>2012</v>
      </c>
      <c r="G209" s="35" t="s">
        <v>1357</v>
      </c>
      <c r="H209" s="35" t="s">
        <v>1358</v>
      </c>
      <c r="I209" s="36" t="s">
        <v>1444</v>
      </c>
      <c r="J209" s="35" t="s">
        <v>1360</v>
      </c>
      <c r="K209" s="37">
        <v>2.9</v>
      </c>
      <c r="L209" s="37">
        <v>4</v>
      </c>
      <c r="M209" s="37">
        <v>5.4</v>
      </c>
      <c r="N209" s="38">
        <f t="shared" ref="N209:N216" si="23">1+MIN(MAX($D$8-F209,0),$D$10)*$D$9</f>
        <v>1.0980000000000001</v>
      </c>
      <c r="O209" s="39">
        <f t="shared" si="19"/>
        <v>1522.0476000000001</v>
      </c>
      <c r="P209" s="39">
        <f t="shared" si="20"/>
        <v>2099.3760000000002</v>
      </c>
      <c r="Q209" s="39">
        <f t="shared" si="21"/>
        <v>2834.1576000000005</v>
      </c>
      <c r="R209" s="35" t="str">
        <f t="shared" si="22"/>
        <v>Rs./hr</v>
      </c>
    </row>
    <row r="210" spans="1:18" ht="15" customHeight="1" x14ac:dyDescent="0.3">
      <c r="A210" s="35">
        <v>198</v>
      </c>
      <c r="B210" s="35" t="s">
        <v>864</v>
      </c>
      <c r="C210" s="35" t="s">
        <v>195</v>
      </c>
      <c r="D210" s="36" t="s">
        <v>834</v>
      </c>
      <c r="E210" s="36" t="s">
        <v>1479</v>
      </c>
      <c r="F210" s="35">
        <v>2013</v>
      </c>
      <c r="G210" s="35" t="s">
        <v>1357</v>
      </c>
      <c r="H210" s="35" t="s">
        <v>1358</v>
      </c>
      <c r="I210" s="36" t="s">
        <v>1480</v>
      </c>
      <c r="J210" s="35" t="s">
        <v>1360</v>
      </c>
      <c r="K210" s="37">
        <v>4.7</v>
      </c>
      <c r="L210" s="37">
        <v>6.5</v>
      </c>
      <c r="M210" s="37">
        <v>8.8000000000000007</v>
      </c>
      <c r="N210" s="38">
        <f t="shared" si="23"/>
        <v>1.091</v>
      </c>
      <c r="O210" s="39">
        <f t="shared" si="19"/>
        <v>2451.0405999999998</v>
      </c>
      <c r="P210" s="39">
        <f t="shared" si="20"/>
        <v>3389.7370000000001</v>
      </c>
      <c r="Q210" s="39">
        <f t="shared" si="21"/>
        <v>4589.1824000000006</v>
      </c>
      <c r="R210" s="35" t="str">
        <f t="shared" si="22"/>
        <v>Rs./hr</v>
      </c>
    </row>
    <row r="211" spans="1:18" ht="15" customHeight="1" x14ac:dyDescent="0.3">
      <c r="A211" s="35">
        <v>199</v>
      </c>
      <c r="B211" s="35" t="s">
        <v>862</v>
      </c>
      <c r="C211" s="35" t="s">
        <v>195</v>
      </c>
      <c r="D211" s="36" t="s">
        <v>834</v>
      </c>
      <c r="E211" s="36" t="s">
        <v>1481</v>
      </c>
      <c r="F211" s="35">
        <v>2014</v>
      </c>
      <c r="G211" s="35" t="s">
        <v>1357</v>
      </c>
      <c r="H211" s="35" t="s">
        <v>1358</v>
      </c>
      <c r="I211" s="36" t="s">
        <v>1454</v>
      </c>
      <c r="J211" s="35" t="s">
        <v>1360</v>
      </c>
      <c r="K211" s="37">
        <v>2.9</v>
      </c>
      <c r="L211" s="37">
        <v>4</v>
      </c>
      <c r="M211" s="37">
        <v>5.4</v>
      </c>
      <c r="N211" s="38">
        <f t="shared" si="23"/>
        <v>1.0840000000000001</v>
      </c>
      <c r="O211" s="39">
        <f t="shared" si="19"/>
        <v>1502.6408000000001</v>
      </c>
      <c r="P211" s="39">
        <f t="shared" si="20"/>
        <v>2072.6080000000002</v>
      </c>
      <c r="Q211" s="39">
        <f t="shared" si="21"/>
        <v>2798.0208000000007</v>
      </c>
      <c r="R211" s="35" t="str">
        <f t="shared" si="22"/>
        <v>Rs./hr</v>
      </c>
    </row>
    <row r="212" spans="1:18" ht="15" customHeight="1" x14ac:dyDescent="0.3">
      <c r="A212" s="35">
        <v>200</v>
      </c>
      <c r="B212" s="35" t="s">
        <v>846</v>
      </c>
      <c r="C212" s="35" t="s">
        <v>1471</v>
      </c>
      <c r="D212" s="36" t="s">
        <v>834</v>
      </c>
      <c r="E212" s="36" t="s">
        <v>1472</v>
      </c>
      <c r="F212" s="35">
        <v>2017</v>
      </c>
      <c r="G212" s="35" t="s">
        <v>1357</v>
      </c>
      <c r="H212" s="35" t="s">
        <v>1358</v>
      </c>
      <c r="I212" s="36" t="s">
        <v>1473</v>
      </c>
      <c r="J212" s="35" t="s">
        <v>1360</v>
      </c>
      <c r="K212" s="37">
        <v>11.5</v>
      </c>
      <c r="L212" s="37">
        <v>16</v>
      </c>
      <c r="M212" s="37">
        <v>21.6</v>
      </c>
      <c r="N212" s="38">
        <f t="shared" si="23"/>
        <v>1.0629999999999999</v>
      </c>
      <c r="O212" s="39">
        <f t="shared" si="19"/>
        <v>5843.3109999999997</v>
      </c>
      <c r="P212" s="39">
        <f t="shared" si="20"/>
        <v>8129.8239999999996</v>
      </c>
      <c r="Q212" s="39">
        <f t="shared" si="21"/>
        <v>10975.2624</v>
      </c>
      <c r="R212" s="35" t="str">
        <f t="shared" si="22"/>
        <v>Rs./hr</v>
      </c>
    </row>
    <row r="213" spans="1:18" ht="15" customHeight="1" x14ac:dyDescent="0.3">
      <c r="A213" s="35">
        <v>201</v>
      </c>
      <c r="B213" s="35" t="s">
        <v>847</v>
      </c>
      <c r="C213" s="35" t="s">
        <v>1471</v>
      </c>
      <c r="D213" s="36" t="s">
        <v>834</v>
      </c>
      <c r="E213" s="36" t="s">
        <v>1472</v>
      </c>
      <c r="F213" s="35">
        <v>2017</v>
      </c>
      <c r="G213" s="35" t="s">
        <v>1357</v>
      </c>
      <c r="H213" s="35" t="s">
        <v>1358</v>
      </c>
      <c r="I213" s="36" t="s">
        <v>1473</v>
      </c>
      <c r="J213" s="35" t="s">
        <v>1360</v>
      </c>
      <c r="K213" s="37">
        <v>11.5</v>
      </c>
      <c r="L213" s="37">
        <v>16</v>
      </c>
      <c r="M213" s="37">
        <v>21.6</v>
      </c>
      <c r="N213" s="38">
        <f t="shared" si="23"/>
        <v>1.0629999999999999</v>
      </c>
      <c r="O213" s="39">
        <f t="shared" si="19"/>
        <v>5843.3109999999997</v>
      </c>
      <c r="P213" s="39">
        <f t="shared" si="20"/>
        <v>8129.8239999999996</v>
      </c>
      <c r="Q213" s="39">
        <f t="shared" si="21"/>
        <v>10975.2624</v>
      </c>
      <c r="R213" s="35" t="str">
        <f t="shared" si="22"/>
        <v>Rs./hr</v>
      </c>
    </row>
    <row r="214" spans="1:18" ht="15" customHeight="1" x14ac:dyDescent="0.3">
      <c r="A214" s="35">
        <v>202</v>
      </c>
      <c r="B214" s="35" t="s">
        <v>849</v>
      </c>
      <c r="C214" s="35" t="s">
        <v>195</v>
      </c>
      <c r="D214" s="36" t="s">
        <v>834</v>
      </c>
      <c r="E214" s="36" t="s">
        <v>1482</v>
      </c>
      <c r="F214" s="35">
        <v>2017</v>
      </c>
      <c r="G214" s="35" t="s">
        <v>1357</v>
      </c>
      <c r="H214" s="35" t="s">
        <v>1358</v>
      </c>
      <c r="I214" s="36" t="s">
        <v>1458</v>
      </c>
      <c r="J214" s="35" t="s">
        <v>1360</v>
      </c>
      <c r="K214" s="37">
        <v>11.5</v>
      </c>
      <c r="L214" s="37">
        <v>16</v>
      </c>
      <c r="M214" s="37">
        <v>21.6</v>
      </c>
      <c r="N214" s="38">
        <f t="shared" si="23"/>
        <v>1.0629999999999999</v>
      </c>
      <c r="O214" s="39">
        <f t="shared" si="19"/>
        <v>5843.3109999999997</v>
      </c>
      <c r="P214" s="39">
        <f t="shared" si="20"/>
        <v>8129.8239999999996</v>
      </c>
      <c r="Q214" s="39">
        <f t="shared" si="21"/>
        <v>10975.2624</v>
      </c>
      <c r="R214" s="35" t="str">
        <f t="shared" si="22"/>
        <v>Rs./hr</v>
      </c>
    </row>
    <row r="215" spans="1:18" ht="15" customHeight="1" x14ac:dyDescent="0.3">
      <c r="A215" s="35">
        <v>203</v>
      </c>
      <c r="B215" s="35" t="s">
        <v>850</v>
      </c>
      <c r="C215" s="35" t="s">
        <v>1471</v>
      </c>
      <c r="D215" s="36" t="s">
        <v>834</v>
      </c>
      <c r="E215" s="36" t="s">
        <v>1472</v>
      </c>
      <c r="F215" s="35">
        <v>2017</v>
      </c>
      <c r="G215" s="35" t="s">
        <v>1357</v>
      </c>
      <c r="H215" s="35" t="s">
        <v>1358</v>
      </c>
      <c r="I215" s="36" t="s">
        <v>1473</v>
      </c>
      <c r="J215" s="35" t="s">
        <v>1360</v>
      </c>
      <c r="K215" s="37">
        <v>11.5</v>
      </c>
      <c r="L215" s="37">
        <v>16</v>
      </c>
      <c r="M215" s="37">
        <v>21.6</v>
      </c>
      <c r="N215" s="38">
        <f t="shared" si="23"/>
        <v>1.0629999999999999</v>
      </c>
      <c r="O215" s="39">
        <f t="shared" si="19"/>
        <v>5843.3109999999997</v>
      </c>
      <c r="P215" s="39">
        <f t="shared" si="20"/>
        <v>8129.8239999999996</v>
      </c>
      <c r="Q215" s="39">
        <f t="shared" si="21"/>
        <v>10975.2624</v>
      </c>
      <c r="R215" s="35" t="str">
        <f t="shared" si="22"/>
        <v>Rs./hr</v>
      </c>
    </row>
    <row r="216" spans="1:18" ht="15" customHeight="1" x14ac:dyDescent="0.3">
      <c r="A216" s="35">
        <v>204</v>
      </c>
      <c r="B216" s="35" t="s">
        <v>841</v>
      </c>
      <c r="C216" s="35" t="s">
        <v>195</v>
      </c>
      <c r="D216" s="36" t="s">
        <v>834</v>
      </c>
      <c r="E216" s="36" t="s">
        <v>1476</v>
      </c>
      <c r="F216" s="35">
        <v>2018</v>
      </c>
      <c r="G216" s="35" t="s">
        <v>1357</v>
      </c>
      <c r="H216" s="35" t="s">
        <v>1358</v>
      </c>
      <c r="I216" s="36" t="s">
        <v>1477</v>
      </c>
      <c r="J216" s="35" t="s">
        <v>1360</v>
      </c>
      <c r="K216" s="37">
        <v>2.9</v>
      </c>
      <c r="L216" s="37">
        <v>4</v>
      </c>
      <c r="M216" s="37">
        <v>5.4</v>
      </c>
      <c r="N216" s="38">
        <f t="shared" si="23"/>
        <v>1.056</v>
      </c>
      <c r="O216" s="39">
        <f t="shared" si="19"/>
        <v>1463.8272000000002</v>
      </c>
      <c r="P216" s="39">
        <f t="shared" si="20"/>
        <v>2019.0720000000001</v>
      </c>
      <c r="Q216" s="39">
        <f t="shared" si="21"/>
        <v>2725.7472000000002</v>
      </c>
      <c r="R216" s="35" t="str">
        <f t="shared" si="22"/>
        <v>Rs./hr</v>
      </c>
    </row>
    <row r="217" spans="1:18" ht="15" customHeight="1" x14ac:dyDescent="0.3">
      <c r="A217" s="35">
        <v>205</v>
      </c>
      <c r="B217" s="35" t="s">
        <v>900</v>
      </c>
      <c r="C217" s="35" t="s">
        <v>195</v>
      </c>
      <c r="D217" s="36" t="s">
        <v>834</v>
      </c>
      <c r="E217" s="36" t="s">
        <v>1483</v>
      </c>
      <c r="F217" s="35" t="s">
        <v>195</v>
      </c>
      <c r="G217" s="35" t="s">
        <v>1357</v>
      </c>
      <c r="H217" s="35" t="s">
        <v>1358</v>
      </c>
      <c r="I217" s="36" t="s">
        <v>1475</v>
      </c>
      <c r="J217" s="35" t="s">
        <v>1360</v>
      </c>
      <c r="K217" s="37">
        <v>15.8</v>
      </c>
      <c r="L217" s="37">
        <v>22</v>
      </c>
      <c r="M217" s="37">
        <v>29.7</v>
      </c>
      <c r="N217" s="38">
        <f>1</f>
        <v>1</v>
      </c>
      <c r="O217" s="39">
        <f t="shared" si="19"/>
        <v>7552.4000000000005</v>
      </c>
      <c r="P217" s="39">
        <f t="shared" si="20"/>
        <v>10516</v>
      </c>
      <c r="Q217" s="39">
        <f t="shared" si="21"/>
        <v>14196.6</v>
      </c>
      <c r="R217" s="35" t="str">
        <f t="shared" si="22"/>
        <v>Rs./hr</v>
      </c>
    </row>
    <row r="218" spans="1:18" ht="15" customHeight="1" x14ac:dyDescent="0.3">
      <c r="A218" s="35">
        <v>206</v>
      </c>
      <c r="B218" s="35" t="s">
        <v>894</v>
      </c>
      <c r="C218" s="35" t="s">
        <v>1471</v>
      </c>
      <c r="D218" s="36" t="s">
        <v>834</v>
      </c>
      <c r="E218" s="36" t="s">
        <v>1472</v>
      </c>
      <c r="F218" s="35">
        <v>2017</v>
      </c>
      <c r="G218" s="35" t="s">
        <v>1357</v>
      </c>
      <c r="H218" s="35" t="s">
        <v>1358</v>
      </c>
      <c r="I218" s="36" t="s">
        <v>1473</v>
      </c>
      <c r="J218" s="35" t="s">
        <v>1360</v>
      </c>
      <c r="K218" s="37">
        <v>11.5</v>
      </c>
      <c r="L218" s="37">
        <v>16</v>
      </c>
      <c r="M218" s="37">
        <v>21.6</v>
      </c>
      <c r="N218" s="38">
        <f>1+MIN(MAX($D$8-F218,0),$D$10)*$D$9</f>
        <v>1.0629999999999999</v>
      </c>
      <c r="O218" s="39">
        <f t="shared" si="19"/>
        <v>5843.3109999999997</v>
      </c>
      <c r="P218" s="39">
        <f t="shared" si="20"/>
        <v>8129.8239999999996</v>
      </c>
      <c r="Q218" s="39">
        <f t="shared" si="21"/>
        <v>10975.2624</v>
      </c>
      <c r="R218" s="35" t="str">
        <f t="shared" si="22"/>
        <v>Rs./hr</v>
      </c>
    </row>
    <row r="219" spans="1:18" ht="15" customHeight="1" x14ac:dyDescent="0.3">
      <c r="A219" s="35">
        <v>207</v>
      </c>
      <c r="B219" s="35" t="s">
        <v>896</v>
      </c>
      <c r="C219" s="35" t="s">
        <v>195</v>
      </c>
      <c r="D219" s="36" t="s">
        <v>834</v>
      </c>
      <c r="E219" s="36" t="s">
        <v>1482</v>
      </c>
      <c r="F219" s="35">
        <v>2017</v>
      </c>
      <c r="G219" s="35" t="s">
        <v>1357</v>
      </c>
      <c r="H219" s="35" t="s">
        <v>1358</v>
      </c>
      <c r="I219" s="36" t="s">
        <v>1458</v>
      </c>
      <c r="J219" s="35" t="s">
        <v>1360</v>
      </c>
      <c r="K219" s="37">
        <v>11.5</v>
      </c>
      <c r="L219" s="37">
        <v>16</v>
      </c>
      <c r="M219" s="37">
        <v>21.6</v>
      </c>
      <c r="N219" s="38">
        <f>1+MIN(MAX($D$8-F219,0),$D$10)*$D$9</f>
        <v>1.0629999999999999</v>
      </c>
      <c r="O219" s="39">
        <f t="shared" si="19"/>
        <v>5843.3109999999997</v>
      </c>
      <c r="P219" s="39">
        <f t="shared" si="20"/>
        <v>8129.8239999999996</v>
      </c>
      <c r="Q219" s="39">
        <f t="shared" si="21"/>
        <v>10975.2624</v>
      </c>
      <c r="R219" s="35" t="str">
        <f t="shared" si="22"/>
        <v>Rs./hr</v>
      </c>
    </row>
    <row r="220" spans="1:18" ht="15" customHeight="1" x14ac:dyDescent="0.3">
      <c r="A220" s="35">
        <v>208</v>
      </c>
      <c r="B220" s="35" t="s">
        <v>906</v>
      </c>
      <c r="C220" s="35" t="s">
        <v>195</v>
      </c>
      <c r="D220" s="36" t="s">
        <v>834</v>
      </c>
      <c r="E220" s="36" t="s">
        <v>1484</v>
      </c>
      <c r="F220" s="35" t="s">
        <v>195</v>
      </c>
      <c r="G220" s="35" t="s">
        <v>1357</v>
      </c>
      <c r="H220" s="35" t="s">
        <v>1358</v>
      </c>
      <c r="I220" s="36" t="s">
        <v>1438</v>
      </c>
      <c r="J220" s="35" t="s">
        <v>1360</v>
      </c>
      <c r="K220" s="37">
        <v>11.5</v>
      </c>
      <c r="L220" s="37">
        <v>16</v>
      </c>
      <c r="M220" s="37">
        <v>21.6</v>
      </c>
      <c r="N220" s="38">
        <f>1</f>
        <v>1</v>
      </c>
      <c r="O220" s="39">
        <f t="shared" si="19"/>
        <v>5497</v>
      </c>
      <c r="P220" s="39">
        <f t="shared" si="20"/>
        <v>7648</v>
      </c>
      <c r="Q220" s="39">
        <f t="shared" si="21"/>
        <v>10324.800000000001</v>
      </c>
      <c r="R220" s="35" t="str">
        <f t="shared" si="22"/>
        <v>Rs./hr</v>
      </c>
    </row>
    <row r="221" spans="1:18" ht="15" customHeight="1" x14ac:dyDescent="0.3">
      <c r="A221" s="35">
        <v>209</v>
      </c>
      <c r="B221" s="35" t="s">
        <v>902</v>
      </c>
      <c r="C221" s="35" t="s">
        <v>195</v>
      </c>
      <c r="D221" s="36" t="s">
        <v>834</v>
      </c>
      <c r="E221" s="36" t="s">
        <v>1485</v>
      </c>
      <c r="F221" s="35" t="s">
        <v>195</v>
      </c>
      <c r="G221" s="35" t="s">
        <v>1357</v>
      </c>
      <c r="H221" s="35" t="s">
        <v>1358</v>
      </c>
      <c r="I221" s="36" t="s">
        <v>1458</v>
      </c>
      <c r="J221" s="35" t="s">
        <v>1360</v>
      </c>
      <c r="K221" s="37">
        <v>11.5</v>
      </c>
      <c r="L221" s="37">
        <v>16</v>
      </c>
      <c r="M221" s="37">
        <v>21.6</v>
      </c>
      <c r="N221" s="38">
        <f>1</f>
        <v>1</v>
      </c>
      <c r="O221" s="39">
        <f t="shared" si="19"/>
        <v>5497</v>
      </c>
      <c r="P221" s="39">
        <f t="shared" si="20"/>
        <v>7648</v>
      </c>
      <c r="Q221" s="39">
        <f t="shared" si="21"/>
        <v>10324.800000000001</v>
      </c>
      <c r="R221" s="35" t="str">
        <f t="shared" si="22"/>
        <v>Rs./hr</v>
      </c>
    </row>
    <row r="222" spans="1:18" ht="15" customHeight="1" x14ac:dyDescent="0.3">
      <c r="A222" s="35">
        <v>210</v>
      </c>
      <c r="B222" s="35" t="s">
        <v>836</v>
      </c>
      <c r="C222" s="35" t="s">
        <v>195</v>
      </c>
      <c r="D222" s="36" t="s">
        <v>834</v>
      </c>
      <c r="E222" s="36" t="s">
        <v>1486</v>
      </c>
      <c r="F222" s="35">
        <v>2021</v>
      </c>
      <c r="G222" s="35" t="s">
        <v>1357</v>
      </c>
      <c r="H222" s="35" t="s">
        <v>1358</v>
      </c>
      <c r="I222" s="36" t="s">
        <v>1458</v>
      </c>
      <c r="J222" s="35" t="s">
        <v>1360</v>
      </c>
      <c r="K222" s="37">
        <v>11.5</v>
      </c>
      <c r="L222" s="37">
        <v>16</v>
      </c>
      <c r="M222" s="37">
        <v>21.6</v>
      </c>
      <c r="N222" s="38">
        <f>1+MIN(MAX($D$8-F222,0),$D$10)*$D$9</f>
        <v>1.0349999999999999</v>
      </c>
      <c r="O222" s="39">
        <f t="shared" si="19"/>
        <v>5689.3949999999995</v>
      </c>
      <c r="P222" s="39">
        <f t="shared" si="20"/>
        <v>7915.6799999999994</v>
      </c>
      <c r="Q222" s="39">
        <f t="shared" si="21"/>
        <v>10686.168</v>
      </c>
      <c r="R222" s="35" t="str">
        <f t="shared" si="22"/>
        <v>Rs./hr</v>
      </c>
    </row>
    <row r="223" spans="1:18" ht="15" customHeight="1" x14ac:dyDescent="0.3">
      <c r="A223" s="35">
        <v>211</v>
      </c>
      <c r="B223" s="35" t="s">
        <v>837</v>
      </c>
      <c r="C223" s="35" t="s">
        <v>195</v>
      </c>
      <c r="D223" s="36" t="s">
        <v>834</v>
      </c>
      <c r="E223" s="36" t="s">
        <v>1486</v>
      </c>
      <c r="F223" s="35">
        <v>2021</v>
      </c>
      <c r="G223" s="35" t="s">
        <v>1357</v>
      </c>
      <c r="H223" s="35" t="s">
        <v>1358</v>
      </c>
      <c r="I223" s="36" t="s">
        <v>1458</v>
      </c>
      <c r="J223" s="35" t="s">
        <v>1360</v>
      </c>
      <c r="K223" s="37">
        <v>11.5</v>
      </c>
      <c r="L223" s="37">
        <v>16</v>
      </c>
      <c r="M223" s="37">
        <v>21.6</v>
      </c>
      <c r="N223" s="38">
        <f>1+MIN(MAX($D$8-F223,0),$D$10)*$D$9</f>
        <v>1.0349999999999999</v>
      </c>
      <c r="O223" s="39">
        <f t="shared" si="19"/>
        <v>5689.3949999999995</v>
      </c>
      <c r="P223" s="39">
        <f t="shared" si="20"/>
        <v>7915.6799999999994</v>
      </c>
      <c r="Q223" s="39">
        <f t="shared" si="21"/>
        <v>10686.168</v>
      </c>
      <c r="R223" s="35" t="str">
        <f t="shared" si="22"/>
        <v>Rs./hr</v>
      </c>
    </row>
    <row r="224" spans="1:18" ht="15" customHeight="1" x14ac:dyDescent="0.3">
      <c r="A224" s="35">
        <v>212</v>
      </c>
      <c r="B224" s="35" t="s">
        <v>904</v>
      </c>
      <c r="C224" s="35" t="s">
        <v>195</v>
      </c>
      <c r="D224" s="36" t="s">
        <v>834</v>
      </c>
      <c r="E224" s="36" t="s">
        <v>1487</v>
      </c>
      <c r="F224" s="35" t="s">
        <v>195</v>
      </c>
      <c r="G224" s="35" t="s">
        <v>1357</v>
      </c>
      <c r="H224" s="35" t="s">
        <v>1358</v>
      </c>
      <c r="I224" s="36" t="s">
        <v>1462</v>
      </c>
      <c r="J224" s="35" t="s">
        <v>1360</v>
      </c>
      <c r="K224" s="37">
        <v>7.2</v>
      </c>
      <c r="L224" s="37">
        <v>10</v>
      </c>
      <c r="M224" s="37">
        <v>13.5</v>
      </c>
      <c r="N224" s="38">
        <f>1</f>
        <v>1</v>
      </c>
      <c r="O224" s="39">
        <f t="shared" si="19"/>
        <v>3441.6</v>
      </c>
      <c r="P224" s="39">
        <f t="shared" si="20"/>
        <v>4780</v>
      </c>
      <c r="Q224" s="39">
        <f t="shared" si="21"/>
        <v>6453</v>
      </c>
      <c r="R224" s="35" t="str">
        <f t="shared" si="22"/>
        <v>Rs./hr</v>
      </c>
    </row>
    <row r="225" spans="1:18" ht="15" customHeight="1" x14ac:dyDescent="0.3">
      <c r="A225" s="35">
        <v>213</v>
      </c>
      <c r="B225" s="35" t="s">
        <v>838</v>
      </c>
      <c r="C225" s="35" t="s">
        <v>195</v>
      </c>
      <c r="D225" s="36" t="s">
        <v>834</v>
      </c>
      <c r="E225" s="36" t="s">
        <v>1486</v>
      </c>
      <c r="F225" s="35">
        <v>2021</v>
      </c>
      <c r="G225" s="35" t="s">
        <v>1357</v>
      </c>
      <c r="H225" s="35" t="s">
        <v>1358</v>
      </c>
      <c r="I225" s="36" t="s">
        <v>1458</v>
      </c>
      <c r="J225" s="35" t="s">
        <v>1360</v>
      </c>
      <c r="K225" s="37">
        <v>11.5</v>
      </c>
      <c r="L225" s="37">
        <v>16</v>
      </c>
      <c r="M225" s="37">
        <v>21.6</v>
      </c>
      <c r="N225" s="38">
        <f>1+MIN(MAX($D$8-F225,0),$D$10)*$D$9</f>
        <v>1.0349999999999999</v>
      </c>
      <c r="O225" s="39">
        <f t="shared" si="19"/>
        <v>5689.3949999999995</v>
      </c>
      <c r="P225" s="39">
        <f t="shared" si="20"/>
        <v>7915.6799999999994</v>
      </c>
      <c r="Q225" s="39">
        <f t="shared" si="21"/>
        <v>10686.168</v>
      </c>
      <c r="R225" s="35" t="str">
        <f t="shared" si="22"/>
        <v>Rs./hr</v>
      </c>
    </row>
    <row r="226" spans="1:18" ht="15" customHeight="1" x14ac:dyDescent="0.3">
      <c r="A226" s="35">
        <v>214</v>
      </c>
      <c r="B226" s="35" t="s">
        <v>839</v>
      </c>
      <c r="C226" s="35" t="s">
        <v>195</v>
      </c>
      <c r="D226" s="36" t="s">
        <v>834</v>
      </c>
      <c r="E226" s="36" t="s">
        <v>1486</v>
      </c>
      <c r="F226" s="35">
        <v>2021</v>
      </c>
      <c r="G226" s="35" t="s">
        <v>1357</v>
      </c>
      <c r="H226" s="35" t="s">
        <v>1358</v>
      </c>
      <c r="I226" s="36" t="s">
        <v>1458</v>
      </c>
      <c r="J226" s="35" t="s">
        <v>1360</v>
      </c>
      <c r="K226" s="37">
        <v>11.5</v>
      </c>
      <c r="L226" s="37">
        <v>16</v>
      </c>
      <c r="M226" s="37">
        <v>21.6</v>
      </c>
      <c r="N226" s="38">
        <f>1+MIN(MAX($D$8-F226,0),$D$10)*$D$9</f>
        <v>1.0349999999999999</v>
      </c>
      <c r="O226" s="39">
        <f t="shared" si="19"/>
        <v>5689.3949999999995</v>
      </c>
      <c r="P226" s="39">
        <f t="shared" si="20"/>
        <v>7915.6799999999994</v>
      </c>
      <c r="Q226" s="39">
        <f t="shared" si="21"/>
        <v>10686.168</v>
      </c>
      <c r="R226" s="35" t="str">
        <f t="shared" si="22"/>
        <v>Rs./hr</v>
      </c>
    </row>
    <row r="227" spans="1:18" ht="15" customHeight="1" x14ac:dyDescent="0.3">
      <c r="A227" s="35">
        <v>215</v>
      </c>
      <c r="B227" s="35" t="s">
        <v>969</v>
      </c>
      <c r="C227" s="35" t="s">
        <v>970</v>
      </c>
      <c r="D227" s="36" t="s">
        <v>945</v>
      </c>
      <c r="E227" s="36" t="s">
        <v>1488</v>
      </c>
      <c r="F227" s="35">
        <v>1974</v>
      </c>
      <c r="G227" s="35" t="s">
        <v>1357</v>
      </c>
      <c r="H227" s="35" t="s">
        <v>1358</v>
      </c>
      <c r="I227" s="36" t="s">
        <v>1359</v>
      </c>
      <c r="J227" s="35" t="s">
        <v>1360</v>
      </c>
      <c r="K227" s="37">
        <v>4.3</v>
      </c>
      <c r="L227" s="37">
        <v>6</v>
      </c>
      <c r="M227" s="37">
        <v>8.1</v>
      </c>
      <c r="N227" s="38">
        <f>1+MIN(MAX($D$8-F227,0),$D$10)*$D$9</f>
        <v>1.175</v>
      </c>
      <c r="O227" s="39">
        <f t="shared" si="19"/>
        <v>2415.0950000000003</v>
      </c>
      <c r="P227" s="39">
        <f t="shared" si="20"/>
        <v>3369.9000000000005</v>
      </c>
      <c r="Q227" s="39">
        <f t="shared" si="21"/>
        <v>4549.3649999999998</v>
      </c>
      <c r="R227" s="35" t="str">
        <f t="shared" si="22"/>
        <v>Rs./hr</v>
      </c>
    </row>
    <row r="228" spans="1:18" ht="15" customHeight="1" x14ac:dyDescent="0.3">
      <c r="A228" s="35">
        <v>216</v>
      </c>
      <c r="B228" s="35" t="s">
        <v>960</v>
      </c>
      <c r="C228" s="35" t="s">
        <v>961</v>
      </c>
      <c r="D228" s="36" t="s">
        <v>945</v>
      </c>
      <c r="E228" s="36" t="s">
        <v>1489</v>
      </c>
      <c r="F228" s="35">
        <v>2005</v>
      </c>
      <c r="G228" s="35" t="s">
        <v>1357</v>
      </c>
      <c r="H228" s="35" t="s">
        <v>1358</v>
      </c>
      <c r="I228" s="36" t="s">
        <v>1359</v>
      </c>
      <c r="J228" s="35" t="s">
        <v>1360</v>
      </c>
      <c r="K228" s="37">
        <v>4.3</v>
      </c>
      <c r="L228" s="37">
        <v>6</v>
      </c>
      <c r="M228" s="37">
        <v>8.1</v>
      </c>
      <c r="N228" s="38">
        <f>1+MIN(MAX($D$8-F228,0),$D$10)*$D$9</f>
        <v>1.147</v>
      </c>
      <c r="O228" s="39">
        <f t="shared" si="19"/>
        <v>2357.5437999999999</v>
      </c>
      <c r="P228" s="39">
        <f t="shared" si="20"/>
        <v>3289.596</v>
      </c>
      <c r="Q228" s="39">
        <f t="shared" si="21"/>
        <v>4440.9546</v>
      </c>
      <c r="R228" s="35" t="str">
        <f t="shared" si="22"/>
        <v>Rs./hr</v>
      </c>
    </row>
    <row r="229" spans="1:18" ht="15" customHeight="1" x14ac:dyDescent="0.3">
      <c r="A229" s="35">
        <v>217</v>
      </c>
      <c r="B229" s="35" t="s">
        <v>962</v>
      </c>
      <c r="C229" s="35" t="s">
        <v>963</v>
      </c>
      <c r="D229" s="36" t="s">
        <v>945</v>
      </c>
      <c r="E229" s="36" t="s">
        <v>1489</v>
      </c>
      <c r="F229" s="35">
        <v>2005</v>
      </c>
      <c r="G229" s="35" t="s">
        <v>1357</v>
      </c>
      <c r="H229" s="35" t="s">
        <v>1358</v>
      </c>
      <c r="I229" s="36" t="s">
        <v>1359</v>
      </c>
      <c r="J229" s="35" t="s">
        <v>1360</v>
      </c>
      <c r="K229" s="37">
        <v>4.3</v>
      </c>
      <c r="L229" s="37">
        <v>6</v>
      </c>
      <c r="M229" s="37">
        <v>8.1</v>
      </c>
      <c r="N229" s="38">
        <f>1+MIN(MAX($D$8-F229,0),$D$10)*$D$9</f>
        <v>1.147</v>
      </c>
      <c r="O229" s="39">
        <f t="shared" si="19"/>
        <v>2357.5437999999999</v>
      </c>
      <c r="P229" s="39">
        <f t="shared" si="20"/>
        <v>3289.596</v>
      </c>
      <c r="Q229" s="39">
        <f t="shared" si="21"/>
        <v>4440.9546</v>
      </c>
      <c r="R229" s="35" t="str">
        <f t="shared" si="22"/>
        <v>Rs./hr</v>
      </c>
    </row>
    <row r="230" spans="1:18" ht="15" customHeight="1" x14ac:dyDescent="0.3">
      <c r="A230" s="35">
        <v>218</v>
      </c>
      <c r="B230" s="35" t="s">
        <v>972</v>
      </c>
      <c r="C230" s="35" t="s">
        <v>959</v>
      </c>
      <c r="D230" s="36" t="s">
        <v>945</v>
      </c>
      <c r="E230" s="36" t="s">
        <v>1490</v>
      </c>
      <c r="F230" s="35" t="s">
        <v>195</v>
      </c>
      <c r="G230" s="35" t="s">
        <v>1357</v>
      </c>
      <c r="H230" s="35" t="s">
        <v>1358</v>
      </c>
      <c r="I230" s="36" t="s">
        <v>1359</v>
      </c>
      <c r="J230" s="35" t="s">
        <v>1360</v>
      </c>
      <c r="K230" s="37">
        <v>4.3</v>
      </c>
      <c r="L230" s="37">
        <v>6</v>
      </c>
      <c r="M230" s="37">
        <v>8.1</v>
      </c>
      <c r="N230" s="38">
        <f>1</f>
        <v>1</v>
      </c>
      <c r="O230" s="39">
        <f t="shared" si="19"/>
        <v>2055.4</v>
      </c>
      <c r="P230" s="39">
        <f t="shared" si="20"/>
        <v>2868</v>
      </c>
      <c r="Q230" s="39">
        <f t="shared" si="21"/>
        <v>3871.7999999999997</v>
      </c>
      <c r="R230" s="35" t="str">
        <f t="shared" si="22"/>
        <v>Rs./hr</v>
      </c>
    </row>
    <row r="231" spans="1:18" ht="15" customHeight="1" x14ac:dyDescent="0.3">
      <c r="A231" s="35">
        <v>219</v>
      </c>
      <c r="B231" s="35" t="s">
        <v>947</v>
      </c>
      <c r="C231" s="35" t="s">
        <v>948</v>
      </c>
      <c r="D231" s="36" t="s">
        <v>945</v>
      </c>
      <c r="E231" s="36" t="s">
        <v>1491</v>
      </c>
      <c r="F231" s="35">
        <v>2012</v>
      </c>
      <c r="G231" s="35" t="s">
        <v>1357</v>
      </c>
      <c r="H231" s="35" t="s">
        <v>1358</v>
      </c>
      <c r="I231" s="36" t="s">
        <v>1359</v>
      </c>
      <c r="J231" s="35" t="s">
        <v>1360</v>
      </c>
      <c r="K231" s="37">
        <v>4.3</v>
      </c>
      <c r="L231" s="37">
        <v>6</v>
      </c>
      <c r="M231" s="37">
        <v>8.1</v>
      </c>
      <c r="N231" s="38">
        <f t="shared" ref="N231:N236" si="24">1+MIN(MAX($D$8-F231,0),$D$10)*$D$9</f>
        <v>1.0980000000000001</v>
      </c>
      <c r="O231" s="39">
        <f t="shared" si="19"/>
        <v>2256.8292000000001</v>
      </c>
      <c r="P231" s="39">
        <f t="shared" si="20"/>
        <v>3149.0640000000003</v>
      </c>
      <c r="Q231" s="39">
        <f t="shared" si="21"/>
        <v>4251.2364000000007</v>
      </c>
      <c r="R231" s="35" t="str">
        <f t="shared" si="22"/>
        <v>Rs./hr</v>
      </c>
    </row>
    <row r="232" spans="1:18" ht="15" customHeight="1" x14ac:dyDescent="0.3">
      <c r="A232" s="35">
        <v>220</v>
      </c>
      <c r="B232" s="35" t="s">
        <v>955</v>
      </c>
      <c r="C232" s="35" t="s">
        <v>956</v>
      </c>
      <c r="D232" s="36" t="s">
        <v>945</v>
      </c>
      <c r="E232" s="36" t="s">
        <v>1489</v>
      </c>
      <c r="F232" s="35">
        <v>2012</v>
      </c>
      <c r="G232" s="35" t="s">
        <v>1357</v>
      </c>
      <c r="H232" s="35" t="s">
        <v>1358</v>
      </c>
      <c r="I232" s="36" t="s">
        <v>1359</v>
      </c>
      <c r="J232" s="35" t="s">
        <v>1360</v>
      </c>
      <c r="K232" s="37">
        <v>4.3</v>
      </c>
      <c r="L232" s="37">
        <v>6</v>
      </c>
      <c r="M232" s="37">
        <v>8.1</v>
      </c>
      <c r="N232" s="38">
        <f t="shared" si="24"/>
        <v>1.0980000000000001</v>
      </c>
      <c r="O232" s="39">
        <f t="shared" si="19"/>
        <v>2256.8292000000001</v>
      </c>
      <c r="P232" s="39">
        <f t="shared" si="20"/>
        <v>3149.0640000000003</v>
      </c>
      <c r="Q232" s="39">
        <f t="shared" si="21"/>
        <v>4251.2364000000007</v>
      </c>
      <c r="R232" s="35" t="str">
        <f t="shared" si="22"/>
        <v>Rs./hr</v>
      </c>
    </row>
    <row r="233" spans="1:18" ht="15" customHeight="1" x14ac:dyDescent="0.3">
      <c r="A233" s="35">
        <v>221</v>
      </c>
      <c r="B233" s="35" t="s">
        <v>949</v>
      </c>
      <c r="C233" s="35" t="s">
        <v>950</v>
      </c>
      <c r="D233" s="36" t="s">
        <v>945</v>
      </c>
      <c r="E233" s="36" t="s">
        <v>1491</v>
      </c>
      <c r="F233" s="35">
        <v>2012</v>
      </c>
      <c r="G233" s="35" t="s">
        <v>1357</v>
      </c>
      <c r="H233" s="35" t="s">
        <v>1358</v>
      </c>
      <c r="I233" s="36" t="s">
        <v>1359</v>
      </c>
      <c r="J233" s="35" t="s">
        <v>1360</v>
      </c>
      <c r="K233" s="37">
        <v>4.3</v>
      </c>
      <c r="L233" s="37">
        <v>6</v>
      </c>
      <c r="M233" s="37">
        <v>8.1</v>
      </c>
      <c r="N233" s="38">
        <f t="shared" si="24"/>
        <v>1.0980000000000001</v>
      </c>
      <c r="O233" s="39">
        <f t="shared" si="19"/>
        <v>2256.8292000000001</v>
      </c>
      <c r="P233" s="39">
        <f t="shared" si="20"/>
        <v>3149.0640000000003</v>
      </c>
      <c r="Q233" s="39">
        <f t="shared" si="21"/>
        <v>4251.2364000000007</v>
      </c>
      <c r="R233" s="35" t="str">
        <f t="shared" si="22"/>
        <v>Rs./hr</v>
      </c>
    </row>
    <row r="234" spans="1:18" ht="15" customHeight="1" x14ac:dyDescent="0.3">
      <c r="A234" s="35">
        <v>222</v>
      </c>
      <c r="B234" s="35" t="s">
        <v>965</v>
      </c>
      <c r="C234" s="35" t="s">
        <v>966</v>
      </c>
      <c r="D234" s="36" t="s">
        <v>945</v>
      </c>
      <c r="E234" s="36" t="s">
        <v>1492</v>
      </c>
      <c r="F234" s="35">
        <v>1980</v>
      </c>
      <c r="G234" s="35" t="s">
        <v>1357</v>
      </c>
      <c r="H234" s="35" t="s">
        <v>1358</v>
      </c>
      <c r="I234" s="36" t="s">
        <v>1359</v>
      </c>
      <c r="J234" s="35" t="s">
        <v>1360</v>
      </c>
      <c r="K234" s="37">
        <v>4.3</v>
      </c>
      <c r="L234" s="37">
        <v>6</v>
      </c>
      <c r="M234" s="37">
        <v>8.1</v>
      </c>
      <c r="N234" s="38">
        <f t="shared" si="24"/>
        <v>1.175</v>
      </c>
      <c r="O234" s="39">
        <f t="shared" si="19"/>
        <v>2415.0950000000003</v>
      </c>
      <c r="P234" s="39">
        <f t="shared" si="20"/>
        <v>3369.9000000000005</v>
      </c>
      <c r="Q234" s="39">
        <f t="shared" si="21"/>
        <v>4549.3649999999998</v>
      </c>
      <c r="R234" s="35" t="str">
        <f t="shared" si="22"/>
        <v>Rs./hr</v>
      </c>
    </row>
    <row r="235" spans="1:18" ht="15" customHeight="1" x14ac:dyDescent="0.3">
      <c r="A235" s="35">
        <v>223</v>
      </c>
      <c r="B235" s="35" t="s">
        <v>952</v>
      </c>
      <c r="C235" s="35" t="s">
        <v>953</v>
      </c>
      <c r="D235" s="36" t="s">
        <v>945</v>
      </c>
      <c r="E235" s="36" t="s">
        <v>1493</v>
      </c>
      <c r="F235" s="35">
        <v>2012</v>
      </c>
      <c r="G235" s="35" t="s">
        <v>1357</v>
      </c>
      <c r="H235" s="35" t="s">
        <v>1358</v>
      </c>
      <c r="I235" s="36" t="s">
        <v>1359</v>
      </c>
      <c r="J235" s="35" t="s">
        <v>1360</v>
      </c>
      <c r="K235" s="37">
        <v>4.3</v>
      </c>
      <c r="L235" s="37">
        <v>6</v>
      </c>
      <c r="M235" s="37">
        <v>8.1</v>
      </c>
      <c r="N235" s="38">
        <f t="shared" si="24"/>
        <v>1.0980000000000001</v>
      </c>
      <c r="O235" s="39">
        <f t="shared" si="19"/>
        <v>2256.8292000000001</v>
      </c>
      <c r="P235" s="39">
        <f t="shared" si="20"/>
        <v>3149.0640000000003</v>
      </c>
      <c r="Q235" s="39">
        <f t="shared" si="21"/>
        <v>4251.2364000000007</v>
      </c>
      <c r="R235" s="35" t="str">
        <f t="shared" si="22"/>
        <v>Rs./hr</v>
      </c>
    </row>
    <row r="236" spans="1:18" ht="15" customHeight="1" x14ac:dyDescent="0.3">
      <c r="A236" s="35">
        <v>224</v>
      </c>
      <c r="B236" s="35" t="s">
        <v>958</v>
      </c>
      <c r="C236" s="35" t="s">
        <v>959</v>
      </c>
      <c r="D236" s="36" t="s">
        <v>945</v>
      </c>
      <c r="E236" s="36" t="s">
        <v>1490</v>
      </c>
      <c r="F236" s="35">
        <v>2008</v>
      </c>
      <c r="G236" s="35" t="s">
        <v>1357</v>
      </c>
      <c r="H236" s="35" t="s">
        <v>1358</v>
      </c>
      <c r="I236" s="36" t="s">
        <v>1359</v>
      </c>
      <c r="J236" s="35" t="s">
        <v>1360</v>
      </c>
      <c r="K236" s="37">
        <v>4.3</v>
      </c>
      <c r="L236" s="37">
        <v>6</v>
      </c>
      <c r="M236" s="37">
        <v>8.1</v>
      </c>
      <c r="N236" s="38">
        <f t="shared" si="24"/>
        <v>1.1259999999999999</v>
      </c>
      <c r="O236" s="39">
        <f t="shared" si="19"/>
        <v>2314.3803999999996</v>
      </c>
      <c r="P236" s="39">
        <f t="shared" si="20"/>
        <v>3229.3679999999995</v>
      </c>
      <c r="Q236" s="39">
        <f t="shared" si="21"/>
        <v>4359.6467999999995</v>
      </c>
      <c r="R236" s="35" t="str">
        <f t="shared" si="22"/>
        <v>Rs./hr</v>
      </c>
    </row>
    <row r="237" spans="1:18" ht="15" customHeight="1" x14ac:dyDescent="0.3">
      <c r="A237" s="35">
        <v>225</v>
      </c>
      <c r="B237" s="35" t="s">
        <v>195</v>
      </c>
      <c r="C237" s="35" t="s">
        <v>1494</v>
      </c>
      <c r="D237" s="36" t="s">
        <v>945</v>
      </c>
      <c r="E237" s="36" t="s">
        <v>188</v>
      </c>
      <c r="F237" s="35" t="s">
        <v>195</v>
      </c>
      <c r="G237" s="35" t="s">
        <v>1357</v>
      </c>
      <c r="H237" s="35" t="s">
        <v>1358</v>
      </c>
      <c r="I237" s="36" t="s">
        <v>1359</v>
      </c>
      <c r="J237" s="35" t="s">
        <v>1360</v>
      </c>
      <c r="K237" s="37">
        <v>4.3</v>
      </c>
      <c r="L237" s="37">
        <v>6</v>
      </c>
      <c r="M237" s="37">
        <v>8.1</v>
      </c>
      <c r="N237" s="38">
        <f>1</f>
        <v>1</v>
      </c>
      <c r="O237" s="39">
        <f t="shared" si="19"/>
        <v>2055.4</v>
      </c>
      <c r="P237" s="39">
        <f t="shared" si="20"/>
        <v>2868</v>
      </c>
      <c r="Q237" s="39">
        <f t="shared" si="21"/>
        <v>3871.7999999999997</v>
      </c>
      <c r="R237" s="35" t="str">
        <f t="shared" si="22"/>
        <v>Rs./hr</v>
      </c>
    </row>
    <row r="238" spans="1:18" ht="15" customHeight="1" x14ac:dyDescent="0.3">
      <c r="A238" s="35">
        <v>226</v>
      </c>
      <c r="B238" s="35" t="s">
        <v>195</v>
      </c>
      <c r="C238" s="35" t="s">
        <v>963</v>
      </c>
      <c r="D238" s="36" t="s">
        <v>945</v>
      </c>
      <c r="E238" s="36" t="s">
        <v>188</v>
      </c>
      <c r="F238" s="35" t="s">
        <v>195</v>
      </c>
      <c r="G238" s="35" t="s">
        <v>1357</v>
      </c>
      <c r="H238" s="35" t="s">
        <v>1358</v>
      </c>
      <c r="I238" s="36" t="s">
        <v>1359</v>
      </c>
      <c r="J238" s="35" t="s">
        <v>1360</v>
      </c>
      <c r="K238" s="37">
        <v>4.3</v>
      </c>
      <c r="L238" s="37">
        <v>6</v>
      </c>
      <c r="M238" s="37">
        <v>8.1</v>
      </c>
      <c r="N238" s="38">
        <f>1</f>
        <v>1</v>
      </c>
      <c r="O238" s="39">
        <f t="shared" si="19"/>
        <v>2055.4</v>
      </c>
      <c r="P238" s="39">
        <f t="shared" si="20"/>
        <v>2868</v>
      </c>
      <c r="Q238" s="39">
        <f t="shared" si="21"/>
        <v>3871.7999999999997</v>
      </c>
      <c r="R238" s="35" t="str">
        <f t="shared" si="22"/>
        <v>Rs./hr</v>
      </c>
    </row>
    <row r="239" spans="1:18" ht="15" customHeight="1" x14ac:dyDescent="0.3">
      <c r="A239" s="35">
        <v>227</v>
      </c>
      <c r="B239" s="35" t="s">
        <v>1078</v>
      </c>
      <c r="C239" s="35" t="s">
        <v>195</v>
      </c>
      <c r="D239" s="36" t="s">
        <v>1076</v>
      </c>
      <c r="E239" s="36" t="s">
        <v>1495</v>
      </c>
      <c r="F239" s="35" t="s">
        <v>195</v>
      </c>
      <c r="G239" s="35" t="s">
        <v>1357</v>
      </c>
      <c r="H239" s="35" t="s">
        <v>1358</v>
      </c>
      <c r="I239" s="36" t="s">
        <v>1359</v>
      </c>
      <c r="J239" s="35" t="s">
        <v>1360</v>
      </c>
      <c r="K239" s="37">
        <v>2.9</v>
      </c>
      <c r="L239" s="37">
        <v>4</v>
      </c>
      <c r="M239" s="37">
        <v>5.4</v>
      </c>
      <c r="N239" s="38">
        <f>1</f>
        <v>1</v>
      </c>
      <c r="O239" s="39">
        <f t="shared" si="19"/>
        <v>1386.2</v>
      </c>
      <c r="P239" s="39">
        <f t="shared" si="20"/>
        <v>1912</v>
      </c>
      <c r="Q239" s="39">
        <f t="shared" si="21"/>
        <v>2581.2000000000003</v>
      </c>
      <c r="R239" s="35" t="str">
        <f t="shared" si="22"/>
        <v>Rs./hr</v>
      </c>
    </row>
    <row r="240" spans="1:18" ht="15" customHeight="1" x14ac:dyDescent="0.3">
      <c r="A240" s="35">
        <v>228</v>
      </c>
      <c r="B240" s="35" t="s">
        <v>1080</v>
      </c>
      <c r="C240" s="35" t="s">
        <v>195</v>
      </c>
      <c r="D240" s="36" t="s">
        <v>1076</v>
      </c>
      <c r="E240" s="36" t="s">
        <v>1496</v>
      </c>
      <c r="F240" s="35" t="s">
        <v>195</v>
      </c>
      <c r="G240" s="35" t="s">
        <v>1357</v>
      </c>
      <c r="H240" s="35" t="s">
        <v>1358</v>
      </c>
      <c r="I240" s="36" t="s">
        <v>1359</v>
      </c>
      <c r="J240" s="35" t="s">
        <v>1360</v>
      </c>
      <c r="K240" s="37">
        <v>2.9</v>
      </c>
      <c r="L240" s="37">
        <v>4</v>
      </c>
      <c r="M240" s="37">
        <v>5.4</v>
      </c>
      <c r="N240" s="38">
        <f>1</f>
        <v>1</v>
      </c>
      <c r="O240" s="39">
        <f t="shared" si="19"/>
        <v>1386.2</v>
      </c>
      <c r="P240" s="39">
        <f t="shared" si="20"/>
        <v>1912</v>
      </c>
      <c r="Q240" s="39">
        <f t="shared" si="21"/>
        <v>2581.2000000000003</v>
      </c>
      <c r="R240" s="35" t="str">
        <f t="shared" si="22"/>
        <v>Rs./hr</v>
      </c>
    </row>
    <row r="241" spans="1:18" ht="15" customHeight="1" x14ac:dyDescent="0.3">
      <c r="A241" s="35">
        <v>229</v>
      </c>
      <c r="B241" s="35" t="s">
        <v>1081</v>
      </c>
      <c r="C241" s="35" t="s">
        <v>195</v>
      </c>
      <c r="D241" s="36" t="s">
        <v>1076</v>
      </c>
      <c r="E241" s="36" t="s">
        <v>1496</v>
      </c>
      <c r="F241" s="35" t="s">
        <v>195</v>
      </c>
      <c r="G241" s="35" t="s">
        <v>1357</v>
      </c>
      <c r="H241" s="35" t="s">
        <v>1358</v>
      </c>
      <c r="I241" s="36" t="s">
        <v>1359</v>
      </c>
      <c r="J241" s="35" t="s">
        <v>1360</v>
      </c>
      <c r="K241" s="37">
        <v>2.9</v>
      </c>
      <c r="L241" s="37">
        <v>4</v>
      </c>
      <c r="M241" s="37">
        <v>5.4</v>
      </c>
      <c r="N241" s="38">
        <f>1</f>
        <v>1</v>
      </c>
      <c r="O241" s="39">
        <f t="shared" si="19"/>
        <v>1386.2</v>
      </c>
      <c r="P241" s="39">
        <f t="shared" si="20"/>
        <v>1912</v>
      </c>
      <c r="Q241" s="39">
        <f t="shared" si="21"/>
        <v>2581.2000000000003</v>
      </c>
      <c r="R241" s="35" t="str">
        <f t="shared" si="22"/>
        <v>Rs./hr</v>
      </c>
    </row>
    <row r="242" spans="1:18" ht="15" customHeight="1" x14ac:dyDescent="0.3">
      <c r="A242" s="35">
        <v>230</v>
      </c>
      <c r="B242" s="35" t="s">
        <v>195</v>
      </c>
      <c r="C242" s="35" t="s">
        <v>1497</v>
      </c>
      <c r="D242" s="36" t="s">
        <v>814</v>
      </c>
      <c r="E242" s="36" t="s">
        <v>1498</v>
      </c>
      <c r="F242" s="35">
        <v>2003</v>
      </c>
      <c r="G242" s="35" t="s">
        <v>1499</v>
      </c>
      <c r="H242" s="35" t="s">
        <v>1499</v>
      </c>
      <c r="I242" s="36" t="s">
        <v>1500</v>
      </c>
      <c r="J242" s="35" t="s">
        <v>195</v>
      </c>
      <c r="K242" s="35">
        <v>0</v>
      </c>
      <c r="L242" s="35">
        <v>0</v>
      </c>
      <c r="M242" s="35">
        <v>0</v>
      </c>
      <c r="N242" s="38">
        <f>1+MIN(MAX($D$8-F242,0),$D$10)*$D$9</f>
        <v>1.161</v>
      </c>
      <c r="O242" s="39">
        <f t="shared" si="19"/>
        <v>0</v>
      </c>
      <c r="P242" s="39">
        <f t="shared" si="20"/>
        <v>0</v>
      </c>
      <c r="Q242" s="39">
        <f t="shared" si="21"/>
        <v>0</v>
      </c>
      <c r="R242" s="35" t="str">
        <f t="shared" si="22"/>
        <v>—</v>
      </c>
    </row>
    <row r="243" spans="1:18" ht="15" customHeight="1" x14ac:dyDescent="0.3">
      <c r="A243" s="35">
        <v>231</v>
      </c>
      <c r="B243" s="35" t="s">
        <v>195</v>
      </c>
      <c r="C243" s="35" t="s">
        <v>1501</v>
      </c>
      <c r="D243" s="36" t="s">
        <v>814</v>
      </c>
      <c r="E243" s="36" t="s">
        <v>188</v>
      </c>
      <c r="F243" s="35" t="s">
        <v>195</v>
      </c>
      <c r="G243" s="35" t="s">
        <v>1499</v>
      </c>
      <c r="H243" s="35" t="s">
        <v>1499</v>
      </c>
      <c r="I243" s="36" t="s">
        <v>1500</v>
      </c>
      <c r="J243" s="35" t="s">
        <v>195</v>
      </c>
      <c r="K243" s="35">
        <v>0</v>
      </c>
      <c r="L243" s="35">
        <v>0</v>
      </c>
      <c r="M243" s="35">
        <v>0</v>
      </c>
      <c r="N243" s="38">
        <f>1</f>
        <v>1</v>
      </c>
      <c r="O243" s="39">
        <f t="shared" si="19"/>
        <v>0</v>
      </c>
      <c r="P243" s="39">
        <f t="shared" si="20"/>
        <v>0</v>
      </c>
      <c r="Q243" s="39">
        <f t="shared" si="21"/>
        <v>0</v>
      </c>
      <c r="R243" s="35" t="str">
        <f t="shared" si="22"/>
        <v>—</v>
      </c>
    </row>
    <row r="244" spans="1:18" ht="15" customHeight="1" x14ac:dyDescent="0.3">
      <c r="A244" s="35">
        <v>232</v>
      </c>
      <c r="B244" s="35" t="s">
        <v>195</v>
      </c>
      <c r="C244" s="35" t="s">
        <v>1502</v>
      </c>
      <c r="D244" s="36" t="s">
        <v>814</v>
      </c>
      <c r="E244" s="36" t="s">
        <v>1503</v>
      </c>
      <c r="F244" s="35">
        <v>2011</v>
      </c>
      <c r="G244" s="35" t="s">
        <v>1499</v>
      </c>
      <c r="H244" s="35" t="s">
        <v>1499</v>
      </c>
      <c r="I244" s="36" t="s">
        <v>1500</v>
      </c>
      <c r="J244" s="35" t="s">
        <v>195</v>
      </c>
      <c r="K244" s="35">
        <v>0</v>
      </c>
      <c r="L244" s="35">
        <v>0</v>
      </c>
      <c r="M244" s="35">
        <v>0</v>
      </c>
      <c r="N244" s="38">
        <f t="shared" ref="N244:N259" si="25">1+MIN(MAX($D$8-F244,0),$D$10)*$D$9</f>
        <v>1.105</v>
      </c>
      <c r="O244" s="39">
        <f t="shared" si="19"/>
        <v>0</v>
      </c>
      <c r="P244" s="39">
        <f t="shared" si="20"/>
        <v>0</v>
      </c>
      <c r="Q244" s="39">
        <f t="shared" si="21"/>
        <v>0</v>
      </c>
      <c r="R244" s="35" t="str">
        <f t="shared" si="22"/>
        <v>—</v>
      </c>
    </row>
    <row r="245" spans="1:18" ht="15" customHeight="1" x14ac:dyDescent="0.3">
      <c r="A245" s="35">
        <v>233</v>
      </c>
      <c r="B245" s="35" t="s">
        <v>425</v>
      </c>
      <c r="C245" s="35" t="s">
        <v>426</v>
      </c>
      <c r="D245" s="36" t="s">
        <v>423</v>
      </c>
      <c r="E245" s="36" t="s">
        <v>1504</v>
      </c>
      <c r="F245" s="35">
        <v>1998</v>
      </c>
      <c r="G245" s="35" t="s">
        <v>1357</v>
      </c>
      <c r="H245" s="35" t="s">
        <v>1358</v>
      </c>
      <c r="I245" s="36" t="s">
        <v>1505</v>
      </c>
      <c r="J245" s="35" t="s">
        <v>1360</v>
      </c>
      <c r="K245" s="37">
        <v>10.8</v>
      </c>
      <c r="L245" s="37">
        <v>15</v>
      </c>
      <c r="M245" s="37">
        <v>20.3</v>
      </c>
      <c r="N245" s="38">
        <f t="shared" si="25"/>
        <v>1.175</v>
      </c>
      <c r="O245" s="39">
        <f t="shared" si="19"/>
        <v>6065.8200000000006</v>
      </c>
      <c r="P245" s="39">
        <f t="shared" si="20"/>
        <v>8424.75</v>
      </c>
      <c r="Q245" s="39">
        <f t="shared" si="21"/>
        <v>11401.495000000001</v>
      </c>
      <c r="R245" s="35" t="str">
        <f t="shared" si="22"/>
        <v>Rs./hr</v>
      </c>
    </row>
    <row r="246" spans="1:18" ht="15" customHeight="1" x14ac:dyDescent="0.3">
      <c r="A246" s="35">
        <v>234</v>
      </c>
      <c r="B246" s="35" t="s">
        <v>429</v>
      </c>
      <c r="C246" s="35" t="s">
        <v>430</v>
      </c>
      <c r="D246" s="36" t="s">
        <v>423</v>
      </c>
      <c r="E246" s="36" t="s">
        <v>1506</v>
      </c>
      <c r="F246" s="35">
        <v>1995</v>
      </c>
      <c r="G246" s="35" t="s">
        <v>1357</v>
      </c>
      <c r="H246" s="35" t="s">
        <v>1358</v>
      </c>
      <c r="I246" s="36" t="s">
        <v>1507</v>
      </c>
      <c r="J246" s="35" t="s">
        <v>1360</v>
      </c>
      <c r="K246" s="37">
        <v>8.6</v>
      </c>
      <c r="L246" s="37">
        <v>12</v>
      </c>
      <c r="M246" s="37">
        <v>16.2</v>
      </c>
      <c r="N246" s="38">
        <f t="shared" si="25"/>
        <v>1.175</v>
      </c>
      <c r="O246" s="39">
        <f t="shared" si="19"/>
        <v>4830.1900000000005</v>
      </c>
      <c r="P246" s="39">
        <f t="shared" si="20"/>
        <v>6739.8000000000011</v>
      </c>
      <c r="Q246" s="39">
        <f t="shared" si="21"/>
        <v>9098.73</v>
      </c>
      <c r="R246" s="35" t="str">
        <f t="shared" si="22"/>
        <v>Rs./hr</v>
      </c>
    </row>
    <row r="247" spans="1:18" ht="15" customHeight="1" x14ac:dyDescent="0.3">
      <c r="A247" s="35">
        <v>235</v>
      </c>
      <c r="B247" s="35" t="s">
        <v>1042</v>
      </c>
      <c r="C247" s="35" t="s">
        <v>1043</v>
      </c>
      <c r="D247" s="36" t="s">
        <v>974</v>
      </c>
      <c r="E247" s="36" t="s">
        <v>1508</v>
      </c>
      <c r="F247" s="35">
        <v>2003</v>
      </c>
      <c r="G247" s="35" t="s">
        <v>1509</v>
      </c>
      <c r="H247" s="35" t="s">
        <v>1390</v>
      </c>
      <c r="I247" s="36" t="s">
        <v>1359</v>
      </c>
      <c r="J247" s="35" t="s">
        <v>1391</v>
      </c>
      <c r="K247" s="37">
        <v>57.6</v>
      </c>
      <c r="L247" s="37">
        <v>45</v>
      </c>
      <c r="M247" s="37">
        <v>36</v>
      </c>
      <c r="N247" s="38">
        <f t="shared" si="25"/>
        <v>1.161</v>
      </c>
      <c r="O247" s="39">
        <f t="shared" si="19"/>
        <v>8.7478125000000002</v>
      </c>
      <c r="P247" s="39">
        <f t="shared" si="20"/>
        <v>11.1972</v>
      </c>
      <c r="Q247" s="39">
        <f t="shared" si="21"/>
        <v>13.996500000000001</v>
      </c>
      <c r="R247" s="35" t="str">
        <f t="shared" si="22"/>
        <v>Rs./km</v>
      </c>
    </row>
    <row r="248" spans="1:18" ht="15" customHeight="1" x14ac:dyDescent="0.3">
      <c r="A248" s="35">
        <v>236</v>
      </c>
      <c r="B248" s="35" t="s">
        <v>1038</v>
      </c>
      <c r="C248" s="35" t="s">
        <v>1039</v>
      </c>
      <c r="D248" s="36" t="s">
        <v>974</v>
      </c>
      <c r="E248" s="36" t="s">
        <v>1510</v>
      </c>
      <c r="F248" s="35">
        <v>2006</v>
      </c>
      <c r="G248" s="35" t="s">
        <v>1509</v>
      </c>
      <c r="H248" s="35" t="s">
        <v>1390</v>
      </c>
      <c r="I248" s="36" t="s">
        <v>1359</v>
      </c>
      <c r="J248" s="35" t="s">
        <v>1391</v>
      </c>
      <c r="K248" s="37">
        <v>57.6</v>
      </c>
      <c r="L248" s="37">
        <v>45</v>
      </c>
      <c r="M248" s="37">
        <v>36</v>
      </c>
      <c r="N248" s="38">
        <f t="shared" si="25"/>
        <v>1.1400000000000001</v>
      </c>
      <c r="O248" s="39">
        <f t="shared" si="19"/>
        <v>8.5895833333333336</v>
      </c>
      <c r="P248" s="39">
        <f t="shared" si="20"/>
        <v>10.994666666666667</v>
      </c>
      <c r="Q248" s="39">
        <f t="shared" si="21"/>
        <v>13.743333333333334</v>
      </c>
      <c r="R248" s="35" t="str">
        <f t="shared" si="22"/>
        <v>Rs./km</v>
      </c>
    </row>
    <row r="249" spans="1:18" ht="15" customHeight="1" x14ac:dyDescent="0.3">
      <c r="A249" s="35">
        <v>237</v>
      </c>
      <c r="B249" s="35" t="s">
        <v>1033</v>
      </c>
      <c r="C249" s="35" t="s">
        <v>1034</v>
      </c>
      <c r="D249" s="36" t="s">
        <v>974</v>
      </c>
      <c r="E249" s="36" t="s">
        <v>1511</v>
      </c>
      <c r="F249" s="35">
        <v>2006</v>
      </c>
      <c r="G249" s="35" t="s">
        <v>1509</v>
      </c>
      <c r="H249" s="35" t="s">
        <v>1390</v>
      </c>
      <c r="I249" s="36" t="s">
        <v>1359</v>
      </c>
      <c r="J249" s="35" t="s">
        <v>1391</v>
      </c>
      <c r="K249" s="37">
        <v>57.6</v>
      </c>
      <c r="L249" s="37">
        <v>45</v>
      </c>
      <c r="M249" s="37">
        <v>36</v>
      </c>
      <c r="N249" s="38">
        <f t="shared" si="25"/>
        <v>1.1400000000000001</v>
      </c>
      <c r="O249" s="39">
        <f t="shared" si="19"/>
        <v>8.5895833333333336</v>
      </c>
      <c r="P249" s="39">
        <f t="shared" si="20"/>
        <v>10.994666666666667</v>
      </c>
      <c r="Q249" s="39">
        <f t="shared" si="21"/>
        <v>13.743333333333334</v>
      </c>
      <c r="R249" s="35" t="str">
        <f t="shared" si="22"/>
        <v>Rs./km</v>
      </c>
    </row>
    <row r="250" spans="1:18" ht="15" customHeight="1" x14ac:dyDescent="0.3">
      <c r="A250" s="35">
        <v>238</v>
      </c>
      <c r="B250" s="35" t="s">
        <v>1035</v>
      </c>
      <c r="C250" s="35" t="s">
        <v>1036</v>
      </c>
      <c r="D250" s="36" t="s">
        <v>974</v>
      </c>
      <c r="E250" s="36" t="s">
        <v>1512</v>
      </c>
      <c r="F250" s="35">
        <v>2006</v>
      </c>
      <c r="G250" s="35" t="s">
        <v>1509</v>
      </c>
      <c r="H250" s="35" t="s">
        <v>1390</v>
      </c>
      <c r="I250" s="36" t="s">
        <v>1359</v>
      </c>
      <c r="J250" s="35" t="s">
        <v>1391</v>
      </c>
      <c r="K250" s="37">
        <v>57.6</v>
      </c>
      <c r="L250" s="37">
        <v>45</v>
      </c>
      <c r="M250" s="37">
        <v>36</v>
      </c>
      <c r="N250" s="38">
        <f t="shared" si="25"/>
        <v>1.1400000000000001</v>
      </c>
      <c r="O250" s="39">
        <f t="shared" si="19"/>
        <v>8.5895833333333336</v>
      </c>
      <c r="P250" s="39">
        <f t="shared" si="20"/>
        <v>10.994666666666667</v>
      </c>
      <c r="Q250" s="39">
        <f t="shared" si="21"/>
        <v>13.743333333333334</v>
      </c>
      <c r="R250" s="35" t="str">
        <f t="shared" si="22"/>
        <v>Rs./km</v>
      </c>
    </row>
    <row r="251" spans="1:18" ht="15" customHeight="1" x14ac:dyDescent="0.3">
      <c r="A251" s="35">
        <v>239</v>
      </c>
      <c r="B251" s="35" t="s">
        <v>989</v>
      </c>
      <c r="C251" s="35" t="s">
        <v>990</v>
      </c>
      <c r="D251" s="36" t="s">
        <v>974</v>
      </c>
      <c r="E251" s="36" t="s">
        <v>1513</v>
      </c>
      <c r="F251" s="35">
        <v>2016</v>
      </c>
      <c r="G251" s="35" t="s">
        <v>1509</v>
      </c>
      <c r="H251" s="35" t="s">
        <v>1390</v>
      </c>
      <c r="I251" s="36" t="s">
        <v>1359</v>
      </c>
      <c r="J251" s="35" t="s">
        <v>1391</v>
      </c>
      <c r="K251" s="37">
        <v>57.6</v>
      </c>
      <c r="L251" s="37">
        <v>45</v>
      </c>
      <c r="M251" s="37">
        <v>36</v>
      </c>
      <c r="N251" s="38">
        <f t="shared" si="25"/>
        <v>1.07</v>
      </c>
      <c r="O251" s="39">
        <f t="shared" si="19"/>
        <v>8.0621527777777793</v>
      </c>
      <c r="P251" s="39">
        <f t="shared" si="20"/>
        <v>10.319555555555556</v>
      </c>
      <c r="Q251" s="39">
        <f t="shared" si="21"/>
        <v>12.899444444444446</v>
      </c>
      <c r="R251" s="35" t="str">
        <f t="shared" si="22"/>
        <v>Rs./km</v>
      </c>
    </row>
    <row r="252" spans="1:18" ht="15" customHeight="1" x14ac:dyDescent="0.3">
      <c r="A252" s="35">
        <v>240</v>
      </c>
      <c r="B252" s="35" t="s">
        <v>976</v>
      </c>
      <c r="C252" s="35" t="s">
        <v>977</v>
      </c>
      <c r="D252" s="36" t="s">
        <v>974</v>
      </c>
      <c r="E252" s="36" t="s">
        <v>1514</v>
      </c>
      <c r="F252" s="35">
        <v>2017</v>
      </c>
      <c r="G252" s="35" t="s">
        <v>1509</v>
      </c>
      <c r="H252" s="35" t="s">
        <v>1390</v>
      </c>
      <c r="I252" s="36" t="s">
        <v>1359</v>
      </c>
      <c r="J252" s="35" t="s">
        <v>1391</v>
      </c>
      <c r="K252" s="37">
        <v>57.6</v>
      </c>
      <c r="L252" s="37">
        <v>45</v>
      </c>
      <c r="M252" s="37">
        <v>36</v>
      </c>
      <c r="N252" s="38">
        <f t="shared" si="25"/>
        <v>1.0629999999999999</v>
      </c>
      <c r="O252" s="39">
        <f t="shared" si="19"/>
        <v>8.0094097222222214</v>
      </c>
      <c r="P252" s="39">
        <f t="shared" si="20"/>
        <v>10.252044444444444</v>
      </c>
      <c r="Q252" s="39">
        <f t="shared" si="21"/>
        <v>12.815055555555555</v>
      </c>
      <c r="R252" s="35" t="str">
        <f t="shared" si="22"/>
        <v>Rs./km</v>
      </c>
    </row>
    <row r="253" spans="1:18" ht="15" customHeight="1" x14ac:dyDescent="0.3">
      <c r="A253" s="35">
        <v>241</v>
      </c>
      <c r="B253" s="35" t="s">
        <v>1030</v>
      </c>
      <c r="C253" s="35" t="s">
        <v>1031</v>
      </c>
      <c r="D253" s="36" t="s">
        <v>974</v>
      </c>
      <c r="E253" s="36" t="s">
        <v>1515</v>
      </c>
      <c r="F253" s="35">
        <v>2007</v>
      </c>
      <c r="G253" s="35" t="s">
        <v>1509</v>
      </c>
      <c r="H253" s="35" t="s">
        <v>1390</v>
      </c>
      <c r="I253" s="36" t="s">
        <v>1359</v>
      </c>
      <c r="J253" s="35" t="s">
        <v>1391</v>
      </c>
      <c r="K253" s="37">
        <v>57.6</v>
      </c>
      <c r="L253" s="37">
        <v>45</v>
      </c>
      <c r="M253" s="37">
        <v>36</v>
      </c>
      <c r="N253" s="38">
        <f t="shared" si="25"/>
        <v>1.133</v>
      </c>
      <c r="O253" s="39">
        <f t="shared" si="19"/>
        <v>8.5368402777777774</v>
      </c>
      <c r="P253" s="39">
        <f t="shared" si="20"/>
        <v>10.927155555555554</v>
      </c>
      <c r="Q253" s="39">
        <f t="shared" si="21"/>
        <v>13.658944444444444</v>
      </c>
      <c r="R253" s="35" t="str">
        <f t="shared" si="22"/>
        <v>Rs./km</v>
      </c>
    </row>
    <row r="254" spans="1:18" ht="15" customHeight="1" x14ac:dyDescent="0.3">
      <c r="A254" s="35">
        <v>242</v>
      </c>
      <c r="B254" s="35" t="s">
        <v>1023</v>
      </c>
      <c r="C254" s="35" t="s">
        <v>1024</v>
      </c>
      <c r="D254" s="36" t="s">
        <v>974</v>
      </c>
      <c r="E254" s="36" t="s">
        <v>1516</v>
      </c>
      <c r="F254" s="35">
        <v>2011</v>
      </c>
      <c r="G254" s="35" t="s">
        <v>1509</v>
      </c>
      <c r="H254" s="35" t="s">
        <v>1390</v>
      </c>
      <c r="I254" s="36" t="s">
        <v>1359</v>
      </c>
      <c r="J254" s="35" t="s">
        <v>1391</v>
      </c>
      <c r="K254" s="37">
        <v>57.6</v>
      </c>
      <c r="L254" s="37">
        <v>45</v>
      </c>
      <c r="M254" s="37">
        <v>36</v>
      </c>
      <c r="N254" s="38">
        <f t="shared" si="25"/>
        <v>1.105</v>
      </c>
      <c r="O254" s="39">
        <f t="shared" si="19"/>
        <v>8.3258680555555546</v>
      </c>
      <c r="P254" s="39">
        <f t="shared" si="20"/>
        <v>10.65711111111111</v>
      </c>
      <c r="Q254" s="39">
        <f t="shared" si="21"/>
        <v>13.321388888888889</v>
      </c>
      <c r="R254" s="35" t="str">
        <f t="shared" si="22"/>
        <v>Rs./km</v>
      </c>
    </row>
    <row r="255" spans="1:18" ht="15" customHeight="1" x14ac:dyDescent="0.3">
      <c r="A255" s="35">
        <v>243</v>
      </c>
      <c r="B255" s="35" t="s">
        <v>991</v>
      </c>
      <c r="C255" s="35" t="s">
        <v>992</v>
      </c>
      <c r="D255" s="36" t="s">
        <v>974</v>
      </c>
      <c r="E255" s="36" t="s">
        <v>1514</v>
      </c>
      <c r="F255" s="35">
        <v>2016</v>
      </c>
      <c r="G255" s="35" t="s">
        <v>1509</v>
      </c>
      <c r="H255" s="35" t="s">
        <v>1390</v>
      </c>
      <c r="I255" s="36" t="s">
        <v>1359</v>
      </c>
      <c r="J255" s="35" t="s">
        <v>1391</v>
      </c>
      <c r="K255" s="37">
        <v>57.6</v>
      </c>
      <c r="L255" s="37">
        <v>45</v>
      </c>
      <c r="M255" s="37">
        <v>36</v>
      </c>
      <c r="N255" s="38">
        <f t="shared" si="25"/>
        <v>1.07</v>
      </c>
      <c r="O255" s="39">
        <f t="shared" si="19"/>
        <v>8.0621527777777793</v>
      </c>
      <c r="P255" s="39">
        <f t="shared" si="20"/>
        <v>10.319555555555556</v>
      </c>
      <c r="Q255" s="39">
        <f t="shared" si="21"/>
        <v>12.899444444444446</v>
      </c>
      <c r="R255" s="35" t="str">
        <f t="shared" si="22"/>
        <v>Rs./km</v>
      </c>
    </row>
    <row r="256" spans="1:18" ht="15" customHeight="1" x14ac:dyDescent="0.3">
      <c r="A256" s="35">
        <v>244</v>
      </c>
      <c r="B256" s="35" t="s">
        <v>981</v>
      </c>
      <c r="C256" s="35" t="s">
        <v>982</v>
      </c>
      <c r="D256" s="36" t="s">
        <v>974</v>
      </c>
      <c r="E256" s="36" t="s">
        <v>1517</v>
      </c>
      <c r="F256" s="35">
        <v>2004</v>
      </c>
      <c r="G256" s="35" t="s">
        <v>1509</v>
      </c>
      <c r="H256" s="35" t="s">
        <v>1390</v>
      </c>
      <c r="I256" s="36" t="s">
        <v>1359</v>
      </c>
      <c r="J256" s="35" t="s">
        <v>1391</v>
      </c>
      <c r="K256" s="37">
        <v>57.6</v>
      </c>
      <c r="L256" s="37">
        <v>45</v>
      </c>
      <c r="M256" s="37">
        <v>36</v>
      </c>
      <c r="N256" s="38">
        <f t="shared" si="25"/>
        <v>1.1539999999999999</v>
      </c>
      <c r="O256" s="39">
        <f t="shared" si="19"/>
        <v>8.6950694444444441</v>
      </c>
      <c r="P256" s="39">
        <f t="shared" si="20"/>
        <v>11.129688888888888</v>
      </c>
      <c r="Q256" s="39">
        <f t="shared" si="21"/>
        <v>13.912111111111109</v>
      </c>
      <c r="R256" s="35" t="str">
        <f t="shared" si="22"/>
        <v>Rs./km</v>
      </c>
    </row>
    <row r="257" spans="1:18" ht="15" customHeight="1" x14ac:dyDescent="0.3">
      <c r="A257" s="35">
        <v>245</v>
      </c>
      <c r="B257" s="35" t="s">
        <v>1011</v>
      </c>
      <c r="C257" s="35" t="s">
        <v>1012</v>
      </c>
      <c r="D257" s="36" t="s">
        <v>974</v>
      </c>
      <c r="E257" s="36" t="s">
        <v>1514</v>
      </c>
      <c r="F257" s="35">
        <v>2012</v>
      </c>
      <c r="G257" s="35" t="s">
        <v>1509</v>
      </c>
      <c r="H257" s="35" t="s">
        <v>1390</v>
      </c>
      <c r="I257" s="36" t="s">
        <v>1359</v>
      </c>
      <c r="J257" s="35" t="s">
        <v>1391</v>
      </c>
      <c r="K257" s="37">
        <v>57.6</v>
      </c>
      <c r="L257" s="37">
        <v>45</v>
      </c>
      <c r="M257" s="37">
        <v>36</v>
      </c>
      <c r="N257" s="38">
        <f t="shared" si="25"/>
        <v>1.0980000000000001</v>
      </c>
      <c r="O257" s="39">
        <f t="shared" si="19"/>
        <v>8.2731250000000003</v>
      </c>
      <c r="P257" s="39">
        <f t="shared" si="20"/>
        <v>10.589600000000001</v>
      </c>
      <c r="Q257" s="39">
        <f t="shared" si="21"/>
        <v>13.237000000000002</v>
      </c>
      <c r="R257" s="35" t="str">
        <f t="shared" si="22"/>
        <v>Rs./km</v>
      </c>
    </row>
    <row r="258" spans="1:18" ht="15" customHeight="1" x14ac:dyDescent="0.3">
      <c r="A258" s="35">
        <v>246</v>
      </c>
      <c r="B258" s="35" t="s">
        <v>1025</v>
      </c>
      <c r="C258" s="35" t="s">
        <v>1026</v>
      </c>
      <c r="D258" s="36" t="s">
        <v>974</v>
      </c>
      <c r="E258" s="36" t="s">
        <v>1514</v>
      </c>
      <c r="F258" s="35">
        <v>2011</v>
      </c>
      <c r="G258" s="35" t="s">
        <v>1509</v>
      </c>
      <c r="H258" s="35" t="s">
        <v>1390</v>
      </c>
      <c r="I258" s="36" t="s">
        <v>1359</v>
      </c>
      <c r="J258" s="35" t="s">
        <v>1391</v>
      </c>
      <c r="K258" s="37">
        <v>57.6</v>
      </c>
      <c r="L258" s="37">
        <v>45</v>
      </c>
      <c r="M258" s="37">
        <v>36</v>
      </c>
      <c r="N258" s="38">
        <f t="shared" si="25"/>
        <v>1.105</v>
      </c>
      <c r="O258" s="39">
        <f t="shared" si="19"/>
        <v>8.3258680555555546</v>
      </c>
      <c r="P258" s="39">
        <f t="shared" si="20"/>
        <v>10.65711111111111</v>
      </c>
      <c r="Q258" s="39">
        <f t="shared" si="21"/>
        <v>13.321388888888889</v>
      </c>
      <c r="R258" s="35" t="str">
        <f t="shared" si="22"/>
        <v>Rs./km</v>
      </c>
    </row>
    <row r="259" spans="1:18" ht="15" customHeight="1" x14ac:dyDescent="0.3">
      <c r="A259" s="35">
        <v>247</v>
      </c>
      <c r="B259" s="35" t="s">
        <v>978</v>
      </c>
      <c r="C259" s="35" t="s">
        <v>979</v>
      </c>
      <c r="D259" s="36" t="s">
        <v>974</v>
      </c>
      <c r="E259" s="36" t="s">
        <v>1514</v>
      </c>
      <c r="F259" s="35">
        <v>2017</v>
      </c>
      <c r="G259" s="35" t="s">
        <v>1509</v>
      </c>
      <c r="H259" s="35" t="s">
        <v>1390</v>
      </c>
      <c r="I259" s="36" t="s">
        <v>1359</v>
      </c>
      <c r="J259" s="35" t="s">
        <v>1391</v>
      </c>
      <c r="K259" s="37">
        <v>57.6</v>
      </c>
      <c r="L259" s="37">
        <v>45</v>
      </c>
      <c r="M259" s="37">
        <v>36</v>
      </c>
      <c r="N259" s="38">
        <f t="shared" si="25"/>
        <v>1.0629999999999999</v>
      </c>
      <c r="O259" s="39">
        <f t="shared" si="19"/>
        <v>8.0094097222222214</v>
      </c>
      <c r="P259" s="39">
        <f t="shared" si="20"/>
        <v>10.252044444444444</v>
      </c>
      <c r="Q259" s="39">
        <f t="shared" si="21"/>
        <v>12.815055555555555</v>
      </c>
      <c r="R259" s="35" t="str">
        <f t="shared" si="22"/>
        <v>Rs./km</v>
      </c>
    </row>
    <row r="260" spans="1:18" ht="15" customHeight="1" x14ac:dyDescent="0.3">
      <c r="A260" s="35">
        <v>248</v>
      </c>
      <c r="B260" s="35" t="s">
        <v>1013</v>
      </c>
      <c r="C260" s="35" t="s">
        <v>1014</v>
      </c>
      <c r="D260" s="36" t="s">
        <v>974</v>
      </c>
      <c r="E260" s="36" t="s">
        <v>1518</v>
      </c>
      <c r="F260" s="35" t="s">
        <v>195</v>
      </c>
      <c r="G260" s="35" t="s">
        <v>1509</v>
      </c>
      <c r="H260" s="35" t="s">
        <v>1390</v>
      </c>
      <c r="I260" s="36" t="s">
        <v>1359</v>
      </c>
      <c r="J260" s="35" t="s">
        <v>1391</v>
      </c>
      <c r="K260" s="37">
        <v>57.6</v>
      </c>
      <c r="L260" s="37">
        <v>45</v>
      </c>
      <c r="M260" s="37">
        <v>36</v>
      </c>
      <c r="N260" s="38">
        <f>1</f>
        <v>1</v>
      </c>
      <c r="O260" s="39">
        <f t="shared" si="19"/>
        <v>7.5347222222222223</v>
      </c>
      <c r="P260" s="39">
        <f t="shared" si="20"/>
        <v>9.6444444444444439</v>
      </c>
      <c r="Q260" s="39">
        <f t="shared" si="21"/>
        <v>12.055555555555555</v>
      </c>
      <c r="R260" s="35" t="str">
        <f t="shared" si="22"/>
        <v>Rs./km</v>
      </c>
    </row>
    <row r="261" spans="1:18" ht="15" customHeight="1" x14ac:dyDescent="0.3">
      <c r="A261" s="35">
        <v>249</v>
      </c>
      <c r="B261" s="35" t="s">
        <v>1015</v>
      </c>
      <c r="C261" s="35" t="s">
        <v>1016</v>
      </c>
      <c r="D261" s="36" t="s">
        <v>974</v>
      </c>
      <c r="E261" s="36" t="s">
        <v>1518</v>
      </c>
      <c r="F261" s="35" t="s">
        <v>195</v>
      </c>
      <c r="G261" s="35" t="s">
        <v>1509</v>
      </c>
      <c r="H261" s="35" t="s">
        <v>1390</v>
      </c>
      <c r="I261" s="36" t="s">
        <v>1359</v>
      </c>
      <c r="J261" s="35" t="s">
        <v>1391</v>
      </c>
      <c r="K261" s="37">
        <v>57.6</v>
      </c>
      <c r="L261" s="37">
        <v>45</v>
      </c>
      <c r="M261" s="37">
        <v>36</v>
      </c>
      <c r="N261" s="38">
        <f>1</f>
        <v>1</v>
      </c>
      <c r="O261" s="39">
        <f t="shared" si="19"/>
        <v>7.5347222222222223</v>
      </c>
      <c r="P261" s="39">
        <f t="shared" si="20"/>
        <v>9.6444444444444439</v>
      </c>
      <c r="Q261" s="39">
        <f t="shared" si="21"/>
        <v>12.055555555555555</v>
      </c>
      <c r="R261" s="35" t="str">
        <f t="shared" si="22"/>
        <v>Rs./km</v>
      </c>
    </row>
    <row r="262" spans="1:18" ht="15" customHeight="1" x14ac:dyDescent="0.3">
      <c r="A262" s="35">
        <v>250</v>
      </c>
      <c r="B262" s="35" t="s">
        <v>1017</v>
      </c>
      <c r="C262" s="35" t="s">
        <v>1018</v>
      </c>
      <c r="D262" s="36" t="s">
        <v>974</v>
      </c>
      <c r="E262" s="36" t="s">
        <v>1516</v>
      </c>
      <c r="F262" s="35">
        <v>2012</v>
      </c>
      <c r="G262" s="35" t="s">
        <v>1509</v>
      </c>
      <c r="H262" s="35" t="s">
        <v>1390</v>
      </c>
      <c r="I262" s="36" t="s">
        <v>1359</v>
      </c>
      <c r="J262" s="35" t="s">
        <v>1391</v>
      </c>
      <c r="K262" s="37">
        <v>57.6</v>
      </c>
      <c r="L262" s="37">
        <v>45</v>
      </c>
      <c r="M262" s="37">
        <v>36</v>
      </c>
      <c r="N262" s="38">
        <f>1+MIN(MAX($D$8-F262,0),$D$10)*$D$9</f>
        <v>1.0980000000000001</v>
      </c>
      <c r="O262" s="39">
        <f t="shared" si="19"/>
        <v>8.2731250000000003</v>
      </c>
      <c r="P262" s="39">
        <f t="shared" si="20"/>
        <v>10.589600000000001</v>
      </c>
      <c r="Q262" s="39">
        <f t="shared" si="21"/>
        <v>13.237000000000002</v>
      </c>
      <c r="R262" s="35" t="str">
        <f t="shared" si="22"/>
        <v>Rs./km</v>
      </c>
    </row>
    <row r="263" spans="1:18" ht="15" customHeight="1" x14ac:dyDescent="0.3">
      <c r="A263" s="35">
        <v>251</v>
      </c>
      <c r="B263" s="35" t="s">
        <v>1019</v>
      </c>
      <c r="C263" s="35" t="s">
        <v>1020</v>
      </c>
      <c r="D263" s="36" t="s">
        <v>974</v>
      </c>
      <c r="E263" s="36" t="s">
        <v>1518</v>
      </c>
      <c r="F263" s="35" t="s">
        <v>195</v>
      </c>
      <c r="G263" s="35" t="s">
        <v>1509</v>
      </c>
      <c r="H263" s="35" t="s">
        <v>1390</v>
      </c>
      <c r="I263" s="36" t="s">
        <v>1359</v>
      </c>
      <c r="J263" s="35" t="s">
        <v>1391</v>
      </c>
      <c r="K263" s="37">
        <v>57.6</v>
      </c>
      <c r="L263" s="37">
        <v>45</v>
      </c>
      <c r="M263" s="37">
        <v>36</v>
      </c>
      <c r="N263" s="38">
        <f>1</f>
        <v>1</v>
      </c>
      <c r="O263" s="39">
        <f t="shared" si="19"/>
        <v>7.5347222222222223</v>
      </c>
      <c r="P263" s="39">
        <f t="shared" si="20"/>
        <v>9.6444444444444439</v>
      </c>
      <c r="Q263" s="39">
        <f t="shared" si="21"/>
        <v>12.055555555555555</v>
      </c>
      <c r="R263" s="35" t="str">
        <f t="shared" si="22"/>
        <v>Rs./km</v>
      </c>
    </row>
    <row r="264" spans="1:18" ht="15" customHeight="1" x14ac:dyDescent="0.3">
      <c r="A264" s="35">
        <v>252</v>
      </c>
      <c r="B264" s="35" t="s">
        <v>997</v>
      </c>
      <c r="C264" s="35" t="s">
        <v>998</v>
      </c>
      <c r="D264" s="36" t="s">
        <v>974</v>
      </c>
      <c r="E264" s="36" t="s">
        <v>1514</v>
      </c>
      <c r="F264" s="35">
        <v>2015</v>
      </c>
      <c r="G264" s="35" t="s">
        <v>1509</v>
      </c>
      <c r="H264" s="35" t="s">
        <v>1390</v>
      </c>
      <c r="I264" s="36" t="s">
        <v>1359</v>
      </c>
      <c r="J264" s="35" t="s">
        <v>1391</v>
      </c>
      <c r="K264" s="37">
        <v>57.6</v>
      </c>
      <c r="L264" s="37">
        <v>45</v>
      </c>
      <c r="M264" s="37">
        <v>36</v>
      </c>
      <c r="N264" s="38">
        <f>1+MIN(MAX($D$8-F264,0),$D$10)*$D$9</f>
        <v>1.077</v>
      </c>
      <c r="O264" s="39">
        <f t="shared" si="19"/>
        <v>8.1148958333333336</v>
      </c>
      <c r="P264" s="39">
        <f t="shared" si="20"/>
        <v>10.387066666666668</v>
      </c>
      <c r="Q264" s="39">
        <f t="shared" si="21"/>
        <v>12.983833333333333</v>
      </c>
      <c r="R264" s="35" t="str">
        <f t="shared" si="22"/>
        <v>Rs./km</v>
      </c>
    </row>
    <row r="265" spans="1:18" ht="15" customHeight="1" x14ac:dyDescent="0.3">
      <c r="A265" s="35">
        <v>253</v>
      </c>
      <c r="B265" s="35" t="s">
        <v>993</v>
      </c>
      <c r="C265" s="35" t="s">
        <v>994</v>
      </c>
      <c r="D265" s="36" t="s">
        <v>974</v>
      </c>
      <c r="E265" s="36" t="s">
        <v>1518</v>
      </c>
      <c r="F265" s="35" t="s">
        <v>195</v>
      </c>
      <c r="G265" s="35" t="s">
        <v>1509</v>
      </c>
      <c r="H265" s="35" t="s">
        <v>1390</v>
      </c>
      <c r="I265" s="36" t="s">
        <v>1359</v>
      </c>
      <c r="J265" s="35" t="s">
        <v>1391</v>
      </c>
      <c r="K265" s="37">
        <v>57.6</v>
      </c>
      <c r="L265" s="37">
        <v>45</v>
      </c>
      <c r="M265" s="37">
        <v>36</v>
      </c>
      <c r="N265" s="38">
        <f>1</f>
        <v>1</v>
      </c>
      <c r="O265" s="39">
        <f t="shared" si="19"/>
        <v>7.5347222222222223</v>
      </c>
      <c r="P265" s="39">
        <f t="shared" si="20"/>
        <v>9.6444444444444439</v>
      </c>
      <c r="Q265" s="39">
        <f t="shared" si="21"/>
        <v>12.055555555555555</v>
      </c>
      <c r="R265" s="35" t="str">
        <f t="shared" si="22"/>
        <v>Rs./km</v>
      </c>
    </row>
    <row r="266" spans="1:18" ht="15" customHeight="1" x14ac:dyDescent="0.3">
      <c r="A266" s="35">
        <v>254</v>
      </c>
      <c r="B266" s="35" t="s">
        <v>999</v>
      </c>
      <c r="C266" s="35" t="s">
        <v>1000</v>
      </c>
      <c r="D266" s="36" t="s">
        <v>974</v>
      </c>
      <c r="E266" s="36" t="s">
        <v>1518</v>
      </c>
      <c r="F266" s="35">
        <v>2015</v>
      </c>
      <c r="G266" s="35" t="s">
        <v>1509</v>
      </c>
      <c r="H266" s="35" t="s">
        <v>1390</v>
      </c>
      <c r="I266" s="36" t="s">
        <v>1359</v>
      </c>
      <c r="J266" s="35" t="s">
        <v>1391</v>
      </c>
      <c r="K266" s="37">
        <v>57.6</v>
      </c>
      <c r="L266" s="37">
        <v>45</v>
      </c>
      <c r="M266" s="37">
        <v>36</v>
      </c>
      <c r="N266" s="38">
        <f t="shared" ref="N266:N271" si="26">1+MIN(MAX($D$8-F266,0),$D$10)*$D$9</f>
        <v>1.077</v>
      </c>
      <c r="O266" s="39">
        <f t="shared" si="19"/>
        <v>8.1148958333333336</v>
      </c>
      <c r="P266" s="39">
        <f t="shared" si="20"/>
        <v>10.387066666666668</v>
      </c>
      <c r="Q266" s="39">
        <f t="shared" si="21"/>
        <v>12.983833333333333</v>
      </c>
      <c r="R266" s="35" t="str">
        <f t="shared" si="22"/>
        <v>Rs./km</v>
      </c>
    </row>
    <row r="267" spans="1:18" ht="15" customHeight="1" x14ac:dyDescent="0.3">
      <c r="A267" s="35">
        <v>255</v>
      </c>
      <c r="B267" s="35" t="s">
        <v>995</v>
      </c>
      <c r="C267" s="35" t="s">
        <v>996</v>
      </c>
      <c r="D267" s="36" t="s">
        <v>974</v>
      </c>
      <c r="E267" s="36" t="s">
        <v>1518</v>
      </c>
      <c r="F267" s="35">
        <v>2016</v>
      </c>
      <c r="G267" s="35" t="s">
        <v>1509</v>
      </c>
      <c r="H267" s="35" t="s">
        <v>1390</v>
      </c>
      <c r="I267" s="36" t="s">
        <v>1359</v>
      </c>
      <c r="J267" s="35" t="s">
        <v>1391</v>
      </c>
      <c r="K267" s="37">
        <v>57.6</v>
      </c>
      <c r="L267" s="37">
        <v>45</v>
      </c>
      <c r="M267" s="37">
        <v>36</v>
      </c>
      <c r="N267" s="38">
        <f t="shared" si="26"/>
        <v>1.07</v>
      </c>
      <c r="O267" s="39">
        <f t="shared" si="19"/>
        <v>8.0621527777777793</v>
      </c>
      <c r="P267" s="39">
        <f t="shared" si="20"/>
        <v>10.319555555555556</v>
      </c>
      <c r="Q267" s="39">
        <f t="shared" si="21"/>
        <v>12.899444444444446</v>
      </c>
      <c r="R267" s="35" t="str">
        <f t="shared" si="22"/>
        <v>Rs./km</v>
      </c>
    </row>
    <row r="268" spans="1:18" ht="15" customHeight="1" x14ac:dyDescent="0.3">
      <c r="A268" s="35">
        <v>256</v>
      </c>
      <c r="B268" s="35" t="s">
        <v>1002</v>
      </c>
      <c r="C268" s="35" t="s">
        <v>1003</v>
      </c>
      <c r="D268" s="36" t="s">
        <v>974</v>
      </c>
      <c r="E268" s="36" t="s">
        <v>1519</v>
      </c>
      <c r="F268" s="35">
        <v>2015</v>
      </c>
      <c r="G268" s="35" t="s">
        <v>1509</v>
      </c>
      <c r="H268" s="35" t="s">
        <v>1390</v>
      </c>
      <c r="I268" s="36" t="s">
        <v>1359</v>
      </c>
      <c r="J268" s="35" t="s">
        <v>1391</v>
      </c>
      <c r="K268" s="37">
        <v>57.6</v>
      </c>
      <c r="L268" s="37">
        <v>45</v>
      </c>
      <c r="M268" s="37">
        <v>36</v>
      </c>
      <c r="N268" s="38">
        <f t="shared" si="26"/>
        <v>1.077</v>
      </c>
      <c r="O268" s="39">
        <f t="shared" si="19"/>
        <v>8.1148958333333336</v>
      </c>
      <c r="P268" s="39">
        <f t="shared" si="20"/>
        <v>10.387066666666668</v>
      </c>
      <c r="Q268" s="39">
        <f t="shared" si="21"/>
        <v>12.983833333333333</v>
      </c>
      <c r="R268" s="35" t="str">
        <f t="shared" si="22"/>
        <v>Rs./km</v>
      </c>
    </row>
    <row r="269" spans="1:18" ht="15" customHeight="1" x14ac:dyDescent="0.3">
      <c r="A269" s="35">
        <v>257</v>
      </c>
      <c r="B269" s="35" t="s">
        <v>1004</v>
      </c>
      <c r="C269" s="35" t="s">
        <v>1005</v>
      </c>
      <c r="D269" s="36" t="s">
        <v>974</v>
      </c>
      <c r="E269" s="36" t="s">
        <v>1518</v>
      </c>
      <c r="F269" s="35">
        <v>2015</v>
      </c>
      <c r="G269" s="35" t="s">
        <v>1509</v>
      </c>
      <c r="H269" s="35" t="s">
        <v>1390</v>
      </c>
      <c r="I269" s="36" t="s">
        <v>1359</v>
      </c>
      <c r="J269" s="35" t="s">
        <v>1391</v>
      </c>
      <c r="K269" s="37">
        <v>57.6</v>
      </c>
      <c r="L269" s="37">
        <v>45</v>
      </c>
      <c r="M269" s="37">
        <v>36</v>
      </c>
      <c r="N269" s="38">
        <f t="shared" si="26"/>
        <v>1.077</v>
      </c>
      <c r="O269" s="39">
        <f t="shared" ref="O269:O332" si="27">IF(H269="None",0,IF(H269="KM",IF(G269="Petrol",$D$6,$D$5)*N269/K269,K269*N269*IF(G269="Petrol",$D$6,$D$5)))</f>
        <v>8.1148958333333336</v>
      </c>
      <c r="P269" s="39">
        <f t="shared" ref="P269:P332" si="28">IF(H269="None",0,IF(H269="KM",IF(G269="Petrol",$D$6,$D$5)*N269/L269,L269*N269*IF(G269="Petrol",$D$6,$D$5)))</f>
        <v>10.387066666666668</v>
      </c>
      <c r="Q269" s="39">
        <f t="shared" ref="Q269:Q332" si="29">IF(H269="None",0,IF(H269="KM",IF(G269="Petrol",$D$6,$D$5)*N269/M269,M269*N269*IF(G269="Petrol",$D$6,$D$5)))</f>
        <v>12.983833333333333</v>
      </c>
      <c r="R269" s="35" t="str">
        <f t="shared" ref="R269:R332" si="30">IF(H269="None","—",IF(H269="KM","Rs./km","Rs./hr"))</f>
        <v>Rs./km</v>
      </c>
    </row>
    <row r="270" spans="1:18" ht="15" customHeight="1" x14ac:dyDescent="0.3">
      <c r="A270" s="35">
        <v>258</v>
      </c>
      <c r="B270" s="35" t="s">
        <v>1021</v>
      </c>
      <c r="C270" s="35" t="s">
        <v>1022</v>
      </c>
      <c r="D270" s="36" t="s">
        <v>974</v>
      </c>
      <c r="E270" s="36" t="s">
        <v>1518</v>
      </c>
      <c r="F270" s="35">
        <v>2012</v>
      </c>
      <c r="G270" s="35" t="s">
        <v>1509</v>
      </c>
      <c r="H270" s="35" t="s">
        <v>1390</v>
      </c>
      <c r="I270" s="36" t="s">
        <v>1359</v>
      </c>
      <c r="J270" s="35" t="s">
        <v>1391</v>
      </c>
      <c r="K270" s="37">
        <v>57.6</v>
      </c>
      <c r="L270" s="37">
        <v>45</v>
      </c>
      <c r="M270" s="37">
        <v>36</v>
      </c>
      <c r="N270" s="38">
        <f t="shared" si="26"/>
        <v>1.0980000000000001</v>
      </c>
      <c r="O270" s="39">
        <f t="shared" si="27"/>
        <v>8.2731250000000003</v>
      </c>
      <c r="P270" s="39">
        <f t="shared" si="28"/>
        <v>10.589600000000001</v>
      </c>
      <c r="Q270" s="39">
        <f t="shared" si="29"/>
        <v>13.237000000000002</v>
      </c>
      <c r="R270" s="35" t="str">
        <f t="shared" si="30"/>
        <v>Rs./km</v>
      </c>
    </row>
    <row r="271" spans="1:18" ht="15" customHeight="1" x14ac:dyDescent="0.3">
      <c r="A271" s="35">
        <v>259</v>
      </c>
      <c r="B271" s="35" t="s">
        <v>1007</v>
      </c>
      <c r="C271" s="35" t="s">
        <v>1008</v>
      </c>
      <c r="D271" s="36" t="s">
        <v>974</v>
      </c>
      <c r="E271" s="36" t="s">
        <v>1516</v>
      </c>
      <c r="F271" s="35">
        <v>2013</v>
      </c>
      <c r="G271" s="35" t="s">
        <v>1509</v>
      </c>
      <c r="H271" s="35" t="s">
        <v>1390</v>
      </c>
      <c r="I271" s="36" t="s">
        <v>1359</v>
      </c>
      <c r="J271" s="35" t="s">
        <v>1391</v>
      </c>
      <c r="K271" s="37">
        <v>57.6</v>
      </c>
      <c r="L271" s="37">
        <v>45</v>
      </c>
      <c r="M271" s="37">
        <v>36</v>
      </c>
      <c r="N271" s="38">
        <f t="shared" si="26"/>
        <v>1.091</v>
      </c>
      <c r="O271" s="39">
        <f t="shared" si="27"/>
        <v>8.2203819444444441</v>
      </c>
      <c r="P271" s="39">
        <f t="shared" si="28"/>
        <v>10.522088888888888</v>
      </c>
      <c r="Q271" s="39">
        <f t="shared" si="29"/>
        <v>13.15261111111111</v>
      </c>
      <c r="R271" s="35" t="str">
        <f t="shared" si="30"/>
        <v>Rs./km</v>
      </c>
    </row>
    <row r="272" spans="1:18" ht="15" customHeight="1" x14ac:dyDescent="0.3">
      <c r="A272" s="35">
        <v>260</v>
      </c>
      <c r="B272" s="35" t="s">
        <v>1009</v>
      </c>
      <c r="C272" s="35" t="s">
        <v>1010</v>
      </c>
      <c r="D272" s="36" t="s">
        <v>974</v>
      </c>
      <c r="E272" s="36" t="s">
        <v>1518</v>
      </c>
      <c r="F272" s="35" t="s">
        <v>195</v>
      </c>
      <c r="G272" s="35" t="s">
        <v>1509</v>
      </c>
      <c r="H272" s="35" t="s">
        <v>1390</v>
      </c>
      <c r="I272" s="36" t="s">
        <v>1359</v>
      </c>
      <c r="J272" s="35" t="s">
        <v>1391</v>
      </c>
      <c r="K272" s="37">
        <v>57.6</v>
      </c>
      <c r="L272" s="37">
        <v>45</v>
      </c>
      <c r="M272" s="37">
        <v>36</v>
      </c>
      <c r="N272" s="38">
        <f>1</f>
        <v>1</v>
      </c>
      <c r="O272" s="39">
        <f t="shared" si="27"/>
        <v>7.5347222222222223</v>
      </c>
      <c r="P272" s="39">
        <f t="shared" si="28"/>
        <v>9.6444444444444439</v>
      </c>
      <c r="Q272" s="39">
        <f t="shared" si="29"/>
        <v>12.055555555555555</v>
      </c>
      <c r="R272" s="35" t="str">
        <f t="shared" si="30"/>
        <v>Rs./km</v>
      </c>
    </row>
    <row r="273" spans="1:18" ht="15" customHeight="1" x14ac:dyDescent="0.3">
      <c r="A273" s="35">
        <v>261</v>
      </c>
      <c r="B273" s="35" t="s">
        <v>1027</v>
      </c>
      <c r="C273" s="35" t="s">
        <v>1028</v>
      </c>
      <c r="D273" s="36" t="s">
        <v>974</v>
      </c>
      <c r="E273" s="36" t="s">
        <v>1518</v>
      </c>
      <c r="F273" s="35">
        <v>2011</v>
      </c>
      <c r="G273" s="35" t="s">
        <v>1509</v>
      </c>
      <c r="H273" s="35" t="s">
        <v>1390</v>
      </c>
      <c r="I273" s="36" t="s">
        <v>1359</v>
      </c>
      <c r="J273" s="35" t="s">
        <v>1391</v>
      </c>
      <c r="K273" s="37">
        <v>57.6</v>
      </c>
      <c r="L273" s="37">
        <v>45</v>
      </c>
      <c r="M273" s="37">
        <v>36</v>
      </c>
      <c r="N273" s="38">
        <f>1+MIN(MAX($D$8-F273,0),$D$10)*$D$9</f>
        <v>1.105</v>
      </c>
      <c r="O273" s="39">
        <f t="shared" si="27"/>
        <v>8.3258680555555546</v>
      </c>
      <c r="P273" s="39">
        <f t="shared" si="28"/>
        <v>10.65711111111111</v>
      </c>
      <c r="Q273" s="39">
        <f t="shared" si="29"/>
        <v>13.321388888888889</v>
      </c>
      <c r="R273" s="35" t="str">
        <f t="shared" si="30"/>
        <v>Rs./km</v>
      </c>
    </row>
    <row r="274" spans="1:18" ht="15" customHeight="1" x14ac:dyDescent="0.3">
      <c r="A274" s="35">
        <v>262</v>
      </c>
      <c r="B274" s="35" t="s">
        <v>986</v>
      </c>
      <c r="C274" s="35" t="s">
        <v>987</v>
      </c>
      <c r="D274" s="36" t="s">
        <v>974</v>
      </c>
      <c r="E274" s="36" t="s">
        <v>1520</v>
      </c>
      <c r="F274" s="35">
        <v>2016</v>
      </c>
      <c r="G274" s="35" t="s">
        <v>1509</v>
      </c>
      <c r="H274" s="35" t="s">
        <v>1390</v>
      </c>
      <c r="I274" s="36" t="s">
        <v>1359</v>
      </c>
      <c r="J274" s="35" t="s">
        <v>1391</v>
      </c>
      <c r="K274" s="37">
        <v>57.6</v>
      </c>
      <c r="L274" s="37">
        <v>45</v>
      </c>
      <c r="M274" s="37">
        <v>36</v>
      </c>
      <c r="N274" s="38">
        <f>1+MIN(MAX($D$8-F274,0),$D$10)*$D$9</f>
        <v>1.07</v>
      </c>
      <c r="O274" s="39">
        <f t="shared" si="27"/>
        <v>8.0621527777777793</v>
      </c>
      <c r="P274" s="39">
        <f t="shared" si="28"/>
        <v>10.319555555555556</v>
      </c>
      <c r="Q274" s="39">
        <f t="shared" si="29"/>
        <v>12.899444444444446</v>
      </c>
      <c r="R274" s="35" t="str">
        <f t="shared" si="30"/>
        <v>Rs./km</v>
      </c>
    </row>
    <row r="275" spans="1:18" ht="15" customHeight="1" x14ac:dyDescent="0.3">
      <c r="A275" s="35">
        <v>263</v>
      </c>
      <c r="B275" s="35" t="s">
        <v>1044</v>
      </c>
      <c r="C275" s="35" t="s">
        <v>1045</v>
      </c>
      <c r="D275" s="36" t="s">
        <v>974</v>
      </c>
      <c r="E275" s="36" t="s">
        <v>1521</v>
      </c>
      <c r="F275" s="35" t="s">
        <v>195</v>
      </c>
      <c r="G275" s="35" t="s">
        <v>1509</v>
      </c>
      <c r="H275" s="35" t="s">
        <v>1390</v>
      </c>
      <c r="I275" s="36" t="s">
        <v>1359</v>
      </c>
      <c r="J275" s="35" t="s">
        <v>1391</v>
      </c>
      <c r="K275" s="37">
        <v>57.6</v>
      </c>
      <c r="L275" s="37">
        <v>45</v>
      </c>
      <c r="M275" s="37">
        <v>36</v>
      </c>
      <c r="N275" s="38">
        <f>1</f>
        <v>1</v>
      </c>
      <c r="O275" s="39">
        <f t="shared" si="27"/>
        <v>7.5347222222222223</v>
      </c>
      <c r="P275" s="39">
        <f t="shared" si="28"/>
        <v>9.6444444444444439</v>
      </c>
      <c r="Q275" s="39">
        <f t="shared" si="29"/>
        <v>12.055555555555555</v>
      </c>
      <c r="R275" s="35" t="str">
        <f t="shared" si="30"/>
        <v>Rs./km</v>
      </c>
    </row>
    <row r="276" spans="1:18" ht="15" customHeight="1" x14ac:dyDescent="0.3">
      <c r="A276" s="35">
        <v>264</v>
      </c>
      <c r="B276" s="35" t="s">
        <v>984</v>
      </c>
      <c r="C276" s="35" t="s">
        <v>985</v>
      </c>
      <c r="D276" s="36" t="s">
        <v>974</v>
      </c>
      <c r="E276" s="36" t="s">
        <v>1522</v>
      </c>
      <c r="F276" s="35">
        <v>2017</v>
      </c>
      <c r="G276" s="35" t="s">
        <v>1509</v>
      </c>
      <c r="H276" s="35" t="s">
        <v>1390</v>
      </c>
      <c r="I276" s="36" t="s">
        <v>1359</v>
      </c>
      <c r="J276" s="35" t="s">
        <v>1391</v>
      </c>
      <c r="K276" s="37">
        <v>57.6</v>
      </c>
      <c r="L276" s="37">
        <v>45</v>
      </c>
      <c r="M276" s="37">
        <v>36</v>
      </c>
      <c r="N276" s="38">
        <f t="shared" ref="N276:N289" si="31">1+MIN(MAX($D$8-F276,0),$D$10)*$D$9</f>
        <v>1.0629999999999999</v>
      </c>
      <c r="O276" s="39">
        <f t="shared" si="27"/>
        <v>8.0094097222222214</v>
      </c>
      <c r="P276" s="39">
        <f t="shared" si="28"/>
        <v>10.252044444444444</v>
      </c>
      <c r="Q276" s="39">
        <f t="shared" si="29"/>
        <v>12.815055555555555</v>
      </c>
      <c r="R276" s="35" t="str">
        <f t="shared" si="30"/>
        <v>Rs./km</v>
      </c>
    </row>
    <row r="277" spans="1:18" ht="15" customHeight="1" x14ac:dyDescent="0.3">
      <c r="A277" s="35">
        <v>265</v>
      </c>
      <c r="B277" s="35" t="s">
        <v>195</v>
      </c>
      <c r="C277" s="35" t="s">
        <v>195</v>
      </c>
      <c r="D277" s="36" t="s">
        <v>974</v>
      </c>
      <c r="E277" s="36" t="s">
        <v>1514</v>
      </c>
      <c r="F277" s="35">
        <v>2017</v>
      </c>
      <c r="G277" s="35" t="s">
        <v>1509</v>
      </c>
      <c r="H277" s="35" t="s">
        <v>1390</v>
      </c>
      <c r="I277" s="36" t="s">
        <v>1359</v>
      </c>
      <c r="J277" s="35" t="s">
        <v>1391</v>
      </c>
      <c r="K277" s="37">
        <v>57.6</v>
      </c>
      <c r="L277" s="37">
        <v>45</v>
      </c>
      <c r="M277" s="37">
        <v>36</v>
      </c>
      <c r="N277" s="38">
        <f t="shared" si="31"/>
        <v>1.0629999999999999</v>
      </c>
      <c r="O277" s="39">
        <f t="shared" si="27"/>
        <v>8.0094097222222214</v>
      </c>
      <c r="P277" s="39">
        <f t="shared" si="28"/>
        <v>10.252044444444444</v>
      </c>
      <c r="Q277" s="39">
        <f t="shared" si="29"/>
        <v>12.815055555555555</v>
      </c>
      <c r="R277" s="35" t="str">
        <f t="shared" si="30"/>
        <v>Rs./km</v>
      </c>
    </row>
    <row r="278" spans="1:18" ht="15" customHeight="1" x14ac:dyDescent="0.3">
      <c r="A278" s="35">
        <v>266</v>
      </c>
      <c r="B278" s="35" t="s">
        <v>195</v>
      </c>
      <c r="C278" s="35" t="s">
        <v>195</v>
      </c>
      <c r="D278" s="36" t="s">
        <v>974</v>
      </c>
      <c r="E278" s="36" t="s">
        <v>1514</v>
      </c>
      <c r="F278" s="35">
        <v>2016</v>
      </c>
      <c r="G278" s="35" t="s">
        <v>1509</v>
      </c>
      <c r="H278" s="35" t="s">
        <v>1390</v>
      </c>
      <c r="I278" s="36" t="s">
        <v>1359</v>
      </c>
      <c r="J278" s="35" t="s">
        <v>1391</v>
      </c>
      <c r="K278" s="37">
        <v>57.6</v>
      </c>
      <c r="L278" s="37">
        <v>45</v>
      </c>
      <c r="M278" s="37">
        <v>36</v>
      </c>
      <c r="N278" s="38">
        <f t="shared" si="31"/>
        <v>1.07</v>
      </c>
      <c r="O278" s="39">
        <f t="shared" si="27"/>
        <v>8.0621527777777793</v>
      </c>
      <c r="P278" s="39">
        <f t="shared" si="28"/>
        <v>10.319555555555556</v>
      </c>
      <c r="Q278" s="39">
        <f t="shared" si="29"/>
        <v>12.899444444444446</v>
      </c>
      <c r="R278" s="35" t="str">
        <f t="shared" si="30"/>
        <v>Rs./km</v>
      </c>
    </row>
    <row r="279" spans="1:18" ht="15" customHeight="1" x14ac:dyDescent="0.3">
      <c r="A279" s="35">
        <v>267</v>
      </c>
      <c r="B279" s="35" t="s">
        <v>195</v>
      </c>
      <c r="C279" s="35" t="s">
        <v>195</v>
      </c>
      <c r="D279" s="36" t="s">
        <v>974</v>
      </c>
      <c r="E279" s="36" t="s">
        <v>1514</v>
      </c>
      <c r="F279" s="35">
        <v>2016</v>
      </c>
      <c r="G279" s="35" t="s">
        <v>1509</v>
      </c>
      <c r="H279" s="35" t="s">
        <v>1390</v>
      </c>
      <c r="I279" s="36" t="s">
        <v>1359</v>
      </c>
      <c r="J279" s="35" t="s">
        <v>1391</v>
      </c>
      <c r="K279" s="37">
        <v>57.6</v>
      </c>
      <c r="L279" s="37">
        <v>45</v>
      </c>
      <c r="M279" s="37">
        <v>36</v>
      </c>
      <c r="N279" s="38">
        <f t="shared" si="31"/>
        <v>1.07</v>
      </c>
      <c r="O279" s="39">
        <f t="shared" si="27"/>
        <v>8.0621527777777793</v>
      </c>
      <c r="P279" s="39">
        <f t="shared" si="28"/>
        <v>10.319555555555556</v>
      </c>
      <c r="Q279" s="39">
        <f t="shared" si="29"/>
        <v>12.899444444444446</v>
      </c>
      <c r="R279" s="35" t="str">
        <f t="shared" si="30"/>
        <v>Rs./km</v>
      </c>
    </row>
    <row r="280" spans="1:18" ht="15" customHeight="1" x14ac:dyDescent="0.3">
      <c r="A280" s="35">
        <v>268</v>
      </c>
      <c r="B280" s="35" t="s">
        <v>195</v>
      </c>
      <c r="C280" s="35" t="s">
        <v>195</v>
      </c>
      <c r="D280" s="36" t="s">
        <v>974</v>
      </c>
      <c r="E280" s="36" t="s">
        <v>1514</v>
      </c>
      <c r="F280" s="35">
        <v>2015</v>
      </c>
      <c r="G280" s="35" t="s">
        <v>1509</v>
      </c>
      <c r="H280" s="35" t="s">
        <v>1390</v>
      </c>
      <c r="I280" s="36" t="s">
        <v>1359</v>
      </c>
      <c r="J280" s="35" t="s">
        <v>1391</v>
      </c>
      <c r="K280" s="37">
        <v>57.6</v>
      </c>
      <c r="L280" s="37">
        <v>45</v>
      </c>
      <c r="M280" s="37">
        <v>36</v>
      </c>
      <c r="N280" s="38">
        <f t="shared" si="31"/>
        <v>1.077</v>
      </c>
      <c r="O280" s="39">
        <f t="shared" si="27"/>
        <v>8.1148958333333336</v>
      </c>
      <c r="P280" s="39">
        <f t="shared" si="28"/>
        <v>10.387066666666668</v>
      </c>
      <c r="Q280" s="39">
        <f t="shared" si="29"/>
        <v>12.983833333333333</v>
      </c>
      <c r="R280" s="35" t="str">
        <f t="shared" si="30"/>
        <v>Rs./km</v>
      </c>
    </row>
    <row r="281" spans="1:18" ht="15" customHeight="1" x14ac:dyDescent="0.3">
      <c r="A281" s="35">
        <v>269</v>
      </c>
      <c r="B281" s="35" t="s">
        <v>195</v>
      </c>
      <c r="C281" s="35" t="s">
        <v>195</v>
      </c>
      <c r="D281" s="36" t="s">
        <v>974</v>
      </c>
      <c r="E281" s="36" t="s">
        <v>1519</v>
      </c>
      <c r="F281" s="35">
        <v>2015</v>
      </c>
      <c r="G281" s="35" t="s">
        <v>1509</v>
      </c>
      <c r="H281" s="35" t="s">
        <v>1390</v>
      </c>
      <c r="I281" s="36" t="s">
        <v>1359</v>
      </c>
      <c r="J281" s="35" t="s">
        <v>1391</v>
      </c>
      <c r="K281" s="37">
        <v>57.6</v>
      </c>
      <c r="L281" s="37">
        <v>45</v>
      </c>
      <c r="M281" s="37">
        <v>36</v>
      </c>
      <c r="N281" s="38">
        <f t="shared" si="31"/>
        <v>1.077</v>
      </c>
      <c r="O281" s="39">
        <f t="shared" si="27"/>
        <v>8.1148958333333336</v>
      </c>
      <c r="P281" s="39">
        <f t="shared" si="28"/>
        <v>10.387066666666668</v>
      </c>
      <c r="Q281" s="39">
        <f t="shared" si="29"/>
        <v>12.983833333333333</v>
      </c>
      <c r="R281" s="35" t="str">
        <f t="shared" si="30"/>
        <v>Rs./km</v>
      </c>
    </row>
    <row r="282" spans="1:18" ht="15" customHeight="1" x14ac:dyDescent="0.3">
      <c r="A282" s="35">
        <v>270</v>
      </c>
      <c r="B282" s="35" t="s">
        <v>195</v>
      </c>
      <c r="C282" s="35" t="s">
        <v>195</v>
      </c>
      <c r="D282" s="36" t="s">
        <v>974</v>
      </c>
      <c r="E282" s="36" t="s">
        <v>1516</v>
      </c>
      <c r="F282" s="35">
        <v>2013</v>
      </c>
      <c r="G282" s="35" t="s">
        <v>1509</v>
      </c>
      <c r="H282" s="35" t="s">
        <v>1390</v>
      </c>
      <c r="I282" s="36" t="s">
        <v>1359</v>
      </c>
      <c r="J282" s="35" t="s">
        <v>1391</v>
      </c>
      <c r="K282" s="37">
        <v>57.6</v>
      </c>
      <c r="L282" s="37">
        <v>45</v>
      </c>
      <c r="M282" s="37">
        <v>36</v>
      </c>
      <c r="N282" s="38">
        <f t="shared" si="31"/>
        <v>1.091</v>
      </c>
      <c r="O282" s="39">
        <f t="shared" si="27"/>
        <v>8.2203819444444441</v>
      </c>
      <c r="P282" s="39">
        <f t="shared" si="28"/>
        <v>10.522088888888888</v>
      </c>
      <c r="Q282" s="39">
        <f t="shared" si="29"/>
        <v>13.15261111111111</v>
      </c>
      <c r="R282" s="35" t="str">
        <f t="shared" si="30"/>
        <v>Rs./km</v>
      </c>
    </row>
    <row r="283" spans="1:18" ht="15" customHeight="1" x14ac:dyDescent="0.3">
      <c r="A283" s="35">
        <v>271</v>
      </c>
      <c r="B283" s="35" t="s">
        <v>195</v>
      </c>
      <c r="C283" s="35" t="s">
        <v>195</v>
      </c>
      <c r="D283" s="36" t="s">
        <v>974</v>
      </c>
      <c r="E283" s="36" t="s">
        <v>1514</v>
      </c>
      <c r="F283" s="35">
        <v>2012</v>
      </c>
      <c r="G283" s="35" t="s">
        <v>1509</v>
      </c>
      <c r="H283" s="35" t="s">
        <v>1390</v>
      </c>
      <c r="I283" s="36" t="s">
        <v>1359</v>
      </c>
      <c r="J283" s="35" t="s">
        <v>1391</v>
      </c>
      <c r="K283" s="37">
        <v>57.6</v>
      </c>
      <c r="L283" s="37">
        <v>45</v>
      </c>
      <c r="M283" s="37">
        <v>36</v>
      </c>
      <c r="N283" s="38">
        <f t="shared" si="31"/>
        <v>1.0980000000000001</v>
      </c>
      <c r="O283" s="39">
        <f t="shared" si="27"/>
        <v>8.2731250000000003</v>
      </c>
      <c r="P283" s="39">
        <f t="shared" si="28"/>
        <v>10.589600000000001</v>
      </c>
      <c r="Q283" s="39">
        <f t="shared" si="29"/>
        <v>13.237000000000002</v>
      </c>
      <c r="R283" s="35" t="str">
        <f t="shared" si="30"/>
        <v>Rs./km</v>
      </c>
    </row>
    <row r="284" spans="1:18" ht="15" customHeight="1" x14ac:dyDescent="0.3">
      <c r="A284" s="35">
        <v>272</v>
      </c>
      <c r="B284" s="35" t="s">
        <v>195</v>
      </c>
      <c r="C284" s="35" t="s">
        <v>195</v>
      </c>
      <c r="D284" s="36" t="s">
        <v>974</v>
      </c>
      <c r="E284" s="36" t="s">
        <v>1514</v>
      </c>
      <c r="F284" s="35">
        <v>2012</v>
      </c>
      <c r="G284" s="35" t="s">
        <v>1509</v>
      </c>
      <c r="H284" s="35" t="s">
        <v>1390</v>
      </c>
      <c r="I284" s="36" t="s">
        <v>1359</v>
      </c>
      <c r="J284" s="35" t="s">
        <v>1391</v>
      </c>
      <c r="K284" s="37">
        <v>57.6</v>
      </c>
      <c r="L284" s="37">
        <v>45</v>
      </c>
      <c r="M284" s="37">
        <v>36</v>
      </c>
      <c r="N284" s="38">
        <f t="shared" si="31"/>
        <v>1.0980000000000001</v>
      </c>
      <c r="O284" s="39">
        <f t="shared" si="27"/>
        <v>8.2731250000000003</v>
      </c>
      <c r="P284" s="39">
        <f t="shared" si="28"/>
        <v>10.589600000000001</v>
      </c>
      <c r="Q284" s="39">
        <f t="shared" si="29"/>
        <v>13.237000000000002</v>
      </c>
      <c r="R284" s="35" t="str">
        <f t="shared" si="30"/>
        <v>Rs./km</v>
      </c>
    </row>
    <row r="285" spans="1:18" ht="15" customHeight="1" x14ac:dyDescent="0.3">
      <c r="A285" s="35">
        <v>273</v>
      </c>
      <c r="B285" s="35" t="s">
        <v>195</v>
      </c>
      <c r="C285" s="35" t="s">
        <v>195</v>
      </c>
      <c r="D285" s="36" t="s">
        <v>974</v>
      </c>
      <c r="E285" s="36" t="s">
        <v>1516</v>
      </c>
      <c r="F285" s="35">
        <v>2012</v>
      </c>
      <c r="G285" s="35" t="s">
        <v>1509</v>
      </c>
      <c r="H285" s="35" t="s">
        <v>1390</v>
      </c>
      <c r="I285" s="36" t="s">
        <v>1359</v>
      </c>
      <c r="J285" s="35" t="s">
        <v>1391</v>
      </c>
      <c r="K285" s="37">
        <v>57.6</v>
      </c>
      <c r="L285" s="37">
        <v>45</v>
      </c>
      <c r="M285" s="37">
        <v>36</v>
      </c>
      <c r="N285" s="38">
        <f t="shared" si="31"/>
        <v>1.0980000000000001</v>
      </c>
      <c r="O285" s="39">
        <f t="shared" si="27"/>
        <v>8.2731250000000003</v>
      </c>
      <c r="P285" s="39">
        <f t="shared" si="28"/>
        <v>10.589600000000001</v>
      </c>
      <c r="Q285" s="39">
        <f t="shared" si="29"/>
        <v>13.237000000000002</v>
      </c>
      <c r="R285" s="35" t="str">
        <f t="shared" si="30"/>
        <v>Rs./km</v>
      </c>
    </row>
    <row r="286" spans="1:18" ht="15" customHeight="1" x14ac:dyDescent="0.3">
      <c r="A286" s="35">
        <v>274</v>
      </c>
      <c r="B286" s="35" t="s">
        <v>195</v>
      </c>
      <c r="C286" s="35" t="s">
        <v>195</v>
      </c>
      <c r="D286" s="36" t="s">
        <v>974</v>
      </c>
      <c r="E286" s="36" t="s">
        <v>1516</v>
      </c>
      <c r="F286" s="35">
        <v>2012</v>
      </c>
      <c r="G286" s="35" t="s">
        <v>1509</v>
      </c>
      <c r="H286" s="35" t="s">
        <v>1390</v>
      </c>
      <c r="I286" s="36" t="s">
        <v>1359</v>
      </c>
      <c r="J286" s="35" t="s">
        <v>1391</v>
      </c>
      <c r="K286" s="37">
        <v>57.6</v>
      </c>
      <c r="L286" s="37">
        <v>45</v>
      </c>
      <c r="M286" s="37">
        <v>36</v>
      </c>
      <c r="N286" s="38">
        <f t="shared" si="31"/>
        <v>1.0980000000000001</v>
      </c>
      <c r="O286" s="39">
        <f t="shared" si="27"/>
        <v>8.2731250000000003</v>
      </c>
      <c r="P286" s="39">
        <f t="shared" si="28"/>
        <v>10.589600000000001</v>
      </c>
      <c r="Q286" s="39">
        <f t="shared" si="29"/>
        <v>13.237000000000002</v>
      </c>
      <c r="R286" s="35" t="str">
        <f t="shared" si="30"/>
        <v>Rs./km</v>
      </c>
    </row>
    <row r="287" spans="1:18" ht="15" customHeight="1" x14ac:dyDescent="0.3">
      <c r="A287" s="35">
        <v>275</v>
      </c>
      <c r="B287" s="35" t="s">
        <v>195</v>
      </c>
      <c r="C287" s="35" t="s">
        <v>195</v>
      </c>
      <c r="D287" s="36" t="s">
        <v>974</v>
      </c>
      <c r="E287" s="36" t="s">
        <v>1516</v>
      </c>
      <c r="F287" s="35">
        <v>2011</v>
      </c>
      <c r="G287" s="35" t="s">
        <v>1509</v>
      </c>
      <c r="H287" s="35" t="s">
        <v>1390</v>
      </c>
      <c r="I287" s="36" t="s">
        <v>1359</v>
      </c>
      <c r="J287" s="35" t="s">
        <v>1391</v>
      </c>
      <c r="K287" s="37">
        <v>57.6</v>
      </c>
      <c r="L287" s="37">
        <v>45</v>
      </c>
      <c r="M287" s="37">
        <v>36</v>
      </c>
      <c r="N287" s="38">
        <f t="shared" si="31"/>
        <v>1.105</v>
      </c>
      <c r="O287" s="39">
        <f t="shared" si="27"/>
        <v>8.3258680555555546</v>
      </c>
      <c r="P287" s="39">
        <f t="shared" si="28"/>
        <v>10.65711111111111</v>
      </c>
      <c r="Q287" s="39">
        <f t="shared" si="29"/>
        <v>13.321388888888889</v>
      </c>
      <c r="R287" s="35" t="str">
        <f t="shared" si="30"/>
        <v>Rs./km</v>
      </c>
    </row>
    <row r="288" spans="1:18" ht="15" customHeight="1" x14ac:dyDescent="0.3">
      <c r="A288" s="35">
        <v>276</v>
      </c>
      <c r="B288" s="35" t="s">
        <v>195</v>
      </c>
      <c r="C288" s="35" t="s">
        <v>195</v>
      </c>
      <c r="D288" s="36" t="s">
        <v>974</v>
      </c>
      <c r="E288" s="36" t="s">
        <v>1516</v>
      </c>
      <c r="F288" s="35">
        <v>2011</v>
      </c>
      <c r="G288" s="35" t="s">
        <v>1509</v>
      </c>
      <c r="H288" s="35" t="s">
        <v>1390</v>
      </c>
      <c r="I288" s="36" t="s">
        <v>1359</v>
      </c>
      <c r="J288" s="35" t="s">
        <v>1391</v>
      </c>
      <c r="K288" s="37">
        <v>57.6</v>
      </c>
      <c r="L288" s="37">
        <v>45</v>
      </c>
      <c r="M288" s="37">
        <v>36</v>
      </c>
      <c r="N288" s="38">
        <f t="shared" si="31"/>
        <v>1.105</v>
      </c>
      <c r="O288" s="39">
        <f t="shared" si="27"/>
        <v>8.3258680555555546</v>
      </c>
      <c r="P288" s="39">
        <f t="shared" si="28"/>
        <v>10.65711111111111</v>
      </c>
      <c r="Q288" s="39">
        <f t="shared" si="29"/>
        <v>13.321388888888889</v>
      </c>
      <c r="R288" s="35" t="str">
        <f t="shared" si="30"/>
        <v>Rs./km</v>
      </c>
    </row>
    <row r="289" spans="1:18" ht="15" customHeight="1" x14ac:dyDescent="0.3">
      <c r="A289" s="35">
        <v>277</v>
      </c>
      <c r="B289" s="35" t="s">
        <v>195</v>
      </c>
      <c r="C289" s="35" t="s">
        <v>195</v>
      </c>
      <c r="D289" s="36" t="s">
        <v>974</v>
      </c>
      <c r="E289" s="36" t="s">
        <v>1511</v>
      </c>
      <c r="F289" s="35">
        <v>2006</v>
      </c>
      <c r="G289" s="35" t="s">
        <v>1509</v>
      </c>
      <c r="H289" s="35" t="s">
        <v>1390</v>
      </c>
      <c r="I289" s="36" t="s">
        <v>1359</v>
      </c>
      <c r="J289" s="35" t="s">
        <v>1391</v>
      </c>
      <c r="K289" s="37">
        <v>57.6</v>
      </c>
      <c r="L289" s="37">
        <v>45</v>
      </c>
      <c r="M289" s="37">
        <v>36</v>
      </c>
      <c r="N289" s="38">
        <f t="shared" si="31"/>
        <v>1.1400000000000001</v>
      </c>
      <c r="O289" s="39">
        <f t="shared" si="27"/>
        <v>8.5895833333333336</v>
      </c>
      <c r="P289" s="39">
        <f t="shared" si="28"/>
        <v>10.994666666666667</v>
      </c>
      <c r="Q289" s="39">
        <f t="shared" si="29"/>
        <v>13.743333333333334</v>
      </c>
      <c r="R289" s="35" t="str">
        <f t="shared" si="30"/>
        <v>Rs./km</v>
      </c>
    </row>
    <row r="290" spans="1:18" ht="15" customHeight="1" x14ac:dyDescent="0.3">
      <c r="A290" s="35">
        <v>278</v>
      </c>
      <c r="B290" s="35" t="s">
        <v>195</v>
      </c>
      <c r="C290" s="35" t="s">
        <v>1523</v>
      </c>
      <c r="D290" s="36" t="s">
        <v>974</v>
      </c>
      <c r="E290" s="36" t="s">
        <v>188</v>
      </c>
      <c r="F290" s="35" t="s">
        <v>195</v>
      </c>
      <c r="G290" s="35" t="s">
        <v>1509</v>
      </c>
      <c r="H290" s="35" t="s">
        <v>1390</v>
      </c>
      <c r="I290" s="36" t="s">
        <v>1359</v>
      </c>
      <c r="J290" s="35" t="s">
        <v>1391</v>
      </c>
      <c r="K290" s="37">
        <v>57.6</v>
      </c>
      <c r="L290" s="37">
        <v>45</v>
      </c>
      <c r="M290" s="37">
        <v>36</v>
      </c>
      <c r="N290" s="38">
        <f>1</f>
        <v>1</v>
      </c>
      <c r="O290" s="39">
        <f t="shared" si="27"/>
        <v>7.5347222222222223</v>
      </c>
      <c r="P290" s="39">
        <f t="shared" si="28"/>
        <v>9.6444444444444439</v>
      </c>
      <c r="Q290" s="39">
        <f t="shared" si="29"/>
        <v>12.055555555555555</v>
      </c>
      <c r="R290" s="35" t="str">
        <f t="shared" si="30"/>
        <v>Rs./km</v>
      </c>
    </row>
    <row r="291" spans="1:18" ht="15" customHeight="1" x14ac:dyDescent="0.3">
      <c r="A291" s="35">
        <v>279</v>
      </c>
      <c r="B291" s="35" t="s">
        <v>195</v>
      </c>
      <c r="C291" s="35" t="s">
        <v>1524</v>
      </c>
      <c r="D291" s="36" t="s">
        <v>974</v>
      </c>
      <c r="E291" s="36" t="s">
        <v>188</v>
      </c>
      <c r="F291" s="35" t="s">
        <v>195</v>
      </c>
      <c r="G291" s="35" t="s">
        <v>1509</v>
      </c>
      <c r="H291" s="35" t="s">
        <v>1390</v>
      </c>
      <c r="I291" s="36" t="s">
        <v>1359</v>
      </c>
      <c r="J291" s="35" t="s">
        <v>1391</v>
      </c>
      <c r="K291" s="37">
        <v>57.6</v>
      </c>
      <c r="L291" s="37">
        <v>45</v>
      </c>
      <c r="M291" s="37">
        <v>36</v>
      </c>
      <c r="N291" s="38">
        <f>1</f>
        <v>1</v>
      </c>
      <c r="O291" s="39">
        <f t="shared" si="27"/>
        <v>7.5347222222222223</v>
      </c>
      <c r="P291" s="39">
        <f t="shared" si="28"/>
        <v>9.6444444444444439</v>
      </c>
      <c r="Q291" s="39">
        <f t="shared" si="29"/>
        <v>12.055555555555555</v>
      </c>
      <c r="R291" s="35" t="str">
        <f t="shared" si="30"/>
        <v>Rs./km</v>
      </c>
    </row>
    <row r="292" spans="1:18" ht="15" customHeight="1" x14ac:dyDescent="0.3">
      <c r="A292" s="35">
        <v>280</v>
      </c>
      <c r="B292" s="35" t="s">
        <v>195</v>
      </c>
      <c r="C292" s="35" t="s">
        <v>1525</v>
      </c>
      <c r="D292" s="36" t="s">
        <v>974</v>
      </c>
      <c r="E292" s="36" t="s">
        <v>188</v>
      </c>
      <c r="F292" s="35" t="s">
        <v>195</v>
      </c>
      <c r="G292" s="35" t="s">
        <v>1509</v>
      </c>
      <c r="H292" s="35" t="s">
        <v>1390</v>
      </c>
      <c r="I292" s="36" t="s">
        <v>1359</v>
      </c>
      <c r="J292" s="35" t="s">
        <v>1391</v>
      </c>
      <c r="K292" s="37">
        <v>57.6</v>
      </c>
      <c r="L292" s="37">
        <v>45</v>
      </c>
      <c r="M292" s="37">
        <v>36</v>
      </c>
      <c r="N292" s="38">
        <f>1</f>
        <v>1</v>
      </c>
      <c r="O292" s="39">
        <f t="shared" si="27"/>
        <v>7.5347222222222223</v>
      </c>
      <c r="P292" s="39">
        <f t="shared" si="28"/>
        <v>9.6444444444444439</v>
      </c>
      <c r="Q292" s="39">
        <f t="shared" si="29"/>
        <v>12.055555555555555</v>
      </c>
      <c r="R292" s="35" t="str">
        <f t="shared" si="30"/>
        <v>Rs./km</v>
      </c>
    </row>
    <row r="293" spans="1:18" ht="15" customHeight="1" x14ac:dyDescent="0.3">
      <c r="A293" s="35">
        <v>281</v>
      </c>
      <c r="B293" s="35" t="s">
        <v>195</v>
      </c>
      <c r="C293" s="35" t="s">
        <v>1526</v>
      </c>
      <c r="D293" s="36" t="s">
        <v>974</v>
      </c>
      <c r="E293" s="36" t="s">
        <v>188</v>
      </c>
      <c r="F293" s="35" t="s">
        <v>195</v>
      </c>
      <c r="G293" s="35" t="s">
        <v>1509</v>
      </c>
      <c r="H293" s="35" t="s">
        <v>1390</v>
      </c>
      <c r="I293" s="36" t="s">
        <v>1359</v>
      </c>
      <c r="J293" s="35" t="s">
        <v>1391</v>
      </c>
      <c r="K293" s="37">
        <v>57.6</v>
      </c>
      <c r="L293" s="37">
        <v>45</v>
      </c>
      <c r="M293" s="37">
        <v>36</v>
      </c>
      <c r="N293" s="38">
        <f>1</f>
        <v>1</v>
      </c>
      <c r="O293" s="39">
        <f t="shared" si="27"/>
        <v>7.5347222222222223</v>
      </c>
      <c r="P293" s="39">
        <f t="shared" si="28"/>
        <v>9.6444444444444439</v>
      </c>
      <c r="Q293" s="39">
        <f t="shared" si="29"/>
        <v>12.055555555555555</v>
      </c>
      <c r="R293" s="35" t="str">
        <f t="shared" si="30"/>
        <v>Rs./km</v>
      </c>
    </row>
    <row r="294" spans="1:18" ht="15" customHeight="1" x14ac:dyDescent="0.3">
      <c r="A294" s="35">
        <v>282</v>
      </c>
      <c r="B294" s="35" t="s">
        <v>195</v>
      </c>
      <c r="C294" s="35" t="s">
        <v>1527</v>
      </c>
      <c r="D294" s="36" t="s">
        <v>974</v>
      </c>
      <c r="E294" s="36" t="s">
        <v>188</v>
      </c>
      <c r="F294" s="35" t="s">
        <v>195</v>
      </c>
      <c r="G294" s="35" t="s">
        <v>1509</v>
      </c>
      <c r="H294" s="35" t="s">
        <v>1390</v>
      </c>
      <c r="I294" s="36" t="s">
        <v>1359</v>
      </c>
      <c r="J294" s="35" t="s">
        <v>1391</v>
      </c>
      <c r="K294" s="37">
        <v>57.6</v>
      </c>
      <c r="L294" s="37">
        <v>45</v>
      </c>
      <c r="M294" s="37">
        <v>36</v>
      </c>
      <c r="N294" s="38">
        <f>1</f>
        <v>1</v>
      </c>
      <c r="O294" s="39">
        <f t="shared" si="27"/>
        <v>7.5347222222222223</v>
      </c>
      <c r="P294" s="39">
        <f t="shared" si="28"/>
        <v>9.6444444444444439</v>
      </c>
      <c r="Q294" s="39">
        <f t="shared" si="29"/>
        <v>12.055555555555555</v>
      </c>
      <c r="R294" s="35" t="str">
        <f t="shared" si="30"/>
        <v>Rs./km</v>
      </c>
    </row>
    <row r="295" spans="1:18" ht="15" customHeight="1" x14ac:dyDescent="0.3">
      <c r="A295" s="35">
        <v>283</v>
      </c>
      <c r="B295" s="35" t="s">
        <v>195</v>
      </c>
      <c r="C295" s="35" t="s">
        <v>1528</v>
      </c>
      <c r="D295" s="36" t="s">
        <v>974</v>
      </c>
      <c r="E295" s="36" t="s">
        <v>188</v>
      </c>
      <c r="F295" s="35" t="s">
        <v>195</v>
      </c>
      <c r="G295" s="35" t="s">
        <v>1509</v>
      </c>
      <c r="H295" s="35" t="s">
        <v>1390</v>
      </c>
      <c r="I295" s="36" t="s">
        <v>1359</v>
      </c>
      <c r="J295" s="35" t="s">
        <v>1391</v>
      </c>
      <c r="K295" s="37">
        <v>57.6</v>
      </c>
      <c r="L295" s="37">
        <v>45</v>
      </c>
      <c r="M295" s="37">
        <v>36</v>
      </c>
      <c r="N295" s="38">
        <f>1</f>
        <v>1</v>
      </c>
      <c r="O295" s="39">
        <f t="shared" si="27"/>
        <v>7.5347222222222223</v>
      </c>
      <c r="P295" s="39">
        <f t="shared" si="28"/>
        <v>9.6444444444444439</v>
      </c>
      <c r="Q295" s="39">
        <f t="shared" si="29"/>
        <v>12.055555555555555</v>
      </c>
      <c r="R295" s="35" t="str">
        <f t="shared" si="30"/>
        <v>Rs./km</v>
      </c>
    </row>
    <row r="296" spans="1:18" ht="15" customHeight="1" x14ac:dyDescent="0.3">
      <c r="A296" s="35">
        <v>284</v>
      </c>
      <c r="B296" s="35" t="s">
        <v>195</v>
      </c>
      <c r="C296" s="35" t="s">
        <v>1529</v>
      </c>
      <c r="D296" s="36" t="s">
        <v>974</v>
      </c>
      <c r="E296" s="36" t="s">
        <v>1530</v>
      </c>
      <c r="F296" s="35" t="s">
        <v>195</v>
      </c>
      <c r="G296" s="35" t="s">
        <v>1509</v>
      </c>
      <c r="H296" s="35" t="s">
        <v>1390</v>
      </c>
      <c r="I296" s="36" t="s">
        <v>1359</v>
      </c>
      <c r="J296" s="35" t="s">
        <v>1391</v>
      </c>
      <c r="K296" s="37">
        <v>57.6</v>
      </c>
      <c r="L296" s="37">
        <v>45</v>
      </c>
      <c r="M296" s="37">
        <v>36</v>
      </c>
      <c r="N296" s="38">
        <f>1</f>
        <v>1</v>
      </c>
      <c r="O296" s="39">
        <f t="shared" si="27"/>
        <v>7.5347222222222223</v>
      </c>
      <c r="P296" s="39">
        <f t="shared" si="28"/>
        <v>9.6444444444444439</v>
      </c>
      <c r="Q296" s="39">
        <f t="shared" si="29"/>
        <v>12.055555555555555</v>
      </c>
      <c r="R296" s="35" t="str">
        <f t="shared" si="30"/>
        <v>Rs./km</v>
      </c>
    </row>
    <row r="297" spans="1:18" ht="15" customHeight="1" x14ac:dyDescent="0.3">
      <c r="A297" s="35">
        <v>285</v>
      </c>
      <c r="B297" s="35" t="s">
        <v>195</v>
      </c>
      <c r="C297" s="35" t="s">
        <v>1531</v>
      </c>
      <c r="D297" s="36" t="s">
        <v>974</v>
      </c>
      <c r="E297" s="36" t="s">
        <v>188</v>
      </c>
      <c r="F297" s="35" t="s">
        <v>195</v>
      </c>
      <c r="G297" s="35" t="s">
        <v>1509</v>
      </c>
      <c r="H297" s="35" t="s">
        <v>1390</v>
      </c>
      <c r="I297" s="36" t="s">
        <v>1359</v>
      </c>
      <c r="J297" s="35" t="s">
        <v>1391</v>
      </c>
      <c r="K297" s="37">
        <v>57.6</v>
      </c>
      <c r="L297" s="37">
        <v>45</v>
      </c>
      <c r="M297" s="37">
        <v>36</v>
      </c>
      <c r="N297" s="38">
        <f>1</f>
        <v>1</v>
      </c>
      <c r="O297" s="39">
        <f t="shared" si="27"/>
        <v>7.5347222222222223</v>
      </c>
      <c r="P297" s="39">
        <f t="shared" si="28"/>
        <v>9.6444444444444439</v>
      </c>
      <c r="Q297" s="39">
        <f t="shared" si="29"/>
        <v>12.055555555555555</v>
      </c>
      <c r="R297" s="35" t="str">
        <f t="shared" si="30"/>
        <v>Rs./km</v>
      </c>
    </row>
    <row r="298" spans="1:18" ht="15" customHeight="1" x14ac:dyDescent="0.3">
      <c r="A298" s="35">
        <v>286</v>
      </c>
      <c r="B298" s="35" t="s">
        <v>195</v>
      </c>
      <c r="C298" s="35" t="s">
        <v>1532</v>
      </c>
      <c r="D298" s="36" t="s">
        <v>974</v>
      </c>
      <c r="E298" s="36" t="s">
        <v>188</v>
      </c>
      <c r="F298" s="35" t="s">
        <v>195</v>
      </c>
      <c r="G298" s="35" t="s">
        <v>1509</v>
      </c>
      <c r="H298" s="35" t="s">
        <v>1390</v>
      </c>
      <c r="I298" s="36" t="s">
        <v>1359</v>
      </c>
      <c r="J298" s="35" t="s">
        <v>1391</v>
      </c>
      <c r="K298" s="37">
        <v>57.6</v>
      </c>
      <c r="L298" s="37">
        <v>45</v>
      </c>
      <c r="M298" s="37">
        <v>36</v>
      </c>
      <c r="N298" s="38">
        <f>1</f>
        <v>1</v>
      </c>
      <c r="O298" s="39">
        <f t="shared" si="27"/>
        <v>7.5347222222222223</v>
      </c>
      <c r="P298" s="39">
        <f t="shared" si="28"/>
        <v>9.6444444444444439</v>
      </c>
      <c r="Q298" s="39">
        <f t="shared" si="29"/>
        <v>12.055555555555555</v>
      </c>
      <c r="R298" s="35" t="str">
        <f t="shared" si="30"/>
        <v>Rs./km</v>
      </c>
    </row>
    <row r="299" spans="1:18" ht="15" customHeight="1" x14ac:dyDescent="0.3">
      <c r="A299" s="35">
        <v>287</v>
      </c>
      <c r="B299" s="35" t="s">
        <v>195</v>
      </c>
      <c r="C299" s="35" t="s">
        <v>1533</v>
      </c>
      <c r="D299" s="36" t="s">
        <v>974</v>
      </c>
      <c r="E299" s="36" t="s">
        <v>188</v>
      </c>
      <c r="F299" s="35" t="s">
        <v>195</v>
      </c>
      <c r="G299" s="35" t="s">
        <v>1509</v>
      </c>
      <c r="H299" s="35" t="s">
        <v>1390</v>
      </c>
      <c r="I299" s="36" t="s">
        <v>1359</v>
      </c>
      <c r="J299" s="35" t="s">
        <v>1391</v>
      </c>
      <c r="K299" s="37">
        <v>57.6</v>
      </c>
      <c r="L299" s="37">
        <v>45</v>
      </c>
      <c r="M299" s="37">
        <v>36</v>
      </c>
      <c r="N299" s="38">
        <f>1</f>
        <v>1</v>
      </c>
      <c r="O299" s="39">
        <f t="shared" si="27"/>
        <v>7.5347222222222223</v>
      </c>
      <c r="P299" s="39">
        <f t="shared" si="28"/>
        <v>9.6444444444444439</v>
      </c>
      <c r="Q299" s="39">
        <f t="shared" si="29"/>
        <v>12.055555555555555</v>
      </c>
      <c r="R299" s="35" t="str">
        <f t="shared" si="30"/>
        <v>Rs./km</v>
      </c>
    </row>
    <row r="300" spans="1:18" ht="15" customHeight="1" x14ac:dyDescent="0.3">
      <c r="A300" s="35">
        <v>288</v>
      </c>
      <c r="B300" s="35" t="s">
        <v>340</v>
      </c>
      <c r="C300" s="35" t="s">
        <v>195</v>
      </c>
      <c r="D300" s="36" t="s">
        <v>318</v>
      </c>
      <c r="E300" s="36" t="s">
        <v>1534</v>
      </c>
      <c r="F300" s="35" t="s">
        <v>195</v>
      </c>
      <c r="G300" s="35" t="s">
        <v>1357</v>
      </c>
      <c r="H300" s="35" t="s">
        <v>1358</v>
      </c>
      <c r="I300" s="36" t="s">
        <v>1359</v>
      </c>
      <c r="J300" s="35" t="s">
        <v>1360</v>
      </c>
      <c r="K300" s="37">
        <v>13</v>
      </c>
      <c r="L300" s="37">
        <v>18</v>
      </c>
      <c r="M300" s="37">
        <v>24.3</v>
      </c>
      <c r="N300" s="38">
        <f>1</f>
        <v>1</v>
      </c>
      <c r="O300" s="39">
        <f t="shared" si="27"/>
        <v>6214</v>
      </c>
      <c r="P300" s="39">
        <f t="shared" si="28"/>
        <v>8604</v>
      </c>
      <c r="Q300" s="39">
        <f t="shared" si="29"/>
        <v>11615.4</v>
      </c>
      <c r="R300" s="35" t="str">
        <f t="shared" si="30"/>
        <v>Rs./hr</v>
      </c>
    </row>
    <row r="301" spans="1:18" ht="15" customHeight="1" x14ac:dyDescent="0.3">
      <c r="A301" s="35">
        <v>289</v>
      </c>
      <c r="B301" s="35" t="s">
        <v>336</v>
      </c>
      <c r="C301" s="35" t="s">
        <v>195</v>
      </c>
      <c r="D301" s="36" t="s">
        <v>318</v>
      </c>
      <c r="E301" s="36" t="s">
        <v>188</v>
      </c>
      <c r="F301" s="35" t="s">
        <v>195</v>
      </c>
      <c r="G301" s="35" t="s">
        <v>1357</v>
      </c>
      <c r="H301" s="35" t="s">
        <v>1358</v>
      </c>
      <c r="I301" s="36" t="s">
        <v>1359</v>
      </c>
      <c r="J301" s="35" t="s">
        <v>1360</v>
      </c>
      <c r="K301" s="37">
        <v>13</v>
      </c>
      <c r="L301" s="37">
        <v>18</v>
      </c>
      <c r="M301" s="37">
        <v>24.3</v>
      </c>
      <c r="N301" s="38">
        <f>1</f>
        <v>1</v>
      </c>
      <c r="O301" s="39">
        <f t="shared" si="27"/>
        <v>6214</v>
      </c>
      <c r="P301" s="39">
        <f t="shared" si="28"/>
        <v>8604</v>
      </c>
      <c r="Q301" s="39">
        <f t="shared" si="29"/>
        <v>11615.4</v>
      </c>
      <c r="R301" s="35" t="str">
        <f t="shared" si="30"/>
        <v>Rs./hr</v>
      </c>
    </row>
    <row r="302" spans="1:18" ht="15" customHeight="1" x14ac:dyDescent="0.3">
      <c r="A302" s="35">
        <v>290</v>
      </c>
      <c r="B302" s="35" t="s">
        <v>348</v>
      </c>
      <c r="C302" s="35" t="s">
        <v>195</v>
      </c>
      <c r="D302" s="36" t="s">
        <v>318</v>
      </c>
      <c r="E302" s="36" t="s">
        <v>1535</v>
      </c>
      <c r="F302" s="35" t="s">
        <v>195</v>
      </c>
      <c r="G302" s="35" t="s">
        <v>1357</v>
      </c>
      <c r="H302" s="35" t="s">
        <v>1358</v>
      </c>
      <c r="I302" s="36" t="s">
        <v>1359</v>
      </c>
      <c r="J302" s="35" t="s">
        <v>1360</v>
      </c>
      <c r="K302" s="37">
        <v>13</v>
      </c>
      <c r="L302" s="37">
        <v>18</v>
      </c>
      <c r="M302" s="37">
        <v>24.3</v>
      </c>
      <c r="N302" s="38">
        <f>1</f>
        <v>1</v>
      </c>
      <c r="O302" s="39">
        <f t="shared" si="27"/>
        <v>6214</v>
      </c>
      <c r="P302" s="39">
        <f t="shared" si="28"/>
        <v>8604</v>
      </c>
      <c r="Q302" s="39">
        <f t="shared" si="29"/>
        <v>11615.4</v>
      </c>
      <c r="R302" s="35" t="str">
        <f t="shared" si="30"/>
        <v>Rs./hr</v>
      </c>
    </row>
    <row r="303" spans="1:18" ht="15" customHeight="1" x14ac:dyDescent="0.3">
      <c r="A303" s="35">
        <v>291</v>
      </c>
      <c r="B303" s="35" t="s">
        <v>337</v>
      </c>
      <c r="C303" s="35" t="s">
        <v>195</v>
      </c>
      <c r="D303" s="36" t="s">
        <v>318</v>
      </c>
      <c r="E303" s="36" t="s">
        <v>1534</v>
      </c>
      <c r="F303" s="35" t="s">
        <v>195</v>
      </c>
      <c r="G303" s="35" t="s">
        <v>1357</v>
      </c>
      <c r="H303" s="35" t="s">
        <v>1358</v>
      </c>
      <c r="I303" s="36" t="s">
        <v>1359</v>
      </c>
      <c r="J303" s="35" t="s">
        <v>1360</v>
      </c>
      <c r="K303" s="37">
        <v>13</v>
      </c>
      <c r="L303" s="37">
        <v>18</v>
      </c>
      <c r="M303" s="37">
        <v>24.3</v>
      </c>
      <c r="N303" s="38">
        <f>1</f>
        <v>1</v>
      </c>
      <c r="O303" s="39">
        <f t="shared" si="27"/>
        <v>6214</v>
      </c>
      <c r="P303" s="39">
        <f t="shared" si="28"/>
        <v>8604</v>
      </c>
      <c r="Q303" s="39">
        <f t="shared" si="29"/>
        <v>11615.4</v>
      </c>
      <c r="R303" s="35" t="str">
        <f t="shared" si="30"/>
        <v>Rs./hr</v>
      </c>
    </row>
    <row r="304" spans="1:18" ht="15" customHeight="1" x14ac:dyDescent="0.3">
      <c r="A304" s="35">
        <v>292</v>
      </c>
      <c r="B304" s="35" t="s">
        <v>342</v>
      </c>
      <c r="C304" s="35" t="s">
        <v>195</v>
      </c>
      <c r="D304" s="36" t="s">
        <v>318</v>
      </c>
      <c r="E304" s="36" t="s">
        <v>1536</v>
      </c>
      <c r="F304" s="35" t="s">
        <v>195</v>
      </c>
      <c r="G304" s="35" t="s">
        <v>1357</v>
      </c>
      <c r="H304" s="35" t="s">
        <v>1358</v>
      </c>
      <c r="I304" s="36" t="s">
        <v>1359</v>
      </c>
      <c r="J304" s="35" t="s">
        <v>1360</v>
      </c>
      <c r="K304" s="37">
        <v>13</v>
      </c>
      <c r="L304" s="37">
        <v>18</v>
      </c>
      <c r="M304" s="37">
        <v>24.3</v>
      </c>
      <c r="N304" s="38">
        <f>1</f>
        <v>1</v>
      </c>
      <c r="O304" s="39">
        <f t="shared" si="27"/>
        <v>6214</v>
      </c>
      <c r="P304" s="39">
        <f t="shared" si="28"/>
        <v>8604</v>
      </c>
      <c r="Q304" s="39">
        <f t="shared" si="29"/>
        <v>11615.4</v>
      </c>
      <c r="R304" s="35" t="str">
        <f t="shared" si="30"/>
        <v>Rs./hr</v>
      </c>
    </row>
    <row r="305" spans="1:18" ht="15" customHeight="1" x14ac:dyDescent="0.3">
      <c r="A305" s="35">
        <v>293</v>
      </c>
      <c r="B305" s="35" t="s">
        <v>350</v>
      </c>
      <c r="C305" s="35" t="s">
        <v>195</v>
      </c>
      <c r="D305" s="36" t="s">
        <v>318</v>
      </c>
      <c r="E305" s="36" t="s">
        <v>1537</v>
      </c>
      <c r="F305" s="35" t="s">
        <v>195</v>
      </c>
      <c r="G305" s="35" t="s">
        <v>1357</v>
      </c>
      <c r="H305" s="35" t="s">
        <v>1358</v>
      </c>
      <c r="I305" s="36" t="s">
        <v>1359</v>
      </c>
      <c r="J305" s="35" t="s">
        <v>1360</v>
      </c>
      <c r="K305" s="37">
        <v>13</v>
      </c>
      <c r="L305" s="37">
        <v>18</v>
      </c>
      <c r="M305" s="37">
        <v>24.3</v>
      </c>
      <c r="N305" s="38">
        <f>1</f>
        <v>1</v>
      </c>
      <c r="O305" s="39">
        <f t="shared" si="27"/>
        <v>6214</v>
      </c>
      <c r="P305" s="39">
        <f t="shared" si="28"/>
        <v>8604</v>
      </c>
      <c r="Q305" s="39">
        <f t="shared" si="29"/>
        <v>11615.4</v>
      </c>
      <c r="R305" s="35" t="str">
        <f t="shared" si="30"/>
        <v>Rs./hr</v>
      </c>
    </row>
    <row r="306" spans="1:18" ht="15" customHeight="1" x14ac:dyDescent="0.3">
      <c r="A306" s="35">
        <v>294</v>
      </c>
      <c r="B306" s="35" t="s">
        <v>343</v>
      </c>
      <c r="C306" s="35" t="s">
        <v>344</v>
      </c>
      <c r="D306" s="36" t="s">
        <v>318</v>
      </c>
      <c r="E306" s="36" t="s">
        <v>1534</v>
      </c>
      <c r="F306" s="35" t="s">
        <v>195</v>
      </c>
      <c r="G306" s="35" t="s">
        <v>1357</v>
      </c>
      <c r="H306" s="35" t="s">
        <v>1358</v>
      </c>
      <c r="I306" s="36" t="s">
        <v>1359</v>
      </c>
      <c r="J306" s="35" t="s">
        <v>1360</v>
      </c>
      <c r="K306" s="37">
        <v>13</v>
      </c>
      <c r="L306" s="37">
        <v>18</v>
      </c>
      <c r="M306" s="37">
        <v>24.3</v>
      </c>
      <c r="N306" s="38">
        <f>1</f>
        <v>1</v>
      </c>
      <c r="O306" s="39">
        <f t="shared" si="27"/>
        <v>6214</v>
      </c>
      <c r="P306" s="39">
        <f t="shared" si="28"/>
        <v>8604</v>
      </c>
      <c r="Q306" s="39">
        <f t="shared" si="29"/>
        <v>11615.4</v>
      </c>
      <c r="R306" s="35" t="str">
        <f t="shared" si="30"/>
        <v>Rs./hr</v>
      </c>
    </row>
    <row r="307" spans="1:18" ht="15" customHeight="1" x14ac:dyDescent="0.3">
      <c r="A307" s="35">
        <v>295</v>
      </c>
      <c r="B307" s="35" t="s">
        <v>325</v>
      </c>
      <c r="C307" s="35" t="s">
        <v>326</v>
      </c>
      <c r="D307" s="36" t="s">
        <v>318</v>
      </c>
      <c r="E307" s="36" t="s">
        <v>1538</v>
      </c>
      <c r="F307" s="35">
        <v>2020</v>
      </c>
      <c r="G307" s="35" t="s">
        <v>1357</v>
      </c>
      <c r="H307" s="35" t="s">
        <v>1358</v>
      </c>
      <c r="I307" s="36" t="s">
        <v>1359</v>
      </c>
      <c r="J307" s="35" t="s">
        <v>1360</v>
      </c>
      <c r="K307" s="37">
        <v>13</v>
      </c>
      <c r="L307" s="37">
        <v>18</v>
      </c>
      <c r="M307" s="37">
        <v>24.3</v>
      </c>
      <c r="N307" s="38">
        <f>1+MIN(MAX($D$8-F307,0),$D$10)*$D$9</f>
        <v>1.042</v>
      </c>
      <c r="O307" s="39">
        <f t="shared" si="27"/>
        <v>6474.9880000000003</v>
      </c>
      <c r="P307" s="39">
        <f t="shared" si="28"/>
        <v>8965.3680000000004</v>
      </c>
      <c r="Q307" s="39">
        <f t="shared" si="29"/>
        <v>12103.246800000001</v>
      </c>
      <c r="R307" s="35" t="str">
        <f t="shared" si="30"/>
        <v>Rs./hr</v>
      </c>
    </row>
    <row r="308" spans="1:18" ht="15" customHeight="1" x14ac:dyDescent="0.3">
      <c r="A308" s="35">
        <v>296</v>
      </c>
      <c r="B308" s="35" t="s">
        <v>327</v>
      </c>
      <c r="C308" s="35" t="s">
        <v>328</v>
      </c>
      <c r="D308" s="36" t="s">
        <v>318</v>
      </c>
      <c r="E308" s="36" t="s">
        <v>1538</v>
      </c>
      <c r="F308" s="35">
        <v>2020</v>
      </c>
      <c r="G308" s="35" t="s">
        <v>1357</v>
      </c>
      <c r="H308" s="35" t="s">
        <v>1358</v>
      </c>
      <c r="I308" s="36" t="s">
        <v>1359</v>
      </c>
      <c r="J308" s="35" t="s">
        <v>1360</v>
      </c>
      <c r="K308" s="37">
        <v>13</v>
      </c>
      <c r="L308" s="37">
        <v>18</v>
      </c>
      <c r="M308" s="37">
        <v>24.3</v>
      </c>
      <c r="N308" s="38">
        <f>1+MIN(MAX($D$8-F308,0),$D$10)*$D$9</f>
        <v>1.042</v>
      </c>
      <c r="O308" s="39">
        <f t="shared" si="27"/>
        <v>6474.9880000000003</v>
      </c>
      <c r="P308" s="39">
        <f t="shared" si="28"/>
        <v>8965.3680000000004</v>
      </c>
      <c r="Q308" s="39">
        <f t="shared" si="29"/>
        <v>12103.246800000001</v>
      </c>
      <c r="R308" s="35" t="str">
        <f t="shared" si="30"/>
        <v>Rs./hr</v>
      </c>
    </row>
    <row r="309" spans="1:18" ht="15" customHeight="1" x14ac:dyDescent="0.3">
      <c r="A309" s="35">
        <v>297</v>
      </c>
      <c r="B309" s="35" t="s">
        <v>329</v>
      </c>
      <c r="C309" s="35" t="s">
        <v>330</v>
      </c>
      <c r="D309" s="36" t="s">
        <v>318</v>
      </c>
      <c r="E309" s="36" t="s">
        <v>1538</v>
      </c>
      <c r="F309" s="35">
        <v>2020</v>
      </c>
      <c r="G309" s="35" t="s">
        <v>1357</v>
      </c>
      <c r="H309" s="35" t="s">
        <v>1358</v>
      </c>
      <c r="I309" s="36" t="s">
        <v>1359</v>
      </c>
      <c r="J309" s="35" t="s">
        <v>1360</v>
      </c>
      <c r="K309" s="37">
        <v>13</v>
      </c>
      <c r="L309" s="37">
        <v>18</v>
      </c>
      <c r="M309" s="37">
        <v>24.3</v>
      </c>
      <c r="N309" s="38">
        <f>1+MIN(MAX($D$8-F309,0),$D$10)*$D$9</f>
        <v>1.042</v>
      </c>
      <c r="O309" s="39">
        <f t="shared" si="27"/>
        <v>6474.9880000000003</v>
      </c>
      <c r="P309" s="39">
        <f t="shared" si="28"/>
        <v>8965.3680000000004</v>
      </c>
      <c r="Q309" s="39">
        <f t="shared" si="29"/>
        <v>12103.246800000001</v>
      </c>
      <c r="R309" s="35" t="str">
        <f t="shared" si="30"/>
        <v>Rs./hr</v>
      </c>
    </row>
    <row r="310" spans="1:18" ht="15" customHeight="1" x14ac:dyDescent="0.3">
      <c r="A310" s="35">
        <v>298</v>
      </c>
      <c r="B310" s="35" t="s">
        <v>346</v>
      </c>
      <c r="C310" s="35" t="s">
        <v>195</v>
      </c>
      <c r="D310" s="36" t="s">
        <v>318</v>
      </c>
      <c r="E310" s="36" t="s">
        <v>1539</v>
      </c>
      <c r="F310" s="35" t="s">
        <v>195</v>
      </c>
      <c r="G310" s="35" t="s">
        <v>1357</v>
      </c>
      <c r="H310" s="35" t="s">
        <v>1358</v>
      </c>
      <c r="I310" s="36" t="s">
        <v>1359</v>
      </c>
      <c r="J310" s="35" t="s">
        <v>1360</v>
      </c>
      <c r="K310" s="37">
        <v>13</v>
      </c>
      <c r="L310" s="37">
        <v>18</v>
      </c>
      <c r="M310" s="37">
        <v>24.3</v>
      </c>
      <c r="N310" s="38">
        <f>1</f>
        <v>1</v>
      </c>
      <c r="O310" s="39">
        <f t="shared" si="27"/>
        <v>6214</v>
      </c>
      <c r="P310" s="39">
        <f t="shared" si="28"/>
        <v>8604</v>
      </c>
      <c r="Q310" s="39">
        <f t="shared" si="29"/>
        <v>11615.4</v>
      </c>
      <c r="R310" s="35" t="str">
        <f t="shared" si="30"/>
        <v>Rs./hr</v>
      </c>
    </row>
    <row r="311" spans="1:18" ht="15" customHeight="1" x14ac:dyDescent="0.3">
      <c r="A311" s="35">
        <v>299</v>
      </c>
      <c r="B311" s="35" t="s">
        <v>320</v>
      </c>
      <c r="C311" s="35" t="s">
        <v>321</v>
      </c>
      <c r="D311" s="36" t="s">
        <v>318</v>
      </c>
      <c r="E311" s="36" t="s">
        <v>1538</v>
      </c>
      <c r="F311" s="35">
        <v>2021</v>
      </c>
      <c r="G311" s="35" t="s">
        <v>1357</v>
      </c>
      <c r="H311" s="35" t="s">
        <v>1358</v>
      </c>
      <c r="I311" s="36" t="s">
        <v>1359</v>
      </c>
      <c r="J311" s="35" t="s">
        <v>1360</v>
      </c>
      <c r="K311" s="37">
        <v>13</v>
      </c>
      <c r="L311" s="37">
        <v>18</v>
      </c>
      <c r="M311" s="37">
        <v>24.3</v>
      </c>
      <c r="N311" s="38">
        <f>1+MIN(MAX($D$8-F311,0),$D$10)*$D$9</f>
        <v>1.0349999999999999</v>
      </c>
      <c r="O311" s="39">
        <f t="shared" si="27"/>
        <v>6431.4899999999989</v>
      </c>
      <c r="P311" s="39">
        <f t="shared" si="28"/>
        <v>8905.14</v>
      </c>
      <c r="Q311" s="39">
        <f t="shared" si="29"/>
        <v>12021.938999999998</v>
      </c>
      <c r="R311" s="35" t="str">
        <f t="shared" si="30"/>
        <v>Rs./hr</v>
      </c>
    </row>
    <row r="312" spans="1:18" ht="15" customHeight="1" x14ac:dyDescent="0.3">
      <c r="A312" s="35">
        <v>300</v>
      </c>
      <c r="B312" s="35" t="s">
        <v>323</v>
      </c>
      <c r="C312" s="35" t="s">
        <v>324</v>
      </c>
      <c r="D312" s="36" t="s">
        <v>318</v>
      </c>
      <c r="E312" s="36" t="s">
        <v>1540</v>
      </c>
      <c r="F312" s="35">
        <v>2021</v>
      </c>
      <c r="G312" s="35" t="s">
        <v>1357</v>
      </c>
      <c r="H312" s="35" t="s">
        <v>1358</v>
      </c>
      <c r="I312" s="36" t="s">
        <v>1359</v>
      </c>
      <c r="J312" s="35" t="s">
        <v>1360</v>
      </c>
      <c r="K312" s="37">
        <v>13</v>
      </c>
      <c r="L312" s="37">
        <v>18</v>
      </c>
      <c r="M312" s="37">
        <v>24.3</v>
      </c>
      <c r="N312" s="38">
        <f>1+MIN(MAX($D$8-F312,0),$D$10)*$D$9</f>
        <v>1.0349999999999999</v>
      </c>
      <c r="O312" s="39">
        <f t="shared" si="27"/>
        <v>6431.4899999999989</v>
      </c>
      <c r="P312" s="39">
        <f t="shared" si="28"/>
        <v>8905.14</v>
      </c>
      <c r="Q312" s="39">
        <f t="shared" si="29"/>
        <v>12021.938999999998</v>
      </c>
      <c r="R312" s="35" t="str">
        <f t="shared" si="30"/>
        <v>Rs./hr</v>
      </c>
    </row>
    <row r="313" spans="1:18" ht="15" customHeight="1" x14ac:dyDescent="0.3">
      <c r="A313" s="35">
        <v>301</v>
      </c>
      <c r="B313" s="35" t="s">
        <v>332</v>
      </c>
      <c r="C313" s="35" t="s">
        <v>195</v>
      </c>
      <c r="D313" s="36" t="s">
        <v>318</v>
      </c>
      <c r="E313" s="36" t="s">
        <v>1541</v>
      </c>
      <c r="F313" s="35">
        <v>2014</v>
      </c>
      <c r="G313" s="35" t="s">
        <v>1357</v>
      </c>
      <c r="H313" s="35" t="s">
        <v>1358</v>
      </c>
      <c r="I313" s="36" t="s">
        <v>1359</v>
      </c>
      <c r="J313" s="35" t="s">
        <v>1360</v>
      </c>
      <c r="K313" s="37">
        <v>13</v>
      </c>
      <c r="L313" s="37">
        <v>18</v>
      </c>
      <c r="M313" s="37">
        <v>24.3</v>
      </c>
      <c r="N313" s="38">
        <f>1+MIN(MAX($D$8-F313,0),$D$10)*$D$9</f>
        <v>1.0840000000000001</v>
      </c>
      <c r="O313" s="39">
        <f t="shared" si="27"/>
        <v>6735.9760000000006</v>
      </c>
      <c r="P313" s="39">
        <f t="shared" si="28"/>
        <v>9326.7360000000008</v>
      </c>
      <c r="Q313" s="39">
        <f t="shared" si="29"/>
        <v>12591.093600000002</v>
      </c>
      <c r="R313" s="35" t="str">
        <f t="shared" si="30"/>
        <v>Rs./hr</v>
      </c>
    </row>
    <row r="314" spans="1:18" ht="15" customHeight="1" x14ac:dyDescent="0.3">
      <c r="A314" s="35">
        <v>302</v>
      </c>
      <c r="B314" s="35" t="s">
        <v>334</v>
      </c>
      <c r="C314" s="35" t="s">
        <v>195</v>
      </c>
      <c r="D314" s="36" t="s">
        <v>318</v>
      </c>
      <c r="E314" s="36" t="s">
        <v>1542</v>
      </c>
      <c r="F314" s="35">
        <v>2008</v>
      </c>
      <c r="G314" s="35" t="s">
        <v>1357</v>
      </c>
      <c r="H314" s="35" t="s">
        <v>1358</v>
      </c>
      <c r="I314" s="36" t="s">
        <v>1359</v>
      </c>
      <c r="J314" s="35" t="s">
        <v>1360</v>
      </c>
      <c r="K314" s="37">
        <v>13</v>
      </c>
      <c r="L314" s="37">
        <v>18</v>
      </c>
      <c r="M314" s="37">
        <v>24.3</v>
      </c>
      <c r="N314" s="38">
        <f>1+MIN(MAX($D$8-F314,0),$D$10)*$D$9</f>
        <v>1.1259999999999999</v>
      </c>
      <c r="O314" s="39">
        <f t="shared" si="27"/>
        <v>6996.963999999999</v>
      </c>
      <c r="P314" s="39">
        <f t="shared" si="28"/>
        <v>9688.1039999999994</v>
      </c>
      <c r="Q314" s="39">
        <f t="shared" si="29"/>
        <v>13078.940399999999</v>
      </c>
      <c r="R314" s="35" t="str">
        <f t="shared" si="30"/>
        <v>Rs./hr</v>
      </c>
    </row>
    <row r="315" spans="1:18" ht="23.85" customHeight="1" x14ac:dyDescent="0.3">
      <c r="A315" s="35">
        <v>303</v>
      </c>
      <c r="B315" s="35" t="s">
        <v>339</v>
      </c>
      <c r="C315" s="35" t="s">
        <v>195</v>
      </c>
      <c r="D315" s="36" t="s">
        <v>318</v>
      </c>
      <c r="E315" s="36" t="s">
        <v>1543</v>
      </c>
      <c r="F315" s="35" t="s">
        <v>195</v>
      </c>
      <c r="G315" s="35" t="s">
        <v>1357</v>
      </c>
      <c r="H315" s="35" t="s">
        <v>1358</v>
      </c>
      <c r="I315" s="36" t="s">
        <v>1359</v>
      </c>
      <c r="J315" s="35" t="s">
        <v>1360</v>
      </c>
      <c r="K315" s="37">
        <v>13</v>
      </c>
      <c r="L315" s="37">
        <v>18</v>
      </c>
      <c r="M315" s="37">
        <v>24.3</v>
      </c>
      <c r="N315" s="38">
        <f>1</f>
        <v>1</v>
      </c>
      <c r="O315" s="39">
        <f t="shared" si="27"/>
        <v>6214</v>
      </c>
      <c r="P315" s="39">
        <f t="shared" si="28"/>
        <v>8604</v>
      </c>
      <c r="Q315" s="39">
        <f t="shared" si="29"/>
        <v>11615.4</v>
      </c>
      <c r="R315" s="35" t="str">
        <f t="shared" si="30"/>
        <v>Rs./hr</v>
      </c>
    </row>
    <row r="316" spans="1:18" ht="15" customHeight="1" x14ac:dyDescent="0.3">
      <c r="A316" s="35">
        <v>304</v>
      </c>
      <c r="B316" s="35" t="s">
        <v>305</v>
      </c>
      <c r="C316" s="35" t="s">
        <v>195</v>
      </c>
      <c r="D316" s="36" t="s">
        <v>297</v>
      </c>
      <c r="E316" s="36" t="s">
        <v>1544</v>
      </c>
      <c r="F316" s="35">
        <v>2012</v>
      </c>
      <c r="G316" s="35" t="s">
        <v>1357</v>
      </c>
      <c r="H316" s="35" t="s">
        <v>1358</v>
      </c>
      <c r="I316" s="36" t="s">
        <v>1359</v>
      </c>
      <c r="J316" s="35" t="s">
        <v>1360</v>
      </c>
      <c r="K316" s="37">
        <v>6.5</v>
      </c>
      <c r="L316" s="37">
        <v>9</v>
      </c>
      <c r="M316" s="37">
        <v>12.2</v>
      </c>
      <c r="N316" s="38">
        <f t="shared" ref="N316:N322" si="32">1+MIN(MAX($D$8-F316,0),$D$10)*$D$9</f>
        <v>1.0980000000000001</v>
      </c>
      <c r="O316" s="39">
        <f t="shared" si="27"/>
        <v>3411.4860000000003</v>
      </c>
      <c r="P316" s="39">
        <f t="shared" si="28"/>
        <v>4723.5960000000005</v>
      </c>
      <c r="Q316" s="39">
        <f t="shared" si="29"/>
        <v>6403.0968000000003</v>
      </c>
      <c r="R316" s="35" t="str">
        <f t="shared" si="30"/>
        <v>Rs./hr</v>
      </c>
    </row>
    <row r="317" spans="1:18" ht="15" customHeight="1" x14ac:dyDescent="0.3">
      <c r="A317" s="35">
        <v>305</v>
      </c>
      <c r="B317" s="35" t="s">
        <v>309</v>
      </c>
      <c r="C317" s="35" t="s">
        <v>195</v>
      </c>
      <c r="D317" s="36" t="s">
        <v>297</v>
      </c>
      <c r="E317" s="36" t="s">
        <v>1545</v>
      </c>
      <c r="F317" s="35">
        <v>2012</v>
      </c>
      <c r="G317" s="35" t="s">
        <v>1357</v>
      </c>
      <c r="H317" s="35" t="s">
        <v>1358</v>
      </c>
      <c r="I317" s="36" t="s">
        <v>1359</v>
      </c>
      <c r="J317" s="35" t="s">
        <v>1360</v>
      </c>
      <c r="K317" s="37">
        <v>6.5</v>
      </c>
      <c r="L317" s="37">
        <v>9</v>
      </c>
      <c r="M317" s="37">
        <v>12.2</v>
      </c>
      <c r="N317" s="38">
        <f t="shared" si="32"/>
        <v>1.0980000000000001</v>
      </c>
      <c r="O317" s="39">
        <f t="shared" si="27"/>
        <v>3411.4860000000003</v>
      </c>
      <c r="P317" s="39">
        <f t="shared" si="28"/>
        <v>4723.5960000000005</v>
      </c>
      <c r="Q317" s="39">
        <f t="shared" si="29"/>
        <v>6403.0968000000003</v>
      </c>
      <c r="R317" s="35" t="str">
        <f t="shared" si="30"/>
        <v>Rs./hr</v>
      </c>
    </row>
    <row r="318" spans="1:18" ht="15" customHeight="1" x14ac:dyDescent="0.3">
      <c r="A318" s="35">
        <v>306</v>
      </c>
      <c r="B318" s="35" t="s">
        <v>298</v>
      </c>
      <c r="C318" s="35" t="s">
        <v>195</v>
      </c>
      <c r="D318" s="36" t="s">
        <v>297</v>
      </c>
      <c r="E318" s="36" t="s">
        <v>188</v>
      </c>
      <c r="F318" s="35">
        <v>2012</v>
      </c>
      <c r="G318" s="35" t="s">
        <v>1357</v>
      </c>
      <c r="H318" s="35" t="s">
        <v>1358</v>
      </c>
      <c r="I318" s="36" t="s">
        <v>1359</v>
      </c>
      <c r="J318" s="35" t="s">
        <v>1360</v>
      </c>
      <c r="K318" s="37">
        <v>6.5</v>
      </c>
      <c r="L318" s="37">
        <v>9</v>
      </c>
      <c r="M318" s="37">
        <v>12.2</v>
      </c>
      <c r="N318" s="38">
        <f t="shared" si="32"/>
        <v>1.0980000000000001</v>
      </c>
      <c r="O318" s="39">
        <f t="shared" si="27"/>
        <v>3411.4860000000003</v>
      </c>
      <c r="P318" s="39">
        <f t="shared" si="28"/>
        <v>4723.5960000000005</v>
      </c>
      <c r="Q318" s="39">
        <f t="shared" si="29"/>
        <v>6403.0968000000003</v>
      </c>
      <c r="R318" s="35" t="str">
        <f t="shared" si="30"/>
        <v>Rs./hr</v>
      </c>
    </row>
    <row r="319" spans="1:18" ht="15" customHeight="1" x14ac:dyDescent="0.3">
      <c r="A319" s="35">
        <v>307</v>
      </c>
      <c r="B319" s="35" t="s">
        <v>300</v>
      </c>
      <c r="C319" s="35" t="s">
        <v>195</v>
      </c>
      <c r="D319" s="36" t="s">
        <v>297</v>
      </c>
      <c r="E319" s="36" t="s">
        <v>1546</v>
      </c>
      <c r="F319" s="35">
        <v>2012</v>
      </c>
      <c r="G319" s="35" t="s">
        <v>1357</v>
      </c>
      <c r="H319" s="35" t="s">
        <v>1358</v>
      </c>
      <c r="I319" s="36" t="s">
        <v>1359</v>
      </c>
      <c r="J319" s="35" t="s">
        <v>1360</v>
      </c>
      <c r="K319" s="37">
        <v>6.5</v>
      </c>
      <c r="L319" s="37">
        <v>9</v>
      </c>
      <c r="M319" s="37">
        <v>12.2</v>
      </c>
      <c r="N319" s="38">
        <f t="shared" si="32"/>
        <v>1.0980000000000001</v>
      </c>
      <c r="O319" s="39">
        <f t="shared" si="27"/>
        <v>3411.4860000000003</v>
      </c>
      <c r="P319" s="39">
        <f t="shared" si="28"/>
        <v>4723.5960000000005</v>
      </c>
      <c r="Q319" s="39">
        <f t="shared" si="29"/>
        <v>6403.0968000000003</v>
      </c>
      <c r="R319" s="35" t="str">
        <f t="shared" si="30"/>
        <v>Rs./hr</v>
      </c>
    </row>
    <row r="320" spans="1:18" ht="15" customHeight="1" x14ac:dyDescent="0.3">
      <c r="A320" s="35">
        <v>308</v>
      </c>
      <c r="B320" s="35" t="s">
        <v>301</v>
      </c>
      <c r="C320" s="35" t="s">
        <v>195</v>
      </c>
      <c r="D320" s="36" t="s">
        <v>297</v>
      </c>
      <c r="E320" s="36" t="s">
        <v>1546</v>
      </c>
      <c r="F320" s="35">
        <v>2012</v>
      </c>
      <c r="G320" s="35" t="s">
        <v>1357</v>
      </c>
      <c r="H320" s="35" t="s">
        <v>1358</v>
      </c>
      <c r="I320" s="36" t="s">
        <v>1359</v>
      </c>
      <c r="J320" s="35" t="s">
        <v>1360</v>
      </c>
      <c r="K320" s="37">
        <v>6.5</v>
      </c>
      <c r="L320" s="37">
        <v>9</v>
      </c>
      <c r="M320" s="37">
        <v>12.2</v>
      </c>
      <c r="N320" s="38">
        <f t="shared" si="32"/>
        <v>1.0980000000000001</v>
      </c>
      <c r="O320" s="39">
        <f t="shared" si="27"/>
        <v>3411.4860000000003</v>
      </c>
      <c r="P320" s="39">
        <f t="shared" si="28"/>
        <v>4723.5960000000005</v>
      </c>
      <c r="Q320" s="39">
        <f t="shared" si="29"/>
        <v>6403.0968000000003</v>
      </c>
      <c r="R320" s="35" t="str">
        <f t="shared" si="30"/>
        <v>Rs./hr</v>
      </c>
    </row>
    <row r="321" spans="1:18" ht="15" customHeight="1" x14ac:dyDescent="0.3">
      <c r="A321" s="35">
        <v>309</v>
      </c>
      <c r="B321" s="35" t="s">
        <v>307</v>
      </c>
      <c r="C321" s="35" t="s">
        <v>195</v>
      </c>
      <c r="D321" s="36" t="s">
        <v>297</v>
      </c>
      <c r="E321" s="36" t="s">
        <v>1547</v>
      </c>
      <c r="F321" s="35">
        <v>2012</v>
      </c>
      <c r="G321" s="35" t="s">
        <v>1357</v>
      </c>
      <c r="H321" s="35" t="s">
        <v>1358</v>
      </c>
      <c r="I321" s="36" t="s">
        <v>1359</v>
      </c>
      <c r="J321" s="35" t="s">
        <v>1360</v>
      </c>
      <c r="K321" s="37">
        <v>6.5</v>
      </c>
      <c r="L321" s="37">
        <v>9</v>
      </c>
      <c r="M321" s="37">
        <v>12.2</v>
      </c>
      <c r="N321" s="38">
        <f t="shared" si="32"/>
        <v>1.0980000000000001</v>
      </c>
      <c r="O321" s="39">
        <f t="shared" si="27"/>
        <v>3411.4860000000003</v>
      </c>
      <c r="P321" s="39">
        <f t="shared" si="28"/>
        <v>4723.5960000000005</v>
      </c>
      <c r="Q321" s="39">
        <f t="shared" si="29"/>
        <v>6403.0968000000003</v>
      </c>
      <c r="R321" s="35" t="str">
        <f t="shared" si="30"/>
        <v>Rs./hr</v>
      </c>
    </row>
    <row r="322" spans="1:18" ht="15" customHeight="1" x14ac:dyDescent="0.3">
      <c r="A322" s="35">
        <v>310</v>
      </c>
      <c r="B322" s="35" t="s">
        <v>303</v>
      </c>
      <c r="C322" s="35" t="s">
        <v>195</v>
      </c>
      <c r="D322" s="36" t="s">
        <v>297</v>
      </c>
      <c r="E322" s="36" t="s">
        <v>1548</v>
      </c>
      <c r="F322" s="35">
        <v>2012</v>
      </c>
      <c r="G322" s="35" t="s">
        <v>1357</v>
      </c>
      <c r="H322" s="35" t="s">
        <v>1358</v>
      </c>
      <c r="I322" s="36" t="s">
        <v>1359</v>
      </c>
      <c r="J322" s="35" t="s">
        <v>1360</v>
      </c>
      <c r="K322" s="37">
        <v>6.5</v>
      </c>
      <c r="L322" s="37">
        <v>9</v>
      </c>
      <c r="M322" s="37">
        <v>12.2</v>
      </c>
      <c r="N322" s="38">
        <f t="shared" si="32"/>
        <v>1.0980000000000001</v>
      </c>
      <c r="O322" s="39">
        <f t="shared" si="27"/>
        <v>3411.4860000000003</v>
      </c>
      <c r="P322" s="39">
        <f t="shared" si="28"/>
        <v>4723.5960000000005</v>
      </c>
      <c r="Q322" s="39">
        <f t="shared" si="29"/>
        <v>6403.0968000000003</v>
      </c>
      <c r="R322" s="35" t="str">
        <f t="shared" si="30"/>
        <v>Rs./hr</v>
      </c>
    </row>
    <row r="323" spans="1:18" ht="15" customHeight="1" x14ac:dyDescent="0.3">
      <c r="A323" s="35">
        <v>311</v>
      </c>
      <c r="B323" s="35" t="s">
        <v>316</v>
      </c>
      <c r="C323" s="35" t="s">
        <v>195</v>
      </c>
      <c r="D323" s="36" t="s">
        <v>297</v>
      </c>
      <c r="E323" s="36" t="s">
        <v>1549</v>
      </c>
      <c r="F323" s="35" t="s">
        <v>195</v>
      </c>
      <c r="G323" s="35" t="s">
        <v>1357</v>
      </c>
      <c r="H323" s="35" t="s">
        <v>1358</v>
      </c>
      <c r="I323" s="36" t="s">
        <v>1359</v>
      </c>
      <c r="J323" s="35" t="s">
        <v>1360</v>
      </c>
      <c r="K323" s="37">
        <v>6.5</v>
      </c>
      <c r="L323" s="37">
        <v>9</v>
      </c>
      <c r="M323" s="37">
        <v>12.2</v>
      </c>
      <c r="N323" s="38">
        <f>1</f>
        <v>1</v>
      </c>
      <c r="O323" s="39">
        <f t="shared" si="27"/>
        <v>3107</v>
      </c>
      <c r="P323" s="39">
        <f t="shared" si="28"/>
        <v>4302</v>
      </c>
      <c r="Q323" s="39">
        <f t="shared" si="29"/>
        <v>5831.5999999999995</v>
      </c>
      <c r="R323" s="35" t="str">
        <f t="shared" si="30"/>
        <v>Rs./hr</v>
      </c>
    </row>
    <row r="324" spans="1:18" ht="15" customHeight="1" x14ac:dyDescent="0.3">
      <c r="A324" s="35">
        <v>312</v>
      </c>
      <c r="B324" s="35" t="s">
        <v>311</v>
      </c>
      <c r="C324" s="35" t="s">
        <v>195</v>
      </c>
      <c r="D324" s="36" t="s">
        <v>297</v>
      </c>
      <c r="E324" s="36" t="s">
        <v>1550</v>
      </c>
      <c r="F324" s="35">
        <v>2000</v>
      </c>
      <c r="G324" s="35" t="s">
        <v>1357</v>
      </c>
      <c r="H324" s="35" t="s">
        <v>1358</v>
      </c>
      <c r="I324" s="36" t="s">
        <v>1359</v>
      </c>
      <c r="J324" s="35" t="s">
        <v>1360</v>
      </c>
      <c r="K324" s="37">
        <v>6.5</v>
      </c>
      <c r="L324" s="37">
        <v>9</v>
      </c>
      <c r="M324" s="37">
        <v>12.2</v>
      </c>
      <c r="N324" s="38">
        <f t="shared" ref="N324:N355" si="33">1+MIN(MAX($D$8-F324,0),$D$10)*$D$9</f>
        <v>1.175</v>
      </c>
      <c r="O324" s="39">
        <f t="shared" si="27"/>
        <v>3650.7249999999999</v>
      </c>
      <c r="P324" s="39">
        <f t="shared" si="28"/>
        <v>5054.8500000000004</v>
      </c>
      <c r="Q324" s="39">
        <f t="shared" si="29"/>
        <v>6852.1299999999992</v>
      </c>
      <c r="R324" s="35" t="str">
        <f t="shared" si="30"/>
        <v>Rs./hr</v>
      </c>
    </row>
    <row r="325" spans="1:18" ht="15" customHeight="1" x14ac:dyDescent="0.3">
      <c r="A325" s="35">
        <v>313</v>
      </c>
      <c r="B325" s="35" t="s">
        <v>313</v>
      </c>
      <c r="C325" s="35" t="s">
        <v>195</v>
      </c>
      <c r="D325" s="36" t="s">
        <v>297</v>
      </c>
      <c r="E325" s="36" t="s">
        <v>1551</v>
      </c>
      <c r="F325" s="35">
        <v>1990</v>
      </c>
      <c r="G325" s="35" t="s">
        <v>1357</v>
      </c>
      <c r="H325" s="35" t="s">
        <v>1358</v>
      </c>
      <c r="I325" s="36" t="s">
        <v>1359</v>
      </c>
      <c r="J325" s="35" t="s">
        <v>1360</v>
      </c>
      <c r="K325" s="37">
        <v>6.5</v>
      </c>
      <c r="L325" s="37">
        <v>9</v>
      </c>
      <c r="M325" s="37">
        <v>12.2</v>
      </c>
      <c r="N325" s="38">
        <f t="shared" si="33"/>
        <v>1.175</v>
      </c>
      <c r="O325" s="39">
        <f t="shared" si="27"/>
        <v>3650.7249999999999</v>
      </c>
      <c r="P325" s="39">
        <f t="shared" si="28"/>
        <v>5054.8500000000004</v>
      </c>
      <c r="Q325" s="39">
        <f t="shared" si="29"/>
        <v>6852.1299999999992</v>
      </c>
      <c r="R325" s="35" t="str">
        <f t="shared" si="30"/>
        <v>Rs./hr</v>
      </c>
    </row>
    <row r="326" spans="1:18" ht="15" customHeight="1" x14ac:dyDescent="0.3">
      <c r="A326" s="35">
        <v>314</v>
      </c>
      <c r="B326" s="35" t="s">
        <v>470</v>
      </c>
      <c r="C326" s="35" t="s">
        <v>471</v>
      </c>
      <c r="D326" s="36" t="s">
        <v>448</v>
      </c>
      <c r="E326" s="36" t="s">
        <v>1552</v>
      </c>
      <c r="F326" s="35">
        <v>1995</v>
      </c>
      <c r="G326" s="35" t="s">
        <v>1357</v>
      </c>
      <c r="H326" s="35" t="s">
        <v>1390</v>
      </c>
      <c r="I326" s="36" t="s">
        <v>1387</v>
      </c>
      <c r="J326" s="35" t="s">
        <v>1391</v>
      </c>
      <c r="K326" s="37">
        <v>2.9</v>
      </c>
      <c r="L326" s="37">
        <v>2.2999999999999998</v>
      </c>
      <c r="M326" s="37">
        <v>1.8</v>
      </c>
      <c r="N326" s="38">
        <f t="shared" si="33"/>
        <v>1.175</v>
      </c>
      <c r="O326" s="39">
        <f t="shared" si="27"/>
        <v>193.67241379310346</v>
      </c>
      <c r="P326" s="39">
        <f t="shared" si="28"/>
        <v>244.19565217391306</v>
      </c>
      <c r="Q326" s="39">
        <f t="shared" si="29"/>
        <v>312.02777777777777</v>
      </c>
      <c r="R326" s="35" t="str">
        <f t="shared" si="30"/>
        <v>Rs./km</v>
      </c>
    </row>
    <row r="327" spans="1:18" ht="15" customHeight="1" x14ac:dyDescent="0.3">
      <c r="A327" s="35">
        <v>315</v>
      </c>
      <c r="B327" s="35" t="s">
        <v>467</v>
      </c>
      <c r="C327" s="35" t="s">
        <v>468</v>
      </c>
      <c r="D327" s="36" t="s">
        <v>448</v>
      </c>
      <c r="E327" s="36" t="s">
        <v>1553</v>
      </c>
      <c r="F327" s="35">
        <v>1996</v>
      </c>
      <c r="G327" s="35" t="s">
        <v>1357</v>
      </c>
      <c r="H327" s="35" t="s">
        <v>1390</v>
      </c>
      <c r="I327" s="36" t="s">
        <v>1554</v>
      </c>
      <c r="J327" s="35" t="s">
        <v>1391</v>
      </c>
      <c r="K327" s="37">
        <v>3.3</v>
      </c>
      <c r="L327" s="37">
        <v>2.6</v>
      </c>
      <c r="M327" s="37">
        <v>2.1</v>
      </c>
      <c r="N327" s="38">
        <f t="shared" si="33"/>
        <v>1.175</v>
      </c>
      <c r="O327" s="39">
        <f t="shared" si="27"/>
        <v>170.19696969696969</v>
      </c>
      <c r="P327" s="39">
        <f t="shared" si="28"/>
        <v>216.01923076923075</v>
      </c>
      <c r="Q327" s="39">
        <f t="shared" si="29"/>
        <v>267.45238095238091</v>
      </c>
      <c r="R327" s="35" t="str">
        <f t="shared" si="30"/>
        <v>Rs./km</v>
      </c>
    </row>
    <row r="328" spans="1:18" ht="15" customHeight="1" x14ac:dyDescent="0.3">
      <c r="A328" s="35">
        <v>316</v>
      </c>
      <c r="B328" s="35" t="s">
        <v>456</v>
      </c>
      <c r="C328" s="35" t="s">
        <v>457</v>
      </c>
      <c r="D328" s="36" t="s">
        <v>448</v>
      </c>
      <c r="E328" s="36" t="s">
        <v>1555</v>
      </c>
      <c r="F328" s="35">
        <v>2011</v>
      </c>
      <c r="G328" s="35" t="s">
        <v>1357</v>
      </c>
      <c r="H328" s="35" t="s">
        <v>1390</v>
      </c>
      <c r="I328" s="36" t="s">
        <v>1556</v>
      </c>
      <c r="J328" s="35" t="s">
        <v>1391</v>
      </c>
      <c r="K328" s="37">
        <v>2.8</v>
      </c>
      <c r="L328" s="37">
        <v>2.2000000000000002</v>
      </c>
      <c r="M328" s="37">
        <v>1.8</v>
      </c>
      <c r="N328" s="38">
        <f t="shared" si="33"/>
        <v>1.105</v>
      </c>
      <c r="O328" s="39">
        <f t="shared" si="27"/>
        <v>188.63928571428571</v>
      </c>
      <c r="P328" s="39">
        <f t="shared" si="28"/>
        <v>240.08636363636359</v>
      </c>
      <c r="Q328" s="39">
        <f t="shared" si="29"/>
        <v>293.43888888888887</v>
      </c>
      <c r="R328" s="35" t="str">
        <f t="shared" si="30"/>
        <v>Rs./km</v>
      </c>
    </row>
    <row r="329" spans="1:18" ht="15" customHeight="1" x14ac:dyDescent="0.3">
      <c r="A329" s="35">
        <v>317</v>
      </c>
      <c r="B329" s="35" t="s">
        <v>453</v>
      </c>
      <c r="C329" s="35" t="s">
        <v>454</v>
      </c>
      <c r="D329" s="36" t="s">
        <v>448</v>
      </c>
      <c r="E329" s="36" t="s">
        <v>1557</v>
      </c>
      <c r="F329" s="35">
        <v>2012</v>
      </c>
      <c r="G329" s="35" t="s">
        <v>1357</v>
      </c>
      <c r="H329" s="35" t="s">
        <v>1390</v>
      </c>
      <c r="I329" s="36" t="s">
        <v>1554</v>
      </c>
      <c r="J329" s="35" t="s">
        <v>1391</v>
      </c>
      <c r="K329" s="37">
        <v>3.3</v>
      </c>
      <c r="L329" s="37">
        <v>2.6</v>
      </c>
      <c r="M329" s="37">
        <v>2.1</v>
      </c>
      <c r="N329" s="38">
        <f t="shared" si="33"/>
        <v>1.0980000000000001</v>
      </c>
      <c r="O329" s="39">
        <f t="shared" si="27"/>
        <v>159.04363636363638</v>
      </c>
      <c r="P329" s="39">
        <f t="shared" si="28"/>
        <v>201.86307692307693</v>
      </c>
      <c r="Q329" s="39">
        <f t="shared" si="29"/>
        <v>249.92571428571429</v>
      </c>
      <c r="R329" s="35" t="str">
        <f t="shared" si="30"/>
        <v>Rs./km</v>
      </c>
    </row>
    <row r="330" spans="1:18" ht="15" customHeight="1" x14ac:dyDescent="0.3">
      <c r="A330" s="35">
        <v>318</v>
      </c>
      <c r="B330" s="35" t="s">
        <v>450</v>
      </c>
      <c r="C330" s="35" t="s">
        <v>451</v>
      </c>
      <c r="D330" s="36" t="s">
        <v>448</v>
      </c>
      <c r="E330" s="36" t="s">
        <v>1558</v>
      </c>
      <c r="F330" s="35">
        <v>2016</v>
      </c>
      <c r="G330" s="35" t="s">
        <v>1357</v>
      </c>
      <c r="H330" s="35" t="s">
        <v>1390</v>
      </c>
      <c r="I330" s="36" t="s">
        <v>1559</v>
      </c>
      <c r="J330" s="35" t="s">
        <v>1391</v>
      </c>
      <c r="K330" s="37">
        <v>3.2</v>
      </c>
      <c r="L330" s="37">
        <v>2.5</v>
      </c>
      <c r="M330" s="37">
        <v>2</v>
      </c>
      <c r="N330" s="38">
        <f t="shared" si="33"/>
        <v>1.07</v>
      </c>
      <c r="O330" s="39">
        <f t="shared" si="27"/>
        <v>159.83125000000001</v>
      </c>
      <c r="P330" s="39">
        <f t="shared" si="28"/>
        <v>204.584</v>
      </c>
      <c r="Q330" s="39">
        <f t="shared" si="29"/>
        <v>255.73000000000002</v>
      </c>
      <c r="R330" s="35" t="str">
        <f t="shared" si="30"/>
        <v>Rs./km</v>
      </c>
    </row>
    <row r="331" spans="1:18" ht="15" customHeight="1" x14ac:dyDescent="0.3">
      <c r="A331" s="35">
        <v>319</v>
      </c>
      <c r="B331" s="35" t="s">
        <v>464</v>
      </c>
      <c r="C331" s="35" t="s">
        <v>465</v>
      </c>
      <c r="D331" s="36" t="s">
        <v>448</v>
      </c>
      <c r="E331" s="36" t="s">
        <v>1560</v>
      </c>
      <c r="F331" s="35">
        <v>1998</v>
      </c>
      <c r="G331" s="35" t="s">
        <v>1357</v>
      </c>
      <c r="H331" s="35" t="s">
        <v>1390</v>
      </c>
      <c r="I331" s="36" t="s">
        <v>1561</v>
      </c>
      <c r="J331" s="35" t="s">
        <v>1391</v>
      </c>
      <c r="K331" s="37">
        <v>4.5</v>
      </c>
      <c r="L331" s="37">
        <v>3.5</v>
      </c>
      <c r="M331" s="37">
        <v>2.8</v>
      </c>
      <c r="N331" s="38">
        <f t="shared" si="33"/>
        <v>1.175</v>
      </c>
      <c r="O331" s="39">
        <f t="shared" si="27"/>
        <v>124.8111111111111</v>
      </c>
      <c r="P331" s="39">
        <f t="shared" si="28"/>
        <v>160.47142857142856</v>
      </c>
      <c r="Q331" s="39">
        <f t="shared" si="29"/>
        <v>200.58928571428572</v>
      </c>
      <c r="R331" s="35" t="str">
        <f t="shared" si="30"/>
        <v>Rs./km</v>
      </c>
    </row>
    <row r="332" spans="1:18" ht="15" customHeight="1" x14ac:dyDescent="0.3">
      <c r="A332" s="35">
        <v>320</v>
      </c>
      <c r="B332" s="35" t="s">
        <v>461</v>
      </c>
      <c r="C332" s="35" t="s">
        <v>462</v>
      </c>
      <c r="D332" s="36" t="s">
        <v>448</v>
      </c>
      <c r="E332" s="36" t="s">
        <v>1562</v>
      </c>
      <c r="F332" s="35">
        <v>2008</v>
      </c>
      <c r="G332" s="35" t="s">
        <v>1357</v>
      </c>
      <c r="H332" s="35" t="s">
        <v>1390</v>
      </c>
      <c r="I332" s="36" t="s">
        <v>1554</v>
      </c>
      <c r="J332" s="35" t="s">
        <v>1391</v>
      </c>
      <c r="K332" s="37">
        <v>3.3</v>
      </c>
      <c r="L332" s="37">
        <v>2.6</v>
      </c>
      <c r="M332" s="37">
        <v>2.1</v>
      </c>
      <c r="N332" s="38">
        <f t="shared" si="33"/>
        <v>1.1259999999999999</v>
      </c>
      <c r="O332" s="39">
        <f t="shared" si="27"/>
        <v>163.09939393939393</v>
      </c>
      <c r="P332" s="39">
        <f t="shared" si="28"/>
        <v>207.0107692307692</v>
      </c>
      <c r="Q332" s="39">
        <f t="shared" si="29"/>
        <v>256.2990476190476</v>
      </c>
      <c r="R332" s="35" t="str">
        <f t="shared" si="30"/>
        <v>Rs./km</v>
      </c>
    </row>
    <row r="333" spans="1:18" ht="15" customHeight="1" x14ac:dyDescent="0.3">
      <c r="A333" s="35">
        <v>321</v>
      </c>
      <c r="B333" s="35" t="s">
        <v>1563</v>
      </c>
      <c r="C333" s="35" t="s">
        <v>1564</v>
      </c>
      <c r="D333" s="36" t="s">
        <v>448</v>
      </c>
      <c r="E333" s="36" t="s">
        <v>1565</v>
      </c>
      <c r="F333" s="35">
        <v>2010</v>
      </c>
      <c r="G333" s="35" t="s">
        <v>1357</v>
      </c>
      <c r="H333" s="35" t="s">
        <v>1390</v>
      </c>
      <c r="I333" s="36" t="s">
        <v>1554</v>
      </c>
      <c r="J333" s="35" t="s">
        <v>1391</v>
      </c>
      <c r="K333" s="37">
        <v>3.2</v>
      </c>
      <c r="L333" s="37">
        <v>2.5</v>
      </c>
      <c r="M333" s="37">
        <v>2</v>
      </c>
      <c r="N333" s="38">
        <f t="shared" si="33"/>
        <v>1.1120000000000001</v>
      </c>
      <c r="O333" s="39">
        <f t="shared" ref="O333:O396" si="34">IF(H333="None",0,IF(H333="KM",IF(G333="Petrol",$D$6,$D$5)*N333/K333,K333*N333*IF(G333="Petrol",$D$6,$D$5)))</f>
        <v>166.10500000000002</v>
      </c>
      <c r="P333" s="39">
        <f t="shared" ref="P333:P396" si="35">IF(H333="None",0,IF(H333="KM",IF(G333="Petrol",$D$6,$D$5)*N333/L333,L333*N333*IF(G333="Petrol",$D$6,$D$5)))</f>
        <v>212.61440000000002</v>
      </c>
      <c r="Q333" s="39">
        <f t="shared" ref="Q333:Q396" si="36">IF(H333="None",0,IF(H333="KM",IF(G333="Petrol",$D$6,$D$5)*N333/M333,M333*N333*IF(G333="Petrol",$D$6,$D$5)))</f>
        <v>265.76800000000003</v>
      </c>
      <c r="R333" s="35" t="str">
        <f t="shared" ref="R333:R396" si="37">IF(H333="None","—",IF(H333="KM","Rs./km","Rs./hr"))</f>
        <v>Rs./km</v>
      </c>
    </row>
    <row r="334" spans="1:18" ht="15" customHeight="1" x14ac:dyDescent="0.3">
      <c r="A334" s="35">
        <v>322</v>
      </c>
      <c r="B334" s="35" t="s">
        <v>478</v>
      </c>
      <c r="C334" s="35" t="s">
        <v>479</v>
      </c>
      <c r="D334" s="36" t="s">
        <v>473</v>
      </c>
      <c r="E334" s="36" t="s">
        <v>1566</v>
      </c>
      <c r="F334" s="35">
        <v>2008</v>
      </c>
      <c r="G334" s="35" t="s">
        <v>1357</v>
      </c>
      <c r="H334" s="35" t="s">
        <v>1358</v>
      </c>
      <c r="I334" s="36" t="s">
        <v>1359</v>
      </c>
      <c r="J334" s="35" t="s">
        <v>1360</v>
      </c>
      <c r="K334" s="37">
        <v>13</v>
      </c>
      <c r="L334" s="37">
        <v>18</v>
      </c>
      <c r="M334" s="37">
        <v>24.3</v>
      </c>
      <c r="N334" s="38">
        <f t="shared" si="33"/>
        <v>1.1259999999999999</v>
      </c>
      <c r="O334" s="39">
        <f t="shared" si="34"/>
        <v>6996.963999999999</v>
      </c>
      <c r="P334" s="39">
        <f t="shared" si="35"/>
        <v>9688.1039999999994</v>
      </c>
      <c r="Q334" s="39">
        <f t="shared" si="36"/>
        <v>13078.940399999999</v>
      </c>
      <c r="R334" s="35" t="str">
        <f t="shared" si="37"/>
        <v>Rs./hr</v>
      </c>
    </row>
    <row r="335" spans="1:18" ht="15" customHeight="1" x14ac:dyDescent="0.3">
      <c r="A335" s="35">
        <v>323</v>
      </c>
      <c r="B335" s="35" t="s">
        <v>475</v>
      </c>
      <c r="C335" s="35" t="s">
        <v>476</v>
      </c>
      <c r="D335" s="36" t="s">
        <v>473</v>
      </c>
      <c r="E335" s="36" t="s">
        <v>1567</v>
      </c>
      <c r="F335" s="35">
        <v>2019</v>
      </c>
      <c r="G335" s="35" t="s">
        <v>1357</v>
      </c>
      <c r="H335" s="35" t="s">
        <v>1358</v>
      </c>
      <c r="I335" s="36" t="s">
        <v>1359</v>
      </c>
      <c r="J335" s="35" t="s">
        <v>1360</v>
      </c>
      <c r="K335" s="37">
        <v>13</v>
      </c>
      <c r="L335" s="37">
        <v>18</v>
      </c>
      <c r="M335" s="37">
        <v>24.3</v>
      </c>
      <c r="N335" s="38">
        <f t="shared" si="33"/>
        <v>1.0489999999999999</v>
      </c>
      <c r="O335" s="39">
        <f t="shared" si="34"/>
        <v>6518.485999999999</v>
      </c>
      <c r="P335" s="39">
        <f t="shared" si="35"/>
        <v>9025.5959999999995</v>
      </c>
      <c r="Q335" s="39">
        <f t="shared" si="36"/>
        <v>12184.554599999999</v>
      </c>
      <c r="R335" s="35" t="str">
        <f t="shared" si="37"/>
        <v>Rs./hr</v>
      </c>
    </row>
    <row r="336" spans="1:18" ht="15" customHeight="1" x14ac:dyDescent="0.3">
      <c r="A336" s="35">
        <v>324</v>
      </c>
      <c r="B336" s="35" t="s">
        <v>167</v>
      </c>
      <c r="C336" s="35" t="s">
        <v>164</v>
      </c>
      <c r="D336" s="36" t="s">
        <v>161</v>
      </c>
      <c r="E336" s="36" t="s">
        <v>1568</v>
      </c>
      <c r="F336" s="35">
        <v>2017</v>
      </c>
      <c r="G336" s="35" t="s">
        <v>1357</v>
      </c>
      <c r="H336" s="35" t="s">
        <v>1358</v>
      </c>
      <c r="I336" s="36" t="s">
        <v>1359</v>
      </c>
      <c r="J336" s="35" t="s">
        <v>1360</v>
      </c>
      <c r="K336" s="37">
        <v>7.9</v>
      </c>
      <c r="L336" s="37">
        <v>11</v>
      </c>
      <c r="M336" s="37">
        <v>14.9</v>
      </c>
      <c r="N336" s="38">
        <f t="shared" si="33"/>
        <v>1.0629999999999999</v>
      </c>
      <c r="O336" s="39">
        <f t="shared" si="34"/>
        <v>4014.1006000000002</v>
      </c>
      <c r="P336" s="39">
        <f t="shared" si="35"/>
        <v>5589.2539999999999</v>
      </c>
      <c r="Q336" s="39">
        <f t="shared" si="36"/>
        <v>7570.8985999999995</v>
      </c>
      <c r="R336" s="35" t="str">
        <f t="shared" si="37"/>
        <v>Rs./hr</v>
      </c>
    </row>
    <row r="337" spans="1:18" ht="15" customHeight="1" x14ac:dyDescent="0.3">
      <c r="A337" s="35">
        <v>325</v>
      </c>
      <c r="B337" s="35" t="s">
        <v>169</v>
      </c>
      <c r="C337" s="35" t="s">
        <v>164</v>
      </c>
      <c r="D337" s="36" t="s">
        <v>161</v>
      </c>
      <c r="E337" s="36" t="s">
        <v>1569</v>
      </c>
      <c r="F337" s="35">
        <v>2017</v>
      </c>
      <c r="G337" s="35" t="s">
        <v>1357</v>
      </c>
      <c r="H337" s="35" t="s">
        <v>1358</v>
      </c>
      <c r="I337" s="36" t="s">
        <v>1359</v>
      </c>
      <c r="J337" s="35" t="s">
        <v>1360</v>
      </c>
      <c r="K337" s="37">
        <v>7.9</v>
      </c>
      <c r="L337" s="37">
        <v>11</v>
      </c>
      <c r="M337" s="37">
        <v>14.9</v>
      </c>
      <c r="N337" s="38">
        <f t="shared" si="33"/>
        <v>1.0629999999999999</v>
      </c>
      <c r="O337" s="39">
        <f t="shared" si="34"/>
        <v>4014.1006000000002</v>
      </c>
      <c r="P337" s="39">
        <f t="shared" si="35"/>
        <v>5589.2539999999999</v>
      </c>
      <c r="Q337" s="39">
        <f t="shared" si="36"/>
        <v>7570.8985999999995</v>
      </c>
      <c r="R337" s="35" t="str">
        <f t="shared" si="37"/>
        <v>Rs./hr</v>
      </c>
    </row>
    <row r="338" spans="1:18" ht="15" customHeight="1" x14ac:dyDescent="0.3">
      <c r="A338" s="35">
        <v>326</v>
      </c>
      <c r="B338" s="35" t="s">
        <v>163</v>
      </c>
      <c r="C338" s="35" t="s">
        <v>164</v>
      </c>
      <c r="D338" s="36" t="s">
        <v>161</v>
      </c>
      <c r="E338" s="36" t="s">
        <v>1570</v>
      </c>
      <c r="F338" s="35">
        <v>2018</v>
      </c>
      <c r="G338" s="35" t="s">
        <v>1357</v>
      </c>
      <c r="H338" s="35" t="s">
        <v>1358</v>
      </c>
      <c r="I338" s="36" t="s">
        <v>1359</v>
      </c>
      <c r="J338" s="35" t="s">
        <v>1360</v>
      </c>
      <c r="K338" s="37">
        <v>7.9</v>
      </c>
      <c r="L338" s="37">
        <v>11</v>
      </c>
      <c r="M338" s="37">
        <v>14.9</v>
      </c>
      <c r="N338" s="38">
        <f t="shared" si="33"/>
        <v>1.056</v>
      </c>
      <c r="O338" s="39">
        <f t="shared" si="34"/>
        <v>3987.6672000000008</v>
      </c>
      <c r="P338" s="39">
        <f t="shared" si="35"/>
        <v>5552.4479999999994</v>
      </c>
      <c r="Q338" s="39">
        <f t="shared" si="36"/>
        <v>7521.0432000000001</v>
      </c>
      <c r="R338" s="35" t="str">
        <f t="shared" si="37"/>
        <v>Rs./hr</v>
      </c>
    </row>
    <row r="339" spans="1:18" ht="15" customHeight="1" x14ac:dyDescent="0.3">
      <c r="A339" s="35">
        <v>327</v>
      </c>
      <c r="B339" s="35" t="s">
        <v>619</v>
      </c>
      <c r="C339" s="35" t="s">
        <v>620</v>
      </c>
      <c r="D339" s="36" t="s">
        <v>589</v>
      </c>
      <c r="E339" s="36" t="s">
        <v>1399</v>
      </c>
      <c r="F339" s="35">
        <v>2006</v>
      </c>
      <c r="G339" s="35" t="s">
        <v>1357</v>
      </c>
      <c r="H339" s="35" t="s">
        <v>1390</v>
      </c>
      <c r="I339" s="36" t="s">
        <v>1359</v>
      </c>
      <c r="J339" s="35" t="s">
        <v>1391</v>
      </c>
      <c r="K339" s="37">
        <v>14.1</v>
      </c>
      <c r="L339" s="37">
        <v>11</v>
      </c>
      <c r="M339" s="37">
        <v>8.8000000000000007</v>
      </c>
      <c r="N339" s="38">
        <f t="shared" si="33"/>
        <v>1.1400000000000001</v>
      </c>
      <c r="O339" s="39">
        <f t="shared" si="34"/>
        <v>38.646808510638301</v>
      </c>
      <c r="P339" s="39">
        <f t="shared" si="35"/>
        <v>49.538181818181826</v>
      </c>
      <c r="Q339" s="39">
        <f t="shared" si="36"/>
        <v>61.922727272727279</v>
      </c>
      <c r="R339" s="35" t="str">
        <f t="shared" si="37"/>
        <v>Rs./km</v>
      </c>
    </row>
    <row r="340" spans="1:18" ht="15" customHeight="1" x14ac:dyDescent="0.3">
      <c r="A340" s="35">
        <v>328</v>
      </c>
      <c r="B340" s="35" t="s">
        <v>609</v>
      </c>
      <c r="C340" s="35" t="s">
        <v>610</v>
      </c>
      <c r="D340" s="36" t="s">
        <v>589</v>
      </c>
      <c r="E340" s="36" t="s">
        <v>1571</v>
      </c>
      <c r="F340" s="35">
        <v>2012</v>
      </c>
      <c r="G340" s="35" t="s">
        <v>1357</v>
      </c>
      <c r="H340" s="35" t="s">
        <v>1390</v>
      </c>
      <c r="I340" s="36" t="s">
        <v>1359</v>
      </c>
      <c r="J340" s="35" t="s">
        <v>1391</v>
      </c>
      <c r="K340" s="37">
        <v>14.1</v>
      </c>
      <c r="L340" s="37">
        <v>11</v>
      </c>
      <c r="M340" s="37">
        <v>8.8000000000000007</v>
      </c>
      <c r="N340" s="38">
        <f t="shared" si="33"/>
        <v>1.0980000000000001</v>
      </c>
      <c r="O340" s="39">
        <f t="shared" si="34"/>
        <v>37.22297872340426</v>
      </c>
      <c r="P340" s="39">
        <f t="shared" si="35"/>
        <v>47.713090909090916</v>
      </c>
      <c r="Q340" s="39">
        <f t="shared" si="36"/>
        <v>59.641363636363636</v>
      </c>
      <c r="R340" s="35" t="str">
        <f t="shared" si="37"/>
        <v>Rs./km</v>
      </c>
    </row>
    <row r="341" spans="1:18" ht="15" customHeight="1" x14ac:dyDescent="0.3">
      <c r="A341" s="35">
        <v>329</v>
      </c>
      <c r="B341" s="35" t="s">
        <v>611</v>
      </c>
      <c r="C341" s="35" t="s">
        <v>612</v>
      </c>
      <c r="D341" s="36" t="s">
        <v>589</v>
      </c>
      <c r="E341" s="36" t="s">
        <v>1571</v>
      </c>
      <c r="F341" s="35">
        <v>2012</v>
      </c>
      <c r="G341" s="35" t="s">
        <v>1357</v>
      </c>
      <c r="H341" s="35" t="s">
        <v>1390</v>
      </c>
      <c r="I341" s="36" t="s">
        <v>1359</v>
      </c>
      <c r="J341" s="35" t="s">
        <v>1391</v>
      </c>
      <c r="K341" s="37">
        <v>14.1</v>
      </c>
      <c r="L341" s="37">
        <v>11</v>
      </c>
      <c r="M341" s="37">
        <v>8.8000000000000007</v>
      </c>
      <c r="N341" s="38">
        <f t="shared" si="33"/>
        <v>1.0980000000000001</v>
      </c>
      <c r="O341" s="39">
        <f t="shared" si="34"/>
        <v>37.22297872340426</v>
      </c>
      <c r="P341" s="39">
        <f t="shared" si="35"/>
        <v>47.713090909090916</v>
      </c>
      <c r="Q341" s="39">
        <f t="shared" si="36"/>
        <v>59.641363636363636</v>
      </c>
      <c r="R341" s="35" t="str">
        <f t="shared" si="37"/>
        <v>Rs./km</v>
      </c>
    </row>
    <row r="342" spans="1:18" ht="15" customHeight="1" x14ac:dyDescent="0.3">
      <c r="A342" s="35">
        <v>330</v>
      </c>
      <c r="B342" s="35" t="s">
        <v>603</v>
      </c>
      <c r="C342" s="35" t="s">
        <v>604</v>
      </c>
      <c r="D342" s="36" t="s">
        <v>589</v>
      </c>
      <c r="E342" s="36" t="s">
        <v>1572</v>
      </c>
      <c r="F342" s="35">
        <v>2014</v>
      </c>
      <c r="G342" s="35" t="s">
        <v>1357</v>
      </c>
      <c r="H342" s="35" t="s">
        <v>1390</v>
      </c>
      <c r="I342" s="36" t="s">
        <v>1359</v>
      </c>
      <c r="J342" s="35" t="s">
        <v>1391</v>
      </c>
      <c r="K342" s="37">
        <v>14.1</v>
      </c>
      <c r="L342" s="37">
        <v>11</v>
      </c>
      <c r="M342" s="37">
        <v>8.8000000000000007</v>
      </c>
      <c r="N342" s="38">
        <f t="shared" si="33"/>
        <v>1.0840000000000001</v>
      </c>
      <c r="O342" s="39">
        <f t="shared" si="34"/>
        <v>36.748368794326247</v>
      </c>
      <c r="P342" s="39">
        <f t="shared" si="35"/>
        <v>47.104727272727274</v>
      </c>
      <c r="Q342" s="39">
        <f t="shared" si="36"/>
        <v>58.880909090909093</v>
      </c>
      <c r="R342" s="35" t="str">
        <f t="shared" si="37"/>
        <v>Rs./km</v>
      </c>
    </row>
    <row r="343" spans="1:18" ht="15" customHeight="1" x14ac:dyDescent="0.3">
      <c r="A343" s="35">
        <v>331</v>
      </c>
      <c r="B343" s="35" t="s">
        <v>606</v>
      </c>
      <c r="C343" s="35" t="s">
        <v>607</v>
      </c>
      <c r="D343" s="36" t="s">
        <v>589</v>
      </c>
      <c r="E343" s="36" t="s">
        <v>1573</v>
      </c>
      <c r="F343" s="35">
        <v>2013</v>
      </c>
      <c r="G343" s="35" t="s">
        <v>1357</v>
      </c>
      <c r="H343" s="35" t="s">
        <v>1390</v>
      </c>
      <c r="I343" s="36" t="s">
        <v>1359</v>
      </c>
      <c r="J343" s="35" t="s">
        <v>1391</v>
      </c>
      <c r="K343" s="37">
        <v>14.1</v>
      </c>
      <c r="L343" s="37">
        <v>11</v>
      </c>
      <c r="M343" s="37">
        <v>8.8000000000000007</v>
      </c>
      <c r="N343" s="38">
        <f t="shared" si="33"/>
        <v>1.091</v>
      </c>
      <c r="O343" s="39">
        <f t="shared" si="34"/>
        <v>36.985673758865246</v>
      </c>
      <c r="P343" s="39">
        <f t="shared" si="35"/>
        <v>47.408909090909084</v>
      </c>
      <c r="Q343" s="39">
        <f t="shared" si="36"/>
        <v>59.261136363636354</v>
      </c>
      <c r="R343" s="35" t="str">
        <f t="shared" si="37"/>
        <v>Rs./km</v>
      </c>
    </row>
    <row r="344" spans="1:18" ht="15" customHeight="1" x14ac:dyDescent="0.3">
      <c r="A344" s="35">
        <v>332</v>
      </c>
      <c r="B344" s="35" t="s">
        <v>614</v>
      </c>
      <c r="C344" s="35" t="s">
        <v>615</v>
      </c>
      <c r="D344" s="36" t="s">
        <v>589</v>
      </c>
      <c r="E344" s="36" t="s">
        <v>1574</v>
      </c>
      <c r="F344" s="35">
        <v>2011</v>
      </c>
      <c r="G344" s="35" t="s">
        <v>1357</v>
      </c>
      <c r="H344" s="35" t="s">
        <v>1390</v>
      </c>
      <c r="I344" s="36" t="s">
        <v>1359</v>
      </c>
      <c r="J344" s="35" t="s">
        <v>1391</v>
      </c>
      <c r="K344" s="37">
        <v>14.1</v>
      </c>
      <c r="L344" s="37">
        <v>11</v>
      </c>
      <c r="M344" s="37">
        <v>8.8000000000000007</v>
      </c>
      <c r="N344" s="38">
        <f t="shared" si="33"/>
        <v>1.105</v>
      </c>
      <c r="O344" s="39">
        <f t="shared" si="34"/>
        <v>37.46028368794326</v>
      </c>
      <c r="P344" s="39">
        <f t="shared" si="35"/>
        <v>48.017272727272719</v>
      </c>
      <c r="Q344" s="39">
        <f t="shared" si="36"/>
        <v>60.021590909090897</v>
      </c>
      <c r="R344" s="35" t="str">
        <f t="shared" si="37"/>
        <v>Rs./km</v>
      </c>
    </row>
    <row r="345" spans="1:18" ht="15" customHeight="1" x14ac:dyDescent="0.3">
      <c r="A345" s="35">
        <v>333</v>
      </c>
      <c r="B345" s="35" t="s">
        <v>616</v>
      </c>
      <c r="C345" s="35" t="s">
        <v>617</v>
      </c>
      <c r="D345" s="36" t="s">
        <v>589</v>
      </c>
      <c r="E345" s="36" t="s">
        <v>1571</v>
      </c>
      <c r="F345" s="35">
        <v>2011</v>
      </c>
      <c r="G345" s="35" t="s">
        <v>1357</v>
      </c>
      <c r="H345" s="35" t="s">
        <v>1390</v>
      </c>
      <c r="I345" s="36" t="s">
        <v>1359</v>
      </c>
      <c r="J345" s="35" t="s">
        <v>1391</v>
      </c>
      <c r="K345" s="37">
        <v>14.1</v>
      </c>
      <c r="L345" s="37">
        <v>11</v>
      </c>
      <c r="M345" s="37">
        <v>8.8000000000000007</v>
      </c>
      <c r="N345" s="38">
        <f t="shared" si="33"/>
        <v>1.105</v>
      </c>
      <c r="O345" s="39">
        <f t="shared" si="34"/>
        <v>37.46028368794326</v>
      </c>
      <c r="P345" s="39">
        <f t="shared" si="35"/>
        <v>48.017272727272719</v>
      </c>
      <c r="Q345" s="39">
        <f t="shared" si="36"/>
        <v>60.021590909090897</v>
      </c>
      <c r="R345" s="35" t="str">
        <f t="shared" si="37"/>
        <v>Rs./km</v>
      </c>
    </row>
    <row r="346" spans="1:18" ht="15" customHeight="1" x14ac:dyDescent="0.3">
      <c r="A346" s="35">
        <v>334</v>
      </c>
      <c r="B346" s="35" t="s">
        <v>591</v>
      </c>
      <c r="C346" s="35" t="s">
        <v>592</v>
      </c>
      <c r="D346" s="36" t="s">
        <v>589</v>
      </c>
      <c r="E346" s="36" t="s">
        <v>1575</v>
      </c>
      <c r="F346" s="35">
        <v>2019</v>
      </c>
      <c r="G346" s="35" t="s">
        <v>1357</v>
      </c>
      <c r="H346" s="35" t="s">
        <v>1390</v>
      </c>
      <c r="I346" s="36" t="s">
        <v>1359</v>
      </c>
      <c r="J346" s="35" t="s">
        <v>1391</v>
      </c>
      <c r="K346" s="37">
        <v>14.1</v>
      </c>
      <c r="L346" s="37">
        <v>11</v>
      </c>
      <c r="M346" s="37">
        <v>8.8000000000000007</v>
      </c>
      <c r="N346" s="38">
        <f t="shared" si="33"/>
        <v>1.0489999999999999</v>
      </c>
      <c r="O346" s="39">
        <f t="shared" si="34"/>
        <v>35.561843971631205</v>
      </c>
      <c r="P346" s="39">
        <f t="shared" si="35"/>
        <v>45.583818181818181</v>
      </c>
      <c r="Q346" s="39">
        <f t="shared" si="36"/>
        <v>56.979772727272717</v>
      </c>
      <c r="R346" s="35" t="str">
        <f t="shared" si="37"/>
        <v>Rs./km</v>
      </c>
    </row>
    <row r="347" spans="1:18" ht="15" customHeight="1" x14ac:dyDescent="0.3">
      <c r="A347" s="35">
        <v>335</v>
      </c>
      <c r="B347" s="35" t="s">
        <v>593</v>
      </c>
      <c r="C347" s="35" t="s">
        <v>594</v>
      </c>
      <c r="D347" s="36" t="s">
        <v>589</v>
      </c>
      <c r="E347" s="36" t="s">
        <v>1575</v>
      </c>
      <c r="F347" s="35">
        <v>2019</v>
      </c>
      <c r="G347" s="35" t="s">
        <v>1357</v>
      </c>
      <c r="H347" s="35" t="s">
        <v>1390</v>
      </c>
      <c r="I347" s="36" t="s">
        <v>1359</v>
      </c>
      <c r="J347" s="35" t="s">
        <v>1391</v>
      </c>
      <c r="K347" s="37">
        <v>14.1</v>
      </c>
      <c r="L347" s="37">
        <v>11</v>
      </c>
      <c r="M347" s="37">
        <v>8.8000000000000007</v>
      </c>
      <c r="N347" s="38">
        <f t="shared" si="33"/>
        <v>1.0489999999999999</v>
      </c>
      <c r="O347" s="39">
        <f t="shared" si="34"/>
        <v>35.561843971631205</v>
      </c>
      <c r="P347" s="39">
        <f t="shared" si="35"/>
        <v>45.583818181818181</v>
      </c>
      <c r="Q347" s="39">
        <f t="shared" si="36"/>
        <v>56.979772727272717</v>
      </c>
      <c r="R347" s="35" t="str">
        <f t="shared" si="37"/>
        <v>Rs./km</v>
      </c>
    </row>
    <row r="348" spans="1:18" ht="15" customHeight="1" x14ac:dyDescent="0.3">
      <c r="A348" s="35">
        <v>336</v>
      </c>
      <c r="B348" s="35" t="s">
        <v>595</v>
      </c>
      <c r="C348" s="35" t="s">
        <v>596</v>
      </c>
      <c r="D348" s="36" t="s">
        <v>589</v>
      </c>
      <c r="E348" s="36" t="s">
        <v>1575</v>
      </c>
      <c r="F348" s="35">
        <v>2019</v>
      </c>
      <c r="G348" s="35" t="s">
        <v>1357</v>
      </c>
      <c r="H348" s="35" t="s">
        <v>1390</v>
      </c>
      <c r="I348" s="36" t="s">
        <v>1359</v>
      </c>
      <c r="J348" s="35" t="s">
        <v>1391</v>
      </c>
      <c r="K348" s="37">
        <v>14.1</v>
      </c>
      <c r="L348" s="37">
        <v>11</v>
      </c>
      <c r="M348" s="37">
        <v>8.8000000000000007</v>
      </c>
      <c r="N348" s="38">
        <f t="shared" si="33"/>
        <v>1.0489999999999999</v>
      </c>
      <c r="O348" s="39">
        <f t="shared" si="34"/>
        <v>35.561843971631205</v>
      </c>
      <c r="P348" s="39">
        <f t="shared" si="35"/>
        <v>45.583818181818181</v>
      </c>
      <c r="Q348" s="39">
        <f t="shared" si="36"/>
        <v>56.979772727272717</v>
      </c>
      <c r="R348" s="35" t="str">
        <f t="shared" si="37"/>
        <v>Rs./km</v>
      </c>
    </row>
    <row r="349" spans="1:18" ht="15" customHeight="1" x14ac:dyDescent="0.3">
      <c r="A349" s="35">
        <v>337</v>
      </c>
      <c r="B349" s="35" t="s">
        <v>597</v>
      </c>
      <c r="C349" s="35" t="s">
        <v>598</v>
      </c>
      <c r="D349" s="36" t="s">
        <v>589</v>
      </c>
      <c r="E349" s="36" t="s">
        <v>1575</v>
      </c>
      <c r="F349" s="35">
        <v>2019</v>
      </c>
      <c r="G349" s="35" t="s">
        <v>1357</v>
      </c>
      <c r="H349" s="35" t="s">
        <v>1390</v>
      </c>
      <c r="I349" s="36" t="s">
        <v>1359</v>
      </c>
      <c r="J349" s="35" t="s">
        <v>1391</v>
      </c>
      <c r="K349" s="37">
        <v>14.1</v>
      </c>
      <c r="L349" s="37">
        <v>11</v>
      </c>
      <c r="M349" s="37">
        <v>8.8000000000000007</v>
      </c>
      <c r="N349" s="38">
        <f t="shared" si="33"/>
        <v>1.0489999999999999</v>
      </c>
      <c r="O349" s="39">
        <f t="shared" si="34"/>
        <v>35.561843971631205</v>
      </c>
      <c r="P349" s="39">
        <f t="shared" si="35"/>
        <v>45.583818181818181</v>
      </c>
      <c r="Q349" s="39">
        <f t="shared" si="36"/>
        <v>56.979772727272717</v>
      </c>
      <c r="R349" s="35" t="str">
        <f t="shared" si="37"/>
        <v>Rs./km</v>
      </c>
    </row>
    <row r="350" spans="1:18" ht="15" customHeight="1" x14ac:dyDescent="0.3">
      <c r="A350" s="35">
        <v>338</v>
      </c>
      <c r="B350" s="35" t="s">
        <v>600</v>
      </c>
      <c r="C350" s="35" t="s">
        <v>601</v>
      </c>
      <c r="D350" s="36" t="s">
        <v>589</v>
      </c>
      <c r="E350" s="36" t="s">
        <v>1576</v>
      </c>
      <c r="F350" s="35">
        <v>2019</v>
      </c>
      <c r="G350" s="35" t="s">
        <v>1357</v>
      </c>
      <c r="H350" s="35" t="s">
        <v>1390</v>
      </c>
      <c r="I350" s="36" t="s">
        <v>1359</v>
      </c>
      <c r="J350" s="35" t="s">
        <v>1391</v>
      </c>
      <c r="K350" s="37">
        <v>14.1</v>
      </c>
      <c r="L350" s="37">
        <v>11</v>
      </c>
      <c r="M350" s="37">
        <v>8.8000000000000007</v>
      </c>
      <c r="N350" s="38">
        <f t="shared" si="33"/>
        <v>1.0489999999999999</v>
      </c>
      <c r="O350" s="39">
        <f t="shared" si="34"/>
        <v>35.561843971631205</v>
      </c>
      <c r="P350" s="39">
        <f t="shared" si="35"/>
        <v>45.583818181818181</v>
      </c>
      <c r="Q350" s="39">
        <f t="shared" si="36"/>
        <v>56.979772727272717</v>
      </c>
      <c r="R350" s="35" t="str">
        <f t="shared" si="37"/>
        <v>Rs./km</v>
      </c>
    </row>
    <row r="351" spans="1:18" ht="15" customHeight="1" x14ac:dyDescent="0.3">
      <c r="A351" s="35">
        <v>339</v>
      </c>
      <c r="B351" s="35" t="s">
        <v>622</v>
      </c>
      <c r="C351" s="35" t="s">
        <v>623</v>
      </c>
      <c r="D351" s="36" t="s">
        <v>589</v>
      </c>
      <c r="E351" s="36" t="s">
        <v>1577</v>
      </c>
      <c r="F351" s="35">
        <v>2011</v>
      </c>
      <c r="G351" s="35" t="s">
        <v>1357</v>
      </c>
      <c r="H351" s="35" t="s">
        <v>1390</v>
      </c>
      <c r="I351" s="36" t="s">
        <v>1359</v>
      </c>
      <c r="J351" s="35" t="s">
        <v>1391</v>
      </c>
      <c r="K351" s="37">
        <v>14.1</v>
      </c>
      <c r="L351" s="37">
        <v>11</v>
      </c>
      <c r="M351" s="37">
        <v>8.8000000000000007</v>
      </c>
      <c r="N351" s="38">
        <f t="shared" si="33"/>
        <v>1.105</v>
      </c>
      <c r="O351" s="39">
        <f t="shared" si="34"/>
        <v>37.46028368794326</v>
      </c>
      <c r="P351" s="39">
        <f t="shared" si="35"/>
        <v>48.017272727272719</v>
      </c>
      <c r="Q351" s="39">
        <f t="shared" si="36"/>
        <v>60.021590909090897</v>
      </c>
      <c r="R351" s="35" t="str">
        <f t="shared" si="37"/>
        <v>Rs./km</v>
      </c>
    </row>
    <row r="352" spans="1:18" ht="15" customHeight="1" x14ac:dyDescent="0.3">
      <c r="A352" s="35">
        <v>340</v>
      </c>
      <c r="B352" s="35" t="s">
        <v>380</v>
      </c>
      <c r="C352" s="35" t="s">
        <v>195</v>
      </c>
      <c r="D352" s="36" t="s">
        <v>352</v>
      </c>
      <c r="E352" s="36" t="s">
        <v>1578</v>
      </c>
      <c r="F352" s="35">
        <v>2014</v>
      </c>
      <c r="G352" s="35" t="s">
        <v>1357</v>
      </c>
      <c r="H352" s="35" t="s">
        <v>1358</v>
      </c>
      <c r="I352" s="36" t="s">
        <v>1579</v>
      </c>
      <c r="J352" s="35" t="s">
        <v>1360</v>
      </c>
      <c r="K352" s="37">
        <v>3.6</v>
      </c>
      <c r="L352" s="37">
        <v>5</v>
      </c>
      <c r="M352" s="37">
        <v>6.8</v>
      </c>
      <c r="N352" s="38">
        <f t="shared" si="33"/>
        <v>1.0840000000000001</v>
      </c>
      <c r="O352" s="39">
        <f t="shared" si="34"/>
        <v>1865.3472000000002</v>
      </c>
      <c r="P352" s="39">
        <f t="shared" si="35"/>
        <v>2590.7599999999998</v>
      </c>
      <c r="Q352" s="39">
        <f t="shared" si="36"/>
        <v>3523.4335999999998</v>
      </c>
      <c r="R352" s="35" t="str">
        <f t="shared" si="37"/>
        <v>Rs./hr</v>
      </c>
    </row>
    <row r="353" spans="1:18" ht="15" customHeight="1" x14ac:dyDescent="0.3">
      <c r="A353" s="35">
        <v>341</v>
      </c>
      <c r="B353" s="35" t="s">
        <v>382</v>
      </c>
      <c r="C353" s="35" t="s">
        <v>195</v>
      </c>
      <c r="D353" s="36" t="s">
        <v>352</v>
      </c>
      <c r="E353" s="36" t="s">
        <v>1580</v>
      </c>
      <c r="F353" s="35">
        <v>2014</v>
      </c>
      <c r="G353" s="35" t="s">
        <v>1357</v>
      </c>
      <c r="H353" s="35" t="s">
        <v>1358</v>
      </c>
      <c r="I353" s="36" t="s">
        <v>1581</v>
      </c>
      <c r="J353" s="35" t="s">
        <v>1360</v>
      </c>
      <c r="K353" s="37">
        <v>3.2</v>
      </c>
      <c r="L353" s="37">
        <v>4.5</v>
      </c>
      <c r="M353" s="37">
        <v>6.1</v>
      </c>
      <c r="N353" s="38">
        <f t="shared" si="33"/>
        <v>1.0840000000000001</v>
      </c>
      <c r="O353" s="39">
        <f t="shared" si="34"/>
        <v>1658.0864000000001</v>
      </c>
      <c r="P353" s="39">
        <f t="shared" si="35"/>
        <v>2331.6840000000002</v>
      </c>
      <c r="Q353" s="39">
        <f t="shared" si="36"/>
        <v>3160.7271999999998</v>
      </c>
      <c r="R353" s="35" t="str">
        <f t="shared" si="37"/>
        <v>Rs./hr</v>
      </c>
    </row>
    <row r="354" spans="1:18" ht="15" customHeight="1" x14ac:dyDescent="0.3">
      <c r="A354" s="35">
        <v>342</v>
      </c>
      <c r="B354" s="35" t="s">
        <v>383</v>
      </c>
      <c r="C354" s="35" t="s">
        <v>195</v>
      </c>
      <c r="D354" s="36" t="s">
        <v>352</v>
      </c>
      <c r="E354" s="36" t="s">
        <v>1578</v>
      </c>
      <c r="F354" s="35">
        <v>2014</v>
      </c>
      <c r="G354" s="35" t="s">
        <v>1357</v>
      </c>
      <c r="H354" s="35" t="s">
        <v>1358</v>
      </c>
      <c r="I354" s="36" t="s">
        <v>1579</v>
      </c>
      <c r="J354" s="35" t="s">
        <v>1360</v>
      </c>
      <c r="K354" s="37">
        <v>3.6</v>
      </c>
      <c r="L354" s="37">
        <v>5</v>
      </c>
      <c r="M354" s="37">
        <v>6.8</v>
      </c>
      <c r="N354" s="38">
        <f t="shared" si="33"/>
        <v>1.0840000000000001</v>
      </c>
      <c r="O354" s="39">
        <f t="shared" si="34"/>
        <v>1865.3472000000002</v>
      </c>
      <c r="P354" s="39">
        <f t="shared" si="35"/>
        <v>2590.7599999999998</v>
      </c>
      <c r="Q354" s="39">
        <f t="shared" si="36"/>
        <v>3523.4335999999998</v>
      </c>
      <c r="R354" s="35" t="str">
        <f t="shared" si="37"/>
        <v>Rs./hr</v>
      </c>
    </row>
    <row r="355" spans="1:18" ht="15" customHeight="1" x14ac:dyDescent="0.3">
      <c r="A355" s="35">
        <v>343</v>
      </c>
      <c r="B355" s="35" t="s">
        <v>384</v>
      </c>
      <c r="C355" s="35" t="s">
        <v>195</v>
      </c>
      <c r="D355" s="36" t="s">
        <v>352</v>
      </c>
      <c r="E355" s="36" t="s">
        <v>1578</v>
      </c>
      <c r="F355" s="35">
        <v>2014</v>
      </c>
      <c r="G355" s="35" t="s">
        <v>1357</v>
      </c>
      <c r="H355" s="35" t="s">
        <v>1358</v>
      </c>
      <c r="I355" s="36" t="s">
        <v>1579</v>
      </c>
      <c r="J355" s="35" t="s">
        <v>1360</v>
      </c>
      <c r="K355" s="37">
        <v>3.6</v>
      </c>
      <c r="L355" s="37">
        <v>5</v>
      </c>
      <c r="M355" s="37">
        <v>6.8</v>
      </c>
      <c r="N355" s="38">
        <f t="shared" si="33"/>
        <v>1.0840000000000001</v>
      </c>
      <c r="O355" s="39">
        <f t="shared" si="34"/>
        <v>1865.3472000000002</v>
      </c>
      <c r="P355" s="39">
        <f t="shared" si="35"/>
        <v>2590.7599999999998</v>
      </c>
      <c r="Q355" s="39">
        <f t="shared" si="36"/>
        <v>3523.4335999999998</v>
      </c>
      <c r="R355" s="35" t="str">
        <f t="shared" si="37"/>
        <v>Rs./hr</v>
      </c>
    </row>
    <row r="356" spans="1:18" ht="15" customHeight="1" x14ac:dyDescent="0.3">
      <c r="A356" s="35">
        <v>344</v>
      </c>
      <c r="B356" s="35" t="s">
        <v>362</v>
      </c>
      <c r="C356" s="35" t="s">
        <v>195</v>
      </c>
      <c r="D356" s="36" t="s">
        <v>352</v>
      </c>
      <c r="E356" s="36" t="s">
        <v>1578</v>
      </c>
      <c r="F356" s="35">
        <v>2017</v>
      </c>
      <c r="G356" s="35" t="s">
        <v>1357</v>
      </c>
      <c r="H356" s="35" t="s">
        <v>1358</v>
      </c>
      <c r="I356" s="36" t="s">
        <v>1579</v>
      </c>
      <c r="J356" s="35" t="s">
        <v>1360</v>
      </c>
      <c r="K356" s="37">
        <v>3.6</v>
      </c>
      <c r="L356" s="37">
        <v>5</v>
      </c>
      <c r="M356" s="37">
        <v>6.8</v>
      </c>
      <c r="N356" s="38">
        <f t="shared" ref="N356:N384" si="38">1+MIN(MAX($D$8-F356,0),$D$10)*$D$9</f>
        <v>1.0629999999999999</v>
      </c>
      <c r="O356" s="39">
        <f t="shared" si="34"/>
        <v>1829.2103999999999</v>
      </c>
      <c r="P356" s="39">
        <f t="shared" si="35"/>
        <v>2540.5699999999997</v>
      </c>
      <c r="Q356" s="39">
        <f t="shared" si="36"/>
        <v>3455.1751999999997</v>
      </c>
      <c r="R356" s="35" t="str">
        <f t="shared" si="37"/>
        <v>Rs./hr</v>
      </c>
    </row>
    <row r="357" spans="1:18" ht="15" customHeight="1" x14ac:dyDescent="0.3">
      <c r="A357" s="35">
        <v>345</v>
      </c>
      <c r="B357" s="35" t="s">
        <v>363</v>
      </c>
      <c r="C357" s="35" t="s">
        <v>195</v>
      </c>
      <c r="D357" s="36" t="s">
        <v>352</v>
      </c>
      <c r="E357" s="36" t="s">
        <v>1578</v>
      </c>
      <c r="F357" s="35">
        <v>2017</v>
      </c>
      <c r="G357" s="35" t="s">
        <v>1357</v>
      </c>
      <c r="H357" s="35" t="s">
        <v>1358</v>
      </c>
      <c r="I357" s="36" t="s">
        <v>1579</v>
      </c>
      <c r="J357" s="35" t="s">
        <v>1360</v>
      </c>
      <c r="K357" s="37">
        <v>3.6</v>
      </c>
      <c r="L357" s="37">
        <v>5</v>
      </c>
      <c r="M357" s="37">
        <v>6.8</v>
      </c>
      <c r="N357" s="38">
        <f t="shared" si="38"/>
        <v>1.0629999999999999</v>
      </c>
      <c r="O357" s="39">
        <f t="shared" si="34"/>
        <v>1829.2103999999999</v>
      </c>
      <c r="P357" s="39">
        <f t="shared" si="35"/>
        <v>2540.5699999999997</v>
      </c>
      <c r="Q357" s="39">
        <f t="shared" si="36"/>
        <v>3455.1751999999997</v>
      </c>
      <c r="R357" s="35" t="str">
        <f t="shared" si="37"/>
        <v>Rs./hr</v>
      </c>
    </row>
    <row r="358" spans="1:18" ht="15" customHeight="1" x14ac:dyDescent="0.3">
      <c r="A358" s="35">
        <v>346</v>
      </c>
      <c r="B358" s="35" t="s">
        <v>364</v>
      </c>
      <c r="C358" s="35" t="s">
        <v>195</v>
      </c>
      <c r="D358" s="36" t="s">
        <v>352</v>
      </c>
      <c r="E358" s="36" t="s">
        <v>1578</v>
      </c>
      <c r="F358" s="35">
        <v>2017</v>
      </c>
      <c r="G358" s="35" t="s">
        <v>1357</v>
      </c>
      <c r="H358" s="35" t="s">
        <v>1358</v>
      </c>
      <c r="I358" s="36" t="s">
        <v>1579</v>
      </c>
      <c r="J358" s="35" t="s">
        <v>1360</v>
      </c>
      <c r="K358" s="37">
        <v>3.6</v>
      </c>
      <c r="L358" s="37">
        <v>5</v>
      </c>
      <c r="M358" s="37">
        <v>6.8</v>
      </c>
      <c r="N358" s="38">
        <f t="shared" si="38"/>
        <v>1.0629999999999999</v>
      </c>
      <c r="O358" s="39">
        <f t="shared" si="34"/>
        <v>1829.2103999999999</v>
      </c>
      <c r="P358" s="39">
        <f t="shared" si="35"/>
        <v>2540.5699999999997</v>
      </c>
      <c r="Q358" s="39">
        <f t="shared" si="36"/>
        <v>3455.1751999999997</v>
      </c>
      <c r="R358" s="35" t="str">
        <f t="shared" si="37"/>
        <v>Rs./hr</v>
      </c>
    </row>
    <row r="359" spans="1:18" ht="15" customHeight="1" x14ac:dyDescent="0.3">
      <c r="A359" s="35">
        <v>347</v>
      </c>
      <c r="B359" s="35" t="s">
        <v>373</v>
      </c>
      <c r="C359" s="35" t="s">
        <v>195</v>
      </c>
      <c r="D359" s="36" t="s">
        <v>352</v>
      </c>
      <c r="E359" s="36" t="s">
        <v>1582</v>
      </c>
      <c r="F359" s="35">
        <v>2017</v>
      </c>
      <c r="G359" s="35" t="s">
        <v>1357</v>
      </c>
      <c r="H359" s="35" t="s">
        <v>1358</v>
      </c>
      <c r="I359" s="36" t="s">
        <v>1554</v>
      </c>
      <c r="J359" s="35" t="s">
        <v>1360</v>
      </c>
      <c r="K359" s="37">
        <v>3.6</v>
      </c>
      <c r="L359" s="37">
        <v>5</v>
      </c>
      <c r="M359" s="37">
        <v>6.8</v>
      </c>
      <c r="N359" s="38">
        <f t="shared" si="38"/>
        <v>1.0629999999999999</v>
      </c>
      <c r="O359" s="39">
        <f t="shared" si="34"/>
        <v>1829.2103999999999</v>
      </c>
      <c r="P359" s="39">
        <f t="shared" si="35"/>
        <v>2540.5699999999997</v>
      </c>
      <c r="Q359" s="39">
        <f t="shared" si="36"/>
        <v>3455.1751999999997</v>
      </c>
      <c r="R359" s="35" t="str">
        <f t="shared" si="37"/>
        <v>Rs./hr</v>
      </c>
    </row>
    <row r="360" spans="1:18" ht="15" customHeight="1" x14ac:dyDescent="0.3">
      <c r="A360" s="35">
        <v>348</v>
      </c>
      <c r="B360" s="35" t="s">
        <v>365</v>
      </c>
      <c r="C360" s="35" t="s">
        <v>195</v>
      </c>
      <c r="D360" s="36" t="s">
        <v>352</v>
      </c>
      <c r="E360" s="36" t="s">
        <v>1578</v>
      </c>
      <c r="F360" s="35">
        <v>2017</v>
      </c>
      <c r="G360" s="35" t="s">
        <v>1357</v>
      </c>
      <c r="H360" s="35" t="s">
        <v>1358</v>
      </c>
      <c r="I360" s="36" t="s">
        <v>1579</v>
      </c>
      <c r="J360" s="35" t="s">
        <v>1360</v>
      </c>
      <c r="K360" s="37">
        <v>3.6</v>
      </c>
      <c r="L360" s="37">
        <v>5</v>
      </c>
      <c r="M360" s="37">
        <v>6.8</v>
      </c>
      <c r="N360" s="38">
        <f t="shared" si="38"/>
        <v>1.0629999999999999</v>
      </c>
      <c r="O360" s="39">
        <f t="shared" si="34"/>
        <v>1829.2103999999999</v>
      </c>
      <c r="P360" s="39">
        <f t="shared" si="35"/>
        <v>2540.5699999999997</v>
      </c>
      <c r="Q360" s="39">
        <f t="shared" si="36"/>
        <v>3455.1751999999997</v>
      </c>
      <c r="R360" s="35" t="str">
        <f t="shared" si="37"/>
        <v>Rs./hr</v>
      </c>
    </row>
    <row r="361" spans="1:18" ht="15" customHeight="1" x14ac:dyDescent="0.3">
      <c r="A361" s="35">
        <v>349</v>
      </c>
      <c r="B361" s="35" t="s">
        <v>371</v>
      </c>
      <c r="C361" s="35" t="s">
        <v>195</v>
      </c>
      <c r="D361" s="36" t="s">
        <v>352</v>
      </c>
      <c r="E361" s="36" t="s">
        <v>1583</v>
      </c>
      <c r="F361" s="35">
        <v>2017</v>
      </c>
      <c r="G361" s="35" t="s">
        <v>1357</v>
      </c>
      <c r="H361" s="35" t="s">
        <v>1358</v>
      </c>
      <c r="I361" s="36" t="s">
        <v>1579</v>
      </c>
      <c r="J361" s="35" t="s">
        <v>1360</v>
      </c>
      <c r="K361" s="37">
        <v>3.6</v>
      </c>
      <c r="L361" s="37">
        <v>5</v>
      </c>
      <c r="M361" s="37">
        <v>6.8</v>
      </c>
      <c r="N361" s="38">
        <f t="shared" si="38"/>
        <v>1.0629999999999999</v>
      </c>
      <c r="O361" s="39">
        <f t="shared" si="34"/>
        <v>1829.2103999999999</v>
      </c>
      <c r="P361" s="39">
        <f t="shared" si="35"/>
        <v>2540.5699999999997</v>
      </c>
      <c r="Q361" s="39">
        <f t="shared" si="36"/>
        <v>3455.1751999999997</v>
      </c>
      <c r="R361" s="35" t="str">
        <f t="shared" si="37"/>
        <v>Rs./hr</v>
      </c>
    </row>
    <row r="362" spans="1:18" ht="15" customHeight="1" x14ac:dyDescent="0.3">
      <c r="A362" s="35">
        <v>350</v>
      </c>
      <c r="B362" s="35" t="s">
        <v>366</v>
      </c>
      <c r="C362" s="35" t="s">
        <v>195</v>
      </c>
      <c r="D362" s="36" t="s">
        <v>352</v>
      </c>
      <c r="E362" s="36" t="s">
        <v>1584</v>
      </c>
      <c r="F362" s="35">
        <v>2017</v>
      </c>
      <c r="G362" s="35" t="s">
        <v>1357</v>
      </c>
      <c r="H362" s="35" t="s">
        <v>1358</v>
      </c>
      <c r="I362" s="36" t="s">
        <v>1579</v>
      </c>
      <c r="J362" s="35" t="s">
        <v>1360</v>
      </c>
      <c r="K362" s="37">
        <v>3.6</v>
      </c>
      <c r="L362" s="37">
        <v>5</v>
      </c>
      <c r="M362" s="37">
        <v>6.8</v>
      </c>
      <c r="N362" s="38">
        <f t="shared" si="38"/>
        <v>1.0629999999999999</v>
      </c>
      <c r="O362" s="39">
        <f t="shared" si="34"/>
        <v>1829.2103999999999</v>
      </c>
      <c r="P362" s="39">
        <f t="shared" si="35"/>
        <v>2540.5699999999997</v>
      </c>
      <c r="Q362" s="39">
        <f t="shared" si="36"/>
        <v>3455.1751999999997</v>
      </c>
      <c r="R362" s="35" t="str">
        <f t="shared" si="37"/>
        <v>Rs./hr</v>
      </c>
    </row>
    <row r="363" spans="1:18" ht="15" customHeight="1" x14ac:dyDescent="0.3">
      <c r="A363" s="35">
        <v>351</v>
      </c>
      <c r="B363" s="35" t="s">
        <v>374</v>
      </c>
      <c r="C363" s="35" t="s">
        <v>195</v>
      </c>
      <c r="D363" s="36" t="s">
        <v>352</v>
      </c>
      <c r="E363" s="36" t="s">
        <v>1584</v>
      </c>
      <c r="F363" s="35">
        <v>2016</v>
      </c>
      <c r="G363" s="35" t="s">
        <v>1357</v>
      </c>
      <c r="H363" s="35" t="s">
        <v>1358</v>
      </c>
      <c r="I363" s="36" t="s">
        <v>1579</v>
      </c>
      <c r="J363" s="35" t="s">
        <v>1360</v>
      </c>
      <c r="K363" s="37">
        <v>3.6</v>
      </c>
      <c r="L363" s="37">
        <v>5</v>
      </c>
      <c r="M363" s="37">
        <v>6.8</v>
      </c>
      <c r="N363" s="38">
        <f t="shared" si="38"/>
        <v>1.07</v>
      </c>
      <c r="O363" s="39">
        <f t="shared" si="34"/>
        <v>1841.2560000000001</v>
      </c>
      <c r="P363" s="39">
        <f t="shared" si="35"/>
        <v>2557.3000000000002</v>
      </c>
      <c r="Q363" s="39">
        <f t="shared" si="36"/>
        <v>3477.9279999999999</v>
      </c>
      <c r="R363" s="35" t="str">
        <f t="shared" si="37"/>
        <v>Rs./hr</v>
      </c>
    </row>
    <row r="364" spans="1:18" ht="15" customHeight="1" x14ac:dyDescent="0.3">
      <c r="A364" s="35">
        <v>352</v>
      </c>
      <c r="B364" s="35" t="s">
        <v>375</v>
      </c>
      <c r="C364" s="35" t="s">
        <v>195</v>
      </c>
      <c r="D364" s="36" t="s">
        <v>352</v>
      </c>
      <c r="E364" s="36" t="s">
        <v>1584</v>
      </c>
      <c r="F364" s="35">
        <v>2016</v>
      </c>
      <c r="G364" s="35" t="s">
        <v>1357</v>
      </c>
      <c r="H364" s="35" t="s">
        <v>1358</v>
      </c>
      <c r="I364" s="36" t="s">
        <v>1579</v>
      </c>
      <c r="J364" s="35" t="s">
        <v>1360</v>
      </c>
      <c r="K364" s="37">
        <v>3.6</v>
      </c>
      <c r="L364" s="37">
        <v>5</v>
      </c>
      <c r="M364" s="37">
        <v>6.8</v>
      </c>
      <c r="N364" s="38">
        <f t="shared" si="38"/>
        <v>1.07</v>
      </c>
      <c r="O364" s="39">
        <f t="shared" si="34"/>
        <v>1841.2560000000001</v>
      </c>
      <c r="P364" s="39">
        <f t="shared" si="35"/>
        <v>2557.3000000000002</v>
      </c>
      <c r="Q364" s="39">
        <f t="shared" si="36"/>
        <v>3477.9279999999999</v>
      </c>
      <c r="R364" s="35" t="str">
        <f t="shared" si="37"/>
        <v>Rs./hr</v>
      </c>
    </row>
    <row r="365" spans="1:18" ht="15" customHeight="1" x14ac:dyDescent="0.3">
      <c r="A365" s="35">
        <v>353</v>
      </c>
      <c r="B365" s="35" t="s">
        <v>376</v>
      </c>
      <c r="C365" s="35" t="s">
        <v>195</v>
      </c>
      <c r="D365" s="36" t="s">
        <v>352</v>
      </c>
      <c r="E365" s="36" t="s">
        <v>1585</v>
      </c>
      <c r="F365" s="35">
        <v>2016</v>
      </c>
      <c r="G365" s="35" t="s">
        <v>1357</v>
      </c>
      <c r="H365" s="35" t="s">
        <v>1358</v>
      </c>
      <c r="I365" s="36" t="s">
        <v>1581</v>
      </c>
      <c r="J365" s="35" t="s">
        <v>1360</v>
      </c>
      <c r="K365" s="37">
        <v>3.2</v>
      </c>
      <c r="L365" s="37">
        <v>4.5</v>
      </c>
      <c r="M365" s="37">
        <v>6.1</v>
      </c>
      <c r="N365" s="38">
        <f t="shared" si="38"/>
        <v>1.07</v>
      </c>
      <c r="O365" s="39">
        <f t="shared" si="34"/>
        <v>1636.6720000000003</v>
      </c>
      <c r="P365" s="39">
        <f t="shared" si="35"/>
        <v>2301.5700000000002</v>
      </c>
      <c r="Q365" s="39">
        <f t="shared" si="36"/>
        <v>3119.9059999999999</v>
      </c>
      <c r="R365" s="35" t="str">
        <f t="shared" si="37"/>
        <v>Rs./hr</v>
      </c>
    </row>
    <row r="366" spans="1:18" ht="15" customHeight="1" x14ac:dyDescent="0.3">
      <c r="A366" s="35">
        <v>354</v>
      </c>
      <c r="B366" s="35" t="s">
        <v>377</v>
      </c>
      <c r="C366" s="35" t="s">
        <v>195</v>
      </c>
      <c r="D366" s="36" t="s">
        <v>352</v>
      </c>
      <c r="E366" s="36" t="s">
        <v>1584</v>
      </c>
      <c r="F366" s="35">
        <v>2016</v>
      </c>
      <c r="G366" s="35" t="s">
        <v>1357</v>
      </c>
      <c r="H366" s="35" t="s">
        <v>1358</v>
      </c>
      <c r="I366" s="36" t="s">
        <v>1579</v>
      </c>
      <c r="J366" s="35" t="s">
        <v>1360</v>
      </c>
      <c r="K366" s="37">
        <v>3.6</v>
      </c>
      <c r="L366" s="37">
        <v>5</v>
      </c>
      <c r="M366" s="37">
        <v>6.8</v>
      </c>
      <c r="N366" s="38">
        <f t="shared" si="38"/>
        <v>1.07</v>
      </c>
      <c r="O366" s="39">
        <f t="shared" si="34"/>
        <v>1841.2560000000001</v>
      </c>
      <c r="P366" s="39">
        <f t="shared" si="35"/>
        <v>2557.3000000000002</v>
      </c>
      <c r="Q366" s="39">
        <f t="shared" si="36"/>
        <v>3477.9279999999999</v>
      </c>
      <c r="R366" s="35" t="str">
        <f t="shared" si="37"/>
        <v>Rs./hr</v>
      </c>
    </row>
    <row r="367" spans="1:18" ht="15" customHeight="1" x14ac:dyDescent="0.3">
      <c r="A367" s="35">
        <v>355</v>
      </c>
      <c r="B367" s="35" t="s">
        <v>367</v>
      </c>
      <c r="C367" s="35" t="s">
        <v>195</v>
      </c>
      <c r="D367" s="36" t="s">
        <v>352</v>
      </c>
      <c r="E367" s="36" t="s">
        <v>1584</v>
      </c>
      <c r="F367" s="35">
        <v>2017</v>
      </c>
      <c r="G367" s="35" t="s">
        <v>1357</v>
      </c>
      <c r="H367" s="35" t="s">
        <v>1358</v>
      </c>
      <c r="I367" s="36" t="s">
        <v>1579</v>
      </c>
      <c r="J367" s="35" t="s">
        <v>1360</v>
      </c>
      <c r="K367" s="37">
        <v>3.6</v>
      </c>
      <c r="L367" s="37">
        <v>5</v>
      </c>
      <c r="M367" s="37">
        <v>6.8</v>
      </c>
      <c r="N367" s="38">
        <f t="shared" si="38"/>
        <v>1.0629999999999999</v>
      </c>
      <c r="O367" s="39">
        <f t="shared" si="34"/>
        <v>1829.2103999999999</v>
      </c>
      <c r="P367" s="39">
        <f t="shared" si="35"/>
        <v>2540.5699999999997</v>
      </c>
      <c r="Q367" s="39">
        <f t="shared" si="36"/>
        <v>3455.1751999999997</v>
      </c>
      <c r="R367" s="35" t="str">
        <f t="shared" si="37"/>
        <v>Rs./hr</v>
      </c>
    </row>
    <row r="368" spans="1:18" ht="15" customHeight="1" x14ac:dyDescent="0.3">
      <c r="A368" s="35">
        <v>356</v>
      </c>
      <c r="B368" s="35" t="s">
        <v>368</v>
      </c>
      <c r="C368" s="35" t="s">
        <v>195</v>
      </c>
      <c r="D368" s="36" t="s">
        <v>352</v>
      </c>
      <c r="E368" s="36" t="s">
        <v>1584</v>
      </c>
      <c r="F368" s="35">
        <v>2017</v>
      </c>
      <c r="G368" s="35" t="s">
        <v>1357</v>
      </c>
      <c r="H368" s="35" t="s">
        <v>1358</v>
      </c>
      <c r="I368" s="36" t="s">
        <v>1579</v>
      </c>
      <c r="J368" s="35" t="s">
        <v>1360</v>
      </c>
      <c r="K368" s="37">
        <v>3.6</v>
      </c>
      <c r="L368" s="37">
        <v>5</v>
      </c>
      <c r="M368" s="37">
        <v>6.8</v>
      </c>
      <c r="N368" s="38">
        <f t="shared" si="38"/>
        <v>1.0629999999999999</v>
      </c>
      <c r="O368" s="39">
        <f t="shared" si="34"/>
        <v>1829.2103999999999</v>
      </c>
      <c r="P368" s="39">
        <f t="shared" si="35"/>
        <v>2540.5699999999997</v>
      </c>
      <c r="Q368" s="39">
        <f t="shared" si="36"/>
        <v>3455.1751999999997</v>
      </c>
      <c r="R368" s="35" t="str">
        <f t="shared" si="37"/>
        <v>Rs./hr</v>
      </c>
    </row>
    <row r="369" spans="1:18" ht="15" customHeight="1" x14ac:dyDescent="0.3">
      <c r="A369" s="35">
        <v>357</v>
      </c>
      <c r="B369" s="35" t="s">
        <v>369</v>
      </c>
      <c r="C369" s="35" t="s">
        <v>195</v>
      </c>
      <c r="D369" s="36" t="s">
        <v>352</v>
      </c>
      <c r="E369" s="36" t="s">
        <v>1584</v>
      </c>
      <c r="F369" s="35">
        <v>2017</v>
      </c>
      <c r="G369" s="35" t="s">
        <v>1357</v>
      </c>
      <c r="H369" s="35" t="s">
        <v>1358</v>
      </c>
      <c r="I369" s="36" t="s">
        <v>1579</v>
      </c>
      <c r="J369" s="35" t="s">
        <v>1360</v>
      </c>
      <c r="K369" s="37">
        <v>3.6</v>
      </c>
      <c r="L369" s="37">
        <v>5</v>
      </c>
      <c r="M369" s="37">
        <v>6.8</v>
      </c>
      <c r="N369" s="38">
        <f t="shared" si="38"/>
        <v>1.0629999999999999</v>
      </c>
      <c r="O369" s="39">
        <f t="shared" si="34"/>
        <v>1829.2103999999999</v>
      </c>
      <c r="P369" s="39">
        <f t="shared" si="35"/>
        <v>2540.5699999999997</v>
      </c>
      <c r="Q369" s="39">
        <f t="shared" si="36"/>
        <v>3455.1751999999997</v>
      </c>
      <c r="R369" s="35" t="str">
        <f t="shared" si="37"/>
        <v>Rs./hr</v>
      </c>
    </row>
    <row r="370" spans="1:18" ht="15" customHeight="1" x14ac:dyDescent="0.3">
      <c r="A370" s="35">
        <v>358</v>
      </c>
      <c r="B370" s="35" t="s">
        <v>379</v>
      </c>
      <c r="C370" s="35" t="s">
        <v>195</v>
      </c>
      <c r="D370" s="36" t="s">
        <v>352</v>
      </c>
      <c r="E370" s="36" t="s">
        <v>1586</v>
      </c>
      <c r="F370" s="35">
        <v>2016</v>
      </c>
      <c r="G370" s="35" t="s">
        <v>1357</v>
      </c>
      <c r="H370" s="35" t="s">
        <v>1358</v>
      </c>
      <c r="I370" s="36" t="s">
        <v>1587</v>
      </c>
      <c r="J370" s="35" t="s">
        <v>1360</v>
      </c>
      <c r="K370" s="37">
        <v>5</v>
      </c>
      <c r="L370" s="37">
        <v>7</v>
      </c>
      <c r="M370" s="37">
        <v>9.5</v>
      </c>
      <c r="N370" s="38">
        <f t="shared" si="38"/>
        <v>1.07</v>
      </c>
      <c r="O370" s="39">
        <f t="shared" si="34"/>
        <v>2557.3000000000002</v>
      </c>
      <c r="P370" s="39">
        <f t="shared" si="35"/>
        <v>3580.2200000000003</v>
      </c>
      <c r="Q370" s="39">
        <f t="shared" si="36"/>
        <v>4858.8700000000008</v>
      </c>
      <c r="R370" s="35" t="str">
        <f t="shared" si="37"/>
        <v>Rs./hr</v>
      </c>
    </row>
    <row r="371" spans="1:18" ht="15" customHeight="1" x14ac:dyDescent="0.3">
      <c r="A371" s="35">
        <v>359</v>
      </c>
      <c r="B371" s="35" t="s">
        <v>360</v>
      </c>
      <c r="C371" s="35" t="s">
        <v>195</v>
      </c>
      <c r="D371" s="36" t="s">
        <v>352</v>
      </c>
      <c r="E371" s="36" t="s">
        <v>1584</v>
      </c>
      <c r="F371" s="35">
        <v>2020</v>
      </c>
      <c r="G371" s="35" t="s">
        <v>1357</v>
      </c>
      <c r="H371" s="35" t="s">
        <v>1358</v>
      </c>
      <c r="I371" s="36" t="s">
        <v>1579</v>
      </c>
      <c r="J371" s="35" t="s">
        <v>1360</v>
      </c>
      <c r="K371" s="37">
        <v>3.6</v>
      </c>
      <c r="L371" s="37">
        <v>5</v>
      </c>
      <c r="M371" s="37">
        <v>6.8</v>
      </c>
      <c r="N371" s="38">
        <f t="shared" si="38"/>
        <v>1.042</v>
      </c>
      <c r="O371" s="39">
        <f t="shared" si="34"/>
        <v>1793.0736000000002</v>
      </c>
      <c r="P371" s="39">
        <f t="shared" si="35"/>
        <v>2490.38</v>
      </c>
      <c r="Q371" s="39">
        <f t="shared" si="36"/>
        <v>3386.9168</v>
      </c>
      <c r="R371" s="35" t="str">
        <f t="shared" si="37"/>
        <v>Rs./hr</v>
      </c>
    </row>
    <row r="372" spans="1:18" ht="15" customHeight="1" x14ac:dyDescent="0.3">
      <c r="A372" s="35">
        <v>360</v>
      </c>
      <c r="B372" s="35" t="s">
        <v>354</v>
      </c>
      <c r="C372" s="35" t="s">
        <v>195</v>
      </c>
      <c r="D372" s="36" t="s">
        <v>352</v>
      </c>
      <c r="E372" s="36" t="s">
        <v>1584</v>
      </c>
      <c r="F372" s="35">
        <v>2021</v>
      </c>
      <c r="G372" s="35" t="s">
        <v>1357</v>
      </c>
      <c r="H372" s="35" t="s">
        <v>1358</v>
      </c>
      <c r="I372" s="36" t="s">
        <v>1579</v>
      </c>
      <c r="J372" s="35" t="s">
        <v>1360</v>
      </c>
      <c r="K372" s="37">
        <v>3.6</v>
      </c>
      <c r="L372" s="37">
        <v>5</v>
      </c>
      <c r="M372" s="37">
        <v>6.8</v>
      </c>
      <c r="N372" s="38">
        <f t="shared" si="38"/>
        <v>1.0349999999999999</v>
      </c>
      <c r="O372" s="39">
        <f t="shared" si="34"/>
        <v>1781.028</v>
      </c>
      <c r="P372" s="39">
        <f t="shared" si="35"/>
        <v>2473.65</v>
      </c>
      <c r="Q372" s="39">
        <f t="shared" si="36"/>
        <v>3364.1639999999998</v>
      </c>
      <c r="R372" s="35" t="str">
        <f t="shared" si="37"/>
        <v>Rs./hr</v>
      </c>
    </row>
    <row r="373" spans="1:18" ht="15" customHeight="1" x14ac:dyDescent="0.3">
      <c r="A373" s="35">
        <v>361</v>
      </c>
      <c r="B373" s="35" t="s">
        <v>355</v>
      </c>
      <c r="C373" s="35" t="s">
        <v>195</v>
      </c>
      <c r="D373" s="36" t="s">
        <v>352</v>
      </c>
      <c r="E373" s="36" t="s">
        <v>1584</v>
      </c>
      <c r="F373" s="35">
        <v>2021</v>
      </c>
      <c r="G373" s="35" t="s">
        <v>1357</v>
      </c>
      <c r="H373" s="35" t="s">
        <v>1358</v>
      </c>
      <c r="I373" s="36" t="s">
        <v>1579</v>
      </c>
      <c r="J373" s="35" t="s">
        <v>1360</v>
      </c>
      <c r="K373" s="37">
        <v>3.6</v>
      </c>
      <c r="L373" s="37">
        <v>5</v>
      </c>
      <c r="M373" s="37">
        <v>6.8</v>
      </c>
      <c r="N373" s="38">
        <f t="shared" si="38"/>
        <v>1.0349999999999999</v>
      </c>
      <c r="O373" s="39">
        <f t="shared" si="34"/>
        <v>1781.028</v>
      </c>
      <c r="P373" s="39">
        <f t="shared" si="35"/>
        <v>2473.65</v>
      </c>
      <c r="Q373" s="39">
        <f t="shared" si="36"/>
        <v>3364.1639999999998</v>
      </c>
      <c r="R373" s="35" t="str">
        <f t="shared" si="37"/>
        <v>Rs./hr</v>
      </c>
    </row>
    <row r="374" spans="1:18" ht="15" customHeight="1" x14ac:dyDescent="0.3">
      <c r="A374" s="35">
        <v>362</v>
      </c>
      <c r="B374" s="35" t="s">
        <v>356</v>
      </c>
      <c r="C374" s="35" t="s">
        <v>195</v>
      </c>
      <c r="D374" s="36" t="s">
        <v>352</v>
      </c>
      <c r="E374" s="36" t="s">
        <v>1584</v>
      </c>
      <c r="F374" s="35">
        <v>2021</v>
      </c>
      <c r="G374" s="35" t="s">
        <v>1357</v>
      </c>
      <c r="H374" s="35" t="s">
        <v>1358</v>
      </c>
      <c r="I374" s="36" t="s">
        <v>1579</v>
      </c>
      <c r="J374" s="35" t="s">
        <v>1360</v>
      </c>
      <c r="K374" s="37">
        <v>3.6</v>
      </c>
      <c r="L374" s="37">
        <v>5</v>
      </c>
      <c r="M374" s="37">
        <v>6.8</v>
      </c>
      <c r="N374" s="38">
        <f t="shared" si="38"/>
        <v>1.0349999999999999</v>
      </c>
      <c r="O374" s="39">
        <f t="shared" si="34"/>
        <v>1781.028</v>
      </c>
      <c r="P374" s="39">
        <f t="shared" si="35"/>
        <v>2473.65</v>
      </c>
      <c r="Q374" s="39">
        <f t="shared" si="36"/>
        <v>3364.1639999999998</v>
      </c>
      <c r="R374" s="35" t="str">
        <f t="shared" si="37"/>
        <v>Rs./hr</v>
      </c>
    </row>
    <row r="375" spans="1:18" ht="15" customHeight="1" x14ac:dyDescent="0.3">
      <c r="A375" s="35">
        <v>363</v>
      </c>
      <c r="B375" s="35" t="s">
        <v>358</v>
      </c>
      <c r="C375" s="35" t="s">
        <v>195</v>
      </c>
      <c r="D375" s="36" t="s">
        <v>352</v>
      </c>
      <c r="E375" s="36" t="s">
        <v>1585</v>
      </c>
      <c r="F375" s="35">
        <v>2021</v>
      </c>
      <c r="G375" s="35" t="s">
        <v>1357</v>
      </c>
      <c r="H375" s="35" t="s">
        <v>1358</v>
      </c>
      <c r="I375" s="36" t="s">
        <v>1581</v>
      </c>
      <c r="J375" s="35" t="s">
        <v>1360</v>
      </c>
      <c r="K375" s="37">
        <v>3.2</v>
      </c>
      <c r="L375" s="37">
        <v>4.5</v>
      </c>
      <c r="M375" s="37">
        <v>6.1</v>
      </c>
      <c r="N375" s="38">
        <f t="shared" si="38"/>
        <v>1.0349999999999999</v>
      </c>
      <c r="O375" s="39">
        <f t="shared" si="34"/>
        <v>1583.136</v>
      </c>
      <c r="P375" s="39">
        <f t="shared" si="35"/>
        <v>2226.2849999999999</v>
      </c>
      <c r="Q375" s="39">
        <f t="shared" si="36"/>
        <v>3017.8529999999996</v>
      </c>
      <c r="R375" s="35" t="str">
        <f t="shared" si="37"/>
        <v>Rs./hr</v>
      </c>
    </row>
    <row r="376" spans="1:18" ht="15" customHeight="1" x14ac:dyDescent="0.3">
      <c r="A376" s="35">
        <v>364</v>
      </c>
      <c r="B376" s="35" t="s">
        <v>359</v>
      </c>
      <c r="C376" s="35" t="s">
        <v>195</v>
      </c>
      <c r="D376" s="36" t="s">
        <v>352</v>
      </c>
      <c r="E376" s="36" t="s">
        <v>1580</v>
      </c>
      <c r="F376" s="35">
        <v>2021</v>
      </c>
      <c r="G376" s="35" t="s">
        <v>1357</v>
      </c>
      <c r="H376" s="35" t="s">
        <v>1358</v>
      </c>
      <c r="I376" s="36" t="s">
        <v>1581</v>
      </c>
      <c r="J376" s="35" t="s">
        <v>1360</v>
      </c>
      <c r="K376" s="37">
        <v>3.2</v>
      </c>
      <c r="L376" s="37">
        <v>4.5</v>
      </c>
      <c r="M376" s="37">
        <v>6.1</v>
      </c>
      <c r="N376" s="38">
        <f t="shared" si="38"/>
        <v>1.0349999999999999</v>
      </c>
      <c r="O376" s="39">
        <f t="shared" si="34"/>
        <v>1583.136</v>
      </c>
      <c r="P376" s="39">
        <f t="shared" si="35"/>
        <v>2226.2849999999999</v>
      </c>
      <c r="Q376" s="39">
        <f t="shared" si="36"/>
        <v>3017.8529999999996</v>
      </c>
      <c r="R376" s="35" t="str">
        <f t="shared" si="37"/>
        <v>Rs./hr</v>
      </c>
    </row>
    <row r="377" spans="1:18" ht="15" customHeight="1" x14ac:dyDescent="0.3">
      <c r="A377" s="35">
        <v>365</v>
      </c>
      <c r="B377" s="35" t="s">
        <v>189</v>
      </c>
      <c r="C377" s="35" t="s">
        <v>195</v>
      </c>
      <c r="D377" s="36" t="s">
        <v>171</v>
      </c>
      <c r="E377" s="36" t="s">
        <v>1588</v>
      </c>
      <c r="F377" s="35">
        <v>2012</v>
      </c>
      <c r="G377" s="35" t="s">
        <v>1357</v>
      </c>
      <c r="H377" s="35" t="s">
        <v>1358</v>
      </c>
      <c r="I377" s="36" t="s">
        <v>1359</v>
      </c>
      <c r="J377" s="35" t="s">
        <v>1360</v>
      </c>
      <c r="K377" s="37">
        <v>4.3</v>
      </c>
      <c r="L377" s="37">
        <v>6</v>
      </c>
      <c r="M377" s="37">
        <v>8.1</v>
      </c>
      <c r="N377" s="38">
        <f t="shared" si="38"/>
        <v>1.0980000000000001</v>
      </c>
      <c r="O377" s="39">
        <f t="shared" si="34"/>
        <v>2256.8292000000001</v>
      </c>
      <c r="P377" s="39">
        <f t="shared" si="35"/>
        <v>3149.0640000000003</v>
      </c>
      <c r="Q377" s="39">
        <f t="shared" si="36"/>
        <v>4251.2364000000007</v>
      </c>
      <c r="R377" s="35" t="str">
        <f t="shared" si="37"/>
        <v>Rs./hr</v>
      </c>
    </row>
    <row r="378" spans="1:18" ht="15" customHeight="1" x14ac:dyDescent="0.3">
      <c r="A378" s="35">
        <v>366</v>
      </c>
      <c r="B378" s="35" t="s">
        <v>193</v>
      </c>
      <c r="C378" s="35" t="s">
        <v>195</v>
      </c>
      <c r="D378" s="36" t="s">
        <v>171</v>
      </c>
      <c r="E378" s="36" t="s">
        <v>186</v>
      </c>
      <c r="F378" s="35">
        <v>2009</v>
      </c>
      <c r="G378" s="35" t="s">
        <v>1357</v>
      </c>
      <c r="H378" s="35" t="s">
        <v>1358</v>
      </c>
      <c r="I378" s="36" t="s">
        <v>1359</v>
      </c>
      <c r="J378" s="35" t="s">
        <v>1360</v>
      </c>
      <c r="K378" s="37">
        <v>4.3</v>
      </c>
      <c r="L378" s="37">
        <v>6</v>
      </c>
      <c r="M378" s="37">
        <v>8.1</v>
      </c>
      <c r="N378" s="38">
        <f t="shared" si="38"/>
        <v>1.119</v>
      </c>
      <c r="O378" s="39">
        <f t="shared" si="34"/>
        <v>2299.9926</v>
      </c>
      <c r="P378" s="39">
        <f t="shared" si="35"/>
        <v>3209.2920000000004</v>
      </c>
      <c r="Q378" s="39">
        <f t="shared" si="36"/>
        <v>4332.5442000000003</v>
      </c>
      <c r="R378" s="35" t="str">
        <f t="shared" si="37"/>
        <v>Rs./hr</v>
      </c>
    </row>
    <row r="379" spans="1:18" ht="15" customHeight="1" x14ac:dyDescent="0.3">
      <c r="A379" s="35">
        <v>367</v>
      </c>
      <c r="B379" s="35" t="s">
        <v>190</v>
      </c>
      <c r="C379" s="35" t="s">
        <v>195</v>
      </c>
      <c r="D379" s="36" t="s">
        <v>171</v>
      </c>
      <c r="E379" s="36" t="s">
        <v>188</v>
      </c>
      <c r="F379" s="35">
        <v>2012</v>
      </c>
      <c r="G379" s="35" t="s">
        <v>1357</v>
      </c>
      <c r="H379" s="35" t="s">
        <v>1358</v>
      </c>
      <c r="I379" s="36" t="s">
        <v>1359</v>
      </c>
      <c r="J379" s="35" t="s">
        <v>1360</v>
      </c>
      <c r="K379" s="37">
        <v>4.3</v>
      </c>
      <c r="L379" s="37">
        <v>6</v>
      </c>
      <c r="M379" s="37">
        <v>8.1</v>
      </c>
      <c r="N379" s="38">
        <f t="shared" si="38"/>
        <v>1.0980000000000001</v>
      </c>
      <c r="O379" s="39">
        <f t="shared" si="34"/>
        <v>2256.8292000000001</v>
      </c>
      <c r="P379" s="39">
        <f t="shared" si="35"/>
        <v>3149.0640000000003</v>
      </c>
      <c r="Q379" s="39">
        <f t="shared" si="36"/>
        <v>4251.2364000000007</v>
      </c>
      <c r="R379" s="35" t="str">
        <f t="shared" si="37"/>
        <v>Rs./hr</v>
      </c>
    </row>
    <row r="380" spans="1:18" ht="15" customHeight="1" x14ac:dyDescent="0.3">
      <c r="A380" s="35">
        <v>368</v>
      </c>
      <c r="B380" s="35" t="s">
        <v>187</v>
      </c>
      <c r="C380" s="35" t="s">
        <v>195</v>
      </c>
      <c r="D380" s="36" t="s">
        <v>171</v>
      </c>
      <c r="E380" s="36" t="s">
        <v>188</v>
      </c>
      <c r="F380" s="35">
        <v>2013</v>
      </c>
      <c r="G380" s="35" t="s">
        <v>1357</v>
      </c>
      <c r="H380" s="35" t="s">
        <v>1358</v>
      </c>
      <c r="I380" s="36" t="s">
        <v>1359</v>
      </c>
      <c r="J380" s="35" t="s">
        <v>1360</v>
      </c>
      <c r="K380" s="37">
        <v>4.3</v>
      </c>
      <c r="L380" s="37">
        <v>6</v>
      </c>
      <c r="M380" s="37">
        <v>8.1</v>
      </c>
      <c r="N380" s="38">
        <f t="shared" si="38"/>
        <v>1.091</v>
      </c>
      <c r="O380" s="39">
        <f t="shared" si="34"/>
        <v>2242.4414000000002</v>
      </c>
      <c r="P380" s="39">
        <f t="shared" si="35"/>
        <v>3128.9879999999998</v>
      </c>
      <c r="Q380" s="39">
        <f t="shared" si="36"/>
        <v>4224.1337999999996</v>
      </c>
      <c r="R380" s="35" t="str">
        <f t="shared" si="37"/>
        <v>Rs./hr</v>
      </c>
    </row>
    <row r="381" spans="1:18" ht="15" customHeight="1" x14ac:dyDescent="0.3">
      <c r="A381" s="35">
        <v>369</v>
      </c>
      <c r="B381" s="35" t="s">
        <v>185</v>
      </c>
      <c r="C381" s="35" t="s">
        <v>195</v>
      </c>
      <c r="D381" s="36" t="s">
        <v>171</v>
      </c>
      <c r="E381" s="36" t="s">
        <v>1589</v>
      </c>
      <c r="F381" s="35">
        <v>2014</v>
      </c>
      <c r="G381" s="35" t="s">
        <v>1357</v>
      </c>
      <c r="H381" s="35" t="s">
        <v>1358</v>
      </c>
      <c r="I381" s="36" t="s">
        <v>1359</v>
      </c>
      <c r="J381" s="35" t="s">
        <v>1360</v>
      </c>
      <c r="K381" s="37">
        <v>4.3</v>
      </c>
      <c r="L381" s="37">
        <v>6</v>
      </c>
      <c r="M381" s="37">
        <v>8.1</v>
      </c>
      <c r="N381" s="38">
        <f t="shared" si="38"/>
        <v>1.0840000000000001</v>
      </c>
      <c r="O381" s="39">
        <f t="shared" si="34"/>
        <v>2228.0536000000002</v>
      </c>
      <c r="P381" s="39">
        <f t="shared" si="35"/>
        <v>3108.9120000000003</v>
      </c>
      <c r="Q381" s="39">
        <f t="shared" si="36"/>
        <v>4197.0312000000004</v>
      </c>
      <c r="R381" s="35" t="str">
        <f t="shared" si="37"/>
        <v>Rs./hr</v>
      </c>
    </row>
    <row r="382" spans="1:18" ht="15" customHeight="1" x14ac:dyDescent="0.3">
      <c r="A382" s="35">
        <v>370</v>
      </c>
      <c r="B382" s="35" t="s">
        <v>183</v>
      </c>
      <c r="C382" s="35" t="s">
        <v>195</v>
      </c>
      <c r="D382" s="36" t="s">
        <v>171</v>
      </c>
      <c r="E382" s="36" t="s">
        <v>1588</v>
      </c>
      <c r="F382" s="35">
        <v>2014</v>
      </c>
      <c r="G382" s="35" t="s">
        <v>1357</v>
      </c>
      <c r="H382" s="35" t="s">
        <v>1358</v>
      </c>
      <c r="I382" s="36" t="s">
        <v>1359</v>
      </c>
      <c r="J382" s="35" t="s">
        <v>1360</v>
      </c>
      <c r="K382" s="37">
        <v>4.3</v>
      </c>
      <c r="L382" s="37">
        <v>6</v>
      </c>
      <c r="M382" s="37">
        <v>8.1</v>
      </c>
      <c r="N382" s="38">
        <f t="shared" si="38"/>
        <v>1.0840000000000001</v>
      </c>
      <c r="O382" s="39">
        <f t="shared" si="34"/>
        <v>2228.0536000000002</v>
      </c>
      <c r="P382" s="39">
        <f t="shared" si="35"/>
        <v>3108.9120000000003</v>
      </c>
      <c r="Q382" s="39">
        <f t="shared" si="36"/>
        <v>4197.0312000000004</v>
      </c>
      <c r="R382" s="35" t="str">
        <f t="shared" si="37"/>
        <v>Rs./hr</v>
      </c>
    </row>
    <row r="383" spans="1:18" ht="15" customHeight="1" x14ac:dyDescent="0.3">
      <c r="A383" s="35">
        <v>371</v>
      </c>
      <c r="B383" s="35" t="s">
        <v>192</v>
      </c>
      <c r="C383" s="35" t="s">
        <v>195</v>
      </c>
      <c r="D383" s="36" t="s">
        <v>171</v>
      </c>
      <c r="E383" s="36" t="s">
        <v>1590</v>
      </c>
      <c r="F383" s="35">
        <v>2010</v>
      </c>
      <c r="G383" s="35" t="s">
        <v>1357</v>
      </c>
      <c r="H383" s="35" t="s">
        <v>1358</v>
      </c>
      <c r="I383" s="36" t="s">
        <v>1359</v>
      </c>
      <c r="J383" s="35" t="s">
        <v>1360</v>
      </c>
      <c r="K383" s="37">
        <v>4.3</v>
      </c>
      <c r="L383" s="37">
        <v>6</v>
      </c>
      <c r="M383" s="37">
        <v>8.1</v>
      </c>
      <c r="N383" s="38">
        <f t="shared" si="38"/>
        <v>1.1120000000000001</v>
      </c>
      <c r="O383" s="39">
        <f t="shared" si="34"/>
        <v>2285.6048000000001</v>
      </c>
      <c r="P383" s="39">
        <f t="shared" si="35"/>
        <v>3189.2160000000003</v>
      </c>
      <c r="Q383" s="39">
        <f t="shared" si="36"/>
        <v>4305.4416000000001</v>
      </c>
      <c r="R383" s="35" t="str">
        <f t="shared" si="37"/>
        <v>Rs./hr</v>
      </c>
    </row>
    <row r="384" spans="1:18" ht="15" customHeight="1" x14ac:dyDescent="0.3">
      <c r="A384" s="35">
        <v>372</v>
      </c>
      <c r="B384" s="35" t="s">
        <v>178</v>
      </c>
      <c r="C384" s="35" t="s">
        <v>195</v>
      </c>
      <c r="D384" s="36" t="s">
        <v>171</v>
      </c>
      <c r="E384" s="36" t="s">
        <v>1591</v>
      </c>
      <c r="F384" s="35">
        <v>2017</v>
      </c>
      <c r="G384" s="35" t="s">
        <v>1357</v>
      </c>
      <c r="H384" s="35" t="s">
        <v>1358</v>
      </c>
      <c r="I384" s="36" t="s">
        <v>1359</v>
      </c>
      <c r="J384" s="35" t="s">
        <v>1360</v>
      </c>
      <c r="K384" s="37">
        <v>4.3</v>
      </c>
      <c r="L384" s="37">
        <v>6</v>
      </c>
      <c r="M384" s="37">
        <v>8.1</v>
      </c>
      <c r="N384" s="38">
        <f t="shared" si="38"/>
        <v>1.0629999999999999</v>
      </c>
      <c r="O384" s="39">
        <f t="shared" si="34"/>
        <v>2184.8901999999998</v>
      </c>
      <c r="P384" s="39">
        <f t="shared" si="35"/>
        <v>3048.6840000000002</v>
      </c>
      <c r="Q384" s="39">
        <f t="shared" si="36"/>
        <v>4115.7233999999989</v>
      </c>
      <c r="R384" s="35" t="str">
        <f t="shared" si="37"/>
        <v>Rs./hr</v>
      </c>
    </row>
    <row r="385" spans="1:18" ht="15" customHeight="1" x14ac:dyDescent="0.3">
      <c r="A385" s="35">
        <v>373</v>
      </c>
      <c r="B385" s="35" t="s">
        <v>179</v>
      </c>
      <c r="C385" s="35" t="s">
        <v>195</v>
      </c>
      <c r="D385" s="36" t="s">
        <v>171</v>
      </c>
      <c r="E385" s="36" t="s">
        <v>1588</v>
      </c>
      <c r="F385" s="35" t="s">
        <v>195</v>
      </c>
      <c r="G385" s="35" t="s">
        <v>1357</v>
      </c>
      <c r="H385" s="35" t="s">
        <v>1358</v>
      </c>
      <c r="I385" s="36" t="s">
        <v>1359</v>
      </c>
      <c r="J385" s="35" t="s">
        <v>1360</v>
      </c>
      <c r="K385" s="37">
        <v>4.3</v>
      </c>
      <c r="L385" s="37">
        <v>6</v>
      </c>
      <c r="M385" s="37">
        <v>8.1</v>
      </c>
      <c r="N385" s="38">
        <f>1</f>
        <v>1</v>
      </c>
      <c r="O385" s="39">
        <f t="shared" si="34"/>
        <v>2055.4</v>
      </c>
      <c r="P385" s="39">
        <f t="shared" si="35"/>
        <v>2868</v>
      </c>
      <c r="Q385" s="39">
        <f t="shared" si="36"/>
        <v>3871.7999999999997</v>
      </c>
      <c r="R385" s="35" t="str">
        <f t="shared" si="37"/>
        <v>Rs./hr</v>
      </c>
    </row>
    <row r="386" spans="1:18" ht="15" customHeight="1" x14ac:dyDescent="0.3">
      <c r="A386" s="35">
        <v>374</v>
      </c>
      <c r="B386" s="35" t="s">
        <v>194</v>
      </c>
      <c r="C386" s="35" t="s">
        <v>195</v>
      </c>
      <c r="D386" s="36" t="s">
        <v>171</v>
      </c>
      <c r="E386" s="36" t="s">
        <v>1592</v>
      </c>
      <c r="F386" s="35" t="s">
        <v>195</v>
      </c>
      <c r="G386" s="35" t="s">
        <v>1357</v>
      </c>
      <c r="H386" s="35" t="s">
        <v>1358</v>
      </c>
      <c r="I386" s="36" t="s">
        <v>1359</v>
      </c>
      <c r="J386" s="35" t="s">
        <v>1360</v>
      </c>
      <c r="K386" s="37">
        <v>4.3</v>
      </c>
      <c r="L386" s="37">
        <v>6</v>
      </c>
      <c r="M386" s="37">
        <v>8.1</v>
      </c>
      <c r="N386" s="38">
        <f>1</f>
        <v>1</v>
      </c>
      <c r="O386" s="39">
        <f t="shared" si="34"/>
        <v>2055.4</v>
      </c>
      <c r="P386" s="39">
        <f t="shared" si="35"/>
        <v>2868</v>
      </c>
      <c r="Q386" s="39">
        <f t="shared" si="36"/>
        <v>3871.7999999999997</v>
      </c>
      <c r="R386" s="35" t="str">
        <f t="shared" si="37"/>
        <v>Rs./hr</v>
      </c>
    </row>
    <row r="387" spans="1:18" ht="15" customHeight="1" x14ac:dyDescent="0.3">
      <c r="A387" s="35">
        <v>375</v>
      </c>
      <c r="B387" s="35" t="s">
        <v>199</v>
      </c>
      <c r="C387" s="35" t="s">
        <v>195</v>
      </c>
      <c r="D387" s="36" t="s">
        <v>171</v>
      </c>
      <c r="E387" s="36" t="s">
        <v>1593</v>
      </c>
      <c r="F387" s="35" t="s">
        <v>195</v>
      </c>
      <c r="G387" s="35" t="s">
        <v>1357</v>
      </c>
      <c r="H387" s="35" t="s">
        <v>1358</v>
      </c>
      <c r="I387" s="36" t="s">
        <v>1359</v>
      </c>
      <c r="J387" s="35" t="s">
        <v>1360</v>
      </c>
      <c r="K387" s="37">
        <v>4.3</v>
      </c>
      <c r="L387" s="37">
        <v>6</v>
      </c>
      <c r="M387" s="37">
        <v>8.1</v>
      </c>
      <c r="N387" s="38">
        <f>1</f>
        <v>1</v>
      </c>
      <c r="O387" s="39">
        <f t="shared" si="34"/>
        <v>2055.4</v>
      </c>
      <c r="P387" s="39">
        <f t="shared" si="35"/>
        <v>2868</v>
      </c>
      <c r="Q387" s="39">
        <f t="shared" si="36"/>
        <v>3871.7999999999997</v>
      </c>
      <c r="R387" s="35" t="str">
        <f t="shared" si="37"/>
        <v>Rs./hr</v>
      </c>
    </row>
    <row r="388" spans="1:18" ht="15" customHeight="1" x14ac:dyDescent="0.3">
      <c r="A388" s="35">
        <v>376</v>
      </c>
      <c r="B388" s="35" t="s">
        <v>181</v>
      </c>
      <c r="C388" s="35" t="s">
        <v>195</v>
      </c>
      <c r="D388" s="36" t="s">
        <v>171</v>
      </c>
      <c r="E388" s="36" t="s">
        <v>1593</v>
      </c>
      <c r="F388" s="35">
        <v>2016</v>
      </c>
      <c r="G388" s="35" t="s">
        <v>1357</v>
      </c>
      <c r="H388" s="35" t="s">
        <v>1358</v>
      </c>
      <c r="I388" s="36" t="s">
        <v>1359</v>
      </c>
      <c r="J388" s="35" t="s">
        <v>1360</v>
      </c>
      <c r="K388" s="37">
        <v>4.3</v>
      </c>
      <c r="L388" s="37">
        <v>6</v>
      </c>
      <c r="M388" s="37">
        <v>8.1</v>
      </c>
      <c r="N388" s="38">
        <f>1+MIN(MAX($D$8-F388,0),$D$10)*$D$9</f>
        <v>1.07</v>
      </c>
      <c r="O388" s="39">
        <f t="shared" si="34"/>
        <v>2199.2779999999998</v>
      </c>
      <c r="P388" s="39">
        <f t="shared" si="35"/>
        <v>3068.7599999999998</v>
      </c>
      <c r="Q388" s="39">
        <f t="shared" si="36"/>
        <v>4142.826</v>
      </c>
      <c r="R388" s="35" t="str">
        <f t="shared" si="37"/>
        <v>Rs./hr</v>
      </c>
    </row>
    <row r="389" spans="1:18" ht="15" customHeight="1" x14ac:dyDescent="0.3">
      <c r="A389" s="35">
        <v>377</v>
      </c>
      <c r="B389" s="35" t="s">
        <v>197</v>
      </c>
      <c r="C389" s="35" t="s">
        <v>195</v>
      </c>
      <c r="D389" s="36" t="s">
        <v>171</v>
      </c>
      <c r="E389" s="36" t="s">
        <v>1594</v>
      </c>
      <c r="F389" s="35" t="s">
        <v>195</v>
      </c>
      <c r="G389" s="35" t="s">
        <v>1357</v>
      </c>
      <c r="H389" s="35" t="s">
        <v>1358</v>
      </c>
      <c r="I389" s="36" t="s">
        <v>1359</v>
      </c>
      <c r="J389" s="35" t="s">
        <v>1360</v>
      </c>
      <c r="K389" s="37">
        <v>4.3</v>
      </c>
      <c r="L389" s="37">
        <v>6</v>
      </c>
      <c r="M389" s="37">
        <v>8.1</v>
      </c>
      <c r="N389" s="38">
        <f>1</f>
        <v>1</v>
      </c>
      <c r="O389" s="39">
        <f t="shared" si="34"/>
        <v>2055.4</v>
      </c>
      <c r="P389" s="39">
        <f t="shared" si="35"/>
        <v>2868</v>
      </c>
      <c r="Q389" s="39">
        <f t="shared" si="36"/>
        <v>3871.7999999999997</v>
      </c>
      <c r="R389" s="35" t="str">
        <f t="shared" si="37"/>
        <v>Rs./hr</v>
      </c>
    </row>
    <row r="390" spans="1:18" ht="15" customHeight="1" x14ac:dyDescent="0.3">
      <c r="A390" s="35">
        <v>378</v>
      </c>
      <c r="B390" s="35" t="s">
        <v>203</v>
      </c>
      <c r="C390" s="35" t="s">
        <v>195</v>
      </c>
      <c r="D390" s="36" t="s">
        <v>171</v>
      </c>
      <c r="E390" s="36" t="s">
        <v>1595</v>
      </c>
      <c r="F390" s="35" t="s">
        <v>195</v>
      </c>
      <c r="G390" s="35" t="s">
        <v>1357</v>
      </c>
      <c r="H390" s="35" t="s">
        <v>1358</v>
      </c>
      <c r="I390" s="36" t="s">
        <v>1359</v>
      </c>
      <c r="J390" s="35" t="s">
        <v>1360</v>
      </c>
      <c r="K390" s="37">
        <v>4.3</v>
      </c>
      <c r="L390" s="37">
        <v>6</v>
      </c>
      <c r="M390" s="37">
        <v>8.1</v>
      </c>
      <c r="N390" s="38">
        <f>1</f>
        <v>1</v>
      </c>
      <c r="O390" s="39">
        <f t="shared" si="34"/>
        <v>2055.4</v>
      </c>
      <c r="P390" s="39">
        <f t="shared" si="35"/>
        <v>2868</v>
      </c>
      <c r="Q390" s="39">
        <f t="shared" si="36"/>
        <v>3871.7999999999997</v>
      </c>
      <c r="R390" s="35" t="str">
        <f t="shared" si="37"/>
        <v>Rs./hr</v>
      </c>
    </row>
    <row r="391" spans="1:18" ht="15" customHeight="1" x14ac:dyDescent="0.3">
      <c r="A391" s="35">
        <v>379</v>
      </c>
      <c r="B391" s="35" t="s">
        <v>201</v>
      </c>
      <c r="C391" s="35" t="s">
        <v>195</v>
      </c>
      <c r="D391" s="36" t="s">
        <v>171</v>
      </c>
      <c r="E391" s="36" t="s">
        <v>1596</v>
      </c>
      <c r="F391" s="35">
        <v>2017</v>
      </c>
      <c r="G391" s="35" t="s">
        <v>1357</v>
      </c>
      <c r="H391" s="35" t="s">
        <v>1358</v>
      </c>
      <c r="I391" s="36" t="s">
        <v>1359</v>
      </c>
      <c r="J391" s="35" t="s">
        <v>1360</v>
      </c>
      <c r="K391" s="37">
        <v>4.3</v>
      </c>
      <c r="L391" s="37">
        <v>6</v>
      </c>
      <c r="M391" s="37">
        <v>8.1</v>
      </c>
      <c r="N391" s="38">
        <f>1+MIN(MAX($D$8-F391,0),$D$10)*$D$9</f>
        <v>1.0629999999999999</v>
      </c>
      <c r="O391" s="39">
        <f t="shared" si="34"/>
        <v>2184.8901999999998</v>
      </c>
      <c r="P391" s="39">
        <f t="shared" si="35"/>
        <v>3048.6840000000002</v>
      </c>
      <c r="Q391" s="39">
        <f t="shared" si="36"/>
        <v>4115.7233999999989</v>
      </c>
      <c r="R391" s="35" t="str">
        <f t="shared" si="37"/>
        <v>Rs./hr</v>
      </c>
    </row>
    <row r="392" spans="1:18" ht="15" customHeight="1" x14ac:dyDescent="0.3">
      <c r="A392" s="35">
        <v>380</v>
      </c>
      <c r="B392" s="35" t="s">
        <v>198</v>
      </c>
      <c r="C392" s="35" t="s">
        <v>195</v>
      </c>
      <c r="D392" s="36" t="s">
        <v>171</v>
      </c>
      <c r="E392" s="36" t="s">
        <v>1597</v>
      </c>
      <c r="F392" s="35" t="s">
        <v>195</v>
      </c>
      <c r="G392" s="35" t="s">
        <v>1357</v>
      </c>
      <c r="H392" s="35" t="s">
        <v>1358</v>
      </c>
      <c r="I392" s="36" t="s">
        <v>1359</v>
      </c>
      <c r="J392" s="35" t="s">
        <v>1360</v>
      </c>
      <c r="K392" s="37">
        <v>4.3</v>
      </c>
      <c r="L392" s="37">
        <v>6</v>
      </c>
      <c r="M392" s="37">
        <v>8.1</v>
      </c>
      <c r="N392" s="38">
        <f>1</f>
        <v>1</v>
      </c>
      <c r="O392" s="39">
        <f t="shared" si="34"/>
        <v>2055.4</v>
      </c>
      <c r="P392" s="39">
        <f t="shared" si="35"/>
        <v>2868</v>
      </c>
      <c r="Q392" s="39">
        <f t="shared" si="36"/>
        <v>3871.7999999999997</v>
      </c>
      <c r="R392" s="35" t="str">
        <f t="shared" si="37"/>
        <v>Rs./hr</v>
      </c>
    </row>
    <row r="393" spans="1:18" ht="15" customHeight="1" x14ac:dyDescent="0.3">
      <c r="A393" s="35">
        <v>381</v>
      </c>
      <c r="B393" s="35" t="s">
        <v>173</v>
      </c>
      <c r="C393" s="35" t="s">
        <v>195</v>
      </c>
      <c r="D393" s="36" t="s">
        <v>171</v>
      </c>
      <c r="E393" s="36" t="s">
        <v>1598</v>
      </c>
      <c r="F393" s="35">
        <v>2021</v>
      </c>
      <c r="G393" s="35" t="s">
        <v>1357</v>
      </c>
      <c r="H393" s="35" t="s">
        <v>1358</v>
      </c>
      <c r="I393" s="36" t="s">
        <v>1359</v>
      </c>
      <c r="J393" s="35" t="s">
        <v>1360</v>
      </c>
      <c r="K393" s="37">
        <v>4.3</v>
      </c>
      <c r="L393" s="37">
        <v>6</v>
      </c>
      <c r="M393" s="37">
        <v>8.1</v>
      </c>
      <c r="N393" s="38">
        <f>1+MIN(MAX($D$8-F393,0),$D$10)*$D$9</f>
        <v>1.0349999999999999</v>
      </c>
      <c r="O393" s="39">
        <f t="shared" si="34"/>
        <v>2127.3389999999999</v>
      </c>
      <c r="P393" s="39">
        <f t="shared" si="35"/>
        <v>2968.3799999999997</v>
      </c>
      <c r="Q393" s="39">
        <f t="shared" si="36"/>
        <v>4007.3129999999996</v>
      </c>
      <c r="R393" s="35" t="str">
        <f t="shared" si="37"/>
        <v>Rs./hr</v>
      </c>
    </row>
    <row r="394" spans="1:18" ht="15" customHeight="1" x14ac:dyDescent="0.3">
      <c r="A394" s="35">
        <v>382</v>
      </c>
      <c r="B394" s="35" t="s">
        <v>175</v>
      </c>
      <c r="C394" s="35" t="s">
        <v>195</v>
      </c>
      <c r="D394" s="36" t="s">
        <v>171</v>
      </c>
      <c r="E394" s="36" t="s">
        <v>1597</v>
      </c>
      <c r="F394" s="35">
        <v>2021</v>
      </c>
      <c r="G394" s="35" t="s">
        <v>1357</v>
      </c>
      <c r="H394" s="35" t="s">
        <v>1358</v>
      </c>
      <c r="I394" s="36" t="s">
        <v>1359</v>
      </c>
      <c r="J394" s="35" t="s">
        <v>1360</v>
      </c>
      <c r="K394" s="37">
        <v>4.3</v>
      </c>
      <c r="L394" s="37">
        <v>6</v>
      </c>
      <c r="M394" s="37">
        <v>8.1</v>
      </c>
      <c r="N394" s="38">
        <f>1+MIN(MAX($D$8-F394,0),$D$10)*$D$9</f>
        <v>1.0349999999999999</v>
      </c>
      <c r="O394" s="39">
        <f t="shared" si="34"/>
        <v>2127.3389999999999</v>
      </c>
      <c r="P394" s="39">
        <f t="shared" si="35"/>
        <v>2968.3799999999997</v>
      </c>
      <c r="Q394" s="39">
        <f t="shared" si="36"/>
        <v>4007.3129999999996</v>
      </c>
      <c r="R394" s="35" t="str">
        <f t="shared" si="37"/>
        <v>Rs./hr</v>
      </c>
    </row>
    <row r="395" spans="1:18" ht="15" customHeight="1" x14ac:dyDescent="0.3">
      <c r="A395" s="35">
        <v>383</v>
      </c>
      <c r="B395" s="35" t="s">
        <v>176</v>
      </c>
      <c r="C395" s="35" t="s">
        <v>195</v>
      </c>
      <c r="D395" s="36" t="s">
        <v>171</v>
      </c>
      <c r="E395" s="36" t="s">
        <v>1597</v>
      </c>
      <c r="F395" s="35">
        <v>2021</v>
      </c>
      <c r="G395" s="35" t="s">
        <v>1357</v>
      </c>
      <c r="H395" s="35" t="s">
        <v>1358</v>
      </c>
      <c r="I395" s="36" t="s">
        <v>1359</v>
      </c>
      <c r="J395" s="35" t="s">
        <v>1360</v>
      </c>
      <c r="K395" s="37">
        <v>4.3</v>
      </c>
      <c r="L395" s="37">
        <v>6</v>
      </c>
      <c r="M395" s="37">
        <v>8.1</v>
      </c>
      <c r="N395" s="38">
        <f>1+MIN(MAX($D$8-F395,0),$D$10)*$D$9</f>
        <v>1.0349999999999999</v>
      </c>
      <c r="O395" s="39">
        <f t="shared" si="34"/>
        <v>2127.3389999999999</v>
      </c>
      <c r="P395" s="39">
        <f t="shared" si="35"/>
        <v>2968.3799999999997</v>
      </c>
      <c r="Q395" s="39">
        <f t="shared" si="36"/>
        <v>4007.3129999999996</v>
      </c>
      <c r="R395" s="35" t="str">
        <f t="shared" si="37"/>
        <v>Rs./hr</v>
      </c>
    </row>
    <row r="396" spans="1:18" ht="15" customHeight="1" x14ac:dyDescent="0.3">
      <c r="A396" s="35">
        <v>384</v>
      </c>
      <c r="B396" s="35" t="s">
        <v>1069</v>
      </c>
      <c r="C396" s="35" t="s">
        <v>195</v>
      </c>
      <c r="D396" s="36" t="s">
        <v>1061</v>
      </c>
      <c r="E396" s="36" t="s">
        <v>1599</v>
      </c>
      <c r="F396" s="35" t="s">
        <v>195</v>
      </c>
      <c r="G396" s="35" t="s">
        <v>1357</v>
      </c>
      <c r="H396" s="35" t="s">
        <v>1358</v>
      </c>
      <c r="I396" s="36" t="s">
        <v>1359</v>
      </c>
      <c r="J396" s="35" t="s">
        <v>1360</v>
      </c>
      <c r="K396" s="37">
        <v>4.3</v>
      </c>
      <c r="L396" s="37">
        <v>6</v>
      </c>
      <c r="M396" s="37">
        <v>8.1</v>
      </c>
      <c r="N396" s="38">
        <f>1</f>
        <v>1</v>
      </c>
      <c r="O396" s="39">
        <f t="shared" si="34"/>
        <v>2055.4</v>
      </c>
      <c r="P396" s="39">
        <f t="shared" si="35"/>
        <v>2868</v>
      </c>
      <c r="Q396" s="39">
        <f t="shared" si="36"/>
        <v>3871.7999999999997</v>
      </c>
      <c r="R396" s="35" t="str">
        <f t="shared" si="37"/>
        <v>Rs./hr</v>
      </c>
    </row>
    <row r="397" spans="1:18" ht="15" customHeight="1" x14ac:dyDescent="0.3">
      <c r="A397" s="35">
        <v>385</v>
      </c>
      <c r="B397" s="35" t="s">
        <v>1070</v>
      </c>
      <c r="C397" s="35" t="s">
        <v>195</v>
      </c>
      <c r="D397" s="36" t="s">
        <v>1061</v>
      </c>
      <c r="E397" s="36" t="s">
        <v>1599</v>
      </c>
      <c r="F397" s="35" t="s">
        <v>195</v>
      </c>
      <c r="G397" s="35" t="s">
        <v>1357</v>
      </c>
      <c r="H397" s="35" t="s">
        <v>1358</v>
      </c>
      <c r="I397" s="36" t="s">
        <v>1359</v>
      </c>
      <c r="J397" s="35" t="s">
        <v>1360</v>
      </c>
      <c r="K397" s="37">
        <v>4.3</v>
      </c>
      <c r="L397" s="37">
        <v>6</v>
      </c>
      <c r="M397" s="37">
        <v>8.1</v>
      </c>
      <c r="N397" s="38">
        <f>1</f>
        <v>1</v>
      </c>
      <c r="O397" s="39">
        <f t="shared" ref="O397:O460" si="39">IF(H397="None",0,IF(H397="KM",IF(G397="Petrol",$D$6,$D$5)*N397/K397,K397*N397*IF(G397="Petrol",$D$6,$D$5)))</f>
        <v>2055.4</v>
      </c>
      <c r="P397" s="39">
        <f t="shared" ref="P397:P460" si="40">IF(H397="None",0,IF(H397="KM",IF(G397="Petrol",$D$6,$D$5)*N397/L397,L397*N397*IF(G397="Petrol",$D$6,$D$5)))</f>
        <v>2868</v>
      </c>
      <c r="Q397" s="39">
        <f t="shared" ref="Q397:Q460" si="41">IF(H397="None",0,IF(H397="KM",IF(G397="Petrol",$D$6,$D$5)*N397/M397,M397*N397*IF(G397="Petrol",$D$6,$D$5)))</f>
        <v>3871.7999999999997</v>
      </c>
      <c r="R397" s="35" t="str">
        <f t="shared" ref="R397:R460" si="42">IF(H397="None","—",IF(H397="KM","Rs./km","Rs./hr"))</f>
        <v>Rs./hr</v>
      </c>
    </row>
    <row r="398" spans="1:18" ht="15" customHeight="1" x14ac:dyDescent="0.3">
      <c r="A398" s="35">
        <v>386</v>
      </c>
      <c r="B398" s="35" t="s">
        <v>1068</v>
      </c>
      <c r="C398" s="35" t="s">
        <v>928</v>
      </c>
      <c r="D398" s="36" t="s">
        <v>1061</v>
      </c>
      <c r="E398" s="36" t="s">
        <v>1599</v>
      </c>
      <c r="F398" s="35">
        <v>2017</v>
      </c>
      <c r="G398" s="35" t="s">
        <v>1357</v>
      </c>
      <c r="H398" s="35" t="s">
        <v>1358</v>
      </c>
      <c r="I398" s="36" t="s">
        <v>1359</v>
      </c>
      <c r="J398" s="35" t="s">
        <v>1360</v>
      </c>
      <c r="K398" s="37">
        <v>4.3</v>
      </c>
      <c r="L398" s="37">
        <v>6</v>
      </c>
      <c r="M398" s="37">
        <v>8.1</v>
      </c>
      <c r="N398" s="38">
        <f>1+MIN(MAX($D$8-F398,0),$D$10)*$D$9</f>
        <v>1.0629999999999999</v>
      </c>
      <c r="O398" s="39">
        <f t="shared" si="39"/>
        <v>2184.8901999999998</v>
      </c>
      <c r="P398" s="39">
        <f t="shared" si="40"/>
        <v>3048.6840000000002</v>
      </c>
      <c r="Q398" s="39">
        <f t="shared" si="41"/>
        <v>4115.7233999999989</v>
      </c>
      <c r="R398" s="35" t="str">
        <f t="shared" si="42"/>
        <v>Rs./hr</v>
      </c>
    </row>
    <row r="399" spans="1:18" ht="15" customHeight="1" x14ac:dyDescent="0.3">
      <c r="A399" s="35">
        <v>387</v>
      </c>
      <c r="B399" s="35" t="s">
        <v>1063</v>
      </c>
      <c r="C399" s="35" t="s">
        <v>932</v>
      </c>
      <c r="D399" s="36" t="s">
        <v>1061</v>
      </c>
      <c r="E399" s="36" t="s">
        <v>1600</v>
      </c>
      <c r="F399" s="35">
        <v>2017</v>
      </c>
      <c r="G399" s="35" t="s">
        <v>1357</v>
      </c>
      <c r="H399" s="35" t="s">
        <v>1358</v>
      </c>
      <c r="I399" s="36" t="s">
        <v>1359</v>
      </c>
      <c r="J399" s="35" t="s">
        <v>1360</v>
      </c>
      <c r="K399" s="37">
        <v>4.3</v>
      </c>
      <c r="L399" s="37">
        <v>6</v>
      </c>
      <c r="M399" s="37">
        <v>8.1</v>
      </c>
      <c r="N399" s="38">
        <f>1+MIN(MAX($D$8-F399,0),$D$10)*$D$9</f>
        <v>1.0629999999999999</v>
      </c>
      <c r="O399" s="39">
        <f t="shared" si="39"/>
        <v>2184.8901999999998</v>
      </c>
      <c r="P399" s="39">
        <f t="shared" si="40"/>
        <v>3048.6840000000002</v>
      </c>
      <c r="Q399" s="39">
        <f t="shared" si="41"/>
        <v>4115.7233999999989</v>
      </c>
      <c r="R399" s="35" t="str">
        <f t="shared" si="42"/>
        <v>Rs./hr</v>
      </c>
    </row>
    <row r="400" spans="1:18" ht="15" customHeight="1" x14ac:dyDescent="0.3">
      <c r="A400" s="35">
        <v>388</v>
      </c>
      <c r="B400" s="35" t="s">
        <v>1064</v>
      </c>
      <c r="C400" s="35" t="s">
        <v>930</v>
      </c>
      <c r="D400" s="36" t="s">
        <v>1061</v>
      </c>
      <c r="E400" s="36" t="s">
        <v>1600</v>
      </c>
      <c r="F400" s="35">
        <v>2017</v>
      </c>
      <c r="G400" s="35" t="s">
        <v>1357</v>
      </c>
      <c r="H400" s="35" t="s">
        <v>1358</v>
      </c>
      <c r="I400" s="36" t="s">
        <v>1359</v>
      </c>
      <c r="J400" s="35" t="s">
        <v>1360</v>
      </c>
      <c r="K400" s="37">
        <v>4.3</v>
      </c>
      <c r="L400" s="37">
        <v>6</v>
      </c>
      <c r="M400" s="37">
        <v>8.1</v>
      </c>
      <c r="N400" s="38">
        <f>1+MIN(MAX($D$8-F400,0),$D$10)*$D$9</f>
        <v>1.0629999999999999</v>
      </c>
      <c r="O400" s="39">
        <f t="shared" si="39"/>
        <v>2184.8901999999998</v>
      </c>
      <c r="P400" s="39">
        <f t="shared" si="40"/>
        <v>3048.6840000000002</v>
      </c>
      <c r="Q400" s="39">
        <f t="shared" si="41"/>
        <v>4115.7233999999989</v>
      </c>
      <c r="R400" s="35" t="str">
        <f t="shared" si="42"/>
        <v>Rs./hr</v>
      </c>
    </row>
    <row r="401" spans="1:18" ht="15" customHeight="1" x14ac:dyDescent="0.3">
      <c r="A401" s="35">
        <v>389</v>
      </c>
      <c r="B401" s="35" t="s">
        <v>1066</v>
      </c>
      <c r="C401" s="35" t="s">
        <v>195</v>
      </c>
      <c r="D401" s="36" t="s">
        <v>1061</v>
      </c>
      <c r="E401" s="36" t="s">
        <v>1601</v>
      </c>
      <c r="F401" s="35">
        <v>2017</v>
      </c>
      <c r="G401" s="35" t="s">
        <v>1357</v>
      </c>
      <c r="H401" s="35" t="s">
        <v>1358</v>
      </c>
      <c r="I401" s="36" t="s">
        <v>1359</v>
      </c>
      <c r="J401" s="35" t="s">
        <v>1360</v>
      </c>
      <c r="K401" s="37">
        <v>4.3</v>
      </c>
      <c r="L401" s="37">
        <v>6</v>
      </c>
      <c r="M401" s="37">
        <v>8.1</v>
      </c>
      <c r="N401" s="38">
        <f>1+MIN(MAX($D$8-F401,0),$D$10)*$D$9</f>
        <v>1.0629999999999999</v>
      </c>
      <c r="O401" s="39">
        <f t="shared" si="39"/>
        <v>2184.8901999999998</v>
      </c>
      <c r="P401" s="39">
        <f t="shared" si="40"/>
        <v>3048.6840000000002</v>
      </c>
      <c r="Q401" s="39">
        <f t="shared" si="41"/>
        <v>4115.7233999999989</v>
      </c>
      <c r="R401" s="35" t="str">
        <f t="shared" si="42"/>
        <v>Rs./hr</v>
      </c>
    </row>
    <row r="402" spans="1:18" ht="15" customHeight="1" x14ac:dyDescent="0.3">
      <c r="A402" s="35">
        <v>390</v>
      </c>
      <c r="B402" s="35" t="s">
        <v>1071</v>
      </c>
      <c r="C402" s="35" t="s">
        <v>195</v>
      </c>
      <c r="D402" s="36" t="s">
        <v>1061</v>
      </c>
      <c r="E402" s="36" t="s">
        <v>1599</v>
      </c>
      <c r="F402" s="35" t="s">
        <v>195</v>
      </c>
      <c r="G402" s="35" t="s">
        <v>1357</v>
      </c>
      <c r="H402" s="35" t="s">
        <v>1358</v>
      </c>
      <c r="I402" s="36" t="s">
        <v>1359</v>
      </c>
      <c r="J402" s="35" t="s">
        <v>1360</v>
      </c>
      <c r="K402" s="37">
        <v>4.3</v>
      </c>
      <c r="L402" s="37">
        <v>6</v>
      </c>
      <c r="M402" s="37">
        <v>8.1</v>
      </c>
      <c r="N402" s="38">
        <f>1</f>
        <v>1</v>
      </c>
      <c r="O402" s="39">
        <f t="shared" si="39"/>
        <v>2055.4</v>
      </c>
      <c r="P402" s="39">
        <f t="shared" si="40"/>
        <v>2868</v>
      </c>
      <c r="Q402" s="39">
        <f t="shared" si="41"/>
        <v>3871.7999999999997</v>
      </c>
      <c r="R402" s="35" t="str">
        <f t="shared" si="42"/>
        <v>Rs./hr</v>
      </c>
    </row>
    <row r="403" spans="1:18" ht="15" customHeight="1" x14ac:dyDescent="0.3">
      <c r="A403" s="35">
        <v>391</v>
      </c>
      <c r="B403" s="35" t="s">
        <v>1072</v>
      </c>
      <c r="C403" s="35" t="s">
        <v>195</v>
      </c>
      <c r="D403" s="36" t="s">
        <v>1061</v>
      </c>
      <c r="E403" s="36" t="s">
        <v>1599</v>
      </c>
      <c r="F403" s="35" t="s">
        <v>195</v>
      </c>
      <c r="G403" s="35" t="s">
        <v>1357</v>
      </c>
      <c r="H403" s="35" t="s">
        <v>1358</v>
      </c>
      <c r="I403" s="36" t="s">
        <v>1359</v>
      </c>
      <c r="J403" s="35" t="s">
        <v>1360</v>
      </c>
      <c r="K403" s="37">
        <v>4.3</v>
      </c>
      <c r="L403" s="37">
        <v>6</v>
      </c>
      <c r="M403" s="37">
        <v>8.1</v>
      </c>
      <c r="N403" s="38">
        <f>1</f>
        <v>1</v>
      </c>
      <c r="O403" s="39">
        <f t="shared" si="39"/>
        <v>2055.4</v>
      </c>
      <c r="P403" s="39">
        <f t="shared" si="40"/>
        <v>2868</v>
      </c>
      <c r="Q403" s="39">
        <f t="shared" si="41"/>
        <v>3871.7999999999997</v>
      </c>
      <c r="R403" s="35" t="str">
        <f t="shared" si="42"/>
        <v>Rs./hr</v>
      </c>
    </row>
    <row r="404" spans="1:18" ht="15" customHeight="1" x14ac:dyDescent="0.3">
      <c r="A404" s="35">
        <v>392</v>
      </c>
      <c r="B404" s="35" t="s">
        <v>1073</v>
      </c>
      <c r="C404" s="35" t="s">
        <v>195</v>
      </c>
      <c r="D404" s="36" t="s">
        <v>1061</v>
      </c>
      <c r="E404" s="36" t="s">
        <v>1599</v>
      </c>
      <c r="F404" s="35" t="s">
        <v>195</v>
      </c>
      <c r="G404" s="35" t="s">
        <v>1357</v>
      </c>
      <c r="H404" s="35" t="s">
        <v>1358</v>
      </c>
      <c r="I404" s="36" t="s">
        <v>1359</v>
      </c>
      <c r="J404" s="35" t="s">
        <v>1360</v>
      </c>
      <c r="K404" s="37">
        <v>4.3</v>
      </c>
      <c r="L404" s="37">
        <v>6</v>
      </c>
      <c r="M404" s="37">
        <v>8.1</v>
      </c>
      <c r="N404" s="38">
        <f>1</f>
        <v>1</v>
      </c>
      <c r="O404" s="39">
        <f t="shared" si="39"/>
        <v>2055.4</v>
      </c>
      <c r="P404" s="39">
        <f t="shared" si="40"/>
        <v>2868</v>
      </c>
      <c r="Q404" s="39">
        <f t="shared" si="41"/>
        <v>3871.7999999999997</v>
      </c>
      <c r="R404" s="35" t="str">
        <f t="shared" si="42"/>
        <v>Rs./hr</v>
      </c>
    </row>
    <row r="405" spans="1:18" ht="15" customHeight="1" x14ac:dyDescent="0.3">
      <c r="A405" s="35">
        <v>393</v>
      </c>
      <c r="B405" s="35" t="s">
        <v>1074</v>
      </c>
      <c r="C405" s="35" t="s">
        <v>195</v>
      </c>
      <c r="D405" s="36" t="s">
        <v>1061</v>
      </c>
      <c r="E405" s="36" t="s">
        <v>1599</v>
      </c>
      <c r="F405" s="35" t="s">
        <v>195</v>
      </c>
      <c r="G405" s="35" t="s">
        <v>1357</v>
      </c>
      <c r="H405" s="35" t="s">
        <v>1358</v>
      </c>
      <c r="I405" s="36" t="s">
        <v>1359</v>
      </c>
      <c r="J405" s="35" t="s">
        <v>1360</v>
      </c>
      <c r="K405" s="37">
        <v>4.3</v>
      </c>
      <c r="L405" s="37">
        <v>6</v>
      </c>
      <c r="M405" s="37">
        <v>8.1</v>
      </c>
      <c r="N405" s="38">
        <f>1</f>
        <v>1</v>
      </c>
      <c r="O405" s="39">
        <f t="shared" si="39"/>
        <v>2055.4</v>
      </c>
      <c r="P405" s="39">
        <f t="shared" si="40"/>
        <v>2868</v>
      </c>
      <c r="Q405" s="39">
        <f t="shared" si="41"/>
        <v>3871.7999999999997</v>
      </c>
      <c r="R405" s="35" t="str">
        <f t="shared" si="42"/>
        <v>Rs./hr</v>
      </c>
    </row>
    <row r="406" spans="1:18" ht="15" customHeight="1" x14ac:dyDescent="0.3">
      <c r="A406" s="35">
        <v>394</v>
      </c>
      <c r="B406" s="35" t="s">
        <v>195</v>
      </c>
      <c r="C406" s="35" t="s">
        <v>1602</v>
      </c>
      <c r="D406" s="36" t="s">
        <v>809</v>
      </c>
      <c r="E406" s="36" t="s">
        <v>1603</v>
      </c>
      <c r="F406" s="35">
        <v>2006</v>
      </c>
      <c r="G406" s="35" t="s">
        <v>1499</v>
      </c>
      <c r="H406" s="35" t="s">
        <v>1499</v>
      </c>
      <c r="I406" s="36" t="s">
        <v>1500</v>
      </c>
      <c r="J406" s="35" t="s">
        <v>195</v>
      </c>
      <c r="K406" s="35">
        <v>0</v>
      </c>
      <c r="L406" s="35">
        <v>0</v>
      </c>
      <c r="M406" s="35">
        <v>0</v>
      </c>
      <c r="N406" s="38">
        <f t="shared" ref="N406:N448" si="43">1+MIN(MAX($D$8-F406,0),$D$10)*$D$9</f>
        <v>1.1400000000000001</v>
      </c>
      <c r="O406" s="39">
        <f t="shared" si="39"/>
        <v>0</v>
      </c>
      <c r="P406" s="39">
        <f t="shared" si="40"/>
        <v>0</v>
      </c>
      <c r="Q406" s="39">
        <f t="shared" si="41"/>
        <v>0</v>
      </c>
      <c r="R406" s="35" t="str">
        <f t="shared" si="42"/>
        <v>—</v>
      </c>
    </row>
    <row r="407" spans="1:18" ht="15" customHeight="1" x14ac:dyDescent="0.3">
      <c r="A407" s="35">
        <v>395</v>
      </c>
      <c r="B407" s="35" t="s">
        <v>195</v>
      </c>
      <c r="C407" s="35" t="s">
        <v>1602</v>
      </c>
      <c r="D407" s="36" t="s">
        <v>809</v>
      </c>
      <c r="E407" s="36" t="s">
        <v>1603</v>
      </c>
      <c r="F407" s="35">
        <v>2006</v>
      </c>
      <c r="G407" s="35" t="s">
        <v>1499</v>
      </c>
      <c r="H407" s="35" t="s">
        <v>1499</v>
      </c>
      <c r="I407" s="36" t="s">
        <v>1500</v>
      </c>
      <c r="J407" s="35" t="s">
        <v>195</v>
      </c>
      <c r="K407" s="35">
        <v>0</v>
      </c>
      <c r="L407" s="35">
        <v>0</v>
      </c>
      <c r="M407" s="35">
        <v>0</v>
      </c>
      <c r="N407" s="38">
        <f t="shared" si="43"/>
        <v>1.1400000000000001</v>
      </c>
      <c r="O407" s="39">
        <f t="shared" si="39"/>
        <v>0</v>
      </c>
      <c r="P407" s="39">
        <f t="shared" si="40"/>
        <v>0</v>
      </c>
      <c r="Q407" s="39">
        <f t="shared" si="41"/>
        <v>0</v>
      </c>
      <c r="R407" s="35" t="str">
        <f t="shared" si="42"/>
        <v>—</v>
      </c>
    </row>
    <row r="408" spans="1:18" ht="15" customHeight="1" x14ac:dyDescent="0.3">
      <c r="A408" s="35">
        <v>396</v>
      </c>
      <c r="B408" s="35" t="s">
        <v>195</v>
      </c>
      <c r="C408" s="35" t="s">
        <v>1604</v>
      </c>
      <c r="D408" s="36" t="s">
        <v>809</v>
      </c>
      <c r="E408" s="36" t="s">
        <v>1605</v>
      </c>
      <c r="F408" s="35">
        <v>2017</v>
      </c>
      <c r="G408" s="35" t="s">
        <v>1499</v>
      </c>
      <c r="H408" s="35" t="s">
        <v>1499</v>
      </c>
      <c r="I408" s="36" t="s">
        <v>1500</v>
      </c>
      <c r="J408" s="35" t="s">
        <v>195</v>
      </c>
      <c r="K408" s="35">
        <v>0</v>
      </c>
      <c r="L408" s="35">
        <v>0</v>
      </c>
      <c r="M408" s="35">
        <v>0</v>
      </c>
      <c r="N408" s="38">
        <f t="shared" si="43"/>
        <v>1.0629999999999999</v>
      </c>
      <c r="O408" s="39">
        <f t="shared" si="39"/>
        <v>0</v>
      </c>
      <c r="P408" s="39">
        <f t="shared" si="40"/>
        <v>0</v>
      </c>
      <c r="Q408" s="39">
        <f t="shared" si="41"/>
        <v>0</v>
      </c>
      <c r="R408" s="35" t="str">
        <f t="shared" si="42"/>
        <v>—</v>
      </c>
    </row>
    <row r="409" spans="1:18" ht="15" customHeight="1" x14ac:dyDescent="0.3">
      <c r="A409" s="35">
        <v>397</v>
      </c>
      <c r="B409" s="35" t="s">
        <v>195</v>
      </c>
      <c r="C409" s="35" t="s">
        <v>938</v>
      </c>
      <c r="D409" s="36" t="s">
        <v>809</v>
      </c>
      <c r="E409" s="36" t="s">
        <v>1603</v>
      </c>
      <c r="F409" s="35">
        <v>2017</v>
      </c>
      <c r="G409" s="35" t="s">
        <v>1499</v>
      </c>
      <c r="H409" s="35" t="s">
        <v>1499</v>
      </c>
      <c r="I409" s="36" t="s">
        <v>1500</v>
      </c>
      <c r="J409" s="35" t="s">
        <v>195</v>
      </c>
      <c r="K409" s="35">
        <v>0</v>
      </c>
      <c r="L409" s="35">
        <v>0</v>
      </c>
      <c r="M409" s="35">
        <v>0</v>
      </c>
      <c r="N409" s="38">
        <f t="shared" si="43"/>
        <v>1.0629999999999999</v>
      </c>
      <c r="O409" s="39">
        <f t="shared" si="39"/>
        <v>0</v>
      </c>
      <c r="P409" s="39">
        <f t="shared" si="40"/>
        <v>0</v>
      </c>
      <c r="Q409" s="39">
        <f t="shared" si="41"/>
        <v>0</v>
      </c>
      <c r="R409" s="35" t="str">
        <f t="shared" si="42"/>
        <v>—</v>
      </c>
    </row>
    <row r="410" spans="1:18" ht="15" customHeight="1" x14ac:dyDescent="0.3">
      <c r="A410" s="35">
        <v>398</v>
      </c>
      <c r="B410" s="35" t="s">
        <v>195</v>
      </c>
      <c r="C410" s="35" t="s">
        <v>938</v>
      </c>
      <c r="D410" s="36" t="s">
        <v>809</v>
      </c>
      <c r="E410" s="36" t="s">
        <v>1606</v>
      </c>
      <c r="F410" s="35">
        <v>2017</v>
      </c>
      <c r="G410" s="35" t="s">
        <v>1499</v>
      </c>
      <c r="H410" s="35" t="s">
        <v>1499</v>
      </c>
      <c r="I410" s="36" t="s">
        <v>1500</v>
      </c>
      <c r="J410" s="35" t="s">
        <v>195</v>
      </c>
      <c r="K410" s="35">
        <v>0</v>
      </c>
      <c r="L410" s="35">
        <v>0</v>
      </c>
      <c r="M410" s="35">
        <v>0</v>
      </c>
      <c r="N410" s="38">
        <f t="shared" si="43"/>
        <v>1.0629999999999999</v>
      </c>
      <c r="O410" s="39">
        <f t="shared" si="39"/>
        <v>0</v>
      </c>
      <c r="P410" s="39">
        <f t="shared" si="40"/>
        <v>0</v>
      </c>
      <c r="Q410" s="39">
        <f t="shared" si="41"/>
        <v>0</v>
      </c>
      <c r="R410" s="35" t="str">
        <f t="shared" si="42"/>
        <v>—</v>
      </c>
    </row>
    <row r="411" spans="1:18" ht="15" customHeight="1" x14ac:dyDescent="0.3">
      <c r="A411" s="35">
        <v>399</v>
      </c>
      <c r="B411" s="35" t="s">
        <v>195</v>
      </c>
      <c r="C411" s="35" t="s">
        <v>938</v>
      </c>
      <c r="D411" s="36" t="s">
        <v>809</v>
      </c>
      <c r="E411" s="36" t="s">
        <v>1606</v>
      </c>
      <c r="F411" s="35">
        <v>2017</v>
      </c>
      <c r="G411" s="35" t="s">
        <v>1499</v>
      </c>
      <c r="H411" s="35" t="s">
        <v>1499</v>
      </c>
      <c r="I411" s="36" t="s">
        <v>1500</v>
      </c>
      <c r="J411" s="35" t="s">
        <v>195</v>
      </c>
      <c r="K411" s="35">
        <v>0</v>
      </c>
      <c r="L411" s="35">
        <v>0</v>
      </c>
      <c r="M411" s="35">
        <v>0</v>
      </c>
      <c r="N411" s="38">
        <f t="shared" si="43"/>
        <v>1.0629999999999999</v>
      </c>
      <c r="O411" s="39">
        <f t="shared" si="39"/>
        <v>0</v>
      </c>
      <c r="P411" s="39">
        <f t="shared" si="40"/>
        <v>0</v>
      </c>
      <c r="Q411" s="39">
        <f t="shared" si="41"/>
        <v>0</v>
      </c>
      <c r="R411" s="35" t="str">
        <f t="shared" si="42"/>
        <v>—</v>
      </c>
    </row>
    <row r="412" spans="1:18" ht="15" customHeight="1" x14ac:dyDescent="0.3">
      <c r="A412" s="35">
        <v>400</v>
      </c>
      <c r="B412" s="35" t="s">
        <v>151</v>
      </c>
      <c r="C412" s="35" t="s">
        <v>152</v>
      </c>
      <c r="D412" s="36" t="s">
        <v>112</v>
      </c>
      <c r="E412" s="36" t="s">
        <v>1607</v>
      </c>
      <c r="F412" s="35">
        <v>1996</v>
      </c>
      <c r="G412" s="35" t="s">
        <v>1357</v>
      </c>
      <c r="H412" s="35" t="s">
        <v>1358</v>
      </c>
      <c r="I412" s="36" t="s">
        <v>1383</v>
      </c>
      <c r="J412" s="35" t="s">
        <v>1360</v>
      </c>
      <c r="K412" s="37">
        <v>7.2</v>
      </c>
      <c r="L412" s="37">
        <v>10</v>
      </c>
      <c r="M412" s="37">
        <v>13.5</v>
      </c>
      <c r="N412" s="38">
        <f t="shared" si="43"/>
        <v>1.175</v>
      </c>
      <c r="O412" s="39">
        <f t="shared" si="39"/>
        <v>4043.8800000000006</v>
      </c>
      <c r="P412" s="39">
        <f t="shared" si="40"/>
        <v>5616.5</v>
      </c>
      <c r="Q412" s="39">
        <f t="shared" si="41"/>
        <v>7582.2750000000005</v>
      </c>
      <c r="R412" s="35" t="str">
        <f t="shared" si="42"/>
        <v>Rs./hr</v>
      </c>
    </row>
    <row r="413" spans="1:18" ht="15" customHeight="1" x14ac:dyDescent="0.3">
      <c r="A413" s="35">
        <v>401</v>
      </c>
      <c r="B413" s="35" t="s">
        <v>145</v>
      </c>
      <c r="C413" s="35" t="s">
        <v>146</v>
      </c>
      <c r="D413" s="36" t="s">
        <v>112</v>
      </c>
      <c r="E413" s="36" t="s">
        <v>1608</v>
      </c>
      <c r="F413" s="35">
        <v>1996</v>
      </c>
      <c r="G413" s="35" t="s">
        <v>1357</v>
      </c>
      <c r="H413" s="35" t="s">
        <v>1358</v>
      </c>
      <c r="I413" s="36" t="s">
        <v>1609</v>
      </c>
      <c r="J413" s="35" t="s">
        <v>1360</v>
      </c>
      <c r="K413" s="37">
        <v>5.8</v>
      </c>
      <c r="L413" s="37">
        <v>8</v>
      </c>
      <c r="M413" s="37">
        <v>10.8</v>
      </c>
      <c r="N413" s="38">
        <f t="shared" si="43"/>
        <v>1.175</v>
      </c>
      <c r="O413" s="39">
        <f t="shared" si="39"/>
        <v>3257.57</v>
      </c>
      <c r="P413" s="39">
        <f t="shared" si="40"/>
        <v>4493.2</v>
      </c>
      <c r="Q413" s="39">
        <f t="shared" si="41"/>
        <v>6065.8200000000006</v>
      </c>
      <c r="R413" s="35" t="str">
        <f t="shared" si="42"/>
        <v>Rs./hr</v>
      </c>
    </row>
    <row r="414" spans="1:18" ht="15" customHeight="1" x14ac:dyDescent="0.3">
      <c r="A414" s="35">
        <v>402</v>
      </c>
      <c r="B414" s="35" t="s">
        <v>141</v>
      </c>
      <c r="C414" s="35" t="s">
        <v>142</v>
      </c>
      <c r="D414" s="36" t="s">
        <v>112</v>
      </c>
      <c r="E414" s="36" t="s">
        <v>1610</v>
      </c>
      <c r="F414" s="35">
        <v>2000</v>
      </c>
      <c r="G414" s="35" t="s">
        <v>1357</v>
      </c>
      <c r="H414" s="35" t="s">
        <v>1358</v>
      </c>
      <c r="I414" s="36" t="s">
        <v>1609</v>
      </c>
      <c r="J414" s="35" t="s">
        <v>1360</v>
      </c>
      <c r="K414" s="37">
        <v>5.8</v>
      </c>
      <c r="L414" s="37">
        <v>8</v>
      </c>
      <c r="M414" s="37">
        <v>10.8</v>
      </c>
      <c r="N414" s="38">
        <f t="shared" si="43"/>
        <v>1.175</v>
      </c>
      <c r="O414" s="39">
        <f t="shared" si="39"/>
        <v>3257.57</v>
      </c>
      <c r="P414" s="39">
        <f t="shared" si="40"/>
        <v>4493.2</v>
      </c>
      <c r="Q414" s="39">
        <f t="shared" si="41"/>
        <v>6065.8200000000006</v>
      </c>
      <c r="R414" s="35" t="str">
        <f t="shared" si="42"/>
        <v>Rs./hr</v>
      </c>
    </row>
    <row r="415" spans="1:18" ht="15" customHeight="1" x14ac:dyDescent="0.3">
      <c r="A415" s="35">
        <v>403</v>
      </c>
      <c r="B415" s="35" t="s">
        <v>154</v>
      </c>
      <c r="C415" s="35" t="s">
        <v>155</v>
      </c>
      <c r="D415" s="36" t="s">
        <v>112</v>
      </c>
      <c r="E415" s="36" t="s">
        <v>1611</v>
      </c>
      <c r="F415" s="35">
        <v>1996</v>
      </c>
      <c r="G415" s="35" t="s">
        <v>1357</v>
      </c>
      <c r="H415" s="35" t="s">
        <v>1358</v>
      </c>
      <c r="I415" s="36" t="s">
        <v>1609</v>
      </c>
      <c r="J415" s="35" t="s">
        <v>1360</v>
      </c>
      <c r="K415" s="37">
        <v>5.8</v>
      </c>
      <c r="L415" s="37">
        <v>8</v>
      </c>
      <c r="M415" s="37">
        <v>10.8</v>
      </c>
      <c r="N415" s="38">
        <f t="shared" si="43"/>
        <v>1.175</v>
      </c>
      <c r="O415" s="39">
        <f t="shared" si="39"/>
        <v>3257.57</v>
      </c>
      <c r="P415" s="39">
        <f t="shared" si="40"/>
        <v>4493.2</v>
      </c>
      <c r="Q415" s="39">
        <f t="shared" si="41"/>
        <v>6065.8200000000006</v>
      </c>
      <c r="R415" s="35" t="str">
        <f t="shared" si="42"/>
        <v>Rs./hr</v>
      </c>
    </row>
    <row r="416" spans="1:18" ht="15" customHeight="1" x14ac:dyDescent="0.3">
      <c r="A416" s="35">
        <v>404</v>
      </c>
      <c r="B416" s="35" t="s">
        <v>157</v>
      </c>
      <c r="C416" s="35" t="s">
        <v>158</v>
      </c>
      <c r="D416" s="36" t="s">
        <v>112</v>
      </c>
      <c r="E416" s="36" t="s">
        <v>1612</v>
      </c>
      <c r="F416" s="35">
        <v>1991</v>
      </c>
      <c r="G416" s="35" t="s">
        <v>1357</v>
      </c>
      <c r="H416" s="35" t="s">
        <v>1358</v>
      </c>
      <c r="I416" s="36" t="s">
        <v>1609</v>
      </c>
      <c r="J416" s="35" t="s">
        <v>1360</v>
      </c>
      <c r="K416" s="37">
        <v>5.8</v>
      </c>
      <c r="L416" s="37">
        <v>8</v>
      </c>
      <c r="M416" s="37">
        <v>10.8</v>
      </c>
      <c r="N416" s="38">
        <f t="shared" si="43"/>
        <v>1.175</v>
      </c>
      <c r="O416" s="39">
        <f t="shared" si="39"/>
        <v>3257.57</v>
      </c>
      <c r="P416" s="39">
        <f t="shared" si="40"/>
        <v>4493.2</v>
      </c>
      <c r="Q416" s="39">
        <f t="shared" si="41"/>
        <v>6065.8200000000006</v>
      </c>
      <c r="R416" s="35" t="str">
        <f t="shared" si="42"/>
        <v>Rs./hr</v>
      </c>
    </row>
    <row r="417" spans="1:18" ht="15" customHeight="1" x14ac:dyDescent="0.3">
      <c r="A417" s="35">
        <v>405</v>
      </c>
      <c r="B417" s="35" t="s">
        <v>148</v>
      </c>
      <c r="C417" s="35" t="s">
        <v>149</v>
      </c>
      <c r="D417" s="36" t="s">
        <v>112</v>
      </c>
      <c r="E417" s="36" t="s">
        <v>1608</v>
      </c>
      <c r="F417" s="35">
        <v>1996</v>
      </c>
      <c r="G417" s="35" t="s">
        <v>1357</v>
      </c>
      <c r="H417" s="35" t="s">
        <v>1358</v>
      </c>
      <c r="I417" s="36" t="s">
        <v>1609</v>
      </c>
      <c r="J417" s="35" t="s">
        <v>1360</v>
      </c>
      <c r="K417" s="37">
        <v>5.8</v>
      </c>
      <c r="L417" s="37">
        <v>8</v>
      </c>
      <c r="M417" s="37">
        <v>10.8</v>
      </c>
      <c r="N417" s="38">
        <f t="shared" si="43"/>
        <v>1.175</v>
      </c>
      <c r="O417" s="39">
        <f t="shared" si="39"/>
        <v>3257.57</v>
      </c>
      <c r="P417" s="39">
        <f t="shared" si="40"/>
        <v>4493.2</v>
      </c>
      <c r="Q417" s="39">
        <f t="shared" si="41"/>
        <v>6065.8200000000006</v>
      </c>
      <c r="R417" s="35" t="str">
        <f t="shared" si="42"/>
        <v>Rs./hr</v>
      </c>
    </row>
    <row r="418" spans="1:18" ht="23.85" customHeight="1" x14ac:dyDescent="0.3">
      <c r="A418" s="35">
        <v>406</v>
      </c>
      <c r="B418" s="35" t="s">
        <v>137</v>
      </c>
      <c r="C418" s="35" t="s">
        <v>138</v>
      </c>
      <c r="D418" s="36" t="s">
        <v>112</v>
      </c>
      <c r="E418" s="36" t="s">
        <v>1613</v>
      </c>
      <c r="F418" s="35">
        <v>2003</v>
      </c>
      <c r="G418" s="35" t="s">
        <v>1357</v>
      </c>
      <c r="H418" s="35" t="s">
        <v>1358</v>
      </c>
      <c r="I418" s="36" t="s">
        <v>1609</v>
      </c>
      <c r="J418" s="35" t="s">
        <v>1360</v>
      </c>
      <c r="K418" s="37">
        <v>5.8</v>
      </c>
      <c r="L418" s="37">
        <v>8</v>
      </c>
      <c r="M418" s="37">
        <v>10.8</v>
      </c>
      <c r="N418" s="38">
        <f t="shared" si="43"/>
        <v>1.161</v>
      </c>
      <c r="O418" s="39">
        <f t="shared" si="39"/>
        <v>3218.7563999999998</v>
      </c>
      <c r="P418" s="39">
        <f t="shared" si="40"/>
        <v>4439.6639999999998</v>
      </c>
      <c r="Q418" s="39">
        <f t="shared" si="41"/>
        <v>5993.5464000000011</v>
      </c>
      <c r="R418" s="35" t="str">
        <f t="shared" si="42"/>
        <v>Rs./hr</v>
      </c>
    </row>
    <row r="419" spans="1:18" ht="23.85" customHeight="1" x14ac:dyDescent="0.3">
      <c r="A419" s="35">
        <v>407</v>
      </c>
      <c r="B419" s="35" t="s">
        <v>134</v>
      </c>
      <c r="C419" s="35" t="s">
        <v>135</v>
      </c>
      <c r="D419" s="36" t="s">
        <v>112</v>
      </c>
      <c r="E419" s="36" t="s">
        <v>1614</v>
      </c>
      <c r="F419" s="35">
        <v>2015</v>
      </c>
      <c r="G419" s="35" t="s">
        <v>1357</v>
      </c>
      <c r="H419" s="35" t="s">
        <v>1358</v>
      </c>
      <c r="I419" s="36" t="s">
        <v>1385</v>
      </c>
      <c r="J419" s="35" t="s">
        <v>1360</v>
      </c>
      <c r="K419" s="37">
        <v>7.9</v>
      </c>
      <c r="L419" s="37">
        <v>11</v>
      </c>
      <c r="M419" s="37">
        <v>14.9</v>
      </c>
      <c r="N419" s="38">
        <f t="shared" si="43"/>
        <v>1.077</v>
      </c>
      <c r="O419" s="39">
        <f t="shared" si="39"/>
        <v>4066.9674</v>
      </c>
      <c r="P419" s="39">
        <f t="shared" si="40"/>
        <v>5662.866</v>
      </c>
      <c r="Q419" s="39">
        <f t="shared" si="41"/>
        <v>7670.6094000000003</v>
      </c>
      <c r="R419" s="35" t="str">
        <f t="shared" si="42"/>
        <v>Rs./hr</v>
      </c>
    </row>
    <row r="420" spans="1:18" ht="15" customHeight="1" x14ac:dyDescent="0.3">
      <c r="A420" s="35">
        <v>408</v>
      </c>
      <c r="B420" s="35" t="s">
        <v>123</v>
      </c>
      <c r="C420" s="35" t="s">
        <v>124</v>
      </c>
      <c r="D420" s="36" t="s">
        <v>112</v>
      </c>
      <c r="E420" s="36" t="s">
        <v>1615</v>
      </c>
      <c r="F420" s="35">
        <v>2016</v>
      </c>
      <c r="G420" s="35" t="s">
        <v>1357</v>
      </c>
      <c r="H420" s="35" t="s">
        <v>1358</v>
      </c>
      <c r="I420" s="36" t="s">
        <v>1385</v>
      </c>
      <c r="J420" s="35" t="s">
        <v>1360</v>
      </c>
      <c r="K420" s="37">
        <v>7.9</v>
      </c>
      <c r="L420" s="37">
        <v>11</v>
      </c>
      <c r="M420" s="37">
        <v>14.9</v>
      </c>
      <c r="N420" s="38">
        <f t="shared" si="43"/>
        <v>1.07</v>
      </c>
      <c r="O420" s="39">
        <f t="shared" si="39"/>
        <v>4040.5340000000006</v>
      </c>
      <c r="P420" s="39">
        <f t="shared" si="40"/>
        <v>5626.06</v>
      </c>
      <c r="Q420" s="39">
        <f t="shared" si="41"/>
        <v>7620.7540000000008</v>
      </c>
      <c r="R420" s="35" t="str">
        <f t="shared" si="42"/>
        <v>Rs./hr</v>
      </c>
    </row>
    <row r="421" spans="1:18" ht="15" customHeight="1" x14ac:dyDescent="0.3">
      <c r="A421" s="35">
        <v>409</v>
      </c>
      <c r="B421" s="35" t="s">
        <v>125</v>
      </c>
      <c r="C421" s="35" t="s">
        <v>126</v>
      </c>
      <c r="D421" s="36" t="s">
        <v>112</v>
      </c>
      <c r="E421" s="36" t="s">
        <v>1615</v>
      </c>
      <c r="F421" s="35">
        <v>2016</v>
      </c>
      <c r="G421" s="35" t="s">
        <v>1357</v>
      </c>
      <c r="H421" s="35" t="s">
        <v>1358</v>
      </c>
      <c r="I421" s="36" t="s">
        <v>1385</v>
      </c>
      <c r="J421" s="35" t="s">
        <v>1360</v>
      </c>
      <c r="K421" s="37">
        <v>7.9</v>
      </c>
      <c r="L421" s="37">
        <v>11</v>
      </c>
      <c r="M421" s="37">
        <v>14.9</v>
      </c>
      <c r="N421" s="38">
        <f t="shared" si="43"/>
        <v>1.07</v>
      </c>
      <c r="O421" s="39">
        <f t="shared" si="39"/>
        <v>4040.5340000000006</v>
      </c>
      <c r="P421" s="39">
        <f t="shared" si="40"/>
        <v>5626.06</v>
      </c>
      <c r="Q421" s="39">
        <f t="shared" si="41"/>
        <v>7620.7540000000008</v>
      </c>
      <c r="R421" s="35" t="str">
        <f t="shared" si="42"/>
        <v>Rs./hr</v>
      </c>
    </row>
    <row r="422" spans="1:18" ht="15" customHeight="1" x14ac:dyDescent="0.3">
      <c r="A422" s="35">
        <v>410</v>
      </c>
      <c r="B422" s="35" t="s">
        <v>127</v>
      </c>
      <c r="C422" s="35" t="s">
        <v>128</v>
      </c>
      <c r="D422" s="36" t="s">
        <v>112</v>
      </c>
      <c r="E422" s="36" t="s">
        <v>1616</v>
      </c>
      <c r="F422" s="35">
        <v>2016</v>
      </c>
      <c r="G422" s="35" t="s">
        <v>1357</v>
      </c>
      <c r="H422" s="35" t="s">
        <v>1358</v>
      </c>
      <c r="I422" s="36" t="s">
        <v>1617</v>
      </c>
      <c r="J422" s="35" t="s">
        <v>1360</v>
      </c>
      <c r="K422" s="37">
        <v>9.4</v>
      </c>
      <c r="L422" s="37">
        <v>13</v>
      </c>
      <c r="M422" s="37">
        <v>17.600000000000001</v>
      </c>
      <c r="N422" s="38">
        <f t="shared" si="43"/>
        <v>1.07</v>
      </c>
      <c r="O422" s="39">
        <f t="shared" si="39"/>
        <v>4807.7240000000011</v>
      </c>
      <c r="P422" s="39">
        <f t="shared" si="40"/>
        <v>6648.9800000000005</v>
      </c>
      <c r="Q422" s="39">
        <f t="shared" si="41"/>
        <v>9001.6960000000017</v>
      </c>
      <c r="R422" s="35" t="str">
        <f t="shared" si="42"/>
        <v>Rs./hr</v>
      </c>
    </row>
    <row r="423" spans="1:18" ht="15" customHeight="1" x14ac:dyDescent="0.3">
      <c r="A423" s="35">
        <v>411</v>
      </c>
      <c r="B423" s="35" t="s">
        <v>129</v>
      </c>
      <c r="C423" s="35" t="s">
        <v>130</v>
      </c>
      <c r="D423" s="36" t="s">
        <v>112</v>
      </c>
      <c r="E423" s="36" t="s">
        <v>1434</v>
      </c>
      <c r="F423" s="35">
        <v>2016</v>
      </c>
      <c r="G423" s="35" t="s">
        <v>1357</v>
      </c>
      <c r="H423" s="35" t="s">
        <v>1358</v>
      </c>
      <c r="I423" s="36" t="s">
        <v>1618</v>
      </c>
      <c r="J423" s="35" t="s">
        <v>1360</v>
      </c>
      <c r="K423" s="37">
        <v>7.9</v>
      </c>
      <c r="L423" s="37">
        <v>11</v>
      </c>
      <c r="M423" s="37">
        <v>14.9</v>
      </c>
      <c r="N423" s="38">
        <f t="shared" si="43"/>
        <v>1.07</v>
      </c>
      <c r="O423" s="39">
        <f t="shared" si="39"/>
        <v>4040.5340000000006</v>
      </c>
      <c r="P423" s="39">
        <f t="shared" si="40"/>
        <v>5626.06</v>
      </c>
      <c r="Q423" s="39">
        <f t="shared" si="41"/>
        <v>7620.7540000000008</v>
      </c>
      <c r="R423" s="35" t="str">
        <f t="shared" si="42"/>
        <v>Rs./hr</v>
      </c>
    </row>
    <row r="424" spans="1:18" ht="15" customHeight="1" x14ac:dyDescent="0.3">
      <c r="A424" s="35">
        <v>412</v>
      </c>
      <c r="B424" s="35" t="s">
        <v>131</v>
      </c>
      <c r="C424" s="35" t="s">
        <v>132</v>
      </c>
      <c r="D424" s="36" t="s">
        <v>112</v>
      </c>
      <c r="E424" s="36" t="s">
        <v>1616</v>
      </c>
      <c r="F424" s="35">
        <v>2016</v>
      </c>
      <c r="G424" s="35" t="s">
        <v>1357</v>
      </c>
      <c r="H424" s="35" t="s">
        <v>1358</v>
      </c>
      <c r="I424" s="36" t="s">
        <v>1617</v>
      </c>
      <c r="J424" s="35" t="s">
        <v>1360</v>
      </c>
      <c r="K424" s="37">
        <v>9.4</v>
      </c>
      <c r="L424" s="37">
        <v>13</v>
      </c>
      <c r="M424" s="37">
        <v>17.600000000000001</v>
      </c>
      <c r="N424" s="38">
        <f t="shared" si="43"/>
        <v>1.07</v>
      </c>
      <c r="O424" s="39">
        <f t="shared" si="39"/>
        <v>4807.7240000000011</v>
      </c>
      <c r="P424" s="39">
        <f t="shared" si="40"/>
        <v>6648.9800000000005</v>
      </c>
      <c r="Q424" s="39">
        <f t="shared" si="41"/>
        <v>9001.6960000000017</v>
      </c>
      <c r="R424" s="35" t="str">
        <f t="shared" si="42"/>
        <v>Rs./hr</v>
      </c>
    </row>
    <row r="425" spans="1:18" ht="15" customHeight="1" x14ac:dyDescent="0.3">
      <c r="A425" s="35">
        <v>413</v>
      </c>
      <c r="B425" s="35" t="s">
        <v>114</v>
      </c>
      <c r="C425" s="35" t="s">
        <v>115</v>
      </c>
      <c r="D425" s="36" t="s">
        <v>112</v>
      </c>
      <c r="E425" s="36" t="s">
        <v>1434</v>
      </c>
      <c r="F425" s="35">
        <v>2017</v>
      </c>
      <c r="G425" s="35" t="s">
        <v>1357</v>
      </c>
      <c r="H425" s="35" t="s">
        <v>1358</v>
      </c>
      <c r="I425" s="36" t="s">
        <v>1618</v>
      </c>
      <c r="J425" s="35" t="s">
        <v>1360</v>
      </c>
      <c r="K425" s="37">
        <v>7.9</v>
      </c>
      <c r="L425" s="37">
        <v>11</v>
      </c>
      <c r="M425" s="37">
        <v>14.9</v>
      </c>
      <c r="N425" s="38">
        <f t="shared" si="43"/>
        <v>1.0629999999999999</v>
      </c>
      <c r="O425" s="39">
        <f t="shared" si="39"/>
        <v>4014.1006000000002</v>
      </c>
      <c r="P425" s="39">
        <f t="shared" si="40"/>
        <v>5589.2539999999999</v>
      </c>
      <c r="Q425" s="39">
        <f t="shared" si="41"/>
        <v>7570.8985999999995</v>
      </c>
      <c r="R425" s="35" t="str">
        <f t="shared" si="42"/>
        <v>Rs./hr</v>
      </c>
    </row>
    <row r="426" spans="1:18" ht="15" customHeight="1" x14ac:dyDescent="0.3">
      <c r="A426" s="35">
        <v>414</v>
      </c>
      <c r="B426" s="35" t="s">
        <v>118</v>
      </c>
      <c r="C426" s="35" t="s">
        <v>119</v>
      </c>
      <c r="D426" s="36" t="s">
        <v>112</v>
      </c>
      <c r="E426" s="36" t="s">
        <v>1616</v>
      </c>
      <c r="F426" s="35">
        <v>2017</v>
      </c>
      <c r="G426" s="35" t="s">
        <v>1357</v>
      </c>
      <c r="H426" s="35" t="s">
        <v>1358</v>
      </c>
      <c r="I426" s="36" t="s">
        <v>1617</v>
      </c>
      <c r="J426" s="35" t="s">
        <v>1360</v>
      </c>
      <c r="K426" s="37">
        <v>9.4</v>
      </c>
      <c r="L426" s="37">
        <v>13</v>
      </c>
      <c r="M426" s="37">
        <v>17.600000000000001</v>
      </c>
      <c r="N426" s="38">
        <f t="shared" si="43"/>
        <v>1.0629999999999999</v>
      </c>
      <c r="O426" s="39">
        <f t="shared" si="39"/>
        <v>4776.2716</v>
      </c>
      <c r="P426" s="39">
        <f t="shared" si="40"/>
        <v>6605.482</v>
      </c>
      <c r="Q426" s="39">
        <f t="shared" si="41"/>
        <v>8942.8063999999995</v>
      </c>
      <c r="R426" s="35" t="str">
        <f t="shared" si="42"/>
        <v>Rs./hr</v>
      </c>
    </row>
    <row r="427" spans="1:18" ht="15" customHeight="1" x14ac:dyDescent="0.3">
      <c r="A427" s="35">
        <v>415</v>
      </c>
      <c r="B427" s="35" t="s">
        <v>120</v>
      </c>
      <c r="C427" s="35" t="s">
        <v>121</v>
      </c>
      <c r="D427" s="36" t="s">
        <v>112</v>
      </c>
      <c r="E427" s="36" t="s">
        <v>1616</v>
      </c>
      <c r="F427" s="35">
        <v>2017</v>
      </c>
      <c r="G427" s="35" t="s">
        <v>1357</v>
      </c>
      <c r="H427" s="35" t="s">
        <v>1358</v>
      </c>
      <c r="I427" s="36" t="s">
        <v>1617</v>
      </c>
      <c r="J427" s="35" t="s">
        <v>1360</v>
      </c>
      <c r="K427" s="37">
        <v>9.4</v>
      </c>
      <c r="L427" s="37">
        <v>13</v>
      </c>
      <c r="M427" s="37">
        <v>17.600000000000001</v>
      </c>
      <c r="N427" s="38">
        <f t="shared" si="43"/>
        <v>1.0629999999999999</v>
      </c>
      <c r="O427" s="39">
        <f t="shared" si="39"/>
        <v>4776.2716</v>
      </c>
      <c r="P427" s="39">
        <f t="shared" si="40"/>
        <v>6605.482</v>
      </c>
      <c r="Q427" s="39">
        <f t="shared" si="41"/>
        <v>8942.8063999999995</v>
      </c>
      <c r="R427" s="35" t="str">
        <f t="shared" si="42"/>
        <v>Rs./hr</v>
      </c>
    </row>
    <row r="428" spans="1:18" ht="15" customHeight="1" x14ac:dyDescent="0.3">
      <c r="A428" s="35">
        <v>416</v>
      </c>
      <c r="B428" s="35" t="s">
        <v>548</v>
      </c>
      <c r="C428" s="35" t="s">
        <v>549</v>
      </c>
      <c r="D428" s="36" t="s">
        <v>546</v>
      </c>
      <c r="E428" s="36" t="s">
        <v>1619</v>
      </c>
      <c r="F428" s="35">
        <v>1987</v>
      </c>
      <c r="G428" s="35" t="s">
        <v>1357</v>
      </c>
      <c r="H428" s="35" t="s">
        <v>1390</v>
      </c>
      <c r="I428" s="36" t="s">
        <v>1359</v>
      </c>
      <c r="J428" s="35" t="s">
        <v>1391</v>
      </c>
      <c r="K428" s="37">
        <v>12.8</v>
      </c>
      <c r="L428" s="37">
        <v>10</v>
      </c>
      <c r="M428" s="37">
        <v>8</v>
      </c>
      <c r="N428" s="38">
        <f t="shared" si="43"/>
        <v>1.175</v>
      </c>
      <c r="O428" s="39">
        <f t="shared" si="39"/>
        <v>43.878906249999993</v>
      </c>
      <c r="P428" s="39">
        <f t="shared" si="40"/>
        <v>56.164999999999999</v>
      </c>
      <c r="Q428" s="39">
        <f t="shared" si="41"/>
        <v>70.206249999999997</v>
      </c>
      <c r="R428" s="35" t="str">
        <f t="shared" si="42"/>
        <v>Rs./km</v>
      </c>
    </row>
    <row r="429" spans="1:18" ht="15" customHeight="1" x14ac:dyDescent="0.3">
      <c r="A429" s="35">
        <v>417</v>
      </c>
      <c r="B429" s="35" t="s">
        <v>195</v>
      </c>
      <c r="C429" s="35" t="s">
        <v>1620</v>
      </c>
      <c r="D429" s="36" t="s">
        <v>546</v>
      </c>
      <c r="E429" s="36" t="s">
        <v>1621</v>
      </c>
      <c r="F429" s="35">
        <v>1989</v>
      </c>
      <c r="G429" s="35" t="s">
        <v>1357</v>
      </c>
      <c r="H429" s="35" t="s">
        <v>1390</v>
      </c>
      <c r="I429" s="36" t="s">
        <v>1359</v>
      </c>
      <c r="J429" s="35" t="s">
        <v>1391</v>
      </c>
      <c r="K429" s="37">
        <v>12.8</v>
      </c>
      <c r="L429" s="37">
        <v>10</v>
      </c>
      <c r="M429" s="37">
        <v>8</v>
      </c>
      <c r="N429" s="38">
        <f t="shared" si="43"/>
        <v>1.175</v>
      </c>
      <c r="O429" s="39">
        <f t="shared" si="39"/>
        <v>43.878906249999993</v>
      </c>
      <c r="P429" s="39">
        <f t="shared" si="40"/>
        <v>56.164999999999999</v>
      </c>
      <c r="Q429" s="39">
        <f t="shared" si="41"/>
        <v>70.206249999999997</v>
      </c>
      <c r="R429" s="35" t="str">
        <f t="shared" si="42"/>
        <v>Rs./km</v>
      </c>
    </row>
    <row r="430" spans="1:18" ht="15" customHeight="1" x14ac:dyDescent="0.3">
      <c r="A430" s="35">
        <v>418</v>
      </c>
      <c r="B430" s="35" t="s">
        <v>195</v>
      </c>
      <c r="C430" s="35" t="s">
        <v>1622</v>
      </c>
      <c r="D430" s="36" t="s">
        <v>546</v>
      </c>
      <c r="E430" s="36" t="s">
        <v>1623</v>
      </c>
      <c r="F430" s="35">
        <v>2006</v>
      </c>
      <c r="G430" s="35" t="s">
        <v>1357</v>
      </c>
      <c r="H430" s="35" t="s">
        <v>1390</v>
      </c>
      <c r="I430" s="36" t="s">
        <v>1359</v>
      </c>
      <c r="J430" s="35" t="s">
        <v>1391</v>
      </c>
      <c r="K430" s="37">
        <v>12.8</v>
      </c>
      <c r="L430" s="37">
        <v>10</v>
      </c>
      <c r="M430" s="37">
        <v>8</v>
      </c>
      <c r="N430" s="38">
        <f t="shared" si="43"/>
        <v>1.1400000000000001</v>
      </c>
      <c r="O430" s="39">
        <f t="shared" si="39"/>
        <v>42.571875000000006</v>
      </c>
      <c r="P430" s="39">
        <f t="shared" si="40"/>
        <v>54.492000000000004</v>
      </c>
      <c r="Q430" s="39">
        <f t="shared" si="41"/>
        <v>68.115000000000009</v>
      </c>
      <c r="R430" s="35" t="str">
        <f t="shared" si="42"/>
        <v>Rs./km</v>
      </c>
    </row>
    <row r="431" spans="1:18" ht="15" customHeight="1" x14ac:dyDescent="0.3">
      <c r="A431" s="35">
        <v>419</v>
      </c>
      <c r="B431" s="35" t="s">
        <v>248</v>
      </c>
      <c r="C431" s="35" t="s">
        <v>195</v>
      </c>
      <c r="D431" s="36" t="s">
        <v>205</v>
      </c>
      <c r="E431" s="36" t="s">
        <v>188</v>
      </c>
      <c r="F431" s="35">
        <v>2010</v>
      </c>
      <c r="G431" s="35" t="s">
        <v>1357</v>
      </c>
      <c r="H431" s="35" t="s">
        <v>1358</v>
      </c>
      <c r="I431" s="36" t="s">
        <v>1359</v>
      </c>
      <c r="J431" s="35" t="s">
        <v>1360</v>
      </c>
      <c r="K431" s="37">
        <v>7.2</v>
      </c>
      <c r="L431" s="37">
        <v>10</v>
      </c>
      <c r="M431" s="37">
        <v>13.5</v>
      </c>
      <c r="N431" s="38">
        <f t="shared" si="43"/>
        <v>1.1120000000000001</v>
      </c>
      <c r="O431" s="39">
        <f t="shared" si="39"/>
        <v>3827.0592000000006</v>
      </c>
      <c r="P431" s="39">
        <f t="shared" si="40"/>
        <v>5315.3600000000006</v>
      </c>
      <c r="Q431" s="39">
        <f t="shared" si="41"/>
        <v>7175.7359999999999</v>
      </c>
      <c r="R431" s="35" t="str">
        <f t="shared" si="42"/>
        <v>Rs./hr</v>
      </c>
    </row>
    <row r="432" spans="1:18" ht="15" customHeight="1" x14ac:dyDescent="0.3">
      <c r="A432" s="35">
        <v>420</v>
      </c>
      <c r="B432" s="35" t="s">
        <v>247</v>
      </c>
      <c r="C432" s="35" t="s">
        <v>195</v>
      </c>
      <c r="D432" s="36" t="s">
        <v>205</v>
      </c>
      <c r="E432" s="36" t="s">
        <v>1624</v>
      </c>
      <c r="F432" s="35">
        <v>2012</v>
      </c>
      <c r="G432" s="35" t="s">
        <v>1357</v>
      </c>
      <c r="H432" s="35" t="s">
        <v>1358</v>
      </c>
      <c r="I432" s="36" t="s">
        <v>1359</v>
      </c>
      <c r="J432" s="35" t="s">
        <v>1360</v>
      </c>
      <c r="K432" s="37">
        <v>7.2</v>
      </c>
      <c r="L432" s="37">
        <v>10</v>
      </c>
      <c r="M432" s="37">
        <v>13.5</v>
      </c>
      <c r="N432" s="38">
        <f t="shared" si="43"/>
        <v>1.0980000000000001</v>
      </c>
      <c r="O432" s="39">
        <f t="shared" si="39"/>
        <v>3778.8768000000005</v>
      </c>
      <c r="P432" s="39">
        <f t="shared" si="40"/>
        <v>5248.4400000000005</v>
      </c>
      <c r="Q432" s="39">
        <f t="shared" si="41"/>
        <v>7085.3940000000002</v>
      </c>
      <c r="R432" s="35" t="str">
        <f t="shared" si="42"/>
        <v>Rs./hr</v>
      </c>
    </row>
    <row r="433" spans="1:18" ht="15" customHeight="1" x14ac:dyDescent="0.3">
      <c r="A433" s="35">
        <v>421</v>
      </c>
      <c r="B433" s="35" t="s">
        <v>226</v>
      </c>
      <c r="C433" s="35" t="s">
        <v>195</v>
      </c>
      <c r="D433" s="36" t="s">
        <v>205</v>
      </c>
      <c r="E433" s="36" t="s">
        <v>188</v>
      </c>
      <c r="F433" s="35">
        <v>2013</v>
      </c>
      <c r="G433" s="35" t="s">
        <v>1357</v>
      </c>
      <c r="H433" s="35" t="s">
        <v>1358</v>
      </c>
      <c r="I433" s="36" t="s">
        <v>1359</v>
      </c>
      <c r="J433" s="35" t="s">
        <v>1360</v>
      </c>
      <c r="K433" s="37">
        <v>7.2</v>
      </c>
      <c r="L433" s="37">
        <v>10</v>
      </c>
      <c r="M433" s="37">
        <v>13.5</v>
      </c>
      <c r="N433" s="38">
        <f t="shared" si="43"/>
        <v>1.091</v>
      </c>
      <c r="O433" s="39">
        <f t="shared" si="39"/>
        <v>3754.7856000000002</v>
      </c>
      <c r="P433" s="39">
        <f t="shared" si="40"/>
        <v>5214.9800000000005</v>
      </c>
      <c r="Q433" s="39">
        <f t="shared" si="41"/>
        <v>7040.223</v>
      </c>
      <c r="R433" s="35" t="str">
        <f t="shared" si="42"/>
        <v>Rs./hr</v>
      </c>
    </row>
    <row r="434" spans="1:18" ht="15" customHeight="1" x14ac:dyDescent="0.3">
      <c r="A434" s="35">
        <v>422</v>
      </c>
      <c r="B434" s="35" t="s">
        <v>249</v>
      </c>
      <c r="C434" s="35" t="s">
        <v>195</v>
      </c>
      <c r="D434" s="36" t="s">
        <v>205</v>
      </c>
      <c r="E434" s="36" t="s">
        <v>188</v>
      </c>
      <c r="F434" s="35">
        <v>2010</v>
      </c>
      <c r="G434" s="35" t="s">
        <v>1357</v>
      </c>
      <c r="H434" s="35" t="s">
        <v>1358</v>
      </c>
      <c r="I434" s="36" t="s">
        <v>1359</v>
      </c>
      <c r="J434" s="35" t="s">
        <v>1360</v>
      </c>
      <c r="K434" s="37">
        <v>7.2</v>
      </c>
      <c r="L434" s="37">
        <v>10</v>
      </c>
      <c r="M434" s="37">
        <v>13.5</v>
      </c>
      <c r="N434" s="38">
        <f t="shared" si="43"/>
        <v>1.1120000000000001</v>
      </c>
      <c r="O434" s="39">
        <f t="shared" si="39"/>
        <v>3827.0592000000006</v>
      </c>
      <c r="P434" s="39">
        <f t="shared" si="40"/>
        <v>5315.3600000000006</v>
      </c>
      <c r="Q434" s="39">
        <f t="shared" si="41"/>
        <v>7175.7359999999999</v>
      </c>
      <c r="R434" s="35" t="str">
        <f t="shared" si="42"/>
        <v>Rs./hr</v>
      </c>
    </row>
    <row r="435" spans="1:18" ht="15" customHeight="1" x14ac:dyDescent="0.3">
      <c r="A435" s="35">
        <v>423</v>
      </c>
      <c r="B435" s="35" t="s">
        <v>242</v>
      </c>
      <c r="C435" s="35" t="s">
        <v>195</v>
      </c>
      <c r="D435" s="36" t="s">
        <v>205</v>
      </c>
      <c r="E435" s="36" t="s">
        <v>188</v>
      </c>
      <c r="F435" s="35">
        <v>2012</v>
      </c>
      <c r="G435" s="35" t="s">
        <v>1357</v>
      </c>
      <c r="H435" s="35" t="s">
        <v>1358</v>
      </c>
      <c r="I435" s="36" t="s">
        <v>1359</v>
      </c>
      <c r="J435" s="35" t="s">
        <v>1360</v>
      </c>
      <c r="K435" s="37">
        <v>7.2</v>
      </c>
      <c r="L435" s="37">
        <v>10</v>
      </c>
      <c r="M435" s="37">
        <v>13.5</v>
      </c>
      <c r="N435" s="38">
        <f t="shared" si="43"/>
        <v>1.0980000000000001</v>
      </c>
      <c r="O435" s="39">
        <f t="shared" si="39"/>
        <v>3778.8768000000005</v>
      </c>
      <c r="P435" s="39">
        <f t="shared" si="40"/>
        <v>5248.4400000000005</v>
      </c>
      <c r="Q435" s="39">
        <f t="shared" si="41"/>
        <v>7085.3940000000002</v>
      </c>
      <c r="R435" s="35" t="str">
        <f t="shared" si="42"/>
        <v>Rs./hr</v>
      </c>
    </row>
    <row r="436" spans="1:18" ht="15" customHeight="1" x14ac:dyDescent="0.3">
      <c r="A436" s="35">
        <v>424</v>
      </c>
      <c r="B436" s="35" t="s">
        <v>221</v>
      </c>
      <c r="C436" s="35" t="s">
        <v>195</v>
      </c>
      <c r="D436" s="36" t="s">
        <v>205</v>
      </c>
      <c r="E436" s="36" t="s">
        <v>1625</v>
      </c>
      <c r="F436" s="35">
        <v>2015</v>
      </c>
      <c r="G436" s="35" t="s">
        <v>1357</v>
      </c>
      <c r="H436" s="35" t="s">
        <v>1358</v>
      </c>
      <c r="I436" s="36" t="s">
        <v>1359</v>
      </c>
      <c r="J436" s="35" t="s">
        <v>1360</v>
      </c>
      <c r="K436" s="37">
        <v>7.2</v>
      </c>
      <c r="L436" s="37">
        <v>10</v>
      </c>
      <c r="M436" s="37">
        <v>13.5</v>
      </c>
      <c r="N436" s="38">
        <f t="shared" si="43"/>
        <v>1.077</v>
      </c>
      <c r="O436" s="39">
        <f t="shared" si="39"/>
        <v>3706.6031999999996</v>
      </c>
      <c r="P436" s="39">
        <f t="shared" si="40"/>
        <v>5148.0599999999995</v>
      </c>
      <c r="Q436" s="39">
        <f t="shared" si="41"/>
        <v>6949.8810000000003</v>
      </c>
      <c r="R436" s="35" t="str">
        <f t="shared" si="42"/>
        <v>Rs./hr</v>
      </c>
    </row>
    <row r="437" spans="1:18" ht="15" customHeight="1" x14ac:dyDescent="0.3">
      <c r="A437" s="35">
        <v>425</v>
      </c>
      <c r="B437" s="35" t="s">
        <v>235</v>
      </c>
      <c r="C437" s="35" t="s">
        <v>195</v>
      </c>
      <c r="D437" s="36" t="s">
        <v>205</v>
      </c>
      <c r="E437" s="36" t="s">
        <v>1626</v>
      </c>
      <c r="F437" s="35">
        <v>2013</v>
      </c>
      <c r="G437" s="35" t="s">
        <v>1357</v>
      </c>
      <c r="H437" s="35" t="s">
        <v>1358</v>
      </c>
      <c r="I437" s="36" t="s">
        <v>1359</v>
      </c>
      <c r="J437" s="35" t="s">
        <v>1360</v>
      </c>
      <c r="K437" s="37">
        <v>7.2</v>
      </c>
      <c r="L437" s="37">
        <v>10</v>
      </c>
      <c r="M437" s="37">
        <v>13.5</v>
      </c>
      <c r="N437" s="38">
        <f t="shared" si="43"/>
        <v>1.091</v>
      </c>
      <c r="O437" s="39">
        <f t="shared" si="39"/>
        <v>3754.7856000000002</v>
      </c>
      <c r="P437" s="39">
        <f t="shared" si="40"/>
        <v>5214.9800000000005</v>
      </c>
      <c r="Q437" s="39">
        <f t="shared" si="41"/>
        <v>7040.223</v>
      </c>
      <c r="R437" s="35" t="str">
        <f t="shared" si="42"/>
        <v>Rs./hr</v>
      </c>
    </row>
    <row r="438" spans="1:18" ht="15" customHeight="1" x14ac:dyDescent="0.3">
      <c r="A438" s="35">
        <v>426</v>
      </c>
      <c r="B438" s="35" t="s">
        <v>228</v>
      </c>
      <c r="C438" s="35" t="s">
        <v>195</v>
      </c>
      <c r="D438" s="36" t="s">
        <v>205</v>
      </c>
      <c r="E438" s="36" t="s">
        <v>1627</v>
      </c>
      <c r="F438" s="35">
        <v>2012</v>
      </c>
      <c r="G438" s="35" t="s">
        <v>1357</v>
      </c>
      <c r="H438" s="35" t="s">
        <v>1358</v>
      </c>
      <c r="I438" s="36" t="s">
        <v>1359</v>
      </c>
      <c r="J438" s="35" t="s">
        <v>1360</v>
      </c>
      <c r="K438" s="37">
        <v>7.2</v>
      </c>
      <c r="L438" s="37">
        <v>10</v>
      </c>
      <c r="M438" s="37">
        <v>13.5</v>
      </c>
      <c r="N438" s="38">
        <f t="shared" si="43"/>
        <v>1.0980000000000001</v>
      </c>
      <c r="O438" s="39">
        <f t="shared" si="39"/>
        <v>3778.8768000000005</v>
      </c>
      <c r="P438" s="39">
        <f t="shared" si="40"/>
        <v>5248.4400000000005</v>
      </c>
      <c r="Q438" s="39">
        <f t="shared" si="41"/>
        <v>7085.3940000000002</v>
      </c>
      <c r="R438" s="35" t="str">
        <f t="shared" si="42"/>
        <v>Rs./hr</v>
      </c>
    </row>
    <row r="439" spans="1:18" ht="15" customHeight="1" x14ac:dyDescent="0.3">
      <c r="A439" s="35">
        <v>427</v>
      </c>
      <c r="B439" s="35" t="s">
        <v>237</v>
      </c>
      <c r="C439" s="35" t="s">
        <v>195</v>
      </c>
      <c r="D439" s="36" t="s">
        <v>205</v>
      </c>
      <c r="E439" s="36" t="s">
        <v>1628</v>
      </c>
      <c r="F439" s="35">
        <v>2013</v>
      </c>
      <c r="G439" s="35" t="s">
        <v>1357</v>
      </c>
      <c r="H439" s="35" t="s">
        <v>1358</v>
      </c>
      <c r="I439" s="36" t="s">
        <v>1359</v>
      </c>
      <c r="J439" s="35" t="s">
        <v>1360</v>
      </c>
      <c r="K439" s="37">
        <v>7.2</v>
      </c>
      <c r="L439" s="37">
        <v>10</v>
      </c>
      <c r="M439" s="37">
        <v>13.5</v>
      </c>
      <c r="N439" s="38">
        <f t="shared" si="43"/>
        <v>1.091</v>
      </c>
      <c r="O439" s="39">
        <f t="shared" si="39"/>
        <v>3754.7856000000002</v>
      </c>
      <c r="P439" s="39">
        <f t="shared" si="40"/>
        <v>5214.9800000000005</v>
      </c>
      <c r="Q439" s="39">
        <f t="shared" si="41"/>
        <v>7040.223</v>
      </c>
      <c r="R439" s="35" t="str">
        <f t="shared" si="42"/>
        <v>Rs./hr</v>
      </c>
    </row>
    <row r="440" spans="1:18" ht="15" customHeight="1" x14ac:dyDescent="0.3">
      <c r="A440" s="35">
        <v>428</v>
      </c>
      <c r="B440" s="35" t="s">
        <v>230</v>
      </c>
      <c r="C440" s="35" t="s">
        <v>195</v>
      </c>
      <c r="D440" s="36" t="s">
        <v>205</v>
      </c>
      <c r="E440" s="36" t="s">
        <v>1629</v>
      </c>
      <c r="F440" s="35">
        <v>2013</v>
      </c>
      <c r="G440" s="35" t="s">
        <v>1357</v>
      </c>
      <c r="H440" s="35" t="s">
        <v>1358</v>
      </c>
      <c r="I440" s="36" t="s">
        <v>1359</v>
      </c>
      <c r="J440" s="35" t="s">
        <v>1360</v>
      </c>
      <c r="K440" s="37">
        <v>7.2</v>
      </c>
      <c r="L440" s="37">
        <v>10</v>
      </c>
      <c r="M440" s="37">
        <v>13.5</v>
      </c>
      <c r="N440" s="38">
        <f t="shared" si="43"/>
        <v>1.091</v>
      </c>
      <c r="O440" s="39">
        <f t="shared" si="39"/>
        <v>3754.7856000000002</v>
      </c>
      <c r="P440" s="39">
        <f t="shared" si="40"/>
        <v>5214.9800000000005</v>
      </c>
      <c r="Q440" s="39">
        <f t="shared" si="41"/>
        <v>7040.223</v>
      </c>
      <c r="R440" s="35" t="str">
        <f t="shared" si="42"/>
        <v>Rs./hr</v>
      </c>
    </row>
    <row r="441" spans="1:18" ht="15" customHeight="1" x14ac:dyDescent="0.3">
      <c r="A441" s="35">
        <v>429</v>
      </c>
      <c r="B441" s="35" t="s">
        <v>239</v>
      </c>
      <c r="C441" s="35" t="s">
        <v>195</v>
      </c>
      <c r="D441" s="36" t="s">
        <v>205</v>
      </c>
      <c r="E441" s="36" t="s">
        <v>1630</v>
      </c>
      <c r="F441" s="35">
        <v>2013</v>
      </c>
      <c r="G441" s="35" t="s">
        <v>1357</v>
      </c>
      <c r="H441" s="35" t="s">
        <v>1358</v>
      </c>
      <c r="I441" s="36" t="s">
        <v>1359</v>
      </c>
      <c r="J441" s="35" t="s">
        <v>1360</v>
      </c>
      <c r="K441" s="37">
        <v>7.2</v>
      </c>
      <c r="L441" s="37">
        <v>10</v>
      </c>
      <c r="M441" s="37">
        <v>13.5</v>
      </c>
      <c r="N441" s="38">
        <f t="shared" si="43"/>
        <v>1.091</v>
      </c>
      <c r="O441" s="39">
        <f t="shared" si="39"/>
        <v>3754.7856000000002</v>
      </c>
      <c r="P441" s="39">
        <f t="shared" si="40"/>
        <v>5214.9800000000005</v>
      </c>
      <c r="Q441" s="39">
        <f t="shared" si="41"/>
        <v>7040.223</v>
      </c>
      <c r="R441" s="35" t="str">
        <f t="shared" si="42"/>
        <v>Rs./hr</v>
      </c>
    </row>
    <row r="442" spans="1:18" ht="15" customHeight="1" x14ac:dyDescent="0.3">
      <c r="A442" s="35">
        <v>430</v>
      </c>
      <c r="B442" s="35" t="s">
        <v>231</v>
      </c>
      <c r="C442" s="35" t="s">
        <v>195</v>
      </c>
      <c r="D442" s="36" t="s">
        <v>205</v>
      </c>
      <c r="E442" s="36" t="s">
        <v>1625</v>
      </c>
      <c r="F442" s="35">
        <v>2013</v>
      </c>
      <c r="G442" s="35" t="s">
        <v>1357</v>
      </c>
      <c r="H442" s="35" t="s">
        <v>1358</v>
      </c>
      <c r="I442" s="36" t="s">
        <v>1359</v>
      </c>
      <c r="J442" s="35" t="s">
        <v>1360</v>
      </c>
      <c r="K442" s="37">
        <v>7.2</v>
      </c>
      <c r="L442" s="37">
        <v>10</v>
      </c>
      <c r="M442" s="37">
        <v>13.5</v>
      </c>
      <c r="N442" s="38">
        <f t="shared" si="43"/>
        <v>1.091</v>
      </c>
      <c r="O442" s="39">
        <f t="shared" si="39"/>
        <v>3754.7856000000002</v>
      </c>
      <c r="P442" s="39">
        <f t="shared" si="40"/>
        <v>5214.9800000000005</v>
      </c>
      <c r="Q442" s="39">
        <f t="shared" si="41"/>
        <v>7040.223</v>
      </c>
      <c r="R442" s="35" t="str">
        <f t="shared" si="42"/>
        <v>Rs./hr</v>
      </c>
    </row>
    <row r="443" spans="1:18" ht="15" customHeight="1" x14ac:dyDescent="0.3">
      <c r="A443" s="35">
        <v>431</v>
      </c>
      <c r="B443" s="35" t="s">
        <v>245</v>
      </c>
      <c r="C443" s="35" t="s">
        <v>195</v>
      </c>
      <c r="D443" s="36" t="s">
        <v>205</v>
      </c>
      <c r="E443" s="36" t="s">
        <v>1631</v>
      </c>
      <c r="F443" s="35">
        <v>2012</v>
      </c>
      <c r="G443" s="35" t="s">
        <v>1357</v>
      </c>
      <c r="H443" s="35" t="s">
        <v>1358</v>
      </c>
      <c r="I443" s="36" t="s">
        <v>1359</v>
      </c>
      <c r="J443" s="35" t="s">
        <v>1360</v>
      </c>
      <c r="K443" s="37">
        <v>7.2</v>
      </c>
      <c r="L443" s="37">
        <v>10</v>
      </c>
      <c r="M443" s="37">
        <v>13.5</v>
      </c>
      <c r="N443" s="38">
        <f t="shared" si="43"/>
        <v>1.0980000000000001</v>
      </c>
      <c r="O443" s="39">
        <f t="shared" si="39"/>
        <v>3778.8768000000005</v>
      </c>
      <c r="P443" s="39">
        <f t="shared" si="40"/>
        <v>5248.4400000000005</v>
      </c>
      <c r="Q443" s="39">
        <f t="shared" si="41"/>
        <v>7085.3940000000002</v>
      </c>
      <c r="R443" s="35" t="str">
        <f t="shared" si="42"/>
        <v>Rs./hr</v>
      </c>
    </row>
    <row r="444" spans="1:18" ht="15" customHeight="1" x14ac:dyDescent="0.3">
      <c r="A444" s="35">
        <v>432</v>
      </c>
      <c r="B444" s="35" t="s">
        <v>211</v>
      </c>
      <c r="C444" s="35" t="s">
        <v>195</v>
      </c>
      <c r="D444" s="36" t="s">
        <v>205</v>
      </c>
      <c r="E444" s="36" t="s">
        <v>1632</v>
      </c>
      <c r="F444" s="35">
        <v>2016</v>
      </c>
      <c r="G444" s="35" t="s">
        <v>1357</v>
      </c>
      <c r="H444" s="35" t="s">
        <v>1358</v>
      </c>
      <c r="I444" s="36" t="s">
        <v>1359</v>
      </c>
      <c r="J444" s="35" t="s">
        <v>1360</v>
      </c>
      <c r="K444" s="37">
        <v>7.2</v>
      </c>
      <c r="L444" s="37">
        <v>10</v>
      </c>
      <c r="M444" s="37">
        <v>13.5</v>
      </c>
      <c r="N444" s="38">
        <f t="shared" si="43"/>
        <v>1.07</v>
      </c>
      <c r="O444" s="39">
        <f t="shared" si="39"/>
        <v>3682.5120000000002</v>
      </c>
      <c r="P444" s="39">
        <f t="shared" si="40"/>
        <v>5114.6000000000004</v>
      </c>
      <c r="Q444" s="39">
        <f t="shared" si="41"/>
        <v>6904.71</v>
      </c>
      <c r="R444" s="35" t="str">
        <f t="shared" si="42"/>
        <v>Rs./hr</v>
      </c>
    </row>
    <row r="445" spans="1:18" ht="15" customHeight="1" x14ac:dyDescent="0.3">
      <c r="A445" s="35">
        <v>433</v>
      </c>
      <c r="B445" s="35" t="s">
        <v>250</v>
      </c>
      <c r="C445" s="35" t="s">
        <v>195</v>
      </c>
      <c r="D445" s="36" t="s">
        <v>205</v>
      </c>
      <c r="E445" s="36" t="s">
        <v>1534</v>
      </c>
      <c r="F445" s="35">
        <v>2012</v>
      </c>
      <c r="G445" s="35" t="s">
        <v>1357</v>
      </c>
      <c r="H445" s="35" t="s">
        <v>1358</v>
      </c>
      <c r="I445" s="36" t="s">
        <v>1359</v>
      </c>
      <c r="J445" s="35" t="s">
        <v>1360</v>
      </c>
      <c r="K445" s="37">
        <v>7.2</v>
      </c>
      <c r="L445" s="37">
        <v>10</v>
      </c>
      <c r="M445" s="37">
        <v>13.5</v>
      </c>
      <c r="N445" s="38">
        <f t="shared" si="43"/>
        <v>1.0980000000000001</v>
      </c>
      <c r="O445" s="39">
        <f t="shared" si="39"/>
        <v>3778.8768000000005</v>
      </c>
      <c r="P445" s="39">
        <f t="shared" si="40"/>
        <v>5248.4400000000005</v>
      </c>
      <c r="Q445" s="39">
        <f t="shared" si="41"/>
        <v>7085.3940000000002</v>
      </c>
      <c r="R445" s="35" t="str">
        <f t="shared" si="42"/>
        <v>Rs./hr</v>
      </c>
    </row>
    <row r="446" spans="1:18" ht="15" customHeight="1" x14ac:dyDescent="0.3">
      <c r="A446" s="35">
        <v>434</v>
      </c>
      <c r="B446" s="35" t="s">
        <v>251</v>
      </c>
      <c r="C446" s="35" t="s">
        <v>195</v>
      </c>
      <c r="D446" s="36" t="s">
        <v>205</v>
      </c>
      <c r="E446" s="36" t="s">
        <v>188</v>
      </c>
      <c r="F446" s="35">
        <v>2010</v>
      </c>
      <c r="G446" s="35" t="s">
        <v>1357</v>
      </c>
      <c r="H446" s="35" t="s">
        <v>1358</v>
      </c>
      <c r="I446" s="36" t="s">
        <v>1359</v>
      </c>
      <c r="J446" s="35" t="s">
        <v>1360</v>
      </c>
      <c r="K446" s="37">
        <v>7.2</v>
      </c>
      <c r="L446" s="37">
        <v>10</v>
      </c>
      <c r="M446" s="37">
        <v>13.5</v>
      </c>
      <c r="N446" s="38">
        <f t="shared" si="43"/>
        <v>1.1120000000000001</v>
      </c>
      <c r="O446" s="39">
        <f t="shared" si="39"/>
        <v>3827.0592000000006</v>
      </c>
      <c r="P446" s="39">
        <f t="shared" si="40"/>
        <v>5315.3600000000006</v>
      </c>
      <c r="Q446" s="39">
        <f t="shared" si="41"/>
        <v>7175.7359999999999</v>
      </c>
      <c r="R446" s="35" t="str">
        <f t="shared" si="42"/>
        <v>Rs./hr</v>
      </c>
    </row>
    <row r="447" spans="1:18" ht="15" customHeight="1" x14ac:dyDescent="0.3">
      <c r="A447" s="35">
        <v>435</v>
      </c>
      <c r="B447" s="35" t="s">
        <v>252</v>
      </c>
      <c r="C447" s="35" t="s">
        <v>195</v>
      </c>
      <c r="D447" s="36" t="s">
        <v>205</v>
      </c>
      <c r="E447" s="36" t="s">
        <v>188</v>
      </c>
      <c r="F447" s="35">
        <v>2010</v>
      </c>
      <c r="G447" s="35" t="s">
        <v>1357</v>
      </c>
      <c r="H447" s="35" t="s">
        <v>1358</v>
      </c>
      <c r="I447" s="36" t="s">
        <v>1359</v>
      </c>
      <c r="J447" s="35" t="s">
        <v>1360</v>
      </c>
      <c r="K447" s="37">
        <v>7.2</v>
      </c>
      <c r="L447" s="37">
        <v>10</v>
      </c>
      <c r="M447" s="37">
        <v>13.5</v>
      </c>
      <c r="N447" s="38">
        <f t="shared" si="43"/>
        <v>1.1120000000000001</v>
      </c>
      <c r="O447" s="39">
        <f t="shared" si="39"/>
        <v>3827.0592000000006</v>
      </c>
      <c r="P447" s="39">
        <f t="shared" si="40"/>
        <v>5315.3600000000006</v>
      </c>
      <c r="Q447" s="39">
        <f t="shared" si="41"/>
        <v>7175.7359999999999</v>
      </c>
      <c r="R447" s="35" t="str">
        <f t="shared" si="42"/>
        <v>Rs./hr</v>
      </c>
    </row>
    <row r="448" spans="1:18" ht="15" customHeight="1" x14ac:dyDescent="0.3">
      <c r="A448" s="35">
        <v>436</v>
      </c>
      <c r="B448" s="35" t="s">
        <v>213</v>
      </c>
      <c r="C448" s="35" t="s">
        <v>195</v>
      </c>
      <c r="D448" s="36" t="s">
        <v>205</v>
      </c>
      <c r="E448" s="36" t="s">
        <v>1633</v>
      </c>
      <c r="F448" s="35">
        <v>2016</v>
      </c>
      <c r="G448" s="35" t="s">
        <v>1357</v>
      </c>
      <c r="H448" s="35" t="s">
        <v>1358</v>
      </c>
      <c r="I448" s="36" t="s">
        <v>1359</v>
      </c>
      <c r="J448" s="35" t="s">
        <v>1360</v>
      </c>
      <c r="K448" s="37">
        <v>7.2</v>
      </c>
      <c r="L448" s="37">
        <v>10</v>
      </c>
      <c r="M448" s="37">
        <v>13.5</v>
      </c>
      <c r="N448" s="38">
        <f t="shared" si="43"/>
        <v>1.07</v>
      </c>
      <c r="O448" s="39">
        <f t="shared" si="39"/>
        <v>3682.5120000000002</v>
      </c>
      <c r="P448" s="39">
        <f t="shared" si="40"/>
        <v>5114.6000000000004</v>
      </c>
      <c r="Q448" s="39">
        <f t="shared" si="41"/>
        <v>6904.71</v>
      </c>
      <c r="R448" s="35" t="str">
        <f t="shared" si="42"/>
        <v>Rs./hr</v>
      </c>
    </row>
    <row r="449" spans="1:18" ht="15" customHeight="1" x14ac:dyDescent="0.3">
      <c r="A449" s="35">
        <v>437</v>
      </c>
      <c r="B449" s="35" t="s">
        <v>209</v>
      </c>
      <c r="C449" s="35" t="s">
        <v>195</v>
      </c>
      <c r="D449" s="36" t="s">
        <v>205</v>
      </c>
      <c r="E449" s="36" t="s">
        <v>188</v>
      </c>
      <c r="F449" s="35" t="s">
        <v>195</v>
      </c>
      <c r="G449" s="35" t="s">
        <v>1357</v>
      </c>
      <c r="H449" s="35" t="s">
        <v>1358</v>
      </c>
      <c r="I449" s="36" t="s">
        <v>1359</v>
      </c>
      <c r="J449" s="35" t="s">
        <v>1360</v>
      </c>
      <c r="K449" s="37">
        <v>7.2</v>
      </c>
      <c r="L449" s="37">
        <v>10</v>
      </c>
      <c r="M449" s="37">
        <v>13.5</v>
      </c>
      <c r="N449" s="38">
        <f>1</f>
        <v>1</v>
      </c>
      <c r="O449" s="39">
        <f t="shared" si="39"/>
        <v>3441.6</v>
      </c>
      <c r="P449" s="39">
        <f t="shared" si="40"/>
        <v>4780</v>
      </c>
      <c r="Q449" s="39">
        <f t="shared" si="41"/>
        <v>6453</v>
      </c>
      <c r="R449" s="35" t="str">
        <f t="shared" si="42"/>
        <v>Rs./hr</v>
      </c>
    </row>
    <row r="450" spans="1:18" ht="15" customHeight="1" x14ac:dyDescent="0.3">
      <c r="A450" s="35">
        <v>438</v>
      </c>
      <c r="B450" s="35" t="s">
        <v>241</v>
      </c>
      <c r="C450" s="35" t="s">
        <v>195</v>
      </c>
      <c r="D450" s="36" t="s">
        <v>205</v>
      </c>
      <c r="E450" s="36" t="s">
        <v>1634</v>
      </c>
      <c r="F450" s="35">
        <v>2013</v>
      </c>
      <c r="G450" s="35" t="s">
        <v>1357</v>
      </c>
      <c r="H450" s="35" t="s">
        <v>1358</v>
      </c>
      <c r="I450" s="36" t="s">
        <v>1359</v>
      </c>
      <c r="J450" s="35" t="s">
        <v>1360</v>
      </c>
      <c r="K450" s="37">
        <v>7.2</v>
      </c>
      <c r="L450" s="37">
        <v>10</v>
      </c>
      <c r="M450" s="37">
        <v>13.5</v>
      </c>
      <c r="N450" s="38">
        <f>1+MIN(MAX($D$8-F450,0),$D$10)*$D$9</f>
        <v>1.091</v>
      </c>
      <c r="O450" s="39">
        <f t="shared" si="39"/>
        <v>3754.7856000000002</v>
      </c>
      <c r="P450" s="39">
        <f t="shared" si="40"/>
        <v>5214.9800000000005</v>
      </c>
      <c r="Q450" s="39">
        <f t="shared" si="41"/>
        <v>7040.223</v>
      </c>
      <c r="R450" s="35" t="str">
        <f t="shared" si="42"/>
        <v>Rs./hr</v>
      </c>
    </row>
    <row r="451" spans="1:18" ht="15" customHeight="1" x14ac:dyDescent="0.3">
      <c r="A451" s="35">
        <v>439</v>
      </c>
      <c r="B451" s="35" t="s">
        <v>225</v>
      </c>
      <c r="C451" s="35" t="s">
        <v>195</v>
      </c>
      <c r="D451" s="36" t="s">
        <v>205</v>
      </c>
      <c r="E451" s="36" t="s">
        <v>1635</v>
      </c>
      <c r="F451" s="35">
        <v>2014</v>
      </c>
      <c r="G451" s="35" t="s">
        <v>1357</v>
      </c>
      <c r="H451" s="35" t="s">
        <v>1358</v>
      </c>
      <c r="I451" s="36" t="s">
        <v>1359</v>
      </c>
      <c r="J451" s="35" t="s">
        <v>1360</v>
      </c>
      <c r="K451" s="37">
        <v>7.2</v>
      </c>
      <c r="L451" s="37">
        <v>10</v>
      </c>
      <c r="M451" s="37">
        <v>13.5</v>
      </c>
      <c r="N451" s="38">
        <f>1+MIN(MAX($D$8-F451,0),$D$10)*$D$9</f>
        <v>1.0840000000000001</v>
      </c>
      <c r="O451" s="39">
        <f t="shared" si="39"/>
        <v>3730.6944000000003</v>
      </c>
      <c r="P451" s="39">
        <f t="shared" si="40"/>
        <v>5181.5199999999995</v>
      </c>
      <c r="Q451" s="39">
        <f t="shared" si="41"/>
        <v>6995.0520000000006</v>
      </c>
      <c r="R451" s="35" t="str">
        <f t="shared" si="42"/>
        <v>Rs./hr</v>
      </c>
    </row>
    <row r="452" spans="1:18" ht="15" customHeight="1" x14ac:dyDescent="0.3">
      <c r="A452" s="35">
        <v>440</v>
      </c>
      <c r="B452" s="35" t="s">
        <v>206</v>
      </c>
      <c r="C452" s="35" t="s">
        <v>195</v>
      </c>
      <c r="D452" s="36" t="s">
        <v>205</v>
      </c>
      <c r="E452" s="36" t="s">
        <v>188</v>
      </c>
      <c r="F452" s="35" t="s">
        <v>195</v>
      </c>
      <c r="G452" s="35" t="s">
        <v>1357</v>
      </c>
      <c r="H452" s="35" t="s">
        <v>1358</v>
      </c>
      <c r="I452" s="36" t="s">
        <v>1359</v>
      </c>
      <c r="J452" s="35" t="s">
        <v>1360</v>
      </c>
      <c r="K452" s="37">
        <v>7.2</v>
      </c>
      <c r="L452" s="37">
        <v>10</v>
      </c>
      <c r="M452" s="37">
        <v>13.5</v>
      </c>
      <c r="N452" s="38">
        <f>1</f>
        <v>1</v>
      </c>
      <c r="O452" s="39">
        <f t="shared" si="39"/>
        <v>3441.6</v>
      </c>
      <c r="P452" s="39">
        <f t="shared" si="40"/>
        <v>4780</v>
      </c>
      <c r="Q452" s="39">
        <f t="shared" si="41"/>
        <v>6453</v>
      </c>
      <c r="R452" s="35" t="str">
        <f t="shared" si="42"/>
        <v>Rs./hr</v>
      </c>
    </row>
    <row r="453" spans="1:18" ht="15" customHeight="1" x14ac:dyDescent="0.3">
      <c r="A453" s="35">
        <v>441</v>
      </c>
      <c r="B453" s="35" t="s">
        <v>208</v>
      </c>
      <c r="C453" s="35" t="s">
        <v>195</v>
      </c>
      <c r="D453" s="36" t="s">
        <v>205</v>
      </c>
      <c r="E453" s="36" t="s">
        <v>188</v>
      </c>
      <c r="F453" s="35" t="s">
        <v>195</v>
      </c>
      <c r="G453" s="35" t="s">
        <v>1357</v>
      </c>
      <c r="H453" s="35" t="s">
        <v>1358</v>
      </c>
      <c r="I453" s="36" t="s">
        <v>1359</v>
      </c>
      <c r="J453" s="35" t="s">
        <v>1360</v>
      </c>
      <c r="K453" s="37">
        <v>7.2</v>
      </c>
      <c r="L453" s="37">
        <v>10</v>
      </c>
      <c r="M453" s="37">
        <v>13.5</v>
      </c>
      <c r="N453" s="38">
        <f>1</f>
        <v>1</v>
      </c>
      <c r="O453" s="39">
        <f t="shared" si="39"/>
        <v>3441.6</v>
      </c>
      <c r="P453" s="39">
        <f t="shared" si="40"/>
        <v>4780</v>
      </c>
      <c r="Q453" s="39">
        <f t="shared" si="41"/>
        <v>6453</v>
      </c>
      <c r="R453" s="35" t="str">
        <f t="shared" si="42"/>
        <v>Rs./hr</v>
      </c>
    </row>
    <row r="454" spans="1:18" ht="15" customHeight="1" x14ac:dyDescent="0.3">
      <c r="A454" s="35">
        <v>442</v>
      </c>
      <c r="B454" s="35" t="s">
        <v>232</v>
      </c>
      <c r="C454" s="35" t="s">
        <v>195</v>
      </c>
      <c r="D454" s="36" t="s">
        <v>205</v>
      </c>
      <c r="E454" s="36" t="s">
        <v>1636</v>
      </c>
      <c r="F454" s="35">
        <v>2013</v>
      </c>
      <c r="G454" s="35" t="s">
        <v>1357</v>
      </c>
      <c r="H454" s="35" t="s">
        <v>1358</v>
      </c>
      <c r="I454" s="36" t="s">
        <v>1359</v>
      </c>
      <c r="J454" s="35" t="s">
        <v>1360</v>
      </c>
      <c r="K454" s="37">
        <v>7.2</v>
      </c>
      <c r="L454" s="37">
        <v>10</v>
      </c>
      <c r="M454" s="37">
        <v>13.5</v>
      </c>
      <c r="N454" s="38">
        <f>1+MIN(MAX($D$8-F454,0),$D$10)*$D$9</f>
        <v>1.091</v>
      </c>
      <c r="O454" s="39">
        <f t="shared" si="39"/>
        <v>3754.7856000000002</v>
      </c>
      <c r="P454" s="39">
        <f t="shared" si="40"/>
        <v>5214.9800000000005</v>
      </c>
      <c r="Q454" s="39">
        <f t="shared" si="41"/>
        <v>7040.223</v>
      </c>
      <c r="R454" s="35" t="str">
        <f t="shared" si="42"/>
        <v>Rs./hr</v>
      </c>
    </row>
    <row r="455" spans="1:18" ht="15" customHeight="1" x14ac:dyDescent="0.3">
      <c r="A455" s="35">
        <v>443</v>
      </c>
      <c r="B455" s="35" t="s">
        <v>233</v>
      </c>
      <c r="C455" s="35" t="s">
        <v>195</v>
      </c>
      <c r="D455" s="36" t="s">
        <v>205</v>
      </c>
      <c r="E455" s="36" t="s">
        <v>1625</v>
      </c>
      <c r="F455" s="35" t="s">
        <v>195</v>
      </c>
      <c r="G455" s="35" t="s">
        <v>1357</v>
      </c>
      <c r="H455" s="35" t="s">
        <v>1358</v>
      </c>
      <c r="I455" s="36" t="s">
        <v>1359</v>
      </c>
      <c r="J455" s="35" t="s">
        <v>1360</v>
      </c>
      <c r="K455" s="37">
        <v>7.2</v>
      </c>
      <c r="L455" s="37">
        <v>10</v>
      </c>
      <c r="M455" s="37">
        <v>13.5</v>
      </c>
      <c r="N455" s="38">
        <f>1</f>
        <v>1</v>
      </c>
      <c r="O455" s="39">
        <f t="shared" si="39"/>
        <v>3441.6</v>
      </c>
      <c r="P455" s="39">
        <f t="shared" si="40"/>
        <v>4780</v>
      </c>
      <c r="Q455" s="39">
        <f t="shared" si="41"/>
        <v>6453</v>
      </c>
      <c r="R455" s="35" t="str">
        <f t="shared" si="42"/>
        <v>Rs./hr</v>
      </c>
    </row>
    <row r="456" spans="1:18" ht="15" customHeight="1" x14ac:dyDescent="0.3">
      <c r="A456" s="35">
        <v>444</v>
      </c>
      <c r="B456" s="35" t="s">
        <v>243</v>
      </c>
      <c r="C456" s="35" t="s">
        <v>195</v>
      </c>
      <c r="D456" s="36" t="s">
        <v>205</v>
      </c>
      <c r="E456" s="36" t="s">
        <v>188</v>
      </c>
      <c r="F456" s="35" t="s">
        <v>195</v>
      </c>
      <c r="G456" s="35" t="s">
        <v>1357</v>
      </c>
      <c r="H456" s="35" t="s">
        <v>1358</v>
      </c>
      <c r="I456" s="36" t="s">
        <v>1359</v>
      </c>
      <c r="J456" s="35" t="s">
        <v>1360</v>
      </c>
      <c r="K456" s="37">
        <v>7.2</v>
      </c>
      <c r="L456" s="37">
        <v>10</v>
      </c>
      <c r="M456" s="37">
        <v>13.5</v>
      </c>
      <c r="N456" s="38">
        <f>1</f>
        <v>1</v>
      </c>
      <c r="O456" s="39">
        <f t="shared" si="39"/>
        <v>3441.6</v>
      </c>
      <c r="P456" s="39">
        <f t="shared" si="40"/>
        <v>4780</v>
      </c>
      <c r="Q456" s="39">
        <f t="shared" si="41"/>
        <v>6453</v>
      </c>
      <c r="R456" s="35" t="str">
        <f t="shared" si="42"/>
        <v>Rs./hr</v>
      </c>
    </row>
    <row r="457" spans="1:18" ht="15" customHeight="1" x14ac:dyDescent="0.3">
      <c r="A457" s="35">
        <v>445</v>
      </c>
      <c r="B457" s="35" t="s">
        <v>224</v>
      </c>
      <c r="C457" s="35" t="s">
        <v>195</v>
      </c>
      <c r="D457" s="36" t="s">
        <v>205</v>
      </c>
      <c r="E457" s="36" t="s">
        <v>1636</v>
      </c>
      <c r="F457" s="35">
        <v>2014</v>
      </c>
      <c r="G457" s="35" t="s">
        <v>1357</v>
      </c>
      <c r="H457" s="35" t="s">
        <v>1358</v>
      </c>
      <c r="I457" s="36" t="s">
        <v>1359</v>
      </c>
      <c r="J457" s="35" t="s">
        <v>1360</v>
      </c>
      <c r="K457" s="37">
        <v>7.2</v>
      </c>
      <c r="L457" s="37">
        <v>10</v>
      </c>
      <c r="M457" s="37">
        <v>13.5</v>
      </c>
      <c r="N457" s="38">
        <f t="shared" ref="N457:N462" si="44">1+MIN(MAX($D$8-F457,0),$D$10)*$D$9</f>
        <v>1.0840000000000001</v>
      </c>
      <c r="O457" s="39">
        <f t="shared" si="39"/>
        <v>3730.6944000000003</v>
      </c>
      <c r="P457" s="39">
        <f t="shared" si="40"/>
        <v>5181.5199999999995</v>
      </c>
      <c r="Q457" s="39">
        <f t="shared" si="41"/>
        <v>6995.0520000000006</v>
      </c>
      <c r="R457" s="35" t="str">
        <f t="shared" si="42"/>
        <v>Rs./hr</v>
      </c>
    </row>
    <row r="458" spans="1:18" ht="15" customHeight="1" x14ac:dyDescent="0.3">
      <c r="A458" s="35">
        <v>446</v>
      </c>
      <c r="B458" s="35" t="s">
        <v>222</v>
      </c>
      <c r="C458" s="35" t="s">
        <v>195</v>
      </c>
      <c r="D458" s="36" t="s">
        <v>205</v>
      </c>
      <c r="E458" s="36" t="s">
        <v>1636</v>
      </c>
      <c r="F458" s="35">
        <v>2015</v>
      </c>
      <c r="G458" s="35" t="s">
        <v>1357</v>
      </c>
      <c r="H458" s="35" t="s">
        <v>1358</v>
      </c>
      <c r="I458" s="36" t="s">
        <v>1359</v>
      </c>
      <c r="J458" s="35" t="s">
        <v>1360</v>
      </c>
      <c r="K458" s="37">
        <v>7.2</v>
      </c>
      <c r="L458" s="37">
        <v>10</v>
      </c>
      <c r="M458" s="37">
        <v>13.5</v>
      </c>
      <c r="N458" s="38">
        <f t="shared" si="44"/>
        <v>1.077</v>
      </c>
      <c r="O458" s="39">
        <f t="shared" si="39"/>
        <v>3706.6031999999996</v>
      </c>
      <c r="P458" s="39">
        <f t="shared" si="40"/>
        <v>5148.0599999999995</v>
      </c>
      <c r="Q458" s="39">
        <f t="shared" si="41"/>
        <v>6949.8810000000003</v>
      </c>
      <c r="R458" s="35" t="str">
        <f t="shared" si="42"/>
        <v>Rs./hr</v>
      </c>
    </row>
    <row r="459" spans="1:18" ht="15" customHeight="1" x14ac:dyDescent="0.3">
      <c r="A459" s="35">
        <v>447</v>
      </c>
      <c r="B459" s="35" t="s">
        <v>223</v>
      </c>
      <c r="C459" s="35" t="s">
        <v>195</v>
      </c>
      <c r="D459" s="36" t="s">
        <v>205</v>
      </c>
      <c r="E459" s="36" t="s">
        <v>1635</v>
      </c>
      <c r="F459" s="35">
        <v>2015</v>
      </c>
      <c r="G459" s="35" t="s">
        <v>1357</v>
      </c>
      <c r="H459" s="35" t="s">
        <v>1358</v>
      </c>
      <c r="I459" s="36" t="s">
        <v>1359</v>
      </c>
      <c r="J459" s="35" t="s">
        <v>1360</v>
      </c>
      <c r="K459" s="37">
        <v>7.2</v>
      </c>
      <c r="L459" s="37">
        <v>10</v>
      </c>
      <c r="M459" s="37">
        <v>13.5</v>
      </c>
      <c r="N459" s="38">
        <f t="shared" si="44"/>
        <v>1.077</v>
      </c>
      <c r="O459" s="39">
        <f t="shared" si="39"/>
        <v>3706.6031999999996</v>
      </c>
      <c r="P459" s="39">
        <f t="shared" si="40"/>
        <v>5148.0599999999995</v>
      </c>
      <c r="Q459" s="39">
        <f t="shared" si="41"/>
        <v>6949.8810000000003</v>
      </c>
      <c r="R459" s="35" t="str">
        <f t="shared" si="42"/>
        <v>Rs./hr</v>
      </c>
    </row>
    <row r="460" spans="1:18" ht="15" customHeight="1" x14ac:dyDescent="0.3">
      <c r="A460" s="35">
        <v>448</v>
      </c>
      <c r="B460" s="35" t="s">
        <v>217</v>
      </c>
      <c r="C460" s="35" t="s">
        <v>195</v>
      </c>
      <c r="D460" s="36" t="s">
        <v>205</v>
      </c>
      <c r="E460" s="36" t="s">
        <v>1635</v>
      </c>
      <c r="F460" s="35">
        <v>2016</v>
      </c>
      <c r="G460" s="35" t="s">
        <v>1357</v>
      </c>
      <c r="H460" s="35" t="s">
        <v>1358</v>
      </c>
      <c r="I460" s="36" t="s">
        <v>1359</v>
      </c>
      <c r="J460" s="35" t="s">
        <v>1360</v>
      </c>
      <c r="K460" s="37">
        <v>7.2</v>
      </c>
      <c r="L460" s="37">
        <v>10</v>
      </c>
      <c r="M460" s="37">
        <v>13.5</v>
      </c>
      <c r="N460" s="38">
        <f t="shared" si="44"/>
        <v>1.07</v>
      </c>
      <c r="O460" s="39">
        <f t="shared" si="39"/>
        <v>3682.5120000000002</v>
      </c>
      <c r="P460" s="39">
        <f t="shared" si="40"/>
        <v>5114.6000000000004</v>
      </c>
      <c r="Q460" s="39">
        <f t="shared" si="41"/>
        <v>6904.71</v>
      </c>
      <c r="R460" s="35" t="str">
        <f t="shared" si="42"/>
        <v>Rs./hr</v>
      </c>
    </row>
    <row r="461" spans="1:18" ht="15" customHeight="1" x14ac:dyDescent="0.3">
      <c r="A461" s="35">
        <v>449</v>
      </c>
      <c r="B461" s="35" t="s">
        <v>215</v>
      </c>
      <c r="C461" s="35" t="s">
        <v>195</v>
      </c>
      <c r="D461" s="36" t="s">
        <v>205</v>
      </c>
      <c r="E461" s="36" t="s">
        <v>1636</v>
      </c>
      <c r="F461" s="35">
        <v>2016</v>
      </c>
      <c r="G461" s="35" t="s">
        <v>1357</v>
      </c>
      <c r="H461" s="35" t="s">
        <v>1358</v>
      </c>
      <c r="I461" s="36" t="s">
        <v>1359</v>
      </c>
      <c r="J461" s="35" t="s">
        <v>1360</v>
      </c>
      <c r="K461" s="37">
        <v>7.2</v>
      </c>
      <c r="L461" s="37">
        <v>10</v>
      </c>
      <c r="M461" s="37">
        <v>13.5</v>
      </c>
      <c r="N461" s="38">
        <f t="shared" si="44"/>
        <v>1.07</v>
      </c>
      <c r="O461" s="39">
        <f t="shared" ref="O461:O524" si="45">IF(H461="None",0,IF(H461="KM",IF(G461="Petrol",$D$6,$D$5)*N461/K461,K461*N461*IF(G461="Petrol",$D$6,$D$5)))</f>
        <v>3682.5120000000002</v>
      </c>
      <c r="P461" s="39">
        <f t="shared" ref="P461:P524" si="46">IF(H461="None",0,IF(H461="KM",IF(G461="Petrol",$D$6,$D$5)*N461/L461,L461*N461*IF(G461="Petrol",$D$6,$D$5)))</f>
        <v>5114.6000000000004</v>
      </c>
      <c r="Q461" s="39">
        <f t="shared" ref="Q461:Q524" si="47">IF(H461="None",0,IF(H461="KM",IF(G461="Petrol",$D$6,$D$5)*N461/M461,M461*N461*IF(G461="Petrol",$D$6,$D$5)))</f>
        <v>6904.71</v>
      </c>
      <c r="R461" s="35" t="str">
        <f t="shared" ref="R461:R524" si="48">IF(H461="None","—",IF(H461="KM","Rs./km","Rs./hr"))</f>
        <v>Rs./hr</v>
      </c>
    </row>
    <row r="462" spans="1:18" ht="15" customHeight="1" x14ac:dyDescent="0.3">
      <c r="A462" s="35">
        <v>450</v>
      </c>
      <c r="B462" s="35" t="s">
        <v>219</v>
      </c>
      <c r="C462" s="35" t="s">
        <v>195</v>
      </c>
      <c r="D462" s="36" t="s">
        <v>205</v>
      </c>
      <c r="E462" s="36" t="s">
        <v>1637</v>
      </c>
      <c r="F462" s="35">
        <v>2016</v>
      </c>
      <c r="G462" s="35" t="s">
        <v>1357</v>
      </c>
      <c r="H462" s="35" t="s">
        <v>1358</v>
      </c>
      <c r="I462" s="36" t="s">
        <v>1359</v>
      </c>
      <c r="J462" s="35" t="s">
        <v>1360</v>
      </c>
      <c r="K462" s="37">
        <v>7.2</v>
      </c>
      <c r="L462" s="37">
        <v>10</v>
      </c>
      <c r="M462" s="37">
        <v>13.5</v>
      </c>
      <c r="N462" s="38">
        <f t="shared" si="44"/>
        <v>1.07</v>
      </c>
      <c r="O462" s="39">
        <f t="shared" si="45"/>
        <v>3682.5120000000002</v>
      </c>
      <c r="P462" s="39">
        <f t="shared" si="46"/>
        <v>5114.6000000000004</v>
      </c>
      <c r="Q462" s="39">
        <f t="shared" si="47"/>
        <v>6904.71</v>
      </c>
      <c r="R462" s="35" t="str">
        <f t="shared" si="48"/>
        <v>Rs./hr</v>
      </c>
    </row>
    <row r="463" spans="1:18" ht="15" customHeight="1" x14ac:dyDescent="0.3">
      <c r="A463" s="35">
        <v>451</v>
      </c>
      <c r="B463" s="35" t="s">
        <v>220</v>
      </c>
      <c r="C463" s="35" t="s">
        <v>195</v>
      </c>
      <c r="D463" s="36" t="s">
        <v>205</v>
      </c>
      <c r="E463" s="36" t="s">
        <v>1638</v>
      </c>
      <c r="F463" s="35" t="s">
        <v>195</v>
      </c>
      <c r="G463" s="35" t="s">
        <v>1357</v>
      </c>
      <c r="H463" s="35" t="s">
        <v>1358</v>
      </c>
      <c r="I463" s="36" t="s">
        <v>1359</v>
      </c>
      <c r="J463" s="35" t="s">
        <v>1360</v>
      </c>
      <c r="K463" s="37">
        <v>7.2</v>
      </c>
      <c r="L463" s="37">
        <v>10</v>
      </c>
      <c r="M463" s="37">
        <v>13.5</v>
      </c>
      <c r="N463" s="38">
        <f>1</f>
        <v>1</v>
      </c>
      <c r="O463" s="39">
        <f t="shared" si="45"/>
        <v>3441.6</v>
      </c>
      <c r="P463" s="39">
        <f t="shared" si="46"/>
        <v>4780</v>
      </c>
      <c r="Q463" s="39">
        <f t="shared" si="47"/>
        <v>6453</v>
      </c>
      <c r="R463" s="35" t="str">
        <f t="shared" si="48"/>
        <v>Rs./hr</v>
      </c>
    </row>
    <row r="464" spans="1:18" ht="15" customHeight="1" x14ac:dyDescent="0.3">
      <c r="A464" s="35">
        <v>452</v>
      </c>
      <c r="B464" s="35" t="s">
        <v>253</v>
      </c>
      <c r="C464" s="35" t="s">
        <v>195</v>
      </c>
      <c r="D464" s="36" t="s">
        <v>205</v>
      </c>
      <c r="E464" s="36" t="s">
        <v>188</v>
      </c>
      <c r="F464" s="35" t="s">
        <v>195</v>
      </c>
      <c r="G464" s="35" t="s">
        <v>1357</v>
      </c>
      <c r="H464" s="35" t="s">
        <v>1358</v>
      </c>
      <c r="I464" s="36" t="s">
        <v>1359</v>
      </c>
      <c r="J464" s="35" t="s">
        <v>1360</v>
      </c>
      <c r="K464" s="37">
        <v>7.2</v>
      </c>
      <c r="L464" s="37">
        <v>10</v>
      </c>
      <c r="M464" s="37">
        <v>13.5</v>
      </c>
      <c r="N464" s="38">
        <f>1</f>
        <v>1</v>
      </c>
      <c r="O464" s="39">
        <f t="shared" si="45"/>
        <v>3441.6</v>
      </c>
      <c r="P464" s="39">
        <f t="shared" si="46"/>
        <v>4780</v>
      </c>
      <c r="Q464" s="39">
        <f t="shared" si="47"/>
        <v>6453</v>
      </c>
      <c r="R464" s="35" t="str">
        <f t="shared" si="48"/>
        <v>Rs./hr</v>
      </c>
    </row>
    <row r="465" spans="1:18" ht="15" customHeight="1" x14ac:dyDescent="0.3">
      <c r="A465" s="35">
        <v>453</v>
      </c>
      <c r="B465" s="35" t="s">
        <v>254</v>
      </c>
      <c r="C465" s="35" t="s">
        <v>195</v>
      </c>
      <c r="D465" s="36" t="s">
        <v>205</v>
      </c>
      <c r="E465" s="36" t="s">
        <v>188</v>
      </c>
      <c r="F465" s="35" t="s">
        <v>195</v>
      </c>
      <c r="G465" s="35" t="s">
        <v>1357</v>
      </c>
      <c r="H465" s="35" t="s">
        <v>1358</v>
      </c>
      <c r="I465" s="36" t="s">
        <v>1359</v>
      </c>
      <c r="J465" s="35" t="s">
        <v>1360</v>
      </c>
      <c r="K465" s="37">
        <v>7.2</v>
      </c>
      <c r="L465" s="37">
        <v>10</v>
      </c>
      <c r="M465" s="37">
        <v>13.5</v>
      </c>
      <c r="N465" s="38">
        <f>1</f>
        <v>1</v>
      </c>
      <c r="O465" s="39">
        <f t="shared" si="45"/>
        <v>3441.6</v>
      </c>
      <c r="P465" s="39">
        <f t="shared" si="46"/>
        <v>4780</v>
      </c>
      <c r="Q465" s="39">
        <f t="shared" si="47"/>
        <v>6453</v>
      </c>
      <c r="R465" s="35" t="str">
        <f t="shared" si="48"/>
        <v>Rs./hr</v>
      </c>
    </row>
    <row r="466" spans="1:18" ht="15" customHeight="1" x14ac:dyDescent="0.3">
      <c r="A466" s="35">
        <v>454</v>
      </c>
      <c r="B466" s="35" t="s">
        <v>255</v>
      </c>
      <c r="C466" s="35" t="s">
        <v>195</v>
      </c>
      <c r="D466" s="36" t="s">
        <v>205</v>
      </c>
      <c r="E466" s="36" t="s">
        <v>188</v>
      </c>
      <c r="F466" s="35" t="s">
        <v>195</v>
      </c>
      <c r="G466" s="35" t="s">
        <v>1357</v>
      </c>
      <c r="H466" s="35" t="s">
        <v>1358</v>
      </c>
      <c r="I466" s="36" t="s">
        <v>1359</v>
      </c>
      <c r="J466" s="35" t="s">
        <v>1360</v>
      </c>
      <c r="K466" s="37">
        <v>7.2</v>
      </c>
      <c r="L466" s="37">
        <v>10</v>
      </c>
      <c r="M466" s="37">
        <v>13.5</v>
      </c>
      <c r="N466" s="38">
        <f>1</f>
        <v>1</v>
      </c>
      <c r="O466" s="39">
        <f t="shared" si="45"/>
        <v>3441.6</v>
      </c>
      <c r="P466" s="39">
        <f t="shared" si="46"/>
        <v>4780</v>
      </c>
      <c r="Q466" s="39">
        <f t="shared" si="47"/>
        <v>6453</v>
      </c>
      <c r="R466" s="35" t="str">
        <f t="shared" si="48"/>
        <v>Rs./hr</v>
      </c>
    </row>
    <row r="467" spans="1:18" ht="15" customHeight="1" x14ac:dyDescent="0.3">
      <c r="A467" s="35">
        <v>455</v>
      </c>
      <c r="B467" s="35" t="s">
        <v>291</v>
      </c>
      <c r="C467" s="35" t="s">
        <v>195</v>
      </c>
      <c r="D467" s="36" t="s">
        <v>205</v>
      </c>
      <c r="E467" s="36" t="s">
        <v>1639</v>
      </c>
      <c r="F467" s="35" t="s">
        <v>195</v>
      </c>
      <c r="G467" s="35" t="s">
        <v>1357</v>
      </c>
      <c r="H467" s="35" t="s">
        <v>1358</v>
      </c>
      <c r="I467" s="36" t="s">
        <v>1359</v>
      </c>
      <c r="J467" s="35" t="s">
        <v>1360</v>
      </c>
      <c r="K467" s="37">
        <v>7.2</v>
      </c>
      <c r="L467" s="37">
        <v>10</v>
      </c>
      <c r="M467" s="37">
        <v>13.5</v>
      </c>
      <c r="N467" s="38">
        <f>1</f>
        <v>1</v>
      </c>
      <c r="O467" s="39">
        <f t="shared" si="45"/>
        <v>3441.6</v>
      </c>
      <c r="P467" s="39">
        <f t="shared" si="46"/>
        <v>4780</v>
      </c>
      <c r="Q467" s="39">
        <f t="shared" si="47"/>
        <v>6453</v>
      </c>
      <c r="R467" s="35" t="str">
        <f t="shared" si="48"/>
        <v>Rs./hr</v>
      </c>
    </row>
    <row r="468" spans="1:18" ht="15" customHeight="1" x14ac:dyDescent="0.3">
      <c r="A468" s="35">
        <v>456</v>
      </c>
      <c r="B468" s="35" t="s">
        <v>256</v>
      </c>
      <c r="C468" s="35" t="s">
        <v>195</v>
      </c>
      <c r="D468" s="36" t="s">
        <v>205</v>
      </c>
      <c r="E468" s="36" t="s">
        <v>188</v>
      </c>
      <c r="F468" s="35" t="s">
        <v>195</v>
      </c>
      <c r="G468" s="35" t="s">
        <v>1357</v>
      </c>
      <c r="H468" s="35" t="s">
        <v>1358</v>
      </c>
      <c r="I468" s="36" t="s">
        <v>1359</v>
      </c>
      <c r="J468" s="35" t="s">
        <v>1360</v>
      </c>
      <c r="K468" s="37">
        <v>7.2</v>
      </c>
      <c r="L468" s="37">
        <v>10</v>
      </c>
      <c r="M468" s="37">
        <v>13.5</v>
      </c>
      <c r="N468" s="38">
        <f>1</f>
        <v>1</v>
      </c>
      <c r="O468" s="39">
        <f t="shared" si="45"/>
        <v>3441.6</v>
      </c>
      <c r="P468" s="39">
        <f t="shared" si="46"/>
        <v>4780</v>
      </c>
      <c r="Q468" s="39">
        <f t="shared" si="47"/>
        <v>6453</v>
      </c>
      <c r="R468" s="35" t="str">
        <f t="shared" si="48"/>
        <v>Rs./hr</v>
      </c>
    </row>
    <row r="469" spans="1:18" ht="15" customHeight="1" x14ac:dyDescent="0.3">
      <c r="A469" s="35">
        <v>457</v>
      </c>
      <c r="B469" s="35" t="s">
        <v>257</v>
      </c>
      <c r="C469" s="35" t="s">
        <v>195</v>
      </c>
      <c r="D469" s="36" t="s">
        <v>205</v>
      </c>
      <c r="E469" s="36" t="s">
        <v>188</v>
      </c>
      <c r="F469" s="35" t="s">
        <v>195</v>
      </c>
      <c r="G469" s="35" t="s">
        <v>1357</v>
      </c>
      <c r="H469" s="35" t="s">
        <v>1358</v>
      </c>
      <c r="I469" s="36" t="s">
        <v>1359</v>
      </c>
      <c r="J469" s="35" t="s">
        <v>1360</v>
      </c>
      <c r="K469" s="37">
        <v>7.2</v>
      </c>
      <c r="L469" s="37">
        <v>10</v>
      </c>
      <c r="M469" s="37">
        <v>13.5</v>
      </c>
      <c r="N469" s="38">
        <f>1</f>
        <v>1</v>
      </c>
      <c r="O469" s="39">
        <f t="shared" si="45"/>
        <v>3441.6</v>
      </c>
      <c r="P469" s="39">
        <f t="shared" si="46"/>
        <v>4780</v>
      </c>
      <c r="Q469" s="39">
        <f t="shared" si="47"/>
        <v>6453</v>
      </c>
      <c r="R469" s="35" t="str">
        <f t="shared" si="48"/>
        <v>Rs./hr</v>
      </c>
    </row>
    <row r="470" spans="1:18" ht="15" customHeight="1" x14ac:dyDescent="0.3">
      <c r="A470" s="35">
        <v>458</v>
      </c>
      <c r="B470" s="35" t="s">
        <v>258</v>
      </c>
      <c r="C470" s="35" t="s">
        <v>195</v>
      </c>
      <c r="D470" s="36" t="s">
        <v>205</v>
      </c>
      <c r="E470" s="36" t="s">
        <v>188</v>
      </c>
      <c r="F470" s="35" t="s">
        <v>195</v>
      </c>
      <c r="G470" s="35" t="s">
        <v>1357</v>
      </c>
      <c r="H470" s="35" t="s">
        <v>1358</v>
      </c>
      <c r="I470" s="36" t="s">
        <v>1359</v>
      </c>
      <c r="J470" s="35" t="s">
        <v>1360</v>
      </c>
      <c r="K470" s="37">
        <v>7.2</v>
      </c>
      <c r="L470" s="37">
        <v>10</v>
      </c>
      <c r="M470" s="37">
        <v>13.5</v>
      </c>
      <c r="N470" s="38">
        <f>1</f>
        <v>1</v>
      </c>
      <c r="O470" s="39">
        <f t="shared" si="45"/>
        <v>3441.6</v>
      </c>
      <c r="P470" s="39">
        <f t="shared" si="46"/>
        <v>4780</v>
      </c>
      <c r="Q470" s="39">
        <f t="shared" si="47"/>
        <v>6453</v>
      </c>
      <c r="R470" s="35" t="str">
        <f t="shared" si="48"/>
        <v>Rs./hr</v>
      </c>
    </row>
    <row r="471" spans="1:18" ht="15" customHeight="1" x14ac:dyDescent="0.3">
      <c r="A471" s="35">
        <v>459</v>
      </c>
      <c r="B471" s="35" t="s">
        <v>259</v>
      </c>
      <c r="C471" s="35" t="s">
        <v>195</v>
      </c>
      <c r="D471" s="36" t="s">
        <v>205</v>
      </c>
      <c r="E471" s="36" t="s">
        <v>188</v>
      </c>
      <c r="F471" s="35" t="s">
        <v>195</v>
      </c>
      <c r="G471" s="35" t="s">
        <v>1357</v>
      </c>
      <c r="H471" s="35" t="s">
        <v>1358</v>
      </c>
      <c r="I471" s="36" t="s">
        <v>1359</v>
      </c>
      <c r="J471" s="35" t="s">
        <v>1360</v>
      </c>
      <c r="K471" s="37">
        <v>7.2</v>
      </c>
      <c r="L471" s="37">
        <v>10</v>
      </c>
      <c r="M471" s="37">
        <v>13.5</v>
      </c>
      <c r="N471" s="38">
        <f>1</f>
        <v>1</v>
      </c>
      <c r="O471" s="39">
        <f t="shared" si="45"/>
        <v>3441.6</v>
      </c>
      <c r="P471" s="39">
        <f t="shared" si="46"/>
        <v>4780</v>
      </c>
      <c r="Q471" s="39">
        <f t="shared" si="47"/>
        <v>6453</v>
      </c>
      <c r="R471" s="35" t="str">
        <f t="shared" si="48"/>
        <v>Rs./hr</v>
      </c>
    </row>
    <row r="472" spans="1:18" ht="15" customHeight="1" x14ac:dyDescent="0.3">
      <c r="A472" s="35">
        <v>460</v>
      </c>
      <c r="B472" s="35" t="s">
        <v>260</v>
      </c>
      <c r="C472" s="35" t="s">
        <v>195</v>
      </c>
      <c r="D472" s="36" t="s">
        <v>205</v>
      </c>
      <c r="E472" s="36" t="s">
        <v>188</v>
      </c>
      <c r="F472" s="35" t="s">
        <v>195</v>
      </c>
      <c r="G472" s="35" t="s">
        <v>1357</v>
      </c>
      <c r="H472" s="35" t="s">
        <v>1358</v>
      </c>
      <c r="I472" s="36" t="s">
        <v>1359</v>
      </c>
      <c r="J472" s="35" t="s">
        <v>1360</v>
      </c>
      <c r="K472" s="37">
        <v>7.2</v>
      </c>
      <c r="L472" s="37">
        <v>10</v>
      </c>
      <c r="M472" s="37">
        <v>13.5</v>
      </c>
      <c r="N472" s="38">
        <f>1</f>
        <v>1</v>
      </c>
      <c r="O472" s="39">
        <f t="shared" si="45"/>
        <v>3441.6</v>
      </c>
      <c r="P472" s="39">
        <f t="shared" si="46"/>
        <v>4780</v>
      </c>
      <c r="Q472" s="39">
        <f t="shared" si="47"/>
        <v>6453</v>
      </c>
      <c r="R472" s="35" t="str">
        <f t="shared" si="48"/>
        <v>Rs./hr</v>
      </c>
    </row>
    <row r="473" spans="1:18" ht="15" customHeight="1" x14ac:dyDescent="0.3">
      <c r="A473" s="35">
        <v>461</v>
      </c>
      <c r="B473" s="35" t="s">
        <v>293</v>
      </c>
      <c r="C473" s="35" t="s">
        <v>195</v>
      </c>
      <c r="D473" s="36" t="s">
        <v>205</v>
      </c>
      <c r="E473" s="36" t="s">
        <v>1639</v>
      </c>
      <c r="F473" s="35" t="s">
        <v>195</v>
      </c>
      <c r="G473" s="35" t="s">
        <v>1357</v>
      </c>
      <c r="H473" s="35" t="s">
        <v>1358</v>
      </c>
      <c r="I473" s="36" t="s">
        <v>1359</v>
      </c>
      <c r="J473" s="35" t="s">
        <v>1360</v>
      </c>
      <c r="K473" s="37">
        <v>7.2</v>
      </c>
      <c r="L473" s="37">
        <v>10</v>
      </c>
      <c r="M473" s="37">
        <v>13.5</v>
      </c>
      <c r="N473" s="38">
        <f>1</f>
        <v>1</v>
      </c>
      <c r="O473" s="39">
        <f t="shared" si="45"/>
        <v>3441.6</v>
      </c>
      <c r="P473" s="39">
        <f t="shared" si="46"/>
        <v>4780</v>
      </c>
      <c r="Q473" s="39">
        <f t="shared" si="47"/>
        <v>6453</v>
      </c>
      <c r="R473" s="35" t="str">
        <f t="shared" si="48"/>
        <v>Rs./hr</v>
      </c>
    </row>
    <row r="474" spans="1:18" ht="15" customHeight="1" x14ac:dyDescent="0.3">
      <c r="A474" s="35">
        <v>462</v>
      </c>
      <c r="B474" s="35" t="s">
        <v>290</v>
      </c>
      <c r="C474" s="35" t="s">
        <v>195</v>
      </c>
      <c r="D474" s="36" t="s">
        <v>205</v>
      </c>
      <c r="E474" s="36" t="s">
        <v>1640</v>
      </c>
      <c r="F474" s="35" t="s">
        <v>195</v>
      </c>
      <c r="G474" s="35" t="s">
        <v>1357</v>
      </c>
      <c r="H474" s="35" t="s">
        <v>1358</v>
      </c>
      <c r="I474" s="36" t="s">
        <v>1359</v>
      </c>
      <c r="J474" s="35" t="s">
        <v>1360</v>
      </c>
      <c r="K474" s="37">
        <v>7.2</v>
      </c>
      <c r="L474" s="37">
        <v>10</v>
      </c>
      <c r="M474" s="37">
        <v>13.5</v>
      </c>
      <c r="N474" s="38">
        <f>1</f>
        <v>1</v>
      </c>
      <c r="O474" s="39">
        <f t="shared" si="45"/>
        <v>3441.6</v>
      </c>
      <c r="P474" s="39">
        <f t="shared" si="46"/>
        <v>4780</v>
      </c>
      <c r="Q474" s="39">
        <f t="shared" si="47"/>
        <v>6453</v>
      </c>
      <c r="R474" s="35" t="str">
        <f t="shared" si="48"/>
        <v>Rs./hr</v>
      </c>
    </row>
    <row r="475" spans="1:18" ht="15" customHeight="1" x14ac:dyDescent="0.3">
      <c r="A475" s="35">
        <v>463</v>
      </c>
      <c r="B475" s="35" t="s">
        <v>295</v>
      </c>
      <c r="C475" s="35" t="s">
        <v>195</v>
      </c>
      <c r="D475" s="36" t="s">
        <v>205</v>
      </c>
      <c r="E475" s="36" t="s">
        <v>1641</v>
      </c>
      <c r="F475" s="35" t="s">
        <v>195</v>
      </c>
      <c r="G475" s="35" t="s">
        <v>1357</v>
      </c>
      <c r="H475" s="35" t="s">
        <v>1358</v>
      </c>
      <c r="I475" s="36" t="s">
        <v>1359</v>
      </c>
      <c r="J475" s="35" t="s">
        <v>1360</v>
      </c>
      <c r="K475" s="37">
        <v>7.2</v>
      </c>
      <c r="L475" s="37">
        <v>10</v>
      </c>
      <c r="M475" s="37">
        <v>13.5</v>
      </c>
      <c r="N475" s="38">
        <f>1</f>
        <v>1</v>
      </c>
      <c r="O475" s="39">
        <f t="shared" si="45"/>
        <v>3441.6</v>
      </c>
      <c r="P475" s="39">
        <f t="shared" si="46"/>
        <v>4780</v>
      </c>
      <c r="Q475" s="39">
        <f t="shared" si="47"/>
        <v>6453</v>
      </c>
      <c r="R475" s="35" t="str">
        <f t="shared" si="48"/>
        <v>Rs./hr</v>
      </c>
    </row>
    <row r="476" spans="1:18" ht="15" customHeight="1" x14ac:dyDescent="0.3">
      <c r="A476" s="35">
        <v>464</v>
      </c>
      <c r="B476" s="35" t="s">
        <v>261</v>
      </c>
      <c r="C476" s="35" t="s">
        <v>195</v>
      </c>
      <c r="D476" s="36" t="s">
        <v>205</v>
      </c>
      <c r="E476" s="36" t="s">
        <v>188</v>
      </c>
      <c r="F476" s="35" t="s">
        <v>195</v>
      </c>
      <c r="G476" s="35" t="s">
        <v>1357</v>
      </c>
      <c r="H476" s="35" t="s">
        <v>1358</v>
      </c>
      <c r="I476" s="36" t="s">
        <v>1359</v>
      </c>
      <c r="J476" s="35" t="s">
        <v>1360</v>
      </c>
      <c r="K476" s="37">
        <v>7.2</v>
      </c>
      <c r="L476" s="37">
        <v>10</v>
      </c>
      <c r="M476" s="37">
        <v>13.5</v>
      </c>
      <c r="N476" s="38">
        <f>1</f>
        <v>1</v>
      </c>
      <c r="O476" s="39">
        <f t="shared" si="45"/>
        <v>3441.6</v>
      </c>
      <c r="P476" s="39">
        <f t="shared" si="46"/>
        <v>4780</v>
      </c>
      <c r="Q476" s="39">
        <f t="shared" si="47"/>
        <v>6453</v>
      </c>
      <c r="R476" s="35" t="str">
        <f t="shared" si="48"/>
        <v>Rs./hr</v>
      </c>
    </row>
    <row r="477" spans="1:18" ht="15" customHeight="1" x14ac:dyDescent="0.3">
      <c r="A477" s="35">
        <v>465</v>
      </c>
      <c r="B477" s="35" t="s">
        <v>262</v>
      </c>
      <c r="C477" s="35" t="s">
        <v>195</v>
      </c>
      <c r="D477" s="36" t="s">
        <v>205</v>
      </c>
      <c r="E477" s="36" t="s">
        <v>188</v>
      </c>
      <c r="F477" s="35" t="s">
        <v>195</v>
      </c>
      <c r="G477" s="35" t="s">
        <v>1357</v>
      </c>
      <c r="H477" s="35" t="s">
        <v>1358</v>
      </c>
      <c r="I477" s="36" t="s">
        <v>1359</v>
      </c>
      <c r="J477" s="35" t="s">
        <v>1360</v>
      </c>
      <c r="K477" s="37">
        <v>7.2</v>
      </c>
      <c r="L477" s="37">
        <v>10</v>
      </c>
      <c r="M477" s="37">
        <v>13.5</v>
      </c>
      <c r="N477" s="38">
        <f>1</f>
        <v>1</v>
      </c>
      <c r="O477" s="39">
        <f t="shared" si="45"/>
        <v>3441.6</v>
      </c>
      <c r="P477" s="39">
        <f t="shared" si="46"/>
        <v>4780</v>
      </c>
      <c r="Q477" s="39">
        <f t="shared" si="47"/>
        <v>6453</v>
      </c>
      <c r="R477" s="35" t="str">
        <f t="shared" si="48"/>
        <v>Rs./hr</v>
      </c>
    </row>
    <row r="478" spans="1:18" ht="15" customHeight="1" x14ac:dyDescent="0.3">
      <c r="A478" s="35">
        <v>466</v>
      </c>
      <c r="B478" s="35" t="s">
        <v>263</v>
      </c>
      <c r="C478" s="35" t="s">
        <v>195</v>
      </c>
      <c r="D478" s="36" t="s">
        <v>205</v>
      </c>
      <c r="E478" s="36" t="s">
        <v>188</v>
      </c>
      <c r="F478" s="35" t="s">
        <v>195</v>
      </c>
      <c r="G478" s="35" t="s">
        <v>1357</v>
      </c>
      <c r="H478" s="35" t="s">
        <v>1358</v>
      </c>
      <c r="I478" s="36" t="s">
        <v>1359</v>
      </c>
      <c r="J478" s="35" t="s">
        <v>1360</v>
      </c>
      <c r="K478" s="37">
        <v>7.2</v>
      </c>
      <c r="L478" s="37">
        <v>10</v>
      </c>
      <c r="M478" s="37">
        <v>13.5</v>
      </c>
      <c r="N478" s="38">
        <f>1</f>
        <v>1</v>
      </c>
      <c r="O478" s="39">
        <f t="shared" si="45"/>
        <v>3441.6</v>
      </c>
      <c r="P478" s="39">
        <f t="shared" si="46"/>
        <v>4780</v>
      </c>
      <c r="Q478" s="39">
        <f t="shared" si="47"/>
        <v>6453</v>
      </c>
      <c r="R478" s="35" t="str">
        <f t="shared" si="48"/>
        <v>Rs./hr</v>
      </c>
    </row>
    <row r="479" spans="1:18" ht="15" customHeight="1" x14ac:dyDescent="0.3">
      <c r="A479" s="35">
        <v>467</v>
      </c>
      <c r="B479" s="35" t="s">
        <v>264</v>
      </c>
      <c r="C479" s="35" t="s">
        <v>195</v>
      </c>
      <c r="D479" s="36" t="s">
        <v>205</v>
      </c>
      <c r="E479" s="36" t="s">
        <v>188</v>
      </c>
      <c r="F479" s="35" t="s">
        <v>195</v>
      </c>
      <c r="G479" s="35" t="s">
        <v>1357</v>
      </c>
      <c r="H479" s="35" t="s">
        <v>1358</v>
      </c>
      <c r="I479" s="36" t="s">
        <v>1359</v>
      </c>
      <c r="J479" s="35" t="s">
        <v>1360</v>
      </c>
      <c r="K479" s="37">
        <v>7.2</v>
      </c>
      <c r="L479" s="37">
        <v>10</v>
      </c>
      <c r="M479" s="37">
        <v>13.5</v>
      </c>
      <c r="N479" s="38">
        <f>1</f>
        <v>1</v>
      </c>
      <c r="O479" s="39">
        <f t="shared" si="45"/>
        <v>3441.6</v>
      </c>
      <c r="P479" s="39">
        <f t="shared" si="46"/>
        <v>4780</v>
      </c>
      <c r="Q479" s="39">
        <f t="shared" si="47"/>
        <v>6453</v>
      </c>
      <c r="R479" s="35" t="str">
        <f t="shared" si="48"/>
        <v>Rs./hr</v>
      </c>
    </row>
    <row r="480" spans="1:18" ht="15" customHeight="1" x14ac:dyDescent="0.3">
      <c r="A480" s="35">
        <v>468</v>
      </c>
      <c r="B480" s="35" t="s">
        <v>265</v>
      </c>
      <c r="C480" s="35" t="s">
        <v>195</v>
      </c>
      <c r="D480" s="36" t="s">
        <v>205</v>
      </c>
      <c r="E480" s="36" t="s">
        <v>188</v>
      </c>
      <c r="F480" s="35" t="s">
        <v>195</v>
      </c>
      <c r="G480" s="35" t="s">
        <v>1357</v>
      </c>
      <c r="H480" s="35" t="s">
        <v>1358</v>
      </c>
      <c r="I480" s="36" t="s">
        <v>1359</v>
      </c>
      <c r="J480" s="35" t="s">
        <v>1360</v>
      </c>
      <c r="K480" s="37">
        <v>7.2</v>
      </c>
      <c r="L480" s="37">
        <v>10</v>
      </c>
      <c r="M480" s="37">
        <v>13.5</v>
      </c>
      <c r="N480" s="38">
        <f>1</f>
        <v>1</v>
      </c>
      <c r="O480" s="39">
        <f t="shared" si="45"/>
        <v>3441.6</v>
      </c>
      <c r="P480" s="39">
        <f t="shared" si="46"/>
        <v>4780</v>
      </c>
      <c r="Q480" s="39">
        <f t="shared" si="47"/>
        <v>6453</v>
      </c>
      <c r="R480" s="35" t="str">
        <f t="shared" si="48"/>
        <v>Rs./hr</v>
      </c>
    </row>
    <row r="481" spans="1:18" ht="15" customHeight="1" x14ac:dyDescent="0.3">
      <c r="A481" s="35">
        <v>469</v>
      </c>
      <c r="B481" s="35" t="s">
        <v>266</v>
      </c>
      <c r="C481" s="35" t="s">
        <v>195</v>
      </c>
      <c r="D481" s="36" t="s">
        <v>205</v>
      </c>
      <c r="E481" s="36" t="s">
        <v>188</v>
      </c>
      <c r="F481" s="35" t="s">
        <v>195</v>
      </c>
      <c r="G481" s="35" t="s">
        <v>1357</v>
      </c>
      <c r="H481" s="35" t="s">
        <v>1358</v>
      </c>
      <c r="I481" s="36" t="s">
        <v>1359</v>
      </c>
      <c r="J481" s="35" t="s">
        <v>1360</v>
      </c>
      <c r="K481" s="37">
        <v>7.2</v>
      </c>
      <c r="L481" s="37">
        <v>10</v>
      </c>
      <c r="M481" s="37">
        <v>13.5</v>
      </c>
      <c r="N481" s="38">
        <f>1</f>
        <v>1</v>
      </c>
      <c r="O481" s="39">
        <f t="shared" si="45"/>
        <v>3441.6</v>
      </c>
      <c r="P481" s="39">
        <f t="shared" si="46"/>
        <v>4780</v>
      </c>
      <c r="Q481" s="39">
        <f t="shared" si="47"/>
        <v>6453</v>
      </c>
      <c r="R481" s="35" t="str">
        <f t="shared" si="48"/>
        <v>Rs./hr</v>
      </c>
    </row>
    <row r="482" spans="1:18" ht="15" customHeight="1" x14ac:dyDescent="0.3">
      <c r="A482" s="35">
        <v>470</v>
      </c>
      <c r="B482" s="35" t="s">
        <v>267</v>
      </c>
      <c r="C482" s="35" t="s">
        <v>195</v>
      </c>
      <c r="D482" s="36" t="s">
        <v>205</v>
      </c>
      <c r="E482" s="36" t="s">
        <v>188</v>
      </c>
      <c r="F482" s="35" t="s">
        <v>195</v>
      </c>
      <c r="G482" s="35" t="s">
        <v>1357</v>
      </c>
      <c r="H482" s="35" t="s">
        <v>1358</v>
      </c>
      <c r="I482" s="36" t="s">
        <v>1359</v>
      </c>
      <c r="J482" s="35" t="s">
        <v>1360</v>
      </c>
      <c r="K482" s="37">
        <v>7.2</v>
      </c>
      <c r="L482" s="37">
        <v>10</v>
      </c>
      <c r="M482" s="37">
        <v>13.5</v>
      </c>
      <c r="N482" s="38">
        <f>1</f>
        <v>1</v>
      </c>
      <c r="O482" s="39">
        <f t="shared" si="45"/>
        <v>3441.6</v>
      </c>
      <c r="P482" s="39">
        <f t="shared" si="46"/>
        <v>4780</v>
      </c>
      <c r="Q482" s="39">
        <f t="shared" si="47"/>
        <v>6453</v>
      </c>
      <c r="R482" s="35" t="str">
        <f t="shared" si="48"/>
        <v>Rs./hr</v>
      </c>
    </row>
    <row r="483" spans="1:18" ht="15" customHeight="1" x14ac:dyDescent="0.3">
      <c r="A483" s="35">
        <v>471</v>
      </c>
      <c r="B483" s="35" t="s">
        <v>268</v>
      </c>
      <c r="C483" s="35" t="s">
        <v>195</v>
      </c>
      <c r="D483" s="36" t="s">
        <v>205</v>
      </c>
      <c r="E483" s="36" t="s">
        <v>188</v>
      </c>
      <c r="F483" s="35" t="s">
        <v>195</v>
      </c>
      <c r="G483" s="35" t="s">
        <v>1357</v>
      </c>
      <c r="H483" s="35" t="s">
        <v>1358</v>
      </c>
      <c r="I483" s="36" t="s">
        <v>1359</v>
      </c>
      <c r="J483" s="35" t="s">
        <v>1360</v>
      </c>
      <c r="K483" s="37">
        <v>7.2</v>
      </c>
      <c r="L483" s="37">
        <v>10</v>
      </c>
      <c r="M483" s="37">
        <v>13.5</v>
      </c>
      <c r="N483" s="38">
        <f>1</f>
        <v>1</v>
      </c>
      <c r="O483" s="39">
        <f t="shared" si="45"/>
        <v>3441.6</v>
      </c>
      <c r="P483" s="39">
        <f t="shared" si="46"/>
        <v>4780</v>
      </c>
      <c r="Q483" s="39">
        <f t="shared" si="47"/>
        <v>6453</v>
      </c>
      <c r="R483" s="35" t="str">
        <f t="shared" si="48"/>
        <v>Rs./hr</v>
      </c>
    </row>
    <row r="484" spans="1:18" ht="15" customHeight="1" x14ac:dyDescent="0.3">
      <c r="A484" s="35">
        <v>472</v>
      </c>
      <c r="B484" s="35" t="s">
        <v>269</v>
      </c>
      <c r="C484" s="35" t="s">
        <v>195</v>
      </c>
      <c r="D484" s="36" t="s">
        <v>205</v>
      </c>
      <c r="E484" s="36" t="s">
        <v>188</v>
      </c>
      <c r="F484" s="35" t="s">
        <v>195</v>
      </c>
      <c r="G484" s="35" t="s">
        <v>1357</v>
      </c>
      <c r="H484" s="35" t="s">
        <v>1358</v>
      </c>
      <c r="I484" s="36" t="s">
        <v>1359</v>
      </c>
      <c r="J484" s="35" t="s">
        <v>1360</v>
      </c>
      <c r="K484" s="37">
        <v>7.2</v>
      </c>
      <c r="L484" s="37">
        <v>10</v>
      </c>
      <c r="M484" s="37">
        <v>13.5</v>
      </c>
      <c r="N484" s="38">
        <f>1</f>
        <v>1</v>
      </c>
      <c r="O484" s="39">
        <f t="shared" si="45"/>
        <v>3441.6</v>
      </c>
      <c r="P484" s="39">
        <f t="shared" si="46"/>
        <v>4780</v>
      </c>
      <c r="Q484" s="39">
        <f t="shared" si="47"/>
        <v>6453</v>
      </c>
      <c r="R484" s="35" t="str">
        <f t="shared" si="48"/>
        <v>Rs./hr</v>
      </c>
    </row>
    <row r="485" spans="1:18" ht="15" customHeight="1" x14ac:dyDescent="0.3">
      <c r="A485" s="35">
        <v>473</v>
      </c>
      <c r="B485" s="35" t="s">
        <v>270</v>
      </c>
      <c r="C485" s="35" t="s">
        <v>195</v>
      </c>
      <c r="D485" s="36" t="s">
        <v>205</v>
      </c>
      <c r="E485" s="36" t="s">
        <v>188</v>
      </c>
      <c r="F485" s="35" t="s">
        <v>195</v>
      </c>
      <c r="G485" s="35" t="s">
        <v>1357</v>
      </c>
      <c r="H485" s="35" t="s">
        <v>1358</v>
      </c>
      <c r="I485" s="36" t="s">
        <v>1359</v>
      </c>
      <c r="J485" s="35" t="s">
        <v>1360</v>
      </c>
      <c r="K485" s="37">
        <v>7.2</v>
      </c>
      <c r="L485" s="37">
        <v>10</v>
      </c>
      <c r="M485" s="37">
        <v>13.5</v>
      </c>
      <c r="N485" s="38">
        <f>1</f>
        <v>1</v>
      </c>
      <c r="O485" s="39">
        <f t="shared" si="45"/>
        <v>3441.6</v>
      </c>
      <c r="P485" s="39">
        <f t="shared" si="46"/>
        <v>4780</v>
      </c>
      <c r="Q485" s="39">
        <f t="shared" si="47"/>
        <v>6453</v>
      </c>
      <c r="R485" s="35" t="str">
        <f t="shared" si="48"/>
        <v>Rs./hr</v>
      </c>
    </row>
    <row r="486" spans="1:18" ht="15" customHeight="1" x14ac:dyDescent="0.3">
      <c r="A486" s="35">
        <v>474</v>
      </c>
      <c r="B486" s="35" t="s">
        <v>271</v>
      </c>
      <c r="C486" s="35" t="s">
        <v>195</v>
      </c>
      <c r="D486" s="36" t="s">
        <v>205</v>
      </c>
      <c r="E486" s="36" t="s">
        <v>1642</v>
      </c>
      <c r="F486" s="35" t="s">
        <v>195</v>
      </c>
      <c r="G486" s="35" t="s">
        <v>1357</v>
      </c>
      <c r="H486" s="35" t="s">
        <v>1358</v>
      </c>
      <c r="I486" s="36" t="s">
        <v>1359</v>
      </c>
      <c r="J486" s="35" t="s">
        <v>1360</v>
      </c>
      <c r="K486" s="37">
        <v>7.2</v>
      </c>
      <c r="L486" s="37">
        <v>10</v>
      </c>
      <c r="M486" s="37">
        <v>13.5</v>
      </c>
      <c r="N486" s="38">
        <f>1</f>
        <v>1</v>
      </c>
      <c r="O486" s="39">
        <f t="shared" si="45"/>
        <v>3441.6</v>
      </c>
      <c r="P486" s="39">
        <f t="shared" si="46"/>
        <v>4780</v>
      </c>
      <c r="Q486" s="39">
        <f t="shared" si="47"/>
        <v>6453</v>
      </c>
      <c r="R486" s="35" t="str">
        <f t="shared" si="48"/>
        <v>Rs./hr</v>
      </c>
    </row>
    <row r="487" spans="1:18" ht="15" customHeight="1" x14ac:dyDescent="0.3">
      <c r="A487" s="35">
        <v>475</v>
      </c>
      <c r="B487" s="35" t="s">
        <v>272</v>
      </c>
      <c r="C487" s="35" t="s">
        <v>195</v>
      </c>
      <c r="D487" s="36" t="s">
        <v>205</v>
      </c>
      <c r="E487" s="36" t="s">
        <v>1642</v>
      </c>
      <c r="F487" s="35" t="s">
        <v>195</v>
      </c>
      <c r="G487" s="35" t="s">
        <v>1357</v>
      </c>
      <c r="H487" s="35" t="s">
        <v>1358</v>
      </c>
      <c r="I487" s="36" t="s">
        <v>1359</v>
      </c>
      <c r="J487" s="35" t="s">
        <v>1360</v>
      </c>
      <c r="K487" s="37">
        <v>7.2</v>
      </c>
      <c r="L487" s="37">
        <v>10</v>
      </c>
      <c r="M487" s="37">
        <v>13.5</v>
      </c>
      <c r="N487" s="38">
        <f>1</f>
        <v>1</v>
      </c>
      <c r="O487" s="39">
        <f t="shared" si="45"/>
        <v>3441.6</v>
      </c>
      <c r="P487" s="39">
        <f t="shared" si="46"/>
        <v>4780</v>
      </c>
      <c r="Q487" s="39">
        <f t="shared" si="47"/>
        <v>6453</v>
      </c>
      <c r="R487" s="35" t="str">
        <f t="shared" si="48"/>
        <v>Rs./hr</v>
      </c>
    </row>
    <row r="488" spans="1:18" ht="15" customHeight="1" x14ac:dyDescent="0.3">
      <c r="A488" s="35">
        <v>476</v>
      </c>
      <c r="B488" s="35" t="s">
        <v>273</v>
      </c>
      <c r="C488" s="35" t="s">
        <v>195</v>
      </c>
      <c r="D488" s="36" t="s">
        <v>205</v>
      </c>
      <c r="E488" s="36" t="s">
        <v>1642</v>
      </c>
      <c r="F488" s="35" t="s">
        <v>195</v>
      </c>
      <c r="G488" s="35" t="s">
        <v>1357</v>
      </c>
      <c r="H488" s="35" t="s">
        <v>1358</v>
      </c>
      <c r="I488" s="36" t="s">
        <v>1359</v>
      </c>
      <c r="J488" s="35" t="s">
        <v>1360</v>
      </c>
      <c r="K488" s="37">
        <v>7.2</v>
      </c>
      <c r="L488" s="37">
        <v>10</v>
      </c>
      <c r="M488" s="37">
        <v>13.5</v>
      </c>
      <c r="N488" s="38">
        <f>1</f>
        <v>1</v>
      </c>
      <c r="O488" s="39">
        <f t="shared" si="45"/>
        <v>3441.6</v>
      </c>
      <c r="P488" s="39">
        <f t="shared" si="46"/>
        <v>4780</v>
      </c>
      <c r="Q488" s="39">
        <f t="shared" si="47"/>
        <v>6453</v>
      </c>
      <c r="R488" s="35" t="str">
        <f t="shared" si="48"/>
        <v>Rs./hr</v>
      </c>
    </row>
    <row r="489" spans="1:18" ht="15" customHeight="1" x14ac:dyDescent="0.3">
      <c r="A489" s="35">
        <v>477</v>
      </c>
      <c r="B489" s="35" t="s">
        <v>274</v>
      </c>
      <c r="C489" s="35" t="s">
        <v>195</v>
      </c>
      <c r="D489" s="36" t="s">
        <v>205</v>
      </c>
      <c r="E489" s="36" t="s">
        <v>1642</v>
      </c>
      <c r="F489" s="35" t="s">
        <v>195</v>
      </c>
      <c r="G489" s="35" t="s">
        <v>1357</v>
      </c>
      <c r="H489" s="35" t="s">
        <v>1358</v>
      </c>
      <c r="I489" s="36" t="s">
        <v>1359</v>
      </c>
      <c r="J489" s="35" t="s">
        <v>1360</v>
      </c>
      <c r="K489" s="37">
        <v>7.2</v>
      </c>
      <c r="L489" s="37">
        <v>10</v>
      </c>
      <c r="M489" s="37">
        <v>13.5</v>
      </c>
      <c r="N489" s="38">
        <f>1</f>
        <v>1</v>
      </c>
      <c r="O489" s="39">
        <f t="shared" si="45"/>
        <v>3441.6</v>
      </c>
      <c r="P489" s="39">
        <f t="shared" si="46"/>
        <v>4780</v>
      </c>
      <c r="Q489" s="39">
        <f t="shared" si="47"/>
        <v>6453</v>
      </c>
      <c r="R489" s="35" t="str">
        <f t="shared" si="48"/>
        <v>Rs./hr</v>
      </c>
    </row>
    <row r="490" spans="1:18" ht="15" customHeight="1" x14ac:dyDescent="0.3">
      <c r="A490" s="35">
        <v>478</v>
      </c>
      <c r="B490" s="35" t="s">
        <v>275</v>
      </c>
      <c r="C490" s="35" t="s">
        <v>195</v>
      </c>
      <c r="D490" s="36" t="s">
        <v>205</v>
      </c>
      <c r="E490" s="36" t="s">
        <v>1642</v>
      </c>
      <c r="F490" s="35" t="s">
        <v>195</v>
      </c>
      <c r="G490" s="35" t="s">
        <v>1357</v>
      </c>
      <c r="H490" s="35" t="s">
        <v>1358</v>
      </c>
      <c r="I490" s="36" t="s">
        <v>1359</v>
      </c>
      <c r="J490" s="35" t="s">
        <v>1360</v>
      </c>
      <c r="K490" s="37">
        <v>7.2</v>
      </c>
      <c r="L490" s="37">
        <v>10</v>
      </c>
      <c r="M490" s="37">
        <v>13.5</v>
      </c>
      <c r="N490" s="38">
        <f>1</f>
        <v>1</v>
      </c>
      <c r="O490" s="39">
        <f t="shared" si="45"/>
        <v>3441.6</v>
      </c>
      <c r="P490" s="39">
        <f t="shared" si="46"/>
        <v>4780</v>
      </c>
      <c r="Q490" s="39">
        <f t="shared" si="47"/>
        <v>6453</v>
      </c>
      <c r="R490" s="35" t="str">
        <f t="shared" si="48"/>
        <v>Rs./hr</v>
      </c>
    </row>
    <row r="491" spans="1:18" ht="15" customHeight="1" x14ac:dyDescent="0.3">
      <c r="A491" s="35">
        <v>479</v>
      </c>
      <c r="B491" s="35" t="s">
        <v>277</v>
      </c>
      <c r="C491" s="35" t="s">
        <v>195</v>
      </c>
      <c r="D491" s="36" t="s">
        <v>205</v>
      </c>
      <c r="E491" s="36" t="s">
        <v>1642</v>
      </c>
      <c r="F491" s="35" t="s">
        <v>195</v>
      </c>
      <c r="G491" s="35" t="s">
        <v>1357</v>
      </c>
      <c r="H491" s="35" t="s">
        <v>1358</v>
      </c>
      <c r="I491" s="36" t="s">
        <v>1359</v>
      </c>
      <c r="J491" s="35" t="s">
        <v>1360</v>
      </c>
      <c r="K491" s="37">
        <v>7.2</v>
      </c>
      <c r="L491" s="37">
        <v>10</v>
      </c>
      <c r="M491" s="37">
        <v>13.5</v>
      </c>
      <c r="N491" s="38">
        <f>1</f>
        <v>1</v>
      </c>
      <c r="O491" s="39">
        <f t="shared" si="45"/>
        <v>3441.6</v>
      </c>
      <c r="P491" s="39">
        <f t="shared" si="46"/>
        <v>4780</v>
      </c>
      <c r="Q491" s="39">
        <f t="shared" si="47"/>
        <v>6453</v>
      </c>
      <c r="R491" s="35" t="str">
        <f t="shared" si="48"/>
        <v>Rs./hr</v>
      </c>
    </row>
    <row r="492" spans="1:18" ht="15" customHeight="1" x14ac:dyDescent="0.3">
      <c r="A492" s="35">
        <v>480</v>
      </c>
      <c r="B492" s="35" t="s">
        <v>278</v>
      </c>
      <c r="C492" s="35" t="s">
        <v>195</v>
      </c>
      <c r="D492" s="36" t="s">
        <v>205</v>
      </c>
      <c r="E492" s="36" t="s">
        <v>1642</v>
      </c>
      <c r="F492" s="35" t="s">
        <v>195</v>
      </c>
      <c r="G492" s="35" t="s">
        <v>1357</v>
      </c>
      <c r="H492" s="35" t="s">
        <v>1358</v>
      </c>
      <c r="I492" s="36" t="s">
        <v>1359</v>
      </c>
      <c r="J492" s="35" t="s">
        <v>1360</v>
      </c>
      <c r="K492" s="37">
        <v>7.2</v>
      </c>
      <c r="L492" s="37">
        <v>10</v>
      </c>
      <c r="M492" s="37">
        <v>13.5</v>
      </c>
      <c r="N492" s="38">
        <f>1</f>
        <v>1</v>
      </c>
      <c r="O492" s="39">
        <f t="shared" si="45"/>
        <v>3441.6</v>
      </c>
      <c r="P492" s="39">
        <f t="shared" si="46"/>
        <v>4780</v>
      </c>
      <c r="Q492" s="39">
        <f t="shared" si="47"/>
        <v>6453</v>
      </c>
      <c r="R492" s="35" t="str">
        <f t="shared" si="48"/>
        <v>Rs./hr</v>
      </c>
    </row>
    <row r="493" spans="1:18" ht="15" customHeight="1" x14ac:dyDescent="0.3">
      <c r="A493" s="35">
        <v>481</v>
      </c>
      <c r="B493" s="35" t="s">
        <v>279</v>
      </c>
      <c r="C493" s="35" t="s">
        <v>195</v>
      </c>
      <c r="D493" s="36" t="s">
        <v>205</v>
      </c>
      <c r="E493" s="36" t="s">
        <v>1642</v>
      </c>
      <c r="F493" s="35" t="s">
        <v>195</v>
      </c>
      <c r="G493" s="35" t="s">
        <v>1357</v>
      </c>
      <c r="H493" s="35" t="s">
        <v>1358</v>
      </c>
      <c r="I493" s="36" t="s">
        <v>1359</v>
      </c>
      <c r="J493" s="35" t="s">
        <v>1360</v>
      </c>
      <c r="K493" s="37">
        <v>7.2</v>
      </c>
      <c r="L493" s="37">
        <v>10</v>
      </c>
      <c r="M493" s="37">
        <v>13.5</v>
      </c>
      <c r="N493" s="38">
        <f>1</f>
        <v>1</v>
      </c>
      <c r="O493" s="39">
        <f t="shared" si="45"/>
        <v>3441.6</v>
      </c>
      <c r="P493" s="39">
        <f t="shared" si="46"/>
        <v>4780</v>
      </c>
      <c r="Q493" s="39">
        <f t="shared" si="47"/>
        <v>6453</v>
      </c>
      <c r="R493" s="35" t="str">
        <f t="shared" si="48"/>
        <v>Rs./hr</v>
      </c>
    </row>
    <row r="494" spans="1:18" ht="15" customHeight="1" x14ac:dyDescent="0.3">
      <c r="A494" s="35">
        <v>482</v>
      </c>
      <c r="B494" s="35" t="s">
        <v>280</v>
      </c>
      <c r="C494" s="35" t="s">
        <v>195</v>
      </c>
      <c r="D494" s="36" t="s">
        <v>205</v>
      </c>
      <c r="E494" s="36" t="s">
        <v>1642</v>
      </c>
      <c r="F494" s="35" t="s">
        <v>195</v>
      </c>
      <c r="G494" s="35" t="s">
        <v>1357</v>
      </c>
      <c r="H494" s="35" t="s">
        <v>1358</v>
      </c>
      <c r="I494" s="36" t="s">
        <v>1359</v>
      </c>
      <c r="J494" s="35" t="s">
        <v>1360</v>
      </c>
      <c r="K494" s="37">
        <v>7.2</v>
      </c>
      <c r="L494" s="37">
        <v>10</v>
      </c>
      <c r="M494" s="37">
        <v>13.5</v>
      </c>
      <c r="N494" s="38">
        <f>1</f>
        <v>1</v>
      </c>
      <c r="O494" s="39">
        <f t="shared" si="45"/>
        <v>3441.6</v>
      </c>
      <c r="P494" s="39">
        <f t="shared" si="46"/>
        <v>4780</v>
      </c>
      <c r="Q494" s="39">
        <f t="shared" si="47"/>
        <v>6453</v>
      </c>
      <c r="R494" s="35" t="str">
        <f t="shared" si="48"/>
        <v>Rs./hr</v>
      </c>
    </row>
    <row r="495" spans="1:18" ht="15" customHeight="1" x14ac:dyDescent="0.3">
      <c r="A495" s="35">
        <v>483</v>
      </c>
      <c r="B495" s="35" t="s">
        <v>281</v>
      </c>
      <c r="C495" s="35" t="s">
        <v>195</v>
      </c>
      <c r="D495" s="36" t="s">
        <v>205</v>
      </c>
      <c r="E495" s="36" t="s">
        <v>1642</v>
      </c>
      <c r="F495" s="35" t="s">
        <v>195</v>
      </c>
      <c r="G495" s="35" t="s">
        <v>1357</v>
      </c>
      <c r="H495" s="35" t="s">
        <v>1358</v>
      </c>
      <c r="I495" s="36" t="s">
        <v>1359</v>
      </c>
      <c r="J495" s="35" t="s">
        <v>1360</v>
      </c>
      <c r="K495" s="37">
        <v>7.2</v>
      </c>
      <c r="L495" s="37">
        <v>10</v>
      </c>
      <c r="M495" s="37">
        <v>13.5</v>
      </c>
      <c r="N495" s="38">
        <f>1</f>
        <v>1</v>
      </c>
      <c r="O495" s="39">
        <f t="shared" si="45"/>
        <v>3441.6</v>
      </c>
      <c r="P495" s="39">
        <f t="shared" si="46"/>
        <v>4780</v>
      </c>
      <c r="Q495" s="39">
        <f t="shared" si="47"/>
        <v>6453</v>
      </c>
      <c r="R495" s="35" t="str">
        <f t="shared" si="48"/>
        <v>Rs./hr</v>
      </c>
    </row>
    <row r="496" spans="1:18" ht="15" customHeight="1" x14ac:dyDescent="0.3">
      <c r="A496" s="35">
        <v>484</v>
      </c>
      <c r="B496" s="35" t="s">
        <v>282</v>
      </c>
      <c r="C496" s="35" t="s">
        <v>195</v>
      </c>
      <c r="D496" s="36" t="s">
        <v>205</v>
      </c>
      <c r="E496" s="36" t="s">
        <v>1642</v>
      </c>
      <c r="F496" s="35" t="s">
        <v>195</v>
      </c>
      <c r="G496" s="35" t="s">
        <v>1357</v>
      </c>
      <c r="H496" s="35" t="s">
        <v>1358</v>
      </c>
      <c r="I496" s="36" t="s">
        <v>1359</v>
      </c>
      <c r="J496" s="35" t="s">
        <v>1360</v>
      </c>
      <c r="K496" s="37">
        <v>7.2</v>
      </c>
      <c r="L496" s="37">
        <v>10</v>
      </c>
      <c r="M496" s="37">
        <v>13.5</v>
      </c>
      <c r="N496" s="38">
        <f>1</f>
        <v>1</v>
      </c>
      <c r="O496" s="39">
        <f t="shared" si="45"/>
        <v>3441.6</v>
      </c>
      <c r="P496" s="39">
        <f t="shared" si="46"/>
        <v>4780</v>
      </c>
      <c r="Q496" s="39">
        <f t="shared" si="47"/>
        <v>6453</v>
      </c>
      <c r="R496" s="35" t="str">
        <f t="shared" si="48"/>
        <v>Rs./hr</v>
      </c>
    </row>
    <row r="497" spans="1:18" ht="15" customHeight="1" x14ac:dyDescent="0.3">
      <c r="A497" s="35">
        <v>485</v>
      </c>
      <c r="B497" s="35" t="s">
        <v>283</v>
      </c>
      <c r="C497" s="35" t="s">
        <v>195</v>
      </c>
      <c r="D497" s="36" t="s">
        <v>205</v>
      </c>
      <c r="E497" s="36" t="s">
        <v>1627</v>
      </c>
      <c r="F497" s="35" t="s">
        <v>195</v>
      </c>
      <c r="G497" s="35" t="s">
        <v>1357</v>
      </c>
      <c r="H497" s="35" t="s">
        <v>1358</v>
      </c>
      <c r="I497" s="36" t="s">
        <v>1359</v>
      </c>
      <c r="J497" s="35" t="s">
        <v>1360</v>
      </c>
      <c r="K497" s="37">
        <v>7.2</v>
      </c>
      <c r="L497" s="37">
        <v>10</v>
      </c>
      <c r="M497" s="37">
        <v>13.5</v>
      </c>
      <c r="N497" s="38">
        <f>1</f>
        <v>1</v>
      </c>
      <c r="O497" s="39">
        <f t="shared" si="45"/>
        <v>3441.6</v>
      </c>
      <c r="P497" s="39">
        <f t="shared" si="46"/>
        <v>4780</v>
      </c>
      <c r="Q497" s="39">
        <f t="shared" si="47"/>
        <v>6453</v>
      </c>
      <c r="R497" s="35" t="str">
        <f t="shared" si="48"/>
        <v>Rs./hr</v>
      </c>
    </row>
    <row r="498" spans="1:18" ht="15" customHeight="1" x14ac:dyDescent="0.3">
      <c r="A498" s="35">
        <v>486</v>
      </c>
      <c r="B498" s="35" t="s">
        <v>284</v>
      </c>
      <c r="C498" s="35" t="s">
        <v>195</v>
      </c>
      <c r="D498" s="36" t="s">
        <v>205</v>
      </c>
      <c r="E498" s="36" t="s">
        <v>1639</v>
      </c>
      <c r="F498" s="35" t="s">
        <v>195</v>
      </c>
      <c r="G498" s="35" t="s">
        <v>1357</v>
      </c>
      <c r="H498" s="35" t="s">
        <v>1358</v>
      </c>
      <c r="I498" s="36" t="s">
        <v>1359</v>
      </c>
      <c r="J498" s="35" t="s">
        <v>1360</v>
      </c>
      <c r="K498" s="37">
        <v>7.2</v>
      </c>
      <c r="L498" s="37">
        <v>10</v>
      </c>
      <c r="M498" s="37">
        <v>13.5</v>
      </c>
      <c r="N498" s="38">
        <f>1</f>
        <v>1</v>
      </c>
      <c r="O498" s="39">
        <f t="shared" si="45"/>
        <v>3441.6</v>
      </c>
      <c r="P498" s="39">
        <f t="shared" si="46"/>
        <v>4780</v>
      </c>
      <c r="Q498" s="39">
        <f t="shared" si="47"/>
        <v>6453</v>
      </c>
      <c r="R498" s="35" t="str">
        <f t="shared" si="48"/>
        <v>Rs./hr</v>
      </c>
    </row>
    <row r="499" spans="1:18" ht="15" customHeight="1" x14ac:dyDescent="0.3">
      <c r="A499" s="35">
        <v>487</v>
      </c>
      <c r="B499" s="35" t="s">
        <v>285</v>
      </c>
      <c r="C499" s="35" t="s">
        <v>195</v>
      </c>
      <c r="D499" s="36" t="s">
        <v>205</v>
      </c>
      <c r="E499" s="36" t="s">
        <v>1637</v>
      </c>
      <c r="F499" s="35">
        <v>2016</v>
      </c>
      <c r="G499" s="35" t="s">
        <v>1357</v>
      </c>
      <c r="H499" s="35" t="s">
        <v>1358</v>
      </c>
      <c r="I499" s="36" t="s">
        <v>1359</v>
      </c>
      <c r="J499" s="35" t="s">
        <v>1360</v>
      </c>
      <c r="K499" s="37">
        <v>7.2</v>
      </c>
      <c r="L499" s="37">
        <v>10</v>
      </c>
      <c r="M499" s="37">
        <v>13.5</v>
      </c>
      <c r="N499" s="38">
        <f>1+MIN(MAX($D$8-F499,0),$D$10)*$D$9</f>
        <v>1.07</v>
      </c>
      <c r="O499" s="39">
        <f t="shared" si="45"/>
        <v>3682.5120000000002</v>
      </c>
      <c r="P499" s="39">
        <f t="shared" si="46"/>
        <v>5114.6000000000004</v>
      </c>
      <c r="Q499" s="39">
        <f t="shared" si="47"/>
        <v>6904.71</v>
      </c>
      <c r="R499" s="35" t="str">
        <f t="shared" si="48"/>
        <v>Rs./hr</v>
      </c>
    </row>
    <row r="500" spans="1:18" ht="15" customHeight="1" x14ac:dyDescent="0.3">
      <c r="A500" s="35">
        <v>488</v>
      </c>
      <c r="B500" s="35" t="s">
        <v>286</v>
      </c>
      <c r="C500" s="35" t="s">
        <v>195</v>
      </c>
      <c r="D500" s="36" t="s">
        <v>205</v>
      </c>
      <c r="E500" s="36" t="s">
        <v>1629</v>
      </c>
      <c r="F500" s="35">
        <v>2013</v>
      </c>
      <c r="G500" s="35" t="s">
        <v>1357</v>
      </c>
      <c r="H500" s="35" t="s">
        <v>1358</v>
      </c>
      <c r="I500" s="36" t="s">
        <v>1359</v>
      </c>
      <c r="J500" s="35" t="s">
        <v>1360</v>
      </c>
      <c r="K500" s="37">
        <v>7.2</v>
      </c>
      <c r="L500" s="37">
        <v>10</v>
      </c>
      <c r="M500" s="37">
        <v>13.5</v>
      </c>
      <c r="N500" s="38">
        <f>1+MIN(MAX($D$8-F500,0),$D$10)*$D$9</f>
        <v>1.091</v>
      </c>
      <c r="O500" s="39">
        <f t="shared" si="45"/>
        <v>3754.7856000000002</v>
      </c>
      <c r="P500" s="39">
        <f t="shared" si="46"/>
        <v>5214.9800000000005</v>
      </c>
      <c r="Q500" s="39">
        <f t="shared" si="47"/>
        <v>7040.223</v>
      </c>
      <c r="R500" s="35" t="str">
        <f t="shared" si="48"/>
        <v>Rs./hr</v>
      </c>
    </row>
    <row r="501" spans="1:18" ht="15" customHeight="1" x14ac:dyDescent="0.3">
      <c r="A501" s="35">
        <v>489</v>
      </c>
      <c r="B501" s="35" t="s">
        <v>287</v>
      </c>
      <c r="C501" s="35" t="s">
        <v>195</v>
      </c>
      <c r="D501" s="36" t="s">
        <v>205</v>
      </c>
      <c r="E501" s="36" t="s">
        <v>1636</v>
      </c>
      <c r="F501" s="35">
        <v>2013</v>
      </c>
      <c r="G501" s="35" t="s">
        <v>1357</v>
      </c>
      <c r="H501" s="35" t="s">
        <v>1358</v>
      </c>
      <c r="I501" s="36" t="s">
        <v>1359</v>
      </c>
      <c r="J501" s="35" t="s">
        <v>1360</v>
      </c>
      <c r="K501" s="37">
        <v>7.2</v>
      </c>
      <c r="L501" s="37">
        <v>10</v>
      </c>
      <c r="M501" s="37">
        <v>13.5</v>
      </c>
      <c r="N501" s="38">
        <f>1+MIN(MAX($D$8-F501,0),$D$10)*$D$9</f>
        <v>1.091</v>
      </c>
      <c r="O501" s="39">
        <f t="shared" si="45"/>
        <v>3754.7856000000002</v>
      </c>
      <c r="P501" s="39">
        <f t="shared" si="46"/>
        <v>5214.9800000000005</v>
      </c>
      <c r="Q501" s="39">
        <f t="shared" si="47"/>
        <v>7040.223</v>
      </c>
      <c r="R501" s="35" t="str">
        <f t="shared" si="48"/>
        <v>Rs./hr</v>
      </c>
    </row>
    <row r="502" spans="1:18" ht="15" customHeight="1" x14ac:dyDescent="0.3">
      <c r="A502" s="35">
        <v>490</v>
      </c>
      <c r="B502" s="35" t="s">
        <v>195</v>
      </c>
      <c r="C502" s="35" t="s">
        <v>195</v>
      </c>
      <c r="D502" s="36" t="s">
        <v>205</v>
      </c>
      <c r="E502" s="36" t="s">
        <v>1634</v>
      </c>
      <c r="F502" s="35" t="s">
        <v>195</v>
      </c>
      <c r="G502" s="35" t="s">
        <v>1357</v>
      </c>
      <c r="H502" s="35" t="s">
        <v>1358</v>
      </c>
      <c r="I502" s="36" t="s">
        <v>1359</v>
      </c>
      <c r="J502" s="35" t="s">
        <v>1360</v>
      </c>
      <c r="K502" s="37">
        <v>7.2</v>
      </c>
      <c r="L502" s="37">
        <v>10</v>
      </c>
      <c r="M502" s="37">
        <v>13.5</v>
      </c>
      <c r="N502" s="38">
        <f>1</f>
        <v>1</v>
      </c>
      <c r="O502" s="39">
        <f t="shared" si="45"/>
        <v>3441.6</v>
      </c>
      <c r="P502" s="39">
        <f t="shared" si="46"/>
        <v>4780</v>
      </c>
      <c r="Q502" s="39">
        <f t="shared" si="47"/>
        <v>6453</v>
      </c>
      <c r="R502" s="35" t="str">
        <f t="shared" si="48"/>
        <v>Rs./hr</v>
      </c>
    </row>
    <row r="503" spans="1:18" ht="15" customHeight="1" x14ac:dyDescent="0.3">
      <c r="A503" s="35">
        <v>491</v>
      </c>
      <c r="B503" s="35" t="s">
        <v>921</v>
      </c>
      <c r="C503" s="35" t="s">
        <v>922</v>
      </c>
      <c r="D503" s="36" t="s">
        <v>908</v>
      </c>
      <c r="E503" s="36" t="s">
        <v>1643</v>
      </c>
      <c r="F503" s="35">
        <v>1997</v>
      </c>
      <c r="G503" s="35" t="s">
        <v>1357</v>
      </c>
      <c r="H503" s="35" t="s">
        <v>1358</v>
      </c>
      <c r="I503" s="36" t="s">
        <v>1359</v>
      </c>
      <c r="J503" s="35" t="s">
        <v>1360</v>
      </c>
      <c r="K503" s="37">
        <v>5.8</v>
      </c>
      <c r="L503" s="37">
        <v>8</v>
      </c>
      <c r="M503" s="37">
        <v>10.8</v>
      </c>
      <c r="N503" s="38">
        <f t="shared" ref="N503:N508" si="49">1+MIN(MAX($D$8-F503,0),$D$10)*$D$9</f>
        <v>1.175</v>
      </c>
      <c r="O503" s="39">
        <f t="shared" si="45"/>
        <v>3257.57</v>
      </c>
      <c r="P503" s="39">
        <f t="shared" si="46"/>
        <v>4493.2</v>
      </c>
      <c r="Q503" s="39">
        <f t="shared" si="47"/>
        <v>6065.8200000000006</v>
      </c>
      <c r="R503" s="35" t="str">
        <f t="shared" si="48"/>
        <v>Rs./hr</v>
      </c>
    </row>
    <row r="504" spans="1:18" ht="15" customHeight="1" x14ac:dyDescent="0.3">
      <c r="A504" s="35">
        <v>492</v>
      </c>
      <c r="B504" s="35" t="s">
        <v>924</v>
      </c>
      <c r="C504" s="35" t="s">
        <v>925</v>
      </c>
      <c r="D504" s="36" t="s">
        <v>908</v>
      </c>
      <c r="E504" s="36" t="s">
        <v>1644</v>
      </c>
      <c r="F504" s="35">
        <v>1991</v>
      </c>
      <c r="G504" s="35" t="s">
        <v>1357</v>
      </c>
      <c r="H504" s="35" t="s">
        <v>1358</v>
      </c>
      <c r="I504" s="36" t="s">
        <v>1359</v>
      </c>
      <c r="J504" s="35" t="s">
        <v>1360</v>
      </c>
      <c r="K504" s="37">
        <v>5.8</v>
      </c>
      <c r="L504" s="37">
        <v>8</v>
      </c>
      <c r="M504" s="37">
        <v>10.8</v>
      </c>
      <c r="N504" s="38">
        <f t="shared" si="49"/>
        <v>1.175</v>
      </c>
      <c r="O504" s="39">
        <f t="shared" si="45"/>
        <v>3257.57</v>
      </c>
      <c r="P504" s="39">
        <f t="shared" si="46"/>
        <v>4493.2</v>
      </c>
      <c r="Q504" s="39">
        <f t="shared" si="47"/>
        <v>6065.8200000000006</v>
      </c>
      <c r="R504" s="35" t="str">
        <f t="shared" si="48"/>
        <v>Rs./hr</v>
      </c>
    </row>
    <row r="505" spans="1:18" ht="15" customHeight="1" x14ac:dyDescent="0.3">
      <c r="A505" s="35">
        <v>493</v>
      </c>
      <c r="B505" s="35" t="s">
        <v>916</v>
      </c>
      <c r="C505" s="35" t="s">
        <v>807</v>
      </c>
      <c r="D505" s="36" t="s">
        <v>908</v>
      </c>
      <c r="E505" s="36" t="s">
        <v>1645</v>
      </c>
      <c r="F505" s="35">
        <v>2003</v>
      </c>
      <c r="G505" s="35" t="s">
        <v>1357</v>
      </c>
      <c r="H505" s="35" t="s">
        <v>1358</v>
      </c>
      <c r="I505" s="36" t="s">
        <v>1359</v>
      </c>
      <c r="J505" s="35" t="s">
        <v>1360</v>
      </c>
      <c r="K505" s="37">
        <v>5.8</v>
      </c>
      <c r="L505" s="37">
        <v>8</v>
      </c>
      <c r="M505" s="37">
        <v>10.8</v>
      </c>
      <c r="N505" s="38">
        <f t="shared" si="49"/>
        <v>1.161</v>
      </c>
      <c r="O505" s="39">
        <f t="shared" si="45"/>
        <v>3218.7563999999998</v>
      </c>
      <c r="P505" s="39">
        <f t="shared" si="46"/>
        <v>4439.6639999999998</v>
      </c>
      <c r="Q505" s="39">
        <f t="shared" si="47"/>
        <v>5993.5464000000011</v>
      </c>
      <c r="R505" s="35" t="str">
        <f t="shared" si="48"/>
        <v>Rs./hr</v>
      </c>
    </row>
    <row r="506" spans="1:18" ht="15" customHeight="1" x14ac:dyDescent="0.3">
      <c r="A506" s="35">
        <v>494</v>
      </c>
      <c r="B506" s="35" t="s">
        <v>912</v>
      </c>
      <c r="C506" s="35" t="s">
        <v>913</v>
      </c>
      <c r="D506" s="36" t="s">
        <v>908</v>
      </c>
      <c r="E506" s="36" t="s">
        <v>1427</v>
      </c>
      <c r="F506" s="35">
        <v>2011</v>
      </c>
      <c r="G506" s="35" t="s">
        <v>1357</v>
      </c>
      <c r="H506" s="35" t="s">
        <v>1358</v>
      </c>
      <c r="I506" s="36" t="s">
        <v>1359</v>
      </c>
      <c r="J506" s="35" t="s">
        <v>1360</v>
      </c>
      <c r="K506" s="37">
        <v>5.8</v>
      </c>
      <c r="L506" s="37">
        <v>8</v>
      </c>
      <c r="M506" s="37">
        <v>10.8</v>
      </c>
      <c r="N506" s="38">
        <f t="shared" si="49"/>
        <v>1.105</v>
      </c>
      <c r="O506" s="39">
        <f t="shared" si="45"/>
        <v>3063.502</v>
      </c>
      <c r="P506" s="39">
        <f t="shared" si="46"/>
        <v>4225.5199999999995</v>
      </c>
      <c r="Q506" s="39">
        <f t="shared" si="47"/>
        <v>5704.4520000000002</v>
      </c>
      <c r="R506" s="35" t="str">
        <f t="shared" si="48"/>
        <v>Rs./hr</v>
      </c>
    </row>
    <row r="507" spans="1:18" ht="15" customHeight="1" x14ac:dyDescent="0.3">
      <c r="A507" s="35">
        <v>495</v>
      </c>
      <c r="B507" s="35" t="s">
        <v>915</v>
      </c>
      <c r="C507" s="35" t="s">
        <v>789</v>
      </c>
      <c r="D507" s="36" t="s">
        <v>908</v>
      </c>
      <c r="E507" s="36" t="s">
        <v>1645</v>
      </c>
      <c r="F507" s="35">
        <v>2005</v>
      </c>
      <c r="G507" s="35" t="s">
        <v>1357</v>
      </c>
      <c r="H507" s="35" t="s">
        <v>1358</v>
      </c>
      <c r="I507" s="36" t="s">
        <v>1359</v>
      </c>
      <c r="J507" s="35" t="s">
        <v>1360</v>
      </c>
      <c r="K507" s="37">
        <v>5.8</v>
      </c>
      <c r="L507" s="37">
        <v>8</v>
      </c>
      <c r="M507" s="37">
        <v>10.8</v>
      </c>
      <c r="N507" s="38">
        <f t="shared" si="49"/>
        <v>1.147</v>
      </c>
      <c r="O507" s="39">
        <f t="shared" si="45"/>
        <v>3179.9427999999998</v>
      </c>
      <c r="P507" s="39">
        <f t="shared" si="46"/>
        <v>4386.1279999999997</v>
      </c>
      <c r="Q507" s="39">
        <f t="shared" si="47"/>
        <v>5921.2728000000006</v>
      </c>
      <c r="R507" s="35" t="str">
        <f t="shared" si="48"/>
        <v>Rs./hr</v>
      </c>
    </row>
    <row r="508" spans="1:18" ht="15" customHeight="1" x14ac:dyDescent="0.3">
      <c r="A508" s="35">
        <v>496</v>
      </c>
      <c r="B508" s="35" t="s">
        <v>918</v>
      </c>
      <c r="C508" s="35" t="s">
        <v>919</v>
      </c>
      <c r="D508" s="36" t="s">
        <v>908</v>
      </c>
      <c r="E508" s="36" t="s">
        <v>1646</v>
      </c>
      <c r="F508" s="35">
        <v>2000</v>
      </c>
      <c r="G508" s="35" t="s">
        <v>1357</v>
      </c>
      <c r="H508" s="35" t="s">
        <v>1358</v>
      </c>
      <c r="I508" s="36" t="s">
        <v>1359</v>
      </c>
      <c r="J508" s="35" t="s">
        <v>1360</v>
      </c>
      <c r="K508" s="37">
        <v>5.8</v>
      </c>
      <c r="L508" s="37">
        <v>8</v>
      </c>
      <c r="M508" s="37">
        <v>10.8</v>
      </c>
      <c r="N508" s="38">
        <f t="shared" si="49"/>
        <v>1.175</v>
      </c>
      <c r="O508" s="39">
        <f t="shared" si="45"/>
        <v>3257.57</v>
      </c>
      <c r="P508" s="39">
        <f t="shared" si="46"/>
        <v>4493.2</v>
      </c>
      <c r="Q508" s="39">
        <f t="shared" si="47"/>
        <v>6065.8200000000006</v>
      </c>
      <c r="R508" s="35" t="str">
        <f t="shared" si="48"/>
        <v>Rs./hr</v>
      </c>
    </row>
    <row r="509" spans="1:18" ht="15" customHeight="1" x14ac:dyDescent="0.3">
      <c r="A509" s="35">
        <v>497</v>
      </c>
      <c r="B509" s="35" t="s">
        <v>926</v>
      </c>
      <c r="C509" s="35" t="s">
        <v>195</v>
      </c>
      <c r="D509" s="36" t="s">
        <v>908</v>
      </c>
      <c r="E509" s="36" t="s">
        <v>188</v>
      </c>
      <c r="F509" s="35" t="s">
        <v>195</v>
      </c>
      <c r="G509" s="35" t="s">
        <v>1357</v>
      </c>
      <c r="H509" s="35" t="s">
        <v>1358</v>
      </c>
      <c r="I509" s="36" t="s">
        <v>1359</v>
      </c>
      <c r="J509" s="35" t="s">
        <v>1360</v>
      </c>
      <c r="K509" s="37">
        <v>5.8</v>
      </c>
      <c r="L509" s="37">
        <v>8</v>
      </c>
      <c r="M509" s="37">
        <v>10.8</v>
      </c>
      <c r="N509" s="38">
        <f>1</f>
        <v>1</v>
      </c>
      <c r="O509" s="39">
        <f t="shared" si="45"/>
        <v>2772.4</v>
      </c>
      <c r="P509" s="39">
        <f t="shared" si="46"/>
        <v>3824</v>
      </c>
      <c r="Q509" s="39">
        <f t="shared" si="47"/>
        <v>5162.4000000000005</v>
      </c>
      <c r="R509" s="35" t="str">
        <f t="shared" si="48"/>
        <v>Rs./hr</v>
      </c>
    </row>
    <row r="510" spans="1:18" ht="15" customHeight="1" x14ac:dyDescent="0.3">
      <c r="A510" s="35">
        <v>498</v>
      </c>
      <c r="B510" s="35" t="s">
        <v>927</v>
      </c>
      <c r="C510" s="35" t="s">
        <v>928</v>
      </c>
      <c r="D510" s="36" t="s">
        <v>908</v>
      </c>
      <c r="E510" s="36" t="s">
        <v>188</v>
      </c>
      <c r="F510" s="35" t="s">
        <v>195</v>
      </c>
      <c r="G510" s="35" t="s">
        <v>1357</v>
      </c>
      <c r="H510" s="35" t="s">
        <v>1358</v>
      </c>
      <c r="I510" s="36" t="s">
        <v>1359</v>
      </c>
      <c r="J510" s="35" t="s">
        <v>1360</v>
      </c>
      <c r="K510" s="37">
        <v>5.8</v>
      </c>
      <c r="L510" s="37">
        <v>8</v>
      </c>
      <c r="M510" s="37">
        <v>10.8</v>
      </c>
      <c r="N510" s="38">
        <f>1</f>
        <v>1</v>
      </c>
      <c r="O510" s="39">
        <f t="shared" si="45"/>
        <v>2772.4</v>
      </c>
      <c r="P510" s="39">
        <f t="shared" si="46"/>
        <v>3824</v>
      </c>
      <c r="Q510" s="39">
        <f t="shared" si="47"/>
        <v>5162.4000000000005</v>
      </c>
      <c r="R510" s="35" t="str">
        <f t="shared" si="48"/>
        <v>Rs./hr</v>
      </c>
    </row>
    <row r="511" spans="1:18" ht="15" customHeight="1" x14ac:dyDescent="0.3">
      <c r="A511" s="35">
        <v>499</v>
      </c>
      <c r="B511" s="35" t="s">
        <v>929</v>
      </c>
      <c r="C511" s="35" t="s">
        <v>930</v>
      </c>
      <c r="D511" s="36" t="s">
        <v>908</v>
      </c>
      <c r="E511" s="36" t="s">
        <v>188</v>
      </c>
      <c r="F511" s="35" t="s">
        <v>195</v>
      </c>
      <c r="G511" s="35" t="s">
        <v>1357</v>
      </c>
      <c r="H511" s="35" t="s">
        <v>1358</v>
      </c>
      <c r="I511" s="36" t="s">
        <v>1359</v>
      </c>
      <c r="J511" s="35" t="s">
        <v>1360</v>
      </c>
      <c r="K511" s="37">
        <v>5.8</v>
      </c>
      <c r="L511" s="37">
        <v>8</v>
      </c>
      <c r="M511" s="37">
        <v>10.8</v>
      </c>
      <c r="N511" s="38">
        <f>1</f>
        <v>1</v>
      </c>
      <c r="O511" s="39">
        <f t="shared" si="45"/>
        <v>2772.4</v>
      </c>
      <c r="P511" s="39">
        <f t="shared" si="46"/>
        <v>3824</v>
      </c>
      <c r="Q511" s="39">
        <f t="shared" si="47"/>
        <v>5162.4000000000005</v>
      </c>
      <c r="R511" s="35" t="str">
        <f t="shared" si="48"/>
        <v>Rs./hr</v>
      </c>
    </row>
    <row r="512" spans="1:18" ht="15" customHeight="1" x14ac:dyDescent="0.3">
      <c r="A512" s="35">
        <v>500</v>
      </c>
      <c r="B512" s="35" t="s">
        <v>931</v>
      </c>
      <c r="C512" s="35" t="s">
        <v>932</v>
      </c>
      <c r="D512" s="36" t="s">
        <v>908</v>
      </c>
      <c r="E512" s="36" t="s">
        <v>188</v>
      </c>
      <c r="F512" s="35" t="s">
        <v>195</v>
      </c>
      <c r="G512" s="35" t="s">
        <v>1357</v>
      </c>
      <c r="H512" s="35" t="s">
        <v>1358</v>
      </c>
      <c r="I512" s="36" t="s">
        <v>1359</v>
      </c>
      <c r="J512" s="35" t="s">
        <v>1360</v>
      </c>
      <c r="K512" s="37">
        <v>5.8</v>
      </c>
      <c r="L512" s="37">
        <v>8</v>
      </c>
      <c r="M512" s="37">
        <v>10.8</v>
      </c>
      <c r="N512" s="38">
        <f>1</f>
        <v>1</v>
      </c>
      <c r="O512" s="39">
        <f t="shared" si="45"/>
        <v>2772.4</v>
      </c>
      <c r="P512" s="39">
        <f t="shared" si="46"/>
        <v>3824</v>
      </c>
      <c r="Q512" s="39">
        <f t="shared" si="47"/>
        <v>5162.4000000000005</v>
      </c>
      <c r="R512" s="35" t="str">
        <f t="shared" si="48"/>
        <v>Rs./hr</v>
      </c>
    </row>
    <row r="513" spans="1:18" ht="15" customHeight="1" x14ac:dyDescent="0.3">
      <c r="A513" s="35">
        <v>501</v>
      </c>
      <c r="B513" s="35" t="s">
        <v>933</v>
      </c>
      <c r="C513" s="35" t="s">
        <v>934</v>
      </c>
      <c r="D513" s="36" t="s">
        <v>908</v>
      </c>
      <c r="E513" s="36" t="s">
        <v>188</v>
      </c>
      <c r="F513" s="35" t="s">
        <v>195</v>
      </c>
      <c r="G513" s="35" t="s">
        <v>1357</v>
      </c>
      <c r="H513" s="35" t="s">
        <v>1358</v>
      </c>
      <c r="I513" s="36" t="s">
        <v>1359</v>
      </c>
      <c r="J513" s="35" t="s">
        <v>1360</v>
      </c>
      <c r="K513" s="37">
        <v>5.8</v>
      </c>
      <c r="L513" s="37">
        <v>8</v>
      </c>
      <c r="M513" s="37">
        <v>10.8</v>
      </c>
      <c r="N513" s="38">
        <f>1</f>
        <v>1</v>
      </c>
      <c r="O513" s="39">
        <f t="shared" si="45"/>
        <v>2772.4</v>
      </c>
      <c r="P513" s="39">
        <f t="shared" si="46"/>
        <v>3824</v>
      </c>
      <c r="Q513" s="39">
        <f t="shared" si="47"/>
        <v>5162.4000000000005</v>
      </c>
      <c r="R513" s="35" t="str">
        <f t="shared" si="48"/>
        <v>Rs./hr</v>
      </c>
    </row>
    <row r="514" spans="1:18" ht="15" customHeight="1" x14ac:dyDescent="0.3">
      <c r="A514" s="35">
        <v>502</v>
      </c>
      <c r="B514" s="35" t="s">
        <v>935</v>
      </c>
      <c r="C514" s="35" t="s">
        <v>195</v>
      </c>
      <c r="D514" s="36" t="s">
        <v>908</v>
      </c>
      <c r="E514" s="36" t="s">
        <v>188</v>
      </c>
      <c r="F514" s="35" t="s">
        <v>195</v>
      </c>
      <c r="G514" s="35" t="s">
        <v>1357</v>
      </c>
      <c r="H514" s="35" t="s">
        <v>1358</v>
      </c>
      <c r="I514" s="36" t="s">
        <v>1359</v>
      </c>
      <c r="J514" s="35" t="s">
        <v>1360</v>
      </c>
      <c r="K514" s="37">
        <v>5.8</v>
      </c>
      <c r="L514" s="37">
        <v>8</v>
      </c>
      <c r="M514" s="37">
        <v>10.8</v>
      </c>
      <c r="N514" s="38">
        <f>1</f>
        <v>1</v>
      </c>
      <c r="O514" s="39">
        <f t="shared" si="45"/>
        <v>2772.4</v>
      </c>
      <c r="P514" s="39">
        <f t="shared" si="46"/>
        <v>3824</v>
      </c>
      <c r="Q514" s="39">
        <f t="shared" si="47"/>
        <v>5162.4000000000005</v>
      </c>
      <c r="R514" s="35" t="str">
        <f t="shared" si="48"/>
        <v>Rs./hr</v>
      </c>
    </row>
    <row r="515" spans="1:18" ht="15" customHeight="1" x14ac:dyDescent="0.3">
      <c r="A515" s="35">
        <v>503</v>
      </c>
      <c r="B515" s="35" t="s">
        <v>936</v>
      </c>
      <c r="C515" s="35" t="s">
        <v>195</v>
      </c>
      <c r="D515" s="36" t="s">
        <v>908</v>
      </c>
      <c r="E515" s="36" t="s">
        <v>188</v>
      </c>
      <c r="F515" s="35" t="s">
        <v>195</v>
      </c>
      <c r="G515" s="35" t="s">
        <v>1357</v>
      </c>
      <c r="H515" s="35" t="s">
        <v>1358</v>
      </c>
      <c r="I515" s="36" t="s">
        <v>1359</v>
      </c>
      <c r="J515" s="35" t="s">
        <v>1360</v>
      </c>
      <c r="K515" s="37">
        <v>5.8</v>
      </c>
      <c r="L515" s="37">
        <v>8</v>
      </c>
      <c r="M515" s="37">
        <v>10.8</v>
      </c>
      <c r="N515" s="38">
        <f>1</f>
        <v>1</v>
      </c>
      <c r="O515" s="39">
        <f t="shared" si="45"/>
        <v>2772.4</v>
      </c>
      <c r="P515" s="39">
        <f t="shared" si="46"/>
        <v>3824</v>
      </c>
      <c r="Q515" s="39">
        <f t="shared" si="47"/>
        <v>5162.4000000000005</v>
      </c>
      <c r="R515" s="35" t="str">
        <f t="shared" si="48"/>
        <v>Rs./hr</v>
      </c>
    </row>
    <row r="516" spans="1:18" ht="15" customHeight="1" x14ac:dyDescent="0.3">
      <c r="A516" s="35">
        <v>504</v>
      </c>
      <c r="B516" s="35" t="s">
        <v>937</v>
      </c>
      <c r="C516" s="35" t="s">
        <v>938</v>
      </c>
      <c r="D516" s="36" t="s">
        <v>908</v>
      </c>
      <c r="E516" s="36" t="s">
        <v>188</v>
      </c>
      <c r="F516" s="35" t="s">
        <v>195</v>
      </c>
      <c r="G516" s="35" t="s">
        <v>1357</v>
      </c>
      <c r="H516" s="35" t="s">
        <v>1358</v>
      </c>
      <c r="I516" s="36" t="s">
        <v>1359</v>
      </c>
      <c r="J516" s="35" t="s">
        <v>1360</v>
      </c>
      <c r="K516" s="37">
        <v>5.8</v>
      </c>
      <c r="L516" s="37">
        <v>8</v>
      </c>
      <c r="M516" s="37">
        <v>10.8</v>
      </c>
      <c r="N516" s="38">
        <f>1</f>
        <v>1</v>
      </c>
      <c r="O516" s="39">
        <f t="shared" si="45"/>
        <v>2772.4</v>
      </c>
      <c r="P516" s="39">
        <f t="shared" si="46"/>
        <v>3824</v>
      </c>
      <c r="Q516" s="39">
        <f t="shared" si="47"/>
        <v>5162.4000000000005</v>
      </c>
      <c r="R516" s="35" t="str">
        <f t="shared" si="48"/>
        <v>Rs./hr</v>
      </c>
    </row>
    <row r="517" spans="1:18" ht="15" customHeight="1" x14ac:dyDescent="0.3">
      <c r="A517" s="35">
        <v>505</v>
      </c>
      <c r="B517" s="35" t="s">
        <v>939</v>
      </c>
      <c r="C517" s="35" t="s">
        <v>195</v>
      </c>
      <c r="D517" s="36" t="s">
        <v>908</v>
      </c>
      <c r="E517" s="36" t="s">
        <v>188</v>
      </c>
      <c r="F517" s="35" t="s">
        <v>195</v>
      </c>
      <c r="G517" s="35" t="s">
        <v>1357</v>
      </c>
      <c r="H517" s="35" t="s">
        <v>1358</v>
      </c>
      <c r="I517" s="36" t="s">
        <v>1359</v>
      </c>
      <c r="J517" s="35" t="s">
        <v>1360</v>
      </c>
      <c r="K517" s="37">
        <v>5.8</v>
      </c>
      <c r="L517" s="37">
        <v>8</v>
      </c>
      <c r="M517" s="37">
        <v>10.8</v>
      </c>
      <c r="N517" s="38">
        <f>1</f>
        <v>1</v>
      </c>
      <c r="O517" s="39">
        <f t="shared" si="45"/>
        <v>2772.4</v>
      </c>
      <c r="P517" s="39">
        <f t="shared" si="46"/>
        <v>3824</v>
      </c>
      <c r="Q517" s="39">
        <f t="shared" si="47"/>
        <v>5162.4000000000005</v>
      </c>
      <c r="R517" s="35" t="str">
        <f t="shared" si="48"/>
        <v>Rs./hr</v>
      </c>
    </row>
    <row r="518" spans="1:18" ht="15" customHeight="1" x14ac:dyDescent="0.3">
      <c r="A518" s="35">
        <v>506</v>
      </c>
      <c r="B518" s="35" t="s">
        <v>940</v>
      </c>
      <c r="C518" s="35" t="s">
        <v>195</v>
      </c>
      <c r="D518" s="36" t="s">
        <v>908</v>
      </c>
      <c r="E518" s="36" t="s">
        <v>188</v>
      </c>
      <c r="F518" s="35" t="s">
        <v>195</v>
      </c>
      <c r="G518" s="35" t="s">
        <v>1357</v>
      </c>
      <c r="H518" s="35" t="s">
        <v>1358</v>
      </c>
      <c r="I518" s="36" t="s">
        <v>1359</v>
      </c>
      <c r="J518" s="35" t="s">
        <v>1360</v>
      </c>
      <c r="K518" s="37">
        <v>5.8</v>
      </c>
      <c r="L518" s="37">
        <v>8</v>
      </c>
      <c r="M518" s="37">
        <v>10.8</v>
      </c>
      <c r="N518" s="38">
        <f>1</f>
        <v>1</v>
      </c>
      <c r="O518" s="39">
        <f t="shared" si="45"/>
        <v>2772.4</v>
      </c>
      <c r="P518" s="39">
        <f t="shared" si="46"/>
        <v>3824</v>
      </c>
      <c r="Q518" s="39">
        <f t="shared" si="47"/>
        <v>5162.4000000000005</v>
      </c>
      <c r="R518" s="35" t="str">
        <f t="shared" si="48"/>
        <v>Rs./hr</v>
      </c>
    </row>
    <row r="519" spans="1:18" ht="15" customHeight="1" x14ac:dyDescent="0.3">
      <c r="A519" s="35">
        <v>507</v>
      </c>
      <c r="B519" s="35" t="s">
        <v>910</v>
      </c>
      <c r="C519" s="35" t="s">
        <v>911</v>
      </c>
      <c r="D519" s="36" t="s">
        <v>908</v>
      </c>
      <c r="E519" s="36" t="s">
        <v>1647</v>
      </c>
      <c r="F519" s="35">
        <v>2018</v>
      </c>
      <c r="G519" s="35" t="s">
        <v>1357</v>
      </c>
      <c r="H519" s="35" t="s">
        <v>1358</v>
      </c>
      <c r="I519" s="36" t="s">
        <v>1359</v>
      </c>
      <c r="J519" s="35" t="s">
        <v>1360</v>
      </c>
      <c r="K519" s="37">
        <v>5.8</v>
      </c>
      <c r="L519" s="37">
        <v>8</v>
      </c>
      <c r="M519" s="37">
        <v>10.8</v>
      </c>
      <c r="N519" s="38">
        <f>1+MIN(MAX($D$8-F519,0),$D$10)*$D$9</f>
        <v>1.056</v>
      </c>
      <c r="O519" s="39">
        <f t="shared" si="45"/>
        <v>2927.6544000000004</v>
      </c>
      <c r="P519" s="39">
        <f t="shared" si="46"/>
        <v>4038.1440000000002</v>
      </c>
      <c r="Q519" s="39">
        <f t="shared" si="47"/>
        <v>5451.4944000000005</v>
      </c>
      <c r="R519" s="35" t="str">
        <f t="shared" si="48"/>
        <v>Rs./hr</v>
      </c>
    </row>
    <row r="520" spans="1:18" ht="15" customHeight="1" x14ac:dyDescent="0.3">
      <c r="A520" s="35">
        <v>508</v>
      </c>
      <c r="B520" s="35" t="s">
        <v>941</v>
      </c>
      <c r="C520" s="35" t="s">
        <v>195</v>
      </c>
      <c r="D520" s="36" t="s">
        <v>908</v>
      </c>
      <c r="E520" s="36" t="s">
        <v>188</v>
      </c>
      <c r="F520" s="35" t="s">
        <v>195</v>
      </c>
      <c r="G520" s="35" t="s">
        <v>1357</v>
      </c>
      <c r="H520" s="35" t="s">
        <v>1358</v>
      </c>
      <c r="I520" s="36" t="s">
        <v>1359</v>
      </c>
      <c r="J520" s="35" t="s">
        <v>1360</v>
      </c>
      <c r="K520" s="37">
        <v>5.8</v>
      </c>
      <c r="L520" s="37">
        <v>8</v>
      </c>
      <c r="M520" s="37">
        <v>10.8</v>
      </c>
      <c r="N520" s="38">
        <f>1</f>
        <v>1</v>
      </c>
      <c r="O520" s="39">
        <f t="shared" si="45"/>
        <v>2772.4</v>
      </c>
      <c r="P520" s="39">
        <f t="shared" si="46"/>
        <v>3824</v>
      </c>
      <c r="Q520" s="39">
        <f t="shared" si="47"/>
        <v>5162.4000000000005</v>
      </c>
      <c r="R520" s="35" t="str">
        <f t="shared" si="48"/>
        <v>Rs./hr</v>
      </c>
    </row>
    <row r="521" spans="1:18" ht="15" customHeight="1" x14ac:dyDescent="0.3">
      <c r="A521" s="35">
        <v>509</v>
      </c>
      <c r="B521" s="35" t="s">
        <v>942</v>
      </c>
      <c r="C521" s="35" t="s">
        <v>943</v>
      </c>
      <c r="D521" s="36" t="s">
        <v>908</v>
      </c>
      <c r="E521" s="36" t="s">
        <v>188</v>
      </c>
      <c r="F521" s="35" t="s">
        <v>195</v>
      </c>
      <c r="G521" s="35" t="s">
        <v>1357</v>
      </c>
      <c r="H521" s="35" t="s">
        <v>1358</v>
      </c>
      <c r="I521" s="36" t="s">
        <v>1359</v>
      </c>
      <c r="J521" s="35" t="s">
        <v>1360</v>
      </c>
      <c r="K521" s="37">
        <v>5.8</v>
      </c>
      <c r="L521" s="37">
        <v>8</v>
      </c>
      <c r="M521" s="37">
        <v>10.8</v>
      </c>
      <c r="N521" s="38">
        <f>1</f>
        <v>1</v>
      </c>
      <c r="O521" s="39">
        <f t="shared" si="45"/>
        <v>2772.4</v>
      </c>
      <c r="P521" s="39">
        <f t="shared" si="46"/>
        <v>3824</v>
      </c>
      <c r="Q521" s="39">
        <f t="shared" si="47"/>
        <v>5162.4000000000005</v>
      </c>
      <c r="R521" s="35" t="str">
        <f t="shared" si="48"/>
        <v>Rs./hr</v>
      </c>
    </row>
    <row r="522" spans="1:18" ht="15" customHeight="1" x14ac:dyDescent="0.3">
      <c r="A522" s="35">
        <v>510</v>
      </c>
      <c r="B522" s="35" t="s">
        <v>109</v>
      </c>
      <c r="C522" s="35" t="s">
        <v>195</v>
      </c>
      <c r="D522" s="36" t="s">
        <v>87</v>
      </c>
      <c r="E522" s="36" t="s">
        <v>1648</v>
      </c>
      <c r="F522" s="35">
        <v>2009</v>
      </c>
      <c r="G522" s="35" t="s">
        <v>1357</v>
      </c>
      <c r="H522" s="35" t="s">
        <v>1358</v>
      </c>
      <c r="I522" s="36" t="s">
        <v>1649</v>
      </c>
      <c r="J522" s="35" t="s">
        <v>1360</v>
      </c>
      <c r="K522" s="37">
        <v>7.2</v>
      </c>
      <c r="L522" s="37">
        <v>10</v>
      </c>
      <c r="M522" s="37">
        <v>13.5</v>
      </c>
      <c r="N522" s="38">
        <f t="shared" ref="N522:N530" si="50">1+MIN(MAX($D$8-F522,0),$D$10)*$D$9</f>
        <v>1.119</v>
      </c>
      <c r="O522" s="39">
        <f t="shared" si="45"/>
        <v>3851.1504000000004</v>
      </c>
      <c r="P522" s="39">
        <f t="shared" si="46"/>
        <v>5348.82</v>
      </c>
      <c r="Q522" s="39">
        <f t="shared" si="47"/>
        <v>7220.9070000000002</v>
      </c>
      <c r="R522" s="35" t="str">
        <f t="shared" si="48"/>
        <v>Rs./hr</v>
      </c>
    </row>
    <row r="523" spans="1:18" ht="15" customHeight="1" x14ac:dyDescent="0.3">
      <c r="A523" s="35">
        <v>511</v>
      </c>
      <c r="B523" s="35" t="s">
        <v>106</v>
      </c>
      <c r="C523" s="35" t="s">
        <v>195</v>
      </c>
      <c r="D523" s="36" t="s">
        <v>87</v>
      </c>
      <c r="E523" s="36" t="s">
        <v>1650</v>
      </c>
      <c r="F523" s="35">
        <v>2010</v>
      </c>
      <c r="G523" s="35" t="s">
        <v>1357</v>
      </c>
      <c r="H523" s="35" t="s">
        <v>1358</v>
      </c>
      <c r="I523" s="36" t="s">
        <v>1649</v>
      </c>
      <c r="J523" s="35" t="s">
        <v>1360</v>
      </c>
      <c r="K523" s="37">
        <v>7.2</v>
      </c>
      <c r="L523" s="37">
        <v>10</v>
      </c>
      <c r="M523" s="37">
        <v>13.5</v>
      </c>
      <c r="N523" s="38">
        <f t="shared" si="50"/>
        <v>1.1120000000000001</v>
      </c>
      <c r="O523" s="39">
        <f t="shared" si="45"/>
        <v>3827.0592000000006</v>
      </c>
      <c r="P523" s="39">
        <f t="shared" si="46"/>
        <v>5315.3600000000006</v>
      </c>
      <c r="Q523" s="39">
        <f t="shared" si="47"/>
        <v>7175.7359999999999</v>
      </c>
      <c r="R523" s="35" t="str">
        <f t="shared" si="48"/>
        <v>Rs./hr</v>
      </c>
    </row>
    <row r="524" spans="1:18" ht="15" customHeight="1" x14ac:dyDescent="0.3">
      <c r="A524" s="35">
        <v>512</v>
      </c>
      <c r="B524" s="35" t="s">
        <v>104</v>
      </c>
      <c r="C524" s="35" t="s">
        <v>195</v>
      </c>
      <c r="D524" s="36" t="s">
        <v>87</v>
      </c>
      <c r="E524" s="36" t="s">
        <v>1651</v>
      </c>
      <c r="F524" s="35">
        <v>2012</v>
      </c>
      <c r="G524" s="35" t="s">
        <v>1357</v>
      </c>
      <c r="H524" s="35" t="s">
        <v>1358</v>
      </c>
      <c r="I524" s="36" t="s">
        <v>1652</v>
      </c>
      <c r="J524" s="35" t="s">
        <v>1360</v>
      </c>
      <c r="K524" s="37">
        <v>6.5</v>
      </c>
      <c r="L524" s="37">
        <v>9</v>
      </c>
      <c r="M524" s="37">
        <v>12.2</v>
      </c>
      <c r="N524" s="38">
        <f t="shared" si="50"/>
        <v>1.0980000000000001</v>
      </c>
      <c r="O524" s="39">
        <f t="shared" si="45"/>
        <v>3411.4860000000003</v>
      </c>
      <c r="P524" s="39">
        <f t="shared" si="46"/>
        <v>4723.5960000000005</v>
      </c>
      <c r="Q524" s="39">
        <f t="shared" si="47"/>
        <v>6403.0968000000003</v>
      </c>
      <c r="R524" s="35" t="str">
        <f t="shared" si="48"/>
        <v>Rs./hr</v>
      </c>
    </row>
    <row r="525" spans="1:18" ht="15" customHeight="1" x14ac:dyDescent="0.3">
      <c r="A525" s="35">
        <v>513</v>
      </c>
      <c r="B525" s="35" t="s">
        <v>98</v>
      </c>
      <c r="C525" s="35" t="s">
        <v>195</v>
      </c>
      <c r="D525" s="36" t="s">
        <v>87</v>
      </c>
      <c r="E525" s="36" t="s">
        <v>1653</v>
      </c>
      <c r="F525" s="35">
        <v>2013</v>
      </c>
      <c r="G525" s="35" t="s">
        <v>1357</v>
      </c>
      <c r="H525" s="35" t="s">
        <v>1358</v>
      </c>
      <c r="I525" s="36" t="s">
        <v>1654</v>
      </c>
      <c r="J525" s="35" t="s">
        <v>1360</v>
      </c>
      <c r="K525" s="37">
        <v>8.6</v>
      </c>
      <c r="L525" s="37">
        <v>12</v>
      </c>
      <c r="M525" s="37">
        <v>16.2</v>
      </c>
      <c r="N525" s="38">
        <f t="shared" si="50"/>
        <v>1.091</v>
      </c>
      <c r="O525" s="39">
        <f t="shared" ref="O525:O530" si="51">IF(H525="None",0,IF(H525="KM",IF(G525="Petrol",$D$6,$D$5)*N525/K525,K525*N525*IF(G525="Petrol",$D$6,$D$5)))</f>
        <v>4484.8828000000003</v>
      </c>
      <c r="P525" s="39">
        <f t="shared" ref="P525:P530" si="52">IF(H525="None",0,IF(H525="KM",IF(G525="Petrol",$D$6,$D$5)*N525/L525,L525*N525*IF(G525="Petrol",$D$6,$D$5)))</f>
        <v>6257.9759999999997</v>
      </c>
      <c r="Q525" s="39">
        <f t="shared" ref="Q525:Q530" si="53">IF(H525="None",0,IF(H525="KM",IF(G525="Petrol",$D$6,$D$5)*N525/M525,M525*N525*IF(G525="Petrol",$D$6,$D$5)))</f>
        <v>8448.2675999999992</v>
      </c>
      <c r="R525" s="35" t="str">
        <f t="shared" ref="R525:R530" si="54">IF(H525="None","—",IF(H525="KM","Rs./km","Rs./hr"))</f>
        <v>Rs./hr</v>
      </c>
    </row>
    <row r="526" spans="1:18" ht="15" customHeight="1" x14ac:dyDescent="0.3">
      <c r="A526" s="35">
        <v>514</v>
      </c>
      <c r="B526" s="35" t="s">
        <v>93</v>
      </c>
      <c r="C526" s="35" t="s">
        <v>195</v>
      </c>
      <c r="D526" s="36" t="s">
        <v>87</v>
      </c>
      <c r="E526" s="36" t="s">
        <v>1655</v>
      </c>
      <c r="F526" s="35">
        <v>2014</v>
      </c>
      <c r="G526" s="35" t="s">
        <v>1357</v>
      </c>
      <c r="H526" s="35" t="s">
        <v>1358</v>
      </c>
      <c r="I526" s="36" t="s">
        <v>1656</v>
      </c>
      <c r="J526" s="35" t="s">
        <v>1360</v>
      </c>
      <c r="K526" s="37">
        <v>8.6</v>
      </c>
      <c r="L526" s="37">
        <v>12</v>
      </c>
      <c r="M526" s="37">
        <v>16.2</v>
      </c>
      <c r="N526" s="38">
        <f t="shared" si="50"/>
        <v>1.0840000000000001</v>
      </c>
      <c r="O526" s="39">
        <f t="shared" si="51"/>
        <v>4456.1072000000004</v>
      </c>
      <c r="P526" s="39">
        <f t="shared" si="52"/>
        <v>6217.8240000000005</v>
      </c>
      <c r="Q526" s="39">
        <f t="shared" si="53"/>
        <v>8394.0624000000007</v>
      </c>
      <c r="R526" s="35" t="str">
        <f t="shared" si="54"/>
        <v>Rs./hr</v>
      </c>
    </row>
    <row r="527" spans="1:18" ht="15" customHeight="1" x14ac:dyDescent="0.3">
      <c r="A527" s="35">
        <v>515</v>
      </c>
      <c r="B527" s="35" t="s">
        <v>101</v>
      </c>
      <c r="C527" s="35" t="s">
        <v>102</v>
      </c>
      <c r="D527" s="36" t="s">
        <v>87</v>
      </c>
      <c r="E527" s="36" t="s">
        <v>1657</v>
      </c>
      <c r="F527" s="35">
        <v>2013</v>
      </c>
      <c r="G527" s="35" t="s">
        <v>1357</v>
      </c>
      <c r="H527" s="35" t="s">
        <v>1358</v>
      </c>
      <c r="I527" s="36" t="s">
        <v>1654</v>
      </c>
      <c r="J527" s="35" t="s">
        <v>1360</v>
      </c>
      <c r="K527" s="37">
        <v>7.9</v>
      </c>
      <c r="L527" s="37">
        <v>11</v>
      </c>
      <c r="M527" s="37">
        <v>14.9</v>
      </c>
      <c r="N527" s="38">
        <f t="shared" si="50"/>
        <v>1.091</v>
      </c>
      <c r="O527" s="39">
        <f t="shared" si="51"/>
        <v>4119.8342000000002</v>
      </c>
      <c r="P527" s="39">
        <f t="shared" si="52"/>
        <v>5736.4780000000001</v>
      </c>
      <c r="Q527" s="39">
        <f t="shared" si="53"/>
        <v>7770.3202000000001</v>
      </c>
      <c r="R527" s="35" t="str">
        <f t="shared" si="54"/>
        <v>Rs./hr</v>
      </c>
    </row>
    <row r="528" spans="1:18" ht="15" customHeight="1" x14ac:dyDescent="0.3">
      <c r="A528" s="35">
        <v>516</v>
      </c>
      <c r="B528" s="35" t="s">
        <v>91</v>
      </c>
      <c r="C528" s="35" t="s">
        <v>195</v>
      </c>
      <c r="D528" s="36" t="s">
        <v>87</v>
      </c>
      <c r="E528" s="36" t="s">
        <v>1658</v>
      </c>
      <c r="F528" s="35">
        <v>2015</v>
      </c>
      <c r="G528" s="35" t="s">
        <v>1357</v>
      </c>
      <c r="H528" s="35" t="s">
        <v>1358</v>
      </c>
      <c r="I528" s="36" t="s">
        <v>1652</v>
      </c>
      <c r="J528" s="35" t="s">
        <v>1360</v>
      </c>
      <c r="K528" s="37">
        <v>5.8</v>
      </c>
      <c r="L528" s="37">
        <v>8</v>
      </c>
      <c r="M528" s="37">
        <v>10.8</v>
      </c>
      <c r="N528" s="38">
        <f t="shared" si="50"/>
        <v>1.077</v>
      </c>
      <c r="O528" s="39">
        <f t="shared" si="51"/>
        <v>2985.8748000000001</v>
      </c>
      <c r="P528" s="39">
        <f t="shared" si="52"/>
        <v>4118.4479999999994</v>
      </c>
      <c r="Q528" s="39">
        <f t="shared" si="53"/>
        <v>5559.9048000000003</v>
      </c>
      <c r="R528" s="35" t="str">
        <f t="shared" si="54"/>
        <v>Rs./hr</v>
      </c>
    </row>
    <row r="529" spans="1:18" ht="15" customHeight="1" x14ac:dyDescent="0.3">
      <c r="A529" s="35">
        <v>517</v>
      </c>
      <c r="B529" s="35" t="s">
        <v>96</v>
      </c>
      <c r="C529" s="35" t="s">
        <v>195</v>
      </c>
      <c r="D529" s="36" t="s">
        <v>87</v>
      </c>
      <c r="E529" s="36" t="s">
        <v>1659</v>
      </c>
      <c r="F529" s="35">
        <v>2014</v>
      </c>
      <c r="G529" s="35" t="s">
        <v>1357</v>
      </c>
      <c r="H529" s="35" t="s">
        <v>1358</v>
      </c>
      <c r="I529" s="36" t="s">
        <v>1652</v>
      </c>
      <c r="J529" s="35" t="s">
        <v>1360</v>
      </c>
      <c r="K529" s="37">
        <v>6.5</v>
      </c>
      <c r="L529" s="37">
        <v>9</v>
      </c>
      <c r="M529" s="37">
        <v>12.2</v>
      </c>
      <c r="N529" s="38">
        <f t="shared" si="50"/>
        <v>1.0840000000000001</v>
      </c>
      <c r="O529" s="39">
        <f t="shared" si="51"/>
        <v>3367.9880000000003</v>
      </c>
      <c r="P529" s="39">
        <f t="shared" si="52"/>
        <v>4663.3680000000004</v>
      </c>
      <c r="Q529" s="39">
        <f t="shared" si="53"/>
        <v>6321.4543999999996</v>
      </c>
      <c r="R529" s="35" t="str">
        <f t="shared" si="54"/>
        <v>Rs./hr</v>
      </c>
    </row>
    <row r="530" spans="1:18" ht="15" customHeight="1" x14ac:dyDescent="0.3">
      <c r="A530" s="35">
        <v>518</v>
      </c>
      <c r="B530" s="35" t="s">
        <v>89</v>
      </c>
      <c r="C530" s="35" t="s">
        <v>195</v>
      </c>
      <c r="D530" s="36" t="s">
        <v>87</v>
      </c>
      <c r="E530" s="36" t="s">
        <v>1660</v>
      </c>
      <c r="F530" s="35">
        <v>2020</v>
      </c>
      <c r="G530" s="35" t="s">
        <v>1357</v>
      </c>
      <c r="H530" s="35" t="s">
        <v>1358</v>
      </c>
      <c r="I530" s="36" t="s">
        <v>1661</v>
      </c>
      <c r="J530" s="35" t="s">
        <v>1360</v>
      </c>
      <c r="K530" s="37">
        <v>10.8</v>
      </c>
      <c r="L530" s="37">
        <v>15</v>
      </c>
      <c r="M530" s="37">
        <v>20.3</v>
      </c>
      <c r="N530" s="38">
        <f t="shared" si="50"/>
        <v>1.042</v>
      </c>
      <c r="O530" s="39">
        <f t="shared" si="51"/>
        <v>5379.2208000000001</v>
      </c>
      <c r="P530" s="39">
        <f t="shared" si="52"/>
        <v>7471.14</v>
      </c>
      <c r="Q530" s="39">
        <f t="shared" si="53"/>
        <v>10110.942800000001</v>
      </c>
      <c r="R530" s="35" t="str">
        <f t="shared" si="54"/>
        <v>Rs./hr</v>
      </c>
    </row>
    <row r="532" spans="1:18" ht="15" customHeight="1" x14ac:dyDescent="0.3">
      <c r="A532" s="188" t="s">
        <v>1662</v>
      </c>
      <c r="B532" s="186"/>
      <c r="C532" s="186"/>
      <c r="D532" s="186"/>
      <c r="E532" s="186"/>
      <c r="F532" s="186"/>
      <c r="G532" s="186"/>
      <c r="H532" s="186"/>
      <c r="I532" s="186"/>
      <c r="J532" s="186"/>
      <c r="K532" s="186"/>
      <c r="L532" s="186"/>
      <c r="M532" s="186"/>
      <c r="N532" s="186"/>
      <c r="O532" s="186"/>
      <c r="P532" s="186"/>
      <c r="Q532" s="186"/>
      <c r="R532" s="186"/>
    </row>
    <row r="533" spans="1:18" ht="33.75" customHeight="1" x14ac:dyDescent="0.3">
      <c r="A533" s="185" t="s">
        <v>1663</v>
      </c>
      <c r="B533" s="186"/>
      <c r="C533" s="186"/>
      <c r="D533" s="186"/>
      <c r="E533" s="186"/>
      <c r="F533" s="186"/>
      <c r="G533" s="186"/>
      <c r="H533" s="186"/>
      <c r="I533" s="186"/>
      <c r="J533" s="186"/>
      <c r="K533" s="186"/>
      <c r="L533" s="186"/>
      <c r="M533" s="186"/>
      <c r="N533" s="186"/>
      <c r="O533" s="186"/>
      <c r="P533" s="186"/>
      <c r="Q533" s="186"/>
      <c r="R533" s="186"/>
    </row>
    <row r="534" spans="1:18" ht="33.75" customHeight="1" x14ac:dyDescent="0.3">
      <c r="A534" s="185" t="s">
        <v>1664</v>
      </c>
      <c r="B534" s="186"/>
      <c r="C534" s="186"/>
      <c r="D534" s="186"/>
      <c r="E534" s="186"/>
      <c r="F534" s="186"/>
      <c r="G534" s="186"/>
      <c r="H534" s="186"/>
      <c r="I534" s="186"/>
      <c r="J534" s="186"/>
      <c r="K534" s="186"/>
      <c r="L534" s="186"/>
      <c r="M534" s="186"/>
      <c r="N534" s="186"/>
      <c r="O534" s="186"/>
      <c r="P534" s="186"/>
      <c r="Q534" s="186"/>
      <c r="R534" s="186"/>
    </row>
    <row r="535" spans="1:18" ht="33.75" customHeight="1" x14ac:dyDescent="0.3">
      <c r="A535" s="185" t="s">
        <v>1665</v>
      </c>
      <c r="B535" s="186"/>
      <c r="C535" s="186"/>
      <c r="D535" s="186"/>
      <c r="E535" s="186"/>
      <c r="F535" s="186"/>
      <c r="G535" s="186"/>
      <c r="H535" s="186"/>
      <c r="I535" s="186"/>
      <c r="J535" s="186"/>
      <c r="K535" s="186"/>
      <c r="L535" s="186"/>
      <c r="M535" s="186"/>
      <c r="N535" s="186"/>
      <c r="O535" s="186"/>
      <c r="P535" s="186"/>
      <c r="Q535" s="186"/>
      <c r="R535" s="186"/>
    </row>
    <row r="536" spans="1:18" ht="33.75" customHeight="1" x14ac:dyDescent="0.3">
      <c r="A536" s="185" t="s">
        <v>1666</v>
      </c>
      <c r="B536" s="186"/>
      <c r="C536" s="186"/>
      <c r="D536" s="186"/>
      <c r="E536" s="186"/>
      <c r="F536" s="186"/>
      <c r="G536" s="186"/>
      <c r="H536" s="186"/>
      <c r="I536" s="186"/>
      <c r="J536" s="186"/>
      <c r="K536" s="186"/>
      <c r="L536" s="186"/>
      <c r="M536" s="186"/>
      <c r="N536" s="186"/>
      <c r="O536" s="186"/>
      <c r="P536" s="186"/>
      <c r="Q536" s="186"/>
      <c r="R536" s="186"/>
    </row>
    <row r="537" spans="1:18" ht="33.75" customHeight="1" x14ac:dyDescent="0.3">
      <c r="A537" s="185" t="s">
        <v>1667</v>
      </c>
      <c r="B537" s="186"/>
      <c r="C537" s="186"/>
      <c r="D537" s="186"/>
      <c r="E537" s="186"/>
      <c r="F537" s="186"/>
      <c r="G537" s="186"/>
      <c r="H537" s="186"/>
      <c r="I537" s="186"/>
      <c r="J537" s="186"/>
      <c r="K537" s="186"/>
      <c r="L537" s="186"/>
      <c r="M537" s="186"/>
      <c r="N537" s="186"/>
      <c r="O537" s="186"/>
      <c r="P537" s="186"/>
      <c r="Q537" s="186"/>
      <c r="R537" s="186"/>
    </row>
  </sheetData>
  <mergeCells count="15">
    <mergeCell ref="A537:R537"/>
    <mergeCell ref="A536:R536"/>
    <mergeCell ref="A1:R1"/>
    <mergeCell ref="A4:F4"/>
    <mergeCell ref="A532:R532"/>
    <mergeCell ref="A534:R534"/>
    <mergeCell ref="A10:C10"/>
    <mergeCell ref="A535:R535"/>
    <mergeCell ref="A5:C5"/>
    <mergeCell ref="A2:R2"/>
    <mergeCell ref="A11:R11"/>
    <mergeCell ref="A8:C8"/>
    <mergeCell ref="A533:R533"/>
    <mergeCell ref="A6:C6"/>
    <mergeCell ref="A9:C9"/>
  </mergeCells>
  <pageMargins left="0.75" right="0.75" top="1" bottom="1" header="0.511811023622047" footer="0.511811023622047"/>
  <pageSetup paperSize="9" scale="91" orientation="landscape" horizontalDpi="300" verticalDpi="300" r:id="rId1"/>
  <rowBreaks count="1" manualBreakCount="1">
    <brk id="42" max="12" man="1"/>
  </rowBreaks>
  <colBreaks count="1" manualBreakCount="1">
    <brk id="13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4"/>
  <sheetViews>
    <sheetView zoomScaleNormal="100" workbookViewId="0">
      <pane ySplit="4" topLeftCell="A5" activePane="bottomLeft" state="frozen"/>
      <selection pane="bottomLeft" activeCell="F34" sqref="F34"/>
    </sheetView>
  </sheetViews>
  <sheetFormatPr defaultColWidth="8.6640625" defaultRowHeight="14.4" x14ac:dyDescent="0.3"/>
  <cols>
    <col min="1" max="1" width="5" customWidth="1"/>
    <col min="2" max="2" width="26" customWidth="1"/>
    <col min="3" max="3" width="13" customWidth="1"/>
    <col min="4" max="4" width="18" customWidth="1"/>
    <col min="5" max="5" width="22" customWidth="1"/>
    <col min="6" max="6" width="30" customWidth="1"/>
  </cols>
  <sheetData>
    <row r="1" spans="1:6" ht="24" customHeight="1" x14ac:dyDescent="0.4">
      <c r="A1" s="193" t="s">
        <v>1668</v>
      </c>
      <c r="B1" s="186"/>
      <c r="C1" s="186"/>
      <c r="D1" s="186"/>
      <c r="E1" s="186"/>
      <c r="F1" s="186"/>
    </row>
    <row r="2" spans="1:6" ht="15" customHeight="1" x14ac:dyDescent="0.3">
      <c r="A2" s="197" t="s">
        <v>1669</v>
      </c>
      <c r="B2" s="186"/>
      <c r="C2" s="186"/>
      <c r="D2" s="186"/>
      <c r="E2" s="186"/>
      <c r="F2" s="186"/>
    </row>
    <row r="4" spans="1:6" ht="26.25" customHeight="1" x14ac:dyDescent="0.3">
      <c r="A4" s="8" t="s">
        <v>2</v>
      </c>
      <c r="B4" s="8" t="s">
        <v>3</v>
      </c>
      <c r="C4" s="8" t="s">
        <v>1670</v>
      </c>
      <c r="D4" s="8" t="s">
        <v>1671</v>
      </c>
      <c r="E4" s="8" t="s">
        <v>1672</v>
      </c>
      <c r="F4" s="8" t="s">
        <v>1673</v>
      </c>
    </row>
    <row r="5" spans="1:6" ht="15" customHeight="1" x14ac:dyDescent="0.3">
      <c r="A5" s="9">
        <v>1</v>
      </c>
      <c r="B5" s="10" t="s">
        <v>19</v>
      </c>
      <c r="C5" s="9">
        <v>24</v>
      </c>
      <c r="D5" s="12">
        <f>IFERROR(AVERAGEIF('Fleet Pricing'!B:B,B5,'Fleet Pricing'!H:H),0)</f>
        <v>3704.5833333333335</v>
      </c>
      <c r="E5" s="12">
        <f>IFERROR(AVERAGEIF('Fleet Pricing'!B:B,B5,'Fleet Pricing'!L:L),0)</f>
        <v>377937.5</v>
      </c>
      <c r="F5" s="12">
        <f t="shared" ref="F5:F33" si="0">C5*E5</f>
        <v>9070500</v>
      </c>
    </row>
    <row r="6" spans="1:6" ht="15" customHeight="1" x14ac:dyDescent="0.3">
      <c r="A6" s="9">
        <v>2</v>
      </c>
      <c r="B6" s="10" t="s">
        <v>87</v>
      </c>
      <c r="C6" s="9">
        <v>9</v>
      </c>
      <c r="D6" s="12">
        <f>IFERROR(AVERAGEIF('Fleet Pricing'!B:B,B6,'Fleet Pricing'!H:H),0)</f>
        <v>7097.7777777777774</v>
      </c>
      <c r="E6" s="12">
        <f>IFERROR(AVERAGEIF('Fleet Pricing'!B:B,B6,'Fleet Pricing'!L:L),0)</f>
        <v>724055.5555555555</v>
      </c>
      <c r="F6" s="12">
        <f t="shared" si="0"/>
        <v>6516500</v>
      </c>
    </row>
    <row r="7" spans="1:6" ht="15" customHeight="1" x14ac:dyDescent="0.3">
      <c r="A7" s="9">
        <v>3</v>
      </c>
      <c r="B7" s="10" t="s">
        <v>112</v>
      </c>
      <c r="C7" s="9">
        <v>16</v>
      </c>
      <c r="D7" s="12">
        <f>IFERROR(AVERAGEIF('Fleet Pricing'!B:B,B7,'Fleet Pricing'!H:H),0)</f>
        <v>3780.625</v>
      </c>
      <c r="E7" s="12">
        <f>IFERROR(AVERAGEIF('Fleet Pricing'!B:B,B7,'Fleet Pricing'!L:L),0)</f>
        <v>385656.25</v>
      </c>
      <c r="F7" s="12">
        <f t="shared" si="0"/>
        <v>6170500</v>
      </c>
    </row>
    <row r="8" spans="1:6" ht="15" customHeight="1" x14ac:dyDescent="0.3">
      <c r="A8" s="9">
        <v>4</v>
      </c>
      <c r="B8" s="10" t="s">
        <v>161</v>
      </c>
      <c r="C8" s="9">
        <v>3</v>
      </c>
      <c r="D8" s="12">
        <f>IFERROR(AVERAGEIF('Fleet Pricing'!B:B,B8,'Fleet Pricing'!H:H),0)</f>
        <v>4880</v>
      </c>
      <c r="E8" s="12">
        <f>IFERROR(AVERAGEIF('Fleet Pricing'!B:B,B8,'Fleet Pricing'!L:L),0)</f>
        <v>498000</v>
      </c>
      <c r="F8" s="12">
        <f t="shared" si="0"/>
        <v>1494000</v>
      </c>
    </row>
    <row r="9" spans="1:6" ht="15" customHeight="1" x14ac:dyDescent="0.3">
      <c r="A9" s="9">
        <v>5</v>
      </c>
      <c r="B9" s="10" t="s">
        <v>171</v>
      </c>
      <c r="C9" s="9">
        <v>19</v>
      </c>
      <c r="D9" s="12">
        <f>IFERROR(AVERAGEIF('Fleet Pricing'!B:B,B9,'Fleet Pricing'!H:H),0)</f>
        <v>3602.1052631578946</v>
      </c>
      <c r="E9" s="12">
        <f>IFERROR(AVERAGEIF('Fleet Pricing'!B:B,B9,'Fleet Pricing'!L:L),0)</f>
        <v>367421.05263157893</v>
      </c>
      <c r="F9" s="12">
        <f t="shared" si="0"/>
        <v>6981000</v>
      </c>
    </row>
    <row r="10" spans="1:6" ht="15" customHeight="1" x14ac:dyDescent="0.3">
      <c r="A10" s="9">
        <v>6</v>
      </c>
      <c r="B10" s="10" t="s">
        <v>205</v>
      </c>
      <c r="C10" s="9">
        <v>72</v>
      </c>
      <c r="D10" s="12">
        <f>IFERROR(AVERAGEIF('Fleet Pricing'!B:B,B10,'Fleet Pricing'!H:H),0)</f>
        <v>2716.6666666666665</v>
      </c>
      <c r="E10" s="12">
        <f>IFERROR(AVERAGEIF('Fleet Pricing'!B:B,B10,'Fleet Pricing'!L:L),0)</f>
        <v>277083.33333333331</v>
      </c>
      <c r="F10" s="12">
        <f t="shared" si="0"/>
        <v>19950000</v>
      </c>
    </row>
    <row r="11" spans="1:6" ht="15" customHeight="1" x14ac:dyDescent="0.3">
      <c r="A11" s="9">
        <v>7</v>
      </c>
      <c r="B11" s="10" t="s">
        <v>297</v>
      </c>
      <c r="C11" s="9">
        <v>10</v>
      </c>
      <c r="D11" s="12">
        <f>IFERROR(AVERAGEIF('Fleet Pricing'!B:B,B11,'Fleet Pricing'!H:H),0)</f>
        <v>2983</v>
      </c>
      <c r="E11" s="12">
        <f>IFERROR(AVERAGEIF('Fleet Pricing'!B:B,B11,'Fleet Pricing'!L:L),0)</f>
        <v>304250</v>
      </c>
      <c r="F11" s="12">
        <f t="shared" si="0"/>
        <v>3042500</v>
      </c>
    </row>
    <row r="12" spans="1:6" ht="15" customHeight="1" x14ac:dyDescent="0.3">
      <c r="A12" s="9">
        <v>8</v>
      </c>
      <c r="B12" s="10" t="s">
        <v>318</v>
      </c>
      <c r="C12" s="9">
        <v>16</v>
      </c>
      <c r="D12" s="12">
        <f>IFERROR(AVERAGEIF('Fleet Pricing'!B:B,B12,'Fleet Pricing'!H:H),0)</f>
        <v>7094.375</v>
      </c>
      <c r="E12" s="12">
        <f>IFERROR(AVERAGEIF('Fleet Pricing'!B:B,B12,'Fleet Pricing'!L:L),0)</f>
        <v>723593.75</v>
      </c>
      <c r="F12" s="12">
        <f t="shared" si="0"/>
        <v>11577500</v>
      </c>
    </row>
    <row r="13" spans="1:6" ht="15" customHeight="1" x14ac:dyDescent="0.3">
      <c r="A13" s="9">
        <v>9</v>
      </c>
      <c r="B13" s="10" t="s">
        <v>352</v>
      </c>
      <c r="C13" s="9">
        <v>25</v>
      </c>
      <c r="D13" s="12">
        <f>IFERROR(AVERAGEIF('Fleet Pricing'!B:B,B13,'Fleet Pricing'!H:H),0)</f>
        <v>2489.6</v>
      </c>
      <c r="E13" s="12">
        <f>IFERROR(AVERAGEIF('Fleet Pricing'!B:B,B13,'Fleet Pricing'!L:L),0)</f>
        <v>254000</v>
      </c>
      <c r="F13" s="12">
        <f t="shared" si="0"/>
        <v>6350000</v>
      </c>
    </row>
    <row r="14" spans="1:6" ht="15" customHeight="1" x14ac:dyDescent="0.3">
      <c r="A14" s="9">
        <v>10</v>
      </c>
      <c r="B14" s="10" t="s">
        <v>386</v>
      </c>
      <c r="C14" s="9">
        <v>11</v>
      </c>
      <c r="D14" s="12">
        <f>IFERROR(AVERAGEIF('Fleet Pricing'!B:B,B14,'Fleet Pricing'!H:H),0)</f>
        <v>6381.818181818182</v>
      </c>
      <c r="E14" s="12">
        <f>IFERROR(AVERAGEIF('Fleet Pricing'!B:B,B14,'Fleet Pricing'!L:L),0)</f>
        <v>650863.63636363635</v>
      </c>
      <c r="F14" s="12">
        <f t="shared" si="0"/>
        <v>7159500</v>
      </c>
    </row>
    <row r="15" spans="1:6" ht="15" customHeight="1" x14ac:dyDescent="0.3">
      <c r="A15" s="9">
        <v>11</v>
      </c>
      <c r="B15" s="10" t="s">
        <v>408</v>
      </c>
      <c r="C15" s="9">
        <v>4</v>
      </c>
      <c r="D15" s="12">
        <f>IFERROR(AVERAGEIF('Fleet Pricing'!B:B,B15,'Fleet Pricing'!H:H),0)</f>
        <v>2747.5</v>
      </c>
      <c r="E15" s="12">
        <f>IFERROR(AVERAGEIF('Fleet Pricing'!B:B,B15,'Fleet Pricing'!L:L),0)</f>
        <v>280125</v>
      </c>
      <c r="F15" s="12">
        <f t="shared" si="0"/>
        <v>1120500</v>
      </c>
    </row>
    <row r="16" spans="1:6" ht="15" customHeight="1" x14ac:dyDescent="0.3">
      <c r="A16" s="9">
        <v>12</v>
      </c>
      <c r="B16" s="10" t="s">
        <v>423</v>
      </c>
      <c r="C16" s="9">
        <v>2</v>
      </c>
      <c r="D16" s="12">
        <f>IFERROR(AVERAGEIF('Fleet Pricing'!B:B,B16,'Fleet Pricing'!H:H),0)</f>
        <v>5100</v>
      </c>
      <c r="E16" s="12">
        <f>IFERROR(AVERAGEIF('Fleet Pricing'!B:B,B16,'Fleet Pricing'!L:L),0)</f>
        <v>520000</v>
      </c>
      <c r="F16" s="12">
        <f t="shared" si="0"/>
        <v>1040000</v>
      </c>
    </row>
    <row r="17" spans="1:6" ht="15" customHeight="1" x14ac:dyDescent="0.3">
      <c r="A17" s="9">
        <v>13</v>
      </c>
      <c r="B17" s="10" t="s">
        <v>433</v>
      </c>
      <c r="C17" s="9">
        <v>4</v>
      </c>
      <c r="D17" s="12">
        <f>IFERROR(AVERAGEIF('Fleet Pricing'!B:B,B17,'Fleet Pricing'!H:H),0)</f>
        <v>3337.5</v>
      </c>
      <c r="E17" s="12">
        <f>IFERROR(AVERAGEIF('Fleet Pricing'!B:B,B17,'Fleet Pricing'!L:L),0)</f>
        <v>340375</v>
      </c>
      <c r="F17" s="12">
        <f t="shared" si="0"/>
        <v>1361500</v>
      </c>
    </row>
    <row r="18" spans="1:6" ht="15" customHeight="1" x14ac:dyDescent="0.3">
      <c r="A18" s="9">
        <v>14</v>
      </c>
      <c r="B18" s="10" t="s">
        <v>448</v>
      </c>
      <c r="C18" s="9">
        <v>8</v>
      </c>
      <c r="D18" s="12">
        <f>IFERROR(AVERAGEIF('Fleet Pricing'!B:B,B18,'Fleet Pricing'!H:H),0)</f>
        <v>3540</v>
      </c>
      <c r="E18" s="12">
        <f>IFERROR(AVERAGEIF('Fleet Pricing'!B:B,B18,'Fleet Pricing'!L:L),0)</f>
        <v>361062.5</v>
      </c>
      <c r="F18" s="12">
        <f t="shared" si="0"/>
        <v>2888500</v>
      </c>
    </row>
    <row r="19" spans="1:6" ht="15" customHeight="1" x14ac:dyDescent="0.3">
      <c r="A19" s="9">
        <v>15</v>
      </c>
      <c r="B19" s="10" t="s">
        <v>473</v>
      </c>
      <c r="C19" s="9">
        <v>2</v>
      </c>
      <c r="D19" s="12">
        <f>IFERROR(AVERAGEIF('Fleet Pricing'!B:B,B19,'Fleet Pricing'!H:H),0)</f>
        <v>7665</v>
      </c>
      <c r="E19" s="12">
        <f>IFERROR(AVERAGEIF('Fleet Pricing'!B:B,B19,'Fleet Pricing'!L:L),0)</f>
        <v>781750</v>
      </c>
      <c r="F19" s="12">
        <f t="shared" si="0"/>
        <v>1563500</v>
      </c>
    </row>
    <row r="20" spans="1:6" ht="15" customHeight="1" x14ac:dyDescent="0.3">
      <c r="A20" s="9">
        <v>16</v>
      </c>
      <c r="B20" s="10" t="s">
        <v>481</v>
      </c>
      <c r="C20" s="9">
        <v>25</v>
      </c>
      <c r="D20" s="12">
        <f>IFERROR(AVERAGEIF('Fleet Pricing'!B:B,B20,'Fleet Pricing'!H:H),0)</f>
        <v>1359.6</v>
      </c>
      <c r="E20" s="12">
        <f>IFERROR(AVERAGEIF('Fleet Pricing'!B:B,B20,'Fleet Pricing'!L:L),0)</f>
        <v>138600</v>
      </c>
      <c r="F20" s="12">
        <f t="shared" si="0"/>
        <v>3465000</v>
      </c>
    </row>
    <row r="21" spans="1:6" ht="15" customHeight="1" x14ac:dyDescent="0.3">
      <c r="A21" s="9">
        <v>17</v>
      </c>
      <c r="B21" s="10" t="s">
        <v>546</v>
      </c>
      <c r="C21" s="9">
        <v>3</v>
      </c>
      <c r="D21" s="12">
        <f>IFERROR(AVERAGEIF('Fleet Pricing'!B:B,B21,'Fleet Pricing'!H:H),0)</f>
        <v>1003.3333333333334</v>
      </c>
      <c r="E21" s="12">
        <f>IFERROR(AVERAGEIF('Fleet Pricing'!B:B,B21,'Fleet Pricing'!L:L),0)</f>
        <v>102500</v>
      </c>
      <c r="F21" s="12">
        <f t="shared" si="0"/>
        <v>307500</v>
      </c>
    </row>
    <row r="22" spans="1:6" ht="15" customHeight="1" x14ac:dyDescent="0.3">
      <c r="A22" s="9">
        <v>18</v>
      </c>
      <c r="B22" s="10" t="s">
        <v>555</v>
      </c>
      <c r="C22" s="9">
        <v>11</v>
      </c>
      <c r="D22" s="12">
        <f>IFERROR(AVERAGEIF('Fleet Pricing'!B:B,B22,'Fleet Pricing'!H:H),0)</f>
        <v>1080.909090909091</v>
      </c>
      <c r="E22" s="12">
        <f>IFERROR(AVERAGEIF('Fleet Pricing'!B:B,B22,'Fleet Pricing'!L:L),0)</f>
        <v>110181.81818181818</v>
      </c>
      <c r="F22" s="12">
        <f t="shared" si="0"/>
        <v>1212000</v>
      </c>
    </row>
    <row r="23" spans="1:6" ht="15" customHeight="1" x14ac:dyDescent="0.3">
      <c r="A23" s="9">
        <v>19</v>
      </c>
      <c r="B23" s="10" t="s">
        <v>589</v>
      </c>
      <c r="C23" s="9">
        <v>13</v>
      </c>
      <c r="D23" s="12">
        <f>IFERROR(AVERAGEIF('Fleet Pricing'!B:B,B23,'Fleet Pricing'!H:H),0)</f>
        <v>956.92307692307691</v>
      </c>
      <c r="E23" s="12">
        <f>IFERROR(AVERAGEIF('Fleet Pricing'!B:B,B23,'Fleet Pricing'!L:L),0)</f>
        <v>97615.38461538461</v>
      </c>
      <c r="F23" s="12">
        <f t="shared" si="0"/>
        <v>1269000</v>
      </c>
    </row>
    <row r="24" spans="1:6" ht="15" customHeight="1" x14ac:dyDescent="0.3">
      <c r="A24" s="9">
        <v>20</v>
      </c>
      <c r="B24" s="10" t="s">
        <v>625</v>
      </c>
      <c r="C24" s="9">
        <v>88</v>
      </c>
      <c r="D24" s="12">
        <f>IFERROR(AVERAGEIF('Fleet Pricing'!B:B,B24,'Fleet Pricing'!H:H),0)</f>
        <v>2933.2954545454545</v>
      </c>
      <c r="E24" s="12">
        <f>IFERROR(AVERAGEIF('Fleet Pricing'!B:B,B24,'Fleet Pricing'!L:L),0)</f>
        <v>299232.95454545453</v>
      </c>
      <c r="F24" s="12">
        <f t="shared" si="0"/>
        <v>26332500</v>
      </c>
    </row>
    <row r="25" spans="1:6" ht="15" customHeight="1" x14ac:dyDescent="0.3">
      <c r="A25" s="9">
        <v>21</v>
      </c>
      <c r="B25" s="10" t="s">
        <v>809</v>
      </c>
      <c r="C25" s="9">
        <v>6</v>
      </c>
      <c r="D25" s="12">
        <f>IFERROR(AVERAGEIF('Fleet Pricing'!B:B,B25,'Fleet Pricing'!H:H),0)</f>
        <v>1113.3333333333333</v>
      </c>
      <c r="E25" s="12">
        <f>IFERROR(AVERAGEIF('Fleet Pricing'!B:B,B25,'Fleet Pricing'!L:L),0)</f>
        <v>113666.66666666667</v>
      </c>
      <c r="F25" s="12">
        <f t="shared" si="0"/>
        <v>682000</v>
      </c>
    </row>
    <row r="26" spans="1:6" ht="15" customHeight="1" x14ac:dyDescent="0.3">
      <c r="A26" s="9">
        <v>22</v>
      </c>
      <c r="B26" s="10" t="s">
        <v>814</v>
      </c>
      <c r="C26" s="9">
        <v>3</v>
      </c>
      <c r="D26" s="12">
        <f>IFERROR(AVERAGEIF('Fleet Pricing'!B:B,B26,'Fleet Pricing'!H:H),0)</f>
        <v>1503.3333333333333</v>
      </c>
      <c r="E26" s="12">
        <f>IFERROR(AVERAGEIF('Fleet Pricing'!B:B,B26,'Fleet Pricing'!L:L),0)</f>
        <v>153333.33333333334</v>
      </c>
      <c r="F26" s="12">
        <f t="shared" si="0"/>
        <v>460000</v>
      </c>
    </row>
    <row r="27" spans="1:6" ht="15" customHeight="1" x14ac:dyDescent="0.3">
      <c r="A27" s="9">
        <v>23</v>
      </c>
      <c r="B27" s="10" t="s">
        <v>818</v>
      </c>
      <c r="C27" s="9">
        <v>6</v>
      </c>
      <c r="D27" s="12">
        <f>IFERROR(AVERAGEIF('Fleet Pricing'!B:B,B27,'Fleet Pricing'!H:H),0)</f>
        <v>1533.3333333333333</v>
      </c>
      <c r="E27" s="12">
        <f>IFERROR(AVERAGEIF('Fleet Pricing'!B:B,B27,'Fleet Pricing'!L:L),0)</f>
        <v>156500</v>
      </c>
      <c r="F27" s="12">
        <f t="shared" si="0"/>
        <v>939000</v>
      </c>
    </row>
    <row r="28" spans="1:6" ht="15" customHeight="1" x14ac:dyDescent="0.3">
      <c r="A28" s="9">
        <v>24</v>
      </c>
      <c r="B28" s="10" t="s">
        <v>834</v>
      </c>
      <c r="C28" s="9">
        <v>41</v>
      </c>
      <c r="D28" s="12">
        <f>IFERROR(AVERAGEIF('Fleet Pricing'!B:B,B28,'Fleet Pricing'!H:H),0)</f>
        <v>6978.292682926829</v>
      </c>
      <c r="E28" s="12">
        <f>IFERROR(AVERAGEIF('Fleet Pricing'!B:B,B28,'Fleet Pricing'!L:L),0)</f>
        <v>711756.09756097558</v>
      </c>
      <c r="F28" s="12">
        <f t="shared" si="0"/>
        <v>29182000</v>
      </c>
    </row>
    <row r="29" spans="1:6" ht="15" customHeight="1" x14ac:dyDescent="0.3">
      <c r="A29" s="9">
        <v>25</v>
      </c>
      <c r="B29" s="10" t="s">
        <v>908</v>
      </c>
      <c r="C29" s="9">
        <v>19</v>
      </c>
      <c r="D29" s="12">
        <f>IFERROR(AVERAGEIF('Fleet Pricing'!B:B,B29,'Fleet Pricing'!H:H),0)</f>
        <v>1843.6842105263158</v>
      </c>
      <c r="E29" s="12">
        <f>IFERROR(AVERAGEIF('Fleet Pricing'!B:B,B29,'Fleet Pricing'!L:L),0)</f>
        <v>188131.57894736843</v>
      </c>
      <c r="F29" s="12">
        <f t="shared" si="0"/>
        <v>3574500</v>
      </c>
    </row>
    <row r="30" spans="1:6" ht="15" customHeight="1" x14ac:dyDescent="0.3">
      <c r="A30" s="9">
        <v>26</v>
      </c>
      <c r="B30" s="10" t="s">
        <v>945</v>
      </c>
      <c r="C30" s="9">
        <v>12</v>
      </c>
      <c r="D30" s="12">
        <f>IFERROR(AVERAGEIF('Fleet Pricing'!B:B,B30,'Fleet Pricing'!H:H),0)</f>
        <v>1459.1666666666667</v>
      </c>
      <c r="E30" s="12">
        <f>IFERROR(AVERAGEIF('Fleet Pricing'!B:B,B30,'Fleet Pricing'!L:L),0)</f>
        <v>148875</v>
      </c>
      <c r="F30" s="12">
        <f t="shared" si="0"/>
        <v>1786500</v>
      </c>
    </row>
    <row r="31" spans="1:6" ht="15" customHeight="1" x14ac:dyDescent="0.3">
      <c r="A31" s="9">
        <v>27</v>
      </c>
      <c r="B31" s="10" t="s">
        <v>974</v>
      </c>
      <c r="C31" s="9">
        <v>53</v>
      </c>
      <c r="D31" s="12">
        <f>IFERROR(AVERAGEIF('Fleet Pricing'!B:B,B31,'Fleet Pricing'!H:H),0)</f>
        <v>366.60377358490564</v>
      </c>
      <c r="E31" s="12">
        <f>IFERROR(AVERAGEIF('Fleet Pricing'!B:B,B31,'Fleet Pricing'!L:L),0)</f>
        <v>37396.226415094337</v>
      </c>
      <c r="F31" s="12">
        <f t="shared" si="0"/>
        <v>1982000</v>
      </c>
    </row>
    <row r="32" spans="1:6" ht="15" customHeight="1" x14ac:dyDescent="0.3">
      <c r="A32" s="9">
        <v>28</v>
      </c>
      <c r="B32" s="10" t="s">
        <v>1061</v>
      </c>
      <c r="C32" s="9">
        <v>10</v>
      </c>
      <c r="D32" s="12">
        <f>IFERROR(AVERAGEIF('Fleet Pricing'!B:B,B32,'Fleet Pricing'!H:H),0)</f>
        <v>1250</v>
      </c>
      <c r="E32" s="12">
        <f>IFERROR(AVERAGEIF('Fleet Pricing'!B:B,B32,'Fleet Pricing'!L:L),0)</f>
        <v>127400</v>
      </c>
      <c r="F32" s="12">
        <f t="shared" si="0"/>
        <v>1274000</v>
      </c>
    </row>
    <row r="33" spans="1:6" ht="15" customHeight="1" x14ac:dyDescent="0.3">
      <c r="A33" s="9">
        <v>29</v>
      </c>
      <c r="B33" s="10" t="s">
        <v>1076</v>
      </c>
      <c r="C33" s="9">
        <v>3</v>
      </c>
      <c r="D33" s="12">
        <f>IFERROR(AVERAGEIF('Fleet Pricing'!B:B,B33,'Fleet Pricing'!H:H),0)</f>
        <v>1770</v>
      </c>
      <c r="E33" s="12">
        <f>IFERROR(AVERAGEIF('Fleet Pricing'!B:B,B33,'Fleet Pricing'!L:L),0)</f>
        <v>180500</v>
      </c>
      <c r="F33" s="12">
        <f t="shared" si="0"/>
        <v>541500</v>
      </c>
    </row>
    <row r="34" spans="1:6" ht="15" customHeight="1" x14ac:dyDescent="0.3">
      <c r="A34" s="40"/>
      <c r="B34" s="41" t="s">
        <v>1674</v>
      </c>
      <c r="C34" s="8">
        <f>SUM(C5:C33)</f>
        <v>518</v>
      </c>
      <c r="D34" s="40"/>
      <c r="E34" s="40"/>
      <c r="F34" s="42">
        <f>SUM(F5:F33)</f>
        <v>159293500</v>
      </c>
    </row>
  </sheetData>
  <mergeCells count="2">
    <mergeCell ref="A2:F2"/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551"/>
  <sheetViews>
    <sheetView topLeftCell="B1" zoomScaleNormal="100" workbookViewId="0">
      <pane ySplit="4" topLeftCell="A7" activePane="bottomLeft" state="frozen"/>
      <selection activeCell="B1" sqref="B1"/>
      <selection pane="bottomLeft" activeCell="L14" sqref="L14"/>
    </sheetView>
  </sheetViews>
  <sheetFormatPr defaultColWidth="8.6640625" defaultRowHeight="14.4" x14ac:dyDescent="0.3"/>
  <cols>
    <col min="1" max="1" width="5" customWidth="1"/>
    <col min="2" max="2" width="22" customWidth="1"/>
    <col min="3" max="4" width="15" customWidth="1"/>
    <col min="5" max="5" width="22" customWidth="1"/>
    <col min="6" max="6" width="7" customWidth="1"/>
    <col min="7" max="7" width="16.6640625" customWidth="1"/>
    <col min="8" max="9" width="13" customWidth="1"/>
    <col min="10" max="11" width="14" customWidth="1"/>
    <col min="12" max="13" width="16" customWidth="1"/>
    <col min="14" max="14" width="26" customWidth="1"/>
    <col min="15" max="16" width="13" hidden="1" customWidth="1"/>
  </cols>
  <sheetData>
    <row r="1" spans="1:16" ht="24" customHeight="1" x14ac:dyDescent="0.4">
      <c r="A1" s="193" t="s">
        <v>1675</v>
      </c>
      <c r="B1" s="186"/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6"/>
    </row>
    <row r="2" spans="1:16" ht="15" customHeight="1" x14ac:dyDescent="0.3">
      <c r="A2" s="197" t="s">
        <v>1676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</row>
    <row r="4" spans="1:16" ht="26.25" customHeight="1" x14ac:dyDescent="0.3">
      <c r="A4" s="8" t="s">
        <v>2</v>
      </c>
      <c r="B4" s="8" t="s">
        <v>3</v>
      </c>
      <c r="C4" s="43" t="s">
        <v>1677</v>
      </c>
      <c r="D4" s="8" t="s">
        <v>5</v>
      </c>
      <c r="E4" s="44" t="s">
        <v>1344</v>
      </c>
      <c r="F4" s="8" t="s">
        <v>7</v>
      </c>
      <c r="G4" s="8" t="s">
        <v>6</v>
      </c>
      <c r="H4" s="8" t="s">
        <v>1678</v>
      </c>
      <c r="I4" s="8" t="s">
        <v>1679</v>
      </c>
      <c r="J4" s="8" t="s">
        <v>1680</v>
      </c>
      <c r="K4" s="8" t="s">
        <v>1681</v>
      </c>
      <c r="L4" s="8" t="s">
        <v>1682</v>
      </c>
      <c r="M4" s="8" t="s">
        <v>1683</v>
      </c>
      <c r="N4" s="8" t="s">
        <v>1684</v>
      </c>
      <c r="O4" s="45" t="s">
        <v>1685</v>
      </c>
      <c r="P4" s="45" t="s">
        <v>1686</v>
      </c>
    </row>
    <row r="5" spans="1:16" ht="15" customHeight="1" x14ac:dyDescent="0.3">
      <c r="A5" s="199" t="s">
        <v>18</v>
      </c>
      <c r="B5" s="200"/>
      <c r="C5" s="200"/>
      <c r="D5" s="200"/>
      <c r="E5" s="200"/>
      <c r="F5" s="200"/>
      <c r="G5" s="200"/>
      <c r="H5" s="200"/>
      <c r="I5" s="200"/>
      <c r="J5" s="200"/>
      <c r="K5" s="200"/>
      <c r="L5" s="200"/>
      <c r="M5" s="200"/>
      <c r="N5" s="200"/>
    </row>
    <row r="6" spans="1:16" ht="15" customHeight="1" x14ac:dyDescent="0.3">
      <c r="A6" s="9">
        <v>1</v>
      </c>
      <c r="B6" s="46" t="s">
        <v>19</v>
      </c>
      <c r="C6" s="46" t="s">
        <v>1687</v>
      </c>
      <c r="D6" s="47" t="s">
        <v>21</v>
      </c>
      <c r="E6" s="46" t="s">
        <v>1688</v>
      </c>
      <c r="F6" s="48" t="s">
        <v>23</v>
      </c>
      <c r="G6" s="48" t="s">
        <v>22</v>
      </c>
      <c r="H6" s="12">
        <f>MROUND('Rate Card'!$I$5*O6*P6,10)</f>
        <v>4150</v>
      </c>
      <c r="I6" s="12">
        <f>MROUND('Rate Card'!$K$5*O6*P6,10)</f>
        <v>2000</v>
      </c>
      <c r="J6" s="12">
        <f>MROUND(H6*4*'Rate Card'!$B$47,100)</f>
        <v>15800</v>
      </c>
      <c r="K6" s="12">
        <f>MROUND(I6*4*'Rate Card'!$B$47,100)</f>
        <v>7600</v>
      </c>
      <c r="L6" s="12">
        <f>MROUND(H6*120*'Rate Card'!$B$48,500)</f>
        <v>423500</v>
      </c>
      <c r="M6" s="12">
        <f>MROUND(I6*120*'Rate Card'!$B$48,500)</f>
        <v>204000</v>
      </c>
      <c r="N6" s="14"/>
      <c r="O6" s="49">
        <v>1</v>
      </c>
      <c r="P6" s="49">
        <v>1</v>
      </c>
    </row>
    <row r="7" spans="1:16" ht="15" customHeight="1" x14ac:dyDescent="0.3">
      <c r="A7" s="9">
        <v>2</v>
      </c>
      <c r="B7" s="46" t="s">
        <v>19</v>
      </c>
      <c r="C7" s="46" t="s">
        <v>1687</v>
      </c>
      <c r="D7" s="47" t="s">
        <v>24</v>
      </c>
      <c r="E7" s="46" t="s">
        <v>1688</v>
      </c>
      <c r="F7" s="48" t="s">
        <v>23</v>
      </c>
      <c r="G7" s="48" t="s">
        <v>25</v>
      </c>
      <c r="H7" s="12">
        <f>MROUND('Rate Card'!$I$5*O7*P7,10)</f>
        <v>4150</v>
      </c>
      <c r="I7" s="12">
        <f>MROUND('Rate Card'!$K$5*O7*P7,10)</f>
        <v>2000</v>
      </c>
      <c r="J7" s="12">
        <f>MROUND(H7*4*'Rate Card'!$B$47,100)</f>
        <v>15800</v>
      </c>
      <c r="K7" s="12">
        <f>MROUND(I7*4*'Rate Card'!$B$47,100)</f>
        <v>7600</v>
      </c>
      <c r="L7" s="12">
        <f>MROUND(H7*120*'Rate Card'!$B$48,500)</f>
        <v>423500</v>
      </c>
      <c r="M7" s="12">
        <f>MROUND(I7*120*'Rate Card'!$B$48,500)</f>
        <v>204000</v>
      </c>
      <c r="N7" s="14"/>
      <c r="O7" s="49">
        <v>1</v>
      </c>
      <c r="P7" s="49">
        <v>1</v>
      </c>
    </row>
    <row r="8" spans="1:16" ht="15" customHeight="1" x14ac:dyDescent="0.3">
      <c r="A8" s="9">
        <v>3</v>
      </c>
      <c r="B8" s="46" t="s">
        <v>19</v>
      </c>
      <c r="C8" s="46" t="s">
        <v>1687</v>
      </c>
      <c r="D8" s="47" t="s">
        <v>26</v>
      </c>
      <c r="E8" s="46" t="s">
        <v>1688</v>
      </c>
      <c r="F8" s="48" t="s">
        <v>23</v>
      </c>
      <c r="G8" s="48" t="s">
        <v>27</v>
      </c>
      <c r="H8" s="12">
        <f>MROUND('Rate Card'!$I$5*O8*P8,10)</f>
        <v>4150</v>
      </c>
      <c r="I8" s="12">
        <f>MROUND('Rate Card'!$K$5*O8*P8,10)</f>
        <v>2000</v>
      </c>
      <c r="J8" s="12">
        <f>MROUND(H8*4*'Rate Card'!$B$47,100)</f>
        <v>15800</v>
      </c>
      <c r="K8" s="12">
        <f>MROUND(I8*4*'Rate Card'!$B$47,100)</f>
        <v>7600</v>
      </c>
      <c r="L8" s="12">
        <f>MROUND(H8*120*'Rate Card'!$B$48,500)</f>
        <v>423500</v>
      </c>
      <c r="M8" s="12">
        <f>MROUND(I8*120*'Rate Card'!$B$48,500)</f>
        <v>204000</v>
      </c>
      <c r="N8" s="14"/>
      <c r="O8" s="49">
        <v>1</v>
      </c>
      <c r="P8" s="49">
        <v>1</v>
      </c>
    </row>
    <row r="9" spans="1:16" ht="15" customHeight="1" x14ac:dyDescent="0.3">
      <c r="A9" s="9">
        <v>4</v>
      </c>
      <c r="B9" s="46" t="s">
        <v>19</v>
      </c>
      <c r="C9" s="46" t="s">
        <v>1689</v>
      </c>
      <c r="D9" s="47" t="s">
        <v>29</v>
      </c>
      <c r="E9" s="46" t="s">
        <v>1690</v>
      </c>
      <c r="F9" s="48" t="s">
        <v>31</v>
      </c>
      <c r="G9" s="48" t="s">
        <v>30</v>
      </c>
      <c r="H9" s="12">
        <f>MROUND('Rate Card'!$I$5*O9*P9,10)</f>
        <v>4150</v>
      </c>
      <c r="I9" s="12">
        <f>MROUND('Rate Card'!$K$5*O9*P9,10)</f>
        <v>2000</v>
      </c>
      <c r="J9" s="12">
        <f>MROUND(H9*4*'Rate Card'!$B$47,100)</f>
        <v>15800</v>
      </c>
      <c r="K9" s="12">
        <f>MROUND(I9*4*'Rate Card'!$B$47,100)</f>
        <v>7600</v>
      </c>
      <c r="L9" s="12">
        <f>MROUND(H9*120*'Rate Card'!$B$48,500)</f>
        <v>423500</v>
      </c>
      <c r="M9" s="12">
        <f>MROUND(I9*120*'Rate Card'!$B$48,500)</f>
        <v>204000</v>
      </c>
      <c r="N9" s="14"/>
      <c r="O9" s="49">
        <v>1</v>
      </c>
      <c r="P9" s="49">
        <v>1</v>
      </c>
    </row>
    <row r="10" spans="1:16" ht="15" customHeight="1" x14ac:dyDescent="0.3">
      <c r="A10" s="9">
        <v>5</v>
      </c>
      <c r="B10" s="46" t="s">
        <v>19</v>
      </c>
      <c r="C10" s="46" t="s">
        <v>1691</v>
      </c>
      <c r="D10" s="47" t="s">
        <v>67</v>
      </c>
      <c r="E10" s="46" t="s">
        <v>1690</v>
      </c>
      <c r="F10" s="48" t="s">
        <v>66</v>
      </c>
      <c r="G10" s="48" t="s">
        <v>68</v>
      </c>
      <c r="H10" s="12">
        <f>MROUND('Rate Card'!$I$5*O10*P10,10)</f>
        <v>4150</v>
      </c>
      <c r="I10" s="12">
        <f>MROUND('Rate Card'!$K$5*O10*P10,10)</f>
        <v>2000</v>
      </c>
      <c r="J10" s="12">
        <f>MROUND(H10*4*'Rate Card'!$B$47,100)</f>
        <v>15800</v>
      </c>
      <c r="K10" s="12">
        <f>MROUND(I10*4*'Rate Card'!$B$47,100)</f>
        <v>7600</v>
      </c>
      <c r="L10" s="12">
        <f>MROUND(H10*120*'Rate Card'!$B$48,500)</f>
        <v>423500</v>
      </c>
      <c r="M10" s="12">
        <f>MROUND(I10*120*'Rate Card'!$B$48,500)</f>
        <v>204000</v>
      </c>
      <c r="N10" s="14"/>
      <c r="O10" s="49">
        <v>1</v>
      </c>
      <c r="P10" s="49">
        <v>1</v>
      </c>
    </row>
    <row r="11" spans="1:16" ht="15" customHeight="1" x14ac:dyDescent="0.3">
      <c r="A11" s="9">
        <v>6</v>
      </c>
      <c r="B11" s="46" t="s">
        <v>19</v>
      </c>
      <c r="C11" s="46" t="s">
        <v>1691</v>
      </c>
      <c r="D11" s="47" t="s">
        <v>69</v>
      </c>
      <c r="E11" s="46" t="s">
        <v>1690</v>
      </c>
      <c r="F11" s="48" t="s">
        <v>66</v>
      </c>
      <c r="G11" s="48" t="s">
        <v>70</v>
      </c>
      <c r="H11" s="12">
        <f>MROUND('Rate Card'!$I$5*O11*P11,10)</f>
        <v>4150</v>
      </c>
      <c r="I11" s="12">
        <f>MROUND('Rate Card'!$K$5*O11*P11,10)</f>
        <v>2000</v>
      </c>
      <c r="J11" s="12">
        <f>MROUND(H11*4*'Rate Card'!$B$47,100)</f>
        <v>15800</v>
      </c>
      <c r="K11" s="12">
        <f>MROUND(I11*4*'Rate Card'!$B$47,100)</f>
        <v>7600</v>
      </c>
      <c r="L11" s="12">
        <f>MROUND(H11*120*'Rate Card'!$B$48,500)</f>
        <v>423500</v>
      </c>
      <c r="M11" s="12">
        <f>MROUND(I11*120*'Rate Card'!$B$48,500)</f>
        <v>204000</v>
      </c>
      <c r="N11" s="14"/>
      <c r="O11" s="49">
        <v>1</v>
      </c>
      <c r="P11" s="49">
        <v>1</v>
      </c>
    </row>
    <row r="12" spans="1:16" ht="15" customHeight="1" x14ac:dyDescent="0.3">
      <c r="A12" s="9">
        <v>7</v>
      </c>
      <c r="B12" s="46" t="s">
        <v>19</v>
      </c>
      <c r="C12" s="46" t="s">
        <v>1691</v>
      </c>
      <c r="D12" s="47" t="s">
        <v>62</v>
      </c>
      <c r="E12" s="46" t="s">
        <v>1690</v>
      </c>
      <c r="F12" s="48" t="s">
        <v>61</v>
      </c>
      <c r="G12" s="48" t="s">
        <v>63</v>
      </c>
      <c r="H12" s="12">
        <f>MROUND('Rate Card'!$I$5*O12*P12,10)</f>
        <v>4150</v>
      </c>
      <c r="I12" s="12">
        <f>MROUND('Rate Card'!$K$5*O12*P12,10)</f>
        <v>2000</v>
      </c>
      <c r="J12" s="12">
        <f>MROUND(H12*4*'Rate Card'!$B$47,100)</f>
        <v>15800</v>
      </c>
      <c r="K12" s="12">
        <f>MROUND(I12*4*'Rate Card'!$B$47,100)</f>
        <v>7600</v>
      </c>
      <c r="L12" s="12">
        <f>MROUND(H12*120*'Rate Card'!$B$48,500)</f>
        <v>423500</v>
      </c>
      <c r="M12" s="12">
        <f>MROUND(I12*120*'Rate Card'!$B$48,500)</f>
        <v>204000</v>
      </c>
      <c r="N12" s="14"/>
      <c r="O12" s="49">
        <v>1</v>
      </c>
      <c r="P12" s="49">
        <v>1</v>
      </c>
    </row>
    <row r="13" spans="1:16" ht="15" customHeight="1" x14ac:dyDescent="0.3">
      <c r="A13" s="9">
        <v>8</v>
      </c>
      <c r="B13" s="46" t="s">
        <v>19</v>
      </c>
      <c r="C13" s="46" t="s">
        <v>1691</v>
      </c>
      <c r="D13" s="47" t="s">
        <v>50</v>
      </c>
      <c r="E13" s="46" t="s">
        <v>1690</v>
      </c>
      <c r="F13" s="48" t="s">
        <v>49</v>
      </c>
      <c r="G13" s="48" t="s">
        <v>51</v>
      </c>
      <c r="H13" s="12">
        <f>MROUND('Rate Card'!$I$5*O13*P13,10)</f>
        <v>4150</v>
      </c>
      <c r="I13" s="12">
        <f>MROUND('Rate Card'!$K$5*O13*P13,10)</f>
        <v>2000</v>
      </c>
      <c r="J13" s="12">
        <f>MROUND(H13*4*'Rate Card'!$B$47,100)</f>
        <v>15800</v>
      </c>
      <c r="K13" s="12">
        <f>MROUND(I13*4*'Rate Card'!$B$47,100)</f>
        <v>7600</v>
      </c>
      <c r="L13" s="12">
        <f>MROUND(H13*120*'Rate Card'!$B$48,500)</f>
        <v>423500</v>
      </c>
      <c r="M13" s="12">
        <f>MROUND(I13*120*'Rate Card'!$B$48,500)</f>
        <v>204000</v>
      </c>
      <c r="N13" s="14"/>
      <c r="O13" s="49">
        <v>1</v>
      </c>
      <c r="P13" s="49">
        <v>1</v>
      </c>
    </row>
    <row r="14" spans="1:16" ht="15" customHeight="1" x14ac:dyDescent="0.3">
      <c r="A14" s="9">
        <v>9</v>
      </c>
      <c r="B14" s="46" t="s">
        <v>19</v>
      </c>
      <c r="C14" s="46" t="s">
        <v>1691</v>
      </c>
      <c r="D14" s="47" t="s">
        <v>55</v>
      </c>
      <c r="E14" s="46" t="s">
        <v>1690</v>
      </c>
      <c r="F14" s="48" t="s">
        <v>49</v>
      </c>
      <c r="G14" s="48" t="s">
        <v>56</v>
      </c>
      <c r="H14" s="12">
        <f>MROUND('Rate Card'!$I$5*O14*P14,10)</f>
        <v>4150</v>
      </c>
      <c r="I14" s="12">
        <f>MROUND('Rate Card'!$K$5*O14*P14,10)</f>
        <v>2000</v>
      </c>
      <c r="J14" s="12">
        <f>MROUND(H14*4*'Rate Card'!$B$47,100)</f>
        <v>15800</v>
      </c>
      <c r="K14" s="12">
        <f>MROUND(I14*4*'Rate Card'!$B$47,100)</f>
        <v>7600</v>
      </c>
      <c r="L14" s="12">
        <f>MROUND(H14*120*'Rate Card'!$B$48,500)</f>
        <v>423500</v>
      </c>
      <c r="M14" s="12">
        <f>MROUND(I14*120*'Rate Card'!$B$48,500)</f>
        <v>204000</v>
      </c>
      <c r="N14" s="14"/>
      <c r="O14" s="49">
        <v>1</v>
      </c>
      <c r="P14" s="49">
        <v>1</v>
      </c>
    </row>
    <row r="15" spans="1:16" ht="15" customHeight="1" x14ac:dyDescent="0.3">
      <c r="A15" s="9">
        <v>10</v>
      </c>
      <c r="B15" s="46" t="s">
        <v>19</v>
      </c>
      <c r="C15" s="46" t="s">
        <v>1689</v>
      </c>
      <c r="D15" s="47" t="s">
        <v>43</v>
      </c>
      <c r="E15" s="46" t="s">
        <v>1692</v>
      </c>
      <c r="F15" s="48" t="s">
        <v>45</v>
      </c>
      <c r="G15" s="48" t="s">
        <v>44</v>
      </c>
      <c r="H15" s="12">
        <f>MROUND('Rate Card'!$I$5*O15*P15,10)</f>
        <v>3820</v>
      </c>
      <c r="I15" s="12">
        <f>MROUND('Rate Card'!$K$5*O15*P15,10)</f>
        <v>1840</v>
      </c>
      <c r="J15" s="12">
        <f>MROUND(H15*4*'Rate Card'!$B$47,100)</f>
        <v>14500</v>
      </c>
      <c r="K15" s="12">
        <f>MROUND(I15*4*'Rate Card'!$B$47,100)</f>
        <v>7000</v>
      </c>
      <c r="L15" s="12">
        <f>MROUND(H15*120*'Rate Card'!$B$48,500)</f>
        <v>389500</v>
      </c>
      <c r="M15" s="12">
        <f>MROUND(I15*120*'Rate Card'!$B$48,500)</f>
        <v>187500</v>
      </c>
      <c r="N15" s="14"/>
      <c r="O15" s="49">
        <v>0.92</v>
      </c>
      <c r="P15" s="49">
        <v>1</v>
      </c>
    </row>
    <row r="16" spans="1:16" ht="15" customHeight="1" x14ac:dyDescent="0.3">
      <c r="A16" s="9">
        <v>11</v>
      </c>
      <c r="B16" s="46" t="s">
        <v>19</v>
      </c>
      <c r="C16" s="46" t="s">
        <v>1691</v>
      </c>
      <c r="D16" s="47" t="s">
        <v>47</v>
      </c>
      <c r="E16" s="46" t="s">
        <v>52</v>
      </c>
      <c r="F16" s="48" t="s">
        <v>49</v>
      </c>
      <c r="G16" s="48" t="s">
        <v>48</v>
      </c>
      <c r="H16" s="12">
        <f>MROUND('Rate Card'!$I$5*O16*P16,10)</f>
        <v>3820</v>
      </c>
      <c r="I16" s="12">
        <f>MROUND('Rate Card'!$K$5*O16*P16,10)</f>
        <v>1840</v>
      </c>
      <c r="J16" s="12">
        <f>MROUND(H16*4*'Rate Card'!$B$47,100)</f>
        <v>14500</v>
      </c>
      <c r="K16" s="12">
        <f>MROUND(I16*4*'Rate Card'!$B$47,100)</f>
        <v>7000</v>
      </c>
      <c r="L16" s="12">
        <f>MROUND(H16*120*'Rate Card'!$B$48,500)</f>
        <v>389500</v>
      </c>
      <c r="M16" s="12">
        <f>MROUND(I16*120*'Rate Card'!$B$48,500)</f>
        <v>187500</v>
      </c>
      <c r="N16" s="14"/>
      <c r="O16" s="49">
        <v>0.92</v>
      </c>
      <c r="P16" s="49">
        <v>1</v>
      </c>
    </row>
    <row r="17" spans="1:16" ht="15" customHeight="1" x14ac:dyDescent="0.3">
      <c r="A17" s="9">
        <v>12</v>
      </c>
      <c r="B17" s="46" t="s">
        <v>19</v>
      </c>
      <c r="C17" s="46" t="s">
        <v>1691</v>
      </c>
      <c r="D17" s="47" t="s">
        <v>57</v>
      </c>
      <c r="E17" s="46" t="s">
        <v>52</v>
      </c>
      <c r="F17" s="48" t="s">
        <v>49</v>
      </c>
      <c r="G17" s="48" t="s">
        <v>58</v>
      </c>
      <c r="H17" s="12">
        <f>MROUND('Rate Card'!$I$5*O17*P17,10)</f>
        <v>3820</v>
      </c>
      <c r="I17" s="12">
        <f>MROUND('Rate Card'!$K$5*O17*P17,10)</f>
        <v>1840</v>
      </c>
      <c r="J17" s="12">
        <f>MROUND(H17*4*'Rate Card'!$B$47,100)</f>
        <v>14500</v>
      </c>
      <c r="K17" s="12">
        <f>MROUND(I17*4*'Rate Card'!$B$47,100)</f>
        <v>7000</v>
      </c>
      <c r="L17" s="12">
        <f>MROUND(H17*120*'Rate Card'!$B$48,500)</f>
        <v>389500</v>
      </c>
      <c r="M17" s="12">
        <f>MROUND(I17*120*'Rate Card'!$B$48,500)</f>
        <v>187500</v>
      </c>
      <c r="N17" s="14"/>
      <c r="O17" s="49">
        <v>0.92</v>
      </c>
      <c r="P17" s="49">
        <v>1</v>
      </c>
    </row>
    <row r="18" spans="1:16" ht="15" customHeight="1" x14ac:dyDescent="0.3">
      <c r="A18" s="9">
        <v>13</v>
      </c>
      <c r="B18" s="46" t="s">
        <v>19</v>
      </c>
      <c r="C18" s="46" t="s">
        <v>1691</v>
      </c>
      <c r="D18" s="47" t="s">
        <v>53</v>
      </c>
      <c r="E18" s="46" t="s">
        <v>1690</v>
      </c>
      <c r="F18" s="48" t="s">
        <v>49</v>
      </c>
      <c r="G18" s="48" t="s">
        <v>54</v>
      </c>
      <c r="H18" s="12">
        <f>MROUND('Rate Card'!$I$5*O18*P18,10)</f>
        <v>3820</v>
      </c>
      <c r="I18" s="12">
        <f>MROUND('Rate Card'!$K$5*O18*P18,10)</f>
        <v>1840</v>
      </c>
      <c r="J18" s="12">
        <f>MROUND(H18*4*'Rate Card'!$B$47,100)</f>
        <v>14500</v>
      </c>
      <c r="K18" s="12">
        <f>MROUND(I18*4*'Rate Card'!$B$47,100)</f>
        <v>7000</v>
      </c>
      <c r="L18" s="12">
        <f>MROUND(H18*120*'Rate Card'!$B$48,500)</f>
        <v>389500</v>
      </c>
      <c r="M18" s="12">
        <f>MROUND(I18*120*'Rate Card'!$B$48,500)</f>
        <v>187500</v>
      </c>
      <c r="N18" s="14"/>
      <c r="O18" s="49">
        <v>0.92</v>
      </c>
      <c r="P18" s="49">
        <v>1</v>
      </c>
    </row>
    <row r="19" spans="1:16" ht="15" customHeight="1" x14ac:dyDescent="0.3">
      <c r="A19" s="9">
        <v>14</v>
      </c>
      <c r="B19" s="46" t="s">
        <v>19</v>
      </c>
      <c r="C19" s="46" t="s">
        <v>1689</v>
      </c>
      <c r="D19" s="47" t="s">
        <v>32</v>
      </c>
      <c r="E19" s="46" t="s">
        <v>1690</v>
      </c>
      <c r="F19" s="48" t="s">
        <v>31</v>
      </c>
      <c r="G19" s="48" t="s">
        <v>33</v>
      </c>
      <c r="H19" s="12">
        <f>MROUND('Rate Card'!$I$5*O19*P19,10)</f>
        <v>3820</v>
      </c>
      <c r="I19" s="12">
        <f>MROUND('Rate Card'!$K$5*O19*P19,10)</f>
        <v>1840</v>
      </c>
      <c r="J19" s="12">
        <f>MROUND(H19*4*'Rate Card'!$B$47,100)</f>
        <v>14500</v>
      </c>
      <c r="K19" s="12">
        <f>MROUND(I19*4*'Rate Card'!$B$47,100)</f>
        <v>7000</v>
      </c>
      <c r="L19" s="12">
        <f>MROUND(H19*120*'Rate Card'!$B$48,500)</f>
        <v>389500</v>
      </c>
      <c r="M19" s="12">
        <f>MROUND(I19*120*'Rate Card'!$B$48,500)</f>
        <v>187500</v>
      </c>
      <c r="N19" s="14"/>
      <c r="O19" s="49">
        <v>0.92</v>
      </c>
      <c r="P19" s="49">
        <v>1</v>
      </c>
    </row>
    <row r="20" spans="1:16" ht="15" customHeight="1" x14ac:dyDescent="0.3">
      <c r="A20" s="9">
        <v>15</v>
      </c>
      <c r="B20" s="46" t="s">
        <v>19</v>
      </c>
      <c r="C20" s="46" t="s">
        <v>1689</v>
      </c>
      <c r="D20" s="47" t="s">
        <v>34</v>
      </c>
      <c r="E20" s="46" t="s">
        <v>1690</v>
      </c>
      <c r="F20" s="48" t="s">
        <v>31</v>
      </c>
      <c r="G20" s="48" t="s">
        <v>35</v>
      </c>
      <c r="H20" s="12">
        <f>MROUND('Rate Card'!$I$5*O20*P20,10)</f>
        <v>3820</v>
      </c>
      <c r="I20" s="12">
        <f>MROUND('Rate Card'!$K$5*O20*P20,10)</f>
        <v>1840</v>
      </c>
      <c r="J20" s="12">
        <f>MROUND(H20*4*'Rate Card'!$B$47,100)</f>
        <v>14500</v>
      </c>
      <c r="K20" s="12">
        <f>MROUND(I20*4*'Rate Card'!$B$47,100)</f>
        <v>7000</v>
      </c>
      <c r="L20" s="12">
        <f>MROUND(H20*120*'Rate Card'!$B$48,500)</f>
        <v>389500</v>
      </c>
      <c r="M20" s="12">
        <f>MROUND(I20*120*'Rate Card'!$B$48,500)</f>
        <v>187500</v>
      </c>
      <c r="N20" s="14"/>
      <c r="O20" s="49">
        <v>0.92</v>
      </c>
      <c r="P20" s="49">
        <v>1</v>
      </c>
    </row>
    <row r="21" spans="1:16" ht="15" customHeight="1" x14ac:dyDescent="0.3">
      <c r="A21" s="9">
        <v>16</v>
      </c>
      <c r="B21" s="46" t="s">
        <v>19</v>
      </c>
      <c r="C21" s="46" t="s">
        <v>1691</v>
      </c>
      <c r="D21" s="47" t="s">
        <v>59</v>
      </c>
      <c r="E21" s="46" t="s">
        <v>52</v>
      </c>
      <c r="F21" s="48" t="s">
        <v>61</v>
      </c>
      <c r="G21" s="48" t="s">
        <v>60</v>
      </c>
      <c r="H21" s="12">
        <f>MROUND('Rate Card'!$I$5*O21*P21,10)</f>
        <v>3820</v>
      </c>
      <c r="I21" s="12">
        <f>MROUND('Rate Card'!$K$5*O21*P21,10)</f>
        <v>1840</v>
      </c>
      <c r="J21" s="12">
        <f>MROUND(H21*4*'Rate Card'!$B$47,100)</f>
        <v>14500</v>
      </c>
      <c r="K21" s="12">
        <f>MROUND(I21*4*'Rate Card'!$B$47,100)</f>
        <v>7000</v>
      </c>
      <c r="L21" s="12">
        <f>MROUND(H21*120*'Rate Card'!$B$48,500)</f>
        <v>389500</v>
      </c>
      <c r="M21" s="12">
        <f>MROUND(I21*120*'Rate Card'!$B$48,500)</f>
        <v>187500</v>
      </c>
      <c r="N21" s="14"/>
      <c r="O21" s="49">
        <v>0.92</v>
      </c>
      <c r="P21" s="49">
        <v>1</v>
      </c>
    </row>
    <row r="22" spans="1:16" ht="15" customHeight="1" x14ac:dyDescent="0.3">
      <c r="A22" s="9">
        <v>17</v>
      </c>
      <c r="B22" s="46" t="s">
        <v>19</v>
      </c>
      <c r="C22" s="46" t="s">
        <v>1689</v>
      </c>
      <c r="D22" s="47" t="s">
        <v>36</v>
      </c>
      <c r="E22" s="46" t="s">
        <v>52</v>
      </c>
      <c r="F22" s="48" t="s">
        <v>31</v>
      </c>
      <c r="G22" s="48" t="s">
        <v>37</v>
      </c>
      <c r="H22" s="12">
        <f>MROUND('Rate Card'!$I$5*O22*P22,10)</f>
        <v>3820</v>
      </c>
      <c r="I22" s="12">
        <f>MROUND('Rate Card'!$K$5*O22*P22,10)</f>
        <v>1840</v>
      </c>
      <c r="J22" s="12">
        <f>MROUND(H22*4*'Rate Card'!$B$47,100)</f>
        <v>14500</v>
      </c>
      <c r="K22" s="12">
        <f>MROUND(I22*4*'Rate Card'!$B$47,100)</f>
        <v>7000</v>
      </c>
      <c r="L22" s="12">
        <f>MROUND(H22*120*'Rate Card'!$B$48,500)</f>
        <v>389500</v>
      </c>
      <c r="M22" s="12">
        <f>MROUND(I22*120*'Rate Card'!$B$48,500)</f>
        <v>187500</v>
      </c>
      <c r="N22" s="14"/>
      <c r="O22" s="49">
        <v>0.92</v>
      </c>
      <c r="P22" s="49">
        <v>1</v>
      </c>
    </row>
    <row r="23" spans="1:16" ht="15" customHeight="1" x14ac:dyDescent="0.3">
      <c r="A23" s="9">
        <v>18</v>
      </c>
      <c r="B23" s="46" t="s">
        <v>19</v>
      </c>
      <c r="C23" s="46" t="s">
        <v>1691</v>
      </c>
      <c r="D23" s="47" t="s">
        <v>64</v>
      </c>
      <c r="E23" s="46" t="s">
        <v>1690</v>
      </c>
      <c r="F23" s="48" t="s">
        <v>66</v>
      </c>
      <c r="G23" s="48" t="s">
        <v>65</v>
      </c>
      <c r="H23" s="12">
        <f>MROUND('Rate Card'!$I$5*O23*P23,10)</f>
        <v>3400</v>
      </c>
      <c r="I23" s="12">
        <f>MROUND('Rate Card'!$K$5*O23*P23,10)</f>
        <v>1640</v>
      </c>
      <c r="J23" s="12">
        <f>MROUND(H23*4*'Rate Card'!$B$47,100)</f>
        <v>12900</v>
      </c>
      <c r="K23" s="12">
        <f>MROUND(I23*4*'Rate Card'!$B$47,100)</f>
        <v>6200</v>
      </c>
      <c r="L23" s="12">
        <f>MROUND(H23*120*'Rate Card'!$B$48,500)</f>
        <v>347000</v>
      </c>
      <c r="M23" s="12">
        <f>MROUND(I23*120*'Rate Card'!$B$48,500)</f>
        <v>167500</v>
      </c>
      <c r="N23" s="14"/>
      <c r="O23" s="49">
        <v>0.82</v>
      </c>
      <c r="P23" s="49">
        <v>1</v>
      </c>
    </row>
    <row r="24" spans="1:16" ht="15" customHeight="1" x14ac:dyDescent="0.3">
      <c r="A24" s="9">
        <v>19</v>
      </c>
      <c r="B24" s="46" t="s">
        <v>19</v>
      </c>
      <c r="C24" s="46" t="s">
        <v>1689</v>
      </c>
      <c r="D24" s="47" t="s">
        <v>38</v>
      </c>
      <c r="E24" s="46" t="s">
        <v>1690</v>
      </c>
      <c r="F24" s="48" t="s">
        <v>31</v>
      </c>
      <c r="G24" s="48" t="s">
        <v>39</v>
      </c>
      <c r="H24" s="12">
        <f>MROUND('Rate Card'!$I$5*O24*P24,10)</f>
        <v>3400</v>
      </c>
      <c r="I24" s="12">
        <f>MROUND('Rate Card'!$K$5*O24*P24,10)</f>
        <v>1640</v>
      </c>
      <c r="J24" s="12">
        <f>MROUND(H24*4*'Rate Card'!$B$47,100)</f>
        <v>12900</v>
      </c>
      <c r="K24" s="12">
        <f>MROUND(I24*4*'Rate Card'!$B$47,100)</f>
        <v>6200</v>
      </c>
      <c r="L24" s="12">
        <f>MROUND(H24*120*'Rate Card'!$B$48,500)</f>
        <v>347000</v>
      </c>
      <c r="M24" s="12">
        <f>MROUND(I24*120*'Rate Card'!$B$48,500)</f>
        <v>167500</v>
      </c>
      <c r="N24" s="14"/>
      <c r="O24" s="49">
        <v>0.82</v>
      </c>
      <c r="P24" s="49">
        <v>1</v>
      </c>
    </row>
    <row r="25" spans="1:16" ht="15" customHeight="1" x14ac:dyDescent="0.3">
      <c r="A25" s="9">
        <v>20</v>
      </c>
      <c r="B25" s="46" t="s">
        <v>19</v>
      </c>
      <c r="C25" s="46" t="s">
        <v>1689</v>
      </c>
      <c r="D25" s="47" t="s">
        <v>40</v>
      </c>
      <c r="E25" s="46" t="s">
        <v>1690</v>
      </c>
      <c r="F25" s="48" t="s">
        <v>31</v>
      </c>
      <c r="G25" s="48" t="s">
        <v>41</v>
      </c>
      <c r="H25" s="12">
        <f>MROUND('Rate Card'!$I$5*O25*P25,10)</f>
        <v>3400</v>
      </c>
      <c r="I25" s="12">
        <f>MROUND('Rate Card'!$K$5*O25*P25,10)</f>
        <v>1640</v>
      </c>
      <c r="J25" s="12">
        <f>MROUND(H25*4*'Rate Card'!$B$47,100)</f>
        <v>12900</v>
      </c>
      <c r="K25" s="12">
        <f>MROUND(I25*4*'Rate Card'!$B$47,100)</f>
        <v>6200</v>
      </c>
      <c r="L25" s="12">
        <f>MROUND(H25*120*'Rate Card'!$B$48,500)</f>
        <v>347000</v>
      </c>
      <c r="M25" s="12">
        <f>MROUND(I25*120*'Rate Card'!$B$48,500)</f>
        <v>167500</v>
      </c>
      <c r="N25" s="14"/>
      <c r="O25" s="49">
        <v>0.82</v>
      </c>
      <c r="P25" s="49">
        <v>1</v>
      </c>
    </row>
    <row r="26" spans="1:16" ht="15" customHeight="1" x14ac:dyDescent="0.3">
      <c r="A26" s="9">
        <v>21</v>
      </c>
      <c r="B26" s="46" t="s">
        <v>19</v>
      </c>
      <c r="C26" s="46" t="s">
        <v>1691</v>
      </c>
      <c r="D26" s="47" t="s">
        <v>71</v>
      </c>
      <c r="E26" s="46" t="s">
        <v>1690</v>
      </c>
      <c r="F26" s="48" t="s">
        <v>73</v>
      </c>
      <c r="G26" s="48" t="s">
        <v>72</v>
      </c>
      <c r="H26" s="12">
        <f>MROUND('Rate Card'!$I$5*O26*P26,10)</f>
        <v>2990</v>
      </c>
      <c r="I26" s="12">
        <f>MROUND('Rate Card'!$K$5*O26*P26,10)</f>
        <v>1440</v>
      </c>
      <c r="J26" s="12">
        <f>MROUND(H26*4*'Rate Card'!$B$47,100)</f>
        <v>11400</v>
      </c>
      <c r="K26" s="12">
        <f>MROUND(I26*4*'Rate Card'!$B$47,100)</f>
        <v>5500</v>
      </c>
      <c r="L26" s="12">
        <f>MROUND(H26*120*'Rate Card'!$B$48,500)</f>
        <v>305000</v>
      </c>
      <c r="M26" s="12">
        <f>MROUND(I26*120*'Rate Card'!$B$48,500)</f>
        <v>147000</v>
      </c>
      <c r="N26" s="14" t="s">
        <v>1693</v>
      </c>
      <c r="O26" s="49">
        <v>0.72</v>
      </c>
      <c r="P26" s="49">
        <v>1</v>
      </c>
    </row>
    <row r="27" spans="1:16" ht="15" customHeight="1" x14ac:dyDescent="0.3">
      <c r="A27" s="9">
        <v>22</v>
      </c>
      <c r="B27" s="46" t="s">
        <v>19</v>
      </c>
      <c r="C27" s="46" t="s">
        <v>1691</v>
      </c>
      <c r="D27" s="47" t="s">
        <v>75</v>
      </c>
      <c r="E27" s="46" t="s">
        <v>78</v>
      </c>
      <c r="F27" s="48" t="s">
        <v>77</v>
      </c>
      <c r="G27" s="48" t="s">
        <v>76</v>
      </c>
      <c r="H27" s="12">
        <f>MROUND('Rate Card'!$I$5*O27*P27,10)</f>
        <v>2700</v>
      </c>
      <c r="I27" s="12">
        <f>MROUND('Rate Card'!$K$5*O27*P27,10)</f>
        <v>1300</v>
      </c>
      <c r="J27" s="12">
        <f>MROUND(H27*4*'Rate Card'!$B$47,100)</f>
        <v>10300</v>
      </c>
      <c r="K27" s="12">
        <f>MROUND(I27*4*'Rate Card'!$B$47,100)</f>
        <v>4900</v>
      </c>
      <c r="L27" s="12">
        <f>MROUND(H27*120*'Rate Card'!$B$48,500)</f>
        <v>275500</v>
      </c>
      <c r="M27" s="12">
        <f>MROUND(I27*120*'Rate Card'!$B$48,500)</f>
        <v>132500</v>
      </c>
      <c r="N27" s="14" t="s">
        <v>1694</v>
      </c>
      <c r="O27" s="49">
        <v>0.65</v>
      </c>
      <c r="P27" s="49">
        <v>1</v>
      </c>
    </row>
    <row r="28" spans="1:16" ht="15" customHeight="1" x14ac:dyDescent="0.3">
      <c r="A28" s="9">
        <v>23</v>
      </c>
      <c r="B28" s="46" t="s">
        <v>19</v>
      </c>
      <c r="C28" s="46" t="s">
        <v>1691</v>
      </c>
      <c r="D28" s="47" t="s">
        <v>79</v>
      </c>
      <c r="E28" s="46" t="s">
        <v>1695</v>
      </c>
      <c r="F28" s="48" t="s">
        <v>81</v>
      </c>
      <c r="G28" s="48" t="s">
        <v>80</v>
      </c>
      <c r="H28" s="12">
        <f>MROUND('Rate Card'!$I$5*O28*P28,10)</f>
        <v>2700</v>
      </c>
      <c r="I28" s="12">
        <f>MROUND('Rate Card'!$K$5*O28*P28,10)</f>
        <v>1300</v>
      </c>
      <c r="J28" s="12">
        <f>MROUND(H28*4*'Rate Card'!$B$47,100)</f>
        <v>10300</v>
      </c>
      <c r="K28" s="12">
        <f>MROUND(I28*4*'Rate Card'!$B$47,100)</f>
        <v>4900</v>
      </c>
      <c r="L28" s="12">
        <f>MROUND(H28*120*'Rate Card'!$B$48,500)</f>
        <v>275500</v>
      </c>
      <c r="M28" s="12">
        <f>MROUND(I28*120*'Rate Card'!$B$48,500)</f>
        <v>132500</v>
      </c>
      <c r="N28" s="14" t="s">
        <v>1694</v>
      </c>
      <c r="O28" s="49">
        <v>0.65</v>
      </c>
      <c r="P28" s="49">
        <v>1</v>
      </c>
    </row>
    <row r="29" spans="1:16" ht="15" customHeight="1" x14ac:dyDescent="0.3">
      <c r="A29" s="9">
        <v>24</v>
      </c>
      <c r="B29" s="46" t="s">
        <v>19</v>
      </c>
      <c r="C29" s="46" t="s">
        <v>1691</v>
      </c>
      <c r="D29" s="47" t="s">
        <v>83</v>
      </c>
      <c r="E29" s="46" t="s">
        <v>1696</v>
      </c>
      <c r="F29" s="48" t="s">
        <v>85</v>
      </c>
      <c r="G29" s="48" t="s">
        <v>84</v>
      </c>
      <c r="H29" s="12">
        <f>MROUND('Rate Card'!$I$5*O29*P29,10)</f>
        <v>2410</v>
      </c>
      <c r="I29" s="12">
        <f>MROUND('Rate Card'!$K$5*O29*P29,10)</f>
        <v>1160</v>
      </c>
      <c r="J29" s="12">
        <f>MROUND(H29*4*'Rate Card'!$B$47,100)</f>
        <v>9200</v>
      </c>
      <c r="K29" s="12">
        <f>MROUND(I29*4*'Rate Card'!$B$47,100)</f>
        <v>4400</v>
      </c>
      <c r="L29" s="12">
        <f>MROUND(H29*120*'Rate Card'!$B$48,500)</f>
        <v>246000</v>
      </c>
      <c r="M29" s="12">
        <f>MROUND(I29*120*'Rate Card'!$B$48,500)</f>
        <v>118500</v>
      </c>
      <c r="N29" s="14" t="s">
        <v>1697</v>
      </c>
      <c r="O29" s="49">
        <v>0.57999999999999996</v>
      </c>
      <c r="P29" s="49">
        <v>1</v>
      </c>
    </row>
    <row r="30" spans="1:16" ht="15" customHeight="1" x14ac:dyDescent="0.3">
      <c r="A30" s="199" t="s">
        <v>86</v>
      </c>
      <c r="B30" s="200"/>
      <c r="C30" s="200"/>
      <c r="D30" s="200"/>
      <c r="E30" s="200"/>
      <c r="F30" s="200"/>
      <c r="G30" s="200"/>
      <c r="H30" s="200"/>
      <c r="I30" s="200"/>
      <c r="J30" s="200"/>
      <c r="K30" s="200"/>
      <c r="L30" s="200"/>
      <c r="M30" s="200"/>
      <c r="N30" s="200"/>
    </row>
    <row r="31" spans="1:16" ht="15" customHeight="1" x14ac:dyDescent="0.3">
      <c r="A31" s="9">
        <v>25</v>
      </c>
      <c r="B31" s="46" t="s">
        <v>87</v>
      </c>
      <c r="C31" s="46" t="s">
        <v>1698</v>
      </c>
      <c r="D31" s="47" t="s">
        <v>89</v>
      </c>
      <c r="E31" s="46" t="s">
        <v>1699</v>
      </c>
      <c r="F31" s="48" t="s">
        <v>31</v>
      </c>
      <c r="G31" s="48"/>
      <c r="H31" s="12">
        <f>MROUND('Rate Card'!$I$6*O31*P31,10)</f>
        <v>8450</v>
      </c>
      <c r="I31" s="12">
        <f>MROUND('Rate Card'!$K$6*O31*P31,10)</f>
        <v>3800</v>
      </c>
      <c r="J31" s="12">
        <f>MROUND(H31*4*'Rate Card'!$B$47,100)</f>
        <v>32100</v>
      </c>
      <c r="K31" s="12">
        <f>MROUND(I31*4*'Rate Card'!$B$47,100)</f>
        <v>14400</v>
      </c>
      <c r="L31" s="12">
        <f>MROUND(H31*120*'Rate Card'!$B$48,500)</f>
        <v>862000</v>
      </c>
      <c r="M31" s="12">
        <f>MROUND(I31*120*'Rate Card'!$B$48,500)</f>
        <v>387500</v>
      </c>
      <c r="N31" s="14"/>
      <c r="O31" s="49">
        <v>1</v>
      </c>
      <c r="P31" s="49">
        <v>1</v>
      </c>
    </row>
    <row r="32" spans="1:16" ht="15" customHeight="1" x14ac:dyDescent="0.3">
      <c r="A32" s="9">
        <v>26</v>
      </c>
      <c r="B32" s="46" t="s">
        <v>87</v>
      </c>
      <c r="C32" s="46" t="s">
        <v>1700</v>
      </c>
      <c r="D32" s="47" t="s">
        <v>91</v>
      </c>
      <c r="E32" s="46" t="s">
        <v>1701</v>
      </c>
      <c r="F32" s="48" t="s">
        <v>61</v>
      </c>
      <c r="G32" s="48"/>
      <c r="H32" s="12">
        <f>MROUND('Rate Card'!$I$6*O32*P32,10)</f>
        <v>7770</v>
      </c>
      <c r="I32" s="12">
        <f>MROUND('Rate Card'!$K$6*O32*P32,10)</f>
        <v>3500</v>
      </c>
      <c r="J32" s="12">
        <f>MROUND(H32*4*'Rate Card'!$B$47,100)</f>
        <v>29500</v>
      </c>
      <c r="K32" s="12">
        <f>MROUND(I32*4*'Rate Card'!$B$47,100)</f>
        <v>13300</v>
      </c>
      <c r="L32" s="12">
        <f>MROUND(H32*120*'Rate Card'!$B$48,500)</f>
        <v>792500</v>
      </c>
      <c r="M32" s="12">
        <f>MROUND(I32*120*'Rate Card'!$B$48,500)</f>
        <v>357000</v>
      </c>
      <c r="N32" s="14"/>
      <c r="O32" s="49">
        <v>0.92</v>
      </c>
      <c r="P32" s="49">
        <v>1</v>
      </c>
    </row>
    <row r="33" spans="1:16" ht="15" customHeight="1" x14ac:dyDescent="0.3">
      <c r="A33" s="9">
        <v>27</v>
      </c>
      <c r="B33" s="46" t="s">
        <v>87</v>
      </c>
      <c r="C33" s="46" t="s">
        <v>1700</v>
      </c>
      <c r="D33" s="47" t="s">
        <v>93</v>
      </c>
      <c r="E33" s="46" t="s">
        <v>1702</v>
      </c>
      <c r="F33" s="48" t="s">
        <v>94</v>
      </c>
      <c r="G33" s="48"/>
      <c r="H33" s="12">
        <f>MROUND('Rate Card'!$I$6*O33*P33,10)</f>
        <v>6930</v>
      </c>
      <c r="I33" s="12">
        <f>MROUND('Rate Card'!$K$6*O33*P33,10)</f>
        <v>3120</v>
      </c>
      <c r="J33" s="12">
        <f>MROUND(H33*4*'Rate Card'!$B$47,100)</f>
        <v>26300</v>
      </c>
      <c r="K33" s="12">
        <f>MROUND(I33*4*'Rate Card'!$B$47,100)</f>
        <v>11900</v>
      </c>
      <c r="L33" s="12">
        <f>MROUND(H33*120*'Rate Card'!$B$48,500)</f>
        <v>707000</v>
      </c>
      <c r="M33" s="12">
        <f>MROUND(I33*120*'Rate Card'!$B$48,500)</f>
        <v>318000</v>
      </c>
      <c r="N33" s="14"/>
      <c r="O33" s="49">
        <v>0.82</v>
      </c>
      <c r="P33" s="49">
        <v>1</v>
      </c>
    </row>
    <row r="34" spans="1:16" ht="15" customHeight="1" x14ac:dyDescent="0.3">
      <c r="A34" s="9">
        <v>28</v>
      </c>
      <c r="B34" s="46" t="s">
        <v>87</v>
      </c>
      <c r="C34" s="46" t="s">
        <v>1703</v>
      </c>
      <c r="D34" s="47" t="s">
        <v>96</v>
      </c>
      <c r="E34" s="46" t="s">
        <v>1704</v>
      </c>
      <c r="F34" s="48" t="s">
        <v>94</v>
      </c>
      <c r="G34" s="48"/>
      <c r="H34" s="12">
        <f>MROUND('Rate Card'!$I$6*O34*P34,10)</f>
        <v>6930</v>
      </c>
      <c r="I34" s="12">
        <f>MROUND('Rate Card'!$K$6*O34*P34,10)</f>
        <v>3120</v>
      </c>
      <c r="J34" s="12">
        <f>MROUND(H34*4*'Rate Card'!$B$47,100)</f>
        <v>26300</v>
      </c>
      <c r="K34" s="12">
        <f>MROUND(I34*4*'Rate Card'!$B$47,100)</f>
        <v>11900</v>
      </c>
      <c r="L34" s="12">
        <f>MROUND(H34*120*'Rate Card'!$B$48,500)</f>
        <v>707000</v>
      </c>
      <c r="M34" s="12">
        <f>MROUND(I34*120*'Rate Card'!$B$48,500)</f>
        <v>318000</v>
      </c>
      <c r="N34" s="14"/>
      <c r="O34" s="49">
        <v>0.82</v>
      </c>
      <c r="P34" s="49">
        <v>1</v>
      </c>
    </row>
    <row r="35" spans="1:16" ht="15" customHeight="1" x14ac:dyDescent="0.3">
      <c r="A35" s="9">
        <v>29</v>
      </c>
      <c r="B35" s="46" t="s">
        <v>87</v>
      </c>
      <c r="C35" s="46" t="s">
        <v>1700</v>
      </c>
      <c r="D35" s="47" t="s">
        <v>98</v>
      </c>
      <c r="E35" s="46" t="s">
        <v>1705</v>
      </c>
      <c r="F35" s="48" t="s">
        <v>99</v>
      </c>
      <c r="G35" s="48"/>
      <c r="H35" s="12">
        <f>MROUND('Rate Card'!$I$6*O35*P35,10)</f>
        <v>6930</v>
      </c>
      <c r="I35" s="12">
        <f>MROUND('Rate Card'!$K$6*O35*P35,10)</f>
        <v>3120</v>
      </c>
      <c r="J35" s="12">
        <f>MROUND(H35*4*'Rate Card'!$B$47,100)</f>
        <v>26300</v>
      </c>
      <c r="K35" s="12">
        <f>MROUND(I35*4*'Rate Card'!$B$47,100)</f>
        <v>11900</v>
      </c>
      <c r="L35" s="12">
        <f>MROUND(H35*120*'Rate Card'!$B$48,500)</f>
        <v>707000</v>
      </c>
      <c r="M35" s="12">
        <f>MROUND(I35*120*'Rate Card'!$B$48,500)</f>
        <v>318000</v>
      </c>
      <c r="N35" s="14"/>
      <c r="O35" s="49">
        <v>0.82</v>
      </c>
      <c r="P35" s="49">
        <v>1</v>
      </c>
    </row>
    <row r="36" spans="1:16" ht="15" customHeight="1" x14ac:dyDescent="0.3">
      <c r="A36" s="9">
        <v>30</v>
      </c>
      <c r="B36" s="46" t="s">
        <v>87</v>
      </c>
      <c r="C36" s="46" t="s">
        <v>1700</v>
      </c>
      <c r="D36" s="47" t="s">
        <v>101</v>
      </c>
      <c r="E36" s="46" t="s">
        <v>1706</v>
      </c>
      <c r="F36" s="48" t="s">
        <v>99</v>
      </c>
      <c r="G36" s="48" t="s">
        <v>102</v>
      </c>
      <c r="H36" s="12">
        <f>MROUND('Rate Card'!$I$6*O36*P36,10)</f>
        <v>6930</v>
      </c>
      <c r="I36" s="12">
        <f>MROUND('Rate Card'!$K$6*O36*P36,10)</f>
        <v>3120</v>
      </c>
      <c r="J36" s="12">
        <f>MROUND(H36*4*'Rate Card'!$B$47,100)</f>
        <v>26300</v>
      </c>
      <c r="K36" s="12">
        <f>MROUND(I36*4*'Rate Card'!$B$47,100)</f>
        <v>11900</v>
      </c>
      <c r="L36" s="12">
        <f>MROUND(H36*120*'Rate Card'!$B$48,500)</f>
        <v>707000</v>
      </c>
      <c r="M36" s="12">
        <f>MROUND(I36*120*'Rate Card'!$B$48,500)</f>
        <v>318000</v>
      </c>
      <c r="N36" s="14"/>
      <c r="O36" s="49">
        <v>0.82</v>
      </c>
      <c r="P36" s="49">
        <v>1</v>
      </c>
    </row>
    <row r="37" spans="1:16" ht="15" customHeight="1" x14ac:dyDescent="0.3">
      <c r="A37" s="9">
        <v>31</v>
      </c>
      <c r="B37" s="46" t="s">
        <v>87</v>
      </c>
      <c r="C37" s="46" t="s">
        <v>1700</v>
      </c>
      <c r="D37" s="47" t="s">
        <v>104</v>
      </c>
      <c r="E37" s="46" t="s">
        <v>1707</v>
      </c>
      <c r="F37" s="48" t="s">
        <v>66</v>
      </c>
      <c r="G37" s="48"/>
      <c r="H37" s="12">
        <f>MROUND('Rate Card'!$I$6*O37*P37,10)</f>
        <v>6930</v>
      </c>
      <c r="I37" s="12">
        <f>MROUND('Rate Card'!$K$6*O37*P37,10)</f>
        <v>3120</v>
      </c>
      <c r="J37" s="12">
        <f>MROUND(H37*4*'Rate Card'!$B$47,100)</f>
        <v>26300</v>
      </c>
      <c r="K37" s="12">
        <f>MROUND(I37*4*'Rate Card'!$B$47,100)</f>
        <v>11900</v>
      </c>
      <c r="L37" s="12">
        <f>MROUND(H37*120*'Rate Card'!$B$48,500)</f>
        <v>707000</v>
      </c>
      <c r="M37" s="12">
        <f>MROUND(I37*120*'Rate Card'!$B$48,500)</f>
        <v>318000</v>
      </c>
      <c r="N37" s="14"/>
      <c r="O37" s="49">
        <v>0.82</v>
      </c>
      <c r="P37" s="49">
        <v>1</v>
      </c>
    </row>
    <row r="38" spans="1:16" ht="15" customHeight="1" x14ac:dyDescent="0.3">
      <c r="A38" s="9">
        <v>32</v>
      </c>
      <c r="B38" s="46" t="s">
        <v>87</v>
      </c>
      <c r="C38" s="46" t="s">
        <v>1708</v>
      </c>
      <c r="D38" s="47" t="s">
        <v>106</v>
      </c>
      <c r="E38" s="46" t="s">
        <v>1709</v>
      </c>
      <c r="F38" s="48" t="s">
        <v>107</v>
      </c>
      <c r="G38" s="48"/>
      <c r="H38" s="12">
        <f>MROUND('Rate Card'!$I$6*O38*P38,10)</f>
        <v>6930</v>
      </c>
      <c r="I38" s="12">
        <f>MROUND('Rate Card'!$K$6*O38*P38,10)</f>
        <v>3120</v>
      </c>
      <c r="J38" s="12">
        <f>MROUND(H38*4*'Rate Card'!$B$47,100)</f>
        <v>26300</v>
      </c>
      <c r="K38" s="12">
        <f>MROUND(I38*4*'Rate Card'!$B$47,100)</f>
        <v>11900</v>
      </c>
      <c r="L38" s="12">
        <f>MROUND(H38*120*'Rate Card'!$B$48,500)</f>
        <v>707000</v>
      </c>
      <c r="M38" s="12">
        <f>MROUND(I38*120*'Rate Card'!$B$48,500)</f>
        <v>318000</v>
      </c>
      <c r="N38" s="14"/>
      <c r="O38" s="49">
        <v>0.82</v>
      </c>
      <c r="P38" s="49">
        <v>1</v>
      </c>
    </row>
    <row r="39" spans="1:16" ht="15" customHeight="1" x14ac:dyDescent="0.3">
      <c r="A39" s="9">
        <v>33</v>
      </c>
      <c r="B39" s="46" t="s">
        <v>87</v>
      </c>
      <c r="C39" s="46" t="s">
        <v>1708</v>
      </c>
      <c r="D39" s="47" t="s">
        <v>109</v>
      </c>
      <c r="E39" s="46" t="s">
        <v>1710</v>
      </c>
      <c r="F39" s="48" t="s">
        <v>110</v>
      </c>
      <c r="G39" s="48"/>
      <c r="H39" s="12">
        <f>MROUND('Rate Card'!$I$6*O39*P39,10)</f>
        <v>6080</v>
      </c>
      <c r="I39" s="12">
        <f>MROUND('Rate Card'!$K$6*O39*P39,10)</f>
        <v>2740</v>
      </c>
      <c r="J39" s="12">
        <f>MROUND(H39*4*'Rate Card'!$B$47,100)</f>
        <v>23100</v>
      </c>
      <c r="K39" s="12">
        <f>MROUND(I39*4*'Rate Card'!$B$47,100)</f>
        <v>10400</v>
      </c>
      <c r="L39" s="12">
        <f>MROUND(H39*120*'Rate Card'!$B$48,500)</f>
        <v>620000</v>
      </c>
      <c r="M39" s="12">
        <f>MROUND(I39*120*'Rate Card'!$B$48,500)</f>
        <v>279500</v>
      </c>
      <c r="N39" s="14" t="s">
        <v>1693</v>
      </c>
      <c r="O39" s="49">
        <v>0.72</v>
      </c>
      <c r="P39" s="49">
        <v>1</v>
      </c>
    </row>
    <row r="40" spans="1:16" ht="15" customHeight="1" x14ac:dyDescent="0.3">
      <c r="A40" s="199" t="s">
        <v>111</v>
      </c>
      <c r="B40" s="200"/>
      <c r="C40" s="200"/>
      <c r="D40" s="200"/>
      <c r="E40" s="200"/>
      <c r="F40" s="200"/>
      <c r="G40" s="200"/>
      <c r="H40" s="200"/>
      <c r="I40" s="200"/>
      <c r="J40" s="200"/>
      <c r="K40" s="200"/>
      <c r="L40" s="200"/>
      <c r="M40" s="200"/>
      <c r="N40" s="200"/>
    </row>
    <row r="41" spans="1:16" ht="15" customHeight="1" x14ac:dyDescent="0.3">
      <c r="A41" s="9">
        <v>34</v>
      </c>
      <c r="B41" s="46" t="s">
        <v>112</v>
      </c>
      <c r="C41" s="46" t="s">
        <v>1711</v>
      </c>
      <c r="D41" s="47" t="s">
        <v>114</v>
      </c>
      <c r="E41" s="46" t="s">
        <v>1712</v>
      </c>
      <c r="F41" s="48" t="s">
        <v>116</v>
      </c>
      <c r="G41" s="48" t="s">
        <v>115</v>
      </c>
      <c r="H41" s="12">
        <f>MROUND('Rate Card'!$I$7*O41*P41,10)</f>
        <v>4460</v>
      </c>
      <c r="I41" s="12">
        <f>MROUND('Rate Card'!$K$7*O41*P41,10)</f>
        <v>2250</v>
      </c>
      <c r="J41" s="12">
        <f>MROUND(H41*4*'Rate Card'!$B$47,100)</f>
        <v>16900</v>
      </c>
      <c r="K41" s="12">
        <f>MROUND(I41*4*'Rate Card'!$B$47,100)</f>
        <v>8600</v>
      </c>
      <c r="L41" s="12">
        <f>MROUND(H41*120*'Rate Card'!$B$48,500)</f>
        <v>455000</v>
      </c>
      <c r="M41" s="12">
        <f>MROUND(I41*120*'Rate Card'!$B$48,500)</f>
        <v>229500</v>
      </c>
      <c r="N41" s="14"/>
      <c r="O41" s="49">
        <v>0.92</v>
      </c>
      <c r="P41" s="49">
        <v>1</v>
      </c>
    </row>
    <row r="42" spans="1:16" ht="15" customHeight="1" x14ac:dyDescent="0.3">
      <c r="A42" s="9">
        <v>35</v>
      </c>
      <c r="B42" s="46" t="s">
        <v>112</v>
      </c>
      <c r="C42" s="46" t="s">
        <v>1711</v>
      </c>
      <c r="D42" s="47" t="s">
        <v>118</v>
      </c>
      <c r="E42" s="46" t="s">
        <v>1713</v>
      </c>
      <c r="F42" s="48" t="s">
        <v>116</v>
      </c>
      <c r="G42" s="48" t="s">
        <v>119</v>
      </c>
      <c r="H42" s="12">
        <f>MROUND('Rate Card'!$I$7*O42*P42,10)</f>
        <v>4460</v>
      </c>
      <c r="I42" s="12">
        <f>MROUND('Rate Card'!$K$7*O42*P42,10)</f>
        <v>2250</v>
      </c>
      <c r="J42" s="12">
        <f>MROUND(H42*4*'Rate Card'!$B$47,100)</f>
        <v>16900</v>
      </c>
      <c r="K42" s="12">
        <f>MROUND(I42*4*'Rate Card'!$B$47,100)</f>
        <v>8600</v>
      </c>
      <c r="L42" s="12">
        <f>MROUND(H42*120*'Rate Card'!$B$48,500)</f>
        <v>455000</v>
      </c>
      <c r="M42" s="12">
        <f>MROUND(I42*120*'Rate Card'!$B$48,500)</f>
        <v>229500</v>
      </c>
      <c r="N42" s="14"/>
      <c r="O42" s="49">
        <v>0.92</v>
      </c>
      <c r="P42" s="49">
        <v>1</v>
      </c>
    </row>
    <row r="43" spans="1:16" ht="15" customHeight="1" x14ac:dyDescent="0.3">
      <c r="A43" s="9">
        <v>36</v>
      </c>
      <c r="B43" s="46" t="s">
        <v>112</v>
      </c>
      <c r="C43" s="46" t="s">
        <v>1711</v>
      </c>
      <c r="D43" s="47" t="s">
        <v>129</v>
      </c>
      <c r="E43" s="46" t="s">
        <v>1712</v>
      </c>
      <c r="F43" s="48" t="s">
        <v>49</v>
      </c>
      <c r="G43" s="48" t="s">
        <v>130</v>
      </c>
      <c r="H43" s="12">
        <f>MROUND('Rate Card'!$I$7*O43*P43,10)</f>
        <v>4460</v>
      </c>
      <c r="I43" s="12">
        <f>MROUND('Rate Card'!$K$7*O43*P43,10)</f>
        <v>2250</v>
      </c>
      <c r="J43" s="12">
        <f>MROUND(H43*4*'Rate Card'!$B$47,100)</f>
        <v>16900</v>
      </c>
      <c r="K43" s="12">
        <f>MROUND(I43*4*'Rate Card'!$B$47,100)</f>
        <v>8600</v>
      </c>
      <c r="L43" s="12">
        <f>MROUND(H43*120*'Rate Card'!$B$48,500)</f>
        <v>455000</v>
      </c>
      <c r="M43" s="12">
        <f>MROUND(I43*120*'Rate Card'!$B$48,500)</f>
        <v>229500</v>
      </c>
      <c r="N43" s="14"/>
      <c r="O43" s="49">
        <v>0.92</v>
      </c>
      <c r="P43" s="49">
        <v>1</v>
      </c>
    </row>
    <row r="44" spans="1:16" ht="15" customHeight="1" x14ac:dyDescent="0.3">
      <c r="A44" s="9">
        <v>37</v>
      </c>
      <c r="B44" s="46" t="s">
        <v>112</v>
      </c>
      <c r="C44" s="46" t="s">
        <v>1714</v>
      </c>
      <c r="D44" s="47" t="s">
        <v>123</v>
      </c>
      <c r="E44" s="46" t="s">
        <v>1715</v>
      </c>
      <c r="F44" s="48" t="s">
        <v>49</v>
      </c>
      <c r="G44" s="48" t="s">
        <v>124</v>
      </c>
      <c r="H44" s="12">
        <f>MROUND('Rate Card'!$I$7*O44*P44,10)</f>
        <v>4460</v>
      </c>
      <c r="I44" s="12">
        <f>MROUND('Rate Card'!$K$7*O44*P44,10)</f>
        <v>2250</v>
      </c>
      <c r="J44" s="12">
        <f>MROUND(H44*4*'Rate Card'!$B$47,100)</f>
        <v>16900</v>
      </c>
      <c r="K44" s="12">
        <f>MROUND(I44*4*'Rate Card'!$B$47,100)</f>
        <v>8600</v>
      </c>
      <c r="L44" s="12">
        <f>MROUND(H44*120*'Rate Card'!$B$48,500)</f>
        <v>455000</v>
      </c>
      <c r="M44" s="12">
        <f>MROUND(I44*120*'Rate Card'!$B$48,500)</f>
        <v>229500</v>
      </c>
      <c r="N44" s="14"/>
      <c r="O44" s="49">
        <v>0.92</v>
      </c>
      <c r="P44" s="49">
        <v>1</v>
      </c>
    </row>
    <row r="45" spans="1:16" ht="15" customHeight="1" x14ac:dyDescent="0.3">
      <c r="A45" s="9">
        <v>38</v>
      </c>
      <c r="B45" s="46" t="s">
        <v>112</v>
      </c>
      <c r="C45" s="46" t="s">
        <v>1714</v>
      </c>
      <c r="D45" s="47" t="s">
        <v>125</v>
      </c>
      <c r="E45" s="46" t="s">
        <v>1715</v>
      </c>
      <c r="F45" s="48" t="s">
        <v>49</v>
      </c>
      <c r="G45" s="48" t="s">
        <v>126</v>
      </c>
      <c r="H45" s="12">
        <f>MROUND('Rate Card'!$I$7*O45*P45,10)</f>
        <v>4460</v>
      </c>
      <c r="I45" s="12">
        <f>MROUND('Rate Card'!$K$7*O45*P45,10)</f>
        <v>2250</v>
      </c>
      <c r="J45" s="12">
        <f>MROUND(H45*4*'Rate Card'!$B$47,100)</f>
        <v>16900</v>
      </c>
      <c r="K45" s="12">
        <f>MROUND(I45*4*'Rate Card'!$B$47,100)</f>
        <v>8600</v>
      </c>
      <c r="L45" s="12">
        <f>MROUND(H45*120*'Rate Card'!$B$48,500)</f>
        <v>455000</v>
      </c>
      <c r="M45" s="12">
        <f>MROUND(I45*120*'Rate Card'!$B$48,500)</f>
        <v>229500</v>
      </c>
      <c r="N45" s="14"/>
      <c r="O45" s="49">
        <v>0.92</v>
      </c>
      <c r="P45" s="49">
        <v>1</v>
      </c>
    </row>
    <row r="46" spans="1:16" ht="15" customHeight="1" x14ac:dyDescent="0.3">
      <c r="A46" s="9">
        <v>39</v>
      </c>
      <c r="B46" s="46" t="s">
        <v>112</v>
      </c>
      <c r="C46" s="46" t="s">
        <v>1711</v>
      </c>
      <c r="D46" s="47" t="s">
        <v>127</v>
      </c>
      <c r="E46" s="46" t="s">
        <v>1713</v>
      </c>
      <c r="F46" s="48" t="s">
        <v>49</v>
      </c>
      <c r="G46" s="48" t="s">
        <v>128</v>
      </c>
      <c r="H46" s="12">
        <f>MROUND('Rate Card'!$I$7*O46*P46,10)</f>
        <v>4460</v>
      </c>
      <c r="I46" s="12">
        <f>MROUND('Rate Card'!$K$7*O46*P46,10)</f>
        <v>2250</v>
      </c>
      <c r="J46" s="12">
        <f>MROUND(H46*4*'Rate Card'!$B$47,100)</f>
        <v>16900</v>
      </c>
      <c r="K46" s="12">
        <f>MROUND(I46*4*'Rate Card'!$B$47,100)</f>
        <v>8600</v>
      </c>
      <c r="L46" s="12">
        <f>MROUND(H46*120*'Rate Card'!$B$48,500)</f>
        <v>455000</v>
      </c>
      <c r="M46" s="12">
        <f>MROUND(I46*120*'Rate Card'!$B$48,500)</f>
        <v>229500</v>
      </c>
      <c r="N46" s="14"/>
      <c r="O46" s="49">
        <v>0.92</v>
      </c>
      <c r="P46" s="49">
        <v>1</v>
      </c>
    </row>
    <row r="47" spans="1:16" ht="15" customHeight="1" x14ac:dyDescent="0.3">
      <c r="A47" s="9">
        <v>40</v>
      </c>
      <c r="B47" s="46" t="s">
        <v>112</v>
      </c>
      <c r="C47" s="46" t="s">
        <v>1711</v>
      </c>
      <c r="D47" s="47" t="s">
        <v>131</v>
      </c>
      <c r="E47" s="46" t="s">
        <v>1713</v>
      </c>
      <c r="F47" s="48" t="s">
        <v>49</v>
      </c>
      <c r="G47" s="48" t="s">
        <v>132</v>
      </c>
      <c r="H47" s="12">
        <f>MROUND('Rate Card'!$I$7*O47*P47,10)</f>
        <v>4460</v>
      </c>
      <c r="I47" s="12">
        <f>MROUND('Rate Card'!$K$7*O47*P47,10)</f>
        <v>2250</v>
      </c>
      <c r="J47" s="12">
        <f>MROUND(H47*4*'Rate Card'!$B$47,100)</f>
        <v>16900</v>
      </c>
      <c r="K47" s="12">
        <f>MROUND(I47*4*'Rate Card'!$B$47,100)</f>
        <v>8600</v>
      </c>
      <c r="L47" s="12">
        <f>MROUND(H47*120*'Rate Card'!$B$48,500)</f>
        <v>455000</v>
      </c>
      <c r="M47" s="12">
        <f>MROUND(I47*120*'Rate Card'!$B$48,500)</f>
        <v>229500</v>
      </c>
      <c r="N47" s="14"/>
      <c r="O47" s="49">
        <v>0.92</v>
      </c>
      <c r="P47" s="49">
        <v>1</v>
      </c>
    </row>
    <row r="48" spans="1:16" ht="15" customHeight="1" x14ac:dyDescent="0.3">
      <c r="A48" s="9">
        <v>41</v>
      </c>
      <c r="B48" s="46" t="s">
        <v>112</v>
      </c>
      <c r="C48" s="46" t="s">
        <v>1711</v>
      </c>
      <c r="D48" s="47" t="s">
        <v>120</v>
      </c>
      <c r="E48" s="46" t="s">
        <v>1713</v>
      </c>
      <c r="F48" s="48" t="s">
        <v>116</v>
      </c>
      <c r="G48" s="48" t="s">
        <v>121</v>
      </c>
      <c r="H48" s="12">
        <f>MROUND('Rate Card'!$I$7*O48*P48,10)</f>
        <v>4460</v>
      </c>
      <c r="I48" s="12">
        <f>MROUND('Rate Card'!$K$7*O48*P48,10)</f>
        <v>2250</v>
      </c>
      <c r="J48" s="12">
        <f>MROUND(H48*4*'Rate Card'!$B$47,100)</f>
        <v>16900</v>
      </c>
      <c r="K48" s="12">
        <f>MROUND(I48*4*'Rate Card'!$B$47,100)</f>
        <v>8600</v>
      </c>
      <c r="L48" s="12">
        <f>MROUND(H48*120*'Rate Card'!$B$48,500)</f>
        <v>455000</v>
      </c>
      <c r="M48" s="12">
        <f>MROUND(I48*120*'Rate Card'!$B$48,500)</f>
        <v>229500</v>
      </c>
      <c r="N48" s="14"/>
      <c r="O48" s="49">
        <v>0.92</v>
      </c>
      <c r="P48" s="49">
        <v>1</v>
      </c>
    </row>
    <row r="49" spans="1:16" ht="15" customHeight="1" x14ac:dyDescent="0.3">
      <c r="A49" s="9">
        <v>42</v>
      </c>
      <c r="B49" s="46" t="s">
        <v>112</v>
      </c>
      <c r="C49" s="46" t="s">
        <v>1716</v>
      </c>
      <c r="D49" s="47" t="s">
        <v>134</v>
      </c>
      <c r="E49" s="46" t="s">
        <v>1717</v>
      </c>
      <c r="F49" s="48" t="s">
        <v>61</v>
      </c>
      <c r="G49" s="48" t="s">
        <v>135</v>
      </c>
      <c r="H49" s="12">
        <f>MROUND('Rate Card'!$I$7*O49*P49,10)</f>
        <v>4460</v>
      </c>
      <c r="I49" s="12">
        <f>MROUND('Rate Card'!$K$7*O49*P49,10)</f>
        <v>2250</v>
      </c>
      <c r="J49" s="12">
        <f>MROUND(H49*4*'Rate Card'!$B$47,100)</f>
        <v>16900</v>
      </c>
      <c r="K49" s="12">
        <f>MROUND(I49*4*'Rate Card'!$B$47,100)</f>
        <v>8600</v>
      </c>
      <c r="L49" s="12">
        <f>MROUND(H49*120*'Rate Card'!$B$48,500)</f>
        <v>455000</v>
      </c>
      <c r="M49" s="12">
        <f>MROUND(I49*120*'Rate Card'!$B$48,500)</f>
        <v>229500</v>
      </c>
      <c r="N49" s="14"/>
      <c r="O49" s="49">
        <v>0.92</v>
      </c>
      <c r="P49" s="49">
        <v>1</v>
      </c>
    </row>
    <row r="50" spans="1:16" ht="15" customHeight="1" x14ac:dyDescent="0.3">
      <c r="A50" s="9">
        <v>43</v>
      </c>
      <c r="B50" s="46" t="s">
        <v>112</v>
      </c>
      <c r="C50" s="46" t="s">
        <v>1718</v>
      </c>
      <c r="D50" s="47" t="s">
        <v>137</v>
      </c>
      <c r="E50" s="46" t="s">
        <v>1719</v>
      </c>
      <c r="F50" s="48" t="s">
        <v>139</v>
      </c>
      <c r="G50" s="48" t="s">
        <v>138</v>
      </c>
      <c r="H50" s="12">
        <f>MROUND('Rate Card'!$I$7*O50*P50,10)</f>
        <v>3150</v>
      </c>
      <c r="I50" s="12">
        <f>MROUND('Rate Card'!$K$7*O50*P50,10)</f>
        <v>1590</v>
      </c>
      <c r="J50" s="12">
        <f>MROUND(H50*4*'Rate Card'!$B$47,100)</f>
        <v>12000</v>
      </c>
      <c r="K50" s="12">
        <f>MROUND(I50*4*'Rate Card'!$B$47,100)</f>
        <v>6000</v>
      </c>
      <c r="L50" s="12">
        <f>MROUND(H50*120*'Rate Card'!$B$48,500)</f>
        <v>321500</v>
      </c>
      <c r="M50" s="12">
        <f>MROUND(I50*120*'Rate Card'!$B$48,500)</f>
        <v>162000</v>
      </c>
      <c r="N50" s="14" t="s">
        <v>1694</v>
      </c>
      <c r="O50" s="49">
        <v>0.65</v>
      </c>
      <c r="P50" s="49">
        <v>1</v>
      </c>
    </row>
    <row r="51" spans="1:16" ht="15" customHeight="1" x14ac:dyDescent="0.3">
      <c r="A51" s="9">
        <v>44</v>
      </c>
      <c r="B51" s="46" t="s">
        <v>112</v>
      </c>
      <c r="C51" s="46" t="s">
        <v>1720</v>
      </c>
      <c r="D51" s="47" t="s">
        <v>141</v>
      </c>
      <c r="E51" s="46" t="s">
        <v>1721</v>
      </c>
      <c r="F51" s="48" t="s">
        <v>143</v>
      </c>
      <c r="G51" s="48" t="s">
        <v>142</v>
      </c>
      <c r="H51" s="12">
        <f>MROUND('Rate Card'!$I$7*O51*P51,10)</f>
        <v>3150</v>
      </c>
      <c r="I51" s="12">
        <f>MROUND('Rate Card'!$K$7*O51*P51,10)</f>
        <v>1590</v>
      </c>
      <c r="J51" s="12">
        <f>MROUND(H51*4*'Rate Card'!$B$47,100)</f>
        <v>12000</v>
      </c>
      <c r="K51" s="12">
        <f>MROUND(I51*4*'Rate Card'!$B$47,100)</f>
        <v>6000</v>
      </c>
      <c r="L51" s="12">
        <f>MROUND(H51*120*'Rate Card'!$B$48,500)</f>
        <v>321500</v>
      </c>
      <c r="M51" s="12">
        <f>MROUND(I51*120*'Rate Card'!$B$48,500)</f>
        <v>162000</v>
      </c>
      <c r="N51" s="14" t="s">
        <v>1694</v>
      </c>
      <c r="O51" s="49">
        <v>0.65</v>
      </c>
      <c r="P51" s="49">
        <v>1</v>
      </c>
    </row>
    <row r="52" spans="1:16" ht="15" customHeight="1" x14ac:dyDescent="0.3">
      <c r="A52" s="9">
        <v>45</v>
      </c>
      <c r="B52" s="46" t="s">
        <v>112</v>
      </c>
      <c r="C52" s="46" t="s">
        <v>1720</v>
      </c>
      <c r="D52" s="47" t="s">
        <v>145</v>
      </c>
      <c r="E52" s="46" t="s">
        <v>1722</v>
      </c>
      <c r="F52" s="48" t="s">
        <v>147</v>
      </c>
      <c r="G52" s="48" t="s">
        <v>146</v>
      </c>
      <c r="H52" s="12">
        <f>MROUND('Rate Card'!$I$7*O52*P52,10)</f>
        <v>2810</v>
      </c>
      <c r="I52" s="12">
        <f>MROUND('Rate Card'!$K$7*O52*P52,10)</f>
        <v>1420</v>
      </c>
      <c r="J52" s="12">
        <f>MROUND(H52*4*'Rate Card'!$B$47,100)</f>
        <v>10700</v>
      </c>
      <c r="K52" s="12">
        <f>MROUND(I52*4*'Rate Card'!$B$47,100)</f>
        <v>5400</v>
      </c>
      <c r="L52" s="12">
        <f>MROUND(H52*120*'Rate Card'!$B$48,500)</f>
        <v>286500</v>
      </c>
      <c r="M52" s="12">
        <f>MROUND(I52*120*'Rate Card'!$B$48,500)</f>
        <v>145000</v>
      </c>
      <c r="N52" s="14" t="s">
        <v>1697</v>
      </c>
      <c r="O52" s="49">
        <v>0.57999999999999996</v>
      </c>
      <c r="P52" s="49">
        <v>1</v>
      </c>
    </row>
    <row r="53" spans="1:16" ht="15" customHeight="1" x14ac:dyDescent="0.3">
      <c r="A53" s="9">
        <v>46</v>
      </c>
      <c r="B53" s="46" t="s">
        <v>112</v>
      </c>
      <c r="C53" s="46" t="s">
        <v>1720</v>
      </c>
      <c r="D53" s="47" t="s">
        <v>148</v>
      </c>
      <c r="E53" s="46" t="s">
        <v>1722</v>
      </c>
      <c r="F53" s="48" t="s">
        <v>147</v>
      </c>
      <c r="G53" s="48" t="s">
        <v>149</v>
      </c>
      <c r="H53" s="12">
        <f>MROUND('Rate Card'!$I$7*O53*P53,10)</f>
        <v>2810</v>
      </c>
      <c r="I53" s="12">
        <f>MROUND('Rate Card'!$K$7*O53*P53,10)</f>
        <v>1420</v>
      </c>
      <c r="J53" s="12">
        <f>MROUND(H53*4*'Rate Card'!$B$47,100)</f>
        <v>10700</v>
      </c>
      <c r="K53" s="12">
        <f>MROUND(I53*4*'Rate Card'!$B$47,100)</f>
        <v>5400</v>
      </c>
      <c r="L53" s="12">
        <f>MROUND(H53*120*'Rate Card'!$B$48,500)</f>
        <v>286500</v>
      </c>
      <c r="M53" s="12">
        <f>MROUND(I53*120*'Rate Card'!$B$48,500)</f>
        <v>145000</v>
      </c>
      <c r="N53" s="14" t="s">
        <v>1697</v>
      </c>
      <c r="O53" s="49">
        <v>0.57999999999999996</v>
      </c>
      <c r="P53" s="49">
        <v>1</v>
      </c>
    </row>
    <row r="54" spans="1:16" ht="15" customHeight="1" x14ac:dyDescent="0.3">
      <c r="A54" s="9">
        <v>47</v>
      </c>
      <c r="B54" s="46" t="s">
        <v>112</v>
      </c>
      <c r="C54" s="46" t="s">
        <v>1718</v>
      </c>
      <c r="D54" s="47" t="s">
        <v>151</v>
      </c>
      <c r="E54" s="46" t="s">
        <v>1723</v>
      </c>
      <c r="F54" s="48" t="s">
        <v>147</v>
      </c>
      <c r="G54" s="48" t="s">
        <v>152</v>
      </c>
      <c r="H54" s="12">
        <f>MROUND('Rate Card'!$I$7*O54*P54,10)</f>
        <v>2810</v>
      </c>
      <c r="I54" s="12">
        <f>MROUND('Rate Card'!$K$7*O54*P54,10)</f>
        <v>1420</v>
      </c>
      <c r="J54" s="12">
        <f>MROUND(H54*4*'Rate Card'!$B$47,100)</f>
        <v>10700</v>
      </c>
      <c r="K54" s="12">
        <f>MROUND(I54*4*'Rate Card'!$B$47,100)</f>
        <v>5400</v>
      </c>
      <c r="L54" s="12">
        <f>MROUND(H54*120*'Rate Card'!$B$48,500)</f>
        <v>286500</v>
      </c>
      <c r="M54" s="12">
        <f>MROUND(I54*120*'Rate Card'!$B$48,500)</f>
        <v>145000</v>
      </c>
      <c r="N54" s="14" t="s">
        <v>1697</v>
      </c>
      <c r="O54" s="49">
        <v>0.57999999999999996</v>
      </c>
      <c r="P54" s="49">
        <v>1</v>
      </c>
    </row>
    <row r="55" spans="1:16" ht="15" customHeight="1" x14ac:dyDescent="0.3">
      <c r="A55" s="9">
        <v>48</v>
      </c>
      <c r="B55" s="46" t="s">
        <v>112</v>
      </c>
      <c r="C55" s="46" t="s">
        <v>1718</v>
      </c>
      <c r="D55" s="47" t="s">
        <v>154</v>
      </c>
      <c r="E55" s="46" t="s">
        <v>1724</v>
      </c>
      <c r="F55" s="48" t="s">
        <v>147</v>
      </c>
      <c r="G55" s="48" t="s">
        <v>155</v>
      </c>
      <c r="H55" s="12">
        <f>MROUND('Rate Card'!$I$7*O55*P55,10)</f>
        <v>2810</v>
      </c>
      <c r="I55" s="12">
        <f>MROUND('Rate Card'!$K$7*O55*P55,10)</f>
        <v>1420</v>
      </c>
      <c r="J55" s="12">
        <f>MROUND(H55*4*'Rate Card'!$B$47,100)</f>
        <v>10700</v>
      </c>
      <c r="K55" s="12">
        <f>MROUND(I55*4*'Rate Card'!$B$47,100)</f>
        <v>5400</v>
      </c>
      <c r="L55" s="12">
        <f>MROUND(H55*120*'Rate Card'!$B$48,500)</f>
        <v>286500</v>
      </c>
      <c r="M55" s="12">
        <f>MROUND(I55*120*'Rate Card'!$B$48,500)</f>
        <v>145000</v>
      </c>
      <c r="N55" s="14" t="s">
        <v>1697</v>
      </c>
      <c r="O55" s="49">
        <v>0.57999999999999996</v>
      </c>
      <c r="P55" s="49">
        <v>1</v>
      </c>
    </row>
    <row r="56" spans="1:16" ht="15" customHeight="1" x14ac:dyDescent="0.3">
      <c r="A56" s="9">
        <v>49</v>
      </c>
      <c r="B56" s="46" t="s">
        <v>112</v>
      </c>
      <c r="C56" s="46" t="s">
        <v>1718</v>
      </c>
      <c r="D56" s="47" t="s">
        <v>157</v>
      </c>
      <c r="E56" s="46" t="s">
        <v>1725</v>
      </c>
      <c r="F56" s="48" t="s">
        <v>159</v>
      </c>
      <c r="G56" s="48" t="s">
        <v>158</v>
      </c>
      <c r="H56" s="12">
        <f>MROUND('Rate Card'!$I$7*O56*P56,10)</f>
        <v>2810</v>
      </c>
      <c r="I56" s="12">
        <f>MROUND('Rate Card'!$K$7*O56*P56,10)</f>
        <v>1420</v>
      </c>
      <c r="J56" s="12">
        <f>MROUND(H56*4*'Rate Card'!$B$47,100)</f>
        <v>10700</v>
      </c>
      <c r="K56" s="12">
        <f>MROUND(I56*4*'Rate Card'!$B$47,100)</f>
        <v>5400</v>
      </c>
      <c r="L56" s="12">
        <f>MROUND(H56*120*'Rate Card'!$B$48,500)</f>
        <v>286500</v>
      </c>
      <c r="M56" s="12">
        <f>MROUND(I56*120*'Rate Card'!$B$48,500)</f>
        <v>145000</v>
      </c>
      <c r="N56" s="14" t="s">
        <v>1697</v>
      </c>
      <c r="O56" s="49">
        <v>0.57999999999999996</v>
      </c>
      <c r="P56" s="49">
        <v>1</v>
      </c>
    </row>
    <row r="57" spans="1:16" ht="15" customHeight="1" x14ac:dyDescent="0.3">
      <c r="A57" s="199" t="s">
        <v>160</v>
      </c>
      <c r="B57" s="200"/>
      <c r="C57" s="200"/>
      <c r="D57" s="200"/>
      <c r="E57" s="200"/>
      <c r="F57" s="200"/>
      <c r="G57" s="200"/>
      <c r="H57" s="200"/>
      <c r="I57" s="200"/>
      <c r="J57" s="200"/>
      <c r="K57" s="200"/>
      <c r="L57" s="200"/>
      <c r="M57" s="200"/>
      <c r="N57" s="200"/>
    </row>
    <row r="58" spans="1:16" ht="15" customHeight="1" x14ac:dyDescent="0.3">
      <c r="A58" s="9">
        <v>50</v>
      </c>
      <c r="B58" s="46" t="s">
        <v>161</v>
      </c>
      <c r="C58" s="46" t="s">
        <v>1726</v>
      </c>
      <c r="D58" s="47" t="s">
        <v>163</v>
      </c>
      <c r="E58" s="46" t="s">
        <v>1727</v>
      </c>
      <c r="F58" s="48" t="s">
        <v>165</v>
      </c>
      <c r="G58" s="48" t="s">
        <v>164</v>
      </c>
      <c r="H58" s="12">
        <f>MROUND('Rate Card'!$I$8*O58*P58,10)</f>
        <v>4880</v>
      </c>
      <c r="I58" s="12">
        <f>MROUND('Rate Card'!$K$8*O58*P58,10)</f>
        <v>2440</v>
      </c>
      <c r="J58" s="12">
        <f>MROUND(H58*4*'Rate Card'!$B$47,100)</f>
        <v>18500</v>
      </c>
      <c r="K58" s="12">
        <f>MROUND(I58*4*'Rate Card'!$B$47,100)</f>
        <v>9300</v>
      </c>
      <c r="L58" s="12">
        <f>MROUND(H58*120*'Rate Card'!$B$48,500)</f>
        <v>498000</v>
      </c>
      <c r="M58" s="12">
        <f>MROUND(I58*120*'Rate Card'!$B$48,500)</f>
        <v>249000</v>
      </c>
      <c r="N58" s="14"/>
      <c r="O58" s="49">
        <v>0.92</v>
      </c>
      <c r="P58" s="49">
        <v>1</v>
      </c>
    </row>
    <row r="59" spans="1:16" ht="15" customHeight="1" x14ac:dyDescent="0.3">
      <c r="A59" s="9">
        <v>51</v>
      </c>
      <c r="B59" s="46" t="s">
        <v>161</v>
      </c>
      <c r="C59" s="46" t="s">
        <v>1726</v>
      </c>
      <c r="D59" s="47" t="s">
        <v>167</v>
      </c>
      <c r="E59" s="46" t="s">
        <v>1728</v>
      </c>
      <c r="F59" s="48" t="s">
        <v>116</v>
      </c>
      <c r="G59" s="48" t="s">
        <v>164</v>
      </c>
      <c r="H59" s="12">
        <f>MROUND('Rate Card'!$I$8*O59*P59,10)</f>
        <v>4880</v>
      </c>
      <c r="I59" s="12">
        <f>MROUND('Rate Card'!$K$8*O59*P59,10)</f>
        <v>2440</v>
      </c>
      <c r="J59" s="12">
        <f>MROUND(H59*4*'Rate Card'!$B$47,100)</f>
        <v>18500</v>
      </c>
      <c r="K59" s="12">
        <f>MROUND(I59*4*'Rate Card'!$B$47,100)</f>
        <v>9300</v>
      </c>
      <c r="L59" s="12">
        <f>MROUND(H59*120*'Rate Card'!$B$48,500)</f>
        <v>498000</v>
      </c>
      <c r="M59" s="12">
        <f>MROUND(I59*120*'Rate Card'!$B$48,500)</f>
        <v>249000</v>
      </c>
      <c r="N59" s="14"/>
      <c r="O59" s="49">
        <v>0.92</v>
      </c>
      <c r="P59" s="49">
        <v>1</v>
      </c>
    </row>
    <row r="60" spans="1:16" ht="15" customHeight="1" x14ac:dyDescent="0.3">
      <c r="A60" s="9">
        <v>52</v>
      </c>
      <c r="B60" s="46" t="s">
        <v>161</v>
      </c>
      <c r="C60" s="46" t="s">
        <v>1726</v>
      </c>
      <c r="D60" s="47" t="s">
        <v>169</v>
      </c>
      <c r="E60" s="46" t="s">
        <v>1729</v>
      </c>
      <c r="F60" s="48" t="s">
        <v>116</v>
      </c>
      <c r="G60" s="48" t="s">
        <v>164</v>
      </c>
      <c r="H60" s="12">
        <f>MROUND('Rate Card'!$I$8*O60*P60,10)</f>
        <v>4880</v>
      </c>
      <c r="I60" s="12">
        <f>MROUND('Rate Card'!$K$8*O60*P60,10)</f>
        <v>2440</v>
      </c>
      <c r="J60" s="12">
        <f>MROUND(H60*4*'Rate Card'!$B$47,100)</f>
        <v>18500</v>
      </c>
      <c r="K60" s="12">
        <f>MROUND(I60*4*'Rate Card'!$B$47,100)</f>
        <v>9300</v>
      </c>
      <c r="L60" s="12">
        <f>MROUND(H60*120*'Rate Card'!$B$48,500)</f>
        <v>498000</v>
      </c>
      <c r="M60" s="12">
        <f>MROUND(I60*120*'Rate Card'!$B$48,500)</f>
        <v>249000</v>
      </c>
      <c r="N60" s="14"/>
      <c r="O60" s="49">
        <v>0.92</v>
      </c>
      <c r="P60" s="49">
        <v>1</v>
      </c>
    </row>
    <row r="61" spans="1:16" ht="15" customHeight="1" x14ac:dyDescent="0.3">
      <c r="A61" s="199" t="s">
        <v>170</v>
      </c>
      <c r="B61" s="200"/>
      <c r="C61" s="200"/>
      <c r="D61" s="200"/>
      <c r="E61" s="200"/>
      <c r="F61" s="200"/>
      <c r="G61" s="200"/>
      <c r="H61" s="200"/>
      <c r="I61" s="200"/>
      <c r="J61" s="200"/>
      <c r="K61" s="200"/>
      <c r="L61" s="200"/>
      <c r="M61" s="200"/>
      <c r="N61" s="200"/>
    </row>
    <row r="62" spans="1:16" ht="15" customHeight="1" x14ac:dyDescent="0.3">
      <c r="A62" s="9">
        <v>53</v>
      </c>
      <c r="B62" s="46" t="s">
        <v>171</v>
      </c>
      <c r="C62" s="46" t="s">
        <v>1730</v>
      </c>
      <c r="D62" s="47" t="s">
        <v>173</v>
      </c>
      <c r="E62" s="46" t="s">
        <v>1731</v>
      </c>
      <c r="F62" s="48" t="s">
        <v>23</v>
      </c>
      <c r="G62" s="48"/>
      <c r="H62" s="12">
        <f>MROUND('Rate Card'!$I$9*O62*P62,10)</f>
        <v>4600</v>
      </c>
      <c r="I62" s="12">
        <f>MROUND('Rate Card'!$K$9*O62*P62,10)</f>
        <v>2300</v>
      </c>
      <c r="J62" s="12">
        <f>MROUND(H62*4*'Rate Card'!$B$47,100)</f>
        <v>17500</v>
      </c>
      <c r="K62" s="12">
        <f>MROUND(I62*4*'Rate Card'!$B$47,100)</f>
        <v>8700</v>
      </c>
      <c r="L62" s="12">
        <f>MROUND(H62*120*'Rate Card'!$B$48,500)</f>
        <v>469000</v>
      </c>
      <c r="M62" s="12">
        <f>MROUND(I62*120*'Rate Card'!$B$48,500)</f>
        <v>234500</v>
      </c>
      <c r="N62" s="14"/>
      <c r="O62" s="49">
        <v>1</v>
      </c>
      <c r="P62" s="49">
        <v>1</v>
      </c>
    </row>
    <row r="63" spans="1:16" ht="15" customHeight="1" x14ac:dyDescent="0.3">
      <c r="A63" s="9">
        <v>54</v>
      </c>
      <c r="B63" s="46" t="s">
        <v>171</v>
      </c>
      <c r="C63" s="46" t="s">
        <v>1730</v>
      </c>
      <c r="D63" s="47" t="s">
        <v>175</v>
      </c>
      <c r="E63" s="46" t="s">
        <v>1732</v>
      </c>
      <c r="F63" s="48" t="s">
        <v>23</v>
      </c>
      <c r="G63" s="48"/>
      <c r="H63" s="12">
        <f>MROUND('Rate Card'!$I$9*O63*P63,10)</f>
        <v>4600</v>
      </c>
      <c r="I63" s="12">
        <f>MROUND('Rate Card'!$K$9*O63*P63,10)</f>
        <v>2300</v>
      </c>
      <c r="J63" s="12">
        <f>MROUND(H63*4*'Rate Card'!$B$47,100)</f>
        <v>17500</v>
      </c>
      <c r="K63" s="12">
        <f>MROUND(I63*4*'Rate Card'!$B$47,100)</f>
        <v>8700</v>
      </c>
      <c r="L63" s="12">
        <f>MROUND(H63*120*'Rate Card'!$B$48,500)</f>
        <v>469000</v>
      </c>
      <c r="M63" s="12">
        <f>MROUND(I63*120*'Rate Card'!$B$48,500)</f>
        <v>234500</v>
      </c>
      <c r="N63" s="14"/>
      <c r="O63" s="49">
        <v>1</v>
      </c>
      <c r="P63" s="49">
        <v>1</v>
      </c>
    </row>
    <row r="64" spans="1:16" ht="15" customHeight="1" x14ac:dyDescent="0.3">
      <c r="A64" s="9">
        <v>55</v>
      </c>
      <c r="B64" s="46" t="s">
        <v>171</v>
      </c>
      <c r="C64" s="46" t="s">
        <v>1730</v>
      </c>
      <c r="D64" s="47" t="s">
        <v>176</v>
      </c>
      <c r="E64" s="46" t="s">
        <v>1732</v>
      </c>
      <c r="F64" s="48" t="s">
        <v>23</v>
      </c>
      <c r="G64" s="48"/>
      <c r="H64" s="12">
        <f>MROUND('Rate Card'!$I$9*O64*P64,10)</f>
        <v>4600</v>
      </c>
      <c r="I64" s="12">
        <f>MROUND('Rate Card'!$K$9*O64*P64,10)</f>
        <v>2300</v>
      </c>
      <c r="J64" s="12">
        <f>MROUND(H64*4*'Rate Card'!$B$47,100)</f>
        <v>17500</v>
      </c>
      <c r="K64" s="12">
        <f>MROUND(I64*4*'Rate Card'!$B$47,100)</f>
        <v>8700</v>
      </c>
      <c r="L64" s="12">
        <f>MROUND(H64*120*'Rate Card'!$B$48,500)</f>
        <v>469000</v>
      </c>
      <c r="M64" s="12">
        <f>MROUND(I64*120*'Rate Card'!$B$48,500)</f>
        <v>234500</v>
      </c>
      <c r="N64" s="14"/>
      <c r="O64" s="49">
        <v>1</v>
      </c>
      <c r="P64" s="49">
        <v>1</v>
      </c>
    </row>
    <row r="65" spans="1:16" ht="15" customHeight="1" x14ac:dyDescent="0.3">
      <c r="A65" s="9">
        <v>56</v>
      </c>
      <c r="B65" s="46" t="s">
        <v>171</v>
      </c>
      <c r="C65" s="46" t="s">
        <v>1733</v>
      </c>
      <c r="D65" s="47" t="s">
        <v>178</v>
      </c>
      <c r="E65" s="46" t="s">
        <v>1734</v>
      </c>
      <c r="F65" s="48" t="s">
        <v>116</v>
      </c>
      <c r="G65" s="48"/>
      <c r="H65" s="12">
        <f>MROUND('Rate Card'!$I$9*O65*P65,10)</f>
        <v>4230</v>
      </c>
      <c r="I65" s="12">
        <f>MROUND('Rate Card'!$K$9*O65*P65,10)</f>
        <v>2120</v>
      </c>
      <c r="J65" s="12">
        <f>MROUND(H65*4*'Rate Card'!$B$47,100)</f>
        <v>16100</v>
      </c>
      <c r="K65" s="12">
        <f>MROUND(I65*4*'Rate Card'!$B$47,100)</f>
        <v>8100</v>
      </c>
      <c r="L65" s="12">
        <f>MROUND(H65*120*'Rate Card'!$B$48,500)</f>
        <v>431500</v>
      </c>
      <c r="M65" s="12">
        <f>MROUND(I65*120*'Rate Card'!$B$48,500)</f>
        <v>216000</v>
      </c>
      <c r="N65" s="14"/>
      <c r="O65" s="49">
        <v>0.92</v>
      </c>
      <c r="P65" s="49">
        <v>1</v>
      </c>
    </row>
    <row r="66" spans="1:16" ht="15" customHeight="1" x14ac:dyDescent="0.3">
      <c r="A66" s="9">
        <v>57</v>
      </c>
      <c r="B66" s="46" t="s">
        <v>171</v>
      </c>
      <c r="C66" s="46" t="s">
        <v>1735</v>
      </c>
      <c r="D66" s="47" t="s">
        <v>201</v>
      </c>
      <c r="E66" s="46" t="s">
        <v>1734</v>
      </c>
      <c r="F66" s="48" t="s">
        <v>116</v>
      </c>
      <c r="G66" s="48"/>
      <c r="H66" s="12">
        <f>MROUND('Rate Card'!$I$9*O66*P66,10)</f>
        <v>4230</v>
      </c>
      <c r="I66" s="12">
        <f>MROUND('Rate Card'!$K$9*O66*P66,10)</f>
        <v>2120</v>
      </c>
      <c r="J66" s="12">
        <f>MROUND(H66*4*'Rate Card'!$B$47,100)</f>
        <v>16100</v>
      </c>
      <c r="K66" s="12">
        <f>MROUND(I66*4*'Rate Card'!$B$47,100)</f>
        <v>8100</v>
      </c>
      <c r="L66" s="12">
        <f>MROUND(H66*120*'Rate Card'!$B$48,500)</f>
        <v>431500</v>
      </c>
      <c r="M66" s="12">
        <f>MROUND(I66*120*'Rate Card'!$B$48,500)</f>
        <v>216000</v>
      </c>
      <c r="N66" s="14"/>
      <c r="O66" s="49">
        <v>0.92</v>
      </c>
      <c r="P66" s="49">
        <v>1</v>
      </c>
    </row>
    <row r="67" spans="1:16" ht="15" customHeight="1" x14ac:dyDescent="0.3">
      <c r="A67" s="9">
        <v>58</v>
      </c>
      <c r="B67" s="46" t="s">
        <v>171</v>
      </c>
      <c r="C67" s="46" t="s">
        <v>1736</v>
      </c>
      <c r="D67" s="47" t="s">
        <v>181</v>
      </c>
      <c r="E67" s="46" t="s">
        <v>1737</v>
      </c>
      <c r="F67" s="48" t="s">
        <v>49</v>
      </c>
      <c r="G67" s="48"/>
      <c r="H67" s="12">
        <f>MROUND('Rate Card'!$I$9*O67*P67,10)</f>
        <v>4230</v>
      </c>
      <c r="I67" s="12">
        <f>MROUND('Rate Card'!$K$9*O67*P67,10)</f>
        <v>2120</v>
      </c>
      <c r="J67" s="12">
        <f>MROUND(H67*4*'Rate Card'!$B$47,100)</f>
        <v>16100</v>
      </c>
      <c r="K67" s="12">
        <f>MROUND(I67*4*'Rate Card'!$B$47,100)</f>
        <v>8100</v>
      </c>
      <c r="L67" s="12">
        <f>MROUND(H67*120*'Rate Card'!$B$48,500)</f>
        <v>431500</v>
      </c>
      <c r="M67" s="12">
        <f>MROUND(I67*120*'Rate Card'!$B$48,500)</f>
        <v>216000</v>
      </c>
      <c r="N67" s="14"/>
      <c r="O67" s="49">
        <v>0.92</v>
      </c>
      <c r="P67" s="49">
        <v>1</v>
      </c>
    </row>
    <row r="68" spans="1:16" ht="15" customHeight="1" x14ac:dyDescent="0.3">
      <c r="A68" s="9">
        <v>59</v>
      </c>
      <c r="B68" s="46" t="s">
        <v>171</v>
      </c>
      <c r="C68" s="46" t="s">
        <v>1733</v>
      </c>
      <c r="D68" s="47" t="s">
        <v>189</v>
      </c>
      <c r="E68" s="46" t="s">
        <v>195</v>
      </c>
      <c r="F68" s="48" t="s">
        <v>66</v>
      </c>
      <c r="G68" s="48"/>
      <c r="H68" s="12">
        <f>MROUND('Rate Card'!$I$9*O68*P68,10)</f>
        <v>3770</v>
      </c>
      <c r="I68" s="12">
        <f>MROUND('Rate Card'!$K$9*O68*P68,10)</f>
        <v>1890</v>
      </c>
      <c r="J68" s="12">
        <f>MROUND(H68*4*'Rate Card'!$B$47,100)</f>
        <v>14300</v>
      </c>
      <c r="K68" s="12">
        <f>MROUND(I68*4*'Rate Card'!$B$47,100)</f>
        <v>7200</v>
      </c>
      <c r="L68" s="12">
        <f>MROUND(H68*120*'Rate Card'!$B$48,500)</f>
        <v>384500</v>
      </c>
      <c r="M68" s="12">
        <f>MROUND(I68*120*'Rate Card'!$B$48,500)</f>
        <v>193000</v>
      </c>
      <c r="N68" s="14"/>
      <c r="O68" s="49">
        <v>0.82</v>
      </c>
      <c r="P68" s="49">
        <v>1</v>
      </c>
    </row>
    <row r="69" spans="1:16" ht="15" customHeight="1" x14ac:dyDescent="0.3">
      <c r="A69" s="9">
        <v>60</v>
      </c>
      <c r="B69" s="46" t="s">
        <v>171</v>
      </c>
      <c r="C69" s="46" t="s">
        <v>1738</v>
      </c>
      <c r="D69" s="47" t="s">
        <v>185</v>
      </c>
      <c r="E69" s="46" t="s">
        <v>1739</v>
      </c>
      <c r="F69" s="48" t="s">
        <v>94</v>
      </c>
      <c r="G69" s="48"/>
      <c r="H69" s="12">
        <f>MROUND('Rate Card'!$I$9*O69*P69,10)</f>
        <v>3770</v>
      </c>
      <c r="I69" s="12">
        <f>MROUND('Rate Card'!$K$9*O69*P69,10)</f>
        <v>1890</v>
      </c>
      <c r="J69" s="12">
        <f>MROUND(H69*4*'Rate Card'!$B$47,100)</f>
        <v>14300</v>
      </c>
      <c r="K69" s="12">
        <f>MROUND(I69*4*'Rate Card'!$B$47,100)</f>
        <v>7200</v>
      </c>
      <c r="L69" s="12">
        <f>MROUND(H69*120*'Rate Card'!$B$48,500)</f>
        <v>384500</v>
      </c>
      <c r="M69" s="12">
        <f>MROUND(I69*120*'Rate Card'!$B$48,500)</f>
        <v>193000</v>
      </c>
      <c r="N69" s="14"/>
      <c r="O69" s="49">
        <v>0.82</v>
      </c>
      <c r="P69" s="49">
        <v>1</v>
      </c>
    </row>
    <row r="70" spans="1:16" ht="15" customHeight="1" x14ac:dyDescent="0.3">
      <c r="A70" s="9">
        <v>61</v>
      </c>
      <c r="B70" s="46" t="s">
        <v>171</v>
      </c>
      <c r="C70" s="46" t="s">
        <v>1740</v>
      </c>
      <c r="D70" s="47" t="s">
        <v>193</v>
      </c>
      <c r="E70" s="46" t="s">
        <v>1741</v>
      </c>
      <c r="F70" s="48" t="s">
        <v>110</v>
      </c>
      <c r="G70" s="48"/>
      <c r="H70" s="12">
        <f>MROUND('Rate Card'!$I$9*O70*P70,10)</f>
        <v>3770</v>
      </c>
      <c r="I70" s="12">
        <f>MROUND('Rate Card'!$K$9*O70*P70,10)</f>
        <v>1890</v>
      </c>
      <c r="J70" s="12">
        <f>MROUND(H70*4*'Rate Card'!$B$47,100)</f>
        <v>14300</v>
      </c>
      <c r="K70" s="12">
        <f>MROUND(I70*4*'Rate Card'!$B$47,100)</f>
        <v>7200</v>
      </c>
      <c r="L70" s="12">
        <f>MROUND(H70*120*'Rate Card'!$B$48,500)</f>
        <v>384500</v>
      </c>
      <c r="M70" s="12">
        <f>MROUND(I70*120*'Rate Card'!$B$48,500)</f>
        <v>193000</v>
      </c>
      <c r="N70" s="14"/>
      <c r="O70" s="49">
        <v>0.82</v>
      </c>
      <c r="P70" s="49">
        <v>1</v>
      </c>
    </row>
    <row r="71" spans="1:16" ht="15" customHeight="1" x14ac:dyDescent="0.3">
      <c r="A71" s="9">
        <v>62</v>
      </c>
      <c r="B71" s="46" t="s">
        <v>171</v>
      </c>
      <c r="C71" s="46" t="s">
        <v>1740</v>
      </c>
      <c r="D71" s="47" t="s">
        <v>190</v>
      </c>
      <c r="E71" s="46" t="s">
        <v>195</v>
      </c>
      <c r="F71" s="48" t="s">
        <v>66</v>
      </c>
      <c r="G71" s="48"/>
      <c r="H71" s="12">
        <f>MROUND('Rate Card'!$I$9*O71*P71,10)</f>
        <v>3770</v>
      </c>
      <c r="I71" s="12">
        <f>MROUND('Rate Card'!$K$9*O71*P71,10)</f>
        <v>1890</v>
      </c>
      <c r="J71" s="12">
        <f>MROUND(H71*4*'Rate Card'!$B$47,100)</f>
        <v>14300</v>
      </c>
      <c r="K71" s="12">
        <f>MROUND(I71*4*'Rate Card'!$B$47,100)</f>
        <v>7200</v>
      </c>
      <c r="L71" s="12">
        <f>MROUND(H71*120*'Rate Card'!$B$48,500)</f>
        <v>384500</v>
      </c>
      <c r="M71" s="12">
        <f>MROUND(I71*120*'Rate Card'!$B$48,500)</f>
        <v>193000</v>
      </c>
      <c r="N71" s="14"/>
      <c r="O71" s="49">
        <v>0.82</v>
      </c>
      <c r="P71" s="49">
        <v>1</v>
      </c>
    </row>
    <row r="72" spans="1:16" ht="15" customHeight="1" x14ac:dyDescent="0.3">
      <c r="A72" s="9">
        <v>63</v>
      </c>
      <c r="B72" s="46" t="s">
        <v>171</v>
      </c>
      <c r="C72" s="46" t="s">
        <v>1740</v>
      </c>
      <c r="D72" s="47" t="s">
        <v>187</v>
      </c>
      <c r="E72" s="46" t="s">
        <v>195</v>
      </c>
      <c r="F72" s="48" t="s">
        <v>99</v>
      </c>
      <c r="G72" s="48"/>
      <c r="H72" s="12">
        <f>MROUND('Rate Card'!$I$9*O72*P72,10)</f>
        <v>3770</v>
      </c>
      <c r="I72" s="12">
        <f>MROUND('Rate Card'!$K$9*O72*P72,10)</f>
        <v>1890</v>
      </c>
      <c r="J72" s="12">
        <f>MROUND(H72*4*'Rate Card'!$B$47,100)</f>
        <v>14300</v>
      </c>
      <c r="K72" s="12">
        <f>MROUND(I72*4*'Rate Card'!$B$47,100)</f>
        <v>7200</v>
      </c>
      <c r="L72" s="12">
        <f>MROUND(H72*120*'Rate Card'!$B$48,500)</f>
        <v>384500</v>
      </c>
      <c r="M72" s="12">
        <f>MROUND(I72*120*'Rate Card'!$B$48,500)</f>
        <v>193000</v>
      </c>
      <c r="N72" s="14"/>
      <c r="O72" s="49">
        <v>0.82</v>
      </c>
      <c r="P72" s="49">
        <v>1</v>
      </c>
    </row>
    <row r="73" spans="1:16" ht="15" customHeight="1" x14ac:dyDescent="0.3">
      <c r="A73" s="9">
        <v>64</v>
      </c>
      <c r="B73" s="46" t="s">
        <v>171</v>
      </c>
      <c r="C73" s="46" t="s">
        <v>1742</v>
      </c>
      <c r="D73" s="47" t="s">
        <v>192</v>
      </c>
      <c r="E73" s="46" t="s">
        <v>1743</v>
      </c>
      <c r="F73" s="48" t="s">
        <v>107</v>
      </c>
      <c r="G73" s="48"/>
      <c r="H73" s="12">
        <f>MROUND('Rate Card'!$I$9*O73*P73,10)</f>
        <v>3770</v>
      </c>
      <c r="I73" s="12">
        <f>MROUND('Rate Card'!$K$9*O73*P73,10)</f>
        <v>1890</v>
      </c>
      <c r="J73" s="12">
        <f>MROUND(H73*4*'Rate Card'!$B$47,100)</f>
        <v>14300</v>
      </c>
      <c r="K73" s="12">
        <f>MROUND(I73*4*'Rate Card'!$B$47,100)</f>
        <v>7200</v>
      </c>
      <c r="L73" s="12">
        <f>MROUND(H73*120*'Rate Card'!$B$48,500)</f>
        <v>384500</v>
      </c>
      <c r="M73" s="12">
        <f>MROUND(I73*120*'Rate Card'!$B$48,500)</f>
        <v>193000</v>
      </c>
      <c r="N73" s="14"/>
      <c r="O73" s="49">
        <v>0.82</v>
      </c>
      <c r="P73" s="49">
        <v>1</v>
      </c>
    </row>
    <row r="74" spans="1:16" ht="15" customHeight="1" x14ac:dyDescent="0.3">
      <c r="A74" s="9">
        <v>65</v>
      </c>
      <c r="B74" s="46" t="s">
        <v>171</v>
      </c>
      <c r="C74" s="46" t="s">
        <v>1733</v>
      </c>
      <c r="D74" s="47" t="s">
        <v>183</v>
      </c>
      <c r="E74" s="46" t="s">
        <v>195</v>
      </c>
      <c r="F74" s="48" t="s">
        <v>94</v>
      </c>
      <c r="G74" s="48"/>
      <c r="H74" s="12">
        <f>MROUND('Rate Card'!$I$9*O74*P74,10)</f>
        <v>3310</v>
      </c>
      <c r="I74" s="12">
        <f>MROUND('Rate Card'!$K$9*O74*P74,10)</f>
        <v>1660</v>
      </c>
      <c r="J74" s="12">
        <f>MROUND(H74*4*'Rate Card'!$B$47,100)</f>
        <v>12600</v>
      </c>
      <c r="K74" s="12">
        <f>MROUND(I74*4*'Rate Card'!$B$47,100)</f>
        <v>6300</v>
      </c>
      <c r="L74" s="12">
        <f>MROUND(H74*120*'Rate Card'!$B$48,500)</f>
        <v>337500</v>
      </c>
      <c r="M74" s="12">
        <f>MROUND(I74*120*'Rate Card'!$B$48,500)</f>
        <v>169500</v>
      </c>
      <c r="N74" s="14" t="s">
        <v>1693</v>
      </c>
      <c r="O74" s="49">
        <v>0.72</v>
      </c>
      <c r="P74" s="49">
        <v>1</v>
      </c>
    </row>
    <row r="75" spans="1:16" ht="15" customHeight="1" x14ac:dyDescent="0.3">
      <c r="A75" s="9">
        <v>66</v>
      </c>
      <c r="B75" s="46" t="s">
        <v>171</v>
      </c>
      <c r="C75" s="46" t="s">
        <v>1733</v>
      </c>
      <c r="D75" s="47" t="s">
        <v>179</v>
      </c>
      <c r="E75" s="46" t="s">
        <v>195</v>
      </c>
      <c r="F75" s="48" t="s">
        <v>195</v>
      </c>
      <c r="G75" s="48"/>
      <c r="H75" s="12">
        <f>MROUND('Rate Card'!$I$9*O75*P75,10)</f>
        <v>2670</v>
      </c>
      <c r="I75" s="12">
        <f>MROUND('Rate Card'!$K$9*O75*P75,10)</f>
        <v>1330</v>
      </c>
      <c r="J75" s="12">
        <f>MROUND(H75*4*'Rate Card'!$B$47,100)</f>
        <v>10100</v>
      </c>
      <c r="K75" s="12">
        <f>MROUND(I75*4*'Rate Card'!$B$47,100)</f>
        <v>5100</v>
      </c>
      <c r="L75" s="12">
        <f>MROUND(H75*120*'Rate Card'!$B$48,500)</f>
        <v>272500</v>
      </c>
      <c r="M75" s="12">
        <f>MROUND(I75*120*'Rate Card'!$B$48,500)</f>
        <v>135500</v>
      </c>
      <c r="N75" s="14" t="s">
        <v>1744</v>
      </c>
      <c r="O75" s="49">
        <v>0.57999999999999996</v>
      </c>
      <c r="P75" s="49">
        <v>1</v>
      </c>
    </row>
    <row r="76" spans="1:16" ht="15" customHeight="1" x14ac:dyDescent="0.3">
      <c r="A76" s="9">
        <v>67</v>
      </c>
      <c r="B76" s="46" t="s">
        <v>171</v>
      </c>
      <c r="C76" s="46" t="s">
        <v>1730</v>
      </c>
      <c r="D76" s="47" t="s">
        <v>197</v>
      </c>
      <c r="E76" s="46" t="s">
        <v>1745</v>
      </c>
      <c r="F76" s="48" t="s">
        <v>195</v>
      </c>
      <c r="G76" s="48"/>
      <c r="H76" s="12">
        <f>MROUND('Rate Card'!$I$9*O76*P76,10)</f>
        <v>2670</v>
      </c>
      <c r="I76" s="12">
        <f>MROUND('Rate Card'!$K$9*O76*P76,10)</f>
        <v>1330</v>
      </c>
      <c r="J76" s="12">
        <f>MROUND(H76*4*'Rate Card'!$B$47,100)</f>
        <v>10100</v>
      </c>
      <c r="K76" s="12">
        <f>MROUND(I76*4*'Rate Card'!$B$47,100)</f>
        <v>5100</v>
      </c>
      <c r="L76" s="12">
        <f>MROUND(H76*120*'Rate Card'!$B$48,500)</f>
        <v>272500</v>
      </c>
      <c r="M76" s="12">
        <f>MROUND(I76*120*'Rate Card'!$B$48,500)</f>
        <v>135500</v>
      </c>
      <c r="N76" s="14" t="s">
        <v>1744</v>
      </c>
      <c r="O76" s="49">
        <v>0.57999999999999996</v>
      </c>
      <c r="P76" s="49">
        <v>1</v>
      </c>
    </row>
    <row r="77" spans="1:16" ht="15" customHeight="1" x14ac:dyDescent="0.3">
      <c r="A77" s="9">
        <v>68</v>
      </c>
      <c r="B77" s="46" t="s">
        <v>171</v>
      </c>
      <c r="C77" s="46" t="s">
        <v>1730</v>
      </c>
      <c r="D77" s="47" t="s">
        <v>198</v>
      </c>
      <c r="E77" s="46" t="s">
        <v>1732</v>
      </c>
      <c r="F77" s="48" t="s">
        <v>195</v>
      </c>
      <c r="G77" s="48"/>
      <c r="H77" s="12">
        <f>MROUND('Rate Card'!$I$9*O77*P77,10)</f>
        <v>2670</v>
      </c>
      <c r="I77" s="12">
        <f>MROUND('Rate Card'!$K$9*O77*P77,10)</f>
        <v>1330</v>
      </c>
      <c r="J77" s="12">
        <f>MROUND(H77*4*'Rate Card'!$B$47,100)</f>
        <v>10100</v>
      </c>
      <c r="K77" s="12">
        <f>MROUND(I77*4*'Rate Card'!$B$47,100)</f>
        <v>5100</v>
      </c>
      <c r="L77" s="12">
        <f>MROUND(H77*120*'Rate Card'!$B$48,500)</f>
        <v>272500</v>
      </c>
      <c r="M77" s="12">
        <f>MROUND(I77*120*'Rate Card'!$B$48,500)</f>
        <v>135500</v>
      </c>
      <c r="N77" s="14" t="s">
        <v>1744</v>
      </c>
      <c r="O77" s="49">
        <v>0.57999999999999996</v>
      </c>
      <c r="P77" s="49">
        <v>1</v>
      </c>
    </row>
    <row r="78" spans="1:16" ht="15" customHeight="1" x14ac:dyDescent="0.3">
      <c r="A78" s="9">
        <v>69</v>
      </c>
      <c r="B78" s="46" t="s">
        <v>171</v>
      </c>
      <c r="C78" s="46" t="s">
        <v>1736</v>
      </c>
      <c r="D78" s="47" t="s">
        <v>199</v>
      </c>
      <c r="E78" s="46" t="s">
        <v>1737</v>
      </c>
      <c r="F78" s="48" t="s">
        <v>195</v>
      </c>
      <c r="G78" s="48"/>
      <c r="H78" s="12">
        <f>MROUND('Rate Card'!$I$9*O78*P78,10)</f>
        <v>2670</v>
      </c>
      <c r="I78" s="12">
        <f>MROUND('Rate Card'!$K$9*O78*P78,10)</f>
        <v>1330</v>
      </c>
      <c r="J78" s="12">
        <f>MROUND(H78*4*'Rate Card'!$B$47,100)</f>
        <v>10100</v>
      </c>
      <c r="K78" s="12">
        <f>MROUND(I78*4*'Rate Card'!$B$47,100)</f>
        <v>5100</v>
      </c>
      <c r="L78" s="12">
        <f>MROUND(H78*120*'Rate Card'!$B$48,500)</f>
        <v>272500</v>
      </c>
      <c r="M78" s="12">
        <f>MROUND(I78*120*'Rate Card'!$B$48,500)</f>
        <v>135500</v>
      </c>
      <c r="N78" s="14" t="s">
        <v>1744</v>
      </c>
      <c r="O78" s="49">
        <v>0.57999999999999996</v>
      </c>
      <c r="P78" s="49">
        <v>1</v>
      </c>
    </row>
    <row r="79" spans="1:16" ht="15" customHeight="1" x14ac:dyDescent="0.3">
      <c r="A79" s="9">
        <v>70</v>
      </c>
      <c r="B79" s="46" t="s">
        <v>171</v>
      </c>
      <c r="C79" s="46" t="s">
        <v>1735</v>
      </c>
      <c r="D79" s="47" t="s">
        <v>194</v>
      </c>
      <c r="E79" s="46" t="s">
        <v>195</v>
      </c>
      <c r="F79" s="48" t="s">
        <v>195</v>
      </c>
      <c r="G79" s="48"/>
      <c r="H79" s="12">
        <f>MROUND('Rate Card'!$I$9*O79*P79,10)</f>
        <v>2670</v>
      </c>
      <c r="I79" s="12">
        <f>MROUND('Rate Card'!$K$9*O79*P79,10)</f>
        <v>1330</v>
      </c>
      <c r="J79" s="12">
        <f>MROUND(H79*4*'Rate Card'!$B$47,100)</f>
        <v>10100</v>
      </c>
      <c r="K79" s="12">
        <f>MROUND(I79*4*'Rate Card'!$B$47,100)</f>
        <v>5100</v>
      </c>
      <c r="L79" s="12">
        <f>MROUND(H79*120*'Rate Card'!$B$48,500)</f>
        <v>272500</v>
      </c>
      <c r="M79" s="12">
        <f>MROUND(I79*120*'Rate Card'!$B$48,500)</f>
        <v>135500</v>
      </c>
      <c r="N79" s="14" t="s">
        <v>1744</v>
      </c>
      <c r="O79" s="49">
        <v>0.57999999999999996</v>
      </c>
      <c r="P79" s="49">
        <v>1</v>
      </c>
    </row>
    <row r="80" spans="1:16" ht="15" customHeight="1" x14ac:dyDescent="0.3">
      <c r="A80" s="9">
        <v>71</v>
      </c>
      <c r="B80" s="46" t="s">
        <v>171</v>
      </c>
      <c r="C80" s="46" t="s">
        <v>1738</v>
      </c>
      <c r="D80" s="47" t="s">
        <v>203</v>
      </c>
      <c r="E80" s="46" t="s">
        <v>1746</v>
      </c>
      <c r="F80" s="48" t="s">
        <v>195</v>
      </c>
      <c r="G80" s="48"/>
      <c r="H80" s="12">
        <f>MROUND('Rate Card'!$I$9*O80*P80,10)</f>
        <v>2670</v>
      </c>
      <c r="I80" s="12">
        <f>MROUND('Rate Card'!$K$9*O80*P80,10)</f>
        <v>1330</v>
      </c>
      <c r="J80" s="12">
        <f>MROUND(H80*4*'Rate Card'!$B$47,100)</f>
        <v>10100</v>
      </c>
      <c r="K80" s="12">
        <f>MROUND(I80*4*'Rate Card'!$B$47,100)</f>
        <v>5100</v>
      </c>
      <c r="L80" s="12">
        <f>MROUND(H80*120*'Rate Card'!$B$48,500)</f>
        <v>272500</v>
      </c>
      <c r="M80" s="12">
        <f>MROUND(I80*120*'Rate Card'!$B$48,500)</f>
        <v>135500</v>
      </c>
      <c r="N80" s="14" t="s">
        <v>1744</v>
      </c>
      <c r="O80" s="49">
        <v>0.57999999999999996</v>
      </c>
      <c r="P80" s="49">
        <v>1</v>
      </c>
    </row>
    <row r="81" spans="1:16" ht="15" customHeight="1" x14ac:dyDescent="0.3">
      <c r="A81" s="199" t="s">
        <v>204</v>
      </c>
      <c r="B81" s="200"/>
      <c r="C81" s="200"/>
      <c r="D81" s="200"/>
      <c r="E81" s="200"/>
      <c r="F81" s="200"/>
      <c r="G81" s="200"/>
      <c r="H81" s="200"/>
      <c r="I81" s="200"/>
      <c r="J81" s="200"/>
      <c r="K81" s="200"/>
      <c r="L81" s="200"/>
      <c r="M81" s="200"/>
      <c r="N81" s="200"/>
    </row>
    <row r="82" spans="1:16" ht="15" customHeight="1" x14ac:dyDescent="0.3">
      <c r="A82" s="9">
        <v>72</v>
      </c>
      <c r="B82" s="46" t="s">
        <v>205</v>
      </c>
      <c r="C82" s="46" t="s">
        <v>1740</v>
      </c>
      <c r="D82" s="47" t="s">
        <v>248</v>
      </c>
      <c r="E82" s="46" t="s">
        <v>195</v>
      </c>
      <c r="F82" s="48" t="s">
        <v>107</v>
      </c>
      <c r="G82" s="48"/>
      <c r="H82" s="12">
        <f>MROUND('Rate Card'!$I$10*O82*P82,10)</f>
        <v>3590</v>
      </c>
      <c r="I82" s="12">
        <f>MROUND('Rate Card'!$K$10*O82*P82,10)</f>
        <v>1790</v>
      </c>
      <c r="J82" s="12">
        <f>MROUND(H82*4*'Rate Card'!$B$47,100)</f>
        <v>13600</v>
      </c>
      <c r="K82" s="12">
        <f>MROUND(I82*4*'Rate Card'!$B$47,100)</f>
        <v>6800</v>
      </c>
      <c r="L82" s="12">
        <f>MROUND(H82*120*'Rate Card'!$B$48,500)</f>
        <v>366000</v>
      </c>
      <c r="M82" s="12">
        <f>MROUND(I82*120*'Rate Card'!$B$48,500)</f>
        <v>182500</v>
      </c>
      <c r="N82" s="14"/>
      <c r="O82" s="49">
        <v>0.92</v>
      </c>
      <c r="P82" s="49">
        <v>1</v>
      </c>
    </row>
    <row r="83" spans="1:16" ht="15" customHeight="1" x14ac:dyDescent="0.3">
      <c r="A83" s="9">
        <v>73</v>
      </c>
      <c r="B83" s="46" t="s">
        <v>205</v>
      </c>
      <c r="C83" s="46" t="s">
        <v>1700</v>
      </c>
      <c r="D83" s="47" t="s">
        <v>247</v>
      </c>
      <c r="E83" s="46" t="s">
        <v>1747</v>
      </c>
      <c r="F83" s="48" t="s">
        <v>66</v>
      </c>
      <c r="G83" s="48"/>
      <c r="H83" s="12">
        <f>MROUND('Rate Card'!$I$10*O83*P83,10)</f>
        <v>3590</v>
      </c>
      <c r="I83" s="12">
        <f>MROUND('Rate Card'!$K$10*O83*P83,10)</f>
        <v>1790</v>
      </c>
      <c r="J83" s="12">
        <f>MROUND(H83*4*'Rate Card'!$B$47,100)</f>
        <v>13600</v>
      </c>
      <c r="K83" s="12">
        <f>MROUND(I83*4*'Rate Card'!$B$47,100)</f>
        <v>6800</v>
      </c>
      <c r="L83" s="12">
        <f>MROUND(H83*120*'Rate Card'!$B$48,500)</f>
        <v>366000</v>
      </c>
      <c r="M83" s="12">
        <f>MROUND(I83*120*'Rate Card'!$B$48,500)</f>
        <v>182500</v>
      </c>
      <c r="N83" s="14"/>
      <c r="O83" s="49">
        <v>0.92</v>
      </c>
      <c r="P83" s="49">
        <v>1</v>
      </c>
    </row>
    <row r="84" spans="1:16" ht="15" customHeight="1" x14ac:dyDescent="0.3">
      <c r="A84" s="9">
        <v>74</v>
      </c>
      <c r="B84" s="46" t="s">
        <v>205</v>
      </c>
      <c r="C84" s="46" t="s">
        <v>1740</v>
      </c>
      <c r="D84" s="47" t="s">
        <v>226</v>
      </c>
      <c r="E84" s="46" t="s">
        <v>195</v>
      </c>
      <c r="F84" s="48" t="s">
        <v>99</v>
      </c>
      <c r="G84" s="48"/>
      <c r="H84" s="12">
        <f>MROUND('Rate Card'!$I$10*O84*P84,10)</f>
        <v>3590</v>
      </c>
      <c r="I84" s="12">
        <f>MROUND('Rate Card'!$K$10*O84*P84,10)</f>
        <v>1790</v>
      </c>
      <c r="J84" s="12">
        <f>MROUND(H84*4*'Rate Card'!$B$47,100)</f>
        <v>13600</v>
      </c>
      <c r="K84" s="12">
        <f>MROUND(I84*4*'Rate Card'!$B$47,100)</f>
        <v>6800</v>
      </c>
      <c r="L84" s="12">
        <f>MROUND(H84*120*'Rate Card'!$B$48,500)</f>
        <v>366000</v>
      </c>
      <c r="M84" s="12">
        <f>MROUND(I84*120*'Rate Card'!$B$48,500)</f>
        <v>182500</v>
      </c>
      <c r="N84" s="14"/>
      <c r="O84" s="49">
        <v>0.92</v>
      </c>
      <c r="P84" s="49">
        <v>1</v>
      </c>
    </row>
    <row r="85" spans="1:16" ht="15" customHeight="1" x14ac:dyDescent="0.3">
      <c r="A85" s="9">
        <v>75</v>
      </c>
      <c r="B85" s="46" t="s">
        <v>205</v>
      </c>
      <c r="C85" s="46" t="s">
        <v>1748</v>
      </c>
      <c r="D85" s="47" t="s">
        <v>211</v>
      </c>
      <c r="E85" s="46" t="s">
        <v>1749</v>
      </c>
      <c r="F85" s="48" t="s">
        <v>49</v>
      </c>
      <c r="G85" s="48"/>
      <c r="H85" s="12">
        <f>MROUND('Rate Card'!$I$10*O85*P85,10)</f>
        <v>3590</v>
      </c>
      <c r="I85" s="12">
        <f>MROUND('Rate Card'!$K$10*O85*P85,10)</f>
        <v>1790</v>
      </c>
      <c r="J85" s="12">
        <f>MROUND(H85*4*'Rate Card'!$B$47,100)</f>
        <v>13600</v>
      </c>
      <c r="K85" s="12">
        <f>MROUND(I85*4*'Rate Card'!$B$47,100)</f>
        <v>6800</v>
      </c>
      <c r="L85" s="12">
        <f>MROUND(H85*120*'Rate Card'!$B$48,500)</f>
        <v>366000</v>
      </c>
      <c r="M85" s="12">
        <f>MROUND(I85*120*'Rate Card'!$B$48,500)</f>
        <v>182500</v>
      </c>
      <c r="N85" s="14"/>
      <c r="O85" s="49">
        <v>0.92</v>
      </c>
      <c r="P85" s="49">
        <v>1</v>
      </c>
    </row>
    <row r="86" spans="1:16" ht="15" customHeight="1" x14ac:dyDescent="0.3">
      <c r="A86" s="9">
        <v>76</v>
      </c>
      <c r="B86" s="46" t="s">
        <v>205</v>
      </c>
      <c r="C86" s="46" t="s">
        <v>1748</v>
      </c>
      <c r="D86" s="47" t="s">
        <v>213</v>
      </c>
      <c r="E86" s="46" t="s">
        <v>1750</v>
      </c>
      <c r="F86" s="48" t="s">
        <v>49</v>
      </c>
      <c r="G86" s="48"/>
      <c r="H86" s="12">
        <f>MROUND('Rate Card'!$I$10*O86*P86,10)</f>
        <v>3590</v>
      </c>
      <c r="I86" s="12">
        <f>MROUND('Rate Card'!$K$10*O86*P86,10)</f>
        <v>1790</v>
      </c>
      <c r="J86" s="12">
        <f>MROUND(H86*4*'Rate Card'!$B$47,100)</f>
        <v>13600</v>
      </c>
      <c r="K86" s="12">
        <f>MROUND(I86*4*'Rate Card'!$B$47,100)</f>
        <v>6800</v>
      </c>
      <c r="L86" s="12">
        <f>MROUND(H86*120*'Rate Card'!$B$48,500)</f>
        <v>366000</v>
      </c>
      <c r="M86" s="12">
        <f>MROUND(I86*120*'Rate Card'!$B$48,500)</f>
        <v>182500</v>
      </c>
      <c r="N86" s="14"/>
      <c r="O86" s="49">
        <v>0.92</v>
      </c>
      <c r="P86" s="49">
        <v>1</v>
      </c>
    </row>
    <row r="87" spans="1:16" ht="15" customHeight="1" x14ac:dyDescent="0.3">
      <c r="A87" s="9">
        <v>77</v>
      </c>
      <c r="B87" s="46" t="s">
        <v>205</v>
      </c>
      <c r="C87" s="46" t="s">
        <v>1748</v>
      </c>
      <c r="D87" s="47" t="s">
        <v>215</v>
      </c>
      <c r="E87" s="46" t="s">
        <v>1751</v>
      </c>
      <c r="F87" s="48" t="s">
        <v>49</v>
      </c>
      <c r="G87" s="48"/>
      <c r="H87" s="12">
        <f>MROUND('Rate Card'!$I$10*O87*P87,10)</f>
        <v>3590</v>
      </c>
      <c r="I87" s="12">
        <f>MROUND('Rate Card'!$K$10*O87*P87,10)</f>
        <v>1790</v>
      </c>
      <c r="J87" s="12">
        <f>MROUND(H87*4*'Rate Card'!$B$47,100)</f>
        <v>13600</v>
      </c>
      <c r="K87" s="12">
        <f>MROUND(I87*4*'Rate Card'!$B$47,100)</f>
        <v>6800</v>
      </c>
      <c r="L87" s="12">
        <f>MROUND(H87*120*'Rate Card'!$B$48,500)</f>
        <v>366000</v>
      </c>
      <c r="M87" s="12">
        <f>MROUND(I87*120*'Rate Card'!$B$48,500)</f>
        <v>182500</v>
      </c>
      <c r="N87" s="14"/>
      <c r="O87" s="49">
        <v>0.92</v>
      </c>
      <c r="P87" s="49">
        <v>1</v>
      </c>
    </row>
    <row r="88" spans="1:16" ht="15" customHeight="1" x14ac:dyDescent="0.3">
      <c r="A88" s="9">
        <v>78</v>
      </c>
      <c r="B88" s="46" t="s">
        <v>205</v>
      </c>
      <c r="C88" s="46" t="s">
        <v>1752</v>
      </c>
      <c r="D88" s="47" t="s">
        <v>217</v>
      </c>
      <c r="E88" s="46" t="s">
        <v>1753</v>
      </c>
      <c r="F88" s="48" t="s">
        <v>49</v>
      </c>
      <c r="G88" s="48"/>
      <c r="H88" s="12">
        <f>MROUND('Rate Card'!$I$10*O88*P88,10)</f>
        <v>3590</v>
      </c>
      <c r="I88" s="12">
        <f>MROUND('Rate Card'!$K$10*O88*P88,10)</f>
        <v>1790</v>
      </c>
      <c r="J88" s="12">
        <f>MROUND(H88*4*'Rate Card'!$B$47,100)</f>
        <v>13600</v>
      </c>
      <c r="K88" s="12">
        <f>MROUND(I88*4*'Rate Card'!$B$47,100)</f>
        <v>6800</v>
      </c>
      <c r="L88" s="12">
        <f>MROUND(H88*120*'Rate Card'!$B$48,500)</f>
        <v>366000</v>
      </c>
      <c r="M88" s="12">
        <f>MROUND(I88*120*'Rate Card'!$B$48,500)</f>
        <v>182500</v>
      </c>
      <c r="N88" s="14"/>
      <c r="O88" s="49">
        <v>0.92</v>
      </c>
      <c r="P88" s="49">
        <v>1</v>
      </c>
    </row>
    <row r="89" spans="1:16" ht="15" customHeight="1" x14ac:dyDescent="0.3">
      <c r="A89" s="9">
        <v>79</v>
      </c>
      <c r="B89" s="46" t="s">
        <v>205</v>
      </c>
      <c r="C89" s="46" t="s">
        <v>1752</v>
      </c>
      <c r="D89" s="47" t="s">
        <v>219</v>
      </c>
      <c r="E89" s="46" t="s">
        <v>1751</v>
      </c>
      <c r="F89" s="48" t="s">
        <v>49</v>
      </c>
      <c r="G89" s="48"/>
      <c r="H89" s="12">
        <f>MROUND('Rate Card'!$I$10*O89*P89,10)</f>
        <v>3590</v>
      </c>
      <c r="I89" s="12">
        <f>MROUND('Rate Card'!$K$10*O89*P89,10)</f>
        <v>1790</v>
      </c>
      <c r="J89" s="12">
        <f>MROUND(H89*4*'Rate Card'!$B$47,100)</f>
        <v>13600</v>
      </c>
      <c r="K89" s="12">
        <f>MROUND(I89*4*'Rate Card'!$B$47,100)</f>
        <v>6800</v>
      </c>
      <c r="L89" s="12">
        <f>MROUND(H89*120*'Rate Card'!$B$48,500)</f>
        <v>366000</v>
      </c>
      <c r="M89" s="12">
        <f>MROUND(I89*120*'Rate Card'!$B$48,500)</f>
        <v>182500</v>
      </c>
      <c r="N89" s="14"/>
      <c r="O89" s="49">
        <v>0.92</v>
      </c>
      <c r="P89" s="49">
        <v>1</v>
      </c>
    </row>
    <row r="90" spans="1:16" ht="15" customHeight="1" x14ac:dyDescent="0.3">
      <c r="A90" s="9">
        <v>80</v>
      </c>
      <c r="B90" s="46" t="s">
        <v>205</v>
      </c>
      <c r="C90" s="46" t="s">
        <v>1752</v>
      </c>
      <c r="D90" s="47" t="s">
        <v>285</v>
      </c>
      <c r="E90" s="46" t="s">
        <v>1751</v>
      </c>
      <c r="F90" s="48" t="s">
        <v>49</v>
      </c>
      <c r="G90" s="48"/>
      <c r="H90" s="12">
        <f>MROUND('Rate Card'!$I$10*O90*P90,10)</f>
        <v>3590</v>
      </c>
      <c r="I90" s="12">
        <f>MROUND('Rate Card'!$K$10*O90*P90,10)</f>
        <v>1790</v>
      </c>
      <c r="J90" s="12">
        <f>MROUND(H90*4*'Rate Card'!$B$47,100)</f>
        <v>13600</v>
      </c>
      <c r="K90" s="12">
        <f>MROUND(I90*4*'Rate Card'!$B$47,100)</f>
        <v>6800</v>
      </c>
      <c r="L90" s="12">
        <f>MROUND(H90*120*'Rate Card'!$B$48,500)</f>
        <v>366000</v>
      </c>
      <c r="M90" s="12">
        <f>MROUND(I90*120*'Rate Card'!$B$48,500)</f>
        <v>182500</v>
      </c>
      <c r="N90" s="14"/>
      <c r="O90" s="49">
        <v>0.92</v>
      </c>
      <c r="P90" s="49">
        <v>1</v>
      </c>
    </row>
    <row r="91" spans="1:16" ht="15" customHeight="1" x14ac:dyDescent="0.3">
      <c r="A91" s="9">
        <v>81</v>
      </c>
      <c r="B91" s="46" t="s">
        <v>205</v>
      </c>
      <c r="C91" s="46" t="s">
        <v>1740</v>
      </c>
      <c r="D91" s="47" t="s">
        <v>249</v>
      </c>
      <c r="E91" s="46" t="s">
        <v>195</v>
      </c>
      <c r="F91" s="48" t="s">
        <v>107</v>
      </c>
      <c r="G91" s="48"/>
      <c r="H91" s="12">
        <f>MROUND('Rate Card'!$I$10*O91*P91,10)</f>
        <v>3590</v>
      </c>
      <c r="I91" s="12">
        <f>MROUND('Rate Card'!$K$10*O91*P91,10)</f>
        <v>1790</v>
      </c>
      <c r="J91" s="12">
        <f>MROUND(H91*4*'Rate Card'!$B$47,100)</f>
        <v>13600</v>
      </c>
      <c r="K91" s="12">
        <f>MROUND(I91*4*'Rate Card'!$B$47,100)</f>
        <v>6800</v>
      </c>
      <c r="L91" s="12">
        <f>MROUND(H91*120*'Rate Card'!$B$48,500)</f>
        <v>366000</v>
      </c>
      <c r="M91" s="12">
        <f>MROUND(I91*120*'Rate Card'!$B$48,500)</f>
        <v>182500</v>
      </c>
      <c r="N91" s="14"/>
      <c r="O91" s="49">
        <v>0.92</v>
      </c>
      <c r="P91" s="49">
        <v>1</v>
      </c>
    </row>
    <row r="92" spans="1:16" ht="15" customHeight="1" x14ac:dyDescent="0.3">
      <c r="A92" s="9">
        <v>82</v>
      </c>
      <c r="B92" s="46" t="s">
        <v>205</v>
      </c>
      <c r="C92" s="46" t="s">
        <v>1748</v>
      </c>
      <c r="D92" s="47" t="s">
        <v>222</v>
      </c>
      <c r="E92" s="46" t="s">
        <v>1751</v>
      </c>
      <c r="F92" s="48" t="s">
        <v>61</v>
      </c>
      <c r="G92" s="48"/>
      <c r="H92" s="12">
        <f>MROUND('Rate Card'!$I$10*O92*P92,10)</f>
        <v>3590</v>
      </c>
      <c r="I92" s="12">
        <f>MROUND('Rate Card'!$K$10*O92*P92,10)</f>
        <v>1790</v>
      </c>
      <c r="J92" s="12">
        <f>MROUND(H92*4*'Rate Card'!$B$47,100)</f>
        <v>13600</v>
      </c>
      <c r="K92" s="12">
        <f>MROUND(I92*4*'Rate Card'!$B$47,100)</f>
        <v>6800</v>
      </c>
      <c r="L92" s="12">
        <f>MROUND(H92*120*'Rate Card'!$B$48,500)</f>
        <v>366000</v>
      </c>
      <c r="M92" s="12">
        <f>MROUND(I92*120*'Rate Card'!$B$48,500)</f>
        <v>182500</v>
      </c>
      <c r="N92" s="14"/>
      <c r="O92" s="49">
        <v>0.92</v>
      </c>
      <c r="P92" s="49">
        <v>1</v>
      </c>
    </row>
    <row r="93" spans="1:16" ht="15" customHeight="1" x14ac:dyDescent="0.3">
      <c r="A93" s="9">
        <v>83</v>
      </c>
      <c r="B93" s="46" t="s">
        <v>205</v>
      </c>
      <c r="C93" s="46" t="s">
        <v>1752</v>
      </c>
      <c r="D93" s="47" t="s">
        <v>223</v>
      </c>
      <c r="E93" s="46" t="s">
        <v>1753</v>
      </c>
      <c r="F93" s="48" t="s">
        <v>61</v>
      </c>
      <c r="G93" s="48"/>
      <c r="H93" s="12">
        <f>MROUND('Rate Card'!$I$10*O93*P93,10)</f>
        <v>3590</v>
      </c>
      <c r="I93" s="12">
        <f>MROUND('Rate Card'!$K$10*O93*P93,10)</f>
        <v>1790</v>
      </c>
      <c r="J93" s="12">
        <f>MROUND(H93*4*'Rate Card'!$B$47,100)</f>
        <v>13600</v>
      </c>
      <c r="K93" s="12">
        <f>MROUND(I93*4*'Rate Card'!$B$47,100)</f>
        <v>6800</v>
      </c>
      <c r="L93" s="12">
        <f>MROUND(H93*120*'Rate Card'!$B$48,500)</f>
        <v>366000</v>
      </c>
      <c r="M93" s="12">
        <f>MROUND(I93*120*'Rate Card'!$B$48,500)</f>
        <v>182500</v>
      </c>
      <c r="N93" s="14"/>
      <c r="O93" s="49">
        <v>0.92</v>
      </c>
      <c r="P93" s="49">
        <v>1</v>
      </c>
    </row>
    <row r="94" spans="1:16" ht="15" customHeight="1" x14ac:dyDescent="0.3">
      <c r="A94" s="9">
        <v>84</v>
      </c>
      <c r="B94" s="46" t="s">
        <v>205</v>
      </c>
      <c r="C94" s="46" t="s">
        <v>1748</v>
      </c>
      <c r="D94" s="47" t="s">
        <v>224</v>
      </c>
      <c r="E94" s="46" t="s">
        <v>1751</v>
      </c>
      <c r="F94" s="48" t="s">
        <v>94</v>
      </c>
      <c r="G94" s="48"/>
      <c r="H94" s="12">
        <f>MROUND('Rate Card'!$I$10*O94*P94,10)</f>
        <v>3200</v>
      </c>
      <c r="I94" s="12">
        <f>MROUND('Rate Card'!$K$10*O94*P94,10)</f>
        <v>1600</v>
      </c>
      <c r="J94" s="12">
        <f>MROUND(H94*4*'Rate Card'!$B$47,100)</f>
        <v>12200</v>
      </c>
      <c r="K94" s="12">
        <f>MROUND(I94*4*'Rate Card'!$B$47,100)</f>
        <v>6100</v>
      </c>
      <c r="L94" s="12">
        <f>MROUND(H94*120*'Rate Card'!$B$48,500)</f>
        <v>326500</v>
      </c>
      <c r="M94" s="12">
        <f>MROUND(I94*120*'Rate Card'!$B$48,500)</f>
        <v>163000</v>
      </c>
      <c r="N94" s="14"/>
      <c r="O94" s="49">
        <v>0.82</v>
      </c>
      <c r="P94" s="49">
        <v>1</v>
      </c>
    </row>
    <row r="95" spans="1:16" ht="15" customHeight="1" x14ac:dyDescent="0.3">
      <c r="A95" s="9">
        <v>85</v>
      </c>
      <c r="B95" s="46" t="s">
        <v>205</v>
      </c>
      <c r="C95" s="46" t="s">
        <v>1752</v>
      </c>
      <c r="D95" s="47" t="s">
        <v>225</v>
      </c>
      <c r="E95" s="46" t="s">
        <v>1753</v>
      </c>
      <c r="F95" s="48" t="s">
        <v>94</v>
      </c>
      <c r="G95" s="48"/>
      <c r="H95" s="12">
        <f>MROUND('Rate Card'!$I$10*O95*P95,10)</f>
        <v>3200</v>
      </c>
      <c r="I95" s="12">
        <f>MROUND('Rate Card'!$K$10*O95*P95,10)</f>
        <v>1600</v>
      </c>
      <c r="J95" s="12">
        <f>MROUND(H95*4*'Rate Card'!$B$47,100)</f>
        <v>12200</v>
      </c>
      <c r="K95" s="12">
        <f>MROUND(I95*4*'Rate Card'!$B$47,100)</f>
        <v>6100</v>
      </c>
      <c r="L95" s="12">
        <f>MROUND(H95*120*'Rate Card'!$B$48,500)</f>
        <v>326500</v>
      </c>
      <c r="M95" s="12">
        <f>MROUND(I95*120*'Rate Card'!$B$48,500)</f>
        <v>163000</v>
      </c>
      <c r="N95" s="14"/>
      <c r="O95" s="49">
        <v>0.82</v>
      </c>
      <c r="P95" s="49">
        <v>1</v>
      </c>
    </row>
    <row r="96" spans="1:16" ht="15" customHeight="1" x14ac:dyDescent="0.3">
      <c r="A96" s="9">
        <v>86</v>
      </c>
      <c r="B96" s="46" t="s">
        <v>205</v>
      </c>
      <c r="C96" s="46" t="s">
        <v>1740</v>
      </c>
      <c r="D96" s="47" t="s">
        <v>242</v>
      </c>
      <c r="E96" s="46" t="s">
        <v>195</v>
      </c>
      <c r="F96" s="48" t="s">
        <v>66</v>
      </c>
      <c r="G96" s="48"/>
      <c r="H96" s="12">
        <f>MROUND('Rate Card'!$I$10*O96*P96,10)</f>
        <v>3200</v>
      </c>
      <c r="I96" s="12">
        <f>MROUND('Rate Card'!$K$10*O96*P96,10)</f>
        <v>1600</v>
      </c>
      <c r="J96" s="12">
        <f>MROUND(H96*4*'Rate Card'!$B$47,100)</f>
        <v>12200</v>
      </c>
      <c r="K96" s="12">
        <f>MROUND(I96*4*'Rate Card'!$B$47,100)</f>
        <v>6100</v>
      </c>
      <c r="L96" s="12">
        <f>MROUND(H96*120*'Rate Card'!$B$48,500)</f>
        <v>326500</v>
      </c>
      <c r="M96" s="12">
        <f>MROUND(I96*120*'Rate Card'!$B$48,500)</f>
        <v>163000</v>
      </c>
      <c r="N96" s="14"/>
      <c r="O96" s="49">
        <v>0.82</v>
      </c>
      <c r="P96" s="49">
        <v>1</v>
      </c>
    </row>
    <row r="97" spans="1:16" ht="15" customHeight="1" x14ac:dyDescent="0.3">
      <c r="A97" s="9">
        <v>87</v>
      </c>
      <c r="B97" s="46" t="s">
        <v>205</v>
      </c>
      <c r="C97" s="46" t="s">
        <v>1748</v>
      </c>
      <c r="D97" s="47" t="s">
        <v>221</v>
      </c>
      <c r="E97" s="46" t="s">
        <v>195</v>
      </c>
      <c r="F97" s="48" t="s">
        <v>61</v>
      </c>
      <c r="G97" s="48"/>
      <c r="H97" s="12">
        <f>MROUND('Rate Card'!$I$10*O97*P97,10)</f>
        <v>3200</v>
      </c>
      <c r="I97" s="12">
        <f>MROUND('Rate Card'!$K$10*O97*P97,10)</f>
        <v>1600</v>
      </c>
      <c r="J97" s="12">
        <f>MROUND(H97*4*'Rate Card'!$B$47,100)</f>
        <v>12200</v>
      </c>
      <c r="K97" s="12">
        <f>MROUND(I97*4*'Rate Card'!$B$47,100)</f>
        <v>6100</v>
      </c>
      <c r="L97" s="12">
        <f>MROUND(H97*120*'Rate Card'!$B$48,500)</f>
        <v>326500</v>
      </c>
      <c r="M97" s="12">
        <f>MROUND(I97*120*'Rate Card'!$B$48,500)</f>
        <v>163000</v>
      </c>
      <c r="N97" s="14"/>
      <c r="O97" s="49">
        <v>0.82</v>
      </c>
      <c r="P97" s="49">
        <v>1</v>
      </c>
    </row>
    <row r="98" spans="1:16" ht="15" customHeight="1" x14ac:dyDescent="0.3">
      <c r="A98" s="9">
        <v>88</v>
      </c>
      <c r="B98" s="46" t="s">
        <v>205</v>
      </c>
      <c r="C98" s="46" t="s">
        <v>1748</v>
      </c>
      <c r="D98" s="47" t="s">
        <v>230</v>
      </c>
      <c r="E98" s="46" t="s">
        <v>1754</v>
      </c>
      <c r="F98" s="48" t="s">
        <v>99</v>
      </c>
      <c r="G98" s="48"/>
      <c r="H98" s="12">
        <f>MROUND('Rate Card'!$I$10*O98*P98,10)</f>
        <v>3200</v>
      </c>
      <c r="I98" s="12">
        <f>MROUND('Rate Card'!$K$10*O98*P98,10)</f>
        <v>1600</v>
      </c>
      <c r="J98" s="12">
        <f>MROUND(H98*4*'Rate Card'!$B$47,100)</f>
        <v>12200</v>
      </c>
      <c r="K98" s="12">
        <f>MROUND(I98*4*'Rate Card'!$B$47,100)</f>
        <v>6100</v>
      </c>
      <c r="L98" s="12">
        <f>MROUND(H98*120*'Rate Card'!$B$48,500)</f>
        <v>326500</v>
      </c>
      <c r="M98" s="12">
        <f>MROUND(I98*120*'Rate Card'!$B$48,500)</f>
        <v>163000</v>
      </c>
      <c r="N98" s="14"/>
      <c r="O98" s="49">
        <v>0.82</v>
      </c>
      <c r="P98" s="49">
        <v>1</v>
      </c>
    </row>
    <row r="99" spans="1:16" ht="15" customHeight="1" x14ac:dyDescent="0.3">
      <c r="A99" s="9">
        <v>89</v>
      </c>
      <c r="B99" s="46" t="s">
        <v>205</v>
      </c>
      <c r="C99" s="46" t="s">
        <v>1748</v>
      </c>
      <c r="D99" s="47" t="s">
        <v>286</v>
      </c>
      <c r="E99" s="46" t="s">
        <v>1754</v>
      </c>
      <c r="F99" s="48" t="s">
        <v>99</v>
      </c>
      <c r="G99" s="48"/>
      <c r="H99" s="12">
        <f>MROUND('Rate Card'!$I$10*O99*P99,10)</f>
        <v>3200</v>
      </c>
      <c r="I99" s="12">
        <f>MROUND('Rate Card'!$K$10*O99*P99,10)</f>
        <v>1600</v>
      </c>
      <c r="J99" s="12">
        <f>MROUND(H99*4*'Rate Card'!$B$47,100)</f>
        <v>12200</v>
      </c>
      <c r="K99" s="12">
        <f>MROUND(I99*4*'Rate Card'!$B$47,100)</f>
        <v>6100</v>
      </c>
      <c r="L99" s="12">
        <f>MROUND(H99*120*'Rate Card'!$B$48,500)</f>
        <v>326500</v>
      </c>
      <c r="M99" s="12">
        <f>MROUND(I99*120*'Rate Card'!$B$48,500)</f>
        <v>163000</v>
      </c>
      <c r="N99" s="14"/>
      <c r="O99" s="49">
        <v>0.82</v>
      </c>
      <c r="P99" s="49">
        <v>1</v>
      </c>
    </row>
    <row r="100" spans="1:16" ht="15" customHeight="1" x14ac:dyDescent="0.3">
      <c r="A100" s="9">
        <v>90</v>
      </c>
      <c r="B100" s="46" t="s">
        <v>205</v>
      </c>
      <c r="C100" s="46" t="s">
        <v>1748</v>
      </c>
      <c r="D100" s="47" t="s">
        <v>232</v>
      </c>
      <c r="E100" s="46" t="s">
        <v>1751</v>
      </c>
      <c r="F100" s="48" t="s">
        <v>99</v>
      </c>
      <c r="G100" s="48"/>
      <c r="H100" s="12">
        <f>MROUND('Rate Card'!$I$10*O100*P100,10)</f>
        <v>3200</v>
      </c>
      <c r="I100" s="12">
        <f>MROUND('Rate Card'!$K$10*O100*P100,10)</f>
        <v>1600</v>
      </c>
      <c r="J100" s="12">
        <f>MROUND(H100*4*'Rate Card'!$B$47,100)</f>
        <v>12200</v>
      </c>
      <c r="K100" s="12">
        <f>MROUND(I100*4*'Rate Card'!$B$47,100)</f>
        <v>6100</v>
      </c>
      <c r="L100" s="12">
        <f>MROUND(H100*120*'Rate Card'!$B$48,500)</f>
        <v>326500</v>
      </c>
      <c r="M100" s="12">
        <f>MROUND(I100*120*'Rate Card'!$B$48,500)</f>
        <v>163000</v>
      </c>
      <c r="N100" s="14"/>
      <c r="O100" s="49">
        <v>0.82</v>
      </c>
      <c r="P100" s="49">
        <v>1</v>
      </c>
    </row>
    <row r="101" spans="1:16" ht="15" customHeight="1" x14ac:dyDescent="0.3">
      <c r="A101" s="9">
        <v>91</v>
      </c>
      <c r="B101" s="46" t="s">
        <v>205</v>
      </c>
      <c r="C101" s="46" t="s">
        <v>1748</v>
      </c>
      <c r="D101" s="47" t="s">
        <v>287</v>
      </c>
      <c r="E101" s="46" t="s">
        <v>1751</v>
      </c>
      <c r="F101" s="48" t="s">
        <v>99</v>
      </c>
      <c r="G101" s="48"/>
      <c r="H101" s="12">
        <f>MROUND('Rate Card'!$I$10*O101*P101,10)</f>
        <v>3200</v>
      </c>
      <c r="I101" s="12">
        <f>MROUND('Rate Card'!$K$10*O101*P101,10)</f>
        <v>1600</v>
      </c>
      <c r="J101" s="12">
        <f>MROUND(H101*4*'Rate Card'!$B$47,100)</f>
        <v>12200</v>
      </c>
      <c r="K101" s="12">
        <f>MROUND(I101*4*'Rate Card'!$B$47,100)</f>
        <v>6100</v>
      </c>
      <c r="L101" s="12">
        <f>MROUND(H101*120*'Rate Card'!$B$48,500)</f>
        <v>326500</v>
      </c>
      <c r="M101" s="12">
        <f>MROUND(I101*120*'Rate Card'!$B$48,500)</f>
        <v>163000</v>
      </c>
      <c r="N101" s="14"/>
      <c r="O101" s="49">
        <v>0.82</v>
      </c>
      <c r="P101" s="49">
        <v>1</v>
      </c>
    </row>
    <row r="102" spans="1:16" ht="15" customHeight="1" x14ac:dyDescent="0.3">
      <c r="A102" s="9">
        <v>92</v>
      </c>
      <c r="B102" s="46" t="s">
        <v>205</v>
      </c>
      <c r="C102" s="46" t="s">
        <v>1708</v>
      </c>
      <c r="D102" s="47" t="s">
        <v>235</v>
      </c>
      <c r="E102" s="46" t="s">
        <v>1755</v>
      </c>
      <c r="F102" s="48" t="s">
        <v>99</v>
      </c>
      <c r="G102" s="48"/>
      <c r="H102" s="12">
        <f>MROUND('Rate Card'!$I$10*O102*P102,10)</f>
        <v>3200</v>
      </c>
      <c r="I102" s="12">
        <f>MROUND('Rate Card'!$K$10*O102*P102,10)</f>
        <v>1600</v>
      </c>
      <c r="J102" s="12">
        <f>MROUND(H102*4*'Rate Card'!$B$47,100)</f>
        <v>12200</v>
      </c>
      <c r="K102" s="12">
        <f>MROUND(I102*4*'Rate Card'!$B$47,100)</f>
        <v>6100</v>
      </c>
      <c r="L102" s="12">
        <f>MROUND(H102*120*'Rate Card'!$B$48,500)</f>
        <v>326500</v>
      </c>
      <c r="M102" s="12">
        <f>MROUND(I102*120*'Rate Card'!$B$48,500)</f>
        <v>163000</v>
      </c>
      <c r="N102" s="14"/>
      <c r="O102" s="49">
        <v>0.82</v>
      </c>
      <c r="P102" s="49">
        <v>1</v>
      </c>
    </row>
    <row r="103" spans="1:16" ht="15" customHeight="1" x14ac:dyDescent="0.3">
      <c r="A103" s="9">
        <v>93</v>
      </c>
      <c r="B103" s="46" t="s">
        <v>205</v>
      </c>
      <c r="C103" s="46" t="s">
        <v>1730</v>
      </c>
      <c r="D103" s="47" t="s">
        <v>237</v>
      </c>
      <c r="E103" s="46" t="s">
        <v>1756</v>
      </c>
      <c r="F103" s="48" t="s">
        <v>99</v>
      </c>
      <c r="G103" s="48"/>
      <c r="H103" s="12">
        <f>MROUND('Rate Card'!$I$10*O103*P103,10)</f>
        <v>3200</v>
      </c>
      <c r="I103" s="12">
        <f>MROUND('Rate Card'!$K$10*O103*P103,10)</f>
        <v>1600</v>
      </c>
      <c r="J103" s="12">
        <f>MROUND(H103*4*'Rate Card'!$B$47,100)</f>
        <v>12200</v>
      </c>
      <c r="K103" s="12">
        <f>MROUND(I103*4*'Rate Card'!$B$47,100)</f>
        <v>6100</v>
      </c>
      <c r="L103" s="12">
        <f>MROUND(H103*120*'Rate Card'!$B$48,500)</f>
        <v>326500</v>
      </c>
      <c r="M103" s="12">
        <f>MROUND(I103*120*'Rate Card'!$B$48,500)</f>
        <v>163000</v>
      </c>
      <c r="N103" s="14"/>
      <c r="O103" s="49">
        <v>0.82</v>
      </c>
      <c r="P103" s="49">
        <v>1</v>
      </c>
    </row>
    <row r="104" spans="1:16" ht="15" customHeight="1" x14ac:dyDescent="0.3">
      <c r="A104" s="9">
        <v>94</v>
      </c>
      <c r="B104" s="46" t="s">
        <v>205</v>
      </c>
      <c r="C104" s="46" t="s">
        <v>1730</v>
      </c>
      <c r="D104" s="47" t="s">
        <v>239</v>
      </c>
      <c r="E104" s="46" t="s">
        <v>1757</v>
      </c>
      <c r="F104" s="48" t="s">
        <v>99</v>
      </c>
      <c r="G104" s="48"/>
      <c r="H104" s="12">
        <f>MROUND('Rate Card'!$I$10*O104*P104,10)</f>
        <v>3200</v>
      </c>
      <c r="I104" s="12">
        <f>MROUND('Rate Card'!$K$10*O104*P104,10)</f>
        <v>1600</v>
      </c>
      <c r="J104" s="12">
        <f>MROUND(H104*4*'Rate Card'!$B$47,100)</f>
        <v>12200</v>
      </c>
      <c r="K104" s="12">
        <f>MROUND(I104*4*'Rate Card'!$B$47,100)</f>
        <v>6100</v>
      </c>
      <c r="L104" s="12">
        <f>MROUND(H104*120*'Rate Card'!$B$48,500)</f>
        <v>326500</v>
      </c>
      <c r="M104" s="12">
        <f>MROUND(I104*120*'Rate Card'!$B$48,500)</f>
        <v>163000</v>
      </c>
      <c r="N104" s="14"/>
      <c r="O104" s="49">
        <v>0.82</v>
      </c>
      <c r="P104" s="49">
        <v>1</v>
      </c>
    </row>
    <row r="105" spans="1:16" ht="15" customHeight="1" x14ac:dyDescent="0.3">
      <c r="A105" s="9">
        <v>95</v>
      </c>
      <c r="B105" s="46" t="s">
        <v>205</v>
      </c>
      <c r="C105" s="46" t="s">
        <v>1738</v>
      </c>
      <c r="D105" s="47" t="s">
        <v>241</v>
      </c>
      <c r="E105" s="46" t="s">
        <v>1758</v>
      </c>
      <c r="F105" s="48" t="s">
        <v>99</v>
      </c>
      <c r="G105" s="48"/>
      <c r="H105" s="12">
        <f>MROUND('Rate Card'!$I$10*O105*P105,10)</f>
        <v>3200</v>
      </c>
      <c r="I105" s="12">
        <f>MROUND('Rate Card'!$K$10*O105*P105,10)</f>
        <v>1600</v>
      </c>
      <c r="J105" s="12">
        <f>MROUND(H105*4*'Rate Card'!$B$47,100)</f>
        <v>12200</v>
      </c>
      <c r="K105" s="12">
        <f>MROUND(I105*4*'Rate Card'!$B$47,100)</f>
        <v>6100</v>
      </c>
      <c r="L105" s="12">
        <f>MROUND(H105*120*'Rate Card'!$B$48,500)</f>
        <v>326500</v>
      </c>
      <c r="M105" s="12">
        <f>MROUND(I105*120*'Rate Card'!$B$48,500)</f>
        <v>163000</v>
      </c>
      <c r="N105" s="14"/>
      <c r="O105" s="49">
        <v>0.82</v>
      </c>
      <c r="P105" s="49">
        <v>1</v>
      </c>
    </row>
    <row r="106" spans="1:16" ht="15" customHeight="1" x14ac:dyDescent="0.3">
      <c r="A106" s="9">
        <v>96</v>
      </c>
      <c r="B106" s="46" t="s">
        <v>205</v>
      </c>
      <c r="C106" s="46" t="s">
        <v>1759</v>
      </c>
      <c r="D106" s="47" t="s">
        <v>228</v>
      </c>
      <c r="E106" s="46" t="s">
        <v>195</v>
      </c>
      <c r="F106" s="48" t="s">
        <v>66</v>
      </c>
      <c r="G106" s="48"/>
      <c r="H106" s="12">
        <f>MROUND('Rate Card'!$I$10*O106*P106,10)</f>
        <v>3200</v>
      </c>
      <c r="I106" s="12">
        <f>MROUND('Rate Card'!$K$10*O106*P106,10)</f>
        <v>1600</v>
      </c>
      <c r="J106" s="12">
        <f>MROUND(H106*4*'Rate Card'!$B$47,100)</f>
        <v>12200</v>
      </c>
      <c r="K106" s="12">
        <f>MROUND(I106*4*'Rate Card'!$B$47,100)</f>
        <v>6100</v>
      </c>
      <c r="L106" s="12">
        <f>MROUND(H106*120*'Rate Card'!$B$48,500)</f>
        <v>326500</v>
      </c>
      <c r="M106" s="12">
        <f>MROUND(I106*120*'Rate Card'!$B$48,500)</f>
        <v>163000</v>
      </c>
      <c r="N106" s="14"/>
      <c r="O106" s="49">
        <v>0.82</v>
      </c>
      <c r="P106" s="49">
        <v>1</v>
      </c>
    </row>
    <row r="107" spans="1:16" ht="15" customHeight="1" x14ac:dyDescent="0.3">
      <c r="A107" s="9">
        <v>97</v>
      </c>
      <c r="B107" s="46" t="s">
        <v>205</v>
      </c>
      <c r="C107" s="46" t="s">
        <v>1748</v>
      </c>
      <c r="D107" s="47" t="s">
        <v>231</v>
      </c>
      <c r="E107" s="46" t="s">
        <v>195</v>
      </c>
      <c r="F107" s="48" t="s">
        <v>99</v>
      </c>
      <c r="G107" s="48"/>
      <c r="H107" s="12">
        <f>MROUND('Rate Card'!$I$10*O107*P107,10)</f>
        <v>3200</v>
      </c>
      <c r="I107" s="12">
        <f>MROUND('Rate Card'!$K$10*O107*P107,10)</f>
        <v>1600</v>
      </c>
      <c r="J107" s="12">
        <f>MROUND(H107*4*'Rate Card'!$B$47,100)</f>
        <v>12200</v>
      </c>
      <c r="K107" s="12">
        <f>MROUND(I107*4*'Rate Card'!$B$47,100)</f>
        <v>6100</v>
      </c>
      <c r="L107" s="12">
        <f>MROUND(H107*120*'Rate Card'!$B$48,500)</f>
        <v>326500</v>
      </c>
      <c r="M107" s="12">
        <f>MROUND(I107*120*'Rate Card'!$B$48,500)</f>
        <v>163000</v>
      </c>
      <c r="N107" s="14"/>
      <c r="O107" s="49">
        <v>0.82</v>
      </c>
      <c r="P107" s="49">
        <v>1</v>
      </c>
    </row>
    <row r="108" spans="1:16" ht="15" customHeight="1" x14ac:dyDescent="0.3">
      <c r="A108" s="9">
        <v>98</v>
      </c>
      <c r="B108" s="46" t="s">
        <v>205</v>
      </c>
      <c r="C108" s="46" t="s">
        <v>1736</v>
      </c>
      <c r="D108" s="47" t="s">
        <v>245</v>
      </c>
      <c r="E108" s="46" t="s">
        <v>195</v>
      </c>
      <c r="F108" s="48" t="s">
        <v>66</v>
      </c>
      <c r="G108" s="48"/>
      <c r="H108" s="12">
        <f>MROUND('Rate Card'!$I$10*O108*P108,10)</f>
        <v>3200</v>
      </c>
      <c r="I108" s="12">
        <f>MROUND('Rate Card'!$K$10*O108*P108,10)</f>
        <v>1600</v>
      </c>
      <c r="J108" s="12">
        <f>MROUND(H108*4*'Rate Card'!$B$47,100)</f>
        <v>12200</v>
      </c>
      <c r="K108" s="12">
        <f>MROUND(I108*4*'Rate Card'!$B$47,100)</f>
        <v>6100</v>
      </c>
      <c r="L108" s="12">
        <f>MROUND(H108*120*'Rate Card'!$B$48,500)</f>
        <v>326500</v>
      </c>
      <c r="M108" s="12">
        <f>MROUND(I108*120*'Rate Card'!$B$48,500)</f>
        <v>163000</v>
      </c>
      <c r="N108" s="14"/>
      <c r="O108" s="49">
        <v>0.82</v>
      </c>
      <c r="P108" s="49">
        <v>1</v>
      </c>
    </row>
    <row r="109" spans="1:16" ht="15" customHeight="1" x14ac:dyDescent="0.3">
      <c r="A109" s="9">
        <v>99</v>
      </c>
      <c r="B109" s="46" t="s">
        <v>205</v>
      </c>
      <c r="C109" s="46" t="s">
        <v>1700</v>
      </c>
      <c r="D109" s="47" t="s">
        <v>250</v>
      </c>
      <c r="E109" s="46" t="s">
        <v>195</v>
      </c>
      <c r="F109" s="48" t="s">
        <v>66</v>
      </c>
      <c r="G109" s="48"/>
      <c r="H109" s="12">
        <f>MROUND('Rate Card'!$I$10*O109*P109,10)</f>
        <v>3200</v>
      </c>
      <c r="I109" s="12">
        <f>MROUND('Rate Card'!$K$10*O109*P109,10)</f>
        <v>1600</v>
      </c>
      <c r="J109" s="12">
        <f>MROUND(H109*4*'Rate Card'!$B$47,100)</f>
        <v>12200</v>
      </c>
      <c r="K109" s="12">
        <f>MROUND(I109*4*'Rate Card'!$B$47,100)</f>
        <v>6100</v>
      </c>
      <c r="L109" s="12">
        <f>MROUND(H109*120*'Rate Card'!$B$48,500)</f>
        <v>326500</v>
      </c>
      <c r="M109" s="12">
        <f>MROUND(I109*120*'Rate Card'!$B$48,500)</f>
        <v>163000</v>
      </c>
      <c r="N109" s="14"/>
      <c r="O109" s="49">
        <v>0.82</v>
      </c>
      <c r="P109" s="49">
        <v>1</v>
      </c>
    </row>
    <row r="110" spans="1:16" ht="15" customHeight="1" x14ac:dyDescent="0.3">
      <c r="A110" s="9">
        <v>100</v>
      </c>
      <c r="B110" s="46" t="s">
        <v>205</v>
      </c>
      <c r="C110" s="46" t="s">
        <v>1740</v>
      </c>
      <c r="D110" s="47" t="s">
        <v>251</v>
      </c>
      <c r="E110" s="46" t="s">
        <v>195</v>
      </c>
      <c r="F110" s="48" t="s">
        <v>107</v>
      </c>
      <c r="G110" s="48"/>
      <c r="H110" s="12">
        <f>MROUND('Rate Card'!$I$10*O110*P110,10)</f>
        <v>3200</v>
      </c>
      <c r="I110" s="12">
        <f>MROUND('Rate Card'!$K$10*O110*P110,10)</f>
        <v>1600</v>
      </c>
      <c r="J110" s="12">
        <f>MROUND(H110*4*'Rate Card'!$B$47,100)</f>
        <v>12200</v>
      </c>
      <c r="K110" s="12">
        <f>MROUND(I110*4*'Rate Card'!$B$47,100)</f>
        <v>6100</v>
      </c>
      <c r="L110" s="12">
        <f>MROUND(H110*120*'Rate Card'!$B$48,500)</f>
        <v>326500</v>
      </c>
      <c r="M110" s="12">
        <f>MROUND(I110*120*'Rate Card'!$B$48,500)</f>
        <v>163000</v>
      </c>
      <c r="N110" s="14"/>
      <c r="O110" s="49">
        <v>0.82</v>
      </c>
      <c r="P110" s="49">
        <v>1</v>
      </c>
    </row>
    <row r="111" spans="1:16" ht="15" customHeight="1" x14ac:dyDescent="0.3">
      <c r="A111" s="9">
        <v>101</v>
      </c>
      <c r="B111" s="46" t="s">
        <v>205</v>
      </c>
      <c r="C111" s="46" t="s">
        <v>1740</v>
      </c>
      <c r="D111" s="47" t="s">
        <v>252</v>
      </c>
      <c r="E111" s="46" t="s">
        <v>195</v>
      </c>
      <c r="F111" s="48" t="s">
        <v>107</v>
      </c>
      <c r="G111" s="48"/>
      <c r="H111" s="12">
        <f>MROUND('Rate Card'!$I$10*O111*P111,10)</f>
        <v>3200</v>
      </c>
      <c r="I111" s="12">
        <f>MROUND('Rate Card'!$K$10*O111*P111,10)</f>
        <v>1600</v>
      </c>
      <c r="J111" s="12">
        <f>MROUND(H111*4*'Rate Card'!$B$47,100)</f>
        <v>12200</v>
      </c>
      <c r="K111" s="12">
        <f>MROUND(I111*4*'Rate Card'!$B$47,100)</f>
        <v>6100</v>
      </c>
      <c r="L111" s="12">
        <f>MROUND(H111*120*'Rate Card'!$B$48,500)</f>
        <v>326500</v>
      </c>
      <c r="M111" s="12">
        <f>MROUND(I111*120*'Rate Card'!$B$48,500)</f>
        <v>163000</v>
      </c>
      <c r="N111" s="14"/>
      <c r="O111" s="49">
        <v>0.82</v>
      </c>
      <c r="P111" s="49">
        <v>1</v>
      </c>
    </row>
    <row r="112" spans="1:16" ht="15" customHeight="1" x14ac:dyDescent="0.3">
      <c r="A112" s="9">
        <v>102</v>
      </c>
      <c r="B112" s="46" t="s">
        <v>205</v>
      </c>
      <c r="C112" s="46" t="s">
        <v>1740</v>
      </c>
      <c r="D112" s="47" t="s">
        <v>209</v>
      </c>
      <c r="E112" s="46" t="s">
        <v>195</v>
      </c>
      <c r="F112" s="48" t="s">
        <v>195</v>
      </c>
      <c r="G112" s="48"/>
      <c r="H112" s="12">
        <f>MROUND('Rate Card'!$I$10*O112*P112,10)</f>
        <v>2260</v>
      </c>
      <c r="I112" s="12">
        <f>MROUND('Rate Card'!$K$10*O112*P112,10)</f>
        <v>1130</v>
      </c>
      <c r="J112" s="12">
        <f>MROUND(H112*4*'Rate Card'!$B$47,100)</f>
        <v>8600</v>
      </c>
      <c r="K112" s="12">
        <f>MROUND(I112*4*'Rate Card'!$B$47,100)</f>
        <v>4300</v>
      </c>
      <c r="L112" s="12">
        <f>MROUND(H112*120*'Rate Card'!$B$48,500)</f>
        <v>230500</v>
      </c>
      <c r="M112" s="12">
        <f>MROUND(I112*120*'Rate Card'!$B$48,500)</f>
        <v>115500</v>
      </c>
      <c r="N112" s="14" t="s">
        <v>1744</v>
      </c>
      <c r="O112" s="49">
        <v>0.57999999999999996</v>
      </c>
      <c r="P112" s="49">
        <v>1</v>
      </c>
    </row>
    <row r="113" spans="1:16" ht="15" customHeight="1" x14ac:dyDescent="0.3">
      <c r="A113" s="9">
        <v>103</v>
      </c>
      <c r="B113" s="46" t="s">
        <v>205</v>
      </c>
      <c r="C113" s="46" t="s">
        <v>1740</v>
      </c>
      <c r="D113" s="47" t="s">
        <v>206</v>
      </c>
      <c r="E113" s="46" t="s">
        <v>195</v>
      </c>
      <c r="F113" s="48" t="s">
        <v>195</v>
      </c>
      <c r="G113" s="48"/>
      <c r="H113" s="12">
        <f>MROUND('Rate Card'!$I$10*O113*P113,10)</f>
        <v>2260</v>
      </c>
      <c r="I113" s="12">
        <f>MROUND('Rate Card'!$K$10*O113*P113,10)</f>
        <v>1130</v>
      </c>
      <c r="J113" s="12">
        <f>MROUND(H113*4*'Rate Card'!$B$47,100)</f>
        <v>8600</v>
      </c>
      <c r="K113" s="12">
        <f>MROUND(I113*4*'Rate Card'!$B$47,100)</f>
        <v>4300</v>
      </c>
      <c r="L113" s="12">
        <f>MROUND(H113*120*'Rate Card'!$B$48,500)</f>
        <v>230500</v>
      </c>
      <c r="M113" s="12">
        <f>MROUND(I113*120*'Rate Card'!$B$48,500)</f>
        <v>115500</v>
      </c>
      <c r="N113" s="14" t="s">
        <v>1744</v>
      </c>
      <c r="O113" s="49">
        <v>0.57999999999999996</v>
      </c>
      <c r="P113" s="49">
        <v>1</v>
      </c>
    </row>
    <row r="114" spans="1:16" ht="15" customHeight="1" x14ac:dyDescent="0.3">
      <c r="A114" s="9">
        <v>104</v>
      </c>
      <c r="B114" s="46" t="s">
        <v>205</v>
      </c>
      <c r="C114" s="46" t="s">
        <v>1740</v>
      </c>
      <c r="D114" s="47" t="s">
        <v>208</v>
      </c>
      <c r="E114" s="46" t="s">
        <v>195</v>
      </c>
      <c r="F114" s="48" t="s">
        <v>195</v>
      </c>
      <c r="G114" s="48"/>
      <c r="H114" s="12">
        <f>MROUND('Rate Card'!$I$10*O114*P114,10)</f>
        <v>2260</v>
      </c>
      <c r="I114" s="12">
        <f>MROUND('Rate Card'!$K$10*O114*P114,10)</f>
        <v>1130</v>
      </c>
      <c r="J114" s="12">
        <f>MROUND(H114*4*'Rate Card'!$B$47,100)</f>
        <v>8600</v>
      </c>
      <c r="K114" s="12">
        <f>MROUND(I114*4*'Rate Card'!$B$47,100)</f>
        <v>4300</v>
      </c>
      <c r="L114" s="12">
        <f>MROUND(H114*120*'Rate Card'!$B$48,500)</f>
        <v>230500</v>
      </c>
      <c r="M114" s="12">
        <f>MROUND(I114*120*'Rate Card'!$B$48,500)</f>
        <v>115500</v>
      </c>
      <c r="N114" s="14" t="s">
        <v>1744</v>
      </c>
      <c r="O114" s="49">
        <v>0.57999999999999996</v>
      </c>
      <c r="P114" s="49">
        <v>1</v>
      </c>
    </row>
    <row r="115" spans="1:16" ht="15" customHeight="1" x14ac:dyDescent="0.3">
      <c r="A115" s="9">
        <v>105</v>
      </c>
      <c r="B115" s="46" t="s">
        <v>205</v>
      </c>
      <c r="C115" s="46" t="s">
        <v>1748</v>
      </c>
      <c r="D115" s="47" t="s">
        <v>233</v>
      </c>
      <c r="E115" s="46" t="s">
        <v>195</v>
      </c>
      <c r="F115" s="48" t="s">
        <v>195</v>
      </c>
      <c r="G115" s="48"/>
      <c r="H115" s="12">
        <f>MROUND('Rate Card'!$I$10*O115*P115,10)</f>
        <v>2260</v>
      </c>
      <c r="I115" s="12">
        <f>MROUND('Rate Card'!$K$10*O115*P115,10)</f>
        <v>1130</v>
      </c>
      <c r="J115" s="12">
        <f>MROUND(H115*4*'Rate Card'!$B$47,100)</f>
        <v>8600</v>
      </c>
      <c r="K115" s="12">
        <f>MROUND(I115*4*'Rate Card'!$B$47,100)</f>
        <v>4300</v>
      </c>
      <c r="L115" s="12">
        <f>MROUND(H115*120*'Rate Card'!$B$48,500)</f>
        <v>230500</v>
      </c>
      <c r="M115" s="12">
        <f>MROUND(I115*120*'Rate Card'!$B$48,500)</f>
        <v>115500</v>
      </c>
      <c r="N115" s="14" t="s">
        <v>1744</v>
      </c>
      <c r="O115" s="49">
        <v>0.57999999999999996</v>
      </c>
      <c r="P115" s="49">
        <v>1</v>
      </c>
    </row>
    <row r="116" spans="1:16" ht="15" customHeight="1" x14ac:dyDescent="0.3">
      <c r="A116" s="9">
        <v>106</v>
      </c>
      <c r="B116" s="46" t="s">
        <v>205</v>
      </c>
      <c r="C116" s="46" t="s">
        <v>1740</v>
      </c>
      <c r="D116" s="47" t="s">
        <v>243</v>
      </c>
      <c r="E116" s="46" t="s">
        <v>195</v>
      </c>
      <c r="F116" s="48" t="s">
        <v>195</v>
      </c>
      <c r="G116" s="48"/>
      <c r="H116" s="12">
        <f>MROUND('Rate Card'!$I$10*O116*P116,10)</f>
        <v>2260</v>
      </c>
      <c r="I116" s="12">
        <f>MROUND('Rate Card'!$K$10*O116*P116,10)</f>
        <v>1130</v>
      </c>
      <c r="J116" s="12">
        <f>MROUND(H116*4*'Rate Card'!$B$47,100)</f>
        <v>8600</v>
      </c>
      <c r="K116" s="12">
        <f>MROUND(I116*4*'Rate Card'!$B$47,100)</f>
        <v>4300</v>
      </c>
      <c r="L116" s="12">
        <f>MROUND(H116*120*'Rate Card'!$B$48,500)</f>
        <v>230500</v>
      </c>
      <c r="M116" s="12">
        <f>MROUND(I116*120*'Rate Card'!$B$48,500)</f>
        <v>115500</v>
      </c>
      <c r="N116" s="14" t="s">
        <v>1744</v>
      </c>
      <c r="O116" s="49">
        <v>0.57999999999999996</v>
      </c>
      <c r="P116" s="49">
        <v>1</v>
      </c>
    </row>
    <row r="117" spans="1:16" ht="15" customHeight="1" x14ac:dyDescent="0.3">
      <c r="A117" s="9">
        <v>107</v>
      </c>
      <c r="B117" s="46" t="s">
        <v>205</v>
      </c>
      <c r="C117" s="46" t="s">
        <v>1752</v>
      </c>
      <c r="D117" s="47" t="s">
        <v>220</v>
      </c>
      <c r="E117" s="46" t="s">
        <v>195</v>
      </c>
      <c r="F117" s="48" t="s">
        <v>195</v>
      </c>
      <c r="G117" s="48"/>
      <c r="H117" s="12">
        <f>MROUND('Rate Card'!$I$10*O117*P117,10)</f>
        <v>2260</v>
      </c>
      <c r="I117" s="12">
        <f>MROUND('Rate Card'!$K$10*O117*P117,10)</f>
        <v>1130</v>
      </c>
      <c r="J117" s="12">
        <f>MROUND(H117*4*'Rate Card'!$B$47,100)</f>
        <v>8600</v>
      </c>
      <c r="K117" s="12">
        <f>MROUND(I117*4*'Rate Card'!$B$47,100)</f>
        <v>4300</v>
      </c>
      <c r="L117" s="12">
        <f>MROUND(H117*120*'Rate Card'!$B$48,500)</f>
        <v>230500</v>
      </c>
      <c r="M117" s="12">
        <f>MROUND(I117*120*'Rate Card'!$B$48,500)</f>
        <v>115500</v>
      </c>
      <c r="N117" s="14" t="s">
        <v>1744</v>
      </c>
      <c r="O117" s="49">
        <v>0.57999999999999996</v>
      </c>
      <c r="P117" s="49">
        <v>1</v>
      </c>
    </row>
    <row r="118" spans="1:16" ht="15" customHeight="1" x14ac:dyDescent="0.3">
      <c r="A118" s="9">
        <v>108</v>
      </c>
      <c r="B118" s="46" t="s">
        <v>205</v>
      </c>
      <c r="C118" s="46" t="s">
        <v>1740</v>
      </c>
      <c r="D118" s="47" t="s">
        <v>253</v>
      </c>
      <c r="E118" s="46" t="s">
        <v>195</v>
      </c>
      <c r="F118" s="48" t="s">
        <v>195</v>
      </c>
      <c r="G118" s="48"/>
      <c r="H118" s="12">
        <f>MROUND('Rate Card'!$I$10*O118*P118,10)</f>
        <v>2260</v>
      </c>
      <c r="I118" s="12">
        <f>MROUND('Rate Card'!$K$10*O118*P118,10)</f>
        <v>1130</v>
      </c>
      <c r="J118" s="12">
        <f>MROUND(H118*4*'Rate Card'!$B$47,100)</f>
        <v>8600</v>
      </c>
      <c r="K118" s="12">
        <f>MROUND(I118*4*'Rate Card'!$B$47,100)</f>
        <v>4300</v>
      </c>
      <c r="L118" s="12">
        <f>MROUND(H118*120*'Rate Card'!$B$48,500)</f>
        <v>230500</v>
      </c>
      <c r="M118" s="12">
        <f>MROUND(I118*120*'Rate Card'!$B$48,500)</f>
        <v>115500</v>
      </c>
      <c r="N118" s="14" t="s">
        <v>1744</v>
      </c>
      <c r="O118" s="49">
        <v>0.57999999999999996</v>
      </c>
      <c r="P118" s="49">
        <v>1</v>
      </c>
    </row>
    <row r="119" spans="1:16" ht="15" customHeight="1" x14ac:dyDescent="0.3">
      <c r="A119" s="9">
        <v>109</v>
      </c>
      <c r="B119" s="46" t="s">
        <v>205</v>
      </c>
      <c r="C119" s="46" t="s">
        <v>1740</v>
      </c>
      <c r="D119" s="47" t="s">
        <v>254</v>
      </c>
      <c r="E119" s="46" t="s">
        <v>195</v>
      </c>
      <c r="F119" s="48" t="s">
        <v>195</v>
      </c>
      <c r="G119" s="48"/>
      <c r="H119" s="12">
        <f>MROUND('Rate Card'!$I$10*O119*P119,10)</f>
        <v>2260</v>
      </c>
      <c r="I119" s="12">
        <f>MROUND('Rate Card'!$K$10*O119*P119,10)</f>
        <v>1130</v>
      </c>
      <c r="J119" s="12">
        <f>MROUND(H119*4*'Rate Card'!$B$47,100)</f>
        <v>8600</v>
      </c>
      <c r="K119" s="12">
        <f>MROUND(I119*4*'Rate Card'!$B$47,100)</f>
        <v>4300</v>
      </c>
      <c r="L119" s="12">
        <f>MROUND(H119*120*'Rate Card'!$B$48,500)</f>
        <v>230500</v>
      </c>
      <c r="M119" s="12">
        <f>MROUND(I119*120*'Rate Card'!$B$48,500)</f>
        <v>115500</v>
      </c>
      <c r="N119" s="14" t="s">
        <v>1744</v>
      </c>
      <c r="O119" s="49">
        <v>0.57999999999999996</v>
      </c>
      <c r="P119" s="49">
        <v>1</v>
      </c>
    </row>
    <row r="120" spans="1:16" ht="15" customHeight="1" x14ac:dyDescent="0.3">
      <c r="A120" s="9">
        <v>110</v>
      </c>
      <c r="B120" s="46" t="s">
        <v>205</v>
      </c>
      <c r="C120" s="46" t="s">
        <v>1740</v>
      </c>
      <c r="D120" s="47" t="s">
        <v>255</v>
      </c>
      <c r="E120" s="46" t="s">
        <v>195</v>
      </c>
      <c r="F120" s="48" t="s">
        <v>195</v>
      </c>
      <c r="G120" s="48"/>
      <c r="H120" s="12">
        <f>MROUND('Rate Card'!$I$10*O120*P120,10)</f>
        <v>2260</v>
      </c>
      <c r="I120" s="12">
        <f>MROUND('Rate Card'!$K$10*O120*P120,10)</f>
        <v>1130</v>
      </c>
      <c r="J120" s="12">
        <f>MROUND(H120*4*'Rate Card'!$B$47,100)</f>
        <v>8600</v>
      </c>
      <c r="K120" s="12">
        <f>MROUND(I120*4*'Rate Card'!$B$47,100)</f>
        <v>4300</v>
      </c>
      <c r="L120" s="12">
        <f>MROUND(H120*120*'Rate Card'!$B$48,500)</f>
        <v>230500</v>
      </c>
      <c r="M120" s="12">
        <f>MROUND(I120*120*'Rate Card'!$B$48,500)</f>
        <v>115500</v>
      </c>
      <c r="N120" s="14" t="s">
        <v>1744</v>
      </c>
      <c r="O120" s="49">
        <v>0.57999999999999996</v>
      </c>
      <c r="P120" s="49">
        <v>1</v>
      </c>
    </row>
    <row r="121" spans="1:16" ht="15" customHeight="1" x14ac:dyDescent="0.3">
      <c r="A121" s="9">
        <v>111</v>
      </c>
      <c r="B121" s="46" t="s">
        <v>205</v>
      </c>
      <c r="C121" s="46" t="s">
        <v>1738</v>
      </c>
      <c r="D121" s="47" t="s">
        <v>291</v>
      </c>
      <c r="E121" s="46" t="s">
        <v>195</v>
      </c>
      <c r="F121" s="48" t="s">
        <v>195</v>
      </c>
      <c r="G121" s="48"/>
      <c r="H121" s="12">
        <f>MROUND('Rate Card'!$I$10*O121*P121,10)</f>
        <v>2260</v>
      </c>
      <c r="I121" s="12">
        <f>MROUND('Rate Card'!$K$10*O121*P121,10)</f>
        <v>1130</v>
      </c>
      <c r="J121" s="12">
        <f>MROUND(H121*4*'Rate Card'!$B$47,100)</f>
        <v>8600</v>
      </c>
      <c r="K121" s="12">
        <f>MROUND(I121*4*'Rate Card'!$B$47,100)</f>
        <v>4300</v>
      </c>
      <c r="L121" s="12">
        <f>MROUND(H121*120*'Rate Card'!$B$48,500)</f>
        <v>230500</v>
      </c>
      <c r="M121" s="12">
        <f>MROUND(I121*120*'Rate Card'!$B$48,500)</f>
        <v>115500</v>
      </c>
      <c r="N121" s="14" t="s">
        <v>1744</v>
      </c>
      <c r="O121" s="49">
        <v>0.57999999999999996</v>
      </c>
      <c r="P121" s="49">
        <v>1</v>
      </c>
    </row>
    <row r="122" spans="1:16" ht="15" customHeight="1" x14ac:dyDescent="0.3">
      <c r="A122" s="9">
        <v>112</v>
      </c>
      <c r="B122" s="46" t="s">
        <v>205</v>
      </c>
      <c r="C122" s="46" t="s">
        <v>1740</v>
      </c>
      <c r="D122" s="47" t="s">
        <v>256</v>
      </c>
      <c r="E122" s="46" t="s">
        <v>195</v>
      </c>
      <c r="F122" s="48" t="s">
        <v>195</v>
      </c>
      <c r="G122" s="48"/>
      <c r="H122" s="12">
        <f>MROUND('Rate Card'!$I$10*O122*P122,10)</f>
        <v>2260</v>
      </c>
      <c r="I122" s="12">
        <f>MROUND('Rate Card'!$K$10*O122*P122,10)</f>
        <v>1130</v>
      </c>
      <c r="J122" s="12">
        <f>MROUND(H122*4*'Rate Card'!$B$47,100)</f>
        <v>8600</v>
      </c>
      <c r="K122" s="12">
        <f>MROUND(I122*4*'Rate Card'!$B$47,100)</f>
        <v>4300</v>
      </c>
      <c r="L122" s="12">
        <f>MROUND(H122*120*'Rate Card'!$B$48,500)</f>
        <v>230500</v>
      </c>
      <c r="M122" s="12">
        <f>MROUND(I122*120*'Rate Card'!$B$48,500)</f>
        <v>115500</v>
      </c>
      <c r="N122" s="14" t="s">
        <v>1744</v>
      </c>
      <c r="O122" s="49">
        <v>0.57999999999999996</v>
      </c>
      <c r="P122" s="49">
        <v>1</v>
      </c>
    </row>
    <row r="123" spans="1:16" ht="15" customHeight="1" x14ac:dyDescent="0.3">
      <c r="A123" s="9">
        <v>113</v>
      </c>
      <c r="B123" s="46" t="s">
        <v>205</v>
      </c>
      <c r="C123" s="46" t="s">
        <v>1740</v>
      </c>
      <c r="D123" s="47" t="s">
        <v>257</v>
      </c>
      <c r="E123" s="46" t="s">
        <v>195</v>
      </c>
      <c r="F123" s="48" t="s">
        <v>195</v>
      </c>
      <c r="G123" s="48"/>
      <c r="H123" s="12">
        <f>MROUND('Rate Card'!$I$10*O123*P123,10)</f>
        <v>2260</v>
      </c>
      <c r="I123" s="12">
        <f>MROUND('Rate Card'!$K$10*O123*P123,10)</f>
        <v>1130</v>
      </c>
      <c r="J123" s="12">
        <f>MROUND(H123*4*'Rate Card'!$B$47,100)</f>
        <v>8600</v>
      </c>
      <c r="K123" s="12">
        <f>MROUND(I123*4*'Rate Card'!$B$47,100)</f>
        <v>4300</v>
      </c>
      <c r="L123" s="12">
        <f>MROUND(H123*120*'Rate Card'!$B$48,500)</f>
        <v>230500</v>
      </c>
      <c r="M123" s="12">
        <f>MROUND(I123*120*'Rate Card'!$B$48,500)</f>
        <v>115500</v>
      </c>
      <c r="N123" s="14" t="s">
        <v>1744</v>
      </c>
      <c r="O123" s="49">
        <v>0.57999999999999996</v>
      </c>
      <c r="P123" s="49">
        <v>1</v>
      </c>
    </row>
    <row r="124" spans="1:16" ht="15" customHeight="1" x14ac:dyDescent="0.3">
      <c r="A124" s="9">
        <v>114</v>
      </c>
      <c r="B124" s="46" t="s">
        <v>205</v>
      </c>
      <c r="C124" s="46" t="s">
        <v>1740</v>
      </c>
      <c r="D124" s="47" t="s">
        <v>258</v>
      </c>
      <c r="E124" s="46" t="s">
        <v>195</v>
      </c>
      <c r="F124" s="48" t="s">
        <v>195</v>
      </c>
      <c r="G124" s="48"/>
      <c r="H124" s="12">
        <f>MROUND('Rate Card'!$I$10*O124*P124,10)</f>
        <v>2260</v>
      </c>
      <c r="I124" s="12">
        <f>MROUND('Rate Card'!$K$10*O124*P124,10)</f>
        <v>1130</v>
      </c>
      <c r="J124" s="12">
        <f>MROUND(H124*4*'Rate Card'!$B$47,100)</f>
        <v>8600</v>
      </c>
      <c r="K124" s="12">
        <f>MROUND(I124*4*'Rate Card'!$B$47,100)</f>
        <v>4300</v>
      </c>
      <c r="L124" s="12">
        <f>MROUND(H124*120*'Rate Card'!$B$48,500)</f>
        <v>230500</v>
      </c>
      <c r="M124" s="12">
        <f>MROUND(I124*120*'Rate Card'!$B$48,500)</f>
        <v>115500</v>
      </c>
      <c r="N124" s="14" t="s">
        <v>1744</v>
      </c>
      <c r="O124" s="49">
        <v>0.57999999999999996</v>
      </c>
      <c r="P124" s="49">
        <v>1</v>
      </c>
    </row>
    <row r="125" spans="1:16" ht="15" customHeight="1" x14ac:dyDescent="0.3">
      <c r="A125" s="9">
        <v>115</v>
      </c>
      <c r="B125" s="46" t="s">
        <v>205</v>
      </c>
      <c r="C125" s="46" t="s">
        <v>1740</v>
      </c>
      <c r="D125" s="47" t="s">
        <v>259</v>
      </c>
      <c r="E125" s="46" t="s">
        <v>195</v>
      </c>
      <c r="F125" s="48" t="s">
        <v>195</v>
      </c>
      <c r="G125" s="48"/>
      <c r="H125" s="12">
        <f>MROUND('Rate Card'!$I$10*O125*P125,10)</f>
        <v>2260</v>
      </c>
      <c r="I125" s="12">
        <f>MROUND('Rate Card'!$K$10*O125*P125,10)</f>
        <v>1130</v>
      </c>
      <c r="J125" s="12">
        <f>MROUND(H125*4*'Rate Card'!$B$47,100)</f>
        <v>8600</v>
      </c>
      <c r="K125" s="12">
        <f>MROUND(I125*4*'Rate Card'!$B$47,100)</f>
        <v>4300</v>
      </c>
      <c r="L125" s="12">
        <f>MROUND(H125*120*'Rate Card'!$B$48,500)</f>
        <v>230500</v>
      </c>
      <c r="M125" s="12">
        <f>MROUND(I125*120*'Rate Card'!$B$48,500)</f>
        <v>115500</v>
      </c>
      <c r="N125" s="14" t="s">
        <v>1744</v>
      </c>
      <c r="O125" s="49">
        <v>0.57999999999999996</v>
      </c>
      <c r="P125" s="49">
        <v>1</v>
      </c>
    </row>
    <row r="126" spans="1:16" ht="15" customHeight="1" x14ac:dyDescent="0.3">
      <c r="A126" s="9">
        <v>116</v>
      </c>
      <c r="B126" s="46" t="s">
        <v>205</v>
      </c>
      <c r="C126" s="46" t="s">
        <v>1740</v>
      </c>
      <c r="D126" s="47" t="s">
        <v>260</v>
      </c>
      <c r="E126" s="46" t="s">
        <v>195</v>
      </c>
      <c r="F126" s="48" t="s">
        <v>195</v>
      </c>
      <c r="G126" s="48"/>
      <c r="H126" s="12">
        <f>MROUND('Rate Card'!$I$10*O126*P126,10)</f>
        <v>2260</v>
      </c>
      <c r="I126" s="12">
        <f>MROUND('Rate Card'!$K$10*O126*P126,10)</f>
        <v>1130</v>
      </c>
      <c r="J126" s="12">
        <f>MROUND(H126*4*'Rate Card'!$B$47,100)</f>
        <v>8600</v>
      </c>
      <c r="K126" s="12">
        <f>MROUND(I126*4*'Rate Card'!$B$47,100)</f>
        <v>4300</v>
      </c>
      <c r="L126" s="12">
        <f>MROUND(H126*120*'Rate Card'!$B$48,500)</f>
        <v>230500</v>
      </c>
      <c r="M126" s="12">
        <f>MROUND(I126*120*'Rate Card'!$B$48,500)</f>
        <v>115500</v>
      </c>
      <c r="N126" s="14" t="s">
        <v>1744</v>
      </c>
      <c r="O126" s="49">
        <v>0.57999999999999996</v>
      </c>
      <c r="P126" s="49">
        <v>1</v>
      </c>
    </row>
    <row r="127" spans="1:16" ht="15" customHeight="1" x14ac:dyDescent="0.3">
      <c r="A127" s="9">
        <v>117</v>
      </c>
      <c r="B127" s="46" t="s">
        <v>205</v>
      </c>
      <c r="C127" s="46" t="s">
        <v>1738</v>
      </c>
      <c r="D127" s="47" t="s">
        <v>293</v>
      </c>
      <c r="E127" s="46" t="s">
        <v>195</v>
      </c>
      <c r="F127" s="48" t="s">
        <v>195</v>
      </c>
      <c r="G127" s="48"/>
      <c r="H127" s="12">
        <f>MROUND('Rate Card'!$I$10*O127*P127,10)</f>
        <v>2260</v>
      </c>
      <c r="I127" s="12">
        <f>MROUND('Rate Card'!$K$10*O127*P127,10)</f>
        <v>1130</v>
      </c>
      <c r="J127" s="12">
        <f>MROUND(H127*4*'Rate Card'!$B$47,100)</f>
        <v>8600</v>
      </c>
      <c r="K127" s="12">
        <f>MROUND(I127*4*'Rate Card'!$B$47,100)</f>
        <v>4300</v>
      </c>
      <c r="L127" s="12">
        <f>MROUND(H127*120*'Rate Card'!$B$48,500)</f>
        <v>230500</v>
      </c>
      <c r="M127" s="12">
        <f>MROUND(I127*120*'Rate Card'!$B$48,500)</f>
        <v>115500</v>
      </c>
      <c r="N127" s="14" t="s">
        <v>1744</v>
      </c>
      <c r="O127" s="49">
        <v>0.57999999999999996</v>
      </c>
      <c r="P127" s="49">
        <v>1</v>
      </c>
    </row>
    <row r="128" spans="1:16" ht="15" customHeight="1" x14ac:dyDescent="0.3">
      <c r="A128" s="9">
        <v>118</v>
      </c>
      <c r="B128" s="46" t="s">
        <v>205</v>
      </c>
      <c r="C128" s="46" t="s">
        <v>1740</v>
      </c>
      <c r="D128" s="47" t="s">
        <v>261</v>
      </c>
      <c r="E128" s="46" t="s">
        <v>195</v>
      </c>
      <c r="F128" s="48" t="s">
        <v>195</v>
      </c>
      <c r="G128" s="48"/>
      <c r="H128" s="12">
        <f>MROUND('Rate Card'!$I$10*O128*P128,10)</f>
        <v>2260</v>
      </c>
      <c r="I128" s="12">
        <f>MROUND('Rate Card'!$K$10*O128*P128,10)</f>
        <v>1130</v>
      </c>
      <c r="J128" s="12">
        <f>MROUND(H128*4*'Rate Card'!$B$47,100)</f>
        <v>8600</v>
      </c>
      <c r="K128" s="12">
        <f>MROUND(I128*4*'Rate Card'!$B$47,100)</f>
        <v>4300</v>
      </c>
      <c r="L128" s="12">
        <f>MROUND(H128*120*'Rate Card'!$B$48,500)</f>
        <v>230500</v>
      </c>
      <c r="M128" s="12">
        <f>MROUND(I128*120*'Rate Card'!$B$48,500)</f>
        <v>115500</v>
      </c>
      <c r="N128" s="14" t="s">
        <v>1744</v>
      </c>
      <c r="O128" s="49">
        <v>0.57999999999999996</v>
      </c>
      <c r="P128" s="49">
        <v>1</v>
      </c>
    </row>
    <row r="129" spans="1:16" ht="15" customHeight="1" x14ac:dyDescent="0.3">
      <c r="A129" s="9">
        <v>119</v>
      </c>
      <c r="B129" s="46" t="s">
        <v>205</v>
      </c>
      <c r="C129" s="46" t="s">
        <v>1740</v>
      </c>
      <c r="D129" s="47" t="s">
        <v>262</v>
      </c>
      <c r="E129" s="46" t="s">
        <v>195</v>
      </c>
      <c r="F129" s="48" t="s">
        <v>195</v>
      </c>
      <c r="G129" s="48"/>
      <c r="H129" s="12">
        <f>MROUND('Rate Card'!$I$10*O129*P129,10)</f>
        <v>2260</v>
      </c>
      <c r="I129" s="12">
        <f>MROUND('Rate Card'!$K$10*O129*P129,10)</f>
        <v>1130</v>
      </c>
      <c r="J129" s="12">
        <f>MROUND(H129*4*'Rate Card'!$B$47,100)</f>
        <v>8600</v>
      </c>
      <c r="K129" s="12">
        <f>MROUND(I129*4*'Rate Card'!$B$47,100)</f>
        <v>4300</v>
      </c>
      <c r="L129" s="12">
        <f>MROUND(H129*120*'Rate Card'!$B$48,500)</f>
        <v>230500</v>
      </c>
      <c r="M129" s="12">
        <f>MROUND(I129*120*'Rate Card'!$B$48,500)</f>
        <v>115500</v>
      </c>
      <c r="N129" s="14" t="s">
        <v>1744</v>
      </c>
      <c r="O129" s="49">
        <v>0.57999999999999996</v>
      </c>
      <c r="P129" s="49">
        <v>1</v>
      </c>
    </row>
    <row r="130" spans="1:16" ht="15" customHeight="1" x14ac:dyDescent="0.3">
      <c r="A130" s="9">
        <v>120</v>
      </c>
      <c r="B130" s="46" t="s">
        <v>205</v>
      </c>
      <c r="C130" s="46" t="s">
        <v>1740</v>
      </c>
      <c r="D130" s="47" t="s">
        <v>263</v>
      </c>
      <c r="E130" s="46" t="s">
        <v>195</v>
      </c>
      <c r="F130" s="48" t="s">
        <v>195</v>
      </c>
      <c r="G130" s="48"/>
      <c r="H130" s="12">
        <f>MROUND('Rate Card'!$I$10*O130*P130,10)</f>
        <v>2260</v>
      </c>
      <c r="I130" s="12">
        <f>MROUND('Rate Card'!$K$10*O130*P130,10)</f>
        <v>1130</v>
      </c>
      <c r="J130" s="12">
        <f>MROUND(H130*4*'Rate Card'!$B$47,100)</f>
        <v>8600</v>
      </c>
      <c r="K130" s="12">
        <f>MROUND(I130*4*'Rate Card'!$B$47,100)</f>
        <v>4300</v>
      </c>
      <c r="L130" s="12">
        <f>MROUND(H130*120*'Rate Card'!$B$48,500)</f>
        <v>230500</v>
      </c>
      <c r="M130" s="12">
        <f>MROUND(I130*120*'Rate Card'!$B$48,500)</f>
        <v>115500</v>
      </c>
      <c r="N130" s="14" t="s">
        <v>1744</v>
      </c>
      <c r="O130" s="49">
        <v>0.57999999999999996</v>
      </c>
      <c r="P130" s="49">
        <v>1</v>
      </c>
    </row>
    <row r="131" spans="1:16" ht="15" customHeight="1" x14ac:dyDescent="0.3">
      <c r="A131" s="9">
        <v>121</v>
      </c>
      <c r="B131" s="46" t="s">
        <v>205</v>
      </c>
      <c r="C131" s="46" t="s">
        <v>1740</v>
      </c>
      <c r="D131" s="47" t="s">
        <v>264</v>
      </c>
      <c r="E131" s="46" t="s">
        <v>195</v>
      </c>
      <c r="F131" s="48" t="s">
        <v>195</v>
      </c>
      <c r="G131" s="48"/>
      <c r="H131" s="12">
        <f>MROUND('Rate Card'!$I$10*O131*P131,10)</f>
        <v>2260</v>
      </c>
      <c r="I131" s="12">
        <f>MROUND('Rate Card'!$K$10*O131*P131,10)</f>
        <v>1130</v>
      </c>
      <c r="J131" s="12">
        <f>MROUND(H131*4*'Rate Card'!$B$47,100)</f>
        <v>8600</v>
      </c>
      <c r="K131" s="12">
        <f>MROUND(I131*4*'Rate Card'!$B$47,100)</f>
        <v>4300</v>
      </c>
      <c r="L131" s="12">
        <f>MROUND(H131*120*'Rate Card'!$B$48,500)</f>
        <v>230500</v>
      </c>
      <c r="M131" s="12">
        <f>MROUND(I131*120*'Rate Card'!$B$48,500)</f>
        <v>115500</v>
      </c>
      <c r="N131" s="14" t="s">
        <v>1744</v>
      </c>
      <c r="O131" s="49">
        <v>0.57999999999999996</v>
      </c>
      <c r="P131" s="49">
        <v>1</v>
      </c>
    </row>
    <row r="132" spans="1:16" ht="15" customHeight="1" x14ac:dyDescent="0.3">
      <c r="A132" s="9">
        <v>122</v>
      </c>
      <c r="B132" s="46" t="s">
        <v>205</v>
      </c>
      <c r="C132" s="46" t="s">
        <v>1740</v>
      </c>
      <c r="D132" s="47" t="s">
        <v>265</v>
      </c>
      <c r="E132" s="46" t="s">
        <v>195</v>
      </c>
      <c r="F132" s="48" t="s">
        <v>195</v>
      </c>
      <c r="G132" s="48"/>
      <c r="H132" s="12">
        <f>MROUND('Rate Card'!$I$10*O132*P132,10)</f>
        <v>2260</v>
      </c>
      <c r="I132" s="12">
        <f>MROUND('Rate Card'!$K$10*O132*P132,10)</f>
        <v>1130</v>
      </c>
      <c r="J132" s="12">
        <f>MROUND(H132*4*'Rate Card'!$B$47,100)</f>
        <v>8600</v>
      </c>
      <c r="K132" s="12">
        <f>MROUND(I132*4*'Rate Card'!$B$47,100)</f>
        <v>4300</v>
      </c>
      <c r="L132" s="12">
        <f>MROUND(H132*120*'Rate Card'!$B$48,500)</f>
        <v>230500</v>
      </c>
      <c r="M132" s="12">
        <f>MROUND(I132*120*'Rate Card'!$B$48,500)</f>
        <v>115500</v>
      </c>
      <c r="N132" s="14" t="s">
        <v>1744</v>
      </c>
      <c r="O132" s="49">
        <v>0.57999999999999996</v>
      </c>
      <c r="P132" s="49">
        <v>1</v>
      </c>
    </row>
    <row r="133" spans="1:16" ht="15" customHeight="1" x14ac:dyDescent="0.3">
      <c r="A133" s="9">
        <v>123</v>
      </c>
      <c r="B133" s="46" t="s">
        <v>205</v>
      </c>
      <c r="C133" s="46" t="s">
        <v>1740</v>
      </c>
      <c r="D133" s="47" t="s">
        <v>266</v>
      </c>
      <c r="E133" s="46" t="s">
        <v>195</v>
      </c>
      <c r="F133" s="48" t="s">
        <v>195</v>
      </c>
      <c r="G133" s="48"/>
      <c r="H133" s="12">
        <f>MROUND('Rate Card'!$I$10*O133*P133,10)</f>
        <v>2260</v>
      </c>
      <c r="I133" s="12">
        <f>MROUND('Rate Card'!$K$10*O133*P133,10)</f>
        <v>1130</v>
      </c>
      <c r="J133" s="12">
        <f>MROUND(H133*4*'Rate Card'!$B$47,100)</f>
        <v>8600</v>
      </c>
      <c r="K133" s="12">
        <f>MROUND(I133*4*'Rate Card'!$B$47,100)</f>
        <v>4300</v>
      </c>
      <c r="L133" s="12">
        <f>MROUND(H133*120*'Rate Card'!$B$48,500)</f>
        <v>230500</v>
      </c>
      <c r="M133" s="12">
        <f>MROUND(I133*120*'Rate Card'!$B$48,500)</f>
        <v>115500</v>
      </c>
      <c r="N133" s="14" t="s">
        <v>1744</v>
      </c>
      <c r="O133" s="49">
        <v>0.57999999999999996</v>
      </c>
      <c r="P133" s="49">
        <v>1</v>
      </c>
    </row>
    <row r="134" spans="1:16" ht="15" customHeight="1" x14ac:dyDescent="0.3">
      <c r="A134" s="9">
        <v>124</v>
      </c>
      <c r="B134" s="46" t="s">
        <v>205</v>
      </c>
      <c r="C134" s="46" t="s">
        <v>1740</v>
      </c>
      <c r="D134" s="47" t="s">
        <v>267</v>
      </c>
      <c r="E134" s="46" t="s">
        <v>195</v>
      </c>
      <c r="F134" s="48" t="s">
        <v>195</v>
      </c>
      <c r="G134" s="48"/>
      <c r="H134" s="12">
        <f>MROUND('Rate Card'!$I$10*O134*P134,10)</f>
        <v>2260</v>
      </c>
      <c r="I134" s="12">
        <f>MROUND('Rate Card'!$K$10*O134*P134,10)</f>
        <v>1130</v>
      </c>
      <c r="J134" s="12">
        <f>MROUND(H134*4*'Rate Card'!$B$47,100)</f>
        <v>8600</v>
      </c>
      <c r="K134" s="12">
        <f>MROUND(I134*4*'Rate Card'!$B$47,100)</f>
        <v>4300</v>
      </c>
      <c r="L134" s="12">
        <f>MROUND(H134*120*'Rate Card'!$B$48,500)</f>
        <v>230500</v>
      </c>
      <c r="M134" s="12">
        <f>MROUND(I134*120*'Rate Card'!$B$48,500)</f>
        <v>115500</v>
      </c>
      <c r="N134" s="14" t="s">
        <v>1744</v>
      </c>
      <c r="O134" s="49">
        <v>0.57999999999999996</v>
      </c>
      <c r="P134" s="49">
        <v>1</v>
      </c>
    </row>
    <row r="135" spans="1:16" ht="15" customHeight="1" x14ac:dyDescent="0.3">
      <c r="A135" s="9">
        <v>125</v>
      </c>
      <c r="B135" s="46" t="s">
        <v>205</v>
      </c>
      <c r="C135" s="46" t="s">
        <v>1740</v>
      </c>
      <c r="D135" s="47" t="s">
        <v>268</v>
      </c>
      <c r="E135" s="46" t="s">
        <v>195</v>
      </c>
      <c r="F135" s="48" t="s">
        <v>195</v>
      </c>
      <c r="G135" s="48"/>
      <c r="H135" s="12">
        <f>MROUND('Rate Card'!$I$10*O135*P135,10)</f>
        <v>2260</v>
      </c>
      <c r="I135" s="12">
        <f>MROUND('Rate Card'!$K$10*O135*P135,10)</f>
        <v>1130</v>
      </c>
      <c r="J135" s="12">
        <f>MROUND(H135*4*'Rate Card'!$B$47,100)</f>
        <v>8600</v>
      </c>
      <c r="K135" s="12">
        <f>MROUND(I135*4*'Rate Card'!$B$47,100)</f>
        <v>4300</v>
      </c>
      <c r="L135" s="12">
        <f>MROUND(H135*120*'Rate Card'!$B$48,500)</f>
        <v>230500</v>
      </c>
      <c r="M135" s="12">
        <f>MROUND(I135*120*'Rate Card'!$B$48,500)</f>
        <v>115500</v>
      </c>
      <c r="N135" s="14" t="s">
        <v>1744</v>
      </c>
      <c r="O135" s="49">
        <v>0.57999999999999996</v>
      </c>
      <c r="P135" s="49">
        <v>1</v>
      </c>
    </row>
    <row r="136" spans="1:16" ht="15" customHeight="1" x14ac:dyDescent="0.3">
      <c r="A136" s="9">
        <v>126</v>
      </c>
      <c r="B136" s="46" t="s">
        <v>205</v>
      </c>
      <c r="C136" s="46" t="s">
        <v>1740</v>
      </c>
      <c r="D136" s="47" t="s">
        <v>269</v>
      </c>
      <c r="E136" s="46" t="s">
        <v>195</v>
      </c>
      <c r="F136" s="48" t="s">
        <v>195</v>
      </c>
      <c r="G136" s="48"/>
      <c r="H136" s="12">
        <f>MROUND('Rate Card'!$I$10*O136*P136,10)</f>
        <v>2260</v>
      </c>
      <c r="I136" s="12">
        <f>MROUND('Rate Card'!$K$10*O136*P136,10)</f>
        <v>1130</v>
      </c>
      <c r="J136" s="12">
        <f>MROUND(H136*4*'Rate Card'!$B$47,100)</f>
        <v>8600</v>
      </c>
      <c r="K136" s="12">
        <f>MROUND(I136*4*'Rate Card'!$B$47,100)</f>
        <v>4300</v>
      </c>
      <c r="L136" s="12">
        <f>MROUND(H136*120*'Rate Card'!$B$48,500)</f>
        <v>230500</v>
      </c>
      <c r="M136" s="12">
        <f>MROUND(I136*120*'Rate Card'!$B$48,500)</f>
        <v>115500</v>
      </c>
      <c r="N136" s="14" t="s">
        <v>1744</v>
      </c>
      <c r="O136" s="49">
        <v>0.57999999999999996</v>
      </c>
      <c r="P136" s="49">
        <v>1</v>
      </c>
    </row>
    <row r="137" spans="1:16" ht="15" customHeight="1" x14ac:dyDescent="0.3">
      <c r="A137" s="9">
        <v>127</v>
      </c>
      <c r="B137" s="46" t="s">
        <v>205</v>
      </c>
      <c r="C137" s="46" t="s">
        <v>1740</v>
      </c>
      <c r="D137" s="47" t="s">
        <v>270</v>
      </c>
      <c r="E137" s="46" t="s">
        <v>195</v>
      </c>
      <c r="F137" s="48" t="s">
        <v>195</v>
      </c>
      <c r="G137" s="48"/>
      <c r="H137" s="12">
        <f>MROUND('Rate Card'!$I$10*O137*P137,10)</f>
        <v>2260</v>
      </c>
      <c r="I137" s="12">
        <f>MROUND('Rate Card'!$K$10*O137*P137,10)</f>
        <v>1130</v>
      </c>
      <c r="J137" s="12">
        <f>MROUND(H137*4*'Rate Card'!$B$47,100)</f>
        <v>8600</v>
      </c>
      <c r="K137" s="12">
        <f>MROUND(I137*4*'Rate Card'!$B$47,100)</f>
        <v>4300</v>
      </c>
      <c r="L137" s="12">
        <f>MROUND(H137*120*'Rate Card'!$B$48,500)</f>
        <v>230500</v>
      </c>
      <c r="M137" s="12">
        <f>MROUND(I137*120*'Rate Card'!$B$48,500)</f>
        <v>115500</v>
      </c>
      <c r="N137" s="14" t="s">
        <v>1744</v>
      </c>
      <c r="O137" s="49">
        <v>0.57999999999999996</v>
      </c>
      <c r="P137" s="49">
        <v>1</v>
      </c>
    </row>
    <row r="138" spans="1:16" ht="15" customHeight="1" x14ac:dyDescent="0.3">
      <c r="A138" s="9">
        <v>128</v>
      </c>
      <c r="B138" s="46" t="s">
        <v>205</v>
      </c>
      <c r="C138" s="46" t="s">
        <v>1740</v>
      </c>
      <c r="D138" s="47" t="s">
        <v>271</v>
      </c>
      <c r="E138" s="46" t="s">
        <v>1760</v>
      </c>
      <c r="F138" s="48" t="s">
        <v>195</v>
      </c>
      <c r="G138" s="48"/>
      <c r="H138" s="12">
        <f>MROUND('Rate Card'!$I$10*O138*P138,10)</f>
        <v>2260</v>
      </c>
      <c r="I138" s="12">
        <f>MROUND('Rate Card'!$K$10*O138*P138,10)</f>
        <v>1130</v>
      </c>
      <c r="J138" s="12">
        <f>MROUND(H138*4*'Rate Card'!$B$47,100)</f>
        <v>8600</v>
      </c>
      <c r="K138" s="12">
        <f>MROUND(I138*4*'Rate Card'!$B$47,100)</f>
        <v>4300</v>
      </c>
      <c r="L138" s="12">
        <f>MROUND(H138*120*'Rate Card'!$B$48,500)</f>
        <v>230500</v>
      </c>
      <c r="M138" s="12">
        <f>MROUND(I138*120*'Rate Card'!$B$48,500)</f>
        <v>115500</v>
      </c>
      <c r="N138" s="14" t="s">
        <v>1744</v>
      </c>
      <c r="O138" s="49">
        <v>0.57999999999999996</v>
      </c>
      <c r="P138" s="49">
        <v>1</v>
      </c>
    </row>
    <row r="139" spans="1:16" ht="15" customHeight="1" x14ac:dyDescent="0.3">
      <c r="A139" s="9">
        <v>129</v>
      </c>
      <c r="B139" s="46" t="s">
        <v>205</v>
      </c>
      <c r="C139" s="46" t="s">
        <v>1740</v>
      </c>
      <c r="D139" s="47" t="s">
        <v>272</v>
      </c>
      <c r="E139" s="46" t="s">
        <v>1760</v>
      </c>
      <c r="F139" s="48" t="s">
        <v>195</v>
      </c>
      <c r="G139" s="48"/>
      <c r="H139" s="12">
        <f>MROUND('Rate Card'!$I$10*O139*P139,10)</f>
        <v>2260</v>
      </c>
      <c r="I139" s="12">
        <f>MROUND('Rate Card'!$K$10*O139*P139,10)</f>
        <v>1130</v>
      </c>
      <c r="J139" s="12">
        <f>MROUND(H139*4*'Rate Card'!$B$47,100)</f>
        <v>8600</v>
      </c>
      <c r="K139" s="12">
        <f>MROUND(I139*4*'Rate Card'!$B$47,100)</f>
        <v>4300</v>
      </c>
      <c r="L139" s="12">
        <f>MROUND(H139*120*'Rate Card'!$B$48,500)</f>
        <v>230500</v>
      </c>
      <c r="M139" s="12">
        <f>MROUND(I139*120*'Rate Card'!$B$48,500)</f>
        <v>115500</v>
      </c>
      <c r="N139" s="14" t="s">
        <v>1744</v>
      </c>
      <c r="O139" s="49">
        <v>0.57999999999999996</v>
      </c>
      <c r="P139" s="49">
        <v>1</v>
      </c>
    </row>
    <row r="140" spans="1:16" ht="15" customHeight="1" x14ac:dyDescent="0.3">
      <c r="A140" s="9">
        <v>130</v>
      </c>
      <c r="B140" s="46" t="s">
        <v>205</v>
      </c>
      <c r="C140" s="46" t="s">
        <v>1740</v>
      </c>
      <c r="D140" s="47" t="s">
        <v>273</v>
      </c>
      <c r="E140" s="46" t="s">
        <v>1760</v>
      </c>
      <c r="F140" s="48" t="s">
        <v>195</v>
      </c>
      <c r="G140" s="48"/>
      <c r="H140" s="12">
        <f>MROUND('Rate Card'!$I$10*O140*P140,10)</f>
        <v>2260</v>
      </c>
      <c r="I140" s="12">
        <f>MROUND('Rate Card'!$K$10*O140*P140,10)</f>
        <v>1130</v>
      </c>
      <c r="J140" s="12">
        <f>MROUND(H140*4*'Rate Card'!$B$47,100)</f>
        <v>8600</v>
      </c>
      <c r="K140" s="12">
        <f>MROUND(I140*4*'Rate Card'!$B$47,100)</f>
        <v>4300</v>
      </c>
      <c r="L140" s="12">
        <f>MROUND(H140*120*'Rate Card'!$B$48,500)</f>
        <v>230500</v>
      </c>
      <c r="M140" s="12">
        <f>MROUND(I140*120*'Rate Card'!$B$48,500)</f>
        <v>115500</v>
      </c>
      <c r="N140" s="14" t="s">
        <v>1744</v>
      </c>
      <c r="O140" s="49">
        <v>0.57999999999999996</v>
      </c>
      <c r="P140" s="49">
        <v>1</v>
      </c>
    </row>
    <row r="141" spans="1:16" ht="15" customHeight="1" x14ac:dyDescent="0.3">
      <c r="A141" s="9">
        <v>131</v>
      </c>
      <c r="B141" s="46" t="s">
        <v>205</v>
      </c>
      <c r="C141" s="46" t="s">
        <v>1740</v>
      </c>
      <c r="D141" s="47" t="s">
        <v>274</v>
      </c>
      <c r="E141" s="46" t="s">
        <v>1760</v>
      </c>
      <c r="F141" s="48" t="s">
        <v>195</v>
      </c>
      <c r="G141" s="48"/>
      <c r="H141" s="12">
        <f>MROUND('Rate Card'!$I$10*O141*P141,10)</f>
        <v>2260</v>
      </c>
      <c r="I141" s="12">
        <f>MROUND('Rate Card'!$K$10*O141*P141,10)</f>
        <v>1130</v>
      </c>
      <c r="J141" s="12">
        <f>MROUND(H141*4*'Rate Card'!$B$47,100)</f>
        <v>8600</v>
      </c>
      <c r="K141" s="12">
        <f>MROUND(I141*4*'Rate Card'!$B$47,100)</f>
        <v>4300</v>
      </c>
      <c r="L141" s="12">
        <f>MROUND(H141*120*'Rate Card'!$B$48,500)</f>
        <v>230500</v>
      </c>
      <c r="M141" s="12">
        <f>MROUND(I141*120*'Rate Card'!$B$48,500)</f>
        <v>115500</v>
      </c>
      <c r="N141" s="14" t="s">
        <v>1744</v>
      </c>
      <c r="O141" s="49">
        <v>0.57999999999999996</v>
      </c>
      <c r="P141" s="49">
        <v>1</v>
      </c>
    </row>
    <row r="142" spans="1:16" ht="15" customHeight="1" x14ac:dyDescent="0.3">
      <c r="A142" s="9">
        <v>132</v>
      </c>
      <c r="B142" s="46" t="s">
        <v>205</v>
      </c>
      <c r="C142" s="46" t="s">
        <v>1740</v>
      </c>
      <c r="D142" s="47" t="s">
        <v>275</v>
      </c>
      <c r="E142" s="46" t="s">
        <v>1760</v>
      </c>
      <c r="F142" s="48" t="s">
        <v>195</v>
      </c>
      <c r="G142" s="48"/>
      <c r="H142" s="12">
        <f>MROUND('Rate Card'!$I$10*O142*P142,10)</f>
        <v>2260</v>
      </c>
      <c r="I142" s="12">
        <f>MROUND('Rate Card'!$K$10*O142*P142,10)</f>
        <v>1130</v>
      </c>
      <c r="J142" s="12">
        <f>MROUND(H142*4*'Rate Card'!$B$47,100)</f>
        <v>8600</v>
      </c>
      <c r="K142" s="12">
        <f>MROUND(I142*4*'Rate Card'!$B$47,100)</f>
        <v>4300</v>
      </c>
      <c r="L142" s="12">
        <f>MROUND(H142*120*'Rate Card'!$B$48,500)</f>
        <v>230500</v>
      </c>
      <c r="M142" s="12">
        <f>MROUND(I142*120*'Rate Card'!$B$48,500)</f>
        <v>115500</v>
      </c>
      <c r="N142" s="14" t="s">
        <v>1744</v>
      </c>
      <c r="O142" s="49">
        <v>0.57999999999999996</v>
      </c>
      <c r="P142" s="49">
        <v>1</v>
      </c>
    </row>
    <row r="143" spans="1:16" ht="15" customHeight="1" x14ac:dyDescent="0.3">
      <c r="A143" s="9">
        <v>133</v>
      </c>
      <c r="B143" s="46" t="s">
        <v>205</v>
      </c>
      <c r="C143" s="46" t="s">
        <v>1740</v>
      </c>
      <c r="D143" s="47" t="s">
        <v>277</v>
      </c>
      <c r="E143" s="46" t="s">
        <v>1760</v>
      </c>
      <c r="F143" s="48" t="s">
        <v>195</v>
      </c>
      <c r="G143" s="48"/>
      <c r="H143" s="12">
        <f>MROUND('Rate Card'!$I$10*O143*P143,10)</f>
        <v>2260</v>
      </c>
      <c r="I143" s="12">
        <f>MROUND('Rate Card'!$K$10*O143*P143,10)</f>
        <v>1130</v>
      </c>
      <c r="J143" s="12">
        <f>MROUND(H143*4*'Rate Card'!$B$47,100)</f>
        <v>8600</v>
      </c>
      <c r="K143" s="12">
        <f>MROUND(I143*4*'Rate Card'!$B$47,100)</f>
        <v>4300</v>
      </c>
      <c r="L143" s="12">
        <f>MROUND(H143*120*'Rate Card'!$B$48,500)</f>
        <v>230500</v>
      </c>
      <c r="M143" s="12">
        <f>MROUND(I143*120*'Rate Card'!$B$48,500)</f>
        <v>115500</v>
      </c>
      <c r="N143" s="14" t="s">
        <v>1744</v>
      </c>
      <c r="O143" s="49">
        <v>0.57999999999999996</v>
      </c>
      <c r="P143" s="49">
        <v>1</v>
      </c>
    </row>
    <row r="144" spans="1:16" ht="15" customHeight="1" x14ac:dyDescent="0.3">
      <c r="A144" s="9">
        <v>134</v>
      </c>
      <c r="B144" s="46" t="s">
        <v>205</v>
      </c>
      <c r="C144" s="46" t="s">
        <v>1740</v>
      </c>
      <c r="D144" s="47" t="s">
        <v>278</v>
      </c>
      <c r="E144" s="46" t="s">
        <v>1760</v>
      </c>
      <c r="F144" s="48" t="s">
        <v>195</v>
      </c>
      <c r="G144" s="48"/>
      <c r="H144" s="12">
        <f>MROUND('Rate Card'!$I$10*O144*P144,10)</f>
        <v>2260</v>
      </c>
      <c r="I144" s="12">
        <f>MROUND('Rate Card'!$K$10*O144*P144,10)</f>
        <v>1130</v>
      </c>
      <c r="J144" s="12">
        <f>MROUND(H144*4*'Rate Card'!$B$47,100)</f>
        <v>8600</v>
      </c>
      <c r="K144" s="12">
        <f>MROUND(I144*4*'Rate Card'!$B$47,100)</f>
        <v>4300</v>
      </c>
      <c r="L144" s="12">
        <f>MROUND(H144*120*'Rate Card'!$B$48,500)</f>
        <v>230500</v>
      </c>
      <c r="M144" s="12">
        <f>MROUND(I144*120*'Rate Card'!$B$48,500)</f>
        <v>115500</v>
      </c>
      <c r="N144" s="14" t="s">
        <v>1744</v>
      </c>
      <c r="O144" s="49">
        <v>0.57999999999999996</v>
      </c>
      <c r="P144" s="49">
        <v>1</v>
      </c>
    </row>
    <row r="145" spans="1:16" ht="15" customHeight="1" x14ac:dyDescent="0.3">
      <c r="A145" s="9">
        <v>135</v>
      </c>
      <c r="B145" s="46" t="s">
        <v>205</v>
      </c>
      <c r="C145" s="46" t="s">
        <v>1740</v>
      </c>
      <c r="D145" s="47" t="s">
        <v>279</v>
      </c>
      <c r="E145" s="46" t="s">
        <v>1760</v>
      </c>
      <c r="F145" s="48" t="s">
        <v>195</v>
      </c>
      <c r="G145" s="48"/>
      <c r="H145" s="12">
        <f>MROUND('Rate Card'!$I$10*O145*P145,10)</f>
        <v>2260</v>
      </c>
      <c r="I145" s="12">
        <f>MROUND('Rate Card'!$K$10*O145*P145,10)</f>
        <v>1130</v>
      </c>
      <c r="J145" s="12">
        <f>MROUND(H145*4*'Rate Card'!$B$47,100)</f>
        <v>8600</v>
      </c>
      <c r="K145" s="12">
        <f>MROUND(I145*4*'Rate Card'!$B$47,100)</f>
        <v>4300</v>
      </c>
      <c r="L145" s="12">
        <f>MROUND(H145*120*'Rate Card'!$B$48,500)</f>
        <v>230500</v>
      </c>
      <c r="M145" s="12">
        <f>MROUND(I145*120*'Rate Card'!$B$48,500)</f>
        <v>115500</v>
      </c>
      <c r="N145" s="14" t="s">
        <v>1744</v>
      </c>
      <c r="O145" s="49">
        <v>0.57999999999999996</v>
      </c>
      <c r="P145" s="49">
        <v>1</v>
      </c>
    </row>
    <row r="146" spans="1:16" ht="15" customHeight="1" x14ac:dyDescent="0.3">
      <c r="A146" s="9">
        <v>136</v>
      </c>
      <c r="B146" s="46" t="s">
        <v>205</v>
      </c>
      <c r="C146" s="46" t="s">
        <v>1740</v>
      </c>
      <c r="D146" s="47" t="s">
        <v>280</v>
      </c>
      <c r="E146" s="46" t="s">
        <v>1760</v>
      </c>
      <c r="F146" s="48" t="s">
        <v>195</v>
      </c>
      <c r="G146" s="48"/>
      <c r="H146" s="12">
        <f>MROUND('Rate Card'!$I$10*O146*P146,10)</f>
        <v>2260</v>
      </c>
      <c r="I146" s="12">
        <f>MROUND('Rate Card'!$K$10*O146*P146,10)</f>
        <v>1130</v>
      </c>
      <c r="J146" s="12">
        <f>MROUND(H146*4*'Rate Card'!$B$47,100)</f>
        <v>8600</v>
      </c>
      <c r="K146" s="12">
        <f>MROUND(I146*4*'Rate Card'!$B$47,100)</f>
        <v>4300</v>
      </c>
      <c r="L146" s="12">
        <f>MROUND(H146*120*'Rate Card'!$B$48,500)</f>
        <v>230500</v>
      </c>
      <c r="M146" s="12">
        <f>MROUND(I146*120*'Rate Card'!$B$48,500)</f>
        <v>115500</v>
      </c>
      <c r="N146" s="14" t="s">
        <v>1744</v>
      </c>
      <c r="O146" s="49">
        <v>0.57999999999999996</v>
      </c>
      <c r="P146" s="49">
        <v>1</v>
      </c>
    </row>
    <row r="147" spans="1:16" ht="15" customHeight="1" x14ac:dyDescent="0.3">
      <c r="A147" s="9">
        <v>137</v>
      </c>
      <c r="B147" s="46" t="s">
        <v>205</v>
      </c>
      <c r="C147" s="46" t="s">
        <v>1740</v>
      </c>
      <c r="D147" s="47" t="s">
        <v>281</v>
      </c>
      <c r="E147" s="46" t="s">
        <v>1760</v>
      </c>
      <c r="F147" s="48" t="s">
        <v>195</v>
      </c>
      <c r="G147" s="48"/>
      <c r="H147" s="12">
        <f>MROUND('Rate Card'!$I$10*O147*P147,10)</f>
        <v>2260</v>
      </c>
      <c r="I147" s="12">
        <f>MROUND('Rate Card'!$K$10*O147*P147,10)</f>
        <v>1130</v>
      </c>
      <c r="J147" s="12">
        <f>MROUND(H147*4*'Rate Card'!$B$47,100)</f>
        <v>8600</v>
      </c>
      <c r="K147" s="12">
        <f>MROUND(I147*4*'Rate Card'!$B$47,100)</f>
        <v>4300</v>
      </c>
      <c r="L147" s="12">
        <f>MROUND(H147*120*'Rate Card'!$B$48,500)</f>
        <v>230500</v>
      </c>
      <c r="M147" s="12">
        <f>MROUND(I147*120*'Rate Card'!$B$48,500)</f>
        <v>115500</v>
      </c>
      <c r="N147" s="14" t="s">
        <v>1744</v>
      </c>
      <c r="O147" s="49">
        <v>0.57999999999999996</v>
      </c>
      <c r="P147" s="49">
        <v>1</v>
      </c>
    </row>
    <row r="148" spans="1:16" ht="15" customHeight="1" x14ac:dyDescent="0.3">
      <c r="A148" s="9">
        <v>138</v>
      </c>
      <c r="B148" s="46" t="s">
        <v>205</v>
      </c>
      <c r="C148" s="46" t="s">
        <v>1740</v>
      </c>
      <c r="D148" s="47" t="s">
        <v>282</v>
      </c>
      <c r="E148" s="46" t="s">
        <v>1760</v>
      </c>
      <c r="F148" s="48" t="s">
        <v>195</v>
      </c>
      <c r="G148" s="48"/>
      <c r="H148" s="12">
        <f>MROUND('Rate Card'!$I$10*O148*P148,10)</f>
        <v>2260</v>
      </c>
      <c r="I148" s="12">
        <f>MROUND('Rate Card'!$K$10*O148*P148,10)</f>
        <v>1130</v>
      </c>
      <c r="J148" s="12">
        <f>MROUND(H148*4*'Rate Card'!$B$47,100)</f>
        <v>8600</v>
      </c>
      <c r="K148" s="12">
        <f>MROUND(I148*4*'Rate Card'!$B$47,100)</f>
        <v>4300</v>
      </c>
      <c r="L148" s="12">
        <f>MROUND(H148*120*'Rate Card'!$B$48,500)</f>
        <v>230500</v>
      </c>
      <c r="M148" s="12">
        <f>MROUND(I148*120*'Rate Card'!$B$48,500)</f>
        <v>115500</v>
      </c>
      <c r="N148" s="14" t="s">
        <v>1744</v>
      </c>
      <c r="O148" s="49">
        <v>0.57999999999999996</v>
      </c>
      <c r="P148" s="49">
        <v>1</v>
      </c>
    </row>
    <row r="149" spans="1:16" ht="15" customHeight="1" x14ac:dyDescent="0.3">
      <c r="A149" s="9">
        <v>139</v>
      </c>
      <c r="B149" s="46" t="s">
        <v>205</v>
      </c>
      <c r="C149" s="46" t="s">
        <v>1759</v>
      </c>
      <c r="D149" s="47" t="s">
        <v>283</v>
      </c>
      <c r="E149" s="46" t="s">
        <v>195</v>
      </c>
      <c r="F149" s="48" t="s">
        <v>195</v>
      </c>
      <c r="G149" s="48"/>
      <c r="H149" s="12">
        <f>MROUND('Rate Card'!$I$10*O149*P149,10)</f>
        <v>2260</v>
      </c>
      <c r="I149" s="12">
        <f>MROUND('Rate Card'!$K$10*O149*P149,10)</f>
        <v>1130</v>
      </c>
      <c r="J149" s="12">
        <f>MROUND(H149*4*'Rate Card'!$B$47,100)</f>
        <v>8600</v>
      </c>
      <c r="K149" s="12">
        <f>MROUND(I149*4*'Rate Card'!$B$47,100)</f>
        <v>4300</v>
      </c>
      <c r="L149" s="12">
        <f>MROUND(H149*120*'Rate Card'!$B$48,500)</f>
        <v>230500</v>
      </c>
      <c r="M149" s="12">
        <f>MROUND(I149*120*'Rate Card'!$B$48,500)</f>
        <v>115500</v>
      </c>
      <c r="N149" s="14" t="s">
        <v>1744</v>
      </c>
      <c r="O149" s="49">
        <v>0.57999999999999996</v>
      </c>
      <c r="P149" s="49">
        <v>1</v>
      </c>
    </row>
    <row r="150" spans="1:16" ht="15" customHeight="1" x14ac:dyDescent="0.3">
      <c r="A150" s="9">
        <v>140</v>
      </c>
      <c r="B150" s="46" t="s">
        <v>205</v>
      </c>
      <c r="C150" s="46" t="s">
        <v>1708</v>
      </c>
      <c r="D150" s="47" t="s">
        <v>290</v>
      </c>
      <c r="E150" s="46" t="s">
        <v>1761</v>
      </c>
      <c r="F150" s="48" t="s">
        <v>195</v>
      </c>
      <c r="G150" s="48"/>
      <c r="H150" s="12">
        <f>MROUND('Rate Card'!$I$10*O150*P150,10)</f>
        <v>2260</v>
      </c>
      <c r="I150" s="12">
        <f>MROUND('Rate Card'!$K$10*O150*P150,10)</f>
        <v>1130</v>
      </c>
      <c r="J150" s="12">
        <f>MROUND(H150*4*'Rate Card'!$B$47,100)</f>
        <v>8600</v>
      </c>
      <c r="K150" s="12">
        <f>MROUND(I150*4*'Rate Card'!$B$47,100)</f>
        <v>4300</v>
      </c>
      <c r="L150" s="12">
        <f>MROUND(H150*120*'Rate Card'!$B$48,500)</f>
        <v>230500</v>
      </c>
      <c r="M150" s="12">
        <f>MROUND(I150*120*'Rate Card'!$B$48,500)</f>
        <v>115500</v>
      </c>
      <c r="N150" s="14" t="s">
        <v>1744</v>
      </c>
      <c r="O150" s="49">
        <v>0.57999999999999996</v>
      </c>
      <c r="P150" s="49">
        <v>1</v>
      </c>
    </row>
    <row r="151" spans="1:16" ht="15" customHeight="1" x14ac:dyDescent="0.3">
      <c r="A151" s="9">
        <v>141</v>
      </c>
      <c r="B151" s="46" t="s">
        <v>205</v>
      </c>
      <c r="C151" s="46" t="s">
        <v>1738</v>
      </c>
      <c r="D151" s="47"/>
      <c r="E151" s="46" t="s">
        <v>1758</v>
      </c>
      <c r="F151" s="48" t="s">
        <v>195</v>
      </c>
      <c r="G151" s="48"/>
      <c r="H151" s="12">
        <f>MROUND('Rate Card'!$I$10*O151*P151,10)</f>
        <v>2260</v>
      </c>
      <c r="I151" s="12">
        <f>MROUND('Rate Card'!$K$10*O151*P151,10)</f>
        <v>1130</v>
      </c>
      <c r="J151" s="12">
        <f>MROUND(H151*4*'Rate Card'!$B$47,100)</f>
        <v>8600</v>
      </c>
      <c r="K151" s="12">
        <f>MROUND(I151*4*'Rate Card'!$B$47,100)</f>
        <v>4300</v>
      </c>
      <c r="L151" s="12">
        <f>MROUND(H151*120*'Rate Card'!$B$48,500)</f>
        <v>230500</v>
      </c>
      <c r="M151" s="12">
        <f>MROUND(I151*120*'Rate Card'!$B$48,500)</f>
        <v>115500</v>
      </c>
      <c r="N151" s="14" t="s">
        <v>1744</v>
      </c>
      <c r="O151" s="49">
        <v>0.57999999999999996</v>
      </c>
      <c r="P151" s="49">
        <v>1</v>
      </c>
    </row>
    <row r="152" spans="1:16" ht="15" customHeight="1" x14ac:dyDescent="0.3">
      <c r="A152" s="9">
        <v>142</v>
      </c>
      <c r="B152" s="46" t="s">
        <v>205</v>
      </c>
      <c r="C152" s="46" t="s">
        <v>1738</v>
      </c>
      <c r="D152" s="47" t="s">
        <v>284</v>
      </c>
      <c r="E152" s="46" t="s">
        <v>195</v>
      </c>
      <c r="F152" s="48" t="s">
        <v>195</v>
      </c>
      <c r="G152" s="48"/>
      <c r="H152" s="12">
        <f>MROUND('Rate Card'!$I$10*O152*P152,10)</f>
        <v>2260</v>
      </c>
      <c r="I152" s="12">
        <f>MROUND('Rate Card'!$K$10*O152*P152,10)</f>
        <v>1130</v>
      </c>
      <c r="J152" s="12">
        <f>MROUND(H152*4*'Rate Card'!$B$47,100)</f>
        <v>8600</v>
      </c>
      <c r="K152" s="12">
        <f>MROUND(I152*4*'Rate Card'!$B$47,100)</f>
        <v>4300</v>
      </c>
      <c r="L152" s="12">
        <f>MROUND(H152*120*'Rate Card'!$B$48,500)</f>
        <v>230500</v>
      </c>
      <c r="M152" s="12">
        <f>MROUND(I152*120*'Rate Card'!$B$48,500)</f>
        <v>115500</v>
      </c>
      <c r="N152" s="14" t="s">
        <v>1744</v>
      </c>
      <c r="O152" s="49">
        <v>0.57999999999999996</v>
      </c>
      <c r="P152" s="49">
        <v>1</v>
      </c>
    </row>
    <row r="153" spans="1:16" ht="15" customHeight="1" x14ac:dyDescent="0.3">
      <c r="A153" s="9">
        <v>143</v>
      </c>
      <c r="B153" s="46" t="s">
        <v>205</v>
      </c>
      <c r="C153" s="46" t="s">
        <v>1738</v>
      </c>
      <c r="D153" s="47" t="s">
        <v>295</v>
      </c>
      <c r="E153" s="46" t="s">
        <v>1762</v>
      </c>
      <c r="F153" s="48" t="s">
        <v>195</v>
      </c>
      <c r="G153" s="48"/>
      <c r="H153" s="12">
        <f>MROUND('Rate Card'!$I$10*O153*P153,10)</f>
        <v>2260</v>
      </c>
      <c r="I153" s="12">
        <f>MROUND('Rate Card'!$K$10*O153*P153,10)</f>
        <v>1130</v>
      </c>
      <c r="J153" s="12">
        <f>MROUND(H153*4*'Rate Card'!$B$47,100)</f>
        <v>8600</v>
      </c>
      <c r="K153" s="12">
        <f>MROUND(I153*4*'Rate Card'!$B$47,100)</f>
        <v>4300</v>
      </c>
      <c r="L153" s="12">
        <f>MROUND(H153*120*'Rate Card'!$B$48,500)</f>
        <v>230500</v>
      </c>
      <c r="M153" s="12">
        <f>MROUND(I153*120*'Rate Card'!$B$48,500)</f>
        <v>115500</v>
      </c>
      <c r="N153" s="14" t="s">
        <v>1744</v>
      </c>
      <c r="O153" s="49">
        <v>0.57999999999999996</v>
      </c>
      <c r="P153" s="49">
        <v>1</v>
      </c>
    </row>
    <row r="154" spans="1:16" ht="15" customHeight="1" x14ac:dyDescent="0.3">
      <c r="A154" s="199" t="s">
        <v>296</v>
      </c>
      <c r="B154" s="200"/>
      <c r="C154" s="200"/>
      <c r="D154" s="200"/>
      <c r="E154" s="200"/>
      <c r="F154" s="200"/>
      <c r="G154" s="200"/>
      <c r="H154" s="200"/>
      <c r="I154" s="200"/>
      <c r="J154" s="200"/>
      <c r="K154" s="200"/>
      <c r="L154" s="200"/>
      <c r="M154" s="200"/>
      <c r="N154" s="200"/>
    </row>
    <row r="155" spans="1:16" ht="15" customHeight="1" x14ac:dyDescent="0.3">
      <c r="A155" s="9">
        <v>144</v>
      </c>
      <c r="B155" s="46" t="s">
        <v>297</v>
      </c>
      <c r="C155" s="46" t="s">
        <v>1740</v>
      </c>
      <c r="D155" s="47" t="s">
        <v>298</v>
      </c>
      <c r="E155" s="46" t="s">
        <v>195</v>
      </c>
      <c r="F155" s="48" t="s">
        <v>66</v>
      </c>
      <c r="G155" s="48"/>
      <c r="H155" s="12">
        <f>MROUND('Rate Card'!$I$11*O155*P155,10)</f>
        <v>3240</v>
      </c>
      <c r="I155" s="12">
        <f>MROUND('Rate Card'!$K$11*O155*P155,10)</f>
        <v>1640</v>
      </c>
      <c r="J155" s="12">
        <f>MROUND(H155*4*'Rate Card'!$B$47,100)</f>
        <v>12300</v>
      </c>
      <c r="K155" s="12">
        <f>MROUND(I155*4*'Rate Card'!$B$47,100)</f>
        <v>6200</v>
      </c>
      <c r="L155" s="12">
        <f>MROUND(H155*120*'Rate Card'!$B$48,500)</f>
        <v>330500</v>
      </c>
      <c r="M155" s="12">
        <f>MROUND(I155*120*'Rate Card'!$B$48,500)</f>
        <v>167500</v>
      </c>
      <c r="N155" s="14"/>
      <c r="O155" s="49">
        <v>0.82</v>
      </c>
      <c r="P155" s="49">
        <v>1</v>
      </c>
    </row>
    <row r="156" spans="1:16" ht="15" customHeight="1" x14ac:dyDescent="0.3">
      <c r="A156" s="9">
        <v>145</v>
      </c>
      <c r="B156" s="46" t="s">
        <v>297</v>
      </c>
      <c r="C156" s="46" t="s">
        <v>1730</v>
      </c>
      <c r="D156" s="47" t="s">
        <v>300</v>
      </c>
      <c r="E156" s="46" t="s">
        <v>1763</v>
      </c>
      <c r="F156" s="48" t="s">
        <v>66</v>
      </c>
      <c r="G156" s="48"/>
      <c r="H156" s="12">
        <f>MROUND('Rate Card'!$I$11*O156*P156,10)</f>
        <v>3240</v>
      </c>
      <c r="I156" s="12">
        <f>MROUND('Rate Card'!$K$11*O156*P156,10)</f>
        <v>1640</v>
      </c>
      <c r="J156" s="12">
        <f>MROUND(H156*4*'Rate Card'!$B$47,100)</f>
        <v>12300</v>
      </c>
      <c r="K156" s="12">
        <f>MROUND(I156*4*'Rate Card'!$B$47,100)</f>
        <v>6200</v>
      </c>
      <c r="L156" s="12">
        <f>MROUND(H156*120*'Rate Card'!$B$48,500)</f>
        <v>330500</v>
      </c>
      <c r="M156" s="12">
        <f>MROUND(I156*120*'Rate Card'!$B$48,500)</f>
        <v>167500</v>
      </c>
      <c r="N156" s="14"/>
      <c r="O156" s="49">
        <v>0.82</v>
      </c>
      <c r="P156" s="49">
        <v>1</v>
      </c>
    </row>
    <row r="157" spans="1:16" ht="15" customHeight="1" x14ac:dyDescent="0.3">
      <c r="A157" s="9">
        <v>146</v>
      </c>
      <c r="B157" s="46" t="s">
        <v>297</v>
      </c>
      <c r="C157" s="46" t="s">
        <v>1730</v>
      </c>
      <c r="D157" s="47" t="s">
        <v>301</v>
      </c>
      <c r="E157" s="46" t="s">
        <v>1763</v>
      </c>
      <c r="F157" s="48" t="s">
        <v>66</v>
      </c>
      <c r="G157" s="48"/>
      <c r="H157" s="12">
        <f>MROUND('Rate Card'!$I$11*O157*P157,10)</f>
        <v>3240</v>
      </c>
      <c r="I157" s="12">
        <f>MROUND('Rate Card'!$K$11*O157*P157,10)</f>
        <v>1640</v>
      </c>
      <c r="J157" s="12">
        <f>MROUND(H157*4*'Rate Card'!$B$47,100)</f>
        <v>12300</v>
      </c>
      <c r="K157" s="12">
        <f>MROUND(I157*4*'Rate Card'!$B$47,100)</f>
        <v>6200</v>
      </c>
      <c r="L157" s="12">
        <f>MROUND(H157*120*'Rate Card'!$B$48,500)</f>
        <v>330500</v>
      </c>
      <c r="M157" s="12">
        <f>MROUND(I157*120*'Rate Card'!$B$48,500)</f>
        <v>167500</v>
      </c>
      <c r="N157" s="14"/>
      <c r="O157" s="49">
        <v>0.82</v>
      </c>
      <c r="P157" s="49">
        <v>1</v>
      </c>
    </row>
    <row r="158" spans="1:16" ht="15" customHeight="1" x14ac:dyDescent="0.3">
      <c r="A158" s="9">
        <v>147</v>
      </c>
      <c r="B158" s="46" t="s">
        <v>297</v>
      </c>
      <c r="C158" s="46" t="s">
        <v>1764</v>
      </c>
      <c r="D158" s="47" t="s">
        <v>303</v>
      </c>
      <c r="E158" s="46" t="s">
        <v>1765</v>
      </c>
      <c r="F158" s="48" t="s">
        <v>66</v>
      </c>
      <c r="G158" s="48"/>
      <c r="H158" s="12">
        <f>MROUND('Rate Card'!$I$11*O158*P158,10)</f>
        <v>3240</v>
      </c>
      <c r="I158" s="12">
        <f>MROUND('Rate Card'!$K$11*O158*P158,10)</f>
        <v>1640</v>
      </c>
      <c r="J158" s="12">
        <f>MROUND(H158*4*'Rate Card'!$B$47,100)</f>
        <v>12300</v>
      </c>
      <c r="K158" s="12">
        <f>MROUND(I158*4*'Rate Card'!$B$47,100)</f>
        <v>6200</v>
      </c>
      <c r="L158" s="12">
        <f>MROUND(H158*120*'Rate Card'!$B$48,500)</f>
        <v>330500</v>
      </c>
      <c r="M158" s="12">
        <f>MROUND(I158*120*'Rate Card'!$B$48,500)</f>
        <v>167500</v>
      </c>
      <c r="N158" s="14"/>
      <c r="O158" s="49">
        <v>0.82</v>
      </c>
      <c r="P158" s="49">
        <v>1</v>
      </c>
    </row>
    <row r="159" spans="1:16" ht="15" customHeight="1" x14ac:dyDescent="0.3">
      <c r="A159" s="9">
        <v>148</v>
      </c>
      <c r="B159" s="46" t="s">
        <v>297</v>
      </c>
      <c r="C159" s="46" t="s">
        <v>1766</v>
      </c>
      <c r="D159" s="47" t="s">
        <v>305</v>
      </c>
      <c r="E159" s="46" t="s">
        <v>1767</v>
      </c>
      <c r="F159" s="48" t="s">
        <v>66</v>
      </c>
      <c r="G159" s="48"/>
      <c r="H159" s="12">
        <f>MROUND('Rate Card'!$I$11*O159*P159,10)</f>
        <v>3240</v>
      </c>
      <c r="I159" s="12">
        <f>MROUND('Rate Card'!$K$11*O159*P159,10)</f>
        <v>1640</v>
      </c>
      <c r="J159" s="12">
        <f>MROUND(H159*4*'Rate Card'!$B$47,100)</f>
        <v>12300</v>
      </c>
      <c r="K159" s="12">
        <f>MROUND(I159*4*'Rate Card'!$B$47,100)</f>
        <v>6200</v>
      </c>
      <c r="L159" s="12">
        <f>MROUND(H159*120*'Rate Card'!$B$48,500)</f>
        <v>330500</v>
      </c>
      <c r="M159" s="12">
        <f>MROUND(I159*120*'Rate Card'!$B$48,500)</f>
        <v>167500</v>
      </c>
      <c r="N159" s="14"/>
      <c r="O159" s="49">
        <v>0.82</v>
      </c>
      <c r="P159" s="49">
        <v>1</v>
      </c>
    </row>
    <row r="160" spans="1:16" ht="15" customHeight="1" x14ac:dyDescent="0.3">
      <c r="A160" s="9">
        <v>149</v>
      </c>
      <c r="B160" s="46" t="s">
        <v>297</v>
      </c>
      <c r="C160" s="46" t="s">
        <v>1768</v>
      </c>
      <c r="D160" s="47" t="s">
        <v>307</v>
      </c>
      <c r="E160" s="46" t="s">
        <v>1769</v>
      </c>
      <c r="F160" s="48" t="s">
        <v>66</v>
      </c>
      <c r="G160" s="48"/>
      <c r="H160" s="12">
        <f>MROUND('Rate Card'!$I$11*O160*P160,10)</f>
        <v>3240</v>
      </c>
      <c r="I160" s="12">
        <f>MROUND('Rate Card'!$K$11*O160*P160,10)</f>
        <v>1640</v>
      </c>
      <c r="J160" s="12">
        <f>MROUND(H160*4*'Rate Card'!$B$47,100)</f>
        <v>12300</v>
      </c>
      <c r="K160" s="12">
        <f>MROUND(I160*4*'Rate Card'!$B$47,100)</f>
        <v>6200</v>
      </c>
      <c r="L160" s="12">
        <f>MROUND(H160*120*'Rate Card'!$B$48,500)</f>
        <v>330500</v>
      </c>
      <c r="M160" s="12">
        <f>MROUND(I160*120*'Rate Card'!$B$48,500)</f>
        <v>167500</v>
      </c>
      <c r="N160" s="14"/>
      <c r="O160" s="49">
        <v>0.82</v>
      </c>
      <c r="P160" s="49">
        <v>1</v>
      </c>
    </row>
    <row r="161" spans="1:16" ht="15" customHeight="1" x14ac:dyDescent="0.3">
      <c r="A161" s="9">
        <v>150</v>
      </c>
      <c r="B161" s="46" t="s">
        <v>297</v>
      </c>
      <c r="C161" s="46" t="s">
        <v>1738</v>
      </c>
      <c r="D161" s="47" t="s">
        <v>309</v>
      </c>
      <c r="E161" s="46" t="s">
        <v>1770</v>
      </c>
      <c r="F161" s="48" t="s">
        <v>66</v>
      </c>
      <c r="G161" s="48"/>
      <c r="H161" s="12">
        <f>MROUND('Rate Card'!$I$11*O161*P161,10)</f>
        <v>3240</v>
      </c>
      <c r="I161" s="12">
        <f>MROUND('Rate Card'!$K$11*O161*P161,10)</f>
        <v>1640</v>
      </c>
      <c r="J161" s="12">
        <f>MROUND(H161*4*'Rate Card'!$B$47,100)</f>
        <v>12300</v>
      </c>
      <c r="K161" s="12">
        <f>MROUND(I161*4*'Rate Card'!$B$47,100)</f>
        <v>6200</v>
      </c>
      <c r="L161" s="12">
        <f>MROUND(H161*120*'Rate Card'!$B$48,500)</f>
        <v>330500</v>
      </c>
      <c r="M161" s="12">
        <f>MROUND(I161*120*'Rate Card'!$B$48,500)</f>
        <v>167500</v>
      </c>
      <c r="N161" s="14"/>
      <c r="O161" s="49">
        <v>0.82</v>
      </c>
      <c r="P161" s="49">
        <v>1</v>
      </c>
    </row>
    <row r="162" spans="1:16" ht="15" customHeight="1" x14ac:dyDescent="0.3">
      <c r="A162" s="9">
        <v>151</v>
      </c>
      <c r="B162" s="46" t="s">
        <v>297</v>
      </c>
      <c r="C162" s="46" t="s">
        <v>1738</v>
      </c>
      <c r="D162" s="47" t="s">
        <v>311</v>
      </c>
      <c r="E162" s="46" t="s">
        <v>1771</v>
      </c>
      <c r="F162" s="48" t="s">
        <v>143</v>
      </c>
      <c r="G162" s="48"/>
      <c r="H162" s="12">
        <f>MROUND('Rate Card'!$I$11*O162*P162,10)</f>
        <v>2570</v>
      </c>
      <c r="I162" s="12">
        <f>MROUND('Rate Card'!$K$11*O162*P162,10)</f>
        <v>1300</v>
      </c>
      <c r="J162" s="12">
        <f>MROUND(H162*4*'Rate Card'!$B$47,100)</f>
        <v>9800</v>
      </c>
      <c r="K162" s="12">
        <f>MROUND(I162*4*'Rate Card'!$B$47,100)</f>
        <v>4900</v>
      </c>
      <c r="L162" s="12">
        <f>MROUND(H162*120*'Rate Card'!$B$48,500)</f>
        <v>262000</v>
      </c>
      <c r="M162" s="12">
        <f>MROUND(I162*120*'Rate Card'!$B$48,500)</f>
        <v>132500</v>
      </c>
      <c r="N162" s="14" t="s">
        <v>1694</v>
      </c>
      <c r="O162" s="49">
        <v>0.65</v>
      </c>
      <c r="P162" s="49">
        <v>1</v>
      </c>
    </row>
    <row r="163" spans="1:16" ht="15" customHeight="1" x14ac:dyDescent="0.3">
      <c r="A163" s="9">
        <v>152</v>
      </c>
      <c r="B163" s="46" t="s">
        <v>297</v>
      </c>
      <c r="C163" s="46" t="s">
        <v>1738</v>
      </c>
      <c r="D163" s="47" t="s">
        <v>313</v>
      </c>
      <c r="E163" s="46" t="s">
        <v>1772</v>
      </c>
      <c r="F163" s="48" t="s">
        <v>314</v>
      </c>
      <c r="G163" s="48"/>
      <c r="H163" s="12">
        <f>MROUND('Rate Card'!$I$11*O163*P163,10)</f>
        <v>2290</v>
      </c>
      <c r="I163" s="12">
        <f>MROUND('Rate Card'!$K$11*O163*P163,10)</f>
        <v>1160</v>
      </c>
      <c r="J163" s="12">
        <f>MROUND(H163*4*'Rate Card'!$B$47,100)</f>
        <v>8700</v>
      </c>
      <c r="K163" s="12">
        <f>MROUND(I163*4*'Rate Card'!$B$47,100)</f>
        <v>4400</v>
      </c>
      <c r="L163" s="12">
        <f>MROUND(H163*120*'Rate Card'!$B$48,500)</f>
        <v>233500</v>
      </c>
      <c r="M163" s="12">
        <f>MROUND(I163*120*'Rate Card'!$B$48,500)</f>
        <v>118500</v>
      </c>
      <c r="N163" s="14" t="s">
        <v>1697</v>
      </c>
      <c r="O163" s="49">
        <v>0.57999999999999996</v>
      </c>
      <c r="P163" s="49">
        <v>1</v>
      </c>
    </row>
    <row r="164" spans="1:16" ht="15" customHeight="1" x14ac:dyDescent="0.3">
      <c r="A164" s="9">
        <v>153</v>
      </c>
      <c r="B164" s="46" t="s">
        <v>297</v>
      </c>
      <c r="C164" s="46" t="s">
        <v>1700</v>
      </c>
      <c r="D164" s="47" t="s">
        <v>316</v>
      </c>
      <c r="E164" s="46" t="s">
        <v>1773</v>
      </c>
      <c r="F164" s="48" t="s">
        <v>195</v>
      </c>
      <c r="G164" s="48"/>
      <c r="H164" s="12">
        <f>MROUND('Rate Card'!$I$11*O164*P164,10)</f>
        <v>2290</v>
      </c>
      <c r="I164" s="12">
        <f>MROUND('Rate Card'!$K$11*O164*P164,10)</f>
        <v>1160</v>
      </c>
      <c r="J164" s="12">
        <f>MROUND(H164*4*'Rate Card'!$B$47,100)</f>
        <v>8700</v>
      </c>
      <c r="K164" s="12">
        <f>MROUND(I164*4*'Rate Card'!$B$47,100)</f>
        <v>4400</v>
      </c>
      <c r="L164" s="12">
        <f>MROUND(H164*120*'Rate Card'!$B$48,500)</f>
        <v>233500</v>
      </c>
      <c r="M164" s="12">
        <f>MROUND(I164*120*'Rate Card'!$B$48,500)</f>
        <v>118500</v>
      </c>
      <c r="N164" s="14" t="s">
        <v>1744</v>
      </c>
      <c r="O164" s="49">
        <v>0.57999999999999996</v>
      </c>
      <c r="P164" s="49">
        <v>1</v>
      </c>
    </row>
    <row r="165" spans="1:16" ht="15" customHeight="1" x14ac:dyDescent="0.3">
      <c r="A165" s="199" t="s">
        <v>317</v>
      </c>
      <c r="B165" s="200"/>
      <c r="C165" s="200"/>
      <c r="D165" s="200"/>
      <c r="E165" s="200"/>
      <c r="F165" s="200"/>
      <c r="G165" s="200"/>
      <c r="H165" s="200"/>
      <c r="I165" s="200"/>
      <c r="J165" s="200"/>
      <c r="K165" s="200"/>
      <c r="L165" s="200"/>
      <c r="M165" s="200"/>
      <c r="N165" s="200"/>
    </row>
    <row r="166" spans="1:16" ht="15" customHeight="1" x14ac:dyDescent="0.3">
      <c r="A166" s="9">
        <v>154</v>
      </c>
      <c r="B166" s="46" t="s">
        <v>318</v>
      </c>
      <c r="C166" s="46" t="s">
        <v>1774</v>
      </c>
      <c r="D166" s="47" t="s">
        <v>320</v>
      </c>
      <c r="E166" s="46" t="s">
        <v>1775</v>
      </c>
      <c r="F166" s="48" t="s">
        <v>23</v>
      </c>
      <c r="G166" s="48" t="s">
        <v>321</v>
      </c>
      <c r="H166" s="12">
        <f>MROUND('Rate Card'!$I$12*O166*P166,10)</f>
        <v>9650</v>
      </c>
      <c r="I166" s="12">
        <f>MROUND('Rate Card'!$K$12*O166*P166,10)</f>
        <v>4350</v>
      </c>
      <c r="J166" s="12">
        <f>MROUND(H166*4*'Rate Card'!$B$47,100)</f>
        <v>36700</v>
      </c>
      <c r="K166" s="12">
        <f>MROUND(I166*4*'Rate Card'!$B$47,100)</f>
        <v>16500</v>
      </c>
      <c r="L166" s="12">
        <f>MROUND(H166*120*'Rate Card'!$B$48,500)</f>
        <v>984500</v>
      </c>
      <c r="M166" s="12">
        <f>MROUND(I166*120*'Rate Card'!$B$48,500)</f>
        <v>443500</v>
      </c>
      <c r="N166" s="14"/>
      <c r="O166" s="49">
        <v>1</v>
      </c>
      <c r="P166" s="49">
        <v>1</v>
      </c>
    </row>
    <row r="167" spans="1:16" ht="15" customHeight="1" x14ac:dyDescent="0.3">
      <c r="A167" s="9">
        <v>155</v>
      </c>
      <c r="B167" s="46" t="s">
        <v>318</v>
      </c>
      <c r="C167" s="46" t="s">
        <v>1774</v>
      </c>
      <c r="D167" s="47" t="s">
        <v>323</v>
      </c>
      <c r="E167" s="46" t="s">
        <v>1776</v>
      </c>
      <c r="F167" s="48" t="s">
        <v>23</v>
      </c>
      <c r="G167" s="48" t="s">
        <v>324</v>
      </c>
      <c r="H167" s="12">
        <f>MROUND('Rate Card'!$I$12*O167*P167,10)</f>
        <v>9650</v>
      </c>
      <c r="I167" s="12">
        <f>MROUND('Rate Card'!$K$12*O167*P167,10)</f>
        <v>4350</v>
      </c>
      <c r="J167" s="12">
        <f>MROUND(H167*4*'Rate Card'!$B$47,100)</f>
        <v>36700</v>
      </c>
      <c r="K167" s="12">
        <f>MROUND(I167*4*'Rate Card'!$B$47,100)</f>
        <v>16500</v>
      </c>
      <c r="L167" s="12">
        <f>MROUND(H167*120*'Rate Card'!$B$48,500)</f>
        <v>984500</v>
      </c>
      <c r="M167" s="12">
        <f>MROUND(I167*120*'Rate Card'!$B$48,500)</f>
        <v>443500</v>
      </c>
      <c r="N167" s="14"/>
      <c r="O167" s="49">
        <v>1</v>
      </c>
      <c r="P167" s="49">
        <v>1</v>
      </c>
    </row>
    <row r="168" spans="1:16" ht="15" customHeight="1" x14ac:dyDescent="0.3">
      <c r="A168" s="9">
        <v>156</v>
      </c>
      <c r="B168" s="46" t="s">
        <v>318</v>
      </c>
      <c r="C168" s="46" t="s">
        <v>1774</v>
      </c>
      <c r="D168" s="47" t="s">
        <v>327</v>
      </c>
      <c r="E168" s="46" t="s">
        <v>1775</v>
      </c>
      <c r="F168" s="48" t="s">
        <v>31</v>
      </c>
      <c r="G168" s="48" t="s">
        <v>328</v>
      </c>
      <c r="H168" s="12">
        <f>MROUND('Rate Card'!$I$12*O168*P168,10)</f>
        <v>9650</v>
      </c>
      <c r="I168" s="12">
        <f>MROUND('Rate Card'!$K$12*O168*P168,10)</f>
        <v>4350</v>
      </c>
      <c r="J168" s="12">
        <f>MROUND(H168*4*'Rate Card'!$B$47,100)</f>
        <v>36700</v>
      </c>
      <c r="K168" s="12">
        <f>MROUND(I168*4*'Rate Card'!$B$47,100)</f>
        <v>16500</v>
      </c>
      <c r="L168" s="12">
        <f>MROUND(H168*120*'Rate Card'!$B$48,500)</f>
        <v>984500</v>
      </c>
      <c r="M168" s="12">
        <f>MROUND(I168*120*'Rate Card'!$B$48,500)</f>
        <v>443500</v>
      </c>
      <c r="N168" s="14"/>
      <c r="O168" s="49">
        <v>1</v>
      </c>
      <c r="P168" s="49">
        <v>1</v>
      </c>
    </row>
    <row r="169" spans="1:16" ht="15" customHeight="1" x14ac:dyDescent="0.3">
      <c r="A169" s="9">
        <v>157</v>
      </c>
      <c r="B169" s="46" t="s">
        <v>318</v>
      </c>
      <c r="C169" s="46" t="s">
        <v>1774</v>
      </c>
      <c r="D169" s="47" t="s">
        <v>325</v>
      </c>
      <c r="E169" s="46" t="s">
        <v>1775</v>
      </c>
      <c r="F169" s="48" t="s">
        <v>31</v>
      </c>
      <c r="G169" s="48" t="s">
        <v>326</v>
      </c>
      <c r="H169" s="12">
        <f>MROUND('Rate Card'!$I$12*O169*P169,10)</f>
        <v>9650</v>
      </c>
      <c r="I169" s="12">
        <f>MROUND('Rate Card'!$K$12*O169*P169,10)</f>
        <v>4350</v>
      </c>
      <c r="J169" s="12">
        <f>MROUND(H169*4*'Rate Card'!$B$47,100)</f>
        <v>36700</v>
      </c>
      <c r="K169" s="12">
        <f>MROUND(I169*4*'Rate Card'!$B$47,100)</f>
        <v>16500</v>
      </c>
      <c r="L169" s="12">
        <f>MROUND(H169*120*'Rate Card'!$B$48,500)</f>
        <v>984500</v>
      </c>
      <c r="M169" s="12">
        <f>MROUND(I169*120*'Rate Card'!$B$48,500)</f>
        <v>443500</v>
      </c>
      <c r="N169" s="14"/>
      <c r="O169" s="49">
        <v>1</v>
      </c>
      <c r="P169" s="49">
        <v>1</v>
      </c>
    </row>
    <row r="170" spans="1:16" ht="15" customHeight="1" x14ac:dyDescent="0.3">
      <c r="A170" s="9">
        <v>158</v>
      </c>
      <c r="B170" s="46" t="s">
        <v>318</v>
      </c>
      <c r="C170" s="46" t="s">
        <v>1774</v>
      </c>
      <c r="D170" s="47" t="s">
        <v>329</v>
      </c>
      <c r="E170" s="46" t="s">
        <v>1775</v>
      </c>
      <c r="F170" s="48" t="s">
        <v>31</v>
      </c>
      <c r="G170" s="48" t="s">
        <v>330</v>
      </c>
      <c r="H170" s="12">
        <f>MROUND('Rate Card'!$I$12*O170*P170,10)</f>
        <v>9650</v>
      </c>
      <c r="I170" s="12">
        <f>MROUND('Rate Card'!$K$12*O170*P170,10)</f>
        <v>4350</v>
      </c>
      <c r="J170" s="12">
        <f>MROUND(H170*4*'Rate Card'!$B$47,100)</f>
        <v>36700</v>
      </c>
      <c r="K170" s="12">
        <f>MROUND(I170*4*'Rate Card'!$B$47,100)</f>
        <v>16500</v>
      </c>
      <c r="L170" s="12">
        <f>MROUND(H170*120*'Rate Card'!$B$48,500)</f>
        <v>984500</v>
      </c>
      <c r="M170" s="12">
        <f>MROUND(I170*120*'Rate Card'!$B$48,500)</f>
        <v>443500</v>
      </c>
      <c r="N170" s="14"/>
      <c r="O170" s="49">
        <v>1</v>
      </c>
      <c r="P170" s="49">
        <v>1</v>
      </c>
    </row>
    <row r="171" spans="1:16" ht="15" customHeight="1" x14ac:dyDescent="0.3">
      <c r="A171" s="9">
        <v>159</v>
      </c>
      <c r="B171" s="46" t="s">
        <v>318</v>
      </c>
      <c r="C171" s="46" t="s">
        <v>1718</v>
      </c>
      <c r="D171" s="47" t="s">
        <v>332</v>
      </c>
      <c r="E171" s="46" t="s">
        <v>1777</v>
      </c>
      <c r="F171" s="48" t="s">
        <v>94</v>
      </c>
      <c r="G171" s="48"/>
      <c r="H171" s="12">
        <f>MROUND('Rate Card'!$I$12*O171*P171,10)</f>
        <v>7910</v>
      </c>
      <c r="I171" s="12">
        <f>MROUND('Rate Card'!$K$12*O171*P171,10)</f>
        <v>3570</v>
      </c>
      <c r="J171" s="12">
        <f>MROUND(H171*4*'Rate Card'!$B$47,100)</f>
        <v>30100</v>
      </c>
      <c r="K171" s="12">
        <f>MROUND(I171*4*'Rate Card'!$B$47,100)</f>
        <v>13600</v>
      </c>
      <c r="L171" s="12">
        <f>MROUND(H171*120*'Rate Card'!$B$48,500)</f>
        <v>807000</v>
      </c>
      <c r="M171" s="12">
        <f>MROUND(I171*120*'Rate Card'!$B$48,500)</f>
        <v>364000</v>
      </c>
      <c r="N171" s="14"/>
      <c r="O171" s="49">
        <v>0.82</v>
      </c>
      <c r="P171" s="49">
        <v>1</v>
      </c>
    </row>
    <row r="172" spans="1:16" ht="15" customHeight="1" x14ac:dyDescent="0.3">
      <c r="A172" s="9">
        <v>160</v>
      </c>
      <c r="B172" s="46" t="s">
        <v>318</v>
      </c>
      <c r="C172" s="46" t="s">
        <v>1718</v>
      </c>
      <c r="D172" s="47" t="s">
        <v>334</v>
      </c>
      <c r="E172" s="46" t="s">
        <v>1778</v>
      </c>
      <c r="F172" s="48" t="s">
        <v>335</v>
      </c>
      <c r="G172" s="48"/>
      <c r="H172" s="12">
        <f>MROUND('Rate Card'!$I$12*O172*P172,10)</f>
        <v>6950</v>
      </c>
      <c r="I172" s="12">
        <f>MROUND('Rate Card'!$K$12*O172*P172,10)</f>
        <v>3130</v>
      </c>
      <c r="J172" s="12">
        <f>MROUND(H172*4*'Rate Card'!$B$47,100)</f>
        <v>26400</v>
      </c>
      <c r="K172" s="12">
        <f>MROUND(I172*4*'Rate Card'!$B$47,100)</f>
        <v>11900</v>
      </c>
      <c r="L172" s="12">
        <f>MROUND(H172*120*'Rate Card'!$B$48,500)</f>
        <v>709000</v>
      </c>
      <c r="M172" s="12">
        <f>MROUND(I172*120*'Rate Card'!$B$48,500)</f>
        <v>319500</v>
      </c>
      <c r="N172" s="14" t="s">
        <v>1693</v>
      </c>
      <c r="O172" s="49">
        <v>0.72</v>
      </c>
      <c r="P172" s="49">
        <v>1</v>
      </c>
    </row>
    <row r="173" spans="1:16" ht="15" customHeight="1" x14ac:dyDescent="0.3">
      <c r="A173" s="9">
        <v>161</v>
      </c>
      <c r="B173" s="46" t="s">
        <v>318</v>
      </c>
      <c r="C173" s="46" t="s">
        <v>1700</v>
      </c>
      <c r="D173" s="47" t="s">
        <v>340</v>
      </c>
      <c r="E173" s="46" t="s">
        <v>195</v>
      </c>
      <c r="F173" s="48" t="s">
        <v>195</v>
      </c>
      <c r="G173" s="48"/>
      <c r="H173" s="12">
        <f>MROUND('Rate Card'!$I$12*O173*P173,10)</f>
        <v>5600</v>
      </c>
      <c r="I173" s="12">
        <f>MROUND('Rate Card'!$K$12*O173*P173,10)</f>
        <v>2520</v>
      </c>
      <c r="J173" s="12">
        <f>MROUND(H173*4*'Rate Card'!$B$47,100)</f>
        <v>21300</v>
      </c>
      <c r="K173" s="12">
        <f>MROUND(I173*4*'Rate Card'!$B$47,100)</f>
        <v>9600</v>
      </c>
      <c r="L173" s="12">
        <f>MROUND(H173*120*'Rate Card'!$B$48,500)</f>
        <v>571000</v>
      </c>
      <c r="M173" s="12">
        <f>MROUND(I173*120*'Rate Card'!$B$48,500)</f>
        <v>257000</v>
      </c>
      <c r="N173" s="14" t="s">
        <v>1744</v>
      </c>
      <c r="O173" s="49">
        <v>0.57999999999999996</v>
      </c>
      <c r="P173" s="49">
        <v>1</v>
      </c>
    </row>
    <row r="174" spans="1:16" ht="15" customHeight="1" x14ac:dyDescent="0.3">
      <c r="A174" s="9">
        <v>162</v>
      </c>
      <c r="B174" s="46" t="s">
        <v>318</v>
      </c>
      <c r="C174" s="46" t="s">
        <v>1740</v>
      </c>
      <c r="D174" s="47" t="s">
        <v>336</v>
      </c>
      <c r="E174" s="46" t="s">
        <v>195</v>
      </c>
      <c r="F174" s="48" t="s">
        <v>195</v>
      </c>
      <c r="G174" s="48"/>
      <c r="H174" s="12">
        <f>MROUND('Rate Card'!$I$12*O174*P174,10)</f>
        <v>5600</v>
      </c>
      <c r="I174" s="12">
        <f>MROUND('Rate Card'!$K$12*O174*P174,10)</f>
        <v>2520</v>
      </c>
      <c r="J174" s="12">
        <f>MROUND(H174*4*'Rate Card'!$B$47,100)</f>
        <v>21300</v>
      </c>
      <c r="K174" s="12">
        <f>MROUND(I174*4*'Rate Card'!$B$47,100)</f>
        <v>9600</v>
      </c>
      <c r="L174" s="12">
        <f>MROUND(H174*120*'Rate Card'!$B$48,500)</f>
        <v>571000</v>
      </c>
      <c r="M174" s="12">
        <f>MROUND(I174*120*'Rate Card'!$B$48,500)</f>
        <v>257000</v>
      </c>
      <c r="N174" s="14" t="s">
        <v>1744</v>
      </c>
      <c r="O174" s="49">
        <v>0.57999999999999996</v>
      </c>
      <c r="P174" s="49">
        <v>1</v>
      </c>
    </row>
    <row r="175" spans="1:16" ht="15" customHeight="1" x14ac:dyDescent="0.3">
      <c r="A175" s="9">
        <v>163</v>
      </c>
      <c r="B175" s="46" t="s">
        <v>318</v>
      </c>
      <c r="C175" s="46" t="s">
        <v>1779</v>
      </c>
      <c r="D175" s="47" t="s">
        <v>339</v>
      </c>
      <c r="E175" s="46" t="s">
        <v>1780</v>
      </c>
      <c r="F175" s="48" t="s">
        <v>195</v>
      </c>
      <c r="G175" s="48"/>
      <c r="H175" s="12">
        <f>MROUND('Rate Card'!$I$12*O175*P175,10)</f>
        <v>5600</v>
      </c>
      <c r="I175" s="12">
        <f>MROUND('Rate Card'!$K$12*O175*P175,10)</f>
        <v>2520</v>
      </c>
      <c r="J175" s="12">
        <f>MROUND(H175*4*'Rate Card'!$B$47,100)</f>
        <v>21300</v>
      </c>
      <c r="K175" s="12">
        <f>MROUND(I175*4*'Rate Card'!$B$47,100)</f>
        <v>9600</v>
      </c>
      <c r="L175" s="12">
        <f>MROUND(H175*120*'Rate Card'!$B$48,500)</f>
        <v>571000</v>
      </c>
      <c r="M175" s="12">
        <f>MROUND(I175*120*'Rate Card'!$B$48,500)</f>
        <v>257000</v>
      </c>
      <c r="N175" s="14" t="s">
        <v>1744</v>
      </c>
      <c r="O175" s="49">
        <v>0.57999999999999996</v>
      </c>
      <c r="P175" s="49">
        <v>1</v>
      </c>
    </row>
    <row r="176" spans="1:16" ht="15" customHeight="1" x14ac:dyDescent="0.3">
      <c r="A176" s="9">
        <v>164</v>
      </c>
      <c r="B176" s="46" t="s">
        <v>318</v>
      </c>
      <c r="C176" s="46" t="s">
        <v>1700</v>
      </c>
      <c r="D176" s="47" t="s">
        <v>337</v>
      </c>
      <c r="E176" s="46" t="s">
        <v>195</v>
      </c>
      <c r="F176" s="48" t="s">
        <v>195</v>
      </c>
      <c r="G176" s="48"/>
      <c r="H176" s="12">
        <f>MROUND('Rate Card'!$I$12*O176*P176,10)</f>
        <v>5600</v>
      </c>
      <c r="I176" s="12">
        <f>MROUND('Rate Card'!$K$12*O176*P176,10)</f>
        <v>2520</v>
      </c>
      <c r="J176" s="12">
        <f>MROUND(H176*4*'Rate Card'!$B$47,100)</f>
        <v>21300</v>
      </c>
      <c r="K176" s="12">
        <f>MROUND(I176*4*'Rate Card'!$B$47,100)</f>
        <v>9600</v>
      </c>
      <c r="L176" s="12">
        <f>MROUND(H176*120*'Rate Card'!$B$48,500)</f>
        <v>571000</v>
      </c>
      <c r="M176" s="12">
        <f>MROUND(I176*120*'Rate Card'!$B$48,500)</f>
        <v>257000</v>
      </c>
      <c r="N176" s="14" t="s">
        <v>1744</v>
      </c>
      <c r="O176" s="49">
        <v>0.57999999999999996</v>
      </c>
      <c r="P176" s="49">
        <v>1</v>
      </c>
    </row>
    <row r="177" spans="1:16" ht="15" customHeight="1" x14ac:dyDescent="0.3">
      <c r="A177" s="9">
        <v>165</v>
      </c>
      <c r="B177" s="46" t="s">
        <v>318</v>
      </c>
      <c r="C177" s="46" t="s">
        <v>1700</v>
      </c>
      <c r="D177" s="47" t="s">
        <v>342</v>
      </c>
      <c r="E177" s="46" t="s">
        <v>1781</v>
      </c>
      <c r="F177" s="48" t="s">
        <v>195</v>
      </c>
      <c r="G177" s="48"/>
      <c r="H177" s="12">
        <f>MROUND('Rate Card'!$I$12*O177*P177,10)</f>
        <v>5600</v>
      </c>
      <c r="I177" s="12">
        <f>MROUND('Rate Card'!$K$12*O177*P177,10)</f>
        <v>2520</v>
      </c>
      <c r="J177" s="12">
        <f>MROUND(H177*4*'Rate Card'!$B$47,100)</f>
        <v>21300</v>
      </c>
      <c r="K177" s="12">
        <f>MROUND(I177*4*'Rate Card'!$B$47,100)</f>
        <v>9600</v>
      </c>
      <c r="L177" s="12">
        <f>MROUND(H177*120*'Rate Card'!$B$48,500)</f>
        <v>571000</v>
      </c>
      <c r="M177" s="12">
        <f>MROUND(I177*120*'Rate Card'!$B$48,500)</f>
        <v>257000</v>
      </c>
      <c r="N177" s="14" t="s">
        <v>1744</v>
      </c>
      <c r="O177" s="49">
        <v>0.57999999999999996</v>
      </c>
      <c r="P177" s="49">
        <v>1</v>
      </c>
    </row>
    <row r="178" spans="1:16" ht="15" customHeight="1" x14ac:dyDescent="0.3">
      <c r="A178" s="9">
        <v>166</v>
      </c>
      <c r="B178" s="46" t="s">
        <v>318</v>
      </c>
      <c r="C178" s="46" t="s">
        <v>1700</v>
      </c>
      <c r="D178" s="47" t="s">
        <v>343</v>
      </c>
      <c r="E178" s="46" t="s">
        <v>195</v>
      </c>
      <c r="F178" s="48" t="s">
        <v>195</v>
      </c>
      <c r="G178" s="48" t="s">
        <v>344</v>
      </c>
      <c r="H178" s="12">
        <f>MROUND('Rate Card'!$I$12*O178*P178,10)</f>
        <v>5600</v>
      </c>
      <c r="I178" s="12">
        <f>MROUND('Rate Card'!$K$12*O178*P178,10)</f>
        <v>2520</v>
      </c>
      <c r="J178" s="12">
        <f>MROUND(H178*4*'Rate Card'!$B$47,100)</f>
        <v>21300</v>
      </c>
      <c r="K178" s="12">
        <f>MROUND(I178*4*'Rate Card'!$B$47,100)</f>
        <v>9600</v>
      </c>
      <c r="L178" s="12">
        <f>MROUND(H178*120*'Rate Card'!$B$48,500)</f>
        <v>571000</v>
      </c>
      <c r="M178" s="12">
        <f>MROUND(I178*120*'Rate Card'!$B$48,500)</f>
        <v>257000</v>
      </c>
      <c r="N178" s="14" t="s">
        <v>1744</v>
      </c>
      <c r="O178" s="49">
        <v>0.57999999999999996</v>
      </c>
      <c r="P178" s="49">
        <v>1</v>
      </c>
    </row>
    <row r="179" spans="1:16" ht="15" customHeight="1" x14ac:dyDescent="0.3">
      <c r="A179" s="9">
        <v>167</v>
      </c>
      <c r="B179" s="46" t="s">
        <v>318</v>
      </c>
      <c r="C179" s="46" t="s">
        <v>1782</v>
      </c>
      <c r="D179" s="47" t="s">
        <v>346</v>
      </c>
      <c r="E179" s="46" t="s">
        <v>1783</v>
      </c>
      <c r="F179" s="48" t="s">
        <v>195</v>
      </c>
      <c r="G179" s="48"/>
      <c r="H179" s="12">
        <f>MROUND('Rate Card'!$I$12*O179*P179,10)</f>
        <v>5600</v>
      </c>
      <c r="I179" s="12">
        <f>MROUND('Rate Card'!$K$12*O179*P179,10)</f>
        <v>2520</v>
      </c>
      <c r="J179" s="12">
        <f>MROUND(H179*4*'Rate Card'!$B$47,100)</f>
        <v>21300</v>
      </c>
      <c r="K179" s="12">
        <f>MROUND(I179*4*'Rate Card'!$B$47,100)</f>
        <v>9600</v>
      </c>
      <c r="L179" s="12">
        <f>MROUND(H179*120*'Rate Card'!$B$48,500)</f>
        <v>571000</v>
      </c>
      <c r="M179" s="12">
        <f>MROUND(I179*120*'Rate Card'!$B$48,500)</f>
        <v>257000</v>
      </c>
      <c r="N179" s="14" t="s">
        <v>1744</v>
      </c>
      <c r="O179" s="49">
        <v>0.57999999999999996</v>
      </c>
      <c r="P179" s="49">
        <v>1</v>
      </c>
    </row>
    <row r="180" spans="1:16" ht="15" customHeight="1" x14ac:dyDescent="0.3">
      <c r="A180" s="9">
        <v>168</v>
      </c>
      <c r="B180" s="46" t="s">
        <v>318</v>
      </c>
      <c r="C180" s="46" t="s">
        <v>1718</v>
      </c>
      <c r="D180" s="47" t="s">
        <v>348</v>
      </c>
      <c r="E180" s="46" t="s">
        <v>1784</v>
      </c>
      <c r="F180" s="48" t="s">
        <v>195</v>
      </c>
      <c r="G180" s="48"/>
      <c r="H180" s="12">
        <f>MROUND('Rate Card'!$I$12*O180*P180,10)</f>
        <v>5600</v>
      </c>
      <c r="I180" s="12">
        <f>MROUND('Rate Card'!$K$12*O180*P180,10)</f>
        <v>2520</v>
      </c>
      <c r="J180" s="12">
        <f>MROUND(H180*4*'Rate Card'!$B$47,100)</f>
        <v>21300</v>
      </c>
      <c r="K180" s="12">
        <f>MROUND(I180*4*'Rate Card'!$B$47,100)</f>
        <v>9600</v>
      </c>
      <c r="L180" s="12">
        <f>MROUND(H180*120*'Rate Card'!$B$48,500)</f>
        <v>571000</v>
      </c>
      <c r="M180" s="12">
        <f>MROUND(I180*120*'Rate Card'!$B$48,500)</f>
        <v>257000</v>
      </c>
      <c r="N180" s="14" t="s">
        <v>1744</v>
      </c>
      <c r="O180" s="49">
        <v>0.57999999999999996</v>
      </c>
      <c r="P180" s="49">
        <v>1</v>
      </c>
    </row>
    <row r="181" spans="1:16" ht="15" customHeight="1" x14ac:dyDescent="0.3">
      <c r="A181" s="9">
        <v>169</v>
      </c>
      <c r="B181" s="46" t="s">
        <v>318</v>
      </c>
      <c r="C181" s="46" t="s">
        <v>1718</v>
      </c>
      <c r="D181" s="47" t="s">
        <v>350</v>
      </c>
      <c r="E181" s="46" t="s">
        <v>1785</v>
      </c>
      <c r="F181" s="48" t="s">
        <v>195</v>
      </c>
      <c r="G181" s="48"/>
      <c r="H181" s="12">
        <f>MROUND('Rate Card'!$I$12*O181*P181,10)</f>
        <v>5600</v>
      </c>
      <c r="I181" s="12">
        <f>MROUND('Rate Card'!$K$12*O181*P181,10)</f>
        <v>2520</v>
      </c>
      <c r="J181" s="12">
        <f>MROUND(H181*4*'Rate Card'!$B$47,100)</f>
        <v>21300</v>
      </c>
      <c r="K181" s="12">
        <f>MROUND(I181*4*'Rate Card'!$B$47,100)</f>
        <v>9600</v>
      </c>
      <c r="L181" s="12">
        <f>MROUND(H181*120*'Rate Card'!$B$48,500)</f>
        <v>571000</v>
      </c>
      <c r="M181" s="12">
        <f>MROUND(I181*120*'Rate Card'!$B$48,500)</f>
        <v>257000</v>
      </c>
      <c r="N181" s="14" t="s">
        <v>1744</v>
      </c>
      <c r="O181" s="49">
        <v>0.57999999999999996</v>
      </c>
      <c r="P181" s="49">
        <v>1</v>
      </c>
    </row>
    <row r="182" spans="1:16" ht="15" customHeight="1" x14ac:dyDescent="0.3">
      <c r="A182" s="199" t="s">
        <v>351</v>
      </c>
      <c r="B182" s="200"/>
      <c r="C182" s="200"/>
      <c r="D182" s="200"/>
      <c r="E182" s="200"/>
      <c r="F182" s="200"/>
      <c r="G182" s="200"/>
      <c r="H182" s="200"/>
      <c r="I182" s="200"/>
      <c r="J182" s="200"/>
      <c r="K182" s="200"/>
      <c r="L182" s="200"/>
      <c r="M182" s="200"/>
      <c r="N182" s="200"/>
    </row>
    <row r="183" spans="1:16" ht="15" customHeight="1" x14ac:dyDescent="0.3">
      <c r="A183" s="9">
        <v>170</v>
      </c>
      <c r="B183" s="46" t="s">
        <v>352</v>
      </c>
      <c r="C183" s="46" t="s">
        <v>1687</v>
      </c>
      <c r="D183" s="47" t="s">
        <v>354</v>
      </c>
      <c r="E183" s="46" t="s">
        <v>1786</v>
      </c>
      <c r="F183" s="48" t="s">
        <v>23</v>
      </c>
      <c r="G183" s="48"/>
      <c r="H183" s="12">
        <f>MROUND('Rate Card'!$I$13*O183*P183,10)</f>
        <v>2700</v>
      </c>
      <c r="I183" s="12">
        <f>MROUND('Rate Card'!$K$13*O183*P183,10)</f>
        <v>1350</v>
      </c>
      <c r="J183" s="12">
        <f>MROUND(H183*4*'Rate Card'!$B$47,100)</f>
        <v>10300</v>
      </c>
      <c r="K183" s="12">
        <f>MROUND(I183*4*'Rate Card'!$B$47,100)</f>
        <v>5100</v>
      </c>
      <c r="L183" s="12">
        <f>MROUND(H183*120*'Rate Card'!$B$48,500)</f>
        <v>275500</v>
      </c>
      <c r="M183" s="12">
        <f>MROUND(I183*120*'Rate Card'!$B$48,500)</f>
        <v>137500</v>
      </c>
      <c r="N183" s="14"/>
      <c r="O183" s="49">
        <v>1</v>
      </c>
      <c r="P183" s="49">
        <v>1</v>
      </c>
    </row>
    <row r="184" spans="1:16" ht="15" customHeight="1" x14ac:dyDescent="0.3">
      <c r="A184" s="9">
        <v>171</v>
      </c>
      <c r="B184" s="46" t="s">
        <v>352</v>
      </c>
      <c r="C184" s="46" t="s">
        <v>1787</v>
      </c>
      <c r="D184" s="47" t="s">
        <v>371</v>
      </c>
      <c r="E184" s="46" t="s">
        <v>1786</v>
      </c>
      <c r="F184" s="48" t="s">
        <v>116</v>
      </c>
      <c r="G184" s="48"/>
      <c r="H184" s="12">
        <f>MROUND('Rate Card'!$I$13*O184*P184,10)</f>
        <v>2700</v>
      </c>
      <c r="I184" s="12">
        <f>MROUND('Rate Card'!$K$13*O184*P184,10)</f>
        <v>1350</v>
      </c>
      <c r="J184" s="12">
        <f>MROUND(H184*4*'Rate Card'!$B$47,100)</f>
        <v>10300</v>
      </c>
      <c r="K184" s="12">
        <f>MROUND(I184*4*'Rate Card'!$B$47,100)</f>
        <v>5100</v>
      </c>
      <c r="L184" s="12">
        <f>MROUND(H184*120*'Rate Card'!$B$48,500)</f>
        <v>275500</v>
      </c>
      <c r="M184" s="12">
        <f>MROUND(I184*120*'Rate Card'!$B$48,500)</f>
        <v>137500</v>
      </c>
      <c r="N184" s="14"/>
      <c r="O184" s="49">
        <v>1</v>
      </c>
      <c r="P184" s="49">
        <v>1</v>
      </c>
    </row>
    <row r="185" spans="1:16" ht="15" customHeight="1" x14ac:dyDescent="0.3">
      <c r="A185" s="9">
        <v>172</v>
      </c>
      <c r="B185" s="46" t="s">
        <v>352</v>
      </c>
      <c r="C185" s="46" t="s">
        <v>1687</v>
      </c>
      <c r="D185" s="47" t="s">
        <v>375</v>
      </c>
      <c r="E185" s="46" t="s">
        <v>1786</v>
      </c>
      <c r="F185" s="48" t="s">
        <v>49</v>
      </c>
      <c r="G185" s="48"/>
      <c r="H185" s="12">
        <f>MROUND('Rate Card'!$I$13*O185*P185,10)</f>
        <v>2700</v>
      </c>
      <c r="I185" s="12">
        <f>MROUND('Rate Card'!$K$13*O185*P185,10)</f>
        <v>1350</v>
      </c>
      <c r="J185" s="12">
        <f>MROUND(H185*4*'Rate Card'!$B$47,100)</f>
        <v>10300</v>
      </c>
      <c r="K185" s="12">
        <f>MROUND(I185*4*'Rate Card'!$B$47,100)</f>
        <v>5100</v>
      </c>
      <c r="L185" s="12">
        <f>MROUND(H185*120*'Rate Card'!$B$48,500)</f>
        <v>275500</v>
      </c>
      <c r="M185" s="12">
        <f>MROUND(I185*120*'Rate Card'!$B$48,500)</f>
        <v>137500</v>
      </c>
      <c r="N185" s="14"/>
      <c r="O185" s="49">
        <v>1</v>
      </c>
      <c r="P185" s="49">
        <v>1</v>
      </c>
    </row>
    <row r="186" spans="1:16" ht="15" customHeight="1" x14ac:dyDescent="0.3">
      <c r="A186" s="9">
        <v>173</v>
      </c>
      <c r="B186" s="46" t="s">
        <v>352</v>
      </c>
      <c r="C186" s="46" t="s">
        <v>1687</v>
      </c>
      <c r="D186" s="47" t="s">
        <v>358</v>
      </c>
      <c r="E186" s="46" t="s">
        <v>1788</v>
      </c>
      <c r="F186" s="48" t="s">
        <v>23</v>
      </c>
      <c r="G186" s="48"/>
      <c r="H186" s="12">
        <f>MROUND('Rate Card'!$I$13*O186*P186,10)</f>
        <v>2700</v>
      </c>
      <c r="I186" s="12">
        <f>MROUND('Rate Card'!$K$13*O186*P186,10)</f>
        <v>1350</v>
      </c>
      <c r="J186" s="12">
        <f>MROUND(H186*4*'Rate Card'!$B$47,100)</f>
        <v>10300</v>
      </c>
      <c r="K186" s="12">
        <f>MROUND(I186*4*'Rate Card'!$B$47,100)</f>
        <v>5100</v>
      </c>
      <c r="L186" s="12">
        <f>MROUND(H186*120*'Rate Card'!$B$48,500)</f>
        <v>275500</v>
      </c>
      <c r="M186" s="12">
        <f>MROUND(I186*120*'Rate Card'!$B$48,500)</f>
        <v>137500</v>
      </c>
      <c r="N186" s="14"/>
      <c r="O186" s="49">
        <v>1</v>
      </c>
      <c r="P186" s="49">
        <v>1</v>
      </c>
    </row>
    <row r="187" spans="1:16" ht="15" customHeight="1" x14ac:dyDescent="0.3">
      <c r="A187" s="9">
        <v>174</v>
      </c>
      <c r="B187" s="46" t="s">
        <v>352</v>
      </c>
      <c r="C187" s="46" t="s">
        <v>1687</v>
      </c>
      <c r="D187" s="47" t="s">
        <v>376</v>
      </c>
      <c r="E187" s="46" t="s">
        <v>1788</v>
      </c>
      <c r="F187" s="48" t="s">
        <v>49</v>
      </c>
      <c r="G187" s="48"/>
      <c r="H187" s="12">
        <f>MROUND('Rate Card'!$I$13*O187*P187,10)</f>
        <v>2700</v>
      </c>
      <c r="I187" s="12">
        <f>MROUND('Rate Card'!$K$13*O187*P187,10)</f>
        <v>1350</v>
      </c>
      <c r="J187" s="12">
        <f>MROUND(H187*4*'Rate Card'!$B$47,100)</f>
        <v>10300</v>
      </c>
      <c r="K187" s="12">
        <f>MROUND(I187*4*'Rate Card'!$B$47,100)</f>
        <v>5100</v>
      </c>
      <c r="L187" s="12">
        <f>MROUND(H187*120*'Rate Card'!$B$48,500)</f>
        <v>275500</v>
      </c>
      <c r="M187" s="12">
        <f>MROUND(I187*120*'Rate Card'!$B$48,500)</f>
        <v>137500</v>
      </c>
      <c r="N187" s="14"/>
      <c r="O187" s="49">
        <v>1</v>
      </c>
      <c r="P187" s="49">
        <v>1</v>
      </c>
    </row>
    <row r="188" spans="1:16" ht="15" customHeight="1" x14ac:dyDescent="0.3">
      <c r="A188" s="9">
        <v>175</v>
      </c>
      <c r="B188" s="46" t="s">
        <v>352</v>
      </c>
      <c r="C188" s="46" t="s">
        <v>1687</v>
      </c>
      <c r="D188" s="47" t="s">
        <v>360</v>
      </c>
      <c r="E188" s="46" t="s">
        <v>1786</v>
      </c>
      <c r="F188" s="48" t="s">
        <v>31</v>
      </c>
      <c r="G188" s="48"/>
      <c r="H188" s="12">
        <f>MROUND('Rate Card'!$I$13*O188*P188,10)</f>
        <v>2700</v>
      </c>
      <c r="I188" s="12">
        <f>MROUND('Rate Card'!$K$13*O188*P188,10)</f>
        <v>1350</v>
      </c>
      <c r="J188" s="12">
        <f>MROUND(H188*4*'Rate Card'!$B$47,100)</f>
        <v>10300</v>
      </c>
      <c r="K188" s="12">
        <f>MROUND(I188*4*'Rate Card'!$B$47,100)</f>
        <v>5100</v>
      </c>
      <c r="L188" s="12">
        <f>MROUND(H188*120*'Rate Card'!$B$48,500)</f>
        <v>275500</v>
      </c>
      <c r="M188" s="12">
        <f>MROUND(I188*120*'Rate Card'!$B$48,500)</f>
        <v>137500</v>
      </c>
      <c r="N188" s="14"/>
      <c r="O188" s="49">
        <v>1</v>
      </c>
      <c r="P188" s="49">
        <v>1</v>
      </c>
    </row>
    <row r="189" spans="1:16" ht="15" customHeight="1" x14ac:dyDescent="0.3">
      <c r="A189" s="9">
        <v>176</v>
      </c>
      <c r="B189" s="46" t="s">
        <v>352</v>
      </c>
      <c r="C189" s="46" t="s">
        <v>1687</v>
      </c>
      <c r="D189" s="47" t="s">
        <v>380</v>
      </c>
      <c r="E189" s="46" t="s">
        <v>195</v>
      </c>
      <c r="F189" s="48" t="s">
        <v>94</v>
      </c>
      <c r="G189" s="48"/>
      <c r="H189" s="12">
        <f>MROUND('Rate Card'!$I$13*O189*P189,10)</f>
        <v>2480</v>
      </c>
      <c r="I189" s="12">
        <f>MROUND('Rate Card'!$K$13*O189*P189,10)</f>
        <v>1240</v>
      </c>
      <c r="J189" s="12">
        <f>MROUND(H189*4*'Rate Card'!$B$47,100)</f>
        <v>9400</v>
      </c>
      <c r="K189" s="12">
        <f>MROUND(I189*4*'Rate Card'!$B$47,100)</f>
        <v>4700</v>
      </c>
      <c r="L189" s="12">
        <f>MROUND(H189*120*'Rate Card'!$B$48,500)</f>
        <v>253000</v>
      </c>
      <c r="M189" s="12">
        <f>MROUND(I189*120*'Rate Card'!$B$48,500)</f>
        <v>126500</v>
      </c>
      <c r="N189" s="14"/>
      <c r="O189" s="49">
        <v>0.92</v>
      </c>
      <c r="P189" s="49">
        <v>1</v>
      </c>
    </row>
    <row r="190" spans="1:16" ht="15" customHeight="1" x14ac:dyDescent="0.3">
      <c r="A190" s="9">
        <v>177</v>
      </c>
      <c r="B190" s="46" t="s">
        <v>352</v>
      </c>
      <c r="C190" s="46" t="s">
        <v>1687</v>
      </c>
      <c r="D190" s="47" t="s">
        <v>383</v>
      </c>
      <c r="E190" s="46" t="s">
        <v>195</v>
      </c>
      <c r="F190" s="48" t="s">
        <v>94</v>
      </c>
      <c r="G190" s="48"/>
      <c r="H190" s="12">
        <f>MROUND('Rate Card'!$I$13*O190*P190,10)</f>
        <v>2480</v>
      </c>
      <c r="I190" s="12">
        <f>MROUND('Rate Card'!$K$13*O190*P190,10)</f>
        <v>1240</v>
      </c>
      <c r="J190" s="12">
        <f>MROUND(H190*4*'Rate Card'!$B$47,100)</f>
        <v>9400</v>
      </c>
      <c r="K190" s="12">
        <f>MROUND(I190*4*'Rate Card'!$B$47,100)</f>
        <v>4700</v>
      </c>
      <c r="L190" s="12">
        <f>MROUND(H190*120*'Rate Card'!$B$48,500)</f>
        <v>253000</v>
      </c>
      <c r="M190" s="12">
        <f>MROUND(I190*120*'Rate Card'!$B$48,500)</f>
        <v>126500</v>
      </c>
      <c r="N190" s="14"/>
      <c r="O190" s="49">
        <v>0.92</v>
      </c>
      <c r="P190" s="49">
        <v>1</v>
      </c>
    </row>
    <row r="191" spans="1:16" ht="15" customHeight="1" x14ac:dyDescent="0.3">
      <c r="A191" s="9">
        <v>178</v>
      </c>
      <c r="B191" s="46" t="s">
        <v>352</v>
      </c>
      <c r="C191" s="46" t="s">
        <v>1687</v>
      </c>
      <c r="D191" s="47" t="s">
        <v>384</v>
      </c>
      <c r="E191" s="46" t="s">
        <v>195</v>
      </c>
      <c r="F191" s="48" t="s">
        <v>94</v>
      </c>
      <c r="G191" s="48"/>
      <c r="H191" s="12">
        <f>MROUND('Rate Card'!$I$13*O191*P191,10)</f>
        <v>2480</v>
      </c>
      <c r="I191" s="12">
        <f>MROUND('Rate Card'!$K$13*O191*P191,10)</f>
        <v>1240</v>
      </c>
      <c r="J191" s="12">
        <f>MROUND(H191*4*'Rate Card'!$B$47,100)</f>
        <v>9400</v>
      </c>
      <c r="K191" s="12">
        <f>MROUND(I191*4*'Rate Card'!$B$47,100)</f>
        <v>4700</v>
      </c>
      <c r="L191" s="12">
        <f>MROUND(H191*120*'Rate Card'!$B$48,500)</f>
        <v>253000</v>
      </c>
      <c r="M191" s="12">
        <f>MROUND(I191*120*'Rate Card'!$B$48,500)</f>
        <v>126500</v>
      </c>
      <c r="N191" s="14"/>
      <c r="O191" s="49">
        <v>0.92</v>
      </c>
      <c r="P191" s="49">
        <v>1</v>
      </c>
    </row>
    <row r="192" spans="1:16" ht="15" customHeight="1" x14ac:dyDescent="0.3">
      <c r="A192" s="9">
        <v>179</v>
      </c>
      <c r="B192" s="46" t="s">
        <v>352</v>
      </c>
      <c r="C192" s="46" t="s">
        <v>1687</v>
      </c>
      <c r="D192" s="47" t="s">
        <v>362</v>
      </c>
      <c r="E192" s="46" t="s">
        <v>195</v>
      </c>
      <c r="F192" s="48" t="s">
        <v>116</v>
      </c>
      <c r="G192" s="48"/>
      <c r="H192" s="12">
        <f>MROUND('Rate Card'!$I$13*O192*P192,10)</f>
        <v>2480</v>
      </c>
      <c r="I192" s="12">
        <f>MROUND('Rate Card'!$K$13*O192*P192,10)</f>
        <v>1240</v>
      </c>
      <c r="J192" s="12">
        <f>MROUND(H192*4*'Rate Card'!$B$47,100)</f>
        <v>9400</v>
      </c>
      <c r="K192" s="12">
        <f>MROUND(I192*4*'Rate Card'!$B$47,100)</f>
        <v>4700</v>
      </c>
      <c r="L192" s="12">
        <f>MROUND(H192*120*'Rate Card'!$B$48,500)</f>
        <v>253000</v>
      </c>
      <c r="M192" s="12">
        <f>MROUND(I192*120*'Rate Card'!$B$48,500)</f>
        <v>126500</v>
      </c>
      <c r="N192" s="14"/>
      <c r="O192" s="49">
        <v>0.92</v>
      </c>
      <c r="P192" s="49">
        <v>1</v>
      </c>
    </row>
    <row r="193" spans="1:16" ht="15" customHeight="1" x14ac:dyDescent="0.3">
      <c r="A193" s="9">
        <v>180</v>
      </c>
      <c r="B193" s="46" t="s">
        <v>352</v>
      </c>
      <c r="C193" s="46" t="s">
        <v>1687</v>
      </c>
      <c r="D193" s="47" t="s">
        <v>366</v>
      </c>
      <c r="E193" s="46" t="s">
        <v>1786</v>
      </c>
      <c r="F193" s="48" t="s">
        <v>116</v>
      </c>
      <c r="G193" s="48"/>
      <c r="H193" s="12">
        <f>MROUND('Rate Card'!$I$13*O193*P193,10)</f>
        <v>2480</v>
      </c>
      <c r="I193" s="12">
        <f>MROUND('Rate Card'!$K$13*O193*P193,10)</f>
        <v>1240</v>
      </c>
      <c r="J193" s="12">
        <f>MROUND(H193*4*'Rate Card'!$B$47,100)</f>
        <v>9400</v>
      </c>
      <c r="K193" s="12">
        <f>MROUND(I193*4*'Rate Card'!$B$47,100)</f>
        <v>4700</v>
      </c>
      <c r="L193" s="12">
        <f>MROUND(H193*120*'Rate Card'!$B$48,500)</f>
        <v>253000</v>
      </c>
      <c r="M193" s="12">
        <f>MROUND(I193*120*'Rate Card'!$B$48,500)</f>
        <v>126500</v>
      </c>
      <c r="N193" s="14"/>
      <c r="O193" s="49">
        <v>0.92</v>
      </c>
      <c r="P193" s="49">
        <v>1</v>
      </c>
    </row>
    <row r="194" spans="1:16" ht="15" customHeight="1" x14ac:dyDescent="0.3">
      <c r="A194" s="9">
        <v>181</v>
      </c>
      <c r="B194" s="46" t="s">
        <v>352</v>
      </c>
      <c r="C194" s="46" t="s">
        <v>1687</v>
      </c>
      <c r="D194" s="47" t="s">
        <v>377</v>
      </c>
      <c r="E194" s="46" t="s">
        <v>1786</v>
      </c>
      <c r="F194" s="48" t="s">
        <v>49</v>
      </c>
      <c r="G194" s="48"/>
      <c r="H194" s="12">
        <f>MROUND('Rate Card'!$I$13*O194*P194,10)</f>
        <v>2480</v>
      </c>
      <c r="I194" s="12">
        <f>MROUND('Rate Card'!$K$13*O194*P194,10)</f>
        <v>1240</v>
      </c>
      <c r="J194" s="12">
        <f>MROUND(H194*4*'Rate Card'!$B$47,100)</f>
        <v>9400</v>
      </c>
      <c r="K194" s="12">
        <f>MROUND(I194*4*'Rate Card'!$B$47,100)</f>
        <v>4700</v>
      </c>
      <c r="L194" s="12">
        <f>MROUND(H194*120*'Rate Card'!$B$48,500)</f>
        <v>253000</v>
      </c>
      <c r="M194" s="12">
        <f>MROUND(I194*120*'Rate Card'!$B$48,500)</f>
        <v>126500</v>
      </c>
      <c r="N194" s="14"/>
      <c r="O194" s="49">
        <v>0.92</v>
      </c>
      <c r="P194" s="49">
        <v>1</v>
      </c>
    </row>
    <row r="195" spans="1:16" ht="15" customHeight="1" x14ac:dyDescent="0.3">
      <c r="A195" s="9">
        <v>182</v>
      </c>
      <c r="B195" s="46" t="s">
        <v>352</v>
      </c>
      <c r="C195" s="46" t="s">
        <v>1687</v>
      </c>
      <c r="D195" s="47" t="s">
        <v>367</v>
      </c>
      <c r="E195" s="46" t="s">
        <v>1786</v>
      </c>
      <c r="F195" s="48" t="s">
        <v>116</v>
      </c>
      <c r="G195" s="48"/>
      <c r="H195" s="12">
        <f>MROUND('Rate Card'!$I$13*O195*P195,10)</f>
        <v>2480</v>
      </c>
      <c r="I195" s="12">
        <f>MROUND('Rate Card'!$K$13*O195*P195,10)</f>
        <v>1240</v>
      </c>
      <c r="J195" s="12">
        <f>MROUND(H195*4*'Rate Card'!$B$47,100)</f>
        <v>9400</v>
      </c>
      <c r="K195" s="12">
        <f>MROUND(I195*4*'Rate Card'!$B$47,100)</f>
        <v>4700</v>
      </c>
      <c r="L195" s="12">
        <f>MROUND(H195*120*'Rate Card'!$B$48,500)</f>
        <v>253000</v>
      </c>
      <c r="M195" s="12">
        <f>MROUND(I195*120*'Rate Card'!$B$48,500)</f>
        <v>126500</v>
      </c>
      <c r="N195" s="14"/>
      <c r="O195" s="49">
        <v>0.92</v>
      </c>
      <c r="P195" s="49">
        <v>1</v>
      </c>
    </row>
    <row r="196" spans="1:16" ht="15" customHeight="1" x14ac:dyDescent="0.3">
      <c r="A196" s="9">
        <v>183</v>
      </c>
      <c r="B196" s="46" t="s">
        <v>352</v>
      </c>
      <c r="C196" s="46" t="s">
        <v>1687</v>
      </c>
      <c r="D196" s="47" t="s">
        <v>368</v>
      </c>
      <c r="E196" s="46" t="s">
        <v>1786</v>
      </c>
      <c r="F196" s="48" t="s">
        <v>116</v>
      </c>
      <c r="G196" s="48"/>
      <c r="H196" s="12">
        <f>MROUND('Rate Card'!$I$13*O196*P196,10)</f>
        <v>2480</v>
      </c>
      <c r="I196" s="12">
        <f>MROUND('Rate Card'!$K$13*O196*P196,10)</f>
        <v>1240</v>
      </c>
      <c r="J196" s="12">
        <f>MROUND(H196*4*'Rate Card'!$B$47,100)</f>
        <v>9400</v>
      </c>
      <c r="K196" s="12">
        <f>MROUND(I196*4*'Rate Card'!$B$47,100)</f>
        <v>4700</v>
      </c>
      <c r="L196" s="12">
        <f>MROUND(H196*120*'Rate Card'!$B$48,500)</f>
        <v>253000</v>
      </c>
      <c r="M196" s="12">
        <f>MROUND(I196*120*'Rate Card'!$B$48,500)</f>
        <v>126500</v>
      </c>
      <c r="N196" s="14"/>
      <c r="O196" s="49">
        <v>0.92</v>
      </c>
      <c r="P196" s="49">
        <v>1</v>
      </c>
    </row>
    <row r="197" spans="1:16" ht="15" customHeight="1" x14ac:dyDescent="0.3">
      <c r="A197" s="9">
        <v>184</v>
      </c>
      <c r="B197" s="46" t="s">
        <v>352</v>
      </c>
      <c r="C197" s="46" t="s">
        <v>1687</v>
      </c>
      <c r="D197" s="47" t="s">
        <v>363</v>
      </c>
      <c r="E197" s="46" t="s">
        <v>195</v>
      </c>
      <c r="F197" s="48" t="s">
        <v>116</v>
      </c>
      <c r="G197" s="48"/>
      <c r="H197" s="12">
        <f>MROUND('Rate Card'!$I$13*O197*P197,10)</f>
        <v>2480</v>
      </c>
      <c r="I197" s="12">
        <f>MROUND('Rate Card'!$K$13*O197*P197,10)</f>
        <v>1240</v>
      </c>
      <c r="J197" s="12">
        <f>MROUND(H197*4*'Rate Card'!$B$47,100)</f>
        <v>9400</v>
      </c>
      <c r="K197" s="12">
        <f>MROUND(I197*4*'Rate Card'!$B$47,100)</f>
        <v>4700</v>
      </c>
      <c r="L197" s="12">
        <f>MROUND(H197*120*'Rate Card'!$B$48,500)</f>
        <v>253000</v>
      </c>
      <c r="M197" s="12">
        <f>MROUND(I197*120*'Rate Card'!$B$48,500)</f>
        <v>126500</v>
      </c>
      <c r="N197" s="14"/>
      <c r="O197" s="49">
        <v>0.92</v>
      </c>
      <c r="P197" s="49">
        <v>1</v>
      </c>
    </row>
    <row r="198" spans="1:16" ht="15" customHeight="1" x14ac:dyDescent="0.3">
      <c r="A198" s="9">
        <v>185</v>
      </c>
      <c r="B198" s="46" t="s">
        <v>352</v>
      </c>
      <c r="C198" s="46" t="s">
        <v>1708</v>
      </c>
      <c r="D198" s="47" t="s">
        <v>373</v>
      </c>
      <c r="E198" s="46" t="s">
        <v>1789</v>
      </c>
      <c r="F198" s="48" t="s">
        <v>116</v>
      </c>
      <c r="G198" s="48"/>
      <c r="H198" s="12">
        <f>MROUND('Rate Card'!$I$13*O198*P198,10)</f>
        <v>2480</v>
      </c>
      <c r="I198" s="12">
        <f>MROUND('Rate Card'!$K$13*O198*P198,10)</f>
        <v>1240</v>
      </c>
      <c r="J198" s="12">
        <f>MROUND(H198*4*'Rate Card'!$B$47,100)</f>
        <v>9400</v>
      </c>
      <c r="K198" s="12">
        <f>MROUND(I198*4*'Rate Card'!$B$47,100)</f>
        <v>4700</v>
      </c>
      <c r="L198" s="12">
        <f>MROUND(H198*120*'Rate Card'!$B$48,500)</f>
        <v>253000</v>
      </c>
      <c r="M198" s="12">
        <f>MROUND(I198*120*'Rate Card'!$B$48,500)</f>
        <v>126500</v>
      </c>
      <c r="N198" s="14"/>
      <c r="O198" s="49">
        <v>0.92</v>
      </c>
      <c r="P198" s="49">
        <v>1</v>
      </c>
    </row>
    <row r="199" spans="1:16" ht="15" customHeight="1" x14ac:dyDescent="0.3">
      <c r="A199" s="9">
        <v>186</v>
      </c>
      <c r="B199" s="46" t="s">
        <v>352</v>
      </c>
      <c r="C199" s="46" t="s">
        <v>1687</v>
      </c>
      <c r="D199" s="47" t="s">
        <v>374</v>
      </c>
      <c r="E199" s="46" t="s">
        <v>1786</v>
      </c>
      <c r="F199" s="48" t="s">
        <v>49</v>
      </c>
      <c r="G199" s="48"/>
      <c r="H199" s="12">
        <f>MROUND('Rate Card'!$I$13*O199*P199,10)</f>
        <v>2480</v>
      </c>
      <c r="I199" s="12">
        <f>MROUND('Rate Card'!$K$13*O199*P199,10)</f>
        <v>1240</v>
      </c>
      <c r="J199" s="12">
        <f>MROUND(H199*4*'Rate Card'!$B$47,100)</f>
        <v>9400</v>
      </c>
      <c r="K199" s="12">
        <f>MROUND(I199*4*'Rate Card'!$B$47,100)</f>
        <v>4700</v>
      </c>
      <c r="L199" s="12">
        <f>MROUND(H199*120*'Rate Card'!$B$48,500)</f>
        <v>253000</v>
      </c>
      <c r="M199" s="12">
        <f>MROUND(I199*120*'Rate Card'!$B$48,500)</f>
        <v>126500</v>
      </c>
      <c r="N199" s="14"/>
      <c r="O199" s="49">
        <v>0.92</v>
      </c>
      <c r="P199" s="49">
        <v>1</v>
      </c>
    </row>
    <row r="200" spans="1:16" ht="15" customHeight="1" x14ac:dyDescent="0.3">
      <c r="A200" s="9">
        <v>187</v>
      </c>
      <c r="B200" s="46" t="s">
        <v>352</v>
      </c>
      <c r="C200" s="46" t="s">
        <v>1687</v>
      </c>
      <c r="D200" s="47" t="s">
        <v>369</v>
      </c>
      <c r="E200" s="46" t="s">
        <v>1786</v>
      </c>
      <c r="F200" s="48" t="s">
        <v>116</v>
      </c>
      <c r="G200" s="48"/>
      <c r="H200" s="12">
        <f>MROUND('Rate Card'!$I$13*O200*P200,10)</f>
        <v>2480</v>
      </c>
      <c r="I200" s="12">
        <f>MROUND('Rate Card'!$K$13*O200*P200,10)</f>
        <v>1240</v>
      </c>
      <c r="J200" s="12">
        <f>MROUND(H200*4*'Rate Card'!$B$47,100)</f>
        <v>9400</v>
      </c>
      <c r="K200" s="12">
        <f>MROUND(I200*4*'Rate Card'!$B$47,100)</f>
        <v>4700</v>
      </c>
      <c r="L200" s="12">
        <f>MROUND(H200*120*'Rate Card'!$B$48,500)</f>
        <v>253000</v>
      </c>
      <c r="M200" s="12">
        <f>MROUND(I200*120*'Rate Card'!$B$48,500)</f>
        <v>126500</v>
      </c>
      <c r="N200" s="14"/>
      <c r="O200" s="49">
        <v>0.92</v>
      </c>
      <c r="P200" s="49">
        <v>1</v>
      </c>
    </row>
    <row r="201" spans="1:16" ht="15" customHeight="1" x14ac:dyDescent="0.3">
      <c r="A201" s="9">
        <v>188</v>
      </c>
      <c r="B201" s="46" t="s">
        <v>352</v>
      </c>
      <c r="C201" s="46" t="s">
        <v>1687</v>
      </c>
      <c r="D201" s="47" t="s">
        <v>355</v>
      </c>
      <c r="E201" s="46" t="s">
        <v>1786</v>
      </c>
      <c r="F201" s="48" t="s">
        <v>23</v>
      </c>
      <c r="G201" s="48"/>
      <c r="H201" s="12">
        <f>MROUND('Rate Card'!$I$13*O201*P201,10)</f>
        <v>2480</v>
      </c>
      <c r="I201" s="12">
        <f>MROUND('Rate Card'!$K$13*O201*P201,10)</f>
        <v>1240</v>
      </c>
      <c r="J201" s="12">
        <f>MROUND(H201*4*'Rate Card'!$B$47,100)</f>
        <v>9400</v>
      </c>
      <c r="K201" s="12">
        <f>MROUND(I201*4*'Rate Card'!$B$47,100)</f>
        <v>4700</v>
      </c>
      <c r="L201" s="12">
        <f>MROUND(H201*120*'Rate Card'!$B$48,500)</f>
        <v>253000</v>
      </c>
      <c r="M201" s="12">
        <f>MROUND(I201*120*'Rate Card'!$B$48,500)</f>
        <v>126500</v>
      </c>
      <c r="N201" s="14"/>
      <c r="O201" s="49">
        <v>0.92</v>
      </c>
      <c r="P201" s="49">
        <v>1</v>
      </c>
    </row>
    <row r="202" spans="1:16" ht="15" customHeight="1" x14ac:dyDescent="0.3">
      <c r="A202" s="9">
        <v>189</v>
      </c>
      <c r="B202" s="46" t="s">
        <v>352</v>
      </c>
      <c r="C202" s="46" t="s">
        <v>1687</v>
      </c>
      <c r="D202" s="47" t="s">
        <v>356</v>
      </c>
      <c r="E202" s="46" t="s">
        <v>1786</v>
      </c>
      <c r="F202" s="48" t="s">
        <v>23</v>
      </c>
      <c r="G202" s="48"/>
      <c r="H202" s="12">
        <f>MROUND('Rate Card'!$I$13*O202*P202,10)</f>
        <v>2480</v>
      </c>
      <c r="I202" s="12">
        <f>MROUND('Rate Card'!$K$13*O202*P202,10)</f>
        <v>1240</v>
      </c>
      <c r="J202" s="12">
        <f>MROUND(H202*4*'Rate Card'!$B$47,100)</f>
        <v>9400</v>
      </c>
      <c r="K202" s="12">
        <f>MROUND(I202*4*'Rate Card'!$B$47,100)</f>
        <v>4700</v>
      </c>
      <c r="L202" s="12">
        <f>MROUND(H202*120*'Rate Card'!$B$48,500)</f>
        <v>253000</v>
      </c>
      <c r="M202" s="12">
        <f>MROUND(I202*120*'Rate Card'!$B$48,500)</f>
        <v>126500</v>
      </c>
      <c r="N202" s="14"/>
      <c r="O202" s="49">
        <v>0.92</v>
      </c>
      <c r="P202" s="49">
        <v>1</v>
      </c>
    </row>
    <row r="203" spans="1:16" ht="15" customHeight="1" x14ac:dyDescent="0.3">
      <c r="A203" s="9">
        <v>190</v>
      </c>
      <c r="B203" s="46" t="s">
        <v>352</v>
      </c>
      <c r="C203" s="46" t="s">
        <v>1687</v>
      </c>
      <c r="D203" s="47" t="s">
        <v>379</v>
      </c>
      <c r="E203" s="46" t="s">
        <v>1790</v>
      </c>
      <c r="F203" s="48" t="s">
        <v>49</v>
      </c>
      <c r="G203" s="48"/>
      <c r="H203" s="12">
        <f>MROUND('Rate Card'!$I$13*O203*P203,10)</f>
        <v>2480</v>
      </c>
      <c r="I203" s="12">
        <f>MROUND('Rate Card'!$K$13*O203*P203,10)</f>
        <v>1240</v>
      </c>
      <c r="J203" s="12">
        <f>MROUND(H203*4*'Rate Card'!$B$47,100)</f>
        <v>9400</v>
      </c>
      <c r="K203" s="12">
        <f>MROUND(I203*4*'Rate Card'!$B$47,100)</f>
        <v>4700</v>
      </c>
      <c r="L203" s="12">
        <f>MROUND(H203*120*'Rate Card'!$B$48,500)</f>
        <v>253000</v>
      </c>
      <c r="M203" s="12">
        <f>MROUND(I203*120*'Rate Card'!$B$48,500)</f>
        <v>126500</v>
      </c>
      <c r="N203" s="14"/>
      <c r="O203" s="49">
        <v>0.92</v>
      </c>
      <c r="P203" s="49">
        <v>1</v>
      </c>
    </row>
    <row r="204" spans="1:16" ht="15" customHeight="1" x14ac:dyDescent="0.3">
      <c r="A204" s="9">
        <v>191</v>
      </c>
      <c r="B204" s="46" t="s">
        <v>352</v>
      </c>
      <c r="C204" s="46" t="s">
        <v>1687</v>
      </c>
      <c r="D204" s="47" t="s">
        <v>364</v>
      </c>
      <c r="E204" s="46" t="s">
        <v>195</v>
      </c>
      <c r="F204" s="48" t="s">
        <v>116</v>
      </c>
      <c r="G204" s="48"/>
      <c r="H204" s="12">
        <f>MROUND('Rate Card'!$I$13*O204*P204,10)</f>
        <v>2210</v>
      </c>
      <c r="I204" s="12">
        <f>MROUND('Rate Card'!$K$13*O204*P204,10)</f>
        <v>1110</v>
      </c>
      <c r="J204" s="12">
        <f>MROUND(H204*4*'Rate Card'!$B$47,100)</f>
        <v>8400</v>
      </c>
      <c r="K204" s="12">
        <f>MROUND(I204*4*'Rate Card'!$B$47,100)</f>
        <v>4200</v>
      </c>
      <c r="L204" s="12">
        <f>MROUND(H204*120*'Rate Card'!$B$48,500)</f>
        <v>225500</v>
      </c>
      <c r="M204" s="12">
        <f>MROUND(I204*120*'Rate Card'!$B$48,500)</f>
        <v>113000</v>
      </c>
      <c r="N204" s="14"/>
      <c r="O204" s="49">
        <v>0.82</v>
      </c>
      <c r="P204" s="49">
        <v>1</v>
      </c>
    </row>
    <row r="205" spans="1:16" ht="15" customHeight="1" x14ac:dyDescent="0.3">
      <c r="A205" s="9">
        <v>192</v>
      </c>
      <c r="B205" s="46" t="s">
        <v>352</v>
      </c>
      <c r="C205" s="46" t="s">
        <v>1687</v>
      </c>
      <c r="D205" s="47" t="s">
        <v>382</v>
      </c>
      <c r="E205" s="46" t="s">
        <v>1791</v>
      </c>
      <c r="F205" s="48" t="s">
        <v>94</v>
      </c>
      <c r="G205" s="48"/>
      <c r="H205" s="12">
        <f>MROUND('Rate Card'!$I$13*O205*P205,10)</f>
        <v>2210</v>
      </c>
      <c r="I205" s="12">
        <f>MROUND('Rate Card'!$K$13*O205*P205,10)</f>
        <v>1110</v>
      </c>
      <c r="J205" s="12">
        <f>MROUND(H205*4*'Rate Card'!$B$47,100)</f>
        <v>8400</v>
      </c>
      <c r="K205" s="12">
        <f>MROUND(I205*4*'Rate Card'!$B$47,100)</f>
        <v>4200</v>
      </c>
      <c r="L205" s="12">
        <f>MROUND(H205*120*'Rate Card'!$B$48,500)</f>
        <v>225500</v>
      </c>
      <c r="M205" s="12">
        <f>MROUND(I205*120*'Rate Card'!$B$48,500)</f>
        <v>113000</v>
      </c>
      <c r="N205" s="14"/>
      <c r="O205" s="49">
        <v>0.82</v>
      </c>
      <c r="P205" s="49">
        <v>1</v>
      </c>
    </row>
    <row r="206" spans="1:16" ht="15" customHeight="1" x14ac:dyDescent="0.3">
      <c r="A206" s="9">
        <v>193</v>
      </c>
      <c r="B206" s="46" t="s">
        <v>352</v>
      </c>
      <c r="C206" s="46" t="s">
        <v>1687</v>
      </c>
      <c r="D206" s="47" t="s">
        <v>359</v>
      </c>
      <c r="E206" s="46" t="s">
        <v>1791</v>
      </c>
      <c r="F206" s="48" t="s">
        <v>23</v>
      </c>
      <c r="G206" s="48"/>
      <c r="H206" s="12">
        <f>MROUND('Rate Card'!$I$13*O206*P206,10)</f>
        <v>2210</v>
      </c>
      <c r="I206" s="12">
        <f>MROUND('Rate Card'!$K$13*O206*P206,10)</f>
        <v>1110</v>
      </c>
      <c r="J206" s="12">
        <f>MROUND(H206*4*'Rate Card'!$B$47,100)</f>
        <v>8400</v>
      </c>
      <c r="K206" s="12">
        <f>MROUND(I206*4*'Rate Card'!$B$47,100)</f>
        <v>4200</v>
      </c>
      <c r="L206" s="12">
        <f>MROUND(H206*120*'Rate Card'!$B$48,500)</f>
        <v>225500</v>
      </c>
      <c r="M206" s="12">
        <f>MROUND(I206*120*'Rate Card'!$B$48,500)</f>
        <v>113000</v>
      </c>
      <c r="N206" s="14"/>
      <c r="O206" s="49">
        <v>0.82</v>
      </c>
      <c r="P206" s="49">
        <v>1</v>
      </c>
    </row>
    <row r="207" spans="1:16" ht="15" customHeight="1" x14ac:dyDescent="0.3">
      <c r="A207" s="9">
        <v>194</v>
      </c>
      <c r="B207" s="46" t="s">
        <v>352</v>
      </c>
      <c r="C207" s="46" t="s">
        <v>1687</v>
      </c>
      <c r="D207" s="47" t="s">
        <v>365</v>
      </c>
      <c r="E207" s="46" t="s">
        <v>195</v>
      </c>
      <c r="F207" s="48" t="s">
        <v>116</v>
      </c>
      <c r="G207" s="48"/>
      <c r="H207" s="12">
        <f>MROUND('Rate Card'!$I$13*O207*P207,10)</f>
        <v>2210</v>
      </c>
      <c r="I207" s="12">
        <f>MROUND('Rate Card'!$K$13*O207*P207,10)</f>
        <v>1110</v>
      </c>
      <c r="J207" s="12">
        <f>MROUND(H207*4*'Rate Card'!$B$47,100)</f>
        <v>8400</v>
      </c>
      <c r="K207" s="12">
        <f>MROUND(I207*4*'Rate Card'!$B$47,100)</f>
        <v>4200</v>
      </c>
      <c r="L207" s="12">
        <f>MROUND(H207*120*'Rate Card'!$B$48,500)</f>
        <v>225500</v>
      </c>
      <c r="M207" s="12">
        <f>MROUND(I207*120*'Rate Card'!$B$48,500)</f>
        <v>113000</v>
      </c>
      <c r="N207" s="14"/>
      <c r="O207" s="49">
        <v>0.82</v>
      </c>
      <c r="P207" s="49">
        <v>1</v>
      </c>
    </row>
    <row r="208" spans="1:16" ht="15" customHeight="1" x14ac:dyDescent="0.3">
      <c r="A208" s="199" t="s">
        <v>385</v>
      </c>
      <c r="B208" s="200"/>
      <c r="C208" s="200"/>
      <c r="D208" s="200"/>
      <c r="E208" s="200"/>
      <c r="F208" s="200"/>
      <c r="G208" s="200"/>
      <c r="H208" s="200"/>
      <c r="I208" s="200"/>
      <c r="J208" s="200"/>
      <c r="K208" s="200"/>
      <c r="L208" s="200"/>
      <c r="M208" s="200"/>
      <c r="N208" s="200"/>
    </row>
    <row r="209" spans="1:16" ht="15" customHeight="1" x14ac:dyDescent="0.3">
      <c r="A209" s="9">
        <v>195</v>
      </c>
      <c r="B209" s="46" t="s">
        <v>386</v>
      </c>
      <c r="C209" s="46" t="s">
        <v>1730</v>
      </c>
      <c r="D209" s="47" t="s">
        <v>388</v>
      </c>
      <c r="E209" s="46" t="s">
        <v>1792</v>
      </c>
      <c r="F209" s="48" t="s">
        <v>31</v>
      </c>
      <c r="G209" s="48"/>
      <c r="H209" s="12">
        <f>MROUND('Rate Card'!$I$14*O209*P209,10)</f>
        <v>8050</v>
      </c>
      <c r="I209" s="12">
        <f>MROUND('Rate Card'!$K$14*O209*P209,10)</f>
        <v>3600</v>
      </c>
      <c r="J209" s="12">
        <f>MROUND(H209*4*'Rate Card'!$B$47,100)</f>
        <v>30600</v>
      </c>
      <c r="K209" s="12">
        <f>MROUND(I209*4*'Rate Card'!$B$47,100)</f>
        <v>13700</v>
      </c>
      <c r="L209" s="12">
        <f>MROUND(H209*120*'Rate Card'!$B$48,500)</f>
        <v>821000</v>
      </c>
      <c r="M209" s="12">
        <f>MROUND(I209*120*'Rate Card'!$B$48,500)</f>
        <v>367000</v>
      </c>
      <c r="N209" s="14"/>
      <c r="O209" s="49">
        <v>1</v>
      </c>
      <c r="P209" s="49">
        <v>1</v>
      </c>
    </row>
    <row r="210" spans="1:16" ht="15" customHeight="1" x14ac:dyDescent="0.3">
      <c r="A210" s="9">
        <v>196</v>
      </c>
      <c r="B210" s="46" t="s">
        <v>386</v>
      </c>
      <c r="C210" s="46" t="s">
        <v>1793</v>
      </c>
      <c r="D210" s="47" t="s">
        <v>390</v>
      </c>
      <c r="E210" s="46" t="s">
        <v>1794</v>
      </c>
      <c r="F210" s="48" t="s">
        <v>45</v>
      </c>
      <c r="G210" s="48"/>
      <c r="H210" s="12">
        <f>MROUND('Rate Card'!$I$14*O210*P210,10)</f>
        <v>7410</v>
      </c>
      <c r="I210" s="12">
        <f>MROUND('Rate Card'!$K$14*O210*P210,10)</f>
        <v>3310</v>
      </c>
      <c r="J210" s="12">
        <f>MROUND(H210*4*'Rate Card'!$B$47,100)</f>
        <v>28200</v>
      </c>
      <c r="K210" s="12">
        <f>MROUND(I210*4*'Rate Card'!$B$47,100)</f>
        <v>12600</v>
      </c>
      <c r="L210" s="12">
        <f>MROUND(H210*120*'Rate Card'!$B$48,500)</f>
        <v>756000</v>
      </c>
      <c r="M210" s="12">
        <f>MROUND(I210*120*'Rate Card'!$B$48,500)</f>
        <v>337500</v>
      </c>
      <c r="N210" s="14"/>
      <c r="O210" s="49">
        <v>0.92</v>
      </c>
      <c r="P210" s="49">
        <v>1</v>
      </c>
    </row>
    <row r="211" spans="1:16" ht="15" customHeight="1" x14ac:dyDescent="0.3">
      <c r="A211" s="9">
        <v>197</v>
      </c>
      <c r="B211" s="46" t="s">
        <v>386</v>
      </c>
      <c r="C211" s="46" t="s">
        <v>1718</v>
      </c>
      <c r="D211" s="47" t="s">
        <v>392</v>
      </c>
      <c r="E211" s="46" t="s">
        <v>1795</v>
      </c>
      <c r="F211" s="48" t="s">
        <v>94</v>
      </c>
      <c r="G211" s="48"/>
      <c r="H211" s="12">
        <f>MROUND('Rate Card'!$I$14*O211*P211,10)</f>
        <v>6600</v>
      </c>
      <c r="I211" s="12">
        <f>MROUND('Rate Card'!$K$14*O211*P211,10)</f>
        <v>2950</v>
      </c>
      <c r="J211" s="12">
        <f>MROUND(H211*4*'Rate Card'!$B$47,100)</f>
        <v>25100</v>
      </c>
      <c r="K211" s="12">
        <f>MROUND(I211*4*'Rate Card'!$B$47,100)</f>
        <v>11200</v>
      </c>
      <c r="L211" s="12">
        <f>MROUND(H211*120*'Rate Card'!$B$48,500)</f>
        <v>673000</v>
      </c>
      <c r="M211" s="12">
        <f>MROUND(I211*120*'Rate Card'!$B$48,500)</f>
        <v>301000</v>
      </c>
      <c r="N211" s="14"/>
      <c r="O211" s="49">
        <v>0.82</v>
      </c>
      <c r="P211" s="49">
        <v>1</v>
      </c>
    </row>
    <row r="212" spans="1:16" ht="15" customHeight="1" x14ac:dyDescent="0.3">
      <c r="A212" s="9">
        <v>198</v>
      </c>
      <c r="B212" s="46" t="s">
        <v>386</v>
      </c>
      <c r="C212" s="46" t="s">
        <v>1718</v>
      </c>
      <c r="D212" s="47" t="s">
        <v>394</v>
      </c>
      <c r="E212" s="46" t="s">
        <v>1796</v>
      </c>
      <c r="F212" s="48" t="s">
        <v>94</v>
      </c>
      <c r="G212" s="48"/>
      <c r="H212" s="12">
        <f>MROUND('Rate Card'!$I$14*O212*P212,10)</f>
        <v>6600</v>
      </c>
      <c r="I212" s="12">
        <f>MROUND('Rate Card'!$K$14*O212*P212,10)</f>
        <v>2950</v>
      </c>
      <c r="J212" s="12">
        <f>MROUND(H212*4*'Rate Card'!$B$47,100)</f>
        <v>25100</v>
      </c>
      <c r="K212" s="12">
        <f>MROUND(I212*4*'Rate Card'!$B$47,100)</f>
        <v>11200</v>
      </c>
      <c r="L212" s="12">
        <f>MROUND(H212*120*'Rate Card'!$B$48,500)</f>
        <v>673000</v>
      </c>
      <c r="M212" s="12">
        <f>MROUND(I212*120*'Rate Card'!$B$48,500)</f>
        <v>301000</v>
      </c>
      <c r="N212" s="14"/>
      <c r="O212" s="49">
        <v>0.82</v>
      </c>
      <c r="P212" s="49">
        <v>1</v>
      </c>
    </row>
    <row r="213" spans="1:16" ht="15" customHeight="1" x14ac:dyDescent="0.3">
      <c r="A213" s="9">
        <v>199</v>
      </c>
      <c r="B213" s="46" t="s">
        <v>386</v>
      </c>
      <c r="C213" s="46" t="s">
        <v>1718</v>
      </c>
      <c r="D213" s="47" t="s">
        <v>396</v>
      </c>
      <c r="E213" s="46" t="s">
        <v>1797</v>
      </c>
      <c r="F213" s="48" t="s">
        <v>99</v>
      </c>
      <c r="G213" s="48"/>
      <c r="H213" s="12">
        <f>MROUND('Rate Card'!$I$14*O213*P213,10)</f>
        <v>6600</v>
      </c>
      <c r="I213" s="12">
        <f>MROUND('Rate Card'!$K$14*O213*P213,10)</f>
        <v>2950</v>
      </c>
      <c r="J213" s="12">
        <f>MROUND(H213*4*'Rate Card'!$B$47,100)</f>
        <v>25100</v>
      </c>
      <c r="K213" s="12">
        <f>MROUND(I213*4*'Rate Card'!$B$47,100)</f>
        <v>11200</v>
      </c>
      <c r="L213" s="12">
        <f>MROUND(H213*120*'Rate Card'!$B$48,500)</f>
        <v>673000</v>
      </c>
      <c r="M213" s="12">
        <f>MROUND(I213*120*'Rate Card'!$B$48,500)</f>
        <v>301000</v>
      </c>
      <c r="N213" s="14"/>
      <c r="O213" s="49">
        <v>0.82</v>
      </c>
      <c r="P213" s="49">
        <v>1</v>
      </c>
    </row>
    <row r="214" spans="1:16" ht="15" customHeight="1" x14ac:dyDescent="0.3">
      <c r="A214" s="9">
        <v>200</v>
      </c>
      <c r="B214" s="46" t="s">
        <v>386</v>
      </c>
      <c r="C214" s="46" t="s">
        <v>1798</v>
      </c>
      <c r="D214" s="47" t="s">
        <v>398</v>
      </c>
      <c r="E214" s="46" t="s">
        <v>195</v>
      </c>
      <c r="F214" s="48" t="s">
        <v>66</v>
      </c>
      <c r="G214" s="48"/>
      <c r="H214" s="12">
        <f>MROUND('Rate Card'!$I$14*O214*P214,10)</f>
        <v>6600</v>
      </c>
      <c r="I214" s="12">
        <f>MROUND('Rate Card'!$K$14*O214*P214,10)</f>
        <v>2950</v>
      </c>
      <c r="J214" s="12">
        <f>MROUND(H214*4*'Rate Card'!$B$47,100)</f>
        <v>25100</v>
      </c>
      <c r="K214" s="12">
        <f>MROUND(I214*4*'Rate Card'!$B$47,100)</f>
        <v>11200</v>
      </c>
      <c r="L214" s="12">
        <f>MROUND(H214*120*'Rate Card'!$B$48,500)</f>
        <v>673000</v>
      </c>
      <c r="M214" s="12">
        <f>MROUND(I214*120*'Rate Card'!$B$48,500)</f>
        <v>301000</v>
      </c>
      <c r="N214" s="14"/>
      <c r="O214" s="49">
        <v>0.82</v>
      </c>
      <c r="P214" s="49">
        <v>1</v>
      </c>
    </row>
    <row r="215" spans="1:16" ht="15" customHeight="1" x14ac:dyDescent="0.3">
      <c r="A215" s="9">
        <v>201</v>
      </c>
      <c r="B215" s="46" t="s">
        <v>386</v>
      </c>
      <c r="C215" s="46" t="s">
        <v>1799</v>
      </c>
      <c r="D215" s="47" t="s">
        <v>400</v>
      </c>
      <c r="E215" s="46" t="s">
        <v>1800</v>
      </c>
      <c r="F215" s="48" t="s">
        <v>66</v>
      </c>
      <c r="G215" s="48"/>
      <c r="H215" s="12">
        <f>MROUND('Rate Card'!$I$14*O215*P215,10)</f>
        <v>6600</v>
      </c>
      <c r="I215" s="12">
        <f>MROUND('Rate Card'!$K$14*O215*P215,10)</f>
        <v>2950</v>
      </c>
      <c r="J215" s="12">
        <f>MROUND(H215*4*'Rate Card'!$B$47,100)</f>
        <v>25100</v>
      </c>
      <c r="K215" s="12">
        <f>MROUND(I215*4*'Rate Card'!$B$47,100)</f>
        <v>11200</v>
      </c>
      <c r="L215" s="12">
        <f>MROUND(H215*120*'Rate Card'!$B$48,500)</f>
        <v>673000</v>
      </c>
      <c r="M215" s="12">
        <f>MROUND(I215*120*'Rate Card'!$B$48,500)</f>
        <v>301000</v>
      </c>
      <c r="N215" s="14"/>
      <c r="O215" s="49">
        <v>0.82</v>
      </c>
      <c r="P215" s="49">
        <v>1</v>
      </c>
    </row>
    <row r="216" spans="1:16" ht="15" customHeight="1" x14ac:dyDescent="0.3">
      <c r="A216" s="9">
        <v>202</v>
      </c>
      <c r="B216" s="46" t="s">
        <v>386</v>
      </c>
      <c r="C216" s="46" t="s">
        <v>1799</v>
      </c>
      <c r="D216" s="47" t="s">
        <v>402</v>
      </c>
      <c r="E216" s="46" t="s">
        <v>1801</v>
      </c>
      <c r="F216" s="48" t="s">
        <v>66</v>
      </c>
      <c r="G216" s="48"/>
      <c r="H216" s="12">
        <f>MROUND('Rate Card'!$I$14*O216*P216,10)</f>
        <v>6600</v>
      </c>
      <c r="I216" s="12">
        <f>MROUND('Rate Card'!$K$14*O216*P216,10)</f>
        <v>2950</v>
      </c>
      <c r="J216" s="12">
        <f>MROUND(H216*4*'Rate Card'!$B$47,100)</f>
        <v>25100</v>
      </c>
      <c r="K216" s="12">
        <f>MROUND(I216*4*'Rate Card'!$B$47,100)</f>
        <v>11200</v>
      </c>
      <c r="L216" s="12">
        <f>MROUND(H216*120*'Rate Card'!$B$48,500)</f>
        <v>673000</v>
      </c>
      <c r="M216" s="12">
        <f>MROUND(I216*120*'Rate Card'!$B$48,500)</f>
        <v>301000</v>
      </c>
      <c r="N216" s="14"/>
      <c r="O216" s="49">
        <v>0.82</v>
      </c>
      <c r="P216" s="49">
        <v>1</v>
      </c>
    </row>
    <row r="217" spans="1:16" ht="15" customHeight="1" x14ac:dyDescent="0.3">
      <c r="A217" s="9">
        <v>203</v>
      </c>
      <c r="B217" s="46" t="s">
        <v>386</v>
      </c>
      <c r="C217" s="46" t="s">
        <v>1799</v>
      </c>
      <c r="D217" s="47" t="s">
        <v>404</v>
      </c>
      <c r="E217" s="46" t="s">
        <v>1802</v>
      </c>
      <c r="F217" s="48" t="s">
        <v>73</v>
      </c>
      <c r="G217" s="48"/>
      <c r="H217" s="12">
        <f>MROUND('Rate Card'!$I$14*O217*P217,10)</f>
        <v>5800</v>
      </c>
      <c r="I217" s="12">
        <f>MROUND('Rate Card'!$K$14*O217*P217,10)</f>
        <v>2590</v>
      </c>
      <c r="J217" s="12">
        <f>MROUND(H217*4*'Rate Card'!$B$47,100)</f>
        <v>22000</v>
      </c>
      <c r="K217" s="12">
        <f>MROUND(I217*4*'Rate Card'!$B$47,100)</f>
        <v>9800</v>
      </c>
      <c r="L217" s="12">
        <f>MROUND(H217*120*'Rate Card'!$B$48,500)</f>
        <v>591500</v>
      </c>
      <c r="M217" s="12">
        <f>MROUND(I217*120*'Rate Card'!$B$48,500)</f>
        <v>264000</v>
      </c>
      <c r="N217" s="14" t="s">
        <v>1693</v>
      </c>
      <c r="O217" s="49">
        <v>0.72</v>
      </c>
      <c r="P217" s="49">
        <v>1</v>
      </c>
    </row>
    <row r="218" spans="1:16" ht="15" customHeight="1" x14ac:dyDescent="0.3">
      <c r="A218" s="9">
        <v>204</v>
      </c>
      <c r="B218" s="46" t="s">
        <v>386</v>
      </c>
      <c r="C218" s="46" t="s">
        <v>1740</v>
      </c>
      <c r="D218" s="47" t="s">
        <v>405</v>
      </c>
      <c r="E218" s="46" t="s">
        <v>195</v>
      </c>
      <c r="F218" s="48" t="s">
        <v>195</v>
      </c>
      <c r="G218" s="48"/>
      <c r="H218" s="12">
        <f>MROUND('Rate Card'!$I$14*O218*P218,10)</f>
        <v>4670</v>
      </c>
      <c r="I218" s="12">
        <f>MROUND('Rate Card'!$K$14*O218*P218,10)</f>
        <v>2090</v>
      </c>
      <c r="J218" s="12">
        <f>MROUND(H218*4*'Rate Card'!$B$47,100)</f>
        <v>17700</v>
      </c>
      <c r="K218" s="12">
        <f>MROUND(I218*4*'Rate Card'!$B$47,100)</f>
        <v>7900</v>
      </c>
      <c r="L218" s="12">
        <f>MROUND(H218*120*'Rate Card'!$B$48,500)</f>
        <v>476500</v>
      </c>
      <c r="M218" s="12">
        <f>MROUND(I218*120*'Rate Card'!$B$48,500)</f>
        <v>213000</v>
      </c>
      <c r="N218" s="14" t="s">
        <v>1744</v>
      </c>
      <c r="O218" s="49">
        <v>0.57999999999999996</v>
      </c>
      <c r="P218" s="49">
        <v>1</v>
      </c>
    </row>
    <row r="219" spans="1:16" ht="15" customHeight="1" x14ac:dyDescent="0.3">
      <c r="A219" s="9">
        <v>205</v>
      </c>
      <c r="B219" s="46" t="s">
        <v>386</v>
      </c>
      <c r="C219" s="46" t="s">
        <v>1740</v>
      </c>
      <c r="D219" s="47" t="s">
        <v>406</v>
      </c>
      <c r="E219" s="46" t="s">
        <v>195</v>
      </c>
      <c r="F219" s="48" t="s">
        <v>195</v>
      </c>
      <c r="G219" s="48"/>
      <c r="H219" s="12">
        <f>MROUND('Rate Card'!$I$14*O219*P219,10)</f>
        <v>4670</v>
      </c>
      <c r="I219" s="12">
        <f>MROUND('Rate Card'!$K$14*O219*P219,10)</f>
        <v>2090</v>
      </c>
      <c r="J219" s="12">
        <f>MROUND(H219*4*'Rate Card'!$B$47,100)</f>
        <v>17700</v>
      </c>
      <c r="K219" s="12">
        <f>MROUND(I219*4*'Rate Card'!$B$47,100)</f>
        <v>7900</v>
      </c>
      <c r="L219" s="12">
        <f>MROUND(H219*120*'Rate Card'!$B$48,500)</f>
        <v>476500</v>
      </c>
      <c r="M219" s="12">
        <f>MROUND(I219*120*'Rate Card'!$B$48,500)</f>
        <v>213000</v>
      </c>
      <c r="N219" s="14" t="s">
        <v>1744</v>
      </c>
      <c r="O219" s="49">
        <v>0.57999999999999996</v>
      </c>
      <c r="P219" s="49">
        <v>1</v>
      </c>
    </row>
    <row r="220" spans="1:16" ht="15" customHeight="1" x14ac:dyDescent="0.3">
      <c r="A220" s="199" t="s">
        <v>407</v>
      </c>
      <c r="B220" s="200"/>
      <c r="C220" s="200"/>
      <c r="D220" s="200"/>
      <c r="E220" s="200"/>
      <c r="F220" s="200"/>
      <c r="G220" s="200"/>
      <c r="H220" s="200"/>
      <c r="I220" s="200"/>
      <c r="J220" s="200"/>
      <c r="K220" s="200"/>
      <c r="L220" s="200"/>
      <c r="M220" s="200"/>
      <c r="N220" s="200"/>
    </row>
    <row r="221" spans="1:16" ht="15" customHeight="1" x14ac:dyDescent="0.3">
      <c r="A221" s="9">
        <v>206</v>
      </c>
      <c r="B221" s="46" t="s">
        <v>408</v>
      </c>
      <c r="C221" s="46" t="s">
        <v>1803</v>
      </c>
      <c r="D221" s="47" t="s">
        <v>410</v>
      </c>
      <c r="E221" s="46" t="s">
        <v>1804</v>
      </c>
      <c r="F221" s="48" t="s">
        <v>45</v>
      </c>
      <c r="G221" s="48" t="s">
        <v>411</v>
      </c>
      <c r="H221" s="12">
        <f>MROUND('Rate Card'!$I$15*O221*P221,10)</f>
        <v>3220</v>
      </c>
      <c r="I221" s="12">
        <f>MROUND('Rate Card'!$K$15*O221*P221,10)</f>
        <v>1610</v>
      </c>
      <c r="J221" s="12">
        <f>MROUND(H221*4*'Rate Card'!$B$47,100)</f>
        <v>12200</v>
      </c>
      <c r="K221" s="12">
        <f>MROUND(I221*4*'Rate Card'!$B$47,100)</f>
        <v>6100</v>
      </c>
      <c r="L221" s="12">
        <f>MROUND(H221*120*'Rate Card'!$B$48,500)</f>
        <v>328500</v>
      </c>
      <c r="M221" s="12">
        <f>MROUND(I221*120*'Rate Card'!$B$48,500)</f>
        <v>164000</v>
      </c>
      <c r="N221" s="14"/>
      <c r="O221" s="49">
        <v>0.92</v>
      </c>
      <c r="P221" s="49">
        <v>1</v>
      </c>
    </row>
    <row r="222" spans="1:16" ht="15" customHeight="1" x14ac:dyDescent="0.3">
      <c r="A222" s="9">
        <v>207</v>
      </c>
      <c r="B222" s="46" t="s">
        <v>408</v>
      </c>
      <c r="C222" s="46" t="s">
        <v>1711</v>
      </c>
      <c r="D222" s="47" t="s">
        <v>413</v>
      </c>
      <c r="E222" s="46" t="s">
        <v>1805</v>
      </c>
      <c r="F222" s="48" t="s">
        <v>99</v>
      </c>
      <c r="G222" s="48" t="s">
        <v>414</v>
      </c>
      <c r="H222" s="12">
        <f>MROUND('Rate Card'!$I$15*O222*P222,10)</f>
        <v>2870</v>
      </c>
      <c r="I222" s="12">
        <f>MROUND('Rate Card'!$K$15*O222*P222,10)</f>
        <v>1440</v>
      </c>
      <c r="J222" s="12">
        <f>MROUND(H222*4*'Rate Card'!$B$47,100)</f>
        <v>10900</v>
      </c>
      <c r="K222" s="12">
        <f>MROUND(I222*4*'Rate Card'!$B$47,100)</f>
        <v>5500</v>
      </c>
      <c r="L222" s="12">
        <f>MROUND(H222*120*'Rate Card'!$B$48,500)</f>
        <v>292500</v>
      </c>
      <c r="M222" s="12">
        <f>MROUND(I222*120*'Rate Card'!$B$48,500)</f>
        <v>147000</v>
      </c>
      <c r="N222" s="14"/>
      <c r="O222" s="49">
        <v>0.82</v>
      </c>
      <c r="P222" s="49">
        <v>1</v>
      </c>
    </row>
    <row r="223" spans="1:16" ht="15" customHeight="1" x14ac:dyDescent="0.3">
      <c r="A223" s="9">
        <v>208</v>
      </c>
      <c r="B223" s="46" t="s">
        <v>408</v>
      </c>
      <c r="C223" s="46" t="s">
        <v>1806</v>
      </c>
      <c r="D223" s="47" t="s">
        <v>416</v>
      </c>
      <c r="E223" s="46" t="s">
        <v>1807</v>
      </c>
      <c r="F223" s="48" t="s">
        <v>66</v>
      </c>
      <c r="G223" s="48" t="s">
        <v>417</v>
      </c>
      <c r="H223" s="12">
        <f>MROUND('Rate Card'!$I$15*O223*P223,10)</f>
        <v>2870</v>
      </c>
      <c r="I223" s="12">
        <f>MROUND('Rate Card'!$K$15*O223*P223,10)</f>
        <v>1440</v>
      </c>
      <c r="J223" s="12">
        <f>MROUND(H223*4*'Rate Card'!$B$47,100)</f>
        <v>10900</v>
      </c>
      <c r="K223" s="12">
        <f>MROUND(I223*4*'Rate Card'!$B$47,100)</f>
        <v>5500</v>
      </c>
      <c r="L223" s="12">
        <f>MROUND(H223*120*'Rate Card'!$B$48,500)</f>
        <v>292500</v>
      </c>
      <c r="M223" s="12">
        <f>MROUND(I223*120*'Rate Card'!$B$48,500)</f>
        <v>147000</v>
      </c>
      <c r="N223" s="14"/>
      <c r="O223" s="49">
        <v>0.82</v>
      </c>
      <c r="P223" s="49">
        <v>1</v>
      </c>
    </row>
    <row r="224" spans="1:16" ht="15" customHeight="1" x14ac:dyDescent="0.3">
      <c r="A224" s="9">
        <v>209</v>
      </c>
      <c r="B224" s="46" t="s">
        <v>408</v>
      </c>
      <c r="C224" s="46" t="s">
        <v>1716</v>
      </c>
      <c r="D224" s="47" t="s">
        <v>419</v>
      </c>
      <c r="E224" s="46" t="s">
        <v>1808</v>
      </c>
      <c r="F224" s="48" t="s">
        <v>421</v>
      </c>
      <c r="G224" s="48" t="s">
        <v>420</v>
      </c>
      <c r="H224" s="12">
        <f>MROUND('Rate Card'!$I$15*O224*P224,10)</f>
        <v>2030</v>
      </c>
      <c r="I224" s="12">
        <f>MROUND('Rate Card'!$K$15*O224*P224,10)</f>
        <v>1010</v>
      </c>
      <c r="J224" s="12">
        <f>MROUND(H224*4*'Rate Card'!$B$47,100)</f>
        <v>7700</v>
      </c>
      <c r="K224" s="12">
        <f>MROUND(I224*4*'Rate Card'!$B$47,100)</f>
        <v>3800</v>
      </c>
      <c r="L224" s="12">
        <f>MROUND(H224*120*'Rate Card'!$B$48,500)</f>
        <v>207000</v>
      </c>
      <c r="M224" s="12">
        <f>MROUND(I224*120*'Rate Card'!$B$48,500)</f>
        <v>103000</v>
      </c>
      <c r="N224" s="14" t="s">
        <v>1697</v>
      </c>
      <c r="O224" s="49">
        <v>0.57999999999999996</v>
      </c>
      <c r="P224" s="49">
        <v>1</v>
      </c>
    </row>
    <row r="225" spans="1:16" ht="15" customHeight="1" x14ac:dyDescent="0.3">
      <c r="A225" s="199" t="s">
        <v>422</v>
      </c>
      <c r="B225" s="200"/>
      <c r="C225" s="200"/>
      <c r="D225" s="200"/>
      <c r="E225" s="200"/>
      <c r="F225" s="200"/>
      <c r="G225" s="200"/>
      <c r="H225" s="200"/>
      <c r="I225" s="200"/>
      <c r="J225" s="200"/>
      <c r="K225" s="200"/>
      <c r="L225" s="200"/>
      <c r="M225" s="200"/>
      <c r="N225" s="200"/>
    </row>
    <row r="226" spans="1:16" ht="15" customHeight="1" x14ac:dyDescent="0.3">
      <c r="A226" s="9">
        <v>210</v>
      </c>
      <c r="B226" s="46" t="s">
        <v>423</v>
      </c>
      <c r="C226" s="46" t="s">
        <v>1809</v>
      </c>
      <c r="D226" s="47" t="s">
        <v>425</v>
      </c>
      <c r="E226" s="46" t="s">
        <v>1810</v>
      </c>
      <c r="F226" s="48" t="s">
        <v>427</v>
      </c>
      <c r="G226" s="48" t="s">
        <v>426</v>
      </c>
      <c r="H226" s="12">
        <f>MROUND('Rate Card'!$I$16*O226*P226,10)</f>
        <v>5100</v>
      </c>
      <c r="I226" s="12">
        <f>MROUND('Rate Card'!$K$16*O226*P226,10)</f>
        <v>2550</v>
      </c>
      <c r="J226" s="12">
        <f>MROUND(H226*4*'Rate Card'!$B$47,100)</f>
        <v>19400</v>
      </c>
      <c r="K226" s="12">
        <f>MROUND(I226*4*'Rate Card'!$B$47,100)</f>
        <v>9700</v>
      </c>
      <c r="L226" s="12">
        <f>MROUND(H226*120*'Rate Card'!$B$48,500)</f>
        <v>520000</v>
      </c>
      <c r="M226" s="12">
        <f>MROUND(I226*120*'Rate Card'!$B$48,500)</f>
        <v>260000</v>
      </c>
      <c r="N226" s="14" t="s">
        <v>1697</v>
      </c>
      <c r="O226" s="49">
        <v>0.57999999999999996</v>
      </c>
      <c r="P226" s="49">
        <v>1</v>
      </c>
    </row>
    <row r="227" spans="1:16" ht="15" customHeight="1" x14ac:dyDescent="0.3">
      <c r="A227" s="9">
        <v>211</v>
      </c>
      <c r="B227" s="46" t="s">
        <v>423</v>
      </c>
      <c r="C227" s="46" t="s">
        <v>1811</v>
      </c>
      <c r="D227" s="47" t="s">
        <v>429</v>
      </c>
      <c r="E227" s="46" t="s">
        <v>1812</v>
      </c>
      <c r="F227" s="48" t="s">
        <v>431</v>
      </c>
      <c r="G227" s="48" t="s">
        <v>430</v>
      </c>
      <c r="H227" s="12">
        <f>MROUND('Rate Card'!$I$16*O227*P227,10)</f>
        <v>5100</v>
      </c>
      <c r="I227" s="12">
        <f>MROUND('Rate Card'!$K$16*O227*P227,10)</f>
        <v>2550</v>
      </c>
      <c r="J227" s="12">
        <f>MROUND(H227*4*'Rate Card'!$B$47,100)</f>
        <v>19400</v>
      </c>
      <c r="K227" s="12">
        <f>MROUND(I227*4*'Rate Card'!$B$47,100)</f>
        <v>9700</v>
      </c>
      <c r="L227" s="12">
        <f>MROUND(H227*120*'Rate Card'!$B$48,500)</f>
        <v>520000</v>
      </c>
      <c r="M227" s="12">
        <f>MROUND(I227*120*'Rate Card'!$B$48,500)</f>
        <v>260000</v>
      </c>
      <c r="N227" s="14" t="s">
        <v>1697</v>
      </c>
      <c r="O227" s="49">
        <v>0.57999999999999996</v>
      </c>
      <c r="P227" s="49">
        <v>1</v>
      </c>
    </row>
    <row r="228" spans="1:16" ht="15" customHeight="1" x14ac:dyDescent="0.3">
      <c r="A228" s="199" t="s">
        <v>432</v>
      </c>
      <c r="B228" s="200"/>
      <c r="C228" s="200"/>
      <c r="D228" s="200"/>
      <c r="E228" s="200"/>
      <c r="F228" s="200"/>
      <c r="G228" s="200"/>
      <c r="H228" s="200"/>
      <c r="I228" s="200"/>
      <c r="J228" s="200"/>
      <c r="K228" s="200"/>
      <c r="L228" s="200"/>
      <c r="M228" s="200"/>
      <c r="N228" s="200"/>
    </row>
    <row r="229" spans="1:16" ht="15" customHeight="1" x14ac:dyDescent="0.3">
      <c r="A229" s="9">
        <v>212</v>
      </c>
      <c r="B229" s="46" t="s">
        <v>433</v>
      </c>
      <c r="C229" s="46" t="s">
        <v>1711</v>
      </c>
      <c r="D229" s="47" t="s">
        <v>435</v>
      </c>
      <c r="E229" s="46" t="s">
        <v>1813</v>
      </c>
      <c r="F229" s="48" t="s">
        <v>73</v>
      </c>
      <c r="G229" s="48" t="s">
        <v>436</v>
      </c>
      <c r="H229" s="12">
        <f>MROUND('Rate Card'!$I$17*O229*P229,10)</f>
        <v>3600</v>
      </c>
      <c r="I229" s="12">
        <f>MROUND('Rate Card'!$K$17*O229*P229,10)</f>
        <v>1800</v>
      </c>
      <c r="J229" s="12">
        <f>MROUND(H229*4*'Rate Card'!$B$47,100)</f>
        <v>13700</v>
      </c>
      <c r="K229" s="12">
        <f>MROUND(I229*4*'Rate Card'!$B$47,100)</f>
        <v>6800</v>
      </c>
      <c r="L229" s="12">
        <f>MROUND(H229*120*'Rate Card'!$B$48,500)</f>
        <v>367000</v>
      </c>
      <c r="M229" s="12">
        <f>MROUND(I229*120*'Rate Card'!$B$48,500)</f>
        <v>183500</v>
      </c>
      <c r="N229" s="14" t="s">
        <v>1693</v>
      </c>
      <c r="O229" s="49">
        <v>0.72</v>
      </c>
      <c r="P229" s="49">
        <v>1</v>
      </c>
    </row>
    <row r="230" spans="1:16" ht="15" customHeight="1" x14ac:dyDescent="0.3">
      <c r="A230" s="9">
        <v>213</v>
      </c>
      <c r="B230" s="46" t="s">
        <v>433</v>
      </c>
      <c r="C230" s="46" t="s">
        <v>1720</v>
      </c>
      <c r="D230" s="47" t="s">
        <v>438</v>
      </c>
      <c r="E230" s="46" t="s">
        <v>1814</v>
      </c>
      <c r="F230" s="48" t="s">
        <v>440</v>
      </c>
      <c r="G230" s="48" t="s">
        <v>439</v>
      </c>
      <c r="H230" s="12">
        <f>MROUND('Rate Card'!$I$17*O230*P230,10)</f>
        <v>3600</v>
      </c>
      <c r="I230" s="12">
        <f>MROUND('Rate Card'!$K$17*O230*P230,10)</f>
        <v>1800</v>
      </c>
      <c r="J230" s="12">
        <f>MROUND(H230*4*'Rate Card'!$B$47,100)</f>
        <v>13700</v>
      </c>
      <c r="K230" s="12">
        <f>MROUND(I230*4*'Rate Card'!$B$47,100)</f>
        <v>6800</v>
      </c>
      <c r="L230" s="12">
        <f>MROUND(H230*120*'Rate Card'!$B$48,500)</f>
        <v>367000</v>
      </c>
      <c r="M230" s="12">
        <f>MROUND(I230*120*'Rate Card'!$B$48,500)</f>
        <v>183500</v>
      </c>
      <c r="N230" s="14" t="s">
        <v>1693</v>
      </c>
      <c r="O230" s="49">
        <v>0.72</v>
      </c>
      <c r="P230" s="49">
        <v>1</v>
      </c>
    </row>
    <row r="231" spans="1:16" ht="15" customHeight="1" x14ac:dyDescent="0.3">
      <c r="A231" s="9">
        <v>214</v>
      </c>
      <c r="B231" s="46" t="s">
        <v>433</v>
      </c>
      <c r="C231" s="46" t="s">
        <v>1720</v>
      </c>
      <c r="D231" s="47" t="s">
        <v>442</v>
      </c>
      <c r="E231" s="46" t="s">
        <v>1815</v>
      </c>
      <c r="F231" s="48" t="s">
        <v>139</v>
      </c>
      <c r="G231" s="48" t="s">
        <v>443</v>
      </c>
      <c r="H231" s="12">
        <f>MROUND('Rate Card'!$I$17*O231*P231,10)</f>
        <v>3250</v>
      </c>
      <c r="I231" s="12">
        <f>MROUND('Rate Card'!$K$17*O231*P231,10)</f>
        <v>1630</v>
      </c>
      <c r="J231" s="12">
        <f>MROUND(H231*4*'Rate Card'!$B$47,100)</f>
        <v>12400</v>
      </c>
      <c r="K231" s="12">
        <f>MROUND(I231*4*'Rate Card'!$B$47,100)</f>
        <v>6200</v>
      </c>
      <c r="L231" s="12">
        <f>MROUND(H231*120*'Rate Card'!$B$48,500)</f>
        <v>331500</v>
      </c>
      <c r="M231" s="12">
        <f>MROUND(I231*120*'Rate Card'!$B$48,500)</f>
        <v>166500</v>
      </c>
      <c r="N231" s="14" t="s">
        <v>1694</v>
      </c>
      <c r="O231" s="49">
        <v>0.65</v>
      </c>
      <c r="P231" s="49">
        <v>1</v>
      </c>
    </row>
    <row r="232" spans="1:16" ht="15" customHeight="1" x14ac:dyDescent="0.3">
      <c r="A232" s="9">
        <v>215</v>
      </c>
      <c r="B232" s="46" t="s">
        <v>433</v>
      </c>
      <c r="C232" s="46" t="s">
        <v>1816</v>
      </c>
      <c r="D232" s="47" t="s">
        <v>445</v>
      </c>
      <c r="E232" s="46" t="s">
        <v>195</v>
      </c>
      <c r="F232" s="48" t="s">
        <v>147</v>
      </c>
      <c r="G232" s="48" t="s">
        <v>446</v>
      </c>
      <c r="H232" s="12">
        <f>MROUND('Rate Card'!$I$17*O232*P232,10)</f>
        <v>2900</v>
      </c>
      <c r="I232" s="12">
        <f>MROUND('Rate Card'!$K$17*O232*P232,10)</f>
        <v>1450</v>
      </c>
      <c r="J232" s="12">
        <f>MROUND(H232*4*'Rate Card'!$B$47,100)</f>
        <v>11000</v>
      </c>
      <c r="K232" s="12">
        <f>MROUND(I232*4*'Rate Card'!$B$47,100)</f>
        <v>5500</v>
      </c>
      <c r="L232" s="12">
        <f>MROUND(H232*120*'Rate Card'!$B$48,500)</f>
        <v>296000</v>
      </c>
      <c r="M232" s="12">
        <f>MROUND(I232*120*'Rate Card'!$B$48,500)</f>
        <v>148000</v>
      </c>
      <c r="N232" s="14" t="s">
        <v>1697</v>
      </c>
      <c r="O232" s="49">
        <v>0.57999999999999996</v>
      </c>
      <c r="P232" s="49">
        <v>1</v>
      </c>
    </row>
    <row r="233" spans="1:16" ht="15" customHeight="1" x14ac:dyDescent="0.3">
      <c r="A233" s="199" t="s">
        <v>447</v>
      </c>
      <c r="B233" s="200"/>
      <c r="C233" s="200"/>
      <c r="D233" s="200"/>
      <c r="E233" s="200"/>
      <c r="F233" s="200"/>
      <c r="G233" s="200"/>
      <c r="H233" s="200"/>
      <c r="I233" s="200"/>
      <c r="J233" s="200"/>
      <c r="K233" s="200"/>
      <c r="L233" s="200"/>
      <c r="M233" s="200"/>
      <c r="N233" s="200"/>
    </row>
    <row r="234" spans="1:16" ht="15" customHeight="1" x14ac:dyDescent="0.3">
      <c r="A234" s="9">
        <v>216</v>
      </c>
      <c r="B234" s="46" t="s">
        <v>448</v>
      </c>
      <c r="C234" s="46" t="s">
        <v>1817</v>
      </c>
      <c r="D234" s="47" t="s">
        <v>450</v>
      </c>
      <c r="E234" s="46" t="s">
        <v>1818</v>
      </c>
      <c r="F234" s="48" t="s">
        <v>49</v>
      </c>
      <c r="G234" s="48" t="s">
        <v>451</v>
      </c>
      <c r="H234" s="12">
        <f>MROUND('Rate Card'!$I$18*O234*P234,10)</f>
        <v>4460</v>
      </c>
      <c r="I234" s="12">
        <f>MROUND('Rate Card'!$K$18*O234*P234,10)</f>
        <v>2250</v>
      </c>
      <c r="J234" s="12">
        <f>MROUND(H234*4*'Rate Card'!$B$47,100)</f>
        <v>16900</v>
      </c>
      <c r="K234" s="12">
        <f>MROUND(I234*4*'Rate Card'!$B$47,100)</f>
        <v>8600</v>
      </c>
      <c r="L234" s="12">
        <f>MROUND(H234*120*'Rate Card'!$B$48,500)</f>
        <v>455000</v>
      </c>
      <c r="M234" s="12">
        <f>MROUND(I234*120*'Rate Card'!$B$48,500)</f>
        <v>229500</v>
      </c>
      <c r="N234" s="14"/>
      <c r="O234" s="49">
        <v>0.92</v>
      </c>
      <c r="P234" s="49">
        <v>1</v>
      </c>
    </row>
    <row r="235" spans="1:16" ht="15" customHeight="1" x14ac:dyDescent="0.3">
      <c r="A235" s="9">
        <v>217</v>
      </c>
      <c r="B235" s="46" t="s">
        <v>448</v>
      </c>
      <c r="C235" s="46" t="s">
        <v>1819</v>
      </c>
      <c r="D235" s="47" t="s">
        <v>453</v>
      </c>
      <c r="E235" s="46" t="s">
        <v>1820</v>
      </c>
      <c r="F235" s="48" t="s">
        <v>66</v>
      </c>
      <c r="G235" s="48" t="s">
        <v>454</v>
      </c>
      <c r="H235" s="12">
        <f>MROUND('Rate Card'!$I$18*O235*P235,10)</f>
        <v>3980</v>
      </c>
      <c r="I235" s="12">
        <f>MROUND('Rate Card'!$K$18*O235*P235,10)</f>
        <v>2010</v>
      </c>
      <c r="J235" s="12">
        <f>MROUND(H235*4*'Rate Card'!$B$47,100)</f>
        <v>15100</v>
      </c>
      <c r="K235" s="12">
        <f>MROUND(I235*4*'Rate Card'!$B$47,100)</f>
        <v>7600</v>
      </c>
      <c r="L235" s="12">
        <f>MROUND(H235*120*'Rate Card'!$B$48,500)</f>
        <v>406000</v>
      </c>
      <c r="M235" s="12">
        <f>MROUND(I235*120*'Rate Card'!$B$48,500)</f>
        <v>205000</v>
      </c>
      <c r="N235" s="14"/>
      <c r="O235" s="49">
        <v>0.82</v>
      </c>
      <c r="P235" s="49">
        <v>1</v>
      </c>
    </row>
    <row r="236" spans="1:16" ht="15" customHeight="1" x14ac:dyDescent="0.3">
      <c r="A236" s="9">
        <v>218</v>
      </c>
      <c r="B236" s="46" t="s">
        <v>448</v>
      </c>
      <c r="C236" s="46" t="s">
        <v>1711</v>
      </c>
      <c r="D236" s="47" t="s">
        <v>456</v>
      </c>
      <c r="E236" s="46" t="s">
        <v>1821</v>
      </c>
      <c r="F236" s="48" t="s">
        <v>458</v>
      </c>
      <c r="G236" s="48" t="s">
        <v>457</v>
      </c>
      <c r="H236" s="12">
        <f>MROUND('Rate Card'!$I$18*O236*P236,10)</f>
        <v>3980</v>
      </c>
      <c r="I236" s="12">
        <f>MROUND('Rate Card'!$K$18*O236*P236,10)</f>
        <v>2010</v>
      </c>
      <c r="J236" s="12">
        <f>MROUND(H236*4*'Rate Card'!$B$47,100)</f>
        <v>15100</v>
      </c>
      <c r="K236" s="12">
        <f>MROUND(I236*4*'Rate Card'!$B$47,100)</f>
        <v>7600</v>
      </c>
      <c r="L236" s="12">
        <f>MROUND(H236*120*'Rate Card'!$B$48,500)</f>
        <v>406000</v>
      </c>
      <c r="M236" s="12">
        <f>MROUND(I236*120*'Rate Card'!$B$48,500)</f>
        <v>205000</v>
      </c>
      <c r="N236" s="14"/>
      <c r="O236" s="49">
        <v>0.82</v>
      </c>
      <c r="P236" s="49">
        <v>1</v>
      </c>
    </row>
    <row r="237" spans="1:16" ht="15" customHeight="1" x14ac:dyDescent="0.3">
      <c r="A237" s="9">
        <v>219</v>
      </c>
      <c r="B237" s="46" t="s">
        <v>448</v>
      </c>
      <c r="C237" s="46" t="s">
        <v>1711</v>
      </c>
      <c r="D237" s="47" t="s">
        <v>1563</v>
      </c>
      <c r="E237" s="46" t="s">
        <v>1822</v>
      </c>
      <c r="F237" s="48" t="s">
        <v>107</v>
      </c>
      <c r="G237" s="48" t="s">
        <v>1564</v>
      </c>
      <c r="H237" s="12">
        <f>MROUND('Rate Card'!$I$18*O237*P237,10)</f>
        <v>3980</v>
      </c>
      <c r="I237" s="12">
        <f>MROUND('Rate Card'!$K$18*O237*P237,10)</f>
        <v>2010</v>
      </c>
      <c r="J237" s="12">
        <f>MROUND(H237*4*'Rate Card'!$B$47,100)</f>
        <v>15100</v>
      </c>
      <c r="K237" s="12">
        <f>MROUND(I237*4*'Rate Card'!$B$47,100)</f>
        <v>7600</v>
      </c>
      <c r="L237" s="12">
        <f>MROUND(H237*120*'Rate Card'!$B$48,500)</f>
        <v>406000</v>
      </c>
      <c r="M237" s="12">
        <f>MROUND(I237*120*'Rate Card'!$B$48,500)</f>
        <v>205000</v>
      </c>
      <c r="N237" s="14"/>
      <c r="O237" s="49">
        <v>0.82</v>
      </c>
      <c r="P237" s="49">
        <v>1</v>
      </c>
    </row>
    <row r="238" spans="1:16" ht="15" customHeight="1" x14ac:dyDescent="0.3">
      <c r="A238" s="9">
        <v>220</v>
      </c>
      <c r="B238" s="46" t="s">
        <v>448</v>
      </c>
      <c r="C238" s="46" t="s">
        <v>1823</v>
      </c>
      <c r="D238" s="47" t="s">
        <v>461</v>
      </c>
      <c r="E238" s="46" t="s">
        <v>1824</v>
      </c>
      <c r="F238" s="48" t="s">
        <v>335</v>
      </c>
      <c r="G238" s="48" t="s">
        <v>462</v>
      </c>
      <c r="H238" s="12">
        <f>MROUND('Rate Card'!$I$18*O238*P238,10)</f>
        <v>3490</v>
      </c>
      <c r="I238" s="12">
        <f>MROUND('Rate Card'!$K$18*O238*P238,10)</f>
        <v>1760</v>
      </c>
      <c r="J238" s="12">
        <f>MROUND(H238*4*'Rate Card'!$B$47,100)</f>
        <v>13300</v>
      </c>
      <c r="K238" s="12">
        <f>MROUND(I238*4*'Rate Card'!$B$47,100)</f>
        <v>6700</v>
      </c>
      <c r="L238" s="12">
        <f>MROUND(H238*120*'Rate Card'!$B$48,500)</f>
        <v>356000</v>
      </c>
      <c r="M238" s="12">
        <f>MROUND(I238*120*'Rate Card'!$B$48,500)</f>
        <v>179500</v>
      </c>
      <c r="N238" s="14" t="s">
        <v>1693</v>
      </c>
      <c r="O238" s="49">
        <v>0.72</v>
      </c>
      <c r="P238" s="49">
        <v>1</v>
      </c>
    </row>
    <row r="239" spans="1:16" ht="15" customHeight="1" x14ac:dyDescent="0.3">
      <c r="A239" s="9">
        <v>221</v>
      </c>
      <c r="B239" s="46" t="s">
        <v>448</v>
      </c>
      <c r="C239" s="46" t="s">
        <v>1817</v>
      </c>
      <c r="D239" s="47" t="s">
        <v>464</v>
      </c>
      <c r="E239" s="46" t="s">
        <v>1825</v>
      </c>
      <c r="F239" s="48" t="s">
        <v>427</v>
      </c>
      <c r="G239" s="48" t="s">
        <v>465</v>
      </c>
      <c r="H239" s="12">
        <f>MROUND('Rate Card'!$I$18*O239*P239,10)</f>
        <v>2810</v>
      </c>
      <c r="I239" s="12">
        <f>MROUND('Rate Card'!$K$18*O239*P239,10)</f>
        <v>1420</v>
      </c>
      <c r="J239" s="12">
        <f>MROUND(H239*4*'Rate Card'!$B$47,100)</f>
        <v>10700</v>
      </c>
      <c r="K239" s="12">
        <f>MROUND(I239*4*'Rate Card'!$B$47,100)</f>
        <v>5400</v>
      </c>
      <c r="L239" s="12">
        <f>MROUND(H239*120*'Rate Card'!$B$48,500)</f>
        <v>286500</v>
      </c>
      <c r="M239" s="12">
        <f>MROUND(I239*120*'Rate Card'!$B$48,500)</f>
        <v>145000</v>
      </c>
      <c r="N239" s="14" t="s">
        <v>1697</v>
      </c>
      <c r="O239" s="49">
        <v>0.57999999999999996</v>
      </c>
      <c r="P239" s="49">
        <v>1</v>
      </c>
    </row>
    <row r="240" spans="1:16" ht="15" customHeight="1" x14ac:dyDescent="0.3">
      <c r="A240" s="9">
        <v>222</v>
      </c>
      <c r="B240" s="46" t="s">
        <v>448</v>
      </c>
      <c r="C240" s="46" t="s">
        <v>1819</v>
      </c>
      <c r="D240" s="47" t="s">
        <v>467</v>
      </c>
      <c r="E240" s="46" t="s">
        <v>195</v>
      </c>
      <c r="F240" s="48" t="s">
        <v>147</v>
      </c>
      <c r="G240" s="48" t="s">
        <v>468</v>
      </c>
      <c r="H240" s="12">
        <f>MROUND('Rate Card'!$I$18*O240*P240,10)</f>
        <v>2810</v>
      </c>
      <c r="I240" s="12">
        <f>MROUND('Rate Card'!$K$18*O240*P240,10)</f>
        <v>1420</v>
      </c>
      <c r="J240" s="12">
        <f>MROUND(H240*4*'Rate Card'!$B$47,100)</f>
        <v>10700</v>
      </c>
      <c r="K240" s="12">
        <f>MROUND(I240*4*'Rate Card'!$B$47,100)</f>
        <v>5400</v>
      </c>
      <c r="L240" s="12">
        <f>MROUND(H240*120*'Rate Card'!$B$48,500)</f>
        <v>286500</v>
      </c>
      <c r="M240" s="12">
        <f>MROUND(I240*120*'Rate Card'!$B$48,500)</f>
        <v>145000</v>
      </c>
      <c r="N240" s="14" t="s">
        <v>1697</v>
      </c>
      <c r="O240" s="49">
        <v>0.57999999999999996</v>
      </c>
      <c r="P240" s="49">
        <v>1</v>
      </c>
    </row>
    <row r="241" spans="1:16" ht="15" customHeight="1" x14ac:dyDescent="0.3">
      <c r="A241" s="9">
        <v>223</v>
      </c>
      <c r="B241" s="46" t="s">
        <v>448</v>
      </c>
      <c r="C241" s="46" t="s">
        <v>1720</v>
      </c>
      <c r="D241" s="47" t="s">
        <v>470</v>
      </c>
      <c r="E241" s="46" t="s">
        <v>1826</v>
      </c>
      <c r="F241" s="48" t="s">
        <v>431</v>
      </c>
      <c r="G241" s="48" t="s">
        <v>471</v>
      </c>
      <c r="H241" s="12">
        <f>MROUND('Rate Card'!$I$18*O241*P241,10)</f>
        <v>2810</v>
      </c>
      <c r="I241" s="12">
        <f>MROUND('Rate Card'!$K$18*O241*P241,10)</f>
        <v>1420</v>
      </c>
      <c r="J241" s="12">
        <f>MROUND(H241*4*'Rate Card'!$B$47,100)</f>
        <v>10700</v>
      </c>
      <c r="K241" s="12">
        <f>MROUND(I241*4*'Rate Card'!$B$47,100)</f>
        <v>5400</v>
      </c>
      <c r="L241" s="12">
        <f>MROUND(H241*120*'Rate Card'!$B$48,500)</f>
        <v>286500</v>
      </c>
      <c r="M241" s="12">
        <f>MROUND(I241*120*'Rate Card'!$B$48,500)</f>
        <v>145000</v>
      </c>
      <c r="N241" s="14" t="s">
        <v>1697</v>
      </c>
      <c r="O241" s="49">
        <v>0.57999999999999996</v>
      </c>
      <c r="P241" s="49">
        <v>1</v>
      </c>
    </row>
    <row r="242" spans="1:16" ht="15" customHeight="1" x14ac:dyDescent="0.3">
      <c r="A242" s="199" t="s">
        <v>472</v>
      </c>
      <c r="B242" s="200"/>
      <c r="C242" s="200"/>
      <c r="D242" s="200"/>
      <c r="E242" s="200"/>
      <c r="F242" s="200"/>
      <c r="G242" s="200"/>
      <c r="H242" s="200"/>
      <c r="I242" s="200"/>
      <c r="J242" s="200"/>
      <c r="K242" s="200"/>
      <c r="L242" s="200"/>
      <c r="M242" s="200"/>
      <c r="N242" s="200"/>
    </row>
    <row r="243" spans="1:16" ht="15" customHeight="1" x14ac:dyDescent="0.3">
      <c r="A243" s="9">
        <v>224</v>
      </c>
      <c r="B243" s="46" t="s">
        <v>473</v>
      </c>
      <c r="C243" s="46" t="s">
        <v>1774</v>
      </c>
      <c r="D243" s="47" t="s">
        <v>475</v>
      </c>
      <c r="E243" s="46" t="s">
        <v>1827</v>
      </c>
      <c r="F243" s="48" t="s">
        <v>45</v>
      </c>
      <c r="G243" s="48" t="s">
        <v>476</v>
      </c>
      <c r="H243" s="12">
        <f>MROUND('Rate Card'!$I$19*O243*P243,10)</f>
        <v>8600</v>
      </c>
      <c r="I243" s="12">
        <f>MROUND('Rate Card'!$K$19*O243*P243,10)</f>
        <v>3860</v>
      </c>
      <c r="J243" s="12">
        <f>MROUND(H243*4*'Rate Card'!$B$47,100)</f>
        <v>32700</v>
      </c>
      <c r="K243" s="12">
        <f>MROUND(I243*4*'Rate Card'!$B$47,100)</f>
        <v>14700</v>
      </c>
      <c r="L243" s="12">
        <f>MROUND(H243*120*'Rate Card'!$B$48,500)</f>
        <v>877000</v>
      </c>
      <c r="M243" s="12">
        <f>MROUND(I243*120*'Rate Card'!$B$48,500)</f>
        <v>393500</v>
      </c>
      <c r="N243" s="14"/>
      <c r="O243" s="49">
        <v>0.92</v>
      </c>
      <c r="P243" s="49">
        <v>1</v>
      </c>
    </row>
    <row r="244" spans="1:16" ht="15" customHeight="1" x14ac:dyDescent="0.3">
      <c r="A244" s="9">
        <v>225</v>
      </c>
      <c r="B244" s="46" t="s">
        <v>473</v>
      </c>
      <c r="C244" s="46" t="s">
        <v>1823</v>
      </c>
      <c r="D244" s="47" t="s">
        <v>478</v>
      </c>
      <c r="E244" s="46" t="s">
        <v>1828</v>
      </c>
      <c r="F244" s="48" t="s">
        <v>335</v>
      </c>
      <c r="G244" s="48" t="s">
        <v>479</v>
      </c>
      <c r="H244" s="12">
        <f>MROUND('Rate Card'!$I$19*O244*P244,10)</f>
        <v>6730</v>
      </c>
      <c r="I244" s="12">
        <f>MROUND('Rate Card'!$K$19*O244*P244,10)</f>
        <v>3020</v>
      </c>
      <c r="J244" s="12">
        <f>MROUND(H244*4*'Rate Card'!$B$47,100)</f>
        <v>25600</v>
      </c>
      <c r="K244" s="12">
        <f>MROUND(I244*4*'Rate Card'!$B$47,100)</f>
        <v>11500</v>
      </c>
      <c r="L244" s="12">
        <f>MROUND(H244*120*'Rate Card'!$B$48,500)</f>
        <v>686500</v>
      </c>
      <c r="M244" s="12">
        <f>MROUND(I244*120*'Rate Card'!$B$48,500)</f>
        <v>308000</v>
      </c>
      <c r="N244" s="14" t="s">
        <v>1693</v>
      </c>
      <c r="O244" s="49">
        <v>0.72</v>
      </c>
      <c r="P244" s="49">
        <v>1</v>
      </c>
    </row>
    <row r="245" spans="1:16" ht="15" customHeight="1" x14ac:dyDescent="0.3">
      <c r="A245" s="199" t="s">
        <v>480</v>
      </c>
      <c r="B245" s="200"/>
      <c r="C245" s="200"/>
      <c r="D245" s="200"/>
      <c r="E245" s="200"/>
      <c r="F245" s="200"/>
      <c r="G245" s="200"/>
      <c r="H245" s="200"/>
      <c r="I245" s="200"/>
      <c r="J245" s="200"/>
      <c r="K245" s="200"/>
      <c r="L245" s="200"/>
      <c r="M245" s="200"/>
      <c r="N245" s="200"/>
    </row>
    <row r="246" spans="1:16" ht="15" customHeight="1" x14ac:dyDescent="0.3">
      <c r="A246" s="9">
        <v>226</v>
      </c>
      <c r="B246" s="46" t="s">
        <v>481</v>
      </c>
      <c r="C246" s="46" t="s">
        <v>1829</v>
      </c>
      <c r="D246" s="47" t="s">
        <v>483</v>
      </c>
      <c r="E246" s="46" t="s">
        <v>1830</v>
      </c>
      <c r="F246" s="48" t="s">
        <v>45</v>
      </c>
      <c r="G246" s="48" t="s">
        <v>484</v>
      </c>
      <c r="H246" s="12">
        <f>MROUND('Rate Card'!$I$20*O246*P246,10)</f>
        <v>1610</v>
      </c>
      <c r="I246" s="12">
        <f>MROUND('Rate Card'!$K$20*O246*P246,10)</f>
        <v>870</v>
      </c>
      <c r="J246" s="12">
        <f>MROUND(H246*4*'Rate Card'!$B$47,100)</f>
        <v>6100</v>
      </c>
      <c r="K246" s="12">
        <f>MROUND(I246*4*'Rate Card'!$B$47,100)</f>
        <v>3300</v>
      </c>
      <c r="L246" s="12">
        <f>MROUND(H246*120*'Rate Card'!$B$48,500)</f>
        <v>164000</v>
      </c>
      <c r="M246" s="12">
        <f>MROUND(I246*120*'Rate Card'!$B$48,500)</f>
        <v>88500</v>
      </c>
      <c r="N246" s="14"/>
      <c r="O246" s="49">
        <v>0.92</v>
      </c>
      <c r="P246" s="49">
        <v>1</v>
      </c>
    </row>
    <row r="247" spans="1:16" ht="15" customHeight="1" x14ac:dyDescent="0.3">
      <c r="A247" s="9">
        <v>227</v>
      </c>
      <c r="B247" s="46" t="s">
        <v>481</v>
      </c>
      <c r="C247" s="46" t="s">
        <v>1829</v>
      </c>
      <c r="D247" s="47" t="s">
        <v>487</v>
      </c>
      <c r="E247" s="46" t="s">
        <v>1830</v>
      </c>
      <c r="F247" s="48" t="s">
        <v>45</v>
      </c>
      <c r="G247" s="48" t="s">
        <v>488</v>
      </c>
      <c r="H247" s="12">
        <f>MROUND('Rate Card'!$I$20*O247*P247,10)</f>
        <v>1610</v>
      </c>
      <c r="I247" s="12">
        <f>MROUND('Rate Card'!$K$20*O247*P247,10)</f>
        <v>870</v>
      </c>
      <c r="J247" s="12">
        <f>MROUND(H247*4*'Rate Card'!$B$47,100)</f>
        <v>6100</v>
      </c>
      <c r="K247" s="12">
        <f>MROUND(I247*4*'Rate Card'!$B$47,100)</f>
        <v>3300</v>
      </c>
      <c r="L247" s="12">
        <f>MROUND(H247*120*'Rate Card'!$B$48,500)</f>
        <v>164000</v>
      </c>
      <c r="M247" s="12">
        <f>MROUND(I247*120*'Rate Card'!$B$48,500)</f>
        <v>88500</v>
      </c>
      <c r="N247" s="14"/>
      <c r="O247" s="49">
        <v>0.92</v>
      </c>
      <c r="P247" s="49">
        <v>1</v>
      </c>
    </row>
    <row r="248" spans="1:16" ht="15" customHeight="1" x14ac:dyDescent="0.3">
      <c r="A248" s="9">
        <v>228</v>
      </c>
      <c r="B248" s="46" t="s">
        <v>481</v>
      </c>
      <c r="C248" s="46" t="s">
        <v>1829</v>
      </c>
      <c r="D248" s="47" t="s">
        <v>489</v>
      </c>
      <c r="E248" s="46" t="s">
        <v>1830</v>
      </c>
      <c r="F248" s="48" t="s">
        <v>45</v>
      </c>
      <c r="G248" s="48" t="s">
        <v>490</v>
      </c>
      <c r="H248" s="12">
        <f>MROUND('Rate Card'!$I$20*O248*P248,10)</f>
        <v>1610</v>
      </c>
      <c r="I248" s="12">
        <f>MROUND('Rate Card'!$K$20*O248*P248,10)</f>
        <v>870</v>
      </c>
      <c r="J248" s="12">
        <f>MROUND(H248*4*'Rate Card'!$B$47,100)</f>
        <v>6100</v>
      </c>
      <c r="K248" s="12">
        <f>MROUND(I248*4*'Rate Card'!$B$47,100)</f>
        <v>3300</v>
      </c>
      <c r="L248" s="12">
        <f>MROUND(H248*120*'Rate Card'!$B$48,500)</f>
        <v>164000</v>
      </c>
      <c r="M248" s="12">
        <f>MROUND(I248*120*'Rate Card'!$B$48,500)</f>
        <v>88500</v>
      </c>
      <c r="N248" s="14"/>
      <c r="O248" s="49">
        <v>0.92</v>
      </c>
      <c r="P248" s="49">
        <v>1</v>
      </c>
    </row>
    <row r="249" spans="1:16" ht="15" customHeight="1" x14ac:dyDescent="0.3">
      <c r="A249" s="9">
        <v>229</v>
      </c>
      <c r="B249" s="46" t="s">
        <v>481</v>
      </c>
      <c r="C249" s="46" t="s">
        <v>1829</v>
      </c>
      <c r="D249" s="47" t="s">
        <v>491</v>
      </c>
      <c r="E249" s="46" t="s">
        <v>1830</v>
      </c>
      <c r="F249" s="48" t="s">
        <v>45</v>
      </c>
      <c r="G249" s="48" t="s">
        <v>492</v>
      </c>
      <c r="H249" s="12">
        <f>MROUND('Rate Card'!$I$20*O249*P249,10)</f>
        <v>1610</v>
      </c>
      <c r="I249" s="12">
        <f>MROUND('Rate Card'!$K$20*O249*P249,10)</f>
        <v>870</v>
      </c>
      <c r="J249" s="12">
        <f>MROUND(H249*4*'Rate Card'!$B$47,100)</f>
        <v>6100</v>
      </c>
      <c r="K249" s="12">
        <f>MROUND(I249*4*'Rate Card'!$B$47,100)</f>
        <v>3300</v>
      </c>
      <c r="L249" s="12">
        <f>MROUND(H249*120*'Rate Card'!$B$48,500)</f>
        <v>164000</v>
      </c>
      <c r="M249" s="12">
        <f>MROUND(I249*120*'Rate Card'!$B$48,500)</f>
        <v>88500</v>
      </c>
      <c r="N249" s="14"/>
      <c r="O249" s="49">
        <v>0.92</v>
      </c>
      <c r="P249" s="49">
        <v>1</v>
      </c>
    </row>
    <row r="250" spans="1:16" ht="15" customHeight="1" x14ac:dyDescent="0.3">
      <c r="A250" s="9">
        <v>230</v>
      </c>
      <c r="B250" s="46" t="s">
        <v>481</v>
      </c>
      <c r="C250" s="46" t="s">
        <v>1829</v>
      </c>
      <c r="D250" s="47" t="s">
        <v>493</v>
      </c>
      <c r="E250" s="46" t="s">
        <v>1830</v>
      </c>
      <c r="F250" s="48" t="s">
        <v>45</v>
      </c>
      <c r="G250" s="48" t="s">
        <v>494</v>
      </c>
      <c r="H250" s="12">
        <f>MROUND('Rate Card'!$I$20*O250*P250,10)</f>
        <v>1610</v>
      </c>
      <c r="I250" s="12">
        <f>MROUND('Rate Card'!$K$20*O250*P250,10)</f>
        <v>870</v>
      </c>
      <c r="J250" s="12">
        <f>MROUND(H250*4*'Rate Card'!$B$47,100)</f>
        <v>6100</v>
      </c>
      <c r="K250" s="12">
        <f>MROUND(I250*4*'Rate Card'!$B$47,100)</f>
        <v>3300</v>
      </c>
      <c r="L250" s="12">
        <f>MROUND(H250*120*'Rate Card'!$B$48,500)</f>
        <v>164000</v>
      </c>
      <c r="M250" s="12">
        <f>MROUND(I250*120*'Rate Card'!$B$48,500)</f>
        <v>88500</v>
      </c>
      <c r="N250" s="14"/>
      <c r="O250" s="49">
        <v>0.92</v>
      </c>
      <c r="P250" s="49">
        <v>1</v>
      </c>
    </row>
    <row r="251" spans="1:16" ht="15" customHeight="1" x14ac:dyDescent="0.3">
      <c r="A251" s="9">
        <v>231</v>
      </c>
      <c r="B251" s="46" t="s">
        <v>481</v>
      </c>
      <c r="C251" s="46" t="s">
        <v>1829</v>
      </c>
      <c r="D251" s="47" t="s">
        <v>485</v>
      </c>
      <c r="E251" s="46" t="s">
        <v>1830</v>
      </c>
      <c r="F251" s="48" t="s">
        <v>45</v>
      </c>
      <c r="G251" s="48" t="s">
        <v>486</v>
      </c>
      <c r="H251" s="12">
        <f>MROUND('Rate Card'!$I$20*O251*P251,10)</f>
        <v>1610</v>
      </c>
      <c r="I251" s="12">
        <f>MROUND('Rate Card'!$K$20*O251*P251,10)</f>
        <v>870</v>
      </c>
      <c r="J251" s="12">
        <f>MROUND(H251*4*'Rate Card'!$B$47,100)</f>
        <v>6100</v>
      </c>
      <c r="K251" s="12">
        <f>MROUND(I251*4*'Rate Card'!$B$47,100)</f>
        <v>3300</v>
      </c>
      <c r="L251" s="12">
        <f>MROUND(H251*120*'Rate Card'!$B$48,500)</f>
        <v>164000</v>
      </c>
      <c r="M251" s="12">
        <f>MROUND(I251*120*'Rate Card'!$B$48,500)</f>
        <v>88500</v>
      </c>
      <c r="N251" s="14"/>
      <c r="O251" s="49">
        <v>0.92</v>
      </c>
      <c r="P251" s="49">
        <v>1</v>
      </c>
    </row>
    <row r="252" spans="1:16" ht="15" customHeight="1" x14ac:dyDescent="0.3">
      <c r="A252" s="9">
        <v>232</v>
      </c>
      <c r="B252" s="46" t="s">
        <v>481</v>
      </c>
      <c r="C252" s="46" t="s">
        <v>1829</v>
      </c>
      <c r="D252" s="47" t="s">
        <v>496</v>
      </c>
      <c r="E252" s="46" t="s">
        <v>1831</v>
      </c>
      <c r="F252" s="48" t="s">
        <v>116</v>
      </c>
      <c r="G252" s="48" t="s">
        <v>497</v>
      </c>
      <c r="H252" s="12">
        <f>MROUND('Rate Card'!$I$20*O252*P252,10)</f>
        <v>1610</v>
      </c>
      <c r="I252" s="12">
        <f>MROUND('Rate Card'!$K$20*O252*P252,10)</f>
        <v>870</v>
      </c>
      <c r="J252" s="12">
        <f>MROUND(H252*4*'Rate Card'!$B$47,100)</f>
        <v>6100</v>
      </c>
      <c r="K252" s="12">
        <f>MROUND(I252*4*'Rate Card'!$B$47,100)</f>
        <v>3300</v>
      </c>
      <c r="L252" s="12">
        <f>MROUND(H252*120*'Rate Card'!$B$48,500)</f>
        <v>164000</v>
      </c>
      <c r="M252" s="12">
        <f>MROUND(I252*120*'Rate Card'!$B$48,500)</f>
        <v>88500</v>
      </c>
      <c r="N252" s="14"/>
      <c r="O252" s="49">
        <v>0.92</v>
      </c>
      <c r="P252" s="49">
        <v>1</v>
      </c>
    </row>
    <row r="253" spans="1:16" ht="15" customHeight="1" x14ac:dyDescent="0.3">
      <c r="A253" s="9">
        <v>233</v>
      </c>
      <c r="B253" s="46" t="s">
        <v>481</v>
      </c>
      <c r="C253" s="46" t="s">
        <v>1829</v>
      </c>
      <c r="D253" s="47" t="s">
        <v>498</v>
      </c>
      <c r="E253" s="46" t="s">
        <v>1830</v>
      </c>
      <c r="F253" s="48" t="s">
        <v>116</v>
      </c>
      <c r="G253" s="48" t="s">
        <v>499</v>
      </c>
      <c r="H253" s="12">
        <f>MROUND('Rate Card'!$I$20*O253*P253,10)</f>
        <v>1610</v>
      </c>
      <c r="I253" s="12">
        <f>MROUND('Rate Card'!$K$20*O253*P253,10)</f>
        <v>870</v>
      </c>
      <c r="J253" s="12">
        <f>MROUND(H253*4*'Rate Card'!$B$47,100)</f>
        <v>6100</v>
      </c>
      <c r="K253" s="12">
        <f>MROUND(I253*4*'Rate Card'!$B$47,100)</f>
        <v>3300</v>
      </c>
      <c r="L253" s="12">
        <f>MROUND(H253*120*'Rate Card'!$B$48,500)</f>
        <v>164000</v>
      </c>
      <c r="M253" s="12">
        <f>MROUND(I253*120*'Rate Card'!$B$48,500)</f>
        <v>88500</v>
      </c>
      <c r="N253" s="14"/>
      <c r="O253" s="49">
        <v>0.92</v>
      </c>
      <c r="P253" s="49">
        <v>1</v>
      </c>
    </row>
    <row r="254" spans="1:16" ht="15" customHeight="1" x14ac:dyDescent="0.3">
      <c r="A254" s="9">
        <v>234</v>
      </c>
      <c r="B254" s="46" t="s">
        <v>481</v>
      </c>
      <c r="C254" s="46" t="s">
        <v>1832</v>
      </c>
      <c r="D254" s="47" t="s">
        <v>501</v>
      </c>
      <c r="E254" s="46" t="s">
        <v>1833</v>
      </c>
      <c r="F254" s="48" t="s">
        <v>49</v>
      </c>
      <c r="G254" s="48" t="s">
        <v>502</v>
      </c>
      <c r="H254" s="12">
        <f>MROUND('Rate Card'!$I$20*O254*P254,10)</f>
        <v>1610</v>
      </c>
      <c r="I254" s="12">
        <f>MROUND('Rate Card'!$K$20*O254*P254,10)</f>
        <v>870</v>
      </c>
      <c r="J254" s="12">
        <f>MROUND(H254*4*'Rate Card'!$B$47,100)</f>
        <v>6100</v>
      </c>
      <c r="K254" s="12">
        <f>MROUND(I254*4*'Rate Card'!$B$47,100)</f>
        <v>3300</v>
      </c>
      <c r="L254" s="12">
        <f>MROUND(H254*120*'Rate Card'!$B$48,500)</f>
        <v>164000</v>
      </c>
      <c r="M254" s="12">
        <f>MROUND(I254*120*'Rate Card'!$B$48,500)</f>
        <v>88500</v>
      </c>
      <c r="N254" s="14"/>
      <c r="O254" s="49">
        <v>0.92</v>
      </c>
      <c r="P254" s="49">
        <v>1</v>
      </c>
    </row>
    <row r="255" spans="1:16" ht="15" customHeight="1" x14ac:dyDescent="0.3">
      <c r="A255" s="9">
        <v>235</v>
      </c>
      <c r="B255" s="46" t="s">
        <v>481</v>
      </c>
      <c r="C255" s="46" t="s">
        <v>1832</v>
      </c>
      <c r="D255" s="47" t="s">
        <v>504</v>
      </c>
      <c r="E255" s="46" t="s">
        <v>1834</v>
      </c>
      <c r="F255" s="48" t="s">
        <v>61</v>
      </c>
      <c r="G255" s="48" t="s">
        <v>505</v>
      </c>
      <c r="H255" s="12">
        <f>MROUND('Rate Card'!$I$20*O255*P255,10)</f>
        <v>1610</v>
      </c>
      <c r="I255" s="12">
        <f>MROUND('Rate Card'!$K$20*O255*P255,10)</f>
        <v>870</v>
      </c>
      <c r="J255" s="12">
        <f>MROUND(H255*4*'Rate Card'!$B$47,100)</f>
        <v>6100</v>
      </c>
      <c r="K255" s="12">
        <f>MROUND(I255*4*'Rate Card'!$B$47,100)</f>
        <v>3300</v>
      </c>
      <c r="L255" s="12">
        <f>MROUND(H255*120*'Rate Card'!$B$48,500)</f>
        <v>164000</v>
      </c>
      <c r="M255" s="12">
        <f>MROUND(I255*120*'Rate Card'!$B$48,500)</f>
        <v>88500</v>
      </c>
      <c r="N255" s="14"/>
      <c r="O255" s="49">
        <v>0.92</v>
      </c>
      <c r="P255" s="49">
        <v>1</v>
      </c>
    </row>
    <row r="256" spans="1:16" ht="15" customHeight="1" x14ac:dyDescent="0.3">
      <c r="A256" s="9">
        <v>236</v>
      </c>
      <c r="B256" s="46" t="s">
        <v>481</v>
      </c>
      <c r="C256" s="46" t="s">
        <v>1829</v>
      </c>
      <c r="D256" s="47" t="s">
        <v>506</v>
      </c>
      <c r="E256" s="46" t="s">
        <v>1830</v>
      </c>
      <c r="F256" s="48" t="s">
        <v>66</v>
      </c>
      <c r="G256" s="48" t="s">
        <v>507</v>
      </c>
      <c r="H256" s="12">
        <f>MROUND('Rate Card'!$I$20*O256*P256,10)</f>
        <v>1440</v>
      </c>
      <c r="I256" s="12">
        <f>MROUND('Rate Card'!$K$20*O256*P256,10)</f>
        <v>780</v>
      </c>
      <c r="J256" s="12">
        <f>MROUND(H256*4*'Rate Card'!$B$47,100)</f>
        <v>5500</v>
      </c>
      <c r="K256" s="12">
        <f>MROUND(I256*4*'Rate Card'!$B$47,100)</f>
        <v>3000</v>
      </c>
      <c r="L256" s="12">
        <f>MROUND(H256*120*'Rate Card'!$B$48,500)</f>
        <v>147000</v>
      </c>
      <c r="M256" s="12">
        <f>MROUND(I256*120*'Rate Card'!$B$48,500)</f>
        <v>79500</v>
      </c>
      <c r="N256" s="14"/>
      <c r="O256" s="49">
        <v>0.82</v>
      </c>
      <c r="P256" s="49">
        <v>1</v>
      </c>
    </row>
    <row r="257" spans="1:16" ht="15" customHeight="1" x14ac:dyDescent="0.3">
      <c r="A257" s="9">
        <v>237</v>
      </c>
      <c r="B257" s="46" t="s">
        <v>481</v>
      </c>
      <c r="C257" s="46" t="s">
        <v>1832</v>
      </c>
      <c r="D257" s="47" t="s">
        <v>508</v>
      </c>
      <c r="E257" s="46" t="s">
        <v>1834</v>
      </c>
      <c r="F257" s="48" t="s">
        <v>458</v>
      </c>
      <c r="G257" s="48" t="s">
        <v>509</v>
      </c>
      <c r="H257" s="12">
        <f>MROUND('Rate Card'!$I$20*O257*P257,10)</f>
        <v>1440</v>
      </c>
      <c r="I257" s="12">
        <f>MROUND('Rate Card'!$K$20*O257*P257,10)</f>
        <v>780</v>
      </c>
      <c r="J257" s="12">
        <f>MROUND(H257*4*'Rate Card'!$B$47,100)</f>
        <v>5500</v>
      </c>
      <c r="K257" s="12">
        <f>MROUND(I257*4*'Rate Card'!$B$47,100)</f>
        <v>3000</v>
      </c>
      <c r="L257" s="12">
        <f>MROUND(H257*120*'Rate Card'!$B$48,500)</f>
        <v>147000</v>
      </c>
      <c r="M257" s="12">
        <f>MROUND(I257*120*'Rate Card'!$B$48,500)</f>
        <v>79500</v>
      </c>
      <c r="N257" s="14"/>
      <c r="O257" s="49">
        <v>0.82</v>
      </c>
      <c r="P257" s="49">
        <v>1</v>
      </c>
    </row>
    <row r="258" spans="1:16" ht="15" customHeight="1" x14ac:dyDescent="0.3">
      <c r="A258" s="9">
        <v>238</v>
      </c>
      <c r="B258" s="46" t="s">
        <v>481</v>
      </c>
      <c r="C258" s="46" t="s">
        <v>1718</v>
      </c>
      <c r="D258" s="47" t="s">
        <v>511</v>
      </c>
      <c r="E258" s="46" t="s">
        <v>1835</v>
      </c>
      <c r="F258" s="48" t="s">
        <v>335</v>
      </c>
      <c r="G258" s="48" t="s">
        <v>512</v>
      </c>
      <c r="H258" s="12">
        <f>MROUND('Rate Card'!$I$20*O258*P258,10)</f>
        <v>1260</v>
      </c>
      <c r="I258" s="12">
        <f>MROUND('Rate Card'!$K$20*O258*P258,10)</f>
        <v>680</v>
      </c>
      <c r="J258" s="12">
        <f>MROUND(H258*4*'Rate Card'!$B$47,100)</f>
        <v>4800</v>
      </c>
      <c r="K258" s="12">
        <f>MROUND(I258*4*'Rate Card'!$B$47,100)</f>
        <v>2600</v>
      </c>
      <c r="L258" s="12">
        <f>MROUND(H258*120*'Rate Card'!$B$48,500)</f>
        <v>128500</v>
      </c>
      <c r="M258" s="12">
        <f>MROUND(I258*120*'Rate Card'!$B$48,500)</f>
        <v>69500</v>
      </c>
      <c r="N258" s="14" t="s">
        <v>1693</v>
      </c>
      <c r="O258" s="49">
        <v>0.72</v>
      </c>
      <c r="P258" s="49">
        <v>1</v>
      </c>
    </row>
    <row r="259" spans="1:16" ht="15" customHeight="1" x14ac:dyDescent="0.3">
      <c r="A259" s="9">
        <v>239</v>
      </c>
      <c r="B259" s="46" t="s">
        <v>481</v>
      </c>
      <c r="C259" s="46" t="s">
        <v>1829</v>
      </c>
      <c r="D259" s="47" t="s">
        <v>514</v>
      </c>
      <c r="E259" s="46" t="s">
        <v>1836</v>
      </c>
      <c r="F259" s="48" t="s">
        <v>335</v>
      </c>
      <c r="G259" s="48" t="s">
        <v>515</v>
      </c>
      <c r="H259" s="12">
        <f>MROUND('Rate Card'!$I$20*O259*P259,10)</f>
        <v>1260</v>
      </c>
      <c r="I259" s="12">
        <f>MROUND('Rate Card'!$K$20*O259*P259,10)</f>
        <v>680</v>
      </c>
      <c r="J259" s="12">
        <f>MROUND(H259*4*'Rate Card'!$B$47,100)</f>
        <v>4800</v>
      </c>
      <c r="K259" s="12">
        <f>MROUND(I259*4*'Rate Card'!$B$47,100)</f>
        <v>2600</v>
      </c>
      <c r="L259" s="12">
        <f>MROUND(H259*120*'Rate Card'!$B$48,500)</f>
        <v>128500</v>
      </c>
      <c r="M259" s="12">
        <f>MROUND(I259*120*'Rate Card'!$B$48,500)</f>
        <v>69500</v>
      </c>
      <c r="N259" s="14" t="s">
        <v>1693</v>
      </c>
      <c r="O259" s="49">
        <v>0.72</v>
      </c>
      <c r="P259" s="49">
        <v>1</v>
      </c>
    </row>
    <row r="260" spans="1:16" ht="15" customHeight="1" x14ac:dyDescent="0.3">
      <c r="A260" s="9">
        <v>240</v>
      </c>
      <c r="B260" s="46" t="s">
        <v>481</v>
      </c>
      <c r="C260" s="46" t="s">
        <v>1829</v>
      </c>
      <c r="D260" s="47" t="s">
        <v>516</v>
      </c>
      <c r="E260" s="46" t="s">
        <v>1836</v>
      </c>
      <c r="F260" s="48" t="s">
        <v>518</v>
      </c>
      <c r="G260" s="48" t="s">
        <v>517</v>
      </c>
      <c r="H260" s="12">
        <f>MROUND('Rate Card'!$I$20*O260*P260,10)</f>
        <v>1260</v>
      </c>
      <c r="I260" s="12">
        <f>MROUND('Rate Card'!$K$20*O260*P260,10)</f>
        <v>680</v>
      </c>
      <c r="J260" s="12">
        <f>MROUND(H260*4*'Rate Card'!$B$47,100)</f>
        <v>4800</v>
      </c>
      <c r="K260" s="12">
        <f>MROUND(I260*4*'Rate Card'!$B$47,100)</f>
        <v>2600</v>
      </c>
      <c r="L260" s="12">
        <f>MROUND(H260*120*'Rate Card'!$B$48,500)</f>
        <v>128500</v>
      </c>
      <c r="M260" s="12">
        <f>MROUND(I260*120*'Rate Card'!$B$48,500)</f>
        <v>69500</v>
      </c>
      <c r="N260" s="14" t="s">
        <v>1693</v>
      </c>
      <c r="O260" s="49">
        <v>0.72</v>
      </c>
      <c r="P260" s="49">
        <v>1</v>
      </c>
    </row>
    <row r="261" spans="1:16" ht="15" customHeight="1" x14ac:dyDescent="0.3">
      <c r="A261" s="9">
        <v>241</v>
      </c>
      <c r="B261" s="46" t="s">
        <v>481</v>
      </c>
      <c r="C261" s="46" t="s">
        <v>1829</v>
      </c>
      <c r="D261" s="47" t="s">
        <v>519</v>
      </c>
      <c r="E261" s="46" t="s">
        <v>1830</v>
      </c>
      <c r="F261" s="48" t="s">
        <v>518</v>
      </c>
      <c r="G261" s="48" t="s">
        <v>520</v>
      </c>
      <c r="H261" s="12">
        <f>MROUND('Rate Card'!$I$20*O261*P261,10)</f>
        <v>1260</v>
      </c>
      <c r="I261" s="12">
        <f>MROUND('Rate Card'!$K$20*O261*P261,10)</f>
        <v>680</v>
      </c>
      <c r="J261" s="12">
        <f>MROUND(H261*4*'Rate Card'!$B$47,100)</f>
        <v>4800</v>
      </c>
      <c r="K261" s="12">
        <f>MROUND(I261*4*'Rate Card'!$B$47,100)</f>
        <v>2600</v>
      </c>
      <c r="L261" s="12">
        <f>MROUND(H261*120*'Rate Card'!$B$48,500)</f>
        <v>128500</v>
      </c>
      <c r="M261" s="12">
        <f>MROUND(I261*120*'Rate Card'!$B$48,500)</f>
        <v>69500</v>
      </c>
      <c r="N261" s="14" t="s">
        <v>1693</v>
      </c>
      <c r="O261" s="49">
        <v>0.72</v>
      </c>
      <c r="P261" s="49">
        <v>1</v>
      </c>
    </row>
    <row r="262" spans="1:16" ht="15" customHeight="1" x14ac:dyDescent="0.3">
      <c r="A262" s="9">
        <v>242</v>
      </c>
      <c r="B262" s="46" t="s">
        <v>481</v>
      </c>
      <c r="C262" s="46" t="s">
        <v>1829</v>
      </c>
      <c r="D262" s="47" t="s">
        <v>522</v>
      </c>
      <c r="E262" s="46" t="s">
        <v>1837</v>
      </c>
      <c r="F262" s="48" t="s">
        <v>518</v>
      </c>
      <c r="G262" s="48" t="s">
        <v>523</v>
      </c>
      <c r="H262" s="12">
        <f>MROUND('Rate Card'!$I$20*O262*P262,10)</f>
        <v>1260</v>
      </c>
      <c r="I262" s="12">
        <f>MROUND('Rate Card'!$K$20*O262*P262,10)</f>
        <v>680</v>
      </c>
      <c r="J262" s="12">
        <f>MROUND(H262*4*'Rate Card'!$B$47,100)</f>
        <v>4800</v>
      </c>
      <c r="K262" s="12">
        <f>MROUND(I262*4*'Rate Card'!$B$47,100)</f>
        <v>2600</v>
      </c>
      <c r="L262" s="12">
        <f>MROUND(H262*120*'Rate Card'!$B$48,500)</f>
        <v>128500</v>
      </c>
      <c r="M262" s="12">
        <f>MROUND(I262*120*'Rate Card'!$B$48,500)</f>
        <v>69500</v>
      </c>
      <c r="N262" s="14" t="s">
        <v>1693</v>
      </c>
      <c r="O262" s="49">
        <v>0.72</v>
      </c>
      <c r="P262" s="49">
        <v>1</v>
      </c>
    </row>
    <row r="263" spans="1:16" ht="15" customHeight="1" x14ac:dyDescent="0.3">
      <c r="A263" s="9">
        <v>243</v>
      </c>
      <c r="B263" s="46" t="s">
        <v>481</v>
      </c>
      <c r="C263" s="46" t="s">
        <v>1829</v>
      </c>
      <c r="D263" s="47" t="s">
        <v>524</v>
      </c>
      <c r="E263" s="46" t="s">
        <v>1830</v>
      </c>
      <c r="F263" s="48" t="s">
        <v>440</v>
      </c>
      <c r="G263" s="48" t="s">
        <v>525</v>
      </c>
      <c r="H263" s="12">
        <f>MROUND('Rate Card'!$I$20*O263*P263,10)</f>
        <v>1260</v>
      </c>
      <c r="I263" s="12">
        <f>MROUND('Rate Card'!$K$20*O263*P263,10)</f>
        <v>680</v>
      </c>
      <c r="J263" s="12">
        <f>MROUND(H263*4*'Rate Card'!$B$47,100)</f>
        <v>4800</v>
      </c>
      <c r="K263" s="12">
        <f>MROUND(I263*4*'Rate Card'!$B$47,100)</f>
        <v>2600</v>
      </c>
      <c r="L263" s="12">
        <f>MROUND(H263*120*'Rate Card'!$B$48,500)</f>
        <v>128500</v>
      </c>
      <c r="M263" s="12">
        <f>MROUND(I263*120*'Rate Card'!$B$48,500)</f>
        <v>69500</v>
      </c>
      <c r="N263" s="14" t="s">
        <v>1693</v>
      </c>
      <c r="O263" s="49">
        <v>0.72</v>
      </c>
      <c r="P263" s="49">
        <v>1</v>
      </c>
    </row>
    <row r="264" spans="1:16" ht="15" customHeight="1" x14ac:dyDescent="0.3">
      <c r="A264" s="9">
        <v>244</v>
      </c>
      <c r="B264" s="46" t="s">
        <v>481</v>
      </c>
      <c r="C264" s="46" t="s">
        <v>1838</v>
      </c>
      <c r="D264" s="47" t="s">
        <v>527</v>
      </c>
      <c r="E264" s="46" t="s">
        <v>1839</v>
      </c>
      <c r="F264" s="48" t="s">
        <v>440</v>
      </c>
      <c r="G264" s="48" t="s">
        <v>528</v>
      </c>
      <c r="H264" s="12">
        <f>MROUND('Rate Card'!$I$20*O264*P264,10)</f>
        <v>1260</v>
      </c>
      <c r="I264" s="12">
        <f>MROUND('Rate Card'!$K$20*O264*P264,10)</f>
        <v>680</v>
      </c>
      <c r="J264" s="12">
        <f>MROUND(H264*4*'Rate Card'!$B$47,100)</f>
        <v>4800</v>
      </c>
      <c r="K264" s="12">
        <f>MROUND(I264*4*'Rate Card'!$B$47,100)</f>
        <v>2600</v>
      </c>
      <c r="L264" s="12">
        <f>MROUND(H264*120*'Rate Card'!$B$48,500)</f>
        <v>128500</v>
      </c>
      <c r="M264" s="12">
        <f>MROUND(I264*120*'Rate Card'!$B$48,500)</f>
        <v>69500</v>
      </c>
      <c r="N264" s="14" t="s">
        <v>1693</v>
      </c>
      <c r="O264" s="49">
        <v>0.72</v>
      </c>
      <c r="P264" s="49">
        <v>1</v>
      </c>
    </row>
    <row r="265" spans="1:16" ht="15" customHeight="1" x14ac:dyDescent="0.3">
      <c r="A265" s="9">
        <v>245</v>
      </c>
      <c r="B265" s="46" t="s">
        <v>481</v>
      </c>
      <c r="C265" s="46" t="s">
        <v>1718</v>
      </c>
      <c r="D265" s="47" t="s">
        <v>529</v>
      </c>
      <c r="E265" s="46" t="s">
        <v>1835</v>
      </c>
      <c r="F265" s="48" t="s">
        <v>139</v>
      </c>
      <c r="G265" s="48" t="s">
        <v>530</v>
      </c>
      <c r="H265" s="12">
        <f>MROUND('Rate Card'!$I$20*O265*P265,10)</f>
        <v>1140</v>
      </c>
      <c r="I265" s="12">
        <f>MROUND('Rate Card'!$K$20*O265*P265,10)</f>
        <v>620</v>
      </c>
      <c r="J265" s="12">
        <f>MROUND(H265*4*'Rate Card'!$B$47,100)</f>
        <v>4300</v>
      </c>
      <c r="K265" s="12">
        <f>MROUND(I265*4*'Rate Card'!$B$47,100)</f>
        <v>2400</v>
      </c>
      <c r="L265" s="12">
        <f>MROUND(H265*120*'Rate Card'!$B$48,500)</f>
        <v>116500</v>
      </c>
      <c r="M265" s="12">
        <f>MROUND(I265*120*'Rate Card'!$B$48,500)</f>
        <v>63000</v>
      </c>
      <c r="N265" s="14" t="s">
        <v>1694</v>
      </c>
      <c r="O265" s="49">
        <v>0.65</v>
      </c>
      <c r="P265" s="49">
        <v>1</v>
      </c>
    </row>
    <row r="266" spans="1:16" ht="15" customHeight="1" x14ac:dyDescent="0.3">
      <c r="A266" s="9">
        <v>246</v>
      </c>
      <c r="B266" s="46" t="s">
        <v>481</v>
      </c>
      <c r="C266" s="46" t="s">
        <v>1718</v>
      </c>
      <c r="D266" s="47" t="s">
        <v>532</v>
      </c>
      <c r="E266" s="46" t="s">
        <v>1840</v>
      </c>
      <c r="F266" s="48" t="s">
        <v>85</v>
      </c>
      <c r="G266" s="48" t="s">
        <v>533</v>
      </c>
      <c r="H266" s="12">
        <f>MROUND('Rate Card'!$I$20*O266*P266,10)</f>
        <v>1010</v>
      </c>
      <c r="I266" s="12">
        <f>MROUND('Rate Card'!$K$20*O266*P266,10)</f>
        <v>550</v>
      </c>
      <c r="J266" s="12">
        <f>MROUND(H266*4*'Rate Card'!$B$47,100)</f>
        <v>3800</v>
      </c>
      <c r="K266" s="12">
        <f>MROUND(I266*4*'Rate Card'!$B$47,100)</f>
        <v>2100</v>
      </c>
      <c r="L266" s="12">
        <f>MROUND(H266*120*'Rate Card'!$B$48,500)</f>
        <v>103000</v>
      </c>
      <c r="M266" s="12">
        <f>MROUND(I266*120*'Rate Card'!$B$48,500)</f>
        <v>56000</v>
      </c>
      <c r="N266" s="14" t="s">
        <v>1697</v>
      </c>
      <c r="O266" s="49">
        <v>0.57999999999999996</v>
      </c>
      <c r="P266" s="49">
        <v>1</v>
      </c>
    </row>
    <row r="267" spans="1:16" ht="15" customHeight="1" x14ac:dyDescent="0.3">
      <c r="A267" s="9">
        <v>247</v>
      </c>
      <c r="B267" s="46" t="s">
        <v>481</v>
      </c>
      <c r="C267" s="46" t="s">
        <v>1720</v>
      </c>
      <c r="D267" s="47" t="s">
        <v>535</v>
      </c>
      <c r="E267" s="46" t="s">
        <v>1840</v>
      </c>
      <c r="F267" s="48" t="s">
        <v>537</v>
      </c>
      <c r="G267" s="48" t="s">
        <v>536</v>
      </c>
      <c r="H267" s="12">
        <f>MROUND('Rate Card'!$I$20*O267*P267,10)</f>
        <v>1010</v>
      </c>
      <c r="I267" s="12">
        <f>MROUND('Rate Card'!$K$20*O267*P267,10)</f>
        <v>550</v>
      </c>
      <c r="J267" s="12">
        <f>MROUND(H267*4*'Rate Card'!$B$47,100)</f>
        <v>3800</v>
      </c>
      <c r="K267" s="12">
        <f>MROUND(I267*4*'Rate Card'!$B$47,100)</f>
        <v>2100</v>
      </c>
      <c r="L267" s="12">
        <f>MROUND(H267*120*'Rate Card'!$B$48,500)</f>
        <v>103000</v>
      </c>
      <c r="M267" s="12">
        <f>MROUND(I267*120*'Rate Card'!$B$48,500)</f>
        <v>56000</v>
      </c>
      <c r="N267" s="14" t="s">
        <v>1697</v>
      </c>
      <c r="O267" s="49">
        <v>0.57999999999999996</v>
      </c>
      <c r="P267" s="49">
        <v>1</v>
      </c>
    </row>
    <row r="268" spans="1:16" ht="15" customHeight="1" x14ac:dyDescent="0.3">
      <c r="A268" s="9">
        <v>248</v>
      </c>
      <c r="B268" s="46" t="s">
        <v>481</v>
      </c>
      <c r="C268" s="46" t="s">
        <v>1841</v>
      </c>
      <c r="D268" s="47" t="s">
        <v>539</v>
      </c>
      <c r="E268" s="46" t="s">
        <v>1840</v>
      </c>
      <c r="F268" s="48" t="s">
        <v>541</v>
      </c>
      <c r="G268" s="48" t="s">
        <v>540</v>
      </c>
      <c r="H268" s="12">
        <f>MROUND('Rate Card'!$I$20*O268*P268,10)</f>
        <v>1010</v>
      </c>
      <c r="I268" s="12">
        <f>MROUND('Rate Card'!$K$20*O268*P268,10)</f>
        <v>550</v>
      </c>
      <c r="J268" s="12">
        <f>MROUND(H268*4*'Rate Card'!$B$47,100)</f>
        <v>3800</v>
      </c>
      <c r="K268" s="12">
        <f>MROUND(I268*4*'Rate Card'!$B$47,100)</f>
        <v>2100</v>
      </c>
      <c r="L268" s="12">
        <f>MROUND(H268*120*'Rate Card'!$B$48,500)</f>
        <v>103000</v>
      </c>
      <c r="M268" s="12">
        <f>MROUND(I268*120*'Rate Card'!$B$48,500)</f>
        <v>56000</v>
      </c>
      <c r="N268" s="14" t="s">
        <v>1697</v>
      </c>
      <c r="O268" s="49">
        <v>0.57999999999999996</v>
      </c>
      <c r="P268" s="49">
        <v>1</v>
      </c>
    </row>
    <row r="269" spans="1:16" ht="15" customHeight="1" x14ac:dyDescent="0.3">
      <c r="A269" s="9">
        <v>249</v>
      </c>
      <c r="B269" s="46" t="s">
        <v>481</v>
      </c>
      <c r="C269" s="46" t="s">
        <v>1841</v>
      </c>
      <c r="D269" s="47" t="s">
        <v>542</v>
      </c>
      <c r="E269" s="46" t="s">
        <v>1840</v>
      </c>
      <c r="F269" s="48" t="s">
        <v>195</v>
      </c>
      <c r="G269" s="48" t="s">
        <v>543</v>
      </c>
      <c r="H269" s="12">
        <f>MROUND('Rate Card'!$I$20*O269*P269,10)</f>
        <v>1010</v>
      </c>
      <c r="I269" s="12">
        <f>MROUND('Rate Card'!$K$20*O269*P269,10)</f>
        <v>550</v>
      </c>
      <c r="J269" s="12">
        <f>MROUND(H269*4*'Rate Card'!$B$47,100)</f>
        <v>3800</v>
      </c>
      <c r="K269" s="12">
        <f>MROUND(I269*4*'Rate Card'!$B$47,100)</f>
        <v>2100</v>
      </c>
      <c r="L269" s="12">
        <f>MROUND(H269*120*'Rate Card'!$B$48,500)</f>
        <v>103000</v>
      </c>
      <c r="M269" s="12">
        <f>MROUND(I269*120*'Rate Card'!$B$48,500)</f>
        <v>56000</v>
      </c>
      <c r="N269" s="14" t="s">
        <v>1744</v>
      </c>
      <c r="O269" s="49">
        <v>0.57999999999999996</v>
      </c>
      <c r="P269" s="49">
        <v>1</v>
      </c>
    </row>
    <row r="270" spans="1:16" ht="15" customHeight="1" x14ac:dyDescent="0.3">
      <c r="A270" s="9">
        <v>250</v>
      </c>
      <c r="B270" s="46" t="s">
        <v>481</v>
      </c>
      <c r="C270" s="46" t="s">
        <v>1829</v>
      </c>
      <c r="D270" s="47"/>
      <c r="E270" s="46" t="s">
        <v>195</v>
      </c>
      <c r="F270" s="48" t="s">
        <v>195</v>
      </c>
      <c r="G270" s="48" t="s">
        <v>486</v>
      </c>
      <c r="H270" s="12">
        <f>MROUND('Rate Card'!$I$20*O270*P270,10)</f>
        <v>1010</v>
      </c>
      <c r="I270" s="12">
        <f>MROUND('Rate Card'!$K$20*O270*P270,10)</f>
        <v>550</v>
      </c>
      <c r="J270" s="12">
        <f>MROUND(H270*4*'Rate Card'!$B$47,100)</f>
        <v>3800</v>
      </c>
      <c r="K270" s="12">
        <f>MROUND(I270*4*'Rate Card'!$B$47,100)</f>
        <v>2100</v>
      </c>
      <c r="L270" s="12">
        <f>MROUND(H270*120*'Rate Card'!$B$48,500)</f>
        <v>103000</v>
      </c>
      <c r="M270" s="12">
        <f>MROUND(I270*120*'Rate Card'!$B$48,500)</f>
        <v>56000</v>
      </c>
      <c r="N270" s="14" t="s">
        <v>1744</v>
      </c>
      <c r="O270" s="49">
        <v>0.57999999999999996</v>
      </c>
      <c r="P270" s="49">
        <v>1</v>
      </c>
    </row>
    <row r="271" spans="1:16" ht="15" customHeight="1" x14ac:dyDescent="0.3">
      <c r="A271" s="199" t="s">
        <v>545</v>
      </c>
      <c r="B271" s="200"/>
      <c r="C271" s="200"/>
      <c r="D271" s="200"/>
      <c r="E271" s="200"/>
      <c r="F271" s="200"/>
      <c r="G271" s="200"/>
      <c r="H271" s="200"/>
      <c r="I271" s="200"/>
      <c r="J271" s="200"/>
      <c r="K271" s="200"/>
      <c r="L271" s="200"/>
      <c r="M271" s="200"/>
      <c r="N271" s="200"/>
    </row>
    <row r="272" spans="1:16" ht="15" customHeight="1" x14ac:dyDescent="0.3">
      <c r="A272" s="9">
        <v>251</v>
      </c>
      <c r="B272" s="46" t="s">
        <v>546</v>
      </c>
      <c r="C272" s="46" t="s">
        <v>1829</v>
      </c>
      <c r="D272" s="47"/>
      <c r="E272" s="46" t="s">
        <v>1842</v>
      </c>
      <c r="F272" s="48" t="s">
        <v>73</v>
      </c>
      <c r="G272" s="48" t="s">
        <v>1622</v>
      </c>
      <c r="H272" s="12">
        <f>MROUND('Rate Card'!$I$21*O272*P272,10)</f>
        <v>1150</v>
      </c>
      <c r="I272" s="12">
        <f>MROUND('Rate Card'!$K$21*O272*P272,10)</f>
        <v>650</v>
      </c>
      <c r="J272" s="12">
        <f>MROUND(H272*4*'Rate Card'!$B$47,100)</f>
        <v>4400</v>
      </c>
      <c r="K272" s="12">
        <f>MROUND(I272*4*'Rate Card'!$B$47,100)</f>
        <v>2500</v>
      </c>
      <c r="L272" s="12">
        <f>MROUND(H272*120*'Rate Card'!$B$48,500)</f>
        <v>117500</v>
      </c>
      <c r="M272" s="12">
        <f>MROUND(I272*120*'Rate Card'!$B$48,500)</f>
        <v>66500</v>
      </c>
      <c r="N272" s="14" t="s">
        <v>1693</v>
      </c>
      <c r="O272" s="49">
        <v>0.72</v>
      </c>
      <c r="P272" s="49">
        <v>1</v>
      </c>
    </row>
    <row r="273" spans="1:16" ht="15" customHeight="1" x14ac:dyDescent="0.3">
      <c r="A273" s="9">
        <v>252</v>
      </c>
      <c r="B273" s="46" t="s">
        <v>546</v>
      </c>
      <c r="C273" s="46" t="s">
        <v>1829</v>
      </c>
      <c r="D273" s="47"/>
      <c r="E273" s="46" t="s">
        <v>1843</v>
      </c>
      <c r="F273" s="48" t="s">
        <v>551</v>
      </c>
      <c r="G273" s="48" t="s">
        <v>1620</v>
      </c>
      <c r="H273" s="12">
        <f>MROUND('Rate Card'!$I$21*O273*P273,10)</f>
        <v>930</v>
      </c>
      <c r="I273" s="12">
        <f>MROUND('Rate Card'!$K$21*O273*P273,10)</f>
        <v>520</v>
      </c>
      <c r="J273" s="12">
        <f>MROUND(H273*4*'Rate Card'!$B$47,100)</f>
        <v>3500</v>
      </c>
      <c r="K273" s="12">
        <f>MROUND(I273*4*'Rate Card'!$B$47,100)</f>
        <v>2000</v>
      </c>
      <c r="L273" s="12">
        <f>MROUND(H273*120*'Rate Card'!$B$48,500)</f>
        <v>95000</v>
      </c>
      <c r="M273" s="12">
        <f>MROUND(I273*120*'Rate Card'!$B$48,500)</f>
        <v>53000</v>
      </c>
      <c r="N273" s="14" t="s">
        <v>1697</v>
      </c>
      <c r="O273" s="49">
        <v>0.57999999999999996</v>
      </c>
      <c r="P273" s="49">
        <v>1</v>
      </c>
    </row>
    <row r="274" spans="1:16" ht="15" customHeight="1" x14ac:dyDescent="0.3">
      <c r="A274" s="9">
        <v>253</v>
      </c>
      <c r="B274" s="46" t="s">
        <v>546</v>
      </c>
      <c r="C274" s="46" t="s">
        <v>1829</v>
      </c>
      <c r="D274" s="47" t="s">
        <v>548</v>
      </c>
      <c r="E274" s="46" t="s">
        <v>1844</v>
      </c>
      <c r="F274" s="48" t="s">
        <v>553</v>
      </c>
      <c r="G274" s="48" t="s">
        <v>549</v>
      </c>
      <c r="H274" s="12">
        <f>MROUND('Rate Card'!$I$21*O274*P274,10)</f>
        <v>930</v>
      </c>
      <c r="I274" s="12">
        <f>MROUND('Rate Card'!$K$21*O274*P274,10)</f>
        <v>520</v>
      </c>
      <c r="J274" s="12">
        <f>MROUND(H274*4*'Rate Card'!$B$47,100)</f>
        <v>3500</v>
      </c>
      <c r="K274" s="12">
        <f>MROUND(I274*4*'Rate Card'!$B$47,100)</f>
        <v>2000</v>
      </c>
      <c r="L274" s="12">
        <f>MROUND(H274*120*'Rate Card'!$B$48,500)</f>
        <v>95000</v>
      </c>
      <c r="M274" s="12">
        <f>MROUND(I274*120*'Rate Card'!$B$48,500)</f>
        <v>53000</v>
      </c>
      <c r="N274" s="14" t="s">
        <v>1697</v>
      </c>
      <c r="O274" s="49">
        <v>0.57999999999999996</v>
      </c>
      <c r="P274" s="49">
        <v>1</v>
      </c>
    </row>
    <row r="275" spans="1:16" ht="15" customHeight="1" x14ac:dyDescent="0.3">
      <c r="A275" s="199" t="s">
        <v>554</v>
      </c>
      <c r="B275" s="200"/>
      <c r="C275" s="200"/>
      <c r="D275" s="200"/>
      <c r="E275" s="200"/>
      <c r="F275" s="200"/>
      <c r="G275" s="200"/>
      <c r="H275" s="200"/>
      <c r="I275" s="200"/>
      <c r="J275" s="200"/>
      <c r="K275" s="200"/>
      <c r="L275" s="200"/>
      <c r="M275" s="200"/>
      <c r="N275" s="200"/>
    </row>
    <row r="276" spans="1:16" ht="15" customHeight="1" x14ac:dyDescent="0.3">
      <c r="A276" s="9">
        <v>254</v>
      </c>
      <c r="B276" s="46" t="s">
        <v>555</v>
      </c>
      <c r="C276" s="46" t="s">
        <v>1845</v>
      </c>
      <c r="D276" s="47" t="s">
        <v>557</v>
      </c>
      <c r="E276" s="46" t="s">
        <v>1846</v>
      </c>
      <c r="F276" s="48" t="s">
        <v>45</v>
      </c>
      <c r="G276" s="48" t="s">
        <v>558</v>
      </c>
      <c r="H276" s="12">
        <f>MROUND('Rate Card'!$I$22*O276*P276,10)</f>
        <v>1290</v>
      </c>
      <c r="I276" s="12">
        <f>MROUND('Rate Card'!$K$22*O276*P276,10)</f>
        <v>690</v>
      </c>
      <c r="J276" s="12">
        <f>MROUND(H276*4*'Rate Card'!$B$47,100)</f>
        <v>4900</v>
      </c>
      <c r="K276" s="12">
        <f>MROUND(I276*4*'Rate Card'!$B$47,100)</f>
        <v>2600</v>
      </c>
      <c r="L276" s="12">
        <f>MROUND(H276*120*'Rate Card'!$B$48,500)</f>
        <v>131500</v>
      </c>
      <c r="M276" s="12">
        <f>MROUND(I276*120*'Rate Card'!$B$48,500)</f>
        <v>70500</v>
      </c>
      <c r="N276" s="14"/>
      <c r="O276" s="49">
        <v>0.92</v>
      </c>
      <c r="P276" s="49">
        <v>1</v>
      </c>
    </row>
    <row r="277" spans="1:16" ht="15" customHeight="1" x14ac:dyDescent="0.3">
      <c r="A277" s="9">
        <v>255</v>
      </c>
      <c r="B277" s="46" t="s">
        <v>555</v>
      </c>
      <c r="C277" s="46" t="s">
        <v>1720</v>
      </c>
      <c r="D277" s="47" t="s">
        <v>560</v>
      </c>
      <c r="E277" s="46" t="s">
        <v>1847</v>
      </c>
      <c r="F277" s="48" t="s">
        <v>165</v>
      </c>
      <c r="G277" s="48" t="s">
        <v>561</v>
      </c>
      <c r="H277" s="12">
        <f>MROUND('Rate Card'!$I$22*O277*P277,10)</f>
        <v>1290</v>
      </c>
      <c r="I277" s="12">
        <f>MROUND('Rate Card'!$K$22*O277*P277,10)</f>
        <v>690</v>
      </c>
      <c r="J277" s="12">
        <f>MROUND(H277*4*'Rate Card'!$B$47,100)</f>
        <v>4900</v>
      </c>
      <c r="K277" s="12">
        <f>MROUND(I277*4*'Rate Card'!$B$47,100)</f>
        <v>2600</v>
      </c>
      <c r="L277" s="12">
        <f>MROUND(H277*120*'Rate Card'!$B$48,500)</f>
        <v>131500</v>
      </c>
      <c r="M277" s="12">
        <f>MROUND(I277*120*'Rate Card'!$B$48,500)</f>
        <v>70500</v>
      </c>
      <c r="N277" s="14"/>
      <c r="O277" s="49">
        <v>0.92</v>
      </c>
      <c r="P277" s="49">
        <v>1</v>
      </c>
    </row>
    <row r="278" spans="1:16" ht="15" customHeight="1" x14ac:dyDescent="0.3">
      <c r="A278" s="9">
        <v>256</v>
      </c>
      <c r="B278" s="46" t="s">
        <v>555</v>
      </c>
      <c r="C278" s="46" t="s">
        <v>1845</v>
      </c>
      <c r="D278" s="47" t="s">
        <v>563</v>
      </c>
      <c r="E278" s="46" t="s">
        <v>1848</v>
      </c>
      <c r="F278" s="48" t="s">
        <v>116</v>
      </c>
      <c r="G278" s="48" t="s">
        <v>564</v>
      </c>
      <c r="H278" s="12">
        <f>MROUND('Rate Card'!$I$22*O278*P278,10)</f>
        <v>1290</v>
      </c>
      <c r="I278" s="12">
        <f>MROUND('Rate Card'!$K$22*O278*P278,10)</f>
        <v>690</v>
      </c>
      <c r="J278" s="12">
        <f>MROUND(H278*4*'Rate Card'!$B$47,100)</f>
        <v>4900</v>
      </c>
      <c r="K278" s="12">
        <f>MROUND(I278*4*'Rate Card'!$B$47,100)</f>
        <v>2600</v>
      </c>
      <c r="L278" s="12">
        <f>MROUND(H278*120*'Rate Card'!$B$48,500)</f>
        <v>131500</v>
      </c>
      <c r="M278" s="12">
        <f>MROUND(I278*120*'Rate Card'!$B$48,500)</f>
        <v>70500</v>
      </c>
      <c r="N278" s="14"/>
      <c r="O278" s="49">
        <v>0.92</v>
      </c>
      <c r="P278" s="49">
        <v>1</v>
      </c>
    </row>
    <row r="279" spans="1:16" ht="15" customHeight="1" x14ac:dyDescent="0.3">
      <c r="A279" s="9">
        <v>257</v>
      </c>
      <c r="B279" s="46" t="s">
        <v>555</v>
      </c>
      <c r="C279" s="46" t="s">
        <v>1845</v>
      </c>
      <c r="D279" s="47" t="s">
        <v>565</v>
      </c>
      <c r="E279" s="46" t="s">
        <v>1846</v>
      </c>
      <c r="F279" s="48" t="s">
        <v>49</v>
      </c>
      <c r="G279" s="48" t="s">
        <v>566</v>
      </c>
      <c r="H279" s="12">
        <f>MROUND('Rate Card'!$I$22*O279*P279,10)</f>
        <v>1290</v>
      </c>
      <c r="I279" s="12">
        <f>MROUND('Rate Card'!$K$22*O279*P279,10)</f>
        <v>690</v>
      </c>
      <c r="J279" s="12">
        <f>MROUND(H279*4*'Rate Card'!$B$47,100)</f>
        <v>4900</v>
      </c>
      <c r="K279" s="12">
        <f>MROUND(I279*4*'Rate Card'!$B$47,100)</f>
        <v>2600</v>
      </c>
      <c r="L279" s="12">
        <f>MROUND(H279*120*'Rate Card'!$B$48,500)</f>
        <v>131500</v>
      </c>
      <c r="M279" s="12">
        <f>MROUND(I279*120*'Rate Card'!$B$48,500)</f>
        <v>70500</v>
      </c>
      <c r="N279" s="14"/>
      <c r="O279" s="49">
        <v>0.92</v>
      </c>
      <c r="P279" s="49">
        <v>1</v>
      </c>
    </row>
    <row r="280" spans="1:16" ht="15" customHeight="1" x14ac:dyDescent="0.3">
      <c r="A280" s="9">
        <v>258</v>
      </c>
      <c r="B280" s="46" t="s">
        <v>555</v>
      </c>
      <c r="C280" s="46" t="s">
        <v>1845</v>
      </c>
      <c r="D280" s="47" t="s">
        <v>567</v>
      </c>
      <c r="E280" s="46" t="s">
        <v>1846</v>
      </c>
      <c r="F280" s="48" t="s">
        <v>49</v>
      </c>
      <c r="G280" s="48" t="s">
        <v>568</v>
      </c>
      <c r="H280" s="12">
        <f>MROUND('Rate Card'!$I$22*O280*P280,10)</f>
        <v>1290</v>
      </c>
      <c r="I280" s="12">
        <f>MROUND('Rate Card'!$K$22*O280*P280,10)</f>
        <v>690</v>
      </c>
      <c r="J280" s="12">
        <f>MROUND(H280*4*'Rate Card'!$B$47,100)</f>
        <v>4900</v>
      </c>
      <c r="K280" s="12">
        <f>MROUND(I280*4*'Rate Card'!$B$47,100)</f>
        <v>2600</v>
      </c>
      <c r="L280" s="12">
        <f>MROUND(H280*120*'Rate Card'!$B$48,500)</f>
        <v>131500</v>
      </c>
      <c r="M280" s="12">
        <f>MROUND(I280*120*'Rate Card'!$B$48,500)</f>
        <v>70500</v>
      </c>
      <c r="N280" s="14"/>
      <c r="O280" s="49">
        <v>0.92</v>
      </c>
      <c r="P280" s="49">
        <v>1</v>
      </c>
    </row>
    <row r="281" spans="1:16" ht="15" customHeight="1" x14ac:dyDescent="0.3">
      <c r="A281" s="9">
        <v>259</v>
      </c>
      <c r="B281" s="46" t="s">
        <v>555</v>
      </c>
      <c r="C281" s="46" t="s">
        <v>1845</v>
      </c>
      <c r="D281" s="47" t="s">
        <v>569</v>
      </c>
      <c r="E281" s="46" t="s">
        <v>1846</v>
      </c>
      <c r="F281" s="48" t="s">
        <v>49</v>
      </c>
      <c r="G281" s="48" t="s">
        <v>570</v>
      </c>
      <c r="H281" s="12">
        <f>MROUND('Rate Card'!$I$22*O281*P281,10)</f>
        <v>1290</v>
      </c>
      <c r="I281" s="12">
        <f>MROUND('Rate Card'!$K$22*O281*P281,10)</f>
        <v>690</v>
      </c>
      <c r="J281" s="12">
        <f>MROUND(H281*4*'Rate Card'!$B$47,100)</f>
        <v>4900</v>
      </c>
      <c r="K281" s="12">
        <f>MROUND(I281*4*'Rate Card'!$B$47,100)</f>
        <v>2600</v>
      </c>
      <c r="L281" s="12">
        <f>MROUND(H281*120*'Rate Card'!$B$48,500)</f>
        <v>131500</v>
      </c>
      <c r="M281" s="12">
        <f>MROUND(I281*120*'Rate Card'!$B$48,500)</f>
        <v>70500</v>
      </c>
      <c r="N281" s="14"/>
      <c r="O281" s="49">
        <v>0.92</v>
      </c>
      <c r="P281" s="49">
        <v>1</v>
      </c>
    </row>
    <row r="282" spans="1:16" ht="15" customHeight="1" x14ac:dyDescent="0.3">
      <c r="A282" s="9">
        <v>260</v>
      </c>
      <c r="B282" s="46" t="s">
        <v>555</v>
      </c>
      <c r="C282" s="46" t="s">
        <v>1829</v>
      </c>
      <c r="D282" s="47" t="s">
        <v>572</v>
      </c>
      <c r="E282" s="46" t="s">
        <v>1849</v>
      </c>
      <c r="F282" s="48" t="s">
        <v>143</v>
      </c>
      <c r="G282" s="48" t="s">
        <v>573</v>
      </c>
      <c r="H282" s="12">
        <f>MROUND('Rate Card'!$I$22*O282*P282,10)</f>
        <v>910</v>
      </c>
      <c r="I282" s="12">
        <f>MROUND('Rate Card'!$K$22*O282*P282,10)</f>
        <v>490</v>
      </c>
      <c r="J282" s="12">
        <f>MROUND(H282*4*'Rate Card'!$B$47,100)</f>
        <v>3500</v>
      </c>
      <c r="K282" s="12">
        <f>MROUND(I282*4*'Rate Card'!$B$47,100)</f>
        <v>1900</v>
      </c>
      <c r="L282" s="12">
        <f>MROUND(H282*120*'Rate Card'!$B$48,500)</f>
        <v>93000</v>
      </c>
      <c r="M282" s="12">
        <f>MROUND(I282*120*'Rate Card'!$B$48,500)</f>
        <v>50000</v>
      </c>
      <c r="N282" s="14" t="s">
        <v>1694</v>
      </c>
      <c r="O282" s="49">
        <v>0.65</v>
      </c>
      <c r="P282" s="49">
        <v>1</v>
      </c>
    </row>
    <row r="283" spans="1:16" ht="15" customHeight="1" x14ac:dyDescent="0.3">
      <c r="A283" s="9">
        <v>261</v>
      </c>
      <c r="B283" s="46" t="s">
        <v>555</v>
      </c>
      <c r="C283" s="46" t="s">
        <v>1829</v>
      </c>
      <c r="D283" s="47" t="s">
        <v>575</v>
      </c>
      <c r="E283" s="46" t="s">
        <v>1850</v>
      </c>
      <c r="F283" s="48" t="s">
        <v>537</v>
      </c>
      <c r="G283" s="48" t="s">
        <v>576</v>
      </c>
      <c r="H283" s="12">
        <f>MROUND('Rate Card'!$I$22*O283*P283,10)</f>
        <v>810</v>
      </c>
      <c r="I283" s="12">
        <f>MROUND('Rate Card'!$K$22*O283*P283,10)</f>
        <v>430</v>
      </c>
      <c r="J283" s="12">
        <f>MROUND(H283*4*'Rate Card'!$B$47,100)</f>
        <v>3100</v>
      </c>
      <c r="K283" s="12">
        <f>MROUND(I283*4*'Rate Card'!$B$47,100)</f>
        <v>1600</v>
      </c>
      <c r="L283" s="12">
        <f>MROUND(H283*120*'Rate Card'!$B$48,500)</f>
        <v>82500</v>
      </c>
      <c r="M283" s="12">
        <f>MROUND(I283*120*'Rate Card'!$B$48,500)</f>
        <v>44000</v>
      </c>
      <c r="N283" s="14" t="s">
        <v>1697</v>
      </c>
      <c r="O283" s="49">
        <v>0.57999999999999996</v>
      </c>
      <c r="P283" s="49">
        <v>1</v>
      </c>
    </row>
    <row r="284" spans="1:16" ht="15" customHeight="1" x14ac:dyDescent="0.3">
      <c r="A284" s="9">
        <v>262</v>
      </c>
      <c r="B284" s="46" t="s">
        <v>555</v>
      </c>
      <c r="C284" s="46" t="s">
        <v>1829</v>
      </c>
      <c r="D284" s="47" t="s">
        <v>578</v>
      </c>
      <c r="E284" s="46" t="s">
        <v>1851</v>
      </c>
      <c r="F284" s="48" t="s">
        <v>537</v>
      </c>
      <c r="G284" s="48" t="s">
        <v>579</v>
      </c>
      <c r="H284" s="12">
        <f>MROUND('Rate Card'!$I$22*O284*P284,10)</f>
        <v>810</v>
      </c>
      <c r="I284" s="12">
        <f>MROUND('Rate Card'!$K$22*O284*P284,10)</f>
        <v>430</v>
      </c>
      <c r="J284" s="12">
        <f>MROUND(H284*4*'Rate Card'!$B$47,100)</f>
        <v>3100</v>
      </c>
      <c r="K284" s="12">
        <f>MROUND(I284*4*'Rate Card'!$B$47,100)</f>
        <v>1600</v>
      </c>
      <c r="L284" s="12">
        <f>MROUND(H284*120*'Rate Card'!$B$48,500)</f>
        <v>82500</v>
      </c>
      <c r="M284" s="12">
        <f>MROUND(I284*120*'Rate Card'!$B$48,500)</f>
        <v>44000</v>
      </c>
      <c r="N284" s="14" t="s">
        <v>1697</v>
      </c>
      <c r="O284" s="49">
        <v>0.57999999999999996</v>
      </c>
      <c r="P284" s="49">
        <v>1</v>
      </c>
    </row>
    <row r="285" spans="1:16" ht="15" customHeight="1" x14ac:dyDescent="0.3">
      <c r="A285" s="9">
        <v>263</v>
      </c>
      <c r="B285" s="46" t="s">
        <v>555</v>
      </c>
      <c r="C285" s="46" t="s">
        <v>1852</v>
      </c>
      <c r="D285" s="47" t="s">
        <v>581</v>
      </c>
      <c r="E285" s="46" t="s">
        <v>1853</v>
      </c>
      <c r="F285" s="48" t="s">
        <v>583</v>
      </c>
      <c r="G285" s="48" t="s">
        <v>582</v>
      </c>
      <c r="H285" s="12">
        <f>MROUND('Rate Card'!$I$22*O285*P285,10)</f>
        <v>810</v>
      </c>
      <c r="I285" s="12">
        <f>MROUND('Rate Card'!$K$22*O285*P285,10)</f>
        <v>430</v>
      </c>
      <c r="J285" s="12">
        <f>MROUND(H285*4*'Rate Card'!$B$47,100)</f>
        <v>3100</v>
      </c>
      <c r="K285" s="12">
        <f>MROUND(I285*4*'Rate Card'!$B$47,100)</f>
        <v>1600</v>
      </c>
      <c r="L285" s="12">
        <f>MROUND(H285*120*'Rate Card'!$B$48,500)</f>
        <v>82500</v>
      </c>
      <c r="M285" s="12">
        <f>MROUND(I285*120*'Rate Card'!$B$48,500)</f>
        <v>44000</v>
      </c>
      <c r="N285" s="14" t="s">
        <v>1697</v>
      </c>
      <c r="O285" s="49">
        <v>0.57999999999999996</v>
      </c>
      <c r="P285" s="49">
        <v>1</v>
      </c>
    </row>
    <row r="286" spans="1:16" ht="15" customHeight="1" x14ac:dyDescent="0.3">
      <c r="A286" s="9">
        <v>264</v>
      </c>
      <c r="B286" s="46" t="s">
        <v>555</v>
      </c>
      <c r="C286" s="46" t="s">
        <v>1829</v>
      </c>
      <c r="D286" s="47" t="s">
        <v>585</v>
      </c>
      <c r="E286" s="46" t="s">
        <v>1854</v>
      </c>
      <c r="F286" s="48" t="s">
        <v>587</v>
      </c>
      <c r="G286" s="48" t="s">
        <v>586</v>
      </c>
      <c r="H286" s="12">
        <f>MROUND('Rate Card'!$I$22*O286*P286,10)</f>
        <v>810</v>
      </c>
      <c r="I286" s="12">
        <f>MROUND('Rate Card'!$K$22*O286*P286,10)</f>
        <v>430</v>
      </c>
      <c r="J286" s="12">
        <f>MROUND(H286*4*'Rate Card'!$B$47,100)</f>
        <v>3100</v>
      </c>
      <c r="K286" s="12">
        <f>MROUND(I286*4*'Rate Card'!$B$47,100)</f>
        <v>1600</v>
      </c>
      <c r="L286" s="12">
        <f>MROUND(H286*120*'Rate Card'!$B$48,500)</f>
        <v>82500</v>
      </c>
      <c r="M286" s="12">
        <f>MROUND(I286*120*'Rate Card'!$B$48,500)</f>
        <v>44000</v>
      </c>
      <c r="N286" s="14" t="s">
        <v>1697</v>
      </c>
      <c r="O286" s="49">
        <v>0.57999999999999996</v>
      </c>
      <c r="P286" s="49">
        <v>1</v>
      </c>
    </row>
    <row r="287" spans="1:16" ht="15" customHeight="1" x14ac:dyDescent="0.3">
      <c r="A287" s="199" t="s">
        <v>588</v>
      </c>
      <c r="B287" s="200"/>
      <c r="C287" s="200"/>
      <c r="D287" s="200"/>
      <c r="E287" s="200"/>
      <c r="F287" s="200"/>
      <c r="G287" s="200"/>
      <c r="H287" s="200"/>
      <c r="I287" s="200"/>
      <c r="J287" s="200"/>
      <c r="K287" s="200"/>
      <c r="L287" s="200"/>
      <c r="M287" s="200"/>
      <c r="N287" s="200"/>
    </row>
    <row r="288" spans="1:16" ht="15" customHeight="1" x14ac:dyDescent="0.3">
      <c r="A288" s="9">
        <v>265</v>
      </c>
      <c r="B288" s="46" t="s">
        <v>589</v>
      </c>
      <c r="C288" s="46" t="s">
        <v>1832</v>
      </c>
      <c r="D288" s="47" t="s">
        <v>591</v>
      </c>
      <c r="E288" s="46" t="s">
        <v>1855</v>
      </c>
      <c r="F288" s="48" t="s">
        <v>45</v>
      </c>
      <c r="G288" s="48" t="s">
        <v>592</v>
      </c>
      <c r="H288" s="12">
        <f>MROUND('Rate Card'!$I$23*O288*P288,10)</f>
        <v>1060</v>
      </c>
      <c r="I288" s="12">
        <f>MROUND('Rate Card'!$K$23*O288*P288,10)</f>
        <v>600</v>
      </c>
      <c r="J288" s="12">
        <f>MROUND(H288*4*'Rate Card'!$B$47,100)</f>
        <v>4000</v>
      </c>
      <c r="K288" s="12">
        <f>MROUND(I288*4*'Rate Card'!$B$47,100)</f>
        <v>2300</v>
      </c>
      <c r="L288" s="12">
        <f>MROUND(H288*120*'Rate Card'!$B$48,500)</f>
        <v>108000</v>
      </c>
      <c r="M288" s="12">
        <f>MROUND(I288*120*'Rate Card'!$B$48,500)</f>
        <v>61000</v>
      </c>
      <c r="N288" s="14"/>
      <c r="O288" s="49">
        <v>0.92</v>
      </c>
      <c r="P288" s="49">
        <v>1</v>
      </c>
    </row>
    <row r="289" spans="1:16" ht="15" customHeight="1" x14ac:dyDescent="0.3">
      <c r="A289" s="9">
        <v>266</v>
      </c>
      <c r="B289" s="46" t="s">
        <v>589</v>
      </c>
      <c r="C289" s="46" t="s">
        <v>1832</v>
      </c>
      <c r="D289" s="47" t="s">
        <v>593</v>
      </c>
      <c r="E289" s="46" t="s">
        <v>1855</v>
      </c>
      <c r="F289" s="48" t="s">
        <v>45</v>
      </c>
      <c r="G289" s="48" t="s">
        <v>594</v>
      </c>
      <c r="H289" s="12">
        <f>MROUND('Rate Card'!$I$23*O289*P289,10)</f>
        <v>1060</v>
      </c>
      <c r="I289" s="12">
        <f>MROUND('Rate Card'!$K$23*O289*P289,10)</f>
        <v>600</v>
      </c>
      <c r="J289" s="12">
        <f>MROUND(H289*4*'Rate Card'!$B$47,100)</f>
        <v>4000</v>
      </c>
      <c r="K289" s="12">
        <f>MROUND(I289*4*'Rate Card'!$B$47,100)</f>
        <v>2300</v>
      </c>
      <c r="L289" s="12">
        <f>MROUND(H289*120*'Rate Card'!$B$48,500)</f>
        <v>108000</v>
      </c>
      <c r="M289" s="12">
        <f>MROUND(I289*120*'Rate Card'!$B$48,500)</f>
        <v>61000</v>
      </c>
      <c r="N289" s="14"/>
      <c r="O289" s="49">
        <v>0.92</v>
      </c>
      <c r="P289" s="49">
        <v>1</v>
      </c>
    </row>
    <row r="290" spans="1:16" ht="15" customHeight="1" x14ac:dyDescent="0.3">
      <c r="A290" s="9">
        <v>267</v>
      </c>
      <c r="B290" s="46" t="s">
        <v>589</v>
      </c>
      <c r="C290" s="46" t="s">
        <v>1832</v>
      </c>
      <c r="D290" s="47" t="s">
        <v>595</v>
      </c>
      <c r="E290" s="46" t="s">
        <v>1855</v>
      </c>
      <c r="F290" s="48" t="s">
        <v>45</v>
      </c>
      <c r="G290" s="48" t="s">
        <v>596</v>
      </c>
      <c r="H290" s="12">
        <f>MROUND('Rate Card'!$I$23*O290*P290,10)</f>
        <v>1060</v>
      </c>
      <c r="I290" s="12">
        <f>MROUND('Rate Card'!$K$23*O290*P290,10)</f>
        <v>600</v>
      </c>
      <c r="J290" s="12">
        <f>MROUND(H290*4*'Rate Card'!$B$47,100)</f>
        <v>4000</v>
      </c>
      <c r="K290" s="12">
        <f>MROUND(I290*4*'Rate Card'!$B$47,100)</f>
        <v>2300</v>
      </c>
      <c r="L290" s="12">
        <f>MROUND(H290*120*'Rate Card'!$B$48,500)</f>
        <v>108000</v>
      </c>
      <c r="M290" s="12">
        <f>MROUND(I290*120*'Rate Card'!$B$48,500)</f>
        <v>61000</v>
      </c>
      <c r="N290" s="14"/>
      <c r="O290" s="49">
        <v>0.92</v>
      </c>
      <c r="P290" s="49">
        <v>1</v>
      </c>
    </row>
    <row r="291" spans="1:16" ht="15" customHeight="1" x14ac:dyDescent="0.3">
      <c r="A291" s="9">
        <v>268</v>
      </c>
      <c r="B291" s="46" t="s">
        <v>589</v>
      </c>
      <c r="C291" s="46" t="s">
        <v>1832</v>
      </c>
      <c r="D291" s="47" t="s">
        <v>597</v>
      </c>
      <c r="E291" s="46" t="s">
        <v>1855</v>
      </c>
      <c r="F291" s="48" t="s">
        <v>45</v>
      </c>
      <c r="G291" s="48" t="s">
        <v>598</v>
      </c>
      <c r="H291" s="12">
        <f>MROUND('Rate Card'!$I$23*O291*P291,10)</f>
        <v>1060</v>
      </c>
      <c r="I291" s="12">
        <f>MROUND('Rate Card'!$K$23*O291*P291,10)</f>
        <v>600</v>
      </c>
      <c r="J291" s="12">
        <f>MROUND(H291*4*'Rate Card'!$B$47,100)</f>
        <v>4000</v>
      </c>
      <c r="K291" s="12">
        <f>MROUND(I291*4*'Rate Card'!$B$47,100)</f>
        <v>2300</v>
      </c>
      <c r="L291" s="12">
        <f>MROUND(H291*120*'Rate Card'!$B$48,500)</f>
        <v>108000</v>
      </c>
      <c r="M291" s="12">
        <f>MROUND(I291*120*'Rate Card'!$B$48,500)</f>
        <v>61000</v>
      </c>
      <c r="N291" s="14"/>
      <c r="O291" s="49">
        <v>0.92</v>
      </c>
      <c r="P291" s="49">
        <v>1</v>
      </c>
    </row>
    <row r="292" spans="1:16" ht="15" customHeight="1" x14ac:dyDescent="0.3">
      <c r="A292" s="9">
        <v>269</v>
      </c>
      <c r="B292" s="46" t="s">
        <v>589</v>
      </c>
      <c r="C292" s="46" t="s">
        <v>1711</v>
      </c>
      <c r="D292" s="47" t="s">
        <v>600</v>
      </c>
      <c r="E292" s="46" t="s">
        <v>1856</v>
      </c>
      <c r="F292" s="48" t="s">
        <v>45</v>
      </c>
      <c r="G292" s="48" t="s">
        <v>601</v>
      </c>
      <c r="H292" s="12">
        <f>MROUND('Rate Card'!$I$23*O292*P292,10)</f>
        <v>1060</v>
      </c>
      <c r="I292" s="12">
        <f>MROUND('Rate Card'!$K$23*O292*P292,10)</f>
        <v>600</v>
      </c>
      <c r="J292" s="12">
        <f>MROUND(H292*4*'Rate Card'!$B$47,100)</f>
        <v>4000</v>
      </c>
      <c r="K292" s="12">
        <f>MROUND(I292*4*'Rate Card'!$B$47,100)</f>
        <v>2300</v>
      </c>
      <c r="L292" s="12">
        <f>MROUND(H292*120*'Rate Card'!$B$48,500)</f>
        <v>108000</v>
      </c>
      <c r="M292" s="12">
        <f>MROUND(I292*120*'Rate Card'!$B$48,500)</f>
        <v>61000</v>
      </c>
      <c r="N292" s="14"/>
      <c r="O292" s="49">
        <v>0.92</v>
      </c>
      <c r="P292" s="49">
        <v>1</v>
      </c>
    </row>
    <row r="293" spans="1:16" ht="15" customHeight="1" x14ac:dyDescent="0.3">
      <c r="A293" s="9">
        <v>270</v>
      </c>
      <c r="B293" s="46" t="s">
        <v>589</v>
      </c>
      <c r="C293" s="46" t="s">
        <v>1711</v>
      </c>
      <c r="D293" s="47" t="s">
        <v>603</v>
      </c>
      <c r="E293" s="46" t="s">
        <v>1857</v>
      </c>
      <c r="F293" s="48" t="s">
        <v>94</v>
      </c>
      <c r="G293" s="48" t="s">
        <v>604</v>
      </c>
      <c r="H293" s="12">
        <f>MROUND('Rate Card'!$I$23*O293*P293,10)</f>
        <v>940</v>
      </c>
      <c r="I293" s="12">
        <f>MROUND('Rate Card'!$K$23*O293*P293,10)</f>
        <v>530</v>
      </c>
      <c r="J293" s="12">
        <f>MROUND(H293*4*'Rate Card'!$B$47,100)</f>
        <v>3600</v>
      </c>
      <c r="K293" s="12">
        <f>MROUND(I293*4*'Rate Card'!$B$47,100)</f>
        <v>2000</v>
      </c>
      <c r="L293" s="12">
        <f>MROUND(H293*120*'Rate Card'!$B$48,500)</f>
        <v>96000</v>
      </c>
      <c r="M293" s="12">
        <f>MROUND(I293*120*'Rate Card'!$B$48,500)</f>
        <v>54000</v>
      </c>
      <c r="N293" s="14"/>
      <c r="O293" s="49">
        <v>0.82</v>
      </c>
      <c r="P293" s="49">
        <v>1</v>
      </c>
    </row>
    <row r="294" spans="1:16" ht="15" customHeight="1" x14ac:dyDescent="0.3">
      <c r="A294" s="9">
        <v>271</v>
      </c>
      <c r="B294" s="46" t="s">
        <v>589</v>
      </c>
      <c r="C294" s="46" t="s">
        <v>1858</v>
      </c>
      <c r="D294" s="47" t="s">
        <v>606</v>
      </c>
      <c r="E294" s="46" t="s">
        <v>1859</v>
      </c>
      <c r="F294" s="48" t="s">
        <v>99</v>
      </c>
      <c r="G294" s="48" t="s">
        <v>607</v>
      </c>
      <c r="H294" s="12">
        <f>MROUND('Rate Card'!$I$23*O294*P294,10)</f>
        <v>940</v>
      </c>
      <c r="I294" s="12">
        <f>MROUND('Rate Card'!$K$23*O294*P294,10)</f>
        <v>530</v>
      </c>
      <c r="J294" s="12">
        <f>MROUND(H294*4*'Rate Card'!$B$47,100)</f>
        <v>3600</v>
      </c>
      <c r="K294" s="12">
        <f>MROUND(I294*4*'Rate Card'!$B$47,100)</f>
        <v>2000</v>
      </c>
      <c r="L294" s="12">
        <f>MROUND(H294*120*'Rate Card'!$B$48,500)</f>
        <v>96000</v>
      </c>
      <c r="M294" s="12">
        <f>MROUND(I294*120*'Rate Card'!$B$48,500)</f>
        <v>54000</v>
      </c>
      <c r="N294" s="14"/>
      <c r="O294" s="49">
        <v>0.82</v>
      </c>
      <c r="P294" s="49">
        <v>1</v>
      </c>
    </row>
    <row r="295" spans="1:16" ht="15" customHeight="1" x14ac:dyDescent="0.3">
      <c r="A295" s="9">
        <v>272</v>
      </c>
      <c r="B295" s="46" t="s">
        <v>589</v>
      </c>
      <c r="C295" s="46" t="s">
        <v>1711</v>
      </c>
      <c r="D295" s="47" t="s">
        <v>609</v>
      </c>
      <c r="E295" s="46" t="s">
        <v>1860</v>
      </c>
      <c r="F295" s="48" t="s">
        <v>66</v>
      </c>
      <c r="G295" s="48" t="s">
        <v>610</v>
      </c>
      <c r="H295" s="12">
        <f>MROUND('Rate Card'!$I$23*O295*P295,10)</f>
        <v>940</v>
      </c>
      <c r="I295" s="12">
        <f>MROUND('Rate Card'!$K$23*O295*P295,10)</f>
        <v>530</v>
      </c>
      <c r="J295" s="12">
        <f>MROUND(H295*4*'Rate Card'!$B$47,100)</f>
        <v>3600</v>
      </c>
      <c r="K295" s="12">
        <f>MROUND(I295*4*'Rate Card'!$B$47,100)</f>
        <v>2000</v>
      </c>
      <c r="L295" s="12">
        <f>MROUND(H295*120*'Rate Card'!$B$48,500)</f>
        <v>96000</v>
      </c>
      <c r="M295" s="12">
        <f>MROUND(I295*120*'Rate Card'!$B$48,500)</f>
        <v>54000</v>
      </c>
      <c r="N295" s="14"/>
      <c r="O295" s="49">
        <v>0.82</v>
      </c>
      <c r="P295" s="49">
        <v>1</v>
      </c>
    </row>
    <row r="296" spans="1:16" ht="15" customHeight="1" x14ac:dyDescent="0.3">
      <c r="A296" s="9">
        <v>273</v>
      </c>
      <c r="B296" s="46" t="s">
        <v>589</v>
      </c>
      <c r="C296" s="46" t="s">
        <v>1711</v>
      </c>
      <c r="D296" s="47" t="s">
        <v>616</v>
      </c>
      <c r="E296" s="46" t="s">
        <v>1860</v>
      </c>
      <c r="F296" s="48" t="s">
        <v>458</v>
      </c>
      <c r="G296" s="48" t="s">
        <v>617</v>
      </c>
      <c r="H296" s="12">
        <f>MROUND('Rate Card'!$I$23*O296*P296,10)</f>
        <v>940</v>
      </c>
      <c r="I296" s="12">
        <f>MROUND('Rate Card'!$K$23*O296*P296,10)</f>
        <v>530</v>
      </c>
      <c r="J296" s="12">
        <f>MROUND(H296*4*'Rate Card'!$B$47,100)</f>
        <v>3600</v>
      </c>
      <c r="K296" s="12">
        <f>MROUND(I296*4*'Rate Card'!$B$47,100)</f>
        <v>2000</v>
      </c>
      <c r="L296" s="12">
        <f>MROUND(H296*120*'Rate Card'!$B$48,500)</f>
        <v>96000</v>
      </c>
      <c r="M296" s="12">
        <f>MROUND(I296*120*'Rate Card'!$B$48,500)</f>
        <v>54000</v>
      </c>
      <c r="N296" s="14"/>
      <c r="O296" s="49">
        <v>0.82</v>
      </c>
      <c r="P296" s="49">
        <v>1</v>
      </c>
    </row>
    <row r="297" spans="1:16" ht="15" customHeight="1" x14ac:dyDescent="0.3">
      <c r="A297" s="9">
        <v>274</v>
      </c>
      <c r="B297" s="46" t="s">
        <v>589</v>
      </c>
      <c r="C297" s="46" t="s">
        <v>1711</v>
      </c>
      <c r="D297" s="47" t="s">
        <v>614</v>
      </c>
      <c r="E297" s="46" t="s">
        <v>1861</v>
      </c>
      <c r="F297" s="48" t="s">
        <v>458</v>
      </c>
      <c r="G297" s="48" t="s">
        <v>615</v>
      </c>
      <c r="H297" s="12">
        <f>MROUND('Rate Card'!$I$23*O297*P297,10)</f>
        <v>940</v>
      </c>
      <c r="I297" s="12">
        <f>MROUND('Rate Card'!$K$23*O297*P297,10)</f>
        <v>530</v>
      </c>
      <c r="J297" s="12">
        <f>MROUND(H297*4*'Rate Card'!$B$47,100)</f>
        <v>3600</v>
      </c>
      <c r="K297" s="12">
        <f>MROUND(I297*4*'Rate Card'!$B$47,100)</f>
        <v>2000</v>
      </c>
      <c r="L297" s="12">
        <f>MROUND(H297*120*'Rate Card'!$B$48,500)</f>
        <v>96000</v>
      </c>
      <c r="M297" s="12">
        <f>MROUND(I297*120*'Rate Card'!$B$48,500)</f>
        <v>54000</v>
      </c>
      <c r="N297" s="14"/>
      <c r="O297" s="49">
        <v>0.82</v>
      </c>
      <c r="P297" s="49">
        <v>1</v>
      </c>
    </row>
    <row r="298" spans="1:16" ht="15" customHeight="1" x14ac:dyDescent="0.3">
      <c r="A298" s="9">
        <v>275</v>
      </c>
      <c r="B298" s="46" t="s">
        <v>589</v>
      </c>
      <c r="C298" s="46" t="s">
        <v>1844</v>
      </c>
      <c r="D298" s="47" t="s">
        <v>622</v>
      </c>
      <c r="E298" s="46" t="s">
        <v>1861</v>
      </c>
      <c r="F298" s="48" t="s">
        <v>458</v>
      </c>
      <c r="G298" s="48" t="s">
        <v>623</v>
      </c>
      <c r="H298" s="12">
        <f>MROUND('Rate Card'!$I$23*O298*P298,10)</f>
        <v>940</v>
      </c>
      <c r="I298" s="12">
        <f>MROUND('Rate Card'!$K$23*O298*P298,10)</f>
        <v>530</v>
      </c>
      <c r="J298" s="12">
        <f>MROUND(H298*4*'Rate Card'!$B$47,100)</f>
        <v>3600</v>
      </c>
      <c r="K298" s="12">
        <f>MROUND(I298*4*'Rate Card'!$B$47,100)</f>
        <v>2000</v>
      </c>
      <c r="L298" s="12">
        <f>MROUND(H298*120*'Rate Card'!$B$48,500)</f>
        <v>96000</v>
      </c>
      <c r="M298" s="12">
        <f>MROUND(I298*120*'Rate Card'!$B$48,500)</f>
        <v>54000</v>
      </c>
      <c r="N298" s="14"/>
      <c r="O298" s="49">
        <v>0.82</v>
      </c>
      <c r="P298" s="49">
        <v>1</v>
      </c>
    </row>
    <row r="299" spans="1:16" ht="15" customHeight="1" x14ac:dyDescent="0.3">
      <c r="A299" s="9">
        <v>276</v>
      </c>
      <c r="B299" s="46" t="s">
        <v>589</v>
      </c>
      <c r="C299" s="46" t="s">
        <v>1711</v>
      </c>
      <c r="D299" s="47" t="s">
        <v>619</v>
      </c>
      <c r="E299" s="46" t="s">
        <v>1862</v>
      </c>
      <c r="F299" s="48" t="s">
        <v>73</v>
      </c>
      <c r="G299" s="48" t="s">
        <v>620</v>
      </c>
      <c r="H299" s="12">
        <f>MROUND('Rate Card'!$I$23*O299*P299,10)</f>
        <v>830</v>
      </c>
      <c r="I299" s="12">
        <f>MROUND('Rate Card'!$K$23*O299*P299,10)</f>
        <v>470</v>
      </c>
      <c r="J299" s="12">
        <f>MROUND(H299*4*'Rate Card'!$B$47,100)</f>
        <v>3200</v>
      </c>
      <c r="K299" s="12">
        <f>MROUND(I299*4*'Rate Card'!$B$47,100)</f>
        <v>1800</v>
      </c>
      <c r="L299" s="12">
        <f>MROUND(H299*120*'Rate Card'!$B$48,500)</f>
        <v>84500</v>
      </c>
      <c r="M299" s="12">
        <f>MROUND(I299*120*'Rate Card'!$B$48,500)</f>
        <v>48000</v>
      </c>
      <c r="N299" s="14" t="s">
        <v>1693</v>
      </c>
      <c r="O299" s="49">
        <v>0.72</v>
      </c>
      <c r="P299" s="49">
        <v>1</v>
      </c>
    </row>
    <row r="300" spans="1:16" ht="15" customHeight="1" x14ac:dyDescent="0.3">
      <c r="A300" s="9">
        <v>277</v>
      </c>
      <c r="B300" s="46" t="s">
        <v>589</v>
      </c>
      <c r="C300" s="46" t="s">
        <v>1711</v>
      </c>
      <c r="D300" s="47" t="s">
        <v>611</v>
      </c>
      <c r="E300" s="46" t="s">
        <v>1860</v>
      </c>
      <c r="F300" s="48">
        <v>2012</v>
      </c>
      <c r="G300" s="48" t="s">
        <v>612</v>
      </c>
      <c r="H300" s="12">
        <f>MROUND('Rate Card'!$I$23*O300*P300,10)</f>
        <v>670</v>
      </c>
      <c r="I300" s="12">
        <f>MROUND('Rate Card'!$K$23*O300*P300,10)</f>
        <v>380</v>
      </c>
      <c r="J300" s="12">
        <f>MROUND(H300*4*'Rate Card'!$B$47,100)</f>
        <v>2500</v>
      </c>
      <c r="K300" s="12">
        <f>MROUND(I300*4*'Rate Card'!$B$47,100)</f>
        <v>1400</v>
      </c>
      <c r="L300" s="12">
        <f>MROUND(H300*120*'Rate Card'!$B$48,500)</f>
        <v>68500</v>
      </c>
      <c r="M300" s="12">
        <f>MROUND(I300*120*'Rate Card'!$B$48,500)</f>
        <v>39000</v>
      </c>
      <c r="N300" s="14" t="s">
        <v>1744</v>
      </c>
      <c r="O300" s="49">
        <v>0.57999999999999996</v>
      </c>
      <c r="P300" s="49">
        <v>1</v>
      </c>
    </row>
    <row r="301" spans="1:16" ht="15" customHeight="1" x14ac:dyDescent="0.3">
      <c r="A301" s="199" t="s">
        <v>624</v>
      </c>
      <c r="B301" s="200"/>
      <c r="C301" s="200"/>
      <c r="D301" s="200"/>
      <c r="E301" s="200"/>
      <c r="F301" s="200"/>
      <c r="G301" s="200"/>
      <c r="H301" s="200"/>
      <c r="I301" s="200"/>
      <c r="J301" s="200"/>
      <c r="K301" s="200"/>
      <c r="L301" s="200"/>
      <c r="M301" s="200"/>
      <c r="N301" s="200"/>
    </row>
    <row r="302" spans="1:16" ht="15" customHeight="1" x14ac:dyDescent="0.3">
      <c r="A302" s="9">
        <v>278</v>
      </c>
      <c r="B302" s="46" t="s">
        <v>625</v>
      </c>
      <c r="C302" s="46" t="s">
        <v>1711</v>
      </c>
      <c r="D302" s="47" t="s">
        <v>627</v>
      </c>
      <c r="E302" s="46" t="s">
        <v>1863</v>
      </c>
      <c r="F302" s="48" t="s">
        <v>23</v>
      </c>
      <c r="G302" s="48" t="s">
        <v>628</v>
      </c>
      <c r="H302" s="12">
        <f>MROUND('Rate Card'!$I$24*O302*P302,10)</f>
        <v>3250</v>
      </c>
      <c r="I302" s="12">
        <f>MROUND('Rate Card'!$K$24*O302*P302,10)</f>
        <v>1550</v>
      </c>
      <c r="J302" s="12">
        <f>MROUND(H302*4*'Rate Card'!$B$47,100)</f>
        <v>12400</v>
      </c>
      <c r="K302" s="12">
        <f>MROUND(I302*4*'Rate Card'!$B$47,100)</f>
        <v>5900</v>
      </c>
      <c r="L302" s="12">
        <f>MROUND(H302*120*'Rate Card'!$B$48,500)</f>
        <v>331500</v>
      </c>
      <c r="M302" s="12">
        <f>MROUND(I302*120*'Rate Card'!$B$48,500)</f>
        <v>158000</v>
      </c>
      <c r="N302" s="14"/>
      <c r="O302" s="49">
        <v>1</v>
      </c>
      <c r="P302" s="49">
        <v>1</v>
      </c>
    </row>
    <row r="303" spans="1:16" ht="15" customHeight="1" x14ac:dyDescent="0.3">
      <c r="A303" s="9">
        <v>279</v>
      </c>
      <c r="B303" s="46" t="s">
        <v>625</v>
      </c>
      <c r="C303" s="46" t="s">
        <v>1711</v>
      </c>
      <c r="D303" s="47" t="s">
        <v>742</v>
      </c>
      <c r="E303" s="46" t="s">
        <v>1863</v>
      </c>
      <c r="F303" s="48" t="s">
        <v>458</v>
      </c>
      <c r="G303" s="48" t="s">
        <v>743</v>
      </c>
      <c r="H303" s="12">
        <f>MROUND('Rate Card'!$I$24*O303*P303,10)</f>
        <v>3250</v>
      </c>
      <c r="I303" s="12">
        <f>MROUND('Rate Card'!$K$24*O303*P303,10)</f>
        <v>1550</v>
      </c>
      <c r="J303" s="12">
        <f>MROUND(H303*4*'Rate Card'!$B$47,100)</f>
        <v>12400</v>
      </c>
      <c r="K303" s="12">
        <f>MROUND(I303*4*'Rate Card'!$B$47,100)</f>
        <v>5900</v>
      </c>
      <c r="L303" s="12">
        <f>MROUND(H303*120*'Rate Card'!$B$48,500)</f>
        <v>331500</v>
      </c>
      <c r="M303" s="12">
        <f>MROUND(I303*120*'Rate Card'!$B$48,500)</f>
        <v>158000</v>
      </c>
      <c r="N303" s="14"/>
      <c r="O303" s="49">
        <v>1</v>
      </c>
      <c r="P303" s="49">
        <v>1</v>
      </c>
    </row>
    <row r="304" spans="1:16" ht="15" customHeight="1" x14ac:dyDescent="0.3">
      <c r="A304" s="9">
        <v>280</v>
      </c>
      <c r="B304" s="46" t="s">
        <v>625</v>
      </c>
      <c r="C304" s="46" t="s">
        <v>1711</v>
      </c>
      <c r="D304" s="47" t="s">
        <v>744</v>
      </c>
      <c r="E304" s="46" t="s">
        <v>1863</v>
      </c>
      <c r="F304" s="48" t="s">
        <v>458</v>
      </c>
      <c r="G304" s="48" t="s">
        <v>745</v>
      </c>
      <c r="H304" s="12">
        <f>MROUND('Rate Card'!$I$24*O304*P304,10)</f>
        <v>3250</v>
      </c>
      <c r="I304" s="12">
        <f>MROUND('Rate Card'!$K$24*O304*P304,10)</f>
        <v>1550</v>
      </c>
      <c r="J304" s="12">
        <f>MROUND(H304*4*'Rate Card'!$B$47,100)</f>
        <v>12400</v>
      </c>
      <c r="K304" s="12">
        <f>MROUND(I304*4*'Rate Card'!$B$47,100)</f>
        <v>5900</v>
      </c>
      <c r="L304" s="12">
        <f>MROUND(H304*120*'Rate Card'!$B$48,500)</f>
        <v>331500</v>
      </c>
      <c r="M304" s="12">
        <f>MROUND(I304*120*'Rate Card'!$B$48,500)</f>
        <v>158000</v>
      </c>
      <c r="N304" s="14"/>
      <c r="O304" s="49">
        <v>1</v>
      </c>
      <c r="P304" s="49">
        <v>1</v>
      </c>
    </row>
    <row r="305" spans="1:16" ht="15" customHeight="1" x14ac:dyDescent="0.3">
      <c r="A305" s="9">
        <v>281</v>
      </c>
      <c r="B305" s="46" t="s">
        <v>625</v>
      </c>
      <c r="C305" s="46" t="s">
        <v>1711</v>
      </c>
      <c r="D305" s="47" t="s">
        <v>764</v>
      </c>
      <c r="E305" s="46" t="s">
        <v>1863</v>
      </c>
      <c r="F305" s="48" t="s">
        <v>66</v>
      </c>
      <c r="G305" s="48" t="s">
        <v>765</v>
      </c>
      <c r="H305" s="12">
        <f>MROUND('Rate Card'!$I$24*O305*P305,10)</f>
        <v>3250</v>
      </c>
      <c r="I305" s="12">
        <f>MROUND('Rate Card'!$K$24*O305*P305,10)</f>
        <v>1550</v>
      </c>
      <c r="J305" s="12">
        <f>MROUND(H305*4*'Rate Card'!$B$47,100)</f>
        <v>12400</v>
      </c>
      <c r="K305" s="12">
        <f>MROUND(I305*4*'Rate Card'!$B$47,100)</f>
        <v>5900</v>
      </c>
      <c r="L305" s="12">
        <f>MROUND(H305*120*'Rate Card'!$B$48,500)</f>
        <v>331500</v>
      </c>
      <c r="M305" s="12">
        <f>MROUND(I305*120*'Rate Card'!$B$48,500)</f>
        <v>158000</v>
      </c>
      <c r="N305" s="14"/>
      <c r="O305" s="49">
        <v>1</v>
      </c>
      <c r="P305" s="49">
        <v>1</v>
      </c>
    </row>
    <row r="306" spans="1:16" ht="15" customHeight="1" x14ac:dyDescent="0.3">
      <c r="A306" s="9">
        <v>282</v>
      </c>
      <c r="B306" s="46" t="s">
        <v>625</v>
      </c>
      <c r="C306" s="46" t="s">
        <v>1711</v>
      </c>
      <c r="D306" s="47" t="s">
        <v>769</v>
      </c>
      <c r="E306" s="46" t="s">
        <v>1863</v>
      </c>
      <c r="F306" s="48" t="s">
        <v>66</v>
      </c>
      <c r="G306" s="48" t="s">
        <v>770</v>
      </c>
      <c r="H306" s="12">
        <f>MROUND('Rate Card'!$I$24*O306*P306,10)</f>
        <v>3250</v>
      </c>
      <c r="I306" s="12">
        <f>MROUND('Rate Card'!$K$24*O306*P306,10)</f>
        <v>1550</v>
      </c>
      <c r="J306" s="12">
        <f>MROUND(H306*4*'Rate Card'!$B$47,100)</f>
        <v>12400</v>
      </c>
      <c r="K306" s="12">
        <f>MROUND(I306*4*'Rate Card'!$B$47,100)</f>
        <v>5900</v>
      </c>
      <c r="L306" s="12">
        <f>MROUND(H306*120*'Rate Card'!$B$48,500)</f>
        <v>331500</v>
      </c>
      <c r="M306" s="12">
        <f>MROUND(I306*120*'Rate Card'!$B$48,500)</f>
        <v>158000</v>
      </c>
      <c r="N306" s="14"/>
      <c r="O306" s="49">
        <v>1</v>
      </c>
      <c r="P306" s="49">
        <v>1</v>
      </c>
    </row>
    <row r="307" spans="1:16" ht="15" customHeight="1" x14ac:dyDescent="0.3">
      <c r="A307" s="9">
        <v>283</v>
      </c>
      <c r="B307" s="46" t="s">
        <v>625</v>
      </c>
      <c r="C307" s="46" t="s">
        <v>1711</v>
      </c>
      <c r="D307" s="47" t="s">
        <v>722</v>
      </c>
      <c r="E307" s="46" t="s">
        <v>1863</v>
      </c>
      <c r="F307" s="48" t="s">
        <v>49</v>
      </c>
      <c r="G307" s="48" t="s">
        <v>723</v>
      </c>
      <c r="H307" s="12">
        <f>MROUND('Rate Card'!$I$24*O307*P307,10)</f>
        <v>3250</v>
      </c>
      <c r="I307" s="12">
        <f>MROUND('Rate Card'!$K$24*O307*P307,10)</f>
        <v>1550</v>
      </c>
      <c r="J307" s="12">
        <f>MROUND(H307*4*'Rate Card'!$B$47,100)</f>
        <v>12400</v>
      </c>
      <c r="K307" s="12">
        <f>MROUND(I307*4*'Rate Card'!$B$47,100)</f>
        <v>5900</v>
      </c>
      <c r="L307" s="12">
        <f>MROUND(H307*120*'Rate Card'!$B$48,500)</f>
        <v>331500</v>
      </c>
      <c r="M307" s="12">
        <f>MROUND(I307*120*'Rate Card'!$B$48,500)</f>
        <v>158000</v>
      </c>
      <c r="N307" s="14"/>
      <c r="O307" s="49">
        <v>1</v>
      </c>
      <c r="P307" s="49">
        <v>1</v>
      </c>
    </row>
    <row r="308" spans="1:16" ht="15" customHeight="1" x14ac:dyDescent="0.3">
      <c r="A308" s="9">
        <v>284</v>
      </c>
      <c r="B308" s="46" t="s">
        <v>625</v>
      </c>
      <c r="C308" s="46" t="s">
        <v>1711</v>
      </c>
      <c r="D308" s="47" t="s">
        <v>773</v>
      </c>
      <c r="E308" s="46" t="s">
        <v>1863</v>
      </c>
      <c r="F308" s="48" t="s">
        <v>66</v>
      </c>
      <c r="G308" s="48" t="s">
        <v>774</v>
      </c>
      <c r="H308" s="12">
        <f>MROUND('Rate Card'!$I$24*O308*P308,10)</f>
        <v>3250</v>
      </c>
      <c r="I308" s="12">
        <f>MROUND('Rate Card'!$K$24*O308*P308,10)</f>
        <v>1550</v>
      </c>
      <c r="J308" s="12">
        <f>MROUND(H308*4*'Rate Card'!$B$47,100)</f>
        <v>12400</v>
      </c>
      <c r="K308" s="12">
        <f>MROUND(I308*4*'Rate Card'!$B$47,100)</f>
        <v>5900</v>
      </c>
      <c r="L308" s="12">
        <f>MROUND(H308*120*'Rate Card'!$B$48,500)</f>
        <v>331500</v>
      </c>
      <c r="M308" s="12">
        <f>MROUND(I308*120*'Rate Card'!$B$48,500)</f>
        <v>158000</v>
      </c>
      <c r="N308" s="14"/>
      <c r="O308" s="49">
        <v>1</v>
      </c>
      <c r="P308" s="49">
        <v>1</v>
      </c>
    </row>
    <row r="309" spans="1:16" ht="15" customHeight="1" x14ac:dyDescent="0.3">
      <c r="A309" s="9">
        <v>285</v>
      </c>
      <c r="B309" s="46" t="s">
        <v>625</v>
      </c>
      <c r="C309" s="46" t="s">
        <v>1711</v>
      </c>
      <c r="D309" s="47" t="s">
        <v>775</v>
      </c>
      <c r="E309" s="46" t="s">
        <v>1863</v>
      </c>
      <c r="F309" s="48" t="s">
        <v>458</v>
      </c>
      <c r="G309" s="48" t="s">
        <v>776</v>
      </c>
      <c r="H309" s="12">
        <f>MROUND('Rate Card'!$I$24*O309*P309,10)</f>
        <v>3250</v>
      </c>
      <c r="I309" s="12">
        <f>MROUND('Rate Card'!$K$24*O309*P309,10)</f>
        <v>1550</v>
      </c>
      <c r="J309" s="12">
        <f>MROUND(H309*4*'Rate Card'!$B$47,100)</f>
        <v>12400</v>
      </c>
      <c r="K309" s="12">
        <f>MROUND(I309*4*'Rate Card'!$B$47,100)</f>
        <v>5900</v>
      </c>
      <c r="L309" s="12">
        <f>MROUND(H309*120*'Rate Card'!$B$48,500)</f>
        <v>331500</v>
      </c>
      <c r="M309" s="12">
        <f>MROUND(I309*120*'Rate Card'!$B$48,500)</f>
        <v>158000</v>
      </c>
      <c r="N309" s="14"/>
      <c r="O309" s="49">
        <v>1</v>
      </c>
      <c r="P309" s="49">
        <v>1</v>
      </c>
    </row>
    <row r="310" spans="1:16" ht="15" customHeight="1" x14ac:dyDescent="0.3">
      <c r="A310" s="9">
        <v>286</v>
      </c>
      <c r="B310" s="46" t="s">
        <v>625</v>
      </c>
      <c r="C310" s="46" t="s">
        <v>1711</v>
      </c>
      <c r="D310" s="47" t="s">
        <v>724</v>
      </c>
      <c r="E310" s="46" t="s">
        <v>1863</v>
      </c>
      <c r="F310" s="48" t="s">
        <v>49</v>
      </c>
      <c r="G310" s="48" t="s">
        <v>725</v>
      </c>
      <c r="H310" s="12">
        <f>MROUND('Rate Card'!$I$24*O310*P310,10)</f>
        <v>3250</v>
      </c>
      <c r="I310" s="12">
        <f>MROUND('Rate Card'!$K$24*O310*P310,10)</f>
        <v>1550</v>
      </c>
      <c r="J310" s="12">
        <f>MROUND(H310*4*'Rate Card'!$B$47,100)</f>
        <v>12400</v>
      </c>
      <c r="K310" s="12">
        <f>MROUND(I310*4*'Rate Card'!$B$47,100)</f>
        <v>5900</v>
      </c>
      <c r="L310" s="12">
        <f>MROUND(H310*120*'Rate Card'!$B$48,500)</f>
        <v>331500</v>
      </c>
      <c r="M310" s="12">
        <f>MROUND(I310*120*'Rate Card'!$B$48,500)</f>
        <v>158000</v>
      </c>
      <c r="N310" s="14"/>
      <c r="O310" s="49">
        <v>1</v>
      </c>
      <c r="P310" s="49">
        <v>1</v>
      </c>
    </row>
    <row r="311" spans="1:16" ht="15" customHeight="1" x14ac:dyDescent="0.3">
      <c r="A311" s="9">
        <v>287</v>
      </c>
      <c r="B311" s="46" t="s">
        <v>625</v>
      </c>
      <c r="C311" s="46" t="s">
        <v>1711</v>
      </c>
      <c r="D311" s="47" t="s">
        <v>726</v>
      </c>
      <c r="E311" s="46" t="s">
        <v>1863</v>
      </c>
      <c r="F311" s="48" t="s">
        <v>49</v>
      </c>
      <c r="G311" s="48" t="s">
        <v>727</v>
      </c>
      <c r="H311" s="12">
        <f>MROUND('Rate Card'!$I$24*O311*P311,10)</f>
        <v>3250</v>
      </c>
      <c r="I311" s="12">
        <f>MROUND('Rate Card'!$K$24*O311*P311,10)</f>
        <v>1550</v>
      </c>
      <c r="J311" s="12">
        <f>MROUND(H311*4*'Rate Card'!$B$47,100)</f>
        <v>12400</v>
      </c>
      <c r="K311" s="12">
        <f>MROUND(I311*4*'Rate Card'!$B$47,100)</f>
        <v>5900</v>
      </c>
      <c r="L311" s="12">
        <f>MROUND(H311*120*'Rate Card'!$B$48,500)</f>
        <v>331500</v>
      </c>
      <c r="M311" s="12">
        <f>MROUND(I311*120*'Rate Card'!$B$48,500)</f>
        <v>158000</v>
      </c>
      <c r="N311" s="14"/>
      <c r="O311" s="49">
        <v>1</v>
      </c>
      <c r="P311" s="49">
        <v>1</v>
      </c>
    </row>
    <row r="312" spans="1:16" ht="15" customHeight="1" x14ac:dyDescent="0.3">
      <c r="A312" s="9">
        <v>288</v>
      </c>
      <c r="B312" s="46" t="s">
        <v>625</v>
      </c>
      <c r="C312" s="46" t="s">
        <v>1711</v>
      </c>
      <c r="D312" s="47" t="s">
        <v>728</v>
      </c>
      <c r="E312" s="46" t="s">
        <v>1863</v>
      </c>
      <c r="F312" s="48" t="s">
        <v>49</v>
      </c>
      <c r="G312" s="48" t="s">
        <v>729</v>
      </c>
      <c r="H312" s="12">
        <f>MROUND('Rate Card'!$I$24*O312*P312,10)</f>
        <v>3250</v>
      </c>
      <c r="I312" s="12">
        <f>MROUND('Rate Card'!$K$24*O312*P312,10)</f>
        <v>1550</v>
      </c>
      <c r="J312" s="12">
        <f>MROUND(H312*4*'Rate Card'!$B$47,100)</f>
        <v>12400</v>
      </c>
      <c r="K312" s="12">
        <f>MROUND(I312*4*'Rate Card'!$B$47,100)</f>
        <v>5900</v>
      </c>
      <c r="L312" s="12">
        <f>MROUND(H312*120*'Rate Card'!$B$48,500)</f>
        <v>331500</v>
      </c>
      <c r="M312" s="12">
        <f>MROUND(I312*120*'Rate Card'!$B$48,500)</f>
        <v>158000</v>
      </c>
      <c r="N312" s="14"/>
      <c r="O312" s="49">
        <v>1</v>
      </c>
      <c r="P312" s="49">
        <v>1</v>
      </c>
    </row>
    <row r="313" spans="1:16" ht="15" customHeight="1" x14ac:dyDescent="0.3">
      <c r="A313" s="9">
        <v>289</v>
      </c>
      <c r="B313" s="46" t="s">
        <v>625</v>
      </c>
      <c r="C313" s="46" t="s">
        <v>1711</v>
      </c>
      <c r="D313" s="47" t="s">
        <v>730</v>
      </c>
      <c r="E313" s="46" t="s">
        <v>1863</v>
      </c>
      <c r="F313" s="48" t="s">
        <v>49</v>
      </c>
      <c r="G313" s="48" t="s">
        <v>731</v>
      </c>
      <c r="H313" s="12">
        <f>MROUND('Rate Card'!$I$24*O313*P313,10)</f>
        <v>3250</v>
      </c>
      <c r="I313" s="12">
        <f>MROUND('Rate Card'!$K$24*O313*P313,10)</f>
        <v>1550</v>
      </c>
      <c r="J313" s="12">
        <f>MROUND(H313*4*'Rate Card'!$B$47,100)</f>
        <v>12400</v>
      </c>
      <c r="K313" s="12">
        <f>MROUND(I313*4*'Rate Card'!$B$47,100)</f>
        <v>5900</v>
      </c>
      <c r="L313" s="12">
        <f>MROUND(H313*120*'Rate Card'!$B$48,500)</f>
        <v>331500</v>
      </c>
      <c r="M313" s="12">
        <f>MROUND(I313*120*'Rate Card'!$B$48,500)</f>
        <v>158000</v>
      </c>
      <c r="N313" s="14"/>
      <c r="O313" s="49">
        <v>1</v>
      </c>
      <c r="P313" s="49">
        <v>1</v>
      </c>
    </row>
    <row r="314" spans="1:16" ht="15" customHeight="1" x14ac:dyDescent="0.3">
      <c r="A314" s="9">
        <v>290</v>
      </c>
      <c r="B314" s="46" t="s">
        <v>625</v>
      </c>
      <c r="C314" s="46" t="s">
        <v>1711</v>
      </c>
      <c r="D314" s="47" t="s">
        <v>732</v>
      </c>
      <c r="E314" s="46" t="s">
        <v>1863</v>
      </c>
      <c r="F314" s="48" t="s">
        <v>49</v>
      </c>
      <c r="G314" s="48" t="s">
        <v>733</v>
      </c>
      <c r="H314" s="12">
        <f>MROUND('Rate Card'!$I$24*O314*P314,10)</f>
        <v>3250</v>
      </c>
      <c r="I314" s="12">
        <f>MROUND('Rate Card'!$K$24*O314*P314,10)</f>
        <v>1550</v>
      </c>
      <c r="J314" s="12">
        <f>MROUND(H314*4*'Rate Card'!$B$47,100)</f>
        <v>12400</v>
      </c>
      <c r="K314" s="12">
        <f>MROUND(I314*4*'Rate Card'!$B$47,100)</f>
        <v>5900</v>
      </c>
      <c r="L314" s="12">
        <f>MROUND(H314*120*'Rate Card'!$B$48,500)</f>
        <v>331500</v>
      </c>
      <c r="M314" s="12">
        <f>MROUND(I314*120*'Rate Card'!$B$48,500)</f>
        <v>158000</v>
      </c>
      <c r="N314" s="14"/>
      <c r="O314" s="49">
        <v>1</v>
      </c>
      <c r="P314" s="49">
        <v>1</v>
      </c>
    </row>
    <row r="315" spans="1:16" ht="15" customHeight="1" x14ac:dyDescent="0.3">
      <c r="A315" s="9">
        <v>291</v>
      </c>
      <c r="B315" s="46" t="s">
        <v>625</v>
      </c>
      <c r="C315" s="46" t="s">
        <v>1711</v>
      </c>
      <c r="D315" s="47" t="s">
        <v>734</v>
      </c>
      <c r="E315" s="46" t="s">
        <v>1863</v>
      </c>
      <c r="F315" s="48" t="s">
        <v>49</v>
      </c>
      <c r="G315" s="48" t="s">
        <v>735</v>
      </c>
      <c r="H315" s="12">
        <f>MROUND('Rate Card'!$I$24*O315*P315,10)</f>
        <v>3250</v>
      </c>
      <c r="I315" s="12">
        <f>MROUND('Rate Card'!$K$24*O315*P315,10)</f>
        <v>1550</v>
      </c>
      <c r="J315" s="12">
        <f>MROUND(H315*4*'Rate Card'!$B$47,100)</f>
        <v>12400</v>
      </c>
      <c r="K315" s="12">
        <f>MROUND(I315*4*'Rate Card'!$B$47,100)</f>
        <v>5900</v>
      </c>
      <c r="L315" s="12">
        <f>MROUND(H315*120*'Rate Card'!$B$48,500)</f>
        <v>331500</v>
      </c>
      <c r="M315" s="12">
        <f>MROUND(I315*120*'Rate Card'!$B$48,500)</f>
        <v>158000</v>
      </c>
      <c r="N315" s="14"/>
      <c r="O315" s="49">
        <v>1</v>
      </c>
      <c r="P315" s="49">
        <v>1</v>
      </c>
    </row>
    <row r="316" spans="1:16" ht="15" customHeight="1" x14ac:dyDescent="0.3">
      <c r="A316" s="9">
        <v>292</v>
      </c>
      <c r="B316" s="46" t="s">
        <v>625</v>
      </c>
      <c r="C316" s="46" t="s">
        <v>1711</v>
      </c>
      <c r="D316" s="47" t="s">
        <v>736</v>
      </c>
      <c r="E316" s="46" t="s">
        <v>1863</v>
      </c>
      <c r="F316" s="48" t="s">
        <v>49</v>
      </c>
      <c r="G316" s="48" t="s">
        <v>737</v>
      </c>
      <c r="H316" s="12">
        <f>MROUND('Rate Card'!$I$24*O316*P316,10)</f>
        <v>3250</v>
      </c>
      <c r="I316" s="12">
        <f>MROUND('Rate Card'!$K$24*O316*P316,10)</f>
        <v>1550</v>
      </c>
      <c r="J316" s="12">
        <f>MROUND(H316*4*'Rate Card'!$B$47,100)</f>
        <v>12400</v>
      </c>
      <c r="K316" s="12">
        <f>MROUND(I316*4*'Rate Card'!$B$47,100)</f>
        <v>5900</v>
      </c>
      <c r="L316" s="12">
        <f>MROUND(H316*120*'Rate Card'!$B$48,500)</f>
        <v>331500</v>
      </c>
      <c r="M316" s="12">
        <f>MROUND(I316*120*'Rate Card'!$B$48,500)</f>
        <v>158000</v>
      </c>
      <c r="N316" s="14"/>
      <c r="O316" s="49">
        <v>1</v>
      </c>
      <c r="P316" s="49">
        <v>1</v>
      </c>
    </row>
    <row r="317" spans="1:16" ht="15" customHeight="1" x14ac:dyDescent="0.3">
      <c r="A317" s="9">
        <v>293</v>
      </c>
      <c r="B317" s="46" t="s">
        <v>625</v>
      </c>
      <c r="C317" s="46" t="s">
        <v>1711</v>
      </c>
      <c r="D317" s="47" t="s">
        <v>738</v>
      </c>
      <c r="E317" s="46" t="s">
        <v>1863</v>
      </c>
      <c r="F317" s="48" t="s">
        <v>49</v>
      </c>
      <c r="G317" s="48" t="s">
        <v>739</v>
      </c>
      <c r="H317" s="12">
        <f>MROUND('Rate Card'!$I$24*O317*P317,10)</f>
        <v>3250</v>
      </c>
      <c r="I317" s="12">
        <f>MROUND('Rate Card'!$K$24*O317*P317,10)</f>
        <v>1550</v>
      </c>
      <c r="J317" s="12">
        <f>MROUND(H317*4*'Rate Card'!$B$47,100)</f>
        <v>12400</v>
      </c>
      <c r="K317" s="12">
        <f>MROUND(I317*4*'Rate Card'!$B$47,100)</f>
        <v>5900</v>
      </c>
      <c r="L317" s="12">
        <f>MROUND(H317*120*'Rate Card'!$B$48,500)</f>
        <v>331500</v>
      </c>
      <c r="M317" s="12">
        <f>MROUND(I317*120*'Rate Card'!$B$48,500)</f>
        <v>158000</v>
      </c>
      <c r="N317" s="14"/>
      <c r="O317" s="49">
        <v>1</v>
      </c>
      <c r="P317" s="49">
        <v>1</v>
      </c>
    </row>
    <row r="318" spans="1:16" ht="15" customHeight="1" x14ac:dyDescent="0.3">
      <c r="A318" s="9">
        <v>294</v>
      </c>
      <c r="B318" s="46" t="s">
        <v>625</v>
      </c>
      <c r="C318" s="46" t="s">
        <v>1711</v>
      </c>
      <c r="D318" s="47" t="s">
        <v>679</v>
      </c>
      <c r="E318" s="46" t="s">
        <v>1863</v>
      </c>
      <c r="F318" s="48" t="s">
        <v>165</v>
      </c>
      <c r="G318" s="48" t="s">
        <v>680</v>
      </c>
      <c r="H318" s="12">
        <f>MROUND('Rate Card'!$I$24*O318*P318,10)</f>
        <v>3250</v>
      </c>
      <c r="I318" s="12">
        <f>MROUND('Rate Card'!$K$24*O318*P318,10)</f>
        <v>1550</v>
      </c>
      <c r="J318" s="12">
        <f>MROUND(H318*4*'Rate Card'!$B$47,100)</f>
        <v>12400</v>
      </c>
      <c r="K318" s="12">
        <f>MROUND(I318*4*'Rate Card'!$B$47,100)</f>
        <v>5900</v>
      </c>
      <c r="L318" s="12">
        <f>MROUND(H318*120*'Rate Card'!$B$48,500)</f>
        <v>331500</v>
      </c>
      <c r="M318" s="12">
        <f>MROUND(I318*120*'Rate Card'!$B$48,500)</f>
        <v>158000</v>
      </c>
      <c r="N318" s="14"/>
      <c r="O318" s="49">
        <v>1</v>
      </c>
      <c r="P318" s="49">
        <v>1</v>
      </c>
    </row>
    <row r="319" spans="1:16" ht="15" customHeight="1" x14ac:dyDescent="0.3">
      <c r="A319" s="9">
        <v>295</v>
      </c>
      <c r="B319" s="46" t="s">
        <v>625</v>
      </c>
      <c r="C319" s="46" t="s">
        <v>1711</v>
      </c>
      <c r="D319" s="47" t="s">
        <v>681</v>
      </c>
      <c r="E319" s="46" t="s">
        <v>1863</v>
      </c>
      <c r="F319" s="48" t="s">
        <v>165</v>
      </c>
      <c r="G319" s="48" t="s">
        <v>682</v>
      </c>
      <c r="H319" s="12">
        <f>MROUND('Rate Card'!$I$24*O319*P319,10)</f>
        <v>3250</v>
      </c>
      <c r="I319" s="12">
        <f>MROUND('Rate Card'!$K$24*O319*P319,10)</f>
        <v>1550</v>
      </c>
      <c r="J319" s="12">
        <f>MROUND(H319*4*'Rate Card'!$B$47,100)</f>
        <v>12400</v>
      </c>
      <c r="K319" s="12">
        <f>MROUND(I319*4*'Rate Card'!$B$47,100)</f>
        <v>5900</v>
      </c>
      <c r="L319" s="12">
        <f>MROUND(H319*120*'Rate Card'!$B$48,500)</f>
        <v>331500</v>
      </c>
      <c r="M319" s="12">
        <f>MROUND(I319*120*'Rate Card'!$B$48,500)</f>
        <v>158000</v>
      </c>
      <c r="N319" s="14"/>
      <c r="O319" s="49">
        <v>1</v>
      </c>
      <c r="P319" s="49">
        <v>1</v>
      </c>
    </row>
    <row r="320" spans="1:16" ht="15" customHeight="1" x14ac:dyDescent="0.3">
      <c r="A320" s="9">
        <v>296</v>
      </c>
      <c r="B320" s="46" t="s">
        <v>625</v>
      </c>
      <c r="C320" s="46" t="s">
        <v>1711</v>
      </c>
      <c r="D320" s="47" t="s">
        <v>683</v>
      </c>
      <c r="E320" s="46" t="s">
        <v>1863</v>
      </c>
      <c r="F320" s="48" t="s">
        <v>165</v>
      </c>
      <c r="G320" s="48" t="s">
        <v>684</v>
      </c>
      <c r="H320" s="12">
        <f>MROUND('Rate Card'!$I$24*O320*P320,10)</f>
        <v>3250</v>
      </c>
      <c r="I320" s="12">
        <f>MROUND('Rate Card'!$K$24*O320*P320,10)</f>
        <v>1550</v>
      </c>
      <c r="J320" s="12">
        <f>MROUND(H320*4*'Rate Card'!$B$47,100)</f>
        <v>12400</v>
      </c>
      <c r="K320" s="12">
        <f>MROUND(I320*4*'Rate Card'!$B$47,100)</f>
        <v>5900</v>
      </c>
      <c r="L320" s="12">
        <f>MROUND(H320*120*'Rate Card'!$B$48,500)</f>
        <v>331500</v>
      </c>
      <c r="M320" s="12">
        <f>MROUND(I320*120*'Rate Card'!$B$48,500)</f>
        <v>158000</v>
      </c>
      <c r="N320" s="14"/>
      <c r="O320" s="49">
        <v>1</v>
      </c>
      <c r="P320" s="49">
        <v>1</v>
      </c>
    </row>
    <row r="321" spans="1:16" ht="15" customHeight="1" x14ac:dyDescent="0.3">
      <c r="A321" s="9">
        <v>297</v>
      </c>
      <c r="B321" s="46" t="s">
        <v>625</v>
      </c>
      <c r="C321" s="46" t="s">
        <v>1711</v>
      </c>
      <c r="D321" s="47" t="s">
        <v>710</v>
      </c>
      <c r="E321" s="46" t="s">
        <v>1863</v>
      </c>
      <c r="F321" s="48" t="s">
        <v>49</v>
      </c>
      <c r="G321" s="48" t="s">
        <v>711</v>
      </c>
      <c r="H321" s="12">
        <f>MROUND('Rate Card'!$I$24*O321*P321,10)</f>
        <v>3250</v>
      </c>
      <c r="I321" s="12">
        <f>MROUND('Rate Card'!$K$24*O321*P321,10)</f>
        <v>1550</v>
      </c>
      <c r="J321" s="12">
        <f>MROUND(H321*4*'Rate Card'!$B$47,100)</f>
        <v>12400</v>
      </c>
      <c r="K321" s="12">
        <f>MROUND(I321*4*'Rate Card'!$B$47,100)</f>
        <v>5900</v>
      </c>
      <c r="L321" s="12">
        <f>MROUND(H321*120*'Rate Card'!$B$48,500)</f>
        <v>331500</v>
      </c>
      <c r="M321" s="12">
        <f>MROUND(I321*120*'Rate Card'!$B$48,500)</f>
        <v>158000</v>
      </c>
      <c r="N321" s="14"/>
      <c r="O321" s="49">
        <v>1</v>
      </c>
      <c r="P321" s="49">
        <v>1</v>
      </c>
    </row>
    <row r="322" spans="1:16" ht="15" customHeight="1" x14ac:dyDescent="0.3">
      <c r="A322" s="9">
        <v>298</v>
      </c>
      <c r="B322" s="46" t="s">
        <v>625</v>
      </c>
      <c r="C322" s="46" t="s">
        <v>1711</v>
      </c>
      <c r="D322" s="47" t="s">
        <v>712</v>
      </c>
      <c r="E322" s="46" t="s">
        <v>1863</v>
      </c>
      <c r="F322" s="48" t="s">
        <v>49</v>
      </c>
      <c r="G322" s="48" t="s">
        <v>713</v>
      </c>
      <c r="H322" s="12">
        <f>MROUND('Rate Card'!$I$24*O322*P322,10)</f>
        <v>3250</v>
      </c>
      <c r="I322" s="12">
        <f>MROUND('Rate Card'!$K$24*O322*P322,10)</f>
        <v>1550</v>
      </c>
      <c r="J322" s="12">
        <f>MROUND(H322*4*'Rate Card'!$B$47,100)</f>
        <v>12400</v>
      </c>
      <c r="K322" s="12">
        <f>MROUND(I322*4*'Rate Card'!$B$47,100)</f>
        <v>5900</v>
      </c>
      <c r="L322" s="12">
        <f>MROUND(H322*120*'Rate Card'!$B$48,500)</f>
        <v>331500</v>
      </c>
      <c r="M322" s="12">
        <f>MROUND(I322*120*'Rate Card'!$B$48,500)</f>
        <v>158000</v>
      </c>
      <c r="N322" s="14"/>
      <c r="O322" s="49">
        <v>1</v>
      </c>
      <c r="P322" s="49">
        <v>1</v>
      </c>
    </row>
    <row r="323" spans="1:16" ht="15" customHeight="1" x14ac:dyDescent="0.3">
      <c r="A323" s="9">
        <v>299</v>
      </c>
      <c r="B323" s="46" t="s">
        <v>625</v>
      </c>
      <c r="C323" s="46" t="s">
        <v>1711</v>
      </c>
      <c r="D323" s="47" t="s">
        <v>689</v>
      </c>
      <c r="E323" s="46" t="s">
        <v>1863</v>
      </c>
      <c r="F323" s="48" t="s">
        <v>165</v>
      </c>
      <c r="G323" s="48" t="s">
        <v>690</v>
      </c>
      <c r="H323" s="12">
        <f>MROUND('Rate Card'!$I$24*O323*P323,10)</f>
        <v>3250</v>
      </c>
      <c r="I323" s="12">
        <f>MROUND('Rate Card'!$K$24*O323*P323,10)</f>
        <v>1550</v>
      </c>
      <c r="J323" s="12">
        <f>MROUND(H323*4*'Rate Card'!$B$47,100)</f>
        <v>12400</v>
      </c>
      <c r="K323" s="12">
        <f>MROUND(I323*4*'Rate Card'!$B$47,100)</f>
        <v>5900</v>
      </c>
      <c r="L323" s="12">
        <f>MROUND(H323*120*'Rate Card'!$B$48,500)</f>
        <v>331500</v>
      </c>
      <c r="M323" s="12">
        <f>MROUND(I323*120*'Rate Card'!$B$48,500)</f>
        <v>158000</v>
      </c>
      <c r="N323" s="14"/>
      <c r="O323" s="49">
        <v>1</v>
      </c>
      <c r="P323" s="49">
        <v>1</v>
      </c>
    </row>
    <row r="324" spans="1:16" ht="15" customHeight="1" x14ac:dyDescent="0.3">
      <c r="A324" s="9">
        <v>300</v>
      </c>
      <c r="B324" s="46" t="s">
        <v>625</v>
      </c>
      <c r="C324" s="46" t="s">
        <v>1711</v>
      </c>
      <c r="D324" s="47" t="s">
        <v>691</v>
      </c>
      <c r="E324" s="46" t="s">
        <v>1863</v>
      </c>
      <c r="F324" s="48" t="s">
        <v>165</v>
      </c>
      <c r="G324" s="48" t="s">
        <v>692</v>
      </c>
      <c r="H324" s="12">
        <f>MROUND('Rate Card'!$I$24*O324*P324,10)</f>
        <v>3250</v>
      </c>
      <c r="I324" s="12">
        <f>MROUND('Rate Card'!$K$24*O324*P324,10)</f>
        <v>1550</v>
      </c>
      <c r="J324" s="12">
        <f>MROUND(H324*4*'Rate Card'!$B$47,100)</f>
        <v>12400</v>
      </c>
      <c r="K324" s="12">
        <f>MROUND(I324*4*'Rate Card'!$B$47,100)</f>
        <v>5900</v>
      </c>
      <c r="L324" s="12">
        <f>MROUND(H324*120*'Rate Card'!$B$48,500)</f>
        <v>331500</v>
      </c>
      <c r="M324" s="12">
        <f>MROUND(I324*120*'Rate Card'!$B$48,500)</f>
        <v>158000</v>
      </c>
      <c r="N324" s="14"/>
      <c r="O324" s="49">
        <v>1</v>
      </c>
      <c r="P324" s="49">
        <v>1</v>
      </c>
    </row>
    <row r="325" spans="1:16" ht="15" customHeight="1" x14ac:dyDescent="0.3">
      <c r="A325" s="9">
        <v>301</v>
      </c>
      <c r="B325" s="46" t="s">
        <v>625</v>
      </c>
      <c r="C325" s="46" t="s">
        <v>1711</v>
      </c>
      <c r="D325" s="47" t="s">
        <v>694</v>
      </c>
      <c r="E325" s="46" t="s">
        <v>1863</v>
      </c>
      <c r="F325" s="48" t="s">
        <v>165</v>
      </c>
      <c r="G325" s="48" t="s">
        <v>695</v>
      </c>
      <c r="H325" s="12">
        <f>MROUND('Rate Card'!$I$24*O325*P325,10)</f>
        <v>3250</v>
      </c>
      <c r="I325" s="12">
        <f>MROUND('Rate Card'!$K$24*O325*P325,10)</f>
        <v>1550</v>
      </c>
      <c r="J325" s="12">
        <f>MROUND(H325*4*'Rate Card'!$B$47,100)</f>
        <v>12400</v>
      </c>
      <c r="K325" s="12">
        <f>MROUND(I325*4*'Rate Card'!$B$47,100)</f>
        <v>5900</v>
      </c>
      <c r="L325" s="12">
        <f>MROUND(H325*120*'Rate Card'!$B$48,500)</f>
        <v>331500</v>
      </c>
      <c r="M325" s="12">
        <f>MROUND(I325*120*'Rate Card'!$B$48,500)</f>
        <v>158000</v>
      </c>
      <c r="N325" s="14"/>
      <c r="O325" s="49">
        <v>1</v>
      </c>
      <c r="P325" s="49">
        <v>1</v>
      </c>
    </row>
    <row r="326" spans="1:16" ht="15" customHeight="1" x14ac:dyDescent="0.3">
      <c r="A326" s="9">
        <v>302</v>
      </c>
      <c r="B326" s="46" t="s">
        <v>625</v>
      </c>
      <c r="C326" s="46" t="s">
        <v>1711</v>
      </c>
      <c r="D326" s="47" t="s">
        <v>696</v>
      </c>
      <c r="E326" s="46" t="s">
        <v>1863</v>
      </c>
      <c r="F326" s="48" t="s">
        <v>165</v>
      </c>
      <c r="G326" s="48" t="s">
        <v>697</v>
      </c>
      <c r="H326" s="12">
        <f>MROUND('Rate Card'!$I$24*O326*P326,10)</f>
        <v>3250</v>
      </c>
      <c r="I326" s="12">
        <f>MROUND('Rate Card'!$K$24*O326*P326,10)</f>
        <v>1550</v>
      </c>
      <c r="J326" s="12">
        <f>MROUND(H326*4*'Rate Card'!$B$47,100)</f>
        <v>12400</v>
      </c>
      <c r="K326" s="12">
        <f>MROUND(I326*4*'Rate Card'!$B$47,100)</f>
        <v>5900</v>
      </c>
      <c r="L326" s="12">
        <f>MROUND(H326*120*'Rate Card'!$B$48,500)</f>
        <v>331500</v>
      </c>
      <c r="M326" s="12">
        <f>MROUND(I326*120*'Rate Card'!$B$48,500)</f>
        <v>158000</v>
      </c>
      <c r="N326" s="14"/>
      <c r="O326" s="49">
        <v>1</v>
      </c>
      <c r="P326" s="49">
        <v>1</v>
      </c>
    </row>
    <row r="327" spans="1:16" ht="15" customHeight="1" x14ac:dyDescent="0.3">
      <c r="A327" s="9">
        <v>303</v>
      </c>
      <c r="B327" s="46" t="s">
        <v>625</v>
      </c>
      <c r="C327" s="46" t="s">
        <v>1711</v>
      </c>
      <c r="D327" s="47" t="s">
        <v>698</v>
      </c>
      <c r="E327" s="46" t="s">
        <v>1863</v>
      </c>
      <c r="F327" s="48" t="s">
        <v>165</v>
      </c>
      <c r="G327" s="48" t="s">
        <v>699</v>
      </c>
      <c r="H327" s="12">
        <f>MROUND('Rate Card'!$I$24*O327*P327,10)</f>
        <v>3250</v>
      </c>
      <c r="I327" s="12">
        <f>MROUND('Rate Card'!$K$24*O327*P327,10)</f>
        <v>1550</v>
      </c>
      <c r="J327" s="12">
        <f>MROUND(H327*4*'Rate Card'!$B$47,100)</f>
        <v>12400</v>
      </c>
      <c r="K327" s="12">
        <f>MROUND(I327*4*'Rate Card'!$B$47,100)</f>
        <v>5900</v>
      </c>
      <c r="L327" s="12">
        <f>MROUND(H327*120*'Rate Card'!$B$48,500)</f>
        <v>331500</v>
      </c>
      <c r="M327" s="12">
        <f>MROUND(I327*120*'Rate Card'!$B$48,500)</f>
        <v>158000</v>
      </c>
      <c r="N327" s="14"/>
      <c r="O327" s="49">
        <v>1</v>
      </c>
      <c r="P327" s="49">
        <v>1</v>
      </c>
    </row>
    <row r="328" spans="1:16" ht="15" customHeight="1" x14ac:dyDescent="0.3">
      <c r="A328" s="9">
        <v>304</v>
      </c>
      <c r="B328" s="46" t="s">
        <v>625</v>
      </c>
      <c r="C328" s="46" t="s">
        <v>1711</v>
      </c>
      <c r="D328" s="47" t="s">
        <v>700</v>
      </c>
      <c r="E328" s="46" t="s">
        <v>1863</v>
      </c>
      <c r="F328" s="48" t="s">
        <v>165</v>
      </c>
      <c r="G328" s="48" t="s">
        <v>701</v>
      </c>
      <c r="H328" s="12">
        <f>MROUND('Rate Card'!$I$24*O328*P328,10)</f>
        <v>3250</v>
      </c>
      <c r="I328" s="12">
        <f>MROUND('Rate Card'!$K$24*O328*P328,10)</f>
        <v>1550</v>
      </c>
      <c r="J328" s="12">
        <f>MROUND(H328*4*'Rate Card'!$B$47,100)</f>
        <v>12400</v>
      </c>
      <c r="K328" s="12">
        <f>MROUND(I328*4*'Rate Card'!$B$47,100)</f>
        <v>5900</v>
      </c>
      <c r="L328" s="12">
        <f>MROUND(H328*120*'Rate Card'!$B$48,500)</f>
        <v>331500</v>
      </c>
      <c r="M328" s="12">
        <f>MROUND(I328*120*'Rate Card'!$B$48,500)</f>
        <v>158000</v>
      </c>
      <c r="N328" s="14"/>
      <c r="O328" s="49">
        <v>1</v>
      </c>
      <c r="P328" s="49">
        <v>1</v>
      </c>
    </row>
    <row r="329" spans="1:16" ht="15" customHeight="1" x14ac:dyDescent="0.3">
      <c r="A329" s="9">
        <v>305</v>
      </c>
      <c r="B329" s="46" t="s">
        <v>625</v>
      </c>
      <c r="C329" s="46" t="s">
        <v>1711</v>
      </c>
      <c r="D329" s="47" t="s">
        <v>702</v>
      </c>
      <c r="E329" s="46" t="s">
        <v>1863</v>
      </c>
      <c r="F329" s="48" t="s">
        <v>165</v>
      </c>
      <c r="G329" s="48" t="s">
        <v>703</v>
      </c>
      <c r="H329" s="12">
        <f>MROUND('Rate Card'!$I$24*O329*P329,10)</f>
        <v>3250</v>
      </c>
      <c r="I329" s="12">
        <f>MROUND('Rate Card'!$K$24*O329*P329,10)</f>
        <v>1550</v>
      </c>
      <c r="J329" s="12">
        <f>MROUND(H329*4*'Rate Card'!$B$47,100)</f>
        <v>12400</v>
      </c>
      <c r="K329" s="12">
        <f>MROUND(I329*4*'Rate Card'!$B$47,100)</f>
        <v>5900</v>
      </c>
      <c r="L329" s="12">
        <f>MROUND(H329*120*'Rate Card'!$B$48,500)</f>
        <v>331500</v>
      </c>
      <c r="M329" s="12">
        <f>MROUND(I329*120*'Rate Card'!$B$48,500)</f>
        <v>158000</v>
      </c>
      <c r="N329" s="14"/>
      <c r="O329" s="49">
        <v>1</v>
      </c>
      <c r="P329" s="49">
        <v>1</v>
      </c>
    </row>
    <row r="330" spans="1:16" ht="15" customHeight="1" x14ac:dyDescent="0.3">
      <c r="A330" s="9">
        <v>306</v>
      </c>
      <c r="B330" s="46" t="s">
        <v>625</v>
      </c>
      <c r="C330" s="46" t="s">
        <v>1711</v>
      </c>
      <c r="D330" s="47" t="s">
        <v>677</v>
      </c>
      <c r="E330" s="46" t="s">
        <v>1712</v>
      </c>
      <c r="F330" s="48" t="s">
        <v>165</v>
      </c>
      <c r="G330" s="48" t="s">
        <v>678</v>
      </c>
      <c r="H330" s="12">
        <f>MROUND('Rate Card'!$I$24*O330*P330,10)</f>
        <v>2990</v>
      </c>
      <c r="I330" s="12">
        <f>MROUND('Rate Card'!$K$24*O330*P330,10)</f>
        <v>1430</v>
      </c>
      <c r="J330" s="12">
        <f>MROUND(H330*4*'Rate Card'!$B$47,100)</f>
        <v>11400</v>
      </c>
      <c r="K330" s="12">
        <f>MROUND(I330*4*'Rate Card'!$B$47,100)</f>
        <v>5400</v>
      </c>
      <c r="L330" s="12">
        <f>MROUND(H330*120*'Rate Card'!$B$48,500)</f>
        <v>305000</v>
      </c>
      <c r="M330" s="12">
        <f>MROUND(I330*120*'Rate Card'!$B$48,500)</f>
        <v>146000</v>
      </c>
      <c r="N330" s="14"/>
      <c r="O330" s="49">
        <v>0.92</v>
      </c>
      <c r="P330" s="49">
        <v>1</v>
      </c>
    </row>
    <row r="331" spans="1:16" ht="15" customHeight="1" x14ac:dyDescent="0.3">
      <c r="A331" s="9">
        <v>307</v>
      </c>
      <c r="B331" s="46" t="s">
        <v>625</v>
      </c>
      <c r="C331" s="46" t="s">
        <v>1711</v>
      </c>
      <c r="D331" s="47" t="s">
        <v>704</v>
      </c>
      <c r="E331" s="46" t="s">
        <v>1712</v>
      </c>
      <c r="F331" s="48" t="s">
        <v>165</v>
      </c>
      <c r="G331" s="48" t="s">
        <v>705</v>
      </c>
      <c r="H331" s="12">
        <f>MROUND('Rate Card'!$I$24*O331*P331,10)</f>
        <v>2990</v>
      </c>
      <c r="I331" s="12">
        <f>MROUND('Rate Card'!$K$24*O331*P331,10)</f>
        <v>1430</v>
      </c>
      <c r="J331" s="12">
        <f>MROUND(H331*4*'Rate Card'!$B$47,100)</f>
        <v>11400</v>
      </c>
      <c r="K331" s="12">
        <f>MROUND(I331*4*'Rate Card'!$B$47,100)</f>
        <v>5400</v>
      </c>
      <c r="L331" s="12">
        <f>MROUND(H331*120*'Rate Card'!$B$48,500)</f>
        <v>305000</v>
      </c>
      <c r="M331" s="12">
        <f>MROUND(I331*120*'Rate Card'!$B$48,500)</f>
        <v>146000</v>
      </c>
      <c r="N331" s="14"/>
      <c r="O331" s="49">
        <v>0.92</v>
      </c>
      <c r="P331" s="49">
        <v>1</v>
      </c>
    </row>
    <row r="332" spans="1:16" ht="15" customHeight="1" x14ac:dyDescent="0.3">
      <c r="A332" s="9">
        <v>308</v>
      </c>
      <c r="B332" s="46" t="s">
        <v>625</v>
      </c>
      <c r="C332" s="46" t="s">
        <v>1711</v>
      </c>
      <c r="D332" s="47" t="s">
        <v>706</v>
      </c>
      <c r="E332" s="46" t="s">
        <v>1712</v>
      </c>
      <c r="F332" s="48" t="s">
        <v>165</v>
      </c>
      <c r="G332" s="48" t="s">
        <v>707</v>
      </c>
      <c r="H332" s="12">
        <f>MROUND('Rate Card'!$I$24*O332*P332,10)</f>
        <v>2990</v>
      </c>
      <c r="I332" s="12">
        <f>MROUND('Rate Card'!$K$24*O332*P332,10)</f>
        <v>1430</v>
      </c>
      <c r="J332" s="12">
        <f>MROUND(H332*4*'Rate Card'!$B$47,100)</f>
        <v>11400</v>
      </c>
      <c r="K332" s="12">
        <f>MROUND(I332*4*'Rate Card'!$B$47,100)</f>
        <v>5400</v>
      </c>
      <c r="L332" s="12">
        <f>MROUND(H332*120*'Rate Card'!$B$48,500)</f>
        <v>305000</v>
      </c>
      <c r="M332" s="12">
        <f>MROUND(I332*120*'Rate Card'!$B$48,500)</f>
        <v>146000</v>
      </c>
      <c r="N332" s="14"/>
      <c r="O332" s="49">
        <v>0.92</v>
      </c>
      <c r="P332" s="49">
        <v>1</v>
      </c>
    </row>
    <row r="333" spans="1:16" ht="15" customHeight="1" x14ac:dyDescent="0.3">
      <c r="A333" s="9">
        <v>309</v>
      </c>
      <c r="B333" s="46" t="s">
        <v>625</v>
      </c>
      <c r="C333" s="46" t="s">
        <v>1711</v>
      </c>
      <c r="D333" s="47" t="s">
        <v>629</v>
      </c>
      <c r="E333" s="46" t="s">
        <v>1712</v>
      </c>
      <c r="F333" s="48" t="s">
        <v>23</v>
      </c>
      <c r="G333" s="48" t="s">
        <v>630</v>
      </c>
      <c r="H333" s="12">
        <f>MROUND('Rate Card'!$I$24*O333*P333,10)</f>
        <v>2990</v>
      </c>
      <c r="I333" s="12">
        <f>MROUND('Rate Card'!$K$24*O333*P333,10)</f>
        <v>1430</v>
      </c>
      <c r="J333" s="12">
        <f>MROUND(H333*4*'Rate Card'!$B$47,100)</f>
        <v>11400</v>
      </c>
      <c r="K333" s="12">
        <f>MROUND(I333*4*'Rate Card'!$B$47,100)</f>
        <v>5400</v>
      </c>
      <c r="L333" s="12">
        <f>MROUND(H333*120*'Rate Card'!$B$48,500)</f>
        <v>305000</v>
      </c>
      <c r="M333" s="12">
        <f>MROUND(I333*120*'Rate Card'!$B$48,500)</f>
        <v>146000</v>
      </c>
      <c r="N333" s="14"/>
      <c r="O333" s="49">
        <v>0.92</v>
      </c>
      <c r="P333" s="49">
        <v>1</v>
      </c>
    </row>
    <row r="334" spans="1:16" ht="15" customHeight="1" x14ac:dyDescent="0.3">
      <c r="A334" s="9">
        <v>310</v>
      </c>
      <c r="B334" s="46" t="s">
        <v>625</v>
      </c>
      <c r="C334" s="46" t="s">
        <v>1711</v>
      </c>
      <c r="D334" s="47" t="s">
        <v>685</v>
      </c>
      <c r="E334" s="46" t="s">
        <v>1863</v>
      </c>
      <c r="F334" s="48" t="s">
        <v>165</v>
      </c>
      <c r="G334" s="48" t="s">
        <v>686</v>
      </c>
      <c r="H334" s="12">
        <f>MROUND('Rate Card'!$I$24*O334*P334,10)</f>
        <v>2990</v>
      </c>
      <c r="I334" s="12">
        <f>MROUND('Rate Card'!$K$24*O334*P334,10)</f>
        <v>1430</v>
      </c>
      <c r="J334" s="12">
        <f>MROUND(H334*4*'Rate Card'!$B$47,100)</f>
        <v>11400</v>
      </c>
      <c r="K334" s="12">
        <f>MROUND(I334*4*'Rate Card'!$B$47,100)</f>
        <v>5400</v>
      </c>
      <c r="L334" s="12">
        <f>MROUND(H334*120*'Rate Card'!$B$48,500)</f>
        <v>305000</v>
      </c>
      <c r="M334" s="12">
        <f>MROUND(I334*120*'Rate Card'!$B$48,500)</f>
        <v>146000</v>
      </c>
      <c r="N334" s="14"/>
      <c r="O334" s="49">
        <v>0.92</v>
      </c>
      <c r="P334" s="49">
        <v>1</v>
      </c>
    </row>
    <row r="335" spans="1:16" ht="15" customHeight="1" x14ac:dyDescent="0.3">
      <c r="A335" s="9">
        <v>311</v>
      </c>
      <c r="B335" s="46" t="s">
        <v>625</v>
      </c>
      <c r="C335" s="46" t="s">
        <v>1711</v>
      </c>
      <c r="D335" s="47" t="s">
        <v>687</v>
      </c>
      <c r="E335" s="46" t="s">
        <v>1864</v>
      </c>
      <c r="F335" s="48" t="s">
        <v>165</v>
      </c>
      <c r="G335" s="48" t="s">
        <v>688</v>
      </c>
      <c r="H335" s="12">
        <f>MROUND('Rate Card'!$I$24*O335*P335,10)</f>
        <v>2990</v>
      </c>
      <c r="I335" s="12">
        <f>MROUND('Rate Card'!$K$24*O335*P335,10)</f>
        <v>1430</v>
      </c>
      <c r="J335" s="12">
        <f>MROUND(H335*4*'Rate Card'!$B$47,100)</f>
        <v>11400</v>
      </c>
      <c r="K335" s="12">
        <f>MROUND(I335*4*'Rate Card'!$B$47,100)</f>
        <v>5400</v>
      </c>
      <c r="L335" s="12">
        <f>MROUND(H335*120*'Rate Card'!$B$48,500)</f>
        <v>305000</v>
      </c>
      <c r="M335" s="12">
        <f>MROUND(I335*120*'Rate Card'!$B$48,500)</f>
        <v>146000</v>
      </c>
      <c r="N335" s="14"/>
      <c r="O335" s="49">
        <v>0.92</v>
      </c>
      <c r="P335" s="49">
        <v>1</v>
      </c>
    </row>
    <row r="336" spans="1:16" ht="15" customHeight="1" x14ac:dyDescent="0.3">
      <c r="A336" s="9">
        <v>312</v>
      </c>
      <c r="B336" s="46" t="s">
        <v>625</v>
      </c>
      <c r="C336" s="46" t="s">
        <v>1711</v>
      </c>
      <c r="D336" s="47" t="s">
        <v>631</v>
      </c>
      <c r="E336" s="46" t="s">
        <v>1864</v>
      </c>
      <c r="F336" s="48" t="s">
        <v>23</v>
      </c>
      <c r="G336" s="48" t="s">
        <v>632</v>
      </c>
      <c r="H336" s="12">
        <f>MROUND('Rate Card'!$I$24*O336*P336,10)</f>
        <v>2990</v>
      </c>
      <c r="I336" s="12">
        <f>MROUND('Rate Card'!$K$24*O336*P336,10)</f>
        <v>1430</v>
      </c>
      <c r="J336" s="12">
        <f>MROUND(H336*4*'Rate Card'!$B$47,100)</f>
        <v>11400</v>
      </c>
      <c r="K336" s="12">
        <f>MROUND(I336*4*'Rate Card'!$B$47,100)</f>
        <v>5400</v>
      </c>
      <c r="L336" s="12">
        <f>MROUND(H336*120*'Rate Card'!$B$48,500)</f>
        <v>305000</v>
      </c>
      <c r="M336" s="12">
        <f>MROUND(I336*120*'Rate Card'!$B$48,500)</f>
        <v>146000</v>
      </c>
      <c r="N336" s="14"/>
      <c r="O336" s="49">
        <v>0.92</v>
      </c>
      <c r="P336" s="49">
        <v>1</v>
      </c>
    </row>
    <row r="337" spans="1:16" ht="15" customHeight="1" x14ac:dyDescent="0.3">
      <c r="A337" s="9">
        <v>313</v>
      </c>
      <c r="B337" s="46" t="s">
        <v>625</v>
      </c>
      <c r="C337" s="46" t="s">
        <v>1711</v>
      </c>
      <c r="D337" s="47" t="s">
        <v>633</v>
      </c>
      <c r="E337" s="46" t="s">
        <v>1864</v>
      </c>
      <c r="F337" s="48" t="s">
        <v>23</v>
      </c>
      <c r="G337" s="48" t="s">
        <v>634</v>
      </c>
      <c r="H337" s="12">
        <f>MROUND('Rate Card'!$I$24*O337*P337,10)</f>
        <v>2990</v>
      </c>
      <c r="I337" s="12">
        <f>MROUND('Rate Card'!$K$24*O337*P337,10)</f>
        <v>1430</v>
      </c>
      <c r="J337" s="12">
        <f>MROUND(H337*4*'Rate Card'!$B$47,100)</f>
        <v>11400</v>
      </c>
      <c r="K337" s="12">
        <f>MROUND(I337*4*'Rate Card'!$B$47,100)</f>
        <v>5400</v>
      </c>
      <c r="L337" s="12">
        <f>MROUND(H337*120*'Rate Card'!$B$48,500)</f>
        <v>305000</v>
      </c>
      <c r="M337" s="12">
        <f>MROUND(I337*120*'Rate Card'!$B$48,500)</f>
        <v>146000</v>
      </c>
      <c r="N337" s="14"/>
      <c r="O337" s="49">
        <v>0.92</v>
      </c>
      <c r="P337" s="49">
        <v>1</v>
      </c>
    </row>
    <row r="338" spans="1:16" ht="15" customHeight="1" x14ac:dyDescent="0.3">
      <c r="A338" s="9">
        <v>314</v>
      </c>
      <c r="B338" s="46" t="s">
        <v>625</v>
      </c>
      <c r="C338" s="46" t="s">
        <v>1711</v>
      </c>
      <c r="D338" s="47" t="s">
        <v>635</v>
      </c>
      <c r="E338" s="46" t="s">
        <v>1864</v>
      </c>
      <c r="F338" s="48" t="s">
        <v>23</v>
      </c>
      <c r="G338" s="48" t="s">
        <v>636</v>
      </c>
      <c r="H338" s="12">
        <f>MROUND('Rate Card'!$I$24*O338*P338,10)</f>
        <v>2990</v>
      </c>
      <c r="I338" s="12">
        <f>MROUND('Rate Card'!$K$24*O338*P338,10)</f>
        <v>1430</v>
      </c>
      <c r="J338" s="12">
        <f>MROUND(H338*4*'Rate Card'!$B$47,100)</f>
        <v>11400</v>
      </c>
      <c r="K338" s="12">
        <f>MROUND(I338*4*'Rate Card'!$B$47,100)</f>
        <v>5400</v>
      </c>
      <c r="L338" s="12">
        <f>MROUND(H338*120*'Rate Card'!$B$48,500)</f>
        <v>305000</v>
      </c>
      <c r="M338" s="12">
        <f>MROUND(I338*120*'Rate Card'!$B$48,500)</f>
        <v>146000</v>
      </c>
      <c r="N338" s="14"/>
      <c r="O338" s="49">
        <v>0.92</v>
      </c>
      <c r="P338" s="49">
        <v>1</v>
      </c>
    </row>
    <row r="339" spans="1:16" ht="15" customHeight="1" x14ac:dyDescent="0.3">
      <c r="A339" s="9">
        <v>315</v>
      </c>
      <c r="B339" s="46" t="s">
        <v>625</v>
      </c>
      <c r="C339" s="46" t="s">
        <v>1711</v>
      </c>
      <c r="D339" s="47" t="s">
        <v>637</v>
      </c>
      <c r="E339" s="46" t="s">
        <v>1864</v>
      </c>
      <c r="F339" s="48" t="s">
        <v>23</v>
      </c>
      <c r="G339" s="48" t="s">
        <v>638</v>
      </c>
      <c r="H339" s="12">
        <f>MROUND('Rate Card'!$I$24*O339*P339,10)</f>
        <v>2990</v>
      </c>
      <c r="I339" s="12">
        <f>MROUND('Rate Card'!$K$24*O339*P339,10)</f>
        <v>1430</v>
      </c>
      <c r="J339" s="12">
        <f>MROUND(H339*4*'Rate Card'!$B$47,100)</f>
        <v>11400</v>
      </c>
      <c r="K339" s="12">
        <f>MROUND(I339*4*'Rate Card'!$B$47,100)</f>
        <v>5400</v>
      </c>
      <c r="L339" s="12">
        <f>MROUND(H339*120*'Rate Card'!$B$48,500)</f>
        <v>305000</v>
      </c>
      <c r="M339" s="12">
        <f>MROUND(I339*120*'Rate Card'!$B$48,500)</f>
        <v>146000</v>
      </c>
      <c r="N339" s="14"/>
      <c r="O339" s="49">
        <v>0.92</v>
      </c>
      <c r="P339" s="49">
        <v>1</v>
      </c>
    </row>
    <row r="340" spans="1:16" ht="15" customHeight="1" x14ac:dyDescent="0.3">
      <c r="A340" s="9">
        <v>316</v>
      </c>
      <c r="B340" s="46" t="s">
        <v>625</v>
      </c>
      <c r="C340" s="46" t="s">
        <v>1711</v>
      </c>
      <c r="D340" s="47" t="s">
        <v>639</v>
      </c>
      <c r="E340" s="46" t="s">
        <v>1864</v>
      </c>
      <c r="F340" s="48" t="s">
        <v>23</v>
      </c>
      <c r="G340" s="48" t="s">
        <v>640</v>
      </c>
      <c r="H340" s="12">
        <f>MROUND('Rate Card'!$I$24*O340*P340,10)</f>
        <v>2990</v>
      </c>
      <c r="I340" s="12">
        <f>MROUND('Rate Card'!$K$24*O340*P340,10)</f>
        <v>1430</v>
      </c>
      <c r="J340" s="12">
        <f>MROUND(H340*4*'Rate Card'!$B$47,100)</f>
        <v>11400</v>
      </c>
      <c r="K340" s="12">
        <f>MROUND(I340*4*'Rate Card'!$B$47,100)</f>
        <v>5400</v>
      </c>
      <c r="L340" s="12">
        <f>MROUND(H340*120*'Rate Card'!$B$48,500)</f>
        <v>305000</v>
      </c>
      <c r="M340" s="12">
        <f>MROUND(I340*120*'Rate Card'!$B$48,500)</f>
        <v>146000</v>
      </c>
      <c r="N340" s="14"/>
      <c r="O340" s="49">
        <v>0.92</v>
      </c>
      <c r="P340" s="49">
        <v>1</v>
      </c>
    </row>
    <row r="341" spans="1:16" ht="15" customHeight="1" x14ac:dyDescent="0.3">
      <c r="A341" s="9">
        <v>317</v>
      </c>
      <c r="B341" s="46" t="s">
        <v>625</v>
      </c>
      <c r="C341" s="46" t="s">
        <v>1711</v>
      </c>
      <c r="D341" s="47" t="s">
        <v>641</v>
      </c>
      <c r="E341" s="46" t="s">
        <v>1864</v>
      </c>
      <c r="F341" s="48" t="s">
        <v>23</v>
      </c>
      <c r="G341" s="48" t="s">
        <v>642</v>
      </c>
      <c r="H341" s="12">
        <f>MROUND('Rate Card'!$I$24*O341*P341,10)</f>
        <v>2990</v>
      </c>
      <c r="I341" s="12">
        <f>MROUND('Rate Card'!$K$24*O341*P341,10)</f>
        <v>1430</v>
      </c>
      <c r="J341" s="12">
        <f>MROUND(H341*4*'Rate Card'!$B$47,100)</f>
        <v>11400</v>
      </c>
      <c r="K341" s="12">
        <f>MROUND(I341*4*'Rate Card'!$B$47,100)</f>
        <v>5400</v>
      </c>
      <c r="L341" s="12">
        <f>MROUND(H341*120*'Rate Card'!$B$48,500)</f>
        <v>305000</v>
      </c>
      <c r="M341" s="12">
        <f>MROUND(I341*120*'Rate Card'!$B$48,500)</f>
        <v>146000</v>
      </c>
      <c r="N341" s="14"/>
      <c r="O341" s="49">
        <v>0.92</v>
      </c>
      <c r="P341" s="49">
        <v>1</v>
      </c>
    </row>
    <row r="342" spans="1:16" ht="15" customHeight="1" x14ac:dyDescent="0.3">
      <c r="A342" s="9">
        <v>318</v>
      </c>
      <c r="B342" s="46" t="s">
        <v>625</v>
      </c>
      <c r="C342" s="46" t="s">
        <v>1711</v>
      </c>
      <c r="D342" s="47" t="s">
        <v>643</v>
      </c>
      <c r="E342" s="46" t="s">
        <v>1864</v>
      </c>
      <c r="F342" s="48" t="s">
        <v>23</v>
      </c>
      <c r="G342" s="48" t="s">
        <v>644</v>
      </c>
      <c r="H342" s="12">
        <f>MROUND('Rate Card'!$I$24*O342*P342,10)</f>
        <v>2990</v>
      </c>
      <c r="I342" s="12">
        <f>MROUND('Rate Card'!$K$24*O342*P342,10)</f>
        <v>1430</v>
      </c>
      <c r="J342" s="12">
        <f>MROUND(H342*4*'Rate Card'!$B$47,100)</f>
        <v>11400</v>
      </c>
      <c r="K342" s="12">
        <f>MROUND(I342*4*'Rate Card'!$B$47,100)</f>
        <v>5400</v>
      </c>
      <c r="L342" s="12">
        <f>MROUND(H342*120*'Rate Card'!$B$48,500)</f>
        <v>305000</v>
      </c>
      <c r="M342" s="12">
        <f>MROUND(I342*120*'Rate Card'!$B$48,500)</f>
        <v>146000</v>
      </c>
      <c r="N342" s="14"/>
      <c r="O342" s="49">
        <v>0.92</v>
      </c>
      <c r="P342" s="49">
        <v>1</v>
      </c>
    </row>
    <row r="343" spans="1:16" ht="15" customHeight="1" x14ac:dyDescent="0.3">
      <c r="A343" s="9">
        <v>319</v>
      </c>
      <c r="B343" s="46" t="s">
        <v>625</v>
      </c>
      <c r="C343" s="46" t="s">
        <v>1711</v>
      </c>
      <c r="D343" s="47" t="s">
        <v>645</v>
      </c>
      <c r="E343" s="46" t="s">
        <v>1864</v>
      </c>
      <c r="F343" s="48" t="s">
        <v>23</v>
      </c>
      <c r="G343" s="48" t="s">
        <v>646</v>
      </c>
      <c r="H343" s="12">
        <f>MROUND('Rate Card'!$I$24*O343*P343,10)</f>
        <v>2990</v>
      </c>
      <c r="I343" s="12">
        <f>MROUND('Rate Card'!$K$24*O343*P343,10)</f>
        <v>1430</v>
      </c>
      <c r="J343" s="12">
        <f>MROUND(H343*4*'Rate Card'!$B$47,100)</f>
        <v>11400</v>
      </c>
      <c r="K343" s="12">
        <f>MROUND(I343*4*'Rate Card'!$B$47,100)</f>
        <v>5400</v>
      </c>
      <c r="L343" s="12">
        <f>MROUND(H343*120*'Rate Card'!$B$48,500)</f>
        <v>305000</v>
      </c>
      <c r="M343" s="12">
        <f>MROUND(I343*120*'Rate Card'!$B$48,500)</f>
        <v>146000</v>
      </c>
      <c r="N343" s="14"/>
      <c r="O343" s="49">
        <v>0.92</v>
      </c>
      <c r="P343" s="49">
        <v>1</v>
      </c>
    </row>
    <row r="344" spans="1:16" ht="15" customHeight="1" x14ac:dyDescent="0.3">
      <c r="A344" s="9">
        <v>320</v>
      </c>
      <c r="B344" s="46" t="s">
        <v>625</v>
      </c>
      <c r="C344" s="46" t="s">
        <v>1711</v>
      </c>
      <c r="D344" s="47" t="s">
        <v>647</v>
      </c>
      <c r="E344" s="46" t="s">
        <v>1864</v>
      </c>
      <c r="F344" s="48" t="s">
        <v>23</v>
      </c>
      <c r="G344" s="48" t="s">
        <v>648</v>
      </c>
      <c r="H344" s="12">
        <f>MROUND('Rate Card'!$I$24*O344*P344,10)</f>
        <v>2990</v>
      </c>
      <c r="I344" s="12">
        <f>MROUND('Rate Card'!$K$24*O344*P344,10)</f>
        <v>1430</v>
      </c>
      <c r="J344" s="12">
        <f>MROUND(H344*4*'Rate Card'!$B$47,100)</f>
        <v>11400</v>
      </c>
      <c r="K344" s="12">
        <f>MROUND(I344*4*'Rate Card'!$B$47,100)</f>
        <v>5400</v>
      </c>
      <c r="L344" s="12">
        <f>MROUND(H344*120*'Rate Card'!$B$48,500)</f>
        <v>305000</v>
      </c>
      <c r="M344" s="12">
        <f>MROUND(I344*120*'Rate Card'!$B$48,500)</f>
        <v>146000</v>
      </c>
      <c r="N344" s="14"/>
      <c r="O344" s="49">
        <v>0.92</v>
      </c>
      <c r="P344" s="49">
        <v>1</v>
      </c>
    </row>
    <row r="345" spans="1:16" ht="15" customHeight="1" x14ac:dyDescent="0.3">
      <c r="A345" s="9">
        <v>321</v>
      </c>
      <c r="B345" s="46" t="s">
        <v>625</v>
      </c>
      <c r="C345" s="46" t="s">
        <v>1711</v>
      </c>
      <c r="D345" s="47" t="s">
        <v>649</v>
      </c>
      <c r="E345" s="46" t="s">
        <v>1864</v>
      </c>
      <c r="F345" s="48" t="s">
        <v>23</v>
      </c>
      <c r="G345" s="48" t="s">
        <v>650</v>
      </c>
      <c r="H345" s="12">
        <f>MROUND('Rate Card'!$I$24*O345*P345,10)</f>
        <v>2990</v>
      </c>
      <c r="I345" s="12">
        <f>MROUND('Rate Card'!$K$24*O345*P345,10)</f>
        <v>1430</v>
      </c>
      <c r="J345" s="12">
        <f>MROUND(H345*4*'Rate Card'!$B$47,100)</f>
        <v>11400</v>
      </c>
      <c r="K345" s="12">
        <f>MROUND(I345*4*'Rate Card'!$B$47,100)</f>
        <v>5400</v>
      </c>
      <c r="L345" s="12">
        <f>MROUND(H345*120*'Rate Card'!$B$48,500)</f>
        <v>305000</v>
      </c>
      <c r="M345" s="12">
        <f>MROUND(I345*120*'Rate Card'!$B$48,500)</f>
        <v>146000</v>
      </c>
      <c r="N345" s="14"/>
      <c r="O345" s="49">
        <v>0.92</v>
      </c>
      <c r="P345" s="49">
        <v>1</v>
      </c>
    </row>
    <row r="346" spans="1:16" ht="15" customHeight="1" x14ac:dyDescent="0.3">
      <c r="A346" s="9">
        <v>322</v>
      </c>
      <c r="B346" s="46" t="s">
        <v>625</v>
      </c>
      <c r="C346" s="46" t="s">
        <v>1711</v>
      </c>
      <c r="D346" s="47" t="s">
        <v>717</v>
      </c>
      <c r="E346" s="46" t="s">
        <v>1865</v>
      </c>
      <c r="F346" s="48" t="s">
        <v>116</v>
      </c>
      <c r="G346" s="48" t="s">
        <v>718</v>
      </c>
      <c r="H346" s="12">
        <f>MROUND('Rate Card'!$I$24*O346*P346,10)</f>
        <v>2990</v>
      </c>
      <c r="I346" s="12">
        <f>MROUND('Rate Card'!$K$24*O346*P346,10)</f>
        <v>1430</v>
      </c>
      <c r="J346" s="12">
        <f>MROUND(H346*4*'Rate Card'!$B$47,100)</f>
        <v>11400</v>
      </c>
      <c r="K346" s="12">
        <f>MROUND(I346*4*'Rate Card'!$B$47,100)</f>
        <v>5400</v>
      </c>
      <c r="L346" s="12">
        <f>MROUND(H346*120*'Rate Card'!$B$48,500)</f>
        <v>305000</v>
      </c>
      <c r="M346" s="12">
        <f>MROUND(I346*120*'Rate Card'!$B$48,500)</f>
        <v>146000</v>
      </c>
      <c r="N346" s="14"/>
      <c r="O346" s="49">
        <v>0.92</v>
      </c>
      <c r="P346" s="49">
        <v>1</v>
      </c>
    </row>
    <row r="347" spans="1:16" ht="15" customHeight="1" x14ac:dyDescent="0.3">
      <c r="A347" s="9">
        <v>323</v>
      </c>
      <c r="B347" s="46" t="s">
        <v>625</v>
      </c>
      <c r="C347" s="46" t="s">
        <v>1711</v>
      </c>
      <c r="D347" s="47" t="s">
        <v>720</v>
      </c>
      <c r="E347" s="46" t="s">
        <v>1866</v>
      </c>
      <c r="F347" s="48" t="s">
        <v>49</v>
      </c>
      <c r="G347" s="48" t="s">
        <v>721</v>
      </c>
      <c r="H347" s="12">
        <f>MROUND('Rate Card'!$I$24*O347*P347,10)</f>
        <v>2990</v>
      </c>
      <c r="I347" s="12">
        <f>MROUND('Rate Card'!$K$24*O347*P347,10)</f>
        <v>1430</v>
      </c>
      <c r="J347" s="12">
        <f>MROUND(H347*4*'Rate Card'!$B$47,100)</f>
        <v>11400</v>
      </c>
      <c r="K347" s="12">
        <f>MROUND(I347*4*'Rate Card'!$B$47,100)</f>
        <v>5400</v>
      </c>
      <c r="L347" s="12">
        <f>MROUND(H347*120*'Rate Card'!$B$48,500)</f>
        <v>305000</v>
      </c>
      <c r="M347" s="12">
        <f>MROUND(I347*120*'Rate Card'!$B$48,500)</f>
        <v>146000</v>
      </c>
      <c r="N347" s="14"/>
      <c r="O347" s="49">
        <v>0.92</v>
      </c>
      <c r="P347" s="49">
        <v>1</v>
      </c>
    </row>
    <row r="348" spans="1:16" ht="15" customHeight="1" x14ac:dyDescent="0.3">
      <c r="A348" s="9">
        <v>324</v>
      </c>
      <c r="B348" s="46" t="s">
        <v>625</v>
      </c>
      <c r="C348" s="46" t="s">
        <v>1711</v>
      </c>
      <c r="D348" s="47" t="s">
        <v>651</v>
      </c>
      <c r="E348" s="46" t="s">
        <v>1866</v>
      </c>
      <c r="F348" s="48" t="s">
        <v>23</v>
      </c>
      <c r="G348" s="48" t="s">
        <v>652</v>
      </c>
      <c r="H348" s="12">
        <f>MROUND('Rate Card'!$I$24*O348*P348,10)</f>
        <v>2990</v>
      </c>
      <c r="I348" s="12">
        <f>MROUND('Rate Card'!$K$24*O348*P348,10)</f>
        <v>1430</v>
      </c>
      <c r="J348" s="12">
        <f>MROUND(H348*4*'Rate Card'!$B$47,100)</f>
        <v>11400</v>
      </c>
      <c r="K348" s="12">
        <f>MROUND(I348*4*'Rate Card'!$B$47,100)</f>
        <v>5400</v>
      </c>
      <c r="L348" s="12">
        <f>MROUND(H348*120*'Rate Card'!$B$48,500)</f>
        <v>305000</v>
      </c>
      <c r="M348" s="12">
        <f>MROUND(I348*120*'Rate Card'!$B$48,500)</f>
        <v>146000</v>
      </c>
      <c r="N348" s="14"/>
      <c r="O348" s="49">
        <v>0.92</v>
      </c>
      <c r="P348" s="49">
        <v>1</v>
      </c>
    </row>
    <row r="349" spans="1:16" ht="15" customHeight="1" x14ac:dyDescent="0.3">
      <c r="A349" s="9">
        <v>325</v>
      </c>
      <c r="B349" s="46" t="s">
        <v>625</v>
      </c>
      <c r="C349" s="46" t="s">
        <v>1711</v>
      </c>
      <c r="D349" s="47" t="s">
        <v>653</v>
      </c>
      <c r="E349" s="46" t="s">
        <v>1866</v>
      </c>
      <c r="F349" s="48" t="s">
        <v>23</v>
      </c>
      <c r="G349" s="48" t="s">
        <v>654</v>
      </c>
      <c r="H349" s="12">
        <f>MROUND('Rate Card'!$I$24*O349*P349,10)</f>
        <v>2990</v>
      </c>
      <c r="I349" s="12">
        <f>MROUND('Rate Card'!$K$24*O349*P349,10)</f>
        <v>1430</v>
      </c>
      <c r="J349" s="12">
        <f>MROUND(H349*4*'Rate Card'!$B$47,100)</f>
        <v>11400</v>
      </c>
      <c r="K349" s="12">
        <f>MROUND(I349*4*'Rate Card'!$B$47,100)</f>
        <v>5400</v>
      </c>
      <c r="L349" s="12">
        <f>MROUND(H349*120*'Rate Card'!$B$48,500)</f>
        <v>305000</v>
      </c>
      <c r="M349" s="12">
        <f>MROUND(I349*120*'Rate Card'!$B$48,500)</f>
        <v>146000</v>
      </c>
      <c r="N349" s="14"/>
      <c r="O349" s="49">
        <v>0.92</v>
      </c>
      <c r="P349" s="49">
        <v>1</v>
      </c>
    </row>
    <row r="350" spans="1:16" ht="15" customHeight="1" x14ac:dyDescent="0.3">
      <c r="A350" s="9">
        <v>326</v>
      </c>
      <c r="B350" s="46" t="s">
        <v>625</v>
      </c>
      <c r="C350" s="46" t="s">
        <v>1711</v>
      </c>
      <c r="D350" s="47" t="s">
        <v>655</v>
      </c>
      <c r="E350" s="46" t="s">
        <v>1866</v>
      </c>
      <c r="F350" s="48" t="s">
        <v>23</v>
      </c>
      <c r="G350" s="48" t="s">
        <v>656</v>
      </c>
      <c r="H350" s="12">
        <f>MROUND('Rate Card'!$I$24*O350*P350,10)</f>
        <v>2990</v>
      </c>
      <c r="I350" s="12">
        <f>MROUND('Rate Card'!$K$24*O350*P350,10)</f>
        <v>1430</v>
      </c>
      <c r="J350" s="12">
        <f>MROUND(H350*4*'Rate Card'!$B$47,100)</f>
        <v>11400</v>
      </c>
      <c r="K350" s="12">
        <f>MROUND(I350*4*'Rate Card'!$B$47,100)</f>
        <v>5400</v>
      </c>
      <c r="L350" s="12">
        <f>MROUND(H350*120*'Rate Card'!$B$48,500)</f>
        <v>305000</v>
      </c>
      <c r="M350" s="12">
        <f>MROUND(I350*120*'Rate Card'!$B$48,500)</f>
        <v>146000</v>
      </c>
      <c r="N350" s="14"/>
      <c r="O350" s="49">
        <v>0.92</v>
      </c>
      <c r="P350" s="49">
        <v>1</v>
      </c>
    </row>
    <row r="351" spans="1:16" ht="15" customHeight="1" x14ac:dyDescent="0.3">
      <c r="A351" s="9">
        <v>327</v>
      </c>
      <c r="B351" s="46" t="s">
        <v>625</v>
      </c>
      <c r="C351" s="46" t="s">
        <v>1711</v>
      </c>
      <c r="D351" s="47" t="s">
        <v>657</v>
      </c>
      <c r="E351" s="46" t="s">
        <v>1866</v>
      </c>
      <c r="F351" s="48" t="s">
        <v>23</v>
      </c>
      <c r="G351" s="48" t="s">
        <v>658</v>
      </c>
      <c r="H351" s="12">
        <f>MROUND('Rate Card'!$I$24*O351*P351,10)</f>
        <v>2990</v>
      </c>
      <c r="I351" s="12">
        <f>MROUND('Rate Card'!$K$24*O351*P351,10)</f>
        <v>1430</v>
      </c>
      <c r="J351" s="12">
        <f>MROUND(H351*4*'Rate Card'!$B$47,100)</f>
        <v>11400</v>
      </c>
      <c r="K351" s="12">
        <f>MROUND(I351*4*'Rate Card'!$B$47,100)</f>
        <v>5400</v>
      </c>
      <c r="L351" s="12">
        <f>MROUND(H351*120*'Rate Card'!$B$48,500)</f>
        <v>305000</v>
      </c>
      <c r="M351" s="12">
        <f>MROUND(I351*120*'Rate Card'!$B$48,500)</f>
        <v>146000</v>
      </c>
      <c r="N351" s="14"/>
      <c r="O351" s="49">
        <v>0.92</v>
      </c>
      <c r="P351" s="49">
        <v>1</v>
      </c>
    </row>
    <row r="352" spans="1:16" ht="15" customHeight="1" x14ac:dyDescent="0.3">
      <c r="A352" s="9">
        <v>328</v>
      </c>
      <c r="B352" s="46" t="s">
        <v>625</v>
      </c>
      <c r="C352" s="46" t="s">
        <v>1711</v>
      </c>
      <c r="D352" s="47" t="s">
        <v>659</v>
      </c>
      <c r="E352" s="46" t="s">
        <v>1866</v>
      </c>
      <c r="F352" s="48" t="s">
        <v>23</v>
      </c>
      <c r="G352" s="48" t="s">
        <v>660</v>
      </c>
      <c r="H352" s="12">
        <f>MROUND('Rate Card'!$I$24*O352*P352,10)</f>
        <v>2990</v>
      </c>
      <c r="I352" s="12">
        <f>MROUND('Rate Card'!$K$24*O352*P352,10)</f>
        <v>1430</v>
      </c>
      <c r="J352" s="12">
        <f>MROUND(H352*4*'Rate Card'!$B$47,100)</f>
        <v>11400</v>
      </c>
      <c r="K352" s="12">
        <f>MROUND(I352*4*'Rate Card'!$B$47,100)</f>
        <v>5400</v>
      </c>
      <c r="L352" s="12">
        <f>MROUND(H352*120*'Rate Card'!$B$48,500)</f>
        <v>305000</v>
      </c>
      <c r="M352" s="12">
        <f>MROUND(I352*120*'Rate Card'!$B$48,500)</f>
        <v>146000</v>
      </c>
      <c r="N352" s="14"/>
      <c r="O352" s="49">
        <v>0.92</v>
      </c>
      <c r="P352" s="49">
        <v>1</v>
      </c>
    </row>
    <row r="353" spans="1:16" ht="15" customHeight="1" x14ac:dyDescent="0.3">
      <c r="A353" s="9">
        <v>329</v>
      </c>
      <c r="B353" s="46" t="s">
        <v>625</v>
      </c>
      <c r="C353" s="46" t="s">
        <v>1711</v>
      </c>
      <c r="D353" s="47" t="s">
        <v>661</v>
      </c>
      <c r="E353" s="46" t="s">
        <v>1866</v>
      </c>
      <c r="F353" s="48" t="s">
        <v>23</v>
      </c>
      <c r="G353" s="48" t="s">
        <v>662</v>
      </c>
      <c r="H353" s="12">
        <f>MROUND('Rate Card'!$I$24*O353*P353,10)</f>
        <v>2990</v>
      </c>
      <c r="I353" s="12">
        <f>MROUND('Rate Card'!$K$24*O353*P353,10)</f>
        <v>1430</v>
      </c>
      <c r="J353" s="12">
        <f>MROUND(H353*4*'Rate Card'!$B$47,100)</f>
        <v>11400</v>
      </c>
      <c r="K353" s="12">
        <f>MROUND(I353*4*'Rate Card'!$B$47,100)</f>
        <v>5400</v>
      </c>
      <c r="L353" s="12">
        <f>MROUND(H353*120*'Rate Card'!$B$48,500)</f>
        <v>305000</v>
      </c>
      <c r="M353" s="12">
        <f>MROUND(I353*120*'Rate Card'!$B$48,500)</f>
        <v>146000</v>
      </c>
      <c r="N353" s="14"/>
      <c r="O353" s="49">
        <v>0.92</v>
      </c>
      <c r="P353" s="49">
        <v>1</v>
      </c>
    </row>
    <row r="354" spans="1:16" ht="15" customHeight="1" x14ac:dyDescent="0.3">
      <c r="A354" s="9">
        <v>330</v>
      </c>
      <c r="B354" s="46" t="s">
        <v>625</v>
      </c>
      <c r="C354" s="46" t="s">
        <v>1711</v>
      </c>
      <c r="D354" s="47" t="s">
        <v>663</v>
      </c>
      <c r="E354" s="46" t="s">
        <v>1866</v>
      </c>
      <c r="F354" s="48" t="s">
        <v>23</v>
      </c>
      <c r="G354" s="48" t="s">
        <v>664</v>
      </c>
      <c r="H354" s="12">
        <f>MROUND('Rate Card'!$I$24*O354*P354,10)</f>
        <v>2990</v>
      </c>
      <c r="I354" s="12">
        <f>MROUND('Rate Card'!$K$24*O354*P354,10)</f>
        <v>1430</v>
      </c>
      <c r="J354" s="12">
        <f>MROUND(H354*4*'Rate Card'!$B$47,100)</f>
        <v>11400</v>
      </c>
      <c r="K354" s="12">
        <f>MROUND(I354*4*'Rate Card'!$B$47,100)</f>
        <v>5400</v>
      </c>
      <c r="L354" s="12">
        <f>MROUND(H354*120*'Rate Card'!$B$48,500)</f>
        <v>305000</v>
      </c>
      <c r="M354" s="12">
        <f>MROUND(I354*120*'Rate Card'!$B$48,500)</f>
        <v>146000</v>
      </c>
      <c r="N354" s="14"/>
      <c r="O354" s="49">
        <v>0.92</v>
      </c>
      <c r="P354" s="49">
        <v>1</v>
      </c>
    </row>
    <row r="355" spans="1:16" ht="15" customHeight="1" x14ac:dyDescent="0.3">
      <c r="A355" s="9">
        <v>331</v>
      </c>
      <c r="B355" s="46" t="s">
        <v>625</v>
      </c>
      <c r="C355" s="46" t="s">
        <v>1711</v>
      </c>
      <c r="D355" s="47" t="s">
        <v>665</v>
      </c>
      <c r="E355" s="46" t="s">
        <v>1866</v>
      </c>
      <c r="F355" s="48" t="s">
        <v>23</v>
      </c>
      <c r="G355" s="48" t="s">
        <v>666</v>
      </c>
      <c r="H355" s="12">
        <f>MROUND('Rate Card'!$I$24*O355*P355,10)</f>
        <v>2990</v>
      </c>
      <c r="I355" s="12">
        <f>MROUND('Rate Card'!$K$24*O355*P355,10)</f>
        <v>1430</v>
      </c>
      <c r="J355" s="12">
        <f>MROUND(H355*4*'Rate Card'!$B$47,100)</f>
        <v>11400</v>
      </c>
      <c r="K355" s="12">
        <f>MROUND(I355*4*'Rate Card'!$B$47,100)</f>
        <v>5400</v>
      </c>
      <c r="L355" s="12">
        <f>MROUND(H355*120*'Rate Card'!$B$48,500)</f>
        <v>305000</v>
      </c>
      <c r="M355" s="12">
        <f>MROUND(I355*120*'Rate Card'!$B$48,500)</f>
        <v>146000</v>
      </c>
      <c r="N355" s="14"/>
      <c r="O355" s="49">
        <v>0.92</v>
      </c>
      <c r="P355" s="49">
        <v>1</v>
      </c>
    </row>
    <row r="356" spans="1:16" ht="15" customHeight="1" x14ac:dyDescent="0.3">
      <c r="A356" s="9">
        <v>332</v>
      </c>
      <c r="B356" s="46" t="s">
        <v>625</v>
      </c>
      <c r="C356" s="46" t="s">
        <v>1711</v>
      </c>
      <c r="D356" s="47" t="s">
        <v>667</v>
      </c>
      <c r="E356" s="46" t="s">
        <v>1866</v>
      </c>
      <c r="F356" s="48" t="s">
        <v>23</v>
      </c>
      <c r="G356" s="48" t="s">
        <v>668</v>
      </c>
      <c r="H356" s="12">
        <f>MROUND('Rate Card'!$I$24*O356*P356,10)</f>
        <v>2990</v>
      </c>
      <c r="I356" s="12">
        <f>MROUND('Rate Card'!$K$24*O356*P356,10)</f>
        <v>1430</v>
      </c>
      <c r="J356" s="12">
        <f>MROUND(H356*4*'Rate Card'!$B$47,100)</f>
        <v>11400</v>
      </c>
      <c r="K356" s="12">
        <f>MROUND(I356*4*'Rate Card'!$B$47,100)</f>
        <v>5400</v>
      </c>
      <c r="L356" s="12">
        <f>MROUND(H356*120*'Rate Card'!$B$48,500)</f>
        <v>305000</v>
      </c>
      <c r="M356" s="12">
        <f>MROUND(I356*120*'Rate Card'!$B$48,500)</f>
        <v>146000</v>
      </c>
      <c r="N356" s="14"/>
      <c r="O356" s="49">
        <v>0.92</v>
      </c>
      <c r="P356" s="49">
        <v>1</v>
      </c>
    </row>
    <row r="357" spans="1:16" ht="15" customHeight="1" x14ac:dyDescent="0.3">
      <c r="A357" s="9">
        <v>333</v>
      </c>
      <c r="B357" s="46" t="s">
        <v>625</v>
      </c>
      <c r="C357" s="46" t="s">
        <v>1711</v>
      </c>
      <c r="D357" s="47" t="s">
        <v>708</v>
      </c>
      <c r="E357" s="46" t="s">
        <v>1864</v>
      </c>
      <c r="F357" s="48" t="s">
        <v>49</v>
      </c>
      <c r="G357" s="48" t="s">
        <v>709</v>
      </c>
      <c r="H357" s="12">
        <f>MROUND('Rate Card'!$I$24*O357*P357,10)</f>
        <v>2990</v>
      </c>
      <c r="I357" s="12">
        <f>MROUND('Rate Card'!$K$24*O357*P357,10)</f>
        <v>1430</v>
      </c>
      <c r="J357" s="12">
        <f>MROUND(H357*4*'Rate Card'!$B$47,100)</f>
        <v>11400</v>
      </c>
      <c r="K357" s="12">
        <f>MROUND(I357*4*'Rate Card'!$B$47,100)</f>
        <v>5400</v>
      </c>
      <c r="L357" s="12">
        <f>MROUND(H357*120*'Rate Card'!$B$48,500)</f>
        <v>305000</v>
      </c>
      <c r="M357" s="12">
        <f>MROUND(I357*120*'Rate Card'!$B$48,500)</f>
        <v>146000</v>
      </c>
      <c r="N357" s="14"/>
      <c r="O357" s="49">
        <v>0.92</v>
      </c>
      <c r="P357" s="49">
        <v>1</v>
      </c>
    </row>
    <row r="358" spans="1:16" ht="15" customHeight="1" x14ac:dyDescent="0.3">
      <c r="A358" s="9">
        <v>334</v>
      </c>
      <c r="B358" s="46" t="s">
        <v>625</v>
      </c>
      <c r="C358" s="46" t="s">
        <v>1711</v>
      </c>
      <c r="D358" s="47" t="s">
        <v>669</v>
      </c>
      <c r="E358" s="46" t="s">
        <v>1864</v>
      </c>
      <c r="F358" s="48" t="s">
        <v>23</v>
      </c>
      <c r="G358" s="48" t="s">
        <v>670</v>
      </c>
      <c r="H358" s="12">
        <f>MROUND('Rate Card'!$I$24*O358*P358,10)</f>
        <v>2990</v>
      </c>
      <c r="I358" s="12">
        <f>MROUND('Rate Card'!$K$24*O358*P358,10)</f>
        <v>1430</v>
      </c>
      <c r="J358" s="12">
        <f>MROUND(H358*4*'Rate Card'!$B$47,100)</f>
        <v>11400</v>
      </c>
      <c r="K358" s="12">
        <f>MROUND(I358*4*'Rate Card'!$B$47,100)</f>
        <v>5400</v>
      </c>
      <c r="L358" s="12">
        <f>MROUND(H358*120*'Rate Card'!$B$48,500)</f>
        <v>305000</v>
      </c>
      <c r="M358" s="12">
        <f>MROUND(I358*120*'Rate Card'!$B$48,500)</f>
        <v>146000</v>
      </c>
      <c r="N358" s="14"/>
      <c r="O358" s="49">
        <v>0.92</v>
      </c>
      <c r="P358" s="49">
        <v>1</v>
      </c>
    </row>
    <row r="359" spans="1:16" ht="15" customHeight="1" x14ac:dyDescent="0.3">
      <c r="A359" s="9">
        <v>335</v>
      </c>
      <c r="B359" s="46" t="s">
        <v>625</v>
      </c>
      <c r="C359" s="46" t="s">
        <v>1711</v>
      </c>
      <c r="D359" s="47" t="s">
        <v>671</v>
      </c>
      <c r="E359" s="46" t="s">
        <v>1864</v>
      </c>
      <c r="F359" s="48" t="s">
        <v>23</v>
      </c>
      <c r="G359" s="48" t="s">
        <v>672</v>
      </c>
      <c r="H359" s="12">
        <f>MROUND('Rate Card'!$I$24*O359*P359,10)</f>
        <v>2990</v>
      </c>
      <c r="I359" s="12">
        <f>MROUND('Rate Card'!$K$24*O359*P359,10)</f>
        <v>1430</v>
      </c>
      <c r="J359" s="12">
        <f>MROUND(H359*4*'Rate Card'!$B$47,100)</f>
        <v>11400</v>
      </c>
      <c r="K359" s="12">
        <f>MROUND(I359*4*'Rate Card'!$B$47,100)</f>
        <v>5400</v>
      </c>
      <c r="L359" s="12">
        <f>MROUND(H359*120*'Rate Card'!$B$48,500)</f>
        <v>305000</v>
      </c>
      <c r="M359" s="12">
        <f>MROUND(I359*120*'Rate Card'!$B$48,500)</f>
        <v>146000</v>
      </c>
      <c r="N359" s="14"/>
      <c r="O359" s="49">
        <v>0.92</v>
      </c>
      <c r="P359" s="49">
        <v>1</v>
      </c>
    </row>
    <row r="360" spans="1:16" ht="15" customHeight="1" x14ac:dyDescent="0.3">
      <c r="A360" s="9">
        <v>336</v>
      </c>
      <c r="B360" s="46" t="s">
        <v>625</v>
      </c>
      <c r="C360" s="46" t="s">
        <v>1817</v>
      </c>
      <c r="D360" s="47" t="s">
        <v>747</v>
      </c>
      <c r="E360" s="46" t="s">
        <v>1867</v>
      </c>
      <c r="F360" s="48" t="s">
        <v>99</v>
      </c>
      <c r="G360" s="48" t="s">
        <v>748</v>
      </c>
      <c r="H360" s="12">
        <f>MROUND('Rate Card'!$I$24*O360*P360,10)</f>
        <v>2670</v>
      </c>
      <c r="I360" s="12">
        <f>MROUND('Rate Card'!$K$24*O360*P360,10)</f>
        <v>1270</v>
      </c>
      <c r="J360" s="12">
        <f>MROUND(H360*4*'Rate Card'!$B$47,100)</f>
        <v>10100</v>
      </c>
      <c r="K360" s="12">
        <f>MROUND(I360*4*'Rate Card'!$B$47,100)</f>
        <v>4800</v>
      </c>
      <c r="L360" s="12">
        <f>MROUND(H360*120*'Rate Card'!$B$48,500)</f>
        <v>272500</v>
      </c>
      <c r="M360" s="12">
        <f>MROUND(I360*120*'Rate Card'!$B$48,500)</f>
        <v>129500</v>
      </c>
      <c r="N360" s="14"/>
      <c r="O360" s="49">
        <v>0.82</v>
      </c>
      <c r="P360" s="49">
        <v>1</v>
      </c>
    </row>
    <row r="361" spans="1:16" ht="15" customHeight="1" x14ac:dyDescent="0.3">
      <c r="A361" s="9">
        <v>337</v>
      </c>
      <c r="B361" s="46" t="s">
        <v>625</v>
      </c>
      <c r="C361" s="46" t="s">
        <v>1711</v>
      </c>
      <c r="D361" s="47" t="s">
        <v>714</v>
      </c>
      <c r="E361" s="46" t="s">
        <v>1867</v>
      </c>
      <c r="F361" s="48" t="s">
        <v>99</v>
      </c>
      <c r="G361" s="48" t="s">
        <v>715</v>
      </c>
      <c r="H361" s="12">
        <f>MROUND('Rate Card'!$I$24*O361*P361,10)</f>
        <v>2670</v>
      </c>
      <c r="I361" s="12">
        <f>MROUND('Rate Card'!$K$24*O361*P361,10)</f>
        <v>1270</v>
      </c>
      <c r="J361" s="12">
        <f>MROUND(H361*4*'Rate Card'!$B$47,100)</f>
        <v>10100</v>
      </c>
      <c r="K361" s="12">
        <f>MROUND(I361*4*'Rate Card'!$B$47,100)</f>
        <v>4800</v>
      </c>
      <c r="L361" s="12">
        <f>MROUND(H361*120*'Rate Card'!$B$48,500)</f>
        <v>272500</v>
      </c>
      <c r="M361" s="12">
        <f>MROUND(I361*120*'Rate Card'!$B$48,500)</f>
        <v>129500</v>
      </c>
      <c r="N361" s="14"/>
      <c r="O361" s="49">
        <v>0.82</v>
      </c>
      <c r="P361" s="49">
        <v>1</v>
      </c>
    </row>
    <row r="362" spans="1:16" ht="15" customHeight="1" x14ac:dyDescent="0.3">
      <c r="A362" s="9">
        <v>338</v>
      </c>
      <c r="B362" s="46" t="s">
        <v>625</v>
      </c>
      <c r="C362" s="46" t="s">
        <v>1817</v>
      </c>
      <c r="D362" s="47" t="s">
        <v>753</v>
      </c>
      <c r="E362" s="46" t="s">
        <v>1868</v>
      </c>
      <c r="F362" s="48" t="s">
        <v>66</v>
      </c>
      <c r="G362" s="48" t="s">
        <v>754</v>
      </c>
      <c r="H362" s="12">
        <f>MROUND('Rate Card'!$I$24*O362*P362,10)</f>
        <v>2670</v>
      </c>
      <c r="I362" s="12">
        <f>MROUND('Rate Card'!$K$24*O362*P362,10)</f>
        <v>1270</v>
      </c>
      <c r="J362" s="12">
        <f>MROUND(H362*4*'Rate Card'!$B$47,100)</f>
        <v>10100</v>
      </c>
      <c r="K362" s="12">
        <f>MROUND(I362*4*'Rate Card'!$B$47,100)</f>
        <v>4800</v>
      </c>
      <c r="L362" s="12">
        <f>MROUND(H362*120*'Rate Card'!$B$48,500)</f>
        <v>272500</v>
      </c>
      <c r="M362" s="12">
        <f>MROUND(I362*120*'Rate Card'!$B$48,500)</f>
        <v>129500</v>
      </c>
      <c r="N362" s="14"/>
      <c r="O362" s="49">
        <v>0.82</v>
      </c>
      <c r="P362" s="49">
        <v>1</v>
      </c>
    </row>
    <row r="363" spans="1:16" ht="15" customHeight="1" x14ac:dyDescent="0.3">
      <c r="A363" s="9">
        <v>339</v>
      </c>
      <c r="B363" s="46" t="s">
        <v>625</v>
      </c>
      <c r="C363" s="46" t="s">
        <v>1817</v>
      </c>
      <c r="D363" s="47" t="s">
        <v>804</v>
      </c>
      <c r="E363" s="46" t="s">
        <v>1868</v>
      </c>
      <c r="F363" s="48" t="s">
        <v>139</v>
      </c>
      <c r="G363" s="48" t="s">
        <v>805</v>
      </c>
      <c r="H363" s="12">
        <f>MROUND('Rate Card'!$I$24*O363*P363,10)</f>
        <v>2670</v>
      </c>
      <c r="I363" s="12">
        <f>MROUND('Rate Card'!$K$24*O363*P363,10)</f>
        <v>1270</v>
      </c>
      <c r="J363" s="12">
        <f>MROUND(H363*4*'Rate Card'!$B$47,100)</f>
        <v>10100</v>
      </c>
      <c r="K363" s="12">
        <f>MROUND(I363*4*'Rate Card'!$B$47,100)</f>
        <v>4800</v>
      </c>
      <c r="L363" s="12">
        <f>MROUND(H363*120*'Rate Card'!$B$48,500)</f>
        <v>272500</v>
      </c>
      <c r="M363" s="12">
        <f>MROUND(I363*120*'Rate Card'!$B$48,500)</f>
        <v>129500</v>
      </c>
      <c r="N363" s="14"/>
      <c r="O363" s="49">
        <v>0.82</v>
      </c>
      <c r="P363" s="49">
        <v>1</v>
      </c>
    </row>
    <row r="364" spans="1:16" ht="15" customHeight="1" x14ac:dyDescent="0.3">
      <c r="A364" s="9">
        <v>340</v>
      </c>
      <c r="B364" s="46" t="s">
        <v>625</v>
      </c>
      <c r="C364" s="46" t="s">
        <v>1817</v>
      </c>
      <c r="D364" s="47" t="s">
        <v>755</v>
      </c>
      <c r="E364" s="46" t="s">
        <v>1868</v>
      </c>
      <c r="F364" s="48" t="s">
        <v>66</v>
      </c>
      <c r="G364" s="48" t="s">
        <v>756</v>
      </c>
      <c r="H364" s="12">
        <f>MROUND('Rate Card'!$I$24*O364*P364,10)</f>
        <v>2670</v>
      </c>
      <c r="I364" s="12">
        <f>MROUND('Rate Card'!$K$24*O364*P364,10)</f>
        <v>1270</v>
      </c>
      <c r="J364" s="12">
        <f>MROUND(H364*4*'Rate Card'!$B$47,100)</f>
        <v>10100</v>
      </c>
      <c r="K364" s="12">
        <f>MROUND(I364*4*'Rate Card'!$B$47,100)</f>
        <v>4800</v>
      </c>
      <c r="L364" s="12">
        <f>MROUND(H364*120*'Rate Card'!$B$48,500)</f>
        <v>272500</v>
      </c>
      <c r="M364" s="12">
        <f>MROUND(I364*120*'Rate Card'!$B$48,500)</f>
        <v>129500</v>
      </c>
      <c r="N364" s="14"/>
      <c r="O364" s="49">
        <v>0.82</v>
      </c>
      <c r="P364" s="49">
        <v>1</v>
      </c>
    </row>
    <row r="365" spans="1:16" ht="15" customHeight="1" x14ac:dyDescent="0.3">
      <c r="A365" s="9">
        <v>341</v>
      </c>
      <c r="B365" s="46" t="s">
        <v>625</v>
      </c>
      <c r="C365" s="46" t="s">
        <v>1817</v>
      </c>
      <c r="D365" s="47" t="s">
        <v>760</v>
      </c>
      <c r="E365" s="46" t="s">
        <v>1869</v>
      </c>
      <c r="F365" s="48" t="s">
        <v>66</v>
      </c>
      <c r="G365" s="48" t="s">
        <v>761</v>
      </c>
      <c r="H365" s="12">
        <f>MROUND('Rate Card'!$I$24*O365*P365,10)</f>
        <v>2670</v>
      </c>
      <c r="I365" s="12">
        <f>MROUND('Rate Card'!$K$24*O365*P365,10)</f>
        <v>1270</v>
      </c>
      <c r="J365" s="12">
        <f>MROUND(H365*4*'Rate Card'!$B$47,100)</f>
        <v>10100</v>
      </c>
      <c r="K365" s="12">
        <f>MROUND(I365*4*'Rate Card'!$B$47,100)</f>
        <v>4800</v>
      </c>
      <c r="L365" s="12">
        <f>MROUND(H365*120*'Rate Card'!$B$48,500)</f>
        <v>272500</v>
      </c>
      <c r="M365" s="12">
        <f>MROUND(I365*120*'Rate Card'!$B$48,500)</f>
        <v>129500</v>
      </c>
      <c r="N365" s="14"/>
      <c r="O365" s="49">
        <v>0.82</v>
      </c>
      <c r="P365" s="49">
        <v>1</v>
      </c>
    </row>
    <row r="366" spans="1:16" ht="15" customHeight="1" x14ac:dyDescent="0.3">
      <c r="A366" s="9">
        <v>342</v>
      </c>
      <c r="B366" s="46" t="s">
        <v>625</v>
      </c>
      <c r="C366" s="46" t="s">
        <v>1817</v>
      </c>
      <c r="D366" s="47" t="s">
        <v>757</v>
      </c>
      <c r="E366" s="46" t="s">
        <v>1869</v>
      </c>
      <c r="F366" s="48" t="s">
        <v>66</v>
      </c>
      <c r="G366" s="48" t="s">
        <v>758</v>
      </c>
      <c r="H366" s="12">
        <f>MROUND('Rate Card'!$I$24*O366*P366,10)</f>
        <v>2670</v>
      </c>
      <c r="I366" s="12">
        <f>MROUND('Rate Card'!$K$24*O366*P366,10)</f>
        <v>1270</v>
      </c>
      <c r="J366" s="12">
        <f>MROUND(H366*4*'Rate Card'!$B$47,100)</f>
        <v>10100</v>
      </c>
      <c r="K366" s="12">
        <f>MROUND(I366*4*'Rate Card'!$B$47,100)</f>
        <v>4800</v>
      </c>
      <c r="L366" s="12">
        <f>MROUND(H366*120*'Rate Card'!$B$48,500)</f>
        <v>272500</v>
      </c>
      <c r="M366" s="12">
        <f>MROUND(I366*120*'Rate Card'!$B$48,500)</f>
        <v>129500</v>
      </c>
      <c r="N366" s="14"/>
      <c r="O366" s="49">
        <v>0.82</v>
      </c>
      <c r="P366" s="49">
        <v>1</v>
      </c>
    </row>
    <row r="367" spans="1:16" ht="15" customHeight="1" x14ac:dyDescent="0.3">
      <c r="A367" s="9">
        <v>343</v>
      </c>
      <c r="B367" s="46" t="s">
        <v>625</v>
      </c>
      <c r="C367" s="46" t="s">
        <v>1711</v>
      </c>
      <c r="D367" s="47" t="s">
        <v>750</v>
      </c>
      <c r="E367" s="46" t="s">
        <v>1867</v>
      </c>
      <c r="F367" s="48" t="s">
        <v>66</v>
      </c>
      <c r="G367" s="48" t="s">
        <v>751</v>
      </c>
      <c r="H367" s="12">
        <f>MROUND('Rate Card'!$I$24*O367*P367,10)</f>
        <v>2670</v>
      </c>
      <c r="I367" s="12">
        <f>MROUND('Rate Card'!$K$24*O367*P367,10)</f>
        <v>1270</v>
      </c>
      <c r="J367" s="12">
        <f>MROUND(H367*4*'Rate Card'!$B$47,100)</f>
        <v>10100</v>
      </c>
      <c r="K367" s="12">
        <f>MROUND(I367*4*'Rate Card'!$B$47,100)</f>
        <v>4800</v>
      </c>
      <c r="L367" s="12">
        <f>MROUND(H367*120*'Rate Card'!$B$48,500)</f>
        <v>272500</v>
      </c>
      <c r="M367" s="12">
        <f>MROUND(I367*120*'Rate Card'!$B$48,500)</f>
        <v>129500</v>
      </c>
      <c r="N367" s="14"/>
      <c r="O367" s="49">
        <v>0.82</v>
      </c>
      <c r="P367" s="49">
        <v>1</v>
      </c>
    </row>
    <row r="368" spans="1:16" ht="15" customHeight="1" x14ac:dyDescent="0.3">
      <c r="A368" s="9">
        <v>344</v>
      </c>
      <c r="B368" s="46" t="s">
        <v>625</v>
      </c>
      <c r="C368" s="46" t="s">
        <v>1711</v>
      </c>
      <c r="D368" s="47" t="s">
        <v>673</v>
      </c>
      <c r="E368" s="46" t="s">
        <v>1867</v>
      </c>
      <c r="F368" s="48" t="s">
        <v>23</v>
      </c>
      <c r="G368" s="48" t="s">
        <v>674</v>
      </c>
      <c r="H368" s="12">
        <f>MROUND('Rate Card'!$I$24*O368*P368,10)</f>
        <v>2670</v>
      </c>
      <c r="I368" s="12">
        <f>MROUND('Rate Card'!$K$24*O368*P368,10)</f>
        <v>1270</v>
      </c>
      <c r="J368" s="12">
        <f>MROUND(H368*4*'Rate Card'!$B$47,100)</f>
        <v>10100</v>
      </c>
      <c r="K368" s="12">
        <f>MROUND(I368*4*'Rate Card'!$B$47,100)</f>
        <v>4800</v>
      </c>
      <c r="L368" s="12">
        <f>MROUND(H368*120*'Rate Card'!$B$48,500)</f>
        <v>272500</v>
      </c>
      <c r="M368" s="12">
        <f>MROUND(I368*120*'Rate Card'!$B$48,500)</f>
        <v>129500</v>
      </c>
      <c r="N368" s="14"/>
      <c r="O368" s="49">
        <v>0.82</v>
      </c>
      <c r="P368" s="49">
        <v>1</v>
      </c>
    </row>
    <row r="369" spans="1:16" ht="15" customHeight="1" x14ac:dyDescent="0.3">
      <c r="A369" s="9">
        <v>345</v>
      </c>
      <c r="B369" s="46" t="s">
        <v>625</v>
      </c>
      <c r="C369" s="46" t="s">
        <v>1711</v>
      </c>
      <c r="D369" s="47" t="s">
        <v>766</v>
      </c>
      <c r="E369" s="46" t="s">
        <v>1870</v>
      </c>
      <c r="F369" s="48" t="s">
        <v>66</v>
      </c>
      <c r="G369" s="48" t="s">
        <v>767</v>
      </c>
      <c r="H369" s="12">
        <f>MROUND('Rate Card'!$I$24*O369*P369,10)</f>
        <v>2670</v>
      </c>
      <c r="I369" s="12">
        <f>MROUND('Rate Card'!$K$24*O369*P369,10)</f>
        <v>1270</v>
      </c>
      <c r="J369" s="12">
        <f>MROUND(H369*4*'Rate Card'!$B$47,100)</f>
        <v>10100</v>
      </c>
      <c r="K369" s="12">
        <f>MROUND(I369*4*'Rate Card'!$B$47,100)</f>
        <v>4800</v>
      </c>
      <c r="L369" s="12">
        <f>MROUND(H369*120*'Rate Card'!$B$48,500)</f>
        <v>272500</v>
      </c>
      <c r="M369" s="12">
        <f>MROUND(I369*120*'Rate Card'!$B$48,500)</f>
        <v>129500</v>
      </c>
      <c r="N369" s="14"/>
      <c r="O369" s="49">
        <v>0.82</v>
      </c>
      <c r="P369" s="49">
        <v>1</v>
      </c>
    </row>
    <row r="370" spans="1:16" ht="15" customHeight="1" x14ac:dyDescent="0.3">
      <c r="A370" s="9">
        <v>346</v>
      </c>
      <c r="B370" s="46" t="s">
        <v>625</v>
      </c>
      <c r="C370" s="46" t="s">
        <v>1711</v>
      </c>
      <c r="D370" s="47" t="s">
        <v>675</v>
      </c>
      <c r="E370" s="46" t="s">
        <v>1870</v>
      </c>
      <c r="F370" s="48" t="s">
        <v>23</v>
      </c>
      <c r="G370" s="48" t="s">
        <v>676</v>
      </c>
      <c r="H370" s="12">
        <f>MROUND('Rate Card'!$I$24*O370*P370,10)</f>
        <v>2670</v>
      </c>
      <c r="I370" s="12">
        <f>MROUND('Rate Card'!$K$24*O370*P370,10)</f>
        <v>1270</v>
      </c>
      <c r="J370" s="12">
        <f>MROUND(H370*4*'Rate Card'!$B$47,100)</f>
        <v>10100</v>
      </c>
      <c r="K370" s="12">
        <f>MROUND(I370*4*'Rate Card'!$B$47,100)</f>
        <v>4800</v>
      </c>
      <c r="L370" s="12">
        <f>MROUND(H370*120*'Rate Card'!$B$48,500)</f>
        <v>272500</v>
      </c>
      <c r="M370" s="12">
        <f>MROUND(I370*120*'Rate Card'!$B$48,500)</f>
        <v>129500</v>
      </c>
      <c r="N370" s="14"/>
      <c r="O370" s="49">
        <v>0.82</v>
      </c>
      <c r="P370" s="49">
        <v>1</v>
      </c>
    </row>
    <row r="371" spans="1:16" ht="15" customHeight="1" x14ac:dyDescent="0.3">
      <c r="A371" s="9">
        <v>347</v>
      </c>
      <c r="B371" s="46" t="s">
        <v>625</v>
      </c>
      <c r="C371" s="46" t="s">
        <v>1711</v>
      </c>
      <c r="D371" s="47" t="s">
        <v>771</v>
      </c>
      <c r="E371" s="46" t="s">
        <v>1866</v>
      </c>
      <c r="F371" s="48" t="s">
        <v>66</v>
      </c>
      <c r="G371" s="48" t="s">
        <v>772</v>
      </c>
      <c r="H371" s="12">
        <f>MROUND('Rate Card'!$I$24*O371*P371,10)</f>
        <v>2670</v>
      </c>
      <c r="I371" s="12">
        <f>MROUND('Rate Card'!$K$24*O371*P371,10)</f>
        <v>1270</v>
      </c>
      <c r="J371" s="12">
        <f>MROUND(H371*4*'Rate Card'!$B$47,100)</f>
        <v>10100</v>
      </c>
      <c r="K371" s="12">
        <f>MROUND(I371*4*'Rate Card'!$B$47,100)</f>
        <v>4800</v>
      </c>
      <c r="L371" s="12">
        <f>MROUND(H371*120*'Rate Card'!$B$48,500)</f>
        <v>272500</v>
      </c>
      <c r="M371" s="12">
        <f>MROUND(I371*120*'Rate Card'!$B$48,500)</f>
        <v>129500</v>
      </c>
      <c r="N371" s="14"/>
      <c r="O371" s="49">
        <v>0.82</v>
      </c>
      <c r="P371" s="49">
        <v>1</v>
      </c>
    </row>
    <row r="372" spans="1:16" ht="15" customHeight="1" x14ac:dyDescent="0.3">
      <c r="A372" s="9">
        <v>348</v>
      </c>
      <c r="B372" s="46" t="s">
        <v>625</v>
      </c>
      <c r="C372" s="46" t="s">
        <v>1711</v>
      </c>
      <c r="D372" s="47"/>
      <c r="E372" s="46" t="s">
        <v>1866</v>
      </c>
      <c r="F372" s="48" t="s">
        <v>66</v>
      </c>
      <c r="G372" s="48" t="s">
        <v>774</v>
      </c>
      <c r="H372" s="12">
        <f>MROUND('Rate Card'!$I$24*O372*P372,10)</f>
        <v>2670</v>
      </c>
      <c r="I372" s="12">
        <f>MROUND('Rate Card'!$K$24*O372*P372,10)</f>
        <v>1270</v>
      </c>
      <c r="J372" s="12">
        <f>MROUND(H372*4*'Rate Card'!$B$47,100)</f>
        <v>10100</v>
      </c>
      <c r="K372" s="12">
        <f>MROUND(I372*4*'Rate Card'!$B$47,100)</f>
        <v>4800</v>
      </c>
      <c r="L372" s="12">
        <f>MROUND(H372*120*'Rate Card'!$B$48,500)</f>
        <v>272500</v>
      </c>
      <c r="M372" s="12">
        <f>MROUND(I372*120*'Rate Card'!$B$48,500)</f>
        <v>129500</v>
      </c>
      <c r="N372" s="14"/>
      <c r="O372" s="49">
        <v>0.82</v>
      </c>
      <c r="P372" s="49">
        <v>1</v>
      </c>
    </row>
    <row r="373" spans="1:16" ht="15" customHeight="1" x14ac:dyDescent="0.3">
      <c r="A373" s="9">
        <v>349</v>
      </c>
      <c r="B373" s="46" t="s">
        <v>625</v>
      </c>
      <c r="C373" s="46" t="s">
        <v>1817</v>
      </c>
      <c r="D373" s="47" t="s">
        <v>777</v>
      </c>
      <c r="E373" s="46" t="s">
        <v>1869</v>
      </c>
      <c r="F373" s="48" t="s">
        <v>458</v>
      </c>
      <c r="G373" s="48" t="s">
        <v>778</v>
      </c>
      <c r="H373" s="12">
        <f>MROUND('Rate Card'!$I$24*O373*P373,10)</f>
        <v>2670</v>
      </c>
      <c r="I373" s="12">
        <f>MROUND('Rate Card'!$K$24*O373*P373,10)</f>
        <v>1270</v>
      </c>
      <c r="J373" s="12">
        <f>MROUND(H373*4*'Rate Card'!$B$47,100)</f>
        <v>10100</v>
      </c>
      <c r="K373" s="12">
        <f>MROUND(I373*4*'Rate Card'!$B$47,100)</f>
        <v>4800</v>
      </c>
      <c r="L373" s="12">
        <f>MROUND(H373*120*'Rate Card'!$B$48,500)</f>
        <v>272500</v>
      </c>
      <c r="M373" s="12">
        <f>MROUND(I373*120*'Rate Card'!$B$48,500)</f>
        <v>129500</v>
      </c>
      <c r="N373" s="14"/>
      <c r="O373" s="49">
        <v>0.82</v>
      </c>
      <c r="P373" s="49">
        <v>1</v>
      </c>
    </row>
    <row r="374" spans="1:16" ht="15" customHeight="1" x14ac:dyDescent="0.3">
      <c r="A374" s="9">
        <v>350</v>
      </c>
      <c r="B374" s="46" t="s">
        <v>625</v>
      </c>
      <c r="C374" s="46" t="s">
        <v>1714</v>
      </c>
      <c r="D374" s="47" t="s">
        <v>780</v>
      </c>
      <c r="E374" s="46" t="s">
        <v>1871</v>
      </c>
      <c r="F374" s="48" t="s">
        <v>458</v>
      </c>
      <c r="G374" s="48" t="s">
        <v>781</v>
      </c>
      <c r="H374" s="12">
        <f>MROUND('Rate Card'!$I$24*O374*P374,10)</f>
        <v>2670</v>
      </c>
      <c r="I374" s="12">
        <f>MROUND('Rate Card'!$K$24*O374*P374,10)</f>
        <v>1270</v>
      </c>
      <c r="J374" s="12">
        <f>MROUND(H374*4*'Rate Card'!$B$47,100)</f>
        <v>10100</v>
      </c>
      <c r="K374" s="12">
        <f>MROUND(I374*4*'Rate Card'!$B$47,100)</f>
        <v>4800</v>
      </c>
      <c r="L374" s="12">
        <f>MROUND(H374*120*'Rate Card'!$B$48,500)</f>
        <v>272500</v>
      </c>
      <c r="M374" s="12">
        <f>MROUND(I374*120*'Rate Card'!$B$48,500)</f>
        <v>129500</v>
      </c>
      <c r="N374" s="14"/>
      <c r="O374" s="49">
        <v>0.82</v>
      </c>
      <c r="P374" s="49">
        <v>1</v>
      </c>
    </row>
    <row r="375" spans="1:16" ht="15" customHeight="1" x14ac:dyDescent="0.3">
      <c r="A375" s="9">
        <v>351</v>
      </c>
      <c r="B375" s="46" t="s">
        <v>625</v>
      </c>
      <c r="C375" s="46" t="s">
        <v>1714</v>
      </c>
      <c r="D375" s="47" t="s">
        <v>782</v>
      </c>
      <c r="E375" s="46" t="s">
        <v>1871</v>
      </c>
      <c r="F375" s="48" t="s">
        <v>458</v>
      </c>
      <c r="G375" s="48" t="s">
        <v>783</v>
      </c>
      <c r="H375" s="12">
        <f>MROUND('Rate Card'!$I$24*O375*P375,10)</f>
        <v>2670</v>
      </c>
      <c r="I375" s="12">
        <f>MROUND('Rate Card'!$K$24*O375*P375,10)</f>
        <v>1270</v>
      </c>
      <c r="J375" s="12">
        <f>MROUND(H375*4*'Rate Card'!$B$47,100)</f>
        <v>10100</v>
      </c>
      <c r="K375" s="12">
        <f>MROUND(I375*4*'Rate Card'!$B$47,100)</f>
        <v>4800</v>
      </c>
      <c r="L375" s="12">
        <f>MROUND(H375*120*'Rate Card'!$B$48,500)</f>
        <v>272500</v>
      </c>
      <c r="M375" s="12">
        <f>MROUND(I375*120*'Rate Card'!$B$48,500)</f>
        <v>129500</v>
      </c>
      <c r="N375" s="14"/>
      <c r="O375" s="49">
        <v>0.82</v>
      </c>
      <c r="P375" s="49">
        <v>1</v>
      </c>
    </row>
    <row r="376" spans="1:16" ht="15" customHeight="1" x14ac:dyDescent="0.3">
      <c r="A376" s="9">
        <v>352</v>
      </c>
      <c r="B376" s="46" t="s">
        <v>625</v>
      </c>
      <c r="C376" s="46" t="s">
        <v>1714</v>
      </c>
      <c r="D376" s="47" t="s">
        <v>784</v>
      </c>
      <c r="E376" s="46" t="s">
        <v>1871</v>
      </c>
      <c r="F376" s="48" t="s">
        <v>458</v>
      </c>
      <c r="G376" s="48" t="s">
        <v>785</v>
      </c>
      <c r="H376" s="12">
        <f>MROUND('Rate Card'!$I$24*O376*P376,10)</f>
        <v>2670</v>
      </c>
      <c r="I376" s="12">
        <f>MROUND('Rate Card'!$K$24*O376*P376,10)</f>
        <v>1270</v>
      </c>
      <c r="J376" s="12">
        <f>MROUND(H376*4*'Rate Card'!$B$47,100)</f>
        <v>10100</v>
      </c>
      <c r="K376" s="12">
        <f>MROUND(I376*4*'Rate Card'!$B$47,100)</f>
        <v>4800</v>
      </c>
      <c r="L376" s="12">
        <f>MROUND(H376*120*'Rate Card'!$B$48,500)</f>
        <v>272500</v>
      </c>
      <c r="M376" s="12">
        <f>MROUND(I376*120*'Rate Card'!$B$48,500)</f>
        <v>129500</v>
      </c>
      <c r="N376" s="14"/>
      <c r="O376" s="49">
        <v>0.82</v>
      </c>
      <c r="P376" s="49">
        <v>1</v>
      </c>
    </row>
    <row r="377" spans="1:16" ht="15" customHeight="1" x14ac:dyDescent="0.3">
      <c r="A377" s="9">
        <v>353</v>
      </c>
      <c r="B377" s="46" t="s">
        <v>625</v>
      </c>
      <c r="C377" s="46" t="s">
        <v>1714</v>
      </c>
      <c r="D377" s="47" t="s">
        <v>786</v>
      </c>
      <c r="E377" s="46" t="s">
        <v>1871</v>
      </c>
      <c r="F377" s="48" t="s">
        <v>458</v>
      </c>
      <c r="G377" s="48" t="s">
        <v>787</v>
      </c>
      <c r="H377" s="12">
        <f>MROUND('Rate Card'!$I$24*O377*P377,10)</f>
        <v>2670</v>
      </c>
      <c r="I377" s="12">
        <f>MROUND('Rate Card'!$K$24*O377*P377,10)</f>
        <v>1270</v>
      </c>
      <c r="J377" s="12">
        <f>MROUND(H377*4*'Rate Card'!$B$47,100)</f>
        <v>10100</v>
      </c>
      <c r="K377" s="12">
        <f>MROUND(I377*4*'Rate Card'!$B$47,100)</f>
        <v>4800</v>
      </c>
      <c r="L377" s="12">
        <f>MROUND(H377*120*'Rate Card'!$B$48,500)</f>
        <v>272500</v>
      </c>
      <c r="M377" s="12">
        <f>MROUND(I377*120*'Rate Card'!$B$48,500)</f>
        <v>129500</v>
      </c>
      <c r="N377" s="14"/>
      <c r="O377" s="49">
        <v>0.82</v>
      </c>
      <c r="P377" s="49">
        <v>1</v>
      </c>
    </row>
    <row r="378" spans="1:16" ht="15" customHeight="1" x14ac:dyDescent="0.3">
      <c r="A378" s="9">
        <v>354</v>
      </c>
      <c r="B378" s="46" t="s">
        <v>625</v>
      </c>
      <c r="C378" s="46" t="s">
        <v>1711</v>
      </c>
      <c r="D378" s="47" t="s">
        <v>740</v>
      </c>
      <c r="E378" s="46" t="s">
        <v>1866</v>
      </c>
      <c r="F378" s="48" t="s">
        <v>458</v>
      </c>
      <c r="G378" s="48" t="s">
        <v>741</v>
      </c>
      <c r="H378" s="12">
        <f>MROUND('Rate Card'!$I$24*O378*P378,10)</f>
        <v>2670</v>
      </c>
      <c r="I378" s="12">
        <f>MROUND('Rate Card'!$K$24*O378*P378,10)</f>
        <v>1270</v>
      </c>
      <c r="J378" s="12">
        <f>MROUND(H378*4*'Rate Card'!$B$47,100)</f>
        <v>10100</v>
      </c>
      <c r="K378" s="12">
        <f>MROUND(I378*4*'Rate Card'!$B$47,100)</f>
        <v>4800</v>
      </c>
      <c r="L378" s="12">
        <f>MROUND(H378*120*'Rate Card'!$B$48,500)</f>
        <v>272500</v>
      </c>
      <c r="M378" s="12">
        <f>MROUND(I378*120*'Rate Card'!$B$48,500)</f>
        <v>129500</v>
      </c>
      <c r="N378" s="14"/>
      <c r="O378" s="49">
        <v>0.82</v>
      </c>
      <c r="P378" s="49">
        <v>1</v>
      </c>
    </row>
    <row r="379" spans="1:16" ht="15" customHeight="1" x14ac:dyDescent="0.3">
      <c r="A379" s="9">
        <v>355</v>
      </c>
      <c r="B379" s="46" t="s">
        <v>625</v>
      </c>
      <c r="C379" s="46" t="s">
        <v>1711</v>
      </c>
      <c r="D379" s="47"/>
      <c r="E379" s="46" t="s">
        <v>1866</v>
      </c>
      <c r="F379" s="48" t="s">
        <v>458</v>
      </c>
      <c r="G379" s="48" t="s">
        <v>743</v>
      </c>
      <c r="H379" s="12">
        <f>MROUND('Rate Card'!$I$24*O379*P379,10)</f>
        <v>2670</v>
      </c>
      <c r="I379" s="12">
        <f>MROUND('Rate Card'!$K$24*O379*P379,10)</f>
        <v>1270</v>
      </c>
      <c r="J379" s="12">
        <f>MROUND(H379*4*'Rate Card'!$B$47,100)</f>
        <v>10100</v>
      </c>
      <c r="K379" s="12">
        <f>MROUND(I379*4*'Rate Card'!$B$47,100)</f>
        <v>4800</v>
      </c>
      <c r="L379" s="12">
        <f>MROUND(H379*120*'Rate Card'!$B$48,500)</f>
        <v>272500</v>
      </c>
      <c r="M379" s="12">
        <f>MROUND(I379*120*'Rate Card'!$B$48,500)</f>
        <v>129500</v>
      </c>
      <c r="N379" s="14"/>
      <c r="O379" s="49">
        <v>0.82</v>
      </c>
      <c r="P379" s="49">
        <v>1</v>
      </c>
    </row>
    <row r="380" spans="1:16" ht="15" customHeight="1" x14ac:dyDescent="0.3">
      <c r="A380" s="9">
        <v>356</v>
      </c>
      <c r="B380" s="46" t="s">
        <v>625</v>
      </c>
      <c r="C380" s="46" t="s">
        <v>1711</v>
      </c>
      <c r="D380" s="47"/>
      <c r="E380" s="46" t="s">
        <v>1866</v>
      </c>
      <c r="F380" s="48" t="s">
        <v>458</v>
      </c>
      <c r="G380" s="48" t="s">
        <v>745</v>
      </c>
      <c r="H380" s="12">
        <f>MROUND('Rate Card'!$I$24*O380*P380,10)</f>
        <v>2670</v>
      </c>
      <c r="I380" s="12">
        <f>MROUND('Rate Card'!$K$24*O380*P380,10)</f>
        <v>1270</v>
      </c>
      <c r="J380" s="12">
        <f>MROUND(H380*4*'Rate Card'!$B$47,100)</f>
        <v>10100</v>
      </c>
      <c r="K380" s="12">
        <f>MROUND(I380*4*'Rate Card'!$B$47,100)</f>
        <v>4800</v>
      </c>
      <c r="L380" s="12">
        <f>MROUND(H380*120*'Rate Card'!$B$48,500)</f>
        <v>272500</v>
      </c>
      <c r="M380" s="12">
        <f>MROUND(I380*120*'Rate Card'!$B$48,500)</f>
        <v>129500</v>
      </c>
      <c r="N380" s="14"/>
      <c r="O380" s="49">
        <v>0.82</v>
      </c>
      <c r="P380" s="49">
        <v>1</v>
      </c>
    </row>
    <row r="381" spans="1:16" ht="15" customHeight="1" x14ac:dyDescent="0.3">
      <c r="A381" s="9">
        <v>357</v>
      </c>
      <c r="B381" s="46" t="s">
        <v>625</v>
      </c>
      <c r="C381" s="46" t="s">
        <v>1711</v>
      </c>
      <c r="D381" s="47"/>
      <c r="E381" s="46" t="s">
        <v>1866</v>
      </c>
      <c r="F381" s="48" t="s">
        <v>458</v>
      </c>
      <c r="G381" s="48" t="s">
        <v>721</v>
      </c>
      <c r="H381" s="12">
        <f>MROUND('Rate Card'!$I$24*O381*P381,10)</f>
        <v>2670</v>
      </c>
      <c r="I381" s="12">
        <f>MROUND('Rate Card'!$K$24*O381*P381,10)</f>
        <v>1270</v>
      </c>
      <c r="J381" s="12">
        <f>MROUND(H381*4*'Rate Card'!$B$47,100)</f>
        <v>10100</v>
      </c>
      <c r="K381" s="12">
        <f>MROUND(I381*4*'Rate Card'!$B$47,100)</f>
        <v>4800</v>
      </c>
      <c r="L381" s="12">
        <f>MROUND(H381*120*'Rate Card'!$B$48,500)</f>
        <v>272500</v>
      </c>
      <c r="M381" s="12">
        <f>MROUND(I381*120*'Rate Card'!$B$48,500)</f>
        <v>129500</v>
      </c>
      <c r="N381" s="14"/>
      <c r="O381" s="49">
        <v>0.82</v>
      </c>
      <c r="P381" s="49">
        <v>1</v>
      </c>
    </row>
    <row r="382" spans="1:16" ht="15" customHeight="1" x14ac:dyDescent="0.3">
      <c r="A382" s="9">
        <v>358</v>
      </c>
      <c r="B382" s="46" t="s">
        <v>625</v>
      </c>
      <c r="C382" s="46" t="s">
        <v>1817</v>
      </c>
      <c r="D382" s="47" t="s">
        <v>791</v>
      </c>
      <c r="E382" s="46" t="s">
        <v>1872</v>
      </c>
      <c r="F382" s="48" t="s">
        <v>107</v>
      </c>
      <c r="G382" s="48" t="s">
        <v>792</v>
      </c>
      <c r="H382" s="12">
        <f>MROUND('Rate Card'!$I$24*O382*P382,10)</f>
        <v>2670</v>
      </c>
      <c r="I382" s="12">
        <f>MROUND('Rate Card'!$K$24*O382*P382,10)</f>
        <v>1270</v>
      </c>
      <c r="J382" s="12">
        <f>MROUND(H382*4*'Rate Card'!$B$47,100)</f>
        <v>10100</v>
      </c>
      <c r="K382" s="12">
        <f>MROUND(I382*4*'Rate Card'!$B$47,100)</f>
        <v>4800</v>
      </c>
      <c r="L382" s="12">
        <f>MROUND(H382*120*'Rate Card'!$B$48,500)</f>
        <v>272500</v>
      </c>
      <c r="M382" s="12">
        <f>MROUND(I382*120*'Rate Card'!$B$48,500)</f>
        <v>129500</v>
      </c>
      <c r="N382" s="14"/>
      <c r="O382" s="49">
        <v>0.82</v>
      </c>
      <c r="P382" s="49">
        <v>1</v>
      </c>
    </row>
    <row r="383" spans="1:16" ht="15" customHeight="1" x14ac:dyDescent="0.3">
      <c r="A383" s="9">
        <v>359</v>
      </c>
      <c r="B383" s="46" t="s">
        <v>625</v>
      </c>
      <c r="C383" s="46" t="s">
        <v>1817</v>
      </c>
      <c r="D383" s="47" t="s">
        <v>793</v>
      </c>
      <c r="E383" s="46" t="s">
        <v>1869</v>
      </c>
      <c r="F383" s="48" t="s">
        <v>107</v>
      </c>
      <c r="G383" s="48" t="s">
        <v>794</v>
      </c>
      <c r="H383" s="12">
        <f>MROUND('Rate Card'!$I$24*O383*P383,10)</f>
        <v>2670</v>
      </c>
      <c r="I383" s="12">
        <f>MROUND('Rate Card'!$K$24*O383*P383,10)</f>
        <v>1270</v>
      </c>
      <c r="J383" s="12">
        <f>MROUND(H383*4*'Rate Card'!$B$47,100)</f>
        <v>10100</v>
      </c>
      <c r="K383" s="12">
        <f>MROUND(I383*4*'Rate Card'!$B$47,100)</f>
        <v>4800</v>
      </c>
      <c r="L383" s="12">
        <f>MROUND(H383*120*'Rate Card'!$B$48,500)</f>
        <v>272500</v>
      </c>
      <c r="M383" s="12">
        <f>MROUND(I383*120*'Rate Card'!$B$48,500)</f>
        <v>129500</v>
      </c>
      <c r="N383" s="14"/>
      <c r="O383" s="49">
        <v>0.82</v>
      </c>
      <c r="P383" s="49">
        <v>1</v>
      </c>
    </row>
    <row r="384" spans="1:16" ht="15" customHeight="1" x14ac:dyDescent="0.3">
      <c r="A384" s="9">
        <v>360</v>
      </c>
      <c r="B384" s="46" t="s">
        <v>625</v>
      </c>
      <c r="C384" s="46" t="s">
        <v>1714</v>
      </c>
      <c r="D384" s="47" t="s">
        <v>796</v>
      </c>
      <c r="E384" s="46" t="s">
        <v>1873</v>
      </c>
      <c r="F384" s="48" t="s">
        <v>518</v>
      </c>
      <c r="G384" s="48" t="s">
        <v>797</v>
      </c>
      <c r="H384" s="12">
        <f>MROUND('Rate Card'!$I$24*O384*P384,10)</f>
        <v>2340</v>
      </c>
      <c r="I384" s="12">
        <f>MROUND('Rate Card'!$K$24*O384*P384,10)</f>
        <v>1120</v>
      </c>
      <c r="J384" s="12">
        <f>MROUND(H384*4*'Rate Card'!$B$47,100)</f>
        <v>8900</v>
      </c>
      <c r="K384" s="12">
        <f>MROUND(I384*4*'Rate Card'!$B$47,100)</f>
        <v>4300</v>
      </c>
      <c r="L384" s="12">
        <f>MROUND(H384*120*'Rate Card'!$B$48,500)</f>
        <v>238500</v>
      </c>
      <c r="M384" s="12">
        <f>MROUND(I384*120*'Rate Card'!$B$48,500)</f>
        <v>114000</v>
      </c>
      <c r="N384" s="14" t="s">
        <v>1693</v>
      </c>
      <c r="O384" s="49">
        <v>0.72</v>
      </c>
      <c r="P384" s="49">
        <v>1</v>
      </c>
    </row>
    <row r="385" spans="1:16" ht="15" customHeight="1" x14ac:dyDescent="0.3">
      <c r="A385" s="9">
        <v>361</v>
      </c>
      <c r="B385" s="46" t="s">
        <v>625</v>
      </c>
      <c r="C385" s="46" t="s">
        <v>1817</v>
      </c>
      <c r="D385" s="47" t="s">
        <v>799</v>
      </c>
      <c r="E385" s="46" t="s">
        <v>1874</v>
      </c>
      <c r="F385" s="48" t="s">
        <v>73</v>
      </c>
      <c r="G385" s="48" t="s">
        <v>800</v>
      </c>
      <c r="H385" s="12">
        <f>MROUND('Rate Card'!$I$24*O385*P385,10)</f>
        <v>2340</v>
      </c>
      <c r="I385" s="12">
        <f>MROUND('Rate Card'!$K$24*O385*P385,10)</f>
        <v>1120</v>
      </c>
      <c r="J385" s="12">
        <f>MROUND(H385*4*'Rate Card'!$B$47,100)</f>
        <v>8900</v>
      </c>
      <c r="K385" s="12">
        <f>MROUND(I385*4*'Rate Card'!$B$47,100)</f>
        <v>4300</v>
      </c>
      <c r="L385" s="12">
        <f>MROUND(H385*120*'Rate Card'!$B$48,500)</f>
        <v>238500</v>
      </c>
      <c r="M385" s="12">
        <f>MROUND(I385*120*'Rate Card'!$B$48,500)</f>
        <v>114000</v>
      </c>
      <c r="N385" s="14" t="s">
        <v>1693</v>
      </c>
      <c r="O385" s="49">
        <v>0.72</v>
      </c>
      <c r="P385" s="49">
        <v>1</v>
      </c>
    </row>
    <row r="386" spans="1:16" ht="15" customHeight="1" x14ac:dyDescent="0.3">
      <c r="A386" s="9">
        <v>362</v>
      </c>
      <c r="B386" s="46" t="s">
        <v>625</v>
      </c>
      <c r="C386" s="46" t="s">
        <v>1711</v>
      </c>
      <c r="D386" s="47" t="s">
        <v>788</v>
      </c>
      <c r="E386" s="46" t="s">
        <v>1868</v>
      </c>
      <c r="F386" s="48" t="s">
        <v>440</v>
      </c>
      <c r="G386" s="48" t="s">
        <v>789</v>
      </c>
      <c r="H386" s="12">
        <f>MROUND('Rate Card'!$I$24*O386*P386,10)</f>
        <v>2340</v>
      </c>
      <c r="I386" s="12">
        <f>MROUND('Rate Card'!$K$24*O386*P386,10)</f>
        <v>1120</v>
      </c>
      <c r="J386" s="12">
        <f>MROUND(H386*4*'Rate Card'!$B$47,100)</f>
        <v>8900</v>
      </c>
      <c r="K386" s="12">
        <f>MROUND(I386*4*'Rate Card'!$B$47,100)</f>
        <v>4300</v>
      </c>
      <c r="L386" s="12">
        <f>MROUND(H386*120*'Rate Card'!$B$48,500)</f>
        <v>238500</v>
      </c>
      <c r="M386" s="12">
        <f>MROUND(I386*120*'Rate Card'!$B$48,500)</f>
        <v>114000</v>
      </c>
      <c r="N386" s="14" t="s">
        <v>1693</v>
      </c>
      <c r="O386" s="49">
        <v>0.72</v>
      </c>
      <c r="P386" s="49">
        <v>1</v>
      </c>
    </row>
    <row r="387" spans="1:16" ht="15" customHeight="1" x14ac:dyDescent="0.3">
      <c r="A387" s="9">
        <v>363</v>
      </c>
      <c r="B387" s="46" t="s">
        <v>625</v>
      </c>
      <c r="C387" s="46" t="s">
        <v>1817</v>
      </c>
      <c r="D387" s="47" t="s">
        <v>802</v>
      </c>
      <c r="E387" s="46" t="s">
        <v>1874</v>
      </c>
      <c r="F387" s="48" t="s">
        <v>139</v>
      </c>
      <c r="G387" s="48" t="s">
        <v>803</v>
      </c>
      <c r="H387" s="12">
        <f>MROUND('Rate Card'!$I$24*O387*P387,10)</f>
        <v>2110</v>
      </c>
      <c r="I387" s="12">
        <f>MROUND('Rate Card'!$K$24*O387*P387,10)</f>
        <v>1010</v>
      </c>
      <c r="J387" s="12">
        <f>MROUND(H387*4*'Rate Card'!$B$47,100)</f>
        <v>8000</v>
      </c>
      <c r="K387" s="12">
        <f>MROUND(I387*4*'Rate Card'!$B$47,100)</f>
        <v>3800</v>
      </c>
      <c r="L387" s="12">
        <f>MROUND(H387*120*'Rate Card'!$B$48,500)</f>
        <v>215000</v>
      </c>
      <c r="M387" s="12">
        <f>MROUND(I387*120*'Rate Card'!$B$48,500)</f>
        <v>103000</v>
      </c>
      <c r="N387" s="14" t="s">
        <v>1694</v>
      </c>
      <c r="O387" s="49">
        <v>0.65</v>
      </c>
      <c r="P387" s="49">
        <v>1</v>
      </c>
    </row>
    <row r="388" spans="1:16" ht="15" customHeight="1" x14ac:dyDescent="0.3">
      <c r="A388" s="9">
        <v>364</v>
      </c>
      <c r="B388" s="46" t="s">
        <v>625</v>
      </c>
      <c r="C388" s="46" t="s">
        <v>1817</v>
      </c>
      <c r="D388" s="47" t="s">
        <v>762</v>
      </c>
      <c r="E388" s="46" t="s">
        <v>1874</v>
      </c>
      <c r="F388" s="48" t="s">
        <v>66</v>
      </c>
      <c r="G388" s="48" t="s">
        <v>763</v>
      </c>
      <c r="H388" s="12">
        <f>MROUND('Rate Card'!$I$24*O388*P388,10)</f>
        <v>2110</v>
      </c>
      <c r="I388" s="12">
        <f>MROUND('Rate Card'!$K$24*O388*P388,10)</f>
        <v>1010</v>
      </c>
      <c r="J388" s="12">
        <f>MROUND(H388*4*'Rate Card'!$B$47,100)</f>
        <v>8000</v>
      </c>
      <c r="K388" s="12">
        <f>MROUND(I388*4*'Rate Card'!$B$47,100)</f>
        <v>3800</v>
      </c>
      <c r="L388" s="12">
        <f>MROUND(H388*120*'Rate Card'!$B$48,500)</f>
        <v>215000</v>
      </c>
      <c r="M388" s="12">
        <f>MROUND(I388*120*'Rate Card'!$B$48,500)</f>
        <v>103000</v>
      </c>
      <c r="N388" s="14" t="s">
        <v>1694</v>
      </c>
      <c r="O388" s="49">
        <v>0.65</v>
      </c>
      <c r="P388" s="49">
        <v>1</v>
      </c>
    </row>
    <row r="389" spans="1:16" ht="15" customHeight="1" x14ac:dyDescent="0.3">
      <c r="A389" s="9">
        <v>365</v>
      </c>
      <c r="B389" s="46" t="s">
        <v>625</v>
      </c>
      <c r="C389" s="46" t="s">
        <v>1817</v>
      </c>
      <c r="D389" s="47" t="s">
        <v>806</v>
      </c>
      <c r="E389" s="46" t="s">
        <v>1868</v>
      </c>
      <c r="F389" s="48" t="s">
        <v>139</v>
      </c>
      <c r="G389" s="48" t="s">
        <v>807</v>
      </c>
      <c r="H389" s="12">
        <f>MROUND('Rate Card'!$I$24*O389*P389,10)</f>
        <v>2110</v>
      </c>
      <c r="I389" s="12">
        <f>MROUND('Rate Card'!$K$24*O389*P389,10)</f>
        <v>1010</v>
      </c>
      <c r="J389" s="12">
        <f>MROUND(H389*4*'Rate Card'!$B$47,100)</f>
        <v>8000</v>
      </c>
      <c r="K389" s="12">
        <f>MROUND(I389*4*'Rate Card'!$B$47,100)</f>
        <v>3800</v>
      </c>
      <c r="L389" s="12">
        <f>MROUND(H389*120*'Rate Card'!$B$48,500)</f>
        <v>215000</v>
      </c>
      <c r="M389" s="12">
        <f>MROUND(I389*120*'Rate Card'!$B$48,500)</f>
        <v>103000</v>
      </c>
      <c r="N389" s="14" t="s">
        <v>1694</v>
      </c>
      <c r="O389" s="49">
        <v>0.65</v>
      </c>
      <c r="P389" s="49">
        <v>1</v>
      </c>
    </row>
    <row r="390" spans="1:16" ht="15" customHeight="1" x14ac:dyDescent="0.3">
      <c r="A390" s="199" t="s">
        <v>808</v>
      </c>
      <c r="B390" s="200"/>
      <c r="C390" s="200"/>
      <c r="D390" s="200"/>
      <c r="E390" s="200"/>
      <c r="F390" s="200"/>
      <c r="G390" s="200"/>
      <c r="H390" s="200"/>
      <c r="I390" s="200"/>
      <c r="J390" s="200"/>
      <c r="K390" s="200"/>
      <c r="L390" s="200"/>
      <c r="M390" s="200"/>
      <c r="N390" s="200"/>
    </row>
    <row r="391" spans="1:16" ht="15" customHeight="1" x14ac:dyDescent="0.3">
      <c r="A391" s="9">
        <v>366</v>
      </c>
      <c r="B391" s="46" t="s">
        <v>809</v>
      </c>
      <c r="C391" s="46" t="s">
        <v>1875</v>
      </c>
      <c r="D391" s="47"/>
      <c r="E391" s="46" t="s">
        <v>1876</v>
      </c>
      <c r="F391" s="48" t="s">
        <v>116</v>
      </c>
      <c r="G391" s="48" t="s">
        <v>938</v>
      </c>
      <c r="H391" s="12">
        <f>MROUND('Rate Card'!$I$25*O391*P391,10)</f>
        <v>1200</v>
      </c>
      <c r="I391" s="12">
        <f>MROUND('Rate Card'!$K$25*O391*P391,10)</f>
        <v>1150</v>
      </c>
      <c r="J391" s="12">
        <f>MROUND(H391*4*'Rate Card'!$B$47,100)</f>
        <v>4600</v>
      </c>
      <c r="K391" s="12">
        <f>MROUND(I391*4*'Rate Card'!$B$47,100)</f>
        <v>4400</v>
      </c>
      <c r="L391" s="12">
        <f>MROUND(H391*120*'Rate Card'!$B$48,500)</f>
        <v>122500</v>
      </c>
      <c r="M391" s="12">
        <f>MROUND(I391*120*'Rate Card'!$B$48,500)</f>
        <v>117500</v>
      </c>
      <c r="N391" s="14"/>
      <c r="O391" s="49">
        <v>0.92</v>
      </c>
      <c r="P391" s="49">
        <v>1</v>
      </c>
    </row>
    <row r="392" spans="1:16" ht="15" customHeight="1" x14ac:dyDescent="0.3">
      <c r="A392" s="9">
        <v>367</v>
      </c>
      <c r="B392" s="46" t="s">
        <v>809</v>
      </c>
      <c r="C392" s="46" t="s">
        <v>1877</v>
      </c>
      <c r="D392" s="47"/>
      <c r="E392" s="46" t="s">
        <v>1876</v>
      </c>
      <c r="F392" s="48" t="s">
        <v>116</v>
      </c>
      <c r="G392" s="48" t="s">
        <v>938</v>
      </c>
      <c r="H392" s="12">
        <f>MROUND('Rate Card'!$I$25*O392*P392,10)</f>
        <v>1200</v>
      </c>
      <c r="I392" s="12">
        <f>MROUND('Rate Card'!$K$25*O392*P392,10)</f>
        <v>1150</v>
      </c>
      <c r="J392" s="12">
        <f>MROUND(H392*4*'Rate Card'!$B$47,100)</f>
        <v>4600</v>
      </c>
      <c r="K392" s="12">
        <f>MROUND(I392*4*'Rate Card'!$B$47,100)</f>
        <v>4400</v>
      </c>
      <c r="L392" s="12">
        <f>MROUND(H392*120*'Rate Card'!$B$48,500)</f>
        <v>122500</v>
      </c>
      <c r="M392" s="12">
        <f>MROUND(I392*120*'Rate Card'!$B$48,500)</f>
        <v>117500</v>
      </c>
      <c r="N392" s="14"/>
      <c r="O392" s="49">
        <v>0.92</v>
      </c>
      <c r="P392" s="49">
        <v>1</v>
      </c>
    </row>
    <row r="393" spans="1:16" ht="15" customHeight="1" x14ac:dyDescent="0.3">
      <c r="A393" s="9">
        <v>368</v>
      </c>
      <c r="B393" s="46" t="s">
        <v>809</v>
      </c>
      <c r="C393" s="46" t="s">
        <v>1877</v>
      </c>
      <c r="D393" s="47"/>
      <c r="E393" s="46" t="s">
        <v>1876</v>
      </c>
      <c r="F393" s="48" t="s">
        <v>116</v>
      </c>
      <c r="G393" s="48" t="s">
        <v>938</v>
      </c>
      <c r="H393" s="12">
        <f>MROUND('Rate Card'!$I$25*O393*P393,10)</f>
        <v>1200</v>
      </c>
      <c r="I393" s="12">
        <f>MROUND('Rate Card'!$K$25*O393*P393,10)</f>
        <v>1150</v>
      </c>
      <c r="J393" s="12">
        <f>MROUND(H393*4*'Rate Card'!$B$47,100)</f>
        <v>4600</v>
      </c>
      <c r="K393" s="12">
        <f>MROUND(I393*4*'Rate Card'!$B$47,100)</f>
        <v>4400</v>
      </c>
      <c r="L393" s="12">
        <f>MROUND(H393*120*'Rate Card'!$B$48,500)</f>
        <v>122500</v>
      </c>
      <c r="M393" s="12">
        <f>MROUND(I393*120*'Rate Card'!$B$48,500)</f>
        <v>117500</v>
      </c>
      <c r="N393" s="14"/>
      <c r="O393" s="49">
        <v>0.92</v>
      </c>
      <c r="P393" s="49">
        <v>1</v>
      </c>
    </row>
    <row r="394" spans="1:16" ht="15" customHeight="1" x14ac:dyDescent="0.3">
      <c r="A394" s="9">
        <v>369</v>
      </c>
      <c r="B394" s="46" t="s">
        <v>809</v>
      </c>
      <c r="C394" s="46" t="s">
        <v>1878</v>
      </c>
      <c r="D394" s="47"/>
      <c r="E394" s="46" t="s">
        <v>1876</v>
      </c>
      <c r="F394" s="48" t="s">
        <v>116</v>
      </c>
      <c r="G394" s="48" t="s">
        <v>1604</v>
      </c>
      <c r="H394" s="12">
        <f>MROUND('Rate Card'!$I$25*O394*P394,10)</f>
        <v>1200</v>
      </c>
      <c r="I394" s="12">
        <f>MROUND('Rate Card'!$K$25*O394*P394,10)</f>
        <v>1150</v>
      </c>
      <c r="J394" s="12">
        <f>MROUND(H394*4*'Rate Card'!$B$47,100)</f>
        <v>4600</v>
      </c>
      <c r="K394" s="12">
        <f>MROUND(I394*4*'Rate Card'!$B$47,100)</f>
        <v>4400</v>
      </c>
      <c r="L394" s="12">
        <f>MROUND(H394*120*'Rate Card'!$B$48,500)</f>
        <v>122500</v>
      </c>
      <c r="M394" s="12">
        <f>MROUND(I394*120*'Rate Card'!$B$48,500)</f>
        <v>117500</v>
      </c>
      <c r="N394" s="14"/>
      <c r="O394" s="49">
        <v>0.92</v>
      </c>
      <c r="P394" s="49">
        <v>1</v>
      </c>
    </row>
    <row r="395" spans="1:16" ht="15" customHeight="1" x14ac:dyDescent="0.3">
      <c r="A395" s="9">
        <v>370</v>
      </c>
      <c r="B395" s="46" t="s">
        <v>809</v>
      </c>
      <c r="C395" s="46" t="s">
        <v>1875</v>
      </c>
      <c r="D395" s="47"/>
      <c r="E395" s="46" t="s">
        <v>1876</v>
      </c>
      <c r="F395" s="48" t="s">
        <v>73</v>
      </c>
      <c r="G395" s="48" t="s">
        <v>1602</v>
      </c>
      <c r="H395" s="12">
        <f>MROUND('Rate Card'!$I$25*O395*P395,10)</f>
        <v>940</v>
      </c>
      <c r="I395" s="12">
        <f>MROUND('Rate Card'!$K$25*O395*P395,10)</f>
        <v>900</v>
      </c>
      <c r="J395" s="12">
        <f>MROUND(H395*4*'Rate Card'!$B$47,100)</f>
        <v>3600</v>
      </c>
      <c r="K395" s="12">
        <f>MROUND(I395*4*'Rate Card'!$B$47,100)</f>
        <v>3400</v>
      </c>
      <c r="L395" s="12">
        <f>MROUND(H395*120*'Rate Card'!$B$48,500)</f>
        <v>96000</v>
      </c>
      <c r="M395" s="12">
        <f>MROUND(I395*120*'Rate Card'!$B$48,500)</f>
        <v>92000</v>
      </c>
      <c r="N395" s="14" t="s">
        <v>1693</v>
      </c>
      <c r="O395" s="49">
        <v>0.72</v>
      </c>
      <c r="P395" s="49">
        <v>1</v>
      </c>
    </row>
    <row r="396" spans="1:16" ht="15" customHeight="1" x14ac:dyDescent="0.3">
      <c r="A396" s="9">
        <v>371</v>
      </c>
      <c r="B396" s="46" t="s">
        <v>809</v>
      </c>
      <c r="C396" s="46" t="s">
        <v>1875</v>
      </c>
      <c r="D396" s="47"/>
      <c r="E396" s="46" t="s">
        <v>1876</v>
      </c>
      <c r="F396" s="48" t="s">
        <v>73</v>
      </c>
      <c r="G396" s="48" t="s">
        <v>1602</v>
      </c>
      <c r="H396" s="12">
        <f>MROUND('Rate Card'!$I$25*O396*P396,10)</f>
        <v>940</v>
      </c>
      <c r="I396" s="12">
        <f>MROUND('Rate Card'!$K$25*O396*P396,10)</f>
        <v>900</v>
      </c>
      <c r="J396" s="12">
        <f>MROUND(H396*4*'Rate Card'!$B$47,100)</f>
        <v>3600</v>
      </c>
      <c r="K396" s="12">
        <f>MROUND(I396*4*'Rate Card'!$B$47,100)</f>
        <v>3400</v>
      </c>
      <c r="L396" s="12">
        <f>MROUND(H396*120*'Rate Card'!$B$48,500)</f>
        <v>96000</v>
      </c>
      <c r="M396" s="12">
        <f>MROUND(I396*120*'Rate Card'!$B$48,500)</f>
        <v>92000</v>
      </c>
      <c r="N396" s="14" t="s">
        <v>1693</v>
      </c>
      <c r="O396" s="49">
        <v>0.72</v>
      </c>
      <c r="P396" s="49">
        <v>1</v>
      </c>
    </row>
    <row r="397" spans="1:16" ht="15" customHeight="1" x14ac:dyDescent="0.3">
      <c r="A397" s="199" t="s">
        <v>813</v>
      </c>
      <c r="B397" s="200"/>
      <c r="C397" s="200"/>
      <c r="D397" s="200"/>
      <c r="E397" s="200"/>
      <c r="F397" s="200"/>
      <c r="G397" s="200"/>
      <c r="H397" s="200"/>
      <c r="I397" s="200"/>
      <c r="J397" s="200"/>
      <c r="K397" s="200"/>
      <c r="L397" s="200"/>
      <c r="M397" s="200"/>
      <c r="N397" s="200"/>
    </row>
    <row r="398" spans="1:16" ht="15" customHeight="1" x14ac:dyDescent="0.3">
      <c r="A398" s="9">
        <v>372</v>
      </c>
      <c r="B398" s="46" t="s">
        <v>814</v>
      </c>
      <c r="C398" s="46" t="s">
        <v>1879</v>
      </c>
      <c r="D398" s="47"/>
      <c r="E398" s="46" t="s">
        <v>1880</v>
      </c>
      <c r="F398" s="48" t="s">
        <v>458</v>
      </c>
      <c r="G398" s="48" t="s">
        <v>1502</v>
      </c>
      <c r="H398" s="12">
        <f>MROUND('Rate Card'!$I$26*O398*P398,10)</f>
        <v>1800</v>
      </c>
      <c r="I398" s="12">
        <f>MROUND('Rate Card'!$K$26*O398*P398,10)</f>
        <v>1720</v>
      </c>
      <c r="J398" s="12">
        <f>MROUND(H398*4*'Rate Card'!$B$47,100)</f>
        <v>6800</v>
      </c>
      <c r="K398" s="12">
        <f>MROUND(I398*4*'Rate Card'!$B$47,100)</f>
        <v>6500</v>
      </c>
      <c r="L398" s="12">
        <f>MROUND(H398*120*'Rate Card'!$B$48,500)</f>
        <v>183500</v>
      </c>
      <c r="M398" s="12">
        <f>MROUND(I398*120*'Rate Card'!$B$48,500)</f>
        <v>175500</v>
      </c>
      <c r="N398" s="14"/>
      <c r="O398" s="49">
        <v>0.82</v>
      </c>
      <c r="P398" s="49">
        <v>1</v>
      </c>
    </row>
    <row r="399" spans="1:16" ht="15" customHeight="1" x14ac:dyDescent="0.3">
      <c r="A399" s="9">
        <v>373</v>
      </c>
      <c r="B399" s="46" t="s">
        <v>814</v>
      </c>
      <c r="C399" s="46" t="s">
        <v>1879</v>
      </c>
      <c r="D399" s="47"/>
      <c r="E399" s="46" t="s">
        <v>1881</v>
      </c>
      <c r="F399" s="48" t="s">
        <v>139</v>
      </c>
      <c r="G399" s="48" t="s">
        <v>1497</v>
      </c>
      <c r="H399" s="12">
        <f>MROUND('Rate Card'!$I$26*O399*P399,10)</f>
        <v>1430</v>
      </c>
      <c r="I399" s="12">
        <f>MROUND('Rate Card'!$K$26*O399*P399,10)</f>
        <v>1370</v>
      </c>
      <c r="J399" s="12">
        <f>MROUND(H399*4*'Rate Card'!$B$47,100)</f>
        <v>5400</v>
      </c>
      <c r="K399" s="12">
        <f>MROUND(I399*4*'Rate Card'!$B$47,100)</f>
        <v>5200</v>
      </c>
      <c r="L399" s="12">
        <f>MROUND(H399*120*'Rate Card'!$B$48,500)</f>
        <v>146000</v>
      </c>
      <c r="M399" s="12">
        <f>MROUND(I399*120*'Rate Card'!$B$48,500)</f>
        <v>139500</v>
      </c>
      <c r="N399" s="14" t="s">
        <v>1694</v>
      </c>
      <c r="O399" s="49">
        <v>0.65</v>
      </c>
      <c r="P399" s="49">
        <v>1</v>
      </c>
    </row>
    <row r="400" spans="1:16" ht="15" customHeight="1" x14ac:dyDescent="0.3">
      <c r="A400" s="9">
        <v>374</v>
      </c>
      <c r="B400" s="46" t="s">
        <v>814</v>
      </c>
      <c r="C400" s="46" t="s">
        <v>1740</v>
      </c>
      <c r="D400" s="47"/>
      <c r="E400" s="46" t="s">
        <v>195</v>
      </c>
      <c r="F400" s="48" t="s">
        <v>195</v>
      </c>
      <c r="G400" s="48" t="s">
        <v>1501</v>
      </c>
      <c r="H400" s="12">
        <f>MROUND('Rate Card'!$I$26*O400*P400,10)</f>
        <v>1280</v>
      </c>
      <c r="I400" s="12">
        <f>MROUND('Rate Card'!$K$26*O400*P400,10)</f>
        <v>1220</v>
      </c>
      <c r="J400" s="12">
        <f>MROUND(H400*4*'Rate Card'!$B$47,100)</f>
        <v>4900</v>
      </c>
      <c r="K400" s="12">
        <f>MROUND(I400*4*'Rate Card'!$B$47,100)</f>
        <v>4600</v>
      </c>
      <c r="L400" s="12">
        <f>MROUND(H400*120*'Rate Card'!$B$48,500)</f>
        <v>130500</v>
      </c>
      <c r="M400" s="12">
        <f>MROUND(I400*120*'Rate Card'!$B$48,500)</f>
        <v>124500</v>
      </c>
      <c r="N400" s="14" t="s">
        <v>1744</v>
      </c>
      <c r="O400" s="49">
        <v>0.57999999999999996</v>
      </c>
      <c r="P400" s="49">
        <v>1</v>
      </c>
    </row>
    <row r="401" spans="1:16" ht="15" customHeight="1" x14ac:dyDescent="0.3">
      <c r="A401" s="199" t="s">
        <v>817</v>
      </c>
      <c r="B401" s="200"/>
      <c r="C401" s="200"/>
      <c r="D401" s="200"/>
      <c r="E401" s="200"/>
      <c r="F401" s="200"/>
      <c r="G401" s="200"/>
      <c r="H401" s="200"/>
      <c r="I401" s="200"/>
      <c r="J401" s="200"/>
      <c r="K401" s="200"/>
      <c r="L401" s="200"/>
      <c r="M401" s="200"/>
      <c r="N401" s="200"/>
    </row>
    <row r="402" spans="1:16" ht="15" customHeight="1" x14ac:dyDescent="0.3">
      <c r="A402" s="9">
        <v>375</v>
      </c>
      <c r="B402" s="46" t="s">
        <v>818</v>
      </c>
      <c r="C402" s="46" t="s">
        <v>1720</v>
      </c>
      <c r="D402" s="47" t="s">
        <v>820</v>
      </c>
      <c r="E402" s="46" t="s">
        <v>195</v>
      </c>
      <c r="F402" s="48" t="s">
        <v>440</v>
      </c>
      <c r="G402" s="48" t="s">
        <v>821</v>
      </c>
      <c r="H402" s="12">
        <f>MROUND('Rate Card'!$I$27*O402*P402,10)</f>
        <v>1760</v>
      </c>
      <c r="I402" s="12">
        <f>MROUND('Rate Card'!$K$27*O402*P402,10)</f>
        <v>970</v>
      </c>
      <c r="J402" s="12">
        <f>MROUND(H402*4*'Rate Card'!$B$47,100)</f>
        <v>6700</v>
      </c>
      <c r="K402" s="12">
        <f>MROUND(I402*4*'Rate Card'!$B$47,100)</f>
        <v>3700</v>
      </c>
      <c r="L402" s="12">
        <f>MROUND(H402*120*'Rate Card'!$B$48,500)</f>
        <v>179500</v>
      </c>
      <c r="M402" s="12">
        <f>MROUND(I402*120*'Rate Card'!$B$48,500)</f>
        <v>99000</v>
      </c>
      <c r="N402" s="14" t="s">
        <v>1693</v>
      </c>
      <c r="O402" s="49">
        <v>0.72</v>
      </c>
      <c r="P402" s="49">
        <v>1</v>
      </c>
    </row>
    <row r="403" spans="1:16" ht="15" customHeight="1" x14ac:dyDescent="0.3">
      <c r="A403" s="9">
        <v>376</v>
      </c>
      <c r="B403" s="46" t="s">
        <v>818</v>
      </c>
      <c r="C403" s="46" t="s">
        <v>1711</v>
      </c>
      <c r="D403" s="47" t="s">
        <v>822</v>
      </c>
      <c r="E403" s="46" t="s">
        <v>1862</v>
      </c>
      <c r="F403" s="48" t="s">
        <v>440</v>
      </c>
      <c r="G403" s="48" t="s">
        <v>823</v>
      </c>
      <c r="H403" s="12">
        <f>MROUND('Rate Card'!$I$27*O403*P403,10)</f>
        <v>1760</v>
      </c>
      <c r="I403" s="12">
        <f>MROUND('Rate Card'!$K$27*O403*P403,10)</f>
        <v>970</v>
      </c>
      <c r="J403" s="12">
        <f>MROUND(H403*4*'Rate Card'!$B$47,100)</f>
        <v>6700</v>
      </c>
      <c r="K403" s="12">
        <f>MROUND(I403*4*'Rate Card'!$B$47,100)</f>
        <v>3700</v>
      </c>
      <c r="L403" s="12">
        <f>MROUND(H403*120*'Rate Card'!$B$48,500)</f>
        <v>179500</v>
      </c>
      <c r="M403" s="12">
        <f>MROUND(I403*120*'Rate Card'!$B$48,500)</f>
        <v>99000</v>
      </c>
      <c r="N403" s="14" t="s">
        <v>1693</v>
      </c>
      <c r="O403" s="49">
        <v>0.72</v>
      </c>
      <c r="P403" s="49">
        <v>1</v>
      </c>
    </row>
    <row r="404" spans="1:16" ht="15" customHeight="1" x14ac:dyDescent="0.3">
      <c r="A404" s="9">
        <v>377</v>
      </c>
      <c r="B404" s="46" t="s">
        <v>818</v>
      </c>
      <c r="C404" s="46" t="s">
        <v>1711</v>
      </c>
      <c r="D404" s="47" t="s">
        <v>831</v>
      </c>
      <c r="E404" s="46" t="s">
        <v>195</v>
      </c>
      <c r="F404" s="48" t="s">
        <v>314</v>
      </c>
      <c r="G404" s="48" t="s">
        <v>832</v>
      </c>
      <c r="H404" s="12">
        <f>MROUND('Rate Card'!$I$27*O404*P404,10)</f>
        <v>1420</v>
      </c>
      <c r="I404" s="12">
        <f>MROUND('Rate Card'!$K$27*O404*P404,10)</f>
        <v>780</v>
      </c>
      <c r="J404" s="12">
        <f>MROUND(H404*4*'Rate Card'!$B$47,100)</f>
        <v>5400</v>
      </c>
      <c r="K404" s="12">
        <f>MROUND(I404*4*'Rate Card'!$B$47,100)</f>
        <v>3000</v>
      </c>
      <c r="L404" s="12">
        <f>MROUND(H404*120*'Rate Card'!$B$48,500)</f>
        <v>145000</v>
      </c>
      <c r="M404" s="12">
        <f>MROUND(I404*120*'Rate Card'!$B$48,500)</f>
        <v>79500</v>
      </c>
      <c r="N404" s="14" t="s">
        <v>1697</v>
      </c>
      <c r="O404" s="49">
        <v>0.57999999999999996</v>
      </c>
      <c r="P404" s="49">
        <v>1</v>
      </c>
    </row>
    <row r="405" spans="1:16" ht="15" customHeight="1" x14ac:dyDescent="0.3">
      <c r="A405" s="9">
        <v>378</v>
      </c>
      <c r="B405" s="46" t="s">
        <v>818</v>
      </c>
      <c r="C405" s="46" t="s">
        <v>1720</v>
      </c>
      <c r="D405" s="47" t="s">
        <v>824</v>
      </c>
      <c r="E405" s="46" t="s">
        <v>1862</v>
      </c>
      <c r="F405" s="48" t="s">
        <v>314</v>
      </c>
      <c r="G405" s="48" t="s">
        <v>825</v>
      </c>
      <c r="H405" s="12">
        <f>MROUND('Rate Card'!$I$27*O405*P405,10)</f>
        <v>1420</v>
      </c>
      <c r="I405" s="12">
        <f>MROUND('Rate Card'!$K$27*O405*P405,10)</f>
        <v>780</v>
      </c>
      <c r="J405" s="12">
        <f>MROUND(H405*4*'Rate Card'!$B$47,100)</f>
        <v>5400</v>
      </c>
      <c r="K405" s="12">
        <f>MROUND(I405*4*'Rate Card'!$B$47,100)</f>
        <v>3000</v>
      </c>
      <c r="L405" s="12">
        <f>MROUND(H405*120*'Rate Card'!$B$48,500)</f>
        <v>145000</v>
      </c>
      <c r="M405" s="12">
        <f>MROUND(I405*120*'Rate Card'!$B$48,500)</f>
        <v>79500</v>
      </c>
      <c r="N405" s="14" t="s">
        <v>1697</v>
      </c>
      <c r="O405" s="49">
        <v>0.57999999999999996</v>
      </c>
      <c r="P405" s="49">
        <v>1</v>
      </c>
    </row>
    <row r="406" spans="1:16" ht="15" customHeight="1" x14ac:dyDescent="0.3">
      <c r="A406" s="9">
        <v>379</v>
      </c>
      <c r="B406" s="46" t="s">
        <v>818</v>
      </c>
      <c r="C406" s="46" t="s">
        <v>1882</v>
      </c>
      <c r="D406" s="47" t="s">
        <v>828</v>
      </c>
      <c r="E406" s="46" t="s">
        <v>1759</v>
      </c>
      <c r="F406" s="48" t="s">
        <v>195</v>
      </c>
      <c r="G406" s="48" t="s">
        <v>829</v>
      </c>
      <c r="H406" s="12">
        <f>MROUND('Rate Card'!$I$27*O406*P406,10)</f>
        <v>1420</v>
      </c>
      <c r="I406" s="12">
        <f>MROUND('Rate Card'!$K$27*O406*P406,10)</f>
        <v>780</v>
      </c>
      <c r="J406" s="12">
        <f>MROUND(H406*4*'Rate Card'!$B$47,100)</f>
        <v>5400</v>
      </c>
      <c r="K406" s="12">
        <f>MROUND(I406*4*'Rate Card'!$B$47,100)</f>
        <v>3000</v>
      </c>
      <c r="L406" s="12">
        <f>MROUND(H406*120*'Rate Card'!$B$48,500)</f>
        <v>145000</v>
      </c>
      <c r="M406" s="12">
        <f>MROUND(I406*120*'Rate Card'!$B$48,500)</f>
        <v>79500</v>
      </c>
      <c r="N406" s="14" t="s">
        <v>1744</v>
      </c>
      <c r="O406" s="49">
        <v>0.57999999999999996</v>
      </c>
      <c r="P406" s="49">
        <v>1</v>
      </c>
    </row>
    <row r="407" spans="1:16" ht="15" customHeight="1" x14ac:dyDescent="0.3">
      <c r="A407" s="9">
        <v>380</v>
      </c>
      <c r="B407" s="46" t="s">
        <v>818</v>
      </c>
      <c r="C407" s="46" t="s">
        <v>1711</v>
      </c>
      <c r="D407" s="47"/>
      <c r="E407" s="46" t="s">
        <v>195</v>
      </c>
      <c r="F407" s="48" t="s">
        <v>195</v>
      </c>
      <c r="G407" s="48"/>
      <c r="H407" s="12">
        <f>MROUND('Rate Card'!$I$27*O407*P407,10)</f>
        <v>1420</v>
      </c>
      <c r="I407" s="12">
        <f>MROUND('Rate Card'!$K$27*O407*P407,10)</f>
        <v>780</v>
      </c>
      <c r="J407" s="12">
        <f>MROUND(H407*4*'Rate Card'!$B$47,100)</f>
        <v>5400</v>
      </c>
      <c r="K407" s="12">
        <f>MROUND(I407*4*'Rate Card'!$B$47,100)</f>
        <v>3000</v>
      </c>
      <c r="L407" s="12">
        <f>MROUND(H407*120*'Rate Card'!$B$48,500)</f>
        <v>145000</v>
      </c>
      <c r="M407" s="12">
        <f>MROUND(I407*120*'Rate Card'!$B$48,500)</f>
        <v>79500</v>
      </c>
      <c r="N407" s="14" t="s">
        <v>1744</v>
      </c>
      <c r="O407" s="49">
        <v>0.57999999999999996</v>
      </c>
      <c r="P407" s="49">
        <v>1</v>
      </c>
    </row>
    <row r="408" spans="1:16" ht="15" customHeight="1" x14ac:dyDescent="0.3">
      <c r="A408" s="199" t="s">
        <v>833</v>
      </c>
      <c r="B408" s="200"/>
      <c r="C408" s="200"/>
      <c r="D408" s="200"/>
      <c r="E408" s="200"/>
      <c r="F408" s="200"/>
      <c r="G408" s="200"/>
      <c r="H408" s="200"/>
      <c r="I408" s="200"/>
      <c r="J408" s="200"/>
      <c r="K408" s="200"/>
      <c r="L408" s="200"/>
      <c r="M408" s="200"/>
      <c r="N408" s="200"/>
    </row>
    <row r="409" spans="1:16" ht="15" customHeight="1" x14ac:dyDescent="0.3">
      <c r="A409" s="9">
        <v>381</v>
      </c>
      <c r="B409" s="46" t="s">
        <v>834</v>
      </c>
      <c r="C409" s="46" t="s">
        <v>1733</v>
      </c>
      <c r="D409" s="47" t="s">
        <v>836</v>
      </c>
      <c r="E409" s="46" t="s">
        <v>1883</v>
      </c>
      <c r="F409" s="48" t="s">
        <v>23</v>
      </c>
      <c r="G409" s="48"/>
      <c r="H409" s="12">
        <f>MROUND('Rate Card'!$I$28*O409*P409,10)</f>
        <v>10510</v>
      </c>
      <c r="I409" s="12">
        <f>MROUND('Rate Card'!$K$28*O409*P409,10)</f>
        <v>4730</v>
      </c>
      <c r="J409" s="12">
        <f>MROUND(H409*4*'Rate Card'!$B$47,100)</f>
        <v>39900</v>
      </c>
      <c r="K409" s="12">
        <f>MROUND(I409*4*'Rate Card'!$B$47,100)</f>
        <v>18000</v>
      </c>
      <c r="L409" s="12">
        <f>MROUND(H409*120*'Rate Card'!$B$48,500)</f>
        <v>1072000</v>
      </c>
      <c r="M409" s="12">
        <f>MROUND(I409*120*'Rate Card'!$B$48,500)</f>
        <v>482500</v>
      </c>
      <c r="N409" s="14" t="s">
        <v>1884</v>
      </c>
      <c r="O409" s="49">
        <v>1</v>
      </c>
      <c r="P409" s="49">
        <v>1.1000000000000001</v>
      </c>
    </row>
    <row r="410" spans="1:16" ht="15" customHeight="1" x14ac:dyDescent="0.3">
      <c r="A410" s="9">
        <v>382</v>
      </c>
      <c r="B410" s="46" t="s">
        <v>834</v>
      </c>
      <c r="C410" s="46" t="s">
        <v>1733</v>
      </c>
      <c r="D410" s="47" t="s">
        <v>837</v>
      </c>
      <c r="E410" s="46" t="s">
        <v>1883</v>
      </c>
      <c r="F410" s="48" t="s">
        <v>23</v>
      </c>
      <c r="G410" s="48"/>
      <c r="H410" s="12">
        <f>MROUND('Rate Card'!$I$28*O410*P410,10)</f>
        <v>10510</v>
      </c>
      <c r="I410" s="12">
        <f>MROUND('Rate Card'!$K$28*O410*P410,10)</f>
        <v>4730</v>
      </c>
      <c r="J410" s="12">
        <f>MROUND(H410*4*'Rate Card'!$B$47,100)</f>
        <v>39900</v>
      </c>
      <c r="K410" s="12">
        <f>MROUND(I410*4*'Rate Card'!$B$47,100)</f>
        <v>18000</v>
      </c>
      <c r="L410" s="12">
        <f>MROUND(H410*120*'Rate Card'!$B$48,500)</f>
        <v>1072000</v>
      </c>
      <c r="M410" s="12">
        <f>MROUND(I410*120*'Rate Card'!$B$48,500)</f>
        <v>482500</v>
      </c>
      <c r="N410" s="14" t="s">
        <v>1884</v>
      </c>
      <c r="O410" s="49">
        <v>1</v>
      </c>
      <c r="P410" s="49">
        <v>1.1000000000000001</v>
      </c>
    </row>
    <row r="411" spans="1:16" ht="15" customHeight="1" x14ac:dyDescent="0.3">
      <c r="A411" s="9">
        <v>383</v>
      </c>
      <c r="B411" s="46" t="s">
        <v>834</v>
      </c>
      <c r="C411" s="46" t="s">
        <v>1733</v>
      </c>
      <c r="D411" s="47" t="s">
        <v>838</v>
      </c>
      <c r="E411" s="46" t="s">
        <v>1883</v>
      </c>
      <c r="F411" s="48" t="s">
        <v>23</v>
      </c>
      <c r="G411" s="48"/>
      <c r="H411" s="12">
        <f>MROUND('Rate Card'!$I$28*O411*P411,10)</f>
        <v>10510</v>
      </c>
      <c r="I411" s="12">
        <f>MROUND('Rate Card'!$K$28*O411*P411,10)</f>
        <v>4730</v>
      </c>
      <c r="J411" s="12">
        <f>MROUND(H411*4*'Rate Card'!$B$47,100)</f>
        <v>39900</v>
      </c>
      <c r="K411" s="12">
        <f>MROUND(I411*4*'Rate Card'!$B$47,100)</f>
        <v>18000</v>
      </c>
      <c r="L411" s="12">
        <f>MROUND(H411*120*'Rate Card'!$B$48,500)</f>
        <v>1072000</v>
      </c>
      <c r="M411" s="12">
        <f>MROUND(I411*120*'Rate Card'!$B$48,500)</f>
        <v>482500</v>
      </c>
      <c r="N411" s="14" t="s">
        <v>1884</v>
      </c>
      <c r="O411" s="49">
        <v>1</v>
      </c>
      <c r="P411" s="49">
        <v>1.1000000000000001</v>
      </c>
    </row>
    <row r="412" spans="1:16" ht="15" customHeight="1" x14ac:dyDescent="0.3">
      <c r="A412" s="9">
        <v>384</v>
      </c>
      <c r="B412" s="46" t="s">
        <v>834</v>
      </c>
      <c r="C412" s="46" t="s">
        <v>1733</v>
      </c>
      <c r="D412" s="47" t="s">
        <v>839</v>
      </c>
      <c r="E412" s="46" t="s">
        <v>1883</v>
      </c>
      <c r="F412" s="48" t="s">
        <v>23</v>
      </c>
      <c r="G412" s="48"/>
      <c r="H412" s="12">
        <f>MROUND('Rate Card'!$I$28*O412*P412,10)</f>
        <v>10510</v>
      </c>
      <c r="I412" s="12">
        <f>MROUND('Rate Card'!$K$28*O412*P412,10)</f>
        <v>4730</v>
      </c>
      <c r="J412" s="12">
        <f>MROUND(H412*4*'Rate Card'!$B$47,100)</f>
        <v>39900</v>
      </c>
      <c r="K412" s="12">
        <f>MROUND(I412*4*'Rate Card'!$B$47,100)</f>
        <v>18000</v>
      </c>
      <c r="L412" s="12">
        <f>MROUND(H412*120*'Rate Card'!$B$48,500)</f>
        <v>1072000</v>
      </c>
      <c r="M412" s="12">
        <f>MROUND(I412*120*'Rate Card'!$B$48,500)</f>
        <v>482500</v>
      </c>
      <c r="N412" s="14" t="s">
        <v>1884</v>
      </c>
      <c r="O412" s="49">
        <v>1</v>
      </c>
      <c r="P412" s="49">
        <v>1.1000000000000001</v>
      </c>
    </row>
    <row r="413" spans="1:16" ht="15" customHeight="1" x14ac:dyDescent="0.3">
      <c r="A413" s="9">
        <v>385</v>
      </c>
      <c r="B413" s="46" t="s">
        <v>834</v>
      </c>
      <c r="C413" s="46" t="s">
        <v>1885</v>
      </c>
      <c r="D413" s="47" t="s">
        <v>841</v>
      </c>
      <c r="E413" s="46" t="s">
        <v>1886</v>
      </c>
      <c r="F413" s="48" t="s">
        <v>165</v>
      </c>
      <c r="G413" s="48"/>
      <c r="H413" s="12">
        <f>MROUND('Rate Card'!$I$28*O413*P413,10)</f>
        <v>5710</v>
      </c>
      <c r="I413" s="12">
        <f>MROUND('Rate Card'!$K$28*O413*P413,10)</f>
        <v>2570</v>
      </c>
      <c r="J413" s="12">
        <f>MROUND(H413*4*'Rate Card'!$B$47,100)</f>
        <v>21700</v>
      </c>
      <c r="K413" s="12">
        <f>MROUND(I413*4*'Rate Card'!$B$47,100)</f>
        <v>9800</v>
      </c>
      <c r="L413" s="12">
        <f>MROUND(H413*120*'Rate Card'!$B$48,500)</f>
        <v>582500</v>
      </c>
      <c r="M413" s="12">
        <f>MROUND(I413*120*'Rate Card'!$B$48,500)</f>
        <v>262000</v>
      </c>
      <c r="N413" s="14" t="s">
        <v>1887</v>
      </c>
      <c r="O413" s="49">
        <v>0.92</v>
      </c>
      <c r="P413" s="49">
        <v>0.65</v>
      </c>
    </row>
    <row r="414" spans="1:16" ht="15" customHeight="1" x14ac:dyDescent="0.3">
      <c r="A414" s="9">
        <v>386</v>
      </c>
      <c r="B414" s="46" t="s">
        <v>834</v>
      </c>
      <c r="C414" s="46" t="s">
        <v>1885</v>
      </c>
      <c r="D414" s="47" t="s">
        <v>843</v>
      </c>
      <c r="E414" s="46" t="s">
        <v>1888</v>
      </c>
      <c r="F414" s="48" t="s">
        <v>116</v>
      </c>
      <c r="G414" s="48" t="s">
        <v>1471</v>
      </c>
      <c r="H414" s="12">
        <f>MROUND('Rate Card'!$I$28*O414*P414,10)</f>
        <v>10100</v>
      </c>
      <c r="I414" s="12">
        <f>MROUND('Rate Card'!$K$28*O414*P414,10)</f>
        <v>4550</v>
      </c>
      <c r="J414" s="12">
        <f>MROUND(H414*4*'Rate Card'!$B$47,100)</f>
        <v>38400</v>
      </c>
      <c r="K414" s="12">
        <f>MROUND(I414*4*'Rate Card'!$B$47,100)</f>
        <v>17300</v>
      </c>
      <c r="L414" s="12">
        <f>MROUND(H414*120*'Rate Card'!$B$48,500)</f>
        <v>1030000</v>
      </c>
      <c r="M414" s="12">
        <f>MROUND(I414*120*'Rate Card'!$B$48,500)</f>
        <v>464000</v>
      </c>
      <c r="N414" s="14" t="s">
        <v>1889</v>
      </c>
      <c r="O414" s="49">
        <v>0.92</v>
      </c>
      <c r="P414" s="49">
        <v>1.1499999999999999</v>
      </c>
    </row>
    <row r="415" spans="1:16" ht="15" customHeight="1" x14ac:dyDescent="0.3">
      <c r="A415" s="9">
        <v>387</v>
      </c>
      <c r="B415" s="46" t="s">
        <v>834</v>
      </c>
      <c r="C415" s="46" t="s">
        <v>1885</v>
      </c>
      <c r="D415" s="47" t="s">
        <v>846</v>
      </c>
      <c r="E415" s="46" t="s">
        <v>1888</v>
      </c>
      <c r="F415" s="48" t="s">
        <v>116</v>
      </c>
      <c r="G415" s="48" t="s">
        <v>1471</v>
      </c>
      <c r="H415" s="12">
        <f>MROUND('Rate Card'!$I$28*O415*P415,10)</f>
        <v>10100</v>
      </c>
      <c r="I415" s="12">
        <f>MROUND('Rate Card'!$K$28*O415*P415,10)</f>
        <v>4550</v>
      </c>
      <c r="J415" s="12">
        <f>MROUND(H415*4*'Rate Card'!$B$47,100)</f>
        <v>38400</v>
      </c>
      <c r="K415" s="12">
        <f>MROUND(I415*4*'Rate Card'!$B$47,100)</f>
        <v>17300</v>
      </c>
      <c r="L415" s="12">
        <f>MROUND(H415*120*'Rate Card'!$B$48,500)</f>
        <v>1030000</v>
      </c>
      <c r="M415" s="12">
        <f>MROUND(I415*120*'Rate Card'!$B$48,500)</f>
        <v>464000</v>
      </c>
      <c r="N415" s="14" t="s">
        <v>1889</v>
      </c>
      <c r="O415" s="49">
        <v>0.92</v>
      </c>
      <c r="P415" s="49">
        <v>1.1499999999999999</v>
      </c>
    </row>
    <row r="416" spans="1:16" ht="15" customHeight="1" x14ac:dyDescent="0.3">
      <c r="A416" s="9">
        <v>388</v>
      </c>
      <c r="B416" s="46" t="s">
        <v>834</v>
      </c>
      <c r="C416" s="46" t="s">
        <v>1885</v>
      </c>
      <c r="D416" s="47" t="s">
        <v>847</v>
      </c>
      <c r="E416" s="46" t="s">
        <v>1888</v>
      </c>
      <c r="F416" s="48" t="s">
        <v>116</v>
      </c>
      <c r="G416" s="48" t="s">
        <v>1471</v>
      </c>
      <c r="H416" s="12">
        <f>MROUND('Rate Card'!$I$28*O416*P416,10)</f>
        <v>10100</v>
      </c>
      <c r="I416" s="12">
        <f>MROUND('Rate Card'!$K$28*O416*P416,10)</f>
        <v>4550</v>
      </c>
      <c r="J416" s="12">
        <f>MROUND(H416*4*'Rate Card'!$B$47,100)</f>
        <v>38400</v>
      </c>
      <c r="K416" s="12">
        <f>MROUND(I416*4*'Rate Card'!$B$47,100)</f>
        <v>17300</v>
      </c>
      <c r="L416" s="12">
        <f>MROUND(H416*120*'Rate Card'!$B$48,500)</f>
        <v>1030000</v>
      </c>
      <c r="M416" s="12">
        <f>MROUND(I416*120*'Rate Card'!$B$48,500)</f>
        <v>464000</v>
      </c>
      <c r="N416" s="14" t="s">
        <v>1889</v>
      </c>
      <c r="O416" s="49">
        <v>0.92</v>
      </c>
      <c r="P416" s="49">
        <v>1.1499999999999999</v>
      </c>
    </row>
    <row r="417" spans="1:16" ht="15" customHeight="1" x14ac:dyDescent="0.3">
      <c r="A417" s="9">
        <v>389</v>
      </c>
      <c r="B417" s="46" t="s">
        <v>834</v>
      </c>
      <c r="C417" s="46" t="s">
        <v>1885</v>
      </c>
      <c r="D417" s="47" t="s">
        <v>850</v>
      </c>
      <c r="E417" s="46" t="s">
        <v>1888</v>
      </c>
      <c r="F417" s="48" t="s">
        <v>116</v>
      </c>
      <c r="G417" s="48" t="s">
        <v>1471</v>
      </c>
      <c r="H417" s="12">
        <f>MROUND('Rate Card'!$I$28*O417*P417,10)</f>
        <v>10100</v>
      </c>
      <c r="I417" s="12">
        <f>MROUND('Rate Card'!$K$28*O417*P417,10)</f>
        <v>4550</v>
      </c>
      <c r="J417" s="12">
        <f>MROUND(H417*4*'Rate Card'!$B$47,100)</f>
        <v>38400</v>
      </c>
      <c r="K417" s="12">
        <f>MROUND(I417*4*'Rate Card'!$B$47,100)</f>
        <v>17300</v>
      </c>
      <c r="L417" s="12">
        <f>MROUND(H417*120*'Rate Card'!$B$48,500)</f>
        <v>1030000</v>
      </c>
      <c r="M417" s="12">
        <f>MROUND(I417*120*'Rate Card'!$B$48,500)</f>
        <v>464000</v>
      </c>
      <c r="N417" s="14" t="s">
        <v>1889</v>
      </c>
      <c r="O417" s="49">
        <v>0.92</v>
      </c>
      <c r="P417" s="49">
        <v>1.1499999999999999</v>
      </c>
    </row>
    <row r="418" spans="1:16" ht="15" customHeight="1" x14ac:dyDescent="0.3">
      <c r="A418" s="9">
        <v>390</v>
      </c>
      <c r="B418" s="46" t="s">
        <v>834</v>
      </c>
      <c r="C418" s="46" t="s">
        <v>1885</v>
      </c>
      <c r="D418" s="47" t="s">
        <v>894</v>
      </c>
      <c r="E418" s="46" t="s">
        <v>1888</v>
      </c>
      <c r="F418" s="48" t="s">
        <v>116</v>
      </c>
      <c r="G418" s="48" t="s">
        <v>1471</v>
      </c>
      <c r="H418" s="12">
        <f>MROUND('Rate Card'!$I$28*O418*P418,10)</f>
        <v>10100</v>
      </c>
      <c r="I418" s="12">
        <f>MROUND('Rate Card'!$K$28*O418*P418,10)</f>
        <v>4550</v>
      </c>
      <c r="J418" s="12">
        <f>MROUND(H418*4*'Rate Card'!$B$47,100)</f>
        <v>38400</v>
      </c>
      <c r="K418" s="12">
        <f>MROUND(I418*4*'Rate Card'!$B$47,100)</f>
        <v>17300</v>
      </c>
      <c r="L418" s="12">
        <f>MROUND(H418*120*'Rate Card'!$B$48,500)</f>
        <v>1030000</v>
      </c>
      <c r="M418" s="12">
        <f>MROUND(I418*120*'Rate Card'!$B$48,500)</f>
        <v>464000</v>
      </c>
      <c r="N418" s="14" t="s">
        <v>1889</v>
      </c>
      <c r="O418" s="49">
        <v>0.92</v>
      </c>
      <c r="P418" s="49">
        <v>1.1499999999999999</v>
      </c>
    </row>
    <row r="419" spans="1:16" ht="15" customHeight="1" x14ac:dyDescent="0.3">
      <c r="A419" s="9">
        <v>391</v>
      </c>
      <c r="B419" s="46" t="s">
        <v>834</v>
      </c>
      <c r="C419" s="46" t="s">
        <v>1885</v>
      </c>
      <c r="D419" s="47" t="s">
        <v>849</v>
      </c>
      <c r="E419" s="46" t="s">
        <v>1890</v>
      </c>
      <c r="F419" s="48" t="s">
        <v>116</v>
      </c>
      <c r="G419" s="48"/>
      <c r="H419" s="12">
        <f>MROUND('Rate Card'!$I$28*O419*P419,10)</f>
        <v>9660</v>
      </c>
      <c r="I419" s="12">
        <f>MROUND('Rate Card'!$K$28*O419*P419,10)</f>
        <v>4350</v>
      </c>
      <c r="J419" s="12">
        <f>MROUND(H419*4*'Rate Card'!$B$47,100)</f>
        <v>36700</v>
      </c>
      <c r="K419" s="12">
        <f>MROUND(I419*4*'Rate Card'!$B$47,100)</f>
        <v>16500</v>
      </c>
      <c r="L419" s="12">
        <f>MROUND(H419*120*'Rate Card'!$B$48,500)</f>
        <v>985500</v>
      </c>
      <c r="M419" s="12">
        <f>MROUND(I419*120*'Rate Card'!$B$48,500)</f>
        <v>443500</v>
      </c>
      <c r="N419" s="14" t="s">
        <v>1884</v>
      </c>
      <c r="O419" s="49">
        <v>0.92</v>
      </c>
      <c r="P419" s="49">
        <v>1.1000000000000001</v>
      </c>
    </row>
    <row r="420" spans="1:16" ht="15" customHeight="1" x14ac:dyDescent="0.3">
      <c r="A420" s="9">
        <v>392</v>
      </c>
      <c r="B420" s="46" t="s">
        <v>834</v>
      </c>
      <c r="C420" s="46" t="s">
        <v>1885</v>
      </c>
      <c r="D420" s="47" t="s">
        <v>896</v>
      </c>
      <c r="E420" s="46" t="s">
        <v>1890</v>
      </c>
      <c r="F420" s="48" t="s">
        <v>116</v>
      </c>
      <c r="G420" s="48"/>
      <c r="H420" s="12">
        <f>MROUND('Rate Card'!$I$28*O420*P420,10)</f>
        <v>9660</v>
      </c>
      <c r="I420" s="12">
        <f>MROUND('Rate Card'!$K$28*O420*P420,10)</f>
        <v>4350</v>
      </c>
      <c r="J420" s="12">
        <f>MROUND(H420*4*'Rate Card'!$B$47,100)</f>
        <v>36700</v>
      </c>
      <c r="K420" s="12">
        <f>MROUND(I420*4*'Rate Card'!$B$47,100)</f>
        <v>16500</v>
      </c>
      <c r="L420" s="12">
        <f>MROUND(H420*120*'Rate Card'!$B$48,500)</f>
        <v>985500</v>
      </c>
      <c r="M420" s="12">
        <f>MROUND(I420*120*'Rate Card'!$B$48,500)</f>
        <v>443500</v>
      </c>
      <c r="N420" s="14" t="s">
        <v>1884</v>
      </c>
      <c r="O420" s="49">
        <v>0.92</v>
      </c>
      <c r="P420" s="49">
        <v>1.1000000000000001</v>
      </c>
    </row>
    <row r="421" spans="1:16" ht="15" customHeight="1" x14ac:dyDescent="0.3">
      <c r="A421" s="9">
        <v>393</v>
      </c>
      <c r="B421" s="46" t="s">
        <v>834</v>
      </c>
      <c r="C421" s="46" t="s">
        <v>1891</v>
      </c>
      <c r="D421" s="47" t="s">
        <v>852</v>
      </c>
      <c r="E421" s="46" t="s">
        <v>1892</v>
      </c>
      <c r="F421" s="48" t="s">
        <v>61</v>
      </c>
      <c r="G421" s="48"/>
      <c r="H421" s="12">
        <f>MROUND('Rate Card'!$I$28*O421*P421,10)</f>
        <v>8790</v>
      </c>
      <c r="I421" s="12">
        <f>MROUND('Rate Card'!$K$28*O421*P421,10)</f>
        <v>3960</v>
      </c>
      <c r="J421" s="12">
        <f>MROUND(H421*4*'Rate Card'!$B$47,100)</f>
        <v>33400</v>
      </c>
      <c r="K421" s="12">
        <f>MROUND(I421*4*'Rate Card'!$B$47,100)</f>
        <v>15000</v>
      </c>
      <c r="L421" s="12">
        <f>MROUND(H421*120*'Rate Card'!$B$48,500)</f>
        <v>896500</v>
      </c>
      <c r="M421" s="12">
        <f>MROUND(I421*120*'Rate Card'!$B$48,500)</f>
        <v>404000</v>
      </c>
      <c r="N421" s="14"/>
      <c r="O421" s="49">
        <v>0.92</v>
      </c>
      <c r="P421" s="49">
        <v>1</v>
      </c>
    </row>
    <row r="422" spans="1:16" ht="15" customHeight="1" x14ac:dyDescent="0.3">
      <c r="A422" s="9">
        <v>394</v>
      </c>
      <c r="B422" s="46" t="s">
        <v>834</v>
      </c>
      <c r="C422" s="46" t="s">
        <v>1708</v>
      </c>
      <c r="D422" s="47" t="s">
        <v>854</v>
      </c>
      <c r="E422" s="46" t="s">
        <v>1893</v>
      </c>
      <c r="F422" s="48" t="s">
        <v>94</v>
      </c>
      <c r="G422" s="48"/>
      <c r="H422" s="12">
        <f>MROUND('Rate Card'!$I$28*O422*P422,10)</f>
        <v>4310</v>
      </c>
      <c r="I422" s="12">
        <f>MROUND('Rate Card'!$K$28*O422*P422,10)</f>
        <v>1940</v>
      </c>
      <c r="J422" s="12">
        <f>MROUND(H422*4*'Rate Card'!$B$47,100)</f>
        <v>16400</v>
      </c>
      <c r="K422" s="12">
        <f>MROUND(I422*4*'Rate Card'!$B$47,100)</f>
        <v>7400</v>
      </c>
      <c r="L422" s="12">
        <f>MROUND(H422*120*'Rate Card'!$B$48,500)</f>
        <v>439500</v>
      </c>
      <c r="M422" s="12">
        <f>MROUND(I422*120*'Rate Card'!$B$48,500)</f>
        <v>198000</v>
      </c>
      <c r="N422" s="14" t="s">
        <v>1894</v>
      </c>
      <c r="O422" s="49">
        <v>0.82</v>
      </c>
      <c r="P422" s="49">
        <v>0.55000000000000004</v>
      </c>
    </row>
    <row r="423" spans="1:16" ht="15" customHeight="1" x14ac:dyDescent="0.3">
      <c r="A423" s="9">
        <v>395</v>
      </c>
      <c r="B423" s="46" t="s">
        <v>834</v>
      </c>
      <c r="C423" s="46" t="s">
        <v>1895</v>
      </c>
      <c r="D423" s="47" t="s">
        <v>856</v>
      </c>
      <c r="E423" s="46" t="s">
        <v>1896</v>
      </c>
      <c r="F423" s="48" t="s">
        <v>94</v>
      </c>
      <c r="G423" s="48"/>
      <c r="H423" s="12">
        <f>MROUND('Rate Card'!$I$28*O423*P423,10)</f>
        <v>7440</v>
      </c>
      <c r="I423" s="12">
        <f>MROUND('Rate Card'!$K$28*O423*P423,10)</f>
        <v>3350</v>
      </c>
      <c r="J423" s="12">
        <f>MROUND(H423*4*'Rate Card'!$B$47,100)</f>
        <v>28300</v>
      </c>
      <c r="K423" s="12">
        <f>MROUND(I423*4*'Rate Card'!$B$47,100)</f>
        <v>12700</v>
      </c>
      <c r="L423" s="12">
        <f>MROUND(H423*120*'Rate Card'!$B$48,500)</f>
        <v>759000</v>
      </c>
      <c r="M423" s="12">
        <f>MROUND(I423*120*'Rate Card'!$B$48,500)</f>
        <v>341500</v>
      </c>
      <c r="N423" s="14" t="s">
        <v>1897</v>
      </c>
      <c r="O423" s="49">
        <v>0.82</v>
      </c>
      <c r="P423" s="49">
        <v>0.95</v>
      </c>
    </row>
    <row r="424" spans="1:16" ht="15" customHeight="1" x14ac:dyDescent="0.3">
      <c r="A424" s="9">
        <v>396</v>
      </c>
      <c r="B424" s="46" t="s">
        <v>834</v>
      </c>
      <c r="C424" s="46" t="s">
        <v>1898</v>
      </c>
      <c r="D424" s="47" t="s">
        <v>858</v>
      </c>
      <c r="E424" s="46" t="s">
        <v>1899</v>
      </c>
      <c r="F424" s="48" t="s">
        <v>94</v>
      </c>
      <c r="G424" s="48"/>
      <c r="H424" s="12">
        <f>MROUND('Rate Card'!$I$28*O424*P424,10)</f>
        <v>5480</v>
      </c>
      <c r="I424" s="12">
        <f>MROUND('Rate Card'!$K$28*O424*P424,10)</f>
        <v>2470</v>
      </c>
      <c r="J424" s="12">
        <f>MROUND(H424*4*'Rate Card'!$B$47,100)</f>
        <v>20800</v>
      </c>
      <c r="K424" s="12">
        <f>MROUND(I424*4*'Rate Card'!$B$47,100)</f>
        <v>9400</v>
      </c>
      <c r="L424" s="12">
        <f>MROUND(H424*120*'Rate Card'!$B$48,500)</f>
        <v>559000</v>
      </c>
      <c r="M424" s="12">
        <f>MROUND(I424*120*'Rate Card'!$B$48,500)</f>
        <v>252000</v>
      </c>
      <c r="N424" s="14" t="s">
        <v>1900</v>
      </c>
      <c r="O424" s="49">
        <v>0.82</v>
      </c>
      <c r="P424" s="49">
        <v>0.7</v>
      </c>
    </row>
    <row r="425" spans="1:16" ht="15" customHeight="1" x14ac:dyDescent="0.3">
      <c r="A425" s="9">
        <v>397</v>
      </c>
      <c r="B425" s="46" t="s">
        <v>834</v>
      </c>
      <c r="C425" s="46" t="s">
        <v>1891</v>
      </c>
      <c r="D425" s="47" t="s">
        <v>860</v>
      </c>
      <c r="E425" s="46" t="s">
        <v>1901</v>
      </c>
      <c r="F425" s="48" t="s">
        <v>94</v>
      </c>
      <c r="G425" s="48"/>
      <c r="H425" s="12">
        <f>MROUND('Rate Card'!$I$28*O425*P425,10)</f>
        <v>7830</v>
      </c>
      <c r="I425" s="12">
        <f>MROUND('Rate Card'!$K$28*O425*P425,10)</f>
        <v>3530</v>
      </c>
      <c r="J425" s="12">
        <f>MROUND(H425*4*'Rate Card'!$B$47,100)</f>
        <v>29800</v>
      </c>
      <c r="K425" s="12">
        <f>MROUND(I425*4*'Rate Card'!$B$47,100)</f>
        <v>13400</v>
      </c>
      <c r="L425" s="12">
        <f>MROUND(H425*120*'Rate Card'!$B$48,500)</f>
        <v>798500</v>
      </c>
      <c r="M425" s="12">
        <f>MROUND(I425*120*'Rate Card'!$B$48,500)</f>
        <v>360000</v>
      </c>
      <c r="N425" s="14"/>
      <c r="O425" s="49">
        <v>0.82</v>
      </c>
      <c r="P425" s="49">
        <v>1</v>
      </c>
    </row>
    <row r="426" spans="1:16" ht="15" customHeight="1" x14ac:dyDescent="0.3">
      <c r="A426" s="9">
        <v>398</v>
      </c>
      <c r="B426" s="46" t="s">
        <v>834</v>
      </c>
      <c r="C426" s="46" t="s">
        <v>1700</v>
      </c>
      <c r="D426" s="47" t="s">
        <v>862</v>
      </c>
      <c r="E426" s="46" t="s">
        <v>1902</v>
      </c>
      <c r="F426" s="48" t="s">
        <v>94</v>
      </c>
      <c r="G426" s="48"/>
      <c r="H426" s="12">
        <f>MROUND('Rate Card'!$I$28*O426*P426,10)</f>
        <v>4310</v>
      </c>
      <c r="I426" s="12">
        <f>MROUND('Rate Card'!$K$28*O426*P426,10)</f>
        <v>1940</v>
      </c>
      <c r="J426" s="12">
        <f>MROUND(H426*4*'Rate Card'!$B$47,100)</f>
        <v>16400</v>
      </c>
      <c r="K426" s="12">
        <f>MROUND(I426*4*'Rate Card'!$B$47,100)</f>
        <v>7400</v>
      </c>
      <c r="L426" s="12">
        <f>MROUND(H426*120*'Rate Card'!$B$48,500)</f>
        <v>439500</v>
      </c>
      <c r="M426" s="12">
        <f>MROUND(I426*120*'Rate Card'!$B$48,500)</f>
        <v>198000</v>
      </c>
      <c r="N426" s="14" t="s">
        <v>1894</v>
      </c>
      <c r="O426" s="49">
        <v>0.82</v>
      </c>
      <c r="P426" s="49">
        <v>0.55000000000000004</v>
      </c>
    </row>
    <row r="427" spans="1:16" ht="15" customHeight="1" x14ac:dyDescent="0.3">
      <c r="A427" s="9">
        <v>399</v>
      </c>
      <c r="B427" s="46" t="s">
        <v>834</v>
      </c>
      <c r="C427" s="46" t="s">
        <v>1708</v>
      </c>
      <c r="D427" s="47" t="s">
        <v>864</v>
      </c>
      <c r="E427" s="46" t="s">
        <v>1903</v>
      </c>
      <c r="F427" s="48" t="s">
        <v>99</v>
      </c>
      <c r="G427" s="48"/>
      <c r="H427" s="12">
        <f>MROUND('Rate Card'!$I$28*O427*P427,10)</f>
        <v>6660</v>
      </c>
      <c r="I427" s="12">
        <f>MROUND('Rate Card'!$K$28*O427*P427,10)</f>
        <v>3000</v>
      </c>
      <c r="J427" s="12">
        <f>MROUND(H427*4*'Rate Card'!$B$47,100)</f>
        <v>25300</v>
      </c>
      <c r="K427" s="12">
        <f>MROUND(I427*4*'Rate Card'!$B$47,100)</f>
        <v>11400</v>
      </c>
      <c r="L427" s="12">
        <f>MROUND(H427*120*'Rate Card'!$B$48,500)</f>
        <v>679500</v>
      </c>
      <c r="M427" s="12">
        <f>MROUND(I427*120*'Rate Card'!$B$48,500)</f>
        <v>306000</v>
      </c>
      <c r="N427" s="14" t="s">
        <v>1904</v>
      </c>
      <c r="O427" s="49">
        <v>0.82</v>
      </c>
      <c r="P427" s="49">
        <v>0.85</v>
      </c>
    </row>
    <row r="428" spans="1:16" ht="15" customHeight="1" x14ac:dyDescent="0.3">
      <c r="A428" s="9">
        <v>400</v>
      </c>
      <c r="B428" s="46" t="s">
        <v>834</v>
      </c>
      <c r="C428" s="46" t="s">
        <v>1905</v>
      </c>
      <c r="D428" s="47" t="s">
        <v>866</v>
      </c>
      <c r="E428" s="46" t="s">
        <v>1906</v>
      </c>
      <c r="F428" s="48" t="s">
        <v>99</v>
      </c>
      <c r="G428" s="48"/>
      <c r="H428" s="12">
        <f>MROUND('Rate Card'!$I$28*O428*P428,10)</f>
        <v>4310</v>
      </c>
      <c r="I428" s="12">
        <f>MROUND('Rate Card'!$K$28*O428*P428,10)</f>
        <v>1940</v>
      </c>
      <c r="J428" s="12">
        <f>MROUND(H428*4*'Rate Card'!$B$47,100)</f>
        <v>16400</v>
      </c>
      <c r="K428" s="12">
        <f>MROUND(I428*4*'Rate Card'!$B$47,100)</f>
        <v>7400</v>
      </c>
      <c r="L428" s="12">
        <f>MROUND(H428*120*'Rate Card'!$B$48,500)</f>
        <v>439500</v>
      </c>
      <c r="M428" s="12">
        <f>MROUND(I428*120*'Rate Card'!$B$48,500)</f>
        <v>198000</v>
      </c>
      <c r="N428" s="14" t="s">
        <v>1894</v>
      </c>
      <c r="O428" s="49">
        <v>0.82</v>
      </c>
      <c r="P428" s="49">
        <v>0.55000000000000004</v>
      </c>
    </row>
    <row r="429" spans="1:16" ht="15" customHeight="1" x14ac:dyDescent="0.3">
      <c r="A429" s="9">
        <v>401</v>
      </c>
      <c r="B429" s="46" t="s">
        <v>834</v>
      </c>
      <c r="C429" s="46" t="s">
        <v>1793</v>
      </c>
      <c r="D429" s="47" t="s">
        <v>868</v>
      </c>
      <c r="E429" s="46" t="s">
        <v>1907</v>
      </c>
      <c r="F429" s="48" t="s">
        <v>99</v>
      </c>
      <c r="G429" s="48"/>
      <c r="H429" s="12">
        <f>MROUND('Rate Card'!$I$28*O429*P429,10)</f>
        <v>8220</v>
      </c>
      <c r="I429" s="12">
        <f>MROUND('Rate Card'!$K$28*O429*P429,10)</f>
        <v>3700</v>
      </c>
      <c r="J429" s="12">
        <f>MROUND(H429*4*'Rate Card'!$B$47,100)</f>
        <v>31200</v>
      </c>
      <c r="K429" s="12">
        <f>MROUND(I429*4*'Rate Card'!$B$47,100)</f>
        <v>14100</v>
      </c>
      <c r="L429" s="12">
        <f>MROUND(H429*120*'Rate Card'!$B$48,500)</f>
        <v>838500</v>
      </c>
      <c r="M429" s="12">
        <f>MROUND(I429*120*'Rate Card'!$B$48,500)</f>
        <v>377500</v>
      </c>
      <c r="N429" s="14" t="s">
        <v>1908</v>
      </c>
      <c r="O429" s="49">
        <v>0.82</v>
      </c>
      <c r="P429" s="49">
        <v>1.05</v>
      </c>
    </row>
    <row r="430" spans="1:16" ht="15" customHeight="1" x14ac:dyDescent="0.3">
      <c r="A430" s="9">
        <v>402</v>
      </c>
      <c r="B430" s="46" t="s">
        <v>834</v>
      </c>
      <c r="C430" s="46" t="s">
        <v>1891</v>
      </c>
      <c r="D430" s="47" t="s">
        <v>870</v>
      </c>
      <c r="E430" s="46" t="s">
        <v>1909</v>
      </c>
      <c r="F430" s="48" t="s">
        <v>66</v>
      </c>
      <c r="G430" s="48"/>
      <c r="H430" s="12">
        <f>MROUND('Rate Card'!$I$28*O430*P430,10)</f>
        <v>6660</v>
      </c>
      <c r="I430" s="12">
        <f>MROUND('Rate Card'!$K$28*O430*P430,10)</f>
        <v>3000</v>
      </c>
      <c r="J430" s="12">
        <f>MROUND(H430*4*'Rate Card'!$B$47,100)</f>
        <v>25300</v>
      </c>
      <c r="K430" s="12">
        <f>MROUND(I430*4*'Rate Card'!$B$47,100)</f>
        <v>11400</v>
      </c>
      <c r="L430" s="12">
        <f>MROUND(H430*120*'Rate Card'!$B$48,500)</f>
        <v>679500</v>
      </c>
      <c r="M430" s="12">
        <f>MROUND(I430*120*'Rate Card'!$B$48,500)</f>
        <v>306000</v>
      </c>
      <c r="N430" s="14" t="s">
        <v>1904</v>
      </c>
      <c r="O430" s="49">
        <v>0.82</v>
      </c>
      <c r="P430" s="49">
        <v>0.85</v>
      </c>
    </row>
    <row r="431" spans="1:16" ht="15" customHeight="1" x14ac:dyDescent="0.3">
      <c r="A431" s="9">
        <v>403</v>
      </c>
      <c r="B431" s="46" t="s">
        <v>834</v>
      </c>
      <c r="C431" s="46" t="s">
        <v>1700</v>
      </c>
      <c r="D431" s="47" t="s">
        <v>872</v>
      </c>
      <c r="E431" s="46" t="s">
        <v>1910</v>
      </c>
      <c r="F431" s="48" t="s">
        <v>66</v>
      </c>
      <c r="G431" s="48"/>
      <c r="H431" s="12">
        <f>MROUND('Rate Card'!$I$28*O431*P431,10)</f>
        <v>4310</v>
      </c>
      <c r="I431" s="12">
        <f>MROUND('Rate Card'!$K$28*O431*P431,10)</f>
        <v>1940</v>
      </c>
      <c r="J431" s="12">
        <f>MROUND(H431*4*'Rate Card'!$B$47,100)</f>
        <v>16400</v>
      </c>
      <c r="K431" s="12">
        <f>MROUND(I431*4*'Rate Card'!$B$47,100)</f>
        <v>7400</v>
      </c>
      <c r="L431" s="12">
        <f>MROUND(H431*120*'Rate Card'!$B$48,500)</f>
        <v>439500</v>
      </c>
      <c r="M431" s="12">
        <f>MROUND(I431*120*'Rate Card'!$B$48,500)</f>
        <v>198000</v>
      </c>
      <c r="N431" s="14" t="s">
        <v>1894</v>
      </c>
      <c r="O431" s="49">
        <v>0.82</v>
      </c>
      <c r="P431" s="49">
        <v>0.55000000000000004</v>
      </c>
    </row>
    <row r="432" spans="1:16" ht="15" customHeight="1" x14ac:dyDescent="0.3">
      <c r="A432" s="9">
        <v>404</v>
      </c>
      <c r="B432" s="46" t="s">
        <v>834</v>
      </c>
      <c r="C432" s="46" t="s">
        <v>1700</v>
      </c>
      <c r="D432" s="47" t="s">
        <v>874</v>
      </c>
      <c r="E432" s="46" t="s">
        <v>1911</v>
      </c>
      <c r="F432" s="48" t="s">
        <v>66</v>
      </c>
      <c r="G432" s="48"/>
      <c r="H432" s="12">
        <f>MROUND('Rate Card'!$I$28*O432*P432,10)</f>
        <v>5480</v>
      </c>
      <c r="I432" s="12">
        <f>MROUND('Rate Card'!$K$28*O432*P432,10)</f>
        <v>2470</v>
      </c>
      <c r="J432" s="12">
        <f>MROUND(H432*4*'Rate Card'!$B$47,100)</f>
        <v>20800</v>
      </c>
      <c r="K432" s="12">
        <f>MROUND(I432*4*'Rate Card'!$B$47,100)</f>
        <v>9400</v>
      </c>
      <c r="L432" s="12">
        <f>MROUND(H432*120*'Rate Card'!$B$48,500)</f>
        <v>559000</v>
      </c>
      <c r="M432" s="12">
        <f>MROUND(I432*120*'Rate Card'!$B$48,500)</f>
        <v>252000</v>
      </c>
      <c r="N432" s="14" t="s">
        <v>1900</v>
      </c>
      <c r="O432" s="49">
        <v>0.82</v>
      </c>
      <c r="P432" s="49">
        <v>0.7</v>
      </c>
    </row>
    <row r="433" spans="1:16" ht="15" customHeight="1" x14ac:dyDescent="0.3">
      <c r="A433" s="9">
        <v>405</v>
      </c>
      <c r="B433" s="46" t="s">
        <v>834</v>
      </c>
      <c r="C433" s="46" t="s">
        <v>1700</v>
      </c>
      <c r="D433" s="47" t="s">
        <v>876</v>
      </c>
      <c r="E433" s="46" t="s">
        <v>1912</v>
      </c>
      <c r="F433" s="48" t="s">
        <v>458</v>
      </c>
      <c r="G433" s="48"/>
      <c r="H433" s="12">
        <f>MROUND('Rate Card'!$I$28*O433*P433,10)</f>
        <v>6660</v>
      </c>
      <c r="I433" s="12">
        <f>MROUND('Rate Card'!$K$28*O433*P433,10)</f>
        <v>3000</v>
      </c>
      <c r="J433" s="12">
        <f>MROUND(H433*4*'Rate Card'!$B$47,100)</f>
        <v>25300</v>
      </c>
      <c r="K433" s="12">
        <f>MROUND(I433*4*'Rate Card'!$B$47,100)</f>
        <v>11400</v>
      </c>
      <c r="L433" s="12">
        <f>MROUND(H433*120*'Rate Card'!$B$48,500)</f>
        <v>679500</v>
      </c>
      <c r="M433" s="12">
        <f>MROUND(I433*120*'Rate Card'!$B$48,500)</f>
        <v>306000</v>
      </c>
      <c r="N433" s="14" t="s">
        <v>1904</v>
      </c>
      <c r="O433" s="49">
        <v>0.82</v>
      </c>
      <c r="P433" s="49">
        <v>0.85</v>
      </c>
    </row>
    <row r="434" spans="1:16" ht="15" customHeight="1" x14ac:dyDescent="0.3">
      <c r="A434" s="9">
        <v>406</v>
      </c>
      <c r="B434" s="46" t="s">
        <v>834</v>
      </c>
      <c r="C434" s="46" t="s">
        <v>1913</v>
      </c>
      <c r="D434" s="47" t="s">
        <v>878</v>
      </c>
      <c r="E434" s="46" t="s">
        <v>1914</v>
      </c>
      <c r="F434" s="48" t="s">
        <v>107</v>
      </c>
      <c r="G434" s="48"/>
      <c r="H434" s="12">
        <f>MROUND('Rate Card'!$I$28*O434*P434,10)</f>
        <v>7830</v>
      </c>
      <c r="I434" s="12">
        <f>MROUND('Rate Card'!$K$28*O434*P434,10)</f>
        <v>3530</v>
      </c>
      <c r="J434" s="12">
        <f>MROUND(H434*4*'Rate Card'!$B$47,100)</f>
        <v>29800</v>
      </c>
      <c r="K434" s="12">
        <f>MROUND(I434*4*'Rate Card'!$B$47,100)</f>
        <v>13400</v>
      </c>
      <c r="L434" s="12">
        <f>MROUND(H434*120*'Rate Card'!$B$48,500)</f>
        <v>798500</v>
      </c>
      <c r="M434" s="12">
        <f>MROUND(I434*120*'Rate Card'!$B$48,500)</f>
        <v>360000</v>
      </c>
      <c r="N434" s="14"/>
      <c r="O434" s="49">
        <v>0.82</v>
      </c>
      <c r="P434" s="49">
        <v>1</v>
      </c>
    </row>
    <row r="435" spans="1:16" ht="15" customHeight="1" x14ac:dyDescent="0.3">
      <c r="A435" s="9">
        <v>407</v>
      </c>
      <c r="B435" s="46" t="s">
        <v>834</v>
      </c>
      <c r="C435" s="46" t="s">
        <v>1700</v>
      </c>
      <c r="D435" s="47" t="s">
        <v>879</v>
      </c>
      <c r="E435" s="46" t="s">
        <v>1912</v>
      </c>
      <c r="F435" s="48" t="s">
        <v>107</v>
      </c>
      <c r="G435" s="48"/>
      <c r="H435" s="12">
        <f>MROUND('Rate Card'!$I$28*O435*P435,10)</f>
        <v>6660</v>
      </c>
      <c r="I435" s="12">
        <f>MROUND('Rate Card'!$K$28*O435*P435,10)</f>
        <v>3000</v>
      </c>
      <c r="J435" s="12">
        <f>MROUND(H435*4*'Rate Card'!$B$47,100)</f>
        <v>25300</v>
      </c>
      <c r="K435" s="12">
        <f>MROUND(I435*4*'Rate Card'!$B$47,100)</f>
        <v>11400</v>
      </c>
      <c r="L435" s="12">
        <f>MROUND(H435*120*'Rate Card'!$B$48,500)</f>
        <v>679500</v>
      </c>
      <c r="M435" s="12">
        <f>MROUND(I435*120*'Rate Card'!$B$48,500)</f>
        <v>306000</v>
      </c>
      <c r="N435" s="14" t="s">
        <v>1904</v>
      </c>
      <c r="O435" s="49">
        <v>0.82</v>
      </c>
      <c r="P435" s="49">
        <v>0.85</v>
      </c>
    </row>
    <row r="436" spans="1:16" ht="15" customHeight="1" x14ac:dyDescent="0.3">
      <c r="A436" s="9">
        <v>408</v>
      </c>
      <c r="B436" s="46" t="s">
        <v>834</v>
      </c>
      <c r="C436" s="46" t="s">
        <v>1905</v>
      </c>
      <c r="D436" s="47" t="s">
        <v>881</v>
      </c>
      <c r="E436" s="46" t="s">
        <v>1915</v>
      </c>
      <c r="F436" s="48" t="s">
        <v>107</v>
      </c>
      <c r="G436" s="48"/>
      <c r="H436" s="12">
        <f>MROUND('Rate Card'!$I$28*O436*P436,10)</f>
        <v>4310</v>
      </c>
      <c r="I436" s="12">
        <f>MROUND('Rate Card'!$K$28*O436*P436,10)</f>
        <v>1940</v>
      </c>
      <c r="J436" s="12">
        <f>MROUND(H436*4*'Rate Card'!$B$47,100)</f>
        <v>16400</v>
      </c>
      <c r="K436" s="12">
        <f>MROUND(I436*4*'Rate Card'!$B$47,100)</f>
        <v>7400</v>
      </c>
      <c r="L436" s="12">
        <f>MROUND(H436*120*'Rate Card'!$B$48,500)</f>
        <v>439500</v>
      </c>
      <c r="M436" s="12">
        <f>MROUND(I436*120*'Rate Card'!$B$48,500)</f>
        <v>198000</v>
      </c>
      <c r="N436" s="14" t="s">
        <v>1894</v>
      </c>
      <c r="O436" s="49">
        <v>0.82</v>
      </c>
      <c r="P436" s="49">
        <v>0.55000000000000004</v>
      </c>
    </row>
    <row r="437" spans="1:16" ht="23.25" customHeight="1" x14ac:dyDescent="0.3">
      <c r="A437" s="9">
        <v>409</v>
      </c>
      <c r="B437" s="46" t="s">
        <v>834</v>
      </c>
      <c r="C437" s="46" t="s">
        <v>1700</v>
      </c>
      <c r="D437" s="47" t="s">
        <v>883</v>
      </c>
      <c r="E437" s="46" t="s">
        <v>1916</v>
      </c>
      <c r="F437" s="48" t="s">
        <v>110</v>
      </c>
      <c r="G437" s="48"/>
      <c r="H437" s="12">
        <f>MROUND('Rate Card'!$I$28*O437*P437,10)</f>
        <v>4810</v>
      </c>
      <c r="I437" s="12">
        <f>MROUND('Rate Card'!$K$28*O437*P437,10)</f>
        <v>2170</v>
      </c>
      <c r="J437" s="12">
        <f>MROUND(H437*4*'Rate Card'!$B$47,100)</f>
        <v>18300</v>
      </c>
      <c r="K437" s="12">
        <f>MROUND(I437*4*'Rate Card'!$B$47,100)</f>
        <v>8200</v>
      </c>
      <c r="L437" s="12">
        <f>MROUND(H437*120*'Rate Card'!$B$48,500)</f>
        <v>490500</v>
      </c>
      <c r="M437" s="12">
        <f>MROUND(I437*120*'Rate Card'!$B$48,500)</f>
        <v>221500</v>
      </c>
      <c r="N437" s="14" t="s">
        <v>1917</v>
      </c>
      <c r="O437" s="49">
        <v>0.72</v>
      </c>
      <c r="P437" s="49">
        <v>0.7</v>
      </c>
    </row>
    <row r="438" spans="1:16" ht="23.25" customHeight="1" x14ac:dyDescent="0.3">
      <c r="A438" s="9">
        <v>410</v>
      </c>
      <c r="B438" s="46" t="s">
        <v>834</v>
      </c>
      <c r="C438" s="46" t="s">
        <v>1700</v>
      </c>
      <c r="D438" s="47" t="s">
        <v>885</v>
      </c>
      <c r="E438" s="46" t="s">
        <v>1918</v>
      </c>
      <c r="F438" s="48" t="s">
        <v>110</v>
      </c>
      <c r="G438" s="48"/>
      <c r="H438" s="12">
        <f>MROUND('Rate Card'!$I$28*O438*P438,10)</f>
        <v>3780</v>
      </c>
      <c r="I438" s="12">
        <f>MROUND('Rate Card'!$K$28*O438*P438,10)</f>
        <v>1700</v>
      </c>
      <c r="J438" s="12">
        <f>MROUND(H438*4*'Rate Card'!$B$47,100)</f>
        <v>14400</v>
      </c>
      <c r="K438" s="12">
        <f>MROUND(I438*4*'Rate Card'!$B$47,100)</f>
        <v>6500</v>
      </c>
      <c r="L438" s="12">
        <f>MROUND(H438*120*'Rate Card'!$B$48,500)</f>
        <v>385500</v>
      </c>
      <c r="M438" s="12">
        <f>MROUND(I438*120*'Rate Card'!$B$48,500)</f>
        <v>173500</v>
      </c>
      <c r="N438" s="14" t="s">
        <v>1919</v>
      </c>
      <c r="O438" s="49">
        <v>0.72</v>
      </c>
      <c r="P438" s="49">
        <v>0.55000000000000004</v>
      </c>
    </row>
    <row r="439" spans="1:16" ht="23.25" customHeight="1" x14ac:dyDescent="0.3">
      <c r="A439" s="9">
        <v>411</v>
      </c>
      <c r="B439" s="46" t="s">
        <v>834</v>
      </c>
      <c r="C439" s="46" t="s">
        <v>1700</v>
      </c>
      <c r="D439" s="47" t="s">
        <v>887</v>
      </c>
      <c r="E439" s="46" t="s">
        <v>1920</v>
      </c>
      <c r="F439" s="48" t="s">
        <v>110</v>
      </c>
      <c r="G439" s="48"/>
      <c r="H439" s="12">
        <f>MROUND('Rate Card'!$I$28*O439*P439,10)</f>
        <v>3780</v>
      </c>
      <c r="I439" s="12">
        <f>MROUND('Rate Card'!$K$28*O439*P439,10)</f>
        <v>1700</v>
      </c>
      <c r="J439" s="12">
        <f>MROUND(H439*4*'Rate Card'!$B$47,100)</f>
        <v>14400</v>
      </c>
      <c r="K439" s="12">
        <f>MROUND(I439*4*'Rate Card'!$B$47,100)</f>
        <v>6500</v>
      </c>
      <c r="L439" s="12">
        <f>MROUND(H439*120*'Rate Card'!$B$48,500)</f>
        <v>385500</v>
      </c>
      <c r="M439" s="12">
        <f>MROUND(I439*120*'Rate Card'!$B$48,500)</f>
        <v>173500</v>
      </c>
      <c r="N439" s="14" t="s">
        <v>1919</v>
      </c>
      <c r="O439" s="49">
        <v>0.72</v>
      </c>
      <c r="P439" s="49">
        <v>0.55000000000000004</v>
      </c>
    </row>
    <row r="440" spans="1:16" ht="15" customHeight="1" x14ac:dyDescent="0.3">
      <c r="A440" s="9">
        <v>412</v>
      </c>
      <c r="B440" s="46" t="s">
        <v>834</v>
      </c>
      <c r="C440" s="46" t="s">
        <v>1700</v>
      </c>
      <c r="D440" s="47" t="s">
        <v>889</v>
      </c>
      <c r="E440" s="46" t="s">
        <v>1921</v>
      </c>
      <c r="F440" s="48" t="s">
        <v>110</v>
      </c>
      <c r="G440" s="48"/>
      <c r="H440" s="12">
        <f>MROUND('Rate Card'!$I$28*O440*P440,10)</f>
        <v>6880</v>
      </c>
      <c r="I440" s="12">
        <f>MROUND('Rate Card'!$K$28*O440*P440,10)</f>
        <v>3100</v>
      </c>
      <c r="J440" s="12">
        <f>MROUND(H440*4*'Rate Card'!$B$47,100)</f>
        <v>26100</v>
      </c>
      <c r="K440" s="12">
        <f>MROUND(I440*4*'Rate Card'!$B$47,100)</f>
        <v>11800</v>
      </c>
      <c r="L440" s="12">
        <f>MROUND(H440*120*'Rate Card'!$B$48,500)</f>
        <v>702000</v>
      </c>
      <c r="M440" s="12">
        <f>MROUND(I440*120*'Rate Card'!$B$48,500)</f>
        <v>316000</v>
      </c>
      <c r="N440" s="14" t="s">
        <v>1693</v>
      </c>
      <c r="O440" s="49">
        <v>0.72</v>
      </c>
      <c r="P440" s="49">
        <v>1</v>
      </c>
    </row>
    <row r="441" spans="1:16" ht="23.25" customHeight="1" x14ac:dyDescent="0.3">
      <c r="A441" s="9">
        <v>413</v>
      </c>
      <c r="B441" s="46" t="s">
        <v>834</v>
      </c>
      <c r="C441" s="46" t="s">
        <v>1700</v>
      </c>
      <c r="D441" s="47" t="s">
        <v>891</v>
      </c>
      <c r="E441" s="46" t="s">
        <v>1922</v>
      </c>
      <c r="F441" s="48" t="s">
        <v>110</v>
      </c>
      <c r="G441" s="48"/>
      <c r="H441" s="12">
        <f>MROUND('Rate Card'!$I$28*O441*P441,10)</f>
        <v>3780</v>
      </c>
      <c r="I441" s="12">
        <f>MROUND('Rate Card'!$K$28*O441*P441,10)</f>
        <v>1700</v>
      </c>
      <c r="J441" s="12">
        <f>MROUND(H441*4*'Rate Card'!$B$47,100)</f>
        <v>14400</v>
      </c>
      <c r="K441" s="12">
        <f>MROUND(I441*4*'Rate Card'!$B$47,100)</f>
        <v>6500</v>
      </c>
      <c r="L441" s="12">
        <f>MROUND(H441*120*'Rate Card'!$B$48,500)</f>
        <v>385500</v>
      </c>
      <c r="M441" s="12">
        <f>MROUND(I441*120*'Rate Card'!$B$48,500)</f>
        <v>173500</v>
      </c>
      <c r="N441" s="14" t="s">
        <v>1919</v>
      </c>
      <c r="O441" s="49">
        <v>0.72</v>
      </c>
      <c r="P441" s="49">
        <v>0.55000000000000004</v>
      </c>
    </row>
    <row r="442" spans="1:16" ht="15" customHeight="1" x14ac:dyDescent="0.3">
      <c r="A442" s="9">
        <v>414</v>
      </c>
      <c r="B442" s="46" t="s">
        <v>834</v>
      </c>
      <c r="C442" s="46" t="s">
        <v>1740</v>
      </c>
      <c r="D442" s="47" t="s">
        <v>892</v>
      </c>
      <c r="E442" s="46" t="s">
        <v>195</v>
      </c>
      <c r="F442" s="48" t="s">
        <v>195</v>
      </c>
      <c r="G442" s="48"/>
      <c r="H442" s="12">
        <f>MROUND('Rate Card'!$I$28*O442*P442,10)</f>
        <v>5540</v>
      </c>
      <c r="I442" s="12">
        <f>MROUND('Rate Card'!$K$28*O442*P442,10)</f>
        <v>2490</v>
      </c>
      <c r="J442" s="12">
        <f>MROUND(H442*4*'Rate Card'!$B$47,100)</f>
        <v>21100</v>
      </c>
      <c r="K442" s="12">
        <f>MROUND(I442*4*'Rate Card'!$B$47,100)</f>
        <v>9500</v>
      </c>
      <c r="L442" s="12">
        <f>MROUND(H442*120*'Rate Card'!$B$48,500)</f>
        <v>565000</v>
      </c>
      <c r="M442" s="12">
        <f>MROUND(I442*120*'Rate Card'!$B$48,500)</f>
        <v>254000</v>
      </c>
      <c r="N442" s="14" t="s">
        <v>1744</v>
      </c>
      <c r="O442" s="49">
        <v>0.57999999999999996</v>
      </c>
      <c r="P442" s="49">
        <v>1</v>
      </c>
    </row>
    <row r="443" spans="1:16" ht="23.25" customHeight="1" x14ac:dyDescent="0.3">
      <c r="A443" s="9">
        <v>415</v>
      </c>
      <c r="B443" s="46" t="s">
        <v>834</v>
      </c>
      <c r="C443" s="46" t="s">
        <v>1885</v>
      </c>
      <c r="D443" s="47" t="s">
        <v>844</v>
      </c>
      <c r="E443" s="46" t="s">
        <v>1923</v>
      </c>
      <c r="F443" s="48" t="s">
        <v>195</v>
      </c>
      <c r="G443" s="48"/>
      <c r="H443" s="12">
        <f>MROUND('Rate Card'!$I$28*O443*P443,10)</f>
        <v>7200</v>
      </c>
      <c r="I443" s="12">
        <f>MROUND('Rate Card'!$K$28*O443*P443,10)</f>
        <v>3240</v>
      </c>
      <c r="J443" s="12">
        <f>MROUND(H443*4*'Rate Card'!$B$47,100)</f>
        <v>27400</v>
      </c>
      <c r="K443" s="12">
        <f>MROUND(I443*4*'Rate Card'!$B$47,100)</f>
        <v>12300</v>
      </c>
      <c r="L443" s="12">
        <f>MROUND(H443*120*'Rate Card'!$B$48,500)</f>
        <v>734500</v>
      </c>
      <c r="M443" s="12">
        <f>MROUND(I443*120*'Rate Card'!$B$48,500)</f>
        <v>330500</v>
      </c>
      <c r="N443" s="14" t="s">
        <v>1924</v>
      </c>
      <c r="O443" s="49">
        <v>0.57999999999999996</v>
      </c>
      <c r="P443" s="49">
        <v>1.3</v>
      </c>
    </row>
    <row r="444" spans="1:16" ht="23.25" customHeight="1" x14ac:dyDescent="0.3">
      <c r="A444" s="9">
        <v>416</v>
      </c>
      <c r="B444" s="46" t="s">
        <v>834</v>
      </c>
      <c r="C444" s="46" t="s">
        <v>1885</v>
      </c>
      <c r="D444" s="47" t="s">
        <v>845</v>
      </c>
      <c r="E444" s="46" t="s">
        <v>1886</v>
      </c>
      <c r="F444" s="48" t="s">
        <v>195</v>
      </c>
      <c r="G444" s="48"/>
      <c r="H444" s="12">
        <f>MROUND('Rate Card'!$I$28*O444*P444,10)</f>
        <v>3600</v>
      </c>
      <c r="I444" s="12">
        <f>MROUND('Rate Card'!$K$28*O444*P444,10)</f>
        <v>1620</v>
      </c>
      <c r="J444" s="12">
        <f>MROUND(H444*4*'Rate Card'!$B$47,100)</f>
        <v>13700</v>
      </c>
      <c r="K444" s="12">
        <f>MROUND(I444*4*'Rate Card'!$B$47,100)</f>
        <v>6200</v>
      </c>
      <c r="L444" s="12">
        <f>MROUND(H444*120*'Rate Card'!$B$48,500)</f>
        <v>367000</v>
      </c>
      <c r="M444" s="12">
        <f>MROUND(I444*120*'Rate Card'!$B$48,500)</f>
        <v>165000</v>
      </c>
      <c r="N444" s="14" t="s">
        <v>1925</v>
      </c>
      <c r="O444" s="49">
        <v>0.57999999999999996</v>
      </c>
      <c r="P444" s="49">
        <v>0.65</v>
      </c>
    </row>
    <row r="445" spans="1:16" ht="23.25" customHeight="1" x14ac:dyDescent="0.3">
      <c r="A445" s="9">
        <v>417</v>
      </c>
      <c r="B445" s="46" t="s">
        <v>834</v>
      </c>
      <c r="C445" s="46" t="s">
        <v>1885</v>
      </c>
      <c r="D445" s="47" t="s">
        <v>898</v>
      </c>
      <c r="E445" s="46" t="s">
        <v>1926</v>
      </c>
      <c r="F445" s="48" t="s">
        <v>195</v>
      </c>
      <c r="G445" s="48"/>
      <c r="H445" s="12">
        <f>MROUND('Rate Card'!$I$28*O445*P445,10)</f>
        <v>6090</v>
      </c>
      <c r="I445" s="12">
        <f>MROUND('Rate Card'!$K$28*O445*P445,10)</f>
        <v>2740</v>
      </c>
      <c r="J445" s="12">
        <f>MROUND(H445*4*'Rate Card'!$B$47,100)</f>
        <v>23100</v>
      </c>
      <c r="K445" s="12">
        <f>MROUND(I445*4*'Rate Card'!$B$47,100)</f>
        <v>10400</v>
      </c>
      <c r="L445" s="12">
        <f>MROUND(H445*120*'Rate Card'!$B$48,500)</f>
        <v>621000</v>
      </c>
      <c r="M445" s="12">
        <f>MROUND(I445*120*'Rate Card'!$B$48,500)</f>
        <v>279500</v>
      </c>
      <c r="N445" s="14" t="s">
        <v>1927</v>
      </c>
      <c r="O445" s="49">
        <v>0.57999999999999996</v>
      </c>
      <c r="P445" s="49">
        <v>1.1000000000000001</v>
      </c>
    </row>
    <row r="446" spans="1:16" ht="23.25" customHeight="1" x14ac:dyDescent="0.3">
      <c r="A446" s="9">
        <v>418</v>
      </c>
      <c r="B446" s="46" t="s">
        <v>834</v>
      </c>
      <c r="C446" s="46" t="s">
        <v>1885</v>
      </c>
      <c r="D446" s="47" t="s">
        <v>900</v>
      </c>
      <c r="E446" s="46" t="s">
        <v>1928</v>
      </c>
      <c r="F446" s="48" t="s">
        <v>195</v>
      </c>
      <c r="G446" s="48"/>
      <c r="H446" s="12">
        <f>MROUND('Rate Card'!$I$28*O446*P446,10)</f>
        <v>7200</v>
      </c>
      <c r="I446" s="12">
        <f>MROUND('Rate Card'!$K$28*O446*P446,10)</f>
        <v>3240</v>
      </c>
      <c r="J446" s="12">
        <f>MROUND(H446*4*'Rate Card'!$B$47,100)</f>
        <v>27400</v>
      </c>
      <c r="K446" s="12">
        <f>MROUND(I446*4*'Rate Card'!$B$47,100)</f>
        <v>12300</v>
      </c>
      <c r="L446" s="12">
        <f>MROUND(H446*120*'Rate Card'!$B$48,500)</f>
        <v>734500</v>
      </c>
      <c r="M446" s="12">
        <f>MROUND(I446*120*'Rate Card'!$B$48,500)</f>
        <v>330500</v>
      </c>
      <c r="N446" s="14" t="s">
        <v>1924</v>
      </c>
      <c r="O446" s="49">
        <v>0.57999999999999996</v>
      </c>
      <c r="P446" s="49">
        <v>1.3</v>
      </c>
    </row>
    <row r="447" spans="1:16" ht="23.25" customHeight="1" x14ac:dyDescent="0.3">
      <c r="A447" s="9">
        <v>419</v>
      </c>
      <c r="B447" s="46" t="s">
        <v>834</v>
      </c>
      <c r="C447" s="46" t="s">
        <v>1885</v>
      </c>
      <c r="D447" s="47" t="s">
        <v>902</v>
      </c>
      <c r="E447" s="46" t="s">
        <v>1929</v>
      </c>
      <c r="F447" s="48" t="s">
        <v>195</v>
      </c>
      <c r="G447" s="48"/>
      <c r="H447" s="12">
        <f>MROUND('Rate Card'!$I$28*O447*P447,10)</f>
        <v>6090</v>
      </c>
      <c r="I447" s="12">
        <f>MROUND('Rate Card'!$K$28*O447*P447,10)</f>
        <v>2740</v>
      </c>
      <c r="J447" s="12">
        <f>MROUND(H447*4*'Rate Card'!$B$47,100)</f>
        <v>23100</v>
      </c>
      <c r="K447" s="12">
        <f>MROUND(I447*4*'Rate Card'!$B$47,100)</f>
        <v>10400</v>
      </c>
      <c r="L447" s="12">
        <f>MROUND(H447*120*'Rate Card'!$B$48,500)</f>
        <v>621000</v>
      </c>
      <c r="M447" s="12">
        <f>MROUND(I447*120*'Rate Card'!$B$48,500)</f>
        <v>279500</v>
      </c>
      <c r="N447" s="14" t="s">
        <v>1927</v>
      </c>
      <c r="O447" s="49">
        <v>0.57999999999999996</v>
      </c>
      <c r="P447" s="49">
        <v>1.1000000000000001</v>
      </c>
    </row>
    <row r="448" spans="1:16" ht="23.25" customHeight="1" x14ac:dyDescent="0.3">
      <c r="A448" s="9">
        <v>420</v>
      </c>
      <c r="B448" s="46" t="s">
        <v>834</v>
      </c>
      <c r="C448" s="46" t="s">
        <v>1811</v>
      </c>
      <c r="D448" s="47" t="s">
        <v>904</v>
      </c>
      <c r="E448" s="46" t="s">
        <v>1930</v>
      </c>
      <c r="F448" s="48" t="s">
        <v>195</v>
      </c>
      <c r="G448" s="48"/>
      <c r="H448" s="12">
        <f>MROUND('Rate Card'!$I$28*O448*P448,10)</f>
        <v>4710</v>
      </c>
      <c r="I448" s="12">
        <f>MROUND('Rate Card'!$K$28*O448*P448,10)</f>
        <v>2120</v>
      </c>
      <c r="J448" s="12">
        <f>MROUND(H448*4*'Rate Card'!$B$47,100)</f>
        <v>17900</v>
      </c>
      <c r="K448" s="12">
        <f>MROUND(I448*4*'Rate Card'!$B$47,100)</f>
        <v>8100</v>
      </c>
      <c r="L448" s="12">
        <f>MROUND(H448*120*'Rate Card'!$B$48,500)</f>
        <v>480500</v>
      </c>
      <c r="M448" s="12">
        <f>MROUND(I448*120*'Rate Card'!$B$48,500)</f>
        <v>216000</v>
      </c>
      <c r="N448" s="14" t="s">
        <v>1931</v>
      </c>
      <c r="O448" s="49">
        <v>0.57999999999999996</v>
      </c>
      <c r="P448" s="49">
        <v>0.85</v>
      </c>
    </row>
    <row r="449" spans="1:16" ht="23.25" customHeight="1" x14ac:dyDescent="0.3">
      <c r="A449" s="9">
        <v>421</v>
      </c>
      <c r="B449" s="46" t="s">
        <v>834</v>
      </c>
      <c r="C449" s="46" t="s">
        <v>1703</v>
      </c>
      <c r="D449" s="47" t="s">
        <v>906</v>
      </c>
      <c r="E449" s="46" t="s">
        <v>1932</v>
      </c>
      <c r="F449" s="48" t="s">
        <v>195</v>
      </c>
      <c r="G449" s="48"/>
      <c r="H449" s="12">
        <f>MROUND('Rate Card'!$I$28*O449*P449,10)</f>
        <v>5820</v>
      </c>
      <c r="I449" s="12">
        <f>MROUND('Rate Card'!$K$28*O449*P449,10)</f>
        <v>2620</v>
      </c>
      <c r="J449" s="12">
        <f>MROUND(H449*4*'Rate Card'!$B$47,100)</f>
        <v>22100</v>
      </c>
      <c r="K449" s="12">
        <f>MROUND(I449*4*'Rate Card'!$B$47,100)</f>
        <v>10000</v>
      </c>
      <c r="L449" s="12">
        <f>MROUND(H449*120*'Rate Card'!$B$48,500)</f>
        <v>593500</v>
      </c>
      <c r="M449" s="12">
        <f>MROUND(I449*120*'Rate Card'!$B$48,500)</f>
        <v>267000</v>
      </c>
      <c r="N449" s="14" t="s">
        <v>1933</v>
      </c>
      <c r="O449" s="49">
        <v>0.57999999999999996</v>
      </c>
      <c r="P449" s="49">
        <v>1.05</v>
      </c>
    </row>
    <row r="450" spans="1:16" ht="15" customHeight="1" x14ac:dyDescent="0.3">
      <c r="A450" s="199" t="s">
        <v>907</v>
      </c>
      <c r="B450" s="200"/>
      <c r="C450" s="200"/>
      <c r="D450" s="200"/>
      <c r="E450" s="200"/>
      <c r="F450" s="200"/>
      <c r="G450" s="200"/>
      <c r="H450" s="200"/>
      <c r="I450" s="200"/>
      <c r="J450" s="200"/>
      <c r="K450" s="200"/>
      <c r="L450" s="200"/>
      <c r="M450" s="200"/>
      <c r="N450" s="200"/>
    </row>
    <row r="451" spans="1:16" ht="15" customHeight="1" x14ac:dyDescent="0.3">
      <c r="A451" s="9">
        <v>422</v>
      </c>
      <c r="B451" s="46" t="s">
        <v>908</v>
      </c>
      <c r="C451" s="46" t="s">
        <v>1711</v>
      </c>
      <c r="D451" s="47" t="s">
        <v>910</v>
      </c>
      <c r="E451" s="46" t="s">
        <v>1934</v>
      </c>
      <c r="F451" s="48" t="s">
        <v>165</v>
      </c>
      <c r="G451" s="48" t="s">
        <v>911</v>
      </c>
      <c r="H451" s="12">
        <f>MROUND('Rate Card'!$I$29*O451*P451,10)</f>
        <v>2710</v>
      </c>
      <c r="I451" s="12">
        <f>MROUND('Rate Card'!$K$29*O451*P451,10)</f>
        <v>1380</v>
      </c>
      <c r="J451" s="12">
        <f>MROUND(H451*4*'Rate Card'!$B$47,100)</f>
        <v>10300</v>
      </c>
      <c r="K451" s="12">
        <f>MROUND(I451*4*'Rate Card'!$B$47,100)</f>
        <v>5200</v>
      </c>
      <c r="L451" s="12">
        <f>MROUND(H451*120*'Rate Card'!$B$48,500)</f>
        <v>276500</v>
      </c>
      <c r="M451" s="12">
        <f>MROUND(I451*120*'Rate Card'!$B$48,500)</f>
        <v>141000</v>
      </c>
      <c r="N451" s="14"/>
      <c r="O451" s="49">
        <v>0.92</v>
      </c>
      <c r="P451" s="49">
        <v>1</v>
      </c>
    </row>
    <row r="452" spans="1:16" ht="15" customHeight="1" x14ac:dyDescent="0.3">
      <c r="A452" s="9">
        <v>423</v>
      </c>
      <c r="B452" s="46" t="s">
        <v>908</v>
      </c>
      <c r="C452" s="46" t="s">
        <v>1714</v>
      </c>
      <c r="D452" s="47" t="s">
        <v>912</v>
      </c>
      <c r="E452" s="46" t="s">
        <v>1871</v>
      </c>
      <c r="F452" s="48" t="s">
        <v>458</v>
      </c>
      <c r="G452" s="48" t="s">
        <v>913</v>
      </c>
      <c r="H452" s="12">
        <f>MROUND('Rate Card'!$I$29*O452*P452,10)</f>
        <v>2420</v>
      </c>
      <c r="I452" s="12">
        <f>MROUND('Rate Card'!$K$29*O452*P452,10)</f>
        <v>1230</v>
      </c>
      <c r="J452" s="12">
        <f>MROUND(H452*4*'Rate Card'!$B$47,100)</f>
        <v>9200</v>
      </c>
      <c r="K452" s="12">
        <f>MROUND(I452*4*'Rate Card'!$B$47,100)</f>
        <v>4700</v>
      </c>
      <c r="L452" s="12">
        <f>MROUND(H452*120*'Rate Card'!$B$48,500)</f>
        <v>247000</v>
      </c>
      <c r="M452" s="12">
        <f>MROUND(I452*120*'Rate Card'!$B$48,500)</f>
        <v>125500</v>
      </c>
      <c r="N452" s="14"/>
      <c r="O452" s="49">
        <v>0.82</v>
      </c>
      <c r="P452" s="49">
        <v>1</v>
      </c>
    </row>
    <row r="453" spans="1:16" ht="15" customHeight="1" x14ac:dyDescent="0.3">
      <c r="A453" s="9">
        <v>424</v>
      </c>
      <c r="B453" s="46" t="s">
        <v>908</v>
      </c>
      <c r="C453" s="46" t="s">
        <v>1716</v>
      </c>
      <c r="D453" s="47" t="s">
        <v>915</v>
      </c>
      <c r="E453" s="46" t="s">
        <v>1874</v>
      </c>
      <c r="F453" s="48" t="s">
        <v>440</v>
      </c>
      <c r="G453" s="48" t="s">
        <v>789</v>
      </c>
      <c r="H453" s="12">
        <f>MROUND('Rate Card'!$I$29*O453*P453,10)</f>
        <v>2120</v>
      </c>
      <c r="I453" s="12">
        <f>MROUND('Rate Card'!$K$29*O453*P453,10)</f>
        <v>1080</v>
      </c>
      <c r="J453" s="12">
        <f>MROUND(H453*4*'Rate Card'!$B$47,100)</f>
        <v>8100</v>
      </c>
      <c r="K453" s="12">
        <f>MROUND(I453*4*'Rate Card'!$B$47,100)</f>
        <v>4100</v>
      </c>
      <c r="L453" s="12">
        <f>MROUND(H453*120*'Rate Card'!$B$48,500)</f>
        <v>216000</v>
      </c>
      <c r="M453" s="12">
        <f>MROUND(I453*120*'Rate Card'!$B$48,500)</f>
        <v>110000</v>
      </c>
      <c r="N453" s="14" t="s">
        <v>1693</v>
      </c>
      <c r="O453" s="49">
        <v>0.72</v>
      </c>
      <c r="P453" s="49">
        <v>1</v>
      </c>
    </row>
    <row r="454" spans="1:16" ht="15" customHeight="1" x14ac:dyDescent="0.3">
      <c r="A454" s="9">
        <v>425</v>
      </c>
      <c r="B454" s="46" t="s">
        <v>908</v>
      </c>
      <c r="C454" s="46" t="s">
        <v>1716</v>
      </c>
      <c r="D454" s="47" t="s">
        <v>916</v>
      </c>
      <c r="E454" s="46" t="s">
        <v>1874</v>
      </c>
      <c r="F454" s="48" t="s">
        <v>139</v>
      </c>
      <c r="G454" s="48" t="s">
        <v>807</v>
      </c>
      <c r="H454" s="12">
        <f>MROUND('Rate Card'!$I$29*O454*P454,10)</f>
        <v>1920</v>
      </c>
      <c r="I454" s="12">
        <f>MROUND('Rate Card'!$K$29*O454*P454,10)</f>
        <v>980</v>
      </c>
      <c r="J454" s="12">
        <f>MROUND(H454*4*'Rate Card'!$B$47,100)</f>
        <v>7300</v>
      </c>
      <c r="K454" s="12">
        <f>MROUND(I454*4*'Rate Card'!$B$47,100)</f>
        <v>3700</v>
      </c>
      <c r="L454" s="12">
        <f>MROUND(H454*120*'Rate Card'!$B$48,500)</f>
        <v>196000</v>
      </c>
      <c r="M454" s="12">
        <f>MROUND(I454*120*'Rate Card'!$B$48,500)</f>
        <v>100000</v>
      </c>
      <c r="N454" s="14" t="s">
        <v>1694</v>
      </c>
      <c r="O454" s="49">
        <v>0.65</v>
      </c>
      <c r="P454" s="49">
        <v>1</v>
      </c>
    </row>
    <row r="455" spans="1:16" ht="15" customHeight="1" x14ac:dyDescent="0.3">
      <c r="A455" s="9">
        <v>426</v>
      </c>
      <c r="B455" s="46" t="s">
        <v>908</v>
      </c>
      <c r="C455" s="46" t="s">
        <v>1716</v>
      </c>
      <c r="D455" s="47" t="s">
        <v>918</v>
      </c>
      <c r="E455" s="46" t="s">
        <v>1935</v>
      </c>
      <c r="F455" s="48" t="s">
        <v>143</v>
      </c>
      <c r="G455" s="48" t="s">
        <v>919</v>
      </c>
      <c r="H455" s="12">
        <f>MROUND('Rate Card'!$I$29*O455*P455,10)</f>
        <v>1920</v>
      </c>
      <c r="I455" s="12">
        <f>MROUND('Rate Card'!$K$29*O455*P455,10)</f>
        <v>980</v>
      </c>
      <c r="J455" s="12">
        <f>MROUND(H455*4*'Rate Card'!$B$47,100)</f>
        <v>7300</v>
      </c>
      <c r="K455" s="12">
        <f>MROUND(I455*4*'Rate Card'!$B$47,100)</f>
        <v>3700</v>
      </c>
      <c r="L455" s="12">
        <f>MROUND(H455*120*'Rate Card'!$B$48,500)</f>
        <v>196000</v>
      </c>
      <c r="M455" s="12">
        <f>MROUND(I455*120*'Rate Card'!$B$48,500)</f>
        <v>100000</v>
      </c>
      <c r="N455" s="14" t="s">
        <v>1694</v>
      </c>
      <c r="O455" s="49">
        <v>0.65</v>
      </c>
      <c r="P455" s="49">
        <v>1</v>
      </c>
    </row>
    <row r="456" spans="1:16" ht="15" customHeight="1" x14ac:dyDescent="0.3">
      <c r="A456" s="9">
        <v>427</v>
      </c>
      <c r="B456" s="46" t="s">
        <v>908</v>
      </c>
      <c r="C456" s="46" t="s">
        <v>1711</v>
      </c>
      <c r="D456" s="47" t="s">
        <v>921</v>
      </c>
      <c r="E456" s="46" t="s">
        <v>1936</v>
      </c>
      <c r="F456" s="48" t="s">
        <v>537</v>
      </c>
      <c r="G456" s="48" t="s">
        <v>922</v>
      </c>
      <c r="H456" s="12">
        <f>MROUND('Rate Card'!$I$29*O456*P456,10)</f>
        <v>1710</v>
      </c>
      <c r="I456" s="12">
        <f>MROUND('Rate Card'!$K$29*O456*P456,10)</f>
        <v>870</v>
      </c>
      <c r="J456" s="12">
        <f>MROUND(H456*4*'Rate Card'!$B$47,100)</f>
        <v>6500</v>
      </c>
      <c r="K456" s="12">
        <f>MROUND(I456*4*'Rate Card'!$B$47,100)</f>
        <v>3300</v>
      </c>
      <c r="L456" s="12">
        <f>MROUND(H456*120*'Rate Card'!$B$48,500)</f>
        <v>174500</v>
      </c>
      <c r="M456" s="12">
        <f>MROUND(I456*120*'Rate Card'!$B$48,500)</f>
        <v>88500</v>
      </c>
      <c r="N456" s="14" t="s">
        <v>1697</v>
      </c>
      <c r="O456" s="49">
        <v>0.57999999999999996</v>
      </c>
      <c r="P456" s="49">
        <v>1</v>
      </c>
    </row>
    <row r="457" spans="1:16" ht="15" customHeight="1" x14ac:dyDescent="0.3">
      <c r="A457" s="9">
        <v>428</v>
      </c>
      <c r="B457" s="46" t="s">
        <v>908</v>
      </c>
      <c r="C457" s="46" t="s">
        <v>1711</v>
      </c>
      <c r="D457" s="47" t="s">
        <v>924</v>
      </c>
      <c r="E457" s="46" t="s">
        <v>1937</v>
      </c>
      <c r="F457" s="48" t="s">
        <v>159</v>
      </c>
      <c r="G457" s="48" t="s">
        <v>925</v>
      </c>
      <c r="H457" s="12">
        <f>MROUND('Rate Card'!$I$29*O457*P457,10)</f>
        <v>1710</v>
      </c>
      <c r="I457" s="12">
        <f>MROUND('Rate Card'!$K$29*O457*P457,10)</f>
        <v>870</v>
      </c>
      <c r="J457" s="12">
        <f>MROUND(H457*4*'Rate Card'!$B$47,100)</f>
        <v>6500</v>
      </c>
      <c r="K457" s="12">
        <f>MROUND(I457*4*'Rate Card'!$B$47,100)</f>
        <v>3300</v>
      </c>
      <c r="L457" s="12">
        <f>MROUND(H457*120*'Rate Card'!$B$48,500)</f>
        <v>174500</v>
      </c>
      <c r="M457" s="12">
        <f>MROUND(I457*120*'Rate Card'!$B$48,500)</f>
        <v>88500</v>
      </c>
      <c r="N457" s="14" t="s">
        <v>1697</v>
      </c>
      <c r="O457" s="49">
        <v>0.57999999999999996</v>
      </c>
      <c r="P457" s="49">
        <v>1</v>
      </c>
    </row>
    <row r="458" spans="1:16" ht="15" customHeight="1" x14ac:dyDescent="0.3">
      <c r="A458" s="9">
        <v>429</v>
      </c>
      <c r="B458" s="46" t="s">
        <v>908</v>
      </c>
      <c r="C458" s="46" t="s">
        <v>1740</v>
      </c>
      <c r="D458" s="47" t="s">
        <v>926</v>
      </c>
      <c r="E458" s="46" t="s">
        <v>195</v>
      </c>
      <c r="F458" s="48" t="s">
        <v>195</v>
      </c>
      <c r="G458" s="48"/>
      <c r="H458" s="12">
        <f>MROUND('Rate Card'!$I$29*O458*P458,10)</f>
        <v>1710</v>
      </c>
      <c r="I458" s="12">
        <f>MROUND('Rate Card'!$K$29*O458*P458,10)</f>
        <v>870</v>
      </c>
      <c r="J458" s="12">
        <f>MROUND(H458*4*'Rate Card'!$B$47,100)</f>
        <v>6500</v>
      </c>
      <c r="K458" s="12">
        <f>MROUND(I458*4*'Rate Card'!$B$47,100)</f>
        <v>3300</v>
      </c>
      <c r="L458" s="12">
        <f>MROUND(H458*120*'Rate Card'!$B$48,500)</f>
        <v>174500</v>
      </c>
      <c r="M458" s="12">
        <f>MROUND(I458*120*'Rate Card'!$B$48,500)</f>
        <v>88500</v>
      </c>
      <c r="N458" s="14" t="s">
        <v>1744</v>
      </c>
      <c r="O458" s="49">
        <v>0.57999999999999996</v>
      </c>
      <c r="P458" s="49">
        <v>1</v>
      </c>
    </row>
    <row r="459" spans="1:16" ht="15" customHeight="1" x14ac:dyDescent="0.3">
      <c r="A459" s="9">
        <v>430</v>
      </c>
      <c r="B459" s="46" t="s">
        <v>908</v>
      </c>
      <c r="C459" s="46" t="s">
        <v>1740</v>
      </c>
      <c r="D459" s="47" t="s">
        <v>927</v>
      </c>
      <c r="E459" s="46" t="s">
        <v>195</v>
      </c>
      <c r="F459" s="48" t="s">
        <v>195</v>
      </c>
      <c r="G459" s="48" t="s">
        <v>928</v>
      </c>
      <c r="H459" s="12">
        <f>MROUND('Rate Card'!$I$29*O459*P459,10)</f>
        <v>1710</v>
      </c>
      <c r="I459" s="12">
        <f>MROUND('Rate Card'!$K$29*O459*P459,10)</f>
        <v>870</v>
      </c>
      <c r="J459" s="12">
        <f>MROUND(H459*4*'Rate Card'!$B$47,100)</f>
        <v>6500</v>
      </c>
      <c r="K459" s="12">
        <f>MROUND(I459*4*'Rate Card'!$B$47,100)</f>
        <v>3300</v>
      </c>
      <c r="L459" s="12">
        <f>MROUND(H459*120*'Rate Card'!$B$48,500)</f>
        <v>174500</v>
      </c>
      <c r="M459" s="12">
        <f>MROUND(I459*120*'Rate Card'!$B$48,500)</f>
        <v>88500</v>
      </c>
      <c r="N459" s="14" t="s">
        <v>1744</v>
      </c>
      <c r="O459" s="49">
        <v>0.57999999999999996</v>
      </c>
      <c r="P459" s="49">
        <v>1</v>
      </c>
    </row>
    <row r="460" spans="1:16" ht="15" customHeight="1" x14ac:dyDescent="0.3">
      <c r="A460" s="9">
        <v>431</v>
      </c>
      <c r="B460" s="46" t="s">
        <v>908</v>
      </c>
      <c r="C460" s="46" t="s">
        <v>1740</v>
      </c>
      <c r="D460" s="47" t="s">
        <v>942</v>
      </c>
      <c r="E460" s="46" t="s">
        <v>195</v>
      </c>
      <c r="F460" s="48" t="s">
        <v>195</v>
      </c>
      <c r="G460" s="48" t="s">
        <v>943</v>
      </c>
      <c r="H460" s="12">
        <f>MROUND('Rate Card'!$I$29*O460*P460,10)</f>
        <v>1710</v>
      </c>
      <c r="I460" s="12">
        <f>MROUND('Rate Card'!$K$29*O460*P460,10)</f>
        <v>870</v>
      </c>
      <c r="J460" s="12">
        <f>MROUND(H460*4*'Rate Card'!$B$47,100)</f>
        <v>6500</v>
      </c>
      <c r="K460" s="12">
        <f>MROUND(I460*4*'Rate Card'!$B$47,100)</f>
        <v>3300</v>
      </c>
      <c r="L460" s="12">
        <f>MROUND(H460*120*'Rate Card'!$B$48,500)</f>
        <v>174500</v>
      </c>
      <c r="M460" s="12">
        <f>MROUND(I460*120*'Rate Card'!$B$48,500)</f>
        <v>88500</v>
      </c>
      <c r="N460" s="14" t="s">
        <v>1744</v>
      </c>
      <c r="O460" s="49">
        <v>0.57999999999999996</v>
      </c>
      <c r="P460" s="49">
        <v>1</v>
      </c>
    </row>
    <row r="461" spans="1:16" ht="15" customHeight="1" x14ac:dyDescent="0.3">
      <c r="A461" s="9">
        <v>432</v>
      </c>
      <c r="B461" s="46" t="s">
        <v>908</v>
      </c>
      <c r="C461" s="46" t="s">
        <v>1740</v>
      </c>
      <c r="D461" s="47" t="s">
        <v>929</v>
      </c>
      <c r="E461" s="46" t="s">
        <v>195</v>
      </c>
      <c r="F461" s="48" t="s">
        <v>195</v>
      </c>
      <c r="G461" s="48" t="s">
        <v>930</v>
      </c>
      <c r="H461" s="12">
        <f>MROUND('Rate Card'!$I$29*O461*P461,10)</f>
        <v>1710</v>
      </c>
      <c r="I461" s="12">
        <f>MROUND('Rate Card'!$K$29*O461*P461,10)</f>
        <v>870</v>
      </c>
      <c r="J461" s="12">
        <f>MROUND(H461*4*'Rate Card'!$B$47,100)</f>
        <v>6500</v>
      </c>
      <c r="K461" s="12">
        <f>MROUND(I461*4*'Rate Card'!$B$47,100)</f>
        <v>3300</v>
      </c>
      <c r="L461" s="12">
        <f>MROUND(H461*120*'Rate Card'!$B$48,500)</f>
        <v>174500</v>
      </c>
      <c r="M461" s="12">
        <f>MROUND(I461*120*'Rate Card'!$B$48,500)</f>
        <v>88500</v>
      </c>
      <c r="N461" s="14" t="s">
        <v>1744</v>
      </c>
      <c r="O461" s="49">
        <v>0.57999999999999996</v>
      </c>
      <c r="P461" s="49">
        <v>1</v>
      </c>
    </row>
    <row r="462" spans="1:16" ht="15" customHeight="1" x14ac:dyDescent="0.3">
      <c r="A462" s="9">
        <v>433</v>
      </c>
      <c r="B462" s="46" t="s">
        <v>908</v>
      </c>
      <c r="C462" s="46" t="s">
        <v>1740</v>
      </c>
      <c r="D462" s="47" t="s">
        <v>931</v>
      </c>
      <c r="E462" s="46" t="s">
        <v>195</v>
      </c>
      <c r="F462" s="48" t="s">
        <v>195</v>
      </c>
      <c r="G462" s="48" t="s">
        <v>932</v>
      </c>
      <c r="H462" s="12">
        <f>MROUND('Rate Card'!$I$29*O462*P462,10)</f>
        <v>1710</v>
      </c>
      <c r="I462" s="12">
        <f>MROUND('Rate Card'!$K$29*O462*P462,10)</f>
        <v>870</v>
      </c>
      <c r="J462" s="12">
        <f>MROUND(H462*4*'Rate Card'!$B$47,100)</f>
        <v>6500</v>
      </c>
      <c r="K462" s="12">
        <f>MROUND(I462*4*'Rate Card'!$B$47,100)</f>
        <v>3300</v>
      </c>
      <c r="L462" s="12">
        <f>MROUND(H462*120*'Rate Card'!$B$48,500)</f>
        <v>174500</v>
      </c>
      <c r="M462" s="12">
        <f>MROUND(I462*120*'Rate Card'!$B$48,500)</f>
        <v>88500</v>
      </c>
      <c r="N462" s="14" t="s">
        <v>1744</v>
      </c>
      <c r="O462" s="49">
        <v>0.57999999999999996</v>
      </c>
      <c r="P462" s="49">
        <v>1</v>
      </c>
    </row>
    <row r="463" spans="1:16" ht="15" customHeight="1" x14ac:dyDescent="0.3">
      <c r="A463" s="9">
        <v>434</v>
      </c>
      <c r="B463" s="46" t="s">
        <v>908</v>
      </c>
      <c r="C463" s="46" t="s">
        <v>1740</v>
      </c>
      <c r="D463" s="47" t="s">
        <v>933</v>
      </c>
      <c r="E463" s="46" t="s">
        <v>195</v>
      </c>
      <c r="F463" s="48" t="s">
        <v>195</v>
      </c>
      <c r="G463" s="48" t="s">
        <v>934</v>
      </c>
      <c r="H463" s="12">
        <f>MROUND('Rate Card'!$I$29*O463*P463,10)</f>
        <v>1710</v>
      </c>
      <c r="I463" s="12">
        <f>MROUND('Rate Card'!$K$29*O463*P463,10)</f>
        <v>870</v>
      </c>
      <c r="J463" s="12">
        <f>MROUND(H463*4*'Rate Card'!$B$47,100)</f>
        <v>6500</v>
      </c>
      <c r="K463" s="12">
        <f>MROUND(I463*4*'Rate Card'!$B$47,100)</f>
        <v>3300</v>
      </c>
      <c r="L463" s="12">
        <f>MROUND(H463*120*'Rate Card'!$B$48,500)</f>
        <v>174500</v>
      </c>
      <c r="M463" s="12">
        <f>MROUND(I463*120*'Rate Card'!$B$48,500)</f>
        <v>88500</v>
      </c>
      <c r="N463" s="14" t="s">
        <v>1744</v>
      </c>
      <c r="O463" s="49">
        <v>0.57999999999999996</v>
      </c>
      <c r="P463" s="49">
        <v>1</v>
      </c>
    </row>
    <row r="464" spans="1:16" ht="15" customHeight="1" x14ac:dyDescent="0.3">
      <c r="A464" s="9">
        <v>435</v>
      </c>
      <c r="B464" s="46" t="s">
        <v>908</v>
      </c>
      <c r="C464" s="46" t="s">
        <v>1740</v>
      </c>
      <c r="D464" s="47" t="s">
        <v>935</v>
      </c>
      <c r="E464" s="46" t="s">
        <v>195</v>
      </c>
      <c r="F464" s="48" t="s">
        <v>195</v>
      </c>
      <c r="G464" s="48"/>
      <c r="H464" s="12">
        <f>MROUND('Rate Card'!$I$29*O464*P464,10)</f>
        <v>1710</v>
      </c>
      <c r="I464" s="12">
        <f>MROUND('Rate Card'!$K$29*O464*P464,10)</f>
        <v>870</v>
      </c>
      <c r="J464" s="12">
        <f>MROUND(H464*4*'Rate Card'!$B$47,100)</f>
        <v>6500</v>
      </c>
      <c r="K464" s="12">
        <f>MROUND(I464*4*'Rate Card'!$B$47,100)</f>
        <v>3300</v>
      </c>
      <c r="L464" s="12">
        <f>MROUND(H464*120*'Rate Card'!$B$48,500)</f>
        <v>174500</v>
      </c>
      <c r="M464" s="12">
        <f>MROUND(I464*120*'Rate Card'!$B$48,500)</f>
        <v>88500</v>
      </c>
      <c r="N464" s="14" t="s">
        <v>1744</v>
      </c>
      <c r="O464" s="49">
        <v>0.57999999999999996</v>
      </c>
      <c r="P464" s="49">
        <v>1</v>
      </c>
    </row>
    <row r="465" spans="1:16" ht="15" customHeight="1" x14ac:dyDescent="0.3">
      <c r="A465" s="9">
        <v>436</v>
      </c>
      <c r="B465" s="46" t="s">
        <v>908</v>
      </c>
      <c r="C465" s="46" t="s">
        <v>1740</v>
      </c>
      <c r="D465" s="47" t="s">
        <v>936</v>
      </c>
      <c r="E465" s="46" t="s">
        <v>195</v>
      </c>
      <c r="F465" s="48" t="s">
        <v>195</v>
      </c>
      <c r="G465" s="48"/>
      <c r="H465" s="12">
        <f>MROUND('Rate Card'!$I$29*O465*P465,10)</f>
        <v>1710</v>
      </c>
      <c r="I465" s="12">
        <f>MROUND('Rate Card'!$K$29*O465*P465,10)</f>
        <v>870</v>
      </c>
      <c r="J465" s="12">
        <f>MROUND(H465*4*'Rate Card'!$B$47,100)</f>
        <v>6500</v>
      </c>
      <c r="K465" s="12">
        <f>MROUND(I465*4*'Rate Card'!$B$47,100)</f>
        <v>3300</v>
      </c>
      <c r="L465" s="12">
        <f>MROUND(H465*120*'Rate Card'!$B$48,500)</f>
        <v>174500</v>
      </c>
      <c r="M465" s="12">
        <f>MROUND(I465*120*'Rate Card'!$B$48,500)</f>
        <v>88500</v>
      </c>
      <c r="N465" s="14" t="s">
        <v>1744</v>
      </c>
      <c r="O465" s="49">
        <v>0.57999999999999996</v>
      </c>
      <c r="P465" s="49">
        <v>1</v>
      </c>
    </row>
    <row r="466" spans="1:16" ht="15" customHeight="1" x14ac:dyDescent="0.3">
      <c r="A466" s="9">
        <v>437</v>
      </c>
      <c r="B466" s="46" t="s">
        <v>908</v>
      </c>
      <c r="C466" s="46" t="s">
        <v>1740</v>
      </c>
      <c r="D466" s="47" t="s">
        <v>937</v>
      </c>
      <c r="E466" s="46" t="s">
        <v>195</v>
      </c>
      <c r="F466" s="48" t="s">
        <v>195</v>
      </c>
      <c r="G466" s="48" t="s">
        <v>938</v>
      </c>
      <c r="H466" s="12">
        <f>MROUND('Rate Card'!$I$29*O466*P466,10)</f>
        <v>1710</v>
      </c>
      <c r="I466" s="12">
        <f>MROUND('Rate Card'!$K$29*O466*P466,10)</f>
        <v>870</v>
      </c>
      <c r="J466" s="12">
        <f>MROUND(H466*4*'Rate Card'!$B$47,100)</f>
        <v>6500</v>
      </c>
      <c r="K466" s="12">
        <f>MROUND(I466*4*'Rate Card'!$B$47,100)</f>
        <v>3300</v>
      </c>
      <c r="L466" s="12">
        <f>MROUND(H466*120*'Rate Card'!$B$48,500)</f>
        <v>174500</v>
      </c>
      <c r="M466" s="12">
        <f>MROUND(I466*120*'Rate Card'!$B$48,500)</f>
        <v>88500</v>
      </c>
      <c r="N466" s="14" t="s">
        <v>1744</v>
      </c>
      <c r="O466" s="49">
        <v>0.57999999999999996</v>
      </c>
      <c r="P466" s="49">
        <v>1</v>
      </c>
    </row>
    <row r="467" spans="1:16" ht="15" customHeight="1" x14ac:dyDescent="0.3">
      <c r="A467" s="9">
        <v>438</v>
      </c>
      <c r="B467" s="46" t="s">
        <v>908</v>
      </c>
      <c r="C467" s="46" t="s">
        <v>1740</v>
      </c>
      <c r="D467" s="47" t="s">
        <v>939</v>
      </c>
      <c r="E467" s="46" t="s">
        <v>195</v>
      </c>
      <c r="F467" s="48" t="s">
        <v>195</v>
      </c>
      <c r="G467" s="48"/>
      <c r="H467" s="12">
        <f>MROUND('Rate Card'!$I$29*O467*P467,10)</f>
        <v>1710</v>
      </c>
      <c r="I467" s="12">
        <f>MROUND('Rate Card'!$K$29*O467*P467,10)</f>
        <v>870</v>
      </c>
      <c r="J467" s="12">
        <f>MROUND(H467*4*'Rate Card'!$B$47,100)</f>
        <v>6500</v>
      </c>
      <c r="K467" s="12">
        <f>MROUND(I467*4*'Rate Card'!$B$47,100)</f>
        <v>3300</v>
      </c>
      <c r="L467" s="12">
        <f>MROUND(H467*120*'Rate Card'!$B$48,500)</f>
        <v>174500</v>
      </c>
      <c r="M467" s="12">
        <f>MROUND(I467*120*'Rate Card'!$B$48,500)</f>
        <v>88500</v>
      </c>
      <c r="N467" s="14" t="s">
        <v>1744</v>
      </c>
      <c r="O467" s="49">
        <v>0.57999999999999996</v>
      </c>
      <c r="P467" s="49">
        <v>1</v>
      </c>
    </row>
    <row r="468" spans="1:16" ht="15" customHeight="1" x14ac:dyDescent="0.3">
      <c r="A468" s="9">
        <v>439</v>
      </c>
      <c r="B468" s="46" t="s">
        <v>908</v>
      </c>
      <c r="C468" s="46" t="s">
        <v>1740</v>
      </c>
      <c r="D468" s="47" t="s">
        <v>940</v>
      </c>
      <c r="E468" s="46" t="s">
        <v>195</v>
      </c>
      <c r="F468" s="48" t="s">
        <v>195</v>
      </c>
      <c r="G468" s="48"/>
      <c r="H468" s="12">
        <f>MROUND('Rate Card'!$I$29*O468*P468,10)</f>
        <v>1710</v>
      </c>
      <c r="I468" s="12">
        <f>MROUND('Rate Card'!$K$29*O468*P468,10)</f>
        <v>870</v>
      </c>
      <c r="J468" s="12">
        <f>MROUND(H468*4*'Rate Card'!$B$47,100)</f>
        <v>6500</v>
      </c>
      <c r="K468" s="12">
        <f>MROUND(I468*4*'Rate Card'!$B$47,100)</f>
        <v>3300</v>
      </c>
      <c r="L468" s="12">
        <f>MROUND(H468*120*'Rate Card'!$B$48,500)</f>
        <v>174500</v>
      </c>
      <c r="M468" s="12">
        <f>MROUND(I468*120*'Rate Card'!$B$48,500)</f>
        <v>88500</v>
      </c>
      <c r="N468" s="14" t="s">
        <v>1744</v>
      </c>
      <c r="O468" s="49">
        <v>0.57999999999999996</v>
      </c>
      <c r="P468" s="49">
        <v>1</v>
      </c>
    </row>
    <row r="469" spans="1:16" ht="15" customHeight="1" x14ac:dyDescent="0.3">
      <c r="A469" s="9">
        <v>440</v>
      </c>
      <c r="B469" s="46" t="s">
        <v>908</v>
      </c>
      <c r="C469" s="46" t="s">
        <v>1740</v>
      </c>
      <c r="D469" s="47" t="s">
        <v>941</v>
      </c>
      <c r="E469" s="46" t="s">
        <v>195</v>
      </c>
      <c r="F469" s="48" t="s">
        <v>195</v>
      </c>
      <c r="G469" s="48"/>
      <c r="H469" s="12">
        <f>MROUND('Rate Card'!$I$29*O469*P469,10)</f>
        <v>1710</v>
      </c>
      <c r="I469" s="12">
        <f>MROUND('Rate Card'!$K$29*O469*P469,10)</f>
        <v>870</v>
      </c>
      <c r="J469" s="12">
        <f>MROUND(H469*4*'Rate Card'!$B$47,100)</f>
        <v>6500</v>
      </c>
      <c r="K469" s="12">
        <f>MROUND(I469*4*'Rate Card'!$B$47,100)</f>
        <v>3300</v>
      </c>
      <c r="L469" s="12">
        <f>MROUND(H469*120*'Rate Card'!$B$48,500)</f>
        <v>174500</v>
      </c>
      <c r="M469" s="12">
        <f>MROUND(I469*120*'Rate Card'!$B$48,500)</f>
        <v>88500</v>
      </c>
      <c r="N469" s="14" t="s">
        <v>1744</v>
      </c>
      <c r="O469" s="49">
        <v>0.57999999999999996</v>
      </c>
      <c r="P469" s="49">
        <v>1</v>
      </c>
    </row>
    <row r="470" spans="1:16" ht="15" customHeight="1" x14ac:dyDescent="0.3">
      <c r="A470" s="199" t="s">
        <v>944</v>
      </c>
      <c r="B470" s="200"/>
      <c r="C470" s="200"/>
      <c r="D470" s="200"/>
      <c r="E470" s="200"/>
      <c r="F470" s="200"/>
      <c r="G470" s="200"/>
      <c r="H470" s="200"/>
      <c r="I470" s="200"/>
      <c r="J470" s="200"/>
      <c r="K470" s="200"/>
      <c r="L470" s="200"/>
      <c r="M470" s="200"/>
      <c r="N470" s="200"/>
    </row>
    <row r="471" spans="1:16" ht="15" customHeight="1" x14ac:dyDescent="0.3">
      <c r="A471" s="9">
        <v>441</v>
      </c>
      <c r="B471" s="46" t="s">
        <v>945</v>
      </c>
      <c r="C471" s="46" t="s">
        <v>1832</v>
      </c>
      <c r="D471" s="47" t="s">
        <v>947</v>
      </c>
      <c r="E471" s="46" t="s">
        <v>1938</v>
      </c>
      <c r="F471" s="48" t="s">
        <v>66</v>
      </c>
      <c r="G471" s="48" t="s">
        <v>948</v>
      </c>
      <c r="H471" s="12">
        <f>MROUND('Rate Card'!$I$30*O471*P471,10)</f>
        <v>1720</v>
      </c>
      <c r="I471" s="12">
        <f>MROUND('Rate Card'!$K$30*O471*P471,10)</f>
        <v>940</v>
      </c>
      <c r="J471" s="12">
        <f>MROUND(H471*4*'Rate Card'!$B$47,100)</f>
        <v>6500</v>
      </c>
      <c r="K471" s="12">
        <f>MROUND(I471*4*'Rate Card'!$B$47,100)</f>
        <v>3600</v>
      </c>
      <c r="L471" s="12">
        <f>MROUND(H471*120*'Rate Card'!$B$48,500)</f>
        <v>175500</v>
      </c>
      <c r="M471" s="12">
        <f>MROUND(I471*120*'Rate Card'!$B$48,500)</f>
        <v>96000</v>
      </c>
      <c r="N471" s="14"/>
      <c r="O471" s="49">
        <v>0.82</v>
      </c>
      <c r="P471" s="49">
        <v>1</v>
      </c>
    </row>
    <row r="472" spans="1:16" ht="15" customHeight="1" x14ac:dyDescent="0.3">
      <c r="A472" s="9">
        <v>442</v>
      </c>
      <c r="B472" s="46" t="s">
        <v>945</v>
      </c>
      <c r="C472" s="46" t="s">
        <v>1832</v>
      </c>
      <c r="D472" s="47" t="s">
        <v>949</v>
      </c>
      <c r="E472" s="46" t="s">
        <v>1938</v>
      </c>
      <c r="F472" s="48" t="s">
        <v>66</v>
      </c>
      <c r="G472" s="48" t="s">
        <v>950</v>
      </c>
      <c r="H472" s="12">
        <f>MROUND('Rate Card'!$I$30*O472*P472,10)</f>
        <v>1720</v>
      </c>
      <c r="I472" s="12">
        <f>MROUND('Rate Card'!$K$30*O472*P472,10)</f>
        <v>940</v>
      </c>
      <c r="J472" s="12">
        <f>MROUND(H472*4*'Rate Card'!$B$47,100)</f>
        <v>6500</v>
      </c>
      <c r="K472" s="12">
        <f>MROUND(I472*4*'Rate Card'!$B$47,100)</f>
        <v>3600</v>
      </c>
      <c r="L472" s="12">
        <f>MROUND(H472*120*'Rate Card'!$B$48,500)</f>
        <v>175500</v>
      </c>
      <c r="M472" s="12">
        <f>MROUND(I472*120*'Rate Card'!$B$48,500)</f>
        <v>96000</v>
      </c>
      <c r="N472" s="14"/>
      <c r="O472" s="49">
        <v>0.82</v>
      </c>
      <c r="P472" s="49">
        <v>1</v>
      </c>
    </row>
    <row r="473" spans="1:16" ht="15" customHeight="1" x14ac:dyDescent="0.3">
      <c r="A473" s="9">
        <v>443</v>
      </c>
      <c r="B473" s="46" t="s">
        <v>945</v>
      </c>
      <c r="C473" s="46" t="s">
        <v>1832</v>
      </c>
      <c r="D473" s="47" t="s">
        <v>952</v>
      </c>
      <c r="E473" s="46" t="s">
        <v>1939</v>
      </c>
      <c r="F473" s="48" t="s">
        <v>66</v>
      </c>
      <c r="G473" s="48" t="s">
        <v>953</v>
      </c>
      <c r="H473" s="12">
        <f>MROUND('Rate Card'!$I$30*O473*P473,10)</f>
        <v>1720</v>
      </c>
      <c r="I473" s="12">
        <f>MROUND('Rate Card'!$K$30*O473*P473,10)</f>
        <v>940</v>
      </c>
      <c r="J473" s="12">
        <f>MROUND(H473*4*'Rate Card'!$B$47,100)</f>
        <v>6500</v>
      </c>
      <c r="K473" s="12">
        <f>MROUND(I473*4*'Rate Card'!$B$47,100)</f>
        <v>3600</v>
      </c>
      <c r="L473" s="12">
        <f>MROUND(H473*120*'Rate Card'!$B$48,500)</f>
        <v>175500</v>
      </c>
      <c r="M473" s="12">
        <f>MROUND(I473*120*'Rate Card'!$B$48,500)</f>
        <v>96000</v>
      </c>
      <c r="N473" s="14"/>
      <c r="O473" s="49">
        <v>0.82</v>
      </c>
      <c r="P473" s="49">
        <v>1</v>
      </c>
    </row>
    <row r="474" spans="1:16" ht="15" customHeight="1" x14ac:dyDescent="0.3">
      <c r="A474" s="9">
        <v>444</v>
      </c>
      <c r="B474" s="46" t="s">
        <v>945</v>
      </c>
      <c r="C474" s="46" t="s">
        <v>1940</v>
      </c>
      <c r="D474" s="47" t="s">
        <v>955</v>
      </c>
      <c r="E474" s="46" t="s">
        <v>1941</v>
      </c>
      <c r="F474" s="48" t="s">
        <v>66</v>
      </c>
      <c r="G474" s="48" t="s">
        <v>956</v>
      </c>
      <c r="H474" s="12">
        <f>MROUND('Rate Card'!$I$30*O474*P474,10)</f>
        <v>1720</v>
      </c>
      <c r="I474" s="12">
        <f>MROUND('Rate Card'!$K$30*O474*P474,10)</f>
        <v>940</v>
      </c>
      <c r="J474" s="12">
        <f>MROUND(H474*4*'Rate Card'!$B$47,100)</f>
        <v>6500</v>
      </c>
      <c r="K474" s="12">
        <f>MROUND(I474*4*'Rate Card'!$B$47,100)</f>
        <v>3600</v>
      </c>
      <c r="L474" s="12">
        <f>MROUND(H474*120*'Rate Card'!$B$48,500)</f>
        <v>175500</v>
      </c>
      <c r="M474" s="12">
        <f>MROUND(I474*120*'Rate Card'!$B$48,500)</f>
        <v>96000</v>
      </c>
      <c r="N474" s="14"/>
      <c r="O474" s="49">
        <v>0.82</v>
      </c>
      <c r="P474" s="49">
        <v>1</v>
      </c>
    </row>
    <row r="475" spans="1:16" ht="27.75" customHeight="1" x14ac:dyDescent="0.3">
      <c r="A475" s="9">
        <v>445</v>
      </c>
      <c r="B475" s="46" t="s">
        <v>945</v>
      </c>
      <c r="C475" s="46" t="s">
        <v>1942</v>
      </c>
      <c r="D475" s="47" t="s">
        <v>958</v>
      </c>
      <c r="E475" s="46" t="s">
        <v>1943</v>
      </c>
      <c r="F475" s="48" t="s">
        <v>335</v>
      </c>
      <c r="G475" s="48" t="s">
        <v>959</v>
      </c>
      <c r="H475" s="12">
        <f>MROUND('Rate Card'!$I$30*O475*P475,10)</f>
        <v>1510</v>
      </c>
      <c r="I475" s="12">
        <f>MROUND('Rate Card'!$K$30*O475*P475,10)</f>
        <v>830</v>
      </c>
      <c r="J475" s="12">
        <f>MROUND(H475*4*'Rate Card'!$B$47,100)</f>
        <v>5700</v>
      </c>
      <c r="K475" s="12">
        <f>MROUND(I475*4*'Rate Card'!$B$47,100)</f>
        <v>3200</v>
      </c>
      <c r="L475" s="12">
        <f>MROUND(H475*120*'Rate Card'!$B$48,500)</f>
        <v>154000</v>
      </c>
      <c r="M475" s="12">
        <f>MROUND(I475*120*'Rate Card'!$B$48,500)</f>
        <v>84500</v>
      </c>
      <c r="N475" s="14" t="s">
        <v>1693</v>
      </c>
      <c r="O475" s="49">
        <v>0.72</v>
      </c>
      <c r="P475" s="49">
        <v>1</v>
      </c>
    </row>
    <row r="476" spans="1:16" ht="15" customHeight="1" x14ac:dyDescent="0.3">
      <c r="A476" s="9">
        <v>446</v>
      </c>
      <c r="B476" s="46" t="s">
        <v>945</v>
      </c>
      <c r="C476" s="46" t="s">
        <v>1940</v>
      </c>
      <c r="D476" s="47" t="s">
        <v>960</v>
      </c>
      <c r="E476" s="46" t="s">
        <v>1941</v>
      </c>
      <c r="F476" s="48" t="s">
        <v>440</v>
      </c>
      <c r="G476" s="48" t="s">
        <v>961</v>
      </c>
      <c r="H476" s="12">
        <f>MROUND('Rate Card'!$I$30*O476*P476,10)</f>
        <v>1510</v>
      </c>
      <c r="I476" s="12">
        <f>MROUND('Rate Card'!$K$30*O476*P476,10)</f>
        <v>830</v>
      </c>
      <c r="J476" s="12">
        <f>MROUND(H476*4*'Rate Card'!$B$47,100)</f>
        <v>5700</v>
      </c>
      <c r="K476" s="12">
        <f>MROUND(I476*4*'Rate Card'!$B$47,100)</f>
        <v>3200</v>
      </c>
      <c r="L476" s="12">
        <f>MROUND(H476*120*'Rate Card'!$B$48,500)</f>
        <v>154000</v>
      </c>
      <c r="M476" s="12">
        <f>MROUND(I476*120*'Rate Card'!$B$48,500)</f>
        <v>84500</v>
      </c>
      <c r="N476" s="14" t="s">
        <v>1693</v>
      </c>
      <c r="O476" s="49">
        <v>0.72</v>
      </c>
      <c r="P476" s="49">
        <v>1</v>
      </c>
    </row>
    <row r="477" spans="1:16" ht="15" customHeight="1" x14ac:dyDescent="0.3">
      <c r="A477" s="9">
        <v>447</v>
      </c>
      <c r="B477" s="46" t="s">
        <v>945</v>
      </c>
      <c r="C477" s="46" t="s">
        <v>1940</v>
      </c>
      <c r="D477" s="47" t="s">
        <v>962</v>
      </c>
      <c r="E477" s="46" t="s">
        <v>1941</v>
      </c>
      <c r="F477" s="48" t="s">
        <v>440</v>
      </c>
      <c r="G477" s="48" t="s">
        <v>963</v>
      </c>
      <c r="H477" s="12">
        <f>MROUND('Rate Card'!$I$30*O477*P477,10)</f>
        <v>1510</v>
      </c>
      <c r="I477" s="12">
        <f>MROUND('Rate Card'!$K$30*O477*P477,10)</f>
        <v>830</v>
      </c>
      <c r="J477" s="12">
        <f>MROUND(H477*4*'Rate Card'!$B$47,100)</f>
        <v>5700</v>
      </c>
      <c r="K477" s="12">
        <f>MROUND(I477*4*'Rate Card'!$B$47,100)</f>
        <v>3200</v>
      </c>
      <c r="L477" s="12">
        <f>MROUND(H477*120*'Rate Card'!$B$48,500)</f>
        <v>154000</v>
      </c>
      <c r="M477" s="12">
        <f>MROUND(I477*120*'Rate Card'!$B$48,500)</f>
        <v>84500</v>
      </c>
      <c r="N477" s="14" t="s">
        <v>1693</v>
      </c>
      <c r="O477" s="49">
        <v>0.72</v>
      </c>
      <c r="P477" s="49">
        <v>1</v>
      </c>
    </row>
    <row r="478" spans="1:16" ht="27.75" customHeight="1" x14ac:dyDescent="0.3">
      <c r="A478" s="9">
        <v>448</v>
      </c>
      <c r="B478" s="46" t="s">
        <v>945</v>
      </c>
      <c r="C478" s="46" t="s">
        <v>1944</v>
      </c>
      <c r="D478" s="47" t="s">
        <v>965</v>
      </c>
      <c r="E478" s="46" t="s">
        <v>1941</v>
      </c>
      <c r="F478" s="48" t="s">
        <v>967</v>
      </c>
      <c r="G478" s="48" t="s">
        <v>966</v>
      </c>
      <c r="H478" s="12">
        <f>MROUND('Rate Card'!$I$30*O478*P478,10)</f>
        <v>1220</v>
      </c>
      <c r="I478" s="12">
        <f>MROUND('Rate Card'!$K$30*O478*P478,10)</f>
        <v>670</v>
      </c>
      <c r="J478" s="12">
        <f>MROUND(H478*4*'Rate Card'!$B$47,100)</f>
        <v>4600</v>
      </c>
      <c r="K478" s="12">
        <f>MROUND(I478*4*'Rate Card'!$B$47,100)</f>
        <v>2500</v>
      </c>
      <c r="L478" s="12">
        <f>MROUND(H478*120*'Rate Card'!$B$48,500)</f>
        <v>124500</v>
      </c>
      <c r="M478" s="12">
        <f>MROUND(I478*120*'Rate Card'!$B$48,500)</f>
        <v>68500</v>
      </c>
      <c r="N478" s="14" t="s">
        <v>1697</v>
      </c>
      <c r="O478" s="49">
        <v>0.57999999999999996</v>
      </c>
      <c r="P478" s="49">
        <v>1</v>
      </c>
    </row>
    <row r="479" spans="1:16" ht="27.75" customHeight="1" x14ac:dyDescent="0.3">
      <c r="A479" s="9">
        <v>449</v>
      </c>
      <c r="B479" s="46" t="s">
        <v>945</v>
      </c>
      <c r="C479" s="46" t="s">
        <v>1944</v>
      </c>
      <c r="D479" s="47" t="s">
        <v>969</v>
      </c>
      <c r="E479" s="46" t="s">
        <v>1945</v>
      </c>
      <c r="F479" s="48" t="s">
        <v>971</v>
      </c>
      <c r="G479" s="48" t="s">
        <v>970</v>
      </c>
      <c r="H479" s="12">
        <f>MROUND('Rate Card'!$I$30*O479*P479,10)</f>
        <v>1220</v>
      </c>
      <c r="I479" s="12">
        <f>MROUND('Rate Card'!$K$30*O479*P479,10)</f>
        <v>670</v>
      </c>
      <c r="J479" s="12">
        <f>MROUND(H479*4*'Rate Card'!$B$47,100)</f>
        <v>4600</v>
      </c>
      <c r="K479" s="12">
        <f>MROUND(I479*4*'Rate Card'!$B$47,100)</f>
        <v>2500</v>
      </c>
      <c r="L479" s="12">
        <f>MROUND(H479*120*'Rate Card'!$B$48,500)</f>
        <v>124500</v>
      </c>
      <c r="M479" s="12">
        <f>MROUND(I479*120*'Rate Card'!$B$48,500)</f>
        <v>68500</v>
      </c>
      <c r="N479" s="14" t="s">
        <v>1697</v>
      </c>
      <c r="O479" s="49">
        <v>0.57999999999999996</v>
      </c>
      <c r="P479" s="49">
        <v>1</v>
      </c>
    </row>
    <row r="480" spans="1:16" ht="15" customHeight="1" x14ac:dyDescent="0.3">
      <c r="A480" s="9">
        <v>450</v>
      </c>
      <c r="B480" s="46" t="s">
        <v>945</v>
      </c>
      <c r="C480" s="46" t="s">
        <v>1740</v>
      </c>
      <c r="D480" s="47"/>
      <c r="E480" s="46" t="s">
        <v>195</v>
      </c>
      <c r="F480" s="48" t="s">
        <v>195</v>
      </c>
      <c r="G480" s="48" t="s">
        <v>1494</v>
      </c>
      <c r="H480" s="12">
        <f>MROUND('Rate Card'!$I$30*O480*P480,10)</f>
        <v>1220</v>
      </c>
      <c r="I480" s="12">
        <f>MROUND('Rate Card'!$K$30*O480*P480,10)</f>
        <v>670</v>
      </c>
      <c r="J480" s="12">
        <f>MROUND(H480*4*'Rate Card'!$B$47,100)</f>
        <v>4600</v>
      </c>
      <c r="K480" s="12">
        <f>MROUND(I480*4*'Rate Card'!$B$47,100)</f>
        <v>2500</v>
      </c>
      <c r="L480" s="12">
        <f>MROUND(H480*120*'Rate Card'!$B$48,500)</f>
        <v>124500</v>
      </c>
      <c r="M480" s="12">
        <f>MROUND(I480*120*'Rate Card'!$B$48,500)</f>
        <v>68500</v>
      </c>
      <c r="N480" s="14" t="s">
        <v>1744</v>
      </c>
      <c r="O480" s="49">
        <v>0.57999999999999996</v>
      </c>
      <c r="P480" s="49">
        <v>1</v>
      </c>
    </row>
    <row r="481" spans="1:16" ht="15" customHeight="1" x14ac:dyDescent="0.3">
      <c r="A481" s="9">
        <v>451</v>
      </c>
      <c r="B481" s="46" t="s">
        <v>945</v>
      </c>
      <c r="C481" s="46" t="s">
        <v>1740</v>
      </c>
      <c r="D481" s="47"/>
      <c r="E481" s="46" t="s">
        <v>195</v>
      </c>
      <c r="F481" s="48" t="s">
        <v>195</v>
      </c>
      <c r="G481" s="48" t="s">
        <v>963</v>
      </c>
      <c r="H481" s="12">
        <f>MROUND('Rate Card'!$I$30*O481*P481,10)</f>
        <v>1220</v>
      </c>
      <c r="I481" s="12">
        <f>MROUND('Rate Card'!$K$30*O481*P481,10)</f>
        <v>670</v>
      </c>
      <c r="J481" s="12">
        <f>MROUND(H481*4*'Rate Card'!$B$47,100)</f>
        <v>4600</v>
      </c>
      <c r="K481" s="12">
        <f>MROUND(I481*4*'Rate Card'!$B$47,100)</f>
        <v>2500</v>
      </c>
      <c r="L481" s="12">
        <f>MROUND(H481*120*'Rate Card'!$B$48,500)</f>
        <v>124500</v>
      </c>
      <c r="M481" s="12">
        <f>MROUND(I481*120*'Rate Card'!$B$48,500)</f>
        <v>68500</v>
      </c>
      <c r="N481" s="14" t="s">
        <v>1744</v>
      </c>
      <c r="O481" s="49">
        <v>0.57999999999999996</v>
      </c>
      <c r="P481" s="49">
        <v>1</v>
      </c>
    </row>
    <row r="482" spans="1:16" ht="27.75" customHeight="1" x14ac:dyDescent="0.3">
      <c r="A482" s="9">
        <v>452</v>
      </c>
      <c r="B482" s="46" t="s">
        <v>945</v>
      </c>
      <c r="C482" s="46" t="s">
        <v>1942</v>
      </c>
      <c r="D482" s="47" t="s">
        <v>972</v>
      </c>
      <c r="E482" s="46" t="s">
        <v>1943</v>
      </c>
      <c r="F482" s="48" t="s">
        <v>195</v>
      </c>
      <c r="G482" s="48" t="s">
        <v>959</v>
      </c>
      <c r="H482" s="12">
        <f>MROUND('Rate Card'!$I$30*O482*P482,10)</f>
        <v>1220</v>
      </c>
      <c r="I482" s="12">
        <f>MROUND('Rate Card'!$K$30*O482*P482,10)</f>
        <v>670</v>
      </c>
      <c r="J482" s="12">
        <f>MROUND(H482*4*'Rate Card'!$B$47,100)</f>
        <v>4600</v>
      </c>
      <c r="K482" s="12">
        <f>MROUND(I482*4*'Rate Card'!$B$47,100)</f>
        <v>2500</v>
      </c>
      <c r="L482" s="12">
        <f>MROUND(H482*120*'Rate Card'!$B$48,500)</f>
        <v>124500</v>
      </c>
      <c r="M482" s="12">
        <f>MROUND(I482*120*'Rate Card'!$B$48,500)</f>
        <v>68500</v>
      </c>
      <c r="N482" s="14" t="s">
        <v>1744</v>
      </c>
      <c r="O482" s="49">
        <v>0.57999999999999996</v>
      </c>
      <c r="P482" s="49">
        <v>1</v>
      </c>
    </row>
    <row r="483" spans="1:16" ht="15" customHeight="1" x14ac:dyDescent="0.3">
      <c r="A483" s="199" t="s">
        <v>973</v>
      </c>
      <c r="B483" s="200"/>
      <c r="C483" s="200"/>
      <c r="D483" s="200"/>
      <c r="E483" s="200"/>
      <c r="F483" s="200"/>
      <c r="G483" s="200"/>
      <c r="H483" s="200"/>
      <c r="I483" s="200"/>
      <c r="J483" s="200"/>
      <c r="K483" s="200"/>
      <c r="L483" s="200"/>
      <c r="M483" s="200"/>
      <c r="N483" s="200"/>
    </row>
    <row r="484" spans="1:16" ht="15" customHeight="1" x14ac:dyDescent="0.3">
      <c r="A484" s="9">
        <v>453</v>
      </c>
      <c r="B484" s="46" t="s">
        <v>974</v>
      </c>
      <c r="C484" s="46" t="s">
        <v>1946</v>
      </c>
      <c r="D484" s="47" t="s">
        <v>976</v>
      </c>
      <c r="E484" s="46" t="s">
        <v>1947</v>
      </c>
      <c r="F484" s="48" t="s">
        <v>116</v>
      </c>
      <c r="G484" s="48" t="s">
        <v>977</v>
      </c>
      <c r="H484" s="12">
        <f>MROUND('Rate Card'!$I$31*O484*P484,10)</f>
        <v>460</v>
      </c>
      <c r="I484" s="12">
        <f>MROUND('Rate Card'!$K$31*O484*P484,10)</f>
        <v>280</v>
      </c>
      <c r="J484" s="12">
        <f>MROUND(H484*4*'Rate Card'!$B$47,100)</f>
        <v>1700</v>
      </c>
      <c r="K484" s="12">
        <f>MROUND(I484*4*'Rate Card'!$B$47,100)</f>
        <v>1100</v>
      </c>
      <c r="L484" s="12">
        <f>MROUND(H484*120*'Rate Card'!$B$48,500)</f>
        <v>47000</v>
      </c>
      <c r="M484" s="12">
        <f>MROUND(I484*120*'Rate Card'!$B$48,500)</f>
        <v>28500</v>
      </c>
      <c r="N484" s="14"/>
      <c r="O484" s="49">
        <v>0.92</v>
      </c>
      <c r="P484" s="49">
        <v>1</v>
      </c>
    </row>
    <row r="485" spans="1:16" ht="15" customHeight="1" x14ac:dyDescent="0.3">
      <c r="A485" s="9">
        <v>454</v>
      </c>
      <c r="B485" s="46" t="s">
        <v>974</v>
      </c>
      <c r="C485" s="46" t="s">
        <v>1946</v>
      </c>
      <c r="D485" s="47"/>
      <c r="E485" s="46" t="s">
        <v>1947</v>
      </c>
      <c r="F485" s="48" t="s">
        <v>116</v>
      </c>
      <c r="G485" s="48"/>
      <c r="H485" s="12">
        <f>MROUND('Rate Card'!$I$31*O485*P485,10)</f>
        <v>460</v>
      </c>
      <c r="I485" s="12">
        <f>MROUND('Rate Card'!$K$31*O485*P485,10)</f>
        <v>280</v>
      </c>
      <c r="J485" s="12">
        <f>MROUND(H485*4*'Rate Card'!$B$47,100)</f>
        <v>1700</v>
      </c>
      <c r="K485" s="12">
        <f>MROUND(I485*4*'Rate Card'!$B$47,100)</f>
        <v>1100</v>
      </c>
      <c r="L485" s="12">
        <f>MROUND(H485*120*'Rate Card'!$B$48,500)</f>
        <v>47000</v>
      </c>
      <c r="M485" s="12">
        <f>MROUND(I485*120*'Rate Card'!$B$48,500)</f>
        <v>28500</v>
      </c>
      <c r="N485" s="14"/>
      <c r="O485" s="49">
        <v>0.92</v>
      </c>
      <c r="P485" s="49">
        <v>1</v>
      </c>
    </row>
    <row r="486" spans="1:16" ht="15" customHeight="1" x14ac:dyDescent="0.3">
      <c r="A486" s="9">
        <v>455</v>
      </c>
      <c r="B486" s="46" t="s">
        <v>974</v>
      </c>
      <c r="C486" s="46" t="s">
        <v>1946</v>
      </c>
      <c r="D486" s="47" t="s">
        <v>1035</v>
      </c>
      <c r="E486" s="46" t="s">
        <v>1948</v>
      </c>
      <c r="F486" s="48" t="s">
        <v>73</v>
      </c>
      <c r="G486" s="48" t="s">
        <v>1036</v>
      </c>
      <c r="H486" s="12">
        <f>MROUND('Rate Card'!$I$31*O486*P486,10)</f>
        <v>460</v>
      </c>
      <c r="I486" s="12">
        <f>MROUND('Rate Card'!$K$31*O486*P486,10)</f>
        <v>280</v>
      </c>
      <c r="J486" s="12">
        <f>MROUND(H486*4*'Rate Card'!$B$47,100)</f>
        <v>1700</v>
      </c>
      <c r="K486" s="12">
        <f>MROUND(I486*4*'Rate Card'!$B$47,100)</f>
        <v>1100</v>
      </c>
      <c r="L486" s="12">
        <f>MROUND(H486*120*'Rate Card'!$B$48,500)</f>
        <v>47000</v>
      </c>
      <c r="M486" s="12">
        <f>MROUND(I486*120*'Rate Card'!$B$48,500)</f>
        <v>28500</v>
      </c>
      <c r="N486" s="14"/>
      <c r="O486" s="49">
        <v>0.92</v>
      </c>
      <c r="P486" s="49">
        <v>1</v>
      </c>
    </row>
    <row r="487" spans="1:16" ht="15" customHeight="1" x14ac:dyDescent="0.3">
      <c r="A487" s="9">
        <v>456</v>
      </c>
      <c r="B487" s="46" t="s">
        <v>974</v>
      </c>
      <c r="C487" s="46" t="s">
        <v>1946</v>
      </c>
      <c r="D487" s="47" t="s">
        <v>1025</v>
      </c>
      <c r="E487" s="46" t="s">
        <v>1947</v>
      </c>
      <c r="F487" s="48" t="s">
        <v>458</v>
      </c>
      <c r="G487" s="48" t="s">
        <v>1026</v>
      </c>
      <c r="H487" s="12">
        <f>MROUND('Rate Card'!$I$31*O487*P487,10)</f>
        <v>460</v>
      </c>
      <c r="I487" s="12">
        <f>MROUND('Rate Card'!$K$31*O487*P487,10)</f>
        <v>280</v>
      </c>
      <c r="J487" s="12">
        <f>MROUND(H487*4*'Rate Card'!$B$47,100)</f>
        <v>1700</v>
      </c>
      <c r="K487" s="12">
        <f>MROUND(I487*4*'Rate Card'!$B$47,100)</f>
        <v>1100</v>
      </c>
      <c r="L487" s="12">
        <f>MROUND(H487*120*'Rate Card'!$B$48,500)</f>
        <v>47000</v>
      </c>
      <c r="M487" s="12">
        <f>MROUND(I487*120*'Rate Card'!$B$48,500)</f>
        <v>28500</v>
      </c>
      <c r="N487" s="14"/>
      <c r="O487" s="49">
        <v>0.92</v>
      </c>
      <c r="P487" s="49">
        <v>1</v>
      </c>
    </row>
    <row r="488" spans="1:16" ht="15" customHeight="1" x14ac:dyDescent="0.3">
      <c r="A488" s="9">
        <v>457</v>
      </c>
      <c r="B488" s="46" t="s">
        <v>974</v>
      </c>
      <c r="C488" s="46" t="s">
        <v>1946</v>
      </c>
      <c r="D488" s="47" t="s">
        <v>978</v>
      </c>
      <c r="E488" s="46" t="s">
        <v>1947</v>
      </c>
      <c r="F488" s="48" t="s">
        <v>116</v>
      </c>
      <c r="G488" s="48" t="s">
        <v>979</v>
      </c>
      <c r="H488" s="12">
        <f>MROUND('Rate Card'!$I$31*O488*P488,10)</f>
        <v>460</v>
      </c>
      <c r="I488" s="12">
        <f>MROUND('Rate Card'!$K$31*O488*P488,10)</f>
        <v>280</v>
      </c>
      <c r="J488" s="12">
        <f>MROUND(H488*4*'Rate Card'!$B$47,100)</f>
        <v>1700</v>
      </c>
      <c r="K488" s="12">
        <f>MROUND(I488*4*'Rate Card'!$B$47,100)</f>
        <v>1100</v>
      </c>
      <c r="L488" s="12">
        <f>MROUND(H488*120*'Rate Card'!$B$48,500)</f>
        <v>47000</v>
      </c>
      <c r="M488" s="12">
        <f>MROUND(I488*120*'Rate Card'!$B$48,500)</f>
        <v>28500</v>
      </c>
      <c r="N488" s="14"/>
      <c r="O488" s="49">
        <v>0.92</v>
      </c>
      <c r="P488" s="49">
        <v>1</v>
      </c>
    </row>
    <row r="489" spans="1:16" ht="15" customHeight="1" x14ac:dyDescent="0.3">
      <c r="A489" s="9">
        <v>458</v>
      </c>
      <c r="B489" s="46" t="s">
        <v>974</v>
      </c>
      <c r="C489" s="46" t="s">
        <v>1946</v>
      </c>
      <c r="D489" s="47" t="s">
        <v>989</v>
      </c>
      <c r="E489" s="46" t="s">
        <v>1949</v>
      </c>
      <c r="F489" s="48" t="s">
        <v>49</v>
      </c>
      <c r="G489" s="48" t="s">
        <v>990</v>
      </c>
      <c r="H489" s="12">
        <f>MROUND('Rate Card'!$I$31*O489*P489,10)</f>
        <v>460</v>
      </c>
      <c r="I489" s="12">
        <f>MROUND('Rate Card'!$K$31*O489*P489,10)</f>
        <v>280</v>
      </c>
      <c r="J489" s="12">
        <f>MROUND(H489*4*'Rate Card'!$B$47,100)</f>
        <v>1700</v>
      </c>
      <c r="K489" s="12">
        <f>MROUND(I489*4*'Rate Card'!$B$47,100)</f>
        <v>1100</v>
      </c>
      <c r="L489" s="12">
        <f>MROUND(H489*120*'Rate Card'!$B$48,500)</f>
        <v>47000</v>
      </c>
      <c r="M489" s="12">
        <f>MROUND(I489*120*'Rate Card'!$B$48,500)</f>
        <v>28500</v>
      </c>
      <c r="N489" s="14"/>
      <c r="O489" s="49">
        <v>0.92</v>
      </c>
      <c r="P489" s="49">
        <v>1</v>
      </c>
    </row>
    <row r="490" spans="1:16" ht="15" customHeight="1" x14ac:dyDescent="0.3">
      <c r="A490" s="9">
        <v>459</v>
      </c>
      <c r="B490" s="46" t="s">
        <v>974</v>
      </c>
      <c r="C490" s="46" t="s">
        <v>1946</v>
      </c>
      <c r="D490" s="47" t="s">
        <v>991</v>
      </c>
      <c r="E490" s="46" t="s">
        <v>1947</v>
      </c>
      <c r="F490" s="48" t="s">
        <v>49</v>
      </c>
      <c r="G490" s="48" t="s">
        <v>992</v>
      </c>
      <c r="H490" s="12">
        <f>MROUND('Rate Card'!$I$31*O490*P490,10)</f>
        <v>460</v>
      </c>
      <c r="I490" s="12">
        <f>MROUND('Rate Card'!$K$31*O490*P490,10)</f>
        <v>280</v>
      </c>
      <c r="J490" s="12">
        <f>MROUND(H490*4*'Rate Card'!$B$47,100)</f>
        <v>1700</v>
      </c>
      <c r="K490" s="12">
        <f>MROUND(I490*4*'Rate Card'!$B$47,100)</f>
        <v>1100</v>
      </c>
      <c r="L490" s="12">
        <f>MROUND(H490*120*'Rate Card'!$B$48,500)</f>
        <v>47000</v>
      </c>
      <c r="M490" s="12">
        <f>MROUND(I490*120*'Rate Card'!$B$48,500)</f>
        <v>28500</v>
      </c>
      <c r="N490" s="14"/>
      <c r="O490" s="49">
        <v>0.92</v>
      </c>
      <c r="P490" s="49">
        <v>1</v>
      </c>
    </row>
    <row r="491" spans="1:16" ht="15" customHeight="1" x14ac:dyDescent="0.3">
      <c r="A491" s="9">
        <v>460</v>
      </c>
      <c r="B491" s="46" t="s">
        <v>974</v>
      </c>
      <c r="C491" s="46" t="s">
        <v>1946</v>
      </c>
      <c r="D491" s="47"/>
      <c r="E491" s="46" t="s">
        <v>1947</v>
      </c>
      <c r="F491" s="48" t="s">
        <v>49</v>
      </c>
      <c r="G491" s="48"/>
      <c r="H491" s="12">
        <f>MROUND('Rate Card'!$I$31*O491*P491,10)</f>
        <v>460</v>
      </c>
      <c r="I491" s="12">
        <f>MROUND('Rate Card'!$K$31*O491*P491,10)</f>
        <v>280</v>
      </c>
      <c r="J491" s="12">
        <f>MROUND(H491*4*'Rate Card'!$B$47,100)</f>
        <v>1700</v>
      </c>
      <c r="K491" s="12">
        <f>MROUND(I491*4*'Rate Card'!$B$47,100)</f>
        <v>1100</v>
      </c>
      <c r="L491" s="12">
        <f>MROUND(H491*120*'Rate Card'!$B$48,500)</f>
        <v>47000</v>
      </c>
      <c r="M491" s="12">
        <f>MROUND(I491*120*'Rate Card'!$B$48,500)</f>
        <v>28500</v>
      </c>
      <c r="N491" s="14"/>
      <c r="O491" s="49">
        <v>0.92</v>
      </c>
      <c r="P491" s="49">
        <v>1</v>
      </c>
    </row>
    <row r="492" spans="1:16" ht="15" customHeight="1" x14ac:dyDescent="0.3">
      <c r="A492" s="9">
        <v>461</v>
      </c>
      <c r="B492" s="46" t="s">
        <v>974</v>
      </c>
      <c r="C492" s="46" t="s">
        <v>1946</v>
      </c>
      <c r="D492" s="47"/>
      <c r="E492" s="46" t="s">
        <v>1947</v>
      </c>
      <c r="F492" s="48" t="s">
        <v>49</v>
      </c>
      <c r="G492" s="48"/>
      <c r="H492" s="12">
        <f>MROUND('Rate Card'!$I$31*O492*P492,10)</f>
        <v>460</v>
      </c>
      <c r="I492" s="12">
        <f>MROUND('Rate Card'!$K$31*O492*P492,10)</f>
        <v>280</v>
      </c>
      <c r="J492" s="12">
        <f>MROUND(H492*4*'Rate Card'!$B$47,100)</f>
        <v>1700</v>
      </c>
      <c r="K492" s="12">
        <f>MROUND(I492*4*'Rate Card'!$B$47,100)</f>
        <v>1100</v>
      </c>
      <c r="L492" s="12">
        <f>MROUND(H492*120*'Rate Card'!$B$48,500)</f>
        <v>47000</v>
      </c>
      <c r="M492" s="12">
        <f>MROUND(I492*120*'Rate Card'!$B$48,500)</f>
        <v>28500</v>
      </c>
      <c r="N492" s="14"/>
      <c r="O492" s="49">
        <v>0.92</v>
      </c>
      <c r="P492" s="49">
        <v>1</v>
      </c>
    </row>
    <row r="493" spans="1:16" ht="15" customHeight="1" x14ac:dyDescent="0.3">
      <c r="A493" s="9">
        <v>462</v>
      </c>
      <c r="B493" s="46" t="s">
        <v>974</v>
      </c>
      <c r="C493" s="46" t="s">
        <v>1947</v>
      </c>
      <c r="D493" s="47" t="s">
        <v>986</v>
      </c>
      <c r="E493" s="46" t="s">
        <v>1947</v>
      </c>
      <c r="F493" s="48" t="s">
        <v>49</v>
      </c>
      <c r="G493" s="48" t="s">
        <v>987</v>
      </c>
      <c r="H493" s="12">
        <f>MROUND('Rate Card'!$I$31*O493*P493,10)</f>
        <v>460</v>
      </c>
      <c r="I493" s="12">
        <f>MROUND('Rate Card'!$K$31*O493*P493,10)</f>
        <v>280</v>
      </c>
      <c r="J493" s="12">
        <f>MROUND(H493*4*'Rate Card'!$B$47,100)</f>
        <v>1700</v>
      </c>
      <c r="K493" s="12">
        <f>MROUND(I493*4*'Rate Card'!$B$47,100)</f>
        <v>1100</v>
      </c>
      <c r="L493" s="12">
        <f>MROUND(H493*120*'Rate Card'!$B$48,500)</f>
        <v>47000</v>
      </c>
      <c r="M493" s="12">
        <f>MROUND(I493*120*'Rate Card'!$B$48,500)</f>
        <v>28500</v>
      </c>
      <c r="N493" s="14"/>
      <c r="O493" s="49">
        <v>0.92</v>
      </c>
      <c r="P493" s="49">
        <v>1</v>
      </c>
    </row>
    <row r="494" spans="1:16" ht="15" customHeight="1" x14ac:dyDescent="0.3">
      <c r="A494" s="9">
        <v>463</v>
      </c>
      <c r="B494" s="46" t="s">
        <v>974</v>
      </c>
      <c r="C494" s="46" t="s">
        <v>1946</v>
      </c>
      <c r="D494" s="47" t="s">
        <v>997</v>
      </c>
      <c r="E494" s="46" t="s">
        <v>1947</v>
      </c>
      <c r="F494" s="48" t="s">
        <v>61</v>
      </c>
      <c r="G494" s="48" t="s">
        <v>998</v>
      </c>
      <c r="H494" s="12">
        <f>MROUND('Rate Card'!$I$31*O494*P494,10)</f>
        <v>460</v>
      </c>
      <c r="I494" s="12">
        <f>MROUND('Rate Card'!$K$31*O494*P494,10)</f>
        <v>280</v>
      </c>
      <c r="J494" s="12">
        <f>MROUND(H494*4*'Rate Card'!$B$47,100)</f>
        <v>1700</v>
      </c>
      <c r="K494" s="12">
        <f>MROUND(I494*4*'Rate Card'!$B$47,100)</f>
        <v>1100</v>
      </c>
      <c r="L494" s="12">
        <f>MROUND(H494*120*'Rate Card'!$B$48,500)</f>
        <v>47000</v>
      </c>
      <c r="M494" s="12">
        <f>MROUND(I494*120*'Rate Card'!$B$48,500)</f>
        <v>28500</v>
      </c>
      <c r="N494" s="14"/>
      <c r="O494" s="49">
        <v>0.92</v>
      </c>
      <c r="P494" s="49">
        <v>1</v>
      </c>
    </row>
    <row r="495" spans="1:16" ht="15" customHeight="1" x14ac:dyDescent="0.3">
      <c r="A495" s="9">
        <v>464</v>
      </c>
      <c r="B495" s="46" t="s">
        <v>974</v>
      </c>
      <c r="C495" s="46" t="s">
        <v>1946</v>
      </c>
      <c r="D495" s="47"/>
      <c r="E495" s="46" t="s">
        <v>1947</v>
      </c>
      <c r="F495" s="48" t="s">
        <v>61</v>
      </c>
      <c r="G495" s="48"/>
      <c r="H495" s="12">
        <f>MROUND('Rate Card'!$I$31*O495*P495,10)</f>
        <v>460</v>
      </c>
      <c r="I495" s="12">
        <f>MROUND('Rate Card'!$K$31*O495*P495,10)</f>
        <v>280</v>
      </c>
      <c r="J495" s="12">
        <f>MROUND(H495*4*'Rate Card'!$B$47,100)</f>
        <v>1700</v>
      </c>
      <c r="K495" s="12">
        <f>MROUND(I495*4*'Rate Card'!$B$47,100)</f>
        <v>1100</v>
      </c>
      <c r="L495" s="12">
        <f>MROUND(H495*120*'Rate Card'!$B$48,500)</f>
        <v>47000</v>
      </c>
      <c r="M495" s="12">
        <f>MROUND(I495*120*'Rate Card'!$B$48,500)</f>
        <v>28500</v>
      </c>
      <c r="N495" s="14"/>
      <c r="O495" s="49">
        <v>0.92</v>
      </c>
      <c r="P495" s="49">
        <v>1</v>
      </c>
    </row>
    <row r="496" spans="1:16" ht="15" customHeight="1" x14ac:dyDescent="0.3">
      <c r="A496" s="9">
        <v>465</v>
      </c>
      <c r="B496" s="46" t="s">
        <v>974</v>
      </c>
      <c r="C496" s="46" t="s">
        <v>1946</v>
      </c>
      <c r="D496" s="47" t="s">
        <v>1002</v>
      </c>
      <c r="E496" s="46" t="s">
        <v>1950</v>
      </c>
      <c r="F496" s="48" t="s">
        <v>61</v>
      </c>
      <c r="G496" s="48" t="s">
        <v>1003</v>
      </c>
      <c r="H496" s="12">
        <f>MROUND('Rate Card'!$I$31*O496*P496,10)</f>
        <v>460</v>
      </c>
      <c r="I496" s="12">
        <f>MROUND('Rate Card'!$K$31*O496*P496,10)</f>
        <v>280</v>
      </c>
      <c r="J496" s="12">
        <f>MROUND(H496*4*'Rate Card'!$B$47,100)</f>
        <v>1700</v>
      </c>
      <c r="K496" s="12">
        <f>MROUND(I496*4*'Rate Card'!$B$47,100)</f>
        <v>1100</v>
      </c>
      <c r="L496" s="12">
        <f>MROUND(H496*120*'Rate Card'!$B$48,500)</f>
        <v>47000</v>
      </c>
      <c r="M496" s="12">
        <f>MROUND(I496*120*'Rate Card'!$B$48,500)</f>
        <v>28500</v>
      </c>
      <c r="N496" s="14"/>
      <c r="O496" s="49">
        <v>0.92</v>
      </c>
      <c r="P496" s="49">
        <v>1</v>
      </c>
    </row>
    <row r="497" spans="1:16" ht="15" customHeight="1" x14ac:dyDescent="0.3">
      <c r="A497" s="9">
        <v>466</v>
      </c>
      <c r="B497" s="46" t="s">
        <v>974</v>
      </c>
      <c r="C497" s="46" t="s">
        <v>1946</v>
      </c>
      <c r="D497" s="47"/>
      <c r="E497" s="46" t="s">
        <v>1950</v>
      </c>
      <c r="F497" s="48" t="s">
        <v>61</v>
      </c>
      <c r="G497" s="48"/>
      <c r="H497" s="12">
        <f>MROUND('Rate Card'!$I$31*O497*P497,10)</f>
        <v>460</v>
      </c>
      <c r="I497" s="12">
        <f>MROUND('Rate Card'!$K$31*O497*P497,10)</f>
        <v>280</v>
      </c>
      <c r="J497" s="12">
        <f>MROUND(H497*4*'Rate Card'!$B$47,100)</f>
        <v>1700</v>
      </c>
      <c r="K497" s="12">
        <f>MROUND(I497*4*'Rate Card'!$B$47,100)</f>
        <v>1100</v>
      </c>
      <c r="L497" s="12">
        <f>MROUND(H497*120*'Rate Card'!$B$48,500)</f>
        <v>47000</v>
      </c>
      <c r="M497" s="12">
        <f>MROUND(I497*120*'Rate Card'!$B$48,500)</f>
        <v>28500</v>
      </c>
      <c r="N497" s="14"/>
      <c r="O497" s="49">
        <v>0.92</v>
      </c>
      <c r="P497" s="49">
        <v>1</v>
      </c>
    </row>
    <row r="498" spans="1:16" ht="15" customHeight="1" x14ac:dyDescent="0.3">
      <c r="A498" s="9">
        <v>467</v>
      </c>
      <c r="B498" s="46" t="s">
        <v>974</v>
      </c>
      <c r="C498" s="46" t="s">
        <v>1946</v>
      </c>
      <c r="D498" s="47" t="s">
        <v>1007</v>
      </c>
      <c r="E498" s="46" t="s">
        <v>1951</v>
      </c>
      <c r="F498" s="48" t="s">
        <v>99</v>
      </c>
      <c r="G498" s="48" t="s">
        <v>1008</v>
      </c>
      <c r="H498" s="12">
        <f>MROUND('Rate Card'!$I$31*O498*P498,10)</f>
        <v>410</v>
      </c>
      <c r="I498" s="12">
        <f>MROUND('Rate Card'!$K$31*O498*P498,10)</f>
        <v>250</v>
      </c>
      <c r="J498" s="12">
        <f>MROUND(H498*4*'Rate Card'!$B$47,100)</f>
        <v>1600</v>
      </c>
      <c r="K498" s="12">
        <f>MROUND(I498*4*'Rate Card'!$B$47,100)</f>
        <v>1000</v>
      </c>
      <c r="L498" s="12">
        <f>MROUND(H498*120*'Rate Card'!$B$48,500)</f>
        <v>42000</v>
      </c>
      <c r="M498" s="12">
        <f>MROUND(I498*120*'Rate Card'!$B$48,500)</f>
        <v>25500</v>
      </c>
      <c r="N498" s="14"/>
      <c r="O498" s="49">
        <v>0.82</v>
      </c>
      <c r="P498" s="49">
        <v>1</v>
      </c>
    </row>
    <row r="499" spans="1:16" ht="15" customHeight="1" x14ac:dyDescent="0.3">
      <c r="A499" s="9">
        <v>468</v>
      </c>
      <c r="B499" s="46" t="s">
        <v>974</v>
      </c>
      <c r="C499" s="46" t="s">
        <v>1946</v>
      </c>
      <c r="D499" s="47"/>
      <c r="E499" s="46" t="s">
        <v>1951</v>
      </c>
      <c r="F499" s="48" t="s">
        <v>99</v>
      </c>
      <c r="G499" s="48"/>
      <c r="H499" s="12">
        <f>MROUND('Rate Card'!$I$31*O499*P499,10)</f>
        <v>410</v>
      </c>
      <c r="I499" s="12">
        <f>MROUND('Rate Card'!$K$31*O499*P499,10)</f>
        <v>250</v>
      </c>
      <c r="J499" s="12">
        <f>MROUND(H499*4*'Rate Card'!$B$47,100)</f>
        <v>1600</v>
      </c>
      <c r="K499" s="12">
        <f>MROUND(I499*4*'Rate Card'!$B$47,100)</f>
        <v>1000</v>
      </c>
      <c r="L499" s="12">
        <f>MROUND(H499*120*'Rate Card'!$B$48,500)</f>
        <v>42000</v>
      </c>
      <c r="M499" s="12">
        <f>MROUND(I499*120*'Rate Card'!$B$48,500)</f>
        <v>25500</v>
      </c>
      <c r="N499" s="14"/>
      <c r="O499" s="49">
        <v>0.82</v>
      </c>
      <c r="P499" s="49">
        <v>1</v>
      </c>
    </row>
    <row r="500" spans="1:16" ht="15" customHeight="1" x14ac:dyDescent="0.3">
      <c r="A500" s="9">
        <v>469</v>
      </c>
      <c r="B500" s="46" t="s">
        <v>974</v>
      </c>
      <c r="C500" s="46" t="s">
        <v>1946</v>
      </c>
      <c r="D500" s="47" t="s">
        <v>1011</v>
      </c>
      <c r="E500" s="46" t="s">
        <v>1947</v>
      </c>
      <c r="F500" s="48" t="s">
        <v>66</v>
      </c>
      <c r="G500" s="48" t="s">
        <v>1012</v>
      </c>
      <c r="H500" s="12">
        <f>MROUND('Rate Card'!$I$31*O500*P500,10)</f>
        <v>410</v>
      </c>
      <c r="I500" s="12">
        <f>MROUND('Rate Card'!$K$31*O500*P500,10)</f>
        <v>250</v>
      </c>
      <c r="J500" s="12">
        <f>MROUND(H500*4*'Rate Card'!$B$47,100)</f>
        <v>1600</v>
      </c>
      <c r="K500" s="12">
        <f>MROUND(I500*4*'Rate Card'!$B$47,100)</f>
        <v>1000</v>
      </c>
      <c r="L500" s="12">
        <f>MROUND(H500*120*'Rate Card'!$B$48,500)</f>
        <v>42000</v>
      </c>
      <c r="M500" s="12">
        <f>MROUND(I500*120*'Rate Card'!$B$48,500)</f>
        <v>25500</v>
      </c>
      <c r="N500" s="14"/>
      <c r="O500" s="49">
        <v>0.82</v>
      </c>
      <c r="P500" s="49">
        <v>1</v>
      </c>
    </row>
    <row r="501" spans="1:16" ht="15" customHeight="1" x14ac:dyDescent="0.3">
      <c r="A501" s="9">
        <v>470</v>
      </c>
      <c r="B501" s="46" t="s">
        <v>974</v>
      </c>
      <c r="C501" s="46" t="s">
        <v>1946</v>
      </c>
      <c r="D501" s="47"/>
      <c r="E501" s="46" t="s">
        <v>1947</v>
      </c>
      <c r="F501" s="48" t="s">
        <v>66</v>
      </c>
      <c r="G501" s="48"/>
      <c r="H501" s="12">
        <f>MROUND('Rate Card'!$I$31*O501*P501,10)</f>
        <v>410</v>
      </c>
      <c r="I501" s="12">
        <f>MROUND('Rate Card'!$K$31*O501*P501,10)</f>
        <v>250</v>
      </c>
      <c r="J501" s="12">
        <f>MROUND(H501*4*'Rate Card'!$B$47,100)</f>
        <v>1600</v>
      </c>
      <c r="K501" s="12">
        <f>MROUND(I501*4*'Rate Card'!$B$47,100)</f>
        <v>1000</v>
      </c>
      <c r="L501" s="12">
        <f>MROUND(H501*120*'Rate Card'!$B$48,500)</f>
        <v>42000</v>
      </c>
      <c r="M501" s="12">
        <f>MROUND(I501*120*'Rate Card'!$B$48,500)</f>
        <v>25500</v>
      </c>
      <c r="N501" s="14"/>
      <c r="O501" s="49">
        <v>0.82</v>
      </c>
      <c r="P501" s="49">
        <v>1</v>
      </c>
    </row>
    <row r="502" spans="1:16" ht="15" customHeight="1" x14ac:dyDescent="0.3">
      <c r="A502" s="9">
        <v>471</v>
      </c>
      <c r="B502" s="46" t="s">
        <v>974</v>
      </c>
      <c r="C502" s="46" t="s">
        <v>1946</v>
      </c>
      <c r="D502" s="47"/>
      <c r="E502" s="46" t="s">
        <v>1947</v>
      </c>
      <c r="F502" s="48" t="s">
        <v>66</v>
      </c>
      <c r="G502" s="48"/>
      <c r="H502" s="12">
        <f>MROUND('Rate Card'!$I$31*O502*P502,10)</f>
        <v>410</v>
      </c>
      <c r="I502" s="12">
        <f>MROUND('Rate Card'!$K$31*O502*P502,10)</f>
        <v>250</v>
      </c>
      <c r="J502" s="12">
        <f>MROUND(H502*4*'Rate Card'!$B$47,100)</f>
        <v>1600</v>
      </c>
      <c r="K502" s="12">
        <f>MROUND(I502*4*'Rate Card'!$B$47,100)</f>
        <v>1000</v>
      </c>
      <c r="L502" s="12">
        <f>MROUND(H502*120*'Rate Card'!$B$48,500)</f>
        <v>42000</v>
      </c>
      <c r="M502" s="12">
        <f>MROUND(I502*120*'Rate Card'!$B$48,500)</f>
        <v>25500</v>
      </c>
      <c r="N502" s="14"/>
      <c r="O502" s="49">
        <v>0.82</v>
      </c>
      <c r="P502" s="49">
        <v>1</v>
      </c>
    </row>
    <row r="503" spans="1:16" ht="15" customHeight="1" x14ac:dyDescent="0.3">
      <c r="A503" s="9">
        <v>472</v>
      </c>
      <c r="B503" s="46" t="s">
        <v>974</v>
      </c>
      <c r="C503" s="46" t="s">
        <v>1946</v>
      </c>
      <c r="D503" s="47" t="s">
        <v>1017</v>
      </c>
      <c r="E503" s="46" t="s">
        <v>1951</v>
      </c>
      <c r="F503" s="48" t="s">
        <v>66</v>
      </c>
      <c r="G503" s="48" t="s">
        <v>1018</v>
      </c>
      <c r="H503" s="12">
        <f>MROUND('Rate Card'!$I$31*O503*P503,10)</f>
        <v>410</v>
      </c>
      <c r="I503" s="12">
        <f>MROUND('Rate Card'!$K$31*O503*P503,10)</f>
        <v>250</v>
      </c>
      <c r="J503" s="12">
        <f>MROUND(H503*4*'Rate Card'!$B$47,100)</f>
        <v>1600</v>
      </c>
      <c r="K503" s="12">
        <f>MROUND(I503*4*'Rate Card'!$B$47,100)</f>
        <v>1000</v>
      </c>
      <c r="L503" s="12">
        <f>MROUND(H503*120*'Rate Card'!$B$48,500)</f>
        <v>42000</v>
      </c>
      <c r="M503" s="12">
        <f>MROUND(I503*120*'Rate Card'!$B$48,500)</f>
        <v>25500</v>
      </c>
      <c r="N503" s="14"/>
      <c r="O503" s="49">
        <v>0.82</v>
      </c>
      <c r="P503" s="49">
        <v>1</v>
      </c>
    </row>
    <row r="504" spans="1:16" ht="15" customHeight="1" x14ac:dyDescent="0.3">
      <c r="A504" s="9">
        <v>473</v>
      </c>
      <c r="B504" s="46" t="s">
        <v>974</v>
      </c>
      <c r="C504" s="46" t="s">
        <v>1946</v>
      </c>
      <c r="D504" s="47"/>
      <c r="E504" s="46" t="s">
        <v>1951</v>
      </c>
      <c r="F504" s="48" t="s">
        <v>66</v>
      </c>
      <c r="G504" s="48"/>
      <c r="H504" s="12">
        <f>MROUND('Rate Card'!$I$31*O504*P504,10)</f>
        <v>410</v>
      </c>
      <c r="I504" s="12">
        <f>MROUND('Rate Card'!$K$31*O504*P504,10)</f>
        <v>250</v>
      </c>
      <c r="J504" s="12">
        <f>MROUND(H504*4*'Rate Card'!$B$47,100)</f>
        <v>1600</v>
      </c>
      <c r="K504" s="12">
        <f>MROUND(I504*4*'Rate Card'!$B$47,100)</f>
        <v>1000</v>
      </c>
      <c r="L504" s="12">
        <f>MROUND(H504*120*'Rate Card'!$B$48,500)</f>
        <v>42000</v>
      </c>
      <c r="M504" s="12">
        <f>MROUND(I504*120*'Rate Card'!$B$48,500)</f>
        <v>25500</v>
      </c>
      <c r="N504" s="14"/>
      <c r="O504" s="49">
        <v>0.82</v>
      </c>
      <c r="P504" s="49">
        <v>1</v>
      </c>
    </row>
    <row r="505" spans="1:16" ht="15" customHeight="1" x14ac:dyDescent="0.3">
      <c r="A505" s="9">
        <v>474</v>
      </c>
      <c r="B505" s="46" t="s">
        <v>974</v>
      </c>
      <c r="C505" s="46" t="s">
        <v>1946</v>
      </c>
      <c r="D505" s="47"/>
      <c r="E505" s="46" t="s">
        <v>1951</v>
      </c>
      <c r="F505" s="48" t="s">
        <v>66</v>
      </c>
      <c r="G505" s="48"/>
      <c r="H505" s="12">
        <f>MROUND('Rate Card'!$I$31*O505*P505,10)</f>
        <v>410</v>
      </c>
      <c r="I505" s="12">
        <f>MROUND('Rate Card'!$K$31*O505*P505,10)</f>
        <v>250</v>
      </c>
      <c r="J505" s="12">
        <f>MROUND(H505*4*'Rate Card'!$B$47,100)</f>
        <v>1600</v>
      </c>
      <c r="K505" s="12">
        <f>MROUND(I505*4*'Rate Card'!$B$47,100)</f>
        <v>1000</v>
      </c>
      <c r="L505" s="12">
        <f>MROUND(H505*120*'Rate Card'!$B$48,500)</f>
        <v>42000</v>
      </c>
      <c r="M505" s="12">
        <f>MROUND(I505*120*'Rate Card'!$B$48,500)</f>
        <v>25500</v>
      </c>
      <c r="N505" s="14"/>
      <c r="O505" s="49">
        <v>0.82</v>
      </c>
      <c r="P505" s="49">
        <v>1</v>
      </c>
    </row>
    <row r="506" spans="1:16" ht="15" customHeight="1" x14ac:dyDescent="0.3">
      <c r="A506" s="9">
        <v>475</v>
      </c>
      <c r="B506" s="46" t="s">
        <v>974</v>
      </c>
      <c r="C506" s="46" t="s">
        <v>1946</v>
      </c>
      <c r="D506" s="47" t="s">
        <v>1023</v>
      </c>
      <c r="E506" s="46" t="s">
        <v>1951</v>
      </c>
      <c r="F506" s="48" t="s">
        <v>458</v>
      </c>
      <c r="G506" s="48" t="s">
        <v>1024</v>
      </c>
      <c r="H506" s="12">
        <f>MROUND('Rate Card'!$I$31*O506*P506,10)</f>
        <v>410</v>
      </c>
      <c r="I506" s="12">
        <f>MROUND('Rate Card'!$K$31*O506*P506,10)</f>
        <v>250</v>
      </c>
      <c r="J506" s="12">
        <f>MROUND(H506*4*'Rate Card'!$B$47,100)</f>
        <v>1600</v>
      </c>
      <c r="K506" s="12">
        <f>MROUND(I506*4*'Rate Card'!$B$47,100)</f>
        <v>1000</v>
      </c>
      <c r="L506" s="12">
        <f>MROUND(H506*120*'Rate Card'!$B$48,500)</f>
        <v>42000</v>
      </c>
      <c r="M506" s="12">
        <f>MROUND(I506*120*'Rate Card'!$B$48,500)</f>
        <v>25500</v>
      </c>
      <c r="N506" s="14"/>
      <c r="O506" s="49">
        <v>0.82</v>
      </c>
      <c r="P506" s="49">
        <v>1</v>
      </c>
    </row>
    <row r="507" spans="1:16" ht="15" customHeight="1" x14ac:dyDescent="0.3">
      <c r="A507" s="9">
        <v>476</v>
      </c>
      <c r="B507" s="46" t="s">
        <v>974</v>
      </c>
      <c r="C507" s="46" t="s">
        <v>1946</v>
      </c>
      <c r="D507" s="47"/>
      <c r="E507" s="46" t="s">
        <v>1951</v>
      </c>
      <c r="F507" s="48" t="s">
        <v>458</v>
      </c>
      <c r="G507" s="48"/>
      <c r="H507" s="12">
        <f>MROUND('Rate Card'!$I$31*O507*P507,10)</f>
        <v>410</v>
      </c>
      <c r="I507" s="12">
        <f>MROUND('Rate Card'!$K$31*O507*P507,10)</f>
        <v>250</v>
      </c>
      <c r="J507" s="12">
        <f>MROUND(H507*4*'Rate Card'!$B$47,100)</f>
        <v>1600</v>
      </c>
      <c r="K507" s="12">
        <f>MROUND(I507*4*'Rate Card'!$B$47,100)</f>
        <v>1000</v>
      </c>
      <c r="L507" s="12">
        <f>MROUND(H507*120*'Rate Card'!$B$48,500)</f>
        <v>42000</v>
      </c>
      <c r="M507" s="12">
        <f>MROUND(I507*120*'Rate Card'!$B$48,500)</f>
        <v>25500</v>
      </c>
      <c r="N507" s="14"/>
      <c r="O507" s="49">
        <v>0.82</v>
      </c>
      <c r="P507" s="49">
        <v>1</v>
      </c>
    </row>
    <row r="508" spans="1:16" ht="15" customHeight="1" x14ac:dyDescent="0.3">
      <c r="A508" s="9">
        <v>477</v>
      </c>
      <c r="B508" s="46" t="s">
        <v>974</v>
      </c>
      <c r="C508" s="46" t="s">
        <v>1946</v>
      </c>
      <c r="D508" s="47"/>
      <c r="E508" s="46" t="s">
        <v>1951</v>
      </c>
      <c r="F508" s="48" t="s">
        <v>458</v>
      </c>
      <c r="G508" s="48"/>
      <c r="H508" s="12">
        <f>MROUND('Rate Card'!$I$31*O508*P508,10)</f>
        <v>410</v>
      </c>
      <c r="I508" s="12">
        <f>MROUND('Rate Card'!$K$31*O508*P508,10)</f>
        <v>250</v>
      </c>
      <c r="J508" s="12">
        <f>MROUND(H508*4*'Rate Card'!$B$47,100)</f>
        <v>1600</v>
      </c>
      <c r="K508" s="12">
        <f>MROUND(I508*4*'Rate Card'!$B$47,100)</f>
        <v>1000</v>
      </c>
      <c r="L508" s="12">
        <f>MROUND(H508*120*'Rate Card'!$B$48,500)</f>
        <v>42000</v>
      </c>
      <c r="M508" s="12">
        <f>MROUND(I508*120*'Rate Card'!$B$48,500)</f>
        <v>25500</v>
      </c>
      <c r="N508" s="14"/>
      <c r="O508" s="49">
        <v>0.82</v>
      </c>
      <c r="P508" s="49">
        <v>1</v>
      </c>
    </row>
    <row r="509" spans="1:16" ht="15" customHeight="1" x14ac:dyDescent="0.3">
      <c r="A509" s="9">
        <v>478</v>
      </c>
      <c r="B509" s="46" t="s">
        <v>974</v>
      </c>
      <c r="C509" s="46" t="s">
        <v>1946</v>
      </c>
      <c r="D509" s="47" t="s">
        <v>1030</v>
      </c>
      <c r="E509" s="46" t="s">
        <v>1952</v>
      </c>
      <c r="F509" s="48" t="s">
        <v>518</v>
      </c>
      <c r="G509" s="48" t="s">
        <v>1031</v>
      </c>
      <c r="H509" s="12">
        <f>MROUND('Rate Card'!$I$31*O509*P509,10)</f>
        <v>360</v>
      </c>
      <c r="I509" s="12">
        <f>MROUND('Rate Card'!$K$31*O509*P509,10)</f>
        <v>220</v>
      </c>
      <c r="J509" s="12">
        <f>MROUND(H509*4*'Rate Card'!$B$47,100)</f>
        <v>1400</v>
      </c>
      <c r="K509" s="12">
        <f>MROUND(I509*4*'Rate Card'!$B$47,100)</f>
        <v>800</v>
      </c>
      <c r="L509" s="12">
        <f>MROUND(H509*120*'Rate Card'!$B$48,500)</f>
        <v>36500</v>
      </c>
      <c r="M509" s="12">
        <f>MROUND(I509*120*'Rate Card'!$B$48,500)</f>
        <v>22500</v>
      </c>
      <c r="N509" s="14" t="s">
        <v>1693</v>
      </c>
      <c r="O509" s="49">
        <v>0.72</v>
      </c>
      <c r="P509" s="49">
        <v>1</v>
      </c>
    </row>
    <row r="510" spans="1:16" ht="15" customHeight="1" x14ac:dyDescent="0.3">
      <c r="A510" s="9">
        <v>479</v>
      </c>
      <c r="B510" s="46" t="s">
        <v>974</v>
      </c>
      <c r="C510" s="46" t="s">
        <v>1946</v>
      </c>
      <c r="D510" s="47" t="s">
        <v>1033</v>
      </c>
      <c r="E510" s="46" t="s">
        <v>1953</v>
      </c>
      <c r="F510" s="48" t="s">
        <v>73</v>
      </c>
      <c r="G510" s="48" t="s">
        <v>1034</v>
      </c>
      <c r="H510" s="12">
        <f>MROUND('Rate Card'!$I$31*O510*P510,10)</f>
        <v>360</v>
      </c>
      <c r="I510" s="12">
        <f>MROUND('Rate Card'!$K$31*O510*P510,10)</f>
        <v>220</v>
      </c>
      <c r="J510" s="12">
        <f>MROUND(H510*4*'Rate Card'!$B$47,100)</f>
        <v>1400</v>
      </c>
      <c r="K510" s="12">
        <f>MROUND(I510*4*'Rate Card'!$B$47,100)</f>
        <v>800</v>
      </c>
      <c r="L510" s="12">
        <f>MROUND(H510*120*'Rate Card'!$B$48,500)</f>
        <v>36500</v>
      </c>
      <c r="M510" s="12">
        <f>MROUND(I510*120*'Rate Card'!$B$48,500)</f>
        <v>22500</v>
      </c>
      <c r="N510" s="14" t="s">
        <v>1693</v>
      </c>
      <c r="O510" s="49">
        <v>0.72</v>
      </c>
      <c r="P510" s="49">
        <v>1</v>
      </c>
    </row>
    <row r="511" spans="1:16" ht="15" customHeight="1" x14ac:dyDescent="0.3">
      <c r="A511" s="9">
        <v>480</v>
      </c>
      <c r="B511" s="46" t="s">
        <v>974</v>
      </c>
      <c r="C511" s="46" t="s">
        <v>1946</v>
      </c>
      <c r="D511" s="47"/>
      <c r="E511" s="46" t="s">
        <v>1953</v>
      </c>
      <c r="F511" s="48" t="s">
        <v>73</v>
      </c>
      <c r="G511" s="48"/>
      <c r="H511" s="12">
        <f>MROUND('Rate Card'!$I$31*O511*P511,10)</f>
        <v>360</v>
      </c>
      <c r="I511" s="12">
        <f>MROUND('Rate Card'!$K$31*O511*P511,10)</f>
        <v>220</v>
      </c>
      <c r="J511" s="12">
        <f>MROUND(H511*4*'Rate Card'!$B$47,100)</f>
        <v>1400</v>
      </c>
      <c r="K511" s="12">
        <f>MROUND(I511*4*'Rate Card'!$B$47,100)</f>
        <v>800</v>
      </c>
      <c r="L511" s="12">
        <f>MROUND(H511*120*'Rate Card'!$B$48,500)</f>
        <v>36500</v>
      </c>
      <c r="M511" s="12">
        <f>MROUND(I511*120*'Rate Card'!$B$48,500)</f>
        <v>22500</v>
      </c>
      <c r="N511" s="14" t="s">
        <v>1693</v>
      </c>
      <c r="O511" s="49">
        <v>0.72</v>
      </c>
      <c r="P511" s="49">
        <v>1</v>
      </c>
    </row>
    <row r="512" spans="1:16" ht="15" customHeight="1" x14ac:dyDescent="0.3">
      <c r="A512" s="9">
        <v>481</v>
      </c>
      <c r="B512" s="46" t="s">
        <v>974</v>
      </c>
      <c r="C512" s="46" t="s">
        <v>1954</v>
      </c>
      <c r="D512" s="47" t="s">
        <v>1038</v>
      </c>
      <c r="E512" s="46" t="s">
        <v>1955</v>
      </c>
      <c r="F512" s="48" t="s">
        <v>73</v>
      </c>
      <c r="G512" s="48" t="s">
        <v>1039</v>
      </c>
      <c r="H512" s="12">
        <f>MROUND('Rate Card'!$I$31*O512*P512,10)</f>
        <v>360</v>
      </c>
      <c r="I512" s="12">
        <f>MROUND('Rate Card'!$K$31*O512*P512,10)</f>
        <v>220</v>
      </c>
      <c r="J512" s="12">
        <f>MROUND(H512*4*'Rate Card'!$B$47,100)</f>
        <v>1400</v>
      </c>
      <c r="K512" s="12">
        <f>MROUND(I512*4*'Rate Card'!$B$47,100)</f>
        <v>800</v>
      </c>
      <c r="L512" s="12">
        <f>MROUND(H512*120*'Rate Card'!$B$48,500)</f>
        <v>36500</v>
      </c>
      <c r="M512" s="12">
        <f>MROUND(I512*120*'Rate Card'!$B$48,500)</f>
        <v>22500</v>
      </c>
      <c r="N512" s="14" t="s">
        <v>1693</v>
      </c>
      <c r="O512" s="49">
        <v>0.72</v>
      </c>
      <c r="P512" s="49">
        <v>1</v>
      </c>
    </row>
    <row r="513" spans="1:16" ht="15" customHeight="1" x14ac:dyDescent="0.3">
      <c r="A513" s="9">
        <v>482</v>
      </c>
      <c r="B513" s="46" t="s">
        <v>974</v>
      </c>
      <c r="C513" s="46" t="s">
        <v>1956</v>
      </c>
      <c r="D513" s="47" t="s">
        <v>981</v>
      </c>
      <c r="E513" s="46" t="s">
        <v>1957</v>
      </c>
      <c r="F513" s="48" t="s">
        <v>77</v>
      </c>
      <c r="G513" s="48" t="s">
        <v>982</v>
      </c>
      <c r="H513" s="12">
        <f>MROUND('Rate Card'!$I$31*O513*P513,10)</f>
        <v>330</v>
      </c>
      <c r="I513" s="12">
        <f>MROUND('Rate Card'!$K$31*O513*P513,10)</f>
        <v>200</v>
      </c>
      <c r="J513" s="12">
        <f>MROUND(H513*4*'Rate Card'!$B$47,100)</f>
        <v>1300</v>
      </c>
      <c r="K513" s="12">
        <f>MROUND(I513*4*'Rate Card'!$B$47,100)</f>
        <v>800</v>
      </c>
      <c r="L513" s="12">
        <f>MROUND(H513*120*'Rate Card'!$B$48,500)</f>
        <v>33500</v>
      </c>
      <c r="M513" s="12">
        <f>MROUND(I513*120*'Rate Card'!$B$48,500)</f>
        <v>20500</v>
      </c>
      <c r="N513" s="14" t="s">
        <v>1694</v>
      </c>
      <c r="O513" s="49">
        <v>0.65</v>
      </c>
      <c r="P513" s="49">
        <v>1</v>
      </c>
    </row>
    <row r="514" spans="1:16" ht="15" customHeight="1" x14ac:dyDescent="0.3">
      <c r="A514" s="9">
        <v>483</v>
      </c>
      <c r="B514" s="46" t="s">
        <v>974</v>
      </c>
      <c r="C514" s="46" t="s">
        <v>1946</v>
      </c>
      <c r="D514" s="47" t="s">
        <v>1042</v>
      </c>
      <c r="E514" s="46" t="s">
        <v>1958</v>
      </c>
      <c r="F514" s="48" t="s">
        <v>139</v>
      </c>
      <c r="G514" s="48" t="s">
        <v>1043</v>
      </c>
      <c r="H514" s="12">
        <f>MROUND('Rate Card'!$I$31*O514*P514,10)</f>
        <v>330</v>
      </c>
      <c r="I514" s="12">
        <f>MROUND('Rate Card'!$K$31*O514*P514,10)</f>
        <v>200</v>
      </c>
      <c r="J514" s="12">
        <f>MROUND(H514*4*'Rate Card'!$B$47,100)</f>
        <v>1300</v>
      </c>
      <c r="K514" s="12">
        <f>MROUND(I514*4*'Rate Card'!$B$47,100)</f>
        <v>800</v>
      </c>
      <c r="L514" s="12">
        <f>MROUND(H514*120*'Rate Card'!$B$48,500)</f>
        <v>33500</v>
      </c>
      <c r="M514" s="12">
        <f>MROUND(I514*120*'Rate Card'!$B$48,500)</f>
        <v>20500</v>
      </c>
      <c r="N514" s="14" t="s">
        <v>1694</v>
      </c>
      <c r="O514" s="49">
        <v>0.65</v>
      </c>
      <c r="P514" s="49">
        <v>1</v>
      </c>
    </row>
    <row r="515" spans="1:16" ht="15" customHeight="1" x14ac:dyDescent="0.3">
      <c r="A515" s="9">
        <v>484</v>
      </c>
      <c r="B515" s="46" t="s">
        <v>974</v>
      </c>
      <c r="C515" s="46" t="s">
        <v>1946</v>
      </c>
      <c r="D515" s="47" t="s">
        <v>1013</v>
      </c>
      <c r="E515" s="46" t="s">
        <v>195</v>
      </c>
      <c r="F515" s="48" t="s">
        <v>195</v>
      </c>
      <c r="G515" s="48" t="s">
        <v>1014</v>
      </c>
      <c r="H515" s="12">
        <f>MROUND('Rate Card'!$I$31*O515*P515,10)</f>
        <v>290</v>
      </c>
      <c r="I515" s="12">
        <f>MROUND('Rate Card'!$K$31*O515*P515,10)</f>
        <v>170</v>
      </c>
      <c r="J515" s="12">
        <f>MROUND(H515*4*'Rate Card'!$B$47,100)</f>
        <v>1100</v>
      </c>
      <c r="K515" s="12">
        <f>MROUND(I515*4*'Rate Card'!$B$47,100)</f>
        <v>600</v>
      </c>
      <c r="L515" s="12">
        <f>MROUND(H515*120*'Rate Card'!$B$48,500)</f>
        <v>29500</v>
      </c>
      <c r="M515" s="12">
        <f>MROUND(I515*120*'Rate Card'!$B$48,500)</f>
        <v>17500</v>
      </c>
      <c r="N515" s="14" t="s">
        <v>1744</v>
      </c>
      <c r="O515" s="49">
        <v>0.57999999999999996</v>
      </c>
      <c r="P515" s="49">
        <v>1</v>
      </c>
    </row>
    <row r="516" spans="1:16" ht="15" customHeight="1" x14ac:dyDescent="0.3">
      <c r="A516" s="9">
        <v>485</v>
      </c>
      <c r="B516" s="46" t="s">
        <v>974</v>
      </c>
      <c r="C516" s="46" t="s">
        <v>1946</v>
      </c>
      <c r="D516" s="47" t="s">
        <v>1015</v>
      </c>
      <c r="E516" s="46" t="s">
        <v>195</v>
      </c>
      <c r="F516" s="48" t="s">
        <v>195</v>
      </c>
      <c r="G516" s="48" t="s">
        <v>1016</v>
      </c>
      <c r="H516" s="12">
        <f>MROUND('Rate Card'!$I$31*O516*P516,10)</f>
        <v>290</v>
      </c>
      <c r="I516" s="12">
        <f>MROUND('Rate Card'!$K$31*O516*P516,10)</f>
        <v>170</v>
      </c>
      <c r="J516" s="12">
        <f>MROUND(H516*4*'Rate Card'!$B$47,100)</f>
        <v>1100</v>
      </c>
      <c r="K516" s="12">
        <f>MROUND(I516*4*'Rate Card'!$B$47,100)</f>
        <v>600</v>
      </c>
      <c r="L516" s="12">
        <f>MROUND(H516*120*'Rate Card'!$B$48,500)</f>
        <v>29500</v>
      </c>
      <c r="M516" s="12">
        <f>MROUND(I516*120*'Rate Card'!$B$48,500)</f>
        <v>17500</v>
      </c>
      <c r="N516" s="14" t="s">
        <v>1744</v>
      </c>
      <c r="O516" s="49">
        <v>0.57999999999999996</v>
      </c>
      <c r="P516" s="49">
        <v>1</v>
      </c>
    </row>
    <row r="517" spans="1:16" ht="15" customHeight="1" x14ac:dyDescent="0.3">
      <c r="A517" s="9">
        <v>486</v>
      </c>
      <c r="B517" s="46" t="s">
        <v>974</v>
      </c>
      <c r="C517" s="46" t="s">
        <v>1946</v>
      </c>
      <c r="D517" s="47" t="s">
        <v>1019</v>
      </c>
      <c r="E517" s="46" t="s">
        <v>195</v>
      </c>
      <c r="F517" s="48" t="s">
        <v>195</v>
      </c>
      <c r="G517" s="48" t="s">
        <v>1020</v>
      </c>
      <c r="H517" s="12">
        <f>MROUND('Rate Card'!$I$31*O517*P517,10)</f>
        <v>290</v>
      </c>
      <c r="I517" s="12">
        <f>MROUND('Rate Card'!$K$31*O517*P517,10)</f>
        <v>170</v>
      </c>
      <c r="J517" s="12">
        <f>MROUND(H517*4*'Rate Card'!$B$47,100)</f>
        <v>1100</v>
      </c>
      <c r="K517" s="12">
        <f>MROUND(I517*4*'Rate Card'!$B$47,100)</f>
        <v>600</v>
      </c>
      <c r="L517" s="12">
        <f>MROUND(H517*120*'Rate Card'!$B$48,500)</f>
        <v>29500</v>
      </c>
      <c r="M517" s="12">
        <f>MROUND(I517*120*'Rate Card'!$B$48,500)</f>
        <v>17500</v>
      </c>
      <c r="N517" s="14" t="s">
        <v>1744</v>
      </c>
      <c r="O517" s="49">
        <v>0.57999999999999996</v>
      </c>
      <c r="P517" s="49">
        <v>1</v>
      </c>
    </row>
    <row r="518" spans="1:16" ht="15" customHeight="1" x14ac:dyDescent="0.3">
      <c r="A518" s="9">
        <v>487</v>
      </c>
      <c r="B518" s="46" t="s">
        <v>974</v>
      </c>
      <c r="C518" s="46" t="s">
        <v>1946</v>
      </c>
      <c r="D518" s="47" t="s">
        <v>993</v>
      </c>
      <c r="E518" s="46" t="s">
        <v>195</v>
      </c>
      <c r="F518" s="48" t="s">
        <v>195</v>
      </c>
      <c r="G518" s="48" t="s">
        <v>994</v>
      </c>
      <c r="H518" s="12">
        <f>MROUND('Rate Card'!$I$31*O518*P518,10)</f>
        <v>290</v>
      </c>
      <c r="I518" s="12">
        <f>MROUND('Rate Card'!$K$31*O518*P518,10)</f>
        <v>170</v>
      </c>
      <c r="J518" s="12">
        <f>MROUND(H518*4*'Rate Card'!$B$47,100)</f>
        <v>1100</v>
      </c>
      <c r="K518" s="12">
        <f>MROUND(I518*4*'Rate Card'!$B$47,100)</f>
        <v>600</v>
      </c>
      <c r="L518" s="12">
        <f>MROUND(H518*120*'Rate Card'!$B$48,500)</f>
        <v>29500</v>
      </c>
      <c r="M518" s="12">
        <f>MROUND(I518*120*'Rate Card'!$B$48,500)</f>
        <v>17500</v>
      </c>
      <c r="N518" s="14" t="s">
        <v>1744</v>
      </c>
      <c r="O518" s="49">
        <v>0.57999999999999996</v>
      </c>
      <c r="P518" s="49">
        <v>1</v>
      </c>
    </row>
    <row r="519" spans="1:16" ht="41.25" customHeight="1" x14ac:dyDescent="0.3">
      <c r="A519" s="9">
        <v>488</v>
      </c>
      <c r="B519" s="46" t="s">
        <v>974</v>
      </c>
      <c r="C519" s="46" t="s">
        <v>1946</v>
      </c>
      <c r="D519" s="47" t="s">
        <v>999</v>
      </c>
      <c r="E519" s="46" t="s">
        <v>195</v>
      </c>
      <c r="F519" s="48" t="s">
        <v>61</v>
      </c>
      <c r="G519" s="48" t="s">
        <v>1000</v>
      </c>
      <c r="H519" s="12">
        <f>MROUND('Rate Card'!$I$31*O519*P519,10)</f>
        <v>290</v>
      </c>
      <c r="I519" s="12">
        <f>MROUND('Rate Card'!$K$31*O519*P519,10)</f>
        <v>170</v>
      </c>
      <c r="J519" s="12">
        <f>MROUND(H519*4*'Rate Card'!$B$47,100)</f>
        <v>1100</v>
      </c>
      <c r="K519" s="12">
        <f>MROUND(I519*4*'Rate Card'!$B$47,100)</f>
        <v>600</v>
      </c>
      <c r="L519" s="12">
        <f>MROUND(H519*120*'Rate Card'!$B$48,500)</f>
        <v>29500</v>
      </c>
      <c r="M519" s="12">
        <f>MROUND(I519*120*'Rate Card'!$B$48,500)</f>
        <v>17500</v>
      </c>
      <c r="N519" s="14" t="s">
        <v>1697</v>
      </c>
      <c r="O519" s="49">
        <v>0.57999999999999996</v>
      </c>
      <c r="P519" s="49">
        <v>1</v>
      </c>
    </row>
    <row r="520" spans="1:16" ht="41.25" customHeight="1" x14ac:dyDescent="0.3">
      <c r="A520" s="9">
        <v>489</v>
      </c>
      <c r="B520" s="46" t="s">
        <v>974</v>
      </c>
      <c r="C520" s="46" t="s">
        <v>1946</v>
      </c>
      <c r="D520" s="47" t="s">
        <v>995</v>
      </c>
      <c r="E520" s="46" t="s">
        <v>195</v>
      </c>
      <c r="F520" s="48" t="s">
        <v>49</v>
      </c>
      <c r="G520" s="48" t="s">
        <v>996</v>
      </c>
      <c r="H520" s="12">
        <f>MROUND('Rate Card'!$I$31*O520*P520,10)</f>
        <v>290</v>
      </c>
      <c r="I520" s="12">
        <f>MROUND('Rate Card'!$K$31*O520*P520,10)</f>
        <v>170</v>
      </c>
      <c r="J520" s="12">
        <f>MROUND(H520*4*'Rate Card'!$B$47,100)</f>
        <v>1100</v>
      </c>
      <c r="K520" s="12">
        <f>MROUND(I520*4*'Rate Card'!$B$47,100)</f>
        <v>600</v>
      </c>
      <c r="L520" s="12">
        <f>MROUND(H520*120*'Rate Card'!$B$48,500)</f>
        <v>29500</v>
      </c>
      <c r="M520" s="12">
        <f>MROUND(I520*120*'Rate Card'!$B$48,500)</f>
        <v>17500</v>
      </c>
      <c r="N520" s="14" t="s">
        <v>1697</v>
      </c>
      <c r="O520" s="49">
        <v>0.57999999999999996</v>
      </c>
      <c r="P520" s="49">
        <v>1</v>
      </c>
    </row>
    <row r="521" spans="1:16" ht="41.25" customHeight="1" x14ac:dyDescent="0.3">
      <c r="A521" s="9">
        <v>490</v>
      </c>
      <c r="B521" s="46" t="s">
        <v>974</v>
      </c>
      <c r="C521" s="46" t="s">
        <v>1946</v>
      </c>
      <c r="D521" s="47" t="s">
        <v>1004</v>
      </c>
      <c r="E521" s="46" t="s">
        <v>195</v>
      </c>
      <c r="F521" s="48" t="s">
        <v>61</v>
      </c>
      <c r="G521" s="48" t="s">
        <v>1005</v>
      </c>
      <c r="H521" s="12">
        <f>MROUND('Rate Card'!$I$31*O521*P521,10)</f>
        <v>290</v>
      </c>
      <c r="I521" s="12">
        <f>MROUND('Rate Card'!$K$31*O521*P521,10)</f>
        <v>170</v>
      </c>
      <c r="J521" s="12">
        <f>MROUND(H521*4*'Rate Card'!$B$47,100)</f>
        <v>1100</v>
      </c>
      <c r="K521" s="12">
        <f>MROUND(I521*4*'Rate Card'!$B$47,100)</f>
        <v>600</v>
      </c>
      <c r="L521" s="12">
        <f>MROUND(H521*120*'Rate Card'!$B$48,500)</f>
        <v>29500</v>
      </c>
      <c r="M521" s="12">
        <f>MROUND(I521*120*'Rate Card'!$B$48,500)</f>
        <v>17500</v>
      </c>
      <c r="N521" s="14" t="s">
        <v>1697</v>
      </c>
      <c r="O521" s="49">
        <v>0.57999999999999996</v>
      </c>
      <c r="P521" s="49">
        <v>1</v>
      </c>
    </row>
    <row r="522" spans="1:16" ht="54.75" customHeight="1" x14ac:dyDescent="0.3">
      <c r="A522" s="9">
        <v>491</v>
      </c>
      <c r="B522" s="46" t="s">
        <v>974</v>
      </c>
      <c r="C522" s="46" t="s">
        <v>1946</v>
      </c>
      <c r="D522" s="47" t="s">
        <v>1021</v>
      </c>
      <c r="E522" s="46" t="s">
        <v>195</v>
      </c>
      <c r="F522" s="48" t="s">
        <v>66</v>
      </c>
      <c r="G522" s="48" t="s">
        <v>1022</v>
      </c>
      <c r="H522" s="12">
        <f>MROUND('Rate Card'!$I$31*O522*P522,10)</f>
        <v>290</v>
      </c>
      <c r="I522" s="12">
        <f>MROUND('Rate Card'!$K$31*O522*P522,10)</f>
        <v>170</v>
      </c>
      <c r="J522" s="12">
        <f>MROUND(H522*4*'Rate Card'!$B$47,100)</f>
        <v>1100</v>
      </c>
      <c r="K522" s="12">
        <f>MROUND(I522*4*'Rate Card'!$B$47,100)</f>
        <v>600</v>
      </c>
      <c r="L522" s="12">
        <f>MROUND(H522*120*'Rate Card'!$B$48,500)</f>
        <v>29500</v>
      </c>
      <c r="M522" s="12">
        <f>MROUND(I522*120*'Rate Card'!$B$48,500)</f>
        <v>17500</v>
      </c>
      <c r="N522" s="14" t="s">
        <v>1697</v>
      </c>
      <c r="O522" s="49">
        <v>0.57999999999999996</v>
      </c>
      <c r="P522" s="49">
        <v>1</v>
      </c>
    </row>
    <row r="523" spans="1:16" ht="15" customHeight="1" x14ac:dyDescent="0.3">
      <c r="A523" s="9">
        <v>492</v>
      </c>
      <c r="B523" s="46" t="s">
        <v>974</v>
      </c>
      <c r="C523" s="46" t="s">
        <v>1946</v>
      </c>
      <c r="D523" s="47" t="s">
        <v>1009</v>
      </c>
      <c r="E523" s="46" t="s">
        <v>195</v>
      </c>
      <c r="F523" s="48" t="s">
        <v>195</v>
      </c>
      <c r="G523" s="48" t="s">
        <v>1010</v>
      </c>
      <c r="H523" s="12">
        <f>MROUND('Rate Card'!$I$31*O523*P523,10)</f>
        <v>290</v>
      </c>
      <c r="I523" s="12">
        <f>MROUND('Rate Card'!$K$31*O523*P523,10)</f>
        <v>170</v>
      </c>
      <c r="J523" s="12">
        <f>MROUND(H523*4*'Rate Card'!$B$47,100)</f>
        <v>1100</v>
      </c>
      <c r="K523" s="12">
        <f>MROUND(I523*4*'Rate Card'!$B$47,100)</f>
        <v>600</v>
      </c>
      <c r="L523" s="12">
        <f>MROUND(H523*120*'Rate Card'!$B$48,500)</f>
        <v>29500</v>
      </c>
      <c r="M523" s="12">
        <f>MROUND(I523*120*'Rate Card'!$B$48,500)</f>
        <v>17500</v>
      </c>
      <c r="N523" s="14" t="s">
        <v>1744</v>
      </c>
      <c r="O523" s="49">
        <v>0.57999999999999996</v>
      </c>
      <c r="P523" s="49">
        <v>1</v>
      </c>
    </row>
    <row r="524" spans="1:16" ht="41.25" customHeight="1" x14ac:dyDescent="0.3">
      <c r="A524" s="9">
        <v>493</v>
      </c>
      <c r="B524" s="46" t="s">
        <v>974</v>
      </c>
      <c r="C524" s="46" t="s">
        <v>1946</v>
      </c>
      <c r="D524" s="47" t="s">
        <v>1027</v>
      </c>
      <c r="E524" s="46" t="s">
        <v>195</v>
      </c>
      <c r="F524" s="48" t="s">
        <v>458</v>
      </c>
      <c r="G524" s="48" t="s">
        <v>1028</v>
      </c>
      <c r="H524" s="12">
        <f>MROUND('Rate Card'!$I$31*O524*P524,10)</f>
        <v>290</v>
      </c>
      <c r="I524" s="12">
        <f>MROUND('Rate Card'!$K$31*O524*P524,10)</f>
        <v>170</v>
      </c>
      <c r="J524" s="12">
        <f>MROUND(H524*4*'Rate Card'!$B$47,100)</f>
        <v>1100</v>
      </c>
      <c r="K524" s="12">
        <f>MROUND(I524*4*'Rate Card'!$B$47,100)</f>
        <v>600</v>
      </c>
      <c r="L524" s="12">
        <f>MROUND(H524*120*'Rate Card'!$B$48,500)</f>
        <v>29500</v>
      </c>
      <c r="M524" s="12">
        <f>MROUND(I524*120*'Rate Card'!$B$48,500)</f>
        <v>17500</v>
      </c>
      <c r="N524" s="14" t="s">
        <v>1697</v>
      </c>
      <c r="O524" s="49">
        <v>0.57999999999999996</v>
      </c>
      <c r="P524" s="49">
        <v>1</v>
      </c>
    </row>
    <row r="525" spans="1:16" ht="41.25" customHeight="1" x14ac:dyDescent="0.3">
      <c r="A525" s="9">
        <v>494</v>
      </c>
      <c r="B525" s="46" t="s">
        <v>974</v>
      </c>
      <c r="C525" s="46" t="s">
        <v>1740</v>
      </c>
      <c r="D525" s="47"/>
      <c r="E525" s="46" t="s">
        <v>195</v>
      </c>
      <c r="F525" s="48" t="s">
        <v>1051</v>
      </c>
      <c r="G525" s="48" t="s">
        <v>1531</v>
      </c>
      <c r="H525" s="12">
        <f>MROUND('Rate Card'!$I$31*O525*P525,10)</f>
        <v>290</v>
      </c>
      <c r="I525" s="12">
        <f>MROUND('Rate Card'!$K$31*O525*P525,10)</f>
        <v>170</v>
      </c>
      <c r="J525" s="12">
        <f>MROUND(H525*4*'Rate Card'!$B$47,100)</f>
        <v>1100</v>
      </c>
      <c r="K525" s="12">
        <f>MROUND(I525*4*'Rate Card'!$B$47,100)</f>
        <v>600</v>
      </c>
      <c r="L525" s="12">
        <f>MROUND(H525*120*'Rate Card'!$B$48,500)</f>
        <v>29500</v>
      </c>
      <c r="M525" s="12">
        <f>MROUND(I525*120*'Rate Card'!$B$48,500)</f>
        <v>17500</v>
      </c>
      <c r="N525" s="14" t="s">
        <v>1697</v>
      </c>
      <c r="O525" s="49">
        <v>0.57999999999999996</v>
      </c>
      <c r="P525" s="49">
        <v>1</v>
      </c>
    </row>
    <row r="526" spans="1:16" ht="54.75" customHeight="1" x14ac:dyDescent="0.3">
      <c r="A526" s="9">
        <v>495</v>
      </c>
      <c r="B526" s="46" t="s">
        <v>974</v>
      </c>
      <c r="C526" s="46" t="s">
        <v>1947</v>
      </c>
      <c r="D526" s="47" t="s">
        <v>984</v>
      </c>
      <c r="E526" s="46" t="s">
        <v>195</v>
      </c>
      <c r="F526" s="48" t="s">
        <v>116</v>
      </c>
      <c r="G526" s="48" t="s">
        <v>985</v>
      </c>
      <c r="H526" s="12">
        <f>MROUND('Rate Card'!$I$31*O526*P526,10)</f>
        <v>290</v>
      </c>
      <c r="I526" s="12">
        <f>MROUND('Rate Card'!$K$31*O526*P526,10)</f>
        <v>170</v>
      </c>
      <c r="J526" s="12">
        <f>MROUND(H526*4*'Rate Card'!$B$47,100)</f>
        <v>1100</v>
      </c>
      <c r="K526" s="12">
        <f>MROUND(I526*4*'Rate Card'!$B$47,100)</f>
        <v>600</v>
      </c>
      <c r="L526" s="12">
        <f>MROUND(H526*120*'Rate Card'!$B$48,500)</f>
        <v>29500</v>
      </c>
      <c r="M526" s="12">
        <f>MROUND(I526*120*'Rate Card'!$B$48,500)</f>
        <v>17500</v>
      </c>
      <c r="N526" s="14" t="s">
        <v>1697</v>
      </c>
      <c r="O526" s="49">
        <v>0.57999999999999996</v>
      </c>
      <c r="P526" s="49">
        <v>1</v>
      </c>
    </row>
    <row r="527" spans="1:16" ht="54.75" customHeight="1" x14ac:dyDescent="0.3">
      <c r="A527" s="9">
        <v>496</v>
      </c>
      <c r="B527" s="46" t="s">
        <v>974</v>
      </c>
      <c r="C527" s="46" t="s">
        <v>1740</v>
      </c>
      <c r="D527" s="47"/>
      <c r="E527" s="46" t="s">
        <v>195</v>
      </c>
      <c r="F527" s="48" t="s">
        <v>1053</v>
      </c>
      <c r="G527" s="48" t="s">
        <v>1523</v>
      </c>
      <c r="H527" s="12">
        <f>MROUND('Rate Card'!$I$31*O527*P527,10)</f>
        <v>290</v>
      </c>
      <c r="I527" s="12">
        <f>MROUND('Rate Card'!$K$31*O527*P527,10)</f>
        <v>170</v>
      </c>
      <c r="J527" s="12">
        <f>MROUND(H527*4*'Rate Card'!$B$47,100)</f>
        <v>1100</v>
      </c>
      <c r="K527" s="12">
        <f>MROUND(I527*4*'Rate Card'!$B$47,100)</f>
        <v>600</v>
      </c>
      <c r="L527" s="12">
        <f>MROUND(H527*120*'Rate Card'!$B$48,500)</f>
        <v>29500</v>
      </c>
      <c r="M527" s="12">
        <f>MROUND(I527*120*'Rate Card'!$B$48,500)</f>
        <v>17500</v>
      </c>
      <c r="N527" s="14" t="s">
        <v>1697</v>
      </c>
      <c r="O527" s="49">
        <v>0.57999999999999996</v>
      </c>
      <c r="P527" s="49">
        <v>1</v>
      </c>
    </row>
    <row r="528" spans="1:16" ht="54.75" customHeight="1" x14ac:dyDescent="0.3">
      <c r="A528" s="9">
        <v>497</v>
      </c>
      <c r="B528" s="46" t="s">
        <v>974</v>
      </c>
      <c r="C528" s="46" t="s">
        <v>1740</v>
      </c>
      <c r="D528" s="47"/>
      <c r="E528" s="46" t="s">
        <v>195</v>
      </c>
      <c r="F528" s="48" t="s">
        <v>1054</v>
      </c>
      <c r="G528" s="48" t="s">
        <v>1528</v>
      </c>
      <c r="H528" s="12">
        <f>MROUND('Rate Card'!$I$31*O528*P528,10)</f>
        <v>290</v>
      </c>
      <c r="I528" s="12">
        <f>MROUND('Rate Card'!$K$31*O528*P528,10)</f>
        <v>170</v>
      </c>
      <c r="J528" s="12">
        <f>MROUND(H528*4*'Rate Card'!$B$47,100)</f>
        <v>1100</v>
      </c>
      <c r="K528" s="12">
        <f>MROUND(I528*4*'Rate Card'!$B$47,100)</f>
        <v>600</v>
      </c>
      <c r="L528" s="12">
        <f>MROUND(H528*120*'Rate Card'!$B$48,500)</f>
        <v>29500</v>
      </c>
      <c r="M528" s="12">
        <f>MROUND(I528*120*'Rate Card'!$B$48,500)</f>
        <v>17500</v>
      </c>
      <c r="N528" s="14" t="s">
        <v>1697</v>
      </c>
      <c r="O528" s="49">
        <v>0.57999999999999996</v>
      </c>
      <c r="P528" s="49">
        <v>1</v>
      </c>
    </row>
    <row r="529" spans="1:16" ht="15" customHeight="1" x14ac:dyDescent="0.3">
      <c r="A529" s="9">
        <v>498</v>
      </c>
      <c r="B529" s="46" t="s">
        <v>974</v>
      </c>
      <c r="C529" s="46" t="s">
        <v>1740</v>
      </c>
      <c r="D529" s="47"/>
      <c r="E529" s="46" t="s">
        <v>195</v>
      </c>
      <c r="F529" s="48" t="s">
        <v>195</v>
      </c>
      <c r="G529" s="48" t="s">
        <v>1524</v>
      </c>
      <c r="H529" s="12">
        <f>MROUND('Rate Card'!$I$31*O529*P529,10)</f>
        <v>290</v>
      </c>
      <c r="I529" s="12">
        <f>MROUND('Rate Card'!$K$31*O529*P529,10)</f>
        <v>170</v>
      </c>
      <c r="J529" s="12">
        <f>MROUND(H529*4*'Rate Card'!$B$47,100)</f>
        <v>1100</v>
      </c>
      <c r="K529" s="12">
        <f>MROUND(I529*4*'Rate Card'!$B$47,100)</f>
        <v>600</v>
      </c>
      <c r="L529" s="12">
        <f>MROUND(H529*120*'Rate Card'!$B$48,500)</f>
        <v>29500</v>
      </c>
      <c r="M529" s="12">
        <f>MROUND(I529*120*'Rate Card'!$B$48,500)</f>
        <v>17500</v>
      </c>
      <c r="N529" s="14" t="s">
        <v>1744</v>
      </c>
      <c r="O529" s="49">
        <v>0.57999999999999996</v>
      </c>
      <c r="P529" s="49">
        <v>1</v>
      </c>
    </row>
    <row r="530" spans="1:16" ht="15" customHeight="1" x14ac:dyDescent="0.3">
      <c r="A530" s="9">
        <v>499</v>
      </c>
      <c r="B530" s="46" t="s">
        <v>974</v>
      </c>
      <c r="C530" s="46" t="s">
        <v>1740</v>
      </c>
      <c r="D530" s="47"/>
      <c r="E530" s="46" t="s">
        <v>195</v>
      </c>
      <c r="F530" s="48" t="s">
        <v>195</v>
      </c>
      <c r="G530" s="48" t="s">
        <v>1533</v>
      </c>
      <c r="H530" s="12">
        <f>MROUND('Rate Card'!$I$31*O530*P530,10)</f>
        <v>290</v>
      </c>
      <c r="I530" s="12">
        <f>MROUND('Rate Card'!$K$31*O530*P530,10)</f>
        <v>170</v>
      </c>
      <c r="J530" s="12">
        <f>MROUND(H530*4*'Rate Card'!$B$47,100)</f>
        <v>1100</v>
      </c>
      <c r="K530" s="12">
        <f>MROUND(I530*4*'Rate Card'!$B$47,100)</f>
        <v>600</v>
      </c>
      <c r="L530" s="12">
        <f>MROUND(H530*120*'Rate Card'!$B$48,500)</f>
        <v>29500</v>
      </c>
      <c r="M530" s="12">
        <f>MROUND(I530*120*'Rate Card'!$B$48,500)</f>
        <v>17500</v>
      </c>
      <c r="N530" s="14" t="s">
        <v>1744</v>
      </c>
      <c r="O530" s="49">
        <v>0.57999999999999996</v>
      </c>
      <c r="P530" s="49">
        <v>1</v>
      </c>
    </row>
    <row r="531" spans="1:16" ht="15" customHeight="1" x14ac:dyDescent="0.3">
      <c r="A531" s="9">
        <v>500</v>
      </c>
      <c r="B531" s="46" t="s">
        <v>974</v>
      </c>
      <c r="C531" s="46" t="s">
        <v>1740</v>
      </c>
      <c r="D531" s="47"/>
      <c r="E531" s="46" t="s">
        <v>195</v>
      </c>
      <c r="F531" s="48" t="s">
        <v>195</v>
      </c>
      <c r="G531" s="48" t="s">
        <v>1532</v>
      </c>
      <c r="H531" s="12">
        <f>MROUND('Rate Card'!$I$31*O531*P531,10)</f>
        <v>290</v>
      </c>
      <c r="I531" s="12">
        <f>MROUND('Rate Card'!$K$31*O531*P531,10)</f>
        <v>170</v>
      </c>
      <c r="J531" s="12">
        <f>MROUND(H531*4*'Rate Card'!$B$47,100)</f>
        <v>1100</v>
      </c>
      <c r="K531" s="12">
        <f>MROUND(I531*4*'Rate Card'!$B$47,100)</f>
        <v>600</v>
      </c>
      <c r="L531" s="12">
        <f>MROUND(H531*120*'Rate Card'!$B$48,500)</f>
        <v>29500</v>
      </c>
      <c r="M531" s="12">
        <f>MROUND(I531*120*'Rate Card'!$B$48,500)</f>
        <v>17500</v>
      </c>
      <c r="N531" s="14" t="s">
        <v>1744</v>
      </c>
      <c r="O531" s="49">
        <v>0.57999999999999996</v>
      </c>
      <c r="P531" s="49">
        <v>1</v>
      </c>
    </row>
    <row r="532" spans="1:16" ht="15" customHeight="1" x14ac:dyDescent="0.3">
      <c r="A532" s="9">
        <v>501</v>
      </c>
      <c r="B532" s="46" t="s">
        <v>974</v>
      </c>
      <c r="C532" s="46" t="s">
        <v>1740</v>
      </c>
      <c r="D532" s="47"/>
      <c r="E532" s="46" t="s">
        <v>195</v>
      </c>
      <c r="F532" s="48" t="s">
        <v>195</v>
      </c>
      <c r="G532" s="48" t="s">
        <v>1525</v>
      </c>
      <c r="H532" s="12">
        <f>MROUND('Rate Card'!$I$31*O532*P532,10)</f>
        <v>290</v>
      </c>
      <c r="I532" s="12">
        <f>MROUND('Rate Card'!$K$31*O532*P532,10)</f>
        <v>170</v>
      </c>
      <c r="J532" s="12">
        <f>MROUND(H532*4*'Rate Card'!$B$47,100)</f>
        <v>1100</v>
      </c>
      <c r="K532" s="12">
        <f>MROUND(I532*4*'Rate Card'!$B$47,100)</f>
        <v>600</v>
      </c>
      <c r="L532" s="12">
        <f>MROUND(H532*120*'Rate Card'!$B$48,500)</f>
        <v>29500</v>
      </c>
      <c r="M532" s="12">
        <f>MROUND(I532*120*'Rate Card'!$B$48,500)</f>
        <v>17500</v>
      </c>
      <c r="N532" s="14" t="s">
        <v>1744</v>
      </c>
      <c r="O532" s="49">
        <v>0.57999999999999996</v>
      </c>
      <c r="P532" s="49">
        <v>1</v>
      </c>
    </row>
    <row r="533" spans="1:16" ht="41.25" customHeight="1" x14ac:dyDescent="0.3">
      <c r="A533" s="9">
        <v>502</v>
      </c>
      <c r="B533" s="46" t="s">
        <v>974</v>
      </c>
      <c r="C533" s="46" t="s">
        <v>1740</v>
      </c>
      <c r="D533" s="47"/>
      <c r="E533" s="46" t="s">
        <v>195</v>
      </c>
      <c r="F533" s="48" t="s">
        <v>1055</v>
      </c>
      <c r="G533" s="48" t="s">
        <v>1527</v>
      </c>
      <c r="H533" s="12">
        <f>MROUND('Rate Card'!$I$31*O533*P533,10)</f>
        <v>290</v>
      </c>
      <c r="I533" s="12">
        <f>MROUND('Rate Card'!$K$31*O533*P533,10)</f>
        <v>170</v>
      </c>
      <c r="J533" s="12">
        <f>MROUND(H533*4*'Rate Card'!$B$47,100)</f>
        <v>1100</v>
      </c>
      <c r="K533" s="12">
        <f>MROUND(I533*4*'Rate Card'!$B$47,100)</f>
        <v>600</v>
      </c>
      <c r="L533" s="12">
        <f>MROUND(H533*120*'Rate Card'!$B$48,500)</f>
        <v>29500</v>
      </c>
      <c r="M533" s="12">
        <f>MROUND(I533*120*'Rate Card'!$B$48,500)</f>
        <v>17500</v>
      </c>
      <c r="N533" s="14" t="s">
        <v>1697</v>
      </c>
      <c r="O533" s="49">
        <v>0.57999999999999996</v>
      </c>
      <c r="P533" s="49">
        <v>1</v>
      </c>
    </row>
    <row r="534" spans="1:16" ht="54.75" customHeight="1" x14ac:dyDescent="0.3">
      <c r="A534" s="9">
        <v>503</v>
      </c>
      <c r="B534" s="46" t="s">
        <v>974</v>
      </c>
      <c r="C534" s="46" t="s">
        <v>1740</v>
      </c>
      <c r="D534" s="47"/>
      <c r="E534" s="46" t="s">
        <v>195</v>
      </c>
      <c r="F534" s="48" t="s">
        <v>1056</v>
      </c>
      <c r="G534" s="48" t="s">
        <v>1526</v>
      </c>
      <c r="H534" s="12">
        <f>MROUND('Rate Card'!$I$31*O534*P534,10)</f>
        <v>290</v>
      </c>
      <c r="I534" s="12">
        <f>MROUND('Rate Card'!$K$31*O534*P534,10)</f>
        <v>170</v>
      </c>
      <c r="J534" s="12">
        <f>MROUND(H534*4*'Rate Card'!$B$47,100)</f>
        <v>1100</v>
      </c>
      <c r="K534" s="12">
        <f>MROUND(I534*4*'Rate Card'!$B$47,100)</f>
        <v>600</v>
      </c>
      <c r="L534" s="12">
        <f>MROUND(H534*120*'Rate Card'!$B$48,500)</f>
        <v>29500</v>
      </c>
      <c r="M534" s="12">
        <f>MROUND(I534*120*'Rate Card'!$B$48,500)</f>
        <v>17500</v>
      </c>
      <c r="N534" s="14" t="s">
        <v>1697</v>
      </c>
      <c r="O534" s="49">
        <v>0.57999999999999996</v>
      </c>
      <c r="P534" s="49">
        <v>1</v>
      </c>
    </row>
    <row r="535" spans="1:16" ht="15" customHeight="1" x14ac:dyDescent="0.3">
      <c r="A535" s="9">
        <v>504</v>
      </c>
      <c r="B535" s="46" t="s">
        <v>974</v>
      </c>
      <c r="C535" s="46" t="s">
        <v>1959</v>
      </c>
      <c r="D535" s="47" t="s">
        <v>1044</v>
      </c>
      <c r="E535" s="46" t="s">
        <v>195</v>
      </c>
      <c r="F535" s="48" t="s">
        <v>195</v>
      </c>
      <c r="G535" s="48" t="s">
        <v>1045</v>
      </c>
      <c r="H535" s="12">
        <f>MROUND('Rate Card'!$I$31*O535*P535,10)</f>
        <v>290</v>
      </c>
      <c r="I535" s="12">
        <f>MROUND('Rate Card'!$K$31*O535*P535,10)</f>
        <v>170</v>
      </c>
      <c r="J535" s="12">
        <f>MROUND(H535*4*'Rate Card'!$B$47,100)</f>
        <v>1100</v>
      </c>
      <c r="K535" s="12">
        <f>MROUND(I535*4*'Rate Card'!$B$47,100)</f>
        <v>600</v>
      </c>
      <c r="L535" s="12">
        <f>MROUND(H535*120*'Rate Card'!$B$48,500)</f>
        <v>29500</v>
      </c>
      <c r="M535" s="12">
        <f>MROUND(I535*120*'Rate Card'!$B$48,500)</f>
        <v>17500</v>
      </c>
      <c r="N535" s="14" t="s">
        <v>1744</v>
      </c>
      <c r="O535" s="49">
        <v>0.57999999999999996</v>
      </c>
      <c r="P535" s="49">
        <v>1</v>
      </c>
    </row>
    <row r="536" spans="1:16" ht="41.25" customHeight="1" x14ac:dyDescent="0.3">
      <c r="A536" s="9">
        <v>505</v>
      </c>
      <c r="B536" s="46" t="s">
        <v>974</v>
      </c>
      <c r="C536" s="46" t="s">
        <v>1956</v>
      </c>
      <c r="D536" s="47"/>
      <c r="E536" s="46" t="s">
        <v>195</v>
      </c>
      <c r="F536" s="48" t="s">
        <v>1059</v>
      </c>
      <c r="G536" s="48" t="s">
        <v>1529</v>
      </c>
      <c r="H536" s="12">
        <f>MROUND('Rate Card'!$I$31*O536*P536,10)</f>
        <v>290</v>
      </c>
      <c r="I536" s="12">
        <f>MROUND('Rate Card'!$K$31*O536*P536,10)</f>
        <v>170</v>
      </c>
      <c r="J536" s="12">
        <f>MROUND(H536*4*'Rate Card'!$B$47,100)</f>
        <v>1100</v>
      </c>
      <c r="K536" s="12">
        <f>MROUND(I536*4*'Rate Card'!$B$47,100)</f>
        <v>600</v>
      </c>
      <c r="L536" s="12">
        <f>MROUND(H536*120*'Rate Card'!$B$48,500)</f>
        <v>29500</v>
      </c>
      <c r="M536" s="12">
        <f>MROUND(I536*120*'Rate Card'!$B$48,500)</f>
        <v>17500</v>
      </c>
      <c r="N536" s="14" t="s">
        <v>1697</v>
      </c>
      <c r="O536" s="49">
        <v>0.57999999999999996</v>
      </c>
      <c r="P536" s="49">
        <v>1</v>
      </c>
    </row>
    <row r="537" spans="1:16" ht="15" customHeight="1" x14ac:dyDescent="0.3">
      <c r="A537" s="199" t="s">
        <v>1060</v>
      </c>
      <c r="B537" s="200"/>
      <c r="C537" s="200"/>
      <c r="D537" s="200"/>
      <c r="E537" s="200"/>
      <c r="F537" s="200"/>
      <c r="G537" s="200"/>
      <c r="H537" s="200"/>
      <c r="I537" s="200"/>
      <c r="J537" s="200"/>
      <c r="K537" s="200"/>
      <c r="L537" s="200"/>
      <c r="M537" s="200"/>
      <c r="N537" s="200"/>
    </row>
    <row r="538" spans="1:16" ht="15" customHeight="1" x14ac:dyDescent="0.3">
      <c r="A538" s="9">
        <v>506</v>
      </c>
      <c r="B538" s="46" t="s">
        <v>1061</v>
      </c>
      <c r="C538" s="46" t="s">
        <v>1875</v>
      </c>
      <c r="D538" s="47" t="s">
        <v>1063</v>
      </c>
      <c r="E538" s="46" t="s">
        <v>1060</v>
      </c>
      <c r="F538" s="48" t="s">
        <v>116</v>
      </c>
      <c r="G538" s="48" t="s">
        <v>932</v>
      </c>
      <c r="H538" s="12">
        <f>MROUND('Rate Card'!$I$32*O538*P538,10)</f>
        <v>1610</v>
      </c>
      <c r="I538" s="12">
        <f>MROUND('Rate Card'!$K$32*O538*P538,10)</f>
        <v>870</v>
      </c>
      <c r="J538" s="12">
        <f>MROUND(H538*4*'Rate Card'!$B$47,100)</f>
        <v>6100</v>
      </c>
      <c r="K538" s="12">
        <f>MROUND(I538*4*'Rate Card'!$B$47,100)</f>
        <v>3300</v>
      </c>
      <c r="L538" s="12">
        <f>MROUND(H538*120*'Rate Card'!$B$48,500)</f>
        <v>164000</v>
      </c>
      <c r="M538" s="12">
        <f>MROUND(I538*120*'Rate Card'!$B$48,500)</f>
        <v>88500</v>
      </c>
      <c r="N538" s="14"/>
      <c r="O538" s="49">
        <v>0.92</v>
      </c>
      <c r="P538" s="49">
        <v>1</v>
      </c>
    </row>
    <row r="539" spans="1:16" ht="15" customHeight="1" x14ac:dyDescent="0.3">
      <c r="A539" s="9">
        <v>507</v>
      </c>
      <c r="B539" s="46" t="s">
        <v>1061</v>
      </c>
      <c r="C539" s="46" t="s">
        <v>1875</v>
      </c>
      <c r="D539" s="47" t="s">
        <v>1064</v>
      </c>
      <c r="E539" s="46" t="s">
        <v>1060</v>
      </c>
      <c r="F539" s="48" t="s">
        <v>116</v>
      </c>
      <c r="G539" s="48" t="s">
        <v>930</v>
      </c>
      <c r="H539" s="12">
        <f>MROUND('Rate Card'!$I$32*O539*P539,10)</f>
        <v>1610</v>
      </c>
      <c r="I539" s="12">
        <f>MROUND('Rate Card'!$K$32*O539*P539,10)</f>
        <v>870</v>
      </c>
      <c r="J539" s="12">
        <f>MROUND(H539*4*'Rate Card'!$B$47,100)</f>
        <v>6100</v>
      </c>
      <c r="K539" s="12">
        <f>MROUND(I539*4*'Rate Card'!$B$47,100)</f>
        <v>3300</v>
      </c>
      <c r="L539" s="12">
        <f>MROUND(H539*120*'Rate Card'!$B$48,500)</f>
        <v>164000</v>
      </c>
      <c r="M539" s="12">
        <f>MROUND(I539*120*'Rate Card'!$B$48,500)</f>
        <v>88500</v>
      </c>
      <c r="N539" s="14"/>
      <c r="O539" s="49">
        <v>0.92</v>
      </c>
      <c r="P539" s="49">
        <v>1</v>
      </c>
    </row>
    <row r="540" spans="1:16" ht="15" customHeight="1" x14ac:dyDescent="0.3">
      <c r="A540" s="9">
        <v>508</v>
      </c>
      <c r="B540" s="46" t="s">
        <v>1061</v>
      </c>
      <c r="C540" s="46" t="s">
        <v>1877</v>
      </c>
      <c r="D540" s="47" t="s">
        <v>1066</v>
      </c>
      <c r="E540" s="46" t="s">
        <v>1060</v>
      </c>
      <c r="F540" s="48" t="s">
        <v>116</v>
      </c>
      <c r="G540" s="48"/>
      <c r="H540" s="12">
        <f>MROUND('Rate Card'!$I$32*O540*P540,10)</f>
        <v>1610</v>
      </c>
      <c r="I540" s="12">
        <f>MROUND('Rate Card'!$K$32*O540*P540,10)</f>
        <v>870</v>
      </c>
      <c r="J540" s="12">
        <f>MROUND(H540*4*'Rate Card'!$B$47,100)</f>
        <v>6100</v>
      </c>
      <c r="K540" s="12">
        <f>MROUND(I540*4*'Rate Card'!$B$47,100)</f>
        <v>3300</v>
      </c>
      <c r="L540" s="12">
        <f>MROUND(H540*120*'Rate Card'!$B$48,500)</f>
        <v>164000</v>
      </c>
      <c r="M540" s="12">
        <f>MROUND(I540*120*'Rate Card'!$B$48,500)</f>
        <v>88500</v>
      </c>
      <c r="N540" s="14"/>
      <c r="O540" s="49">
        <v>0.92</v>
      </c>
      <c r="P540" s="49">
        <v>1</v>
      </c>
    </row>
    <row r="541" spans="1:16" ht="15" customHeight="1" x14ac:dyDescent="0.3">
      <c r="A541" s="9">
        <v>509</v>
      </c>
      <c r="B541" s="46" t="s">
        <v>1061</v>
      </c>
      <c r="C541" s="46" t="s">
        <v>1960</v>
      </c>
      <c r="D541" s="47" t="s">
        <v>1068</v>
      </c>
      <c r="E541" s="46" t="s">
        <v>1060</v>
      </c>
      <c r="F541" s="48" t="s">
        <v>116</v>
      </c>
      <c r="G541" s="48" t="s">
        <v>928</v>
      </c>
      <c r="H541" s="12">
        <f>MROUND('Rate Card'!$I$32*O541*P541,10)</f>
        <v>1610</v>
      </c>
      <c r="I541" s="12">
        <f>MROUND('Rate Card'!$K$32*O541*P541,10)</f>
        <v>870</v>
      </c>
      <c r="J541" s="12">
        <f>MROUND(H541*4*'Rate Card'!$B$47,100)</f>
        <v>6100</v>
      </c>
      <c r="K541" s="12">
        <f>MROUND(I541*4*'Rate Card'!$B$47,100)</f>
        <v>3300</v>
      </c>
      <c r="L541" s="12">
        <f>MROUND(H541*120*'Rate Card'!$B$48,500)</f>
        <v>164000</v>
      </c>
      <c r="M541" s="12">
        <f>MROUND(I541*120*'Rate Card'!$B$48,500)</f>
        <v>88500</v>
      </c>
      <c r="N541" s="14"/>
      <c r="O541" s="49">
        <v>0.92</v>
      </c>
      <c r="P541" s="49">
        <v>1</v>
      </c>
    </row>
    <row r="542" spans="1:16" ht="15" customHeight="1" x14ac:dyDescent="0.3">
      <c r="A542" s="9">
        <v>510</v>
      </c>
      <c r="B542" s="46" t="s">
        <v>1061</v>
      </c>
      <c r="C542" s="46" t="s">
        <v>1960</v>
      </c>
      <c r="D542" s="47" t="s">
        <v>1069</v>
      </c>
      <c r="E542" s="46" t="s">
        <v>1060</v>
      </c>
      <c r="F542" s="48" t="s">
        <v>195</v>
      </c>
      <c r="G542" s="48"/>
      <c r="H542" s="12">
        <f>MROUND('Rate Card'!$I$32*O542*P542,10)</f>
        <v>1010</v>
      </c>
      <c r="I542" s="12">
        <f>MROUND('Rate Card'!$K$32*O542*P542,10)</f>
        <v>550</v>
      </c>
      <c r="J542" s="12">
        <f>MROUND(H542*4*'Rate Card'!$B$47,100)</f>
        <v>3800</v>
      </c>
      <c r="K542" s="12">
        <f>MROUND(I542*4*'Rate Card'!$B$47,100)</f>
        <v>2100</v>
      </c>
      <c r="L542" s="12">
        <f>MROUND(H542*120*'Rate Card'!$B$48,500)</f>
        <v>103000</v>
      </c>
      <c r="M542" s="12">
        <f>MROUND(I542*120*'Rate Card'!$B$48,500)</f>
        <v>56000</v>
      </c>
      <c r="N542" s="14" t="s">
        <v>1744</v>
      </c>
      <c r="O542" s="49">
        <v>0.57999999999999996</v>
      </c>
      <c r="P542" s="49">
        <v>1</v>
      </c>
    </row>
    <row r="543" spans="1:16" ht="15" customHeight="1" x14ac:dyDescent="0.3">
      <c r="A543" s="9">
        <v>511</v>
      </c>
      <c r="B543" s="46" t="s">
        <v>1061</v>
      </c>
      <c r="C543" s="46" t="s">
        <v>1960</v>
      </c>
      <c r="D543" s="47" t="s">
        <v>1070</v>
      </c>
      <c r="E543" s="46" t="s">
        <v>1060</v>
      </c>
      <c r="F543" s="48" t="s">
        <v>195</v>
      </c>
      <c r="G543" s="48"/>
      <c r="H543" s="12">
        <f>MROUND('Rate Card'!$I$32*O543*P543,10)</f>
        <v>1010</v>
      </c>
      <c r="I543" s="12">
        <f>MROUND('Rate Card'!$K$32*O543*P543,10)</f>
        <v>550</v>
      </c>
      <c r="J543" s="12">
        <f>MROUND(H543*4*'Rate Card'!$B$47,100)</f>
        <v>3800</v>
      </c>
      <c r="K543" s="12">
        <f>MROUND(I543*4*'Rate Card'!$B$47,100)</f>
        <v>2100</v>
      </c>
      <c r="L543" s="12">
        <f>MROUND(H543*120*'Rate Card'!$B$48,500)</f>
        <v>103000</v>
      </c>
      <c r="M543" s="12">
        <f>MROUND(I543*120*'Rate Card'!$B$48,500)</f>
        <v>56000</v>
      </c>
      <c r="N543" s="14" t="s">
        <v>1744</v>
      </c>
      <c r="O543" s="49">
        <v>0.57999999999999996</v>
      </c>
      <c r="P543" s="49">
        <v>1</v>
      </c>
    </row>
    <row r="544" spans="1:16" ht="15" customHeight="1" x14ac:dyDescent="0.3">
      <c r="A544" s="9">
        <v>512</v>
      </c>
      <c r="B544" s="46" t="s">
        <v>1061</v>
      </c>
      <c r="C544" s="46" t="s">
        <v>1960</v>
      </c>
      <c r="D544" s="47" t="s">
        <v>1071</v>
      </c>
      <c r="E544" s="46" t="s">
        <v>1060</v>
      </c>
      <c r="F544" s="48" t="s">
        <v>195</v>
      </c>
      <c r="G544" s="48"/>
      <c r="H544" s="12">
        <f>MROUND('Rate Card'!$I$32*O544*P544,10)</f>
        <v>1010</v>
      </c>
      <c r="I544" s="12">
        <f>MROUND('Rate Card'!$K$32*O544*P544,10)</f>
        <v>550</v>
      </c>
      <c r="J544" s="12">
        <f>MROUND(H544*4*'Rate Card'!$B$47,100)</f>
        <v>3800</v>
      </c>
      <c r="K544" s="12">
        <f>MROUND(I544*4*'Rate Card'!$B$47,100)</f>
        <v>2100</v>
      </c>
      <c r="L544" s="12">
        <f>MROUND(H544*120*'Rate Card'!$B$48,500)</f>
        <v>103000</v>
      </c>
      <c r="M544" s="12">
        <f>MROUND(I544*120*'Rate Card'!$B$48,500)</f>
        <v>56000</v>
      </c>
      <c r="N544" s="14" t="s">
        <v>1744</v>
      </c>
      <c r="O544" s="49">
        <v>0.57999999999999996</v>
      </c>
      <c r="P544" s="49">
        <v>1</v>
      </c>
    </row>
    <row r="545" spans="1:16" ht="15" customHeight="1" x14ac:dyDescent="0.3">
      <c r="A545" s="9">
        <v>513</v>
      </c>
      <c r="B545" s="46" t="s">
        <v>1061</v>
      </c>
      <c r="C545" s="46" t="s">
        <v>1960</v>
      </c>
      <c r="D545" s="47" t="s">
        <v>1072</v>
      </c>
      <c r="E545" s="46" t="s">
        <v>1060</v>
      </c>
      <c r="F545" s="48" t="s">
        <v>195</v>
      </c>
      <c r="G545" s="48"/>
      <c r="H545" s="12">
        <f>MROUND('Rate Card'!$I$32*O545*P545,10)</f>
        <v>1010</v>
      </c>
      <c r="I545" s="12">
        <f>MROUND('Rate Card'!$K$32*O545*P545,10)</f>
        <v>550</v>
      </c>
      <c r="J545" s="12">
        <f>MROUND(H545*4*'Rate Card'!$B$47,100)</f>
        <v>3800</v>
      </c>
      <c r="K545" s="12">
        <f>MROUND(I545*4*'Rate Card'!$B$47,100)</f>
        <v>2100</v>
      </c>
      <c r="L545" s="12">
        <f>MROUND(H545*120*'Rate Card'!$B$48,500)</f>
        <v>103000</v>
      </c>
      <c r="M545" s="12">
        <f>MROUND(I545*120*'Rate Card'!$B$48,500)</f>
        <v>56000</v>
      </c>
      <c r="N545" s="14" t="s">
        <v>1744</v>
      </c>
      <c r="O545" s="49">
        <v>0.57999999999999996</v>
      </c>
      <c r="P545" s="49">
        <v>1</v>
      </c>
    </row>
    <row r="546" spans="1:16" ht="15" customHeight="1" x14ac:dyDescent="0.3">
      <c r="A546" s="9">
        <v>514</v>
      </c>
      <c r="B546" s="46" t="s">
        <v>1061</v>
      </c>
      <c r="C546" s="46" t="s">
        <v>1960</v>
      </c>
      <c r="D546" s="47" t="s">
        <v>1073</v>
      </c>
      <c r="E546" s="46" t="s">
        <v>1060</v>
      </c>
      <c r="F546" s="48" t="s">
        <v>195</v>
      </c>
      <c r="G546" s="48"/>
      <c r="H546" s="12">
        <f>MROUND('Rate Card'!$I$32*O546*P546,10)</f>
        <v>1010</v>
      </c>
      <c r="I546" s="12">
        <f>MROUND('Rate Card'!$K$32*O546*P546,10)</f>
        <v>550</v>
      </c>
      <c r="J546" s="12">
        <f>MROUND(H546*4*'Rate Card'!$B$47,100)</f>
        <v>3800</v>
      </c>
      <c r="K546" s="12">
        <f>MROUND(I546*4*'Rate Card'!$B$47,100)</f>
        <v>2100</v>
      </c>
      <c r="L546" s="12">
        <f>MROUND(H546*120*'Rate Card'!$B$48,500)</f>
        <v>103000</v>
      </c>
      <c r="M546" s="12">
        <f>MROUND(I546*120*'Rate Card'!$B$48,500)</f>
        <v>56000</v>
      </c>
      <c r="N546" s="14" t="s">
        <v>1744</v>
      </c>
      <c r="O546" s="49">
        <v>0.57999999999999996</v>
      </c>
      <c r="P546" s="49">
        <v>1</v>
      </c>
    </row>
    <row r="547" spans="1:16" ht="15" customHeight="1" x14ac:dyDescent="0.3">
      <c r="A547" s="9">
        <v>515</v>
      </c>
      <c r="B547" s="46" t="s">
        <v>1061</v>
      </c>
      <c r="C547" s="46" t="s">
        <v>1960</v>
      </c>
      <c r="D547" s="47" t="s">
        <v>1074</v>
      </c>
      <c r="E547" s="46" t="s">
        <v>1060</v>
      </c>
      <c r="F547" s="48" t="s">
        <v>195</v>
      </c>
      <c r="G547" s="48"/>
      <c r="H547" s="12">
        <f>MROUND('Rate Card'!$I$32*O547*P547,10)</f>
        <v>1010</v>
      </c>
      <c r="I547" s="12">
        <f>MROUND('Rate Card'!$K$32*O547*P547,10)</f>
        <v>550</v>
      </c>
      <c r="J547" s="12">
        <f>MROUND(H547*4*'Rate Card'!$B$47,100)</f>
        <v>3800</v>
      </c>
      <c r="K547" s="12">
        <f>MROUND(I547*4*'Rate Card'!$B$47,100)</f>
        <v>2100</v>
      </c>
      <c r="L547" s="12">
        <f>MROUND(H547*120*'Rate Card'!$B$48,500)</f>
        <v>103000</v>
      </c>
      <c r="M547" s="12">
        <f>MROUND(I547*120*'Rate Card'!$B$48,500)</f>
        <v>56000</v>
      </c>
      <c r="N547" s="14" t="s">
        <v>1744</v>
      </c>
      <c r="O547" s="49">
        <v>0.57999999999999996</v>
      </c>
      <c r="P547" s="49">
        <v>1</v>
      </c>
    </row>
    <row r="548" spans="1:16" ht="15" customHeight="1" x14ac:dyDescent="0.3">
      <c r="A548" s="199" t="s">
        <v>1075</v>
      </c>
      <c r="B548" s="200"/>
      <c r="C548" s="200"/>
      <c r="D548" s="200"/>
      <c r="E548" s="200"/>
      <c r="F548" s="200"/>
      <c r="G548" s="200"/>
      <c r="H548" s="200"/>
      <c r="I548" s="200"/>
      <c r="J548" s="200"/>
      <c r="K548" s="200"/>
      <c r="L548" s="200"/>
      <c r="M548" s="200"/>
      <c r="N548" s="200"/>
    </row>
    <row r="549" spans="1:16" ht="27.75" customHeight="1" x14ac:dyDescent="0.3">
      <c r="A549" s="9">
        <v>516</v>
      </c>
      <c r="B549" s="46" t="s">
        <v>1076</v>
      </c>
      <c r="C549" s="46" t="s">
        <v>1961</v>
      </c>
      <c r="D549" s="47" t="s">
        <v>1078</v>
      </c>
      <c r="E549" s="46" t="s">
        <v>195</v>
      </c>
      <c r="F549" s="48" t="s">
        <v>195</v>
      </c>
      <c r="G549" s="48"/>
      <c r="H549" s="12">
        <f>MROUND('Rate Card'!$I$33*O549*P549,10)</f>
        <v>1770</v>
      </c>
      <c r="I549" s="12">
        <f>MROUND('Rate Card'!$K$33*O549*P549,10)</f>
        <v>900</v>
      </c>
      <c r="J549" s="12">
        <f>MROUND(H549*4*'Rate Card'!$B$47,100)</f>
        <v>6700</v>
      </c>
      <c r="K549" s="12">
        <f>MROUND(I549*4*'Rate Card'!$B$47,100)</f>
        <v>3400</v>
      </c>
      <c r="L549" s="12">
        <f>MROUND(H549*120*'Rate Card'!$B$48,500)</f>
        <v>180500</v>
      </c>
      <c r="M549" s="12">
        <f>MROUND(I549*120*'Rate Card'!$B$48,500)</f>
        <v>92000</v>
      </c>
      <c r="N549" s="14" t="s">
        <v>1744</v>
      </c>
      <c r="O549" s="49">
        <v>0.57999999999999996</v>
      </c>
      <c r="P549" s="49">
        <v>1</v>
      </c>
    </row>
    <row r="550" spans="1:16" ht="15" customHeight="1" x14ac:dyDescent="0.3">
      <c r="A550" s="9">
        <v>517</v>
      </c>
      <c r="B550" s="46" t="s">
        <v>1076</v>
      </c>
      <c r="C550" s="46" t="s">
        <v>1962</v>
      </c>
      <c r="D550" s="47" t="s">
        <v>1080</v>
      </c>
      <c r="E550" s="46" t="s">
        <v>195</v>
      </c>
      <c r="F550" s="48" t="s">
        <v>195</v>
      </c>
      <c r="G550" s="48"/>
      <c r="H550" s="12">
        <f>MROUND('Rate Card'!$I$33*O550*P550,10)</f>
        <v>1770</v>
      </c>
      <c r="I550" s="12">
        <f>MROUND('Rate Card'!$K$33*O550*P550,10)</f>
        <v>900</v>
      </c>
      <c r="J550" s="12">
        <f>MROUND(H550*4*'Rate Card'!$B$47,100)</f>
        <v>6700</v>
      </c>
      <c r="K550" s="12">
        <f>MROUND(I550*4*'Rate Card'!$B$47,100)</f>
        <v>3400</v>
      </c>
      <c r="L550" s="12">
        <f>MROUND(H550*120*'Rate Card'!$B$48,500)</f>
        <v>180500</v>
      </c>
      <c r="M550" s="12">
        <f>MROUND(I550*120*'Rate Card'!$B$48,500)</f>
        <v>92000</v>
      </c>
      <c r="N550" s="14" t="s">
        <v>1744</v>
      </c>
      <c r="O550" s="49">
        <v>0.57999999999999996</v>
      </c>
      <c r="P550" s="49">
        <v>1</v>
      </c>
    </row>
    <row r="551" spans="1:16" ht="15" customHeight="1" x14ac:dyDescent="0.3">
      <c r="A551" s="9">
        <v>518</v>
      </c>
      <c r="B551" s="46" t="s">
        <v>1076</v>
      </c>
      <c r="C551" s="46" t="s">
        <v>1962</v>
      </c>
      <c r="D551" s="47" t="s">
        <v>1081</v>
      </c>
      <c r="E551" s="46" t="s">
        <v>195</v>
      </c>
      <c r="F551" s="48" t="s">
        <v>195</v>
      </c>
      <c r="G551" s="48"/>
      <c r="H551" s="12">
        <f>MROUND('Rate Card'!$I$33*O551*P551,10)</f>
        <v>1770</v>
      </c>
      <c r="I551" s="12">
        <f>MROUND('Rate Card'!$K$33*O551*P551,10)</f>
        <v>900</v>
      </c>
      <c r="J551" s="12">
        <f>MROUND(H551*4*'Rate Card'!$B$47,100)</f>
        <v>6700</v>
      </c>
      <c r="K551" s="12">
        <f>MROUND(I551*4*'Rate Card'!$B$47,100)</f>
        <v>3400</v>
      </c>
      <c r="L551" s="12">
        <f>MROUND(H551*120*'Rate Card'!$B$48,500)</f>
        <v>180500</v>
      </c>
      <c r="M551" s="12">
        <f>MROUND(I551*120*'Rate Card'!$B$48,500)</f>
        <v>92000</v>
      </c>
      <c r="N551" s="14" t="s">
        <v>1744</v>
      </c>
      <c r="O551" s="49">
        <v>0.57999999999999996</v>
      </c>
      <c r="P551" s="49">
        <v>1</v>
      </c>
    </row>
  </sheetData>
  <mergeCells count="31">
    <mergeCell ref="A225:N225"/>
    <mergeCell ref="A1:N1"/>
    <mergeCell ref="A61:N61"/>
    <mergeCell ref="A408:N408"/>
    <mergeCell ref="A154:N154"/>
    <mergeCell ref="A2:N2"/>
    <mergeCell ref="A57:N57"/>
    <mergeCell ref="A5:N5"/>
    <mergeCell ref="A165:N165"/>
    <mergeCell ref="A81:N81"/>
    <mergeCell ref="A40:N40"/>
    <mergeCell ref="A245:N245"/>
    <mergeCell ref="A30:N30"/>
    <mergeCell ref="A275:N275"/>
    <mergeCell ref="A182:N182"/>
    <mergeCell ref="A548:N548"/>
    <mergeCell ref="A228:N228"/>
    <mergeCell ref="A271:N271"/>
    <mergeCell ref="A208:N208"/>
    <mergeCell ref="A397:N397"/>
    <mergeCell ref="A537:N537"/>
    <mergeCell ref="A233:N233"/>
    <mergeCell ref="A301:N301"/>
    <mergeCell ref="A390:N390"/>
    <mergeCell ref="A242:N242"/>
    <mergeCell ref="A470:N470"/>
    <mergeCell ref="A483:N483"/>
    <mergeCell ref="A450:N450"/>
    <mergeCell ref="A401:N401"/>
    <mergeCell ref="A220:N220"/>
    <mergeCell ref="A287:N287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43"/>
  <sheetViews>
    <sheetView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22" customWidth="1"/>
    <col min="2" max="2" width="35" customWidth="1"/>
    <col min="3" max="3" width="28" customWidth="1"/>
    <col min="4" max="4" width="22" customWidth="1"/>
    <col min="5" max="5" width="40" customWidth="1"/>
    <col min="6" max="6" width="30" customWidth="1"/>
  </cols>
  <sheetData>
    <row r="1" spans="1:6" ht="24" customHeight="1" x14ac:dyDescent="0.4">
      <c r="A1" s="193" t="s">
        <v>1963</v>
      </c>
      <c r="B1" s="186"/>
      <c r="C1" s="186"/>
      <c r="D1" s="186"/>
      <c r="E1" s="186"/>
      <c r="F1" s="186"/>
    </row>
    <row r="2" spans="1:6" ht="15" customHeight="1" x14ac:dyDescent="0.3">
      <c r="A2" s="197" t="s">
        <v>1964</v>
      </c>
      <c r="B2" s="186"/>
      <c r="C2" s="186"/>
      <c r="D2" s="186"/>
      <c r="E2" s="186"/>
      <c r="F2" s="186"/>
    </row>
    <row r="4" spans="1:6" ht="15" customHeight="1" x14ac:dyDescent="0.3">
      <c r="A4" s="8" t="s">
        <v>3</v>
      </c>
      <c r="B4" s="8" t="s">
        <v>1965</v>
      </c>
      <c r="C4" s="8" t="s">
        <v>1966</v>
      </c>
      <c r="D4" s="8" t="s">
        <v>1967</v>
      </c>
      <c r="E4" s="8" t="s">
        <v>1968</v>
      </c>
      <c r="F4" s="8" t="s">
        <v>1969</v>
      </c>
    </row>
    <row r="5" spans="1:6" ht="15" customHeight="1" x14ac:dyDescent="0.3">
      <c r="A5" s="50" t="s">
        <v>19</v>
      </c>
      <c r="B5" s="50" t="s">
        <v>1970</v>
      </c>
      <c r="C5" s="51" t="s">
        <v>1971</v>
      </c>
      <c r="D5" s="51" t="s">
        <v>1972</v>
      </c>
      <c r="E5" s="50" t="s">
        <v>1973</v>
      </c>
      <c r="F5" s="50" t="s">
        <v>1974</v>
      </c>
    </row>
    <row r="6" spans="1:6" ht="15" customHeight="1" x14ac:dyDescent="0.3">
      <c r="A6" s="50" t="s">
        <v>19</v>
      </c>
      <c r="B6" s="50" t="s">
        <v>1975</v>
      </c>
      <c r="C6" s="51" t="s">
        <v>1976</v>
      </c>
      <c r="D6" s="51" t="s">
        <v>1977</v>
      </c>
      <c r="E6" s="50" t="s">
        <v>1978</v>
      </c>
      <c r="F6" s="50" t="s">
        <v>1979</v>
      </c>
    </row>
    <row r="7" spans="1:6" ht="15" customHeight="1" x14ac:dyDescent="0.3">
      <c r="A7" s="50" t="s">
        <v>19</v>
      </c>
      <c r="B7" s="50" t="s">
        <v>1980</v>
      </c>
      <c r="C7" s="51" t="s">
        <v>1981</v>
      </c>
      <c r="D7" s="51" t="s">
        <v>1982</v>
      </c>
      <c r="E7" s="50" t="s">
        <v>1983</v>
      </c>
      <c r="F7" s="50" t="s">
        <v>1984</v>
      </c>
    </row>
    <row r="8" spans="1:6" ht="15" customHeight="1" x14ac:dyDescent="0.3">
      <c r="A8" s="50" t="s">
        <v>19</v>
      </c>
      <c r="B8" s="50" t="s">
        <v>1985</v>
      </c>
      <c r="C8" s="51" t="s">
        <v>1986</v>
      </c>
      <c r="D8" s="51" t="s">
        <v>1987</v>
      </c>
      <c r="E8" s="50" t="s">
        <v>1988</v>
      </c>
      <c r="F8" s="50" t="s">
        <v>1989</v>
      </c>
    </row>
    <row r="9" spans="1:6" ht="15" customHeight="1" x14ac:dyDescent="0.3">
      <c r="A9" s="50" t="s">
        <v>87</v>
      </c>
      <c r="B9" s="50" t="s">
        <v>1990</v>
      </c>
      <c r="C9" s="51" t="s">
        <v>1991</v>
      </c>
      <c r="D9" s="51" t="s">
        <v>1992</v>
      </c>
      <c r="E9" s="50" t="s">
        <v>1993</v>
      </c>
      <c r="F9" s="50" t="s">
        <v>1994</v>
      </c>
    </row>
    <row r="10" spans="1:6" ht="15" customHeight="1" x14ac:dyDescent="0.3">
      <c r="A10" s="50" t="s">
        <v>87</v>
      </c>
      <c r="B10" s="50" t="s">
        <v>1995</v>
      </c>
      <c r="C10" s="51" t="s">
        <v>1996</v>
      </c>
      <c r="D10" s="51" t="s">
        <v>1997</v>
      </c>
      <c r="E10" s="50" t="s">
        <v>1998</v>
      </c>
      <c r="F10" s="50" t="s">
        <v>1999</v>
      </c>
    </row>
    <row r="11" spans="1:6" ht="15" customHeight="1" x14ac:dyDescent="0.3">
      <c r="A11" s="50" t="s">
        <v>112</v>
      </c>
      <c r="B11" s="50" t="s">
        <v>2000</v>
      </c>
      <c r="C11" s="51" t="s">
        <v>1987</v>
      </c>
      <c r="D11" s="51" t="s">
        <v>2001</v>
      </c>
      <c r="E11" s="50" t="s">
        <v>2002</v>
      </c>
      <c r="F11" s="50" t="s">
        <v>2003</v>
      </c>
    </row>
    <row r="12" spans="1:6" ht="15" customHeight="1" x14ac:dyDescent="0.3">
      <c r="A12" s="50" t="s">
        <v>112</v>
      </c>
      <c r="B12" s="50" t="s">
        <v>2004</v>
      </c>
      <c r="C12" s="51" t="s">
        <v>2005</v>
      </c>
      <c r="D12" s="51" t="s">
        <v>2006</v>
      </c>
      <c r="E12" s="50" t="s">
        <v>2007</v>
      </c>
      <c r="F12" s="50" t="s">
        <v>2008</v>
      </c>
    </row>
    <row r="13" spans="1:6" ht="15" customHeight="1" x14ac:dyDescent="0.3">
      <c r="A13" s="50" t="s">
        <v>161</v>
      </c>
      <c r="B13" s="50" t="s">
        <v>2009</v>
      </c>
      <c r="C13" s="51" t="s">
        <v>2010</v>
      </c>
      <c r="D13" s="51" t="s">
        <v>2011</v>
      </c>
      <c r="E13" s="50" t="s">
        <v>2012</v>
      </c>
      <c r="F13" s="50" t="s">
        <v>2013</v>
      </c>
    </row>
    <row r="14" spans="1:6" ht="15" customHeight="1" x14ac:dyDescent="0.3">
      <c r="A14" s="50" t="s">
        <v>161</v>
      </c>
      <c r="B14" s="50" t="s">
        <v>2014</v>
      </c>
      <c r="C14" s="51" t="s">
        <v>2015</v>
      </c>
      <c r="D14" s="51" t="s">
        <v>2016</v>
      </c>
      <c r="E14" s="50" t="s">
        <v>2017</v>
      </c>
      <c r="F14" s="50" t="s">
        <v>2018</v>
      </c>
    </row>
    <row r="15" spans="1:6" ht="15" customHeight="1" x14ac:dyDescent="0.3">
      <c r="A15" s="50" t="s">
        <v>171</v>
      </c>
      <c r="B15" s="50" t="s">
        <v>2019</v>
      </c>
      <c r="C15" s="51" t="s">
        <v>2020</v>
      </c>
      <c r="D15" s="51" t="s">
        <v>2020</v>
      </c>
      <c r="E15" s="50" t="s">
        <v>2021</v>
      </c>
      <c r="F15" s="50" t="s">
        <v>2022</v>
      </c>
    </row>
    <row r="16" spans="1:6" ht="15" customHeight="1" x14ac:dyDescent="0.3">
      <c r="A16" s="50" t="s">
        <v>171</v>
      </c>
      <c r="B16" s="50" t="s">
        <v>2023</v>
      </c>
      <c r="C16" s="51" t="s">
        <v>2024</v>
      </c>
      <c r="D16" s="51" t="s">
        <v>2025</v>
      </c>
      <c r="E16" s="50" t="s">
        <v>2026</v>
      </c>
      <c r="F16" s="50" t="s">
        <v>2027</v>
      </c>
    </row>
    <row r="17" spans="1:6" ht="15" customHeight="1" x14ac:dyDescent="0.3">
      <c r="A17" s="50" t="s">
        <v>205</v>
      </c>
      <c r="B17" s="50" t="s">
        <v>2028</v>
      </c>
      <c r="C17" s="51" t="s">
        <v>2029</v>
      </c>
      <c r="D17" s="51" t="s">
        <v>2030</v>
      </c>
      <c r="E17" s="50" t="s">
        <v>2031</v>
      </c>
      <c r="F17" s="50" t="s">
        <v>2032</v>
      </c>
    </row>
    <row r="18" spans="1:6" ht="15" customHeight="1" x14ac:dyDescent="0.3">
      <c r="A18" s="50" t="s">
        <v>297</v>
      </c>
      <c r="B18" s="50" t="s">
        <v>2004</v>
      </c>
      <c r="C18" s="51" t="s">
        <v>2033</v>
      </c>
      <c r="D18" s="51" t="s">
        <v>2034</v>
      </c>
      <c r="E18" s="50" t="s">
        <v>2035</v>
      </c>
      <c r="F18" s="50" t="s">
        <v>2008</v>
      </c>
    </row>
    <row r="19" spans="1:6" ht="15" customHeight="1" x14ac:dyDescent="0.3">
      <c r="A19" s="50" t="s">
        <v>318</v>
      </c>
      <c r="B19" s="50" t="s">
        <v>2036</v>
      </c>
      <c r="C19" s="51" t="s">
        <v>2037</v>
      </c>
      <c r="D19" s="51" t="s">
        <v>2038</v>
      </c>
      <c r="E19" s="50" t="s">
        <v>2039</v>
      </c>
      <c r="F19" s="50" t="s">
        <v>2040</v>
      </c>
    </row>
    <row r="20" spans="1:6" ht="15" customHeight="1" x14ac:dyDescent="0.3">
      <c r="A20" s="50" t="s">
        <v>318</v>
      </c>
      <c r="B20" s="50" t="s">
        <v>2041</v>
      </c>
      <c r="C20" s="51" t="s">
        <v>1986</v>
      </c>
      <c r="D20" s="51" t="s">
        <v>1987</v>
      </c>
      <c r="E20" s="50" t="s">
        <v>2042</v>
      </c>
      <c r="F20" s="50" t="s">
        <v>2043</v>
      </c>
    </row>
    <row r="21" spans="1:6" ht="15" customHeight="1" x14ac:dyDescent="0.3">
      <c r="A21" s="50" t="s">
        <v>352</v>
      </c>
      <c r="B21" s="50" t="s">
        <v>2044</v>
      </c>
      <c r="C21" s="51" t="s">
        <v>2045</v>
      </c>
      <c r="D21" s="51" t="s">
        <v>2046</v>
      </c>
      <c r="E21" s="50" t="s">
        <v>2047</v>
      </c>
      <c r="F21" s="50" t="s">
        <v>2048</v>
      </c>
    </row>
    <row r="22" spans="1:6" ht="15" customHeight="1" x14ac:dyDescent="0.3">
      <c r="A22" s="50" t="s">
        <v>352</v>
      </c>
      <c r="B22" s="50" t="s">
        <v>2049</v>
      </c>
      <c r="C22" s="51" t="s">
        <v>2050</v>
      </c>
      <c r="D22" s="51" t="s">
        <v>2051</v>
      </c>
      <c r="E22" s="50" t="s">
        <v>2052</v>
      </c>
      <c r="F22" s="50" t="s">
        <v>2008</v>
      </c>
    </row>
    <row r="23" spans="1:6" ht="15" customHeight="1" x14ac:dyDescent="0.3">
      <c r="A23" s="50" t="s">
        <v>386</v>
      </c>
      <c r="B23" s="50" t="s">
        <v>2053</v>
      </c>
      <c r="C23" s="51" t="s">
        <v>2037</v>
      </c>
      <c r="D23" s="51" t="s">
        <v>2038</v>
      </c>
      <c r="E23" s="50" t="s">
        <v>2054</v>
      </c>
      <c r="F23" s="50" t="s">
        <v>2032</v>
      </c>
    </row>
    <row r="24" spans="1:6" ht="15" customHeight="1" x14ac:dyDescent="0.3">
      <c r="A24" s="50" t="s">
        <v>423</v>
      </c>
      <c r="B24" s="50" t="s">
        <v>2055</v>
      </c>
      <c r="C24" s="51" t="s">
        <v>2056</v>
      </c>
      <c r="D24" s="51" t="s">
        <v>2057</v>
      </c>
      <c r="E24" s="50" t="s">
        <v>2058</v>
      </c>
      <c r="F24" s="50" t="s">
        <v>2059</v>
      </c>
    </row>
    <row r="25" spans="1:6" ht="15" customHeight="1" x14ac:dyDescent="0.3">
      <c r="A25" s="50" t="s">
        <v>423</v>
      </c>
      <c r="B25" s="50" t="s">
        <v>2060</v>
      </c>
      <c r="C25" s="51" t="s">
        <v>2061</v>
      </c>
      <c r="D25" s="51" t="s">
        <v>2062</v>
      </c>
      <c r="E25" s="50" t="s">
        <v>2063</v>
      </c>
      <c r="F25" s="50" t="s">
        <v>2064</v>
      </c>
    </row>
    <row r="26" spans="1:6" ht="15" customHeight="1" x14ac:dyDescent="0.3">
      <c r="A26" s="50" t="s">
        <v>423</v>
      </c>
      <c r="B26" s="50" t="s">
        <v>2065</v>
      </c>
      <c r="C26" s="51" t="s">
        <v>1986</v>
      </c>
      <c r="D26" s="51" t="s">
        <v>1987</v>
      </c>
      <c r="E26" s="50" t="s">
        <v>2066</v>
      </c>
      <c r="F26" s="50" t="s">
        <v>2067</v>
      </c>
    </row>
    <row r="27" spans="1:6" ht="15" customHeight="1" x14ac:dyDescent="0.3">
      <c r="A27" s="50" t="s">
        <v>433</v>
      </c>
      <c r="B27" s="50" t="s">
        <v>2068</v>
      </c>
      <c r="C27" s="51" t="s">
        <v>2069</v>
      </c>
      <c r="D27" s="51" t="s">
        <v>2070</v>
      </c>
      <c r="E27" s="50" t="s">
        <v>2071</v>
      </c>
      <c r="F27" s="50" t="s">
        <v>2072</v>
      </c>
    </row>
    <row r="28" spans="1:6" ht="15" customHeight="1" x14ac:dyDescent="0.3">
      <c r="A28" s="50" t="s">
        <v>433</v>
      </c>
      <c r="B28" s="50" t="s">
        <v>2073</v>
      </c>
      <c r="C28" s="51" t="s">
        <v>1986</v>
      </c>
      <c r="D28" s="51" t="s">
        <v>1987</v>
      </c>
      <c r="E28" s="50" t="s">
        <v>2074</v>
      </c>
      <c r="F28" s="50" t="s">
        <v>2075</v>
      </c>
    </row>
    <row r="29" spans="1:6" ht="15" customHeight="1" x14ac:dyDescent="0.3">
      <c r="A29" s="50" t="s">
        <v>625</v>
      </c>
      <c r="B29" s="50" t="s">
        <v>2076</v>
      </c>
      <c r="C29" s="51" t="s">
        <v>2077</v>
      </c>
      <c r="D29" s="51" t="s">
        <v>2078</v>
      </c>
      <c r="E29" s="50" t="s">
        <v>2079</v>
      </c>
      <c r="F29" s="50" t="s">
        <v>2080</v>
      </c>
    </row>
    <row r="30" spans="1:6" ht="15" customHeight="1" x14ac:dyDescent="0.3">
      <c r="A30" s="50" t="s">
        <v>625</v>
      </c>
      <c r="B30" s="50" t="s">
        <v>2081</v>
      </c>
      <c r="C30" s="51" t="s">
        <v>2082</v>
      </c>
      <c r="D30" s="51" t="s">
        <v>2082</v>
      </c>
      <c r="E30" s="50" t="s">
        <v>2083</v>
      </c>
      <c r="F30" s="50" t="s">
        <v>2084</v>
      </c>
    </row>
    <row r="31" spans="1:6" ht="15" customHeight="1" x14ac:dyDescent="0.3">
      <c r="A31" s="50" t="s">
        <v>625</v>
      </c>
      <c r="B31" s="50" t="s">
        <v>2085</v>
      </c>
      <c r="C31" s="51" t="s">
        <v>2086</v>
      </c>
      <c r="D31" s="51" t="s">
        <v>2086</v>
      </c>
      <c r="E31" s="50" t="s">
        <v>2087</v>
      </c>
      <c r="F31" s="50" t="s">
        <v>2088</v>
      </c>
    </row>
    <row r="32" spans="1:6" ht="15" customHeight="1" x14ac:dyDescent="0.3">
      <c r="A32" s="50" t="s">
        <v>908</v>
      </c>
      <c r="B32" s="50" t="s">
        <v>2089</v>
      </c>
      <c r="C32" s="51" t="s">
        <v>2090</v>
      </c>
      <c r="D32" s="51" t="s">
        <v>2090</v>
      </c>
      <c r="E32" s="50" t="s">
        <v>2091</v>
      </c>
      <c r="F32" s="50" t="s">
        <v>1974</v>
      </c>
    </row>
    <row r="33" spans="1:6" ht="15" customHeight="1" x14ac:dyDescent="0.3">
      <c r="A33" s="50" t="s">
        <v>473</v>
      </c>
      <c r="B33" s="50" t="s">
        <v>2092</v>
      </c>
      <c r="C33" s="51" t="s">
        <v>2093</v>
      </c>
      <c r="D33" s="51" t="s">
        <v>2094</v>
      </c>
      <c r="E33" s="50" t="s">
        <v>2095</v>
      </c>
      <c r="F33" s="50" t="s">
        <v>2018</v>
      </c>
    </row>
    <row r="34" spans="1:6" ht="15" customHeight="1" x14ac:dyDescent="0.3">
      <c r="A34" s="50" t="s">
        <v>481</v>
      </c>
      <c r="B34" s="50" t="s">
        <v>2096</v>
      </c>
      <c r="C34" s="51" t="s">
        <v>2097</v>
      </c>
      <c r="D34" s="51" t="s">
        <v>2098</v>
      </c>
      <c r="E34" s="50" t="s">
        <v>2099</v>
      </c>
      <c r="F34" s="50" t="s">
        <v>2100</v>
      </c>
    </row>
    <row r="35" spans="1:6" ht="15" customHeight="1" x14ac:dyDescent="0.3">
      <c r="A35" s="50" t="s">
        <v>481</v>
      </c>
      <c r="B35" s="50" t="s">
        <v>2101</v>
      </c>
      <c r="C35" s="51" t="s">
        <v>2102</v>
      </c>
      <c r="D35" s="51" t="s">
        <v>2103</v>
      </c>
      <c r="E35" s="50" t="s">
        <v>2104</v>
      </c>
      <c r="F35" s="50" t="s">
        <v>2008</v>
      </c>
    </row>
    <row r="36" spans="1:6" ht="15" customHeight="1" x14ac:dyDescent="0.3">
      <c r="A36" s="50" t="s">
        <v>589</v>
      </c>
      <c r="B36" s="50" t="s">
        <v>2105</v>
      </c>
      <c r="C36" s="51" t="s">
        <v>2106</v>
      </c>
      <c r="D36" s="51" t="s">
        <v>2107</v>
      </c>
      <c r="E36" s="50" t="s">
        <v>2104</v>
      </c>
      <c r="F36" s="50" t="s">
        <v>2032</v>
      </c>
    </row>
    <row r="37" spans="1:6" ht="15" customHeight="1" x14ac:dyDescent="0.3">
      <c r="A37" s="50" t="s">
        <v>555</v>
      </c>
      <c r="B37" s="50" t="s">
        <v>2108</v>
      </c>
      <c r="C37" s="51" t="s">
        <v>2109</v>
      </c>
      <c r="D37" s="51" t="s">
        <v>2110</v>
      </c>
      <c r="E37" s="50" t="s">
        <v>2104</v>
      </c>
      <c r="F37" s="50" t="s">
        <v>2008</v>
      </c>
    </row>
    <row r="38" spans="1:6" ht="15" customHeight="1" x14ac:dyDescent="0.3">
      <c r="A38" s="50" t="s">
        <v>834</v>
      </c>
      <c r="B38" s="50" t="s">
        <v>2111</v>
      </c>
      <c r="C38" s="51" t="s">
        <v>2112</v>
      </c>
      <c r="D38" s="51" t="s">
        <v>2113</v>
      </c>
      <c r="E38" s="50" t="s">
        <v>2114</v>
      </c>
      <c r="F38" s="50" t="s">
        <v>2115</v>
      </c>
    </row>
    <row r="39" spans="1:6" ht="15" customHeight="1" x14ac:dyDescent="0.3">
      <c r="A39" s="50" t="s">
        <v>834</v>
      </c>
      <c r="B39" s="50" t="s">
        <v>2116</v>
      </c>
      <c r="C39" s="51" t="s">
        <v>2117</v>
      </c>
      <c r="D39" s="51" t="s">
        <v>2118</v>
      </c>
      <c r="E39" s="50" t="s">
        <v>2119</v>
      </c>
      <c r="F39" s="50" t="s">
        <v>2027</v>
      </c>
    </row>
    <row r="40" spans="1:6" ht="15" customHeight="1" x14ac:dyDescent="0.3">
      <c r="A40" s="50" t="s">
        <v>834</v>
      </c>
      <c r="B40" s="50" t="s">
        <v>2120</v>
      </c>
      <c r="C40" s="51" t="s">
        <v>2121</v>
      </c>
      <c r="D40" s="51" t="s">
        <v>2122</v>
      </c>
      <c r="E40" s="50" t="s">
        <v>2123</v>
      </c>
      <c r="F40" s="50" t="s">
        <v>2027</v>
      </c>
    </row>
    <row r="41" spans="1:6" ht="15" customHeight="1" x14ac:dyDescent="0.3">
      <c r="A41" s="50" t="s">
        <v>834</v>
      </c>
      <c r="B41" s="50" t="s">
        <v>2124</v>
      </c>
      <c r="C41" s="51" t="s">
        <v>2125</v>
      </c>
      <c r="D41" s="51" t="s">
        <v>2126</v>
      </c>
      <c r="E41" s="50" t="s">
        <v>2127</v>
      </c>
      <c r="F41" s="50" t="s">
        <v>2018</v>
      </c>
    </row>
    <row r="42" spans="1:6" ht="15" customHeight="1" x14ac:dyDescent="0.3">
      <c r="A42" s="50" t="s">
        <v>974</v>
      </c>
      <c r="B42" s="50" t="s">
        <v>2128</v>
      </c>
      <c r="C42" s="51" t="s">
        <v>2129</v>
      </c>
      <c r="D42" s="51" t="s">
        <v>2130</v>
      </c>
      <c r="E42" s="50" t="s">
        <v>2131</v>
      </c>
      <c r="F42" s="50" t="s">
        <v>2018</v>
      </c>
    </row>
    <row r="43" spans="1:6" ht="15" customHeight="1" x14ac:dyDescent="0.3">
      <c r="A43" s="50" t="s">
        <v>945</v>
      </c>
      <c r="B43" s="50" t="s">
        <v>2132</v>
      </c>
      <c r="C43" s="51" t="s">
        <v>2133</v>
      </c>
      <c r="D43" s="51" t="s">
        <v>2134</v>
      </c>
      <c r="E43" s="50" t="s">
        <v>2135</v>
      </c>
      <c r="F43" s="50" t="s">
        <v>2032</v>
      </c>
    </row>
  </sheetData>
  <mergeCells count="2">
    <mergeCell ref="A2:F2"/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691"/>
  <sheetViews>
    <sheetView topLeftCell="A322" zoomScaleNormal="100" workbookViewId="0">
      <selection activeCell="G342" sqref="G342"/>
    </sheetView>
  </sheetViews>
  <sheetFormatPr defaultColWidth="8.6640625" defaultRowHeight="14.4" x14ac:dyDescent="0.3"/>
  <cols>
    <col min="1" max="1" width="3.88671875" customWidth="1"/>
    <col min="2" max="2" width="20" customWidth="1"/>
    <col min="3" max="3" width="13.33203125" style="52" customWidth="1"/>
    <col min="4" max="4" width="16.5546875" customWidth="1"/>
    <col min="5" max="5" width="17.5546875" customWidth="1"/>
    <col min="6" max="6" width="22.33203125" customWidth="1"/>
    <col min="7" max="7" width="15.6640625" customWidth="1"/>
    <col min="8" max="8" width="10.5546875" customWidth="1"/>
    <col min="9" max="9" width="24.5546875" customWidth="1"/>
    <col min="10" max="10" width="24.109375" customWidth="1"/>
    <col min="11" max="11" width="20.44140625" customWidth="1"/>
    <col min="12" max="12" width="18.88671875" customWidth="1"/>
    <col min="13" max="13" width="11.44140625" customWidth="1"/>
    <col min="14" max="14" width="39" customWidth="1"/>
  </cols>
  <sheetData>
    <row r="1" spans="1:14" ht="14.25" customHeight="1" x14ac:dyDescent="0.3">
      <c r="I1" s="205" t="s">
        <v>2136</v>
      </c>
      <c r="J1" s="186"/>
      <c r="K1" s="186"/>
      <c r="L1" s="53" t="s">
        <v>2137</v>
      </c>
      <c r="M1" s="54"/>
    </row>
    <row r="2" spans="1:14" ht="15.75" customHeight="1" x14ac:dyDescent="0.3">
      <c r="L2" s="53" t="s">
        <v>2138</v>
      </c>
      <c r="M2" s="55"/>
    </row>
    <row r="3" spans="1:14" ht="29.25" customHeight="1" x14ac:dyDescent="0.3">
      <c r="A3" s="56" t="s">
        <v>2139</v>
      </c>
      <c r="B3" s="57" t="s">
        <v>2140</v>
      </c>
      <c r="C3" s="58" t="s">
        <v>2141</v>
      </c>
      <c r="D3" s="59" t="s">
        <v>2142</v>
      </c>
      <c r="E3" s="60" t="s">
        <v>2143</v>
      </c>
      <c r="F3" s="59" t="s">
        <v>2144</v>
      </c>
      <c r="G3" s="59" t="s">
        <v>2145</v>
      </c>
      <c r="H3" s="59" t="s">
        <v>2146</v>
      </c>
      <c r="I3" s="59" t="s">
        <v>2147</v>
      </c>
      <c r="J3" s="59" t="s">
        <v>2148</v>
      </c>
      <c r="K3" s="59" t="s">
        <v>2149</v>
      </c>
      <c r="L3" s="59" t="s">
        <v>2150</v>
      </c>
      <c r="M3" s="59" t="s">
        <v>2151</v>
      </c>
      <c r="N3" s="61" t="s">
        <v>2152</v>
      </c>
    </row>
    <row r="4" spans="1:14" ht="14.25" customHeight="1" x14ac:dyDescent="0.3">
      <c r="A4" s="62">
        <v>1</v>
      </c>
      <c r="B4" s="211" t="s">
        <v>18</v>
      </c>
      <c r="C4" s="64" t="s">
        <v>64</v>
      </c>
      <c r="D4" s="65" t="s">
        <v>1691</v>
      </c>
      <c r="E4" s="65" t="s">
        <v>2153</v>
      </c>
      <c r="F4" s="65" t="s">
        <v>1690</v>
      </c>
      <c r="G4" s="65" t="s">
        <v>65</v>
      </c>
      <c r="H4" s="65" t="s">
        <v>2154</v>
      </c>
      <c r="I4" s="65">
        <v>2012</v>
      </c>
      <c r="J4" s="66">
        <v>1487562</v>
      </c>
      <c r="K4" s="66"/>
      <c r="L4" s="66" t="s">
        <v>2155</v>
      </c>
      <c r="M4" s="66" t="s">
        <v>2139</v>
      </c>
      <c r="N4" s="67" t="s">
        <v>2156</v>
      </c>
    </row>
    <row r="5" spans="1:14" ht="14.25" customHeight="1" x14ac:dyDescent="0.3">
      <c r="A5" s="62">
        <v>2</v>
      </c>
      <c r="B5" s="207"/>
      <c r="C5" s="64" t="s">
        <v>67</v>
      </c>
      <c r="D5" s="65" t="s">
        <v>1691</v>
      </c>
      <c r="E5" s="65" t="s">
        <v>2153</v>
      </c>
      <c r="F5" s="65" t="s">
        <v>1690</v>
      </c>
      <c r="G5" s="65" t="s">
        <v>68</v>
      </c>
      <c r="H5" s="65" t="s">
        <v>2154</v>
      </c>
      <c r="I5" s="65">
        <v>2012</v>
      </c>
      <c r="J5" s="66">
        <v>1487765</v>
      </c>
      <c r="K5" s="66"/>
      <c r="L5" s="66" t="s">
        <v>2157</v>
      </c>
      <c r="M5" s="66" t="s">
        <v>2139</v>
      </c>
      <c r="N5" s="67" t="s">
        <v>2158</v>
      </c>
    </row>
    <row r="6" spans="1:14" ht="14.25" customHeight="1" x14ac:dyDescent="0.3">
      <c r="A6" s="62">
        <v>3</v>
      </c>
      <c r="B6" s="207"/>
      <c r="C6" s="64" t="s">
        <v>69</v>
      </c>
      <c r="D6" s="65" t="s">
        <v>1691</v>
      </c>
      <c r="E6" s="65" t="s">
        <v>2153</v>
      </c>
      <c r="F6" s="65" t="s">
        <v>1690</v>
      </c>
      <c r="G6" s="65" t="s">
        <v>70</v>
      </c>
      <c r="H6" s="65" t="s">
        <v>2154</v>
      </c>
      <c r="I6" s="65">
        <v>2012</v>
      </c>
      <c r="J6" s="66">
        <v>1487793</v>
      </c>
      <c r="K6" s="66"/>
      <c r="L6" s="66" t="s">
        <v>2159</v>
      </c>
      <c r="M6" s="66" t="s">
        <v>2139</v>
      </c>
      <c r="N6" s="67" t="s">
        <v>2160</v>
      </c>
    </row>
    <row r="7" spans="1:14" ht="14.25" customHeight="1" x14ac:dyDescent="0.3">
      <c r="A7" s="62">
        <v>4</v>
      </c>
      <c r="B7" s="207"/>
      <c r="C7" s="64" t="s">
        <v>83</v>
      </c>
      <c r="D7" s="65" t="s">
        <v>1691</v>
      </c>
      <c r="E7" s="65" t="s">
        <v>2153</v>
      </c>
      <c r="F7" s="65" t="s">
        <v>1696</v>
      </c>
      <c r="G7" s="65" t="s">
        <v>84</v>
      </c>
      <c r="H7" s="65" t="s">
        <v>2154</v>
      </c>
      <c r="I7" s="65">
        <v>1999</v>
      </c>
      <c r="J7" s="66" t="s">
        <v>2161</v>
      </c>
      <c r="K7" s="66"/>
      <c r="L7" s="66" t="s">
        <v>2162</v>
      </c>
      <c r="M7" s="66" t="s">
        <v>2139</v>
      </c>
      <c r="N7" s="67" t="s">
        <v>2163</v>
      </c>
    </row>
    <row r="8" spans="1:14" ht="14.25" customHeight="1" x14ac:dyDescent="0.3">
      <c r="A8" s="62">
        <v>5</v>
      </c>
      <c r="B8" s="207"/>
      <c r="C8" s="64" t="s">
        <v>71</v>
      </c>
      <c r="D8" s="65" t="s">
        <v>1691</v>
      </c>
      <c r="E8" s="65" t="s">
        <v>2153</v>
      </c>
      <c r="F8" s="65" t="s">
        <v>1690</v>
      </c>
      <c r="G8" s="65" t="s">
        <v>72</v>
      </c>
      <c r="H8" s="65" t="s">
        <v>2154</v>
      </c>
      <c r="I8" s="65">
        <v>2006</v>
      </c>
      <c r="J8" s="66">
        <v>1041419</v>
      </c>
      <c r="K8" s="66"/>
      <c r="L8" s="66"/>
      <c r="M8" s="66" t="s">
        <v>2139</v>
      </c>
      <c r="N8" s="67" t="s">
        <v>2158</v>
      </c>
    </row>
    <row r="9" spans="1:14" ht="14.25" customHeight="1" x14ac:dyDescent="0.3">
      <c r="A9" s="62">
        <v>6</v>
      </c>
      <c r="B9" s="207"/>
      <c r="C9" s="64" t="s">
        <v>79</v>
      </c>
      <c r="D9" s="65" t="s">
        <v>1691</v>
      </c>
      <c r="E9" s="65" t="s">
        <v>2153</v>
      </c>
      <c r="F9" s="65" t="s">
        <v>1695</v>
      </c>
      <c r="G9" s="65" t="s">
        <v>80</v>
      </c>
      <c r="H9" s="65" t="s">
        <v>2154</v>
      </c>
      <c r="I9" s="65">
        <v>2002</v>
      </c>
      <c r="J9" s="66" t="s">
        <v>2164</v>
      </c>
      <c r="K9" s="66"/>
      <c r="L9" s="66"/>
      <c r="M9" s="66" t="s">
        <v>2139</v>
      </c>
      <c r="N9" s="67" t="s">
        <v>2165</v>
      </c>
    </row>
    <row r="10" spans="1:14" s="71" customFormat="1" ht="14.25" customHeight="1" x14ac:dyDescent="0.3">
      <c r="A10" s="68">
        <v>7</v>
      </c>
      <c r="B10" s="207"/>
      <c r="C10" s="69" t="s">
        <v>75</v>
      </c>
      <c r="D10" s="70" t="s">
        <v>1691</v>
      </c>
      <c r="E10" s="70" t="s">
        <v>2153</v>
      </c>
      <c r="F10" s="70" t="s">
        <v>78</v>
      </c>
      <c r="G10" s="70" t="s">
        <v>76</v>
      </c>
      <c r="H10" s="70" t="s">
        <v>2154</v>
      </c>
      <c r="I10" s="70">
        <v>2004</v>
      </c>
      <c r="J10" s="67" t="s">
        <v>2166</v>
      </c>
      <c r="K10" s="67"/>
      <c r="L10" s="67" t="s">
        <v>2167</v>
      </c>
      <c r="M10" s="67" t="s">
        <v>2139</v>
      </c>
      <c r="N10" s="67" t="s">
        <v>2168</v>
      </c>
    </row>
    <row r="11" spans="1:14" ht="14.25" customHeight="1" x14ac:dyDescent="0.3">
      <c r="A11" s="62">
        <v>8</v>
      </c>
      <c r="B11" s="207"/>
      <c r="C11" s="64" t="s">
        <v>59</v>
      </c>
      <c r="D11" s="65" t="s">
        <v>1691</v>
      </c>
      <c r="E11" s="65" t="s">
        <v>2153</v>
      </c>
      <c r="F11" s="65" t="s">
        <v>52</v>
      </c>
      <c r="G11" s="65" t="s">
        <v>60</v>
      </c>
      <c r="H11" s="65" t="s">
        <v>2154</v>
      </c>
      <c r="I11" s="65">
        <v>2015</v>
      </c>
      <c r="J11" s="66" t="s">
        <v>2169</v>
      </c>
      <c r="K11" s="66"/>
      <c r="L11" s="66" t="s">
        <v>2170</v>
      </c>
      <c r="M11" s="66" t="s">
        <v>2139</v>
      </c>
      <c r="N11" s="67" t="s">
        <v>2171</v>
      </c>
    </row>
    <row r="12" spans="1:14" ht="14.25" customHeight="1" x14ac:dyDescent="0.3">
      <c r="A12" s="62">
        <v>9</v>
      </c>
      <c r="B12" s="207"/>
      <c r="C12" s="64" t="s">
        <v>62</v>
      </c>
      <c r="D12" s="65" t="s">
        <v>1691</v>
      </c>
      <c r="E12" s="65" t="s">
        <v>2153</v>
      </c>
      <c r="F12" s="65" t="s">
        <v>52</v>
      </c>
      <c r="G12" s="65" t="s">
        <v>63</v>
      </c>
      <c r="H12" s="65" t="s">
        <v>2154</v>
      </c>
      <c r="I12" s="65">
        <v>2015</v>
      </c>
      <c r="J12" s="66" t="s">
        <v>2172</v>
      </c>
      <c r="K12" s="66"/>
      <c r="L12" s="66" t="s">
        <v>2173</v>
      </c>
      <c r="M12" s="66" t="s">
        <v>2139</v>
      </c>
      <c r="N12" s="67" t="s">
        <v>2174</v>
      </c>
    </row>
    <row r="13" spans="1:14" ht="14.25" customHeight="1" x14ac:dyDescent="0.3">
      <c r="A13" s="62">
        <v>10</v>
      </c>
      <c r="B13" s="207"/>
      <c r="C13" s="64" t="s">
        <v>47</v>
      </c>
      <c r="D13" s="65" t="s">
        <v>1691</v>
      </c>
      <c r="E13" s="65" t="s">
        <v>2153</v>
      </c>
      <c r="F13" s="65" t="s">
        <v>52</v>
      </c>
      <c r="G13" s="65" t="s">
        <v>48</v>
      </c>
      <c r="H13" s="65" t="s">
        <v>2154</v>
      </c>
      <c r="I13" s="65">
        <v>2016</v>
      </c>
      <c r="J13" s="66" t="s">
        <v>2175</v>
      </c>
      <c r="K13" s="66"/>
      <c r="L13" s="66" t="s">
        <v>2176</v>
      </c>
      <c r="M13" s="66" t="s">
        <v>2139</v>
      </c>
      <c r="N13" s="67" t="s">
        <v>2177</v>
      </c>
    </row>
    <row r="14" spans="1:14" ht="14.25" customHeight="1" x14ac:dyDescent="0.3">
      <c r="A14" s="62">
        <v>11</v>
      </c>
      <c r="B14" s="207"/>
      <c r="C14" s="64" t="s">
        <v>50</v>
      </c>
      <c r="D14" s="65" t="s">
        <v>1691</v>
      </c>
      <c r="E14" s="65" t="s">
        <v>2153</v>
      </c>
      <c r="F14" s="65" t="s">
        <v>52</v>
      </c>
      <c r="G14" s="65" t="s">
        <v>51</v>
      </c>
      <c r="H14" s="65" t="s">
        <v>2154</v>
      </c>
      <c r="I14" s="65">
        <v>2016</v>
      </c>
      <c r="J14" s="66" t="s">
        <v>2178</v>
      </c>
      <c r="K14" s="66"/>
      <c r="L14" s="66" t="s">
        <v>2179</v>
      </c>
      <c r="M14" s="66" t="s">
        <v>2139</v>
      </c>
      <c r="N14" s="67" t="s">
        <v>2180</v>
      </c>
    </row>
    <row r="15" spans="1:14" ht="14.25" customHeight="1" x14ac:dyDescent="0.3">
      <c r="A15" s="62">
        <v>12</v>
      </c>
      <c r="B15" s="207"/>
      <c r="C15" s="64" t="s">
        <v>53</v>
      </c>
      <c r="D15" s="65" t="s">
        <v>1691</v>
      </c>
      <c r="E15" s="65" t="s">
        <v>2153</v>
      </c>
      <c r="F15" s="65" t="s">
        <v>1690</v>
      </c>
      <c r="G15" s="65" t="s">
        <v>54</v>
      </c>
      <c r="H15" s="65" t="s">
        <v>2154</v>
      </c>
      <c r="I15" s="65">
        <v>2016</v>
      </c>
      <c r="J15" s="66" t="s">
        <v>2181</v>
      </c>
      <c r="K15" s="66"/>
      <c r="L15" s="66" t="s">
        <v>2182</v>
      </c>
      <c r="M15" s="66" t="s">
        <v>2139</v>
      </c>
      <c r="N15" s="67" t="s">
        <v>2183</v>
      </c>
    </row>
    <row r="16" spans="1:14" ht="14.25" customHeight="1" x14ac:dyDescent="0.3">
      <c r="A16" s="62">
        <v>13</v>
      </c>
      <c r="B16" s="207"/>
      <c r="C16" s="64" t="s">
        <v>55</v>
      </c>
      <c r="D16" s="65" t="s">
        <v>1691</v>
      </c>
      <c r="E16" s="65" t="s">
        <v>2153</v>
      </c>
      <c r="F16" s="65" t="s">
        <v>1690</v>
      </c>
      <c r="G16" s="65" t="s">
        <v>56</v>
      </c>
      <c r="H16" s="65" t="s">
        <v>2154</v>
      </c>
      <c r="I16" s="65">
        <v>2016</v>
      </c>
      <c r="J16" s="66" t="s">
        <v>2184</v>
      </c>
      <c r="K16" s="66"/>
      <c r="L16" s="66" t="s">
        <v>2185</v>
      </c>
      <c r="M16" s="66" t="s">
        <v>2139</v>
      </c>
      <c r="N16" s="67" t="s">
        <v>2158</v>
      </c>
    </row>
    <row r="17" spans="1:14" ht="14.25" customHeight="1" x14ac:dyDescent="0.3">
      <c r="A17" s="62">
        <v>14</v>
      </c>
      <c r="B17" s="207"/>
      <c r="C17" s="64" t="s">
        <v>57</v>
      </c>
      <c r="D17" s="65" t="s">
        <v>1691</v>
      </c>
      <c r="E17" s="65" t="s">
        <v>2153</v>
      </c>
      <c r="F17" s="65" t="s">
        <v>1690</v>
      </c>
      <c r="G17" s="65" t="s">
        <v>58</v>
      </c>
      <c r="H17" s="65" t="s">
        <v>2154</v>
      </c>
      <c r="I17" s="65">
        <v>2016</v>
      </c>
      <c r="J17" s="66" t="s">
        <v>2186</v>
      </c>
      <c r="K17" s="66"/>
      <c r="L17" s="66" t="s">
        <v>2187</v>
      </c>
      <c r="M17" s="66" t="s">
        <v>2139</v>
      </c>
      <c r="N17" s="67" t="s">
        <v>2188</v>
      </c>
    </row>
    <row r="18" spans="1:14" ht="14.25" customHeight="1" x14ac:dyDescent="0.3">
      <c r="A18" s="62">
        <v>15</v>
      </c>
      <c r="B18" s="207"/>
      <c r="C18" s="64" t="s">
        <v>43</v>
      </c>
      <c r="D18" s="65" t="s">
        <v>2189</v>
      </c>
      <c r="E18" s="65" t="s">
        <v>2153</v>
      </c>
      <c r="F18" s="65" t="s">
        <v>1692</v>
      </c>
      <c r="G18" s="65" t="s">
        <v>44</v>
      </c>
      <c r="H18" s="65" t="s">
        <v>2154</v>
      </c>
      <c r="I18" s="65">
        <v>2019</v>
      </c>
      <c r="J18" s="66" t="s">
        <v>2190</v>
      </c>
      <c r="K18" s="66"/>
      <c r="L18" s="66" t="s">
        <v>2191</v>
      </c>
      <c r="M18" s="66" t="s">
        <v>2139</v>
      </c>
      <c r="N18" s="67" t="s">
        <v>2192</v>
      </c>
    </row>
    <row r="19" spans="1:14" ht="14.25" customHeight="1" x14ac:dyDescent="0.3">
      <c r="A19" s="62">
        <v>16</v>
      </c>
      <c r="B19" s="207"/>
      <c r="C19" s="64" t="s">
        <v>29</v>
      </c>
      <c r="D19" s="65" t="s">
        <v>2189</v>
      </c>
      <c r="E19" s="65" t="s">
        <v>2153</v>
      </c>
      <c r="F19" s="65" t="s">
        <v>1690</v>
      </c>
      <c r="G19" s="65" t="s">
        <v>30</v>
      </c>
      <c r="H19" s="65" t="s">
        <v>2154</v>
      </c>
      <c r="I19" s="65">
        <v>2020</v>
      </c>
      <c r="J19" s="72" t="s">
        <v>2193</v>
      </c>
      <c r="K19" s="66"/>
      <c r="L19" s="72" t="s">
        <v>2194</v>
      </c>
      <c r="M19" s="72" t="s">
        <v>2139</v>
      </c>
      <c r="N19" s="67" t="s">
        <v>2156</v>
      </c>
    </row>
    <row r="20" spans="1:14" ht="14.25" customHeight="1" x14ac:dyDescent="0.3">
      <c r="A20" s="62">
        <v>17</v>
      </c>
      <c r="B20" s="207"/>
      <c r="C20" s="64" t="s">
        <v>32</v>
      </c>
      <c r="D20" s="65" t="s">
        <v>2189</v>
      </c>
      <c r="E20" s="65" t="s">
        <v>2153</v>
      </c>
      <c r="F20" s="65" t="s">
        <v>1690</v>
      </c>
      <c r="G20" s="65" t="s">
        <v>33</v>
      </c>
      <c r="H20" s="65" t="s">
        <v>2154</v>
      </c>
      <c r="I20" s="65">
        <v>2020</v>
      </c>
      <c r="J20" s="72" t="s">
        <v>2195</v>
      </c>
      <c r="K20" s="66"/>
      <c r="L20" s="72" t="s">
        <v>2196</v>
      </c>
      <c r="M20" s="72" t="s">
        <v>2139</v>
      </c>
      <c r="N20" s="67" t="s">
        <v>2197</v>
      </c>
    </row>
    <row r="21" spans="1:14" ht="14.25" customHeight="1" x14ac:dyDescent="0.3">
      <c r="A21" s="62">
        <v>18</v>
      </c>
      <c r="B21" s="207"/>
      <c r="C21" s="64" t="s">
        <v>34</v>
      </c>
      <c r="D21" s="65" t="s">
        <v>2189</v>
      </c>
      <c r="E21" s="65" t="s">
        <v>2153</v>
      </c>
      <c r="F21" s="65" t="s">
        <v>1690</v>
      </c>
      <c r="G21" s="65" t="s">
        <v>35</v>
      </c>
      <c r="H21" s="65" t="s">
        <v>2154</v>
      </c>
      <c r="I21" s="65">
        <v>2020</v>
      </c>
      <c r="J21" s="72" t="s">
        <v>2198</v>
      </c>
      <c r="K21" s="66"/>
      <c r="L21" s="72" t="s">
        <v>2199</v>
      </c>
      <c r="M21" s="72" t="s">
        <v>2139</v>
      </c>
      <c r="N21" s="67" t="s">
        <v>2200</v>
      </c>
    </row>
    <row r="22" spans="1:14" ht="14.25" customHeight="1" x14ac:dyDescent="0.3">
      <c r="A22" s="62">
        <v>19</v>
      </c>
      <c r="B22" s="207"/>
      <c r="C22" s="64" t="s">
        <v>36</v>
      </c>
      <c r="D22" s="65" t="s">
        <v>2189</v>
      </c>
      <c r="E22" s="65" t="s">
        <v>2153</v>
      </c>
      <c r="F22" s="65" t="s">
        <v>1690</v>
      </c>
      <c r="G22" s="65" t="s">
        <v>37</v>
      </c>
      <c r="H22" s="65" t="s">
        <v>2154</v>
      </c>
      <c r="I22" s="65">
        <v>2020</v>
      </c>
      <c r="J22" s="72" t="s">
        <v>2201</v>
      </c>
      <c r="K22" s="66"/>
      <c r="L22" s="72" t="s">
        <v>2202</v>
      </c>
      <c r="M22" s="72" t="s">
        <v>2139</v>
      </c>
      <c r="N22" s="67" t="s">
        <v>2188</v>
      </c>
    </row>
    <row r="23" spans="1:14" ht="14.25" customHeight="1" x14ac:dyDescent="0.3">
      <c r="A23" s="62">
        <v>20</v>
      </c>
      <c r="B23" s="207"/>
      <c r="C23" s="64" t="s">
        <v>38</v>
      </c>
      <c r="D23" s="65" t="s">
        <v>2189</v>
      </c>
      <c r="E23" s="65" t="s">
        <v>2153</v>
      </c>
      <c r="F23" s="65" t="s">
        <v>1690</v>
      </c>
      <c r="G23" s="65" t="s">
        <v>39</v>
      </c>
      <c r="H23" s="65" t="s">
        <v>2154</v>
      </c>
      <c r="I23" s="65">
        <v>2020</v>
      </c>
      <c r="J23" s="72" t="s">
        <v>2203</v>
      </c>
      <c r="K23" s="66"/>
      <c r="L23" s="72" t="s">
        <v>2204</v>
      </c>
      <c r="M23" s="72" t="s">
        <v>2139</v>
      </c>
      <c r="N23" s="67" t="s">
        <v>2205</v>
      </c>
    </row>
    <row r="24" spans="1:14" ht="14.25" customHeight="1" x14ac:dyDescent="0.3">
      <c r="A24" s="62">
        <v>21</v>
      </c>
      <c r="B24" s="207"/>
      <c r="C24" s="64" t="s">
        <v>40</v>
      </c>
      <c r="D24" s="65" t="s">
        <v>2189</v>
      </c>
      <c r="E24" s="65" t="s">
        <v>2153</v>
      </c>
      <c r="F24" s="65" t="s">
        <v>1690</v>
      </c>
      <c r="G24" s="65" t="s">
        <v>41</v>
      </c>
      <c r="H24" s="65" t="s">
        <v>2154</v>
      </c>
      <c r="I24" s="65">
        <v>2020</v>
      </c>
      <c r="J24" s="72" t="s">
        <v>2206</v>
      </c>
      <c r="K24" s="66"/>
      <c r="L24" s="72" t="s">
        <v>2207</v>
      </c>
      <c r="M24" s="72" t="s">
        <v>2139</v>
      </c>
      <c r="N24" s="73" t="s">
        <v>2197</v>
      </c>
    </row>
    <row r="25" spans="1:14" ht="14.25" customHeight="1" x14ac:dyDescent="0.3">
      <c r="A25" s="62">
        <v>22</v>
      </c>
      <c r="B25" s="207"/>
      <c r="C25" s="64" t="s">
        <v>21</v>
      </c>
      <c r="D25" s="65" t="s">
        <v>1687</v>
      </c>
      <c r="E25" s="65" t="s">
        <v>2153</v>
      </c>
      <c r="F25" s="65" t="s">
        <v>1688</v>
      </c>
      <c r="G25" s="65" t="s">
        <v>22</v>
      </c>
      <c r="H25" s="65" t="s">
        <v>2154</v>
      </c>
      <c r="I25" s="65">
        <v>2021</v>
      </c>
      <c r="J25" s="72" t="s">
        <v>2208</v>
      </c>
      <c r="K25" s="66"/>
      <c r="L25" s="72" t="s">
        <v>2209</v>
      </c>
      <c r="M25" s="72" t="s">
        <v>2139</v>
      </c>
      <c r="N25" s="67" t="s">
        <v>2156</v>
      </c>
    </row>
    <row r="26" spans="1:14" ht="14.25" customHeight="1" x14ac:dyDescent="0.3">
      <c r="A26" s="62">
        <v>23</v>
      </c>
      <c r="B26" s="207"/>
      <c r="C26" s="64" t="s">
        <v>24</v>
      </c>
      <c r="D26" s="65" t="s">
        <v>1687</v>
      </c>
      <c r="E26" s="65" t="s">
        <v>2153</v>
      </c>
      <c r="F26" s="65" t="s">
        <v>1688</v>
      </c>
      <c r="G26" s="65" t="s">
        <v>25</v>
      </c>
      <c r="H26" s="65" t="s">
        <v>2154</v>
      </c>
      <c r="I26" s="65">
        <v>2021</v>
      </c>
      <c r="J26" s="72" t="s">
        <v>2210</v>
      </c>
      <c r="K26" s="66"/>
      <c r="L26" s="72" t="s">
        <v>2209</v>
      </c>
      <c r="M26" s="72" t="s">
        <v>2139</v>
      </c>
      <c r="N26" s="67" t="s">
        <v>2211</v>
      </c>
    </row>
    <row r="27" spans="1:14" ht="14.25" customHeight="1" x14ac:dyDescent="0.3">
      <c r="A27" s="62">
        <v>24</v>
      </c>
      <c r="B27" s="208"/>
      <c r="C27" s="64" t="s">
        <v>26</v>
      </c>
      <c r="D27" s="65" t="s">
        <v>1687</v>
      </c>
      <c r="E27" s="65" t="s">
        <v>2153</v>
      </c>
      <c r="F27" s="65" t="s">
        <v>1688</v>
      </c>
      <c r="G27" s="65" t="s">
        <v>27</v>
      </c>
      <c r="H27" s="65" t="s">
        <v>2154</v>
      </c>
      <c r="I27" s="65">
        <v>2021</v>
      </c>
      <c r="J27" s="72" t="s">
        <v>2212</v>
      </c>
      <c r="K27" s="66"/>
      <c r="L27" s="72" t="s">
        <v>2209</v>
      </c>
      <c r="M27" s="72" t="s">
        <v>2139</v>
      </c>
      <c r="N27" s="67" t="s">
        <v>2192</v>
      </c>
    </row>
    <row r="28" spans="1:14" ht="14.25" customHeight="1" x14ac:dyDescent="0.3">
      <c r="A28" s="74"/>
      <c r="B28" s="74"/>
      <c r="C28" s="75"/>
      <c r="D28" s="76"/>
      <c r="E28" s="77"/>
      <c r="F28" s="78"/>
      <c r="G28" s="78"/>
      <c r="H28" s="79"/>
      <c r="I28" s="80"/>
      <c r="J28" s="73"/>
      <c r="K28" s="73"/>
      <c r="L28" s="73"/>
      <c r="M28" s="73"/>
      <c r="N28" s="73"/>
    </row>
    <row r="29" spans="1:14" ht="15.75" customHeight="1" x14ac:dyDescent="0.3">
      <c r="A29" s="81">
        <v>25</v>
      </c>
      <c r="B29" s="212" t="s">
        <v>86</v>
      </c>
      <c r="C29" s="83" t="s">
        <v>109</v>
      </c>
      <c r="D29" s="79" t="s">
        <v>2213</v>
      </c>
      <c r="E29" s="79" t="s">
        <v>2214</v>
      </c>
      <c r="F29" s="79" t="s">
        <v>1710</v>
      </c>
      <c r="G29" s="79"/>
      <c r="H29" s="84" t="s">
        <v>2215</v>
      </c>
      <c r="I29" s="80">
        <v>2009</v>
      </c>
      <c r="J29" s="73"/>
      <c r="K29" s="73"/>
      <c r="L29" s="73"/>
      <c r="M29" s="73" t="s">
        <v>2139</v>
      </c>
      <c r="N29" s="67" t="s">
        <v>2216</v>
      </c>
    </row>
    <row r="30" spans="1:14" ht="15.75" customHeight="1" x14ac:dyDescent="0.3">
      <c r="A30" s="81">
        <v>26</v>
      </c>
      <c r="B30" s="207"/>
      <c r="C30" s="83" t="s">
        <v>106</v>
      </c>
      <c r="D30" s="79" t="s">
        <v>1708</v>
      </c>
      <c r="E30" s="79" t="s">
        <v>2214</v>
      </c>
      <c r="F30" s="79" t="s">
        <v>1709</v>
      </c>
      <c r="G30" s="79"/>
      <c r="H30" s="84" t="s">
        <v>2217</v>
      </c>
      <c r="I30" s="80">
        <v>2010</v>
      </c>
      <c r="J30" s="73"/>
      <c r="K30" s="73"/>
      <c r="L30" s="73"/>
      <c r="M30" s="73" t="s">
        <v>2139</v>
      </c>
      <c r="N30" s="67" t="s">
        <v>2165</v>
      </c>
    </row>
    <row r="31" spans="1:14" ht="15.75" customHeight="1" x14ac:dyDescent="0.3">
      <c r="A31" s="81">
        <v>27</v>
      </c>
      <c r="B31" s="207"/>
      <c r="C31" s="83" t="s">
        <v>104</v>
      </c>
      <c r="D31" s="79" t="s">
        <v>1700</v>
      </c>
      <c r="E31" s="79" t="s">
        <v>2214</v>
      </c>
      <c r="F31" s="79" t="s">
        <v>1707</v>
      </c>
      <c r="G31" s="79"/>
      <c r="H31" s="84" t="s">
        <v>2217</v>
      </c>
      <c r="I31" s="80">
        <v>2012</v>
      </c>
      <c r="J31" s="73"/>
      <c r="K31" s="73"/>
      <c r="L31" s="73"/>
      <c r="M31" s="73" t="s">
        <v>2139</v>
      </c>
      <c r="N31" s="67" t="s">
        <v>2218</v>
      </c>
    </row>
    <row r="32" spans="1:14" ht="15.75" customHeight="1" x14ac:dyDescent="0.3">
      <c r="A32" s="81">
        <v>28</v>
      </c>
      <c r="B32" s="207"/>
      <c r="C32" s="83" t="s">
        <v>98</v>
      </c>
      <c r="D32" s="79" t="s">
        <v>2219</v>
      </c>
      <c r="E32" s="79" t="s">
        <v>2214</v>
      </c>
      <c r="F32" s="79" t="s">
        <v>1705</v>
      </c>
      <c r="G32" s="79"/>
      <c r="H32" s="84" t="s">
        <v>2215</v>
      </c>
      <c r="I32" s="80">
        <v>2013</v>
      </c>
      <c r="J32" s="73"/>
      <c r="K32" s="73"/>
      <c r="L32" s="73"/>
      <c r="M32" s="73" t="s">
        <v>2139</v>
      </c>
      <c r="N32" s="67" t="s">
        <v>2220</v>
      </c>
    </row>
    <row r="33" spans="1:14" ht="15.75" customHeight="1" x14ac:dyDescent="0.3">
      <c r="A33" s="81">
        <v>29</v>
      </c>
      <c r="B33" s="207"/>
      <c r="C33" s="83" t="s">
        <v>93</v>
      </c>
      <c r="D33" s="79" t="s">
        <v>2219</v>
      </c>
      <c r="E33" s="79" t="s">
        <v>2214</v>
      </c>
      <c r="F33" s="79" t="s">
        <v>1702</v>
      </c>
      <c r="G33" s="79"/>
      <c r="H33" s="84" t="s">
        <v>2217</v>
      </c>
      <c r="I33" s="80">
        <v>2014</v>
      </c>
      <c r="J33" s="73"/>
      <c r="K33" s="73"/>
      <c r="L33" s="73"/>
      <c r="M33" s="73" t="s">
        <v>2139</v>
      </c>
      <c r="N33" s="67" t="s">
        <v>2165</v>
      </c>
    </row>
    <row r="34" spans="1:14" ht="15.75" customHeight="1" x14ac:dyDescent="0.3">
      <c r="A34" s="81">
        <v>30</v>
      </c>
      <c r="B34" s="207"/>
      <c r="C34" s="83" t="s">
        <v>101</v>
      </c>
      <c r="D34" s="79" t="s">
        <v>2219</v>
      </c>
      <c r="E34" s="79" t="s">
        <v>2214</v>
      </c>
      <c r="F34" s="79">
        <v>510</v>
      </c>
      <c r="G34" s="79" t="s">
        <v>102</v>
      </c>
      <c r="H34" s="84" t="s">
        <v>2215</v>
      </c>
      <c r="I34" s="80">
        <v>2013</v>
      </c>
      <c r="J34" s="73"/>
      <c r="K34" s="73"/>
      <c r="L34" s="73"/>
      <c r="M34" s="73" t="s">
        <v>2139</v>
      </c>
      <c r="N34" s="67" t="s">
        <v>2165</v>
      </c>
    </row>
    <row r="35" spans="1:14" ht="15.75" customHeight="1" x14ac:dyDescent="0.3">
      <c r="A35" s="81">
        <v>31</v>
      </c>
      <c r="B35" s="207"/>
      <c r="C35" s="83" t="s">
        <v>91</v>
      </c>
      <c r="D35" s="79" t="s">
        <v>1700</v>
      </c>
      <c r="E35" s="79" t="s">
        <v>2214</v>
      </c>
      <c r="F35" s="79" t="s">
        <v>1701</v>
      </c>
      <c r="G35" s="79"/>
      <c r="H35" s="84" t="s">
        <v>2215</v>
      </c>
      <c r="I35" s="80">
        <v>2015</v>
      </c>
      <c r="J35" s="73">
        <v>13297</v>
      </c>
      <c r="K35" s="73"/>
      <c r="L35" s="73"/>
      <c r="M35" s="73" t="s">
        <v>2139</v>
      </c>
      <c r="N35" s="67" t="s">
        <v>2218</v>
      </c>
    </row>
    <row r="36" spans="1:14" ht="15.75" customHeight="1" x14ac:dyDescent="0.3">
      <c r="A36" s="81">
        <v>32</v>
      </c>
      <c r="B36" s="207"/>
      <c r="C36" s="83" t="s">
        <v>96</v>
      </c>
      <c r="D36" s="79" t="s">
        <v>1703</v>
      </c>
      <c r="E36" s="79" t="s">
        <v>2214</v>
      </c>
      <c r="F36" s="79" t="s">
        <v>1704</v>
      </c>
      <c r="G36" s="79"/>
      <c r="H36" s="84" t="s">
        <v>2217</v>
      </c>
      <c r="I36" s="79">
        <v>2014</v>
      </c>
      <c r="J36" s="73"/>
      <c r="K36" s="73"/>
      <c r="L36" s="73"/>
      <c r="M36" s="73" t="s">
        <v>2139</v>
      </c>
      <c r="N36" s="67" t="s">
        <v>2165</v>
      </c>
    </row>
    <row r="37" spans="1:14" ht="15.75" customHeight="1" x14ac:dyDescent="0.3">
      <c r="A37" s="81">
        <v>33</v>
      </c>
      <c r="B37" s="208"/>
      <c r="C37" s="83" t="s">
        <v>89</v>
      </c>
      <c r="D37" s="79" t="s">
        <v>1698</v>
      </c>
      <c r="E37" s="79" t="s">
        <v>2214</v>
      </c>
      <c r="F37" s="79" t="s">
        <v>1699</v>
      </c>
      <c r="G37" s="79"/>
      <c r="H37" s="84" t="s">
        <v>2221</v>
      </c>
      <c r="I37" s="80">
        <v>2020</v>
      </c>
      <c r="J37" s="73"/>
      <c r="K37" s="73"/>
      <c r="L37" s="73"/>
      <c r="M37" s="73" t="s">
        <v>2139</v>
      </c>
      <c r="N37" s="67" t="s">
        <v>2222</v>
      </c>
    </row>
    <row r="38" spans="1:14" ht="14.25" customHeight="1" x14ac:dyDescent="0.3">
      <c r="A38" s="74"/>
      <c r="B38" s="74"/>
      <c r="C38" s="75"/>
      <c r="D38" s="79"/>
      <c r="E38" s="79"/>
      <c r="F38" s="79"/>
      <c r="G38" s="79"/>
      <c r="H38" s="84"/>
      <c r="I38" s="80"/>
      <c r="J38" s="73"/>
      <c r="K38" s="73"/>
      <c r="L38" s="73"/>
      <c r="M38" s="73"/>
      <c r="N38" s="73"/>
    </row>
    <row r="39" spans="1:14" ht="14.25" customHeight="1" x14ac:dyDescent="0.3">
      <c r="A39" s="62">
        <v>34</v>
      </c>
      <c r="B39" s="211" t="s">
        <v>2223</v>
      </c>
      <c r="C39" s="64" t="s">
        <v>151</v>
      </c>
      <c r="D39" s="65" t="s">
        <v>1718</v>
      </c>
      <c r="E39" s="65" t="s">
        <v>2224</v>
      </c>
      <c r="F39" s="65" t="s">
        <v>1723</v>
      </c>
      <c r="G39" s="65" t="s">
        <v>152</v>
      </c>
      <c r="H39" s="85" t="s">
        <v>2225</v>
      </c>
      <c r="I39" s="86">
        <v>1996</v>
      </c>
      <c r="J39" s="66" t="s">
        <v>2226</v>
      </c>
      <c r="K39" s="66" t="s">
        <v>2226</v>
      </c>
      <c r="L39" s="66" t="s">
        <v>2227</v>
      </c>
      <c r="M39" s="66" t="s">
        <v>2139</v>
      </c>
      <c r="N39" s="67" t="s">
        <v>2165</v>
      </c>
    </row>
    <row r="40" spans="1:14" ht="14.25" customHeight="1" x14ac:dyDescent="0.3">
      <c r="A40" s="62">
        <v>35</v>
      </c>
      <c r="B40" s="207"/>
      <c r="C40" s="64" t="s">
        <v>145</v>
      </c>
      <c r="D40" s="65" t="s">
        <v>1720</v>
      </c>
      <c r="E40" s="65" t="s">
        <v>2224</v>
      </c>
      <c r="F40" s="65" t="s">
        <v>1722</v>
      </c>
      <c r="G40" s="65" t="s">
        <v>146</v>
      </c>
      <c r="H40" s="85" t="s">
        <v>2225</v>
      </c>
      <c r="I40" s="86">
        <v>1996</v>
      </c>
      <c r="J40" s="66" t="s">
        <v>2228</v>
      </c>
      <c r="K40" s="66" t="s">
        <v>2228</v>
      </c>
      <c r="L40" s="66"/>
      <c r="M40" s="66" t="s">
        <v>2139</v>
      </c>
      <c r="N40" s="67" t="s">
        <v>2229</v>
      </c>
    </row>
    <row r="41" spans="1:14" ht="14.25" customHeight="1" x14ac:dyDescent="0.3">
      <c r="A41" s="62">
        <v>36</v>
      </c>
      <c r="B41" s="207"/>
      <c r="C41" s="64" t="s">
        <v>154</v>
      </c>
      <c r="D41" s="65" t="s">
        <v>1718</v>
      </c>
      <c r="E41" s="65" t="s">
        <v>2224</v>
      </c>
      <c r="F41" s="65" t="s">
        <v>1724</v>
      </c>
      <c r="G41" s="65" t="s">
        <v>155</v>
      </c>
      <c r="H41" s="85" t="s">
        <v>2230</v>
      </c>
      <c r="I41" s="86">
        <v>1996</v>
      </c>
      <c r="J41" s="66" t="s">
        <v>2231</v>
      </c>
      <c r="K41" s="66" t="s">
        <v>2231</v>
      </c>
      <c r="L41" s="66" t="s">
        <v>2232</v>
      </c>
      <c r="M41" s="66" t="s">
        <v>2139</v>
      </c>
      <c r="N41" s="67" t="s">
        <v>2165</v>
      </c>
    </row>
    <row r="42" spans="1:14" ht="14.25" customHeight="1" x14ac:dyDescent="0.3">
      <c r="A42" s="62">
        <v>37</v>
      </c>
      <c r="B42" s="207"/>
      <c r="C42" s="64" t="s">
        <v>141</v>
      </c>
      <c r="D42" s="65" t="s">
        <v>1720</v>
      </c>
      <c r="E42" s="65" t="s">
        <v>2224</v>
      </c>
      <c r="F42" s="65" t="s">
        <v>1721</v>
      </c>
      <c r="G42" s="65" t="s">
        <v>142</v>
      </c>
      <c r="H42" s="85" t="s">
        <v>2225</v>
      </c>
      <c r="I42" s="86">
        <v>2000</v>
      </c>
      <c r="J42" s="66" t="s">
        <v>2233</v>
      </c>
      <c r="K42" s="66" t="s">
        <v>2233</v>
      </c>
      <c r="L42" s="66" t="s">
        <v>2234</v>
      </c>
      <c r="M42" s="66" t="s">
        <v>2139</v>
      </c>
      <c r="N42" s="67" t="s">
        <v>2168</v>
      </c>
    </row>
    <row r="43" spans="1:14" ht="14.25" customHeight="1" x14ac:dyDescent="0.3">
      <c r="A43" s="62">
        <v>38</v>
      </c>
      <c r="B43" s="207"/>
      <c r="C43" s="64" t="s">
        <v>157</v>
      </c>
      <c r="D43" s="65" t="s">
        <v>1718</v>
      </c>
      <c r="E43" s="65" t="s">
        <v>2224</v>
      </c>
      <c r="F43" s="65" t="s">
        <v>1725</v>
      </c>
      <c r="G43" s="65" t="s">
        <v>158</v>
      </c>
      <c r="H43" s="85" t="s">
        <v>2230</v>
      </c>
      <c r="I43" s="86">
        <v>1991</v>
      </c>
      <c r="J43" s="66" t="s">
        <v>2235</v>
      </c>
      <c r="K43" s="66" t="s">
        <v>2235</v>
      </c>
      <c r="L43" s="66" t="s">
        <v>2236</v>
      </c>
      <c r="M43" s="66" t="s">
        <v>2139</v>
      </c>
      <c r="N43" s="67" t="s">
        <v>2165</v>
      </c>
    </row>
    <row r="44" spans="1:14" ht="14.25" customHeight="1" x14ac:dyDescent="0.3">
      <c r="A44" s="62">
        <v>39</v>
      </c>
      <c r="B44" s="207"/>
      <c r="C44" s="64" t="s">
        <v>134</v>
      </c>
      <c r="D44" s="65" t="s">
        <v>1716</v>
      </c>
      <c r="E44" s="65" t="s">
        <v>2224</v>
      </c>
      <c r="F44" s="65" t="s">
        <v>1717</v>
      </c>
      <c r="G44" s="65" t="s">
        <v>135</v>
      </c>
      <c r="H44" s="85" t="s">
        <v>2237</v>
      </c>
      <c r="I44" s="86">
        <v>2015</v>
      </c>
      <c r="J44" s="66" t="s">
        <v>2238</v>
      </c>
      <c r="K44" s="66" t="s">
        <v>2238</v>
      </c>
      <c r="L44" s="66" t="s">
        <v>2239</v>
      </c>
      <c r="M44" s="66" t="s">
        <v>2139</v>
      </c>
      <c r="N44" s="67" t="s">
        <v>2168</v>
      </c>
    </row>
    <row r="45" spans="1:14" ht="14.25" customHeight="1" x14ac:dyDescent="0.3">
      <c r="A45" s="62">
        <v>40</v>
      </c>
      <c r="B45" s="207"/>
      <c r="C45" s="64" t="s">
        <v>137</v>
      </c>
      <c r="D45" s="65" t="s">
        <v>1718</v>
      </c>
      <c r="E45" s="65" t="s">
        <v>2224</v>
      </c>
      <c r="F45" s="65" t="s">
        <v>1719</v>
      </c>
      <c r="G45" s="65" t="s">
        <v>138</v>
      </c>
      <c r="H45" s="85" t="s">
        <v>2230</v>
      </c>
      <c r="I45" s="86">
        <v>2003</v>
      </c>
      <c r="J45" s="66" t="s">
        <v>2240</v>
      </c>
      <c r="K45" s="66" t="s">
        <v>2240</v>
      </c>
      <c r="L45" s="66" t="s">
        <v>2241</v>
      </c>
      <c r="M45" s="66" t="s">
        <v>2139</v>
      </c>
      <c r="N45" s="67" t="s">
        <v>2165</v>
      </c>
    </row>
    <row r="46" spans="1:14" ht="14.25" customHeight="1" x14ac:dyDescent="0.3">
      <c r="A46" s="62">
        <v>41</v>
      </c>
      <c r="B46" s="207"/>
      <c r="C46" s="64" t="s">
        <v>148</v>
      </c>
      <c r="D46" s="65" t="s">
        <v>1720</v>
      </c>
      <c r="E46" s="65" t="s">
        <v>2224</v>
      </c>
      <c r="F46" s="65" t="s">
        <v>1722</v>
      </c>
      <c r="G46" s="65" t="s">
        <v>149</v>
      </c>
      <c r="H46" s="85" t="s">
        <v>2225</v>
      </c>
      <c r="I46" s="86">
        <v>1996</v>
      </c>
      <c r="J46" s="66" t="s">
        <v>2242</v>
      </c>
      <c r="K46" s="66" t="s">
        <v>2242</v>
      </c>
      <c r="L46" s="66" t="s">
        <v>2243</v>
      </c>
      <c r="M46" s="66" t="s">
        <v>2139</v>
      </c>
      <c r="N46" s="67" t="s">
        <v>2244</v>
      </c>
    </row>
    <row r="47" spans="1:14" ht="14.25" customHeight="1" x14ac:dyDescent="0.3">
      <c r="A47" s="62">
        <v>42</v>
      </c>
      <c r="B47" s="207"/>
      <c r="C47" s="64" t="s">
        <v>123</v>
      </c>
      <c r="D47" s="65" t="s">
        <v>1714</v>
      </c>
      <c r="E47" s="65" t="s">
        <v>2224</v>
      </c>
      <c r="F47" s="65" t="s">
        <v>1715</v>
      </c>
      <c r="G47" s="65" t="s">
        <v>124</v>
      </c>
      <c r="H47" s="85" t="s">
        <v>2237</v>
      </c>
      <c r="I47" s="86">
        <v>2016</v>
      </c>
      <c r="J47" s="66" t="s">
        <v>2245</v>
      </c>
      <c r="K47" s="66" t="s">
        <v>2245</v>
      </c>
      <c r="L47" s="66" t="s">
        <v>2246</v>
      </c>
      <c r="M47" s="66" t="s">
        <v>2139</v>
      </c>
      <c r="N47" s="67" t="s">
        <v>2165</v>
      </c>
    </row>
    <row r="48" spans="1:14" ht="14.25" customHeight="1" x14ac:dyDescent="0.3">
      <c r="A48" s="62">
        <v>43</v>
      </c>
      <c r="B48" s="207"/>
      <c r="C48" s="64" t="s">
        <v>125</v>
      </c>
      <c r="D48" s="65" t="s">
        <v>1714</v>
      </c>
      <c r="E48" s="65" t="s">
        <v>2224</v>
      </c>
      <c r="F48" s="65" t="s">
        <v>1715</v>
      </c>
      <c r="G48" s="65" t="s">
        <v>126</v>
      </c>
      <c r="H48" s="85" t="s">
        <v>2237</v>
      </c>
      <c r="I48" s="86">
        <v>2016</v>
      </c>
      <c r="J48" s="66" t="s">
        <v>2247</v>
      </c>
      <c r="K48" s="66" t="s">
        <v>2247</v>
      </c>
      <c r="L48" s="66" t="s">
        <v>2248</v>
      </c>
      <c r="M48" s="66" t="s">
        <v>2139</v>
      </c>
      <c r="N48" s="67" t="s">
        <v>2244</v>
      </c>
    </row>
    <row r="49" spans="1:14" ht="14.25" customHeight="1" x14ac:dyDescent="0.3">
      <c r="A49" s="62">
        <v>44</v>
      </c>
      <c r="B49" s="207"/>
      <c r="C49" s="64" t="s">
        <v>127</v>
      </c>
      <c r="D49" s="65" t="s">
        <v>1711</v>
      </c>
      <c r="E49" s="65" t="s">
        <v>2224</v>
      </c>
      <c r="F49" s="65" t="s">
        <v>1713</v>
      </c>
      <c r="G49" s="65" t="s">
        <v>128</v>
      </c>
      <c r="H49" s="85" t="s">
        <v>2249</v>
      </c>
      <c r="I49" s="86">
        <v>2016</v>
      </c>
      <c r="J49" s="66" t="s">
        <v>2250</v>
      </c>
      <c r="K49" s="66" t="s">
        <v>2250</v>
      </c>
      <c r="L49" s="66" t="s">
        <v>2251</v>
      </c>
      <c r="M49" s="66" t="s">
        <v>2139</v>
      </c>
      <c r="N49" s="67" t="s">
        <v>2165</v>
      </c>
    </row>
    <row r="50" spans="1:14" ht="14.25" customHeight="1" x14ac:dyDescent="0.3">
      <c r="A50" s="62">
        <v>45</v>
      </c>
      <c r="B50" s="207"/>
      <c r="C50" s="64" t="s">
        <v>129</v>
      </c>
      <c r="D50" s="65" t="s">
        <v>1711</v>
      </c>
      <c r="E50" s="65" t="s">
        <v>2224</v>
      </c>
      <c r="F50" s="65" t="s">
        <v>1713</v>
      </c>
      <c r="G50" s="65" t="s">
        <v>130</v>
      </c>
      <c r="H50" s="85" t="s">
        <v>2249</v>
      </c>
      <c r="I50" s="86">
        <v>2016</v>
      </c>
      <c r="J50" s="66" t="s">
        <v>2252</v>
      </c>
      <c r="K50" s="66" t="s">
        <v>2252</v>
      </c>
      <c r="L50" s="66" t="s">
        <v>2253</v>
      </c>
      <c r="M50" s="66" t="s">
        <v>2254</v>
      </c>
      <c r="N50" s="67" t="s">
        <v>2165</v>
      </c>
    </row>
    <row r="51" spans="1:14" ht="14.25" customHeight="1" x14ac:dyDescent="0.3">
      <c r="A51" s="62">
        <v>46</v>
      </c>
      <c r="B51" s="207"/>
      <c r="C51" s="64" t="s">
        <v>131</v>
      </c>
      <c r="D51" s="65" t="s">
        <v>1711</v>
      </c>
      <c r="E51" s="65" t="s">
        <v>2224</v>
      </c>
      <c r="F51" s="65" t="s">
        <v>1713</v>
      </c>
      <c r="G51" s="65" t="s">
        <v>132</v>
      </c>
      <c r="H51" s="85" t="s">
        <v>2249</v>
      </c>
      <c r="I51" s="86">
        <v>2016</v>
      </c>
      <c r="J51" s="66" t="s">
        <v>2255</v>
      </c>
      <c r="K51" s="66" t="s">
        <v>2255</v>
      </c>
      <c r="L51" s="66" t="s">
        <v>2256</v>
      </c>
      <c r="M51" s="66" t="s">
        <v>2139</v>
      </c>
      <c r="N51" s="67" t="s">
        <v>2171</v>
      </c>
    </row>
    <row r="52" spans="1:14" ht="14.25" customHeight="1" x14ac:dyDescent="0.3">
      <c r="A52" s="62">
        <v>47</v>
      </c>
      <c r="B52" s="207"/>
      <c r="C52" s="64" t="s">
        <v>114</v>
      </c>
      <c r="D52" s="65" t="s">
        <v>1711</v>
      </c>
      <c r="E52" s="65" t="s">
        <v>2224</v>
      </c>
      <c r="F52" s="65" t="s">
        <v>1712</v>
      </c>
      <c r="G52" s="65" t="s">
        <v>115</v>
      </c>
      <c r="H52" s="85" t="s">
        <v>2237</v>
      </c>
      <c r="I52" s="86">
        <v>2017</v>
      </c>
      <c r="J52" s="66" t="s">
        <v>2257</v>
      </c>
      <c r="K52" s="66" t="s">
        <v>2257</v>
      </c>
      <c r="L52" s="66" t="s">
        <v>2258</v>
      </c>
      <c r="M52" s="66" t="s">
        <v>2254</v>
      </c>
      <c r="N52" s="67" t="s">
        <v>2165</v>
      </c>
    </row>
    <row r="53" spans="1:14" ht="14.25" customHeight="1" x14ac:dyDescent="0.3">
      <c r="A53" s="62">
        <v>48</v>
      </c>
      <c r="B53" s="207"/>
      <c r="C53" s="64" t="s">
        <v>118</v>
      </c>
      <c r="D53" s="65" t="s">
        <v>1711</v>
      </c>
      <c r="E53" s="65" t="s">
        <v>2224</v>
      </c>
      <c r="F53" s="65" t="s">
        <v>1713</v>
      </c>
      <c r="G53" s="65" t="s">
        <v>119</v>
      </c>
      <c r="H53" s="85" t="s">
        <v>2249</v>
      </c>
      <c r="I53" s="86">
        <v>2017</v>
      </c>
      <c r="J53" s="66" t="s">
        <v>2259</v>
      </c>
      <c r="K53" s="66" t="s">
        <v>2259</v>
      </c>
      <c r="L53" s="66" t="s">
        <v>2260</v>
      </c>
      <c r="M53" s="66" t="s">
        <v>2254</v>
      </c>
      <c r="N53" s="67" t="s">
        <v>2168</v>
      </c>
    </row>
    <row r="54" spans="1:14" ht="14.25" customHeight="1" x14ac:dyDescent="0.3">
      <c r="A54" s="62">
        <v>49</v>
      </c>
      <c r="B54" s="208"/>
      <c r="C54" s="64" t="s">
        <v>120</v>
      </c>
      <c r="D54" s="65" t="s">
        <v>1711</v>
      </c>
      <c r="E54" s="65" t="s">
        <v>2224</v>
      </c>
      <c r="F54" s="65" t="s">
        <v>1712</v>
      </c>
      <c r="G54" s="65" t="s">
        <v>121</v>
      </c>
      <c r="H54" s="85" t="s">
        <v>2237</v>
      </c>
      <c r="I54" s="86">
        <v>2017</v>
      </c>
      <c r="J54" s="66" t="s">
        <v>2261</v>
      </c>
      <c r="K54" s="66" t="s">
        <v>2261</v>
      </c>
      <c r="L54" s="66" t="s">
        <v>2262</v>
      </c>
      <c r="M54" s="66" t="s">
        <v>2139</v>
      </c>
      <c r="N54" s="67" t="s">
        <v>2171</v>
      </c>
    </row>
    <row r="55" spans="1:14" ht="14.25" customHeight="1" x14ac:dyDescent="0.3">
      <c r="A55" s="74"/>
      <c r="B55" s="74"/>
      <c r="C55" s="75"/>
      <c r="D55" s="79"/>
      <c r="E55" s="79"/>
      <c r="F55" s="79"/>
      <c r="G55" s="79"/>
      <c r="H55" s="84"/>
      <c r="I55" s="80"/>
      <c r="J55" s="73"/>
      <c r="K55" s="73"/>
      <c r="L55" s="73"/>
      <c r="M55" s="73"/>
      <c r="N55" s="73"/>
    </row>
    <row r="56" spans="1:14" ht="14.25" customHeight="1" x14ac:dyDescent="0.3">
      <c r="A56" s="81">
        <v>50</v>
      </c>
      <c r="B56" s="206" t="s">
        <v>2263</v>
      </c>
      <c r="C56" s="83" t="s">
        <v>167</v>
      </c>
      <c r="D56" s="79" t="s">
        <v>1726</v>
      </c>
      <c r="E56" s="79" t="s">
        <v>161</v>
      </c>
      <c r="F56" s="79" t="s">
        <v>1728</v>
      </c>
      <c r="G56" s="79" t="s">
        <v>164</v>
      </c>
      <c r="H56" s="84" t="s">
        <v>2264</v>
      </c>
      <c r="I56" s="80">
        <v>2017</v>
      </c>
      <c r="J56" s="87" t="s">
        <v>2265</v>
      </c>
      <c r="K56" s="73"/>
      <c r="L56" s="88" t="s">
        <v>2266</v>
      </c>
      <c r="M56" s="88" t="s">
        <v>2139</v>
      </c>
      <c r="N56" s="67" t="s">
        <v>2267</v>
      </c>
    </row>
    <row r="57" spans="1:14" ht="14.25" customHeight="1" x14ac:dyDescent="0.3">
      <c r="A57" s="81">
        <v>51</v>
      </c>
      <c r="B57" s="207"/>
      <c r="C57" s="83" t="s">
        <v>169</v>
      </c>
      <c r="D57" s="79" t="s">
        <v>1726</v>
      </c>
      <c r="E57" s="79" t="s">
        <v>161</v>
      </c>
      <c r="F57" s="79" t="s">
        <v>1729</v>
      </c>
      <c r="G57" s="79" t="s">
        <v>164</v>
      </c>
      <c r="H57" s="84" t="s">
        <v>2264</v>
      </c>
      <c r="I57" s="80">
        <v>2017</v>
      </c>
      <c r="J57" s="88" t="s">
        <v>2268</v>
      </c>
      <c r="K57" s="73"/>
      <c r="L57" s="88" t="s">
        <v>2269</v>
      </c>
      <c r="M57" s="88" t="s">
        <v>2139</v>
      </c>
      <c r="N57" s="67" t="s">
        <v>2220</v>
      </c>
    </row>
    <row r="58" spans="1:14" ht="14.25" customHeight="1" x14ac:dyDescent="0.3">
      <c r="A58" s="81">
        <v>52</v>
      </c>
      <c r="B58" s="208"/>
      <c r="C58" s="83" t="s">
        <v>163</v>
      </c>
      <c r="D58" s="79" t="s">
        <v>1726</v>
      </c>
      <c r="E58" s="79" t="s">
        <v>161</v>
      </c>
      <c r="F58" s="80" t="s">
        <v>1727</v>
      </c>
      <c r="G58" s="79" t="s">
        <v>164</v>
      </c>
      <c r="H58" s="84" t="s">
        <v>2264</v>
      </c>
      <c r="I58" s="80">
        <v>2018</v>
      </c>
      <c r="J58" s="88" t="s">
        <v>1727</v>
      </c>
      <c r="K58" s="73"/>
      <c r="L58" s="73"/>
      <c r="M58" s="73" t="s">
        <v>2139</v>
      </c>
      <c r="N58" s="67" t="s">
        <v>2183</v>
      </c>
    </row>
    <row r="59" spans="1:14" ht="14.25" customHeight="1" x14ac:dyDescent="0.3">
      <c r="A59" s="74"/>
      <c r="B59" s="74"/>
      <c r="C59" s="75"/>
      <c r="D59" s="76"/>
      <c r="E59" s="77"/>
      <c r="F59" s="78"/>
      <c r="G59" s="78"/>
      <c r="H59" s="79"/>
      <c r="I59" s="80"/>
      <c r="J59" s="73"/>
      <c r="K59" s="73"/>
      <c r="L59" s="73"/>
      <c r="M59" s="73"/>
      <c r="N59" s="73"/>
    </row>
    <row r="60" spans="1:14" s="55" customFormat="1" ht="14.25" customHeight="1" x14ac:dyDescent="0.3">
      <c r="A60" s="89">
        <v>53</v>
      </c>
      <c r="B60" s="211" t="s">
        <v>170</v>
      </c>
      <c r="C60" s="90" t="s">
        <v>189</v>
      </c>
      <c r="D60" s="91"/>
      <c r="E60" s="92" t="s">
        <v>171</v>
      </c>
      <c r="F60" s="93"/>
      <c r="G60" s="93"/>
      <c r="H60" s="92" t="s">
        <v>2270</v>
      </c>
      <c r="I60" s="94">
        <v>2012</v>
      </c>
      <c r="J60" s="95"/>
      <c r="K60" s="95"/>
      <c r="L60" s="95"/>
      <c r="M60" s="95" t="s">
        <v>2139</v>
      </c>
      <c r="N60" s="95" t="s">
        <v>2271</v>
      </c>
    </row>
    <row r="61" spans="1:14" s="55" customFormat="1" ht="14.25" customHeight="1" x14ac:dyDescent="0.3">
      <c r="A61" s="89">
        <v>54</v>
      </c>
      <c r="B61" s="207"/>
      <c r="C61" s="90" t="s">
        <v>193</v>
      </c>
      <c r="D61" s="91"/>
      <c r="E61" s="92" t="s">
        <v>171</v>
      </c>
      <c r="F61" s="93"/>
      <c r="G61" s="93"/>
      <c r="H61" s="92" t="s">
        <v>2272</v>
      </c>
      <c r="I61" s="94">
        <v>2009</v>
      </c>
      <c r="J61" s="95"/>
      <c r="K61" s="95"/>
      <c r="L61" s="95"/>
      <c r="M61" s="95" t="s">
        <v>2139</v>
      </c>
      <c r="N61" s="95" t="s">
        <v>2271</v>
      </c>
    </row>
    <row r="62" spans="1:14" s="55" customFormat="1" ht="14.25" customHeight="1" x14ac:dyDescent="0.3">
      <c r="A62" s="89">
        <v>55</v>
      </c>
      <c r="B62" s="207"/>
      <c r="C62" s="90" t="s">
        <v>190</v>
      </c>
      <c r="D62" s="91"/>
      <c r="E62" s="92" t="s">
        <v>171</v>
      </c>
      <c r="F62" s="93"/>
      <c r="G62" s="93"/>
      <c r="H62" s="92" t="s">
        <v>2270</v>
      </c>
      <c r="I62" s="94">
        <v>2012</v>
      </c>
      <c r="J62" s="95"/>
      <c r="K62" s="95"/>
      <c r="L62" s="95"/>
      <c r="M62" s="95" t="s">
        <v>2139</v>
      </c>
      <c r="N62" s="95" t="s">
        <v>2271</v>
      </c>
    </row>
    <row r="63" spans="1:14" ht="14.25" customHeight="1" x14ac:dyDescent="0.3">
      <c r="A63" s="62">
        <v>56</v>
      </c>
      <c r="B63" s="207"/>
      <c r="C63" s="64" t="s">
        <v>187</v>
      </c>
      <c r="D63" s="96"/>
      <c r="E63" s="65" t="s">
        <v>171</v>
      </c>
      <c r="F63" s="65" t="s">
        <v>1741</v>
      </c>
      <c r="G63" s="97"/>
      <c r="H63" s="65" t="s">
        <v>2273</v>
      </c>
      <c r="I63" s="86">
        <v>2013</v>
      </c>
      <c r="J63" s="66"/>
      <c r="K63" s="66"/>
      <c r="L63" s="66"/>
      <c r="M63" s="66" t="s">
        <v>2139</v>
      </c>
      <c r="N63" s="67" t="s">
        <v>2192</v>
      </c>
    </row>
    <row r="64" spans="1:14" ht="14.25" customHeight="1" x14ac:dyDescent="0.3">
      <c r="A64" s="62">
        <v>57</v>
      </c>
      <c r="B64" s="207"/>
      <c r="C64" s="64" t="s">
        <v>185</v>
      </c>
      <c r="D64" s="98" t="s">
        <v>1738</v>
      </c>
      <c r="E64" s="65" t="s">
        <v>171</v>
      </c>
      <c r="F64" s="65" t="s">
        <v>1739</v>
      </c>
      <c r="G64" s="65"/>
      <c r="H64" s="65" t="s">
        <v>2270</v>
      </c>
      <c r="I64" s="86">
        <v>2014</v>
      </c>
      <c r="J64" s="66" t="s">
        <v>2274</v>
      </c>
      <c r="K64" s="66"/>
      <c r="L64" s="66"/>
      <c r="M64" s="66" t="s">
        <v>2139</v>
      </c>
      <c r="N64" s="73" t="s">
        <v>2197</v>
      </c>
    </row>
    <row r="65" spans="1:14" ht="14.25" customHeight="1" x14ac:dyDescent="0.3">
      <c r="A65" s="62">
        <v>58</v>
      </c>
      <c r="B65" s="207"/>
      <c r="C65" s="64" t="s">
        <v>183</v>
      </c>
      <c r="D65" s="65" t="s">
        <v>1733</v>
      </c>
      <c r="E65" s="65" t="s">
        <v>171</v>
      </c>
      <c r="F65" s="65"/>
      <c r="G65" s="65"/>
      <c r="H65" s="65" t="s">
        <v>2270</v>
      </c>
      <c r="I65" s="86">
        <v>2014</v>
      </c>
      <c r="J65" s="66"/>
      <c r="K65" s="66"/>
      <c r="L65" s="66"/>
      <c r="M65" s="66" t="s">
        <v>2139</v>
      </c>
      <c r="N65" s="67" t="s">
        <v>2171</v>
      </c>
    </row>
    <row r="66" spans="1:14" s="55" customFormat="1" ht="14.25" customHeight="1" x14ac:dyDescent="0.3">
      <c r="A66" s="89">
        <v>59</v>
      </c>
      <c r="B66" s="207"/>
      <c r="C66" s="90" t="s">
        <v>192</v>
      </c>
      <c r="D66" s="92" t="s">
        <v>1742</v>
      </c>
      <c r="E66" s="92" t="s">
        <v>171</v>
      </c>
      <c r="F66" s="92" t="s">
        <v>1743</v>
      </c>
      <c r="G66" s="92"/>
      <c r="H66" s="92" t="s">
        <v>2270</v>
      </c>
      <c r="I66" s="94">
        <v>2010</v>
      </c>
      <c r="J66" s="95">
        <v>166756</v>
      </c>
      <c r="K66" s="95"/>
      <c r="L66" s="95"/>
      <c r="M66" s="95" t="s">
        <v>2139</v>
      </c>
      <c r="N66" s="95" t="s">
        <v>2271</v>
      </c>
    </row>
    <row r="67" spans="1:14" ht="14.25" customHeight="1" x14ac:dyDescent="0.3">
      <c r="A67" s="62">
        <v>60</v>
      </c>
      <c r="B67" s="207"/>
      <c r="C67" s="64" t="s">
        <v>178</v>
      </c>
      <c r="D67" s="65" t="s">
        <v>1733</v>
      </c>
      <c r="E67" s="65" t="s">
        <v>171</v>
      </c>
      <c r="F67" s="65" t="s">
        <v>1734</v>
      </c>
      <c r="G67" s="65"/>
      <c r="H67" s="65" t="s">
        <v>2270</v>
      </c>
      <c r="I67" s="86">
        <v>2017</v>
      </c>
      <c r="J67" s="99" t="s">
        <v>2275</v>
      </c>
      <c r="K67" s="99">
        <v>62038313</v>
      </c>
      <c r="L67" s="66"/>
      <c r="M67" s="66" t="s">
        <v>2139</v>
      </c>
      <c r="N67" s="67" t="s">
        <v>2171</v>
      </c>
    </row>
    <row r="68" spans="1:14" ht="14.25" customHeight="1" x14ac:dyDescent="0.3">
      <c r="A68" s="62">
        <v>61</v>
      </c>
      <c r="B68" s="207"/>
      <c r="C68" s="64" t="s">
        <v>179</v>
      </c>
      <c r="D68" s="65" t="s">
        <v>1733</v>
      </c>
      <c r="E68" s="65" t="s">
        <v>171</v>
      </c>
      <c r="F68" s="65" t="s">
        <v>1734</v>
      </c>
      <c r="G68" s="65"/>
      <c r="H68" s="65" t="s">
        <v>2270</v>
      </c>
      <c r="I68" s="86">
        <v>2017</v>
      </c>
      <c r="J68" s="66" t="s">
        <v>2276</v>
      </c>
      <c r="K68" s="66"/>
      <c r="L68" s="66"/>
      <c r="M68" s="66" t="s">
        <v>2139</v>
      </c>
      <c r="N68" s="67" t="s">
        <v>2171</v>
      </c>
    </row>
    <row r="69" spans="1:14" ht="14.25" customHeight="1" x14ac:dyDescent="0.3">
      <c r="A69" s="62">
        <v>62</v>
      </c>
      <c r="B69" s="207"/>
      <c r="C69" s="64" t="s">
        <v>194</v>
      </c>
      <c r="D69" s="65"/>
      <c r="E69" s="65" t="s">
        <v>171</v>
      </c>
      <c r="F69" s="65"/>
      <c r="G69" s="65"/>
      <c r="H69" s="65" t="s">
        <v>2273</v>
      </c>
      <c r="I69" s="86"/>
      <c r="J69" s="66"/>
      <c r="K69" s="66"/>
      <c r="L69" s="66"/>
      <c r="M69" s="66" t="s">
        <v>2139</v>
      </c>
      <c r="N69" s="73" t="s">
        <v>2277</v>
      </c>
    </row>
    <row r="70" spans="1:14" ht="14.25" customHeight="1" x14ac:dyDescent="0.3">
      <c r="A70" s="62">
        <v>63</v>
      </c>
      <c r="B70" s="207"/>
      <c r="C70" s="64" t="s">
        <v>199</v>
      </c>
      <c r="D70" s="65" t="s">
        <v>1736</v>
      </c>
      <c r="E70" s="65" t="s">
        <v>171</v>
      </c>
      <c r="F70" s="65" t="s">
        <v>1737</v>
      </c>
      <c r="G70" s="65"/>
      <c r="H70" s="65" t="s">
        <v>2270</v>
      </c>
      <c r="I70" s="86"/>
      <c r="J70" s="66" t="s">
        <v>2278</v>
      </c>
      <c r="K70" s="66" t="s">
        <v>2279</v>
      </c>
      <c r="L70" s="66"/>
      <c r="M70" s="66" t="s">
        <v>2139</v>
      </c>
      <c r="N70" s="67" t="s">
        <v>2280</v>
      </c>
    </row>
    <row r="71" spans="1:14" ht="14.25" customHeight="1" x14ac:dyDescent="0.3">
      <c r="A71" s="62">
        <v>64</v>
      </c>
      <c r="B71" s="207"/>
      <c r="C71" s="64" t="s">
        <v>181</v>
      </c>
      <c r="D71" s="65" t="s">
        <v>1736</v>
      </c>
      <c r="E71" s="65" t="s">
        <v>171</v>
      </c>
      <c r="F71" s="65" t="s">
        <v>1737</v>
      </c>
      <c r="G71" s="65"/>
      <c r="H71" s="65" t="s">
        <v>2270</v>
      </c>
      <c r="I71" s="86">
        <v>2016</v>
      </c>
      <c r="J71" s="66" t="s">
        <v>2281</v>
      </c>
      <c r="K71" s="100" t="s">
        <v>2282</v>
      </c>
      <c r="L71" s="66"/>
      <c r="M71" s="66" t="s">
        <v>2139</v>
      </c>
      <c r="N71" s="67" t="s">
        <v>2192</v>
      </c>
    </row>
    <row r="72" spans="1:14" ht="14.25" customHeight="1" x14ac:dyDescent="0.3">
      <c r="A72" s="62">
        <v>65</v>
      </c>
      <c r="B72" s="207"/>
      <c r="C72" s="64" t="s">
        <v>197</v>
      </c>
      <c r="D72" s="65" t="s">
        <v>1730</v>
      </c>
      <c r="E72" s="65" t="s">
        <v>171</v>
      </c>
      <c r="F72" s="65" t="s">
        <v>1745</v>
      </c>
      <c r="G72" s="65"/>
      <c r="H72" s="65" t="s">
        <v>2270</v>
      </c>
      <c r="I72" s="86"/>
      <c r="J72" s="66" t="s">
        <v>2283</v>
      </c>
      <c r="K72" s="66"/>
      <c r="L72" s="66"/>
      <c r="M72" s="66" t="s">
        <v>2139</v>
      </c>
      <c r="N72" s="67" t="s">
        <v>2284</v>
      </c>
    </row>
    <row r="73" spans="1:14" ht="14.25" customHeight="1" x14ac:dyDescent="0.3">
      <c r="A73" s="62">
        <v>66</v>
      </c>
      <c r="B73" s="207"/>
      <c r="C73" s="64" t="s">
        <v>203</v>
      </c>
      <c r="D73" s="65" t="s">
        <v>1738</v>
      </c>
      <c r="E73" s="65" t="s">
        <v>171</v>
      </c>
      <c r="F73" s="65" t="s">
        <v>1746</v>
      </c>
      <c r="G73" s="65"/>
      <c r="H73" s="65" t="s">
        <v>2273</v>
      </c>
      <c r="I73" s="86"/>
      <c r="J73" s="66"/>
      <c r="K73" s="66"/>
      <c r="L73" s="66"/>
      <c r="M73" s="66" t="s">
        <v>2139</v>
      </c>
      <c r="N73" s="67" t="s">
        <v>2165</v>
      </c>
    </row>
    <row r="74" spans="1:14" ht="14.25" customHeight="1" x14ac:dyDescent="0.3">
      <c r="A74" s="62">
        <v>67</v>
      </c>
      <c r="B74" s="207"/>
      <c r="C74" s="64" t="s">
        <v>201</v>
      </c>
      <c r="D74" s="65" t="s">
        <v>1735</v>
      </c>
      <c r="E74" s="65" t="s">
        <v>171</v>
      </c>
      <c r="F74" s="65"/>
      <c r="G74" s="65"/>
      <c r="H74" s="65" t="s">
        <v>2273</v>
      </c>
      <c r="I74" s="86"/>
      <c r="J74" s="66"/>
      <c r="K74" s="66"/>
      <c r="L74" s="66"/>
      <c r="M74" s="66" t="s">
        <v>2139</v>
      </c>
      <c r="N74" s="73"/>
    </row>
    <row r="75" spans="1:14" ht="14.25" customHeight="1" x14ac:dyDescent="0.3">
      <c r="A75" s="62">
        <v>68</v>
      </c>
      <c r="B75" s="207"/>
      <c r="C75" s="64" t="s">
        <v>198</v>
      </c>
      <c r="D75" s="65" t="s">
        <v>1730</v>
      </c>
      <c r="E75" s="65" t="s">
        <v>171</v>
      </c>
      <c r="F75" s="65" t="s">
        <v>1732</v>
      </c>
      <c r="G75" s="65"/>
      <c r="H75" s="65" t="s">
        <v>2270</v>
      </c>
      <c r="I75" s="86"/>
      <c r="J75" s="66" t="s">
        <v>2285</v>
      </c>
      <c r="K75" s="66"/>
      <c r="L75" s="66"/>
      <c r="M75" s="66" t="s">
        <v>2139</v>
      </c>
      <c r="N75" s="67" t="s">
        <v>2192</v>
      </c>
    </row>
    <row r="76" spans="1:14" ht="14.25" customHeight="1" x14ac:dyDescent="0.3">
      <c r="A76" s="62">
        <v>69</v>
      </c>
      <c r="B76" s="207"/>
      <c r="C76" s="64" t="s">
        <v>173</v>
      </c>
      <c r="D76" s="65" t="s">
        <v>1730</v>
      </c>
      <c r="E76" s="65" t="s">
        <v>171</v>
      </c>
      <c r="F76" s="65" t="s">
        <v>1731</v>
      </c>
      <c r="G76" s="65"/>
      <c r="H76" s="65" t="s">
        <v>2286</v>
      </c>
      <c r="I76" s="86">
        <v>2021</v>
      </c>
      <c r="J76" s="66" t="s">
        <v>2287</v>
      </c>
      <c r="K76" s="66"/>
      <c r="L76" s="66"/>
      <c r="M76" s="66" t="s">
        <v>2139</v>
      </c>
      <c r="N76" s="67" t="s">
        <v>2171</v>
      </c>
    </row>
    <row r="77" spans="1:14" ht="14.25" customHeight="1" x14ac:dyDescent="0.3">
      <c r="A77" s="62">
        <v>70</v>
      </c>
      <c r="B77" s="207"/>
      <c r="C77" s="64" t="s">
        <v>175</v>
      </c>
      <c r="D77" s="65" t="s">
        <v>1730</v>
      </c>
      <c r="E77" s="65" t="s">
        <v>171</v>
      </c>
      <c r="F77" s="65" t="s">
        <v>1732</v>
      </c>
      <c r="G77" s="65"/>
      <c r="H77" s="65" t="s">
        <v>2270</v>
      </c>
      <c r="I77" s="86">
        <v>2021</v>
      </c>
      <c r="J77" s="66" t="s">
        <v>2288</v>
      </c>
      <c r="K77" s="66"/>
      <c r="L77" s="66"/>
      <c r="M77" s="66" t="s">
        <v>2139</v>
      </c>
      <c r="N77" s="67" t="s">
        <v>2188</v>
      </c>
    </row>
    <row r="78" spans="1:14" ht="14.25" customHeight="1" x14ac:dyDescent="0.3">
      <c r="A78" s="62">
        <v>71</v>
      </c>
      <c r="B78" s="208"/>
      <c r="C78" s="64" t="s">
        <v>176</v>
      </c>
      <c r="D78" s="65" t="s">
        <v>1730</v>
      </c>
      <c r="E78" s="65" t="s">
        <v>171</v>
      </c>
      <c r="F78" s="65" t="s">
        <v>1732</v>
      </c>
      <c r="G78" s="65"/>
      <c r="H78" s="65" t="s">
        <v>2270</v>
      </c>
      <c r="I78" s="86">
        <v>2021</v>
      </c>
      <c r="J78" s="66" t="s">
        <v>2289</v>
      </c>
      <c r="K78" s="66"/>
      <c r="L78" s="66"/>
      <c r="M78" s="66" t="s">
        <v>2139</v>
      </c>
      <c r="N78" s="67" t="s">
        <v>2165</v>
      </c>
    </row>
    <row r="79" spans="1:14" ht="14.25" customHeight="1" x14ac:dyDescent="0.3">
      <c r="A79" s="101"/>
      <c r="B79" s="101"/>
      <c r="C79" s="102"/>
      <c r="D79" s="103"/>
      <c r="E79" s="103"/>
      <c r="F79" s="103"/>
      <c r="G79" s="103"/>
      <c r="H79" s="103"/>
      <c r="I79" s="104"/>
      <c r="J79" s="105"/>
      <c r="K79" s="105"/>
      <c r="L79" s="105"/>
      <c r="M79" s="105"/>
      <c r="N79" s="73"/>
    </row>
    <row r="80" spans="1:14" ht="14.25" customHeight="1" x14ac:dyDescent="0.3">
      <c r="A80" s="106">
        <v>72</v>
      </c>
      <c r="B80" s="204" t="s">
        <v>204</v>
      </c>
      <c r="C80" s="83" t="s">
        <v>248</v>
      </c>
      <c r="D80" s="103"/>
      <c r="E80" s="79" t="s">
        <v>205</v>
      </c>
      <c r="F80" s="103"/>
      <c r="G80" s="103"/>
      <c r="H80" s="103" t="s">
        <v>2290</v>
      </c>
      <c r="I80" s="104">
        <v>2010</v>
      </c>
      <c r="J80" s="105"/>
      <c r="K80" s="105"/>
      <c r="L80" s="105"/>
      <c r="M80" s="105" t="s">
        <v>2139</v>
      </c>
      <c r="N80" s="73"/>
    </row>
    <row r="81" spans="1:14" ht="14.25" customHeight="1" x14ac:dyDescent="0.3">
      <c r="A81" s="106">
        <v>73</v>
      </c>
      <c r="B81" s="202"/>
      <c r="C81" s="83" t="s">
        <v>247</v>
      </c>
      <c r="D81" s="79" t="s">
        <v>1700</v>
      </c>
      <c r="E81" s="79" t="s">
        <v>205</v>
      </c>
      <c r="F81" s="103"/>
      <c r="G81" s="103"/>
      <c r="H81" s="79" t="s">
        <v>2291</v>
      </c>
      <c r="I81" s="107">
        <v>2012</v>
      </c>
      <c r="J81" s="105"/>
      <c r="K81" s="105"/>
      <c r="L81" s="105"/>
      <c r="M81" s="105" t="s">
        <v>2139</v>
      </c>
      <c r="N81" s="67" t="s">
        <v>2165</v>
      </c>
    </row>
    <row r="82" spans="1:14" ht="14.25" customHeight="1" x14ac:dyDescent="0.3">
      <c r="A82" s="106">
        <v>74</v>
      </c>
      <c r="B82" s="202"/>
      <c r="C82" s="83" t="s">
        <v>226</v>
      </c>
      <c r="D82" s="79"/>
      <c r="E82" s="79" t="s">
        <v>205</v>
      </c>
      <c r="F82" s="103"/>
      <c r="G82" s="103"/>
      <c r="H82" s="79" t="s">
        <v>2291</v>
      </c>
      <c r="I82" s="107">
        <v>2013</v>
      </c>
      <c r="J82" s="105"/>
      <c r="K82" s="105"/>
      <c r="L82" s="105"/>
      <c r="M82" s="105" t="s">
        <v>2139</v>
      </c>
      <c r="N82" s="67" t="s">
        <v>2292</v>
      </c>
    </row>
    <row r="83" spans="1:14" ht="14.25" customHeight="1" x14ac:dyDescent="0.3">
      <c r="A83" s="106">
        <v>75</v>
      </c>
      <c r="B83" s="202"/>
      <c r="C83" s="83" t="s">
        <v>249</v>
      </c>
      <c r="D83" s="79"/>
      <c r="E83" s="79" t="s">
        <v>205</v>
      </c>
      <c r="F83" s="103"/>
      <c r="G83" s="103"/>
      <c r="H83" s="79" t="s">
        <v>2291</v>
      </c>
      <c r="I83" s="107">
        <v>2010</v>
      </c>
      <c r="J83" s="105"/>
      <c r="K83" s="105"/>
      <c r="L83" s="105"/>
      <c r="M83" s="105" t="s">
        <v>2139</v>
      </c>
      <c r="N83" s="73"/>
    </row>
    <row r="84" spans="1:14" ht="14.25" customHeight="1" x14ac:dyDescent="0.3">
      <c r="A84" s="106">
        <v>76</v>
      </c>
      <c r="B84" s="202"/>
      <c r="C84" s="83" t="s">
        <v>242</v>
      </c>
      <c r="D84" s="79"/>
      <c r="E84" s="79" t="s">
        <v>205</v>
      </c>
      <c r="F84" s="103"/>
      <c r="G84" s="103"/>
      <c r="H84" s="79" t="s">
        <v>2291</v>
      </c>
      <c r="I84" s="107">
        <v>2012</v>
      </c>
      <c r="J84" s="105"/>
      <c r="K84" s="105"/>
      <c r="L84" s="105"/>
      <c r="M84" s="105" t="s">
        <v>2139</v>
      </c>
      <c r="N84" s="73"/>
    </row>
    <row r="85" spans="1:14" ht="14.25" customHeight="1" x14ac:dyDescent="0.3">
      <c r="A85" s="106">
        <v>77</v>
      </c>
      <c r="B85" s="202"/>
      <c r="C85" s="83" t="s">
        <v>221</v>
      </c>
      <c r="D85" s="79"/>
      <c r="E85" s="79" t="s">
        <v>205</v>
      </c>
      <c r="F85" s="103"/>
      <c r="G85" s="103"/>
      <c r="H85" s="79" t="s">
        <v>2290</v>
      </c>
      <c r="I85" s="107">
        <v>2015</v>
      </c>
      <c r="J85" s="105"/>
      <c r="K85" s="105"/>
      <c r="L85" s="105"/>
      <c r="M85" s="105" t="s">
        <v>2139</v>
      </c>
      <c r="N85" s="73"/>
    </row>
    <row r="86" spans="1:14" ht="14.25" customHeight="1" x14ac:dyDescent="0.3">
      <c r="A86" s="106">
        <v>78</v>
      </c>
      <c r="B86" s="202"/>
      <c r="C86" s="83" t="s">
        <v>235</v>
      </c>
      <c r="D86" s="79" t="s">
        <v>1708</v>
      </c>
      <c r="E86" s="79" t="s">
        <v>205</v>
      </c>
      <c r="F86" s="79" t="s">
        <v>1755</v>
      </c>
      <c r="G86" s="103"/>
      <c r="H86" s="79" t="s">
        <v>2291</v>
      </c>
      <c r="I86" s="107">
        <v>2013</v>
      </c>
      <c r="J86" s="105"/>
      <c r="K86" s="105"/>
      <c r="L86" s="105"/>
      <c r="M86" s="105" t="s">
        <v>2139</v>
      </c>
      <c r="N86" s="67" t="s">
        <v>2165</v>
      </c>
    </row>
    <row r="87" spans="1:14" ht="14.25" customHeight="1" x14ac:dyDescent="0.3">
      <c r="A87" s="106">
        <v>79</v>
      </c>
      <c r="B87" s="202"/>
      <c r="C87" s="83" t="s">
        <v>228</v>
      </c>
      <c r="D87" s="79" t="s">
        <v>1748</v>
      </c>
      <c r="E87" s="79" t="s">
        <v>205</v>
      </c>
      <c r="F87" s="103"/>
      <c r="G87" s="103"/>
      <c r="H87" s="79" t="s">
        <v>2293</v>
      </c>
      <c r="I87" s="107">
        <v>2013</v>
      </c>
      <c r="J87" s="105"/>
      <c r="K87" s="105"/>
      <c r="L87" s="105"/>
      <c r="M87" s="105" t="s">
        <v>2139</v>
      </c>
      <c r="N87" s="67" t="s">
        <v>2165</v>
      </c>
    </row>
    <row r="88" spans="1:14" ht="14.25" customHeight="1" x14ac:dyDescent="0.3">
      <c r="A88" s="106">
        <v>80</v>
      </c>
      <c r="B88" s="202"/>
      <c r="C88" s="83" t="s">
        <v>228</v>
      </c>
      <c r="D88" s="79" t="s">
        <v>1759</v>
      </c>
      <c r="E88" s="79" t="s">
        <v>205</v>
      </c>
      <c r="F88" s="103"/>
      <c r="G88" s="103"/>
      <c r="H88" s="79" t="s">
        <v>2293</v>
      </c>
      <c r="I88" s="107"/>
      <c r="J88" s="105"/>
      <c r="K88" s="105"/>
      <c r="L88" s="105"/>
      <c r="M88" s="105" t="s">
        <v>2139</v>
      </c>
      <c r="N88" s="67" t="s">
        <v>2165</v>
      </c>
    </row>
    <row r="89" spans="1:14" ht="14.25" customHeight="1" x14ac:dyDescent="0.3">
      <c r="A89" s="106">
        <v>81</v>
      </c>
      <c r="B89" s="202"/>
      <c r="C89" s="83" t="s">
        <v>237</v>
      </c>
      <c r="D89" s="79" t="s">
        <v>1730</v>
      </c>
      <c r="E89" s="79" t="s">
        <v>205</v>
      </c>
      <c r="F89" s="79" t="s">
        <v>1756</v>
      </c>
      <c r="G89" s="103"/>
      <c r="H89" s="79" t="s">
        <v>2291</v>
      </c>
      <c r="I89" s="107">
        <v>2013</v>
      </c>
      <c r="J89" s="88"/>
      <c r="K89" s="105"/>
      <c r="L89" s="105"/>
      <c r="M89" s="105" t="s">
        <v>2139</v>
      </c>
      <c r="N89" s="67" t="s">
        <v>2165</v>
      </c>
    </row>
    <row r="90" spans="1:14" ht="14.25" customHeight="1" x14ac:dyDescent="0.3">
      <c r="A90" s="106">
        <v>82</v>
      </c>
      <c r="B90" s="202"/>
      <c r="C90" s="83" t="s">
        <v>230</v>
      </c>
      <c r="D90" s="79" t="s">
        <v>1748</v>
      </c>
      <c r="E90" s="79" t="s">
        <v>205</v>
      </c>
      <c r="F90" s="79" t="s">
        <v>1754</v>
      </c>
      <c r="G90" s="103"/>
      <c r="H90" s="79" t="s">
        <v>2291</v>
      </c>
      <c r="I90" s="107">
        <v>2013</v>
      </c>
      <c r="J90" s="88">
        <v>101650301735</v>
      </c>
      <c r="K90" s="105"/>
      <c r="L90" s="73" t="s">
        <v>2294</v>
      </c>
      <c r="M90" s="88" t="s">
        <v>2139</v>
      </c>
      <c r="N90" s="67" t="s">
        <v>2165</v>
      </c>
    </row>
    <row r="91" spans="1:14" s="55" customFormat="1" ht="14.25" customHeight="1" x14ac:dyDescent="0.3">
      <c r="A91" s="89">
        <v>83</v>
      </c>
      <c r="B91" s="202"/>
      <c r="C91" s="90" t="s">
        <v>239</v>
      </c>
      <c r="D91" s="92" t="s">
        <v>1730</v>
      </c>
      <c r="E91" s="92" t="s">
        <v>205</v>
      </c>
      <c r="F91" s="92" t="s">
        <v>1757</v>
      </c>
      <c r="G91" s="92"/>
      <c r="H91" s="92" t="s">
        <v>2291</v>
      </c>
      <c r="I91" s="108">
        <v>2013</v>
      </c>
      <c r="J91" s="95" t="s">
        <v>2295</v>
      </c>
      <c r="K91" s="95"/>
      <c r="L91" s="95"/>
      <c r="M91" s="95" t="s">
        <v>2139</v>
      </c>
      <c r="N91" s="95" t="s">
        <v>2271</v>
      </c>
    </row>
    <row r="92" spans="1:14" ht="14.25" customHeight="1" x14ac:dyDescent="0.3">
      <c r="A92" s="106">
        <v>84</v>
      </c>
      <c r="B92" s="202"/>
      <c r="C92" s="83" t="s">
        <v>231</v>
      </c>
      <c r="D92" s="79" t="s">
        <v>1748</v>
      </c>
      <c r="E92" s="79" t="s">
        <v>205</v>
      </c>
      <c r="F92" s="79" t="s">
        <v>1754</v>
      </c>
      <c r="G92" s="103"/>
      <c r="H92" s="79" t="s">
        <v>2291</v>
      </c>
      <c r="I92" s="107">
        <v>2013</v>
      </c>
      <c r="J92" s="73" t="s">
        <v>2296</v>
      </c>
      <c r="K92" s="105"/>
      <c r="L92" s="88">
        <v>101650301736</v>
      </c>
      <c r="M92" s="88" t="s">
        <v>2139</v>
      </c>
      <c r="N92" s="67" t="s">
        <v>2192</v>
      </c>
    </row>
    <row r="93" spans="1:14" ht="14.25" customHeight="1" x14ac:dyDescent="0.3">
      <c r="A93" s="106">
        <v>85</v>
      </c>
      <c r="B93" s="202"/>
      <c r="C93" s="83" t="s">
        <v>245</v>
      </c>
      <c r="D93" s="79" t="s">
        <v>1736</v>
      </c>
      <c r="E93" s="79" t="s">
        <v>205</v>
      </c>
      <c r="F93" s="79"/>
      <c r="G93" s="103"/>
      <c r="H93" s="79" t="s">
        <v>2291</v>
      </c>
      <c r="I93" s="107">
        <v>2012</v>
      </c>
      <c r="J93" s="105"/>
      <c r="K93" s="105"/>
      <c r="L93" s="105"/>
      <c r="M93" s="105" t="s">
        <v>2139</v>
      </c>
      <c r="N93" s="67" t="s">
        <v>2165</v>
      </c>
    </row>
    <row r="94" spans="1:14" ht="14.25" customHeight="1" x14ac:dyDescent="0.3">
      <c r="A94" s="106">
        <v>86</v>
      </c>
      <c r="B94" s="202"/>
      <c r="C94" s="83" t="s">
        <v>211</v>
      </c>
      <c r="D94" s="79" t="s">
        <v>1748</v>
      </c>
      <c r="E94" s="79" t="s">
        <v>205</v>
      </c>
      <c r="F94" s="79" t="s">
        <v>1749</v>
      </c>
      <c r="G94" s="103"/>
      <c r="H94" s="79" t="s">
        <v>2291</v>
      </c>
      <c r="I94" s="107">
        <v>2016</v>
      </c>
      <c r="J94" s="73" t="s">
        <v>2297</v>
      </c>
      <c r="K94" s="73" t="s">
        <v>2297</v>
      </c>
      <c r="L94" s="88"/>
      <c r="M94" s="88" t="s">
        <v>2139</v>
      </c>
      <c r="N94" s="67" t="s">
        <v>2298</v>
      </c>
    </row>
    <row r="95" spans="1:14" ht="14.25" customHeight="1" x14ac:dyDescent="0.3">
      <c r="A95" s="106">
        <v>87</v>
      </c>
      <c r="B95" s="202"/>
      <c r="C95" s="83" t="s">
        <v>250</v>
      </c>
      <c r="D95" s="79"/>
      <c r="E95" s="79" t="s">
        <v>205</v>
      </c>
      <c r="F95" s="103"/>
      <c r="G95" s="103"/>
      <c r="H95" s="79"/>
      <c r="I95" s="107"/>
      <c r="J95" s="105"/>
      <c r="K95" s="105"/>
      <c r="L95" s="105"/>
      <c r="M95" s="105" t="s">
        <v>2139</v>
      </c>
      <c r="N95" s="73"/>
    </row>
    <row r="96" spans="1:14" ht="14.25" customHeight="1" x14ac:dyDescent="0.3">
      <c r="A96" s="106">
        <v>88</v>
      </c>
      <c r="B96" s="202"/>
      <c r="C96" s="83" t="s">
        <v>251</v>
      </c>
      <c r="D96" s="79"/>
      <c r="E96" s="79" t="s">
        <v>205</v>
      </c>
      <c r="F96" s="103"/>
      <c r="G96" s="103"/>
      <c r="H96" s="79"/>
      <c r="I96" s="107"/>
      <c r="J96" s="105"/>
      <c r="K96" s="105"/>
      <c r="L96" s="105"/>
      <c r="M96" s="105" t="s">
        <v>2139</v>
      </c>
      <c r="N96" s="73"/>
    </row>
    <row r="97" spans="1:14" ht="14.25" customHeight="1" x14ac:dyDescent="0.3">
      <c r="A97" s="106">
        <v>89</v>
      </c>
      <c r="B97" s="202"/>
      <c r="C97" s="83" t="s">
        <v>252</v>
      </c>
      <c r="D97" s="79"/>
      <c r="E97" s="79" t="s">
        <v>205</v>
      </c>
      <c r="F97" s="103"/>
      <c r="G97" s="103"/>
      <c r="H97" s="79"/>
      <c r="I97" s="107"/>
      <c r="J97" s="105"/>
      <c r="K97" s="105"/>
      <c r="L97" s="105"/>
      <c r="M97" s="105" t="s">
        <v>2139</v>
      </c>
      <c r="N97" s="73"/>
    </row>
    <row r="98" spans="1:14" ht="14.25" customHeight="1" x14ac:dyDescent="0.3">
      <c r="A98" s="106">
        <v>90</v>
      </c>
      <c r="B98" s="202"/>
      <c r="C98" s="83" t="s">
        <v>213</v>
      </c>
      <c r="D98" s="79" t="s">
        <v>1748</v>
      </c>
      <c r="E98" s="79" t="s">
        <v>205</v>
      </c>
      <c r="F98" s="79" t="s">
        <v>1750</v>
      </c>
      <c r="G98" s="103"/>
      <c r="H98" s="79" t="s">
        <v>2291</v>
      </c>
      <c r="I98" s="107">
        <v>2016</v>
      </c>
      <c r="J98" s="105"/>
      <c r="K98" s="105"/>
      <c r="L98" s="105"/>
      <c r="M98" s="105" t="s">
        <v>2139</v>
      </c>
      <c r="N98" s="73"/>
    </row>
    <row r="99" spans="1:14" ht="14.25" customHeight="1" x14ac:dyDescent="0.3">
      <c r="A99" s="106">
        <v>91</v>
      </c>
      <c r="B99" s="202"/>
      <c r="C99" s="83" t="s">
        <v>209</v>
      </c>
      <c r="D99" s="79"/>
      <c r="E99" s="79" t="s">
        <v>205</v>
      </c>
      <c r="F99" s="79"/>
      <c r="G99" s="103"/>
      <c r="H99" s="79" t="s">
        <v>2290</v>
      </c>
      <c r="I99" s="107">
        <v>2016</v>
      </c>
      <c r="J99" s="105"/>
      <c r="K99" s="105"/>
      <c r="L99" s="105"/>
      <c r="M99" s="105" t="s">
        <v>2139</v>
      </c>
      <c r="N99" s="73"/>
    </row>
    <row r="100" spans="1:14" ht="14.25" customHeight="1" x14ac:dyDescent="0.3">
      <c r="A100" s="106">
        <v>92</v>
      </c>
      <c r="B100" s="202"/>
      <c r="C100" s="83" t="s">
        <v>241</v>
      </c>
      <c r="D100" s="79" t="s">
        <v>1738</v>
      </c>
      <c r="E100" s="79" t="s">
        <v>205</v>
      </c>
      <c r="F100" s="79" t="s">
        <v>1758</v>
      </c>
      <c r="G100" s="103"/>
      <c r="H100" s="79" t="s">
        <v>2291</v>
      </c>
      <c r="I100" s="107">
        <v>2013</v>
      </c>
      <c r="J100" s="105"/>
      <c r="K100" s="105"/>
      <c r="L100" s="105"/>
      <c r="M100" s="105" t="s">
        <v>2139</v>
      </c>
      <c r="N100" s="67" t="s">
        <v>2165</v>
      </c>
    </row>
    <row r="101" spans="1:14" ht="14.25" customHeight="1" x14ac:dyDescent="0.3">
      <c r="A101" s="106">
        <v>93</v>
      </c>
      <c r="B101" s="202"/>
      <c r="C101" s="83" t="s">
        <v>225</v>
      </c>
      <c r="D101" s="79" t="s">
        <v>1752</v>
      </c>
      <c r="E101" s="79" t="s">
        <v>205</v>
      </c>
      <c r="F101" s="79" t="s">
        <v>1753</v>
      </c>
      <c r="G101" s="103"/>
      <c r="H101" s="79" t="s">
        <v>2290</v>
      </c>
      <c r="I101" s="107">
        <v>2014</v>
      </c>
      <c r="J101" s="105">
        <v>509047</v>
      </c>
      <c r="K101" s="105"/>
      <c r="L101" s="105"/>
      <c r="M101" s="105" t="s">
        <v>2139</v>
      </c>
      <c r="N101" s="67" t="s">
        <v>2165</v>
      </c>
    </row>
    <row r="102" spans="1:14" ht="14.25" customHeight="1" x14ac:dyDescent="0.3">
      <c r="A102" s="106">
        <v>94</v>
      </c>
      <c r="B102" s="202"/>
      <c r="C102" s="83" t="s">
        <v>206</v>
      </c>
      <c r="D102" s="79"/>
      <c r="E102" s="79" t="s">
        <v>205</v>
      </c>
      <c r="F102" s="79"/>
      <c r="G102" s="103"/>
      <c r="H102" s="79" t="s">
        <v>2290</v>
      </c>
      <c r="I102" s="107">
        <v>2017</v>
      </c>
      <c r="J102" s="105"/>
      <c r="K102" s="105"/>
      <c r="L102" s="105"/>
      <c r="M102" s="105" t="s">
        <v>2139</v>
      </c>
      <c r="N102" s="67" t="s">
        <v>2165</v>
      </c>
    </row>
    <row r="103" spans="1:14" ht="14.25" customHeight="1" x14ac:dyDescent="0.3">
      <c r="A103" s="106">
        <v>95</v>
      </c>
      <c r="B103" s="202"/>
      <c r="C103" s="83" t="s">
        <v>208</v>
      </c>
      <c r="D103" s="79"/>
      <c r="E103" s="79" t="s">
        <v>205</v>
      </c>
      <c r="F103" s="79" t="s">
        <v>1747</v>
      </c>
      <c r="G103" s="103"/>
      <c r="H103" s="79" t="s">
        <v>2291</v>
      </c>
      <c r="I103" s="107">
        <v>2017</v>
      </c>
      <c r="J103" s="105"/>
      <c r="K103" s="105"/>
      <c r="L103" s="105"/>
      <c r="M103" s="105" t="s">
        <v>2139</v>
      </c>
      <c r="N103" s="67" t="s">
        <v>2165</v>
      </c>
    </row>
    <row r="104" spans="1:14" ht="14.25" customHeight="1" x14ac:dyDescent="0.3">
      <c r="A104" s="106">
        <v>96</v>
      </c>
      <c r="B104" s="202"/>
      <c r="C104" s="83" t="s">
        <v>232</v>
      </c>
      <c r="D104" s="79" t="s">
        <v>1748</v>
      </c>
      <c r="E104" s="79" t="s">
        <v>205</v>
      </c>
      <c r="F104" s="79" t="s">
        <v>1751</v>
      </c>
      <c r="G104" s="103"/>
      <c r="H104" s="79" t="s">
        <v>2290</v>
      </c>
      <c r="I104" s="107">
        <v>2013</v>
      </c>
      <c r="J104" s="88">
        <v>861100822773</v>
      </c>
      <c r="K104" s="105"/>
      <c r="L104" s="88">
        <v>101650371052</v>
      </c>
      <c r="M104" s="88" t="s">
        <v>2139</v>
      </c>
      <c r="N104" s="67" t="s">
        <v>2165</v>
      </c>
    </row>
    <row r="105" spans="1:14" ht="14.25" customHeight="1" x14ac:dyDescent="0.3">
      <c r="A105" s="106">
        <v>97</v>
      </c>
      <c r="B105" s="202"/>
      <c r="C105" s="83" t="s">
        <v>233</v>
      </c>
      <c r="D105" s="79" t="s">
        <v>1748</v>
      </c>
      <c r="E105" s="79" t="s">
        <v>205</v>
      </c>
      <c r="F105" s="79" t="s">
        <v>1751</v>
      </c>
      <c r="G105" s="103"/>
      <c r="H105" s="79" t="s">
        <v>2290</v>
      </c>
      <c r="I105" s="107">
        <v>2013</v>
      </c>
      <c r="J105" s="88">
        <v>861100822772</v>
      </c>
      <c r="K105" s="105"/>
      <c r="L105" s="105"/>
      <c r="M105" s="105" t="s">
        <v>2139</v>
      </c>
      <c r="N105" s="67" t="s">
        <v>2165</v>
      </c>
    </row>
    <row r="106" spans="1:14" ht="14.25" customHeight="1" x14ac:dyDescent="0.3">
      <c r="A106" s="106">
        <v>98</v>
      </c>
      <c r="B106" s="202"/>
      <c r="C106" s="83" t="s">
        <v>243</v>
      </c>
      <c r="D106" s="79"/>
      <c r="E106" s="79" t="s">
        <v>205</v>
      </c>
      <c r="F106" s="79"/>
      <c r="G106" s="103"/>
      <c r="H106" s="79" t="s">
        <v>2291</v>
      </c>
      <c r="I106" s="107">
        <v>2012</v>
      </c>
      <c r="J106" s="105"/>
      <c r="K106" s="105"/>
      <c r="L106" s="105"/>
      <c r="M106" s="105" t="s">
        <v>2139</v>
      </c>
      <c r="N106" s="73"/>
    </row>
    <row r="107" spans="1:14" ht="14.25" customHeight="1" x14ac:dyDescent="0.3">
      <c r="A107" s="106">
        <v>99</v>
      </c>
      <c r="B107" s="202"/>
      <c r="C107" s="83" t="s">
        <v>224</v>
      </c>
      <c r="D107" s="79" t="s">
        <v>1748</v>
      </c>
      <c r="E107" s="79" t="s">
        <v>205</v>
      </c>
      <c r="F107" s="79" t="s">
        <v>1751</v>
      </c>
      <c r="G107" s="103"/>
      <c r="H107" s="79" t="s">
        <v>2299</v>
      </c>
      <c r="I107" s="107">
        <v>2014</v>
      </c>
      <c r="J107" s="88">
        <v>861100822771</v>
      </c>
      <c r="K107" s="105"/>
      <c r="L107" s="88" t="s">
        <v>2300</v>
      </c>
      <c r="M107" s="88" t="s">
        <v>2139</v>
      </c>
      <c r="N107" s="67" t="s">
        <v>2165</v>
      </c>
    </row>
    <row r="108" spans="1:14" ht="14.25" customHeight="1" x14ac:dyDescent="0.3">
      <c r="A108" s="106">
        <v>100</v>
      </c>
      <c r="B108" s="202"/>
      <c r="C108" s="83" t="s">
        <v>222</v>
      </c>
      <c r="D108" s="79" t="s">
        <v>1748</v>
      </c>
      <c r="E108" s="79" t="s">
        <v>205</v>
      </c>
      <c r="F108" s="79" t="s">
        <v>1751</v>
      </c>
      <c r="G108" s="103"/>
      <c r="H108" s="79" t="s">
        <v>2301</v>
      </c>
      <c r="I108" s="107">
        <v>2015</v>
      </c>
      <c r="J108" s="88">
        <v>861100822770</v>
      </c>
      <c r="K108" s="105"/>
      <c r="L108" s="88" t="s">
        <v>2302</v>
      </c>
      <c r="M108" s="88" t="s">
        <v>2139</v>
      </c>
      <c r="N108" s="73"/>
    </row>
    <row r="109" spans="1:14" ht="14.25" customHeight="1" x14ac:dyDescent="0.3">
      <c r="A109" s="106">
        <v>101</v>
      </c>
      <c r="B109" s="202"/>
      <c r="C109" s="83" t="s">
        <v>223</v>
      </c>
      <c r="D109" s="79" t="s">
        <v>1752</v>
      </c>
      <c r="E109" s="79" t="s">
        <v>205</v>
      </c>
      <c r="F109" s="79" t="s">
        <v>1753</v>
      </c>
      <c r="G109" s="103"/>
      <c r="H109" s="79" t="s">
        <v>2301</v>
      </c>
      <c r="I109" s="107">
        <v>2015</v>
      </c>
      <c r="J109" s="105"/>
      <c r="K109" s="105"/>
      <c r="L109" s="105"/>
      <c r="M109" s="105" t="s">
        <v>2139</v>
      </c>
      <c r="N109" s="67" t="s">
        <v>2303</v>
      </c>
    </row>
    <row r="110" spans="1:14" ht="14.25" customHeight="1" x14ac:dyDescent="0.3">
      <c r="A110" s="106">
        <v>102</v>
      </c>
      <c r="B110" s="202"/>
      <c r="C110" s="83" t="s">
        <v>217</v>
      </c>
      <c r="D110" s="79" t="s">
        <v>1752</v>
      </c>
      <c r="E110" s="79" t="s">
        <v>205</v>
      </c>
      <c r="F110" s="79" t="s">
        <v>1753</v>
      </c>
      <c r="G110" s="103"/>
      <c r="H110" s="79" t="s">
        <v>2301</v>
      </c>
      <c r="I110" s="107">
        <v>2016</v>
      </c>
      <c r="J110" s="105"/>
      <c r="K110" s="105"/>
      <c r="L110" s="105"/>
      <c r="M110" s="105" t="s">
        <v>2139</v>
      </c>
      <c r="N110" s="73"/>
    </row>
    <row r="111" spans="1:14" ht="14.25" customHeight="1" x14ac:dyDescent="0.3">
      <c r="A111" s="106">
        <v>103</v>
      </c>
      <c r="B111" s="202"/>
      <c r="C111" s="83" t="s">
        <v>215</v>
      </c>
      <c r="D111" s="79" t="s">
        <v>1748</v>
      </c>
      <c r="E111" s="79" t="s">
        <v>205</v>
      </c>
      <c r="F111" s="79" t="s">
        <v>1751</v>
      </c>
      <c r="G111" s="103"/>
      <c r="H111" s="79" t="s">
        <v>2301</v>
      </c>
      <c r="I111" s="107">
        <v>2016</v>
      </c>
      <c r="J111" s="88">
        <v>861100822768</v>
      </c>
      <c r="K111" s="105"/>
      <c r="L111" s="88" t="s">
        <v>2304</v>
      </c>
      <c r="M111" s="88" t="s">
        <v>2139</v>
      </c>
      <c r="N111" s="67" t="s">
        <v>2165</v>
      </c>
    </row>
    <row r="112" spans="1:14" ht="14.25" customHeight="1" x14ac:dyDescent="0.3">
      <c r="A112" s="106">
        <v>104</v>
      </c>
      <c r="B112" s="202"/>
      <c r="C112" s="83" t="s">
        <v>219</v>
      </c>
      <c r="D112" s="79" t="s">
        <v>1752</v>
      </c>
      <c r="E112" s="79" t="s">
        <v>205</v>
      </c>
      <c r="F112" s="79" t="s">
        <v>1751</v>
      </c>
      <c r="G112" s="103"/>
      <c r="H112" s="79" t="s">
        <v>2301</v>
      </c>
      <c r="I112" s="107">
        <v>2016</v>
      </c>
      <c r="J112" s="105"/>
      <c r="K112" s="105"/>
      <c r="L112" s="105"/>
      <c r="M112" s="105" t="s">
        <v>2139</v>
      </c>
      <c r="N112" s="73"/>
    </row>
    <row r="113" spans="1:14" ht="14.25" customHeight="1" x14ac:dyDescent="0.3">
      <c r="A113" s="106">
        <v>105</v>
      </c>
      <c r="B113" s="202"/>
      <c r="C113" s="83" t="s">
        <v>220</v>
      </c>
      <c r="D113" s="79" t="s">
        <v>1752</v>
      </c>
      <c r="E113" s="79" t="s">
        <v>205</v>
      </c>
      <c r="F113" s="79" t="s">
        <v>1751</v>
      </c>
      <c r="G113" s="103"/>
      <c r="H113" s="79" t="s">
        <v>2301</v>
      </c>
      <c r="I113" s="107">
        <v>2016</v>
      </c>
      <c r="J113" s="105"/>
      <c r="K113" s="105"/>
      <c r="L113" s="105"/>
      <c r="M113" s="105" t="s">
        <v>2139</v>
      </c>
      <c r="N113" s="73"/>
    </row>
    <row r="114" spans="1:14" ht="14.25" customHeight="1" x14ac:dyDescent="0.3">
      <c r="A114" s="106">
        <v>106</v>
      </c>
      <c r="B114" s="202"/>
      <c r="C114" s="83" t="s">
        <v>253</v>
      </c>
      <c r="D114" s="103"/>
      <c r="E114" s="79" t="s">
        <v>205</v>
      </c>
      <c r="F114" s="103"/>
      <c r="G114" s="103"/>
      <c r="H114" s="103"/>
      <c r="I114" s="104"/>
      <c r="J114" s="105"/>
      <c r="K114" s="105"/>
      <c r="L114" s="105"/>
      <c r="M114" s="105" t="s">
        <v>2139</v>
      </c>
      <c r="N114" s="73"/>
    </row>
    <row r="115" spans="1:14" ht="14.25" customHeight="1" x14ac:dyDescent="0.3">
      <c r="A115" s="106">
        <v>107</v>
      </c>
      <c r="B115" s="202"/>
      <c r="C115" s="83" t="s">
        <v>254</v>
      </c>
      <c r="D115" s="103"/>
      <c r="E115" s="79" t="s">
        <v>205</v>
      </c>
      <c r="F115" s="103"/>
      <c r="G115" s="103"/>
      <c r="H115" s="103"/>
      <c r="I115" s="104"/>
      <c r="J115" s="105"/>
      <c r="K115" s="105"/>
      <c r="L115" s="105"/>
      <c r="M115" s="105" t="s">
        <v>2139</v>
      </c>
      <c r="N115" s="73"/>
    </row>
    <row r="116" spans="1:14" ht="14.25" customHeight="1" x14ac:dyDescent="0.3">
      <c r="A116" s="106">
        <v>108</v>
      </c>
      <c r="B116" s="202"/>
      <c r="C116" s="83" t="s">
        <v>255</v>
      </c>
      <c r="D116" s="103"/>
      <c r="E116" s="79" t="s">
        <v>205</v>
      </c>
      <c r="F116" s="103"/>
      <c r="G116" s="103"/>
      <c r="H116" s="103"/>
      <c r="I116" s="104"/>
      <c r="J116" s="105"/>
      <c r="K116" s="105"/>
      <c r="L116" s="105"/>
      <c r="M116" s="105" t="s">
        <v>2139</v>
      </c>
      <c r="N116" s="73"/>
    </row>
    <row r="117" spans="1:14" ht="14.25" customHeight="1" x14ac:dyDescent="0.3">
      <c r="A117" s="106">
        <v>109</v>
      </c>
      <c r="B117" s="202"/>
      <c r="C117" s="83" t="s">
        <v>291</v>
      </c>
      <c r="D117" s="103" t="s">
        <v>1738</v>
      </c>
      <c r="E117" s="79" t="s">
        <v>205</v>
      </c>
      <c r="F117" s="103" t="s">
        <v>1758</v>
      </c>
      <c r="G117" s="103"/>
      <c r="H117" s="103"/>
      <c r="I117" s="104"/>
      <c r="J117" s="105"/>
      <c r="K117" s="105"/>
      <c r="L117" s="105"/>
      <c r="M117" s="105" t="s">
        <v>2139</v>
      </c>
      <c r="N117" s="67" t="s">
        <v>2165</v>
      </c>
    </row>
    <row r="118" spans="1:14" ht="14.25" customHeight="1" x14ac:dyDescent="0.3">
      <c r="A118" s="106">
        <v>110</v>
      </c>
      <c r="B118" s="202"/>
      <c r="C118" s="83" t="s">
        <v>256</v>
      </c>
      <c r="D118" s="103"/>
      <c r="E118" s="79" t="s">
        <v>205</v>
      </c>
      <c r="F118" s="103"/>
      <c r="G118" s="103"/>
      <c r="H118" s="103"/>
      <c r="I118" s="104"/>
      <c r="J118" s="105"/>
      <c r="K118" s="105"/>
      <c r="L118" s="105"/>
      <c r="M118" s="105" t="s">
        <v>2139</v>
      </c>
      <c r="N118" s="73"/>
    </row>
    <row r="119" spans="1:14" ht="14.25" customHeight="1" x14ac:dyDescent="0.3">
      <c r="A119" s="106">
        <v>111</v>
      </c>
      <c r="B119" s="202"/>
      <c r="C119" s="83" t="s">
        <v>257</v>
      </c>
      <c r="D119" s="103"/>
      <c r="E119" s="79" t="s">
        <v>205</v>
      </c>
      <c r="F119" s="103"/>
      <c r="G119" s="103"/>
      <c r="H119" s="103"/>
      <c r="I119" s="104"/>
      <c r="J119" s="105"/>
      <c r="K119" s="105"/>
      <c r="L119" s="105"/>
      <c r="M119" s="105" t="s">
        <v>2139</v>
      </c>
      <c r="N119" s="73"/>
    </row>
    <row r="120" spans="1:14" ht="14.25" customHeight="1" x14ac:dyDescent="0.3">
      <c r="A120" s="106">
        <v>112</v>
      </c>
      <c r="B120" s="202"/>
      <c r="C120" s="83" t="s">
        <v>258</v>
      </c>
      <c r="D120" s="103"/>
      <c r="E120" s="79" t="s">
        <v>205</v>
      </c>
      <c r="F120" s="103"/>
      <c r="G120" s="103"/>
      <c r="H120" s="103" t="s">
        <v>2301</v>
      </c>
      <c r="I120" s="104"/>
      <c r="J120" s="105" t="s">
        <v>2305</v>
      </c>
      <c r="K120" s="105"/>
      <c r="L120" s="105"/>
      <c r="M120" s="105" t="s">
        <v>2139</v>
      </c>
      <c r="N120" s="67" t="s">
        <v>2165</v>
      </c>
    </row>
    <row r="121" spans="1:14" ht="14.25" customHeight="1" x14ac:dyDescent="0.3">
      <c r="A121" s="106">
        <v>113</v>
      </c>
      <c r="B121" s="202"/>
      <c r="C121" s="83" t="s">
        <v>259</v>
      </c>
      <c r="D121" s="103"/>
      <c r="E121" s="79" t="s">
        <v>205</v>
      </c>
      <c r="F121" s="103"/>
      <c r="G121" s="103"/>
      <c r="H121" s="103"/>
      <c r="I121" s="104"/>
      <c r="J121" s="105"/>
      <c r="K121" s="105"/>
      <c r="L121" s="105"/>
      <c r="M121" s="105" t="s">
        <v>2139</v>
      </c>
      <c r="N121" s="73"/>
    </row>
    <row r="122" spans="1:14" ht="14.25" customHeight="1" x14ac:dyDescent="0.3">
      <c r="A122" s="106">
        <v>114</v>
      </c>
      <c r="B122" s="202"/>
      <c r="C122" s="83" t="s">
        <v>260</v>
      </c>
      <c r="D122" s="103"/>
      <c r="E122" s="79" t="s">
        <v>205</v>
      </c>
      <c r="F122" s="103"/>
      <c r="G122" s="103"/>
      <c r="H122" s="103"/>
      <c r="I122" s="104"/>
      <c r="J122" s="105"/>
      <c r="K122" s="105"/>
      <c r="L122" s="105"/>
      <c r="M122" s="105" t="s">
        <v>2139</v>
      </c>
      <c r="N122" s="67" t="s">
        <v>2165</v>
      </c>
    </row>
    <row r="123" spans="1:14" ht="14.25" customHeight="1" x14ac:dyDescent="0.3">
      <c r="A123" s="106">
        <v>115</v>
      </c>
      <c r="B123" s="202"/>
      <c r="C123" s="83" t="s">
        <v>293</v>
      </c>
      <c r="D123" s="103" t="s">
        <v>1738</v>
      </c>
      <c r="E123" s="79" t="s">
        <v>205</v>
      </c>
      <c r="F123" s="103"/>
      <c r="G123" s="103"/>
      <c r="H123" s="103"/>
      <c r="I123" s="104"/>
      <c r="J123" s="105">
        <v>10230</v>
      </c>
      <c r="K123" s="105"/>
      <c r="L123" s="105"/>
      <c r="M123" s="105" t="s">
        <v>2139</v>
      </c>
      <c r="N123" s="67" t="s">
        <v>2165</v>
      </c>
    </row>
    <row r="124" spans="1:14" ht="14.25" customHeight="1" x14ac:dyDescent="0.3">
      <c r="A124" s="106">
        <v>116</v>
      </c>
      <c r="B124" s="202"/>
      <c r="C124" s="83" t="s">
        <v>290</v>
      </c>
      <c r="D124" s="79" t="s">
        <v>1708</v>
      </c>
      <c r="E124" s="79" t="s">
        <v>205</v>
      </c>
      <c r="F124" s="79" t="s">
        <v>1761</v>
      </c>
      <c r="G124" s="103"/>
      <c r="H124" s="79" t="s">
        <v>2306</v>
      </c>
      <c r="I124" s="104"/>
      <c r="J124" s="105" t="s">
        <v>2307</v>
      </c>
      <c r="K124" s="105"/>
      <c r="L124" s="105"/>
      <c r="M124" s="105" t="s">
        <v>2139</v>
      </c>
      <c r="N124" s="67" t="s">
        <v>2188</v>
      </c>
    </row>
    <row r="125" spans="1:14" ht="14.25" customHeight="1" x14ac:dyDescent="0.3">
      <c r="A125" s="106">
        <v>117</v>
      </c>
      <c r="B125" s="202"/>
      <c r="C125" s="83" t="s">
        <v>295</v>
      </c>
      <c r="D125" s="103" t="s">
        <v>1738</v>
      </c>
      <c r="E125" s="79" t="s">
        <v>205</v>
      </c>
      <c r="F125" s="103" t="s">
        <v>1762</v>
      </c>
      <c r="G125" s="103"/>
      <c r="H125" s="103"/>
      <c r="I125" s="104"/>
      <c r="J125" s="105"/>
      <c r="K125" s="105" t="s">
        <v>2308</v>
      </c>
      <c r="L125" s="105" t="s">
        <v>2309</v>
      </c>
      <c r="M125" s="105" t="s">
        <v>2139</v>
      </c>
      <c r="N125" s="67" t="s">
        <v>2165</v>
      </c>
    </row>
    <row r="126" spans="1:14" ht="14.25" customHeight="1" x14ac:dyDescent="0.3">
      <c r="A126" s="106">
        <v>118</v>
      </c>
      <c r="B126" s="202"/>
      <c r="C126" s="83" t="s">
        <v>261</v>
      </c>
      <c r="D126" s="103"/>
      <c r="E126" s="79" t="s">
        <v>205</v>
      </c>
      <c r="F126" s="103"/>
      <c r="G126" s="103"/>
      <c r="H126" s="103"/>
      <c r="I126" s="104"/>
      <c r="J126" s="105"/>
      <c r="K126" s="105"/>
      <c r="L126" s="105"/>
      <c r="M126" s="105" t="s">
        <v>2139</v>
      </c>
      <c r="N126" s="67" t="s">
        <v>2165</v>
      </c>
    </row>
    <row r="127" spans="1:14" ht="14.25" customHeight="1" x14ac:dyDescent="0.3">
      <c r="A127" s="106">
        <v>119</v>
      </c>
      <c r="B127" s="202"/>
      <c r="C127" s="83" t="s">
        <v>262</v>
      </c>
      <c r="D127" s="103"/>
      <c r="E127" s="79" t="s">
        <v>205</v>
      </c>
      <c r="F127" s="103"/>
      <c r="G127" s="103"/>
      <c r="H127" s="103"/>
      <c r="I127" s="104"/>
      <c r="J127" s="105"/>
      <c r="K127" s="105"/>
      <c r="L127" s="105"/>
      <c r="M127" s="105" t="s">
        <v>2139</v>
      </c>
      <c r="N127" s="67" t="s">
        <v>2165</v>
      </c>
    </row>
    <row r="128" spans="1:14" ht="14.25" customHeight="1" x14ac:dyDescent="0.3">
      <c r="A128" s="106">
        <v>120</v>
      </c>
      <c r="B128" s="202"/>
      <c r="C128" s="83" t="s">
        <v>263</v>
      </c>
      <c r="D128" s="103"/>
      <c r="E128" s="79" t="s">
        <v>205</v>
      </c>
      <c r="F128" s="103"/>
      <c r="G128" s="103"/>
      <c r="H128" s="103"/>
      <c r="I128" s="104"/>
      <c r="J128" s="73" t="s">
        <v>2310</v>
      </c>
      <c r="K128" s="105"/>
      <c r="L128" s="105"/>
      <c r="M128" s="105" t="s">
        <v>2139</v>
      </c>
      <c r="N128" s="67" t="s">
        <v>2171</v>
      </c>
    </row>
    <row r="129" spans="1:14" ht="14.25" customHeight="1" x14ac:dyDescent="0.3">
      <c r="A129" s="106">
        <v>121</v>
      </c>
      <c r="B129" s="202"/>
      <c r="C129" s="83" t="s">
        <v>264</v>
      </c>
      <c r="D129" s="103"/>
      <c r="E129" s="79" t="s">
        <v>205</v>
      </c>
      <c r="F129" s="103"/>
      <c r="G129" s="103"/>
      <c r="H129" s="103" t="s">
        <v>2301</v>
      </c>
      <c r="I129" s="104"/>
      <c r="J129" s="88">
        <v>104006</v>
      </c>
      <c r="K129" s="105"/>
      <c r="L129" s="105"/>
      <c r="M129" s="105" t="s">
        <v>2139</v>
      </c>
      <c r="N129" s="73" t="s">
        <v>2192</v>
      </c>
    </row>
    <row r="130" spans="1:14" ht="14.25" customHeight="1" x14ac:dyDescent="0.3">
      <c r="A130" s="106">
        <v>122</v>
      </c>
      <c r="B130" s="202"/>
      <c r="C130" s="83" t="s">
        <v>265</v>
      </c>
      <c r="D130" s="103"/>
      <c r="E130" s="79" t="s">
        <v>205</v>
      </c>
      <c r="F130" s="103"/>
      <c r="G130" s="103"/>
      <c r="H130" s="103"/>
      <c r="I130" s="104"/>
      <c r="J130" s="105"/>
      <c r="K130" s="105"/>
      <c r="L130" s="105"/>
      <c r="M130" s="105" t="s">
        <v>2139</v>
      </c>
      <c r="N130" s="73"/>
    </row>
    <row r="131" spans="1:14" ht="14.25" customHeight="1" x14ac:dyDescent="0.3">
      <c r="A131" s="106">
        <v>123</v>
      </c>
      <c r="B131" s="202"/>
      <c r="C131" s="83" t="s">
        <v>266</v>
      </c>
      <c r="D131" s="103"/>
      <c r="E131" s="79" t="s">
        <v>205</v>
      </c>
      <c r="F131" s="103"/>
      <c r="G131" s="103"/>
      <c r="H131" s="103" t="s">
        <v>2301</v>
      </c>
      <c r="I131" s="104"/>
      <c r="J131" s="88">
        <v>604009</v>
      </c>
      <c r="K131" s="105"/>
      <c r="L131" s="105"/>
      <c r="M131" s="105" t="s">
        <v>2139</v>
      </c>
      <c r="N131" s="67" t="s">
        <v>2165</v>
      </c>
    </row>
    <row r="132" spans="1:14" ht="14.25" customHeight="1" x14ac:dyDescent="0.3">
      <c r="A132" s="106">
        <v>124</v>
      </c>
      <c r="B132" s="202"/>
      <c r="C132" s="83" t="s">
        <v>267</v>
      </c>
      <c r="D132" s="103"/>
      <c r="E132" s="79" t="s">
        <v>205</v>
      </c>
      <c r="F132" s="103"/>
      <c r="G132" s="103"/>
      <c r="H132" s="103"/>
      <c r="I132" s="104"/>
      <c r="J132" s="105"/>
      <c r="K132" s="105"/>
      <c r="L132" s="105"/>
      <c r="M132" s="105" t="s">
        <v>2139</v>
      </c>
      <c r="N132" s="67" t="s">
        <v>2292</v>
      </c>
    </row>
    <row r="133" spans="1:14" ht="14.25" customHeight="1" x14ac:dyDescent="0.3">
      <c r="A133" s="106">
        <v>125</v>
      </c>
      <c r="B133" s="202"/>
      <c r="C133" s="83" t="s">
        <v>268</v>
      </c>
      <c r="D133" s="103"/>
      <c r="E133" s="79" t="s">
        <v>205</v>
      </c>
      <c r="F133" s="103"/>
      <c r="G133" s="103"/>
      <c r="H133" s="103"/>
      <c r="I133" s="104"/>
      <c r="J133" s="73" t="s">
        <v>2311</v>
      </c>
      <c r="K133" s="105"/>
      <c r="L133" s="105"/>
      <c r="M133" s="105" t="s">
        <v>2139</v>
      </c>
      <c r="N133" s="67" t="s">
        <v>2192</v>
      </c>
    </row>
    <row r="134" spans="1:14" ht="14.25" customHeight="1" x14ac:dyDescent="0.3">
      <c r="A134" s="106">
        <v>126</v>
      </c>
      <c r="B134" s="202"/>
      <c r="C134" s="83" t="s">
        <v>269</v>
      </c>
      <c r="D134" s="103"/>
      <c r="E134" s="79" t="s">
        <v>205</v>
      </c>
      <c r="F134" s="103"/>
      <c r="G134" s="103"/>
      <c r="H134" s="103"/>
      <c r="I134" s="104"/>
      <c r="J134" s="73" t="s">
        <v>2312</v>
      </c>
      <c r="K134" s="105"/>
      <c r="L134" s="105"/>
      <c r="M134" s="105" t="s">
        <v>2139</v>
      </c>
      <c r="N134" s="67" t="s">
        <v>2188</v>
      </c>
    </row>
    <row r="135" spans="1:14" ht="14.25" customHeight="1" x14ac:dyDescent="0.3">
      <c r="A135" s="106">
        <v>127</v>
      </c>
      <c r="B135" s="202"/>
      <c r="C135" s="83" t="s">
        <v>270</v>
      </c>
      <c r="D135" s="103"/>
      <c r="E135" s="79" t="s">
        <v>205</v>
      </c>
      <c r="F135" s="103"/>
      <c r="G135" s="103"/>
      <c r="H135" s="103"/>
      <c r="I135" s="104"/>
      <c r="J135" s="105"/>
      <c r="K135" s="105"/>
      <c r="L135" s="105"/>
      <c r="M135" s="105" t="s">
        <v>2139</v>
      </c>
      <c r="N135" s="67" t="s">
        <v>2165</v>
      </c>
    </row>
    <row r="136" spans="1:14" ht="14.25" customHeight="1" x14ac:dyDescent="0.3">
      <c r="A136" s="106">
        <v>128</v>
      </c>
      <c r="B136" s="202"/>
      <c r="C136" s="83" t="s">
        <v>271</v>
      </c>
      <c r="D136" s="103"/>
      <c r="E136" s="79" t="s">
        <v>205</v>
      </c>
      <c r="F136" s="103"/>
      <c r="G136" s="103"/>
      <c r="H136" s="103"/>
      <c r="I136" s="104"/>
      <c r="J136" s="105"/>
      <c r="K136" s="105"/>
      <c r="L136" s="105"/>
      <c r="M136" s="105" t="s">
        <v>2139</v>
      </c>
      <c r="N136" s="73"/>
    </row>
    <row r="137" spans="1:14" ht="14.25" customHeight="1" x14ac:dyDescent="0.3">
      <c r="A137" s="106">
        <v>129</v>
      </c>
      <c r="B137" s="202"/>
      <c r="C137" s="83" t="s">
        <v>272</v>
      </c>
      <c r="D137" s="103"/>
      <c r="E137" s="79" t="s">
        <v>205</v>
      </c>
      <c r="F137" s="103"/>
      <c r="G137" s="103"/>
      <c r="H137" s="103"/>
      <c r="I137" s="104"/>
      <c r="J137" s="105"/>
      <c r="K137" s="105"/>
      <c r="L137" s="105"/>
      <c r="M137" s="105" t="s">
        <v>2139</v>
      </c>
      <c r="N137" s="73"/>
    </row>
    <row r="138" spans="1:14" ht="14.25" customHeight="1" x14ac:dyDescent="0.3">
      <c r="A138" s="106">
        <v>130</v>
      </c>
      <c r="B138" s="202"/>
      <c r="C138" s="83" t="s">
        <v>273</v>
      </c>
      <c r="D138" s="103"/>
      <c r="E138" s="79" t="s">
        <v>205</v>
      </c>
      <c r="F138" s="103"/>
      <c r="G138" s="103"/>
      <c r="H138" s="103"/>
      <c r="I138" s="104"/>
      <c r="J138" s="105"/>
      <c r="K138" s="105"/>
      <c r="L138" s="105"/>
      <c r="M138" s="105" t="s">
        <v>2139</v>
      </c>
      <c r="N138" s="73"/>
    </row>
    <row r="139" spans="1:14" ht="14.25" customHeight="1" x14ac:dyDescent="0.3">
      <c r="A139" s="106">
        <v>131</v>
      </c>
      <c r="B139" s="202"/>
      <c r="C139" s="83" t="s">
        <v>274</v>
      </c>
      <c r="D139" s="103"/>
      <c r="E139" s="79" t="s">
        <v>205</v>
      </c>
      <c r="F139" s="103"/>
      <c r="G139" s="103"/>
      <c r="H139" s="103"/>
      <c r="I139" s="104"/>
      <c r="J139" s="73" t="s">
        <v>2313</v>
      </c>
      <c r="K139" s="105"/>
      <c r="L139" s="105"/>
      <c r="M139" s="105" t="s">
        <v>2139</v>
      </c>
      <c r="N139" s="67" t="s">
        <v>2188</v>
      </c>
    </row>
    <row r="140" spans="1:14" ht="14.25" customHeight="1" x14ac:dyDescent="0.3">
      <c r="A140" s="106">
        <v>132</v>
      </c>
      <c r="B140" s="202"/>
      <c r="C140" s="83" t="s">
        <v>275</v>
      </c>
      <c r="D140" s="103"/>
      <c r="E140" s="79" t="s">
        <v>205</v>
      </c>
      <c r="F140" s="103"/>
      <c r="G140" s="103"/>
      <c r="H140" s="103"/>
      <c r="I140" s="104"/>
      <c r="J140" s="73" t="s">
        <v>2314</v>
      </c>
      <c r="K140" s="105"/>
      <c r="L140" s="105"/>
      <c r="M140" s="105" t="s">
        <v>2139</v>
      </c>
      <c r="N140" s="67" t="s">
        <v>2165</v>
      </c>
    </row>
    <row r="141" spans="1:14" ht="14.25" customHeight="1" x14ac:dyDescent="0.3">
      <c r="A141" s="106">
        <v>133</v>
      </c>
      <c r="B141" s="202"/>
      <c r="C141" s="83" t="s">
        <v>277</v>
      </c>
      <c r="D141" s="103"/>
      <c r="E141" s="79" t="s">
        <v>205</v>
      </c>
      <c r="F141" s="103" t="s">
        <v>1760</v>
      </c>
      <c r="G141" s="103"/>
      <c r="H141" s="103"/>
      <c r="I141" s="104"/>
      <c r="J141" s="73" t="s">
        <v>2315</v>
      </c>
      <c r="K141" s="105"/>
      <c r="L141" s="105"/>
      <c r="M141" s="105" t="s">
        <v>2139</v>
      </c>
      <c r="N141" s="67" t="s">
        <v>2165</v>
      </c>
    </row>
    <row r="142" spans="1:14" ht="14.25" customHeight="1" x14ac:dyDescent="0.3">
      <c r="A142" s="106">
        <v>134</v>
      </c>
      <c r="B142" s="202"/>
      <c r="C142" s="83" t="s">
        <v>278</v>
      </c>
      <c r="D142" s="103"/>
      <c r="E142" s="79" t="s">
        <v>205</v>
      </c>
      <c r="F142" s="103" t="s">
        <v>1760</v>
      </c>
      <c r="G142" s="103"/>
      <c r="H142" s="103"/>
      <c r="I142" s="104"/>
      <c r="J142" s="73" t="s">
        <v>2316</v>
      </c>
      <c r="K142" s="105"/>
      <c r="L142" s="105"/>
      <c r="M142" s="105" t="s">
        <v>2139</v>
      </c>
      <c r="N142" s="67" t="s">
        <v>2171</v>
      </c>
    </row>
    <row r="143" spans="1:14" ht="14.25" customHeight="1" x14ac:dyDescent="0.3">
      <c r="A143" s="106">
        <v>135</v>
      </c>
      <c r="B143" s="202"/>
      <c r="C143" s="83" t="s">
        <v>279</v>
      </c>
      <c r="D143" s="103"/>
      <c r="E143" s="79" t="s">
        <v>205</v>
      </c>
      <c r="F143" s="103" t="s">
        <v>1760</v>
      </c>
      <c r="G143" s="103"/>
      <c r="H143" s="103"/>
      <c r="I143" s="104"/>
      <c r="J143" s="73" t="s">
        <v>2317</v>
      </c>
      <c r="K143" s="105"/>
      <c r="L143" s="105"/>
      <c r="M143" s="105" t="s">
        <v>2139</v>
      </c>
      <c r="N143" s="67" t="s">
        <v>2165</v>
      </c>
    </row>
    <row r="144" spans="1:14" ht="14.25" customHeight="1" x14ac:dyDescent="0.3">
      <c r="A144" s="106">
        <v>136</v>
      </c>
      <c r="B144" s="202"/>
      <c r="C144" s="83" t="s">
        <v>280</v>
      </c>
      <c r="D144" s="103"/>
      <c r="E144" s="79" t="s">
        <v>205</v>
      </c>
      <c r="F144" s="103" t="s">
        <v>1760</v>
      </c>
      <c r="G144" s="103"/>
      <c r="H144" s="103"/>
      <c r="I144" s="104"/>
      <c r="J144" s="73" t="s">
        <v>2318</v>
      </c>
      <c r="K144" s="105"/>
      <c r="L144" s="105"/>
      <c r="M144" s="105" t="s">
        <v>2139</v>
      </c>
      <c r="N144" s="73" t="s">
        <v>2192</v>
      </c>
    </row>
    <row r="145" spans="1:14" ht="14.25" customHeight="1" x14ac:dyDescent="0.3">
      <c r="A145" s="106">
        <v>137</v>
      </c>
      <c r="B145" s="202"/>
      <c r="C145" s="83" t="s">
        <v>281</v>
      </c>
      <c r="D145" s="103"/>
      <c r="E145" s="79" t="s">
        <v>205</v>
      </c>
      <c r="F145" s="103" t="s">
        <v>1760</v>
      </c>
      <c r="G145" s="103"/>
      <c r="H145" s="103"/>
      <c r="I145" s="104"/>
      <c r="J145" s="73" t="s">
        <v>2319</v>
      </c>
      <c r="K145" s="105"/>
      <c r="L145" s="105"/>
      <c r="M145" s="105" t="s">
        <v>2139</v>
      </c>
      <c r="N145" s="73"/>
    </row>
    <row r="146" spans="1:14" ht="14.25" customHeight="1" x14ac:dyDescent="0.3">
      <c r="A146" s="106">
        <v>138</v>
      </c>
      <c r="B146" s="202"/>
      <c r="C146" s="83" t="s">
        <v>282</v>
      </c>
      <c r="D146" s="103"/>
      <c r="E146" s="79" t="s">
        <v>205</v>
      </c>
      <c r="F146" s="103" t="s">
        <v>1760</v>
      </c>
      <c r="G146" s="103"/>
      <c r="H146" s="103"/>
      <c r="I146" s="104"/>
      <c r="J146" s="73" t="s">
        <v>2320</v>
      </c>
      <c r="K146" s="105"/>
      <c r="L146" s="105"/>
      <c r="M146" s="105" t="s">
        <v>2139</v>
      </c>
      <c r="N146" s="67" t="s">
        <v>2165</v>
      </c>
    </row>
    <row r="147" spans="1:14" ht="14.25" customHeight="1" x14ac:dyDescent="0.3">
      <c r="A147" s="106">
        <v>139</v>
      </c>
      <c r="B147" s="202"/>
      <c r="C147" s="83" t="s">
        <v>283</v>
      </c>
      <c r="D147" s="103"/>
      <c r="E147" s="79" t="s">
        <v>205</v>
      </c>
      <c r="F147" s="103" t="s">
        <v>1760</v>
      </c>
      <c r="G147" s="103"/>
      <c r="H147" s="103"/>
      <c r="I147" s="104"/>
      <c r="J147" s="73" t="s">
        <v>2321</v>
      </c>
      <c r="K147" s="105"/>
      <c r="L147" s="105"/>
      <c r="M147" s="105" t="s">
        <v>2139</v>
      </c>
      <c r="N147" s="67" t="s">
        <v>2192</v>
      </c>
    </row>
    <row r="148" spans="1:14" ht="14.25" customHeight="1" x14ac:dyDescent="0.3">
      <c r="A148" s="106">
        <v>140</v>
      </c>
      <c r="B148" s="202"/>
      <c r="C148" s="83" t="s">
        <v>284</v>
      </c>
      <c r="D148" s="103"/>
      <c r="E148" s="79" t="s">
        <v>205</v>
      </c>
      <c r="F148" s="103" t="s">
        <v>1760</v>
      </c>
      <c r="G148" s="103"/>
      <c r="H148" s="103"/>
      <c r="I148" s="104"/>
      <c r="J148" s="73" t="s">
        <v>2322</v>
      </c>
      <c r="K148" s="105"/>
      <c r="L148" s="105"/>
      <c r="M148" s="105" t="s">
        <v>2139</v>
      </c>
      <c r="N148" s="67" t="s">
        <v>2165</v>
      </c>
    </row>
    <row r="149" spans="1:14" ht="14.25" customHeight="1" x14ac:dyDescent="0.3">
      <c r="A149" s="106">
        <v>141</v>
      </c>
      <c r="B149" s="202"/>
      <c r="C149" s="83" t="s">
        <v>285</v>
      </c>
      <c r="D149" s="103"/>
      <c r="E149" s="79" t="s">
        <v>205</v>
      </c>
      <c r="F149" s="103" t="s">
        <v>1760</v>
      </c>
      <c r="G149" s="103"/>
      <c r="H149" s="103"/>
      <c r="I149" s="104"/>
      <c r="J149" s="73" t="s">
        <v>2323</v>
      </c>
      <c r="K149" s="105"/>
      <c r="L149" s="105"/>
      <c r="M149" s="105" t="s">
        <v>2139</v>
      </c>
      <c r="N149" s="67" t="s">
        <v>2171</v>
      </c>
    </row>
    <row r="150" spans="1:14" ht="14.25" customHeight="1" x14ac:dyDescent="0.3">
      <c r="A150" s="106">
        <v>142</v>
      </c>
      <c r="B150" s="202"/>
      <c r="C150" s="83" t="s">
        <v>286</v>
      </c>
      <c r="D150" s="103"/>
      <c r="E150" s="79" t="s">
        <v>205</v>
      </c>
      <c r="F150" s="103" t="s">
        <v>1760</v>
      </c>
      <c r="G150" s="103"/>
      <c r="H150" s="103"/>
      <c r="I150" s="104"/>
      <c r="J150" s="73" t="s">
        <v>2324</v>
      </c>
      <c r="K150" s="105"/>
      <c r="L150" s="105"/>
      <c r="M150" s="105" t="s">
        <v>2139</v>
      </c>
      <c r="N150" s="67" t="s">
        <v>2325</v>
      </c>
    </row>
    <row r="151" spans="1:14" ht="14.25" customHeight="1" x14ac:dyDescent="0.3">
      <c r="A151" s="106">
        <v>143</v>
      </c>
      <c r="B151" s="203"/>
      <c r="C151" s="83" t="s">
        <v>287</v>
      </c>
      <c r="D151" s="103"/>
      <c r="E151" s="79" t="s">
        <v>205</v>
      </c>
      <c r="F151" s="103" t="s">
        <v>1760</v>
      </c>
      <c r="G151" s="103"/>
      <c r="H151" s="103"/>
      <c r="I151" s="104"/>
      <c r="J151" s="73" t="s">
        <v>2326</v>
      </c>
      <c r="K151" s="105"/>
      <c r="L151" s="105"/>
      <c r="M151" s="105" t="s">
        <v>2139</v>
      </c>
      <c r="N151" s="67" t="s">
        <v>2171</v>
      </c>
    </row>
    <row r="152" spans="1:14" s="111" customFormat="1" ht="14.25" customHeight="1" x14ac:dyDescent="0.3">
      <c r="A152" s="109"/>
      <c r="B152" s="110"/>
      <c r="C152" s="102"/>
      <c r="D152" s="103"/>
      <c r="E152" s="103"/>
      <c r="F152" s="103"/>
      <c r="G152" s="103"/>
      <c r="H152" s="103"/>
      <c r="I152" s="104"/>
      <c r="J152" s="105"/>
      <c r="K152" s="105"/>
      <c r="L152" s="105"/>
      <c r="M152" s="105"/>
      <c r="N152" s="105"/>
    </row>
    <row r="153" spans="1:14" ht="14.25" customHeight="1" x14ac:dyDescent="0.3">
      <c r="A153" s="62">
        <v>144</v>
      </c>
      <c r="B153" s="210" t="s">
        <v>2327</v>
      </c>
      <c r="C153" s="64" t="s">
        <v>305</v>
      </c>
      <c r="D153" s="65" t="s">
        <v>1766</v>
      </c>
      <c r="E153" s="65" t="s">
        <v>2328</v>
      </c>
      <c r="F153" s="65" t="s">
        <v>1767</v>
      </c>
      <c r="G153" s="65"/>
      <c r="H153" s="65" t="s">
        <v>2329</v>
      </c>
      <c r="I153" s="86">
        <v>2012</v>
      </c>
      <c r="J153" s="66"/>
      <c r="K153" s="66"/>
      <c r="L153" s="66"/>
      <c r="M153" s="66" t="s">
        <v>2139</v>
      </c>
      <c r="N153" s="67" t="s">
        <v>2330</v>
      </c>
    </row>
    <row r="154" spans="1:14" ht="14.25" customHeight="1" x14ac:dyDescent="0.3">
      <c r="A154" s="62">
        <v>145</v>
      </c>
      <c r="B154" s="202"/>
      <c r="C154" s="64" t="s">
        <v>309</v>
      </c>
      <c r="D154" s="65" t="s">
        <v>1738</v>
      </c>
      <c r="E154" s="65" t="s">
        <v>2328</v>
      </c>
      <c r="F154" s="65" t="s">
        <v>1770</v>
      </c>
      <c r="G154" s="65"/>
      <c r="H154" s="65" t="s">
        <v>2331</v>
      </c>
      <c r="I154" s="86">
        <v>2012</v>
      </c>
      <c r="J154" s="66"/>
      <c r="K154" s="66"/>
      <c r="L154" s="66"/>
      <c r="M154" s="66" t="s">
        <v>2139</v>
      </c>
      <c r="N154" s="67" t="s">
        <v>2165</v>
      </c>
    </row>
    <row r="155" spans="1:14" s="55" customFormat="1" ht="14.25" customHeight="1" x14ac:dyDescent="0.3">
      <c r="A155" s="89">
        <v>146</v>
      </c>
      <c r="B155" s="202"/>
      <c r="C155" s="90" t="s">
        <v>298</v>
      </c>
      <c r="D155" s="92"/>
      <c r="E155" s="92" t="s">
        <v>2328</v>
      </c>
      <c r="F155" s="92"/>
      <c r="G155" s="92"/>
      <c r="H155" s="92" t="s">
        <v>2329</v>
      </c>
      <c r="I155" s="94">
        <v>2012</v>
      </c>
      <c r="J155" s="95"/>
      <c r="K155" s="95"/>
      <c r="L155" s="95"/>
      <c r="M155" s="95" t="s">
        <v>2139</v>
      </c>
      <c r="N155" s="95" t="s">
        <v>2271</v>
      </c>
    </row>
    <row r="156" spans="1:14" ht="14.25" customHeight="1" x14ac:dyDescent="0.3">
      <c r="A156" s="62">
        <v>147</v>
      </c>
      <c r="B156" s="202"/>
      <c r="C156" s="64" t="s">
        <v>300</v>
      </c>
      <c r="D156" s="65" t="s">
        <v>1730</v>
      </c>
      <c r="E156" s="65" t="s">
        <v>2328</v>
      </c>
      <c r="F156" s="65" t="s">
        <v>1763</v>
      </c>
      <c r="G156" s="65"/>
      <c r="H156" s="65" t="s">
        <v>2332</v>
      </c>
      <c r="I156" s="86">
        <v>2012</v>
      </c>
      <c r="J156" s="66"/>
      <c r="K156" s="66"/>
      <c r="L156" s="66"/>
      <c r="M156" s="66" t="s">
        <v>2139</v>
      </c>
      <c r="N156" s="67" t="s">
        <v>2165</v>
      </c>
    </row>
    <row r="157" spans="1:14" ht="14.25" customHeight="1" x14ac:dyDescent="0.3">
      <c r="A157" s="62">
        <v>148</v>
      </c>
      <c r="B157" s="202"/>
      <c r="C157" s="64" t="s">
        <v>301</v>
      </c>
      <c r="D157" s="65" t="s">
        <v>1730</v>
      </c>
      <c r="E157" s="65" t="s">
        <v>2328</v>
      </c>
      <c r="F157" s="65" t="s">
        <v>1763</v>
      </c>
      <c r="G157" s="65"/>
      <c r="H157" s="65" t="s">
        <v>2332</v>
      </c>
      <c r="I157" s="86">
        <v>2012</v>
      </c>
      <c r="J157" s="66"/>
      <c r="K157" s="66"/>
      <c r="L157" s="66"/>
      <c r="M157" s="66" t="s">
        <v>2139</v>
      </c>
      <c r="N157" s="73"/>
    </row>
    <row r="158" spans="1:14" ht="14.25" customHeight="1" x14ac:dyDescent="0.3">
      <c r="A158" s="62">
        <v>149</v>
      </c>
      <c r="B158" s="202"/>
      <c r="C158" s="64" t="s">
        <v>307</v>
      </c>
      <c r="D158" s="65" t="s">
        <v>1768</v>
      </c>
      <c r="E158" s="65" t="s">
        <v>2328</v>
      </c>
      <c r="F158" s="65" t="s">
        <v>1769</v>
      </c>
      <c r="G158" s="65"/>
      <c r="H158" s="65" t="s">
        <v>2331</v>
      </c>
      <c r="I158" s="86">
        <v>2012</v>
      </c>
      <c r="J158" s="66"/>
      <c r="K158" s="66"/>
      <c r="L158" s="66"/>
      <c r="M158" s="66" t="s">
        <v>2139</v>
      </c>
      <c r="N158" s="67" t="s">
        <v>2333</v>
      </c>
    </row>
    <row r="159" spans="1:14" ht="14.25" customHeight="1" x14ac:dyDescent="0.3">
      <c r="A159" s="62">
        <v>150</v>
      </c>
      <c r="B159" s="202"/>
      <c r="C159" s="64" t="s">
        <v>303</v>
      </c>
      <c r="D159" s="65" t="s">
        <v>1764</v>
      </c>
      <c r="E159" s="65" t="s">
        <v>2328</v>
      </c>
      <c r="F159" s="65" t="s">
        <v>1765</v>
      </c>
      <c r="G159" s="65"/>
      <c r="H159" s="65" t="s">
        <v>2334</v>
      </c>
      <c r="I159" s="86">
        <v>2012</v>
      </c>
      <c r="J159" s="66"/>
      <c r="K159" s="66"/>
      <c r="L159" s="66"/>
      <c r="M159" s="66" t="s">
        <v>2139</v>
      </c>
      <c r="N159" s="67" t="s">
        <v>2165</v>
      </c>
    </row>
    <row r="160" spans="1:14" ht="14.25" customHeight="1" x14ac:dyDescent="0.3">
      <c r="A160" s="62">
        <v>151</v>
      </c>
      <c r="B160" s="202"/>
      <c r="C160" s="64" t="s">
        <v>316</v>
      </c>
      <c r="D160" s="65" t="s">
        <v>1700</v>
      </c>
      <c r="E160" s="65" t="s">
        <v>2328</v>
      </c>
      <c r="F160" s="65" t="s">
        <v>1773</v>
      </c>
      <c r="G160" s="65"/>
      <c r="H160" s="65"/>
      <c r="I160" s="86"/>
      <c r="J160" s="66" t="s">
        <v>2335</v>
      </c>
      <c r="K160" s="66"/>
      <c r="L160" s="66"/>
      <c r="M160" s="66" t="s">
        <v>2139</v>
      </c>
      <c r="N160" s="67" t="s">
        <v>2165</v>
      </c>
    </row>
    <row r="161" spans="1:14" ht="14.25" customHeight="1" x14ac:dyDescent="0.3">
      <c r="A161" s="62">
        <v>152</v>
      </c>
      <c r="B161" s="202"/>
      <c r="C161" s="64" t="s">
        <v>311</v>
      </c>
      <c r="D161" s="65" t="s">
        <v>1738</v>
      </c>
      <c r="E161" s="65" t="s">
        <v>2328</v>
      </c>
      <c r="F161" s="65" t="s">
        <v>1771</v>
      </c>
      <c r="G161" s="65"/>
      <c r="H161" s="65"/>
      <c r="I161" s="86">
        <v>2000</v>
      </c>
      <c r="J161" s="66"/>
      <c r="K161" s="66"/>
      <c r="L161" s="66"/>
      <c r="M161" s="66" t="s">
        <v>2139</v>
      </c>
      <c r="N161" s="73"/>
    </row>
    <row r="162" spans="1:14" ht="14.25" customHeight="1" x14ac:dyDescent="0.3">
      <c r="A162" s="62">
        <v>153</v>
      </c>
      <c r="B162" s="203"/>
      <c r="C162" s="64" t="s">
        <v>313</v>
      </c>
      <c r="D162" s="65" t="s">
        <v>1738</v>
      </c>
      <c r="E162" s="65" t="s">
        <v>2328</v>
      </c>
      <c r="F162" s="65" t="s">
        <v>1772</v>
      </c>
      <c r="G162" s="65"/>
      <c r="H162" s="65"/>
      <c r="I162" s="86">
        <v>1990</v>
      </c>
      <c r="J162" s="66"/>
      <c r="K162" s="66"/>
      <c r="L162" s="66"/>
      <c r="M162" s="66" t="s">
        <v>2139</v>
      </c>
      <c r="N162" s="73"/>
    </row>
    <row r="163" spans="1:14" ht="14.25" customHeight="1" x14ac:dyDescent="0.3">
      <c r="A163" s="74"/>
      <c r="B163" s="110"/>
      <c r="C163" s="75"/>
      <c r="D163" s="77"/>
      <c r="E163" s="77"/>
      <c r="F163" s="79"/>
      <c r="G163" s="79"/>
      <c r="H163" s="79"/>
      <c r="I163" s="80"/>
      <c r="J163" s="73"/>
      <c r="K163" s="73"/>
      <c r="L163" s="73"/>
      <c r="M163" s="73"/>
      <c r="N163" s="73"/>
    </row>
    <row r="164" spans="1:14" s="55" customFormat="1" ht="14.25" customHeight="1" x14ac:dyDescent="0.3">
      <c r="A164" s="89">
        <v>154</v>
      </c>
      <c r="B164" s="204" t="s">
        <v>2336</v>
      </c>
      <c r="C164" s="90" t="s">
        <v>340</v>
      </c>
      <c r="D164" s="92" t="s">
        <v>1700</v>
      </c>
      <c r="E164" s="92" t="s">
        <v>318</v>
      </c>
      <c r="F164" s="92"/>
      <c r="G164" s="92"/>
      <c r="H164" s="92" t="s">
        <v>2337</v>
      </c>
      <c r="I164" s="94"/>
      <c r="J164" s="95"/>
      <c r="K164" s="95"/>
      <c r="L164" s="95"/>
      <c r="M164" s="95" t="s">
        <v>2139</v>
      </c>
      <c r="N164" s="95" t="s">
        <v>2271</v>
      </c>
    </row>
    <row r="165" spans="1:14" ht="14.25" customHeight="1" x14ac:dyDescent="0.3">
      <c r="A165" s="106">
        <v>155</v>
      </c>
      <c r="B165" s="202"/>
      <c r="C165" s="102" t="s">
        <v>336</v>
      </c>
      <c r="D165" s="103"/>
      <c r="E165" s="103" t="s">
        <v>318</v>
      </c>
      <c r="F165" s="103"/>
      <c r="G165" s="103"/>
      <c r="H165" s="103" t="s">
        <v>2337</v>
      </c>
      <c r="I165" s="104"/>
      <c r="J165" s="105"/>
      <c r="K165" s="105"/>
      <c r="L165" s="105"/>
      <c r="M165" s="105" t="s">
        <v>2139</v>
      </c>
      <c r="N165" s="73"/>
    </row>
    <row r="166" spans="1:14" ht="14.25" customHeight="1" x14ac:dyDescent="0.3">
      <c r="A166" s="106">
        <v>156</v>
      </c>
      <c r="B166" s="202"/>
      <c r="C166" s="102" t="s">
        <v>348</v>
      </c>
      <c r="D166" s="103" t="s">
        <v>1718</v>
      </c>
      <c r="E166" s="103" t="s">
        <v>318</v>
      </c>
      <c r="F166" s="103" t="s">
        <v>1784</v>
      </c>
      <c r="G166" s="103"/>
      <c r="H166" s="103" t="s">
        <v>2337</v>
      </c>
      <c r="I166" s="104"/>
      <c r="J166" s="105"/>
      <c r="K166" s="105"/>
      <c r="L166" s="105"/>
      <c r="M166" s="105" t="s">
        <v>2139</v>
      </c>
      <c r="N166" s="67" t="s">
        <v>2165</v>
      </c>
    </row>
    <row r="167" spans="1:14" ht="14.25" customHeight="1" x14ac:dyDescent="0.3">
      <c r="A167" s="106">
        <v>157</v>
      </c>
      <c r="B167" s="202"/>
      <c r="C167" s="102" t="s">
        <v>337</v>
      </c>
      <c r="D167" s="103"/>
      <c r="E167" s="103" t="s">
        <v>318</v>
      </c>
      <c r="F167" s="103"/>
      <c r="G167" s="103"/>
      <c r="H167" s="103" t="s">
        <v>2337</v>
      </c>
      <c r="I167" s="104"/>
      <c r="J167" s="105"/>
      <c r="K167" s="105"/>
      <c r="L167" s="105"/>
      <c r="M167" s="105" t="s">
        <v>2139</v>
      </c>
      <c r="N167" s="67" t="s">
        <v>2338</v>
      </c>
    </row>
    <row r="168" spans="1:14" ht="14.25" customHeight="1" x14ac:dyDescent="0.3">
      <c r="A168" s="106">
        <v>158</v>
      </c>
      <c r="B168" s="202"/>
      <c r="C168" s="102" t="s">
        <v>342</v>
      </c>
      <c r="D168" s="103" t="s">
        <v>1700</v>
      </c>
      <c r="E168" s="103" t="s">
        <v>318</v>
      </c>
      <c r="F168" s="103">
        <v>2501</v>
      </c>
      <c r="G168" s="103"/>
      <c r="H168" s="103" t="s">
        <v>2337</v>
      </c>
      <c r="I168" s="104"/>
      <c r="J168" s="105"/>
      <c r="K168" s="105"/>
      <c r="L168" s="105"/>
      <c r="M168" s="105" t="s">
        <v>2139</v>
      </c>
      <c r="N168" s="67" t="s">
        <v>2165</v>
      </c>
    </row>
    <row r="169" spans="1:14" ht="14.25" customHeight="1" x14ac:dyDescent="0.3">
      <c r="A169" s="106">
        <v>159</v>
      </c>
      <c r="B169" s="202"/>
      <c r="C169" s="102" t="s">
        <v>350</v>
      </c>
      <c r="D169" s="103" t="s">
        <v>1718</v>
      </c>
      <c r="E169" s="103" t="s">
        <v>318</v>
      </c>
      <c r="F169" s="103" t="s">
        <v>1785</v>
      </c>
      <c r="G169" s="103"/>
      <c r="H169" s="103" t="s">
        <v>2337</v>
      </c>
      <c r="I169" s="104"/>
      <c r="J169" s="105"/>
      <c r="K169" s="105"/>
      <c r="L169" s="105"/>
      <c r="M169" s="105" t="s">
        <v>2139</v>
      </c>
      <c r="N169" s="67" t="s">
        <v>2188</v>
      </c>
    </row>
    <row r="170" spans="1:14" ht="14.25" customHeight="1" x14ac:dyDescent="0.3">
      <c r="A170" s="106">
        <v>160</v>
      </c>
      <c r="B170" s="202"/>
      <c r="C170" s="102" t="s">
        <v>343</v>
      </c>
      <c r="D170" s="103" t="s">
        <v>1700</v>
      </c>
      <c r="E170" s="103" t="s">
        <v>318</v>
      </c>
      <c r="F170" s="103"/>
      <c r="G170" s="103" t="s">
        <v>344</v>
      </c>
      <c r="H170" s="103" t="s">
        <v>2339</v>
      </c>
      <c r="I170" s="104"/>
      <c r="J170" s="105" t="s">
        <v>2340</v>
      </c>
      <c r="K170" s="105"/>
      <c r="L170" s="105" t="s">
        <v>2341</v>
      </c>
      <c r="M170" s="105" t="s">
        <v>2139</v>
      </c>
      <c r="N170" s="73" t="s">
        <v>2192</v>
      </c>
    </row>
    <row r="171" spans="1:14" ht="14.25" customHeight="1" x14ac:dyDescent="0.3">
      <c r="A171" s="106">
        <v>161</v>
      </c>
      <c r="B171" s="202"/>
      <c r="C171" s="102" t="s">
        <v>325</v>
      </c>
      <c r="D171" s="103" t="s">
        <v>1774</v>
      </c>
      <c r="E171" s="103" t="s">
        <v>318</v>
      </c>
      <c r="F171" s="103" t="s">
        <v>1775</v>
      </c>
      <c r="G171" s="103" t="s">
        <v>326</v>
      </c>
      <c r="H171" s="103" t="s">
        <v>2342</v>
      </c>
      <c r="I171" s="104">
        <v>2020.08</v>
      </c>
      <c r="J171" s="105"/>
      <c r="K171" s="105"/>
      <c r="L171" s="105"/>
      <c r="M171" s="105" t="s">
        <v>2139</v>
      </c>
      <c r="N171" s="67" t="s">
        <v>2171</v>
      </c>
    </row>
    <row r="172" spans="1:14" ht="14.25" customHeight="1" x14ac:dyDescent="0.3">
      <c r="A172" s="106">
        <v>162</v>
      </c>
      <c r="B172" s="202"/>
      <c r="C172" s="102" t="s">
        <v>327</v>
      </c>
      <c r="D172" s="103" t="s">
        <v>1774</v>
      </c>
      <c r="E172" s="103" t="s">
        <v>318</v>
      </c>
      <c r="F172" s="103" t="s">
        <v>1775</v>
      </c>
      <c r="G172" s="103" t="s">
        <v>328</v>
      </c>
      <c r="H172" s="103" t="s">
        <v>2342</v>
      </c>
      <c r="I172" s="104">
        <v>2020</v>
      </c>
      <c r="J172" s="105"/>
      <c r="K172" s="105"/>
      <c r="L172" s="105"/>
      <c r="M172" s="105" t="s">
        <v>2139</v>
      </c>
      <c r="N172" s="67" t="s">
        <v>2171</v>
      </c>
    </row>
    <row r="173" spans="1:14" ht="14.25" customHeight="1" x14ac:dyDescent="0.3">
      <c r="A173" s="106">
        <v>163</v>
      </c>
      <c r="B173" s="202"/>
      <c r="C173" s="102" t="s">
        <v>329</v>
      </c>
      <c r="D173" s="103" t="s">
        <v>1774</v>
      </c>
      <c r="E173" s="103" t="s">
        <v>318</v>
      </c>
      <c r="F173" s="103" t="s">
        <v>1775</v>
      </c>
      <c r="G173" s="103" t="s">
        <v>330</v>
      </c>
      <c r="H173" s="103" t="s">
        <v>2342</v>
      </c>
      <c r="I173" s="104">
        <v>2020</v>
      </c>
      <c r="J173" s="105"/>
      <c r="K173" s="105"/>
      <c r="L173" s="105"/>
      <c r="M173" s="105" t="s">
        <v>2139</v>
      </c>
      <c r="N173" s="67" t="s">
        <v>2165</v>
      </c>
    </row>
    <row r="174" spans="1:14" ht="14.25" customHeight="1" x14ac:dyDescent="0.3">
      <c r="A174" s="106">
        <v>164</v>
      </c>
      <c r="B174" s="202"/>
      <c r="C174" s="102" t="s">
        <v>346</v>
      </c>
      <c r="D174" s="103" t="s">
        <v>1782</v>
      </c>
      <c r="E174" s="103" t="s">
        <v>318</v>
      </c>
      <c r="F174" s="103" t="s">
        <v>1783</v>
      </c>
      <c r="G174" s="103"/>
      <c r="H174" s="103" t="s">
        <v>2337</v>
      </c>
      <c r="I174" s="104"/>
      <c r="J174" s="105"/>
      <c r="K174" s="105"/>
      <c r="L174" s="105"/>
      <c r="M174" s="105" t="s">
        <v>2139</v>
      </c>
      <c r="N174" s="67" t="s">
        <v>2338</v>
      </c>
    </row>
    <row r="175" spans="1:14" ht="14.25" customHeight="1" x14ac:dyDescent="0.3">
      <c r="A175" s="106">
        <v>165</v>
      </c>
      <c r="B175" s="202"/>
      <c r="C175" s="102" t="s">
        <v>320</v>
      </c>
      <c r="D175" s="103" t="s">
        <v>1774</v>
      </c>
      <c r="E175" s="103" t="s">
        <v>318</v>
      </c>
      <c r="F175" s="103" t="s">
        <v>1775</v>
      </c>
      <c r="G175" s="103" t="s">
        <v>321</v>
      </c>
      <c r="H175" s="103" t="s">
        <v>2342</v>
      </c>
      <c r="I175" s="104">
        <v>2021.01</v>
      </c>
      <c r="J175" s="105"/>
      <c r="K175" s="105"/>
      <c r="L175" s="105"/>
      <c r="M175" s="105" t="s">
        <v>2139</v>
      </c>
      <c r="N175" s="67" t="s">
        <v>2192</v>
      </c>
    </row>
    <row r="176" spans="1:14" ht="14.25" customHeight="1" x14ac:dyDescent="0.3">
      <c r="A176" s="106">
        <v>166</v>
      </c>
      <c r="B176" s="202"/>
      <c r="C176" s="102" t="s">
        <v>323</v>
      </c>
      <c r="D176" s="103" t="s">
        <v>1774</v>
      </c>
      <c r="E176" s="103" t="s">
        <v>318</v>
      </c>
      <c r="F176" s="103" t="s">
        <v>1776</v>
      </c>
      <c r="G176" s="103" t="s">
        <v>324</v>
      </c>
      <c r="H176" s="103" t="s">
        <v>2342</v>
      </c>
      <c r="I176" s="104">
        <v>2021</v>
      </c>
      <c r="J176" s="105"/>
      <c r="K176" s="105"/>
      <c r="L176" s="105"/>
      <c r="M176" s="105" t="s">
        <v>2139</v>
      </c>
      <c r="N176" s="67" t="s">
        <v>2200</v>
      </c>
    </row>
    <row r="177" spans="1:14" ht="14.25" customHeight="1" x14ac:dyDescent="0.3">
      <c r="A177" s="106">
        <v>167</v>
      </c>
      <c r="B177" s="202"/>
      <c r="C177" s="102" t="s">
        <v>332</v>
      </c>
      <c r="D177" s="103" t="s">
        <v>1718</v>
      </c>
      <c r="E177" s="103" t="s">
        <v>318</v>
      </c>
      <c r="F177" s="103" t="s">
        <v>1777</v>
      </c>
      <c r="G177" s="103"/>
      <c r="H177" s="103" t="s">
        <v>2337</v>
      </c>
      <c r="I177" s="104">
        <v>2014</v>
      </c>
      <c r="J177" s="105"/>
      <c r="K177" s="105"/>
      <c r="L177" s="105"/>
      <c r="M177" s="105" t="s">
        <v>2139</v>
      </c>
      <c r="N177" s="67" t="s">
        <v>2188</v>
      </c>
    </row>
    <row r="178" spans="1:14" ht="14.25" customHeight="1" x14ac:dyDescent="0.3">
      <c r="A178" s="106">
        <v>168</v>
      </c>
      <c r="B178" s="202"/>
      <c r="C178" s="102" t="s">
        <v>334</v>
      </c>
      <c r="D178" s="103" t="s">
        <v>1718</v>
      </c>
      <c r="E178" s="103" t="s">
        <v>318</v>
      </c>
      <c r="F178" s="103" t="s">
        <v>1778</v>
      </c>
      <c r="G178" s="103"/>
      <c r="H178" s="103" t="s">
        <v>2337</v>
      </c>
      <c r="I178" s="104">
        <v>2008</v>
      </c>
      <c r="J178" s="105"/>
      <c r="K178" s="105"/>
      <c r="L178" s="105"/>
      <c r="M178" s="105" t="s">
        <v>2139</v>
      </c>
      <c r="N178" s="73" t="s">
        <v>2192</v>
      </c>
    </row>
    <row r="179" spans="1:14" ht="14.25" customHeight="1" x14ac:dyDescent="0.3">
      <c r="A179" s="106">
        <v>169</v>
      </c>
      <c r="B179" s="203"/>
      <c r="C179" s="102" t="s">
        <v>339</v>
      </c>
      <c r="D179" s="103" t="s">
        <v>1779</v>
      </c>
      <c r="E179" s="103" t="s">
        <v>318</v>
      </c>
      <c r="F179" s="103" t="s">
        <v>1780</v>
      </c>
      <c r="G179" s="103"/>
      <c r="H179" s="103" t="s">
        <v>2343</v>
      </c>
      <c r="I179" s="104"/>
      <c r="J179" s="105"/>
      <c r="K179" s="105"/>
      <c r="L179" s="105"/>
      <c r="M179" s="105" t="s">
        <v>2139</v>
      </c>
      <c r="N179" s="73"/>
    </row>
    <row r="180" spans="1:14" ht="14.25" customHeight="1" x14ac:dyDescent="0.3">
      <c r="A180" s="74"/>
      <c r="B180" s="110"/>
      <c r="C180" s="75"/>
      <c r="D180" s="76"/>
      <c r="E180" s="79"/>
      <c r="F180" s="79"/>
      <c r="G180" s="79"/>
      <c r="H180" s="79"/>
      <c r="I180" s="80"/>
      <c r="J180" s="73"/>
      <c r="K180" s="73"/>
      <c r="L180" s="73"/>
      <c r="M180" s="73"/>
      <c r="N180" s="73"/>
    </row>
    <row r="181" spans="1:14" s="55" customFormat="1" ht="15.75" customHeight="1" x14ac:dyDescent="0.3">
      <c r="A181" s="89">
        <v>170</v>
      </c>
      <c r="B181" s="210" t="s">
        <v>351</v>
      </c>
      <c r="C181" s="90" t="s">
        <v>380</v>
      </c>
      <c r="D181" s="92" t="s">
        <v>1687</v>
      </c>
      <c r="E181" s="92" t="s">
        <v>352</v>
      </c>
      <c r="F181" s="92"/>
      <c r="G181" s="92"/>
      <c r="H181" s="92" t="s">
        <v>2344</v>
      </c>
      <c r="I181" s="94">
        <v>2014</v>
      </c>
      <c r="J181" s="95"/>
      <c r="K181" s="95"/>
      <c r="L181" s="95"/>
      <c r="M181" s="95" t="s">
        <v>2139</v>
      </c>
      <c r="N181" s="95" t="s">
        <v>2271</v>
      </c>
    </row>
    <row r="182" spans="1:14" ht="15.75" customHeight="1" x14ac:dyDescent="0.3">
      <c r="A182" s="62">
        <v>171</v>
      </c>
      <c r="B182" s="202"/>
      <c r="C182" s="64" t="s">
        <v>382</v>
      </c>
      <c r="D182" s="65" t="s">
        <v>2345</v>
      </c>
      <c r="E182" s="65" t="s">
        <v>352</v>
      </c>
      <c r="F182" s="65" t="s">
        <v>1791</v>
      </c>
      <c r="G182" s="65"/>
      <c r="H182" s="65" t="s">
        <v>2344</v>
      </c>
      <c r="I182" s="86">
        <v>2014</v>
      </c>
      <c r="J182" s="112" t="s">
        <v>2346</v>
      </c>
      <c r="K182" s="66"/>
      <c r="L182" s="66"/>
      <c r="M182" s="66" t="s">
        <v>2139</v>
      </c>
      <c r="N182" s="67" t="s">
        <v>2188</v>
      </c>
    </row>
    <row r="183" spans="1:14" ht="17.25" customHeight="1" x14ac:dyDescent="0.3">
      <c r="A183" s="62">
        <v>172</v>
      </c>
      <c r="B183" s="202"/>
      <c r="C183" s="64" t="s">
        <v>383</v>
      </c>
      <c r="D183" s="65" t="s">
        <v>1687</v>
      </c>
      <c r="E183" s="65" t="s">
        <v>352</v>
      </c>
      <c r="F183" s="65" t="s">
        <v>2347</v>
      </c>
      <c r="G183" s="65"/>
      <c r="H183" s="65" t="s">
        <v>2344</v>
      </c>
      <c r="I183" s="86">
        <v>2014</v>
      </c>
      <c r="J183" s="112" t="s">
        <v>2348</v>
      </c>
      <c r="K183" s="66"/>
      <c r="L183" s="66"/>
      <c r="M183" s="66" t="s">
        <v>2139</v>
      </c>
      <c r="N183" s="67" t="s">
        <v>2163</v>
      </c>
    </row>
    <row r="184" spans="1:14" ht="15.75" customHeight="1" x14ac:dyDescent="0.3">
      <c r="A184" s="62">
        <v>173</v>
      </c>
      <c r="B184" s="202"/>
      <c r="C184" s="64" t="s">
        <v>384</v>
      </c>
      <c r="D184" s="65" t="s">
        <v>1687</v>
      </c>
      <c r="E184" s="65" t="s">
        <v>352</v>
      </c>
      <c r="F184" s="65"/>
      <c r="G184" s="65"/>
      <c r="H184" s="65" t="s">
        <v>2344</v>
      </c>
      <c r="I184" s="86">
        <v>2014</v>
      </c>
      <c r="J184" s="112" t="s">
        <v>2349</v>
      </c>
      <c r="K184" s="66"/>
      <c r="L184" s="66"/>
      <c r="M184" s="66" t="s">
        <v>2139</v>
      </c>
      <c r="N184" s="67" t="s">
        <v>2163</v>
      </c>
    </row>
    <row r="185" spans="1:14" ht="15.75" customHeight="1" x14ac:dyDescent="0.3">
      <c r="A185" s="62">
        <v>174</v>
      </c>
      <c r="B185" s="202"/>
      <c r="C185" s="64" t="s">
        <v>362</v>
      </c>
      <c r="D185" s="65" t="s">
        <v>1687</v>
      </c>
      <c r="E185" s="65" t="s">
        <v>352</v>
      </c>
      <c r="F185" s="65"/>
      <c r="G185" s="65"/>
      <c r="H185" s="65" t="s">
        <v>2344</v>
      </c>
      <c r="I185" s="86">
        <v>2017</v>
      </c>
      <c r="J185" s="112" t="s">
        <v>2350</v>
      </c>
      <c r="K185" s="66"/>
      <c r="L185" s="66"/>
      <c r="M185" s="66" t="s">
        <v>2139</v>
      </c>
      <c r="N185" s="67" t="s">
        <v>2165</v>
      </c>
    </row>
    <row r="186" spans="1:14" ht="15.75" customHeight="1" x14ac:dyDescent="0.3">
      <c r="A186" s="62">
        <v>175</v>
      </c>
      <c r="B186" s="202"/>
      <c r="C186" s="64" t="s">
        <v>363</v>
      </c>
      <c r="D186" s="65" t="s">
        <v>1687</v>
      </c>
      <c r="E186" s="65" t="s">
        <v>352</v>
      </c>
      <c r="F186" s="65"/>
      <c r="G186" s="65"/>
      <c r="H186" s="65" t="s">
        <v>2344</v>
      </c>
      <c r="I186" s="86">
        <v>2017</v>
      </c>
      <c r="J186" s="112" t="s">
        <v>2351</v>
      </c>
      <c r="K186" s="66"/>
      <c r="L186" s="66"/>
      <c r="M186" s="66" t="s">
        <v>2139</v>
      </c>
      <c r="N186" s="67" t="s">
        <v>2165</v>
      </c>
    </row>
    <row r="187" spans="1:14" ht="15.75" customHeight="1" x14ac:dyDescent="0.3">
      <c r="A187" s="62">
        <v>176</v>
      </c>
      <c r="B187" s="202"/>
      <c r="C187" s="64" t="s">
        <v>364</v>
      </c>
      <c r="D187" s="65" t="s">
        <v>1687</v>
      </c>
      <c r="E187" s="65" t="s">
        <v>352</v>
      </c>
      <c r="F187" s="65"/>
      <c r="G187" s="65"/>
      <c r="H187" s="65" t="s">
        <v>2344</v>
      </c>
      <c r="I187" s="86">
        <v>2017</v>
      </c>
      <c r="J187" s="112" t="s">
        <v>2352</v>
      </c>
      <c r="K187" s="66"/>
      <c r="L187" s="66"/>
      <c r="M187" s="66" t="s">
        <v>2139</v>
      </c>
      <c r="N187" s="67" t="s">
        <v>2353</v>
      </c>
    </row>
    <row r="188" spans="1:14" ht="15.75" customHeight="1" x14ac:dyDescent="0.3">
      <c r="A188" s="62">
        <v>177</v>
      </c>
      <c r="B188" s="202"/>
      <c r="C188" s="64" t="s">
        <v>373</v>
      </c>
      <c r="D188" s="65" t="s">
        <v>1708</v>
      </c>
      <c r="E188" s="65" t="s">
        <v>352</v>
      </c>
      <c r="F188" s="65" t="s">
        <v>2354</v>
      </c>
      <c r="G188" s="65"/>
      <c r="H188" s="65" t="s">
        <v>2344</v>
      </c>
      <c r="I188" s="86">
        <v>2017</v>
      </c>
      <c r="J188" s="66"/>
      <c r="K188" s="66"/>
      <c r="L188" s="66"/>
      <c r="M188" s="66" t="s">
        <v>2139</v>
      </c>
      <c r="N188" s="67" t="s">
        <v>2165</v>
      </c>
    </row>
    <row r="189" spans="1:14" ht="15.75" customHeight="1" x14ac:dyDescent="0.3">
      <c r="A189" s="62">
        <v>178</v>
      </c>
      <c r="B189" s="202"/>
      <c r="C189" s="64" t="s">
        <v>365</v>
      </c>
      <c r="D189" s="65" t="s">
        <v>1687</v>
      </c>
      <c r="E189" s="65" t="s">
        <v>352</v>
      </c>
      <c r="F189" s="65"/>
      <c r="G189" s="65"/>
      <c r="H189" s="65" t="s">
        <v>2344</v>
      </c>
      <c r="I189" s="86">
        <v>2017</v>
      </c>
      <c r="J189" s="112" t="s">
        <v>2355</v>
      </c>
      <c r="K189" s="66"/>
      <c r="L189" s="66"/>
      <c r="M189" s="66" t="s">
        <v>2139</v>
      </c>
      <c r="N189" s="67" t="s">
        <v>2333</v>
      </c>
    </row>
    <row r="190" spans="1:14" ht="15.75" customHeight="1" x14ac:dyDescent="0.3">
      <c r="A190" s="62">
        <v>179</v>
      </c>
      <c r="B190" s="202"/>
      <c r="C190" s="64" t="s">
        <v>371</v>
      </c>
      <c r="D190" s="65" t="s">
        <v>1787</v>
      </c>
      <c r="E190" s="65" t="s">
        <v>352</v>
      </c>
      <c r="F190" s="65"/>
      <c r="G190" s="65"/>
      <c r="H190" s="65" t="s">
        <v>2344</v>
      </c>
      <c r="I190" s="86">
        <v>2017</v>
      </c>
      <c r="J190" s="112" t="s">
        <v>2356</v>
      </c>
      <c r="K190" s="66"/>
      <c r="L190" s="66"/>
      <c r="M190" s="66" t="s">
        <v>2139</v>
      </c>
      <c r="N190" s="67" t="s">
        <v>2165</v>
      </c>
    </row>
    <row r="191" spans="1:14" ht="15.75" customHeight="1" x14ac:dyDescent="0.3">
      <c r="A191" s="62">
        <v>180</v>
      </c>
      <c r="B191" s="202"/>
      <c r="C191" s="64" t="s">
        <v>366</v>
      </c>
      <c r="D191" s="65" t="s">
        <v>1687</v>
      </c>
      <c r="E191" s="65" t="s">
        <v>352</v>
      </c>
      <c r="F191" s="65" t="s">
        <v>1786</v>
      </c>
      <c r="G191" s="65"/>
      <c r="H191" s="65" t="s">
        <v>2344</v>
      </c>
      <c r="I191" s="86">
        <v>2017</v>
      </c>
      <c r="J191" s="112" t="s">
        <v>2357</v>
      </c>
      <c r="K191" s="66"/>
      <c r="L191" s="66"/>
      <c r="M191" s="66" t="s">
        <v>2139</v>
      </c>
      <c r="N191" s="67" t="s">
        <v>2165</v>
      </c>
    </row>
    <row r="192" spans="1:14" ht="15.75" customHeight="1" x14ac:dyDescent="0.3">
      <c r="A192" s="62">
        <v>181</v>
      </c>
      <c r="B192" s="202"/>
      <c r="C192" s="64" t="s">
        <v>374</v>
      </c>
      <c r="D192" s="65" t="s">
        <v>1687</v>
      </c>
      <c r="E192" s="65" t="s">
        <v>352</v>
      </c>
      <c r="F192" s="65" t="s">
        <v>1786</v>
      </c>
      <c r="G192" s="65"/>
      <c r="H192" s="65" t="s">
        <v>2358</v>
      </c>
      <c r="I192" s="86">
        <v>2016</v>
      </c>
      <c r="J192" s="112" t="s">
        <v>2359</v>
      </c>
      <c r="K192" s="66"/>
      <c r="L192" s="66" t="s">
        <v>2360</v>
      </c>
      <c r="M192" s="66" t="s">
        <v>2139</v>
      </c>
      <c r="N192" s="67" t="s">
        <v>2165</v>
      </c>
    </row>
    <row r="193" spans="1:14" ht="15.75" customHeight="1" x14ac:dyDescent="0.3">
      <c r="A193" s="62">
        <v>182</v>
      </c>
      <c r="B193" s="202"/>
      <c r="C193" s="64" t="s">
        <v>375</v>
      </c>
      <c r="D193" s="65" t="s">
        <v>1687</v>
      </c>
      <c r="E193" s="65" t="s">
        <v>352</v>
      </c>
      <c r="F193" s="65" t="s">
        <v>1786</v>
      </c>
      <c r="G193" s="65"/>
      <c r="H193" s="65" t="s">
        <v>2358</v>
      </c>
      <c r="I193" s="86">
        <v>2016</v>
      </c>
      <c r="J193" s="112" t="s">
        <v>2361</v>
      </c>
      <c r="K193" s="66"/>
      <c r="L193" s="66" t="s">
        <v>2362</v>
      </c>
      <c r="M193" s="66" t="s">
        <v>2139</v>
      </c>
      <c r="N193" s="67" t="s">
        <v>2165</v>
      </c>
    </row>
    <row r="194" spans="1:14" ht="15.75" customHeight="1" x14ac:dyDescent="0.3">
      <c r="A194" s="62">
        <v>183</v>
      </c>
      <c r="B194" s="202"/>
      <c r="C194" s="64" t="s">
        <v>376</v>
      </c>
      <c r="D194" s="65" t="s">
        <v>1687</v>
      </c>
      <c r="E194" s="65" t="s">
        <v>352</v>
      </c>
      <c r="F194" s="65" t="s">
        <v>1786</v>
      </c>
      <c r="G194" s="65"/>
      <c r="H194" s="65" t="s">
        <v>2358</v>
      </c>
      <c r="I194" s="86">
        <v>2016</v>
      </c>
      <c r="J194" s="112" t="s">
        <v>2363</v>
      </c>
      <c r="K194" s="66"/>
      <c r="L194" s="66" t="s">
        <v>2364</v>
      </c>
      <c r="M194" s="66" t="s">
        <v>2139</v>
      </c>
      <c r="N194" s="67" t="s">
        <v>2192</v>
      </c>
    </row>
    <row r="195" spans="1:14" ht="15.75" customHeight="1" x14ac:dyDescent="0.3">
      <c r="A195" s="62">
        <v>184</v>
      </c>
      <c r="B195" s="202"/>
      <c r="C195" s="64" t="s">
        <v>377</v>
      </c>
      <c r="D195" s="65" t="s">
        <v>1687</v>
      </c>
      <c r="E195" s="65" t="s">
        <v>352</v>
      </c>
      <c r="F195" s="65" t="s">
        <v>1786</v>
      </c>
      <c r="G195" s="65"/>
      <c r="H195" s="65" t="s">
        <v>2358</v>
      </c>
      <c r="I195" s="86">
        <v>2016</v>
      </c>
      <c r="J195" s="112" t="s">
        <v>2365</v>
      </c>
      <c r="K195" s="66"/>
      <c r="L195" s="66" t="s">
        <v>2366</v>
      </c>
      <c r="M195" s="66" t="s">
        <v>2139</v>
      </c>
      <c r="N195" s="67" t="s">
        <v>2292</v>
      </c>
    </row>
    <row r="196" spans="1:14" ht="15.75" customHeight="1" x14ac:dyDescent="0.3">
      <c r="A196" s="62">
        <v>185</v>
      </c>
      <c r="B196" s="202"/>
      <c r="C196" s="64" t="s">
        <v>367</v>
      </c>
      <c r="D196" s="65" t="s">
        <v>1687</v>
      </c>
      <c r="E196" s="65" t="s">
        <v>352</v>
      </c>
      <c r="F196" s="65" t="s">
        <v>1786</v>
      </c>
      <c r="G196" s="65"/>
      <c r="H196" s="65" t="s">
        <v>2358</v>
      </c>
      <c r="I196" s="86">
        <v>2017</v>
      </c>
      <c r="J196" s="112" t="s">
        <v>2367</v>
      </c>
      <c r="K196" s="66"/>
      <c r="L196" s="66" t="s">
        <v>2368</v>
      </c>
      <c r="M196" s="66" t="s">
        <v>2139</v>
      </c>
      <c r="N196" s="67" t="s">
        <v>2325</v>
      </c>
    </row>
    <row r="197" spans="1:14" ht="15.75" customHeight="1" x14ac:dyDescent="0.3">
      <c r="A197" s="62">
        <v>186</v>
      </c>
      <c r="B197" s="202"/>
      <c r="C197" s="64" t="s">
        <v>368</v>
      </c>
      <c r="D197" s="65" t="s">
        <v>1687</v>
      </c>
      <c r="E197" s="65" t="s">
        <v>352</v>
      </c>
      <c r="F197" s="65" t="s">
        <v>1786</v>
      </c>
      <c r="G197" s="65"/>
      <c r="H197" s="65" t="s">
        <v>2358</v>
      </c>
      <c r="I197" s="86">
        <v>2017</v>
      </c>
      <c r="J197" s="112" t="s">
        <v>2369</v>
      </c>
      <c r="K197" s="66"/>
      <c r="L197" s="66" t="s">
        <v>2370</v>
      </c>
      <c r="M197" s="66" t="s">
        <v>2139</v>
      </c>
      <c r="N197" s="67" t="s">
        <v>2192</v>
      </c>
    </row>
    <row r="198" spans="1:14" ht="15.75" customHeight="1" x14ac:dyDescent="0.3">
      <c r="A198" s="62">
        <v>187</v>
      </c>
      <c r="B198" s="202"/>
      <c r="C198" s="64" t="s">
        <v>369</v>
      </c>
      <c r="D198" s="65" t="s">
        <v>1687</v>
      </c>
      <c r="E198" s="65" t="s">
        <v>352</v>
      </c>
      <c r="F198" s="65" t="s">
        <v>1786</v>
      </c>
      <c r="G198" s="65"/>
      <c r="H198" s="65" t="s">
        <v>2358</v>
      </c>
      <c r="I198" s="86">
        <v>2017</v>
      </c>
      <c r="J198" s="112" t="s">
        <v>2371</v>
      </c>
      <c r="K198" s="66"/>
      <c r="L198" s="66" t="s">
        <v>2372</v>
      </c>
      <c r="M198" s="66" t="s">
        <v>2139</v>
      </c>
      <c r="N198" s="67" t="s">
        <v>2188</v>
      </c>
    </row>
    <row r="199" spans="1:14" s="55" customFormat="1" ht="15.75" customHeight="1" x14ac:dyDescent="0.3">
      <c r="A199" s="89">
        <v>188</v>
      </c>
      <c r="B199" s="202"/>
      <c r="C199" s="90" t="s">
        <v>379</v>
      </c>
      <c r="D199" s="92" t="s">
        <v>1687</v>
      </c>
      <c r="E199" s="92" t="s">
        <v>352</v>
      </c>
      <c r="F199" s="92" t="s">
        <v>1790</v>
      </c>
      <c r="G199" s="92"/>
      <c r="H199" s="92" t="s">
        <v>2358</v>
      </c>
      <c r="I199" s="94">
        <v>2016</v>
      </c>
      <c r="J199" s="113" t="s">
        <v>2373</v>
      </c>
      <c r="K199" s="95"/>
      <c r="L199" s="95" t="s">
        <v>2374</v>
      </c>
      <c r="M199" s="95" t="s">
        <v>2139</v>
      </c>
      <c r="N199" s="95" t="s">
        <v>2271</v>
      </c>
    </row>
    <row r="200" spans="1:14" s="55" customFormat="1" ht="15.75" customHeight="1" x14ac:dyDescent="0.3">
      <c r="A200" s="89">
        <v>189</v>
      </c>
      <c r="B200" s="202"/>
      <c r="C200" s="90" t="s">
        <v>360</v>
      </c>
      <c r="D200" s="92" t="s">
        <v>1687</v>
      </c>
      <c r="E200" s="92" t="s">
        <v>352</v>
      </c>
      <c r="F200" s="92" t="s">
        <v>1786</v>
      </c>
      <c r="G200" s="92"/>
      <c r="H200" s="92" t="s">
        <v>2358</v>
      </c>
      <c r="I200" s="94">
        <v>2020</v>
      </c>
      <c r="J200" s="113" t="s">
        <v>2375</v>
      </c>
      <c r="K200" s="95"/>
      <c r="L200" s="95"/>
      <c r="M200" s="95" t="s">
        <v>2139</v>
      </c>
      <c r="N200" s="95" t="s">
        <v>2271</v>
      </c>
    </row>
    <row r="201" spans="1:14" s="55" customFormat="1" ht="15.75" customHeight="1" x14ac:dyDescent="0.3">
      <c r="A201" s="89">
        <v>190</v>
      </c>
      <c r="B201" s="202"/>
      <c r="C201" s="90" t="s">
        <v>354</v>
      </c>
      <c r="D201" s="92" t="s">
        <v>1687</v>
      </c>
      <c r="E201" s="92" t="s">
        <v>352</v>
      </c>
      <c r="F201" s="92" t="s">
        <v>1786</v>
      </c>
      <c r="G201" s="92"/>
      <c r="H201" s="92" t="s">
        <v>2358</v>
      </c>
      <c r="I201" s="94">
        <v>2021</v>
      </c>
      <c r="J201" s="113" t="s">
        <v>2376</v>
      </c>
      <c r="K201" s="95"/>
      <c r="L201" s="95"/>
      <c r="M201" s="95" t="s">
        <v>2139</v>
      </c>
      <c r="N201" s="95" t="s">
        <v>2271</v>
      </c>
    </row>
    <row r="202" spans="1:14" s="55" customFormat="1" ht="15.75" customHeight="1" x14ac:dyDescent="0.3">
      <c r="A202" s="89">
        <v>191</v>
      </c>
      <c r="B202" s="202"/>
      <c r="C202" s="90" t="s">
        <v>355</v>
      </c>
      <c r="D202" s="92" t="s">
        <v>1687</v>
      </c>
      <c r="E202" s="92" t="s">
        <v>352</v>
      </c>
      <c r="F202" s="92" t="s">
        <v>1786</v>
      </c>
      <c r="G202" s="92"/>
      <c r="H202" s="92" t="s">
        <v>2358</v>
      </c>
      <c r="I202" s="94">
        <v>2021</v>
      </c>
      <c r="J202" s="113" t="s">
        <v>2377</v>
      </c>
      <c r="K202" s="95"/>
      <c r="L202" s="95"/>
      <c r="M202" s="95" t="s">
        <v>2139</v>
      </c>
      <c r="N202" s="95" t="s">
        <v>2271</v>
      </c>
    </row>
    <row r="203" spans="1:14" s="55" customFormat="1" ht="15.75" customHeight="1" x14ac:dyDescent="0.3">
      <c r="A203" s="89">
        <v>192</v>
      </c>
      <c r="B203" s="202"/>
      <c r="C203" s="90" t="s">
        <v>356</v>
      </c>
      <c r="D203" s="92" t="s">
        <v>1687</v>
      </c>
      <c r="E203" s="92" t="s">
        <v>352</v>
      </c>
      <c r="F203" s="92" t="s">
        <v>1786</v>
      </c>
      <c r="G203" s="92"/>
      <c r="H203" s="92" t="s">
        <v>2358</v>
      </c>
      <c r="I203" s="94">
        <v>2021</v>
      </c>
      <c r="J203" s="113" t="s">
        <v>2378</v>
      </c>
      <c r="K203" s="95"/>
      <c r="L203" s="95"/>
      <c r="M203" s="95" t="s">
        <v>2139</v>
      </c>
      <c r="N203" s="95" t="s">
        <v>2271</v>
      </c>
    </row>
    <row r="204" spans="1:14" ht="15.75" customHeight="1" x14ac:dyDescent="0.3">
      <c r="A204" s="62">
        <v>193</v>
      </c>
      <c r="B204" s="202"/>
      <c r="C204" s="64" t="s">
        <v>358</v>
      </c>
      <c r="D204" s="65" t="s">
        <v>1687</v>
      </c>
      <c r="E204" s="65" t="s">
        <v>352</v>
      </c>
      <c r="F204" s="65" t="s">
        <v>1788</v>
      </c>
      <c r="G204" s="65"/>
      <c r="H204" s="65" t="s">
        <v>2358</v>
      </c>
      <c r="I204" s="86">
        <v>2021</v>
      </c>
      <c r="J204" s="112" t="s">
        <v>2379</v>
      </c>
      <c r="K204" s="66"/>
      <c r="L204" s="66" t="s">
        <v>2380</v>
      </c>
      <c r="M204" s="66" t="s">
        <v>2139</v>
      </c>
      <c r="N204" s="67" t="s">
        <v>2197</v>
      </c>
    </row>
    <row r="205" spans="1:14" ht="15.75" customHeight="1" x14ac:dyDescent="0.3">
      <c r="A205" s="62">
        <v>194</v>
      </c>
      <c r="B205" s="203"/>
      <c r="C205" s="64" t="s">
        <v>359</v>
      </c>
      <c r="D205" s="65" t="s">
        <v>1687</v>
      </c>
      <c r="E205" s="65" t="s">
        <v>352</v>
      </c>
      <c r="F205" s="65" t="s">
        <v>1788</v>
      </c>
      <c r="G205" s="65"/>
      <c r="H205" s="65" t="s">
        <v>2358</v>
      </c>
      <c r="I205" s="86">
        <v>2021</v>
      </c>
      <c r="J205" s="112" t="s">
        <v>2381</v>
      </c>
      <c r="K205" s="66"/>
      <c r="L205" s="66" t="s">
        <v>2382</v>
      </c>
      <c r="M205" s="66" t="s">
        <v>2139</v>
      </c>
      <c r="N205" s="67" t="s">
        <v>2383</v>
      </c>
    </row>
    <row r="206" spans="1:14" ht="14.25" customHeight="1" x14ac:dyDescent="0.3">
      <c r="A206" s="114"/>
      <c r="B206" s="115"/>
      <c r="C206" s="116"/>
      <c r="D206" s="117"/>
      <c r="E206" s="118"/>
      <c r="F206" s="103"/>
      <c r="G206" s="103"/>
      <c r="H206" s="103"/>
      <c r="I206" s="104"/>
      <c r="J206" s="105"/>
      <c r="K206" s="105"/>
      <c r="L206" s="105"/>
      <c r="M206" s="105"/>
      <c r="N206" s="73"/>
    </row>
    <row r="207" spans="1:14" s="55" customFormat="1" ht="14.25" customHeight="1" x14ac:dyDescent="0.3">
      <c r="A207" s="89">
        <v>195</v>
      </c>
      <c r="B207" s="204" t="s">
        <v>2384</v>
      </c>
      <c r="C207" s="90" t="s">
        <v>400</v>
      </c>
      <c r="D207" s="92" t="s">
        <v>1799</v>
      </c>
      <c r="E207" s="92" t="s">
        <v>2385</v>
      </c>
      <c r="F207" s="92" t="s">
        <v>1800</v>
      </c>
      <c r="G207" s="92"/>
      <c r="H207" s="92" t="s">
        <v>2386</v>
      </c>
      <c r="I207" s="94">
        <v>2012</v>
      </c>
      <c r="J207" s="95">
        <v>11000</v>
      </c>
      <c r="K207" s="95"/>
      <c r="L207" s="95"/>
      <c r="M207" s="95" t="s">
        <v>2139</v>
      </c>
      <c r="N207" s="95" t="s">
        <v>2271</v>
      </c>
    </row>
    <row r="208" spans="1:14" s="55" customFormat="1" ht="14.25" customHeight="1" x14ac:dyDescent="0.3">
      <c r="A208" s="89">
        <v>196</v>
      </c>
      <c r="B208" s="202"/>
      <c r="C208" s="90" t="s">
        <v>396</v>
      </c>
      <c r="D208" s="92" t="s">
        <v>1718</v>
      </c>
      <c r="E208" s="92" t="s">
        <v>2385</v>
      </c>
      <c r="F208" s="92" t="s">
        <v>1797</v>
      </c>
      <c r="G208" s="92"/>
      <c r="H208" s="92" t="s">
        <v>2387</v>
      </c>
      <c r="I208" s="94">
        <v>2013</v>
      </c>
      <c r="J208" s="95" t="s">
        <v>1797</v>
      </c>
      <c r="K208" s="95"/>
      <c r="L208" s="95"/>
      <c r="M208" s="95" t="s">
        <v>2139</v>
      </c>
      <c r="N208" s="95" t="s">
        <v>2271</v>
      </c>
    </row>
    <row r="209" spans="1:15" s="55" customFormat="1" ht="14.25" customHeight="1" x14ac:dyDescent="0.3">
      <c r="A209" s="89">
        <v>197</v>
      </c>
      <c r="B209" s="202"/>
      <c r="C209" s="90" t="s">
        <v>392</v>
      </c>
      <c r="D209" s="92" t="s">
        <v>1718</v>
      </c>
      <c r="E209" s="92" t="s">
        <v>2385</v>
      </c>
      <c r="F209" s="92" t="s">
        <v>1795</v>
      </c>
      <c r="G209" s="92"/>
      <c r="H209" s="92" t="s">
        <v>2387</v>
      </c>
      <c r="I209" s="94">
        <v>2014</v>
      </c>
      <c r="J209" s="95" t="s">
        <v>2388</v>
      </c>
      <c r="K209" s="95"/>
      <c r="L209" s="95"/>
      <c r="M209" s="95" t="s">
        <v>2139</v>
      </c>
      <c r="N209" s="95" t="s">
        <v>2271</v>
      </c>
    </row>
    <row r="210" spans="1:15" s="55" customFormat="1" ht="14.25" customHeight="1" x14ac:dyDescent="0.3">
      <c r="A210" s="89">
        <v>198</v>
      </c>
      <c r="B210" s="202"/>
      <c r="C210" s="90" t="s">
        <v>394</v>
      </c>
      <c r="D210" s="92" t="s">
        <v>1718</v>
      </c>
      <c r="E210" s="92" t="s">
        <v>2385</v>
      </c>
      <c r="F210" s="92" t="s">
        <v>1796</v>
      </c>
      <c r="G210" s="92"/>
      <c r="H210" s="92" t="s">
        <v>2387</v>
      </c>
      <c r="I210" s="94">
        <v>2014</v>
      </c>
      <c r="J210" s="95" t="s">
        <v>1796</v>
      </c>
      <c r="K210" s="95"/>
      <c r="L210" s="95"/>
      <c r="M210" s="95" t="s">
        <v>2139</v>
      </c>
      <c r="N210" s="95" t="s">
        <v>2271</v>
      </c>
    </row>
    <row r="211" spans="1:15" s="55" customFormat="1" ht="14.25" customHeight="1" x14ac:dyDescent="0.3">
      <c r="A211" s="89">
        <v>199</v>
      </c>
      <c r="B211" s="202"/>
      <c r="C211" s="90" t="s">
        <v>398</v>
      </c>
      <c r="D211" s="92" t="s">
        <v>1798</v>
      </c>
      <c r="E211" s="92" t="s">
        <v>2385</v>
      </c>
      <c r="F211" s="92"/>
      <c r="G211" s="92"/>
      <c r="H211" s="92" t="s">
        <v>2387</v>
      </c>
      <c r="I211" s="94">
        <v>2012</v>
      </c>
      <c r="J211" s="95" t="s">
        <v>2389</v>
      </c>
      <c r="K211" s="95"/>
      <c r="L211" s="95"/>
      <c r="M211" s="95" t="s">
        <v>2139</v>
      </c>
      <c r="N211" s="95" t="s">
        <v>2271</v>
      </c>
    </row>
    <row r="212" spans="1:15" s="55" customFormat="1" ht="14.25" customHeight="1" x14ac:dyDescent="0.3">
      <c r="A212" s="89">
        <v>200</v>
      </c>
      <c r="B212" s="202"/>
      <c r="C212" s="90" t="s">
        <v>405</v>
      </c>
      <c r="D212" s="92"/>
      <c r="E212" s="92" t="s">
        <v>2385</v>
      </c>
      <c r="F212" s="92"/>
      <c r="G212" s="92"/>
      <c r="H212" s="92"/>
      <c r="I212" s="94"/>
      <c r="J212" s="95"/>
      <c r="K212" s="95"/>
      <c r="L212" s="95"/>
      <c r="M212" s="95" t="s">
        <v>2139</v>
      </c>
      <c r="N212" s="95" t="s">
        <v>2271</v>
      </c>
    </row>
    <row r="213" spans="1:15" s="55" customFormat="1" ht="14.25" customHeight="1" x14ac:dyDescent="0.3">
      <c r="A213" s="89">
        <v>201</v>
      </c>
      <c r="B213" s="202"/>
      <c r="C213" s="90" t="s">
        <v>406</v>
      </c>
      <c r="D213" s="92"/>
      <c r="E213" s="92" t="s">
        <v>2385</v>
      </c>
      <c r="F213" s="92"/>
      <c r="G213" s="92"/>
      <c r="H213" s="92"/>
      <c r="I213" s="94"/>
      <c r="J213" s="95"/>
      <c r="K213" s="95"/>
      <c r="L213" s="95"/>
      <c r="M213" s="95" t="s">
        <v>2139</v>
      </c>
      <c r="N213" s="95" t="s">
        <v>2271</v>
      </c>
    </row>
    <row r="214" spans="1:15" ht="14.25" customHeight="1" x14ac:dyDescent="0.3">
      <c r="A214" s="106">
        <v>202</v>
      </c>
      <c r="B214" s="202"/>
      <c r="C214" s="102" t="s">
        <v>390</v>
      </c>
      <c r="D214" s="103" t="s">
        <v>1793</v>
      </c>
      <c r="E214" s="103" t="s">
        <v>2385</v>
      </c>
      <c r="F214" s="103" t="s">
        <v>1794</v>
      </c>
      <c r="G214" s="103"/>
      <c r="H214" s="103"/>
      <c r="I214" s="103">
        <v>2019</v>
      </c>
      <c r="J214" s="105"/>
      <c r="K214" s="105"/>
      <c r="L214" s="105"/>
      <c r="M214" s="105" t="s">
        <v>2139</v>
      </c>
      <c r="N214" s="67" t="s">
        <v>2165</v>
      </c>
    </row>
    <row r="215" spans="1:15" ht="14.25" customHeight="1" x14ac:dyDescent="0.3">
      <c r="A215" s="106">
        <v>203</v>
      </c>
      <c r="B215" s="202"/>
      <c r="C215" s="102" t="s">
        <v>402</v>
      </c>
      <c r="D215" s="103" t="s">
        <v>1799</v>
      </c>
      <c r="E215" s="103" t="s">
        <v>2385</v>
      </c>
      <c r="F215" s="103" t="s">
        <v>1801</v>
      </c>
      <c r="G215" s="103"/>
      <c r="H215" s="103"/>
      <c r="I215" s="103">
        <v>2012</v>
      </c>
      <c r="J215" s="105"/>
      <c r="K215" s="105"/>
      <c r="L215" s="105"/>
      <c r="M215" s="105" t="s">
        <v>2139</v>
      </c>
      <c r="N215" s="67" t="s">
        <v>2353</v>
      </c>
      <c r="O215" t="s">
        <v>2390</v>
      </c>
    </row>
    <row r="216" spans="1:15" s="111" customFormat="1" ht="14.25" customHeight="1" x14ac:dyDescent="0.3">
      <c r="A216" s="106">
        <v>204</v>
      </c>
      <c r="B216" s="202"/>
      <c r="C216" s="102" t="s">
        <v>388</v>
      </c>
      <c r="D216" s="103" t="s">
        <v>1730</v>
      </c>
      <c r="E216" s="103" t="s">
        <v>2385</v>
      </c>
      <c r="F216" s="103" t="s">
        <v>1792</v>
      </c>
      <c r="G216" s="103"/>
      <c r="H216" s="103"/>
      <c r="I216" s="103">
        <v>2020</v>
      </c>
      <c r="J216" s="105"/>
      <c r="K216" s="105"/>
      <c r="L216" s="105"/>
      <c r="M216" s="105" t="s">
        <v>2139</v>
      </c>
      <c r="N216" s="67" t="s">
        <v>2165</v>
      </c>
    </row>
    <row r="217" spans="1:15" ht="14.25" customHeight="1" x14ac:dyDescent="0.3">
      <c r="A217" s="106">
        <v>205</v>
      </c>
      <c r="B217" s="203"/>
      <c r="C217" s="102" t="s">
        <v>404</v>
      </c>
      <c r="D217" s="103" t="s">
        <v>1799</v>
      </c>
      <c r="E217" s="103" t="s">
        <v>2385</v>
      </c>
      <c r="F217" s="103" t="s">
        <v>1802</v>
      </c>
      <c r="G217" s="103"/>
      <c r="H217" s="103"/>
      <c r="I217" s="103">
        <v>2006</v>
      </c>
      <c r="J217" s="105">
        <v>13570</v>
      </c>
      <c r="K217" s="105"/>
      <c r="L217" s="105"/>
      <c r="M217" s="105" t="s">
        <v>2139</v>
      </c>
      <c r="N217" s="67" t="s">
        <v>2391</v>
      </c>
    </row>
    <row r="218" spans="1:15" ht="14.25" customHeight="1" x14ac:dyDescent="0.3">
      <c r="A218" s="74"/>
      <c r="B218" s="110"/>
      <c r="C218" s="75"/>
      <c r="D218" s="76"/>
      <c r="E218" s="77"/>
      <c r="F218" s="79" t="s">
        <v>2392</v>
      </c>
      <c r="G218" s="79" t="s">
        <v>2392</v>
      </c>
      <c r="H218" s="79" t="s">
        <v>2392</v>
      </c>
      <c r="I218" s="80"/>
      <c r="J218" s="73"/>
      <c r="K218" s="73"/>
      <c r="L218" s="73"/>
      <c r="M218" s="73"/>
      <c r="N218" s="73"/>
    </row>
    <row r="219" spans="1:15" ht="14.25" customHeight="1" x14ac:dyDescent="0.3">
      <c r="A219" s="62">
        <v>206</v>
      </c>
      <c r="B219" s="210" t="s">
        <v>407</v>
      </c>
      <c r="C219" s="64" t="s">
        <v>419</v>
      </c>
      <c r="D219" s="65" t="s">
        <v>1716</v>
      </c>
      <c r="E219" s="65" t="s">
        <v>408</v>
      </c>
      <c r="F219" s="65" t="s">
        <v>1808</v>
      </c>
      <c r="G219" s="65" t="s">
        <v>420</v>
      </c>
      <c r="H219" s="65" t="s">
        <v>2393</v>
      </c>
      <c r="I219" s="86">
        <v>1992</v>
      </c>
      <c r="J219" s="66"/>
      <c r="K219" s="66"/>
      <c r="L219" s="66"/>
      <c r="M219" s="66" t="s">
        <v>2139</v>
      </c>
      <c r="N219" s="67" t="s">
        <v>2192</v>
      </c>
    </row>
    <row r="220" spans="1:15" ht="14.25" customHeight="1" x14ac:dyDescent="0.3">
      <c r="A220" s="62">
        <v>207</v>
      </c>
      <c r="B220" s="202"/>
      <c r="C220" s="64" t="s">
        <v>413</v>
      </c>
      <c r="D220" s="65" t="s">
        <v>1711</v>
      </c>
      <c r="E220" s="65" t="s">
        <v>408</v>
      </c>
      <c r="F220" s="65" t="s">
        <v>1805</v>
      </c>
      <c r="G220" s="65" t="s">
        <v>414</v>
      </c>
      <c r="H220" s="65" t="s">
        <v>2394</v>
      </c>
      <c r="I220" s="86">
        <v>2013</v>
      </c>
      <c r="J220" s="66" t="s">
        <v>2395</v>
      </c>
      <c r="K220" s="66" t="s">
        <v>2395</v>
      </c>
      <c r="L220" s="66" t="s">
        <v>2396</v>
      </c>
      <c r="M220" s="66" t="s">
        <v>2139</v>
      </c>
      <c r="N220" s="67" t="s">
        <v>2165</v>
      </c>
    </row>
    <row r="221" spans="1:15" s="54" customFormat="1" ht="14.25" customHeight="1" x14ac:dyDescent="0.3">
      <c r="A221" s="119">
        <v>208</v>
      </c>
      <c r="B221" s="202"/>
      <c r="C221" s="120" t="s">
        <v>2397</v>
      </c>
      <c r="D221" s="121" t="s">
        <v>1720</v>
      </c>
      <c r="E221" s="121" t="s">
        <v>2398</v>
      </c>
      <c r="F221" s="121"/>
      <c r="G221" s="121" t="s">
        <v>825</v>
      </c>
      <c r="H221" s="121" t="s">
        <v>2393</v>
      </c>
      <c r="I221" s="122">
        <v>1990</v>
      </c>
      <c r="J221" s="123"/>
      <c r="K221" s="123" t="s">
        <v>2399</v>
      </c>
      <c r="L221" s="123"/>
      <c r="M221" s="123"/>
      <c r="N221" s="67" t="s">
        <v>2188</v>
      </c>
      <c r="O221" s="54" t="s">
        <v>2400</v>
      </c>
    </row>
    <row r="222" spans="1:15" ht="14.25" customHeight="1" x14ac:dyDescent="0.3">
      <c r="A222" s="62">
        <v>209</v>
      </c>
      <c r="B222" s="202"/>
      <c r="C222" s="64" t="s">
        <v>416</v>
      </c>
      <c r="D222" s="65" t="s">
        <v>1806</v>
      </c>
      <c r="E222" s="65" t="s">
        <v>408</v>
      </c>
      <c r="F222" s="65" t="s">
        <v>1807</v>
      </c>
      <c r="G222" s="65" t="s">
        <v>417</v>
      </c>
      <c r="H222" s="65" t="s">
        <v>2393</v>
      </c>
      <c r="I222" s="86">
        <v>2012</v>
      </c>
      <c r="J222" s="66"/>
      <c r="K222" s="66"/>
      <c r="L222" s="66"/>
      <c r="M222" s="66" t="s">
        <v>2139</v>
      </c>
      <c r="N222" s="67" t="s">
        <v>2401</v>
      </c>
    </row>
    <row r="223" spans="1:15" ht="14.25" customHeight="1" x14ac:dyDescent="0.3">
      <c r="A223" s="62">
        <v>210</v>
      </c>
      <c r="B223" s="203"/>
      <c r="C223" s="64" t="s">
        <v>410</v>
      </c>
      <c r="D223" s="65" t="s">
        <v>1803</v>
      </c>
      <c r="E223" s="65" t="s">
        <v>408</v>
      </c>
      <c r="F223" s="65" t="s">
        <v>1804</v>
      </c>
      <c r="G223" s="65" t="s">
        <v>411</v>
      </c>
      <c r="H223" s="65" t="s">
        <v>2402</v>
      </c>
      <c r="I223" s="86">
        <v>2019</v>
      </c>
      <c r="J223" s="66"/>
      <c r="K223" s="66"/>
      <c r="L223" s="66"/>
      <c r="M223" s="66" t="s">
        <v>2139</v>
      </c>
      <c r="N223" s="67" t="s">
        <v>2403</v>
      </c>
    </row>
    <row r="224" spans="1:15" ht="14.25" customHeight="1" x14ac:dyDescent="0.3">
      <c r="A224" s="74"/>
      <c r="B224" s="110"/>
      <c r="C224" s="83"/>
      <c r="D224" s="78"/>
      <c r="E224" s="79"/>
      <c r="F224" s="79"/>
      <c r="G224" s="79"/>
      <c r="H224" s="79"/>
      <c r="I224" s="80"/>
      <c r="J224" s="73"/>
      <c r="K224" s="73"/>
      <c r="L224" s="73"/>
      <c r="M224" s="73"/>
      <c r="N224" s="73"/>
    </row>
    <row r="225" spans="1:14" ht="14.25" customHeight="1" x14ac:dyDescent="0.3">
      <c r="A225" s="106">
        <v>211</v>
      </c>
      <c r="B225" s="204" t="s">
        <v>2404</v>
      </c>
      <c r="C225" s="102" t="s">
        <v>425</v>
      </c>
      <c r="D225" s="103" t="s">
        <v>1809</v>
      </c>
      <c r="E225" s="103" t="s">
        <v>423</v>
      </c>
      <c r="F225" s="103" t="s">
        <v>1810</v>
      </c>
      <c r="G225" s="103" t="s">
        <v>426</v>
      </c>
      <c r="H225" s="103" t="s">
        <v>2405</v>
      </c>
      <c r="I225" s="104">
        <v>1998</v>
      </c>
      <c r="J225" s="105">
        <v>506167</v>
      </c>
      <c r="K225" s="105"/>
      <c r="L225" s="105"/>
      <c r="M225" s="105" t="s">
        <v>2139</v>
      </c>
      <c r="N225" s="67" t="s">
        <v>2165</v>
      </c>
    </row>
    <row r="226" spans="1:14" ht="14.25" customHeight="1" x14ac:dyDescent="0.3">
      <c r="A226" s="106">
        <v>212</v>
      </c>
      <c r="B226" s="203"/>
      <c r="C226" s="102" t="s">
        <v>429</v>
      </c>
      <c r="D226" s="103" t="s">
        <v>1811</v>
      </c>
      <c r="E226" s="103" t="s">
        <v>423</v>
      </c>
      <c r="F226" s="103" t="s">
        <v>1812</v>
      </c>
      <c r="G226" s="103" t="s">
        <v>430</v>
      </c>
      <c r="H226" s="103" t="s">
        <v>2406</v>
      </c>
      <c r="I226" s="104">
        <v>1995</v>
      </c>
      <c r="J226" s="105"/>
      <c r="K226" s="105"/>
      <c r="L226" s="105"/>
      <c r="M226" s="105" t="s">
        <v>2407</v>
      </c>
      <c r="N226" s="67" t="s">
        <v>2171</v>
      </c>
    </row>
    <row r="227" spans="1:14" ht="14.25" customHeight="1" x14ac:dyDescent="0.3">
      <c r="A227" s="74"/>
      <c r="B227" s="110"/>
      <c r="C227" s="83"/>
      <c r="D227" s="79"/>
      <c r="E227" s="79"/>
      <c r="F227" s="79"/>
      <c r="G227" s="79"/>
      <c r="H227" s="79"/>
      <c r="I227" s="80"/>
      <c r="J227" s="73"/>
      <c r="K227" s="73"/>
      <c r="L227" s="73"/>
      <c r="M227" s="73"/>
      <c r="N227" s="73"/>
    </row>
    <row r="228" spans="1:14" ht="14.25" customHeight="1" x14ac:dyDescent="0.3">
      <c r="A228" s="62">
        <v>213</v>
      </c>
      <c r="B228" s="210" t="s">
        <v>2408</v>
      </c>
      <c r="C228" s="64" t="s">
        <v>445</v>
      </c>
      <c r="D228" s="65" t="s">
        <v>1816</v>
      </c>
      <c r="E228" s="65" t="s">
        <v>2409</v>
      </c>
      <c r="F228" s="65"/>
      <c r="G228" s="65" t="s">
        <v>446</v>
      </c>
      <c r="H228" s="65" t="s">
        <v>2410</v>
      </c>
      <c r="I228" s="86">
        <v>1996</v>
      </c>
      <c r="J228" s="66"/>
      <c r="K228" s="66"/>
      <c r="L228" s="66"/>
      <c r="M228" s="66" t="s">
        <v>2254</v>
      </c>
      <c r="N228" s="67" t="s">
        <v>2165</v>
      </c>
    </row>
    <row r="229" spans="1:14" ht="14.25" customHeight="1" x14ac:dyDescent="0.3">
      <c r="A229" s="62">
        <v>214</v>
      </c>
      <c r="B229" s="202"/>
      <c r="C229" s="64" t="s">
        <v>435</v>
      </c>
      <c r="D229" s="65" t="s">
        <v>1711</v>
      </c>
      <c r="E229" s="65" t="s">
        <v>2409</v>
      </c>
      <c r="F229" s="65" t="s">
        <v>1813</v>
      </c>
      <c r="G229" s="65" t="s">
        <v>436</v>
      </c>
      <c r="H229" s="65" t="s">
        <v>2411</v>
      </c>
      <c r="I229" s="86">
        <v>2006</v>
      </c>
      <c r="J229" s="124"/>
      <c r="K229" s="66"/>
      <c r="L229" s="66"/>
      <c r="M229" s="66" t="s">
        <v>2139</v>
      </c>
      <c r="N229" s="67" t="s">
        <v>2165</v>
      </c>
    </row>
    <row r="230" spans="1:14" ht="14.25" customHeight="1" x14ac:dyDescent="0.3">
      <c r="A230" s="62">
        <v>215</v>
      </c>
      <c r="B230" s="202"/>
      <c r="C230" s="64" t="s">
        <v>438</v>
      </c>
      <c r="D230" s="65" t="s">
        <v>1720</v>
      </c>
      <c r="E230" s="65" t="s">
        <v>2409</v>
      </c>
      <c r="F230" s="65" t="s">
        <v>1814</v>
      </c>
      <c r="G230" s="65" t="s">
        <v>439</v>
      </c>
      <c r="H230" s="65" t="s">
        <v>2412</v>
      </c>
      <c r="I230" s="86">
        <v>2005</v>
      </c>
      <c r="J230" s="99" t="s">
        <v>2413</v>
      </c>
      <c r="K230" s="99" t="s">
        <v>2413</v>
      </c>
      <c r="L230" s="66" t="s">
        <v>2414</v>
      </c>
      <c r="M230" s="66" t="s">
        <v>2254</v>
      </c>
      <c r="N230" s="67" t="s">
        <v>2165</v>
      </c>
    </row>
    <row r="231" spans="1:14" ht="14.25" customHeight="1" x14ac:dyDescent="0.3">
      <c r="A231" s="62">
        <v>216</v>
      </c>
      <c r="B231" s="202"/>
      <c r="C231" s="64" t="s">
        <v>442</v>
      </c>
      <c r="D231" s="65" t="s">
        <v>1720</v>
      </c>
      <c r="E231" s="65" t="s">
        <v>2409</v>
      </c>
      <c r="F231" s="65" t="s">
        <v>1815</v>
      </c>
      <c r="G231" s="65" t="s">
        <v>443</v>
      </c>
      <c r="H231" s="65" t="s">
        <v>2415</v>
      </c>
      <c r="I231" s="86">
        <v>2003</v>
      </c>
      <c r="J231" s="125" t="s">
        <v>2416</v>
      </c>
      <c r="K231" s="125" t="s">
        <v>2416</v>
      </c>
      <c r="L231" s="66">
        <v>832137</v>
      </c>
      <c r="M231" s="66" t="s">
        <v>2254</v>
      </c>
      <c r="N231" s="67" t="s">
        <v>2165</v>
      </c>
    </row>
    <row r="232" spans="1:14" ht="14.25" customHeight="1" x14ac:dyDescent="0.3">
      <c r="A232" s="62">
        <v>217</v>
      </c>
      <c r="B232" s="203"/>
      <c r="C232" s="64" t="s">
        <v>1563</v>
      </c>
      <c r="D232" s="65" t="s">
        <v>1711</v>
      </c>
      <c r="E232" s="65" t="s">
        <v>2417</v>
      </c>
      <c r="F232" s="65" t="s">
        <v>1822</v>
      </c>
      <c r="G232" s="65" t="s">
        <v>1564</v>
      </c>
      <c r="H232" s="65" t="s">
        <v>2418</v>
      </c>
      <c r="I232" s="86">
        <v>2010</v>
      </c>
      <c r="J232" s="66"/>
      <c r="K232" s="66"/>
      <c r="L232" s="66"/>
      <c r="M232" s="66" t="s">
        <v>2254</v>
      </c>
      <c r="N232" s="67" t="s">
        <v>2165</v>
      </c>
    </row>
    <row r="233" spans="1:14" ht="14.25" customHeight="1" x14ac:dyDescent="0.3">
      <c r="A233" s="74"/>
      <c r="B233" s="110"/>
      <c r="C233" s="83"/>
      <c r="D233" s="78"/>
      <c r="E233" s="79"/>
      <c r="F233" s="79"/>
      <c r="G233" s="79"/>
      <c r="H233" s="79"/>
      <c r="I233" s="80"/>
      <c r="J233" s="73"/>
      <c r="K233" s="73"/>
      <c r="L233" s="73"/>
      <c r="M233" s="73"/>
      <c r="N233" s="73"/>
    </row>
    <row r="234" spans="1:14" ht="14.25" customHeight="1" x14ac:dyDescent="0.3">
      <c r="A234" s="106">
        <v>218</v>
      </c>
      <c r="B234" s="209" t="s">
        <v>2419</v>
      </c>
      <c r="C234" s="102" t="s">
        <v>478</v>
      </c>
      <c r="D234" s="126" t="s">
        <v>1823</v>
      </c>
      <c r="E234" s="126" t="s">
        <v>2420</v>
      </c>
      <c r="F234" s="126" t="s">
        <v>1828</v>
      </c>
      <c r="G234" s="126" t="s">
        <v>479</v>
      </c>
      <c r="H234" s="126" t="s">
        <v>2421</v>
      </c>
      <c r="I234" s="127">
        <v>2008</v>
      </c>
      <c r="J234" s="105" t="s">
        <v>2422</v>
      </c>
      <c r="K234" s="105">
        <v>10707</v>
      </c>
      <c r="L234" s="105">
        <v>15126</v>
      </c>
      <c r="M234" s="105" t="s">
        <v>2139</v>
      </c>
      <c r="N234" s="67" t="s">
        <v>2423</v>
      </c>
    </row>
    <row r="235" spans="1:14" ht="14.25" customHeight="1" x14ac:dyDescent="0.3">
      <c r="A235" s="106">
        <v>219</v>
      </c>
      <c r="B235" s="203"/>
      <c r="C235" s="102" t="s">
        <v>475</v>
      </c>
      <c r="D235" s="126" t="s">
        <v>1774</v>
      </c>
      <c r="E235" s="126" t="s">
        <v>2420</v>
      </c>
      <c r="F235" s="126" t="s">
        <v>1827</v>
      </c>
      <c r="G235" s="126" t="s">
        <v>476</v>
      </c>
      <c r="H235" s="126" t="s">
        <v>2424</v>
      </c>
      <c r="I235" s="127">
        <v>2019</v>
      </c>
      <c r="J235" s="105" t="s">
        <v>1827</v>
      </c>
      <c r="K235" s="105"/>
      <c r="L235" s="105" t="s">
        <v>2425</v>
      </c>
      <c r="M235" s="105" t="s">
        <v>2139</v>
      </c>
      <c r="N235" s="67" t="s">
        <v>2426</v>
      </c>
    </row>
    <row r="236" spans="1:14" ht="14.25" customHeight="1" x14ac:dyDescent="0.3">
      <c r="A236" s="74"/>
      <c r="B236" s="110"/>
      <c r="C236" s="83"/>
      <c r="D236" s="79"/>
      <c r="E236" s="79"/>
      <c r="F236" s="79"/>
      <c r="G236" s="79"/>
      <c r="H236" s="79"/>
      <c r="I236" s="80"/>
      <c r="J236" s="73"/>
      <c r="K236" s="73"/>
      <c r="L236" s="73"/>
      <c r="M236" s="73"/>
      <c r="N236" s="73"/>
    </row>
    <row r="237" spans="1:14" ht="14.25" customHeight="1" x14ac:dyDescent="0.3">
      <c r="A237" s="62">
        <v>220</v>
      </c>
      <c r="B237" s="213" t="s">
        <v>2427</v>
      </c>
      <c r="C237" s="64" t="s">
        <v>524</v>
      </c>
      <c r="D237" s="65" t="s">
        <v>1829</v>
      </c>
      <c r="E237" s="65" t="s">
        <v>2428</v>
      </c>
      <c r="F237" s="65" t="s">
        <v>1830</v>
      </c>
      <c r="G237" s="65" t="s">
        <v>525</v>
      </c>
      <c r="H237" s="65" t="s">
        <v>2429</v>
      </c>
      <c r="I237" s="86">
        <v>2005</v>
      </c>
      <c r="J237" s="66"/>
      <c r="K237" s="66"/>
      <c r="L237" s="66"/>
      <c r="M237" s="66" t="s">
        <v>2139</v>
      </c>
      <c r="N237" s="67" t="s">
        <v>2430</v>
      </c>
    </row>
    <row r="238" spans="1:14" ht="14.25" customHeight="1" x14ac:dyDescent="0.3">
      <c r="A238" s="62">
        <v>221</v>
      </c>
      <c r="B238" s="202"/>
      <c r="C238" s="64" t="s">
        <v>542</v>
      </c>
      <c r="D238" s="65" t="s">
        <v>1841</v>
      </c>
      <c r="E238" s="65" t="s">
        <v>2428</v>
      </c>
      <c r="F238" s="65" t="s">
        <v>1840</v>
      </c>
      <c r="G238" s="65" t="s">
        <v>543</v>
      </c>
      <c r="H238" s="65" t="s">
        <v>2431</v>
      </c>
      <c r="I238" s="86"/>
      <c r="J238" s="66"/>
      <c r="K238" s="66"/>
      <c r="L238" s="66"/>
      <c r="M238" s="66" t="s">
        <v>2139</v>
      </c>
      <c r="N238" s="67" t="s">
        <v>2432</v>
      </c>
    </row>
    <row r="239" spans="1:14" ht="14.25" customHeight="1" x14ac:dyDescent="0.3">
      <c r="A239" s="62">
        <v>222</v>
      </c>
      <c r="B239" s="202"/>
      <c r="C239" s="64" t="s">
        <v>535</v>
      </c>
      <c r="D239" s="65" t="s">
        <v>1720</v>
      </c>
      <c r="E239" s="65" t="s">
        <v>2428</v>
      </c>
      <c r="F239" s="65" t="s">
        <v>1840</v>
      </c>
      <c r="G239" s="65" t="s">
        <v>536</v>
      </c>
      <c r="H239" s="65" t="s">
        <v>2433</v>
      </c>
      <c r="I239" s="86">
        <v>1997</v>
      </c>
      <c r="J239" s="66"/>
      <c r="K239" s="66" t="s">
        <v>2434</v>
      </c>
      <c r="L239" s="66"/>
      <c r="M239" s="66" t="s">
        <v>2139</v>
      </c>
      <c r="N239" s="67" t="s">
        <v>2435</v>
      </c>
    </row>
    <row r="240" spans="1:14" ht="14.25" customHeight="1" x14ac:dyDescent="0.3">
      <c r="A240" s="62">
        <v>223</v>
      </c>
      <c r="B240" s="202"/>
      <c r="C240" s="64" t="s">
        <v>539</v>
      </c>
      <c r="D240" s="65" t="s">
        <v>1841</v>
      </c>
      <c r="E240" s="65" t="s">
        <v>2428</v>
      </c>
      <c r="F240" s="65" t="s">
        <v>1840</v>
      </c>
      <c r="G240" s="65" t="s">
        <v>540</v>
      </c>
      <c r="H240" s="65" t="s">
        <v>2433</v>
      </c>
      <c r="I240" s="86">
        <v>1985</v>
      </c>
      <c r="J240" s="66"/>
      <c r="K240" s="66"/>
      <c r="L240" s="66"/>
      <c r="M240" s="66" t="s">
        <v>2139</v>
      </c>
      <c r="N240" s="67" t="s">
        <v>2436</v>
      </c>
    </row>
    <row r="241" spans="1:14" ht="14.25" customHeight="1" x14ac:dyDescent="0.3">
      <c r="A241" s="62">
        <v>224</v>
      </c>
      <c r="B241" s="202"/>
      <c r="C241" s="64" t="s">
        <v>529</v>
      </c>
      <c r="D241" s="65" t="s">
        <v>1718</v>
      </c>
      <c r="E241" s="65" t="s">
        <v>2428</v>
      </c>
      <c r="F241" s="65" t="s">
        <v>1835</v>
      </c>
      <c r="G241" s="65" t="s">
        <v>530</v>
      </c>
      <c r="H241" s="65" t="s">
        <v>2437</v>
      </c>
      <c r="I241" s="86">
        <v>2003</v>
      </c>
      <c r="J241" s="66"/>
      <c r="K241" s="66" t="s">
        <v>2438</v>
      </c>
      <c r="L241" s="66" t="s">
        <v>2439</v>
      </c>
      <c r="M241" s="66" t="s">
        <v>2139</v>
      </c>
      <c r="N241" s="67" t="s">
        <v>2440</v>
      </c>
    </row>
    <row r="242" spans="1:14" ht="14.25" customHeight="1" x14ac:dyDescent="0.3">
      <c r="A242" s="62">
        <v>225</v>
      </c>
      <c r="B242" s="202"/>
      <c r="C242" s="64" t="s">
        <v>532</v>
      </c>
      <c r="D242" s="65" t="s">
        <v>1718</v>
      </c>
      <c r="E242" s="65" t="s">
        <v>2428</v>
      </c>
      <c r="F242" s="65" t="s">
        <v>1840</v>
      </c>
      <c r="G242" s="65" t="s">
        <v>533</v>
      </c>
      <c r="H242" s="65" t="s">
        <v>2431</v>
      </c>
      <c r="I242" s="86">
        <v>1999</v>
      </c>
      <c r="J242" s="66"/>
      <c r="K242" s="66"/>
      <c r="L242" s="66"/>
      <c r="M242" s="66" t="s">
        <v>2139</v>
      </c>
      <c r="N242" s="67" t="s">
        <v>2188</v>
      </c>
    </row>
    <row r="243" spans="1:14" ht="14.25" customHeight="1" x14ac:dyDescent="0.3">
      <c r="A243" s="62">
        <v>226</v>
      </c>
      <c r="B243" s="202"/>
      <c r="C243" s="64" t="s">
        <v>508</v>
      </c>
      <c r="D243" s="65" t="s">
        <v>1832</v>
      </c>
      <c r="E243" s="65" t="s">
        <v>2428</v>
      </c>
      <c r="F243" s="65" t="s">
        <v>1834</v>
      </c>
      <c r="G243" s="65" t="s">
        <v>509</v>
      </c>
      <c r="H243" s="65" t="s">
        <v>2441</v>
      </c>
      <c r="I243" s="86">
        <v>2011</v>
      </c>
      <c r="J243" s="66"/>
      <c r="K243" s="66"/>
      <c r="L243" s="66"/>
      <c r="M243" s="66" t="s">
        <v>2139</v>
      </c>
      <c r="N243" s="67" t="s">
        <v>2171</v>
      </c>
    </row>
    <row r="244" spans="1:14" ht="14.25" customHeight="1" x14ac:dyDescent="0.3">
      <c r="A244" s="62">
        <v>227</v>
      </c>
      <c r="B244" s="202"/>
      <c r="C244" s="64" t="s">
        <v>511</v>
      </c>
      <c r="D244" s="65" t="s">
        <v>1718</v>
      </c>
      <c r="E244" s="65" t="s">
        <v>2428</v>
      </c>
      <c r="F244" s="65" t="s">
        <v>1835</v>
      </c>
      <c r="G244" s="65" t="s">
        <v>512</v>
      </c>
      <c r="H244" s="65" t="s">
        <v>2437</v>
      </c>
      <c r="I244" s="86">
        <v>2008</v>
      </c>
      <c r="J244" s="66"/>
      <c r="K244" s="66"/>
      <c r="L244" s="66"/>
      <c r="M244" s="66" t="s">
        <v>2139</v>
      </c>
      <c r="N244" s="73"/>
    </row>
    <row r="245" spans="1:14" ht="14.25" customHeight="1" x14ac:dyDescent="0.3">
      <c r="A245" s="62">
        <v>228</v>
      </c>
      <c r="B245" s="202"/>
      <c r="C245" s="64" t="s">
        <v>527</v>
      </c>
      <c r="D245" s="65" t="s">
        <v>1838</v>
      </c>
      <c r="E245" s="65" t="s">
        <v>2428</v>
      </c>
      <c r="F245" s="65" t="s">
        <v>1839</v>
      </c>
      <c r="G245" s="65" t="s">
        <v>528</v>
      </c>
      <c r="H245" s="65" t="s">
        <v>2442</v>
      </c>
      <c r="I245" s="86">
        <v>2005</v>
      </c>
      <c r="J245" s="66"/>
      <c r="K245" s="66"/>
      <c r="L245" s="66"/>
      <c r="M245" s="66" t="s">
        <v>2139</v>
      </c>
      <c r="N245" s="73"/>
    </row>
    <row r="246" spans="1:14" ht="14.25" customHeight="1" x14ac:dyDescent="0.3">
      <c r="A246" s="62">
        <v>229</v>
      </c>
      <c r="B246" s="202"/>
      <c r="C246" s="64" t="s">
        <v>514</v>
      </c>
      <c r="D246" s="65" t="s">
        <v>1829</v>
      </c>
      <c r="E246" s="65" t="s">
        <v>2428</v>
      </c>
      <c r="F246" s="65" t="s">
        <v>1836</v>
      </c>
      <c r="G246" s="65" t="s">
        <v>515</v>
      </c>
      <c r="H246" s="65" t="s">
        <v>2443</v>
      </c>
      <c r="I246" s="86">
        <v>2008</v>
      </c>
      <c r="J246" s="66"/>
      <c r="K246" s="66"/>
      <c r="L246" s="66"/>
      <c r="M246" s="66" t="s">
        <v>2139</v>
      </c>
      <c r="N246" s="73"/>
    </row>
    <row r="247" spans="1:14" ht="14.25" customHeight="1" x14ac:dyDescent="0.3">
      <c r="A247" s="62">
        <v>230</v>
      </c>
      <c r="B247" s="202"/>
      <c r="C247" s="64" t="s">
        <v>516</v>
      </c>
      <c r="D247" s="65" t="s">
        <v>1829</v>
      </c>
      <c r="E247" s="65" t="s">
        <v>2428</v>
      </c>
      <c r="F247" s="65" t="s">
        <v>1836</v>
      </c>
      <c r="G247" s="65" t="s">
        <v>517</v>
      </c>
      <c r="H247" s="65" t="s">
        <v>2444</v>
      </c>
      <c r="I247" s="86">
        <v>2007</v>
      </c>
      <c r="J247" s="66"/>
      <c r="K247" s="66"/>
      <c r="L247" s="66"/>
      <c r="M247" s="66" t="s">
        <v>2139</v>
      </c>
      <c r="N247" s="73"/>
    </row>
    <row r="248" spans="1:14" ht="14.25" customHeight="1" x14ac:dyDescent="0.3">
      <c r="A248" s="62">
        <v>231</v>
      </c>
      <c r="B248" s="202"/>
      <c r="C248" s="64" t="s">
        <v>504</v>
      </c>
      <c r="D248" s="65" t="s">
        <v>1832</v>
      </c>
      <c r="E248" s="65" t="s">
        <v>2428</v>
      </c>
      <c r="F248" s="65" t="s">
        <v>1834</v>
      </c>
      <c r="G248" s="65" t="s">
        <v>505</v>
      </c>
      <c r="H248" s="65" t="s">
        <v>2441</v>
      </c>
      <c r="I248" s="86">
        <v>2015</v>
      </c>
      <c r="J248" s="66"/>
      <c r="K248" s="66"/>
      <c r="L248" s="66"/>
      <c r="M248" s="66" t="s">
        <v>2139</v>
      </c>
      <c r="N248" s="67" t="s">
        <v>2158</v>
      </c>
    </row>
    <row r="249" spans="1:14" ht="14.25" customHeight="1" x14ac:dyDescent="0.3">
      <c r="A249" s="62">
        <v>232</v>
      </c>
      <c r="B249" s="202"/>
      <c r="C249" s="64" t="s">
        <v>501</v>
      </c>
      <c r="D249" s="65" t="s">
        <v>1832</v>
      </c>
      <c r="E249" s="65" t="s">
        <v>2428</v>
      </c>
      <c r="F249" s="65" t="s">
        <v>1833</v>
      </c>
      <c r="G249" s="65" t="s">
        <v>502</v>
      </c>
      <c r="H249" s="65" t="s">
        <v>2445</v>
      </c>
      <c r="I249" s="86">
        <v>2016</v>
      </c>
      <c r="J249" s="66"/>
      <c r="K249" s="66"/>
      <c r="L249" s="66"/>
      <c r="M249" s="66" t="s">
        <v>2139</v>
      </c>
      <c r="N249" s="67" t="s">
        <v>2446</v>
      </c>
    </row>
    <row r="250" spans="1:14" ht="14.25" customHeight="1" x14ac:dyDescent="0.3">
      <c r="A250" s="62">
        <v>233</v>
      </c>
      <c r="B250" s="202"/>
      <c r="C250" s="64" t="s">
        <v>506</v>
      </c>
      <c r="D250" s="65" t="s">
        <v>1829</v>
      </c>
      <c r="E250" s="65" t="s">
        <v>2428</v>
      </c>
      <c r="F250" s="65" t="s">
        <v>1830</v>
      </c>
      <c r="G250" s="65" t="s">
        <v>507</v>
      </c>
      <c r="H250" s="65" t="s">
        <v>2447</v>
      </c>
      <c r="I250" s="86">
        <v>2012</v>
      </c>
      <c r="J250" s="66"/>
      <c r="K250" s="66"/>
      <c r="L250" s="66"/>
      <c r="M250" s="66" t="s">
        <v>2139</v>
      </c>
      <c r="N250" s="67" t="s">
        <v>2430</v>
      </c>
    </row>
    <row r="251" spans="1:14" ht="14.25" customHeight="1" x14ac:dyDescent="0.3">
      <c r="A251" s="62">
        <v>234</v>
      </c>
      <c r="B251" s="202"/>
      <c r="C251" s="64" t="s">
        <v>519</v>
      </c>
      <c r="D251" s="65" t="s">
        <v>1829</v>
      </c>
      <c r="E251" s="65" t="s">
        <v>2428</v>
      </c>
      <c r="F251" s="65" t="s">
        <v>1830</v>
      </c>
      <c r="G251" s="65" t="s">
        <v>520</v>
      </c>
      <c r="H251" s="65" t="s">
        <v>2447</v>
      </c>
      <c r="I251" s="86">
        <v>2007</v>
      </c>
      <c r="J251" s="66"/>
      <c r="K251" s="66"/>
      <c r="L251" s="66"/>
      <c r="M251" s="66" t="s">
        <v>2139</v>
      </c>
      <c r="N251" s="67" t="s">
        <v>2448</v>
      </c>
    </row>
    <row r="252" spans="1:14" ht="14.25" customHeight="1" x14ac:dyDescent="0.3">
      <c r="A252" s="62">
        <v>235</v>
      </c>
      <c r="B252" s="202"/>
      <c r="C252" s="64" t="s">
        <v>522</v>
      </c>
      <c r="D252" s="65" t="s">
        <v>1829</v>
      </c>
      <c r="E252" s="65" t="s">
        <v>2428</v>
      </c>
      <c r="F252" s="65" t="s">
        <v>1837</v>
      </c>
      <c r="G252" s="65" t="s">
        <v>523</v>
      </c>
      <c r="H252" s="65" t="s">
        <v>2447</v>
      </c>
      <c r="I252" s="86">
        <v>2007</v>
      </c>
      <c r="J252" s="66"/>
      <c r="K252" s="66"/>
      <c r="L252" s="66"/>
      <c r="M252" s="66" t="s">
        <v>2139</v>
      </c>
      <c r="N252" s="67" t="s">
        <v>2449</v>
      </c>
    </row>
    <row r="253" spans="1:14" ht="14.25" customHeight="1" x14ac:dyDescent="0.3">
      <c r="A253" s="62">
        <v>236</v>
      </c>
      <c r="B253" s="202"/>
      <c r="C253" s="64" t="s">
        <v>483</v>
      </c>
      <c r="D253" s="65" t="s">
        <v>1829</v>
      </c>
      <c r="E253" s="65" t="s">
        <v>2428</v>
      </c>
      <c r="F253" s="65" t="s">
        <v>1830</v>
      </c>
      <c r="G253" s="65" t="s">
        <v>484</v>
      </c>
      <c r="H253" s="65" t="s">
        <v>2450</v>
      </c>
      <c r="I253" s="86">
        <v>2019</v>
      </c>
      <c r="J253" s="66"/>
      <c r="K253" s="66"/>
      <c r="L253" s="66"/>
      <c r="M253" s="66" t="s">
        <v>2139</v>
      </c>
      <c r="N253" s="73" t="s">
        <v>2451</v>
      </c>
    </row>
    <row r="254" spans="1:14" ht="14.25" customHeight="1" x14ac:dyDescent="0.3">
      <c r="A254" s="62">
        <v>237</v>
      </c>
      <c r="B254" s="202"/>
      <c r="C254" s="64" t="s">
        <v>485</v>
      </c>
      <c r="D254" s="65" t="s">
        <v>1829</v>
      </c>
      <c r="E254" s="65" t="s">
        <v>2428</v>
      </c>
      <c r="F254" s="65" t="s">
        <v>1830</v>
      </c>
      <c r="G254" s="65" t="s">
        <v>486</v>
      </c>
      <c r="H254" s="65" t="s">
        <v>2452</v>
      </c>
      <c r="I254" s="86">
        <v>2019</v>
      </c>
      <c r="J254" s="66"/>
      <c r="K254" s="66"/>
      <c r="L254" s="66"/>
      <c r="M254" s="66" t="s">
        <v>2139</v>
      </c>
      <c r="N254" s="73" t="s">
        <v>2451</v>
      </c>
    </row>
    <row r="255" spans="1:14" ht="14.25" customHeight="1" x14ac:dyDescent="0.3">
      <c r="A255" s="62">
        <v>238</v>
      </c>
      <c r="B255" s="202"/>
      <c r="C255" s="64" t="s">
        <v>487</v>
      </c>
      <c r="D255" s="65" t="s">
        <v>1829</v>
      </c>
      <c r="E255" s="65" t="s">
        <v>2428</v>
      </c>
      <c r="F255" s="65" t="s">
        <v>1830</v>
      </c>
      <c r="G255" s="65" t="s">
        <v>488</v>
      </c>
      <c r="H255" s="65" t="s">
        <v>2452</v>
      </c>
      <c r="I255" s="86">
        <v>2019</v>
      </c>
      <c r="J255" s="66"/>
      <c r="K255" s="66"/>
      <c r="L255" s="66"/>
      <c r="M255" s="66" t="s">
        <v>2139</v>
      </c>
      <c r="N255" s="73" t="s">
        <v>2451</v>
      </c>
    </row>
    <row r="256" spans="1:14" ht="14.25" customHeight="1" x14ac:dyDescent="0.3">
      <c r="A256" s="62">
        <v>239</v>
      </c>
      <c r="B256" s="202"/>
      <c r="C256" s="64" t="s">
        <v>489</v>
      </c>
      <c r="D256" s="65" t="s">
        <v>1829</v>
      </c>
      <c r="E256" s="65" t="s">
        <v>2428</v>
      </c>
      <c r="F256" s="65" t="s">
        <v>1830</v>
      </c>
      <c r="G256" s="65" t="s">
        <v>490</v>
      </c>
      <c r="H256" s="65" t="s">
        <v>2452</v>
      </c>
      <c r="I256" s="86">
        <v>2019</v>
      </c>
      <c r="J256" s="66"/>
      <c r="K256" s="66"/>
      <c r="L256" s="66"/>
      <c r="M256" s="66" t="s">
        <v>2139</v>
      </c>
      <c r="N256" s="73" t="s">
        <v>2451</v>
      </c>
    </row>
    <row r="257" spans="1:15" ht="14.25" customHeight="1" x14ac:dyDescent="0.3">
      <c r="A257" s="62">
        <v>240</v>
      </c>
      <c r="B257" s="202"/>
      <c r="C257" s="64" t="s">
        <v>491</v>
      </c>
      <c r="D257" s="65" t="s">
        <v>1829</v>
      </c>
      <c r="E257" s="65" t="s">
        <v>2428</v>
      </c>
      <c r="F257" s="65" t="s">
        <v>1830</v>
      </c>
      <c r="G257" s="65" t="s">
        <v>492</v>
      </c>
      <c r="H257" s="65" t="s">
        <v>2452</v>
      </c>
      <c r="I257" s="86">
        <v>2019</v>
      </c>
      <c r="J257" s="66"/>
      <c r="K257" s="66"/>
      <c r="L257" s="66"/>
      <c r="M257" s="66" t="s">
        <v>2139</v>
      </c>
      <c r="N257" s="73" t="s">
        <v>2451</v>
      </c>
    </row>
    <row r="258" spans="1:15" ht="14.25" customHeight="1" x14ac:dyDescent="0.3">
      <c r="A258" s="62">
        <v>241</v>
      </c>
      <c r="B258" s="202"/>
      <c r="C258" s="64" t="s">
        <v>493</v>
      </c>
      <c r="D258" s="65" t="s">
        <v>1829</v>
      </c>
      <c r="E258" s="65" t="s">
        <v>2428</v>
      </c>
      <c r="F258" s="65" t="s">
        <v>1830</v>
      </c>
      <c r="G258" s="65" t="s">
        <v>494</v>
      </c>
      <c r="H258" s="65" t="s">
        <v>2452</v>
      </c>
      <c r="I258" s="86">
        <v>2019</v>
      </c>
      <c r="J258" s="66"/>
      <c r="K258" s="66"/>
      <c r="L258" s="66"/>
      <c r="M258" s="66" t="s">
        <v>2139</v>
      </c>
      <c r="N258" s="73" t="s">
        <v>2451</v>
      </c>
    </row>
    <row r="259" spans="1:15" ht="14.25" customHeight="1" x14ac:dyDescent="0.3">
      <c r="A259" s="62">
        <v>242</v>
      </c>
      <c r="B259" s="202"/>
      <c r="C259" s="64" t="s">
        <v>496</v>
      </c>
      <c r="D259" s="65" t="s">
        <v>1829</v>
      </c>
      <c r="E259" s="65" t="s">
        <v>2428</v>
      </c>
      <c r="F259" s="65" t="s">
        <v>1831</v>
      </c>
      <c r="G259" s="65" t="s">
        <v>497</v>
      </c>
      <c r="H259" s="65" t="s">
        <v>2452</v>
      </c>
      <c r="I259" s="86">
        <v>2017</v>
      </c>
      <c r="J259" s="66"/>
      <c r="K259" s="66"/>
      <c r="L259" s="66"/>
      <c r="M259" s="66" t="s">
        <v>2139</v>
      </c>
      <c r="N259" s="73" t="s">
        <v>2451</v>
      </c>
    </row>
    <row r="260" spans="1:15" ht="14.25" customHeight="1" x14ac:dyDescent="0.3">
      <c r="A260" s="62">
        <v>243</v>
      </c>
      <c r="B260" s="202"/>
      <c r="C260" s="64" t="s">
        <v>498</v>
      </c>
      <c r="D260" s="65" t="s">
        <v>1829</v>
      </c>
      <c r="E260" s="65" t="s">
        <v>2428</v>
      </c>
      <c r="F260" s="65" t="s">
        <v>1830</v>
      </c>
      <c r="G260" s="65" t="s">
        <v>499</v>
      </c>
      <c r="H260" s="65" t="s">
        <v>2453</v>
      </c>
      <c r="I260" s="86">
        <v>2017</v>
      </c>
      <c r="J260" s="66"/>
      <c r="K260" s="66"/>
      <c r="L260" s="66"/>
      <c r="M260" s="66" t="s">
        <v>2139</v>
      </c>
      <c r="N260" s="73" t="s">
        <v>2451</v>
      </c>
    </row>
    <row r="261" spans="1:15" ht="14.25" customHeight="1" x14ac:dyDescent="0.3">
      <c r="A261" s="63">
        <v>244</v>
      </c>
      <c r="B261" s="203"/>
      <c r="C261" s="64"/>
      <c r="D261" s="65" t="s">
        <v>1829</v>
      </c>
      <c r="E261" s="65" t="s">
        <v>2428</v>
      </c>
      <c r="F261" s="65"/>
      <c r="G261" s="65" t="s">
        <v>2454</v>
      </c>
      <c r="H261" s="65"/>
      <c r="I261" s="86"/>
      <c r="J261" s="66"/>
      <c r="K261" s="66"/>
      <c r="L261" s="66"/>
      <c r="M261" s="66" t="s">
        <v>2139</v>
      </c>
      <c r="N261" s="67" t="s">
        <v>2165</v>
      </c>
    </row>
    <row r="262" spans="1:15" ht="14.25" customHeight="1" x14ac:dyDescent="0.3">
      <c r="A262" s="74"/>
      <c r="B262" s="110"/>
      <c r="C262" s="83"/>
      <c r="D262" s="78"/>
      <c r="E262" s="79"/>
      <c r="F262" s="79"/>
      <c r="G262" s="79"/>
      <c r="H262" s="79"/>
      <c r="I262" s="80"/>
      <c r="J262" s="73"/>
      <c r="K262" s="73"/>
      <c r="L262" s="73"/>
      <c r="M262" s="73"/>
      <c r="N262" s="73"/>
    </row>
    <row r="263" spans="1:15" ht="14.25" customHeight="1" x14ac:dyDescent="0.3">
      <c r="A263" s="128">
        <v>245</v>
      </c>
      <c r="B263" s="204" t="s">
        <v>545</v>
      </c>
      <c r="C263" s="102" t="s">
        <v>548</v>
      </c>
      <c r="D263" s="103" t="s">
        <v>1829</v>
      </c>
      <c r="E263" s="103" t="s">
        <v>546</v>
      </c>
      <c r="F263" s="103" t="s">
        <v>1844</v>
      </c>
      <c r="G263" s="103" t="s">
        <v>549</v>
      </c>
      <c r="H263" s="103" t="s">
        <v>2455</v>
      </c>
      <c r="I263" s="104">
        <v>1987</v>
      </c>
      <c r="J263" s="105"/>
      <c r="K263" s="105"/>
      <c r="L263" s="105"/>
      <c r="M263" s="105" t="s">
        <v>2139</v>
      </c>
      <c r="N263" s="67" t="s">
        <v>2456</v>
      </c>
      <c r="O263" t="s">
        <v>2457</v>
      </c>
    </row>
    <row r="264" spans="1:15" s="55" customFormat="1" ht="14.25" customHeight="1" x14ac:dyDescent="0.3">
      <c r="A264" s="129">
        <v>246</v>
      </c>
      <c r="B264" s="202"/>
      <c r="C264" s="90"/>
      <c r="D264" s="92" t="s">
        <v>1829</v>
      </c>
      <c r="E264" s="92" t="s">
        <v>546</v>
      </c>
      <c r="F264" s="92" t="s">
        <v>1843</v>
      </c>
      <c r="G264" s="92" t="s">
        <v>1620</v>
      </c>
      <c r="H264" s="92" t="s">
        <v>2458</v>
      </c>
      <c r="I264" s="94">
        <v>1989</v>
      </c>
      <c r="J264" s="95"/>
      <c r="K264" s="95"/>
      <c r="L264" s="95"/>
      <c r="M264" s="95" t="s">
        <v>2139</v>
      </c>
      <c r="N264" s="95" t="s">
        <v>2271</v>
      </c>
    </row>
    <row r="265" spans="1:15" s="55" customFormat="1" ht="14.25" customHeight="1" x14ac:dyDescent="0.3">
      <c r="A265" s="129">
        <v>247</v>
      </c>
      <c r="B265" s="203"/>
      <c r="C265" s="90"/>
      <c r="D265" s="92" t="s">
        <v>1829</v>
      </c>
      <c r="E265" s="92" t="s">
        <v>546</v>
      </c>
      <c r="F265" s="92" t="s">
        <v>1842</v>
      </c>
      <c r="G265" s="92" t="s">
        <v>1622</v>
      </c>
      <c r="H265" s="92" t="s">
        <v>2459</v>
      </c>
      <c r="I265" s="94">
        <v>2006</v>
      </c>
      <c r="J265" s="95"/>
      <c r="K265" s="95"/>
      <c r="L265" s="95"/>
      <c r="M265" s="95" t="s">
        <v>2139</v>
      </c>
      <c r="N265" s="95" t="s">
        <v>2271</v>
      </c>
    </row>
    <row r="266" spans="1:15" ht="14.25" customHeight="1" x14ac:dyDescent="0.3">
      <c r="A266" s="74"/>
      <c r="B266" s="110"/>
      <c r="C266" s="83"/>
      <c r="D266" s="79"/>
      <c r="E266" s="79"/>
      <c r="F266" s="79"/>
      <c r="G266" s="79"/>
      <c r="H266" s="79"/>
      <c r="I266" s="80"/>
      <c r="J266" s="73"/>
      <c r="K266" s="73"/>
      <c r="L266" s="73"/>
      <c r="M266" s="73"/>
      <c r="N266" s="73"/>
    </row>
    <row r="267" spans="1:15" ht="14.25" customHeight="1" x14ac:dyDescent="0.3">
      <c r="A267" s="62">
        <v>248</v>
      </c>
      <c r="B267" s="210" t="s">
        <v>554</v>
      </c>
      <c r="C267" s="64" t="s">
        <v>572</v>
      </c>
      <c r="D267" s="65" t="s">
        <v>1829</v>
      </c>
      <c r="E267" s="65" t="s">
        <v>2460</v>
      </c>
      <c r="F267" s="65" t="s">
        <v>1849</v>
      </c>
      <c r="G267" s="65" t="s">
        <v>573</v>
      </c>
      <c r="H267" s="65" t="s">
        <v>2461</v>
      </c>
      <c r="I267" s="86">
        <v>2000</v>
      </c>
      <c r="J267" s="66"/>
      <c r="K267" s="66"/>
      <c r="L267" s="66"/>
      <c r="M267" s="66" t="s">
        <v>2139</v>
      </c>
      <c r="N267" s="67" t="s">
        <v>2462</v>
      </c>
    </row>
    <row r="268" spans="1:15" ht="14.25" customHeight="1" x14ac:dyDescent="0.3">
      <c r="A268" s="62">
        <v>249</v>
      </c>
      <c r="B268" s="202"/>
      <c r="C268" s="64" t="s">
        <v>575</v>
      </c>
      <c r="D268" s="65" t="s">
        <v>1829</v>
      </c>
      <c r="E268" s="65" t="s">
        <v>2460</v>
      </c>
      <c r="F268" s="65" t="s">
        <v>1850</v>
      </c>
      <c r="G268" s="65" t="s">
        <v>576</v>
      </c>
      <c r="H268" s="65" t="s">
        <v>2463</v>
      </c>
      <c r="I268" s="86">
        <v>1997</v>
      </c>
      <c r="J268" s="66"/>
      <c r="K268" s="66"/>
      <c r="L268" s="66"/>
      <c r="M268" s="66" t="s">
        <v>2139</v>
      </c>
      <c r="N268" s="67" t="s">
        <v>2192</v>
      </c>
    </row>
    <row r="269" spans="1:15" ht="14.25" customHeight="1" x14ac:dyDescent="0.3">
      <c r="A269" s="62">
        <v>250</v>
      </c>
      <c r="B269" s="202"/>
      <c r="C269" s="64" t="s">
        <v>578</v>
      </c>
      <c r="D269" s="65" t="s">
        <v>1829</v>
      </c>
      <c r="E269" s="65" t="s">
        <v>2460</v>
      </c>
      <c r="F269" s="65" t="s">
        <v>1851</v>
      </c>
      <c r="G269" s="65" t="s">
        <v>579</v>
      </c>
      <c r="H269" s="65" t="s">
        <v>2463</v>
      </c>
      <c r="I269" s="86">
        <v>1997</v>
      </c>
      <c r="J269" s="66"/>
      <c r="K269" s="66"/>
      <c r="L269" s="66"/>
      <c r="M269" s="66" t="s">
        <v>2139</v>
      </c>
      <c r="N269" s="67" t="s">
        <v>2464</v>
      </c>
    </row>
    <row r="270" spans="1:15" ht="14.25" customHeight="1" x14ac:dyDescent="0.3">
      <c r="A270" s="62">
        <v>251</v>
      </c>
      <c r="B270" s="202"/>
      <c r="C270" s="64" t="s">
        <v>585</v>
      </c>
      <c r="D270" s="65" t="s">
        <v>1829</v>
      </c>
      <c r="E270" s="65" t="s">
        <v>2460</v>
      </c>
      <c r="F270" s="65" t="s">
        <v>1854</v>
      </c>
      <c r="G270" s="65" t="s">
        <v>586</v>
      </c>
      <c r="H270" s="65" t="s">
        <v>2465</v>
      </c>
      <c r="I270" s="86">
        <v>1973</v>
      </c>
      <c r="J270" s="66"/>
      <c r="K270" s="66"/>
      <c r="L270" s="66"/>
      <c r="M270" s="66" t="s">
        <v>2139</v>
      </c>
      <c r="N270" s="67" t="s">
        <v>2353</v>
      </c>
    </row>
    <row r="271" spans="1:15" ht="14.25" customHeight="1" x14ac:dyDescent="0.3">
      <c r="A271" s="62">
        <v>252</v>
      </c>
      <c r="B271" s="202"/>
      <c r="C271" s="64" t="s">
        <v>565</v>
      </c>
      <c r="D271" s="65" t="s">
        <v>1845</v>
      </c>
      <c r="E271" s="65" t="s">
        <v>2460</v>
      </c>
      <c r="F271" s="65" t="s">
        <v>1846</v>
      </c>
      <c r="G271" s="65" t="s">
        <v>566</v>
      </c>
      <c r="H271" s="65" t="s">
        <v>2466</v>
      </c>
      <c r="I271" s="86">
        <v>2016</v>
      </c>
      <c r="J271" s="66" t="s">
        <v>2467</v>
      </c>
      <c r="K271" s="66"/>
      <c r="L271" s="99" t="s">
        <v>2468</v>
      </c>
      <c r="M271" s="99" t="s">
        <v>2139</v>
      </c>
      <c r="N271" s="67" t="s">
        <v>2163</v>
      </c>
    </row>
    <row r="272" spans="1:15" ht="14.25" customHeight="1" x14ac:dyDescent="0.3">
      <c r="A272" s="62">
        <v>253</v>
      </c>
      <c r="B272" s="202"/>
      <c r="C272" s="64" t="s">
        <v>567</v>
      </c>
      <c r="D272" s="65" t="s">
        <v>1845</v>
      </c>
      <c r="E272" s="65" t="s">
        <v>2460</v>
      </c>
      <c r="F272" s="65" t="s">
        <v>1846</v>
      </c>
      <c r="G272" s="65" t="s">
        <v>568</v>
      </c>
      <c r="H272" s="65" t="s">
        <v>2466</v>
      </c>
      <c r="I272" s="86">
        <v>2016</v>
      </c>
      <c r="J272" s="66" t="s">
        <v>2469</v>
      </c>
      <c r="K272" s="66"/>
      <c r="L272" s="66" t="s">
        <v>2470</v>
      </c>
      <c r="M272" s="66" t="s">
        <v>2139</v>
      </c>
      <c r="N272" s="67" t="s">
        <v>2171</v>
      </c>
    </row>
    <row r="273" spans="1:15" ht="14.25" customHeight="1" x14ac:dyDescent="0.3">
      <c r="A273" s="62">
        <v>254</v>
      </c>
      <c r="B273" s="202"/>
      <c r="C273" s="64" t="s">
        <v>569</v>
      </c>
      <c r="D273" s="65" t="s">
        <v>1845</v>
      </c>
      <c r="E273" s="65" t="s">
        <v>2460</v>
      </c>
      <c r="F273" s="65" t="s">
        <v>1846</v>
      </c>
      <c r="G273" s="65" t="s">
        <v>570</v>
      </c>
      <c r="H273" s="65" t="s">
        <v>2466</v>
      </c>
      <c r="I273" s="86">
        <v>2016</v>
      </c>
      <c r="J273" s="66" t="s">
        <v>2471</v>
      </c>
      <c r="K273" s="66"/>
      <c r="L273" s="66" t="s">
        <v>2472</v>
      </c>
      <c r="M273" s="66" t="s">
        <v>2139</v>
      </c>
      <c r="N273" s="67" t="s">
        <v>2171</v>
      </c>
    </row>
    <row r="274" spans="1:15" ht="14.25" customHeight="1" x14ac:dyDescent="0.3">
      <c r="A274" s="62">
        <v>255</v>
      </c>
      <c r="B274" s="202"/>
      <c r="C274" s="64" t="s">
        <v>563</v>
      </c>
      <c r="D274" s="65" t="s">
        <v>1845</v>
      </c>
      <c r="E274" s="65" t="s">
        <v>2460</v>
      </c>
      <c r="F274" s="65" t="s">
        <v>1848</v>
      </c>
      <c r="G274" s="65" t="s">
        <v>564</v>
      </c>
      <c r="H274" s="65" t="s">
        <v>2466</v>
      </c>
      <c r="I274" s="86">
        <v>2017</v>
      </c>
      <c r="J274" s="66" t="s">
        <v>2473</v>
      </c>
      <c r="K274" s="66"/>
      <c r="L274" s="66" t="s">
        <v>2474</v>
      </c>
      <c r="M274" s="66" t="s">
        <v>2139</v>
      </c>
      <c r="N274" s="67" t="s">
        <v>2284</v>
      </c>
    </row>
    <row r="275" spans="1:15" ht="14.25" customHeight="1" x14ac:dyDescent="0.3">
      <c r="A275" s="62">
        <v>256</v>
      </c>
      <c r="B275" s="202"/>
      <c r="C275" s="64" t="s">
        <v>557</v>
      </c>
      <c r="D275" s="65" t="s">
        <v>1845</v>
      </c>
      <c r="E275" s="65" t="s">
        <v>2460</v>
      </c>
      <c r="F275" s="65" t="s">
        <v>1846</v>
      </c>
      <c r="G275" s="65" t="s">
        <v>558</v>
      </c>
      <c r="H275" s="65" t="s">
        <v>2466</v>
      </c>
      <c r="I275" s="86">
        <v>2019</v>
      </c>
      <c r="J275" s="66" t="s">
        <v>2475</v>
      </c>
      <c r="K275" s="66"/>
      <c r="L275" s="66" t="s">
        <v>1846</v>
      </c>
      <c r="M275" s="66" t="s">
        <v>2139</v>
      </c>
      <c r="N275" s="67" t="s">
        <v>2165</v>
      </c>
    </row>
    <row r="276" spans="1:15" ht="14.25" customHeight="1" x14ac:dyDescent="0.3">
      <c r="A276" s="62">
        <v>257</v>
      </c>
      <c r="B276" s="202"/>
      <c r="C276" s="64" t="s">
        <v>581</v>
      </c>
      <c r="D276" s="65" t="s">
        <v>1852</v>
      </c>
      <c r="E276" s="65" t="s">
        <v>2460</v>
      </c>
      <c r="F276" s="65" t="s">
        <v>1853</v>
      </c>
      <c r="G276" s="65" t="s">
        <v>582</v>
      </c>
      <c r="H276" s="65"/>
      <c r="I276" s="86">
        <v>1984</v>
      </c>
      <c r="J276" s="66" t="s">
        <v>1853</v>
      </c>
      <c r="K276" s="66"/>
      <c r="L276" s="66" t="s">
        <v>2476</v>
      </c>
      <c r="M276" s="66" t="s">
        <v>2139</v>
      </c>
      <c r="N276" s="67" t="s">
        <v>2192</v>
      </c>
    </row>
    <row r="277" spans="1:15" ht="14.25" customHeight="1" x14ac:dyDescent="0.3">
      <c r="A277" s="62">
        <v>258</v>
      </c>
      <c r="B277" s="203"/>
      <c r="C277" s="64" t="s">
        <v>560</v>
      </c>
      <c r="D277" s="65" t="s">
        <v>1720</v>
      </c>
      <c r="E277" s="65" t="s">
        <v>2460</v>
      </c>
      <c r="F277" s="65" t="s">
        <v>1847</v>
      </c>
      <c r="G277" s="65" t="s">
        <v>561</v>
      </c>
      <c r="H277" s="65" t="s">
        <v>2477</v>
      </c>
      <c r="I277" s="86">
        <v>2018</v>
      </c>
      <c r="J277" s="66" t="s">
        <v>2478</v>
      </c>
      <c r="K277" s="66"/>
      <c r="L277" s="99">
        <v>750944</v>
      </c>
      <c r="M277" s="99" t="s">
        <v>2139</v>
      </c>
      <c r="N277" s="67" t="s">
        <v>2165</v>
      </c>
    </row>
    <row r="278" spans="1:15" ht="14.25" customHeight="1" x14ac:dyDescent="0.3">
      <c r="A278" s="74"/>
      <c r="B278" s="128"/>
      <c r="C278" s="83"/>
      <c r="D278" s="79"/>
      <c r="E278" s="79"/>
      <c r="F278" s="79"/>
      <c r="G278" s="79"/>
      <c r="H278" s="79"/>
      <c r="I278" s="80"/>
      <c r="J278" s="73"/>
      <c r="K278" s="73"/>
      <c r="L278" s="73"/>
      <c r="M278" s="73"/>
      <c r="N278" s="73"/>
    </row>
    <row r="279" spans="1:15" ht="14.25" customHeight="1" x14ac:dyDescent="0.3">
      <c r="A279" s="106">
        <v>259</v>
      </c>
      <c r="B279" s="204" t="s">
        <v>588</v>
      </c>
      <c r="C279" s="102" t="s">
        <v>619</v>
      </c>
      <c r="D279" s="103" t="s">
        <v>1711</v>
      </c>
      <c r="E279" s="103" t="s">
        <v>588</v>
      </c>
      <c r="F279" s="103" t="s">
        <v>1862</v>
      </c>
      <c r="G279" s="103" t="s">
        <v>620</v>
      </c>
      <c r="H279" s="103"/>
      <c r="I279" s="104">
        <v>2006</v>
      </c>
      <c r="J279" s="105" t="s">
        <v>2479</v>
      </c>
      <c r="K279" s="105"/>
      <c r="L279" s="105"/>
      <c r="M279" s="105" t="s">
        <v>2139</v>
      </c>
      <c r="N279" s="67" t="s">
        <v>2480</v>
      </c>
      <c r="O279" s="130" t="s">
        <v>2481</v>
      </c>
    </row>
    <row r="280" spans="1:15" ht="14.25" customHeight="1" x14ac:dyDescent="0.3">
      <c r="A280" s="106">
        <v>260</v>
      </c>
      <c r="B280" s="202"/>
      <c r="C280" s="102" t="s">
        <v>609</v>
      </c>
      <c r="D280" s="103" t="s">
        <v>1711</v>
      </c>
      <c r="E280" s="103" t="s">
        <v>589</v>
      </c>
      <c r="F280" s="103" t="s">
        <v>1860</v>
      </c>
      <c r="G280" s="103" t="s">
        <v>610</v>
      </c>
      <c r="H280" s="103" t="s">
        <v>2482</v>
      </c>
      <c r="I280" s="104">
        <v>2012</v>
      </c>
      <c r="J280" s="105"/>
      <c r="K280" s="105"/>
      <c r="L280" s="105"/>
      <c r="M280" s="105" t="s">
        <v>2139</v>
      </c>
      <c r="N280" s="73" t="s">
        <v>2192</v>
      </c>
    </row>
    <row r="281" spans="1:15" s="54" customFormat="1" ht="14.25" customHeight="1" x14ac:dyDescent="0.3">
      <c r="A281" s="119">
        <v>261</v>
      </c>
      <c r="B281" s="202"/>
      <c r="C281" s="120" t="s">
        <v>611</v>
      </c>
      <c r="D281" s="121" t="s">
        <v>1711</v>
      </c>
      <c r="E281" s="121" t="s">
        <v>589</v>
      </c>
      <c r="F281" s="121" t="s">
        <v>1860</v>
      </c>
      <c r="G281" s="121" t="s">
        <v>612</v>
      </c>
      <c r="H281" s="121" t="s">
        <v>2482</v>
      </c>
      <c r="I281" s="122">
        <v>2012</v>
      </c>
      <c r="J281" s="123"/>
      <c r="K281" s="123"/>
      <c r="L281" s="123"/>
      <c r="M281" s="123" t="s">
        <v>2139</v>
      </c>
      <c r="N281" s="123" t="s">
        <v>2165</v>
      </c>
      <c r="O281" s="54" t="s">
        <v>2483</v>
      </c>
    </row>
    <row r="282" spans="1:15" ht="14.25" customHeight="1" x14ac:dyDescent="0.3">
      <c r="A282" s="106">
        <v>262</v>
      </c>
      <c r="B282" s="202"/>
      <c r="C282" s="102" t="s">
        <v>603</v>
      </c>
      <c r="D282" s="103" t="s">
        <v>1711</v>
      </c>
      <c r="E282" s="103" t="s">
        <v>589</v>
      </c>
      <c r="F282" s="103" t="s">
        <v>1857</v>
      </c>
      <c r="G282" s="103" t="s">
        <v>604</v>
      </c>
      <c r="H282" s="103" t="s">
        <v>2482</v>
      </c>
      <c r="I282" s="104">
        <v>2014</v>
      </c>
      <c r="J282" s="105" t="s">
        <v>2484</v>
      </c>
      <c r="K282" s="105"/>
      <c r="L282" s="105" t="s">
        <v>2485</v>
      </c>
      <c r="M282" s="105" t="s">
        <v>2139</v>
      </c>
      <c r="N282" s="67" t="s">
        <v>2218</v>
      </c>
    </row>
    <row r="283" spans="1:15" ht="14.25" customHeight="1" x14ac:dyDescent="0.3">
      <c r="A283" s="106">
        <v>263</v>
      </c>
      <c r="B283" s="202"/>
      <c r="C283" s="102" t="s">
        <v>606</v>
      </c>
      <c r="D283" s="103" t="s">
        <v>1858</v>
      </c>
      <c r="E283" s="103" t="s">
        <v>589</v>
      </c>
      <c r="F283" s="103" t="s">
        <v>1859</v>
      </c>
      <c r="G283" s="103" t="s">
        <v>607</v>
      </c>
      <c r="H283" s="103" t="s">
        <v>2486</v>
      </c>
      <c r="I283" s="104">
        <v>2013</v>
      </c>
      <c r="J283" s="105"/>
      <c r="K283" s="105"/>
      <c r="L283" s="105"/>
      <c r="M283" s="105" t="s">
        <v>2139</v>
      </c>
      <c r="N283" s="67" t="s">
        <v>2165</v>
      </c>
    </row>
    <row r="284" spans="1:15" ht="14.25" customHeight="1" x14ac:dyDescent="0.3">
      <c r="A284" s="106">
        <v>264</v>
      </c>
      <c r="B284" s="202"/>
      <c r="C284" s="102" t="s">
        <v>614</v>
      </c>
      <c r="D284" s="103" t="s">
        <v>1711</v>
      </c>
      <c r="E284" s="103" t="s">
        <v>589</v>
      </c>
      <c r="F284" s="103" t="s">
        <v>1861</v>
      </c>
      <c r="G284" s="103" t="s">
        <v>615</v>
      </c>
      <c r="H284" s="103" t="s">
        <v>2487</v>
      </c>
      <c r="I284" s="104">
        <v>2011</v>
      </c>
      <c r="J284" s="105"/>
      <c r="K284" s="105"/>
      <c r="L284" s="105"/>
      <c r="M284" s="105" t="s">
        <v>2139</v>
      </c>
      <c r="N284" s="67" t="s">
        <v>2158</v>
      </c>
    </row>
    <row r="285" spans="1:15" ht="14.25" customHeight="1" x14ac:dyDescent="0.3">
      <c r="A285" s="106">
        <v>265</v>
      </c>
      <c r="B285" s="202"/>
      <c r="C285" s="102" t="s">
        <v>616</v>
      </c>
      <c r="D285" s="103" t="s">
        <v>1711</v>
      </c>
      <c r="E285" s="103" t="s">
        <v>589</v>
      </c>
      <c r="F285" s="103" t="s">
        <v>1861</v>
      </c>
      <c r="G285" s="103" t="s">
        <v>617</v>
      </c>
      <c r="H285" s="103" t="s">
        <v>2488</v>
      </c>
      <c r="I285" s="104">
        <v>2011</v>
      </c>
      <c r="J285" s="105"/>
      <c r="K285" s="105"/>
      <c r="L285" s="105"/>
      <c r="M285" s="105" t="s">
        <v>2139</v>
      </c>
      <c r="N285" s="67" t="s">
        <v>2353</v>
      </c>
    </row>
    <row r="286" spans="1:15" ht="14.25" customHeight="1" x14ac:dyDescent="0.3">
      <c r="A286" s="106">
        <v>266</v>
      </c>
      <c r="B286" s="202"/>
      <c r="C286" s="102" t="s">
        <v>591</v>
      </c>
      <c r="D286" s="103" t="s">
        <v>1832</v>
      </c>
      <c r="E286" s="103" t="s">
        <v>589</v>
      </c>
      <c r="F286" s="103" t="s">
        <v>1855</v>
      </c>
      <c r="G286" s="103" t="s">
        <v>592</v>
      </c>
      <c r="H286" s="103" t="s">
        <v>2489</v>
      </c>
      <c r="I286" s="104">
        <v>2019</v>
      </c>
      <c r="J286" s="105"/>
      <c r="K286" s="105" t="s">
        <v>2490</v>
      </c>
      <c r="L286" s="105" t="s">
        <v>2491</v>
      </c>
      <c r="M286" s="105" t="s">
        <v>2139</v>
      </c>
      <c r="N286" s="67" t="s">
        <v>2192</v>
      </c>
    </row>
    <row r="287" spans="1:15" ht="14.25" customHeight="1" x14ac:dyDescent="0.3">
      <c r="A287" s="106">
        <v>267</v>
      </c>
      <c r="B287" s="202"/>
      <c r="C287" s="102" t="s">
        <v>593</v>
      </c>
      <c r="D287" s="103" t="s">
        <v>1832</v>
      </c>
      <c r="E287" s="103" t="s">
        <v>589</v>
      </c>
      <c r="F287" s="103" t="s">
        <v>1855</v>
      </c>
      <c r="G287" s="103" t="s">
        <v>594</v>
      </c>
      <c r="H287" s="103" t="s">
        <v>2489</v>
      </c>
      <c r="I287" s="104">
        <v>2019</v>
      </c>
      <c r="J287" s="105"/>
      <c r="K287" s="105"/>
      <c r="L287" s="105"/>
      <c r="M287" s="105" t="s">
        <v>2139</v>
      </c>
      <c r="N287" s="67" t="s">
        <v>2492</v>
      </c>
    </row>
    <row r="288" spans="1:15" ht="14.25" customHeight="1" x14ac:dyDescent="0.3">
      <c r="A288" s="106">
        <v>268</v>
      </c>
      <c r="B288" s="202"/>
      <c r="C288" s="102" t="s">
        <v>595</v>
      </c>
      <c r="D288" s="103" t="s">
        <v>1832</v>
      </c>
      <c r="E288" s="103" t="s">
        <v>589</v>
      </c>
      <c r="F288" s="103" t="s">
        <v>1855</v>
      </c>
      <c r="G288" s="103" t="s">
        <v>596</v>
      </c>
      <c r="H288" s="103" t="s">
        <v>2489</v>
      </c>
      <c r="I288" s="104">
        <v>2019</v>
      </c>
      <c r="J288" s="105" t="s">
        <v>2493</v>
      </c>
      <c r="K288" s="105"/>
      <c r="L288" s="105" t="s">
        <v>2494</v>
      </c>
      <c r="M288" s="105" t="s">
        <v>2139</v>
      </c>
      <c r="N288" s="67" t="s">
        <v>2192</v>
      </c>
    </row>
    <row r="289" spans="1:15" ht="14.25" customHeight="1" x14ac:dyDescent="0.3">
      <c r="A289" s="106">
        <v>269</v>
      </c>
      <c r="B289" s="202"/>
      <c r="C289" s="102" t="s">
        <v>597</v>
      </c>
      <c r="D289" s="103" t="s">
        <v>1832</v>
      </c>
      <c r="E289" s="103" t="s">
        <v>589</v>
      </c>
      <c r="F289" s="103" t="s">
        <v>1855</v>
      </c>
      <c r="G289" s="103" t="s">
        <v>598</v>
      </c>
      <c r="H289" s="103" t="s">
        <v>2489</v>
      </c>
      <c r="I289" s="104">
        <v>2019</v>
      </c>
      <c r="J289" s="105"/>
      <c r="K289" s="105"/>
      <c r="L289" s="105"/>
      <c r="M289" s="105" t="s">
        <v>2139</v>
      </c>
      <c r="N289" s="67" t="s">
        <v>2163</v>
      </c>
    </row>
    <row r="290" spans="1:15" ht="14.25" customHeight="1" x14ac:dyDescent="0.3">
      <c r="A290" s="106">
        <v>270</v>
      </c>
      <c r="B290" s="202"/>
      <c r="C290" s="102" t="s">
        <v>600</v>
      </c>
      <c r="D290" s="103" t="s">
        <v>1711</v>
      </c>
      <c r="E290" s="103" t="s">
        <v>589</v>
      </c>
      <c r="F290" s="103" t="s">
        <v>1856</v>
      </c>
      <c r="G290" s="103" t="s">
        <v>601</v>
      </c>
      <c r="H290" s="103" t="s">
        <v>2495</v>
      </c>
      <c r="I290" s="104">
        <v>2019</v>
      </c>
      <c r="J290" s="105" t="s">
        <v>2496</v>
      </c>
      <c r="K290" s="105"/>
      <c r="L290" s="105"/>
      <c r="M290" s="105" t="s">
        <v>2139</v>
      </c>
      <c r="N290" s="67" t="s">
        <v>2158</v>
      </c>
    </row>
    <row r="291" spans="1:15" ht="14.25" customHeight="1" x14ac:dyDescent="0.3">
      <c r="A291" s="106">
        <v>271</v>
      </c>
      <c r="B291" s="203"/>
      <c r="C291" s="102" t="s">
        <v>622</v>
      </c>
      <c r="D291" s="103" t="s">
        <v>1844</v>
      </c>
      <c r="E291" s="103" t="s">
        <v>589</v>
      </c>
      <c r="F291" s="103"/>
      <c r="G291" s="103" t="s">
        <v>623</v>
      </c>
      <c r="H291" s="103"/>
      <c r="I291" s="104"/>
      <c r="J291" s="105"/>
      <c r="K291" s="105"/>
      <c r="L291" s="105"/>
      <c r="M291" s="105" t="s">
        <v>2139</v>
      </c>
      <c r="N291" s="67" t="s">
        <v>2165</v>
      </c>
    </row>
    <row r="292" spans="1:15" ht="14.25" customHeight="1" x14ac:dyDescent="0.3">
      <c r="A292" s="74"/>
      <c r="B292" s="106"/>
      <c r="C292" s="83"/>
      <c r="D292" s="78"/>
      <c r="E292" s="79"/>
      <c r="F292" s="79"/>
      <c r="G292" s="79"/>
      <c r="H292" s="79"/>
      <c r="I292" s="80"/>
      <c r="J292" s="73"/>
      <c r="K292" s="73"/>
      <c r="L292" s="73"/>
      <c r="M292" s="73"/>
      <c r="N292" s="73"/>
    </row>
    <row r="293" spans="1:15" ht="14.25" customHeight="1" x14ac:dyDescent="0.3">
      <c r="A293" s="62">
        <v>272</v>
      </c>
      <c r="B293" s="210" t="s">
        <v>2497</v>
      </c>
      <c r="C293" s="64" t="s">
        <v>799</v>
      </c>
      <c r="D293" s="65" t="s">
        <v>1817</v>
      </c>
      <c r="E293" s="65" t="s">
        <v>2498</v>
      </c>
      <c r="F293" s="65" t="s">
        <v>1874</v>
      </c>
      <c r="G293" s="65" t="s">
        <v>800</v>
      </c>
      <c r="H293" s="65" t="s">
        <v>2499</v>
      </c>
      <c r="I293" s="86">
        <v>2006</v>
      </c>
      <c r="J293" s="66"/>
      <c r="K293" s="66"/>
      <c r="L293" s="66"/>
      <c r="M293" s="66" t="s">
        <v>2139</v>
      </c>
      <c r="N293" s="67" t="s">
        <v>2163</v>
      </c>
    </row>
    <row r="294" spans="1:15" ht="14.25" customHeight="1" x14ac:dyDescent="0.3">
      <c r="A294" s="62">
        <v>273</v>
      </c>
      <c r="B294" s="202"/>
      <c r="C294" s="64" t="s">
        <v>714</v>
      </c>
      <c r="D294" s="65" t="s">
        <v>1711</v>
      </c>
      <c r="E294" s="65" t="s">
        <v>2498</v>
      </c>
      <c r="F294" s="65" t="s">
        <v>1867</v>
      </c>
      <c r="G294" s="65" t="s">
        <v>715</v>
      </c>
      <c r="H294" s="65" t="s">
        <v>2500</v>
      </c>
      <c r="I294" s="86">
        <v>2013</v>
      </c>
      <c r="J294" s="66"/>
      <c r="K294" s="66"/>
      <c r="L294" s="66"/>
      <c r="M294" s="66" t="s">
        <v>2139</v>
      </c>
      <c r="N294" s="67" t="s">
        <v>2171</v>
      </c>
    </row>
    <row r="295" spans="1:15" ht="14.25" customHeight="1" x14ac:dyDescent="0.3">
      <c r="A295" s="62">
        <v>274</v>
      </c>
      <c r="B295" s="202"/>
      <c r="C295" s="64" t="s">
        <v>753</v>
      </c>
      <c r="D295" s="65" t="s">
        <v>1817</v>
      </c>
      <c r="E295" s="65" t="s">
        <v>2498</v>
      </c>
      <c r="F295" s="65" t="s">
        <v>1868</v>
      </c>
      <c r="G295" s="65" t="s">
        <v>754</v>
      </c>
      <c r="H295" s="65" t="s">
        <v>2499</v>
      </c>
      <c r="I295" s="86">
        <v>2012</v>
      </c>
      <c r="J295" s="66"/>
      <c r="K295" s="66"/>
      <c r="L295" s="66"/>
      <c r="M295" s="66" t="s">
        <v>2254</v>
      </c>
      <c r="N295" s="67" t="s">
        <v>2171</v>
      </c>
    </row>
    <row r="296" spans="1:15" ht="14.25" customHeight="1" x14ac:dyDescent="0.3">
      <c r="A296" s="62">
        <v>275</v>
      </c>
      <c r="B296" s="202"/>
      <c r="C296" s="64" t="s">
        <v>802</v>
      </c>
      <c r="D296" s="65" t="s">
        <v>1817</v>
      </c>
      <c r="E296" s="65" t="s">
        <v>2498</v>
      </c>
      <c r="F296" s="65" t="s">
        <v>1874</v>
      </c>
      <c r="G296" s="65" t="s">
        <v>803</v>
      </c>
      <c r="H296" s="65" t="s">
        <v>2499</v>
      </c>
      <c r="I296" s="86">
        <v>2003</v>
      </c>
      <c r="J296" s="66"/>
      <c r="K296" s="66"/>
      <c r="L296" s="66"/>
      <c r="M296" s="66" t="s">
        <v>2139</v>
      </c>
      <c r="N296" s="67" t="s">
        <v>2165</v>
      </c>
    </row>
    <row r="297" spans="1:15" ht="14.25" customHeight="1" x14ac:dyDescent="0.3">
      <c r="A297" s="62">
        <v>276</v>
      </c>
      <c r="B297" s="202"/>
      <c r="C297" s="64" t="s">
        <v>804</v>
      </c>
      <c r="D297" s="65" t="s">
        <v>1817</v>
      </c>
      <c r="E297" s="65" t="s">
        <v>2498</v>
      </c>
      <c r="F297" s="65" t="s">
        <v>1874</v>
      </c>
      <c r="G297" s="65" t="s">
        <v>805</v>
      </c>
      <c r="H297" s="65" t="s">
        <v>2499</v>
      </c>
      <c r="I297" s="86">
        <v>2003</v>
      </c>
      <c r="J297" s="66"/>
      <c r="K297" s="66"/>
      <c r="L297" s="66"/>
      <c r="M297" s="66" t="s">
        <v>2139</v>
      </c>
      <c r="N297" s="67" t="s">
        <v>2165</v>
      </c>
    </row>
    <row r="298" spans="1:15" ht="14.25" customHeight="1" x14ac:dyDescent="0.3">
      <c r="A298" s="62">
        <v>277</v>
      </c>
      <c r="B298" s="202"/>
      <c r="C298" s="64" t="s">
        <v>740</v>
      </c>
      <c r="D298" s="65" t="s">
        <v>1711</v>
      </c>
      <c r="E298" s="65" t="s">
        <v>2498</v>
      </c>
      <c r="F298" s="65" t="s">
        <v>1866</v>
      </c>
      <c r="G298" s="65" t="s">
        <v>741</v>
      </c>
      <c r="H298" s="65" t="s">
        <v>2499</v>
      </c>
      <c r="I298" s="86">
        <v>2011</v>
      </c>
      <c r="J298" s="66"/>
      <c r="K298" s="66"/>
      <c r="L298" s="66"/>
      <c r="M298" s="66" t="s">
        <v>2254</v>
      </c>
      <c r="N298" s="67" t="s">
        <v>2480</v>
      </c>
      <c r="O298" t="s">
        <v>2218</v>
      </c>
    </row>
    <row r="299" spans="1:15" ht="14.25" customHeight="1" x14ac:dyDescent="0.3">
      <c r="A299" s="62">
        <v>278</v>
      </c>
      <c r="B299" s="202"/>
      <c r="C299" s="64" t="s">
        <v>742</v>
      </c>
      <c r="D299" s="65" t="s">
        <v>1711</v>
      </c>
      <c r="E299" s="65" t="s">
        <v>2498</v>
      </c>
      <c r="F299" s="65" t="s">
        <v>1866</v>
      </c>
      <c r="G299" s="65" t="s">
        <v>743</v>
      </c>
      <c r="H299" s="65" t="s">
        <v>2499</v>
      </c>
      <c r="I299" s="86">
        <v>2011</v>
      </c>
      <c r="J299" s="66"/>
      <c r="K299" s="66"/>
      <c r="L299" s="66"/>
      <c r="M299" s="66" t="s">
        <v>2254</v>
      </c>
      <c r="N299" s="67" t="s">
        <v>2171</v>
      </c>
    </row>
    <row r="300" spans="1:15" ht="14.25" customHeight="1" x14ac:dyDescent="0.3">
      <c r="A300" s="62">
        <v>279</v>
      </c>
      <c r="B300" s="202"/>
      <c r="C300" s="64" t="s">
        <v>744</v>
      </c>
      <c r="D300" s="65" t="s">
        <v>1711</v>
      </c>
      <c r="E300" s="65" t="s">
        <v>2498</v>
      </c>
      <c r="F300" s="65" t="s">
        <v>1866</v>
      </c>
      <c r="G300" s="65" t="s">
        <v>745</v>
      </c>
      <c r="H300" s="65" t="s">
        <v>2499</v>
      </c>
      <c r="I300" s="86">
        <v>2011</v>
      </c>
      <c r="J300" s="66"/>
      <c r="K300" s="66"/>
      <c r="L300" s="66"/>
      <c r="M300" s="66" t="s">
        <v>2254</v>
      </c>
      <c r="N300" s="67" t="s">
        <v>2171</v>
      </c>
    </row>
    <row r="301" spans="1:15" ht="14.25" customHeight="1" x14ac:dyDescent="0.3">
      <c r="A301" s="62">
        <v>280</v>
      </c>
      <c r="B301" s="202"/>
      <c r="C301" s="64" t="s">
        <v>750</v>
      </c>
      <c r="D301" s="65" t="s">
        <v>1711</v>
      </c>
      <c r="E301" s="65" t="s">
        <v>2498</v>
      </c>
      <c r="F301" s="65" t="s">
        <v>1867</v>
      </c>
      <c r="G301" s="65" t="s">
        <v>751</v>
      </c>
      <c r="H301" s="65" t="s">
        <v>2500</v>
      </c>
      <c r="I301" s="86">
        <v>2012</v>
      </c>
      <c r="J301" s="66"/>
      <c r="K301" s="66"/>
      <c r="L301" s="66"/>
      <c r="M301" s="66" t="s">
        <v>2139</v>
      </c>
      <c r="N301" s="67" t="s">
        <v>2165</v>
      </c>
    </row>
    <row r="302" spans="1:15" ht="14.25" customHeight="1" x14ac:dyDescent="0.3">
      <c r="A302" s="62">
        <v>281</v>
      </c>
      <c r="B302" s="202"/>
      <c r="C302" s="64" t="s">
        <v>764</v>
      </c>
      <c r="D302" s="65" t="s">
        <v>1711</v>
      </c>
      <c r="E302" s="65" t="s">
        <v>2498</v>
      </c>
      <c r="F302" s="65" t="s">
        <v>1867</v>
      </c>
      <c r="G302" s="65" t="s">
        <v>765</v>
      </c>
      <c r="H302" s="65" t="s">
        <v>2500</v>
      </c>
      <c r="I302" s="86">
        <v>2012</v>
      </c>
      <c r="J302" s="66"/>
      <c r="K302" s="66"/>
      <c r="L302" s="66"/>
      <c r="M302" s="66" t="s">
        <v>2139</v>
      </c>
      <c r="N302" s="67" t="s">
        <v>2165</v>
      </c>
    </row>
    <row r="303" spans="1:15" ht="14.25" customHeight="1" x14ac:dyDescent="0.3">
      <c r="A303" s="62">
        <v>282</v>
      </c>
      <c r="B303" s="202"/>
      <c r="C303" s="64" t="s">
        <v>766</v>
      </c>
      <c r="D303" s="65" t="s">
        <v>1711</v>
      </c>
      <c r="E303" s="65" t="s">
        <v>2498</v>
      </c>
      <c r="F303" s="65" t="s">
        <v>1870</v>
      </c>
      <c r="G303" s="65" t="s">
        <v>767</v>
      </c>
      <c r="H303" s="65" t="s">
        <v>2501</v>
      </c>
      <c r="I303" s="86">
        <v>2012</v>
      </c>
      <c r="J303" s="66"/>
      <c r="K303" s="66"/>
      <c r="L303" s="66"/>
      <c r="M303" s="66" t="s">
        <v>2139</v>
      </c>
      <c r="N303" s="67" t="s">
        <v>2165</v>
      </c>
    </row>
    <row r="304" spans="1:15" ht="14.25" customHeight="1" x14ac:dyDescent="0.3">
      <c r="A304" s="62">
        <v>283</v>
      </c>
      <c r="B304" s="202"/>
      <c r="C304" s="64" t="s">
        <v>769</v>
      </c>
      <c r="D304" s="65" t="s">
        <v>1711</v>
      </c>
      <c r="E304" s="65" t="s">
        <v>2498</v>
      </c>
      <c r="F304" s="65" t="s">
        <v>1870</v>
      </c>
      <c r="G304" s="65" t="s">
        <v>770</v>
      </c>
      <c r="H304" s="65" t="s">
        <v>2501</v>
      </c>
      <c r="I304" s="86">
        <v>2012</v>
      </c>
      <c r="J304" s="66"/>
      <c r="K304" s="66"/>
      <c r="L304" s="66"/>
      <c r="M304" s="66" t="s">
        <v>2139</v>
      </c>
      <c r="N304" s="67" t="s">
        <v>2163</v>
      </c>
    </row>
    <row r="305" spans="1:14" ht="14.25" customHeight="1" x14ac:dyDescent="0.3">
      <c r="A305" s="62">
        <v>284</v>
      </c>
      <c r="B305" s="202"/>
      <c r="C305" s="64" t="s">
        <v>755</v>
      </c>
      <c r="D305" s="65" t="s">
        <v>1817</v>
      </c>
      <c r="E305" s="65" t="s">
        <v>2498</v>
      </c>
      <c r="F305" s="65" t="s">
        <v>1868</v>
      </c>
      <c r="G305" s="65" t="s">
        <v>756</v>
      </c>
      <c r="H305" s="65" t="s">
        <v>2499</v>
      </c>
      <c r="I305" s="86">
        <v>2012</v>
      </c>
      <c r="J305" s="66"/>
      <c r="K305" s="66"/>
      <c r="L305" s="66"/>
      <c r="M305" s="66" t="s">
        <v>2254</v>
      </c>
      <c r="N305" s="67" t="s">
        <v>2165</v>
      </c>
    </row>
    <row r="306" spans="1:14" ht="14.25" customHeight="1" x14ac:dyDescent="0.3">
      <c r="A306" s="62">
        <v>285</v>
      </c>
      <c r="B306" s="202"/>
      <c r="C306" s="64" t="s">
        <v>720</v>
      </c>
      <c r="D306" s="65" t="s">
        <v>1711</v>
      </c>
      <c r="E306" s="65" t="s">
        <v>2498</v>
      </c>
      <c r="F306" s="65" t="s">
        <v>1866</v>
      </c>
      <c r="G306" s="65" t="s">
        <v>721</v>
      </c>
      <c r="H306" s="65" t="s">
        <v>2499</v>
      </c>
      <c r="I306" s="86">
        <v>2016</v>
      </c>
      <c r="J306" s="66"/>
      <c r="K306" s="66"/>
      <c r="L306" s="66"/>
      <c r="M306" s="66" t="s">
        <v>2139</v>
      </c>
      <c r="N306" s="67" t="s">
        <v>2218</v>
      </c>
    </row>
    <row r="307" spans="1:14" ht="14.25" customHeight="1" x14ac:dyDescent="0.3">
      <c r="A307" s="62">
        <v>286</v>
      </c>
      <c r="B307" s="202"/>
      <c r="C307" s="64" t="s">
        <v>757</v>
      </c>
      <c r="D307" s="65" t="s">
        <v>1817</v>
      </c>
      <c r="E307" s="65" t="s">
        <v>2498</v>
      </c>
      <c r="F307" s="65" t="s">
        <v>1868</v>
      </c>
      <c r="G307" s="65" t="s">
        <v>758</v>
      </c>
      <c r="H307" s="65" t="s">
        <v>2499</v>
      </c>
      <c r="I307" s="86">
        <v>2012</v>
      </c>
      <c r="J307" s="66"/>
      <c r="K307" s="66"/>
      <c r="L307" s="66"/>
      <c r="M307" s="66" t="s">
        <v>2139</v>
      </c>
      <c r="N307" s="67" t="s">
        <v>2188</v>
      </c>
    </row>
    <row r="308" spans="1:14" ht="14.25" customHeight="1" x14ac:dyDescent="0.3">
      <c r="A308" s="62">
        <v>287</v>
      </c>
      <c r="B308" s="202"/>
      <c r="C308" s="64" t="s">
        <v>780</v>
      </c>
      <c r="D308" s="65" t="s">
        <v>1714</v>
      </c>
      <c r="E308" s="65" t="s">
        <v>2498</v>
      </c>
      <c r="F308" s="65" t="s">
        <v>1871</v>
      </c>
      <c r="G308" s="65" t="s">
        <v>781</v>
      </c>
      <c r="H308" s="65" t="s">
        <v>2499</v>
      </c>
      <c r="I308" s="86">
        <v>2011</v>
      </c>
      <c r="J308" s="66"/>
      <c r="K308" s="66"/>
      <c r="L308" s="66"/>
      <c r="M308" s="66" t="s">
        <v>2139</v>
      </c>
      <c r="N308" s="67" t="s">
        <v>2216</v>
      </c>
    </row>
    <row r="309" spans="1:14" ht="14.25" customHeight="1" x14ac:dyDescent="0.3">
      <c r="A309" s="62">
        <v>288</v>
      </c>
      <c r="B309" s="202"/>
      <c r="C309" s="64" t="s">
        <v>722</v>
      </c>
      <c r="D309" s="65" t="s">
        <v>1711</v>
      </c>
      <c r="E309" s="65" t="s">
        <v>2498</v>
      </c>
      <c r="F309" s="65" t="s">
        <v>1866</v>
      </c>
      <c r="G309" s="65" t="s">
        <v>723</v>
      </c>
      <c r="H309" s="65" t="s">
        <v>2499</v>
      </c>
      <c r="I309" s="86">
        <v>2016</v>
      </c>
      <c r="J309" s="66"/>
      <c r="K309" s="66"/>
      <c r="L309" s="66"/>
      <c r="M309" s="66" t="s">
        <v>2254</v>
      </c>
      <c r="N309" s="67" t="s">
        <v>2171</v>
      </c>
    </row>
    <row r="310" spans="1:14" ht="14.25" customHeight="1" x14ac:dyDescent="0.3">
      <c r="A310" s="62">
        <v>289</v>
      </c>
      <c r="B310" s="202"/>
      <c r="C310" s="64" t="s">
        <v>782</v>
      </c>
      <c r="D310" s="65" t="s">
        <v>1714</v>
      </c>
      <c r="E310" s="65" t="s">
        <v>2498</v>
      </c>
      <c r="F310" s="65" t="s">
        <v>1871</v>
      </c>
      <c r="G310" s="65" t="s">
        <v>783</v>
      </c>
      <c r="H310" s="65" t="s">
        <v>2499</v>
      </c>
      <c r="I310" s="86">
        <v>2011</v>
      </c>
      <c r="J310" s="66"/>
      <c r="K310" s="66"/>
      <c r="L310" s="66"/>
      <c r="M310" s="66" t="s">
        <v>2254</v>
      </c>
      <c r="N310" s="67" t="s">
        <v>2171</v>
      </c>
    </row>
    <row r="311" spans="1:14" ht="14.25" customHeight="1" x14ac:dyDescent="0.3">
      <c r="A311" s="62">
        <v>290</v>
      </c>
      <c r="B311" s="202"/>
      <c r="C311" s="64" t="s">
        <v>784</v>
      </c>
      <c r="D311" s="65" t="s">
        <v>1714</v>
      </c>
      <c r="E311" s="65" t="s">
        <v>2498</v>
      </c>
      <c r="F311" s="65" t="s">
        <v>1871</v>
      </c>
      <c r="G311" s="65" t="s">
        <v>785</v>
      </c>
      <c r="H311" s="65" t="s">
        <v>2499</v>
      </c>
      <c r="I311" s="86">
        <v>2011</v>
      </c>
      <c r="J311" s="66"/>
      <c r="K311" s="66"/>
      <c r="L311" s="66"/>
      <c r="M311" s="66" t="s">
        <v>2139</v>
      </c>
      <c r="N311" s="67" t="s">
        <v>2165</v>
      </c>
    </row>
    <row r="312" spans="1:14" ht="14.25" customHeight="1" x14ac:dyDescent="0.3">
      <c r="A312" s="62">
        <v>291</v>
      </c>
      <c r="B312" s="202"/>
      <c r="C312" s="64" t="s">
        <v>786</v>
      </c>
      <c r="D312" s="65" t="s">
        <v>1714</v>
      </c>
      <c r="E312" s="65" t="s">
        <v>2498</v>
      </c>
      <c r="F312" s="65" t="s">
        <v>1871</v>
      </c>
      <c r="G312" s="65" t="s">
        <v>787</v>
      </c>
      <c r="H312" s="65" t="s">
        <v>2499</v>
      </c>
      <c r="I312" s="86">
        <v>2011</v>
      </c>
      <c r="J312" s="66"/>
      <c r="K312" s="66"/>
      <c r="L312" s="66"/>
      <c r="M312" s="66" t="s">
        <v>2139</v>
      </c>
      <c r="N312" s="67" t="s">
        <v>2216</v>
      </c>
    </row>
    <row r="313" spans="1:14" ht="14.25" customHeight="1" x14ac:dyDescent="0.3">
      <c r="A313" s="62">
        <v>292</v>
      </c>
      <c r="B313" s="202"/>
      <c r="C313" s="64" t="s">
        <v>791</v>
      </c>
      <c r="D313" s="65" t="s">
        <v>1817</v>
      </c>
      <c r="E313" s="65" t="s">
        <v>2498</v>
      </c>
      <c r="F313" s="65" t="s">
        <v>1872</v>
      </c>
      <c r="G313" s="65" t="s">
        <v>792</v>
      </c>
      <c r="H313" s="65" t="s">
        <v>2502</v>
      </c>
      <c r="I313" s="86">
        <v>2010</v>
      </c>
      <c r="J313" s="66"/>
      <c r="K313" s="66"/>
      <c r="L313" s="66"/>
      <c r="M313" s="66" t="s">
        <v>2254</v>
      </c>
      <c r="N313" s="67" t="s">
        <v>2165</v>
      </c>
    </row>
    <row r="314" spans="1:14" ht="14.25" customHeight="1" x14ac:dyDescent="0.3">
      <c r="A314" s="62">
        <v>293</v>
      </c>
      <c r="B314" s="202"/>
      <c r="C314" s="64" t="s">
        <v>793</v>
      </c>
      <c r="D314" s="65" t="s">
        <v>1817</v>
      </c>
      <c r="E314" s="65" t="s">
        <v>2498</v>
      </c>
      <c r="F314" s="65" t="s">
        <v>1869</v>
      </c>
      <c r="G314" s="65" t="s">
        <v>794</v>
      </c>
      <c r="H314" s="65" t="s">
        <v>2502</v>
      </c>
      <c r="I314" s="86">
        <v>2010</v>
      </c>
      <c r="J314" s="66"/>
      <c r="K314" s="66"/>
      <c r="L314" s="66"/>
      <c r="M314" s="66" t="s">
        <v>2139</v>
      </c>
      <c r="N314" s="67" t="s">
        <v>2171</v>
      </c>
    </row>
    <row r="315" spans="1:14" ht="14.25" customHeight="1" x14ac:dyDescent="0.3">
      <c r="A315" s="62">
        <v>294</v>
      </c>
      <c r="B315" s="202"/>
      <c r="C315" s="64" t="s">
        <v>777</v>
      </c>
      <c r="D315" s="65" t="s">
        <v>1817</v>
      </c>
      <c r="E315" s="65" t="s">
        <v>2498</v>
      </c>
      <c r="F315" s="65" t="s">
        <v>1869</v>
      </c>
      <c r="G315" s="65" t="s">
        <v>778</v>
      </c>
      <c r="H315" s="65" t="s">
        <v>2502</v>
      </c>
      <c r="I315" s="86">
        <v>2011</v>
      </c>
      <c r="J315" s="66"/>
      <c r="K315" s="66"/>
      <c r="L315" s="66"/>
      <c r="M315" s="66" t="s">
        <v>2254</v>
      </c>
      <c r="N315" s="67" t="s">
        <v>2165</v>
      </c>
    </row>
    <row r="316" spans="1:14" ht="14.25" customHeight="1" x14ac:dyDescent="0.3">
      <c r="A316" s="62">
        <v>295</v>
      </c>
      <c r="B316" s="202"/>
      <c r="C316" s="64" t="s">
        <v>760</v>
      </c>
      <c r="D316" s="65" t="s">
        <v>1817</v>
      </c>
      <c r="E316" s="65" t="s">
        <v>2498</v>
      </c>
      <c r="F316" s="65" t="s">
        <v>1869</v>
      </c>
      <c r="G316" s="65" t="s">
        <v>761</v>
      </c>
      <c r="H316" s="65" t="s">
        <v>2502</v>
      </c>
      <c r="I316" s="86">
        <v>2012</v>
      </c>
      <c r="J316" s="66"/>
      <c r="K316" s="66"/>
      <c r="L316" s="66"/>
      <c r="M316" s="66" t="s">
        <v>2139</v>
      </c>
      <c r="N316" s="67" t="s">
        <v>2165</v>
      </c>
    </row>
    <row r="317" spans="1:14" ht="14.25" customHeight="1" x14ac:dyDescent="0.3">
      <c r="A317" s="62">
        <v>296</v>
      </c>
      <c r="B317" s="202"/>
      <c r="C317" s="64" t="s">
        <v>762</v>
      </c>
      <c r="D317" s="65" t="s">
        <v>1817</v>
      </c>
      <c r="E317" s="65" t="s">
        <v>2498</v>
      </c>
      <c r="F317" s="65" t="s">
        <v>1869</v>
      </c>
      <c r="G317" s="65" t="s">
        <v>763</v>
      </c>
      <c r="H317" s="65" t="s">
        <v>2502</v>
      </c>
      <c r="I317" s="86">
        <v>2012</v>
      </c>
      <c r="J317" s="66"/>
      <c r="K317" s="66"/>
      <c r="L317" s="66"/>
      <c r="M317" s="66" t="s">
        <v>2254</v>
      </c>
      <c r="N317" s="73" t="s">
        <v>2165</v>
      </c>
    </row>
    <row r="318" spans="1:14" ht="14.25" customHeight="1" x14ac:dyDescent="0.3">
      <c r="A318" s="62">
        <v>297</v>
      </c>
      <c r="B318" s="202"/>
      <c r="C318" s="64" t="s">
        <v>747</v>
      </c>
      <c r="D318" s="65" t="s">
        <v>1817</v>
      </c>
      <c r="E318" s="65" t="s">
        <v>2498</v>
      </c>
      <c r="F318" s="65" t="s">
        <v>1867</v>
      </c>
      <c r="G318" s="65" t="s">
        <v>748</v>
      </c>
      <c r="H318" s="65" t="s">
        <v>2500</v>
      </c>
      <c r="I318" s="86">
        <v>2013</v>
      </c>
      <c r="J318" s="66"/>
      <c r="K318" s="66"/>
      <c r="L318" s="66"/>
      <c r="M318" s="66" t="s">
        <v>2139</v>
      </c>
      <c r="N318" s="67" t="s">
        <v>2165</v>
      </c>
    </row>
    <row r="319" spans="1:14" ht="14.25" customHeight="1" x14ac:dyDescent="0.3">
      <c r="A319" s="62">
        <v>298</v>
      </c>
      <c r="B319" s="202"/>
      <c r="C319" s="64" t="s">
        <v>771</v>
      </c>
      <c r="D319" s="65" t="s">
        <v>1711</v>
      </c>
      <c r="E319" s="65" t="s">
        <v>2498</v>
      </c>
      <c r="F319" s="65" t="s">
        <v>1866</v>
      </c>
      <c r="G319" s="65" t="s">
        <v>772</v>
      </c>
      <c r="H319" s="65" t="s">
        <v>2499</v>
      </c>
      <c r="I319" s="86">
        <v>2012</v>
      </c>
      <c r="J319" s="66"/>
      <c r="K319" s="66"/>
      <c r="L319" s="66"/>
      <c r="M319" s="66" t="s">
        <v>2139</v>
      </c>
      <c r="N319" s="67" t="s">
        <v>2165</v>
      </c>
    </row>
    <row r="320" spans="1:14" ht="14.25" customHeight="1" x14ac:dyDescent="0.3">
      <c r="A320" s="62">
        <v>299</v>
      </c>
      <c r="B320" s="202"/>
      <c r="C320" s="64" t="s">
        <v>773</v>
      </c>
      <c r="D320" s="65" t="s">
        <v>1711</v>
      </c>
      <c r="E320" s="65" t="s">
        <v>2498</v>
      </c>
      <c r="F320" s="65" t="s">
        <v>1866</v>
      </c>
      <c r="G320" s="65" t="s">
        <v>774</v>
      </c>
      <c r="H320" s="65" t="s">
        <v>2499</v>
      </c>
      <c r="I320" s="86">
        <v>2012</v>
      </c>
      <c r="J320" s="66"/>
      <c r="K320" s="66"/>
      <c r="L320" s="66"/>
      <c r="M320" s="66" t="s">
        <v>2139</v>
      </c>
      <c r="N320" s="67" t="s">
        <v>2216</v>
      </c>
    </row>
    <row r="321" spans="1:15" ht="14.25" customHeight="1" x14ac:dyDescent="0.3">
      <c r="A321" s="62">
        <v>300</v>
      </c>
      <c r="B321" s="202"/>
      <c r="C321" s="64" t="s">
        <v>775</v>
      </c>
      <c r="D321" s="65" t="s">
        <v>1711</v>
      </c>
      <c r="E321" s="65" t="s">
        <v>2498</v>
      </c>
      <c r="F321" s="65" t="s">
        <v>1866</v>
      </c>
      <c r="G321" s="65" t="s">
        <v>776</v>
      </c>
      <c r="H321" s="65" t="s">
        <v>2499</v>
      </c>
      <c r="I321" s="86">
        <v>2011</v>
      </c>
      <c r="J321" s="66"/>
      <c r="K321" s="66"/>
      <c r="L321" s="66"/>
      <c r="M321" s="66" t="s">
        <v>2139</v>
      </c>
      <c r="N321" s="67" t="s">
        <v>2218</v>
      </c>
    </row>
    <row r="322" spans="1:15" ht="14.25" customHeight="1" x14ac:dyDescent="0.3">
      <c r="A322" s="62">
        <v>301</v>
      </c>
      <c r="B322" s="202"/>
      <c r="C322" s="64" t="s">
        <v>796</v>
      </c>
      <c r="D322" s="65" t="s">
        <v>1714</v>
      </c>
      <c r="E322" s="65" t="s">
        <v>2498</v>
      </c>
      <c r="F322" s="65">
        <v>20.16</v>
      </c>
      <c r="G322" s="65" t="s">
        <v>797</v>
      </c>
      <c r="H322" s="65" t="s">
        <v>2499</v>
      </c>
      <c r="I322" s="86">
        <v>2007</v>
      </c>
      <c r="J322" s="66"/>
      <c r="K322" s="66"/>
      <c r="L322" s="66"/>
      <c r="M322" s="66" t="s">
        <v>2139</v>
      </c>
      <c r="N322" s="67" t="s">
        <v>2218</v>
      </c>
    </row>
    <row r="323" spans="1:15" ht="14.25" customHeight="1" x14ac:dyDescent="0.3">
      <c r="A323" s="62">
        <v>302</v>
      </c>
      <c r="B323" s="202"/>
      <c r="C323" s="64" t="s">
        <v>724</v>
      </c>
      <c r="D323" s="65" t="s">
        <v>1711</v>
      </c>
      <c r="E323" s="65" t="s">
        <v>2498</v>
      </c>
      <c r="F323" s="65" t="s">
        <v>1866</v>
      </c>
      <c r="G323" s="65" t="s">
        <v>725</v>
      </c>
      <c r="H323" s="65" t="s">
        <v>2499</v>
      </c>
      <c r="I323" s="86">
        <v>2016</v>
      </c>
      <c r="J323" s="66" t="s">
        <v>2503</v>
      </c>
      <c r="K323" s="66"/>
      <c r="L323" s="66" t="s">
        <v>2504</v>
      </c>
      <c r="M323" s="66" t="s">
        <v>2139</v>
      </c>
      <c r="N323" s="67" t="s">
        <v>2171</v>
      </c>
    </row>
    <row r="324" spans="1:15" ht="14.25" customHeight="1" x14ac:dyDescent="0.3">
      <c r="A324" s="62">
        <v>303</v>
      </c>
      <c r="B324" s="202"/>
      <c r="C324" s="64" t="s">
        <v>726</v>
      </c>
      <c r="D324" s="65" t="s">
        <v>1711</v>
      </c>
      <c r="E324" s="65" t="s">
        <v>2498</v>
      </c>
      <c r="F324" s="65" t="s">
        <v>1866</v>
      </c>
      <c r="G324" s="65" t="s">
        <v>727</v>
      </c>
      <c r="H324" s="65" t="s">
        <v>2499</v>
      </c>
      <c r="I324" s="86">
        <v>2016</v>
      </c>
      <c r="J324" s="66"/>
      <c r="K324" s="66"/>
      <c r="L324" s="66"/>
      <c r="M324" s="66" t="s">
        <v>2254</v>
      </c>
      <c r="N324" s="67" t="s">
        <v>2165</v>
      </c>
    </row>
    <row r="325" spans="1:15" ht="14.25" customHeight="1" x14ac:dyDescent="0.3">
      <c r="A325" s="62">
        <v>304</v>
      </c>
      <c r="B325" s="202"/>
      <c r="C325" s="64" t="s">
        <v>728</v>
      </c>
      <c r="D325" s="65" t="s">
        <v>1711</v>
      </c>
      <c r="E325" s="65" t="s">
        <v>2498</v>
      </c>
      <c r="F325" s="65" t="s">
        <v>1866</v>
      </c>
      <c r="G325" s="65" t="s">
        <v>729</v>
      </c>
      <c r="H325" s="65" t="s">
        <v>2499</v>
      </c>
      <c r="I325" s="86">
        <v>2016</v>
      </c>
      <c r="J325" s="66" t="s">
        <v>2505</v>
      </c>
      <c r="K325" s="66"/>
      <c r="L325" s="66" t="s">
        <v>2506</v>
      </c>
      <c r="M325" s="66" t="s">
        <v>2139</v>
      </c>
      <c r="N325" s="67" t="s">
        <v>2165</v>
      </c>
    </row>
    <row r="326" spans="1:15" ht="14.25" customHeight="1" x14ac:dyDescent="0.3">
      <c r="A326" s="62">
        <v>305</v>
      </c>
      <c r="B326" s="202"/>
      <c r="C326" s="64" t="s">
        <v>730</v>
      </c>
      <c r="D326" s="65" t="s">
        <v>1711</v>
      </c>
      <c r="E326" s="65" t="s">
        <v>2498</v>
      </c>
      <c r="F326" s="65" t="s">
        <v>1866</v>
      </c>
      <c r="G326" s="65" t="s">
        <v>731</v>
      </c>
      <c r="H326" s="65" t="s">
        <v>2499</v>
      </c>
      <c r="I326" s="86">
        <v>2016</v>
      </c>
      <c r="J326" s="66" t="s">
        <v>2507</v>
      </c>
      <c r="K326" s="66"/>
      <c r="L326" s="66" t="s">
        <v>2508</v>
      </c>
      <c r="M326" s="66" t="s">
        <v>2139</v>
      </c>
      <c r="N326" s="67" t="s">
        <v>2292</v>
      </c>
    </row>
    <row r="327" spans="1:15" ht="14.25" customHeight="1" x14ac:dyDescent="0.3">
      <c r="A327" s="62">
        <v>306</v>
      </c>
      <c r="B327" s="202"/>
      <c r="C327" s="64" t="s">
        <v>732</v>
      </c>
      <c r="D327" s="65" t="s">
        <v>1711</v>
      </c>
      <c r="E327" s="65" t="s">
        <v>2498</v>
      </c>
      <c r="F327" s="65" t="s">
        <v>1866</v>
      </c>
      <c r="G327" s="65" t="s">
        <v>733</v>
      </c>
      <c r="H327" s="65" t="s">
        <v>2499</v>
      </c>
      <c r="I327" s="86">
        <v>2016</v>
      </c>
      <c r="J327" s="66" t="s">
        <v>2509</v>
      </c>
      <c r="K327" s="66" t="s">
        <v>2509</v>
      </c>
      <c r="L327" s="66" t="s">
        <v>2510</v>
      </c>
      <c r="M327" s="66" t="s">
        <v>2139</v>
      </c>
      <c r="N327" s="67" t="s">
        <v>2171</v>
      </c>
    </row>
    <row r="328" spans="1:15" ht="14.25" customHeight="1" x14ac:dyDescent="0.3">
      <c r="A328" s="62">
        <v>307</v>
      </c>
      <c r="B328" s="202"/>
      <c r="C328" s="64" t="s">
        <v>734</v>
      </c>
      <c r="D328" s="65" t="s">
        <v>1711</v>
      </c>
      <c r="E328" s="65" t="s">
        <v>2498</v>
      </c>
      <c r="F328" s="65" t="s">
        <v>1866</v>
      </c>
      <c r="G328" s="65" t="s">
        <v>735</v>
      </c>
      <c r="H328" s="65" t="s">
        <v>2499</v>
      </c>
      <c r="I328" s="86">
        <v>2016</v>
      </c>
      <c r="J328" s="66" t="s">
        <v>2511</v>
      </c>
      <c r="K328" s="66"/>
      <c r="L328" s="66" t="s">
        <v>2512</v>
      </c>
      <c r="M328" s="66" t="s">
        <v>2139</v>
      </c>
      <c r="N328" s="73" t="s">
        <v>2192</v>
      </c>
    </row>
    <row r="329" spans="1:15" ht="14.25" customHeight="1" x14ac:dyDescent="0.3">
      <c r="A329" s="62">
        <v>308</v>
      </c>
      <c r="B329" s="202"/>
      <c r="C329" s="64" t="s">
        <v>736</v>
      </c>
      <c r="D329" s="65" t="s">
        <v>1711</v>
      </c>
      <c r="E329" s="65" t="s">
        <v>2498</v>
      </c>
      <c r="F329" s="65" t="s">
        <v>1866</v>
      </c>
      <c r="G329" s="65" t="s">
        <v>737</v>
      </c>
      <c r="H329" s="65" t="s">
        <v>2499</v>
      </c>
      <c r="I329" s="86">
        <v>2016</v>
      </c>
      <c r="J329" s="66" t="s">
        <v>2513</v>
      </c>
      <c r="K329" s="66"/>
      <c r="L329" s="66" t="s">
        <v>2514</v>
      </c>
      <c r="M329" s="66" t="s">
        <v>2254</v>
      </c>
      <c r="N329" s="67" t="s">
        <v>2218</v>
      </c>
    </row>
    <row r="330" spans="1:15" ht="14.25" customHeight="1" x14ac:dyDescent="0.3">
      <c r="A330" s="62">
        <v>309</v>
      </c>
      <c r="B330" s="202"/>
      <c r="C330" s="64" t="s">
        <v>738</v>
      </c>
      <c r="D330" s="65" t="s">
        <v>1711</v>
      </c>
      <c r="E330" s="65" t="s">
        <v>2498</v>
      </c>
      <c r="F330" s="65" t="s">
        <v>1866</v>
      </c>
      <c r="G330" s="65" t="s">
        <v>739</v>
      </c>
      <c r="H330" s="65" t="s">
        <v>2499</v>
      </c>
      <c r="I330" s="86">
        <v>2016</v>
      </c>
      <c r="J330" s="124" t="s">
        <v>2515</v>
      </c>
      <c r="K330" s="124"/>
      <c r="L330" s="124" t="s">
        <v>2516</v>
      </c>
      <c r="M330" s="124" t="s">
        <v>2254</v>
      </c>
      <c r="N330" s="73" t="s">
        <v>2165</v>
      </c>
    </row>
    <row r="331" spans="1:15" ht="14.25" customHeight="1" x14ac:dyDescent="0.3">
      <c r="A331" s="62">
        <v>310</v>
      </c>
      <c r="B331" s="202"/>
      <c r="C331" s="64" t="s">
        <v>717</v>
      </c>
      <c r="D331" s="65" t="s">
        <v>1711</v>
      </c>
      <c r="E331" s="65" t="s">
        <v>2498</v>
      </c>
      <c r="F331" s="65" t="s">
        <v>1865</v>
      </c>
      <c r="G331" s="65" t="s">
        <v>718</v>
      </c>
      <c r="H331" s="65" t="s">
        <v>2501</v>
      </c>
      <c r="I331" s="86">
        <v>2017</v>
      </c>
      <c r="J331" s="99" t="s">
        <v>2517</v>
      </c>
      <c r="K331" s="66"/>
      <c r="L331" s="66" t="s">
        <v>2518</v>
      </c>
      <c r="M331" s="66" t="s">
        <v>2139</v>
      </c>
      <c r="N331" s="67" t="s">
        <v>2205</v>
      </c>
    </row>
    <row r="332" spans="1:15" s="54" customFormat="1" ht="14.25" customHeight="1" x14ac:dyDescent="0.3">
      <c r="A332" s="119">
        <v>311</v>
      </c>
      <c r="B332" s="202"/>
      <c r="C332" s="120" t="s">
        <v>806</v>
      </c>
      <c r="D332" s="121" t="s">
        <v>1817</v>
      </c>
      <c r="E332" s="121" t="s">
        <v>2498</v>
      </c>
      <c r="F332" s="121" t="s">
        <v>1868</v>
      </c>
      <c r="G332" s="121" t="s">
        <v>807</v>
      </c>
      <c r="H332" s="121" t="s">
        <v>2499</v>
      </c>
      <c r="I332" s="122">
        <v>2003</v>
      </c>
      <c r="J332" s="123"/>
      <c r="K332" s="123"/>
      <c r="L332" s="123"/>
      <c r="M332" s="123" t="s">
        <v>2139</v>
      </c>
      <c r="N332" s="67" t="s">
        <v>2216</v>
      </c>
      <c r="O332" s="54" t="s">
        <v>2519</v>
      </c>
    </row>
    <row r="333" spans="1:15" ht="14.25" customHeight="1" x14ac:dyDescent="0.3">
      <c r="A333" s="62">
        <v>312</v>
      </c>
      <c r="B333" s="202"/>
      <c r="C333" s="64" t="s">
        <v>677</v>
      </c>
      <c r="D333" s="65" t="s">
        <v>1711</v>
      </c>
      <c r="E333" s="65" t="s">
        <v>2498</v>
      </c>
      <c r="F333" s="65" t="s">
        <v>1712</v>
      </c>
      <c r="G333" s="65" t="s">
        <v>678</v>
      </c>
      <c r="H333" s="65" t="s">
        <v>2499</v>
      </c>
      <c r="I333" s="86">
        <v>2018</v>
      </c>
      <c r="J333" s="66" t="s">
        <v>2520</v>
      </c>
      <c r="K333" s="66"/>
      <c r="L333" s="100" t="s">
        <v>2521</v>
      </c>
      <c r="M333" s="100" t="s">
        <v>2254</v>
      </c>
      <c r="N333" s="67" t="s">
        <v>2218</v>
      </c>
    </row>
    <row r="334" spans="1:15" ht="14.25" customHeight="1" x14ac:dyDescent="0.3">
      <c r="A334" s="62">
        <v>313</v>
      </c>
      <c r="B334" s="202"/>
      <c r="C334" s="64" t="s">
        <v>679</v>
      </c>
      <c r="D334" s="65" t="s">
        <v>1711</v>
      </c>
      <c r="E334" s="65" t="s">
        <v>2498</v>
      </c>
      <c r="F334" s="65" t="s">
        <v>1712</v>
      </c>
      <c r="G334" s="65" t="s">
        <v>680</v>
      </c>
      <c r="H334" s="65" t="s">
        <v>2499</v>
      </c>
      <c r="I334" s="86">
        <v>2018</v>
      </c>
      <c r="J334" s="66" t="s">
        <v>2522</v>
      </c>
      <c r="K334" s="66"/>
      <c r="L334" s="66" t="s">
        <v>2523</v>
      </c>
      <c r="M334" s="66" t="s">
        <v>2139</v>
      </c>
      <c r="N334" s="67" t="s">
        <v>2267</v>
      </c>
    </row>
    <row r="335" spans="1:15" ht="14.25" customHeight="1" x14ac:dyDescent="0.3">
      <c r="A335" s="62">
        <v>314</v>
      </c>
      <c r="B335" s="202"/>
      <c r="C335" s="64" t="s">
        <v>681</v>
      </c>
      <c r="D335" s="65" t="s">
        <v>1711</v>
      </c>
      <c r="E335" s="65" t="s">
        <v>2498</v>
      </c>
      <c r="F335" s="65" t="s">
        <v>1712</v>
      </c>
      <c r="G335" s="65" t="s">
        <v>682</v>
      </c>
      <c r="H335" s="65" t="s">
        <v>2499</v>
      </c>
      <c r="I335" s="86">
        <v>2018</v>
      </c>
      <c r="J335" s="66" t="s">
        <v>2524</v>
      </c>
      <c r="K335" s="66"/>
      <c r="L335" s="100" t="s">
        <v>2525</v>
      </c>
      <c r="M335" s="100" t="s">
        <v>2254</v>
      </c>
      <c r="N335" s="67" t="s">
        <v>2353</v>
      </c>
    </row>
    <row r="336" spans="1:15" ht="14.25" customHeight="1" x14ac:dyDescent="0.3">
      <c r="A336" s="62">
        <v>315</v>
      </c>
      <c r="B336" s="202"/>
      <c r="C336" s="64" t="s">
        <v>683</v>
      </c>
      <c r="D336" s="65" t="s">
        <v>1711</v>
      </c>
      <c r="E336" s="65" t="s">
        <v>2498</v>
      </c>
      <c r="F336" s="65" t="s">
        <v>1712</v>
      </c>
      <c r="G336" s="65" t="s">
        <v>684</v>
      </c>
      <c r="H336" s="65" t="s">
        <v>2499</v>
      </c>
      <c r="I336" s="86">
        <v>2018</v>
      </c>
      <c r="J336" s="66" t="s">
        <v>2526</v>
      </c>
      <c r="K336" s="66"/>
      <c r="L336" s="100" t="s">
        <v>2527</v>
      </c>
      <c r="M336" s="100" t="s">
        <v>2254</v>
      </c>
      <c r="N336" s="67" t="s">
        <v>2528</v>
      </c>
    </row>
    <row r="337" spans="1:14" ht="14.25" customHeight="1" x14ac:dyDescent="0.3">
      <c r="A337" s="62">
        <v>316</v>
      </c>
      <c r="B337" s="202"/>
      <c r="C337" s="64" t="s">
        <v>685</v>
      </c>
      <c r="D337" s="65" t="s">
        <v>1711</v>
      </c>
      <c r="E337" s="65" t="s">
        <v>2498</v>
      </c>
      <c r="F337" s="65" t="s">
        <v>1863</v>
      </c>
      <c r="G337" s="65" t="s">
        <v>686</v>
      </c>
      <c r="H337" s="65" t="s">
        <v>2499</v>
      </c>
      <c r="I337" s="86">
        <v>2018</v>
      </c>
      <c r="J337" s="66" t="s">
        <v>2529</v>
      </c>
      <c r="K337" s="66"/>
      <c r="L337" s="100" t="s">
        <v>2530</v>
      </c>
      <c r="M337" s="100" t="s">
        <v>2139</v>
      </c>
      <c r="N337" s="67" t="s">
        <v>2177</v>
      </c>
    </row>
    <row r="338" spans="1:14" ht="14.25" customHeight="1" x14ac:dyDescent="0.3">
      <c r="A338" s="62">
        <v>317</v>
      </c>
      <c r="B338" s="202"/>
      <c r="C338" s="64" t="s">
        <v>708</v>
      </c>
      <c r="D338" s="65" t="s">
        <v>1711</v>
      </c>
      <c r="E338" s="65" t="s">
        <v>2498</v>
      </c>
      <c r="F338" s="65" t="s">
        <v>1864</v>
      </c>
      <c r="G338" s="65" t="s">
        <v>709</v>
      </c>
      <c r="H338" s="65" t="s">
        <v>2499</v>
      </c>
      <c r="I338" s="86">
        <v>2016</v>
      </c>
      <c r="J338" s="66" t="s">
        <v>2531</v>
      </c>
      <c r="K338" s="66"/>
      <c r="L338" s="66" t="s">
        <v>2532</v>
      </c>
      <c r="M338" s="66" t="s">
        <v>2139</v>
      </c>
      <c r="N338" s="67" t="s">
        <v>2218</v>
      </c>
    </row>
    <row r="339" spans="1:14" ht="14.25" customHeight="1" x14ac:dyDescent="0.3">
      <c r="A339" s="62">
        <v>318</v>
      </c>
      <c r="B339" s="202"/>
      <c r="C339" s="64" t="s">
        <v>687</v>
      </c>
      <c r="D339" s="65" t="s">
        <v>1711</v>
      </c>
      <c r="E339" s="65" t="s">
        <v>2498</v>
      </c>
      <c r="F339" s="65" t="s">
        <v>1864</v>
      </c>
      <c r="G339" s="65" t="s">
        <v>688</v>
      </c>
      <c r="H339" s="65" t="s">
        <v>2499</v>
      </c>
      <c r="I339" s="86">
        <v>2018</v>
      </c>
      <c r="J339" s="66" t="s">
        <v>2533</v>
      </c>
      <c r="K339" s="66"/>
      <c r="L339" s="100" t="s">
        <v>2534</v>
      </c>
      <c r="M339" s="100" t="s">
        <v>2254</v>
      </c>
      <c r="N339" s="67" t="s">
        <v>2168</v>
      </c>
    </row>
    <row r="340" spans="1:14" ht="14.25" customHeight="1" x14ac:dyDescent="0.3">
      <c r="A340" s="62">
        <v>319</v>
      </c>
      <c r="B340" s="202"/>
      <c r="C340" s="64" t="s">
        <v>710</v>
      </c>
      <c r="D340" s="65" t="s">
        <v>1711</v>
      </c>
      <c r="E340" s="65" t="s">
        <v>2498</v>
      </c>
      <c r="F340" s="65" t="s">
        <v>1864</v>
      </c>
      <c r="G340" s="65" t="s">
        <v>2535</v>
      </c>
      <c r="H340" s="65" t="s">
        <v>2499</v>
      </c>
      <c r="I340" s="86">
        <v>2016</v>
      </c>
      <c r="J340" s="66" t="s">
        <v>2536</v>
      </c>
      <c r="K340" s="66"/>
      <c r="L340" s="100" t="s">
        <v>2537</v>
      </c>
      <c r="M340" s="100" t="s">
        <v>2139</v>
      </c>
      <c r="N340" s="67" t="s">
        <v>2188</v>
      </c>
    </row>
    <row r="341" spans="1:14" ht="14.25" customHeight="1" x14ac:dyDescent="0.3">
      <c r="A341" s="62">
        <v>320</v>
      </c>
      <c r="B341" s="202"/>
      <c r="C341" s="64" t="s">
        <v>712</v>
      </c>
      <c r="D341" s="65" t="s">
        <v>1711</v>
      </c>
      <c r="E341" s="65" t="s">
        <v>2498</v>
      </c>
      <c r="F341" s="65" t="s">
        <v>1864</v>
      </c>
      <c r="G341" s="65" t="s">
        <v>713</v>
      </c>
      <c r="H341" s="65" t="s">
        <v>2499</v>
      </c>
      <c r="I341" s="86">
        <v>2016</v>
      </c>
      <c r="J341" s="66" t="s">
        <v>2538</v>
      </c>
      <c r="K341" s="66"/>
      <c r="L341" s="100" t="s">
        <v>2539</v>
      </c>
      <c r="M341" s="100" t="s">
        <v>2139</v>
      </c>
      <c r="N341" s="67" t="s">
        <v>2218</v>
      </c>
    </row>
    <row r="342" spans="1:14" ht="14.25" customHeight="1" x14ac:dyDescent="0.3">
      <c r="A342" s="62">
        <v>321</v>
      </c>
      <c r="B342" s="202"/>
      <c r="C342" s="64" t="s">
        <v>689</v>
      </c>
      <c r="D342" s="65" t="s">
        <v>1711</v>
      </c>
      <c r="E342" s="65" t="s">
        <v>2498</v>
      </c>
      <c r="F342" s="65" t="s">
        <v>1864</v>
      </c>
      <c r="G342" s="65" t="s">
        <v>690</v>
      </c>
      <c r="H342" s="65" t="s">
        <v>2499</v>
      </c>
      <c r="I342" s="86">
        <v>2018</v>
      </c>
      <c r="J342" s="66" t="s">
        <v>2540</v>
      </c>
      <c r="K342" s="66"/>
      <c r="L342" s="66" t="s">
        <v>2541</v>
      </c>
      <c r="M342" s="66" t="s">
        <v>2139</v>
      </c>
      <c r="N342" s="73" t="s">
        <v>2165</v>
      </c>
    </row>
    <row r="343" spans="1:14" ht="14.25" customHeight="1" x14ac:dyDescent="0.3">
      <c r="A343" s="62">
        <v>322</v>
      </c>
      <c r="B343" s="202"/>
      <c r="C343" s="64" t="s">
        <v>788</v>
      </c>
      <c r="D343" s="65" t="s">
        <v>1711</v>
      </c>
      <c r="E343" s="65" t="s">
        <v>2498</v>
      </c>
      <c r="F343" s="65" t="s">
        <v>1868</v>
      </c>
      <c r="G343" s="65" t="s">
        <v>789</v>
      </c>
      <c r="H343" s="65" t="s">
        <v>2499</v>
      </c>
      <c r="I343" s="86">
        <v>2005</v>
      </c>
      <c r="J343" s="66"/>
      <c r="K343" s="66"/>
      <c r="L343" s="66"/>
      <c r="M343" s="66" t="s">
        <v>2139</v>
      </c>
      <c r="N343" s="67" t="s">
        <v>2165</v>
      </c>
    </row>
    <row r="344" spans="1:14" ht="14.25" customHeight="1" x14ac:dyDescent="0.3">
      <c r="A344" s="62">
        <v>323</v>
      </c>
      <c r="B344" s="202"/>
      <c r="C344" s="64" t="s">
        <v>691</v>
      </c>
      <c r="D344" s="65" t="s">
        <v>1711</v>
      </c>
      <c r="E344" s="65" t="s">
        <v>2498</v>
      </c>
      <c r="F344" s="65" t="s">
        <v>1864</v>
      </c>
      <c r="G344" s="65" t="s">
        <v>2542</v>
      </c>
      <c r="H344" s="65" t="s">
        <v>2499</v>
      </c>
      <c r="I344" s="86">
        <v>2018</v>
      </c>
      <c r="J344" s="66" t="s">
        <v>2543</v>
      </c>
      <c r="K344" s="66"/>
      <c r="L344" s="66" t="s">
        <v>2544</v>
      </c>
      <c r="M344" s="66" t="s">
        <v>2139</v>
      </c>
      <c r="N344" s="67" t="s">
        <v>2165</v>
      </c>
    </row>
    <row r="345" spans="1:14" ht="14.25" customHeight="1" x14ac:dyDescent="0.3">
      <c r="A345" s="62">
        <v>324</v>
      </c>
      <c r="B345" s="202"/>
      <c r="C345" s="64" t="s">
        <v>694</v>
      </c>
      <c r="D345" s="65" t="s">
        <v>1711</v>
      </c>
      <c r="E345" s="65" t="s">
        <v>2498</v>
      </c>
      <c r="F345" s="65" t="s">
        <v>1864</v>
      </c>
      <c r="G345" s="65" t="s">
        <v>695</v>
      </c>
      <c r="H345" s="65" t="s">
        <v>2499</v>
      </c>
      <c r="I345" s="86">
        <v>2018</v>
      </c>
      <c r="J345" s="66" t="s">
        <v>2545</v>
      </c>
      <c r="K345" s="66"/>
      <c r="L345" s="66" t="s">
        <v>2546</v>
      </c>
      <c r="M345" s="66" t="s">
        <v>2139</v>
      </c>
      <c r="N345" s="67" t="s">
        <v>2188</v>
      </c>
    </row>
    <row r="346" spans="1:14" ht="14.25" customHeight="1" x14ac:dyDescent="0.3">
      <c r="A346" s="62">
        <v>325</v>
      </c>
      <c r="B346" s="202"/>
      <c r="C346" s="64" t="s">
        <v>696</v>
      </c>
      <c r="D346" s="65" t="s">
        <v>1711</v>
      </c>
      <c r="E346" s="65" t="s">
        <v>2498</v>
      </c>
      <c r="F346" s="65" t="s">
        <v>1864</v>
      </c>
      <c r="G346" s="65" t="s">
        <v>697</v>
      </c>
      <c r="H346" s="65" t="s">
        <v>2499</v>
      </c>
      <c r="I346" s="86">
        <v>2018</v>
      </c>
      <c r="J346" s="66" t="s">
        <v>2547</v>
      </c>
      <c r="K346" s="66"/>
      <c r="L346" s="100" t="s">
        <v>2548</v>
      </c>
      <c r="M346" s="100" t="s">
        <v>2139</v>
      </c>
      <c r="N346" s="67" t="s">
        <v>2165</v>
      </c>
    </row>
    <row r="347" spans="1:14" ht="14.25" customHeight="1" x14ac:dyDescent="0.3">
      <c r="A347" s="62">
        <v>326</v>
      </c>
      <c r="B347" s="202"/>
      <c r="C347" s="64" t="s">
        <v>698</v>
      </c>
      <c r="D347" s="65" t="s">
        <v>1711</v>
      </c>
      <c r="E347" s="65" t="s">
        <v>2498</v>
      </c>
      <c r="F347" s="65" t="s">
        <v>1864</v>
      </c>
      <c r="G347" s="65" t="s">
        <v>699</v>
      </c>
      <c r="H347" s="65" t="s">
        <v>2499</v>
      </c>
      <c r="I347" s="86">
        <v>2018</v>
      </c>
      <c r="J347" s="66" t="s">
        <v>2549</v>
      </c>
      <c r="K347" s="66"/>
      <c r="L347" s="66" t="s">
        <v>2550</v>
      </c>
      <c r="M347" s="66" t="s">
        <v>2139</v>
      </c>
      <c r="N347" s="67" t="s">
        <v>2218</v>
      </c>
    </row>
    <row r="348" spans="1:14" ht="14.25" customHeight="1" x14ac:dyDescent="0.3">
      <c r="A348" s="62">
        <v>327</v>
      </c>
      <c r="B348" s="202"/>
      <c r="C348" s="64" t="s">
        <v>700</v>
      </c>
      <c r="D348" s="65" t="s">
        <v>1711</v>
      </c>
      <c r="E348" s="65" t="s">
        <v>2498</v>
      </c>
      <c r="F348" s="65" t="s">
        <v>1864</v>
      </c>
      <c r="G348" s="65" t="s">
        <v>2551</v>
      </c>
      <c r="H348" s="65" t="s">
        <v>2499</v>
      </c>
      <c r="I348" s="86">
        <v>2018</v>
      </c>
      <c r="J348" s="66" t="s">
        <v>2552</v>
      </c>
      <c r="K348" s="66"/>
      <c r="L348" s="100" t="s">
        <v>2553</v>
      </c>
      <c r="M348" s="100" t="s">
        <v>2139</v>
      </c>
      <c r="N348" s="67" t="s">
        <v>2165</v>
      </c>
    </row>
    <row r="349" spans="1:14" ht="14.25" customHeight="1" x14ac:dyDescent="0.3">
      <c r="A349" s="62">
        <v>328</v>
      </c>
      <c r="B349" s="202"/>
      <c r="C349" s="64" t="s">
        <v>702</v>
      </c>
      <c r="D349" s="65" t="s">
        <v>1711</v>
      </c>
      <c r="E349" s="65" t="s">
        <v>2498</v>
      </c>
      <c r="F349" s="65" t="s">
        <v>1864</v>
      </c>
      <c r="G349" s="65" t="s">
        <v>2554</v>
      </c>
      <c r="H349" s="65" t="s">
        <v>2499</v>
      </c>
      <c r="I349" s="86">
        <v>2018</v>
      </c>
      <c r="J349" s="66" t="s">
        <v>2555</v>
      </c>
      <c r="K349" s="66"/>
      <c r="L349" s="100" t="s">
        <v>2556</v>
      </c>
      <c r="M349" s="100" t="s">
        <v>2254</v>
      </c>
      <c r="N349" s="67" t="s">
        <v>2338</v>
      </c>
    </row>
    <row r="350" spans="1:14" ht="14.25" customHeight="1" x14ac:dyDescent="0.3">
      <c r="A350" s="62">
        <v>329</v>
      </c>
      <c r="B350" s="202"/>
      <c r="C350" s="64" t="s">
        <v>704</v>
      </c>
      <c r="D350" s="65" t="s">
        <v>1711</v>
      </c>
      <c r="E350" s="65" t="s">
        <v>2498</v>
      </c>
      <c r="F350" s="65" t="s">
        <v>1864</v>
      </c>
      <c r="G350" s="65" t="s">
        <v>2557</v>
      </c>
      <c r="H350" s="65" t="s">
        <v>2499</v>
      </c>
      <c r="I350" s="86">
        <v>2018</v>
      </c>
      <c r="J350" s="66" t="s">
        <v>2558</v>
      </c>
      <c r="K350" s="66"/>
      <c r="L350" s="100" t="s">
        <v>2559</v>
      </c>
      <c r="M350" s="100" t="s">
        <v>2254</v>
      </c>
      <c r="N350" s="67" t="s">
        <v>2165</v>
      </c>
    </row>
    <row r="351" spans="1:14" ht="14.25" customHeight="1" x14ac:dyDescent="0.3">
      <c r="A351" s="62">
        <v>330</v>
      </c>
      <c r="B351" s="202"/>
      <c r="C351" s="64" t="s">
        <v>706</v>
      </c>
      <c r="D351" s="65" t="s">
        <v>1711</v>
      </c>
      <c r="E351" s="65" t="s">
        <v>2498</v>
      </c>
      <c r="F351" s="65" t="s">
        <v>1864</v>
      </c>
      <c r="G351" s="65" t="s">
        <v>2560</v>
      </c>
      <c r="H351" s="65" t="s">
        <v>2499</v>
      </c>
      <c r="I351" s="86">
        <v>2018</v>
      </c>
      <c r="J351" s="66" t="s">
        <v>2561</v>
      </c>
      <c r="K351" s="66"/>
      <c r="L351" s="66" t="s">
        <v>2562</v>
      </c>
      <c r="M351" s="66" t="s">
        <v>2139</v>
      </c>
      <c r="N351" s="67" t="s">
        <v>2267</v>
      </c>
    </row>
    <row r="352" spans="1:14" ht="14.25" customHeight="1" x14ac:dyDescent="0.3">
      <c r="A352" s="62">
        <v>331</v>
      </c>
      <c r="B352" s="202"/>
      <c r="C352" s="64" t="s">
        <v>627</v>
      </c>
      <c r="D352" s="65" t="s">
        <v>1711</v>
      </c>
      <c r="E352" s="65" t="s">
        <v>2498</v>
      </c>
      <c r="F352" s="65" t="s">
        <v>1863</v>
      </c>
      <c r="G352" s="112" t="s">
        <v>628</v>
      </c>
      <c r="H352" s="65" t="s">
        <v>2563</v>
      </c>
      <c r="I352" s="86">
        <v>2021</v>
      </c>
      <c r="J352" s="66" t="s">
        <v>2564</v>
      </c>
      <c r="K352" s="66"/>
      <c r="L352" s="66">
        <v>12963876312</v>
      </c>
      <c r="M352" s="66" t="s">
        <v>2139</v>
      </c>
      <c r="N352" s="67" t="s">
        <v>2218</v>
      </c>
    </row>
    <row r="353" spans="1:14" ht="14.25" customHeight="1" x14ac:dyDescent="0.3">
      <c r="A353" s="62">
        <v>332</v>
      </c>
      <c r="B353" s="202"/>
      <c r="C353" s="64" t="s">
        <v>629</v>
      </c>
      <c r="D353" s="65" t="s">
        <v>1711</v>
      </c>
      <c r="E353" s="65" t="s">
        <v>2498</v>
      </c>
      <c r="F353" s="65" t="s">
        <v>1863</v>
      </c>
      <c r="G353" s="112" t="s">
        <v>630</v>
      </c>
      <c r="H353" s="65" t="s">
        <v>2563</v>
      </c>
      <c r="I353" s="86">
        <v>2021</v>
      </c>
      <c r="J353" s="66" t="s">
        <v>2565</v>
      </c>
      <c r="K353" s="66"/>
      <c r="L353" s="66">
        <v>12963876304</v>
      </c>
      <c r="M353" s="66" t="s">
        <v>2254</v>
      </c>
      <c r="N353" s="67" t="s">
        <v>2188</v>
      </c>
    </row>
    <row r="354" spans="1:14" ht="14.25" customHeight="1" x14ac:dyDescent="0.3">
      <c r="A354" s="62">
        <v>333</v>
      </c>
      <c r="B354" s="202"/>
      <c r="C354" s="64" t="s">
        <v>631</v>
      </c>
      <c r="D354" s="65" t="s">
        <v>1711</v>
      </c>
      <c r="E354" s="65" t="s">
        <v>2498</v>
      </c>
      <c r="F354" s="65" t="s">
        <v>1863</v>
      </c>
      <c r="G354" s="112" t="s">
        <v>632</v>
      </c>
      <c r="H354" s="65" t="s">
        <v>2563</v>
      </c>
      <c r="I354" s="86">
        <v>2021</v>
      </c>
      <c r="J354" s="66" t="s">
        <v>2566</v>
      </c>
      <c r="K354" s="66"/>
      <c r="L354" s="66">
        <v>12963876315</v>
      </c>
      <c r="M354" s="66" t="s">
        <v>2139</v>
      </c>
      <c r="N354" s="67" t="s">
        <v>2171</v>
      </c>
    </row>
    <row r="355" spans="1:14" ht="14.25" customHeight="1" x14ac:dyDescent="0.3">
      <c r="A355" s="62">
        <v>334</v>
      </c>
      <c r="B355" s="202"/>
      <c r="C355" s="64" t="s">
        <v>633</v>
      </c>
      <c r="D355" s="65" t="s">
        <v>1711</v>
      </c>
      <c r="E355" s="65" t="s">
        <v>2498</v>
      </c>
      <c r="F355" s="65" t="s">
        <v>1863</v>
      </c>
      <c r="G355" s="112" t="s">
        <v>634</v>
      </c>
      <c r="H355" s="65" t="s">
        <v>2563</v>
      </c>
      <c r="I355" s="86">
        <v>2021</v>
      </c>
      <c r="J355" s="66" t="s">
        <v>2567</v>
      </c>
      <c r="K355" s="66"/>
      <c r="L355" s="66">
        <v>12963876153</v>
      </c>
      <c r="M355" s="66" t="s">
        <v>2139</v>
      </c>
      <c r="N355" s="67" t="s">
        <v>2192</v>
      </c>
    </row>
    <row r="356" spans="1:14" ht="14.25" customHeight="1" x14ac:dyDescent="0.3">
      <c r="A356" s="62">
        <v>335</v>
      </c>
      <c r="B356" s="202"/>
      <c r="C356" s="64" t="s">
        <v>635</v>
      </c>
      <c r="D356" s="65" t="s">
        <v>1711</v>
      </c>
      <c r="E356" s="65" t="s">
        <v>2498</v>
      </c>
      <c r="F356" s="65" t="s">
        <v>1863</v>
      </c>
      <c r="G356" s="112" t="s">
        <v>636</v>
      </c>
      <c r="H356" s="65" t="s">
        <v>2563</v>
      </c>
      <c r="I356" s="86">
        <v>2021</v>
      </c>
      <c r="J356" s="66" t="s">
        <v>2568</v>
      </c>
      <c r="K356" s="66"/>
      <c r="L356" s="66">
        <v>12963875864</v>
      </c>
      <c r="M356" s="66" t="s">
        <v>2254</v>
      </c>
      <c r="N356" s="67" t="s">
        <v>2171</v>
      </c>
    </row>
    <row r="357" spans="1:14" ht="14.25" customHeight="1" x14ac:dyDescent="0.3">
      <c r="A357" s="62">
        <v>336</v>
      </c>
      <c r="B357" s="202"/>
      <c r="C357" s="64" t="s">
        <v>637</v>
      </c>
      <c r="D357" s="65" t="s">
        <v>1711</v>
      </c>
      <c r="E357" s="65" t="s">
        <v>2498</v>
      </c>
      <c r="F357" s="65" t="s">
        <v>1863</v>
      </c>
      <c r="G357" s="112" t="s">
        <v>638</v>
      </c>
      <c r="H357" s="65" t="s">
        <v>2563</v>
      </c>
      <c r="I357" s="86">
        <v>2021</v>
      </c>
      <c r="J357" s="66" t="s">
        <v>2569</v>
      </c>
      <c r="K357" s="66"/>
      <c r="L357" s="66">
        <v>12963875865</v>
      </c>
      <c r="M357" s="66" t="s">
        <v>2254</v>
      </c>
      <c r="N357" s="67" t="s">
        <v>2218</v>
      </c>
    </row>
    <row r="358" spans="1:14" ht="14.25" customHeight="1" x14ac:dyDescent="0.3">
      <c r="A358" s="62">
        <v>337</v>
      </c>
      <c r="B358" s="202"/>
      <c r="C358" s="64" t="s">
        <v>639</v>
      </c>
      <c r="D358" s="65" t="s">
        <v>1711</v>
      </c>
      <c r="E358" s="65" t="s">
        <v>2498</v>
      </c>
      <c r="F358" s="65" t="s">
        <v>1863</v>
      </c>
      <c r="G358" s="112" t="s">
        <v>640</v>
      </c>
      <c r="H358" s="65" t="s">
        <v>2563</v>
      </c>
      <c r="I358" s="86">
        <v>2021</v>
      </c>
      <c r="J358" s="66" t="s">
        <v>2570</v>
      </c>
      <c r="K358" s="66"/>
      <c r="L358" s="66">
        <v>12963875867</v>
      </c>
      <c r="M358" s="66" t="s">
        <v>2254</v>
      </c>
      <c r="N358" s="67" t="s">
        <v>2218</v>
      </c>
    </row>
    <row r="359" spans="1:14" ht="14.25" customHeight="1" x14ac:dyDescent="0.3">
      <c r="A359" s="62">
        <v>338</v>
      </c>
      <c r="B359" s="202"/>
      <c r="C359" s="64" t="s">
        <v>641</v>
      </c>
      <c r="D359" s="65" t="s">
        <v>1711</v>
      </c>
      <c r="E359" s="65" t="s">
        <v>2498</v>
      </c>
      <c r="F359" s="65" t="s">
        <v>1863</v>
      </c>
      <c r="G359" s="112" t="s">
        <v>642</v>
      </c>
      <c r="H359" s="65" t="s">
        <v>2563</v>
      </c>
      <c r="I359" s="86">
        <v>2021</v>
      </c>
      <c r="J359" s="66" t="s">
        <v>2571</v>
      </c>
      <c r="K359" s="66"/>
      <c r="L359" s="66">
        <v>12963875861</v>
      </c>
      <c r="M359" s="66" t="s">
        <v>2139</v>
      </c>
      <c r="N359" s="67" t="s">
        <v>2165</v>
      </c>
    </row>
    <row r="360" spans="1:14" ht="14.25" customHeight="1" x14ac:dyDescent="0.3">
      <c r="A360" s="62">
        <v>339</v>
      </c>
      <c r="B360" s="202"/>
      <c r="C360" s="64" t="s">
        <v>643</v>
      </c>
      <c r="D360" s="65" t="s">
        <v>1711</v>
      </c>
      <c r="E360" s="65" t="s">
        <v>2498</v>
      </c>
      <c r="F360" s="65" t="s">
        <v>1863</v>
      </c>
      <c r="G360" s="112" t="s">
        <v>644</v>
      </c>
      <c r="H360" s="65" t="s">
        <v>2563</v>
      </c>
      <c r="I360" s="86">
        <v>2021</v>
      </c>
      <c r="J360" s="66" t="s">
        <v>2572</v>
      </c>
      <c r="K360" s="66"/>
      <c r="L360" s="66">
        <v>12963876189</v>
      </c>
      <c r="M360" s="66" t="s">
        <v>2254</v>
      </c>
      <c r="N360" s="67" t="s">
        <v>2280</v>
      </c>
    </row>
    <row r="361" spans="1:14" ht="14.25" customHeight="1" x14ac:dyDescent="0.3">
      <c r="A361" s="62">
        <v>340</v>
      </c>
      <c r="B361" s="202"/>
      <c r="C361" s="64" t="s">
        <v>645</v>
      </c>
      <c r="D361" s="65" t="s">
        <v>1711</v>
      </c>
      <c r="E361" s="65" t="s">
        <v>2498</v>
      </c>
      <c r="F361" s="65" t="s">
        <v>1863</v>
      </c>
      <c r="G361" s="112" t="s">
        <v>646</v>
      </c>
      <c r="H361" s="65" t="s">
        <v>2563</v>
      </c>
      <c r="I361" s="86">
        <v>2021</v>
      </c>
      <c r="J361" s="66" t="s">
        <v>2573</v>
      </c>
      <c r="K361" s="66"/>
      <c r="L361" s="66">
        <v>12963875863</v>
      </c>
      <c r="M361" s="66" t="s">
        <v>2139</v>
      </c>
      <c r="N361" s="67" t="s">
        <v>2165</v>
      </c>
    </row>
    <row r="362" spans="1:14" ht="14.25" customHeight="1" x14ac:dyDescent="0.3">
      <c r="A362" s="62">
        <v>341</v>
      </c>
      <c r="B362" s="202"/>
      <c r="C362" s="64" t="s">
        <v>647</v>
      </c>
      <c r="D362" s="65" t="s">
        <v>1711</v>
      </c>
      <c r="E362" s="65" t="s">
        <v>2498</v>
      </c>
      <c r="F362" s="65" t="s">
        <v>1863</v>
      </c>
      <c r="G362" s="112" t="s">
        <v>648</v>
      </c>
      <c r="H362" s="65" t="s">
        <v>2563</v>
      </c>
      <c r="I362" s="86">
        <v>2021</v>
      </c>
      <c r="J362" s="66" t="s">
        <v>2574</v>
      </c>
      <c r="K362" s="66"/>
      <c r="L362" s="66">
        <v>12963876320</v>
      </c>
      <c r="M362" s="66" t="s">
        <v>2254</v>
      </c>
      <c r="N362" s="67" t="s">
        <v>2218</v>
      </c>
    </row>
    <row r="363" spans="1:14" ht="14.25" customHeight="1" x14ac:dyDescent="0.3">
      <c r="A363" s="62">
        <v>342</v>
      </c>
      <c r="B363" s="202"/>
      <c r="C363" s="64" t="s">
        <v>649</v>
      </c>
      <c r="D363" s="65" t="s">
        <v>1711</v>
      </c>
      <c r="E363" s="65" t="s">
        <v>2498</v>
      </c>
      <c r="F363" s="65" t="s">
        <v>1863</v>
      </c>
      <c r="G363" s="112" t="s">
        <v>650</v>
      </c>
      <c r="H363" s="65" t="s">
        <v>2563</v>
      </c>
      <c r="I363" s="86">
        <v>2021</v>
      </c>
      <c r="J363" s="66" t="s">
        <v>2575</v>
      </c>
      <c r="K363" s="66"/>
      <c r="L363" s="66">
        <v>12963876316</v>
      </c>
      <c r="M363" s="66" t="s">
        <v>2254</v>
      </c>
      <c r="N363" s="67" t="s">
        <v>2218</v>
      </c>
    </row>
    <row r="364" spans="1:14" ht="14.25" customHeight="1" x14ac:dyDescent="0.3">
      <c r="A364" s="62">
        <v>343</v>
      </c>
      <c r="B364" s="202"/>
      <c r="C364" s="64" t="s">
        <v>651</v>
      </c>
      <c r="D364" s="65" t="s">
        <v>1711</v>
      </c>
      <c r="E364" s="65" t="s">
        <v>2498</v>
      </c>
      <c r="F364" s="65" t="s">
        <v>1863</v>
      </c>
      <c r="G364" s="112" t="s">
        <v>652</v>
      </c>
      <c r="H364" s="65" t="s">
        <v>2563</v>
      </c>
      <c r="I364" s="86">
        <v>2021</v>
      </c>
      <c r="J364" s="66" t="s">
        <v>2576</v>
      </c>
      <c r="K364" s="66"/>
      <c r="L364" s="66">
        <v>12963876154</v>
      </c>
      <c r="M364" s="66" t="s">
        <v>2139</v>
      </c>
      <c r="N364" s="73" t="s">
        <v>2165</v>
      </c>
    </row>
    <row r="365" spans="1:14" ht="14.25" customHeight="1" x14ac:dyDescent="0.3">
      <c r="A365" s="62">
        <v>344</v>
      </c>
      <c r="B365" s="202"/>
      <c r="C365" s="64" t="s">
        <v>653</v>
      </c>
      <c r="D365" s="65" t="s">
        <v>1711</v>
      </c>
      <c r="E365" s="65" t="s">
        <v>2498</v>
      </c>
      <c r="F365" s="65" t="s">
        <v>1863</v>
      </c>
      <c r="G365" s="65" t="s">
        <v>654</v>
      </c>
      <c r="H365" s="65" t="s">
        <v>2563</v>
      </c>
      <c r="I365" s="86">
        <v>2021</v>
      </c>
      <c r="J365" s="66" t="s">
        <v>2577</v>
      </c>
      <c r="K365" s="66"/>
      <c r="L365" s="66">
        <v>12963876152</v>
      </c>
      <c r="M365" s="66" t="s">
        <v>2254</v>
      </c>
      <c r="N365" s="67" t="s">
        <v>2192</v>
      </c>
    </row>
    <row r="366" spans="1:14" ht="14.25" customHeight="1" x14ac:dyDescent="0.3">
      <c r="A366" s="62">
        <v>345</v>
      </c>
      <c r="B366" s="202"/>
      <c r="C366" s="64" t="s">
        <v>655</v>
      </c>
      <c r="D366" s="65" t="s">
        <v>1711</v>
      </c>
      <c r="E366" s="65" t="s">
        <v>2498</v>
      </c>
      <c r="F366" s="65" t="s">
        <v>1863</v>
      </c>
      <c r="G366" s="112" t="s">
        <v>656</v>
      </c>
      <c r="H366" s="65" t="s">
        <v>2563</v>
      </c>
      <c r="I366" s="86">
        <v>2021</v>
      </c>
      <c r="J366" s="66" t="s">
        <v>2578</v>
      </c>
      <c r="K366" s="66"/>
      <c r="L366" s="66">
        <v>12963875862</v>
      </c>
      <c r="M366" s="66" t="s">
        <v>2139</v>
      </c>
      <c r="N366" s="67" t="s">
        <v>2218</v>
      </c>
    </row>
    <row r="367" spans="1:14" ht="14.25" customHeight="1" x14ac:dyDescent="0.3">
      <c r="A367" s="62">
        <v>346</v>
      </c>
      <c r="B367" s="202"/>
      <c r="C367" s="64" t="s">
        <v>657</v>
      </c>
      <c r="D367" s="65" t="s">
        <v>1711</v>
      </c>
      <c r="E367" s="65" t="s">
        <v>2498</v>
      </c>
      <c r="F367" s="65" t="s">
        <v>1863</v>
      </c>
      <c r="G367" s="64" t="s">
        <v>658</v>
      </c>
      <c r="H367" s="65" t="s">
        <v>2563</v>
      </c>
      <c r="I367" s="86">
        <v>2021</v>
      </c>
      <c r="J367" s="66" t="s">
        <v>2579</v>
      </c>
      <c r="K367" s="66"/>
      <c r="L367" s="66" t="s">
        <v>2580</v>
      </c>
      <c r="M367" s="66" t="s">
        <v>2254</v>
      </c>
      <c r="N367" s="67" t="s">
        <v>2280</v>
      </c>
    </row>
    <row r="368" spans="1:14" ht="14.25" customHeight="1" x14ac:dyDescent="0.3">
      <c r="A368" s="62">
        <v>347</v>
      </c>
      <c r="B368" s="202"/>
      <c r="C368" s="64" t="s">
        <v>659</v>
      </c>
      <c r="D368" s="65" t="s">
        <v>1711</v>
      </c>
      <c r="E368" s="65" t="s">
        <v>2498</v>
      </c>
      <c r="F368" s="65" t="s">
        <v>1863</v>
      </c>
      <c r="G368" s="64" t="s">
        <v>660</v>
      </c>
      <c r="H368" s="65" t="s">
        <v>2563</v>
      </c>
      <c r="I368" s="86">
        <v>2021</v>
      </c>
      <c r="J368" s="66" t="s">
        <v>2581</v>
      </c>
      <c r="K368" s="66"/>
      <c r="L368" s="66" t="s">
        <v>2582</v>
      </c>
      <c r="M368" s="66" t="s">
        <v>2139</v>
      </c>
      <c r="N368" s="67" t="s">
        <v>2171</v>
      </c>
    </row>
    <row r="369" spans="1:14" ht="14.25" customHeight="1" x14ac:dyDescent="0.3">
      <c r="A369" s="62">
        <v>348</v>
      </c>
      <c r="B369" s="202"/>
      <c r="C369" s="64" t="s">
        <v>661</v>
      </c>
      <c r="D369" s="65" t="s">
        <v>1711</v>
      </c>
      <c r="E369" s="65" t="s">
        <v>2498</v>
      </c>
      <c r="F369" s="65" t="s">
        <v>1863</v>
      </c>
      <c r="G369" s="64" t="s">
        <v>662</v>
      </c>
      <c r="H369" s="65" t="s">
        <v>2563</v>
      </c>
      <c r="I369" s="86">
        <v>2021</v>
      </c>
      <c r="J369" s="66" t="s">
        <v>2583</v>
      </c>
      <c r="K369" s="66"/>
      <c r="L369" s="66" t="s">
        <v>2584</v>
      </c>
      <c r="M369" s="66" t="s">
        <v>2254</v>
      </c>
      <c r="N369" s="67" t="s">
        <v>2165</v>
      </c>
    </row>
    <row r="370" spans="1:14" ht="14.25" customHeight="1" x14ac:dyDescent="0.3">
      <c r="A370" s="62">
        <v>349</v>
      </c>
      <c r="B370" s="202"/>
      <c r="C370" s="64" t="s">
        <v>663</v>
      </c>
      <c r="D370" s="65" t="s">
        <v>1711</v>
      </c>
      <c r="E370" s="65" t="s">
        <v>2498</v>
      </c>
      <c r="F370" s="65" t="s">
        <v>1863</v>
      </c>
      <c r="G370" s="64" t="s">
        <v>664</v>
      </c>
      <c r="H370" s="65" t="s">
        <v>2563</v>
      </c>
      <c r="I370" s="86">
        <v>2021</v>
      </c>
      <c r="J370" s="66" t="s">
        <v>2585</v>
      </c>
      <c r="K370" s="66"/>
      <c r="L370" s="66" t="s">
        <v>2586</v>
      </c>
      <c r="M370" s="66" t="s">
        <v>2139</v>
      </c>
      <c r="N370" s="67" t="s">
        <v>2218</v>
      </c>
    </row>
    <row r="371" spans="1:14" ht="14.25" customHeight="1" x14ac:dyDescent="0.3">
      <c r="A371" s="62">
        <v>350</v>
      </c>
      <c r="B371" s="202"/>
      <c r="C371" s="64" t="s">
        <v>665</v>
      </c>
      <c r="D371" s="65" t="s">
        <v>1711</v>
      </c>
      <c r="E371" s="65" t="s">
        <v>2498</v>
      </c>
      <c r="F371" s="65" t="s">
        <v>1863</v>
      </c>
      <c r="G371" s="64" t="s">
        <v>666</v>
      </c>
      <c r="H371" s="65" t="s">
        <v>2563</v>
      </c>
      <c r="I371" s="86">
        <v>2021</v>
      </c>
      <c r="J371" s="66" t="s">
        <v>2587</v>
      </c>
      <c r="K371" s="66"/>
      <c r="L371" s="66" t="s">
        <v>2588</v>
      </c>
      <c r="M371" s="66" t="s">
        <v>2254</v>
      </c>
      <c r="N371" s="67" t="s">
        <v>2171</v>
      </c>
    </row>
    <row r="372" spans="1:14" ht="14.25" customHeight="1" x14ac:dyDescent="0.3">
      <c r="A372" s="62">
        <v>351</v>
      </c>
      <c r="B372" s="202"/>
      <c r="C372" s="64" t="s">
        <v>667</v>
      </c>
      <c r="D372" s="65" t="s">
        <v>1711</v>
      </c>
      <c r="E372" s="65" t="s">
        <v>2498</v>
      </c>
      <c r="F372" s="65" t="s">
        <v>1863</v>
      </c>
      <c r="G372" s="64" t="s">
        <v>668</v>
      </c>
      <c r="H372" s="65" t="s">
        <v>2563</v>
      </c>
      <c r="I372" s="86">
        <v>2021</v>
      </c>
      <c r="J372" s="66" t="s">
        <v>2589</v>
      </c>
      <c r="K372" s="66"/>
      <c r="L372" s="66" t="s">
        <v>2590</v>
      </c>
      <c r="M372" s="66" t="s">
        <v>2139</v>
      </c>
      <c r="N372" s="67" t="s">
        <v>2591</v>
      </c>
    </row>
    <row r="373" spans="1:14" ht="14.25" customHeight="1" x14ac:dyDescent="0.3">
      <c r="A373" s="62">
        <v>352</v>
      </c>
      <c r="B373" s="202"/>
      <c r="C373" s="64" t="s">
        <v>669</v>
      </c>
      <c r="D373" s="65" t="s">
        <v>1711</v>
      </c>
      <c r="E373" s="65" t="s">
        <v>2498</v>
      </c>
      <c r="F373" s="65" t="s">
        <v>1863</v>
      </c>
      <c r="G373" s="64" t="s">
        <v>670</v>
      </c>
      <c r="H373" s="65" t="s">
        <v>2563</v>
      </c>
      <c r="I373" s="86">
        <v>2021</v>
      </c>
      <c r="J373" s="66" t="s">
        <v>2592</v>
      </c>
      <c r="K373" s="66"/>
      <c r="L373" s="66" t="s">
        <v>2593</v>
      </c>
      <c r="M373" s="66" t="s">
        <v>2139</v>
      </c>
      <c r="N373" s="67" t="s">
        <v>2218</v>
      </c>
    </row>
    <row r="374" spans="1:14" ht="14.25" customHeight="1" x14ac:dyDescent="0.3">
      <c r="A374" s="62">
        <v>353</v>
      </c>
      <c r="B374" s="202"/>
      <c r="C374" s="64" t="s">
        <v>671</v>
      </c>
      <c r="D374" s="65" t="s">
        <v>1711</v>
      </c>
      <c r="E374" s="65" t="s">
        <v>2498</v>
      </c>
      <c r="F374" s="65" t="s">
        <v>1863</v>
      </c>
      <c r="G374" s="112" t="s">
        <v>672</v>
      </c>
      <c r="H374" s="65" t="s">
        <v>2563</v>
      </c>
      <c r="I374" s="86">
        <v>2021</v>
      </c>
      <c r="J374" s="66" t="s">
        <v>2594</v>
      </c>
      <c r="K374" s="66"/>
      <c r="L374" s="66" t="s">
        <v>2595</v>
      </c>
      <c r="M374" s="66" t="s">
        <v>2254</v>
      </c>
      <c r="N374" s="67" t="s">
        <v>2168</v>
      </c>
    </row>
    <row r="375" spans="1:14" ht="14.25" customHeight="1" x14ac:dyDescent="0.3">
      <c r="A375" s="62">
        <v>354</v>
      </c>
      <c r="B375" s="202"/>
      <c r="C375" s="64" t="s">
        <v>673</v>
      </c>
      <c r="D375" s="65" t="s">
        <v>1711</v>
      </c>
      <c r="E375" s="65" t="s">
        <v>2498</v>
      </c>
      <c r="F375" s="65" t="s">
        <v>1863</v>
      </c>
      <c r="G375" s="64" t="s">
        <v>674</v>
      </c>
      <c r="H375" s="65" t="s">
        <v>2563</v>
      </c>
      <c r="I375" s="86">
        <v>2021</v>
      </c>
      <c r="J375" s="66" t="s">
        <v>2596</v>
      </c>
      <c r="K375" s="66"/>
      <c r="L375" s="66" t="s">
        <v>2597</v>
      </c>
      <c r="M375" s="66" t="s">
        <v>2254</v>
      </c>
      <c r="N375" s="67" t="s">
        <v>2218</v>
      </c>
    </row>
    <row r="376" spans="1:14" ht="14.25" customHeight="1" x14ac:dyDescent="0.3">
      <c r="A376" s="62">
        <v>355</v>
      </c>
      <c r="B376" s="203"/>
      <c r="C376" s="64" t="s">
        <v>675</v>
      </c>
      <c r="D376" s="65" t="s">
        <v>1711</v>
      </c>
      <c r="E376" s="65" t="s">
        <v>2498</v>
      </c>
      <c r="F376" s="65" t="s">
        <v>1863</v>
      </c>
      <c r="G376" s="65" t="s">
        <v>676</v>
      </c>
      <c r="H376" s="65" t="s">
        <v>2563</v>
      </c>
      <c r="I376" s="86">
        <v>2021</v>
      </c>
      <c r="J376" s="66" t="s">
        <v>2598</v>
      </c>
      <c r="K376" s="66"/>
      <c r="L376" s="66" t="s">
        <v>2599</v>
      </c>
      <c r="M376" s="66" t="s">
        <v>2139</v>
      </c>
      <c r="N376" s="67" t="s">
        <v>2218</v>
      </c>
    </row>
    <row r="377" spans="1:14" ht="14.25" customHeight="1" x14ac:dyDescent="0.3">
      <c r="A377" s="74"/>
      <c r="B377" s="110"/>
      <c r="C377" s="83"/>
      <c r="D377" s="78"/>
      <c r="E377" s="79"/>
      <c r="F377" s="79"/>
      <c r="G377" s="79"/>
      <c r="H377" s="79"/>
      <c r="I377" s="80"/>
      <c r="J377" s="73"/>
      <c r="K377" s="73"/>
      <c r="L377" s="73"/>
      <c r="M377" s="73"/>
      <c r="N377" s="73"/>
    </row>
    <row r="378" spans="1:14" ht="14.25" customHeight="1" x14ac:dyDescent="0.3">
      <c r="A378" s="106">
        <v>356</v>
      </c>
      <c r="B378" s="204" t="s">
        <v>2600</v>
      </c>
      <c r="C378" s="102" t="s">
        <v>470</v>
      </c>
      <c r="D378" s="103" t="s">
        <v>1720</v>
      </c>
      <c r="E378" s="103" t="s">
        <v>2417</v>
      </c>
      <c r="F378" s="103" t="s">
        <v>1826</v>
      </c>
      <c r="G378" s="103" t="s">
        <v>471</v>
      </c>
      <c r="H378" s="103" t="s">
        <v>2601</v>
      </c>
      <c r="I378" s="104">
        <v>1995</v>
      </c>
      <c r="J378" s="105" t="s">
        <v>2602</v>
      </c>
      <c r="K378" s="105" t="s">
        <v>2602</v>
      </c>
      <c r="L378" s="105"/>
      <c r="M378" s="105" t="s">
        <v>2139</v>
      </c>
      <c r="N378" s="67" t="s">
        <v>2353</v>
      </c>
    </row>
    <row r="379" spans="1:14" ht="14.25" customHeight="1" x14ac:dyDescent="0.3">
      <c r="A379" s="106">
        <v>357</v>
      </c>
      <c r="B379" s="202"/>
      <c r="C379" s="102" t="s">
        <v>467</v>
      </c>
      <c r="D379" s="103" t="s">
        <v>1819</v>
      </c>
      <c r="E379" s="103" t="s">
        <v>2603</v>
      </c>
      <c r="F379" s="103"/>
      <c r="G379" s="103" t="s">
        <v>468</v>
      </c>
      <c r="H379" s="103" t="s">
        <v>2604</v>
      </c>
      <c r="I379" s="104">
        <v>1996</v>
      </c>
      <c r="J379" s="105"/>
      <c r="K379" s="105"/>
      <c r="L379" s="105"/>
      <c r="M379" s="105" t="s">
        <v>2254</v>
      </c>
      <c r="N379" s="67" t="s">
        <v>2165</v>
      </c>
    </row>
    <row r="380" spans="1:14" ht="14.25" customHeight="1" x14ac:dyDescent="0.3">
      <c r="A380" s="106">
        <v>358</v>
      </c>
      <c r="B380" s="202"/>
      <c r="C380" s="102" t="s">
        <v>456</v>
      </c>
      <c r="D380" s="103" t="s">
        <v>1711</v>
      </c>
      <c r="E380" s="103" t="s">
        <v>2417</v>
      </c>
      <c r="F380" s="103" t="s">
        <v>1821</v>
      </c>
      <c r="G380" s="103" t="s">
        <v>457</v>
      </c>
      <c r="H380" s="103" t="s">
        <v>2605</v>
      </c>
      <c r="I380" s="104">
        <v>2011</v>
      </c>
      <c r="J380" s="105"/>
      <c r="K380" s="105"/>
      <c r="L380" s="105"/>
      <c r="M380" s="105" t="s">
        <v>2254</v>
      </c>
      <c r="N380" s="67" t="s">
        <v>2353</v>
      </c>
    </row>
    <row r="381" spans="1:14" ht="14.25" customHeight="1" x14ac:dyDescent="0.3">
      <c r="A381" s="106">
        <v>359</v>
      </c>
      <c r="B381" s="202"/>
      <c r="C381" s="102" t="s">
        <v>453</v>
      </c>
      <c r="D381" s="103" t="s">
        <v>1819</v>
      </c>
      <c r="E381" s="103" t="s">
        <v>2603</v>
      </c>
      <c r="F381" s="103" t="s">
        <v>1820</v>
      </c>
      <c r="G381" s="103" t="s">
        <v>454</v>
      </c>
      <c r="H381" s="103" t="s">
        <v>2606</v>
      </c>
      <c r="I381" s="104">
        <v>2012</v>
      </c>
      <c r="J381" s="105"/>
      <c r="K381" s="105"/>
      <c r="L381" s="105"/>
      <c r="M381" s="105" t="s">
        <v>2254</v>
      </c>
      <c r="N381" s="67" t="s">
        <v>2165</v>
      </c>
    </row>
    <row r="382" spans="1:14" ht="14.25" customHeight="1" x14ac:dyDescent="0.3">
      <c r="A382" s="106">
        <v>360</v>
      </c>
      <c r="B382" s="202"/>
      <c r="C382" s="102" t="s">
        <v>450</v>
      </c>
      <c r="D382" s="103" t="s">
        <v>1817</v>
      </c>
      <c r="E382" s="103" t="s">
        <v>2417</v>
      </c>
      <c r="F382" s="103" t="s">
        <v>1818</v>
      </c>
      <c r="G382" s="103" t="s">
        <v>451</v>
      </c>
      <c r="H382" s="103" t="s">
        <v>2607</v>
      </c>
      <c r="I382" s="104">
        <v>2016</v>
      </c>
      <c r="J382" s="87" t="s">
        <v>2608</v>
      </c>
      <c r="K382" s="105"/>
      <c r="L382" s="88" t="s">
        <v>2609</v>
      </c>
      <c r="M382" s="88" t="s">
        <v>2254</v>
      </c>
      <c r="N382" s="67" t="s">
        <v>2165</v>
      </c>
    </row>
    <row r="383" spans="1:14" ht="14.25" customHeight="1" x14ac:dyDescent="0.3">
      <c r="A383" s="106">
        <v>361</v>
      </c>
      <c r="B383" s="202"/>
      <c r="C383" s="102" t="s">
        <v>464</v>
      </c>
      <c r="D383" s="103" t="s">
        <v>1817</v>
      </c>
      <c r="E383" s="103" t="s">
        <v>2417</v>
      </c>
      <c r="F383" s="103" t="s">
        <v>1825</v>
      </c>
      <c r="G383" s="103" t="s">
        <v>465</v>
      </c>
      <c r="H383" s="103" t="s">
        <v>2610</v>
      </c>
      <c r="I383" s="104">
        <v>1998</v>
      </c>
      <c r="J383" s="105"/>
      <c r="K383" s="105"/>
      <c r="L383" s="105"/>
      <c r="M383" s="105" t="s">
        <v>2139</v>
      </c>
      <c r="N383" s="67" t="s">
        <v>2165</v>
      </c>
    </row>
    <row r="384" spans="1:14" ht="14.25" customHeight="1" x14ac:dyDescent="0.3">
      <c r="A384" s="106">
        <v>362</v>
      </c>
      <c r="B384" s="203"/>
      <c r="C384" s="102" t="s">
        <v>461</v>
      </c>
      <c r="D384" s="103" t="s">
        <v>1823</v>
      </c>
      <c r="E384" s="103" t="s">
        <v>2417</v>
      </c>
      <c r="F384" s="103" t="s">
        <v>1824</v>
      </c>
      <c r="G384" s="103" t="s">
        <v>462</v>
      </c>
      <c r="H384" s="103" t="s">
        <v>2611</v>
      </c>
      <c r="I384" s="104">
        <v>2008</v>
      </c>
      <c r="J384" s="105"/>
      <c r="K384" s="105"/>
      <c r="L384" s="105"/>
      <c r="M384" s="105" t="s">
        <v>2139</v>
      </c>
      <c r="N384" s="67" t="s">
        <v>2165</v>
      </c>
    </row>
    <row r="385" spans="1:14" ht="14.25" customHeight="1" x14ac:dyDescent="0.3">
      <c r="A385" s="74"/>
      <c r="B385" s="110"/>
      <c r="C385" s="83"/>
      <c r="D385" s="78"/>
      <c r="E385" s="79"/>
      <c r="F385" s="79"/>
      <c r="G385" s="79"/>
      <c r="H385" s="79"/>
      <c r="I385" s="80"/>
      <c r="J385" s="73"/>
      <c r="K385" s="73"/>
      <c r="L385" s="73"/>
      <c r="M385" s="73"/>
      <c r="N385" s="73"/>
    </row>
    <row r="386" spans="1:14" ht="14.25" customHeight="1" x14ac:dyDescent="0.3">
      <c r="A386" s="62">
        <v>363</v>
      </c>
      <c r="B386" s="210" t="s">
        <v>2612</v>
      </c>
      <c r="C386" s="64"/>
      <c r="D386" s="65" t="s">
        <v>1879</v>
      </c>
      <c r="E386" s="65" t="s">
        <v>814</v>
      </c>
      <c r="F386" s="65" t="s">
        <v>1881</v>
      </c>
      <c r="G386" s="65" t="s">
        <v>1497</v>
      </c>
      <c r="H386" s="65"/>
      <c r="I386" s="86">
        <v>2003</v>
      </c>
      <c r="J386" s="66"/>
      <c r="K386" s="66"/>
      <c r="L386" s="66"/>
      <c r="M386" s="66" t="s">
        <v>2139</v>
      </c>
      <c r="N386" s="67" t="s">
        <v>2165</v>
      </c>
    </row>
    <row r="387" spans="1:14" ht="14.25" customHeight="1" x14ac:dyDescent="0.3">
      <c r="A387" s="62">
        <v>364</v>
      </c>
      <c r="B387" s="202"/>
      <c r="C387" s="64"/>
      <c r="D387" s="65" t="s">
        <v>1879</v>
      </c>
      <c r="E387" s="65" t="s">
        <v>814</v>
      </c>
      <c r="F387" s="65" t="s">
        <v>1880</v>
      </c>
      <c r="G387" s="65" t="s">
        <v>1502</v>
      </c>
      <c r="H387" s="65"/>
      <c r="I387" s="86">
        <v>2011</v>
      </c>
      <c r="J387" s="66"/>
      <c r="K387" s="66"/>
      <c r="L387" s="66"/>
      <c r="M387" s="66" t="s">
        <v>2139</v>
      </c>
      <c r="N387" s="67" t="s">
        <v>2165</v>
      </c>
    </row>
    <row r="388" spans="1:14" ht="14.25" customHeight="1" x14ac:dyDescent="0.3">
      <c r="A388" s="62">
        <v>365</v>
      </c>
      <c r="B388" s="203"/>
      <c r="C388" s="64"/>
      <c r="D388" s="65"/>
      <c r="E388" s="65" t="s">
        <v>814</v>
      </c>
      <c r="F388" s="65"/>
      <c r="G388" s="65" t="s">
        <v>1501</v>
      </c>
      <c r="H388" s="65"/>
      <c r="I388" s="86"/>
      <c r="J388" s="66"/>
      <c r="K388" s="66"/>
      <c r="L388" s="66"/>
      <c r="M388" s="66" t="s">
        <v>2139</v>
      </c>
      <c r="N388" s="67" t="s">
        <v>2165</v>
      </c>
    </row>
    <row r="389" spans="1:14" ht="14.25" customHeight="1" x14ac:dyDescent="0.3">
      <c r="A389" s="74"/>
      <c r="B389" s="110"/>
      <c r="C389" s="75"/>
      <c r="D389" s="77"/>
      <c r="E389" s="79"/>
      <c r="F389" s="79"/>
      <c r="G389" s="79"/>
      <c r="H389" s="79"/>
      <c r="I389" s="80"/>
      <c r="J389" s="73"/>
      <c r="K389" s="73"/>
      <c r="L389" s="73"/>
      <c r="M389" s="73"/>
      <c r="N389" s="73"/>
    </row>
    <row r="390" spans="1:14" ht="14.25" customHeight="1" x14ac:dyDescent="0.3">
      <c r="A390" s="106">
        <v>366</v>
      </c>
      <c r="B390" s="204" t="s">
        <v>817</v>
      </c>
      <c r="C390" s="102" t="s">
        <v>822</v>
      </c>
      <c r="D390" s="103" t="s">
        <v>1711</v>
      </c>
      <c r="E390" s="103" t="s">
        <v>818</v>
      </c>
      <c r="F390" s="103" t="s">
        <v>1862</v>
      </c>
      <c r="G390" s="103" t="s">
        <v>823</v>
      </c>
      <c r="H390" s="103" t="s">
        <v>2613</v>
      </c>
      <c r="I390" s="104">
        <v>2005</v>
      </c>
      <c r="J390" s="105"/>
      <c r="K390" s="105"/>
      <c r="L390" s="105"/>
      <c r="M390" s="105" t="s">
        <v>2139</v>
      </c>
      <c r="N390" s="67" t="s">
        <v>2165</v>
      </c>
    </row>
    <row r="391" spans="1:14" ht="14.25" customHeight="1" x14ac:dyDescent="0.3">
      <c r="A391" s="106">
        <v>367</v>
      </c>
      <c r="B391" s="202"/>
      <c r="C391" s="102" t="s">
        <v>824</v>
      </c>
      <c r="D391" s="103" t="s">
        <v>1720</v>
      </c>
      <c r="E391" s="103" t="s">
        <v>2398</v>
      </c>
      <c r="F391" s="103" t="s">
        <v>1862</v>
      </c>
      <c r="G391" s="103" t="s">
        <v>825</v>
      </c>
      <c r="H391" s="103" t="s">
        <v>2393</v>
      </c>
      <c r="I391" s="104">
        <v>1990</v>
      </c>
      <c r="J391" s="105"/>
      <c r="K391" s="105"/>
      <c r="L391" s="105"/>
      <c r="M391" s="105" t="s">
        <v>2139</v>
      </c>
      <c r="N391" s="67" t="s">
        <v>2188</v>
      </c>
    </row>
    <row r="392" spans="1:14" ht="14.25" customHeight="1" x14ac:dyDescent="0.3">
      <c r="A392" s="106">
        <v>368</v>
      </c>
      <c r="B392" s="202"/>
      <c r="C392" s="102" t="s">
        <v>828</v>
      </c>
      <c r="D392" s="103" t="s">
        <v>1882</v>
      </c>
      <c r="E392" s="103" t="s">
        <v>818</v>
      </c>
      <c r="F392" s="103" t="s">
        <v>1759</v>
      </c>
      <c r="G392" s="103" t="s">
        <v>829</v>
      </c>
      <c r="H392" s="103" t="s">
        <v>2614</v>
      </c>
      <c r="I392" s="104"/>
      <c r="J392" s="105"/>
      <c r="K392" s="105"/>
      <c r="L392" s="105"/>
      <c r="M392" s="105" t="s">
        <v>2139</v>
      </c>
      <c r="N392" s="67" t="s">
        <v>2165</v>
      </c>
    </row>
    <row r="393" spans="1:14" ht="14.25" customHeight="1" x14ac:dyDescent="0.3">
      <c r="A393" s="106">
        <v>369</v>
      </c>
      <c r="B393" s="202"/>
      <c r="C393" s="102" t="s">
        <v>820</v>
      </c>
      <c r="D393" s="103" t="s">
        <v>1720</v>
      </c>
      <c r="E393" s="103" t="s">
        <v>818</v>
      </c>
      <c r="F393" s="103"/>
      <c r="G393" s="103" t="s">
        <v>821</v>
      </c>
      <c r="H393" s="103" t="s">
        <v>2615</v>
      </c>
      <c r="I393" s="104">
        <v>2005</v>
      </c>
      <c r="J393" s="105"/>
      <c r="K393" s="105" t="s">
        <v>2616</v>
      </c>
      <c r="L393" s="105"/>
      <c r="M393" s="105" t="s">
        <v>2139</v>
      </c>
      <c r="N393" s="67" t="s">
        <v>2192</v>
      </c>
    </row>
    <row r="394" spans="1:14" ht="14.25" customHeight="1" x14ac:dyDescent="0.3">
      <c r="A394" s="106">
        <v>370</v>
      </c>
      <c r="B394" s="203"/>
      <c r="C394" s="102" t="s">
        <v>831</v>
      </c>
      <c r="D394" s="103" t="s">
        <v>1711</v>
      </c>
      <c r="E394" s="103" t="s">
        <v>818</v>
      </c>
      <c r="F394" s="103"/>
      <c r="G394" s="103" t="s">
        <v>832</v>
      </c>
      <c r="H394" s="103"/>
      <c r="I394" s="104"/>
      <c r="J394" s="105"/>
      <c r="K394" s="105"/>
      <c r="L394" s="105"/>
      <c r="M394" s="105" t="s">
        <v>2139</v>
      </c>
      <c r="N394" s="67" t="s">
        <v>2218</v>
      </c>
    </row>
    <row r="395" spans="1:14" ht="14.25" customHeight="1" x14ac:dyDescent="0.3">
      <c r="A395" s="74"/>
      <c r="B395" s="110"/>
      <c r="C395" s="75"/>
      <c r="D395" s="76"/>
      <c r="E395" s="77"/>
      <c r="F395" s="78"/>
      <c r="G395" s="78"/>
      <c r="H395" s="79"/>
      <c r="I395" s="79"/>
      <c r="J395" s="73"/>
      <c r="K395" s="73"/>
      <c r="L395" s="73"/>
      <c r="M395" s="73"/>
      <c r="N395" s="73"/>
    </row>
    <row r="396" spans="1:14" ht="14.25" customHeight="1" x14ac:dyDescent="0.3">
      <c r="A396" s="62">
        <v>371</v>
      </c>
      <c r="B396" s="210" t="s">
        <v>2617</v>
      </c>
      <c r="C396" s="64" t="s">
        <v>868</v>
      </c>
      <c r="D396" s="65" t="s">
        <v>1793</v>
      </c>
      <c r="E396" s="65" t="s">
        <v>834</v>
      </c>
      <c r="F396" s="65" t="s">
        <v>1907</v>
      </c>
      <c r="G396" s="65"/>
      <c r="H396" s="65">
        <v>220</v>
      </c>
      <c r="I396" s="65">
        <v>2013</v>
      </c>
      <c r="J396" s="66">
        <v>75768</v>
      </c>
      <c r="K396" s="66"/>
      <c r="L396" s="66"/>
      <c r="M396" s="66" t="s">
        <v>2139</v>
      </c>
      <c r="N396" s="67" t="s">
        <v>2218</v>
      </c>
    </row>
    <row r="397" spans="1:14" s="55" customFormat="1" ht="14.25" customHeight="1" x14ac:dyDescent="0.3">
      <c r="A397" s="89">
        <v>372</v>
      </c>
      <c r="B397" s="202"/>
      <c r="C397" s="90" t="s">
        <v>879</v>
      </c>
      <c r="D397" s="92" t="s">
        <v>1700</v>
      </c>
      <c r="E397" s="92" t="s">
        <v>834</v>
      </c>
      <c r="F397" s="92" t="s">
        <v>1912</v>
      </c>
      <c r="G397" s="92"/>
      <c r="H397" s="92">
        <v>100</v>
      </c>
      <c r="I397" s="92">
        <v>2010</v>
      </c>
      <c r="J397" s="95"/>
      <c r="K397" s="95"/>
      <c r="L397" s="95"/>
      <c r="M397" s="95" t="s">
        <v>2139</v>
      </c>
      <c r="N397" s="95" t="s">
        <v>2271</v>
      </c>
    </row>
    <row r="398" spans="1:14" ht="14.25" customHeight="1" x14ac:dyDescent="0.3">
      <c r="A398" s="62">
        <v>373</v>
      </c>
      <c r="B398" s="202"/>
      <c r="C398" s="64" t="s">
        <v>878</v>
      </c>
      <c r="D398" s="65" t="s">
        <v>1913</v>
      </c>
      <c r="E398" s="65" t="s">
        <v>834</v>
      </c>
      <c r="F398" s="65" t="s">
        <v>1914</v>
      </c>
      <c r="G398" s="65"/>
      <c r="H398" s="65">
        <v>120</v>
      </c>
      <c r="I398" s="65">
        <v>2010</v>
      </c>
      <c r="J398" s="66"/>
      <c r="K398" s="66"/>
      <c r="L398" s="66"/>
      <c r="M398" s="66" t="s">
        <v>2139</v>
      </c>
      <c r="N398" s="67" t="s">
        <v>2165</v>
      </c>
    </row>
    <row r="399" spans="1:14" ht="14.25" customHeight="1" x14ac:dyDescent="0.3">
      <c r="A399" s="62">
        <v>374</v>
      </c>
      <c r="B399" s="202"/>
      <c r="C399" s="64" t="s">
        <v>876</v>
      </c>
      <c r="D399" s="65" t="s">
        <v>1700</v>
      </c>
      <c r="E399" s="65" t="s">
        <v>834</v>
      </c>
      <c r="F399" s="65" t="s">
        <v>1912</v>
      </c>
      <c r="G399" s="65"/>
      <c r="H399" s="65">
        <v>100</v>
      </c>
      <c r="I399" s="65">
        <v>2011</v>
      </c>
      <c r="J399" s="66"/>
      <c r="K399" s="66"/>
      <c r="L399" s="66"/>
      <c r="M399" s="66" t="s">
        <v>2139</v>
      </c>
      <c r="N399" s="67" t="s">
        <v>2165</v>
      </c>
    </row>
    <row r="400" spans="1:14" ht="14.25" customHeight="1" x14ac:dyDescent="0.3">
      <c r="A400" s="62">
        <v>375</v>
      </c>
      <c r="B400" s="202"/>
      <c r="C400" s="64" t="s">
        <v>883</v>
      </c>
      <c r="D400" s="65" t="s">
        <v>1700</v>
      </c>
      <c r="E400" s="65" t="s">
        <v>834</v>
      </c>
      <c r="F400" s="65" t="s">
        <v>1916</v>
      </c>
      <c r="G400" s="65"/>
      <c r="H400" s="65">
        <v>60</v>
      </c>
      <c r="I400" s="65">
        <v>2009</v>
      </c>
      <c r="J400" s="66"/>
      <c r="K400" s="66"/>
      <c r="L400" s="66"/>
      <c r="M400" s="66" t="s">
        <v>2139</v>
      </c>
      <c r="N400" s="67" t="s">
        <v>2165</v>
      </c>
    </row>
    <row r="401" spans="1:14" s="55" customFormat="1" ht="14.25" customHeight="1" x14ac:dyDescent="0.3">
      <c r="A401" s="89">
        <v>376</v>
      </c>
      <c r="B401" s="202"/>
      <c r="C401" s="90" t="s">
        <v>885</v>
      </c>
      <c r="D401" s="92" t="s">
        <v>1700</v>
      </c>
      <c r="E401" s="92" t="s">
        <v>834</v>
      </c>
      <c r="F401" s="92" t="s">
        <v>1918</v>
      </c>
      <c r="G401" s="92"/>
      <c r="H401" s="92">
        <v>40</v>
      </c>
      <c r="I401" s="92">
        <v>2009</v>
      </c>
      <c r="J401" s="95"/>
      <c r="K401" s="95"/>
      <c r="L401" s="95"/>
      <c r="M401" s="95" t="s">
        <v>2139</v>
      </c>
      <c r="N401" s="95" t="s">
        <v>2271</v>
      </c>
    </row>
    <row r="402" spans="1:14" ht="14.25" customHeight="1" x14ac:dyDescent="0.3">
      <c r="A402" s="62">
        <v>377</v>
      </c>
      <c r="B402" s="202"/>
      <c r="C402" s="64" t="s">
        <v>860</v>
      </c>
      <c r="D402" s="65" t="s">
        <v>1891</v>
      </c>
      <c r="E402" s="65" t="s">
        <v>834</v>
      </c>
      <c r="F402" s="65" t="s">
        <v>1901</v>
      </c>
      <c r="G402" s="65"/>
      <c r="H402" s="65" t="s">
        <v>2618</v>
      </c>
      <c r="I402" s="65">
        <v>2014</v>
      </c>
      <c r="J402" s="66"/>
      <c r="K402" s="66"/>
      <c r="L402" s="66"/>
      <c r="M402" s="66" t="s">
        <v>2139</v>
      </c>
      <c r="N402" s="67" t="s">
        <v>2165</v>
      </c>
    </row>
    <row r="403" spans="1:14" s="55" customFormat="1" ht="14.25" customHeight="1" x14ac:dyDescent="0.3">
      <c r="A403" s="89">
        <v>378</v>
      </c>
      <c r="B403" s="202"/>
      <c r="C403" s="90" t="s">
        <v>887</v>
      </c>
      <c r="D403" s="92" t="s">
        <v>1700</v>
      </c>
      <c r="E403" s="92" t="s">
        <v>834</v>
      </c>
      <c r="F403" s="92" t="s">
        <v>1920</v>
      </c>
      <c r="G403" s="92"/>
      <c r="H403" s="92">
        <v>30</v>
      </c>
      <c r="I403" s="92">
        <v>2009</v>
      </c>
      <c r="J403" s="95"/>
      <c r="K403" s="95"/>
      <c r="L403" s="95"/>
      <c r="M403" s="95" t="s">
        <v>2139</v>
      </c>
      <c r="N403" s="95" t="s">
        <v>2271</v>
      </c>
    </row>
    <row r="404" spans="1:14" s="55" customFormat="1" ht="14.25" customHeight="1" x14ac:dyDescent="0.3">
      <c r="A404" s="89">
        <v>379</v>
      </c>
      <c r="B404" s="202"/>
      <c r="C404" s="90" t="s">
        <v>892</v>
      </c>
      <c r="D404" s="92"/>
      <c r="E404" s="92" t="s">
        <v>834</v>
      </c>
      <c r="F404" s="92"/>
      <c r="G404" s="92"/>
      <c r="H404" s="92">
        <v>40</v>
      </c>
      <c r="I404" s="92"/>
      <c r="J404" s="95"/>
      <c r="K404" s="95"/>
      <c r="L404" s="95"/>
      <c r="M404" s="95" t="s">
        <v>2139</v>
      </c>
      <c r="N404" s="95" t="s">
        <v>2271</v>
      </c>
    </row>
    <row r="405" spans="1:14" s="55" customFormat="1" ht="14.25" customHeight="1" x14ac:dyDescent="0.3">
      <c r="A405" s="89">
        <v>380</v>
      </c>
      <c r="B405" s="202"/>
      <c r="C405" s="90" t="s">
        <v>881</v>
      </c>
      <c r="D405" s="92" t="s">
        <v>1905</v>
      </c>
      <c r="E405" s="92" t="s">
        <v>834</v>
      </c>
      <c r="F405" s="92" t="s">
        <v>1915</v>
      </c>
      <c r="G405" s="92"/>
      <c r="H405" s="92">
        <v>30</v>
      </c>
      <c r="I405" s="92">
        <v>2010</v>
      </c>
      <c r="J405" s="95"/>
      <c r="K405" s="95"/>
      <c r="L405" s="95"/>
      <c r="M405" s="95" t="s">
        <v>2139</v>
      </c>
      <c r="N405" s="95" t="s">
        <v>2271</v>
      </c>
    </row>
    <row r="406" spans="1:14" s="55" customFormat="1" ht="14.25" customHeight="1" x14ac:dyDescent="0.3">
      <c r="A406" s="89">
        <v>381</v>
      </c>
      <c r="B406" s="202"/>
      <c r="C406" s="90" t="s">
        <v>854</v>
      </c>
      <c r="D406" s="92" t="s">
        <v>1708</v>
      </c>
      <c r="E406" s="92" t="s">
        <v>834</v>
      </c>
      <c r="F406" s="92" t="s">
        <v>2619</v>
      </c>
      <c r="G406" s="92"/>
      <c r="H406" s="92">
        <v>40</v>
      </c>
      <c r="I406" s="92">
        <v>2014</v>
      </c>
      <c r="J406" s="95"/>
      <c r="K406" s="95"/>
      <c r="L406" s="95"/>
      <c r="M406" s="95" t="s">
        <v>2139</v>
      </c>
      <c r="N406" s="95" t="s">
        <v>2271</v>
      </c>
    </row>
    <row r="407" spans="1:14" ht="14.25" customHeight="1" x14ac:dyDescent="0.3">
      <c r="A407" s="62">
        <v>382</v>
      </c>
      <c r="B407" s="202"/>
      <c r="C407" s="64" t="s">
        <v>866</v>
      </c>
      <c r="D407" s="65" t="s">
        <v>1905</v>
      </c>
      <c r="E407" s="65" t="s">
        <v>834</v>
      </c>
      <c r="F407" s="65" t="s">
        <v>1906</v>
      </c>
      <c r="G407" s="65"/>
      <c r="H407" s="65">
        <v>40</v>
      </c>
      <c r="I407" s="65">
        <v>2013</v>
      </c>
      <c r="J407" s="66"/>
      <c r="K407" s="66"/>
      <c r="L407" s="66"/>
      <c r="M407" s="66" t="s">
        <v>2139</v>
      </c>
      <c r="N407" s="67" t="s">
        <v>2165</v>
      </c>
    </row>
    <row r="408" spans="1:14" ht="14.25" customHeight="1" x14ac:dyDescent="0.3">
      <c r="A408" s="62">
        <v>383</v>
      </c>
      <c r="B408" s="202"/>
      <c r="C408" s="64" t="s">
        <v>898</v>
      </c>
      <c r="D408" s="65" t="s">
        <v>2620</v>
      </c>
      <c r="E408" s="65" t="s">
        <v>834</v>
      </c>
      <c r="F408" s="65" t="s">
        <v>1926</v>
      </c>
      <c r="G408" s="65"/>
      <c r="H408" s="65">
        <v>220</v>
      </c>
      <c r="I408" s="65"/>
      <c r="J408" s="66" t="s">
        <v>2621</v>
      </c>
      <c r="K408" s="66"/>
      <c r="L408" s="66" t="s">
        <v>2622</v>
      </c>
      <c r="M408" s="66" t="s">
        <v>2139</v>
      </c>
      <c r="N408" s="67" t="s">
        <v>2353</v>
      </c>
    </row>
    <row r="409" spans="1:14" ht="14.25" customHeight="1" x14ac:dyDescent="0.3">
      <c r="A409" s="62">
        <v>384</v>
      </c>
      <c r="B409" s="202"/>
      <c r="C409" s="64" t="s">
        <v>858</v>
      </c>
      <c r="D409" s="65" t="s">
        <v>1898</v>
      </c>
      <c r="E409" s="65" t="s">
        <v>834</v>
      </c>
      <c r="F409" s="65" t="s">
        <v>1899</v>
      </c>
      <c r="G409" s="65"/>
      <c r="H409" s="65">
        <v>30</v>
      </c>
      <c r="I409" s="65">
        <v>2014</v>
      </c>
      <c r="J409" s="66"/>
      <c r="K409" s="66"/>
      <c r="L409" s="66"/>
      <c r="M409" s="66" t="s">
        <v>2139</v>
      </c>
      <c r="N409" s="67" t="s">
        <v>2200</v>
      </c>
    </row>
    <row r="410" spans="1:14" ht="14.25" customHeight="1" x14ac:dyDescent="0.3">
      <c r="A410" s="62">
        <v>385</v>
      </c>
      <c r="B410" s="202"/>
      <c r="C410" s="64" t="s">
        <v>889</v>
      </c>
      <c r="D410" s="65" t="s">
        <v>1700</v>
      </c>
      <c r="E410" s="65" t="s">
        <v>834</v>
      </c>
      <c r="F410" s="65" t="s">
        <v>1921</v>
      </c>
      <c r="G410" s="65"/>
      <c r="H410" s="65">
        <v>120</v>
      </c>
      <c r="I410" s="65">
        <v>2009</v>
      </c>
      <c r="J410" s="66"/>
      <c r="K410" s="66"/>
      <c r="L410" s="66"/>
      <c r="M410" s="66" t="s">
        <v>2139</v>
      </c>
      <c r="N410" s="67" t="s">
        <v>2481</v>
      </c>
    </row>
    <row r="411" spans="1:14" ht="14.25" customHeight="1" x14ac:dyDescent="0.3">
      <c r="A411" s="62">
        <v>386</v>
      </c>
      <c r="B411" s="202"/>
      <c r="C411" s="64" t="s">
        <v>891</v>
      </c>
      <c r="D411" s="65" t="s">
        <v>1700</v>
      </c>
      <c r="E411" s="65" t="s">
        <v>834</v>
      </c>
      <c r="F411" s="65" t="s">
        <v>1922</v>
      </c>
      <c r="G411" s="65"/>
      <c r="H411" s="65">
        <v>40</v>
      </c>
      <c r="I411" s="65">
        <v>2009</v>
      </c>
      <c r="J411" s="66"/>
      <c r="K411" s="66"/>
      <c r="L411" s="66"/>
      <c r="M411" s="66" t="s">
        <v>2139</v>
      </c>
      <c r="N411" s="67" t="s">
        <v>2165</v>
      </c>
    </row>
    <row r="412" spans="1:14" ht="14.25" customHeight="1" x14ac:dyDescent="0.3">
      <c r="A412" s="62">
        <v>387</v>
      </c>
      <c r="B412" s="202"/>
      <c r="C412" s="64" t="s">
        <v>870</v>
      </c>
      <c r="D412" s="65" t="s">
        <v>1891</v>
      </c>
      <c r="E412" s="65" t="s">
        <v>834</v>
      </c>
      <c r="F412" s="65" t="s">
        <v>1909</v>
      </c>
      <c r="G412" s="65"/>
      <c r="H412" s="65">
        <v>120</v>
      </c>
      <c r="I412" s="65">
        <v>2012</v>
      </c>
      <c r="J412" s="66"/>
      <c r="K412" s="66"/>
      <c r="L412" s="66"/>
      <c r="M412" s="66" t="s">
        <v>2139</v>
      </c>
      <c r="N412" s="67" t="s">
        <v>2165</v>
      </c>
    </row>
    <row r="413" spans="1:14" ht="14.25" customHeight="1" x14ac:dyDescent="0.3">
      <c r="A413" s="62">
        <v>388</v>
      </c>
      <c r="B413" s="202"/>
      <c r="C413" s="64" t="s">
        <v>856</v>
      </c>
      <c r="D413" s="65" t="s">
        <v>1895</v>
      </c>
      <c r="E413" s="65" t="s">
        <v>834</v>
      </c>
      <c r="F413" s="65" t="s">
        <v>1896</v>
      </c>
      <c r="G413" s="65"/>
      <c r="H413" s="65">
        <v>120</v>
      </c>
      <c r="I413" s="65">
        <v>2014</v>
      </c>
      <c r="J413" s="66"/>
      <c r="K413" s="66"/>
      <c r="L413" s="66"/>
      <c r="M413" s="66" t="s">
        <v>2139</v>
      </c>
      <c r="N413" s="67" t="s">
        <v>2480</v>
      </c>
    </row>
    <row r="414" spans="1:14" ht="14.25" customHeight="1" x14ac:dyDescent="0.3">
      <c r="A414" s="62">
        <v>389</v>
      </c>
      <c r="B414" s="202"/>
      <c r="C414" s="64" t="s">
        <v>852</v>
      </c>
      <c r="D414" s="65" t="s">
        <v>1891</v>
      </c>
      <c r="E414" s="65" t="s">
        <v>834</v>
      </c>
      <c r="F414" s="65">
        <v>200</v>
      </c>
      <c r="G414" s="65"/>
      <c r="H414" s="65">
        <v>200</v>
      </c>
      <c r="I414" s="65">
        <v>2015</v>
      </c>
      <c r="J414" s="66"/>
      <c r="K414" s="66"/>
      <c r="L414" s="66"/>
      <c r="M414" s="66" t="s">
        <v>2139</v>
      </c>
      <c r="N414" s="67" t="s">
        <v>2292</v>
      </c>
    </row>
    <row r="415" spans="1:14" ht="14.25" customHeight="1" x14ac:dyDescent="0.3">
      <c r="A415" s="62">
        <v>390</v>
      </c>
      <c r="B415" s="202"/>
      <c r="C415" s="64" t="s">
        <v>872</v>
      </c>
      <c r="D415" s="65" t="s">
        <v>1700</v>
      </c>
      <c r="E415" s="65" t="s">
        <v>834</v>
      </c>
      <c r="F415" s="65" t="s">
        <v>1910</v>
      </c>
      <c r="G415" s="65"/>
      <c r="H415" s="65">
        <v>40</v>
      </c>
      <c r="I415" s="65">
        <v>2012</v>
      </c>
      <c r="J415" s="66"/>
      <c r="K415" s="66"/>
      <c r="L415" s="66"/>
      <c r="M415" s="66" t="s">
        <v>2139</v>
      </c>
      <c r="N415" s="67" t="s">
        <v>2158</v>
      </c>
    </row>
    <row r="416" spans="1:14" s="55" customFormat="1" ht="14.25" customHeight="1" x14ac:dyDescent="0.3">
      <c r="A416" s="89">
        <v>391</v>
      </c>
      <c r="B416" s="202"/>
      <c r="C416" s="90" t="s">
        <v>843</v>
      </c>
      <c r="D416" s="92" t="s">
        <v>2620</v>
      </c>
      <c r="E416" s="92" t="s">
        <v>834</v>
      </c>
      <c r="F416" s="92" t="s">
        <v>1888</v>
      </c>
      <c r="G416" s="92">
        <v>14160</v>
      </c>
      <c r="H416" s="92">
        <v>220</v>
      </c>
      <c r="I416" s="92">
        <v>2017</v>
      </c>
      <c r="J416" s="95"/>
      <c r="K416" s="95"/>
      <c r="L416" s="95"/>
      <c r="M416" s="95" t="s">
        <v>2139</v>
      </c>
      <c r="N416" s="95" t="s">
        <v>2271</v>
      </c>
    </row>
    <row r="417" spans="1:15" ht="14.25" customHeight="1" x14ac:dyDescent="0.3">
      <c r="A417" s="62">
        <v>392</v>
      </c>
      <c r="B417" s="202"/>
      <c r="C417" s="64" t="s">
        <v>844</v>
      </c>
      <c r="D417" s="65" t="s">
        <v>2620</v>
      </c>
      <c r="E417" s="65" t="s">
        <v>834</v>
      </c>
      <c r="F417" s="65" t="s">
        <v>1888</v>
      </c>
      <c r="G417" s="65"/>
      <c r="H417" s="65">
        <v>230</v>
      </c>
      <c r="I417" s="65">
        <v>2017</v>
      </c>
      <c r="J417" s="66" t="s">
        <v>2623</v>
      </c>
      <c r="K417" s="66"/>
      <c r="L417" s="66"/>
      <c r="M417" s="66" t="s">
        <v>2139</v>
      </c>
      <c r="N417" s="67" t="s">
        <v>2165</v>
      </c>
    </row>
    <row r="418" spans="1:15" ht="14.25" customHeight="1" x14ac:dyDescent="0.3">
      <c r="A418" s="62">
        <v>393</v>
      </c>
      <c r="B418" s="202"/>
      <c r="C418" s="64" t="s">
        <v>845</v>
      </c>
      <c r="D418" s="65" t="s">
        <v>2620</v>
      </c>
      <c r="E418" s="65" t="s">
        <v>834</v>
      </c>
      <c r="F418" s="65" t="s">
        <v>1888</v>
      </c>
      <c r="G418" s="65"/>
      <c r="H418" s="65">
        <v>230</v>
      </c>
      <c r="I418" s="65">
        <v>2017</v>
      </c>
      <c r="J418" s="66" t="s">
        <v>2624</v>
      </c>
      <c r="K418" s="66"/>
      <c r="L418" s="66"/>
      <c r="M418" s="66" t="s">
        <v>2139</v>
      </c>
      <c r="N418" s="73"/>
    </row>
    <row r="419" spans="1:15" ht="14.25" customHeight="1" x14ac:dyDescent="0.3">
      <c r="A419" s="62">
        <v>394</v>
      </c>
      <c r="B419" s="202"/>
      <c r="C419" s="64" t="s">
        <v>874</v>
      </c>
      <c r="D419" s="65" t="s">
        <v>1700</v>
      </c>
      <c r="E419" s="65" t="s">
        <v>834</v>
      </c>
      <c r="F419" s="65" t="s">
        <v>1911</v>
      </c>
      <c r="G419" s="65"/>
      <c r="H419" s="65">
        <v>60</v>
      </c>
      <c r="I419" s="65">
        <v>2012</v>
      </c>
      <c r="J419" s="66"/>
      <c r="K419" s="66"/>
      <c r="L419" s="66"/>
      <c r="M419" s="66" t="s">
        <v>2139</v>
      </c>
      <c r="N419" s="67" t="s">
        <v>2165</v>
      </c>
    </row>
    <row r="420" spans="1:15" ht="14.25" customHeight="1" x14ac:dyDescent="0.3">
      <c r="A420" s="62">
        <v>395</v>
      </c>
      <c r="B420" s="202"/>
      <c r="C420" s="64" t="s">
        <v>864</v>
      </c>
      <c r="D420" s="65" t="s">
        <v>1708</v>
      </c>
      <c r="E420" s="65" t="s">
        <v>834</v>
      </c>
      <c r="F420" s="65" t="s">
        <v>1903</v>
      </c>
      <c r="G420" s="65"/>
      <c r="H420" s="65">
        <v>40</v>
      </c>
      <c r="I420" s="65">
        <v>2013</v>
      </c>
      <c r="J420" s="66"/>
      <c r="K420" s="66"/>
      <c r="L420" s="66"/>
      <c r="M420" s="66" t="s">
        <v>2139</v>
      </c>
      <c r="N420" s="67" t="s">
        <v>2165</v>
      </c>
    </row>
    <row r="421" spans="1:15" s="55" customFormat="1" ht="14.25" customHeight="1" x14ac:dyDescent="0.3">
      <c r="A421" s="89">
        <v>396</v>
      </c>
      <c r="B421" s="202"/>
      <c r="C421" s="90" t="s">
        <v>862</v>
      </c>
      <c r="D421" s="92" t="s">
        <v>1700</v>
      </c>
      <c r="E421" s="92" t="s">
        <v>834</v>
      </c>
      <c r="F421" s="92" t="s">
        <v>1902</v>
      </c>
      <c r="G421" s="92"/>
      <c r="H421" s="92">
        <v>30</v>
      </c>
      <c r="I421" s="92">
        <v>2014</v>
      </c>
      <c r="J421" s="95"/>
      <c r="K421" s="95"/>
      <c r="L421" s="95"/>
      <c r="M421" s="95" t="s">
        <v>2139</v>
      </c>
      <c r="N421" s="95" t="s">
        <v>2271</v>
      </c>
    </row>
    <row r="422" spans="1:15" s="55" customFormat="1" ht="14.25" customHeight="1" x14ac:dyDescent="0.3">
      <c r="A422" s="89">
        <v>397</v>
      </c>
      <c r="B422" s="202"/>
      <c r="C422" s="90" t="s">
        <v>846</v>
      </c>
      <c r="D422" s="92" t="s">
        <v>2620</v>
      </c>
      <c r="E422" s="92" t="s">
        <v>834</v>
      </c>
      <c r="F422" s="92" t="s">
        <v>1888</v>
      </c>
      <c r="G422" s="92"/>
      <c r="H422" s="92">
        <v>230</v>
      </c>
      <c r="I422" s="92">
        <v>2017</v>
      </c>
      <c r="J422" s="95"/>
      <c r="K422" s="95"/>
      <c r="L422" s="95"/>
      <c r="M422" s="95" t="s">
        <v>2139</v>
      </c>
      <c r="N422" s="95" t="s">
        <v>2271</v>
      </c>
    </row>
    <row r="423" spans="1:15" ht="14.25" customHeight="1" x14ac:dyDescent="0.3">
      <c r="A423" s="62">
        <v>398</v>
      </c>
      <c r="B423" s="202"/>
      <c r="C423" s="64" t="s">
        <v>847</v>
      </c>
      <c r="D423" s="65" t="s">
        <v>2620</v>
      </c>
      <c r="E423" s="65" t="s">
        <v>834</v>
      </c>
      <c r="F423" s="65" t="s">
        <v>1888</v>
      </c>
      <c r="G423" s="65"/>
      <c r="H423" s="65">
        <v>230</v>
      </c>
      <c r="I423" s="65">
        <v>2017</v>
      </c>
      <c r="J423" s="66" t="s">
        <v>2625</v>
      </c>
      <c r="K423" s="66"/>
      <c r="L423" s="66"/>
      <c r="M423" s="66" t="s">
        <v>2139</v>
      </c>
      <c r="N423" s="67" t="s">
        <v>2626</v>
      </c>
      <c r="O423" s="131" t="s">
        <v>2627</v>
      </c>
    </row>
    <row r="424" spans="1:15" s="55" customFormat="1" ht="14.25" customHeight="1" x14ac:dyDescent="0.3">
      <c r="A424" s="89">
        <v>399</v>
      </c>
      <c r="B424" s="202"/>
      <c r="C424" s="90" t="s">
        <v>849</v>
      </c>
      <c r="D424" s="92" t="s">
        <v>2620</v>
      </c>
      <c r="E424" s="92" t="s">
        <v>834</v>
      </c>
      <c r="F424" s="92" t="s">
        <v>1890</v>
      </c>
      <c r="G424" s="92"/>
      <c r="H424" s="92">
        <v>230</v>
      </c>
      <c r="I424" s="92">
        <v>2017</v>
      </c>
      <c r="J424" s="95" t="s">
        <v>2628</v>
      </c>
      <c r="K424" s="95"/>
      <c r="L424" s="95"/>
      <c r="M424" s="95" t="s">
        <v>2139</v>
      </c>
      <c r="N424" s="95" t="s">
        <v>2271</v>
      </c>
    </row>
    <row r="425" spans="1:15" s="55" customFormat="1" ht="14.25" customHeight="1" x14ac:dyDescent="0.3">
      <c r="A425" s="89">
        <v>400</v>
      </c>
      <c r="B425" s="202"/>
      <c r="C425" s="90" t="s">
        <v>850</v>
      </c>
      <c r="D425" s="92" t="s">
        <v>2620</v>
      </c>
      <c r="E425" s="92" t="s">
        <v>834</v>
      </c>
      <c r="F425" s="92" t="s">
        <v>1890</v>
      </c>
      <c r="G425" s="92"/>
      <c r="H425" s="92">
        <v>230</v>
      </c>
      <c r="I425" s="92">
        <v>2017</v>
      </c>
      <c r="J425" s="95" t="s">
        <v>2629</v>
      </c>
      <c r="K425" s="95"/>
      <c r="L425" s="95"/>
      <c r="M425" s="95" t="s">
        <v>2139</v>
      </c>
      <c r="N425" s="95" t="s">
        <v>2271</v>
      </c>
    </row>
    <row r="426" spans="1:15" ht="14.25" customHeight="1" x14ac:dyDescent="0.3">
      <c r="A426" s="62">
        <v>401</v>
      </c>
      <c r="B426" s="202"/>
      <c r="C426" s="64" t="s">
        <v>841</v>
      </c>
      <c r="D426" s="65" t="s">
        <v>2620</v>
      </c>
      <c r="E426" s="65" t="s">
        <v>834</v>
      </c>
      <c r="F426" s="65" t="s">
        <v>1886</v>
      </c>
      <c r="G426" s="65"/>
      <c r="H426" s="65">
        <v>55</v>
      </c>
      <c r="I426" s="65">
        <v>2018</v>
      </c>
      <c r="J426" s="112" t="s">
        <v>2630</v>
      </c>
      <c r="K426" s="66"/>
      <c r="L426" s="66"/>
      <c r="M426" s="66" t="s">
        <v>2139</v>
      </c>
      <c r="N426" s="67" t="s">
        <v>2160</v>
      </c>
    </row>
    <row r="427" spans="1:15" ht="14.25" customHeight="1" x14ac:dyDescent="0.3">
      <c r="A427" s="62">
        <v>402</v>
      </c>
      <c r="B427" s="202"/>
      <c r="C427" s="64" t="s">
        <v>900</v>
      </c>
      <c r="D427" s="65" t="s">
        <v>2620</v>
      </c>
      <c r="E427" s="65" t="s">
        <v>834</v>
      </c>
      <c r="F427" s="65" t="s">
        <v>1928</v>
      </c>
      <c r="G427" s="65"/>
      <c r="H427" s="65">
        <v>330</v>
      </c>
      <c r="I427" s="65"/>
      <c r="J427" s="66" t="s">
        <v>2631</v>
      </c>
      <c r="K427" s="66"/>
      <c r="L427" s="66"/>
      <c r="M427" s="66" t="s">
        <v>2139</v>
      </c>
      <c r="N427" s="67" t="s">
        <v>2292</v>
      </c>
    </row>
    <row r="428" spans="1:15" s="55" customFormat="1" ht="14.25" customHeight="1" x14ac:dyDescent="0.3">
      <c r="A428" s="89">
        <v>403</v>
      </c>
      <c r="B428" s="202"/>
      <c r="C428" s="90" t="s">
        <v>894</v>
      </c>
      <c r="D428" s="92"/>
      <c r="E428" s="92" t="s">
        <v>834</v>
      </c>
      <c r="F428" s="92" t="s">
        <v>1923</v>
      </c>
      <c r="G428" s="92"/>
      <c r="H428" s="92">
        <v>330</v>
      </c>
      <c r="I428" s="92"/>
      <c r="J428" s="95" t="s">
        <v>2632</v>
      </c>
      <c r="K428" s="95"/>
      <c r="L428" s="95"/>
      <c r="M428" s="95" t="s">
        <v>2139</v>
      </c>
      <c r="N428" s="95" t="s">
        <v>2271</v>
      </c>
    </row>
    <row r="429" spans="1:15" ht="14.25" customHeight="1" x14ac:dyDescent="0.3">
      <c r="A429" s="62">
        <v>404</v>
      </c>
      <c r="B429" s="202"/>
      <c r="C429" s="64" t="s">
        <v>896</v>
      </c>
      <c r="D429" s="65"/>
      <c r="E429" s="65" t="s">
        <v>834</v>
      </c>
      <c r="F429" s="65" t="s">
        <v>1886</v>
      </c>
      <c r="G429" s="65"/>
      <c r="H429" s="65"/>
      <c r="I429" s="65"/>
      <c r="J429" s="112" t="s">
        <v>2633</v>
      </c>
      <c r="K429" s="66"/>
      <c r="L429" s="66"/>
      <c r="M429" s="66" t="s">
        <v>2139</v>
      </c>
      <c r="N429" s="67" t="s">
        <v>2480</v>
      </c>
    </row>
    <row r="430" spans="1:15" ht="14.25" customHeight="1" x14ac:dyDescent="0.3">
      <c r="A430" s="62">
        <v>405</v>
      </c>
      <c r="B430" s="202"/>
      <c r="C430" s="64" t="s">
        <v>906</v>
      </c>
      <c r="D430" s="65" t="s">
        <v>1703</v>
      </c>
      <c r="E430" s="65" t="s">
        <v>834</v>
      </c>
      <c r="F430" s="65" t="s">
        <v>1932</v>
      </c>
      <c r="G430" s="65"/>
      <c r="H430" s="65">
        <v>210</v>
      </c>
      <c r="I430" s="65"/>
      <c r="J430" s="66" t="s">
        <v>2634</v>
      </c>
      <c r="K430" s="66"/>
      <c r="L430" s="66"/>
      <c r="M430" s="66" t="s">
        <v>2139</v>
      </c>
      <c r="N430" s="67" t="s">
        <v>2216</v>
      </c>
    </row>
    <row r="431" spans="1:15" ht="14.25" customHeight="1" x14ac:dyDescent="0.3">
      <c r="A431" s="62">
        <v>406</v>
      </c>
      <c r="B431" s="202"/>
      <c r="C431" s="64" t="s">
        <v>902</v>
      </c>
      <c r="D431" s="112" t="s">
        <v>2620</v>
      </c>
      <c r="E431" s="112" t="s">
        <v>834</v>
      </c>
      <c r="F431" s="112" t="s">
        <v>1929</v>
      </c>
      <c r="G431" s="66"/>
      <c r="H431" s="66"/>
      <c r="I431" s="66"/>
      <c r="J431" s="66"/>
      <c r="K431" s="66"/>
      <c r="L431" s="66"/>
      <c r="M431" s="66" t="s">
        <v>2139</v>
      </c>
      <c r="N431" s="73"/>
    </row>
    <row r="432" spans="1:15" ht="14.25" customHeight="1" x14ac:dyDescent="0.3">
      <c r="A432" s="62">
        <v>407</v>
      </c>
      <c r="B432" s="202"/>
      <c r="C432" s="64" t="s">
        <v>836</v>
      </c>
      <c r="D432" s="132" t="s">
        <v>1733</v>
      </c>
      <c r="E432" s="65" t="s">
        <v>834</v>
      </c>
      <c r="F432" s="132" t="s">
        <v>1883</v>
      </c>
      <c r="G432" s="66"/>
      <c r="H432" s="132">
        <v>220</v>
      </c>
      <c r="I432" s="132">
        <v>2021</v>
      </c>
      <c r="J432" s="66" t="s">
        <v>2635</v>
      </c>
      <c r="K432" s="66"/>
      <c r="L432" s="66"/>
      <c r="M432" s="66" t="s">
        <v>2139</v>
      </c>
      <c r="N432" s="67" t="s">
        <v>2171</v>
      </c>
    </row>
    <row r="433" spans="1:15" ht="14.25" customHeight="1" x14ac:dyDescent="0.3">
      <c r="A433" s="62">
        <v>408</v>
      </c>
      <c r="B433" s="202"/>
      <c r="C433" s="64" t="s">
        <v>837</v>
      </c>
      <c r="D433" s="132" t="s">
        <v>1733</v>
      </c>
      <c r="E433" s="65" t="s">
        <v>834</v>
      </c>
      <c r="F433" s="132" t="s">
        <v>1883</v>
      </c>
      <c r="G433" s="66"/>
      <c r="H433" s="132">
        <v>220</v>
      </c>
      <c r="I433" s="132">
        <v>2021</v>
      </c>
      <c r="J433" s="66" t="s">
        <v>2636</v>
      </c>
      <c r="K433" s="66"/>
      <c r="L433" s="66"/>
      <c r="M433" s="66" t="s">
        <v>2139</v>
      </c>
      <c r="N433" s="67" t="s">
        <v>2637</v>
      </c>
    </row>
    <row r="434" spans="1:15" ht="14.25" customHeight="1" x14ac:dyDescent="0.3">
      <c r="A434" s="62">
        <v>409</v>
      </c>
      <c r="B434" s="202"/>
      <c r="C434" s="112" t="s">
        <v>904</v>
      </c>
      <c r="D434" s="132" t="s">
        <v>1811</v>
      </c>
      <c r="E434" s="65" t="s">
        <v>834</v>
      </c>
      <c r="F434" s="132" t="s">
        <v>1930</v>
      </c>
      <c r="G434" s="66"/>
      <c r="H434" s="132">
        <v>120</v>
      </c>
      <c r="I434" s="66"/>
      <c r="J434" s="66" t="s">
        <v>2638</v>
      </c>
      <c r="K434" s="66"/>
      <c r="L434" s="66"/>
      <c r="M434" s="66" t="s">
        <v>2139</v>
      </c>
      <c r="N434" s="73"/>
    </row>
    <row r="435" spans="1:15" ht="14.25" customHeight="1" x14ac:dyDescent="0.3">
      <c r="A435" s="62">
        <v>410</v>
      </c>
      <c r="B435" s="202"/>
      <c r="C435" s="112" t="s">
        <v>838</v>
      </c>
      <c r="D435" s="132" t="s">
        <v>1733</v>
      </c>
      <c r="E435" s="65" t="s">
        <v>834</v>
      </c>
      <c r="F435" s="132" t="s">
        <v>1883</v>
      </c>
      <c r="G435" s="66"/>
      <c r="H435" s="132">
        <v>220</v>
      </c>
      <c r="I435" s="132">
        <v>2021</v>
      </c>
      <c r="J435" s="66" t="s">
        <v>2639</v>
      </c>
      <c r="K435" s="66"/>
      <c r="L435" s="66"/>
      <c r="M435" s="66" t="s">
        <v>2139</v>
      </c>
      <c r="N435" s="67" t="s">
        <v>2216</v>
      </c>
    </row>
    <row r="436" spans="1:15" ht="14.25" customHeight="1" x14ac:dyDescent="0.3">
      <c r="A436" s="62">
        <v>411</v>
      </c>
      <c r="B436" s="203"/>
      <c r="C436" s="112" t="s">
        <v>839</v>
      </c>
      <c r="D436" s="132" t="s">
        <v>1733</v>
      </c>
      <c r="E436" s="65" t="s">
        <v>834</v>
      </c>
      <c r="F436" s="132" t="s">
        <v>1883</v>
      </c>
      <c r="G436" s="66"/>
      <c r="H436" s="132">
        <v>220</v>
      </c>
      <c r="I436" s="132">
        <v>2021</v>
      </c>
      <c r="J436" s="66" t="s">
        <v>2640</v>
      </c>
      <c r="K436" s="66"/>
      <c r="L436" s="66"/>
      <c r="M436" s="66" t="s">
        <v>2139</v>
      </c>
      <c r="N436" s="67" t="s">
        <v>2284</v>
      </c>
    </row>
    <row r="437" spans="1:15" ht="14.25" customHeight="1" x14ac:dyDescent="0.3">
      <c r="A437" s="74"/>
      <c r="B437" s="128"/>
      <c r="C437" s="133"/>
      <c r="D437" s="73"/>
      <c r="E437" s="73"/>
      <c r="F437" s="73"/>
      <c r="G437" s="73"/>
      <c r="H437" s="73"/>
      <c r="I437" s="73"/>
      <c r="J437" s="73"/>
      <c r="K437" s="73"/>
      <c r="L437" s="73"/>
      <c r="M437" s="73"/>
      <c r="N437" s="73"/>
    </row>
    <row r="438" spans="1:15" ht="14.25" customHeight="1" x14ac:dyDescent="0.3">
      <c r="A438" s="62">
        <v>412</v>
      </c>
      <c r="B438" s="210" t="s">
        <v>2641</v>
      </c>
      <c r="C438" s="65" t="s">
        <v>921</v>
      </c>
      <c r="D438" s="65" t="s">
        <v>1711</v>
      </c>
      <c r="E438" s="65" t="s">
        <v>908</v>
      </c>
      <c r="F438" s="65" t="s">
        <v>1936</v>
      </c>
      <c r="G438" s="65" t="s">
        <v>922</v>
      </c>
      <c r="H438" s="65" t="s">
        <v>2642</v>
      </c>
      <c r="I438" s="134">
        <v>1997</v>
      </c>
      <c r="J438" s="73"/>
      <c r="K438" s="73"/>
      <c r="L438" s="73"/>
      <c r="M438" s="73" t="s">
        <v>2139</v>
      </c>
      <c r="N438" s="67" t="s">
        <v>2165</v>
      </c>
    </row>
    <row r="439" spans="1:15" ht="14.25" customHeight="1" x14ac:dyDescent="0.3">
      <c r="A439" s="62">
        <v>413</v>
      </c>
      <c r="B439" s="202"/>
      <c r="C439" s="65" t="s">
        <v>924</v>
      </c>
      <c r="D439" s="65" t="s">
        <v>1711</v>
      </c>
      <c r="E439" s="65" t="s">
        <v>908</v>
      </c>
      <c r="F439" s="65" t="s">
        <v>1937</v>
      </c>
      <c r="G439" s="65" t="s">
        <v>925</v>
      </c>
      <c r="H439" s="65" t="s">
        <v>2642</v>
      </c>
      <c r="I439" s="134">
        <v>1991</v>
      </c>
      <c r="J439" s="73"/>
      <c r="K439" s="73"/>
      <c r="L439" s="73"/>
      <c r="M439" s="73" t="s">
        <v>2139</v>
      </c>
      <c r="N439" s="67" t="s">
        <v>2165</v>
      </c>
    </row>
    <row r="440" spans="1:15" ht="14.25" customHeight="1" x14ac:dyDescent="0.3">
      <c r="A440" s="62">
        <v>414</v>
      </c>
      <c r="B440" s="202"/>
      <c r="C440" s="65" t="s">
        <v>916</v>
      </c>
      <c r="D440" s="65" t="s">
        <v>1716</v>
      </c>
      <c r="E440" s="65" t="s">
        <v>908</v>
      </c>
      <c r="F440" s="65" t="s">
        <v>1874</v>
      </c>
      <c r="G440" s="65" t="s">
        <v>807</v>
      </c>
      <c r="H440" s="65" t="s">
        <v>2642</v>
      </c>
      <c r="I440" s="134">
        <v>2003</v>
      </c>
      <c r="J440" s="73"/>
      <c r="K440" s="73"/>
      <c r="L440" s="73"/>
      <c r="M440" s="73" t="s">
        <v>2139</v>
      </c>
      <c r="N440" s="67" t="s">
        <v>2462</v>
      </c>
    </row>
    <row r="441" spans="1:15" s="54" customFormat="1" ht="14.25" customHeight="1" x14ac:dyDescent="0.3">
      <c r="A441" s="119">
        <v>415</v>
      </c>
      <c r="B441" s="202"/>
      <c r="C441" s="121" t="s">
        <v>912</v>
      </c>
      <c r="D441" s="121" t="s">
        <v>1714</v>
      </c>
      <c r="E441" s="121" t="s">
        <v>908</v>
      </c>
      <c r="F441" s="121" t="s">
        <v>1871</v>
      </c>
      <c r="G441" s="121" t="s">
        <v>913</v>
      </c>
      <c r="H441" s="121" t="s">
        <v>2642</v>
      </c>
      <c r="I441" s="135">
        <v>2011</v>
      </c>
      <c r="J441" s="123"/>
      <c r="K441" s="123"/>
      <c r="L441" s="123"/>
      <c r="M441" s="123" t="s">
        <v>2254</v>
      </c>
      <c r="N441" s="123" t="s">
        <v>2165</v>
      </c>
      <c r="O441" s="54" t="s">
        <v>2643</v>
      </c>
    </row>
    <row r="442" spans="1:15" s="54" customFormat="1" ht="14.25" customHeight="1" x14ac:dyDescent="0.3">
      <c r="A442" s="119">
        <v>416</v>
      </c>
      <c r="B442" s="202"/>
      <c r="C442" s="121" t="s">
        <v>915</v>
      </c>
      <c r="D442" s="121" t="s">
        <v>1716</v>
      </c>
      <c r="E442" s="121" t="s">
        <v>908</v>
      </c>
      <c r="F442" s="121" t="s">
        <v>1874</v>
      </c>
      <c r="G442" s="121" t="s">
        <v>789</v>
      </c>
      <c r="H442" s="121" t="s">
        <v>2642</v>
      </c>
      <c r="I442" s="135">
        <v>2005</v>
      </c>
      <c r="J442" s="123"/>
      <c r="K442" s="123"/>
      <c r="L442" s="123"/>
      <c r="M442" s="123" t="s">
        <v>2139</v>
      </c>
      <c r="N442" s="123" t="s">
        <v>2165</v>
      </c>
      <c r="O442" s="54" t="s">
        <v>2643</v>
      </c>
    </row>
    <row r="443" spans="1:15" ht="14.25" customHeight="1" x14ac:dyDescent="0.3">
      <c r="A443" s="62">
        <v>417</v>
      </c>
      <c r="B443" s="202"/>
      <c r="C443" s="65" t="s">
        <v>918</v>
      </c>
      <c r="D443" s="65" t="s">
        <v>1716</v>
      </c>
      <c r="E443" s="65" t="s">
        <v>908</v>
      </c>
      <c r="F443" s="65" t="s">
        <v>1935</v>
      </c>
      <c r="G443" s="65" t="s">
        <v>919</v>
      </c>
      <c r="H443" s="65" t="s">
        <v>2642</v>
      </c>
      <c r="I443" s="134">
        <v>2000</v>
      </c>
      <c r="J443" s="73"/>
      <c r="K443" s="73"/>
      <c r="L443" s="73"/>
      <c r="M443" s="73" t="s">
        <v>2139</v>
      </c>
      <c r="N443" s="73"/>
    </row>
    <row r="444" spans="1:15" ht="14.25" customHeight="1" x14ac:dyDescent="0.3">
      <c r="A444" s="62">
        <v>418</v>
      </c>
      <c r="B444" s="202"/>
      <c r="C444" s="65" t="s">
        <v>926</v>
      </c>
      <c r="D444" s="65"/>
      <c r="E444" s="65" t="s">
        <v>908</v>
      </c>
      <c r="F444" s="65"/>
      <c r="G444" s="65"/>
      <c r="H444" s="65"/>
      <c r="I444" s="136"/>
      <c r="J444" s="73"/>
      <c r="K444" s="73"/>
      <c r="L444" s="73"/>
      <c r="M444" s="73" t="s">
        <v>2139</v>
      </c>
      <c r="N444" s="67" t="s">
        <v>2165</v>
      </c>
    </row>
    <row r="445" spans="1:15" ht="14.25" customHeight="1" x14ac:dyDescent="0.3">
      <c r="A445" s="62">
        <v>419</v>
      </c>
      <c r="B445" s="202"/>
      <c r="C445" s="112" t="s">
        <v>927</v>
      </c>
      <c r="D445" s="66"/>
      <c r="E445" s="65" t="s">
        <v>908</v>
      </c>
      <c r="F445" s="66"/>
      <c r="G445" s="132" t="s">
        <v>2644</v>
      </c>
      <c r="H445" s="66"/>
      <c r="I445" s="66"/>
      <c r="J445" s="66" t="s">
        <v>2645</v>
      </c>
      <c r="K445" s="66"/>
      <c r="L445" s="66"/>
      <c r="M445" s="66" t="s">
        <v>2139</v>
      </c>
      <c r="N445" s="73"/>
    </row>
    <row r="446" spans="1:15" ht="14.25" customHeight="1" x14ac:dyDescent="0.3">
      <c r="A446" s="62">
        <v>420</v>
      </c>
      <c r="B446" s="202"/>
      <c r="C446" s="112" t="s">
        <v>929</v>
      </c>
      <c r="D446" s="66"/>
      <c r="E446" s="65" t="s">
        <v>908</v>
      </c>
      <c r="F446" s="66"/>
      <c r="G446" s="132" t="s">
        <v>2646</v>
      </c>
      <c r="H446" s="66"/>
      <c r="I446" s="66"/>
      <c r="J446" s="66" t="s">
        <v>2647</v>
      </c>
      <c r="K446" s="66"/>
      <c r="L446" s="66"/>
      <c r="M446" s="66" t="s">
        <v>2139</v>
      </c>
      <c r="N446" s="67" t="s">
        <v>2165</v>
      </c>
    </row>
    <row r="447" spans="1:15" ht="14.25" customHeight="1" x14ac:dyDescent="0.3">
      <c r="A447" s="62">
        <v>421</v>
      </c>
      <c r="B447" s="202"/>
      <c r="C447" s="112" t="s">
        <v>931</v>
      </c>
      <c r="D447" s="66"/>
      <c r="E447" s="65" t="s">
        <v>908</v>
      </c>
      <c r="F447" s="66"/>
      <c r="G447" s="132" t="s">
        <v>2648</v>
      </c>
      <c r="H447" s="66"/>
      <c r="I447" s="66"/>
      <c r="J447" s="66" t="s">
        <v>2649</v>
      </c>
      <c r="K447" s="66"/>
      <c r="L447" s="66"/>
      <c r="M447" s="66" t="s">
        <v>2139</v>
      </c>
      <c r="N447" s="67" t="s">
        <v>2165</v>
      </c>
    </row>
    <row r="448" spans="1:15" ht="14.25" customHeight="1" x14ac:dyDescent="0.3">
      <c r="A448" s="62">
        <v>422</v>
      </c>
      <c r="B448" s="202"/>
      <c r="C448" s="112" t="s">
        <v>933</v>
      </c>
      <c r="D448" s="66"/>
      <c r="E448" s="65" t="s">
        <v>908</v>
      </c>
      <c r="F448" s="66"/>
      <c r="G448" s="132" t="s">
        <v>934</v>
      </c>
      <c r="H448" s="66"/>
      <c r="I448" s="66"/>
      <c r="J448" s="66"/>
      <c r="K448" s="66"/>
      <c r="L448" s="66"/>
      <c r="M448" s="66" t="s">
        <v>2139</v>
      </c>
      <c r="N448" s="73"/>
    </row>
    <row r="449" spans="1:14" ht="14.25" customHeight="1" x14ac:dyDescent="0.3">
      <c r="A449" s="62">
        <v>423</v>
      </c>
      <c r="B449" s="202"/>
      <c r="C449" s="112" t="s">
        <v>935</v>
      </c>
      <c r="D449" s="66"/>
      <c r="E449" s="65" t="s">
        <v>908</v>
      </c>
      <c r="F449" s="66"/>
      <c r="G449" s="132"/>
      <c r="H449" s="66"/>
      <c r="I449" s="66"/>
      <c r="J449" s="66"/>
      <c r="K449" s="66"/>
      <c r="L449" s="66"/>
      <c r="M449" s="66" t="s">
        <v>2139</v>
      </c>
      <c r="N449" s="67" t="s">
        <v>2165</v>
      </c>
    </row>
    <row r="450" spans="1:14" ht="14.25" customHeight="1" x14ac:dyDescent="0.3">
      <c r="A450" s="62">
        <v>424</v>
      </c>
      <c r="B450" s="202"/>
      <c r="C450" s="112" t="s">
        <v>936</v>
      </c>
      <c r="D450" s="66"/>
      <c r="E450" s="65" t="s">
        <v>908</v>
      </c>
      <c r="F450" s="66"/>
      <c r="G450" s="132"/>
      <c r="H450" s="66"/>
      <c r="I450" s="66"/>
      <c r="J450" s="66"/>
      <c r="K450" s="66"/>
      <c r="L450" s="66"/>
      <c r="M450" s="66" t="s">
        <v>2139</v>
      </c>
      <c r="N450" s="67" t="s">
        <v>2165</v>
      </c>
    </row>
    <row r="451" spans="1:14" ht="14.25" customHeight="1" x14ac:dyDescent="0.3">
      <c r="A451" s="62">
        <v>425</v>
      </c>
      <c r="B451" s="202"/>
      <c r="C451" s="112" t="s">
        <v>937</v>
      </c>
      <c r="D451" s="66"/>
      <c r="E451" s="65" t="s">
        <v>908</v>
      </c>
      <c r="F451" s="66"/>
      <c r="G451" s="132" t="s">
        <v>938</v>
      </c>
      <c r="H451" s="66"/>
      <c r="I451" s="66"/>
      <c r="J451" s="66" t="s">
        <v>2650</v>
      </c>
      <c r="K451" s="66"/>
      <c r="L451" s="66"/>
      <c r="M451" s="66" t="s">
        <v>2139</v>
      </c>
      <c r="N451" s="67" t="s">
        <v>2156</v>
      </c>
    </row>
    <row r="452" spans="1:14" ht="14.25" customHeight="1" x14ac:dyDescent="0.3">
      <c r="A452" s="62">
        <v>426</v>
      </c>
      <c r="B452" s="202"/>
      <c r="C452" s="112" t="s">
        <v>939</v>
      </c>
      <c r="D452" s="66"/>
      <c r="E452" s="65" t="s">
        <v>908</v>
      </c>
      <c r="F452" s="66"/>
      <c r="G452" s="132"/>
      <c r="H452" s="66"/>
      <c r="I452" s="66"/>
      <c r="J452" s="66"/>
      <c r="K452" s="66"/>
      <c r="L452" s="66"/>
      <c r="M452" s="66" t="s">
        <v>2139</v>
      </c>
      <c r="N452" s="67" t="s">
        <v>2165</v>
      </c>
    </row>
    <row r="453" spans="1:14" ht="14.25" customHeight="1" x14ac:dyDescent="0.3">
      <c r="A453" s="62">
        <v>427</v>
      </c>
      <c r="B453" s="202"/>
      <c r="C453" s="112" t="s">
        <v>940</v>
      </c>
      <c r="D453" s="66"/>
      <c r="E453" s="65" t="s">
        <v>908</v>
      </c>
      <c r="F453" s="66"/>
      <c r="G453" s="132"/>
      <c r="H453" s="66"/>
      <c r="I453" s="66"/>
      <c r="J453" s="66"/>
      <c r="K453" s="66"/>
      <c r="L453" s="66"/>
      <c r="M453" s="66" t="s">
        <v>2139</v>
      </c>
      <c r="N453" s="73"/>
    </row>
    <row r="454" spans="1:14" ht="14.25" customHeight="1" x14ac:dyDescent="0.3">
      <c r="A454" s="62">
        <v>428</v>
      </c>
      <c r="B454" s="202"/>
      <c r="C454" s="112" t="s">
        <v>910</v>
      </c>
      <c r="D454" s="137" t="s">
        <v>1711</v>
      </c>
      <c r="E454" s="65" t="s">
        <v>908</v>
      </c>
      <c r="F454" s="137" t="s">
        <v>1934</v>
      </c>
      <c r="G454" s="137" t="s">
        <v>911</v>
      </c>
      <c r="H454" s="137" t="s">
        <v>2651</v>
      </c>
      <c r="I454" s="138">
        <v>2018</v>
      </c>
      <c r="J454" s="66"/>
      <c r="K454" s="66"/>
      <c r="L454" s="66"/>
      <c r="M454" s="66" t="s">
        <v>2139</v>
      </c>
      <c r="N454" s="67" t="s">
        <v>2277</v>
      </c>
    </row>
    <row r="455" spans="1:14" ht="14.25" customHeight="1" x14ac:dyDescent="0.3">
      <c r="A455" s="62">
        <v>429</v>
      </c>
      <c r="B455" s="202"/>
      <c r="C455" s="112" t="s">
        <v>941</v>
      </c>
      <c r="D455" s="137"/>
      <c r="E455" s="65" t="s">
        <v>908</v>
      </c>
      <c r="F455" s="137"/>
      <c r="G455" s="137"/>
      <c r="H455" s="137"/>
      <c r="I455" s="139"/>
      <c r="J455" s="66"/>
      <c r="K455" s="66"/>
      <c r="L455" s="66"/>
      <c r="M455" s="66" t="s">
        <v>2139</v>
      </c>
      <c r="N455" s="67" t="s">
        <v>2165</v>
      </c>
    </row>
    <row r="456" spans="1:14" ht="14.25" customHeight="1" x14ac:dyDescent="0.3">
      <c r="A456" s="62">
        <v>430</v>
      </c>
      <c r="B456" s="203"/>
      <c r="C456" s="112" t="s">
        <v>942</v>
      </c>
      <c r="D456" s="137"/>
      <c r="E456" s="65" t="s">
        <v>908</v>
      </c>
      <c r="F456" s="137"/>
      <c r="G456" s="137" t="s">
        <v>943</v>
      </c>
      <c r="H456" s="137"/>
      <c r="I456" s="139"/>
      <c r="J456" s="66"/>
      <c r="K456" s="66"/>
      <c r="L456" s="66"/>
      <c r="M456" s="66" t="s">
        <v>2139</v>
      </c>
      <c r="N456" s="67" t="s">
        <v>2165</v>
      </c>
    </row>
    <row r="457" spans="1:14" ht="14.25" customHeight="1" x14ac:dyDescent="0.3">
      <c r="A457" s="74"/>
      <c r="B457" s="140"/>
      <c r="C457" s="133"/>
      <c r="D457" s="73"/>
      <c r="E457" s="73"/>
      <c r="F457" s="73"/>
      <c r="G457" s="73"/>
      <c r="H457" s="73"/>
      <c r="I457" s="73"/>
      <c r="J457" s="73"/>
      <c r="K457" s="73"/>
      <c r="L457" s="73"/>
      <c r="M457" s="73"/>
      <c r="N457" s="73"/>
    </row>
    <row r="458" spans="1:14" ht="14.25" customHeight="1" x14ac:dyDescent="0.3">
      <c r="A458" s="81">
        <v>431</v>
      </c>
      <c r="B458" s="201" t="s">
        <v>2652</v>
      </c>
      <c r="C458" s="133"/>
      <c r="D458" s="79" t="s">
        <v>1877</v>
      </c>
      <c r="E458" s="79" t="s">
        <v>809</v>
      </c>
      <c r="F458" s="79" t="s">
        <v>1876</v>
      </c>
      <c r="G458" s="79" t="s">
        <v>938</v>
      </c>
      <c r="H458" s="79" t="s">
        <v>2653</v>
      </c>
      <c r="I458" s="107">
        <v>2017</v>
      </c>
      <c r="J458" s="73" t="s">
        <v>2654</v>
      </c>
      <c r="K458" s="73"/>
      <c r="L458" s="73"/>
      <c r="M458" s="73" t="s">
        <v>2139</v>
      </c>
      <c r="N458" s="73"/>
    </row>
    <row r="459" spans="1:14" ht="14.25" customHeight="1" x14ac:dyDescent="0.3">
      <c r="A459" s="81">
        <v>432</v>
      </c>
      <c r="B459" s="202"/>
      <c r="C459" s="133"/>
      <c r="D459" s="79" t="s">
        <v>1877</v>
      </c>
      <c r="E459" s="79" t="s">
        <v>809</v>
      </c>
      <c r="F459" s="79" t="s">
        <v>1876</v>
      </c>
      <c r="G459" s="79" t="s">
        <v>934</v>
      </c>
      <c r="H459" s="79" t="s">
        <v>2653</v>
      </c>
      <c r="I459" s="107">
        <v>2017</v>
      </c>
      <c r="J459" s="73"/>
      <c r="K459" s="73"/>
      <c r="L459" s="73"/>
      <c r="M459" s="73" t="s">
        <v>2139</v>
      </c>
      <c r="N459" s="73"/>
    </row>
    <row r="460" spans="1:14" ht="14.25" customHeight="1" x14ac:dyDescent="0.3">
      <c r="A460" s="81">
        <v>433</v>
      </c>
      <c r="B460" s="202"/>
      <c r="C460" s="133"/>
      <c r="D460" s="79" t="s">
        <v>1878</v>
      </c>
      <c r="E460" s="79" t="s">
        <v>809</v>
      </c>
      <c r="F460" s="79" t="s">
        <v>1876</v>
      </c>
      <c r="G460" s="79" t="s">
        <v>1604</v>
      </c>
      <c r="H460" s="79" t="s">
        <v>2653</v>
      </c>
      <c r="I460" s="107">
        <v>2017</v>
      </c>
      <c r="J460" s="73"/>
      <c r="K460" s="73"/>
      <c r="L460" s="73"/>
      <c r="M460" s="73" t="s">
        <v>2139</v>
      </c>
      <c r="N460" s="73"/>
    </row>
    <row r="461" spans="1:14" ht="14.25" customHeight="1" x14ac:dyDescent="0.3">
      <c r="A461" s="81">
        <v>434</v>
      </c>
      <c r="B461" s="202"/>
      <c r="C461" s="133"/>
      <c r="D461" s="79" t="s">
        <v>1875</v>
      </c>
      <c r="E461" s="79" t="s">
        <v>809</v>
      </c>
      <c r="F461" s="79" t="s">
        <v>1876</v>
      </c>
      <c r="G461" s="79" t="s">
        <v>1602</v>
      </c>
      <c r="H461" s="79" t="s">
        <v>2653</v>
      </c>
      <c r="I461" s="107">
        <v>2006</v>
      </c>
      <c r="J461" s="73"/>
      <c r="K461" s="73"/>
      <c r="L461" s="73"/>
      <c r="M461" s="73" t="s">
        <v>2139</v>
      </c>
      <c r="N461" s="73"/>
    </row>
    <row r="462" spans="1:14" ht="14.25" customHeight="1" x14ac:dyDescent="0.3">
      <c r="A462" s="81">
        <v>435</v>
      </c>
      <c r="B462" s="202"/>
      <c r="C462" s="133"/>
      <c r="D462" s="79" t="s">
        <v>1875</v>
      </c>
      <c r="E462" s="79" t="s">
        <v>809</v>
      </c>
      <c r="F462" s="79" t="s">
        <v>1876</v>
      </c>
      <c r="G462" s="79" t="s">
        <v>2655</v>
      </c>
      <c r="H462" s="79" t="s">
        <v>2653</v>
      </c>
      <c r="I462" s="107">
        <v>2006</v>
      </c>
      <c r="J462" s="73"/>
      <c r="K462" s="73"/>
      <c r="L462" s="73"/>
      <c r="M462" s="73" t="s">
        <v>2139</v>
      </c>
      <c r="N462" s="73"/>
    </row>
    <row r="463" spans="1:14" ht="14.25" customHeight="1" x14ac:dyDescent="0.3">
      <c r="A463" s="81">
        <v>436</v>
      </c>
      <c r="B463" s="203"/>
      <c r="C463" s="133"/>
      <c r="D463" s="79" t="s">
        <v>1875</v>
      </c>
      <c r="E463" s="79" t="s">
        <v>809</v>
      </c>
      <c r="F463" s="79" t="s">
        <v>1876</v>
      </c>
      <c r="G463" s="79" t="s">
        <v>938</v>
      </c>
      <c r="H463" s="79" t="s">
        <v>2653</v>
      </c>
      <c r="I463" s="107">
        <v>2017</v>
      </c>
      <c r="J463" s="73"/>
      <c r="K463" s="73"/>
      <c r="L463" s="73"/>
      <c r="M463" s="73" t="s">
        <v>2139</v>
      </c>
      <c r="N463" s="73"/>
    </row>
    <row r="464" spans="1:14" ht="14.25" customHeight="1" x14ac:dyDescent="0.3">
      <c r="A464" s="74"/>
      <c r="B464" s="128"/>
      <c r="C464" s="133"/>
      <c r="D464" s="73"/>
      <c r="E464" s="73"/>
      <c r="F464" s="73"/>
      <c r="G464" s="73"/>
      <c r="H464" s="73"/>
      <c r="I464" s="73"/>
      <c r="J464" s="73"/>
      <c r="K464" s="73"/>
      <c r="L464" s="73"/>
      <c r="M464" s="73"/>
      <c r="N464" s="73"/>
    </row>
    <row r="465" spans="1:14" s="142" customFormat="1" ht="14.25" customHeight="1" x14ac:dyDescent="0.3">
      <c r="A465" s="141">
        <v>437</v>
      </c>
      <c r="B465" s="210" t="s">
        <v>944</v>
      </c>
      <c r="C465" s="112"/>
      <c r="D465" s="66"/>
      <c r="E465" s="132" t="s">
        <v>945</v>
      </c>
      <c r="F465" s="66"/>
      <c r="G465" s="132" t="s">
        <v>1494</v>
      </c>
      <c r="H465" s="66"/>
      <c r="I465" s="141"/>
      <c r="J465" s="66"/>
      <c r="K465" s="66"/>
      <c r="L465" s="66"/>
      <c r="M465" s="66" t="s">
        <v>2139</v>
      </c>
      <c r="N465" s="67" t="s">
        <v>2656</v>
      </c>
    </row>
    <row r="466" spans="1:14" ht="14.25" customHeight="1" x14ac:dyDescent="0.3">
      <c r="A466" s="141">
        <v>438</v>
      </c>
      <c r="B466" s="202"/>
      <c r="C466" s="65" t="s">
        <v>969</v>
      </c>
      <c r="D466" s="65" t="s">
        <v>1944</v>
      </c>
      <c r="E466" s="65" t="s">
        <v>945</v>
      </c>
      <c r="F466" s="65">
        <v>135</v>
      </c>
      <c r="G466" s="65" t="s">
        <v>970</v>
      </c>
      <c r="H466" s="65" t="s">
        <v>2657</v>
      </c>
      <c r="I466" s="134">
        <v>1974</v>
      </c>
      <c r="J466" s="66"/>
      <c r="K466" s="66"/>
      <c r="L466" s="66"/>
      <c r="M466" s="66" t="s">
        <v>2139</v>
      </c>
      <c r="N466" s="67" t="s">
        <v>2165</v>
      </c>
    </row>
    <row r="467" spans="1:14" ht="14.25" customHeight="1" x14ac:dyDescent="0.3">
      <c r="A467" s="141">
        <v>439</v>
      </c>
      <c r="B467" s="202"/>
      <c r="C467" s="65" t="s">
        <v>960</v>
      </c>
      <c r="D467" s="65" t="s">
        <v>1940</v>
      </c>
      <c r="E467" s="65" t="s">
        <v>945</v>
      </c>
      <c r="F467" s="65" t="s">
        <v>1941</v>
      </c>
      <c r="G467" s="65" t="s">
        <v>961</v>
      </c>
      <c r="H467" s="65" t="s">
        <v>2658</v>
      </c>
      <c r="I467" s="134">
        <v>2005</v>
      </c>
      <c r="J467" s="66"/>
      <c r="K467" s="66"/>
      <c r="L467" s="66"/>
      <c r="M467" s="66" t="s">
        <v>2139</v>
      </c>
      <c r="N467" s="67" t="s">
        <v>2165</v>
      </c>
    </row>
    <row r="468" spans="1:14" ht="14.25" customHeight="1" x14ac:dyDescent="0.3">
      <c r="A468" s="141">
        <v>440</v>
      </c>
      <c r="B468" s="202"/>
      <c r="C468" s="65" t="s">
        <v>962</v>
      </c>
      <c r="D468" s="65" t="s">
        <v>1940</v>
      </c>
      <c r="E468" s="65" t="s">
        <v>945</v>
      </c>
      <c r="F468" s="65" t="s">
        <v>1941</v>
      </c>
      <c r="G468" s="65" t="s">
        <v>963</v>
      </c>
      <c r="H468" s="65" t="s">
        <v>2658</v>
      </c>
      <c r="I468" s="134">
        <v>2005</v>
      </c>
      <c r="J468" s="66"/>
      <c r="K468" s="66"/>
      <c r="L468" s="66"/>
      <c r="M468" s="66" t="s">
        <v>2139</v>
      </c>
      <c r="N468" s="67" t="s">
        <v>2165</v>
      </c>
    </row>
    <row r="469" spans="1:14" ht="14.25" customHeight="1" x14ac:dyDescent="0.3">
      <c r="A469" s="141">
        <v>441</v>
      </c>
      <c r="B469" s="202"/>
      <c r="C469" s="65" t="s">
        <v>972</v>
      </c>
      <c r="D469" s="65"/>
      <c r="E469" s="65" t="s">
        <v>945</v>
      </c>
      <c r="F469" s="65"/>
      <c r="G469" s="65"/>
      <c r="H469" s="65"/>
      <c r="I469" s="134"/>
      <c r="J469" s="66"/>
      <c r="K469" s="66"/>
      <c r="L469" s="66"/>
      <c r="M469" s="66" t="s">
        <v>2139</v>
      </c>
      <c r="N469" s="67" t="s">
        <v>2165</v>
      </c>
    </row>
    <row r="470" spans="1:14" ht="14.25" customHeight="1" x14ac:dyDescent="0.3">
      <c r="A470" s="141">
        <v>442</v>
      </c>
      <c r="B470" s="202"/>
      <c r="C470" s="65" t="s">
        <v>947</v>
      </c>
      <c r="D470" s="65" t="s">
        <v>1832</v>
      </c>
      <c r="E470" s="65" t="s">
        <v>945</v>
      </c>
      <c r="F470" s="65" t="s">
        <v>1938</v>
      </c>
      <c r="G470" s="65" t="s">
        <v>948</v>
      </c>
      <c r="H470" s="65" t="s">
        <v>2441</v>
      </c>
      <c r="I470" s="134">
        <v>2012</v>
      </c>
      <c r="J470" s="66"/>
      <c r="K470" s="66"/>
      <c r="L470" s="66"/>
      <c r="M470" s="66" t="s">
        <v>2139</v>
      </c>
      <c r="N470" s="67" t="s">
        <v>2165</v>
      </c>
    </row>
    <row r="471" spans="1:14" ht="14.25" customHeight="1" x14ac:dyDescent="0.3">
      <c r="A471" s="141">
        <v>443</v>
      </c>
      <c r="B471" s="202"/>
      <c r="C471" s="65" t="s">
        <v>955</v>
      </c>
      <c r="D471" s="65" t="s">
        <v>1940</v>
      </c>
      <c r="E471" s="65" t="s">
        <v>945</v>
      </c>
      <c r="F471" s="65" t="s">
        <v>1941</v>
      </c>
      <c r="G471" s="65" t="s">
        <v>956</v>
      </c>
      <c r="H471" s="65" t="s">
        <v>2431</v>
      </c>
      <c r="I471" s="134">
        <v>2012</v>
      </c>
      <c r="J471" s="66" t="s">
        <v>2659</v>
      </c>
      <c r="K471" s="66" t="s">
        <v>2659</v>
      </c>
      <c r="L471" s="66" t="s">
        <v>2660</v>
      </c>
      <c r="M471" s="66" t="s">
        <v>2139</v>
      </c>
      <c r="N471" s="67" t="s">
        <v>2192</v>
      </c>
    </row>
    <row r="472" spans="1:14" ht="14.25" customHeight="1" x14ac:dyDescent="0.3">
      <c r="A472" s="141">
        <v>444</v>
      </c>
      <c r="B472" s="202"/>
      <c r="C472" s="65" t="s">
        <v>949</v>
      </c>
      <c r="D472" s="65" t="s">
        <v>1832</v>
      </c>
      <c r="E472" s="65" t="s">
        <v>945</v>
      </c>
      <c r="F472" s="65" t="s">
        <v>1938</v>
      </c>
      <c r="G472" s="65" t="s">
        <v>950</v>
      </c>
      <c r="H472" s="65" t="s">
        <v>2441</v>
      </c>
      <c r="I472" s="134">
        <v>2012</v>
      </c>
      <c r="J472" s="66"/>
      <c r="K472" s="66"/>
      <c r="L472" s="66"/>
      <c r="M472" s="66" t="s">
        <v>2139</v>
      </c>
      <c r="N472" s="67" t="s">
        <v>2165</v>
      </c>
    </row>
    <row r="473" spans="1:14" ht="14.25" customHeight="1" x14ac:dyDescent="0.3">
      <c r="A473" s="141">
        <v>445</v>
      </c>
      <c r="B473" s="202"/>
      <c r="C473" s="65" t="s">
        <v>965</v>
      </c>
      <c r="D473" s="65" t="s">
        <v>1944</v>
      </c>
      <c r="E473" s="65" t="s">
        <v>945</v>
      </c>
      <c r="F473" s="65" t="s">
        <v>1941</v>
      </c>
      <c r="G473" s="65" t="s">
        <v>966</v>
      </c>
      <c r="H473" s="65" t="s">
        <v>2431</v>
      </c>
      <c r="I473" s="134">
        <v>1980</v>
      </c>
      <c r="J473" s="66"/>
      <c r="K473" s="66"/>
      <c r="L473" s="66"/>
      <c r="M473" s="66" t="s">
        <v>2139</v>
      </c>
      <c r="N473" s="73"/>
    </row>
    <row r="474" spans="1:14" ht="14.25" customHeight="1" x14ac:dyDescent="0.3">
      <c r="A474" s="141">
        <v>446</v>
      </c>
      <c r="B474" s="202"/>
      <c r="C474" s="65" t="s">
        <v>952</v>
      </c>
      <c r="D474" s="65" t="s">
        <v>1832</v>
      </c>
      <c r="E474" s="65" t="s">
        <v>945</v>
      </c>
      <c r="F474" s="65" t="s">
        <v>1939</v>
      </c>
      <c r="G474" s="65" t="s">
        <v>953</v>
      </c>
      <c r="H474" s="65" t="s">
        <v>2661</v>
      </c>
      <c r="I474" s="134">
        <v>2012</v>
      </c>
      <c r="J474" s="66"/>
      <c r="K474" s="66"/>
      <c r="L474" s="66"/>
      <c r="M474" s="66" t="s">
        <v>2139</v>
      </c>
      <c r="N474" s="67" t="s">
        <v>2158</v>
      </c>
    </row>
    <row r="475" spans="1:14" ht="14.25" customHeight="1" x14ac:dyDescent="0.3">
      <c r="A475" s="141">
        <v>447</v>
      </c>
      <c r="B475" s="202"/>
      <c r="C475" s="112" t="s">
        <v>958</v>
      </c>
      <c r="D475" s="65" t="s">
        <v>1942</v>
      </c>
      <c r="E475" s="65" t="s">
        <v>2662</v>
      </c>
      <c r="F475" s="65" t="s">
        <v>1943</v>
      </c>
      <c r="G475" s="65" t="s">
        <v>959</v>
      </c>
      <c r="H475" s="65" t="s">
        <v>2663</v>
      </c>
      <c r="I475" s="134">
        <v>2008</v>
      </c>
      <c r="J475" s="66"/>
      <c r="K475" s="66"/>
      <c r="L475" s="66"/>
      <c r="M475" s="66" t="s">
        <v>2139</v>
      </c>
      <c r="N475" s="67" t="s">
        <v>2664</v>
      </c>
    </row>
    <row r="476" spans="1:14" ht="14.25" customHeight="1" x14ac:dyDescent="0.3">
      <c r="A476" s="141">
        <v>448</v>
      </c>
      <c r="B476" s="202"/>
      <c r="C476" s="112"/>
      <c r="D476" s="65" t="s">
        <v>1942</v>
      </c>
      <c r="E476" s="65" t="s">
        <v>2662</v>
      </c>
      <c r="F476" s="65" t="s">
        <v>1943</v>
      </c>
      <c r="G476" s="65" t="s">
        <v>2665</v>
      </c>
      <c r="H476" s="65" t="s">
        <v>2663</v>
      </c>
      <c r="I476" s="134"/>
      <c r="J476" s="66"/>
      <c r="K476" s="66"/>
      <c r="L476" s="66"/>
      <c r="M476" s="66" t="s">
        <v>2139</v>
      </c>
      <c r="N476" s="67" t="s">
        <v>2192</v>
      </c>
    </row>
    <row r="477" spans="1:14" ht="14.25" customHeight="1" x14ac:dyDescent="0.3">
      <c r="A477" s="141">
        <v>449</v>
      </c>
      <c r="B477" s="203"/>
      <c r="C477" s="112"/>
      <c r="D477" s="65"/>
      <c r="E477" s="65"/>
      <c r="F477" s="65"/>
      <c r="G477" s="65" t="s">
        <v>2666</v>
      </c>
      <c r="H477" s="65" t="s">
        <v>2663</v>
      </c>
      <c r="I477" s="136"/>
      <c r="J477" s="66"/>
      <c r="K477" s="66"/>
      <c r="L477" s="66"/>
      <c r="M477" s="66" t="s">
        <v>2139</v>
      </c>
      <c r="N477" s="67" t="s">
        <v>2216</v>
      </c>
    </row>
    <row r="478" spans="1:14" ht="14.25" customHeight="1" x14ac:dyDescent="0.3">
      <c r="A478" s="74"/>
      <c r="B478" s="143"/>
      <c r="C478" s="133"/>
      <c r="D478" s="73"/>
      <c r="E478" s="73"/>
      <c r="F478" s="73"/>
      <c r="G478" s="73"/>
      <c r="H478" s="73"/>
      <c r="I478" s="73"/>
      <c r="J478" s="73"/>
      <c r="K478" s="73"/>
      <c r="L478" s="73"/>
      <c r="M478" s="73"/>
      <c r="N478" s="73"/>
    </row>
    <row r="479" spans="1:14" ht="14.25" customHeight="1" x14ac:dyDescent="0.3">
      <c r="A479" s="82">
        <v>450</v>
      </c>
      <c r="B479" s="201" t="s">
        <v>973</v>
      </c>
      <c r="C479" s="79" t="s">
        <v>1042</v>
      </c>
      <c r="D479" s="79" t="s">
        <v>1946</v>
      </c>
      <c r="E479" s="79" t="s">
        <v>974</v>
      </c>
      <c r="F479" s="79" t="s">
        <v>1958</v>
      </c>
      <c r="G479" s="79" t="s">
        <v>1043</v>
      </c>
      <c r="H479" s="79" t="s">
        <v>2667</v>
      </c>
      <c r="I479" s="107">
        <v>2003</v>
      </c>
      <c r="J479" s="73"/>
      <c r="K479" s="73"/>
      <c r="L479" s="73"/>
      <c r="M479" s="73" t="s">
        <v>2139</v>
      </c>
      <c r="N479" s="67" t="s">
        <v>2668</v>
      </c>
    </row>
    <row r="480" spans="1:14" ht="14.25" customHeight="1" x14ac:dyDescent="0.3">
      <c r="A480" s="82">
        <v>451</v>
      </c>
      <c r="B480" s="202"/>
      <c r="C480" s="79" t="s">
        <v>1038</v>
      </c>
      <c r="D480" s="79" t="s">
        <v>1954</v>
      </c>
      <c r="E480" s="79" t="s">
        <v>974</v>
      </c>
      <c r="F480" s="79" t="s">
        <v>1955</v>
      </c>
      <c r="G480" s="79" t="s">
        <v>1039</v>
      </c>
      <c r="H480" s="79" t="s">
        <v>2669</v>
      </c>
      <c r="I480" s="107">
        <v>2006</v>
      </c>
      <c r="J480" s="73"/>
      <c r="K480" s="73"/>
      <c r="L480" s="73"/>
      <c r="M480" s="73" t="s">
        <v>2139</v>
      </c>
      <c r="N480" s="67" t="s">
        <v>2670</v>
      </c>
    </row>
    <row r="481" spans="1:15" ht="14.25" customHeight="1" x14ac:dyDescent="0.3">
      <c r="A481" s="82">
        <v>452</v>
      </c>
      <c r="B481" s="202"/>
      <c r="C481" s="79" t="s">
        <v>1033</v>
      </c>
      <c r="D481" s="79" t="s">
        <v>1946</v>
      </c>
      <c r="E481" s="79" t="s">
        <v>974</v>
      </c>
      <c r="F481" s="79" t="s">
        <v>1953</v>
      </c>
      <c r="G481" s="79" t="s">
        <v>1034</v>
      </c>
      <c r="H481" s="79" t="s">
        <v>2671</v>
      </c>
      <c r="I481" s="107">
        <v>2006</v>
      </c>
      <c r="J481" s="73"/>
      <c r="K481" s="73"/>
      <c r="L481" s="73"/>
      <c r="M481" s="73" t="s">
        <v>2139</v>
      </c>
      <c r="N481" s="73"/>
    </row>
    <row r="482" spans="1:15" s="55" customFormat="1" ht="14.25" customHeight="1" x14ac:dyDescent="0.3">
      <c r="A482" s="144">
        <v>453</v>
      </c>
      <c r="B482" s="202"/>
      <c r="C482" s="92" t="s">
        <v>1035</v>
      </c>
      <c r="D482" s="92" t="s">
        <v>1946</v>
      </c>
      <c r="E482" s="92" t="s">
        <v>974</v>
      </c>
      <c r="F482" s="92" t="s">
        <v>1953</v>
      </c>
      <c r="G482" s="92" t="s">
        <v>1036</v>
      </c>
      <c r="H482" s="92" t="s">
        <v>2671</v>
      </c>
      <c r="I482" s="108">
        <v>2006</v>
      </c>
      <c r="J482" s="95"/>
      <c r="K482" s="95"/>
      <c r="L482" s="95"/>
      <c r="M482" s="95" t="s">
        <v>2139</v>
      </c>
      <c r="N482" s="95" t="s">
        <v>2672</v>
      </c>
      <c r="O482" s="55" t="s">
        <v>2271</v>
      </c>
    </row>
    <row r="483" spans="1:15" ht="14.25" customHeight="1" x14ac:dyDescent="0.3">
      <c r="A483" s="82">
        <v>454</v>
      </c>
      <c r="B483" s="202"/>
      <c r="C483" s="79" t="s">
        <v>989</v>
      </c>
      <c r="D483" s="79" t="s">
        <v>1946</v>
      </c>
      <c r="E483" s="79" t="s">
        <v>974</v>
      </c>
      <c r="F483" s="79" t="s">
        <v>2673</v>
      </c>
      <c r="G483" s="79" t="s">
        <v>990</v>
      </c>
      <c r="H483" s="79" t="s">
        <v>2674</v>
      </c>
      <c r="I483" s="107">
        <v>2016</v>
      </c>
      <c r="J483" s="73"/>
      <c r="K483" s="73"/>
      <c r="L483" s="73"/>
      <c r="M483" s="73" t="s">
        <v>2139</v>
      </c>
      <c r="N483" s="73"/>
    </row>
    <row r="484" spans="1:15" ht="14.25" customHeight="1" x14ac:dyDescent="0.3">
      <c r="A484" s="82">
        <v>455</v>
      </c>
      <c r="B484" s="202"/>
      <c r="C484" s="79" t="s">
        <v>976</v>
      </c>
      <c r="D484" s="79" t="s">
        <v>1946</v>
      </c>
      <c r="E484" s="79" t="s">
        <v>974</v>
      </c>
      <c r="F484" s="79" t="s">
        <v>1947</v>
      </c>
      <c r="G484" s="79" t="s">
        <v>977</v>
      </c>
      <c r="H484" s="79" t="s">
        <v>2675</v>
      </c>
      <c r="I484" s="107">
        <v>2017</v>
      </c>
      <c r="J484" s="73"/>
      <c r="K484" s="73"/>
      <c r="L484" s="73"/>
      <c r="M484" s="73" t="s">
        <v>2139</v>
      </c>
      <c r="N484" s="67" t="s">
        <v>2165</v>
      </c>
    </row>
    <row r="485" spans="1:15" ht="14.25" customHeight="1" x14ac:dyDescent="0.3">
      <c r="A485" s="82">
        <v>456</v>
      </c>
      <c r="B485" s="202"/>
      <c r="C485" s="79" t="s">
        <v>1030</v>
      </c>
      <c r="D485" s="79" t="s">
        <v>1946</v>
      </c>
      <c r="E485" s="79" t="s">
        <v>974</v>
      </c>
      <c r="F485" s="79" t="s">
        <v>1952</v>
      </c>
      <c r="G485" s="79" t="s">
        <v>1031</v>
      </c>
      <c r="H485" s="79" t="s">
        <v>2676</v>
      </c>
      <c r="I485" s="107">
        <v>2007</v>
      </c>
      <c r="J485" s="103" t="s">
        <v>2677</v>
      </c>
      <c r="K485" s="73"/>
      <c r="L485" s="73"/>
      <c r="M485" s="73" t="s">
        <v>2139</v>
      </c>
      <c r="N485" s="67" t="s">
        <v>2165</v>
      </c>
    </row>
    <row r="486" spans="1:15" ht="14.25" customHeight="1" x14ac:dyDescent="0.3">
      <c r="A486" s="82">
        <v>457</v>
      </c>
      <c r="B486" s="202"/>
      <c r="C486" s="79" t="s">
        <v>1023</v>
      </c>
      <c r="D486" s="79" t="s">
        <v>1946</v>
      </c>
      <c r="E486" s="79" t="s">
        <v>974</v>
      </c>
      <c r="F486" s="79" t="s">
        <v>1951</v>
      </c>
      <c r="G486" s="79" t="s">
        <v>1024</v>
      </c>
      <c r="H486" s="79" t="s">
        <v>2676</v>
      </c>
      <c r="I486" s="107">
        <v>2011</v>
      </c>
      <c r="J486" s="103" t="s">
        <v>2678</v>
      </c>
      <c r="K486" s="73"/>
      <c r="L486" s="73"/>
      <c r="M486" s="73" t="s">
        <v>2139</v>
      </c>
      <c r="N486" s="67" t="s">
        <v>2165</v>
      </c>
    </row>
    <row r="487" spans="1:15" ht="14.25" customHeight="1" x14ac:dyDescent="0.3">
      <c r="A487" s="82">
        <v>458</v>
      </c>
      <c r="B487" s="202"/>
      <c r="C487" s="79" t="s">
        <v>991</v>
      </c>
      <c r="D487" s="79" t="s">
        <v>1946</v>
      </c>
      <c r="E487" s="79" t="s">
        <v>974</v>
      </c>
      <c r="F487" s="79" t="s">
        <v>1947</v>
      </c>
      <c r="G487" s="79" t="s">
        <v>992</v>
      </c>
      <c r="H487" s="79" t="s">
        <v>2675</v>
      </c>
      <c r="I487" s="107">
        <v>2016</v>
      </c>
      <c r="J487" s="73"/>
      <c r="K487" s="73"/>
      <c r="L487" s="73"/>
      <c r="M487" s="73" t="s">
        <v>2139</v>
      </c>
      <c r="N487" s="73" t="s">
        <v>2192</v>
      </c>
    </row>
    <row r="488" spans="1:15" ht="14.25" customHeight="1" x14ac:dyDescent="0.3">
      <c r="A488" s="82">
        <v>459</v>
      </c>
      <c r="B488" s="202"/>
      <c r="C488" s="79" t="s">
        <v>981</v>
      </c>
      <c r="D488" s="79" t="s">
        <v>1956</v>
      </c>
      <c r="E488" s="79" t="s">
        <v>974</v>
      </c>
      <c r="F488" s="79" t="s">
        <v>1957</v>
      </c>
      <c r="G488" s="79" t="s">
        <v>982</v>
      </c>
      <c r="H488" s="79" t="s">
        <v>2676</v>
      </c>
      <c r="I488" s="107">
        <v>2004</v>
      </c>
      <c r="J488" s="73"/>
      <c r="K488" s="73"/>
      <c r="L488" s="73"/>
      <c r="M488" s="73" t="s">
        <v>2139</v>
      </c>
      <c r="N488" s="73"/>
    </row>
    <row r="489" spans="1:15" ht="14.25" customHeight="1" x14ac:dyDescent="0.3">
      <c r="A489" s="82">
        <v>460</v>
      </c>
      <c r="B489" s="202"/>
      <c r="C489" s="79" t="s">
        <v>1011</v>
      </c>
      <c r="D489" s="79" t="s">
        <v>1946</v>
      </c>
      <c r="E489" s="79" t="s">
        <v>974</v>
      </c>
      <c r="F489" s="79" t="s">
        <v>1947</v>
      </c>
      <c r="G489" s="79" t="s">
        <v>1012</v>
      </c>
      <c r="H489" s="79" t="s">
        <v>2671</v>
      </c>
      <c r="I489" s="107">
        <v>2012</v>
      </c>
      <c r="J489" s="73"/>
      <c r="K489" s="73"/>
      <c r="L489" s="73"/>
      <c r="M489" s="73" t="s">
        <v>2139</v>
      </c>
      <c r="N489" s="67" t="s">
        <v>2197</v>
      </c>
    </row>
    <row r="490" spans="1:15" ht="14.25" customHeight="1" x14ac:dyDescent="0.3">
      <c r="A490" s="82">
        <v>461</v>
      </c>
      <c r="B490" s="202"/>
      <c r="C490" s="79" t="s">
        <v>1025</v>
      </c>
      <c r="D490" s="79" t="s">
        <v>1946</v>
      </c>
      <c r="E490" s="79" t="s">
        <v>974</v>
      </c>
      <c r="F490" s="79" t="s">
        <v>1951</v>
      </c>
      <c r="G490" s="79" t="s">
        <v>1026</v>
      </c>
      <c r="H490" s="79" t="s">
        <v>2676</v>
      </c>
      <c r="I490" s="107">
        <v>2011</v>
      </c>
      <c r="J490" s="73"/>
      <c r="K490" s="73"/>
      <c r="L490" s="73"/>
      <c r="M490" s="73" t="s">
        <v>2139</v>
      </c>
      <c r="N490" s="67" t="s">
        <v>2197</v>
      </c>
    </row>
    <row r="491" spans="1:15" ht="14.25" customHeight="1" x14ac:dyDescent="0.3">
      <c r="A491" s="82">
        <v>462</v>
      </c>
      <c r="B491" s="202"/>
      <c r="C491" s="79" t="s">
        <v>978</v>
      </c>
      <c r="D491" s="79" t="s">
        <v>1946</v>
      </c>
      <c r="E491" s="79" t="s">
        <v>974</v>
      </c>
      <c r="F491" s="79" t="s">
        <v>1947</v>
      </c>
      <c r="G491" s="79" t="s">
        <v>979</v>
      </c>
      <c r="H491" s="79" t="s">
        <v>2675</v>
      </c>
      <c r="I491" s="107">
        <v>2017</v>
      </c>
      <c r="J491" s="73" t="s">
        <v>2679</v>
      </c>
      <c r="K491" s="73"/>
      <c r="L491" s="73"/>
      <c r="M491" s="73" t="s">
        <v>2139</v>
      </c>
      <c r="N491" s="73" t="s">
        <v>2165</v>
      </c>
    </row>
    <row r="492" spans="1:15" ht="14.25" customHeight="1" x14ac:dyDescent="0.3">
      <c r="A492" s="82">
        <v>463</v>
      </c>
      <c r="B492" s="202"/>
      <c r="C492" s="79" t="s">
        <v>1013</v>
      </c>
      <c r="D492" s="79" t="s">
        <v>1946</v>
      </c>
      <c r="E492" s="79" t="s">
        <v>974</v>
      </c>
      <c r="F492" s="79" t="s">
        <v>2680</v>
      </c>
      <c r="G492" s="79" t="s">
        <v>1014</v>
      </c>
      <c r="H492" s="79" t="s">
        <v>2671</v>
      </c>
      <c r="I492" s="107">
        <v>2012</v>
      </c>
      <c r="J492" s="73"/>
      <c r="K492" s="73"/>
      <c r="L492" s="73"/>
      <c r="M492" s="73" t="s">
        <v>2139</v>
      </c>
      <c r="N492" s="73"/>
    </row>
    <row r="493" spans="1:15" ht="14.25" customHeight="1" x14ac:dyDescent="0.3">
      <c r="A493" s="82">
        <v>464</v>
      </c>
      <c r="B493" s="202"/>
      <c r="C493" s="79" t="s">
        <v>1015</v>
      </c>
      <c r="D493" s="79" t="s">
        <v>1946</v>
      </c>
      <c r="E493" s="79" t="s">
        <v>974</v>
      </c>
      <c r="F493" s="79" t="s">
        <v>1947</v>
      </c>
      <c r="G493" s="79" t="s">
        <v>1016</v>
      </c>
      <c r="H493" s="79" t="s">
        <v>2671</v>
      </c>
      <c r="I493" s="107">
        <v>2012</v>
      </c>
      <c r="J493" s="73"/>
      <c r="K493" s="73"/>
      <c r="L493" s="73"/>
      <c r="M493" s="73" t="s">
        <v>2139</v>
      </c>
      <c r="N493" s="67" t="s">
        <v>2165</v>
      </c>
    </row>
    <row r="494" spans="1:15" ht="14.25" customHeight="1" x14ac:dyDescent="0.3">
      <c r="A494" s="82">
        <v>465</v>
      </c>
      <c r="B494" s="202"/>
      <c r="C494" s="79" t="s">
        <v>1017</v>
      </c>
      <c r="D494" s="79" t="s">
        <v>1946</v>
      </c>
      <c r="E494" s="79" t="s">
        <v>974</v>
      </c>
      <c r="F494" s="79" t="s">
        <v>1951</v>
      </c>
      <c r="G494" s="79" t="s">
        <v>1018</v>
      </c>
      <c r="H494" s="79" t="s">
        <v>2674</v>
      </c>
      <c r="I494" s="107">
        <v>2012</v>
      </c>
      <c r="J494" s="103" t="s">
        <v>2681</v>
      </c>
      <c r="K494" s="73"/>
      <c r="L494" s="73"/>
      <c r="M494" s="73" t="s">
        <v>2139</v>
      </c>
      <c r="N494" s="67" t="s">
        <v>2171</v>
      </c>
    </row>
    <row r="495" spans="1:15" ht="14.25" customHeight="1" x14ac:dyDescent="0.3">
      <c r="A495" s="82">
        <v>466</v>
      </c>
      <c r="B495" s="202"/>
      <c r="C495" s="79" t="s">
        <v>1019</v>
      </c>
      <c r="D495" s="79" t="s">
        <v>1946</v>
      </c>
      <c r="E495" s="79" t="s">
        <v>974</v>
      </c>
      <c r="F495" s="79" t="s">
        <v>1951</v>
      </c>
      <c r="G495" s="79" t="s">
        <v>1020</v>
      </c>
      <c r="H495" s="79" t="s">
        <v>2674</v>
      </c>
      <c r="I495" s="107">
        <v>2012</v>
      </c>
      <c r="J495" s="73"/>
      <c r="K495" s="73"/>
      <c r="L495" s="73"/>
      <c r="M495" s="73" t="s">
        <v>2139</v>
      </c>
      <c r="N495" s="73"/>
    </row>
    <row r="496" spans="1:15" ht="14.25" customHeight="1" x14ac:dyDescent="0.3">
      <c r="A496" s="82">
        <v>467</v>
      </c>
      <c r="B496" s="202"/>
      <c r="C496" s="79" t="s">
        <v>997</v>
      </c>
      <c r="D496" s="79" t="s">
        <v>1946</v>
      </c>
      <c r="E496" s="79" t="s">
        <v>974</v>
      </c>
      <c r="F496" s="79" t="s">
        <v>1947</v>
      </c>
      <c r="G496" s="79" t="s">
        <v>998</v>
      </c>
      <c r="H496" s="79" t="s">
        <v>2675</v>
      </c>
      <c r="I496" s="107">
        <v>2015</v>
      </c>
      <c r="J496" s="103" t="s">
        <v>2682</v>
      </c>
      <c r="K496" s="73"/>
      <c r="L496" s="73"/>
      <c r="M496" s="73" t="s">
        <v>2139</v>
      </c>
      <c r="N496" s="67" t="s">
        <v>2683</v>
      </c>
    </row>
    <row r="497" spans="1:14" ht="14.25" customHeight="1" x14ac:dyDescent="0.3">
      <c r="A497" s="82">
        <v>468</v>
      </c>
      <c r="B497" s="202"/>
      <c r="C497" s="79" t="s">
        <v>993</v>
      </c>
      <c r="D497" s="79" t="s">
        <v>1946</v>
      </c>
      <c r="E497" s="79" t="s">
        <v>974</v>
      </c>
      <c r="F497" s="79" t="s">
        <v>1947</v>
      </c>
      <c r="G497" s="79" t="s">
        <v>994</v>
      </c>
      <c r="H497" s="79" t="s">
        <v>2675</v>
      </c>
      <c r="I497" s="107">
        <v>2016</v>
      </c>
      <c r="J497" s="73"/>
      <c r="K497" s="73"/>
      <c r="L497" s="73"/>
      <c r="M497" s="73" t="s">
        <v>2139</v>
      </c>
      <c r="N497" s="67" t="s">
        <v>2188</v>
      </c>
    </row>
    <row r="498" spans="1:14" ht="14.25" customHeight="1" x14ac:dyDescent="0.3">
      <c r="A498" s="82">
        <v>469</v>
      </c>
      <c r="B498" s="202"/>
      <c r="C498" s="79" t="s">
        <v>999</v>
      </c>
      <c r="D498" s="79" t="s">
        <v>1946</v>
      </c>
      <c r="E498" s="79" t="s">
        <v>974</v>
      </c>
      <c r="F498" s="79" t="s">
        <v>1947</v>
      </c>
      <c r="G498" s="79" t="s">
        <v>1000</v>
      </c>
      <c r="H498" s="79" t="s">
        <v>2675</v>
      </c>
      <c r="I498" s="107">
        <v>2015</v>
      </c>
      <c r="J498" s="103" t="s">
        <v>2684</v>
      </c>
      <c r="K498" s="73"/>
      <c r="L498" s="73"/>
      <c r="M498" s="73" t="s">
        <v>2139</v>
      </c>
      <c r="N498" s="67" t="s">
        <v>2171</v>
      </c>
    </row>
    <row r="499" spans="1:14" ht="14.25" customHeight="1" x14ac:dyDescent="0.3">
      <c r="A499" s="82">
        <v>470</v>
      </c>
      <c r="B499" s="202"/>
      <c r="C499" s="79" t="s">
        <v>995</v>
      </c>
      <c r="D499" s="79" t="s">
        <v>1946</v>
      </c>
      <c r="E499" s="79" t="s">
        <v>974</v>
      </c>
      <c r="F499" s="79" t="s">
        <v>1947</v>
      </c>
      <c r="G499" s="79" t="s">
        <v>996</v>
      </c>
      <c r="H499" s="79" t="s">
        <v>2675</v>
      </c>
      <c r="I499" s="107">
        <v>2016</v>
      </c>
      <c r="J499" s="73"/>
      <c r="K499" s="73"/>
      <c r="L499" s="73"/>
      <c r="M499" s="73" t="s">
        <v>2139</v>
      </c>
      <c r="N499" s="67" t="s">
        <v>2158</v>
      </c>
    </row>
    <row r="500" spans="1:14" ht="14.25" customHeight="1" x14ac:dyDescent="0.3">
      <c r="A500" s="82">
        <v>471</v>
      </c>
      <c r="B500" s="202"/>
      <c r="C500" s="79" t="s">
        <v>1002</v>
      </c>
      <c r="D500" s="79" t="s">
        <v>1946</v>
      </c>
      <c r="E500" s="79" t="s">
        <v>974</v>
      </c>
      <c r="F500" s="79" t="s">
        <v>1950</v>
      </c>
      <c r="G500" s="79" t="s">
        <v>1003</v>
      </c>
      <c r="H500" s="79" t="s">
        <v>2674</v>
      </c>
      <c r="I500" s="107">
        <v>2015</v>
      </c>
      <c r="J500" s="73"/>
      <c r="K500" s="73"/>
      <c r="L500" s="73"/>
      <c r="M500" s="73" t="s">
        <v>2139</v>
      </c>
      <c r="N500" s="73"/>
    </row>
    <row r="501" spans="1:14" ht="14.25" customHeight="1" x14ac:dyDescent="0.3">
      <c r="A501" s="82">
        <v>472</v>
      </c>
      <c r="B501" s="202"/>
      <c r="C501" s="79" t="s">
        <v>1004</v>
      </c>
      <c r="D501" s="79" t="s">
        <v>1946</v>
      </c>
      <c r="E501" s="79" t="s">
        <v>974</v>
      </c>
      <c r="F501" s="79" t="s">
        <v>1950</v>
      </c>
      <c r="G501" s="79" t="s">
        <v>1005</v>
      </c>
      <c r="H501" s="79" t="s">
        <v>2674</v>
      </c>
      <c r="I501" s="107">
        <v>2015</v>
      </c>
      <c r="J501" s="73"/>
      <c r="K501" s="73"/>
      <c r="L501" s="73"/>
      <c r="M501" s="73" t="s">
        <v>2139</v>
      </c>
      <c r="N501" s="73"/>
    </row>
    <row r="502" spans="1:14" ht="14.25" customHeight="1" x14ac:dyDescent="0.3">
      <c r="A502" s="82">
        <v>473</v>
      </c>
      <c r="B502" s="202"/>
      <c r="C502" s="79" t="s">
        <v>1021</v>
      </c>
      <c r="D502" s="79" t="s">
        <v>1946</v>
      </c>
      <c r="E502" s="79" t="s">
        <v>974</v>
      </c>
      <c r="F502" s="79" t="s">
        <v>1951</v>
      </c>
      <c r="G502" s="79" t="s">
        <v>1022</v>
      </c>
      <c r="H502" s="79" t="s">
        <v>2674</v>
      </c>
      <c r="I502" s="107">
        <v>2012</v>
      </c>
      <c r="J502" s="103" t="s">
        <v>2685</v>
      </c>
      <c r="K502" s="73"/>
      <c r="L502" s="73"/>
      <c r="M502" s="73" t="s">
        <v>2139</v>
      </c>
      <c r="N502" s="67" t="s">
        <v>2171</v>
      </c>
    </row>
    <row r="503" spans="1:14" ht="14.25" customHeight="1" x14ac:dyDescent="0.3">
      <c r="A503" s="82">
        <v>474</v>
      </c>
      <c r="B503" s="202"/>
      <c r="C503" s="79" t="s">
        <v>1007</v>
      </c>
      <c r="D503" s="79" t="s">
        <v>1946</v>
      </c>
      <c r="E503" s="79" t="s">
        <v>974</v>
      </c>
      <c r="F503" s="79" t="s">
        <v>1951</v>
      </c>
      <c r="G503" s="79" t="s">
        <v>1008</v>
      </c>
      <c r="H503" s="79" t="s">
        <v>2674</v>
      </c>
      <c r="I503" s="107">
        <v>2013</v>
      </c>
      <c r="J503" s="73"/>
      <c r="K503" s="73"/>
      <c r="L503" s="73"/>
      <c r="M503" s="73" t="s">
        <v>2139</v>
      </c>
      <c r="N503" s="73" t="s">
        <v>2165</v>
      </c>
    </row>
    <row r="504" spans="1:14" ht="14.25" customHeight="1" x14ac:dyDescent="0.3">
      <c r="A504" s="82">
        <v>475</v>
      </c>
      <c r="B504" s="202"/>
      <c r="C504" s="79" t="s">
        <v>1009</v>
      </c>
      <c r="D504" s="79" t="s">
        <v>1946</v>
      </c>
      <c r="E504" s="79" t="s">
        <v>974</v>
      </c>
      <c r="F504" s="79" t="s">
        <v>1951</v>
      </c>
      <c r="G504" s="79" t="s">
        <v>1010</v>
      </c>
      <c r="H504" s="79" t="s">
        <v>2674</v>
      </c>
      <c r="I504" s="107">
        <v>2013</v>
      </c>
      <c r="J504" s="73" t="s">
        <v>2686</v>
      </c>
      <c r="K504" s="73"/>
      <c r="L504" s="73"/>
      <c r="M504" s="73" t="s">
        <v>2139</v>
      </c>
      <c r="N504" s="73" t="s">
        <v>2165</v>
      </c>
    </row>
    <row r="505" spans="1:14" ht="14.25" customHeight="1" x14ac:dyDescent="0.3">
      <c r="A505" s="82">
        <v>476</v>
      </c>
      <c r="B505" s="202"/>
      <c r="C505" s="79" t="s">
        <v>1027</v>
      </c>
      <c r="D505" s="79" t="s">
        <v>1946</v>
      </c>
      <c r="E505" s="79" t="s">
        <v>974</v>
      </c>
      <c r="F505" s="79" t="s">
        <v>1951</v>
      </c>
      <c r="G505" s="79" t="s">
        <v>1028</v>
      </c>
      <c r="H505" s="79" t="s">
        <v>2676</v>
      </c>
      <c r="I505" s="107">
        <v>2011</v>
      </c>
      <c r="J505" s="73"/>
      <c r="K505" s="73"/>
      <c r="L505" s="73"/>
      <c r="M505" s="73" t="s">
        <v>2139</v>
      </c>
      <c r="N505" s="73"/>
    </row>
    <row r="506" spans="1:14" ht="14.25" customHeight="1" x14ac:dyDescent="0.3">
      <c r="A506" s="82">
        <v>477</v>
      </c>
      <c r="B506" s="202"/>
      <c r="C506" s="79" t="s">
        <v>986</v>
      </c>
      <c r="D506" s="79" t="s">
        <v>1947</v>
      </c>
      <c r="E506" s="79" t="s">
        <v>974</v>
      </c>
      <c r="F506" s="79" t="s">
        <v>1947</v>
      </c>
      <c r="G506" s="79" t="s">
        <v>987</v>
      </c>
      <c r="H506" s="79" t="s">
        <v>2675</v>
      </c>
      <c r="I506" s="107">
        <v>2016</v>
      </c>
      <c r="J506" s="73"/>
      <c r="K506" s="73"/>
      <c r="L506" s="73"/>
      <c r="M506" s="73" t="s">
        <v>2139</v>
      </c>
      <c r="N506" s="73"/>
    </row>
    <row r="507" spans="1:14" ht="14.25" customHeight="1" x14ac:dyDescent="0.3">
      <c r="A507" s="82">
        <v>478</v>
      </c>
      <c r="B507" s="202"/>
      <c r="C507" s="79"/>
      <c r="D507" s="79" t="s">
        <v>1947</v>
      </c>
      <c r="E507" s="79" t="s">
        <v>974</v>
      </c>
      <c r="F507" s="79" t="s">
        <v>1947</v>
      </c>
      <c r="G507" s="79" t="s">
        <v>1531</v>
      </c>
      <c r="H507" s="79" t="s">
        <v>2675</v>
      </c>
      <c r="I507" s="107">
        <v>2017</v>
      </c>
      <c r="J507" s="103" t="s">
        <v>2687</v>
      </c>
      <c r="K507" s="73"/>
      <c r="L507" s="73"/>
      <c r="M507" s="73" t="s">
        <v>2139</v>
      </c>
      <c r="N507" s="67" t="s">
        <v>2165</v>
      </c>
    </row>
    <row r="508" spans="1:14" ht="14.25" customHeight="1" x14ac:dyDescent="0.3">
      <c r="A508" s="82">
        <v>479</v>
      </c>
      <c r="B508" s="202"/>
      <c r="C508" s="79" t="s">
        <v>984</v>
      </c>
      <c r="D508" s="79" t="s">
        <v>1947</v>
      </c>
      <c r="E508" s="79" t="s">
        <v>974</v>
      </c>
      <c r="F508" s="79" t="s">
        <v>1947</v>
      </c>
      <c r="G508" s="79" t="s">
        <v>985</v>
      </c>
      <c r="H508" s="79" t="s">
        <v>2675</v>
      </c>
      <c r="I508" s="107">
        <v>2017</v>
      </c>
      <c r="J508" s="73"/>
      <c r="K508" s="73"/>
      <c r="L508" s="73"/>
      <c r="M508" s="73" t="s">
        <v>2139</v>
      </c>
      <c r="N508" s="73"/>
    </row>
    <row r="509" spans="1:14" ht="14.25" customHeight="1" x14ac:dyDescent="0.3">
      <c r="A509" s="82">
        <v>480</v>
      </c>
      <c r="B509" s="202"/>
      <c r="C509" s="79"/>
      <c r="D509" s="79" t="s">
        <v>1956</v>
      </c>
      <c r="E509" s="79" t="s">
        <v>974</v>
      </c>
      <c r="F509" s="79" t="s">
        <v>1948</v>
      </c>
      <c r="G509" s="79" t="s">
        <v>1523</v>
      </c>
      <c r="H509" s="79">
        <v>110</v>
      </c>
      <c r="I509" s="145">
        <v>2017</v>
      </c>
      <c r="J509" s="73" t="s">
        <v>2688</v>
      </c>
      <c r="K509" s="73"/>
      <c r="L509" s="73"/>
      <c r="M509" s="73" t="s">
        <v>2139</v>
      </c>
      <c r="N509" s="67" t="s">
        <v>2158</v>
      </c>
    </row>
    <row r="510" spans="1:14" ht="14.25" customHeight="1" x14ac:dyDescent="0.3">
      <c r="A510" s="82">
        <v>481</v>
      </c>
      <c r="B510" s="202"/>
      <c r="C510" s="79"/>
      <c r="D510" s="79"/>
      <c r="E510" s="79" t="s">
        <v>974</v>
      </c>
      <c r="F510" s="79"/>
      <c r="G510" s="79" t="s">
        <v>1528</v>
      </c>
      <c r="H510" s="79"/>
      <c r="I510" s="145"/>
      <c r="J510" s="73"/>
      <c r="K510" s="73"/>
      <c r="L510" s="73"/>
      <c r="M510" s="73" t="s">
        <v>2139</v>
      </c>
      <c r="N510" s="67" t="s">
        <v>2165</v>
      </c>
    </row>
    <row r="511" spans="1:14" ht="14.25" customHeight="1" x14ac:dyDescent="0.3">
      <c r="A511" s="82">
        <v>482</v>
      </c>
      <c r="B511" s="202"/>
      <c r="C511" s="79"/>
      <c r="D511" s="79"/>
      <c r="E511" s="79" t="s">
        <v>974</v>
      </c>
      <c r="F511" s="79"/>
      <c r="G511" s="79" t="s">
        <v>1524</v>
      </c>
      <c r="H511" s="79"/>
      <c r="I511" s="145"/>
      <c r="J511" s="73"/>
      <c r="K511" s="73"/>
      <c r="L511" s="73"/>
      <c r="M511" s="73" t="s">
        <v>2139</v>
      </c>
      <c r="N511" s="73" t="s">
        <v>2192</v>
      </c>
    </row>
    <row r="512" spans="1:14" ht="14.25" customHeight="1" x14ac:dyDescent="0.3">
      <c r="A512" s="82">
        <v>483</v>
      </c>
      <c r="B512" s="202"/>
      <c r="C512" s="79"/>
      <c r="D512" s="79"/>
      <c r="E512" s="79" t="s">
        <v>974</v>
      </c>
      <c r="F512" s="79"/>
      <c r="G512" s="79" t="s">
        <v>1533</v>
      </c>
      <c r="H512" s="79"/>
      <c r="I512" s="145"/>
      <c r="J512" s="73"/>
      <c r="K512" s="73"/>
      <c r="L512" s="73"/>
      <c r="M512" s="73" t="s">
        <v>2139</v>
      </c>
      <c r="N512" s="73" t="s">
        <v>2192</v>
      </c>
    </row>
    <row r="513" spans="1:14" ht="14.25" customHeight="1" x14ac:dyDescent="0.3">
      <c r="A513" s="82">
        <v>484</v>
      </c>
      <c r="B513" s="202"/>
      <c r="C513" s="79"/>
      <c r="D513" s="79"/>
      <c r="E513" s="79" t="s">
        <v>974</v>
      </c>
      <c r="F513" s="79"/>
      <c r="G513" s="79" t="s">
        <v>1532</v>
      </c>
      <c r="H513" s="79"/>
      <c r="I513" s="145"/>
      <c r="J513" s="73"/>
      <c r="K513" s="73"/>
      <c r="L513" s="73"/>
      <c r="M513" s="73" t="s">
        <v>2139</v>
      </c>
      <c r="N513" s="73" t="s">
        <v>2192</v>
      </c>
    </row>
    <row r="514" spans="1:14" ht="14.25" customHeight="1" x14ac:dyDescent="0.3">
      <c r="A514" s="82">
        <v>485</v>
      </c>
      <c r="B514" s="202"/>
      <c r="C514" s="79"/>
      <c r="D514" s="79"/>
      <c r="E514" s="79" t="s">
        <v>974</v>
      </c>
      <c r="F514" s="79"/>
      <c r="G514" s="79" t="s">
        <v>1525</v>
      </c>
      <c r="H514" s="79"/>
      <c r="I514" s="103" t="s">
        <v>1046</v>
      </c>
      <c r="J514" s="73"/>
      <c r="K514" s="73"/>
      <c r="L514" s="73"/>
      <c r="M514" s="73" t="s">
        <v>2139</v>
      </c>
      <c r="N514" s="67" t="s">
        <v>2165</v>
      </c>
    </row>
    <row r="515" spans="1:14" ht="14.25" customHeight="1" x14ac:dyDescent="0.3">
      <c r="A515" s="82">
        <v>486</v>
      </c>
      <c r="B515" s="202"/>
      <c r="C515" s="79"/>
      <c r="D515" s="79"/>
      <c r="E515" s="79" t="s">
        <v>974</v>
      </c>
      <c r="F515" s="79"/>
      <c r="G515" s="79" t="s">
        <v>1527</v>
      </c>
      <c r="H515" s="79"/>
      <c r="I515" s="103" t="s">
        <v>1047</v>
      </c>
      <c r="J515" s="73"/>
      <c r="K515" s="73"/>
      <c r="L515" s="73"/>
      <c r="M515" s="73" t="s">
        <v>2139</v>
      </c>
      <c r="N515" s="73" t="s">
        <v>2165</v>
      </c>
    </row>
    <row r="516" spans="1:14" ht="14.25" customHeight="1" x14ac:dyDescent="0.3">
      <c r="A516" s="82">
        <v>487</v>
      </c>
      <c r="B516" s="202"/>
      <c r="C516" s="79"/>
      <c r="D516" s="79"/>
      <c r="E516" s="79" t="s">
        <v>974</v>
      </c>
      <c r="F516" s="79"/>
      <c r="G516" s="79" t="s">
        <v>1526</v>
      </c>
      <c r="H516" s="79"/>
      <c r="I516" s="103" t="s">
        <v>1048</v>
      </c>
      <c r="J516" s="73"/>
      <c r="K516" s="73"/>
      <c r="L516" s="73"/>
      <c r="M516" s="73" t="s">
        <v>2139</v>
      </c>
      <c r="N516" s="73"/>
    </row>
    <row r="517" spans="1:14" s="55" customFormat="1" ht="14.25" customHeight="1" x14ac:dyDescent="0.3">
      <c r="A517" s="144">
        <v>488</v>
      </c>
      <c r="B517" s="202"/>
      <c r="C517" s="92" t="s">
        <v>1044</v>
      </c>
      <c r="D517" s="92"/>
      <c r="E517" s="92" t="s">
        <v>974</v>
      </c>
      <c r="F517" s="92"/>
      <c r="G517" s="92" t="s">
        <v>1045</v>
      </c>
      <c r="H517" s="92"/>
      <c r="I517" s="146" t="s">
        <v>1049</v>
      </c>
      <c r="J517" s="95"/>
      <c r="K517" s="95"/>
      <c r="L517" s="95"/>
      <c r="M517" s="95" t="s">
        <v>2139</v>
      </c>
      <c r="N517" s="95" t="s">
        <v>2271</v>
      </c>
    </row>
    <row r="518" spans="1:14" ht="14.25" customHeight="1" x14ac:dyDescent="0.3">
      <c r="A518" s="82">
        <v>489</v>
      </c>
      <c r="B518" s="202"/>
      <c r="C518" s="79"/>
      <c r="D518" s="79"/>
      <c r="E518" s="79" t="s">
        <v>974</v>
      </c>
      <c r="F518" s="79"/>
      <c r="G518" s="79" t="s">
        <v>1529</v>
      </c>
      <c r="H518" s="79"/>
      <c r="I518" s="145"/>
      <c r="J518" s="73"/>
      <c r="K518" s="73"/>
      <c r="L518" s="73"/>
      <c r="M518" s="73" t="s">
        <v>2139</v>
      </c>
      <c r="N518" s="73" t="s">
        <v>2165</v>
      </c>
    </row>
    <row r="519" spans="1:14" ht="14.25" customHeight="1" x14ac:dyDescent="0.3">
      <c r="A519" s="82">
        <v>490</v>
      </c>
      <c r="B519" s="202"/>
      <c r="C519" s="79"/>
      <c r="D519" s="79"/>
      <c r="E519" s="79" t="s">
        <v>974</v>
      </c>
      <c r="F519" s="79"/>
      <c r="G519" s="79" t="s">
        <v>2689</v>
      </c>
      <c r="H519" s="79"/>
      <c r="I519" s="103" t="s">
        <v>1050</v>
      </c>
      <c r="J519" s="73"/>
      <c r="K519" s="73"/>
      <c r="L519" s="73"/>
      <c r="M519" s="73" t="s">
        <v>2139</v>
      </c>
      <c r="N519" s="67" t="s">
        <v>2165</v>
      </c>
    </row>
    <row r="520" spans="1:14" ht="14.25" customHeight="1" x14ac:dyDescent="0.3">
      <c r="A520" s="82">
        <v>491</v>
      </c>
      <c r="B520" s="202"/>
      <c r="C520" s="79"/>
      <c r="D520" s="79"/>
      <c r="E520" s="79" t="s">
        <v>974</v>
      </c>
      <c r="F520" s="79"/>
      <c r="G520" s="79" t="s">
        <v>2690</v>
      </c>
      <c r="H520" s="79"/>
      <c r="I520" s="103" t="s">
        <v>1051</v>
      </c>
      <c r="J520" s="73"/>
      <c r="K520" s="73"/>
      <c r="L520" s="73"/>
      <c r="M520" s="73" t="s">
        <v>2139</v>
      </c>
      <c r="N520" s="67" t="s">
        <v>2165</v>
      </c>
    </row>
    <row r="521" spans="1:14" s="111" customFormat="1" ht="14.25" customHeight="1" x14ac:dyDescent="0.3">
      <c r="A521" s="114">
        <v>492</v>
      </c>
      <c r="B521" s="202"/>
      <c r="C521" s="103"/>
      <c r="D521" s="103"/>
      <c r="E521" s="103" t="s">
        <v>974</v>
      </c>
      <c r="F521" s="103"/>
      <c r="G521" s="103" t="s">
        <v>2691</v>
      </c>
      <c r="H521" s="103"/>
      <c r="I521" s="147" t="s">
        <v>1052</v>
      </c>
      <c r="J521" s="105"/>
      <c r="K521" s="105"/>
      <c r="L521" s="105"/>
      <c r="M521" s="105" t="s">
        <v>2139</v>
      </c>
      <c r="N521" s="67" t="s">
        <v>2165</v>
      </c>
    </row>
    <row r="522" spans="1:14" ht="14.25" customHeight="1" x14ac:dyDescent="0.3">
      <c r="A522" s="82">
        <v>493</v>
      </c>
      <c r="B522" s="202"/>
      <c r="C522" s="79"/>
      <c r="D522" s="79"/>
      <c r="E522" s="79" t="s">
        <v>974</v>
      </c>
      <c r="F522" s="79"/>
      <c r="G522" s="79" t="s">
        <v>2692</v>
      </c>
      <c r="H522" s="79"/>
      <c r="I522" s="145" t="s">
        <v>1053</v>
      </c>
      <c r="J522" s="73"/>
      <c r="K522" s="73"/>
      <c r="L522" s="73"/>
      <c r="M522" s="73" t="s">
        <v>2139</v>
      </c>
      <c r="N522" s="67" t="s">
        <v>2165</v>
      </c>
    </row>
    <row r="523" spans="1:14" ht="14.25" customHeight="1" x14ac:dyDescent="0.3">
      <c r="A523" s="82">
        <v>494</v>
      </c>
      <c r="B523" s="202"/>
      <c r="C523" s="79"/>
      <c r="D523" s="79"/>
      <c r="E523" s="79" t="s">
        <v>974</v>
      </c>
      <c r="F523" s="79"/>
      <c r="G523" s="79" t="s">
        <v>2693</v>
      </c>
      <c r="H523" s="79"/>
      <c r="I523" s="103" t="s">
        <v>1054</v>
      </c>
      <c r="J523" s="73"/>
      <c r="K523" s="73"/>
      <c r="L523" s="73"/>
      <c r="M523" s="73" t="s">
        <v>2139</v>
      </c>
      <c r="N523" s="67" t="s">
        <v>2165</v>
      </c>
    </row>
    <row r="524" spans="1:14" ht="14.25" customHeight="1" x14ac:dyDescent="0.3">
      <c r="A524" s="82">
        <v>495</v>
      </c>
      <c r="B524" s="202"/>
      <c r="C524" s="79"/>
      <c r="D524" s="79"/>
      <c r="E524" s="79" t="s">
        <v>974</v>
      </c>
      <c r="F524" s="79"/>
      <c r="G524" s="79" t="s">
        <v>1003</v>
      </c>
      <c r="H524" s="79"/>
      <c r="I524" s="145"/>
      <c r="J524" s="73"/>
      <c r="K524" s="73"/>
      <c r="L524" s="73"/>
      <c r="M524" s="73" t="s">
        <v>2139</v>
      </c>
      <c r="N524" s="73" t="s">
        <v>2694</v>
      </c>
    </row>
    <row r="525" spans="1:14" ht="14.25" customHeight="1" x14ac:dyDescent="0.3">
      <c r="A525" s="82">
        <v>496</v>
      </c>
      <c r="B525" s="202"/>
      <c r="C525" s="79"/>
      <c r="D525" s="79"/>
      <c r="E525" s="79" t="s">
        <v>974</v>
      </c>
      <c r="F525" s="79"/>
      <c r="G525" s="79" t="s">
        <v>1005</v>
      </c>
      <c r="H525" s="79"/>
      <c r="I525" s="145"/>
      <c r="J525" s="73"/>
      <c r="K525" s="73"/>
      <c r="L525" s="73"/>
      <c r="M525" s="73" t="s">
        <v>2139</v>
      </c>
      <c r="N525" s="73" t="s">
        <v>2694</v>
      </c>
    </row>
    <row r="526" spans="1:14" ht="14.25" customHeight="1" x14ac:dyDescent="0.3">
      <c r="A526" s="82">
        <v>497</v>
      </c>
      <c r="B526" s="202"/>
      <c r="C526" s="79"/>
      <c r="D526" s="79"/>
      <c r="E526" s="79" t="s">
        <v>974</v>
      </c>
      <c r="F526" s="79"/>
      <c r="G526" s="79" t="s">
        <v>2695</v>
      </c>
      <c r="H526" s="79"/>
      <c r="I526" s="145"/>
      <c r="J526" s="73"/>
      <c r="K526" s="73"/>
      <c r="L526" s="73"/>
      <c r="M526" s="73" t="s">
        <v>2139</v>
      </c>
      <c r="N526" s="67" t="s">
        <v>2216</v>
      </c>
    </row>
    <row r="527" spans="1:14" ht="14.25" customHeight="1" x14ac:dyDescent="0.3">
      <c r="A527" s="82">
        <v>498</v>
      </c>
      <c r="B527" s="202"/>
      <c r="C527" s="79"/>
      <c r="D527" s="79"/>
      <c r="E527" s="79" t="s">
        <v>974</v>
      </c>
      <c r="F527" s="79"/>
      <c r="G527" s="79" t="s">
        <v>2696</v>
      </c>
      <c r="H527" s="79"/>
      <c r="I527" s="145"/>
      <c r="J527" s="73"/>
      <c r="K527" s="73"/>
      <c r="L527" s="73"/>
      <c r="M527" s="73" t="s">
        <v>2139</v>
      </c>
      <c r="N527" s="67" t="s">
        <v>2188</v>
      </c>
    </row>
    <row r="528" spans="1:14" ht="14.25" customHeight="1" x14ac:dyDescent="0.3">
      <c r="A528" s="82">
        <v>499</v>
      </c>
      <c r="B528" s="202"/>
      <c r="C528" s="79"/>
      <c r="D528" s="79"/>
      <c r="E528" s="79" t="s">
        <v>974</v>
      </c>
      <c r="F528" s="79"/>
      <c r="G528" s="79" t="s">
        <v>2697</v>
      </c>
      <c r="H528" s="79"/>
      <c r="I528" s="103" t="s">
        <v>1055</v>
      </c>
      <c r="J528" s="73"/>
      <c r="K528" s="73"/>
      <c r="L528" s="73"/>
      <c r="M528" s="73" t="s">
        <v>2139</v>
      </c>
      <c r="N528" s="67" t="s">
        <v>2165</v>
      </c>
    </row>
    <row r="529" spans="1:15" ht="14.25" customHeight="1" x14ac:dyDescent="0.3">
      <c r="A529" s="82">
        <v>500</v>
      </c>
      <c r="B529" s="202"/>
      <c r="C529" s="79"/>
      <c r="D529" s="79" t="s">
        <v>1959</v>
      </c>
      <c r="E529" s="79" t="s">
        <v>974</v>
      </c>
      <c r="F529" s="79"/>
      <c r="G529" s="79" t="s">
        <v>2698</v>
      </c>
      <c r="H529" s="79"/>
      <c r="I529" s="145"/>
      <c r="J529" s="73"/>
      <c r="K529" s="73"/>
      <c r="L529" s="73"/>
      <c r="M529" s="73"/>
      <c r="N529" s="67"/>
    </row>
    <row r="530" spans="1:15" ht="14.25" customHeight="1" x14ac:dyDescent="0.3">
      <c r="A530" s="82">
        <v>501</v>
      </c>
      <c r="B530" s="202"/>
      <c r="C530" s="79"/>
      <c r="D530" s="79" t="s">
        <v>1956</v>
      </c>
      <c r="E530" s="79" t="s">
        <v>974</v>
      </c>
      <c r="F530" s="79"/>
      <c r="G530" s="79" t="s">
        <v>2698</v>
      </c>
      <c r="H530" s="79">
        <v>125</v>
      </c>
      <c r="I530" s="126" t="s">
        <v>1059</v>
      </c>
      <c r="J530" s="73"/>
      <c r="K530" s="73"/>
      <c r="L530" s="73"/>
      <c r="M530" s="73" t="s">
        <v>2139</v>
      </c>
      <c r="N530" s="67" t="s">
        <v>2165</v>
      </c>
    </row>
    <row r="531" spans="1:15" s="55" customFormat="1" ht="14.25" customHeight="1" x14ac:dyDescent="0.3">
      <c r="A531" s="144">
        <v>502</v>
      </c>
      <c r="B531" s="203"/>
      <c r="C531" s="92"/>
      <c r="D531" s="92"/>
      <c r="E531" s="92" t="s">
        <v>974</v>
      </c>
      <c r="F531" s="92"/>
      <c r="G531" s="92" t="s">
        <v>2699</v>
      </c>
      <c r="H531" s="92"/>
      <c r="I531" s="148" t="s">
        <v>1056</v>
      </c>
      <c r="J531" s="95"/>
      <c r="K531" s="95"/>
      <c r="L531" s="95"/>
      <c r="M531" s="95" t="s">
        <v>2139</v>
      </c>
      <c r="N531" s="95" t="s">
        <v>2700</v>
      </c>
      <c r="O531" s="55" t="s">
        <v>2271</v>
      </c>
    </row>
    <row r="532" spans="1:15" ht="14.25" customHeight="1" x14ac:dyDescent="0.3">
      <c r="A532" s="74"/>
      <c r="C532" s="133"/>
      <c r="D532" s="73"/>
      <c r="E532" s="73"/>
      <c r="F532" s="73"/>
      <c r="G532" s="73"/>
      <c r="H532" s="73"/>
      <c r="I532" s="73"/>
      <c r="J532" s="73"/>
      <c r="K532" s="73"/>
      <c r="L532" s="73"/>
      <c r="M532" s="73"/>
      <c r="N532" s="73"/>
    </row>
    <row r="533" spans="1:15" s="142" customFormat="1" ht="14.25" customHeight="1" x14ac:dyDescent="0.3">
      <c r="A533" s="141">
        <v>503</v>
      </c>
      <c r="B533" s="210" t="s">
        <v>1060</v>
      </c>
      <c r="C533" s="112" t="s">
        <v>1069</v>
      </c>
      <c r="D533" s="65" t="s">
        <v>1960</v>
      </c>
      <c r="E533" s="65" t="s">
        <v>1061</v>
      </c>
      <c r="F533" s="65" t="s">
        <v>1060</v>
      </c>
      <c r="G533" s="66"/>
      <c r="H533" s="65" t="s">
        <v>2701</v>
      </c>
      <c r="I533" s="141"/>
      <c r="J533" s="66"/>
      <c r="K533" s="66"/>
      <c r="L533" s="66"/>
      <c r="M533" s="66" t="s">
        <v>2139</v>
      </c>
      <c r="N533" s="67" t="s">
        <v>2702</v>
      </c>
    </row>
    <row r="534" spans="1:15" ht="14.25" customHeight="1" x14ac:dyDescent="0.3">
      <c r="A534" s="141">
        <v>504</v>
      </c>
      <c r="B534" s="202"/>
      <c r="C534" s="65" t="s">
        <v>1070</v>
      </c>
      <c r="D534" s="65" t="s">
        <v>1960</v>
      </c>
      <c r="E534" s="65" t="s">
        <v>1061</v>
      </c>
      <c r="F534" s="65" t="s">
        <v>1060</v>
      </c>
      <c r="G534" s="65"/>
      <c r="H534" s="65" t="s">
        <v>2701</v>
      </c>
      <c r="I534" s="134"/>
      <c r="J534" s="66"/>
      <c r="K534" s="66"/>
      <c r="L534" s="66"/>
      <c r="M534" s="66" t="s">
        <v>2139</v>
      </c>
      <c r="N534" s="67" t="s">
        <v>2165</v>
      </c>
    </row>
    <row r="535" spans="1:15" ht="14.25" customHeight="1" x14ac:dyDescent="0.3">
      <c r="A535" s="141">
        <v>505</v>
      </c>
      <c r="B535" s="202"/>
      <c r="C535" s="65" t="s">
        <v>1068</v>
      </c>
      <c r="D535" s="65" t="s">
        <v>1960</v>
      </c>
      <c r="E535" s="65" t="s">
        <v>1061</v>
      </c>
      <c r="F535" s="65" t="s">
        <v>1060</v>
      </c>
      <c r="G535" s="65" t="s">
        <v>928</v>
      </c>
      <c r="H535" s="65" t="s">
        <v>2701</v>
      </c>
      <c r="I535" s="134">
        <v>2017</v>
      </c>
      <c r="J535" s="66"/>
      <c r="K535" s="66"/>
      <c r="L535" s="66"/>
      <c r="M535" s="66" t="s">
        <v>2139</v>
      </c>
      <c r="N535" s="73"/>
    </row>
    <row r="536" spans="1:15" ht="14.25" customHeight="1" x14ac:dyDescent="0.3">
      <c r="A536" s="141">
        <v>506</v>
      </c>
      <c r="B536" s="202"/>
      <c r="C536" s="65" t="s">
        <v>1063</v>
      </c>
      <c r="D536" s="65" t="s">
        <v>1875</v>
      </c>
      <c r="E536" s="65" t="s">
        <v>1061</v>
      </c>
      <c r="F536" s="65" t="s">
        <v>1060</v>
      </c>
      <c r="G536" s="65" t="s">
        <v>932</v>
      </c>
      <c r="H536" s="65" t="s">
        <v>2701</v>
      </c>
      <c r="I536" s="134">
        <v>2017</v>
      </c>
      <c r="J536" s="66"/>
      <c r="K536" s="66"/>
      <c r="L536" s="66"/>
      <c r="M536" s="66" t="s">
        <v>2139</v>
      </c>
      <c r="N536" s="73"/>
    </row>
    <row r="537" spans="1:15" ht="14.25" customHeight="1" x14ac:dyDescent="0.3">
      <c r="A537" s="141">
        <v>507</v>
      </c>
      <c r="B537" s="202"/>
      <c r="C537" s="65" t="s">
        <v>1064</v>
      </c>
      <c r="D537" s="65" t="s">
        <v>1875</v>
      </c>
      <c r="E537" s="65" t="s">
        <v>1061</v>
      </c>
      <c r="F537" s="65" t="s">
        <v>1060</v>
      </c>
      <c r="G537" s="65" t="s">
        <v>930</v>
      </c>
      <c r="H537" s="65" t="s">
        <v>2701</v>
      </c>
      <c r="I537" s="134">
        <v>2017</v>
      </c>
      <c r="J537" s="66"/>
      <c r="K537" s="66"/>
      <c r="L537" s="66"/>
      <c r="M537" s="66" t="s">
        <v>2139</v>
      </c>
      <c r="N537" s="73"/>
    </row>
    <row r="538" spans="1:15" ht="14.25" customHeight="1" x14ac:dyDescent="0.3">
      <c r="A538" s="141">
        <v>508</v>
      </c>
      <c r="B538" s="202"/>
      <c r="C538" s="65" t="s">
        <v>1066</v>
      </c>
      <c r="D538" s="65" t="s">
        <v>1877</v>
      </c>
      <c r="E538" s="65" t="s">
        <v>1061</v>
      </c>
      <c r="F538" s="65" t="s">
        <v>1060</v>
      </c>
      <c r="G538" s="65"/>
      <c r="H538" s="65" t="s">
        <v>2701</v>
      </c>
      <c r="I538" s="134">
        <v>2017</v>
      </c>
      <c r="J538" s="66" t="s">
        <v>2703</v>
      </c>
      <c r="K538" s="66"/>
      <c r="L538" s="66"/>
      <c r="M538" s="66" t="s">
        <v>2139</v>
      </c>
      <c r="N538" s="67" t="s">
        <v>2156</v>
      </c>
    </row>
    <row r="539" spans="1:15" ht="14.25" customHeight="1" x14ac:dyDescent="0.3">
      <c r="A539" s="141">
        <v>509</v>
      </c>
      <c r="B539" s="202"/>
      <c r="C539" s="112" t="s">
        <v>1071</v>
      </c>
      <c r="D539" s="65" t="s">
        <v>1960</v>
      </c>
      <c r="E539" s="65" t="s">
        <v>1061</v>
      </c>
      <c r="F539" s="65" t="s">
        <v>1060</v>
      </c>
      <c r="G539" s="65" t="s">
        <v>934</v>
      </c>
      <c r="H539" s="65" t="s">
        <v>2701</v>
      </c>
      <c r="I539" s="136"/>
      <c r="J539" s="66"/>
      <c r="K539" s="66"/>
      <c r="L539" s="66"/>
      <c r="M539" s="66" t="s">
        <v>2139</v>
      </c>
      <c r="N539" s="67" t="s">
        <v>2165</v>
      </c>
    </row>
    <row r="540" spans="1:15" ht="14.25" customHeight="1" x14ac:dyDescent="0.3">
      <c r="A540" s="141">
        <v>510</v>
      </c>
      <c r="B540" s="202"/>
      <c r="C540" s="112" t="s">
        <v>1072</v>
      </c>
      <c r="D540" s="65" t="s">
        <v>1960</v>
      </c>
      <c r="E540" s="65" t="s">
        <v>1061</v>
      </c>
      <c r="F540" s="65" t="s">
        <v>1060</v>
      </c>
      <c r="G540" s="65"/>
      <c r="H540" s="65" t="s">
        <v>2701</v>
      </c>
      <c r="I540" s="136"/>
      <c r="J540" s="66"/>
      <c r="K540" s="66"/>
      <c r="L540" s="66"/>
      <c r="M540" s="66" t="s">
        <v>2139</v>
      </c>
      <c r="N540" s="67" t="s">
        <v>2158</v>
      </c>
    </row>
    <row r="541" spans="1:15" ht="14.25" customHeight="1" x14ac:dyDescent="0.3">
      <c r="A541" s="141">
        <v>511</v>
      </c>
      <c r="B541" s="202"/>
      <c r="C541" s="112" t="s">
        <v>1073</v>
      </c>
      <c r="D541" s="65" t="s">
        <v>1960</v>
      </c>
      <c r="E541" s="65" t="s">
        <v>1061</v>
      </c>
      <c r="F541" s="65" t="s">
        <v>1060</v>
      </c>
      <c r="G541" s="65"/>
      <c r="H541" s="65" t="s">
        <v>2701</v>
      </c>
      <c r="I541" s="136"/>
      <c r="J541" s="66"/>
      <c r="K541" s="66"/>
      <c r="L541" s="66"/>
      <c r="M541" s="66" t="s">
        <v>2139</v>
      </c>
      <c r="N541" s="67" t="s">
        <v>2216</v>
      </c>
    </row>
    <row r="542" spans="1:15" ht="14.25" customHeight="1" x14ac:dyDescent="0.3">
      <c r="A542" s="141">
        <v>512</v>
      </c>
      <c r="B542" s="203"/>
      <c r="C542" s="112" t="s">
        <v>1074</v>
      </c>
      <c r="D542" s="65" t="s">
        <v>1960</v>
      </c>
      <c r="E542" s="65" t="s">
        <v>1061</v>
      </c>
      <c r="F542" s="65" t="s">
        <v>1060</v>
      </c>
      <c r="G542" s="65"/>
      <c r="H542" s="65" t="s">
        <v>2701</v>
      </c>
      <c r="I542" s="136"/>
      <c r="J542" s="66"/>
      <c r="K542" s="66"/>
      <c r="L542" s="66"/>
      <c r="M542" s="66" t="s">
        <v>2139</v>
      </c>
      <c r="N542" s="67" t="s">
        <v>2158</v>
      </c>
    </row>
    <row r="543" spans="1:15" ht="14.25" customHeight="1" x14ac:dyDescent="0.3">
      <c r="A543" s="74"/>
      <c r="B543" s="74"/>
      <c r="C543" s="133"/>
      <c r="D543" s="73"/>
      <c r="E543" s="73"/>
      <c r="F543" s="73"/>
      <c r="G543" s="73"/>
      <c r="H543" s="73"/>
      <c r="I543" s="73"/>
      <c r="J543" s="73"/>
      <c r="K543" s="73"/>
      <c r="L543" s="73"/>
      <c r="M543" s="73"/>
      <c r="N543" s="73"/>
    </row>
    <row r="544" spans="1:15" ht="14.25" customHeight="1" x14ac:dyDescent="0.3">
      <c r="A544" s="74">
        <v>513</v>
      </c>
      <c r="B544" s="201" t="s">
        <v>2704</v>
      </c>
      <c r="C544" s="133" t="s">
        <v>1078</v>
      </c>
      <c r="D544" s="73" t="s">
        <v>1961</v>
      </c>
      <c r="E544" s="73" t="s">
        <v>2704</v>
      </c>
      <c r="F544" s="73"/>
      <c r="G544" s="73"/>
      <c r="H544" s="73"/>
      <c r="I544" s="73"/>
      <c r="J544" s="73"/>
      <c r="K544" s="73"/>
      <c r="L544" s="73"/>
      <c r="M544" s="73" t="s">
        <v>2139</v>
      </c>
      <c r="N544" s="67" t="s">
        <v>2165</v>
      </c>
    </row>
    <row r="545" spans="1:14" ht="14.25" customHeight="1" x14ac:dyDescent="0.3">
      <c r="A545" s="74">
        <v>514</v>
      </c>
      <c r="B545" s="202"/>
      <c r="C545" s="133" t="s">
        <v>1080</v>
      </c>
      <c r="D545" s="73" t="s">
        <v>1962</v>
      </c>
      <c r="E545" s="73" t="s">
        <v>2704</v>
      </c>
      <c r="F545" s="73"/>
      <c r="G545" s="73"/>
      <c r="H545" s="73"/>
      <c r="I545" s="73"/>
      <c r="J545" s="73"/>
      <c r="K545" s="73"/>
      <c r="L545" s="73"/>
      <c r="M545" s="73" t="s">
        <v>2139</v>
      </c>
      <c r="N545" s="67" t="s">
        <v>2165</v>
      </c>
    </row>
    <row r="546" spans="1:14" ht="14.25" customHeight="1" x14ac:dyDescent="0.3">
      <c r="A546" s="74">
        <v>515</v>
      </c>
      <c r="B546" s="203"/>
      <c r="C546" s="133" t="s">
        <v>1081</v>
      </c>
      <c r="D546" s="73" t="s">
        <v>1962</v>
      </c>
      <c r="E546" s="73" t="s">
        <v>2704</v>
      </c>
      <c r="F546" s="73"/>
      <c r="G546" s="73"/>
      <c r="H546" s="73"/>
      <c r="I546" s="73"/>
      <c r="J546" s="73"/>
      <c r="K546" s="73"/>
      <c r="L546" s="73"/>
      <c r="M546" s="73" t="s">
        <v>2139</v>
      </c>
      <c r="N546" s="67" t="s">
        <v>2165</v>
      </c>
    </row>
    <row r="547" spans="1:14" ht="14.25" customHeight="1" x14ac:dyDescent="0.3">
      <c r="A547" s="74"/>
      <c r="B547" s="74"/>
      <c r="C547" s="133"/>
      <c r="D547" s="73"/>
      <c r="E547" s="73"/>
      <c r="F547" s="73"/>
      <c r="G547" s="73"/>
      <c r="H547" s="73"/>
      <c r="I547" s="73"/>
      <c r="J547" s="73"/>
      <c r="K547" s="73"/>
      <c r="L547" s="73"/>
      <c r="M547" s="73"/>
      <c r="N547" s="73"/>
    </row>
    <row r="548" spans="1:14" ht="14.25" customHeight="1" x14ac:dyDescent="0.3">
      <c r="A548" s="74"/>
      <c r="B548" s="74"/>
      <c r="C548" s="133"/>
      <c r="D548" s="73"/>
      <c r="E548" s="73"/>
      <c r="F548" s="73"/>
      <c r="G548" s="73"/>
      <c r="H548" s="73"/>
      <c r="I548" s="73"/>
      <c r="J548" s="73"/>
      <c r="K548" s="73"/>
      <c r="L548" s="73"/>
      <c r="M548" s="73"/>
      <c r="N548" s="73"/>
    </row>
    <row r="549" spans="1:14" ht="14.25" customHeight="1" x14ac:dyDescent="0.3">
      <c r="A549" s="74"/>
      <c r="B549" s="74"/>
      <c r="C549" s="133"/>
      <c r="D549" s="73"/>
      <c r="E549" s="73"/>
      <c r="F549" s="73"/>
      <c r="G549" s="73"/>
      <c r="H549" s="73"/>
      <c r="I549" s="73"/>
      <c r="J549" s="73"/>
      <c r="K549" s="73"/>
      <c r="L549" s="73"/>
      <c r="M549" s="73"/>
      <c r="N549" s="73"/>
    </row>
    <row r="550" spans="1:14" ht="14.25" customHeight="1" x14ac:dyDescent="0.3">
      <c r="A550" s="74"/>
      <c r="B550" s="74"/>
      <c r="C550" s="133"/>
      <c r="D550" s="73"/>
      <c r="E550" s="73"/>
      <c r="F550" s="73"/>
      <c r="G550" s="73"/>
      <c r="H550" s="73"/>
      <c r="I550" s="73"/>
      <c r="J550" s="73"/>
      <c r="K550" s="73"/>
      <c r="L550" s="73"/>
      <c r="M550" s="73"/>
      <c r="N550" s="73"/>
    </row>
    <row r="551" spans="1:14" ht="14.25" customHeight="1" x14ac:dyDescent="0.3">
      <c r="A551" s="74"/>
      <c r="B551" s="74"/>
      <c r="C551" s="133"/>
      <c r="D551" s="73"/>
      <c r="E551" s="73"/>
      <c r="F551" s="73"/>
      <c r="G551" s="73"/>
      <c r="H551" s="73"/>
      <c r="I551" s="73"/>
      <c r="J551" s="73"/>
      <c r="K551" s="73"/>
      <c r="L551" s="73"/>
      <c r="M551" s="73"/>
      <c r="N551" s="73"/>
    </row>
    <row r="552" spans="1:14" ht="14.25" customHeight="1" x14ac:dyDescent="0.3">
      <c r="A552" s="74"/>
      <c r="B552" s="74"/>
      <c r="C552" s="133"/>
      <c r="D552" s="73"/>
      <c r="E552" s="73"/>
      <c r="F552" s="73"/>
      <c r="G552" s="73"/>
      <c r="H552" s="73"/>
      <c r="I552" s="73"/>
      <c r="J552" s="73"/>
      <c r="K552" s="73"/>
      <c r="L552" s="73"/>
      <c r="M552" s="73"/>
      <c r="N552" s="73"/>
    </row>
    <row r="553" spans="1:14" ht="14.25" customHeight="1" x14ac:dyDescent="0.3">
      <c r="A553" s="74"/>
      <c r="B553" s="74"/>
      <c r="C553" s="133"/>
      <c r="D553" s="73"/>
      <c r="E553" s="73"/>
      <c r="F553" s="73"/>
      <c r="G553" s="73"/>
      <c r="H553" s="73"/>
      <c r="I553" s="73"/>
      <c r="J553" s="73"/>
      <c r="K553" s="73"/>
      <c r="L553" s="73"/>
      <c r="M553" s="73"/>
      <c r="N553" s="73"/>
    </row>
    <row r="554" spans="1:14" ht="14.25" customHeight="1" x14ac:dyDescent="0.3">
      <c r="A554" s="74"/>
      <c r="B554" s="74"/>
      <c r="C554" s="133"/>
      <c r="D554" s="73"/>
      <c r="E554" s="73"/>
      <c r="F554" s="73"/>
      <c r="G554" s="73"/>
      <c r="H554" s="73"/>
      <c r="I554" s="73"/>
      <c r="J554" s="73"/>
      <c r="K554" s="73"/>
      <c r="L554" s="73"/>
      <c r="M554" s="73"/>
      <c r="N554" s="73"/>
    </row>
    <row r="555" spans="1:14" ht="14.25" customHeight="1" x14ac:dyDescent="0.3">
      <c r="A555" s="74"/>
      <c r="B555" s="74"/>
      <c r="C555" s="133"/>
      <c r="D555" s="73"/>
      <c r="E555" s="73"/>
      <c r="F555" s="73"/>
      <c r="G555" s="73"/>
      <c r="H555" s="73"/>
      <c r="I555" s="73"/>
      <c r="J555" s="73"/>
      <c r="K555" s="73"/>
      <c r="L555" s="73"/>
      <c r="M555" s="73"/>
      <c r="N555" s="73"/>
    </row>
    <row r="556" spans="1:14" ht="14.25" customHeight="1" x14ac:dyDescent="0.3">
      <c r="A556" s="74"/>
      <c r="B556" s="74"/>
      <c r="C556" s="133"/>
      <c r="D556" s="73"/>
      <c r="E556" s="73"/>
      <c r="F556" s="73"/>
      <c r="G556" s="73"/>
      <c r="H556" s="73"/>
      <c r="I556" s="73"/>
      <c r="J556" s="73"/>
      <c r="K556" s="73"/>
      <c r="L556" s="73"/>
      <c r="M556" s="73"/>
      <c r="N556" s="73"/>
    </row>
    <row r="557" spans="1:14" ht="14.25" customHeight="1" x14ac:dyDescent="0.3">
      <c r="A557" s="74"/>
      <c r="B557" s="74"/>
      <c r="C557" s="133"/>
      <c r="D557" s="73"/>
      <c r="E557" s="73"/>
      <c r="F557" s="73"/>
      <c r="G557" s="73"/>
      <c r="H557" s="73"/>
      <c r="I557" s="73"/>
      <c r="J557" s="73"/>
      <c r="K557" s="73"/>
      <c r="L557" s="73"/>
      <c r="M557" s="73"/>
      <c r="N557" s="73"/>
    </row>
    <row r="558" spans="1:14" ht="14.25" customHeight="1" x14ac:dyDescent="0.3">
      <c r="A558" s="74"/>
      <c r="B558" s="74"/>
      <c r="C558" s="133"/>
      <c r="D558" s="73"/>
      <c r="E558" s="73"/>
      <c r="F558" s="73"/>
      <c r="G558" s="73"/>
      <c r="H558" s="73"/>
      <c r="I558" s="73"/>
      <c r="J558" s="73"/>
      <c r="K558" s="73"/>
      <c r="L558" s="73"/>
      <c r="M558" s="73"/>
      <c r="N558" s="73"/>
    </row>
    <row r="559" spans="1:14" ht="14.25" customHeight="1" x14ac:dyDescent="0.3">
      <c r="A559" s="74"/>
      <c r="B559" s="74"/>
      <c r="C559" s="133"/>
      <c r="D559" s="73"/>
      <c r="E559" s="73"/>
      <c r="F559" s="73"/>
      <c r="G559" s="73"/>
      <c r="H559" s="73"/>
      <c r="I559" s="73"/>
      <c r="J559" s="73"/>
      <c r="K559" s="73"/>
      <c r="L559" s="73"/>
      <c r="M559" s="73"/>
      <c r="N559" s="73"/>
    </row>
    <row r="560" spans="1:14" ht="14.25" customHeight="1" x14ac:dyDescent="0.3">
      <c r="A560" s="74"/>
      <c r="B560" s="74"/>
      <c r="C560" s="133"/>
      <c r="D560" s="73"/>
      <c r="E560" s="73"/>
      <c r="F560" s="73"/>
      <c r="G560" s="73"/>
      <c r="H560" s="73"/>
      <c r="I560" s="73"/>
      <c r="J560" s="73"/>
      <c r="K560" s="73"/>
      <c r="L560" s="73"/>
      <c r="M560" s="73"/>
      <c r="N560" s="73"/>
    </row>
    <row r="561" spans="1:14" ht="14.25" customHeight="1" x14ac:dyDescent="0.3">
      <c r="A561" s="74"/>
      <c r="B561" s="74"/>
      <c r="C561" s="133"/>
      <c r="D561" s="73"/>
      <c r="E561" s="73"/>
      <c r="F561" s="73"/>
      <c r="G561" s="73"/>
      <c r="H561" s="73"/>
      <c r="I561" s="73"/>
      <c r="J561" s="73"/>
      <c r="K561" s="73"/>
      <c r="L561" s="73"/>
      <c r="M561" s="73"/>
      <c r="N561" s="73"/>
    </row>
    <row r="562" spans="1:14" ht="14.25" customHeight="1" x14ac:dyDescent="0.3">
      <c r="A562" s="74"/>
      <c r="B562" s="74"/>
      <c r="C562" s="133"/>
      <c r="D562" s="73"/>
      <c r="E562" s="73"/>
      <c r="F562" s="73"/>
      <c r="G562" s="73"/>
      <c r="H562" s="73"/>
      <c r="I562" s="73"/>
      <c r="J562" s="73"/>
      <c r="K562" s="73"/>
      <c r="L562" s="73"/>
      <c r="M562" s="73"/>
      <c r="N562" s="73"/>
    </row>
    <row r="563" spans="1:14" ht="14.25" customHeight="1" x14ac:dyDescent="0.3">
      <c r="A563" s="74"/>
      <c r="B563" s="74"/>
      <c r="C563" s="133"/>
      <c r="D563" s="73"/>
      <c r="E563" s="73"/>
      <c r="F563" s="73"/>
      <c r="G563" s="73"/>
      <c r="H563" s="73"/>
      <c r="I563" s="73"/>
      <c r="J563" s="73"/>
      <c r="K563" s="73"/>
      <c r="L563" s="73"/>
      <c r="M563" s="73"/>
      <c r="N563" s="73"/>
    </row>
    <row r="564" spans="1:14" ht="14.25" customHeight="1" x14ac:dyDescent="0.3">
      <c r="A564" s="74"/>
      <c r="B564" s="74"/>
      <c r="C564" s="133"/>
      <c r="D564" s="73"/>
      <c r="E564" s="73"/>
      <c r="F564" s="73"/>
      <c r="G564" s="73"/>
      <c r="H564" s="73"/>
      <c r="I564" s="73"/>
      <c r="J564" s="73"/>
      <c r="K564" s="73"/>
      <c r="L564" s="73"/>
      <c r="M564" s="73"/>
      <c r="N564" s="73"/>
    </row>
    <row r="565" spans="1:14" ht="14.25" customHeight="1" x14ac:dyDescent="0.3">
      <c r="A565" s="74"/>
      <c r="B565" s="74"/>
      <c r="C565" s="133"/>
      <c r="D565" s="73"/>
      <c r="E565" s="73"/>
      <c r="F565" s="73"/>
      <c r="G565" s="73"/>
      <c r="H565" s="73"/>
      <c r="I565" s="73"/>
      <c r="J565" s="73"/>
      <c r="K565" s="73"/>
      <c r="L565" s="73"/>
      <c r="M565" s="73"/>
      <c r="N565" s="73"/>
    </row>
    <row r="566" spans="1:14" ht="14.25" customHeight="1" x14ac:dyDescent="0.3">
      <c r="A566" s="74"/>
      <c r="B566" s="74"/>
      <c r="C566" s="133"/>
      <c r="D566" s="73"/>
      <c r="E566" s="73"/>
      <c r="F566" s="73"/>
      <c r="G566" s="73"/>
      <c r="H566" s="73"/>
      <c r="I566" s="73"/>
      <c r="J566" s="73"/>
      <c r="K566" s="73"/>
      <c r="L566" s="73"/>
      <c r="M566" s="73"/>
      <c r="N566" s="73"/>
    </row>
    <row r="567" spans="1:14" ht="14.25" customHeight="1" x14ac:dyDescent="0.3">
      <c r="A567" s="74"/>
      <c r="B567" s="74"/>
      <c r="C567" s="133"/>
      <c r="D567" s="73"/>
      <c r="E567" s="73"/>
      <c r="F567" s="73"/>
      <c r="G567" s="73"/>
      <c r="H567" s="73"/>
      <c r="I567" s="73"/>
      <c r="J567" s="73"/>
      <c r="K567" s="73"/>
      <c r="L567" s="73"/>
      <c r="M567" s="73"/>
      <c r="N567" s="73"/>
    </row>
    <row r="568" spans="1:14" ht="14.25" customHeight="1" x14ac:dyDescent="0.3">
      <c r="A568" s="74"/>
      <c r="B568" s="74"/>
      <c r="C568" s="133"/>
      <c r="D568" s="73"/>
      <c r="E568" s="73"/>
      <c r="F568" s="73"/>
      <c r="G568" s="73"/>
      <c r="H568" s="73"/>
      <c r="I568" s="73"/>
      <c r="J568" s="73"/>
      <c r="K568" s="73"/>
      <c r="L568" s="73"/>
      <c r="M568" s="73"/>
      <c r="N568" s="73"/>
    </row>
    <row r="569" spans="1:14" ht="14.25" customHeight="1" x14ac:dyDescent="0.3">
      <c r="A569" s="74"/>
      <c r="B569" s="74"/>
      <c r="C569" s="133"/>
      <c r="D569" s="73"/>
      <c r="E569" s="73"/>
      <c r="F569" s="73"/>
      <c r="G569" s="73"/>
      <c r="H569" s="73"/>
      <c r="I569" s="73"/>
      <c r="J569" s="73"/>
      <c r="K569" s="73"/>
      <c r="L569" s="73"/>
      <c r="M569" s="73"/>
      <c r="N569" s="73"/>
    </row>
    <row r="570" spans="1:14" ht="14.25" customHeight="1" x14ac:dyDescent="0.3">
      <c r="A570" s="74"/>
      <c r="B570" s="74"/>
      <c r="C570" s="133"/>
      <c r="D570" s="73"/>
      <c r="E570" s="73"/>
      <c r="F570" s="73"/>
      <c r="G570" s="73"/>
      <c r="H570" s="73"/>
      <c r="I570" s="73"/>
      <c r="J570" s="73"/>
      <c r="K570" s="73"/>
      <c r="L570" s="73"/>
      <c r="M570" s="73"/>
      <c r="N570" s="73"/>
    </row>
    <row r="571" spans="1:14" ht="14.25" customHeight="1" x14ac:dyDescent="0.3">
      <c r="A571" s="74"/>
      <c r="B571" s="74"/>
      <c r="C571" s="133"/>
      <c r="D571" s="73"/>
      <c r="E571" s="73"/>
      <c r="F571" s="73"/>
      <c r="G571" s="73"/>
      <c r="H571" s="73"/>
      <c r="I571" s="73"/>
      <c r="J571" s="73"/>
      <c r="K571" s="73"/>
      <c r="L571" s="73"/>
      <c r="M571" s="73"/>
      <c r="N571" s="73"/>
    </row>
    <row r="572" spans="1:14" ht="14.25" customHeight="1" x14ac:dyDescent="0.3">
      <c r="A572" s="74"/>
      <c r="B572" s="74"/>
      <c r="C572" s="133"/>
      <c r="D572" s="73"/>
      <c r="E572" s="73"/>
      <c r="F572" s="73"/>
      <c r="G572" s="73"/>
      <c r="H572" s="73"/>
      <c r="I572" s="73"/>
      <c r="J572" s="73"/>
      <c r="K572" s="73"/>
      <c r="L572" s="73"/>
      <c r="M572" s="73"/>
      <c r="N572" s="73"/>
    </row>
    <row r="573" spans="1:14" ht="14.25" customHeight="1" x14ac:dyDescent="0.3">
      <c r="A573" s="74"/>
      <c r="B573" s="74"/>
      <c r="C573" s="133"/>
      <c r="D573" s="73"/>
      <c r="E573" s="73"/>
      <c r="F573" s="73"/>
      <c r="G573" s="73"/>
      <c r="H573" s="73"/>
      <c r="I573" s="73"/>
      <c r="J573" s="73"/>
      <c r="K573" s="73"/>
      <c r="L573" s="73"/>
      <c r="M573" s="73"/>
      <c r="N573" s="73"/>
    </row>
    <row r="574" spans="1:14" ht="14.25" customHeight="1" x14ac:dyDescent="0.3">
      <c r="A574" s="74"/>
      <c r="B574" s="74"/>
      <c r="C574" s="133"/>
      <c r="D574" s="73"/>
      <c r="E574" s="73"/>
      <c r="F574" s="73"/>
      <c r="G574" s="73"/>
      <c r="H574" s="73"/>
      <c r="I574" s="73"/>
      <c r="J574" s="73"/>
      <c r="K574" s="73"/>
      <c r="L574" s="73"/>
      <c r="M574" s="73"/>
      <c r="N574" s="73"/>
    </row>
    <row r="575" spans="1:14" ht="14.25" customHeight="1" x14ac:dyDescent="0.3">
      <c r="A575" s="74"/>
      <c r="B575" s="74"/>
      <c r="C575" s="133"/>
      <c r="D575" s="73"/>
      <c r="E575" s="73"/>
      <c r="F575" s="73"/>
      <c r="G575" s="73"/>
      <c r="H575" s="73"/>
      <c r="I575" s="73"/>
      <c r="J575" s="73"/>
      <c r="K575" s="73"/>
      <c r="L575" s="73"/>
      <c r="M575" s="73"/>
      <c r="N575" s="73"/>
    </row>
    <row r="576" spans="1:14" ht="14.25" customHeight="1" x14ac:dyDescent="0.3">
      <c r="A576" s="74"/>
      <c r="B576" s="74"/>
      <c r="C576" s="133"/>
      <c r="D576" s="73"/>
      <c r="E576" s="73"/>
      <c r="F576" s="73"/>
      <c r="G576" s="73"/>
      <c r="H576" s="73"/>
      <c r="I576" s="73"/>
      <c r="J576" s="73"/>
      <c r="K576" s="73"/>
      <c r="L576" s="73"/>
      <c r="M576" s="73"/>
      <c r="N576" s="73"/>
    </row>
    <row r="577" spans="1:14" ht="14.25" customHeight="1" x14ac:dyDescent="0.3">
      <c r="A577" s="74"/>
      <c r="B577" s="74"/>
      <c r="C577" s="133"/>
      <c r="D577" s="73"/>
      <c r="E577" s="73"/>
      <c r="F577" s="73"/>
      <c r="G577" s="73"/>
      <c r="H577" s="73"/>
      <c r="I577" s="73"/>
      <c r="J577" s="73"/>
      <c r="K577" s="73"/>
      <c r="L577" s="73"/>
      <c r="M577" s="73"/>
      <c r="N577" s="73"/>
    </row>
    <row r="578" spans="1:14" ht="14.25" customHeight="1" x14ac:dyDescent="0.3">
      <c r="A578" s="74"/>
      <c r="B578" s="74"/>
      <c r="C578" s="133"/>
      <c r="D578" s="73"/>
      <c r="E578" s="73"/>
      <c r="F578" s="73"/>
      <c r="G578" s="73"/>
      <c r="H578" s="73"/>
      <c r="I578" s="73"/>
      <c r="J578" s="73"/>
      <c r="K578" s="73"/>
      <c r="L578" s="73"/>
      <c r="M578" s="73"/>
      <c r="N578" s="73"/>
    </row>
    <row r="579" spans="1:14" ht="14.25" customHeight="1" x14ac:dyDescent="0.3">
      <c r="A579" s="74"/>
      <c r="B579" s="74"/>
      <c r="C579" s="133"/>
      <c r="D579" s="73"/>
      <c r="E579" s="73"/>
      <c r="F579" s="73"/>
      <c r="G579" s="73"/>
      <c r="H579" s="73"/>
      <c r="I579" s="73"/>
      <c r="J579" s="73"/>
      <c r="K579" s="73"/>
      <c r="L579" s="73"/>
      <c r="M579" s="73"/>
      <c r="N579" s="73"/>
    </row>
    <row r="580" spans="1:14" ht="14.25" customHeight="1" x14ac:dyDescent="0.3">
      <c r="A580" s="74"/>
      <c r="B580" s="74"/>
      <c r="C580" s="133"/>
      <c r="D580" s="73"/>
      <c r="E580" s="73"/>
      <c r="F580" s="73"/>
      <c r="G580" s="73"/>
      <c r="H580" s="73"/>
      <c r="I580" s="73"/>
      <c r="J580" s="73"/>
      <c r="K580" s="73"/>
      <c r="L580" s="73"/>
      <c r="M580" s="73"/>
      <c r="N580" s="73"/>
    </row>
    <row r="581" spans="1:14" ht="14.25" customHeight="1" x14ac:dyDescent="0.3">
      <c r="A581" s="74"/>
      <c r="B581" s="74"/>
      <c r="C581" s="133"/>
      <c r="D581" s="73"/>
      <c r="E581" s="73"/>
      <c r="F581" s="73"/>
      <c r="G581" s="73"/>
      <c r="H581" s="73"/>
      <c r="I581" s="73"/>
      <c r="J581" s="73"/>
      <c r="K581" s="73"/>
      <c r="L581" s="73"/>
      <c r="M581" s="73"/>
      <c r="N581" s="73"/>
    </row>
    <row r="582" spans="1:14" ht="14.25" customHeight="1" x14ac:dyDescent="0.3">
      <c r="A582" s="74"/>
      <c r="B582" s="74"/>
      <c r="C582" s="133"/>
      <c r="D582" s="73"/>
      <c r="E582" s="73"/>
      <c r="F582" s="73"/>
      <c r="G582" s="73"/>
      <c r="H582" s="73"/>
      <c r="I582" s="73"/>
      <c r="J582" s="73"/>
      <c r="K582" s="73"/>
      <c r="L582" s="73"/>
      <c r="M582" s="73"/>
      <c r="N582" s="73"/>
    </row>
    <row r="583" spans="1:14" ht="14.25" customHeight="1" x14ac:dyDescent="0.3">
      <c r="A583" s="74"/>
      <c r="B583" s="74"/>
      <c r="C583" s="133"/>
      <c r="D583" s="73"/>
      <c r="E583" s="73"/>
      <c r="F583" s="73"/>
      <c r="G583" s="73"/>
      <c r="H583" s="73"/>
      <c r="I583" s="73"/>
      <c r="J583" s="73"/>
      <c r="K583" s="73"/>
      <c r="L583" s="73"/>
      <c r="M583" s="73"/>
      <c r="N583" s="73"/>
    </row>
    <row r="584" spans="1:14" ht="14.25" customHeight="1" x14ac:dyDescent="0.3">
      <c r="A584" s="74"/>
      <c r="B584" s="74"/>
      <c r="C584" s="133"/>
      <c r="D584" s="73"/>
      <c r="E584" s="73"/>
      <c r="F584" s="73"/>
      <c r="G584" s="73"/>
      <c r="H584" s="73"/>
      <c r="I584" s="73"/>
      <c r="J584" s="73"/>
      <c r="K584" s="73"/>
      <c r="L584" s="73"/>
      <c r="M584" s="73"/>
      <c r="N584" s="73"/>
    </row>
    <row r="585" spans="1:14" ht="14.25" customHeight="1" x14ac:dyDescent="0.3">
      <c r="A585" s="74"/>
      <c r="B585" s="74"/>
      <c r="C585" s="133"/>
      <c r="D585" s="73"/>
      <c r="E585" s="73"/>
      <c r="F585" s="73"/>
      <c r="G585" s="73"/>
      <c r="H585" s="73"/>
      <c r="I585" s="73"/>
      <c r="J585" s="73"/>
      <c r="K585" s="73"/>
      <c r="L585" s="73"/>
      <c r="M585" s="73"/>
      <c r="N585" s="73"/>
    </row>
    <row r="586" spans="1:14" ht="14.25" customHeight="1" x14ac:dyDescent="0.3">
      <c r="A586" s="74"/>
      <c r="B586" s="74"/>
      <c r="C586" s="133"/>
      <c r="D586" s="73"/>
      <c r="E586" s="73"/>
      <c r="F586" s="73"/>
      <c r="G586" s="73"/>
      <c r="H586" s="73"/>
      <c r="I586" s="73"/>
      <c r="J586" s="73"/>
      <c r="K586" s="73"/>
      <c r="L586" s="73"/>
      <c r="M586" s="73"/>
      <c r="N586" s="73"/>
    </row>
    <row r="587" spans="1:14" ht="14.25" customHeight="1" x14ac:dyDescent="0.3">
      <c r="A587" s="74"/>
      <c r="B587" s="74"/>
      <c r="C587" s="133"/>
      <c r="D587" s="73"/>
      <c r="E587" s="73"/>
      <c r="F587" s="73"/>
      <c r="G587" s="73"/>
      <c r="H587" s="73"/>
      <c r="I587" s="73"/>
      <c r="J587" s="73"/>
      <c r="K587" s="73"/>
      <c r="L587" s="73"/>
      <c r="M587" s="73"/>
      <c r="N587" s="73"/>
    </row>
    <row r="588" spans="1:14" ht="14.25" customHeight="1" x14ac:dyDescent="0.3">
      <c r="A588" s="74"/>
      <c r="B588" s="74"/>
      <c r="C588" s="133"/>
      <c r="D588" s="73"/>
      <c r="E588" s="73"/>
      <c r="F588" s="73"/>
      <c r="G588" s="73"/>
      <c r="H588" s="73"/>
      <c r="I588" s="73"/>
      <c r="J588" s="73"/>
      <c r="K588" s="73"/>
      <c r="L588" s="73"/>
      <c r="M588" s="73"/>
      <c r="N588" s="73"/>
    </row>
    <row r="589" spans="1:14" ht="14.25" customHeight="1" x14ac:dyDescent="0.3">
      <c r="A589" s="74"/>
      <c r="B589" s="74"/>
      <c r="C589" s="133"/>
      <c r="D589" s="73"/>
      <c r="E589" s="73"/>
      <c r="F589" s="73"/>
      <c r="G589" s="73"/>
      <c r="H589" s="73"/>
      <c r="I589" s="73"/>
      <c r="J589" s="73"/>
      <c r="K589" s="73"/>
      <c r="L589" s="73"/>
      <c r="M589" s="73"/>
      <c r="N589" s="73"/>
    </row>
    <row r="590" spans="1:14" ht="14.25" customHeight="1" x14ac:dyDescent="0.3">
      <c r="A590" s="74"/>
      <c r="B590" s="74"/>
      <c r="C590" s="133"/>
      <c r="D590" s="73"/>
      <c r="E590" s="73"/>
      <c r="F590" s="73"/>
      <c r="G590" s="73"/>
      <c r="H590" s="73"/>
      <c r="I590" s="73"/>
      <c r="J590" s="73"/>
      <c r="K590" s="73"/>
      <c r="L590" s="73"/>
      <c r="M590" s="73"/>
      <c r="N590" s="73"/>
    </row>
    <row r="591" spans="1:14" ht="14.25" customHeight="1" x14ac:dyDescent="0.3">
      <c r="A591" s="74"/>
      <c r="B591" s="74"/>
      <c r="C591" s="133"/>
      <c r="D591" s="73"/>
      <c r="E591" s="73"/>
      <c r="F591" s="73"/>
      <c r="G591" s="73"/>
      <c r="H591" s="73"/>
      <c r="I591" s="73"/>
      <c r="J591" s="73"/>
      <c r="K591" s="73"/>
      <c r="L591" s="73"/>
      <c r="M591" s="73"/>
      <c r="N591" s="73"/>
    </row>
    <row r="592" spans="1:14" ht="14.25" customHeight="1" x14ac:dyDescent="0.3">
      <c r="A592" s="74"/>
      <c r="B592" s="74"/>
      <c r="C592" s="133"/>
      <c r="D592" s="73"/>
      <c r="E592" s="73"/>
      <c r="F592" s="73"/>
      <c r="G592" s="73"/>
      <c r="H592" s="73"/>
      <c r="I592" s="73"/>
      <c r="J592" s="73"/>
      <c r="K592" s="73"/>
      <c r="L592" s="73"/>
      <c r="M592" s="73"/>
      <c r="N592" s="73"/>
    </row>
    <row r="593" spans="1:14" ht="14.25" customHeight="1" x14ac:dyDescent="0.3">
      <c r="A593" s="74"/>
      <c r="B593" s="74"/>
      <c r="C593" s="133"/>
      <c r="D593" s="73"/>
      <c r="E593" s="73"/>
      <c r="F593" s="73"/>
      <c r="G593" s="73"/>
      <c r="H593" s="73"/>
      <c r="I593" s="73"/>
      <c r="J593" s="73"/>
      <c r="K593" s="73"/>
      <c r="L593" s="73"/>
      <c r="M593" s="73"/>
      <c r="N593" s="73"/>
    </row>
    <row r="594" spans="1:14" ht="14.25" customHeight="1" x14ac:dyDescent="0.3">
      <c r="A594" s="74"/>
      <c r="B594" s="74"/>
      <c r="C594" s="133"/>
      <c r="D594" s="73"/>
      <c r="E594" s="73"/>
      <c r="F594" s="73"/>
      <c r="G594" s="73"/>
      <c r="H594" s="73"/>
      <c r="I594" s="73"/>
      <c r="J594" s="73"/>
      <c r="K594" s="73"/>
      <c r="L594" s="73"/>
      <c r="M594" s="73"/>
      <c r="N594" s="73"/>
    </row>
    <row r="595" spans="1:14" ht="14.25" customHeight="1" x14ac:dyDescent="0.3">
      <c r="A595" s="74"/>
      <c r="B595" s="74"/>
      <c r="C595" s="133"/>
      <c r="D595" s="73"/>
      <c r="E595" s="73"/>
      <c r="F595" s="73"/>
      <c r="G595" s="73"/>
      <c r="H595" s="73"/>
      <c r="I595" s="73"/>
      <c r="J595" s="73"/>
      <c r="K595" s="73"/>
      <c r="L595" s="73"/>
      <c r="M595" s="73"/>
      <c r="N595" s="73"/>
    </row>
    <row r="596" spans="1:14" ht="14.25" customHeight="1" x14ac:dyDescent="0.3">
      <c r="A596" s="74"/>
      <c r="B596" s="74"/>
      <c r="C596" s="133"/>
      <c r="D596" s="73"/>
      <c r="E596" s="73"/>
      <c r="F596" s="73"/>
      <c r="G596" s="73"/>
      <c r="H596" s="73"/>
      <c r="I596" s="73"/>
      <c r="J596" s="73"/>
      <c r="K596" s="73"/>
      <c r="L596" s="73"/>
      <c r="M596" s="73"/>
      <c r="N596" s="73"/>
    </row>
    <row r="597" spans="1:14" ht="14.25" customHeight="1" x14ac:dyDescent="0.3">
      <c r="A597" s="74"/>
      <c r="B597" s="74"/>
      <c r="C597" s="133"/>
      <c r="D597" s="73"/>
      <c r="E597" s="73"/>
      <c r="F597" s="73"/>
      <c r="G597" s="73"/>
      <c r="H597" s="73"/>
      <c r="I597" s="73"/>
      <c r="J597" s="73"/>
      <c r="K597" s="73"/>
      <c r="L597" s="73"/>
      <c r="M597" s="73"/>
      <c r="N597" s="73"/>
    </row>
    <row r="598" spans="1:14" ht="14.25" customHeight="1" x14ac:dyDescent="0.3">
      <c r="A598" s="74"/>
      <c r="B598" s="74"/>
      <c r="C598" s="133"/>
      <c r="D598" s="73"/>
      <c r="E598" s="73"/>
      <c r="F598" s="73"/>
      <c r="G598" s="73"/>
      <c r="H598" s="73"/>
      <c r="I598" s="73"/>
      <c r="J598" s="73"/>
      <c r="K598" s="73"/>
      <c r="L598" s="73"/>
      <c r="M598" s="73"/>
      <c r="N598" s="73"/>
    </row>
    <row r="599" spans="1:14" ht="14.25" customHeight="1" x14ac:dyDescent="0.3">
      <c r="A599" s="74"/>
      <c r="B599" s="74"/>
      <c r="C599" s="133"/>
      <c r="D599" s="73"/>
      <c r="E599" s="73"/>
      <c r="F599" s="73"/>
      <c r="G599" s="73"/>
      <c r="H599" s="73"/>
      <c r="I599" s="73"/>
      <c r="J599" s="73"/>
      <c r="K599" s="73"/>
      <c r="L599" s="73"/>
      <c r="M599" s="73"/>
      <c r="N599" s="73"/>
    </row>
    <row r="600" spans="1:14" ht="14.25" customHeight="1" x14ac:dyDescent="0.3">
      <c r="A600" s="74"/>
      <c r="B600" s="74"/>
      <c r="C600" s="133"/>
      <c r="D600" s="73"/>
      <c r="E600" s="73"/>
      <c r="F600" s="73"/>
      <c r="G600" s="73"/>
      <c r="H600" s="73"/>
      <c r="I600" s="73"/>
      <c r="J600" s="73"/>
      <c r="K600" s="73"/>
      <c r="L600" s="73"/>
      <c r="M600" s="73"/>
      <c r="N600" s="73"/>
    </row>
    <row r="601" spans="1:14" ht="14.25" customHeight="1" x14ac:dyDescent="0.3">
      <c r="A601" s="74"/>
      <c r="B601" s="74"/>
      <c r="C601" s="133"/>
      <c r="D601" s="73"/>
      <c r="E601" s="73"/>
      <c r="F601" s="73"/>
      <c r="G601" s="73"/>
      <c r="H601" s="73"/>
      <c r="I601" s="73"/>
      <c r="J601" s="73"/>
      <c r="K601" s="73"/>
      <c r="L601" s="73"/>
      <c r="M601" s="73"/>
      <c r="N601" s="73"/>
    </row>
    <row r="602" spans="1:14" ht="14.25" customHeight="1" x14ac:dyDescent="0.3">
      <c r="A602" s="74"/>
      <c r="B602" s="74"/>
      <c r="C602" s="133"/>
      <c r="D602" s="73"/>
      <c r="E602" s="73"/>
      <c r="F602" s="73"/>
      <c r="G602" s="73"/>
      <c r="H602" s="73"/>
      <c r="I602" s="73"/>
      <c r="J602" s="73"/>
      <c r="K602" s="73"/>
      <c r="L602" s="73"/>
      <c r="M602" s="73"/>
      <c r="N602" s="73"/>
    </row>
    <row r="603" spans="1:14" ht="14.25" customHeight="1" x14ac:dyDescent="0.3">
      <c r="A603" s="74"/>
      <c r="B603" s="74"/>
      <c r="C603" s="133"/>
      <c r="D603" s="73"/>
      <c r="E603" s="73"/>
      <c r="F603" s="73"/>
      <c r="G603" s="73"/>
      <c r="H603" s="73"/>
      <c r="I603" s="73"/>
      <c r="J603" s="73"/>
      <c r="K603" s="73"/>
      <c r="L603" s="73"/>
      <c r="M603" s="73"/>
      <c r="N603" s="73"/>
    </row>
    <row r="604" spans="1:14" ht="14.25" customHeight="1" x14ac:dyDescent="0.3">
      <c r="A604" s="74"/>
      <c r="B604" s="74"/>
      <c r="C604" s="133"/>
      <c r="D604" s="73"/>
      <c r="E604" s="73"/>
      <c r="F604" s="73"/>
      <c r="G604" s="73"/>
      <c r="H604" s="73"/>
      <c r="I604" s="73"/>
      <c r="J604" s="73"/>
      <c r="K604" s="73"/>
      <c r="L604" s="73"/>
      <c r="M604" s="73"/>
      <c r="N604" s="73"/>
    </row>
    <row r="605" spans="1:14" ht="14.25" customHeight="1" x14ac:dyDescent="0.3">
      <c r="A605" s="74"/>
      <c r="B605" s="74"/>
      <c r="C605" s="133"/>
      <c r="D605" s="73"/>
      <c r="E605" s="73"/>
      <c r="F605" s="73"/>
      <c r="G605" s="73"/>
      <c r="H605" s="73"/>
      <c r="I605" s="73"/>
      <c r="J605" s="73"/>
      <c r="K605" s="73"/>
      <c r="L605" s="73"/>
      <c r="M605" s="73"/>
      <c r="N605" s="73"/>
    </row>
    <row r="606" spans="1:14" ht="14.25" customHeight="1" x14ac:dyDescent="0.3">
      <c r="A606" s="74"/>
      <c r="B606" s="74"/>
      <c r="C606" s="133"/>
      <c r="D606" s="73"/>
      <c r="E606" s="73"/>
      <c r="F606" s="73"/>
      <c r="G606" s="73"/>
      <c r="H606" s="73"/>
      <c r="I606" s="73"/>
      <c r="J606" s="73"/>
      <c r="K606" s="73"/>
      <c r="L606" s="73"/>
      <c r="M606" s="73"/>
      <c r="N606" s="73"/>
    </row>
    <row r="607" spans="1:14" ht="14.25" customHeight="1" x14ac:dyDescent="0.3">
      <c r="A607" s="74"/>
      <c r="B607" s="74"/>
      <c r="C607" s="133"/>
      <c r="D607" s="73"/>
      <c r="E607" s="73"/>
      <c r="F607" s="73"/>
      <c r="G607" s="73"/>
      <c r="H607" s="73"/>
      <c r="I607" s="73"/>
      <c r="J607" s="73"/>
      <c r="K607" s="73"/>
      <c r="L607" s="73"/>
      <c r="M607" s="73"/>
      <c r="N607" s="73"/>
    </row>
    <row r="608" spans="1:14" ht="14.25" customHeight="1" x14ac:dyDescent="0.3">
      <c r="A608" s="74"/>
      <c r="B608" s="74"/>
      <c r="C608" s="133"/>
      <c r="D608" s="73"/>
      <c r="E608" s="73"/>
      <c r="F608" s="73"/>
      <c r="G608" s="73"/>
      <c r="H608" s="73"/>
      <c r="I608" s="73"/>
      <c r="J608" s="73"/>
      <c r="K608" s="73"/>
      <c r="L608" s="73"/>
      <c r="M608" s="73"/>
      <c r="N608" s="73"/>
    </row>
    <row r="609" spans="1:14" ht="14.25" customHeight="1" x14ac:dyDescent="0.3">
      <c r="A609" s="74"/>
      <c r="B609" s="74"/>
      <c r="C609" s="133"/>
      <c r="D609" s="73"/>
      <c r="E609" s="73"/>
      <c r="F609" s="73"/>
      <c r="G609" s="73"/>
      <c r="H609" s="73"/>
      <c r="I609" s="73"/>
      <c r="J609" s="73"/>
      <c r="K609" s="73"/>
      <c r="L609" s="73"/>
      <c r="M609" s="73"/>
      <c r="N609" s="73"/>
    </row>
    <row r="610" spans="1:14" ht="14.25" customHeight="1" x14ac:dyDescent="0.3">
      <c r="A610" s="74"/>
      <c r="B610" s="74"/>
      <c r="C610" s="133"/>
      <c r="D610" s="73"/>
      <c r="E610" s="73"/>
      <c r="F610" s="73"/>
      <c r="G610" s="73"/>
      <c r="H610" s="73"/>
      <c r="I610" s="73"/>
      <c r="J610" s="73"/>
      <c r="K610" s="73"/>
      <c r="L610" s="73"/>
      <c r="M610" s="73"/>
      <c r="N610" s="73"/>
    </row>
    <row r="611" spans="1:14" ht="14.25" customHeight="1" x14ac:dyDescent="0.3">
      <c r="A611" s="74"/>
      <c r="B611" s="74"/>
      <c r="C611" s="133"/>
      <c r="D611" s="73"/>
      <c r="E611" s="73"/>
      <c r="F611" s="73"/>
      <c r="G611" s="73"/>
      <c r="H611" s="73"/>
      <c r="I611" s="73"/>
      <c r="J611" s="73"/>
      <c r="K611" s="73"/>
      <c r="L611" s="73"/>
      <c r="M611" s="73"/>
      <c r="N611" s="73"/>
    </row>
    <row r="612" spans="1:14" ht="14.25" customHeight="1" x14ac:dyDescent="0.3">
      <c r="A612" s="74"/>
      <c r="B612" s="74"/>
      <c r="C612" s="133"/>
      <c r="D612" s="73"/>
      <c r="E612" s="73"/>
      <c r="F612" s="73"/>
      <c r="G612" s="73"/>
      <c r="H612" s="73"/>
      <c r="I612" s="73"/>
      <c r="J612" s="73"/>
      <c r="K612" s="73"/>
      <c r="L612" s="73"/>
      <c r="M612" s="73"/>
      <c r="N612" s="73"/>
    </row>
    <row r="613" spans="1:14" ht="14.25" customHeight="1" x14ac:dyDescent="0.3">
      <c r="A613" s="74"/>
      <c r="B613" s="74"/>
      <c r="C613" s="133"/>
      <c r="D613" s="73"/>
      <c r="E613" s="73"/>
      <c r="F613" s="73"/>
      <c r="G613" s="73"/>
      <c r="H613" s="73"/>
      <c r="I613" s="73"/>
      <c r="J613" s="73"/>
      <c r="K613" s="73"/>
      <c r="L613" s="73"/>
      <c r="M613" s="73"/>
      <c r="N613" s="73"/>
    </row>
    <row r="614" spans="1:14" ht="14.25" customHeight="1" x14ac:dyDescent="0.3">
      <c r="A614" s="74"/>
      <c r="B614" s="74"/>
      <c r="C614" s="133"/>
      <c r="D614" s="73"/>
      <c r="E614" s="73"/>
      <c r="F614" s="73"/>
      <c r="G614" s="73"/>
      <c r="H614" s="73"/>
      <c r="I614" s="73"/>
      <c r="J614" s="73"/>
      <c r="K614" s="73"/>
      <c r="L614" s="73"/>
      <c r="M614" s="73"/>
      <c r="N614" s="73"/>
    </row>
    <row r="615" spans="1:14" ht="14.25" customHeight="1" x14ac:dyDescent="0.3">
      <c r="A615" s="74"/>
      <c r="B615" s="74"/>
      <c r="C615" s="133"/>
      <c r="D615" s="73"/>
      <c r="E615" s="73"/>
      <c r="F615" s="73"/>
      <c r="G615" s="73"/>
      <c r="H615" s="73"/>
      <c r="I615" s="73"/>
      <c r="J615" s="73"/>
      <c r="K615" s="73"/>
      <c r="L615" s="73"/>
      <c r="M615" s="73"/>
      <c r="N615" s="73"/>
    </row>
    <row r="616" spans="1:14" ht="14.25" customHeight="1" x14ac:dyDescent="0.3">
      <c r="A616" s="74"/>
      <c r="B616" s="74"/>
      <c r="C616" s="133"/>
      <c r="D616" s="73"/>
      <c r="E616" s="73"/>
      <c r="F616" s="73"/>
      <c r="G616" s="73"/>
      <c r="H616" s="73"/>
      <c r="I616" s="73"/>
      <c r="J616" s="73"/>
      <c r="K616" s="73"/>
      <c r="L616" s="73"/>
      <c r="M616" s="73"/>
      <c r="N616" s="73"/>
    </row>
    <row r="617" spans="1:14" ht="14.25" customHeight="1" x14ac:dyDescent="0.3">
      <c r="A617" s="74"/>
      <c r="B617" s="74"/>
      <c r="C617" s="133"/>
      <c r="D617" s="73"/>
      <c r="E617" s="73"/>
      <c r="F617" s="73"/>
      <c r="G617" s="73"/>
      <c r="H617" s="73"/>
      <c r="I617" s="73"/>
      <c r="J617" s="73"/>
      <c r="K617" s="73"/>
      <c r="L617" s="73"/>
      <c r="M617" s="73"/>
      <c r="N617" s="73"/>
    </row>
    <row r="618" spans="1:14" ht="14.25" customHeight="1" x14ac:dyDescent="0.3">
      <c r="A618" s="74"/>
      <c r="B618" s="74"/>
      <c r="C618" s="133"/>
      <c r="D618" s="73"/>
      <c r="E618" s="73"/>
      <c r="F618" s="73"/>
      <c r="G618" s="73"/>
      <c r="H618" s="73"/>
      <c r="I618" s="73"/>
      <c r="J618" s="73"/>
      <c r="K618" s="73"/>
      <c r="L618" s="73"/>
      <c r="M618" s="73"/>
      <c r="N618" s="73"/>
    </row>
    <row r="619" spans="1:14" ht="14.25" customHeight="1" x14ac:dyDescent="0.3">
      <c r="A619" s="74"/>
      <c r="B619" s="74"/>
      <c r="C619" s="133"/>
      <c r="D619" s="73"/>
      <c r="E619" s="73"/>
      <c r="F619" s="73"/>
      <c r="G619" s="73"/>
      <c r="H619" s="73"/>
      <c r="I619" s="73"/>
      <c r="J619" s="73"/>
      <c r="K619" s="73"/>
      <c r="L619" s="73"/>
      <c r="M619" s="73"/>
      <c r="N619" s="73"/>
    </row>
    <row r="620" spans="1:14" ht="14.25" customHeight="1" x14ac:dyDescent="0.3">
      <c r="A620" s="74"/>
      <c r="B620" s="74"/>
      <c r="C620" s="133"/>
      <c r="D620" s="73"/>
      <c r="E620" s="73"/>
      <c r="F620" s="73"/>
      <c r="G620" s="73"/>
      <c r="H620" s="73"/>
      <c r="I620" s="73"/>
      <c r="J620" s="73"/>
      <c r="K620" s="73"/>
      <c r="L620" s="73"/>
      <c r="M620" s="73"/>
      <c r="N620" s="73"/>
    </row>
    <row r="621" spans="1:14" ht="14.25" customHeight="1" x14ac:dyDescent="0.3">
      <c r="A621" s="74"/>
      <c r="B621" s="74"/>
      <c r="C621" s="133"/>
      <c r="D621" s="73"/>
      <c r="E621" s="73"/>
      <c r="F621" s="73"/>
      <c r="G621" s="73"/>
      <c r="H621" s="73"/>
      <c r="I621" s="73"/>
      <c r="J621" s="73"/>
      <c r="K621" s="73"/>
      <c r="L621" s="73"/>
      <c r="M621" s="73"/>
      <c r="N621" s="73"/>
    </row>
    <row r="622" spans="1:14" ht="14.25" customHeight="1" x14ac:dyDescent="0.3">
      <c r="A622" s="74"/>
      <c r="B622" s="74"/>
      <c r="C622" s="133"/>
      <c r="D622" s="73"/>
      <c r="E622" s="73"/>
      <c r="F622" s="73"/>
      <c r="G622" s="73"/>
      <c r="H622" s="73"/>
      <c r="I622" s="73"/>
      <c r="J622" s="73"/>
      <c r="K622" s="73"/>
      <c r="L622" s="73"/>
      <c r="M622" s="73"/>
      <c r="N622" s="73"/>
    </row>
    <row r="623" spans="1:14" ht="14.25" customHeight="1" x14ac:dyDescent="0.3">
      <c r="A623" s="74"/>
      <c r="B623" s="74"/>
      <c r="C623" s="133"/>
      <c r="D623" s="73"/>
      <c r="E623" s="73"/>
      <c r="F623" s="73"/>
      <c r="G623" s="73"/>
      <c r="H623" s="73"/>
      <c r="I623" s="73"/>
      <c r="J623" s="73"/>
      <c r="K623" s="73"/>
      <c r="L623" s="73"/>
      <c r="M623" s="73"/>
      <c r="N623" s="73"/>
    </row>
    <row r="624" spans="1:14" ht="14.25" customHeight="1" x14ac:dyDescent="0.3">
      <c r="A624" s="74"/>
      <c r="B624" s="74"/>
      <c r="C624" s="133"/>
      <c r="D624" s="73"/>
      <c r="E624" s="73"/>
      <c r="F624" s="73"/>
      <c r="G624" s="73"/>
      <c r="H624" s="73"/>
      <c r="I624" s="73"/>
      <c r="J624" s="73"/>
      <c r="K624" s="73"/>
      <c r="L624" s="73"/>
      <c r="M624" s="73"/>
      <c r="N624" s="73"/>
    </row>
    <row r="625" spans="1:14" ht="14.25" customHeight="1" x14ac:dyDescent="0.3">
      <c r="A625" s="74"/>
      <c r="B625" s="74"/>
      <c r="C625" s="133"/>
      <c r="D625" s="73"/>
      <c r="E625" s="73"/>
      <c r="F625" s="73"/>
      <c r="G625" s="73"/>
      <c r="H625" s="73"/>
      <c r="I625" s="73"/>
      <c r="J625" s="73"/>
      <c r="K625" s="73"/>
      <c r="L625" s="73"/>
      <c r="M625" s="73"/>
      <c r="N625" s="73"/>
    </row>
    <row r="626" spans="1:14" ht="14.25" customHeight="1" x14ac:dyDescent="0.3">
      <c r="A626" s="74"/>
      <c r="B626" s="74"/>
      <c r="C626" s="133"/>
      <c r="D626" s="73"/>
      <c r="E626" s="73"/>
      <c r="F626" s="73"/>
      <c r="G626" s="73"/>
      <c r="H626" s="73"/>
      <c r="I626" s="73"/>
      <c r="J626" s="73"/>
      <c r="K626" s="73"/>
      <c r="L626" s="73"/>
      <c r="M626" s="73"/>
      <c r="N626" s="73"/>
    </row>
    <row r="627" spans="1:14" ht="14.25" customHeight="1" x14ac:dyDescent="0.3">
      <c r="A627" s="74"/>
      <c r="B627" s="74"/>
      <c r="C627" s="133"/>
      <c r="D627" s="73"/>
      <c r="E627" s="73"/>
      <c r="F627" s="73"/>
      <c r="G627" s="73"/>
      <c r="H627" s="73"/>
      <c r="I627" s="73"/>
      <c r="J627" s="73"/>
      <c r="K627" s="73"/>
      <c r="L627" s="73"/>
      <c r="M627" s="73"/>
      <c r="N627" s="73"/>
    </row>
    <row r="628" spans="1:14" ht="14.25" customHeight="1" x14ac:dyDescent="0.3">
      <c r="A628" s="74"/>
      <c r="B628" s="74"/>
      <c r="C628" s="133"/>
      <c r="D628" s="73"/>
      <c r="E628" s="73"/>
      <c r="F628" s="73"/>
      <c r="G628" s="73"/>
      <c r="H628" s="73"/>
      <c r="I628" s="73"/>
      <c r="J628" s="73"/>
      <c r="K628" s="73"/>
      <c r="L628" s="73"/>
      <c r="M628" s="73"/>
      <c r="N628" s="73"/>
    </row>
    <row r="629" spans="1:14" ht="14.25" customHeight="1" x14ac:dyDescent="0.3">
      <c r="A629" s="74"/>
      <c r="B629" s="74"/>
      <c r="C629" s="133"/>
      <c r="D629" s="73"/>
      <c r="E629" s="73"/>
      <c r="F629" s="73"/>
      <c r="G629" s="73"/>
      <c r="H629" s="73"/>
      <c r="I629" s="73"/>
      <c r="J629" s="73"/>
      <c r="K629" s="73"/>
      <c r="L629" s="73"/>
      <c r="M629" s="73"/>
      <c r="N629" s="73"/>
    </row>
    <row r="630" spans="1:14" ht="14.25" customHeight="1" x14ac:dyDescent="0.3">
      <c r="A630" s="74"/>
      <c r="B630" s="74"/>
      <c r="C630" s="133"/>
      <c r="D630" s="73"/>
      <c r="E630" s="73"/>
      <c r="F630" s="73"/>
      <c r="G630" s="73"/>
      <c r="H630" s="73"/>
      <c r="I630" s="73"/>
      <c r="J630" s="73"/>
      <c r="K630" s="73"/>
      <c r="L630" s="73"/>
      <c r="M630" s="73"/>
      <c r="N630" s="73"/>
    </row>
    <row r="631" spans="1:14" ht="14.25" customHeight="1" x14ac:dyDescent="0.3">
      <c r="A631" s="74"/>
      <c r="B631" s="74"/>
      <c r="C631" s="133"/>
      <c r="D631" s="73"/>
      <c r="E631" s="73"/>
      <c r="F631" s="73"/>
      <c r="G631" s="73"/>
      <c r="H631" s="73"/>
      <c r="I631" s="73"/>
      <c r="J631" s="73"/>
      <c r="K631" s="73"/>
      <c r="L631" s="73"/>
      <c r="M631" s="73"/>
      <c r="N631" s="73"/>
    </row>
    <row r="632" spans="1:14" ht="14.25" customHeight="1" x14ac:dyDescent="0.3">
      <c r="A632" s="74"/>
      <c r="B632" s="74"/>
      <c r="C632" s="133"/>
      <c r="D632" s="73"/>
      <c r="E632" s="73"/>
      <c r="F632" s="73"/>
      <c r="G632" s="73"/>
      <c r="H632" s="73"/>
      <c r="I632" s="73"/>
      <c r="J632" s="73"/>
      <c r="K632" s="73"/>
      <c r="L632" s="73"/>
      <c r="M632" s="73"/>
      <c r="N632" s="73"/>
    </row>
    <row r="633" spans="1:14" ht="14.25" customHeight="1" x14ac:dyDescent="0.3">
      <c r="A633" s="74"/>
      <c r="B633" s="74"/>
      <c r="C633" s="133"/>
      <c r="D633" s="73"/>
      <c r="E633" s="73"/>
      <c r="F633" s="73"/>
      <c r="G633" s="73"/>
      <c r="H633" s="73"/>
      <c r="I633" s="73"/>
      <c r="J633" s="73"/>
      <c r="K633" s="73"/>
      <c r="L633" s="73"/>
      <c r="M633" s="73"/>
      <c r="N633" s="73"/>
    </row>
    <row r="634" spans="1:14" ht="14.25" customHeight="1" x14ac:dyDescent="0.3">
      <c r="A634" s="74"/>
      <c r="B634" s="74"/>
      <c r="C634" s="133"/>
      <c r="D634" s="73"/>
      <c r="E634" s="73"/>
      <c r="F634" s="73"/>
      <c r="G634" s="73"/>
      <c r="H634" s="73"/>
      <c r="I634" s="73"/>
      <c r="J634" s="73"/>
      <c r="K634" s="73"/>
      <c r="L634" s="73"/>
      <c r="M634" s="73"/>
      <c r="N634" s="73"/>
    </row>
    <row r="635" spans="1:14" ht="14.25" customHeight="1" x14ac:dyDescent="0.3">
      <c r="A635" s="74"/>
      <c r="B635" s="74"/>
      <c r="C635" s="133"/>
      <c r="D635" s="73"/>
      <c r="E635" s="73"/>
      <c r="F635" s="73"/>
      <c r="G635" s="73"/>
      <c r="H635" s="73"/>
      <c r="I635" s="73"/>
      <c r="J635" s="73"/>
      <c r="K635" s="73"/>
      <c r="L635" s="73"/>
      <c r="M635" s="73"/>
      <c r="N635" s="73"/>
    </row>
    <row r="636" spans="1:14" ht="14.25" customHeight="1" x14ac:dyDescent="0.3">
      <c r="A636" s="74"/>
      <c r="B636" s="74"/>
      <c r="C636" s="133"/>
      <c r="D636" s="73"/>
      <c r="E636" s="73"/>
      <c r="F636" s="73"/>
      <c r="G636" s="73"/>
      <c r="H636" s="73"/>
      <c r="I636" s="73"/>
      <c r="J636" s="73"/>
      <c r="K636" s="73"/>
      <c r="L636" s="73"/>
      <c r="M636" s="73"/>
      <c r="N636" s="73"/>
    </row>
    <row r="637" spans="1:14" ht="14.25" customHeight="1" x14ac:dyDescent="0.3">
      <c r="A637" s="74"/>
      <c r="B637" s="74"/>
      <c r="C637" s="133"/>
      <c r="D637" s="73"/>
      <c r="E637" s="73"/>
      <c r="F637" s="73"/>
      <c r="G637" s="73"/>
      <c r="H637" s="73"/>
      <c r="I637" s="73"/>
      <c r="J637" s="73"/>
      <c r="K637" s="73"/>
      <c r="L637" s="73"/>
      <c r="M637" s="73"/>
      <c r="N637" s="73"/>
    </row>
    <row r="638" spans="1:14" ht="14.25" customHeight="1" x14ac:dyDescent="0.3">
      <c r="A638" s="74"/>
      <c r="B638" s="74"/>
      <c r="C638" s="133"/>
      <c r="D638" s="73"/>
      <c r="E638" s="73"/>
      <c r="F638" s="73"/>
      <c r="G638" s="73"/>
      <c r="H638" s="73"/>
      <c r="I638" s="73"/>
      <c r="J638" s="73"/>
      <c r="K638" s="73"/>
      <c r="L638" s="73"/>
      <c r="M638" s="73"/>
      <c r="N638" s="73"/>
    </row>
    <row r="639" spans="1:14" ht="14.25" customHeight="1" x14ac:dyDescent="0.3">
      <c r="A639" s="74"/>
      <c r="B639" s="74"/>
      <c r="C639" s="133"/>
      <c r="D639" s="73"/>
      <c r="E639" s="73"/>
      <c r="F639" s="73"/>
      <c r="G639" s="73"/>
      <c r="H639" s="73"/>
      <c r="I639" s="73"/>
      <c r="J639" s="73"/>
      <c r="K639" s="73"/>
      <c r="L639" s="73"/>
      <c r="M639" s="73"/>
      <c r="N639" s="73"/>
    </row>
    <row r="640" spans="1:14" ht="14.25" customHeight="1" x14ac:dyDescent="0.3">
      <c r="A640" s="74"/>
      <c r="B640" s="74"/>
      <c r="C640" s="133"/>
      <c r="D640" s="73"/>
      <c r="E640" s="73"/>
      <c r="F640" s="73"/>
      <c r="G640" s="73"/>
      <c r="H640" s="73"/>
      <c r="I640" s="73"/>
      <c r="J640" s="73"/>
      <c r="K640" s="73"/>
      <c r="L640" s="73"/>
      <c r="M640" s="73"/>
      <c r="N640" s="73"/>
    </row>
    <row r="641" spans="1:14" ht="14.25" customHeight="1" x14ac:dyDescent="0.3">
      <c r="A641" s="74"/>
      <c r="B641" s="74"/>
      <c r="C641" s="133"/>
      <c r="D641" s="73"/>
      <c r="E641" s="73"/>
      <c r="F641" s="73"/>
      <c r="G641" s="73"/>
      <c r="H641" s="73"/>
      <c r="I641" s="73"/>
      <c r="J641" s="73"/>
      <c r="K641" s="73"/>
      <c r="L641" s="73"/>
      <c r="M641" s="73"/>
      <c r="N641" s="73"/>
    </row>
    <row r="642" spans="1:14" ht="14.25" customHeight="1" x14ac:dyDescent="0.3">
      <c r="A642" s="74"/>
      <c r="B642" s="74"/>
      <c r="C642" s="133"/>
      <c r="D642" s="73"/>
      <c r="E642" s="73"/>
      <c r="F642" s="73"/>
      <c r="G642" s="73"/>
      <c r="H642" s="73"/>
      <c r="I642" s="73"/>
      <c r="J642" s="73"/>
      <c r="K642" s="73"/>
      <c r="L642" s="73"/>
      <c r="M642" s="73"/>
      <c r="N642" s="73"/>
    </row>
    <row r="643" spans="1:14" ht="14.25" customHeight="1" x14ac:dyDescent="0.3">
      <c r="A643" s="74"/>
      <c r="B643" s="74"/>
      <c r="C643" s="133"/>
      <c r="D643" s="73"/>
      <c r="E643" s="73"/>
      <c r="F643" s="73"/>
      <c r="G643" s="73"/>
      <c r="H643" s="73"/>
      <c r="I643" s="73"/>
      <c r="J643" s="73"/>
      <c r="K643" s="73"/>
      <c r="L643" s="73"/>
      <c r="M643" s="73"/>
      <c r="N643" s="73"/>
    </row>
    <row r="644" spans="1:14" ht="14.25" customHeight="1" x14ac:dyDescent="0.3">
      <c r="A644" s="74"/>
      <c r="B644" s="74"/>
      <c r="C644" s="133"/>
      <c r="D644" s="73"/>
      <c r="E644" s="73"/>
      <c r="F644" s="73"/>
      <c r="G644" s="73"/>
      <c r="H644" s="73"/>
      <c r="I644" s="73"/>
      <c r="J644" s="73"/>
      <c r="K644" s="73"/>
      <c r="L644" s="73"/>
      <c r="M644" s="73"/>
      <c r="N644" s="73"/>
    </row>
    <row r="645" spans="1:14" ht="14.25" customHeight="1" x14ac:dyDescent="0.3">
      <c r="A645" s="74"/>
      <c r="B645" s="74"/>
      <c r="C645" s="133"/>
      <c r="D645" s="73"/>
      <c r="E645" s="73"/>
      <c r="F645" s="73"/>
      <c r="G645" s="73"/>
      <c r="H645" s="73"/>
      <c r="I645" s="73"/>
      <c r="J645" s="73"/>
      <c r="K645" s="73"/>
      <c r="L645" s="73"/>
      <c r="M645" s="73"/>
      <c r="N645" s="73"/>
    </row>
    <row r="646" spans="1:14" ht="14.25" customHeight="1" x14ac:dyDescent="0.3">
      <c r="A646" s="74"/>
      <c r="B646" s="74"/>
      <c r="C646" s="133"/>
      <c r="D646" s="73"/>
      <c r="E646" s="73"/>
      <c r="F646" s="73"/>
      <c r="G646" s="73"/>
      <c r="H646" s="73"/>
      <c r="I646" s="73"/>
      <c r="J646" s="73"/>
      <c r="K646" s="73"/>
      <c r="L646" s="73"/>
      <c r="M646" s="73"/>
      <c r="N646" s="73"/>
    </row>
    <row r="647" spans="1:14" ht="14.25" customHeight="1" x14ac:dyDescent="0.3">
      <c r="A647" s="74"/>
      <c r="B647" s="74"/>
      <c r="C647" s="133"/>
      <c r="D647" s="73"/>
      <c r="E647" s="73"/>
      <c r="F647" s="73"/>
      <c r="G647" s="73"/>
      <c r="H647" s="73"/>
      <c r="I647" s="73"/>
      <c r="J647" s="73"/>
      <c r="K647" s="73"/>
      <c r="L647" s="73"/>
      <c r="M647" s="73"/>
      <c r="N647" s="73"/>
    </row>
    <row r="648" spans="1:14" ht="14.25" customHeight="1" x14ac:dyDescent="0.3">
      <c r="A648" s="74"/>
      <c r="B648" s="74"/>
      <c r="C648" s="133"/>
      <c r="D648" s="73"/>
      <c r="E648" s="73"/>
      <c r="F648" s="73"/>
      <c r="G648" s="73"/>
      <c r="H648" s="73"/>
      <c r="I648" s="73"/>
      <c r="J648" s="73"/>
      <c r="K648" s="73"/>
      <c r="L648" s="73"/>
      <c r="M648" s="73"/>
      <c r="N648" s="73"/>
    </row>
    <row r="649" spans="1:14" ht="14.25" customHeight="1" x14ac:dyDescent="0.3">
      <c r="A649" s="74"/>
      <c r="B649" s="74"/>
      <c r="C649" s="133"/>
      <c r="D649" s="73"/>
      <c r="E649" s="73"/>
      <c r="F649" s="73"/>
      <c r="G649" s="73"/>
      <c r="H649" s="73"/>
      <c r="I649" s="73"/>
      <c r="J649" s="73"/>
      <c r="K649" s="73"/>
      <c r="L649" s="73"/>
      <c r="M649" s="73"/>
      <c r="N649" s="73"/>
    </row>
    <row r="650" spans="1:14" ht="14.25" customHeight="1" x14ac:dyDescent="0.3">
      <c r="A650" s="74"/>
      <c r="B650" s="74"/>
      <c r="C650" s="133"/>
      <c r="D650" s="73"/>
      <c r="E650" s="73"/>
      <c r="F650" s="73"/>
      <c r="G650" s="73"/>
      <c r="H650" s="73"/>
      <c r="I650" s="73"/>
      <c r="J650" s="73"/>
      <c r="K650" s="73"/>
      <c r="L650" s="73"/>
      <c r="M650" s="73"/>
      <c r="N650" s="73"/>
    </row>
    <row r="651" spans="1:14" ht="14.25" customHeight="1" x14ac:dyDescent="0.3">
      <c r="A651" s="74"/>
      <c r="B651" s="74"/>
      <c r="C651" s="133"/>
      <c r="D651" s="73"/>
      <c r="E651" s="73"/>
      <c r="F651" s="73"/>
      <c r="G651" s="73"/>
      <c r="H651" s="73"/>
      <c r="I651" s="73"/>
      <c r="J651" s="73"/>
      <c r="K651" s="73"/>
      <c r="L651" s="73"/>
      <c r="M651" s="73"/>
      <c r="N651" s="73"/>
    </row>
    <row r="652" spans="1:14" ht="14.25" customHeight="1" x14ac:dyDescent="0.3">
      <c r="A652" s="74"/>
      <c r="B652" s="74"/>
      <c r="C652" s="133"/>
      <c r="D652" s="73"/>
      <c r="E652" s="73"/>
      <c r="F652" s="73"/>
      <c r="G652" s="73"/>
      <c r="H652" s="73"/>
      <c r="I652" s="73"/>
      <c r="J652" s="73"/>
      <c r="K652" s="73"/>
      <c r="L652" s="73"/>
      <c r="M652" s="73"/>
      <c r="N652" s="73"/>
    </row>
    <row r="653" spans="1:14" ht="14.25" customHeight="1" x14ac:dyDescent="0.3">
      <c r="A653" s="74"/>
      <c r="B653" s="74"/>
      <c r="C653" s="133"/>
      <c r="D653" s="73"/>
      <c r="E653" s="73"/>
      <c r="F653" s="73"/>
      <c r="G653" s="73"/>
      <c r="H653" s="73"/>
      <c r="I653" s="73"/>
      <c r="J653" s="73"/>
      <c r="K653" s="73"/>
      <c r="L653" s="73"/>
      <c r="M653" s="73"/>
      <c r="N653" s="73"/>
    </row>
    <row r="654" spans="1:14" ht="14.25" customHeight="1" x14ac:dyDescent="0.3">
      <c r="A654" s="74"/>
      <c r="B654" s="74"/>
      <c r="C654" s="133"/>
      <c r="D654" s="73"/>
      <c r="E654" s="73"/>
      <c r="F654" s="73"/>
      <c r="G654" s="73"/>
      <c r="H654" s="73"/>
      <c r="I654" s="73"/>
      <c r="J654" s="73"/>
      <c r="K654" s="73"/>
      <c r="L654" s="73"/>
      <c r="M654" s="73"/>
      <c r="N654" s="73"/>
    </row>
    <row r="655" spans="1:14" ht="14.25" customHeight="1" x14ac:dyDescent="0.3">
      <c r="A655" s="74"/>
      <c r="B655" s="74"/>
      <c r="C655" s="133"/>
      <c r="D655" s="73"/>
      <c r="E655" s="73"/>
      <c r="F655" s="73"/>
      <c r="G655" s="73"/>
      <c r="H655" s="73"/>
      <c r="I655" s="73"/>
      <c r="J655" s="73"/>
      <c r="K655" s="73"/>
      <c r="L655" s="73"/>
      <c r="M655" s="73"/>
      <c r="N655" s="73"/>
    </row>
    <row r="656" spans="1:14" ht="14.25" customHeight="1" x14ac:dyDescent="0.3">
      <c r="A656" s="74"/>
      <c r="B656" s="74"/>
      <c r="C656" s="133"/>
      <c r="D656" s="73"/>
      <c r="E656" s="73"/>
      <c r="F656" s="73"/>
      <c r="G656" s="73"/>
      <c r="H656" s="73"/>
      <c r="I656" s="73"/>
      <c r="J656" s="73"/>
      <c r="K656" s="73"/>
      <c r="L656" s="73"/>
      <c r="M656" s="73"/>
      <c r="N656" s="73"/>
    </row>
    <row r="657" spans="1:14" ht="14.25" customHeight="1" x14ac:dyDescent="0.3">
      <c r="A657" s="74"/>
      <c r="B657" s="74"/>
      <c r="C657" s="133"/>
      <c r="D657" s="73"/>
      <c r="E657" s="73"/>
      <c r="F657" s="73"/>
      <c r="G657" s="73"/>
      <c r="H657" s="73"/>
      <c r="I657" s="73"/>
      <c r="J657" s="73"/>
      <c r="K657" s="73"/>
      <c r="L657" s="73"/>
      <c r="M657" s="73"/>
      <c r="N657" s="73"/>
    </row>
    <row r="658" spans="1:14" ht="14.25" customHeight="1" x14ac:dyDescent="0.3">
      <c r="A658" s="74"/>
      <c r="B658" s="74"/>
      <c r="C658" s="133"/>
      <c r="D658" s="73"/>
      <c r="E658" s="73"/>
      <c r="F658" s="73"/>
      <c r="G658" s="73"/>
      <c r="H658" s="73"/>
      <c r="I658" s="73"/>
      <c r="J658" s="73"/>
      <c r="K658" s="73"/>
      <c r="L658" s="73"/>
      <c r="M658" s="73"/>
      <c r="N658" s="73"/>
    </row>
    <row r="659" spans="1:14" ht="14.25" customHeight="1" x14ac:dyDescent="0.3">
      <c r="A659" s="74"/>
      <c r="B659" s="74"/>
      <c r="C659" s="133"/>
      <c r="D659" s="73"/>
      <c r="E659" s="73"/>
      <c r="F659" s="73"/>
      <c r="G659" s="73"/>
      <c r="H659" s="73"/>
      <c r="I659" s="73"/>
      <c r="J659" s="73"/>
      <c r="K659" s="73"/>
      <c r="L659" s="73"/>
      <c r="M659" s="73"/>
      <c r="N659" s="73"/>
    </row>
    <row r="660" spans="1:14" ht="14.25" customHeight="1" x14ac:dyDescent="0.3">
      <c r="A660" s="74"/>
      <c r="B660" s="74"/>
      <c r="C660" s="133"/>
      <c r="D660" s="73"/>
      <c r="E660" s="73"/>
      <c r="F660" s="73"/>
      <c r="G660" s="73"/>
      <c r="H660" s="73"/>
      <c r="I660" s="73"/>
      <c r="J660" s="73"/>
      <c r="K660" s="73"/>
      <c r="L660" s="73"/>
      <c r="M660" s="73"/>
      <c r="N660" s="73"/>
    </row>
    <row r="661" spans="1:14" ht="14.25" customHeight="1" x14ac:dyDescent="0.3">
      <c r="A661" s="74"/>
      <c r="B661" s="74"/>
      <c r="C661" s="133"/>
      <c r="D661" s="73"/>
      <c r="E661" s="73"/>
      <c r="F661" s="73"/>
      <c r="G661" s="73"/>
      <c r="H661" s="73"/>
      <c r="I661" s="73"/>
      <c r="J661" s="73"/>
      <c r="K661" s="73"/>
      <c r="L661" s="73"/>
      <c r="M661" s="73"/>
      <c r="N661" s="73"/>
    </row>
    <row r="662" spans="1:14" ht="14.25" customHeight="1" x14ac:dyDescent="0.3">
      <c r="A662" s="74"/>
      <c r="B662" s="74"/>
      <c r="C662" s="133"/>
      <c r="D662" s="73"/>
      <c r="E662" s="73"/>
      <c r="F662" s="73"/>
      <c r="G662" s="73"/>
      <c r="H662" s="73"/>
      <c r="I662" s="73"/>
      <c r="J662" s="73"/>
      <c r="K662" s="73"/>
      <c r="L662" s="73"/>
      <c r="M662" s="73"/>
      <c r="N662" s="73"/>
    </row>
    <row r="663" spans="1:14" ht="14.25" customHeight="1" x14ac:dyDescent="0.3">
      <c r="A663" s="74"/>
      <c r="B663" s="74"/>
      <c r="C663" s="133"/>
      <c r="D663" s="73"/>
      <c r="E663" s="73"/>
      <c r="F663" s="73"/>
      <c r="G663" s="73"/>
      <c r="H663" s="73"/>
      <c r="I663" s="73"/>
      <c r="J663" s="73"/>
      <c r="K663" s="73"/>
      <c r="L663" s="73"/>
      <c r="M663" s="73"/>
      <c r="N663" s="73"/>
    </row>
    <row r="664" spans="1:14" ht="14.25" customHeight="1" x14ac:dyDescent="0.3">
      <c r="A664" s="74"/>
      <c r="B664" s="74"/>
      <c r="C664" s="133"/>
      <c r="D664" s="73"/>
      <c r="E664" s="73"/>
      <c r="F664" s="73"/>
      <c r="G664" s="73"/>
      <c r="H664" s="73"/>
      <c r="I664" s="73"/>
      <c r="J664" s="73"/>
      <c r="K664" s="73"/>
      <c r="L664" s="73"/>
      <c r="M664" s="73"/>
      <c r="N664" s="73"/>
    </row>
    <row r="665" spans="1:14" ht="14.25" customHeight="1" x14ac:dyDescent="0.3">
      <c r="A665" s="74"/>
      <c r="B665" s="74"/>
      <c r="C665" s="133"/>
      <c r="D665" s="73"/>
      <c r="E665" s="73"/>
      <c r="F665" s="73"/>
      <c r="G665" s="73"/>
      <c r="H665" s="73"/>
      <c r="I665" s="73"/>
      <c r="J665" s="73"/>
      <c r="K665" s="73"/>
      <c r="L665" s="73"/>
      <c r="M665" s="73"/>
      <c r="N665" s="73"/>
    </row>
    <row r="666" spans="1:14" ht="14.25" customHeight="1" x14ac:dyDescent="0.3">
      <c r="A666" s="74"/>
      <c r="B666" s="74"/>
      <c r="C666" s="133"/>
      <c r="D666" s="73"/>
      <c r="E666" s="73"/>
      <c r="F666" s="73"/>
      <c r="G666" s="73"/>
      <c r="H666" s="73"/>
      <c r="I666" s="73"/>
      <c r="J666" s="73"/>
      <c r="K666" s="73"/>
      <c r="L666" s="73"/>
      <c r="M666" s="73"/>
      <c r="N666" s="73"/>
    </row>
    <row r="667" spans="1:14" ht="14.25" customHeight="1" x14ac:dyDescent="0.3">
      <c r="A667" s="74"/>
      <c r="B667" s="74"/>
      <c r="C667" s="133"/>
      <c r="D667" s="73"/>
      <c r="E667" s="73"/>
      <c r="F667" s="73"/>
      <c r="G667" s="73"/>
      <c r="H667" s="73"/>
      <c r="I667" s="73"/>
      <c r="J667" s="73"/>
      <c r="K667" s="73"/>
      <c r="L667" s="73"/>
      <c r="M667" s="73"/>
      <c r="N667" s="73"/>
    </row>
    <row r="668" spans="1:14" ht="14.25" customHeight="1" x14ac:dyDescent="0.3">
      <c r="A668" s="74"/>
      <c r="B668" s="74"/>
      <c r="C668" s="133"/>
      <c r="D668" s="73"/>
      <c r="E668" s="73"/>
      <c r="F668" s="73"/>
      <c r="G668" s="73"/>
      <c r="H668" s="73"/>
      <c r="I668" s="73"/>
      <c r="J668" s="73"/>
      <c r="K668" s="73"/>
      <c r="L668" s="73"/>
      <c r="M668" s="73"/>
      <c r="N668" s="73"/>
    </row>
    <row r="669" spans="1:14" ht="14.25" customHeight="1" x14ac:dyDescent="0.3">
      <c r="A669" s="74"/>
      <c r="B669" s="74"/>
      <c r="C669" s="133"/>
      <c r="D669" s="73"/>
      <c r="E669" s="73"/>
      <c r="F669" s="73"/>
      <c r="G669" s="73"/>
      <c r="H669" s="73"/>
      <c r="I669" s="73"/>
      <c r="J669" s="73"/>
      <c r="K669" s="73"/>
      <c r="L669" s="73"/>
      <c r="M669" s="73"/>
      <c r="N669" s="73"/>
    </row>
    <row r="670" spans="1:14" ht="14.25" customHeight="1" x14ac:dyDescent="0.3">
      <c r="A670" s="74"/>
      <c r="B670" s="74"/>
      <c r="C670" s="133"/>
      <c r="D670" s="73"/>
      <c r="E670" s="73"/>
      <c r="F670" s="73"/>
      <c r="G670" s="73"/>
      <c r="H670" s="73"/>
      <c r="I670" s="73"/>
      <c r="J670" s="73"/>
      <c r="K670" s="73"/>
      <c r="L670" s="73"/>
      <c r="M670" s="73"/>
      <c r="N670" s="73"/>
    </row>
    <row r="671" spans="1:14" ht="14.25" customHeight="1" x14ac:dyDescent="0.3">
      <c r="A671" s="74"/>
      <c r="B671" s="74"/>
      <c r="C671" s="133"/>
      <c r="D671" s="73"/>
      <c r="E671" s="73"/>
      <c r="F671" s="73"/>
      <c r="G671" s="73"/>
      <c r="H671" s="73"/>
      <c r="I671" s="73"/>
      <c r="J671" s="73"/>
      <c r="K671" s="73"/>
      <c r="L671" s="73"/>
      <c r="M671" s="73"/>
      <c r="N671" s="73"/>
    </row>
    <row r="672" spans="1:14" ht="14.25" customHeight="1" x14ac:dyDescent="0.3">
      <c r="A672" s="74"/>
      <c r="B672" s="74"/>
      <c r="C672" s="133"/>
      <c r="D672" s="73"/>
      <c r="E672" s="73"/>
      <c r="F672" s="73"/>
      <c r="G672" s="73"/>
      <c r="H672" s="73"/>
      <c r="I672" s="73"/>
      <c r="J672" s="73"/>
      <c r="K672" s="73"/>
      <c r="L672" s="73"/>
      <c r="M672" s="73"/>
      <c r="N672" s="73"/>
    </row>
    <row r="673" spans="1:14" ht="14.25" customHeight="1" x14ac:dyDescent="0.3">
      <c r="A673" s="74"/>
      <c r="B673" s="74"/>
      <c r="C673" s="133"/>
      <c r="D673" s="73"/>
      <c r="E673" s="73"/>
      <c r="F673" s="73"/>
      <c r="G673" s="73"/>
      <c r="H673" s="73"/>
      <c r="I673" s="73"/>
      <c r="J673" s="73"/>
      <c r="K673" s="73"/>
      <c r="L673" s="73"/>
      <c r="M673" s="73"/>
      <c r="N673" s="73"/>
    </row>
    <row r="674" spans="1:14" ht="14.25" customHeight="1" x14ac:dyDescent="0.3">
      <c r="A674" s="74"/>
      <c r="B674" s="74"/>
      <c r="C674" s="133"/>
      <c r="D674" s="73"/>
      <c r="E674" s="73"/>
      <c r="F674" s="73"/>
      <c r="G674" s="73"/>
      <c r="H674" s="73"/>
      <c r="I674" s="73"/>
      <c r="J674" s="73"/>
      <c r="K674" s="73"/>
      <c r="L674" s="73"/>
      <c r="M674" s="73"/>
      <c r="N674" s="73"/>
    </row>
    <row r="675" spans="1:14" ht="14.25" customHeight="1" x14ac:dyDescent="0.3">
      <c r="A675" s="74"/>
      <c r="B675" s="74"/>
      <c r="C675" s="133"/>
      <c r="D675" s="73"/>
      <c r="E675" s="73"/>
      <c r="F675" s="73"/>
      <c r="G675" s="73"/>
      <c r="H675" s="73"/>
      <c r="I675" s="73"/>
      <c r="J675" s="73"/>
      <c r="K675" s="73"/>
      <c r="L675" s="73"/>
      <c r="M675" s="73"/>
      <c r="N675" s="73"/>
    </row>
    <row r="676" spans="1:14" ht="14.25" customHeight="1" x14ac:dyDescent="0.3">
      <c r="A676" s="74"/>
      <c r="B676" s="74"/>
      <c r="C676" s="133"/>
      <c r="D676" s="73"/>
      <c r="E676" s="73"/>
      <c r="F676" s="73"/>
      <c r="G676" s="73"/>
      <c r="H676" s="73"/>
      <c r="I676" s="73"/>
      <c r="J676" s="73"/>
      <c r="K676" s="73"/>
      <c r="L676" s="73"/>
      <c r="M676" s="73"/>
      <c r="N676" s="73"/>
    </row>
    <row r="677" spans="1:14" ht="14.25" customHeight="1" x14ac:dyDescent="0.3">
      <c r="A677" s="74"/>
      <c r="B677" s="74"/>
      <c r="C677" s="133"/>
      <c r="D677" s="73"/>
      <c r="E677" s="73"/>
      <c r="F677" s="73"/>
      <c r="G677" s="73"/>
      <c r="H677" s="73"/>
      <c r="I677" s="73"/>
      <c r="J677" s="73"/>
      <c r="K677" s="73"/>
      <c r="L677" s="73"/>
      <c r="M677" s="73"/>
      <c r="N677" s="73"/>
    </row>
    <row r="678" spans="1:14" ht="14.25" customHeight="1" x14ac:dyDescent="0.3">
      <c r="A678" s="74"/>
      <c r="B678" s="74"/>
      <c r="C678" s="133"/>
      <c r="D678" s="73"/>
      <c r="E678" s="73"/>
      <c r="F678" s="73"/>
      <c r="G678" s="73"/>
      <c r="H678" s="73"/>
      <c r="I678" s="73"/>
      <c r="J678" s="73"/>
      <c r="K678" s="73"/>
      <c r="L678" s="73"/>
      <c r="M678" s="73"/>
      <c r="N678" s="73"/>
    </row>
    <row r="679" spans="1:14" ht="14.25" customHeight="1" x14ac:dyDescent="0.3">
      <c r="A679" s="74"/>
      <c r="B679" s="74"/>
      <c r="C679" s="133"/>
      <c r="D679" s="73"/>
      <c r="E679" s="73"/>
      <c r="F679" s="73"/>
      <c r="G679" s="73"/>
      <c r="H679" s="73"/>
      <c r="I679" s="73"/>
      <c r="J679" s="73"/>
      <c r="K679" s="73"/>
      <c r="L679" s="73"/>
      <c r="M679" s="73"/>
      <c r="N679" s="73"/>
    </row>
    <row r="680" spans="1:14" ht="14.25" customHeight="1" x14ac:dyDescent="0.3">
      <c r="A680" s="74"/>
      <c r="B680" s="74"/>
      <c r="C680" s="133"/>
      <c r="D680" s="73"/>
      <c r="E680" s="73"/>
      <c r="F680" s="73"/>
      <c r="G680" s="73"/>
      <c r="H680" s="73"/>
      <c r="I680" s="73"/>
      <c r="J680" s="73"/>
      <c r="K680" s="73"/>
      <c r="L680" s="73"/>
      <c r="M680" s="73"/>
      <c r="N680" s="73"/>
    </row>
    <row r="681" spans="1:14" ht="14.25" customHeight="1" x14ac:dyDescent="0.3">
      <c r="A681" s="74"/>
      <c r="B681" s="74"/>
      <c r="C681" s="133"/>
      <c r="D681" s="73"/>
      <c r="E681" s="73"/>
      <c r="F681" s="73"/>
      <c r="G681" s="73"/>
      <c r="H681" s="73"/>
      <c r="I681" s="73"/>
      <c r="J681" s="73"/>
      <c r="K681" s="73"/>
      <c r="L681" s="73"/>
      <c r="M681" s="73"/>
      <c r="N681" s="73"/>
    </row>
    <row r="682" spans="1:14" ht="14.25" customHeight="1" x14ac:dyDescent="0.3">
      <c r="A682" s="74"/>
      <c r="B682" s="149" t="s">
        <v>2705</v>
      </c>
      <c r="C682" s="133"/>
      <c r="D682" s="73"/>
      <c r="E682" s="73"/>
      <c r="F682" s="73"/>
      <c r="G682" s="73"/>
      <c r="H682" s="73"/>
      <c r="I682" s="73"/>
      <c r="J682" s="73"/>
      <c r="K682" s="73"/>
      <c r="L682" s="73"/>
      <c r="M682" s="73"/>
      <c r="N682" s="73"/>
    </row>
    <row r="683" spans="1:14" ht="14.25" customHeight="1" x14ac:dyDescent="0.3">
      <c r="A683" s="74"/>
      <c r="C683" s="133"/>
      <c r="D683" s="73"/>
      <c r="E683" s="73"/>
      <c r="F683" s="73"/>
      <c r="G683" s="73"/>
      <c r="H683" s="73"/>
      <c r="I683" s="73"/>
      <c r="J683" s="73"/>
      <c r="K683" s="73"/>
      <c r="L683" s="73"/>
      <c r="M683" s="73"/>
      <c r="N683" s="73"/>
    </row>
    <row r="684" spans="1:14" ht="14.25" customHeight="1" x14ac:dyDescent="0.3">
      <c r="A684" s="74"/>
      <c r="C684" s="133"/>
      <c r="D684" s="73"/>
      <c r="E684" s="73"/>
      <c r="F684" s="73"/>
      <c r="G684" s="73"/>
      <c r="H684" s="73"/>
      <c r="I684" s="73"/>
      <c r="J684" s="73"/>
      <c r="K684" s="73"/>
      <c r="L684" s="73"/>
      <c r="M684" s="73"/>
      <c r="N684" s="73"/>
    </row>
    <row r="685" spans="1:14" ht="14.25" customHeight="1" x14ac:dyDescent="0.3">
      <c r="A685" s="74"/>
      <c r="C685" s="133"/>
      <c r="D685" s="73"/>
      <c r="E685" s="73"/>
      <c r="F685" s="73"/>
      <c r="G685" s="73"/>
      <c r="H685" s="73"/>
      <c r="I685" s="73"/>
      <c r="J685" s="73"/>
      <c r="K685" s="73"/>
      <c r="L685" s="73"/>
      <c r="M685" s="73"/>
      <c r="N685" s="73"/>
    </row>
    <row r="686" spans="1:14" ht="14.25" customHeight="1" x14ac:dyDescent="0.3">
      <c r="A686" s="74"/>
      <c r="C686" s="133"/>
      <c r="D686" s="73"/>
      <c r="E686" s="73"/>
      <c r="F686" s="73"/>
      <c r="G686" s="73"/>
      <c r="H686" s="73"/>
      <c r="I686" s="73"/>
      <c r="J686" s="73"/>
      <c r="K686" s="73"/>
      <c r="L686" s="73"/>
      <c r="M686" s="73"/>
      <c r="N686" s="73"/>
    </row>
    <row r="687" spans="1:14" ht="14.25" customHeight="1" x14ac:dyDescent="0.3">
      <c r="A687" s="74"/>
      <c r="C687" s="133"/>
      <c r="D687" s="73"/>
      <c r="E687" s="73"/>
      <c r="F687" s="73"/>
      <c r="G687" s="73"/>
      <c r="H687" s="73"/>
      <c r="I687" s="73"/>
      <c r="J687" s="73"/>
      <c r="K687" s="73"/>
      <c r="L687" s="73"/>
      <c r="M687" s="73"/>
      <c r="N687" s="73"/>
    </row>
    <row r="688" spans="1:14" ht="14.25" customHeight="1" x14ac:dyDescent="0.3">
      <c r="A688" s="74"/>
      <c r="C688" s="133"/>
      <c r="D688" s="73"/>
      <c r="E688" s="73"/>
      <c r="F688" s="73"/>
      <c r="G688" s="73"/>
      <c r="H688" s="73"/>
      <c r="I688" s="73"/>
      <c r="J688" s="73"/>
      <c r="K688" s="73"/>
      <c r="L688" s="73"/>
      <c r="M688" s="73"/>
      <c r="N688" s="73"/>
    </row>
    <row r="689" spans="1:14" ht="14.25" customHeight="1" x14ac:dyDescent="0.3">
      <c r="A689" s="74"/>
      <c r="C689" s="133"/>
      <c r="D689" s="73"/>
      <c r="E689" s="73"/>
      <c r="F689" s="73"/>
      <c r="G689" s="73"/>
      <c r="H689" s="73"/>
      <c r="I689" s="73"/>
      <c r="J689" s="73"/>
      <c r="K689" s="73"/>
      <c r="L689" s="73"/>
      <c r="M689" s="73"/>
      <c r="N689" s="73"/>
    </row>
    <row r="690" spans="1:14" ht="14.25" customHeight="1" x14ac:dyDescent="0.3">
      <c r="A690" s="74"/>
      <c r="C690" s="133"/>
      <c r="D690" s="73"/>
      <c r="E690" s="73"/>
      <c r="F690" s="73"/>
      <c r="G690" s="73"/>
      <c r="H690" s="73"/>
      <c r="I690" s="73"/>
      <c r="J690" s="73"/>
      <c r="K690" s="73"/>
      <c r="L690" s="73"/>
      <c r="M690" s="73"/>
      <c r="N690" s="73"/>
    </row>
    <row r="691" spans="1:14" ht="14.25" customHeight="1" x14ac:dyDescent="0.3">
      <c r="A691" s="74"/>
      <c r="C691" s="133"/>
      <c r="D691" s="73"/>
      <c r="E691" s="73"/>
      <c r="F691" s="73"/>
      <c r="G691" s="73"/>
      <c r="H691" s="73"/>
      <c r="I691" s="73"/>
      <c r="J691" s="73"/>
      <c r="K691" s="73"/>
      <c r="L691" s="73"/>
      <c r="M691" s="73"/>
      <c r="N691" s="73"/>
    </row>
  </sheetData>
  <mergeCells count="30">
    <mergeCell ref="B29:B37"/>
    <mergeCell ref="B153:B162"/>
    <mergeCell ref="B378:B384"/>
    <mergeCell ref="B237:B261"/>
    <mergeCell ref="B267:B277"/>
    <mergeCell ref="B164:B179"/>
    <mergeCell ref="B39:B54"/>
    <mergeCell ref="B228:B232"/>
    <mergeCell ref="B479:B531"/>
    <mergeCell ref="B181:B205"/>
    <mergeCell ref="B219:B223"/>
    <mergeCell ref="B293:B376"/>
    <mergeCell ref="B465:B477"/>
    <mergeCell ref="B438:B456"/>
    <mergeCell ref="B544:B546"/>
    <mergeCell ref="B80:B151"/>
    <mergeCell ref="B458:B463"/>
    <mergeCell ref="I1:K1"/>
    <mergeCell ref="B225:B226"/>
    <mergeCell ref="B56:B58"/>
    <mergeCell ref="B234:B235"/>
    <mergeCell ref="B533:B542"/>
    <mergeCell ref="B279:B291"/>
    <mergeCell ref="B390:B394"/>
    <mergeCell ref="B396:B436"/>
    <mergeCell ref="B386:B388"/>
    <mergeCell ref="B207:B217"/>
    <mergeCell ref="B60:B78"/>
    <mergeCell ref="B263:B265"/>
    <mergeCell ref="B4:B27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74"/>
  <sheetViews>
    <sheetView zoomScaleNormal="100" workbookViewId="0">
      <pane ySplit="4" topLeftCell="A46" activePane="bottomLeft" state="frozen"/>
      <selection pane="bottomLeft" activeCell="C18" sqref="C18"/>
    </sheetView>
  </sheetViews>
  <sheetFormatPr defaultColWidth="8.6640625" defaultRowHeight="14.4" x14ac:dyDescent="0.3"/>
  <cols>
    <col min="1" max="1" width="36" customWidth="1"/>
    <col min="2" max="2" width="14" customWidth="1"/>
    <col min="3" max="3" width="16" customWidth="1"/>
    <col min="4" max="4" width="18" customWidth="1"/>
    <col min="5" max="5" width="20" customWidth="1"/>
    <col min="6" max="6" width="22" customWidth="1"/>
    <col min="7" max="7" width="14" customWidth="1"/>
    <col min="8" max="8" width="16" customWidth="1"/>
    <col min="9" max="9" width="22" customWidth="1"/>
  </cols>
  <sheetData>
    <row r="1" spans="1:9" ht="24" customHeight="1" x14ac:dyDescent="0.4">
      <c r="A1" s="193" t="s">
        <v>2706</v>
      </c>
      <c r="B1" s="186"/>
      <c r="C1" s="186"/>
      <c r="D1" s="186"/>
      <c r="E1" s="186"/>
      <c r="F1" s="186"/>
      <c r="G1" s="186"/>
      <c r="H1" s="186"/>
      <c r="I1" s="186"/>
    </row>
    <row r="2" spans="1:9" ht="15" customHeight="1" x14ac:dyDescent="0.3">
      <c r="A2" s="197" t="s">
        <v>2707</v>
      </c>
      <c r="B2" s="186"/>
      <c r="C2" s="186"/>
      <c r="D2" s="186"/>
      <c r="E2" s="186"/>
      <c r="F2" s="186"/>
      <c r="G2" s="186"/>
      <c r="H2" s="186"/>
      <c r="I2" s="186"/>
    </row>
    <row r="4" spans="1:9" ht="15" customHeight="1" x14ac:dyDescent="0.3">
      <c r="A4" s="194" t="s">
        <v>2708</v>
      </c>
      <c r="B4" s="186"/>
      <c r="C4" s="186"/>
      <c r="D4" s="186"/>
      <c r="E4" s="186"/>
      <c r="F4" s="186"/>
      <c r="G4" s="186"/>
      <c r="H4" s="186"/>
      <c r="I4" s="186"/>
    </row>
    <row r="5" spans="1:9" ht="15" customHeight="1" x14ac:dyDescent="0.3">
      <c r="A5" s="10" t="s">
        <v>2709</v>
      </c>
      <c r="B5" s="11">
        <v>382</v>
      </c>
      <c r="C5" s="22" t="s">
        <v>2710</v>
      </c>
    </row>
    <row r="6" spans="1:9" ht="15" customHeight="1" x14ac:dyDescent="0.3">
      <c r="A6" s="10" t="s">
        <v>2711</v>
      </c>
      <c r="B6" s="150">
        <v>120</v>
      </c>
      <c r="C6" s="22" t="s">
        <v>2712</v>
      </c>
    </row>
    <row r="7" spans="1:9" ht="15" customHeight="1" x14ac:dyDescent="0.3">
      <c r="A7" s="10" t="s">
        <v>2713</v>
      </c>
      <c r="B7" s="150">
        <v>4</v>
      </c>
      <c r="C7" s="22" t="s">
        <v>2712</v>
      </c>
    </row>
    <row r="8" spans="1:9" ht="15" customHeight="1" x14ac:dyDescent="0.3">
      <c r="A8" s="10" t="s">
        <v>2714</v>
      </c>
      <c r="B8" s="11">
        <v>650</v>
      </c>
      <c r="C8" s="22" t="s">
        <v>2712</v>
      </c>
    </row>
    <row r="9" spans="1:9" ht="15" customHeight="1" x14ac:dyDescent="0.3">
      <c r="A9" s="10" t="s">
        <v>2715</v>
      </c>
      <c r="B9" s="11">
        <v>78000</v>
      </c>
      <c r="C9" s="22" t="s">
        <v>2716</v>
      </c>
    </row>
    <row r="10" spans="1:9" ht="15" customHeight="1" x14ac:dyDescent="0.3">
      <c r="A10" s="10" t="s">
        <v>2717</v>
      </c>
      <c r="B10" s="151">
        <v>0.15</v>
      </c>
      <c r="C10" s="22" t="s">
        <v>2718</v>
      </c>
    </row>
    <row r="11" spans="1:9" ht="15" customHeight="1" x14ac:dyDescent="0.3">
      <c r="A11" s="10" t="s">
        <v>2719</v>
      </c>
      <c r="B11" s="150">
        <v>0.2</v>
      </c>
      <c r="C11" s="22" t="s">
        <v>2720</v>
      </c>
    </row>
    <row r="12" spans="1:9" ht="15" customHeight="1" x14ac:dyDescent="0.3">
      <c r="A12" s="10" t="s">
        <v>2721</v>
      </c>
      <c r="B12" s="150">
        <v>26</v>
      </c>
      <c r="C12" s="22" t="s">
        <v>2722</v>
      </c>
    </row>
    <row r="13" spans="1:9" ht="15" customHeight="1" x14ac:dyDescent="0.3">
      <c r="A13" s="10" t="s">
        <v>2723</v>
      </c>
      <c r="B13" s="150">
        <v>0.08</v>
      </c>
      <c r="C13" s="22" t="s">
        <v>2724</v>
      </c>
    </row>
    <row r="16" spans="1:9" ht="15" customHeight="1" x14ac:dyDescent="0.3">
      <c r="A16" s="194" t="s">
        <v>2725</v>
      </c>
      <c r="B16" s="186"/>
      <c r="C16" s="186"/>
      <c r="D16" s="186"/>
      <c r="E16" s="186"/>
      <c r="F16" s="186"/>
      <c r="G16" s="186"/>
      <c r="H16" s="186"/>
      <c r="I16" s="186"/>
    </row>
    <row r="17" spans="1:9" ht="26.25" customHeight="1" x14ac:dyDescent="0.3">
      <c r="A17" s="8" t="s">
        <v>2</v>
      </c>
      <c r="B17" s="8" t="s">
        <v>3</v>
      </c>
      <c r="C17" s="8" t="s">
        <v>2726</v>
      </c>
      <c r="D17" s="8" t="s">
        <v>2727</v>
      </c>
      <c r="E17" s="8" t="s">
        <v>2728</v>
      </c>
      <c r="F17" s="8" t="s">
        <v>2729</v>
      </c>
      <c r="G17" s="8" t="s">
        <v>2730</v>
      </c>
      <c r="H17" s="8" t="s">
        <v>2731</v>
      </c>
      <c r="I17" s="8" t="s">
        <v>2732</v>
      </c>
    </row>
    <row r="18" spans="1:9" ht="15" customHeight="1" x14ac:dyDescent="0.3">
      <c r="A18" s="9">
        <v>1</v>
      </c>
      <c r="B18" s="10" t="s">
        <v>19</v>
      </c>
      <c r="C18" s="152">
        <v>5.5</v>
      </c>
      <c r="D18" s="150">
        <v>180</v>
      </c>
      <c r="E18" s="150">
        <v>220</v>
      </c>
      <c r="F18" s="153">
        <v>18.5</v>
      </c>
      <c r="G18" s="154">
        <v>12</v>
      </c>
      <c r="H18" s="155" t="s">
        <v>2733</v>
      </c>
      <c r="I18" s="12">
        <f>C18*'Engineering Assumptions'!$B$5</f>
        <v>2101</v>
      </c>
    </row>
    <row r="19" spans="1:9" ht="15" customHeight="1" x14ac:dyDescent="0.3">
      <c r="A19" s="9">
        <v>2</v>
      </c>
      <c r="B19" s="10" t="s">
        <v>87</v>
      </c>
      <c r="C19" s="152">
        <v>13</v>
      </c>
      <c r="D19" s="150">
        <v>350</v>
      </c>
      <c r="E19" s="150">
        <v>480</v>
      </c>
      <c r="F19" s="153">
        <v>42</v>
      </c>
      <c r="G19" s="154">
        <v>15</v>
      </c>
      <c r="H19" s="155" t="s">
        <v>2734</v>
      </c>
      <c r="I19" s="12">
        <f>C19*'Engineering Assumptions'!$B$5</f>
        <v>4966</v>
      </c>
    </row>
    <row r="20" spans="1:9" ht="15" customHeight="1" x14ac:dyDescent="0.3">
      <c r="A20" s="9">
        <v>3</v>
      </c>
      <c r="B20" s="10" t="s">
        <v>112</v>
      </c>
      <c r="C20" s="152">
        <v>7</v>
      </c>
      <c r="D20" s="150">
        <v>220</v>
      </c>
      <c r="E20" s="150">
        <v>280</v>
      </c>
      <c r="F20" s="153">
        <v>22</v>
      </c>
      <c r="G20" s="154">
        <v>12</v>
      </c>
      <c r="H20" s="155" t="s">
        <v>2735</v>
      </c>
      <c r="I20" s="12">
        <f>C20*'Engineering Assumptions'!$B$5</f>
        <v>2674</v>
      </c>
    </row>
    <row r="21" spans="1:9" ht="15" customHeight="1" x14ac:dyDescent="0.3">
      <c r="A21" s="9">
        <v>4</v>
      </c>
      <c r="B21" s="10" t="s">
        <v>161</v>
      </c>
      <c r="C21" s="152">
        <v>8</v>
      </c>
      <c r="D21" s="150">
        <v>260</v>
      </c>
      <c r="E21" s="150">
        <v>320</v>
      </c>
      <c r="F21" s="153">
        <v>28</v>
      </c>
      <c r="G21" s="154">
        <v>10</v>
      </c>
      <c r="H21" s="155" t="s">
        <v>2736</v>
      </c>
      <c r="I21" s="12">
        <f>C21*'Engineering Assumptions'!$B$5</f>
        <v>3056</v>
      </c>
    </row>
    <row r="22" spans="1:9" ht="15" customHeight="1" x14ac:dyDescent="0.3">
      <c r="A22" s="9">
        <v>5</v>
      </c>
      <c r="B22" s="10" t="s">
        <v>171</v>
      </c>
      <c r="C22" s="152">
        <v>8</v>
      </c>
      <c r="D22" s="150">
        <v>230</v>
      </c>
      <c r="E22" s="150">
        <v>310</v>
      </c>
      <c r="F22" s="153">
        <v>22</v>
      </c>
      <c r="G22" s="154">
        <v>15</v>
      </c>
      <c r="H22" s="155" t="s">
        <v>2737</v>
      </c>
      <c r="I22" s="12">
        <f>C22*'Engineering Assumptions'!$B$5</f>
        <v>3056</v>
      </c>
    </row>
    <row r="23" spans="1:9" ht="15" customHeight="1" x14ac:dyDescent="0.3">
      <c r="A23" s="9">
        <v>6</v>
      </c>
      <c r="B23" s="10" t="s">
        <v>205</v>
      </c>
      <c r="C23" s="152">
        <v>5</v>
      </c>
      <c r="D23" s="150">
        <v>180</v>
      </c>
      <c r="E23" s="150">
        <v>240</v>
      </c>
      <c r="F23" s="153">
        <v>14</v>
      </c>
      <c r="G23" s="154">
        <v>12</v>
      </c>
      <c r="H23" s="155" t="s">
        <v>2738</v>
      </c>
      <c r="I23" s="12">
        <f>C23*'Engineering Assumptions'!$B$5</f>
        <v>1910</v>
      </c>
    </row>
    <row r="24" spans="1:9" ht="15" customHeight="1" x14ac:dyDescent="0.3">
      <c r="A24" s="9">
        <v>7</v>
      </c>
      <c r="B24" s="10" t="s">
        <v>297</v>
      </c>
      <c r="C24" s="152">
        <v>7</v>
      </c>
      <c r="D24" s="150">
        <v>200</v>
      </c>
      <c r="E24" s="150">
        <v>270</v>
      </c>
      <c r="F24" s="153">
        <v>19</v>
      </c>
      <c r="G24" s="154">
        <v>15</v>
      </c>
      <c r="H24" s="155" t="s">
        <v>2739</v>
      </c>
      <c r="I24" s="12">
        <f>C24*'Engineering Assumptions'!$B$5</f>
        <v>2674</v>
      </c>
    </row>
    <row r="25" spans="1:9" ht="15" customHeight="1" x14ac:dyDescent="0.3">
      <c r="A25" s="9">
        <v>8</v>
      </c>
      <c r="B25" s="10" t="s">
        <v>318</v>
      </c>
      <c r="C25" s="152">
        <v>15</v>
      </c>
      <c r="D25" s="150">
        <v>420</v>
      </c>
      <c r="E25" s="150">
        <v>600</v>
      </c>
      <c r="F25" s="153">
        <v>55</v>
      </c>
      <c r="G25" s="154">
        <v>18</v>
      </c>
      <c r="H25" s="155" t="s">
        <v>2740</v>
      </c>
      <c r="I25" s="12">
        <f>C25*'Engineering Assumptions'!$B$5</f>
        <v>5730</v>
      </c>
    </row>
    <row r="26" spans="1:9" ht="15" customHeight="1" x14ac:dyDescent="0.3">
      <c r="A26" s="9">
        <v>9</v>
      </c>
      <c r="B26" s="10" t="s">
        <v>352</v>
      </c>
      <c r="C26" s="152">
        <v>4.5</v>
      </c>
      <c r="D26" s="150">
        <v>160</v>
      </c>
      <c r="E26" s="150">
        <v>200</v>
      </c>
      <c r="F26" s="153">
        <v>11</v>
      </c>
      <c r="G26" s="154">
        <v>10</v>
      </c>
      <c r="H26" s="155" t="s">
        <v>2741</v>
      </c>
      <c r="I26" s="12">
        <f>C26*'Engineering Assumptions'!$B$5</f>
        <v>1719</v>
      </c>
    </row>
    <row r="27" spans="1:9" ht="15" customHeight="1" x14ac:dyDescent="0.3">
      <c r="A27" s="9">
        <v>10</v>
      </c>
      <c r="B27" s="10" t="s">
        <v>386</v>
      </c>
      <c r="C27" s="152">
        <v>12</v>
      </c>
      <c r="D27" s="150">
        <v>420</v>
      </c>
      <c r="E27" s="150">
        <v>560</v>
      </c>
      <c r="F27" s="153">
        <v>48</v>
      </c>
      <c r="G27" s="154">
        <v>12</v>
      </c>
      <c r="H27" s="155" t="s">
        <v>2742</v>
      </c>
      <c r="I27" s="12">
        <f>C27*'Engineering Assumptions'!$B$5</f>
        <v>4584</v>
      </c>
    </row>
    <row r="28" spans="1:9" ht="15" customHeight="1" x14ac:dyDescent="0.3">
      <c r="A28" s="9">
        <v>11</v>
      </c>
      <c r="B28" s="10" t="s">
        <v>408</v>
      </c>
      <c r="C28" s="152">
        <v>6.5</v>
      </c>
      <c r="D28" s="150">
        <v>170</v>
      </c>
      <c r="E28" s="150">
        <v>210</v>
      </c>
      <c r="F28" s="153">
        <v>14</v>
      </c>
      <c r="G28" s="154">
        <v>15</v>
      </c>
      <c r="H28" s="155" t="s">
        <v>2743</v>
      </c>
      <c r="I28" s="12">
        <f>C28*'Engineering Assumptions'!$B$5</f>
        <v>2483</v>
      </c>
    </row>
    <row r="29" spans="1:9" ht="15" customHeight="1" x14ac:dyDescent="0.3">
      <c r="A29" s="9">
        <v>12</v>
      </c>
      <c r="B29" s="10" t="s">
        <v>423</v>
      </c>
      <c r="C29" s="152">
        <v>10</v>
      </c>
      <c r="D29" s="150">
        <v>340</v>
      </c>
      <c r="E29" s="150">
        <v>480</v>
      </c>
      <c r="F29" s="153">
        <v>48</v>
      </c>
      <c r="G29" s="154">
        <v>20</v>
      </c>
      <c r="H29" s="155" t="s">
        <v>2744</v>
      </c>
      <c r="I29" s="12">
        <f>C29*'Engineering Assumptions'!$B$5</f>
        <v>3820</v>
      </c>
    </row>
    <row r="30" spans="1:9" ht="15" customHeight="1" x14ac:dyDescent="0.3">
      <c r="A30" s="9">
        <v>13</v>
      </c>
      <c r="B30" s="10" t="s">
        <v>433</v>
      </c>
      <c r="C30" s="152">
        <v>7</v>
      </c>
      <c r="D30" s="150">
        <v>220</v>
      </c>
      <c r="E30" s="150">
        <v>280</v>
      </c>
      <c r="F30" s="153">
        <v>16</v>
      </c>
      <c r="G30" s="154">
        <v>15</v>
      </c>
      <c r="H30" s="155" t="s">
        <v>2745</v>
      </c>
      <c r="I30" s="12">
        <f>C30*'Engineering Assumptions'!$B$5</f>
        <v>2674</v>
      </c>
    </row>
    <row r="31" spans="1:9" ht="15" customHeight="1" x14ac:dyDescent="0.3">
      <c r="A31" s="9">
        <v>14</v>
      </c>
      <c r="B31" s="10" t="s">
        <v>448</v>
      </c>
      <c r="C31" s="152">
        <v>14</v>
      </c>
      <c r="D31" s="150">
        <v>260</v>
      </c>
      <c r="E31" s="150">
        <v>350</v>
      </c>
      <c r="F31" s="153">
        <v>22</v>
      </c>
      <c r="G31" s="154">
        <v>15</v>
      </c>
      <c r="H31" s="155" t="s">
        <v>2746</v>
      </c>
      <c r="I31" s="12">
        <f>C31*'Engineering Assumptions'!$B$5</f>
        <v>5348</v>
      </c>
    </row>
    <row r="32" spans="1:9" ht="15" customHeight="1" x14ac:dyDescent="0.3">
      <c r="A32" s="9">
        <v>15</v>
      </c>
      <c r="B32" s="10" t="s">
        <v>473</v>
      </c>
      <c r="C32" s="152">
        <v>13</v>
      </c>
      <c r="D32" s="150">
        <v>440</v>
      </c>
      <c r="E32" s="150">
        <v>620</v>
      </c>
      <c r="F32" s="153">
        <v>58</v>
      </c>
      <c r="G32" s="154">
        <v>12</v>
      </c>
      <c r="H32" s="155" t="s">
        <v>2747</v>
      </c>
      <c r="I32" s="12">
        <f>C32*'Engineering Assumptions'!$B$5</f>
        <v>4966</v>
      </c>
    </row>
    <row r="33" spans="1:9" ht="15" customHeight="1" x14ac:dyDescent="0.3">
      <c r="A33" s="9">
        <v>16</v>
      </c>
      <c r="B33" s="10" t="s">
        <v>481</v>
      </c>
      <c r="C33" s="152">
        <v>3</v>
      </c>
      <c r="D33" s="150">
        <v>90</v>
      </c>
      <c r="E33" s="150">
        <v>110</v>
      </c>
      <c r="F33" s="153">
        <v>28</v>
      </c>
      <c r="G33" s="154">
        <v>15</v>
      </c>
      <c r="H33" s="155" t="s">
        <v>2748</v>
      </c>
      <c r="I33" s="12">
        <f>C33*'Engineering Assumptions'!$B$5</f>
        <v>1146</v>
      </c>
    </row>
    <row r="34" spans="1:9" ht="15" customHeight="1" x14ac:dyDescent="0.3">
      <c r="A34" s="9">
        <v>17</v>
      </c>
      <c r="B34" s="10" t="s">
        <v>546</v>
      </c>
      <c r="C34" s="152">
        <v>2.5</v>
      </c>
      <c r="D34" s="150">
        <v>70</v>
      </c>
      <c r="E34" s="150">
        <v>90</v>
      </c>
      <c r="F34" s="153">
        <v>14</v>
      </c>
      <c r="G34" s="154">
        <v>15</v>
      </c>
      <c r="H34" s="155" t="s">
        <v>2749</v>
      </c>
      <c r="I34" s="12">
        <f>C34*'Engineering Assumptions'!$B$5</f>
        <v>955</v>
      </c>
    </row>
    <row r="35" spans="1:9" ht="15" customHeight="1" x14ac:dyDescent="0.3">
      <c r="A35" s="9">
        <v>18</v>
      </c>
      <c r="B35" s="10" t="s">
        <v>555</v>
      </c>
      <c r="C35" s="152">
        <v>3</v>
      </c>
      <c r="D35" s="150">
        <v>80</v>
      </c>
      <c r="E35" s="150">
        <v>100</v>
      </c>
      <c r="F35" s="153">
        <v>11</v>
      </c>
      <c r="G35" s="154">
        <v>15</v>
      </c>
      <c r="H35" s="155" t="s">
        <v>2750</v>
      </c>
      <c r="I35" s="12">
        <f>C35*'Engineering Assumptions'!$B$5</f>
        <v>1146</v>
      </c>
    </row>
    <row r="36" spans="1:9" ht="15" customHeight="1" x14ac:dyDescent="0.3">
      <c r="A36" s="9">
        <v>19</v>
      </c>
      <c r="B36" s="10" t="s">
        <v>589</v>
      </c>
      <c r="C36" s="152">
        <v>2.5</v>
      </c>
      <c r="D36" s="150">
        <v>70</v>
      </c>
      <c r="E36" s="150">
        <v>90</v>
      </c>
      <c r="F36" s="153">
        <v>6.5</v>
      </c>
      <c r="G36" s="154">
        <v>15</v>
      </c>
      <c r="H36" s="155" t="s">
        <v>2751</v>
      </c>
      <c r="I36" s="12">
        <f>C36*'Engineering Assumptions'!$B$5</f>
        <v>955</v>
      </c>
    </row>
    <row r="37" spans="1:9" ht="15" customHeight="1" x14ac:dyDescent="0.3">
      <c r="A37" s="9">
        <v>20</v>
      </c>
      <c r="B37" s="10" t="s">
        <v>625</v>
      </c>
      <c r="C37" s="152">
        <v>7.5</v>
      </c>
      <c r="D37" s="150">
        <v>230</v>
      </c>
      <c r="E37" s="150">
        <v>310</v>
      </c>
      <c r="F37" s="153">
        <v>16</v>
      </c>
      <c r="G37" s="154">
        <v>15</v>
      </c>
      <c r="H37" s="155" t="s">
        <v>2752</v>
      </c>
      <c r="I37" s="12">
        <f>C37*'Engineering Assumptions'!$B$5</f>
        <v>2865</v>
      </c>
    </row>
    <row r="38" spans="1:9" ht="15" customHeight="1" x14ac:dyDescent="0.3">
      <c r="A38" s="9">
        <v>21</v>
      </c>
      <c r="B38" s="10" t="s">
        <v>809</v>
      </c>
      <c r="C38" s="152">
        <v>0</v>
      </c>
      <c r="D38" s="150">
        <v>50</v>
      </c>
      <c r="E38" s="150">
        <v>70</v>
      </c>
      <c r="F38" s="153">
        <v>2.5</v>
      </c>
      <c r="G38" s="154">
        <v>20</v>
      </c>
      <c r="H38" s="155" t="s">
        <v>2753</v>
      </c>
      <c r="I38" s="12">
        <f>C38*'Engineering Assumptions'!$B$5</f>
        <v>0</v>
      </c>
    </row>
    <row r="39" spans="1:9" ht="15" customHeight="1" x14ac:dyDescent="0.3">
      <c r="A39" s="9">
        <v>22</v>
      </c>
      <c r="B39" s="10" t="s">
        <v>814</v>
      </c>
      <c r="C39" s="152">
        <v>0</v>
      </c>
      <c r="D39" s="150">
        <v>60</v>
      </c>
      <c r="E39" s="150">
        <v>80</v>
      </c>
      <c r="F39" s="153">
        <v>4.5</v>
      </c>
      <c r="G39" s="154">
        <v>20</v>
      </c>
      <c r="H39" s="155" t="s">
        <v>2754</v>
      </c>
      <c r="I39" s="12">
        <f>C39*'Engineering Assumptions'!$B$5</f>
        <v>0</v>
      </c>
    </row>
    <row r="40" spans="1:9" ht="15" customHeight="1" x14ac:dyDescent="0.3">
      <c r="A40" s="9">
        <v>23</v>
      </c>
      <c r="B40" s="10" t="s">
        <v>818</v>
      </c>
      <c r="C40" s="152">
        <v>3.5</v>
      </c>
      <c r="D40" s="150">
        <v>110</v>
      </c>
      <c r="E40" s="150">
        <v>140</v>
      </c>
      <c r="F40" s="153">
        <v>9</v>
      </c>
      <c r="G40" s="154">
        <v>15</v>
      </c>
      <c r="H40" s="155" t="s">
        <v>2755</v>
      </c>
      <c r="I40" s="12">
        <f>C40*'Engineering Assumptions'!$B$5</f>
        <v>1337</v>
      </c>
    </row>
    <row r="41" spans="1:9" ht="15" customHeight="1" x14ac:dyDescent="0.3">
      <c r="A41" s="9">
        <v>24</v>
      </c>
      <c r="B41" s="10" t="s">
        <v>834</v>
      </c>
      <c r="C41" s="152">
        <v>15</v>
      </c>
      <c r="D41" s="150">
        <v>380</v>
      </c>
      <c r="E41" s="150">
        <v>520</v>
      </c>
      <c r="F41" s="153">
        <v>42</v>
      </c>
      <c r="G41" s="154">
        <v>15</v>
      </c>
      <c r="H41" s="155" t="s">
        <v>2756</v>
      </c>
      <c r="I41" s="12">
        <f>C41*'Engineering Assumptions'!$B$5</f>
        <v>5730</v>
      </c>
    </row>
    <row r="42" spans="1:9" ht="15" customHeight="1" x14ac:dyDescent="0.3">
      <c r="A42" s="9">
        <v>25</v>
      </c>
      <c r="B42" s="10" t="s">
        <v>908</v>
      </c>
      <c r="C42" s="152">
        <v>3.5</v>
      </c>
      <c r="D42" s="150">
        <v>120</v>
      </c>
      <c r="E42" s="150">
        <v>150</v>
      </c>
      <c r="F42" s="153">
        <v>12</v>
      </c>
      <c r="G42" s="154">
        <v>15</v>
      </c>
      <c r="H42" s="155" t="s">
        <v>2757</v>
      </c>
      <c r="I42" s="12">
        <f>C42*'Engineering Assumptions'!$B$5</f>
        <v>1337</v>
      </c>
    </row>
    <row r="43" spans="1:9" ht="15" customHeight="1" x14ac:dyDescent="0.3">
      <c r="A43" s="9">
        <v>26</v>
      </c>
      <c r="B43" s="10" t="s">
        <v>945</v>
      </c>
      <c r="C43" s="152">
        <v>4</v>
      </c>
      <c r="D43" s="150">
        <v>110</v>
      </c>
      <c r="E43" s="150">
        <v>140</v>
      </c>
      <c r="F43" s="153">
        <v>5.5</v>
      </c>
      <c r="G43" s="154">
        <v>15</v>
      </c>
      <c r="H43" s="155" t="s">
        <v>2758</v>
      </c>
      <c r="I43" s="12">
        <f>C43*'Engineering Assumptions'!$B$5</f>
        <v>1528</v>
      </c>
    </row>
    <row r="44" spans="1:9" ht="15" customHeight="1" x14ac:dyDescent="0.3">
      <c r="A44" s="9">
        <v>27</v>
      </c>
      <c r="B44" s="10" t="s">
        <v>974</v>
      </c>
      <c r="C44" s="152">
        <v>1.2</v>
      </c>
      <c r="D44" s="150">
        <v>25</v>
      </c>
      <c r="E44" s="150">
        <v>35</v>
      </c>
      <c r="F44" s="153">
        <v>0.45</v>
      </c>
      <c r="G44" s="154">
        <v>8</v>
      </c>
      <c r="H44" s="155" t="s">
        <v>2759</v>
      </c>
      <c r="I44" s="12">
        <f>C44*'Engineering Assumptions'!$B$5</f>
        <v>458.4</v>
      </c>
    </row>
    <row r="45" spans="1:9" ht="15" customHeight="1" x14ac:dyDescent="0.3">
      <c r="A45" s="9">
        <v>28</v>
      </c>
      <c r="B45" s="10" t="s">
        <v>1061</v>
      </c>
      <c r="C45" s="152">
        <v>4.5</v>
      </c>
      <c r="D45" s="150">
        <v>110</v>
      </c>
      <c r="E45" s="150">
        <v>140</v>
      </c>
      <c r="F45" s="153">
        <v>6.5</v>
      </c>
      <c r="G45" s="154">
        <v>15</v>
      </c>
      <c r="H45" s="155" t="s">
        <v>2760</v>
      </c>
      <c r="I45" s="12">
        <f>C45*'Engineering Assumptions'!$B$5</f>
        <v>1719</v>
      </c>
    </row>
    <row r="46" spans="1:9" ht="15" customHeight="1" x14ac:dyDescent="0.3">
      <c r="A46" s="9">
        <v>29</v>
      </c>
      <c r="B46" s="10" t="s">
        <v>1076</v>
      </c>
      <c r="C46" s="152">
        <v>3.5</v>
      </c>
      <c r="D46" s="150">
        <v>160</v>
      </c>
      <c r="E46" s="150">
        <v>210</v>
      </c>
      <c r="F46" s="153">
        <v>12</v>
      </c>
      <c r="G46" s="154">
        <v>15</v>
      </c>
      <c r="H46" s="155" t="s">
        <v>2761</v>
      </c>
      <c r="I46" s="12">
        <f>C46*'Engineering Assumptions'!$B$5</f>
        <v>1337</v>
      </c>
    </row>
    <row r="49" spans="1:9" ht="15" customHeight="1" x14ac:dyDescent="0.3">
      <c r="A49" s="194" t="s">
        <v>2762</v>
      </c>
      <c r="B49" s="186"/>
      <c r="C49" s="186"/>
      <c r="D49" s="186"/>
      <c r="E49" s="186"/>
      <c r="F49" s="186"/>
      <c r="G49" s="186"/>
      <c r="H49" s="186"/>
      <c r="I49" s="186"/>
    </row>
    <row r="50" spans="1:9" ht="15" customHeight="1" x14ac:dyDescent="0.3">
      <c r="A50" s="19" t="s">
        <v>2763</v>
      </c>
      <c r="B50" s="19" t="s">
        <v>2764</v>
      </c>
      <c r="C50" s="19" t="s">
        <v>2765</v>
      </c>
      <c r="D50" s="198" t="s">
        <v>16</v>
      </c>
      <c r="E50" s="186"/>
      <c r="F50" s="186"/>
      <c r="G50" s="186"/>
      <c r="H50" s="186"/>
      <c r="I50" s="186"/>
    </row>
    <row r="51" spans="1:9" ht="15" customHeight="1" x14ac:dyDescent="0.3">
      <c r="A51" s="20" t="s">
        <v>2766</v>
      </c>
      <c r="B51" s="16">
        <v>1</v>
      </c>
      <c r="C51" s="16">
        <v>0.3</v>
      </c>
      <c r="D51" s="214" t="s">
        <v>2767</v>
      </c>
      <c r="E51" s="200"/>
      <c r="F51" s="200"/>
      <c r="G51" s="200"/>
      <c r="H51" s="200"/>
      <c r="I51" s="196"/>
    </row>
    <row r="52" spans="1:9" ht="15" customHeight="1" x14ac:dyDescent="0.3">
      <c r="A52" s="20" t="s">
        <v>2768</v>
      </c>
      <c r="B52" s="16">
        <v>1.25</v>
      </c>
      <c r="C52" s="16">
        <v>0.75</v>
      </c>
      <c r="D52" s="214" t="s">
        <v>2769</v>
      </c>
      <c r="E52" s="200"/>
      <c r="F52" s="200"/>
      <c r="G52" s="200"/>
      <c r="H52" s="200"/>
      <c r="I52" s="196"/>
    </row>
    <row r="53" spans="1:9" ht="15" customHeight="1" x14ac:dyDescent="0.3">
      <c r="A53" s="20" t="s">
        <v>2770</v>
      </c>
      <c r="B53" s="16">
        <v>1.55</v>
      </c>
      <c r="C53" s="16">
        <v>1.35</v>
      </c>
      <c r="D53" s="214" t="s">
        <v>2771</v>
      </c>
      <c r="E53" s="200"/>
      <c r="F53" s="200"/>
      <c r="G53" s="200"/>
      <c r="H53" s="200"/>
      <c r="I53" s="196"/>
    </row>
    <row r="54" spans="1:9" ht="15" customHeight="1" x14ac:dyDescent="0.3">
      <c r="A54" s="20" t="s">
        <v>2772</v>
      </c>
      <c r="B54" s="16">
        <v>1.95</v>
      </c>
      <c r="C54" s="16">
        <v>2.1</v>
      </c>
      <c r="D54" s="214" t="s">
        <v>2773</v>
      </c>
      <c r="E54" s="200"/>
      <c r="F54" s="200"/>
      <c r="G54" s="200"/>
      <c r="H54" s="200"/>
      <c r="I54" s="196"/>
    </row>
    <row r="55" spans="1:9" ht="15" customHeight="1" x14ac:dyDescent="0.3">
      <c r="A55" s="20" t="s">
        <v>2774</v>
      </c>
      <c r="B55" s="16">
        <v>2.4</v>
      </c>
      <c r="C55" s="16">
        <v>3</v>
      </c>
      <c r="D55" s="214" t="s">
        <v>2775</v>
      </c>
      <c r="E55" s="200"/>
      <c r="F55" s="200"/>
      <c r="G55" s="200"/>
      <c r="H55" s="200"/>
      <c r="I55" s="196"/>
    </row>
    <row r="58" spans="1:9" ht="15" customHeight="1" x14ac:dyDescent="0.3">
      <c r="A58" s="194" t="s">
        <v>2776</v>
      </c>
      <c r="B58" s="186"/>
      <c r="C58" s="186"/>
      <c r="D58" s="186"/>
      <c r="E58" s="186"/>
      <c r="F58" s="186"/>
      <c r="G58" s="186"/>
      <c r="H58" s="186"/>
      <c r="I58" s="186"/>
    </row>
    <row r="59" spans="1:9" ht="15" customHeight="1" x14ac:dyDescent="0.3">
      <c r="A59" s="8" t="s">
        <v>2777</v>
      </c>
      <c r="B59" s="8" t="s">
        <v>2778</v>
      </c>
      <c r="C59" s="8" t="s">
        <v>2779</v>
      </c>
      <c r="D59" s="8" t="s">
        <v>2780</v>
      </c>
      <c r="E59" s="8" t="s">
        <v>2781</v>
      </c>
    </row>
    <row r="60" spans="1:9" ht="15" customHeight="1" x14ac:dyDescent="0.3">
      <c r="A60" s="20" t="s">
        <v>2782</v>
      </c>
      <c r="B60" s="9" t="s">
        <v>2783</v>
      </c>
      <c r="C60" s="12">
        <v>53895</v>
      </c>
      <c r="D60" s="9" t="s">
        <v>2784</v>
      </c>
      <c r="E60" s="214" t="s">
        <v>2785</v>
      </c>
      <c r="F60" s="200"/>
      <c r="G60" s="200"/>
      <c r="H60" s="200"/>
      <c r="I60" s="196"/>
    </row>
    <row r="61" spans="1:9" ht="15" customHeight="1" x14ac:dyDescent="0.3">
      <c r="A61" s="20" t="s">
        <v>2786</v>
      </c>
      <c r="B61" s="9" t="s">
        <v>2787</v>
      </c>
      <c r="C61" s="12">
        <v>3220</v>
      </c>
      <c r="D61" s="9" t="s">
        <v>195</v>
      </c>
      <c r="E61" s="214" t="s">
        <v>2788</v>
      </c>
      <c r="F61" s="200"/>
      <c r="G61" s="200"/>
      <c r="H61" s="200"/>
      <c r="I61" s="196"/>
    </row>
    <row r="62" spans="1:9" ht="15" customHeight="1" x14ac:dyDescent="0.3">
      <c r="A62" s="20" t="s">
        <v>2789</v>
      </c>
      <c r="B62" s="9" t="s">
        <v>2790</v>
      </c>
      <c r="C62" s="12">
        <v>4600</v>
      </c>
      <c r="D62" s="9" t="s">
        <v>2791</v>
      </c>
      <c r="E62" s="214" t="s">
        <v>2792</v>
      </c>
      <c r="F62" s="200"/>
      <c r="G62" s="200"/>
      <c r="H62" s="200"/>
      <c r="I62" s="196"/>
    </row>
    <row r="63" spans="1:9" ht="15" customHeight="1" x14ac:dyDescent="0.3">
      <c r="A63" s="20" t="s">
        <v>2793</v>
      </c>
      <c r="B63" s="9" t="s">
        <v>2794</v>
      </c>
      <c r="C63" s="12">
        <v>2500</v>
      </c>
      <c r="D63" s="9" t="s">
        <v>2784</v>
      </c>
      <c r="E63" s="214" t="s">
        <v>2795</v>
      </c>
      <c r="F63" s="200"/>
      <c r="G63" s="200"/>
      <c r="H63" s="200"/>
      <c r="I63" s="196"/>
    </row>
    <row r="64" spans="1:9" ht="15" customHeight="1" x14ac:dyDescent="0.3">
      <c r="A64" s="20" t="s">
        <v>2796</v>
      </c>
      <c r="B64" s="9" t="s">
        <v>2797</v>
      </c>
      <c r="C64" s="12">
        <v>3500</v>
      </c>
      <c r="D64" s="9" t="s">
        <v>2798</v>
      </c>
      <c r="E64" s="214" t="s">
        <v>2799</v>
      </c>
      <c r="F64" s="200"/>
      <c r="G64" s="200"/>
      <c r="H64" s="200"/>
      <c r="I64" s="196"/>
    </row>
    <row r="65" spans="1:9" ht="15" customHeight="1" x14ac:dyDescent="0.3">
      <c r="A65" s="20" t="s">
        <v>2800</v>
      </c>
      <c r="B65" s="9" t="s">
        <v>2794</v>
      </c>
      <c r="C65" s="12">
        <v>4500</v>
      </c>
      <c r="D65" s="9" t="s">
        <v>2798</v>
      </c>
      <c r="E65" s="214" t="s">
        <v>2799</v>
      </c>
      <c r="F65" s="200"/>
      <c r="G65" s="200"/>
      <c r="H65" s="200"/>
      <c r="I65" s="196"/>
    </row>
    <row r="66" spans="1:9" ht="15" customHeight="1" x14ac:dyDescent="0.3">
      <c r="A66" s="20" t="s">
        <v>2801</v>
      </c>
      <c r="B66" s="9" t="s">
        <v>2794</v>
      </c>
      <c r="C66" s="12">
        <v>6500</v>
      </c>
      <c r="D66" s="9" t="s">
        <v>2802</v>
      </c>
      <c r="E66" s="214" t="s">
        <v>2799</v>
      </c>
      <c r="F66" s="200"/>
      <c r="G66" s="200"/>
      <c r="H66" s="200"/>
      <c r="I66" s="196"/>
    </row>
    <row r="67" spans="1:9" ht="15" customHeight="1" x14ac:dyDescent="0.3">
      <c r="A67" s="20" t="s">
        <v>2803</v>
      </c>
      <c r="B67" s="9" t="s">
        <v>2804</v>
      </c>
      <c r="C67" s="12">
        <v>18000</v>
      </c>
      <c r="D67" s="9" t="s">
        <v>195</v>
      </c>
      <c r="E67" s="214" t="s">
        <v>2805</v>
      </c>
      <c r="F67" s="200"/>
      <c r="G67" s="200"/>
      <c r="H67" s="200"/>
      <c r="I67" s="196"/>
    </row>
    <row r="68" spans="1:9" ht="15" customHeight="1" x14ac:dyDescent="0.3">
      <c r="A68" s="20" t="s">
        <v>2806</v>
      </c>
      <c r="B68" s="9" t="s">
        <v>2807</v>
      </c>
      <c r="C68" s="12">
        <v>4800</v>
      </c>
      <c r="D68" s="9" t="s">
        <v>2808</v>
      </c>
      <c r="E68" s="214" t="s">
        <v>2799</v>
      </c>
      <c r="F68" s="200"/>
      <c r="G68" s="200"/>
      <c r="H68" s="200"/>
      <c r="I68" s="196"/>
    </row>
    <row r="69" spans="1:9" ht="15" customHeight="1" x14ac:dyDescent="0.3">
      <c r="A69" s="20" t="s">
        <v>2809</v>
      </c>
      <c r="B69" s="9" t="s">
        <v>2790</v>
      </c>
      <c r="C69" s="12">
        <v>22000</v>
      </c>
      <c r="D69" s="9" t="s">
        <v>2802</v>
      </c>
      <c r="E69" s="214" t="s">
        <v>2799</v>
      </c>
      <c r="F69" s="200"/>
      <c r="G69" s="200"/>
      <c r="H69" s="200"/>
      <c r="I69" s="196"/>
    </row>
    <row r="70" spans="1:9" ht="15" customHeight="1" x14ac:dyDescent="0.3">
      <c r="A70" s="20" t="s">
        <v>2810</v>
      </c>
      <c r="B70" s="9" t="s">
        <v>2794</v>
      </c>
      <c r="C70" s="12">
        <v>135000</v>
      </c>
      <c r="D70" s="9" t="s">
        <v>2811</v>
      </c>
      <c r="E70" s="214" t="s">
        <v>2812</v>
      </c>
      <c r="F70" s="200"/>
      <c r="G70" s="200"/>
      <c r="H70" s="200"/>
      <c r="I70" s="196"/>
    </row>
    <row r="71" spans="1:9" ht="15" customHeight="1" x14ac:dyDescent="0.3">
      <c r="A71" s="20" t="s">
        <v>2813</v>
      </c>
      <c r="B71" s="9" t="s">
        <v>2794</v>
      </c>
      <c r="C71" s="12">
        <v>220000</v>
      </c>
      <c r="D71" s="9" t="s">
        <v>2814</v>
      </c>
      <c r="E71" s="214" t="s">
        <v>2815</v>
      </c>
      <c r="F71" s="200"/>
      <c r="G71" s="200"/>
      <c r="H71" s="200"/>
      <c r="I71" s="196"/>
    </row>
    <row r="72" spans="1:9" ht="15" customHeight="1" x14ac:dyDescent="0.3">
      <c r="A72" s="20" t="s">
        <v>2816</v>
      </c>
      <c r="B72" s="9" t="s">
        <v>2817</v>
      </c>
      <c r="C72" s="12">
        <v>45000</v>
      </c>
      <c r="D72" s="9" t="s">
        <v>2818</v>
      </c>
      <c r="E72" s="214" t="s">
        <v>2819</v>
      </c>
      <c r="F72" s="200"/>
      <c r="G72" s="200"/>
      <c r="H72" s="200"/>
      <c r="I72" s="196"/>
    </row>
    <row r="73" spans="1:9" ht="15" customHeight="1" x14ac:dyDescent="0.3">
      <c r="A73" s="20" t="s">
        <v>2820</v>
      </c>
      <c r="B73" s="9" t="s">
        <v>2794</v>
      </c>
      <c r="C73" s="12">
        <v>2800</v>
      </c>
      <c r="D73" s="9" t="s">
        <v>2818</v>
      </c>
      <c r="E73" s="214" t="s">
        <v>2799</v>
      </c>
      <c r="F73" s="200"/>
      <c r="G73" s="200"/>
      <c r="H73" s="200"/>
      <c r="I73" s="196"/>
    </row>
    <row r="74" spans="1:9" ht="15" customHeight="1" x14ac:dyDescent="0.3">
      <c r="A74" s="20" t="s">
        <v>2821</v>
      </c>
      <c r="B74" s="9" t="s">
        <v>2794</v>
      </c>
      <c r="C74" s="12">
        <v>42000</v>
      </c>
      <c r="D74" s="9" t="s">
        <v>2822</v>
      </c>
      <c r="E74" s="214" t="s">
        <v>2823</v>
      </c>
      <c r="F74" s="200"/>
      <c r="G74" s="200"/>
      <c r="H74" s="200"/>
      <c r="I74" s="196"/>
    </row>
  </sheetData>
  <mergeCells count="27">
    <mergeCell ref="E71:I71"/>
    <mergeCell ref="E67:I67"/>
    <mergeCell ref="D53:I53"/>
    <mergeCell ref="E64:I64"/>
    <mergeCell ref="E69:I69"/>
    <mergeCell ref="A4:I4"/>
    <mergeCell ref="E60:I60"/>
    <mergeCell ref="D50:I50"/>
    <mergeCell ref="A49:I49"/>
    <mergeCell ref="E68:I68"/>
    <mergeCell ref="E62:I62"/>
    <mergeCell ref="A1:I1"/>
    <mergeCell ref="E66:I66"/>
    <mergeCell ref="D52:I52"/>
    <mergeCell ref="A16:I16"/>
    <mergeCell ref="E74:I74"/>
    <mergeCell ref="D55:I55"/>
    <mergeCell ref="E65:I65"/>
    <mergeCell ref="D51:I51"/>
    <mergeCell ref="D54:I54"/>
    <mergeCell ref="A58:I58"/>
    <mergeCell ref="E61:I61"/>
    <mergeCell ref="E70:I70"/>
    <mergeCell ref="E72:I72"/>
    <mergeCell ref="A2:I2"/>
    <mergeCell ref="E73:I73"/>
    <mergeCell ref="E63:I63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U551"/>
  <sheetViews>
    <sheetView zoomScaleNormal="100" workbookViewId="0">
      <pane xSplit="6" ySplit="4" topLeftCell="G107" activePane="bottomRight" state="frozen"/>
      <selection pane="topRight" activeCell="G1" sqref="G1"/>
      <selection pane="bottomLeft" activeCell="A107" sqref="A107"/>
      <selection pane="bottomRight" activeCell="O6" sqref="O6"/>
    </sheetView>
  </sheetViews>
  <sheetFormatPr defaultColWidth="8.6640625" defaultRowHeight="14.4" x14ac:dyDescent="0.3"/>
  <cols>
    <col min="1" max="1" width="5" customWidth="1"/>
    <col min="2" max="2" width="22" customWidth="1"/>
    <col min="3" max="5" width="28" customWidth="1"/>
    <col min="6" max="6" width="7" customWidth="1"/>
    <col min="7" max="7" width="6" customWidth="1"/>
    <col min="8" max="8" width="12" customWidth="1"/>
    <col min="9" max="9" width="11" customWidth="1"/>
    <col min="10" max="10" width="14" customWidth="1"/>
    <col min="11" max="11" width="16" customWidth="1"/>
    <col min="12" max="12" width="14" customWidth="1"/>
    <col min="13" max="13" width="12" customWidth="1"/>
    <col min="14" max="14" width="13" customWidth="1"/>
    <col min="15" max="15" width="12" customWidth="1"/>
    <col min="16" max="16" width="14" customWidth="1"/>
    <col min="17" max="17" width="16" customWidth="1"/>
    <col min="18" max="21" width="13" hidden="1" customWidth="1"/>
  </cols>
  <sheetData>
    <row r="1" spans="1:21" ht="24" customHeight="1" x14ac:dyDescent="0.4">
      <c r="A1" s="193" t="s">
        <v>2824</v>
      </c>
      <c r="B1" s="186"/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6"/>
      <c r="O1" s="186"/>
      <c r="P1" s="186"/>
      <c r="Q1" s="186"/>
    </row>
    <row r="2" spans="1:21" ht="15" customHeight="1" x14ac:dyDescent="0.3">
      <c r="A2" s="197" t="s">
        <v>2825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</row>
    <row r="4" spans="1:21" ht="42" customHeight="1" x14ac:dyDescent="0.3">
      <c r="A4" s="8" t="s">
        <v>2</v>
      </c>
      <c r="B4" s="8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2826</v>
      </c>
      <c r="I4" s="8" t="s">
        <v>2827</v>
      </c>
      <c r="J4" s="8" t="s">
        <v>2828</v>
      </c>
      <c r="K4" s="8" t="s">
        <v>2829</v>
      </c>
      <c r="L4" s="8" t="s">
        <v>2830</v>
      </c>
      <c r="M4" s="8" t="s">
        <v>2831</v>
      </c>
      <c r="N4" s="8" t="s">
        <v>2832</v>
      </c>
      <c r="O4" s="8" t="s">
        <v>2833</v>
      </c>
      <c r="P4" s="8" t="s">
        <v>2834</v>
      </c>
      <c r="Q4" s="8" t="s">
        <v>2835</v>
      </c>
      <c r="R4" s="45" t="s">
        <v>2836</v>
      </c>
      <c r="S4" s="45" t="s">
        <v>2837</v>
      </c>
      <c r="T4" s="45" t="s">
        <v>2838</v>
      </c>
      <c r="U4" s="45" t="s">
        <v>2839</v>
      </c>
    </row>
    <row r="5" spans="1:21" ht="15" customHeight="1" x14ac:dyDescent="0.3">
      <c r="A5" s="199" t="s">
        <v>18</v>
      </c>
      <c r="B5" s="200"/>
      <c r="C5" s="200"/>
      <c r="D5" s="200"/>
      <c r="E5" s="200"/>
      <c r="F5" s="200"/>
      <c r="G5" s="200"/>
      <c r="H5" s="200"/>
      <c r="I5" s="200"/>
      <c r="J5" s="200"/>
      <c r="K5" s="200"/>
      <c r="L5" s="200"/>
      <c r="M5" s="200"/>
      <c r="N5" s="200"/>
      <c r="O5" s="200"/>
      <c r="P5" s="200"/>
      <c r="Q5" s="200"/>
    </row>
    <row r="6" spans="1:21" ht="15" customHeight="1" x14ac:dyDescent="0.3">
      <c r="A6" s="9">
        <v>1</v>
      </c>
      <c r="B6" s="50" t="s">
        <v>19</v>
      </c>
      <c r="C6" s="50" t="s">
        <v>20</v>
      </c>
      <c r="D6" s="50" t="s">
        <v>21</v>
      </c>
      <c r="E6" s="50" t="s">
        <v>22</v>
      </c>
      <c r="F6" s="48" t="s">
        <v>23</v>
      </c>
      <c r="G6" s="9">
        <v>5</v>
      </c>
      <c r="H6" s="12">
        <f>'Engineering Assumptions'!$C$18*'Engineering Assumptions'!$B$5*U6</f>
        <v>2101</v>
      </c>
      <c r="I6" s="12">
        <f>'Engineering Assumptions'!$B$8</f>
        <v>650</v>
      </c>
      <c r="J6" s="12">
        <f>'Engineering Assumptions'!$D$18*S6*U6</f>
        <v>180</v>
      </c>
      <c r="K6" s="12">
        <f>'Engineering Assumptions'!$E$18*T6*U6</f>
        <v>66</v>
      </c>
      <c r="L6" s="13">
        <f t="shared" ref="L6:L29" si="0">H6+I6+J6+K6</f>
        <v>2997</v>
      </c>
      <c r="M6" s="12">
        <f>L6*'Engineering Assumptions'!$B$10</f>
        <v>449.55</v>
      </c>
      <c r="N6" s="13">
        <f t="shared" ref="N6:N29" si="1">L6+M6</f>
        <v>3446.55</v>
      </c>
      <c r="O6" s="12">
        <f>N6*'Engineering Assumptions'!$B$11</f>
        <v>689.31000000000006</v>
      </c>
      <c r="P6" s="156">
        <f t="shared" ref="P6:P29" si="2">MROUND(N6+O6,10)</f>
        <v>4140</v>
      </c>
      <c r="Q6" s="12">
        <f>'Fleet Pricing'!H6</f>
        <v>4150</v>
      </c>
      <c r="R6" s="45">
        <v>5</v>
      </c>
      <c r="S6" s="49">
        <v>1</v>
      </c>
      <c r="T6" s="49">
        <v>0.3</v>
      </c>
      <c r="U6" s="49">
        <v>1</v>
      </c>
    </row>
    <row r="7" spans="1:21" ht="15" customHeight="1" x14ac:dyDescent="0.3">
      <c r="A7" s="9">
        <v>2</v>
      </c>
      <c r="B7" s="50" t="s">
        <v>19</v>
      </c>
      <c r="C7" s="50" t="s">
        <v>20</v>
      </c>
      <c r="D7" s="50" t="s">
        <v>24</v>
      </c>
      <c r="E7" s="50" t="s">
        <v>25</v>
      </c>
      <c r="F7" s="48" t="s">
        <v>23</v>
      </c>
      <c r="G7" s="9">
        <v>5</v>
      </c>
      <c r="H7" s="12">
        <f>'Engineering Assumptions'!$C$18*'Engineering Assumptions'!$B$5*U7</f>
        <v>2101</v>
      </c>
      <c r="I7" s="12">
        <f>'Engineering Assumptions'!$B$8</f>
        <v>650</v>
      </c>
      <c r="J7" s="12">
        <f>'Engineering Assumptions'!$D$18*S7*U7</f>
        <v>180</v>
      </c>
      <c r="K7" s="12">
        <f>'Engineering Assumptions'!$E$18*T7*U7</f>
        <v>66</v>
      </c>
      <c r="L7" s="13">
        <f t="shared" si="0"/>
        <v>2997</v>
      </c>
      <c r="M7" s="12">
        <f>L7*'Engineering Assumptions'!$B$10</f>
        <v>449.55</v>
      </c>
      <c r="N7" s="13">
        <f t="shared" si="1"/>
        <v>3446.55</v>
      </c>
      <c r="O7" s="12">
        <f>N7*'Engineering Assumptions'!$B$11</f>
        <v>689.31000000000006</v>
      </c>
      <c r="P7" s="156">
        <f t="shared" si="2"/>
        <v>4140</v>
      </c>
      <c r="Q7" s="12">
        <f>'Fleet Pricing'!H7</f>
        <v>4150</v>
      </c>
      <c r="R7" s="45">
        <v>5</v>
      </c>
      <c r="S7" s="49">
        <v>1</v>
      </c>
      <c r="T7" s="49">
        <v>0.3</v>
      </c>
      <c r="U7" s="49">
        <v>1</v>
      </c>
    </row>
    <row r="8" spans="1:21" ht="15" customHeight="1" x14ac:dyDescent="0.3">
      <c r="A8" s="9">
        <v>3</v>
      </c>
      <c r="B8" s="50" t="s">
        <v>19</v>
      </c>
      <c r="C8" s="50" t="s">
        <v>20</v>
      </c>
      <c r="D8" s="50" t="s">
        <v>26</v>
      </c>
      <c r="E8" s="50" t="s">
        <v>27</v>
      </c>
      <c r="F8" s="48" t="s">
        <v>23</v>
      </c>
      <c r="G8" s="9">
        <v>5</v>
      </c>
      <c r="H8" s="12">
        <f>'Engineering Assumptions'!$C$18*'Engineering Assumptions'!$B$5*U8</f>
        <v>2101</v>
      </c>
      <c r="I8" s="12">
        <f>'Engineering Assumptions'!$B$8</f>
        <v>650</v>
      </c>
      <c r="J8" s="12">
        <f>'Engineering Assumptions'!$D$18*S8*U8</f>
        <v>180</v>
      </c>
      <c r="K8" s="12">
        <f>'Engineering Assumptions'!$E$18*T8*U8</f>
        <v>66</v>
      </c>
      <c r="L8" s="13">
        <f t="shared" si="0"/>
        <v>2997</v>
      </c>
      <c r="M8" s="12">
        <f>L8*'Engineering Assumptions'!$B$10</f>
        <v>449.55</v>
      </c>
      <c r="N8" s="13">
        <f t="shared" si="1"/>
        <v>3446.55</v>
      </c>
      <c r="O8" s="12">
        <f>N8*'Engineering Assumptions'!$B$11</f>
        <v>689.31000000000006</v>
      </c>
      <c r="P8" s="156">
        <f t="shared" si="2"/>
        <v>4140</v>
      </c>
      <c r="Q8" s="12">
        <f>'Fleet Pricing'!H8</f>
        <v>4150</v>
      </c>
      <c r="R8" s="45">
        <v>5</v>
      </c>
      <c r="S8" s="49">
        <v>1</v>
      </c>
      <c r="T8" s="49">
        <v>0.3</v>
      </c>
      <c r="U8" s="49">
        <v>1</v>
      </c>
    </row>
    <row r="9" spans="1:21" ht="15" customHeight="1" x14ac:dyDescent="0.3">
      <c r="A9" s="9">
        <v>4</v>
      </c>
      <c r="B9" s="50" t="s">
        <v>19</v>
      </c>
      <c r="C9" s="50" t="s">
        <v>28</v>
      </c>
      <c r="D9" s="50" t="s">
        <v>29</v>
      </c>
      <c r="E9" s="50" t="s">
        <v>30</v>
      </c>
      <c r="F9" s="48" t="s">
        <v>31</v>
      </c>
      <c r="G9" s="9">
        <v>6</v>
      </c>
      <c r="H9" s="12">
        <f>'Engineering Assumptions'!$C$18*'Engineering Assumptions'!$B$5*U9</f>
        <v>2101</v>
      </c>
      <c r="I9" s="12">
        <f>'Engineering Assumptions'!$B$8</f>
        <v>650</v>
      </c>
      <c r="J9" s="12">
        <f>'Engineering Assumptions'!$D$18*S9*U9</f>
        <v>225</v>
      </c>
      <c r="K9" s="12">
        <f>'Engineering Assumptions'!$E$18*T9*U9</f>
        <v>165</v>
      </c>
      <c r="L9" s="13">
        <f t="shared" si="0"/>
        <v>3141</v>
      </c>
      <c r="M9" s="12">
        <f>L9*'Engineering Assumptions'!$B$10</f>
        <v>471.15</v>
      </c>
      <c r="N9" s="13">
        <f t="shared" si="1"/>
        <v>3612.15</v>
      </c>
      <c r="O9" s="12">
        <f>N9*'Engineering Assumptions'!$B$11</f>
        <v>722.43000000000006</v>
      </c>
      <c r="P9" s="156">
        <f t="shared" si="2"/>
        <v>4330</v>
      </c>
      <c r="Q9" s="12">
        <f>'Fleet Pricing'!H9</f>
        <v>4150</v>
      </c>
      <c r="R9" s="45">
        <v>6</v>
      </c>
      <c r="S9" s="49">
        <v>1.25</v>
      </c>
      <c r="T9" s="49">
        <v>0.75</v>
      </c>
      <c r="U9" s="49">
        <v>1</v>
      </c>
    </row>
    <row r="10" spans="1:21" ht="15" customHeight="1" x14ac:dyDescent="0.3">
      <c r="A10" s="9">
        <v>5</v>
      </c>
      <c r="B10" s="50" t="s">
        <v>19</v>
      </c>
      <c r="C10" s="50" t="s">
        <v>28</v>
      </c>
      <c r="D10" s="50" t="s">
        <v>32</v>
      </c>
      <c r="E10" s="50" t="s">
        <v>33</v>
      </c>
      <c r="F10" s="48" t="s">
        <v>31</v>
      </c>
      <c r="G10" s="9">
        <v>6</v>
      </c>
      <c r="H10" s="12">
        <f>'Engineering Assumptions'!$C$18*'Engineering Assumptions'!$B$5*U10</f>
        <v>2101</v>
      </c>
      <c r="I10" s="12">
        <f>'Engineering Assumptions'!$B$8</f>
        <v>650</v>
      </c>
      <c r="J10" s="12">
        <f>'Engineering Assumptions'!$D$18*S10*U10</f>
        <v>225</v>
      </c>
      <c r="K10" s="12">
        <f>'Engineering Assumptions'!$E$18*T10*U10</f>
        <v>165</v>
      </c>
      <c r="L10" s="13">
        <f t="shared" si="0"/>
        <v>3141</v>
      </c>
      <c r="M10" s="12">
        <f>L10*'Engineering Assumptions'!$B$10</f>
        <v>471.15</v>
      </c>
      <c r="N10" s="13">
        <f t="shared" si="1"/>
        <v>3612.15</v>
      </c>
      <c r="O10" s="12">
        <f>N10*'Engineering Assumptions'!$B$11</f>
        <v>722.43000000000006</v>
      </c>
      <c r="P10" s="156">
        <f t="shared" si="2"/>
        <v>4330</v>
      </c>
      <c r="Q10" s="12">
        <f>'Fleet Pricing'!H10</f>
        <v>4150</v>
      </c>
      <c r="R10" s="45">
        <v>6</v>
      </c>
      <c r="S10" s="49">
        <v>1.25</v>
      </c>
      <c r="T10" s="49">
        <v>0.75</v>
      </c>
      <c r="U10" s="49">
        <v>1</v>
      </c>
    </row>
    <row r="11" spans="1:21" ht="15" customHeight="1" x14ac:dyDescent="0.3">
      <c r="A11" s="9">
        <v>6</v>
      </c>
      <c r="B11" s="50" t="s">
        <v>19</v>
      </c>
      <c r="C11" s="50" t="s">
        <v>28</v>
      </c>
      <c r="D11" s="50" t="s">
        <v>34</v>
      </c>
      <c r="E11" s="50" t="s">
        <v>35</v>
      </c>
      <c r="F11" s="48" t="s">
        <v>31</v>
      </c>
      <c r="G11" s="9">
        <v>6</v>
      </c>
      <c r="H11" s="12">
        <f>'Engineering Assumptions'!$C$18*'Engineering Assumptions'!$B$5*U11</f>
        <v>2101</v>
      </c>
      <c r="I11" s="12">
        <f>'Engineering Assumptions'!$B$8</f>
        <v>650</v>
      </c>
      <c r="J11" s="12">
        <f>'Engineering Assumptions'!$D$18*S11*U11</f>
        <v>225</v>
      </c>
      <c r="K11" s="12">
        <f>'Engineering Assumptions'!$E$18*T11*U11</f>
        <v>165</v>
      </c>
      <c r="L11" s="13">
        <f t="shared" si="0"/>
        <v>3141</v>
      </c>
      <c r="M11" s="12">
        <f>L11*'Engineering Assumptions'!$B$10</f>
        <v>471.15</v>
      </c>
      <c r="N11" s="13">
        <f t="shared" si="1"/>
        <v>3612.15</v>
      </c>
      <c r="O11" s="12">
        <f>N11*'Engineering Assumptions'!$B$11</f>
        <v>722.43000000000006</v>
      </c>
      <c r="P11" s="156">
        <f t="shared" si="2"/>
        <v>4330</v>
      </c>
      <c r="Q11" s="12">
        <f>'Fleet Pricing'!H11</f>
        <v>4150</v>
      </c>
      <c r="R11" s="45">
        <v>6</v>
      </c>
      <c r="S11" s="49">
        <v>1.25</v>
      </c>
      <c r="T11" s="49">
        <v>0.75</v>
      </c>
      <c r="U11" s="49">
        <v>1</v>
      </c>
    </row>
    <row r="12" spans="1:21" ht="15" customHeight="1" x14ac:dyDescent="0.3">
      <c r="A12" s="9">
        <v>7</v>
      </c>
      <c r="B12" s="50" t="s">
        <v>19</v>
      </c>
      <c r="C12" s="50" t="s">
        <v>28</v>
      </c>
      <c r="D12" s="50" t="s">
        <v>36</v>
      </c>
      <c r="E12" s="50" t="s">
        <v>37</v>
      </c>
      <c r="F12" s="48" t="s">
        <v>31</v>
      </c>
      <c r="G12" s="9">
        <v>6</v>
      </c>
      <c r="H12" s="12">
        <f>'Engineering Assumptions'!$C$18*'Engineering Assumptions'!$B$5*U12</f>
        <v>2101</v>
      </c>
      <c r="I12" s="12">
        <f>'Engineering Assumptions'!$B$8</f>
        <v>650</v>
      </c>
      <c r="J12" s="12">
        <f>'Engineering Assumptions'!$D$18*S12*U12</f>
        <v>225</v>
      </c>
      <c r="K12" s="12">
        <f>'Engineering Assumptions'!$E$18*T12*U12</f>
        <v>165</v>
      </c>
      <c r="L12" s="13">
        <f t="shared" si="0"/>
        <v>3141</v>
      </c>
      <c r="M12" s="12">
        <f>L12*'Engineering Assumptions'!$B$10</f>
        <v>471.15</v>
      </c>
      <c r="N12" s="13">
        <f t="shared" si="1"/>
        <v>3612.15</v>
      </c>
      <c r="O12" s="12">
        <f>N12*'Engineering Assumptions'!$B$11</f>
        <v>722.43000000000006</v>
      </c>
      <c r="P12" s="156">
        <f t="shared" si="2"/>
        <v>4330</v>
      </c>
      <c r="Q12" s="12">
        <f>'Fleet Pricing'!H12</f>
        <v>4150</v>
      </c>
      <c r="R12" s="45">
        <v>6</v>
      </c>
      <c r="S12" s="49">
        <v>1.25</v>
      </c>
      <c r="T12" s="49">
        <v>0.75</v>
      </c>
      <c r="U12" s="49">
        <v>1</v>
      </c>
    </row>
    <row r="13" spans="1:21" ht="15" customHeight="1" x14ac:dyDescent="0.3">
      <c r="A13" s="9">
        <v>8</v>
      </c>
      <c r="B13" s="50" t="s">
        <v>19</v>
      </c>
      <c r="C13" s="50" t="s">
        <v>28</v>
      </c>
      <c r="D13" s="50" t="s">
        <v>38</v>
      </c>
      <c r="E13" s="50" t="s">
        <v>39</v>
      </c>
      <c r="F13" s="48" t="s">
        <v>31</v>
      </c>
      <c r="G13" s="9">
        <v>6</v>
      </c>
      <c r="H13" s="12">
        <f>'Engineering Assumptions'!$C$18*'Engineering Assumptions'!$B$5*U13</f>
        <v>2101</v>
      </c>
      <c r="I13" s="12">
        <f>'Engineering Assumptions'!$B$8</f>
        <v>650</v>
      </c>
      <c r="J13" s="12">
        <f>'Engineering Assumptions'!$D$18*S13*U13</f>
        <v>225</v>
      </c>
      <c r="K13" s="12">
        <f>'Engineering Assumptions'!$E$18*T13*U13</f>
        <v>165</v>
      </c>
      <c r="L13" s="13">
        <f t="shared" si="0"/>
        <v>3141</v>
      </c>
      <c r="M13" s="12">
        <f>L13*'Engineering Assumptions'!$B$10</f>
        <v>471.15</v>
      </c>
      <c r="N13" s="13">
        <f t="shared" si="1"/>
        <v>3612.15</v>
      </c>
      <c r="O13" s="12">
        <f>N13*'Engineering Assumptions'!$B$11</f>
        <v>722.43000000000006</v>
      </c>
      <c r="P13" s="156">
        <f t="shared" si="2"/>
        <v>4330</v>
      </c>
      <c r="Q13" s="12">
        <f>'Fleet Pricing'!H13</f>
        <v>4150</v>
      </c>
      <c r="R13" s="45">
        <v>6</v>
      </c>
      <c r="S13" s="49">
        <v>1.25</v>
      </c>
      <c r="T13" s="49">
        <v>0.75</v>
      </c>
      <c r="U13" s="49">
        <v>1</v>
      </c>
    </row>
    <row r="14" spans="1:21" ht="15" customHeight="1" x14ac:dyDescent="0.3">
      <c r="A14" s="9">
        <v>9</v>
      </c>
      <c r="B14" s="50" t="s">
        <v>19</v>
      </c>
      <c r="C14" s="50" t="s">
        <v>28</v>
      </c>
      <c r="D14" s="50" t="s">
        <v>40</v>
      </c>
      <c r="E14" s="50" t="s">
        <v>41</v>
      </c>
      <c r="F14" s="48" t="s">
        <v>31</v>
      </c>
      <c r="G14" s="9">
        <v>6</v>
      </c>
      <c r="H14" s="12">
        <f>'Engineering Assumptions'!$C$18*'Engineering Assumptions'!$B$5*U14</f>
        <v>2101</v>
      </c>
      <c r="I14" s="12">
        <f>'Engineering Assumptions'!$B$8</f>
        <v>650</v>
      </c>
      <c r="J14" s="12">
        <f>'Engineering Assumptions'!$D$18*S14*U14</f>
        <v>225</v>
      </c>
      <c r="K14" s="12">
        <f>'Engineering Assumptions'!$E$18*T14*U14</f>
        <v>165</v>
      </c>
      <c r="L14" s="13">
        <f t="shared" si="0"/>
        <v>3141</v>
      </c>
      <c r="M14" s="12">
        <f>L14*'Engineering Assumptions'!$B$10</f>
        <v>471.15</v>
      </c>
      <c r="N14" s="13">
        <f t="shared" si="1"/>
        <v>3612.15</v>
      </c>
      <c r="O14" s="12">
        <f>N14*'Engineering Assumptions'!$B$11</f>
        <v>722.43000000000006</v>
      </c>
      <c r="P14" s="156">
        <f t="shared" si="2"/>
        <v>4330</v>
      </c>
      <c r="Q14" s="12">
        <f>'Fleet Pricing'!H14</f>
        <v>4150</v>
      </c>
      <c r="R14" s="45">
        <v>6</v>
      </c>
      <c r="S14" s="49">
        <v>1.25</v>
      </c>
      <c r="T14" s="49">
        <v>0.75</v>
      </c>
      <c r="U14" s="49">
        <v>1</v>
      </c>
    </row>
    <row r="15" spans="1:21" ht="15" customHeight="1" x14ac:dyDescent="0.3">
      <c r="A15" s="9">
        <v>10</v>
      </c>
      <c r="B15" s="50" t="s">
        <v>19</v>
      </c>
      <c r="C15" s="50" t="s">
        <v>42</v>
      </c>
      <c r="D15" s="50" t="s">
        <v>43</v>
      </c>
      <c r="E15" s="50" t="s">
        <v>44</v>
      </c>
      <c r="F15" s="48" t="s">
        <v>45</v>
      </c>
      <c r="G15" s="9">
        <v>7</v>
      </c>
      <c r="H15" s="12">
        <f>'Engineering Assumptions'!$C$18*'Engineering Assumptions'!$B$5*U15</f>
        <v>2101</v>
      </c>
      <c r="I15" s="12">
        <f>'Engineering Assumptions'!$B$8</f>
        <v>650</v>
      </c>
      <c r="J15" s="12">
        <f>'Engineering Assumptions'!$D$18*S15*U15</f>
        <v>225</v>
      </c>
      <c r="K15" s="12">
        <f>'Engineering Assumptions'!$E$18*T15*U15</f>
        <v>165</v>
      </c>
      <c r="L15" s="13">
        <f t="shared" si="0"/>
        <v>3141</v>
      </c>
      <c r="M15" s="12">
        <f>L15*'Engineering Assumptions'!$B$10</f>
        <v>471.15</v>
      </c>
      <c r="N15" s="13">
        <f t="shared" si="1"/>
        <v>3612.15</v>
      </c>
      <c r="O15" s="12">
        <f>N15*'Engineering Assumptions'!$B$11</f>
        <v>722.43000000000006</v>
      </c>
      <c r="P15" s="156">
        <f t="shared" si="2"/>
        <v>4330</v>
      </c>
      <c r="Q15" s="12">
        <f>'Fleet Pricing'!H15</f>
        <v>3820</v>
      </c>
      <c r="R15" s="45">
        <v>7</v>
      </c>
      <c r="S15" s="49">
        <v>1.25</v>
      </c>
      <c r="T15" s="49">
        <v>0.75</v>
      </c>
      <c r="U15" s="49">
        <v>1</v>
      </c>
    </row>
    <row r="16" spans="1:21" ht="15" customHeight="1" x14ac:dyDescent="0.3">
      <c r="A16" s="9">
        <v>11</v>
      </c>
      <c r="B16" s="50" t="s">
        <v>19</v>
      </c>
      <c r="C16" s="50" t="s">
        <v>46</v>
      </c>
      <c r="D16" s="50" t="s">
        <v>47</v>
      </c>
      <c r="E16" s="50" t="s">
        <v>48</v>
      </c>
      <c r="F16" s="48" t="s">
        <v>49</v>
      </c>
      <c r="G16" s="9">
        <v>10</v>
      </c>
      <c r="H16" s="12">
        <f>'Engineering Assumptions'!$C$18*'Engineering Assumptions'!$B$5*U16</f>
        <v>2101</v>
      </c>
      <c r="I16" s="12">
        <f>'Engineering Assumptions'!$B$8</f>
        <v>650</v>
      </c>
      <c r="J16" s="12">
        <f>'Engineering Assumptions'!$D$18*S16*U16</f>
        <v>225</v>
      </c>
      <c r="K16" s="12">
        <f>'Engineering Assumptions'!$E$18*T16*U16</f>
        <v>165</v>
      </c>
      <c r="L16" s="13">
        <f t="shared" si="0"/>
        <v>3141</v>
      </c>
      <c r="M16" s="12">
        <f>L16*'Engineering Assumptions'!$B$10</f>
        <v>471.15</v>
      </c>
      <c r="N16" s="13">
        <f t="shared" si="1"/>
        <v>3612.15</v>
      </c>
      <c r="O16" s="12">
        <f>N16*'Engineering Assumptions'!$B$11</f>
        <v>722.43000000000006</v>
      </c>
      <c r="P16" s="156">
        <f t="shared" si="2"/>
        <v>4330</v>
      </c>
      <c r="Q16" s="12">
        <f>'Fleet Pricing'!H16</f>
        <v>3820</v>
      </c>
      <c r="R16" s="45">
        <v>10</v>
      </c>
      <c r="S16" s="49">
        <v>1.25</v>
      </c>
      <c r="T16" s="49">
        <v>0.75</v>
      </c>
      <c r="U16" s="49">
        <v>1</v>
      </c>
    </row>
    <row r="17" spans="1:21" ht="15" customHeight="1" x14ac:dyDescent="0.3">
      <c r="A17" s="9">
        <v>12</v>
      </c>
      <c r="B17" s="50" t="s">
        <v>19</v>
      </c>
      <c r="C17" s="50" t="s">
        <v>46</v>
      </c>
      <c r="D17" s="50" t="s">
        <v>50</v>
      </c>
      <c r="E17" s="50" t="s">
        <v>51</v>
      </c>
      <c r="F17" s="48" t="s">
        <v>49</v>
      </c>
      <c r="G17" s="9">
        <v>10</v>
      </c>
      <c r="H17" s="12">
        <f>'Engineering Assumptions'!$C$18*'Engineering Assumptions'!$B$5*U17</f>
        <v>2101</v>
      </c>
      <c r="I17" s="12">
        <f>'Engineering Assumptions'!$B$8</f>
        <v>650</v>
      </c>
      <c r="J17" s="12">
        <f>'Engineering Assumptions'!$D$18*S17*U17</f>
        <v>225</v>
      </c>
      <c r="K17" s="12">
        <f>'Engineering Assumptions'!$E$18*T17*U17</f>
        <v>165</v>
      </c>
      <c r="L17" s="13">
        <f t="shared" si="0"/>
        <v>3141</v>
      </c>
      <c r="M17" s="12">
        <f>L17*'Engineering Assumptions'!$B$10</f>
        <v>471.15</v>
      </c>
      <c r="N17" s="13">
        <f t="shared" si="1"/>
        <v>3612.15</v>
      </c>
      <c r="O17" s="12">
        <f>N17*'Engineering Assumptions'!$B$11</f>
        <v>722.43000000000006</v>
      </c>
      <c r="P17" s="156">
        <f t="shared" si="2"/>
        <v>4330</v>
      </c>
      <c r="Q17" s="12">
        <f>'Fleet Pricing'!H17</f>
        <v>3820</v>
      </c>
      <c r="R17" s="45">
        <v>10</v>
      </c>
      <c r="S17" s="49">
        <v>1.25</v>
      </c>
      <c r="T17" s="49">
        <v>0.75</v>
      </c>
      <c r="U17" s="49">
        <v>1</v>
      </c>
    </row>
    <row r="18" spans="1:21" ht="15" customHeight="1" x14ac:dyDescent="0.3">
      <c r="A18" s="9">
        <v>13</v>
      </c>
      <c r="B18" s="50" t="s">
        <v>19</v>
      </c>
      <c r="C18" s="50" t="s">
        <v>52</v>
      </c>
      <c r="D18" s="50" t="s">
        <v>53</v>
      </c>
      <c r="E18" s="50" t="s">
        <v>54</v>
      </c>
      <c r="F18" s="48" t="s">
        <v>49</v>
      </c>
      <c r="G18" s="9">
        <v>10</v>
      </c>
      <c r="H18" s="12">
        <f>'Engineering Assumptions'!$C$18*'Engineering Assumptions'!$B$5*U18</f>
        <v>2101</v>
      </c>
      <c r="I18" s="12">
        <f>'Engineering Assumptions'!$B$8</f>
        <v>650</v>
      </c>
      <c r="J18" s="12">
        <f>'Engineering Assumptions'!$D$18*S18*U18</f>
        <v>225</v>
      </c>
      <c r="K18" s="12">
        <f>'Engineering Assumptions'!$E$18*T18*U18</f>
        <v>165</v>
      </c>
      <c r="L18" s="13">
        <f t="shared" si="0"/>
        <v>3141</v>
      </c>
      <c r="M18" s="12">
        <f>L18*'Engineering Assumptions'!$B$10</f>
        <v>471.15</v>
      </c>
      <c r="N18" s="13">
        <f t="shared" si="1"/>
        <v>3612.15</v>
      </c>
      <c r="O18" s="12">
        <f>N18*'Engineering Assumptions'!$B$11</f>
        <v>722.43000000000006</v>
      </c>
      <c r="P18" s="156">
        <f t="shared" si="2"/>
        <v>4330</v>
      </c>
      <c r="Q18" s="12">
        <f>'Fleet Pricing'!H18</f>
        <v>3820</v>
      </c>
      <c r="R18" s="45">
        <v>10</v>
      </c>
      <c r="S18" s="49">
        <v>1.25</v>
      </c>
      <c r="T18" s="49">
        <v>0.75</v>
      </c>
      <c r="U18" s="49">
        <v>1</v>
      </c>
    </row>
    <row r="19" spans="1:21" ht="15" customHeight="1" x14ac:dyDescent="0.3">
      <c r="A19" s="9">
        <v>14</v>
      </c>
      <c r="B19" s="50" t="s">
        <v>19</v>
      </c>
      <c r="C19" s="50" t="s">
        <v>52</v>
      </c>
      <c r="D19" s="50" t="s">
        <v>55</v>
      </c>
      <c r="E19" s="50" t="s">
        <v>56</v>
      </c>
      <c r="F19" s="48" t="s">
        <v>49</v>
      </c>
      <c r="G19" s="9">
        <v>10</v>
      </c>
      <c r="H19" s="12">
        <f>'Engineering Assumptions'!$C$18*'Engineering Assumptions'!$B$5*U19</f>
        <v>2101</v>
      </c>
      <c r="I19" s="12">
        <f>'Engineering Assumptions'!$B$8</f>
        <v>650</v>
      </c>
      <c r="J19" s="12">
        <f>'Engineering Assumptions'!$D$18*S19*U19</f>
        <v>225</v>
      </c>
      <c r="K19" s="12">
        <f>'Engineering Assumptions'!$E$18*T19*U19</f>
        <v>165</v>
      </c>
      <c r="L19" s="13">
        <f t="shared" si="0"/>
        <v>3141</v>
      </c>
      <c r="M19" s="12">
        <f>L19*'Engineering Assumptions'!$B$10</f>
        <v>471.15</v>
      </c>
      <c r="N19" s="13">
        <f t="shared" si="1"/>
        <v>3612.15</v>
      </c>
      <c r="O19" s="12">
        <f>N19*'Engineering Assumptions'!$B$11</f>
        <v>722.43000000000006</v>
      </c>
      <c r="P19" s="156">
        <f t="shared" si="2"/>
        <v>4330</v>
      </c>
      <c r="Q19" s="12">
        <f>'Fleet Pricing'!H19</f>
        <v>3820</v>
      </c>
      <c r="R19" s="45">
        <v>10</v>
      </c>
      <c r="S19" s="49">
        <v>1.25</v>
      </c>
      <c r="T19" s="49">
        <v>0.75</v>
      </c>
      <c r="U19" s="49">
        <v>1</v>
      </c>
    </row>
    <row r="20" spans="1:21" ht="15" customHeight="1" x14ac:dyDescent="0.3">
      <c r="A20" s="9">
        <v>15</v>
      </c>
      <c r="B20" s="50" t="s">
        <v>19</v>
      </c>
      <c r="C20" s="50" t="s">
        <v>52</v>
      </c>
      <c r="D20" s="50" t="s">
        <v>57</v>
      </c>
      <c r="E20" s="50" t="s">
        <v>58</v>
      </c>
      <c r="F20" s="48" t="s">
        <v>49</v>
      </c>
      <c r="G20" s="9">
        <v>10</v>
      </c>
      <c r="H20" s="12">
        <f>'Engineering Assumptions'!$C$18*'Engineering Assumptions'!$B$5*U20</f>
        <v>2101</v>
      </c>
      <c r="I20" s="12">
        <f>'Engineering Assumptions'!$B$8</f>
        <v>650</v>
      </c>
      <c r="J20" s="12">
        <f>'Engineering Assumptions'!$D$18*S20*U20</f>
        <v>225</v>
      </c>
      <c r="K20" s="12">
        <f>'Engineering Assumptions'!$E$18*T20*U20</f>
        <v>165</v>
      </c>
      <c r="L20" s="13">
        <f t="shared" si="0"/>
        <v>3141</v>
      </c>
      <c r="M20" s="12">
        <f>L20*'Engineering Assumptions'!$B$10</f>
        <v>471.15</v>
      </c>
      <c r="N20" s="13">
        <f t="shared" si="1"/>
        <v>3612.15</v>
      </c>
      <c r="O20" s="12">
        <f>N20*'Engineering Assumptions'!$B$11</f>
        <v>722.43000000000006</v>
      </c>
      <c r="P20" s="156">
        <f t="shared" si="2"/>
        <v>4330</v>
      </c>
      <c r="Q20" s="12">
        <f>'Fleet Pricing'!H20</f>
        <v>3820</v>
      </c>
      <c r="R20" s="45">
        <v>10</v>
      </c>
      <c r="S20" s="49">
        <v>1.25</v>
      </c>
      <c r="T20" s="49">
        <v>0.75</v>
      </c>
      <c r="U20" s="49">
        <v>1</v>
      </c>
    </row>
    <row r="21" spans="1:21" ht="15" customHeight="1" x14ac:dyDescent="0.3">
      <c r="A21" s="9">
        <v>16</v>
      </c>
      <c r="B21" s="50" t="s">
        <v>19</v>
      </c>
      <c r="C21" s="50" t="s">
        <v>46</v>
      </c>
      <c r="D21" s="50" t="s">
        <v>59</v>
      </c>
      <c r="E21" s="50" t="s">
        <v>60</v>
      </c>
      <c r="F21" s="48" t="s">
        <v>61</v>
      </c>
      <c r="G21" s="9">
        <v>11</v>
      </c>
      <c r="H21" s="12">
        <f>'Engineering Assumptions'!$C$18*'Engineering Assumptions'!$B$5*U21</f>
        <v>2101</v>
      </c>
      <c r="I21" s="12">
        <f>'Engineering Assumptions'!$B$8</f>
        <v>650</v>
      </c>
      <c r="J21" s="12">
        <f>'Engineering Assumptions'!$D$18*S21*U21</f>
        <v>279</v>
      </c>
      <c r="K21" s="12">
        <f>'Engineering Assumptions'!$E$18*T21*U21</f>
        <v>297</v>
      </c>
      <c r="L21" s="13">
        <f t="shared" si="0"/>
        <v>3327</v>
      </c>
      <c r="M21" s="12">
        <f>L21*'Engineering Assumptions'!$B$10</f>
        <v>499.04999999999995</v>
      </c>
      <c r="N21" s="13">
        <f t="shared" si="1"/>
        <v>3826.05</v>
      </c>
      <c r="O21" s="12">
        <f>N21*'Engineering Assumptions'!$B$11</f>
        <v>765.21</v>
      </c>
      <c r="P21" s="156">
        <f t="shared" si="2"/>
        <v>4590</v>
      </c>
      <c r="Q21" s="12">
        <f>'Fleet Pricing'!H21</f>
        <v>3820</v>
      </c>
      <c r="R21" s="45">
        <v>11</v>
      </c>
      <c r="S21" s="49">
        <v>1.55</v>
      </c>
      <c r="T21" s="49">
        <v>1.35</v>
      </c>
      <c r="U21" s="49">
        <v>1</v>
      </c>
    </row>
    <row r="22" spans="1:21" ht="15" customHeight="1" x14ac:dyDescent="0.3">
      <c r="A22" s="9">
        <v>17</v>
      </c>
      <c r="B22" s="50" t="s">
        <v>19</v>
      </c>
      <c r="C22" s="50" t="s">
        <v>46</v>
      </c>
      <c r="D22" s="50" t="s">
        <v>62</v>
      </c>
      <c r="E22" s="50" t="s">
        <v>63</v>
      </c>
      <c r="F22" s="48" t="s">
        <v>61</v>
      </c>
      <c r="G22" s="9">
        <v>11</v>
      </c>
      <c r="H22" s="12">
        <f>'Engineering Assumptions'!$C$18*'Engineering Assumptions'!$B$5*U22</f>
        <v>2101</v>
      </c>
      <c r="I22" s="12">
        <f>'Engineering Assumptions'!$B$8</f>
        <v>650</v>
      </c>
      <c r="J22" s="12">
        <f>'Engineering Assumptions'!$D$18*S22*U22</f>
        <v>279</v>
      </c>
      <c r="K22" s="12">
        <f>'Engineering Assumptions'!$E$18*T22*U22</f>
        <v>297</v>
      </c>
      <c r="L22" s="13">
        <f t="shared" si="0"/>
        <v>3327</v>
      </c>
      <c r="M22" s="12">
        <f>L22*'Engineering Assumptions'!$B$10</f>
        <v>499.04999999999995</v>
      </c>
      <c r="N22" s="13">
        <f t="shared" si="1"/>
        <v>3826.05</v>
      </c>
      <c r="O22" s="12">
        <f>N22*'Engineering Assumptions'!$B$11</f>
        <v>765.21</v>
      </c>
      <c r="P22" s="156">
        <f t="shared" si="2"/>
        <v>4590</v>
      </c>
      <c r="Q22" s="12">
        <f>'Fleet Pricing'!H22</f>
        <v>3820</v>
      </c>
      <c r="R22" s="45">
        <v>11</v>
      </c>
      <c r="S22" s="49">
        <v>1.55</v>
      </c>
      <c r="T22" s="49">
        <v>1.35</v>
      </c>
      <c r="U22" s="49">
        <v>1</v>
      </c>
    </row>
    <row r="23" spans="1:21" ht="15" customHeight="1" x14ac:dyDescent="0.3">
      <c r="A23" s="9">
        <v>18</v>
      </c>
      <c r="B23" s="50" t="s">
        <v>19</v>
      </c>
      <c r="C23" s="50" t="s">
        <v>52</v>
      </c>
      <c r="D23" s="50" t="s">
        <v>64</v>
      </c>
      <c r="E23" s="50" t="s">
        <v>65</v>
      </c>
      <c r="F23" s="48" t="s">
        <v>66</v>
      </c>
      <c r="G23" s="9">
        <v>14</v>
      </c>
      <c r="H23" s="12">
        <f>'Engineering Assumptions'!$C$18*'Engineering Assumptions'!$B$5*U23</f>
        <v>2101</v>
      </c>
      <c r="I23" s="12">
        <f>'Engineering Assumptions'!$B$8</f>
        <v>650</v>
      </c>
      <c r="J23" s="12">
        <f>'Engineering Assumptions'!$D$18*S23*U23</f>
        <v>279</v>
      </c>
      <c r="K23" s="12">
        <f>'Engineering Assumptions'!$E$18*T23*U23</f>
        <v>297</v>
      </c>
      <c r="L23" s="13">
        <f t="shared" si="0"/>
        <v>3327</v>
      </c>
      <c r="M23" s="12">
        <f>L23*'Engineering Assumptions'!$B$10</f>
        <v>499.04999999999995</v>
      </c>
      <c r="N23" s="13">
        <f t="shared" si="1"/>
        <v>3826.05</v>
      </c>
      <c r="O23" s="12">
        <f>N23*'Engineering Assumptions'!$B$11</f>
        <v>765.21</v>
      </c>
      <c r="P23" s="156">
        <f t="shared" si="2"/>
        <v>4590</v>
      </c>
      <c r="Q23" s="12">
        <f>'Fleet Pricing'!H23</f>
        <v>3400</v>
      </c>
      <c r="R23" s="45">
        <v>14</v>
      </c>
      <c r="S23" s="49">
        <v>1.55</v>
      </c>
      <c r="T23" s="49">
        <v>1.35</v>
      </c>
      <c r="U23" s="49">
        <v>1</v>
      </c>
    </row>
    <row r="24" spans="1:21" ht="15" customHeight="1" x14ac:dyDescent="0.3">
      <c r="A24" s="9">
        <v>19</v>
      </c>
      <c r="B24" s="50" t="s">
        <v>19</v>
      </c>
      <c r="C24" s="50" t="s">
        <v>52</v>
      </c>
      <c r="D24" s="50" t="s">
        <v>67</v>
      </c>
      <c r="E24" s="50" t="s">
        <v>68</v>
      </c>
      <c r="F24" s="48" t="s">
        <v>66</v>
      </c>
      <c r="G24" s="9">
        <v>14</v>
      </c>
      <c r="H24" s="12">
        <f>'Engineering Assumptions'!$C$18*'Engineering Assumptions'!$B$5*U24</f>
        <v>2101</v>
      </c>
      <c r="I24" s="12">
        <f>'Engineering Assumptions'!$B$8</f>
        <v>650</v>
      </c>
      <c r="J24" s="12">
        <f>'Engineering Assumptions'!$D$18*S24*U24</f>
        <v>279</v>
      </c>
      <c r="K24" s="12">
        <f>'Engineering Assumptions'!$E$18*T24*U24</f>
        <v>297</v>
      </c>
      <c r="L24" s="13">
        <f t="shared" si="0"/>
        <v>3327</v>
      </c>
      <c r="M24" s="12">
        <f>L24*'Engineering Assumptions'!$B$10</f>
        <v>499.04999999999995</v>
      </c>
      <c r="N24" s="13">
        <f t="shared" si="1"/>
        <v>3826.05</v>
      </c>
      <c r="O24" s="12">
        <f>N24*'Engineering Assumptions'!$B$11</f>
        <v>765.21</v>
      </c>
      <c r="P24" s="156">
        <f t="shared" si="2"/>
        <v>4590</v>
      </c>
      <c r="Q24" s="12">
        <f>'Fleet Pricing'!H24</f>
        <v>3400</v>
      </c>
      <c r="R24" s="45">
        <v>14</v>
      </c>
      <c r="S24" s="49">
        <v>1.55</v>
      </c>
      <c r="T24" s="49">
        <v>1.35</v>
      </c>
      <c r="U24" s="49">
        <v>1</v>
      </c>
    </row>
    <row r="25" spans="1:21" ht="15" customHeight="1" x14ac:dyDescent="0.3">
      <c r="A25" s="9">
        <v>20</v>
      </c>
      <c r="B25" s="50" t="s">
        <v>19</v>
      </c>
      <c r="C25" s="50" t="s">
        <v>52</v>
      </c>
      <c r="D25" s="50" t="s">
        <v>69</v>
      </c>
      <c r="E25" s="50" t="s">
        <v>70</v>
      </c>
      <c r="F25" s="48" t="s">
        <v>66</v>
      </c>
      <c r="G25" s="9">
        <v>14</v>
      </c>
      <c r="H25" s="12">
        <f>'Engineering Assumptions'!$C$18*'Engineering Assumptions'!$B$5*U25</f>
        <v>2101</v>
      </c>
      <c r="I25" s="12">
        <f>'Engineering Assumptions'!$B$8</f>
        <v>650</v>
      </c>
      <c r="J25" s="12">
        <f>'Engineering Assumptions'!$D$18*S25*U25</f>
        <v>279</v>
      </c>
      <c r="K25" s="12">
        <f>'Engineering Assumptions'!$E$18*T25*U25</f>
        <v>297</v>
      </c>
      <c r="L25" s="13">
        <f t="shared" si="0"/>
        <v>3327</v>
      </c>
      <c r="M25" s="12">
        <f>L25*'Engineering Assumptions'!$B$10</f>
        <v>499.04999999999995</v>
      </c>
      <c r="N25" s="13">
        <f t="shared" si="1"/>
        <v>3826.05</v>
      </c>
      <c r="O25" s="12">
        <f>N25*'Engineering Assumptions'!$B$11</f>
        <v>765.21</v>
      </c>
      <c r="P25" s="156">
        <f t="shared" si="2"/>
        <v>4590</v>
      </c>
      <c r="Q25" s="12">
        <f>'Fleet Pricing'!H25</f>
        <v>3400</v>
      </c>
      <c r="R25" s="45">
        <v>14</v>
      </c>
      <c r="S25" s="49">
        <v>1.55</v>
      </c>
      <c r="T25" s="49">
        <v>1.35</v>
      </c>
      <c r="U25" s="49">
        <v>1</v>
      </c>
    </row>
    <row r="26" spans="1:21" ht="15" customHeight="1" x14ac:dyDescent="0.3">
      <c r="A26" s="9">
        <v>21</v>
      </c>
      <c r="B26" s="50" t="s">
        <v>19</v>
      </c>
      <c r="C26" s="50" t="s">
        <v>52</v>
      </c>
      <c r="D26" s="50" t="s">
        <v>71</v>
      </c>
      <c r="E26" s="50" t="s">
        <v>72</v>
      </c>
      <c r="F26" s="48" t="s">
        <v>73</v>
      </c>
      <c r="G26" s="9">
        <v>20</v>
      </c>
      <c r="H26" s="12">
        <f>'Engineering Assumptions'!$C$18*'Engineering Assumptions'!$B$5*U26</f>
        <v>2101</v>
      </c>
      <c r="I26" s="12">
        <f>'Engineering Assumptions'!$B$8</f>
        <v>650</v>
      </c>
      <c r="J26" s="12">
        <f>'Engineering Assumptions'!$D$18*S26*U26</f>
        <v>351</v>
      </c>
      <c r="K26" s="12">
        <f>'Engineering Assumptions'!$E$18*T26*U26</f>
        <v>462</v>
      </c>
      <c r="L26" s="13">
        <f t="shared" si="0"/>
        <v>3564</v>
      </c>
      <c r="M26" s="12">
        <f>L26*'Engineering Assumptions'!$B$10</f>
        <v>534.6</v>
      </c>
      <c r="N26" s="13">
        <f t="shared" si="1"/>
        <v>4098.6000000000004</v>
      </c>
      <c r="O26" s="12">
        <f>N26*'Engineering Assumptions'!$B$11</f>
        <v>819.72000000000014</v>
      </c>
      <c r="P26" s="156">
        <f t="shared" si="2"/>
        <v>4920</v>
      </c>
      <c r="Q26" s="12">
        <f>'Fleet Pricing'!H26</f>
        <v>2990</v>
      </c>
      <c r="R26" s="45">
        <v>20</v>
      </c>
      <c r="S26" s="49">
        <v>1.95</v>
      </c>
      <c r="T26" s="49">
        <v>2.1</v>
      </c>
      <c r="U26" s="49">
        <v>1</v>
      </c>
    </row>
    <row r="27" spans="1:21" ht="15" customHeight="1" x14ac:dyDescent="0.3">
      <c r="A27" s="9">
        <v>22</v>
      </c>
      <c r="B27" s="50" t="s">
        <v>19</v>
      </c>
      <c r="C27" s="50" t="s">
        <v>74</v>
      </c>
      <c r="D27" s="50" t="s">
        <v>75</v>
      </c>
      <c r="E27" s="50" t="s">
        <v>76</v>
      </c>
      <c r="F27" s="48" t="s">
        <v>77</v>
      </c>
      <c r="G27" s="9">
        <v>22</v>
      </c>
      <c r="H27" s="12">
        <f>'Engineering Assumptions'!$C$18*'Engineering Assumptions'!$B$5*U27</f>
        <v>2101</v>
      </c>
      <c r="I27" s="12">
        <f>'Engineering Assumptions'!$B$8</f>
        <v>650</v>
      </c>
      <c r="J27" s="12">
        <f>'Engineering Assumptions'!$D$18*S27*U27</f>
        <v>432</v>
      </c>
      <c r="K27" s="12">
        <f>'Engineering Assumptions'!$E$18*T27*U27</f>
        <v>660</v>
      </c>
      <c r="L27" s="13">
        <f t="shared" si="0"/>
        <v>3843</v>
      </c>
      <c r="M27" s="12">
        <f>L27*'Engineering Assumptions'!$B$10</f>
        <v>576.44999999999993</v>
      </c>
      <c r="N27" s="13">
        <f t="shared" si="1"/>
        <v>4419.45</v>
      </c>
      <c r="O27" s="12">
        <f>N27*'Engineering Assumptions'!$B$11</f>
        <v>883.89</v>
      </c>
      <c r="P27" s="156">
        <f t="shared" si="2"/>
        <v>5300</v>
      </c>
      <c r="Q27" s="12">
        <f>'Fleet Pricing'!H27</f>
        <v>2700</v>
      </c>
      <c r="R27" s="45">
        <v>22</v>
      </c>
      <c r="S27" s="49">
        <v>2.4</v>
      </c>
      <c r="T27" s="49">
        <v>3</v>
      </c>
      <c r="U27" s="49">
        <v>1</v>
      </c>
    </row>
    <row r="28" spans="1:21" ht="15" customHeight="1" x14ac:dyDescent="0.3">
      <c r="A28" s="9">
        <v>23</v>
      </c>
      <c r="B28" s="50" t="s">
        <v>19</v>
      </c>
      <c r="C28" s="50" t="s">
        <v>78</v>
      </c>
      <c r="D28" s="50" t="s">
        <v>79</v>
      </c>
      <c r="E28" s="50" t="s">
        <v>80</v>
      </c>
      <c r="F28" s="48" t="s">
        <v>81</v>
      </c>
      <c r="G28" s="9">
        <v>24</v>
      </c>
      <c r="H28" s="12">
        <f>'Engineering Assumptions'!$C$18*'Engineering Assumptions'!$B$5*U28</f>
        <v>2101</v>
      </c>
      <c r="I28" s="12">
        <f>'Engineering Assumptions'!$B$8</f>
        <v>650</v>
      </c>
      <c r="J28" s="12">
        <f>'Engineering Assumptions'!$D$18*S28*U28</f>
        <v>432</v>
      </c>
      <c r="K28" s="12">
        <f>'Engineering Assumptions'!$E$18*T28*U28</f>
        <v>660</v>
      </c>
      <c r="L28" s="13">
        <f t="shared" si="0"/>
        <v>3843</v>
      </c>
      <c r="M28" s="12">
        <f>L28*'Engineering Assumptions'!$B$10</f>
        <v>576.44999999999993</v>
      </c>
      <c r="N28" s="13">
        <f t="shared" si="1"/>
        <v>4419.45</v>
      </c>
      <c r="O28" s="12">
        <f>N28*'Engineering Assumptions'!$B$11</f>
        <v>883.89</v>
      </c>
      <c r="P28" s="156">
        <f t="shared" si="2"/>
        <v>5300</v>
      </c>
      <c r="Q28" s="12">
        <f>'Fleet Pricing'!H28</f>
        <v>2700</v>
      </c>
      <c r="R28" s="45">
        <v>24</v>
      </c>
      <c r="S28" s="49">
        <v>2.4</v>
      </c>
      <c r="T28" s="49">
        <v>3</v>
      </c>
      <c r="U28" s="49">
        <v>1</v>
      </c>
    </row>
    <row r="29" spans="1:21" ht="15" customHeight="1" x14ac:dyDescent="0.3">
      <c r="A29" s="9">
        <v>24</v>
      </c>
      <c r="B29" s="50" t="s">
        <v>19</v>
      </c>
      <c r="C29" s="50" t="s">
        <v>82</v>
      </c>
      <c r="D29" s="50" t="s">
        <v>83</v>
      </c>
      <c r="E29" s="50" t="s">
        <v>84</v>
      </c>
      <c r="F29" s="48" t="s">
        <v>85</v>
      </c>
      <c r="G29" s="9">
        <v>27</v>
      </c>
      <c r="H29" s="12">
        <f>'Engineering Assumptions'!$C$18*'Engineering Assumptions'!$B$5*U29</f>
        <v>2101</v>
      </c>
      <c r="I29" s="12">
        <f>'Engineering Assumptions'!$B$8</f>
        <v>650</v>
      </c>
      <c r="J29" s="12">
        <f>'Engineering Assumptions'!$D$18*S29*U29</f>
        <v>432</v>
      </c>
      <c r="K29" s="12">
        <f>'Engineering Assumptions'!$E$18*T29*U29</f>
        <v>660</v>
      </c>
      <c r="L29" s="13">
        <f t="shared" si="0"/>
        <v>3843</v>
      </c>
      <c r="M29" s="12">
        <f>L29*'Engineering Assumptions'!$B$10</f>
        <v>576.44999999999993</v>
      </c>
      <c r="N29" s="13">
        <f t="shared" si="1"/>
        <v>4419.45</v>
      </c>
      <c r="O29" s="12">
        <f>N29*'Engineering Assumptions'!$B$11</f>
        <v>883.89</v>
      </c>
      <c r="P29" s="156">
        <f t="shared" si="2"/>
        <v>5300</v>
      </c>
      <c r="Q29" s="12">
        <f>'Fleet Pricing'!H29</f>
        <v>2410</v>
      </c>
      <c r="R29" s="45">
        <v>27</v>
      </c>
      <c r="S29" s="49">
        <v>2.4</v>
      </c>
      <c r="T29" s="49">
        <v>3</v>
      </c>
      <c r="U29" s="49">
        <v>1</v>
      </c>
    </row>
    <row r="30" spans="1:21" ht="15" customHeight="1" x14ac:dyDescent="0.3">
      <c r="A30" s="199" t="s">
        <v>86</v>
      </c>
      <c r="B30" s="200"/>
      <c r="C30" s="200"/>
      <c r="D30" s="200"/>
      <c r="E30" s="200"/>
      <c r="F30" s="200"/>
      <c r="G30" s="200"/>
      <c r="H30" s="200"/>
      <c r="I30" s="200"/>
      <c r="J30" s="200"/>
      <c r="K30" s="200"/>
      <c r="L30" s="200"/>
      <c r="M30" s="200"/>
      <c r="N30" s="200"/>
      <c r="O30" s="200"/>
      <c r="P30" s="200"/>
      <c r="Q30" s="200"/>
    </row>
    <row r="31" spans="1:21" ht="15" customHeight="1" x14ac:dyDescent="0.3">
      <c r="A31" s="9">
        <v>25</v>
      </c>
      <c r="B31" s="50" t="s">
        <v>87</v>
      </c>
      <c r="C31" s="50" t="s">
        <v>88</v>
      </c>
      <c r="D31" s="50" t="s">
        <v>89</v>
      </c>
      <c r="E31" s="50"/>
      <c r="F31" s="48" t="s">
        <v>31</v>
      </c>
      <c r="G31" s="9">
        <v>6</v>
      </c>
      <c r="H31" s="12">
        <f>'Engineering Assumptions'!$C$19*'Engineering Assumptions'!$B$5*U31</f>
        <v>4966</v>
      </c>
      <c r="I31" s="12">
        <f>'Engineering Assumptions'!$B$8</f>
        <v>650</v>
      </c>
      <c r="J31" s="12">
        <f>'Engineering Assumptions'!$D$19*S31*U31</f>
        <v>437.5</v>
      </c>
      <c r="K31" s="12">
        <f>'Engineering Assumptions'!$E$19*T31*U31</f>
        <v>360</v>
      </c>
      <c r="L31" s="13">
        <f t="shared" ref="L31:L39" si="3">H31+I31+J31+K31</f>
        <v>6413.5</v>
      </c>
      <c r="M31" s="12">
        <f>L31*'Engineering Assumptions'!$B$10</f>
        <v>962.02499999999998</v>
      </c>
      <c r="N31" s="13">
        <f t="shared" ref="N31:N39" si="4">L31+M31</f>
        <v>7375.5249999999996</v>
      </c>
      <c r="O31" s="12">
        <f>N31*'Engineering Assumptions'!$B$11</f>
        <v>1475.105</v>
      </c>
      <c r="P31" s="156">
        <f t="shared" ref="P31:P39" si="5">MROUND(N31+O31,10)</f>
        <v>8850</v>
      </c>
      <c r="Q31" s="12">
        <f>'Fleet Pricing'!H31</f>
        <v>8450</v>
      </c>
      <c r="R31" s="45">
        <v>6</v>
      </c>
      <c r="S31" s="49">
        <v>1.25</v>
      </c>
      <c r="T31" s="49">
        <v>0.75</v>
      </c>
      <c r="U31" s="49">
        <v>1</v>
      </c>
    </row>
    <row r="32" spans="1:21" ht="15" customHeight="1" x14ac:dyDescent="0.3">
      <c r="A32" s="9">
        <v>26</v>
      </c>
      <c r="B32" s="50" t="s">
        <v>87</v>
      </c>
      <c r="C32" s="50" t="s">
        <v>90</v>
      </c>
      <c r="D32" s="50" t="s">
        <v>91</v>
      </c>
      <c r="E32" s="50"/>
      <c r="F32" s="48" t="s">
        <v>61</v>
      </c>
      <c r="G32" s="9">
        <v>11</v>
      </c>
      <c r="H32" s="12">
        <f>'Engineering Assumptions'!$C$19*'Engineering Assumptions'!$B$5*U32</f>
        <v>4966</v>
      </c>
      <c r="I32" s="12">
        <f>'Engineering Assumptions'!$B$8</f>
        <v>650</v>
      </c>
      <c r="J32" s="12">
        <f>'Engineering Assumptions'!$D$19*S32*U32</f>
        <v>542.5</v>
      </c>
      <c r="K32" s="12">
        <f>'Engineering Assumptions'!$E$19*T32*U32</f>
        <v>648</v>
      </c>
      <c r="L32" s="13">
        <f t="shared" si="3"/>
        <v>6806.5</v>
      </c>
      <c r="M32" s="12">
        <f>L32*'Engineering Assumptions'!$B$10</f>
        <v>1020.9749999999999</v>
      </c>
      <c r="N32" s="13">
        <f t="shared" si="4"/>
        <v>7827.4750000000004</v>
      </c>
      <c r="O32" s="12">
        <f>N32*'Engineering Assumptions'!$B$11</f>
        <v>1565.4950000000001</v>
      </c>
      <c r="P32" s="156">
        <f t="shared" si="5"/>
        <v>9390</v>
      </c>
      <c r="Q32" s="12">
        <f>'Fleet Pricing'!H32</f>
        <v>7770</v>
      </c>
      <c r="R32" s="45">
        <v>11</v>
      </c>
      <c r="S32" s="49">
        <v>1.55</v>
      </c>
      <c r="T32" s="49">
        <v>1.35</v>
      </c>
      <c r="U32" s="49">
        <v>1</v>
      </c>
    </row>
    <row r="33" spans="1:21" ht="15" customHeight="1" x14ac:dyDescent="0.3">
      <c r="A33" s="9">
        <v>27</v>
      </c>
      <c r="B33" s="50" t="s">
        <v>87</v>
      </c>
      <c r="C33" s="50" t="s">
        <v>92</v>
      </c>
      <c r="D33" s="50" t="s">
        <v>93</v>
      </c>
      <c r="E33" s="50"/>
      <c r="F33" s="48" t="s">
        <v>94</v>
      </c>
      <c r="G33" s="9">
        <v>12</v>
      </c>
      <c r="H33" s="12">
        <f>'Engineering Assumptions'!$C$19*'Engineering Assumptions'!$B$5*U33</f>
        <v>4966</v>
      </c>
      <c r="I33" s="12">
        <f>'Engineering Assumptions'!$B$8</f>
        <v>650</v>
      </c>
      <c r="J33" s="12">
        <f>'Engineering Assumptions'!$D$19*S33*U33</f>
        <v>542.5</v>
      </c>
      <c r="K33" s="12">
        <f>'Engineering Assumptions'!$E$19*T33*U33</f>
        <v>648</v>
      </c>
      <c r="L33" s="13">
        <f t="shared" si="3"/>
        <v>6806.5</v>
      </c>
      <c r="M33" s="12">
        <f>L33*'Engineering Assumptions'!$B$10</f>
        <v>1020.9749999999999</v>
      </c>
      <c r="N33" s="13">
        <f t="shared" si="4"/>
        <v>7827.4750000000004</v>
      </c>
      <c r="O33" s="12">
        <f>N33*'Engineering Assumptions'!$B$11</f>
        <v>1565.4950000000001</v>
      </c>
      <c r="P33" s="156">
        <f t="shared" si="5"/>
        <v>9390</v>
      </c>
      <c r="Q33" s="12">
        <f>'Fleet Pricing'!H33</f>
        <v>6930</v>
      </c>
      <c r="R33" s="45">
        <v>12</v>
      </c>
      <c r="S33" s="49">
        <v>1.55</v>
      </c>
      <c r="T33" s="49">
        <v>1.35</v>
      </c>
      <c r="U33" s="49">
        <v>1</v>
      </c>
    </row>
    <row r="34" spans="1:21" ht="15" customHeight="1" x14ac:dyDescent="0.3">
      <c r="A34" s="9">
        <v>28</v>
      </c>
      <c r="B34" s="50" t="s">
        <v>87</v>
      </c>
      <c r="C34" s="50" t="s">
        <v>95</v>
      </c>
      <c r="D34" s="50" t="s">
        <v>96</v>
      </c>
      <c r="E34" s="50"/>
      <c r="F34" s="48" t="s">
        <v>94</v>
      </c>
      <c r="G34" s="9">
        <v>12</v>
      </c>
      <c r="H34" s="12">
        <f>'Engineering Assumptions'!$C$19*'Engineering Assumptions'!$B$5*U34</f>
        <v>4966</v>
      </c>
      <c r="I34" s="12">
        <f>'Engineering Assumptions'!$B$8</f>
        <v>650</v>
      </c>
      <c r="J34" s="12">
        <f>'Engineering Assumptions'!$D$19*S34*U34</f>
        <v>542.5</v>
      </c>
      <c r="K34" s="12">
        <f>'Engineering Assumptions'!$E$19*T34*U34</f>
        <v>648</v>
      </c>
      <c r="L34" s="13">
        <f t="shared" si="3"/>
        <v>6806.5</v>
      </c>
      <c r="M34" s="12">
        <f>L34*'Engineering Assumptions'!$B$10</f>
        <v>1020.9749999999999</v>
      </c>
      <c r="N34" s="13">
        <f t="shared" si="4"/>
        <v>7827.4750000000004</v>
      </c>
      <c r="O34" s="12">
        <f>N34*'Engineering Assumptions'!$B$11</f>
        <v>1565.4950000000001</v>
      </c>
      <c r="P34" s="156">
        <f t="shared" si="5"/>
        <v>9390</v>
      </c>
      <c r="Q34" s="12">
        <f>'Fleet Pricing'!H34</f>
        <v>6930</v>
      </c>
      <c r="R34" s="45">
        <v>12</v>
      </c>
      <c r="S34" s="49">
        <v>1.55</v>
      </c>
      <c r="T34" s="49">
        <v>1.35</v>
      </c>
      <c r="U34" s="49">
        <v>1</v>
      </c>
    </row>
    <row r="35" spans="1:21" ht="15" customHeight="1" x14ac:dyDescent="0.3">
      <c r="A35" s="9">
        <v>29</v>
      </c>
      <c r="B35" s="50" t="s">
        <v>87</v>
      </c>
      <c r="C35" s="50" t="s">
        <v>97</v>
      </c>
      <c r="D35" s="50" t="s">
        <v>98</v>
      </c>
      <c r="E35" s="50"/>
      <c r="F35" s="48" t="s">
        <v>99</v>
      </c>
      <c r="G35" s="9">
        <v>13</v>
      </c>
      <c r="H35" s="12">
        <f>'Engineering Assumptions'!$C$19*'Engineering Assumptions'!$B$5*U35</f>
        <v>4966</v>
      </c>
      <c r="I35" s="12">
        <f>'Engineering Assumptions'!$B$8</f>
        <v>650</v>
      </c>
      <c r="J35" s="12">
        <f>'Engineering Assumptions'!$D$19*S35*U35</f>
        <v>542.5</v>
      </c>
      <c r="K35" s="12">
        <f>'Engineering Assumptions'!$E$19*T35*U35</f>
        <v>648</v>
      </c>
      <c r="L35" s="13">
        <f t="shared" si="3"/>
        <v>6806.5</v>
      </c>
      <c r="M35" s="12">
        <f>L35*'Engineering Assumptions'!$B$10</f>
        <v>1020.9749999999999</v>
      </c>
      <c r="N35" s="13">
        <f t="shared" si="4"/>
        <v>7827.4750000000004</v>
      </c>
      <c r="O35" s="12">
        <f>N35*'Engineering Assumptions'!$B$11</f>
        <v>1565.4950000000001</v>
      </c>
      <c r="P35" s="156">
        <f t="shared" si="5"/>
        <v>9390</v>
      </c>
      <c r="Q35" s="12">
        <f>'Fleet Pricing'!H35</f>
        <v>6930</v>
      </c>
      <c r="R35" s="45">
        <v>13</v>
      </c>
      <c r="S35" s="49">
        <v>1.55</v>
      </c>
      <c r="T35" s="49">
        <v>1.35</v>
      </c>
      <c r="U35" s="49">
        <v>1</v>
      </c>
    </row>
    <row r="36" spans="1:21" ht="15" customHeight="1" x14ac:dyDescent="0.3">
      <c r="A36" s="9">
        <v>30</v>
      </c>
      <c r="B36" s="50" t="s">
        <v>87</v>
      </c>
      <c r="C36" s="50" t="s">
        <v>100</v>
      </c>
      <c r="D36" s="50" t="s">
        <v>101</v>
      </c>
      <c r="E36" s="50" t="s">
        <v>102</v>
      </c>
      <c r="F36" s="48" t="s">
        <v>99</v>
      </c>
      <c r="G36" s="9">
        <v>13</v>
      </c>
      <c r="H36" s="12">
        <f>'Engineering Assumptions'!$C$19*'Engineering Assumptions'!$B$5*U36</f>
        <v>4966</v>
      </c>
      <c r="I36" s="12">
        <f>'Engineering Assumptions'!$B$8</f>
        <v>650</v>
      </c>
      <c r="J36" s="12">
        <f>'Engineering Assumptions'!$D$19*S36*U36</f>
        <v>542.5</v>
      </c>
      <c r="K36" s="12">
        <f>'Engineering Assumptions'!$E$19*T36*U36</f>
        <v>648</v>
      </c>
      <c r="L36" s="13">
        <f t="shared" si="3"/>
        <v>6806.5</v>
      </c>
      <c r="M36" s="12">
        <f>L36*'Engineering Assumptions'!$B$10</f>
        <v>1020.9749999999999</v>
      </c>
      <c r="N36" s="13">
        <f t="shared" si="4"/>
        <v>7827.4750000000004</v>
      </c>
      <c r="O36" s="12">
        <f>N36*'Engineering Assumptions'!$B$11</f>
        <v>1565.4950000000001</v>
      </c>
      <c r="P36" s="156">
        <f t="shared" si="5"/>
        <v>9390</v>
      </c>
      <c r="Q36" s="12">
        <f>'Fleet Pricing'!H36</f>
        <v>6930</v>
      </c>
      <c r="R36" s="45">
        <v>13</v>
      </c>
      <c r="S36" s="49">
        <v>1.55</v>
      </c>
      <c r="T36" s="49">
        <v>1.35</v>
      </c>
      <c r="U36" s="49">
        <v>1</v>
      </c>
    </row>
    <row r="37" spans="1:21" ht="15" customHeight="1" x14ac:dyDescent="0.3">
      <c r="A37" s="9">
        <v>31</v>
      </c>
      <c r="B37" s="50" t="s">
        <v>87</v>
      </c>
      <c r="C37" s="50" t="s">
        <v>103</v>
      </c>
      <c r="D37" s="50" t="s">
        <v>104</v>
      </c>
      <c r="E37" s="50"/>
      <c r="F37" s="48" t="s">
        <v>66</v>
      </c>
      <c r="G37" s="9">
        <v>14</v>
      </c>
      <c r="H37" s="12">
        <f>'Engineering Assumptions'!$C$19*'Engineering Assumptions'!$B$5*U37</f>
        <v>4966</v>
      </c>
      <c r="I37" s="12">
        <f>'Engineering Assumptions'!$B$8</f>
        <v>650</v>
      </c>
      <c r="J37" s="12">
        <f>'Engineering Assumptions'!$D$19*S37*U37</f>
        <v>542.5</v>
      </c>
      <c r="K37" s="12">
        <f>'Engineering Assumptions'!$E$19*T37*U37</f>
        <v>648</v>
      </c>
      <c r="L37" s="13">
        <f t="shared" si="3"/>
        <v>6806.5</v>
      </c>
      <c r="M37" s="12">
        <f>L37*'Engineering Assumptions'!$B$10</f>
        <v>1020.9749999999999</v>
      </c>
      <c r="N37" s="13">
        <f t="shared" si="4"/>
        <v>7827.4750000000004</v>
      </c>
      <c r="O37" s="12">
        <f>N37*'Engineering Assumptions'!$B$11</f>
        <v>1565.4950000000001</v>
      </c>
      <c r="P37" s="156">
        <f t="shared" si="5"/>
        <v>9390</v>
      </c>
      <c r="Q37" s="12">
        <f>'Fleet Pricing'!H37</f>
        <v>6930</v>
      </c>
      <c r="R37" s="45">
        <v>14</v>
      </c>
      <c r="S37" s="49">
        <v>1.55</v>
      </c>
      <c r="T37" s="49">
        <v>1.35</v>
      </c>
      <c r="U37" s="49">
        <v>1</v>
      </c>
    </row>
    <row r="38" spans="1:21" ht="15" customHeight="1" x14ac:dyDescent="0.3">
      <c r="A38" s="9">
        <v>32</v>
      </c>
      <c r="B38" s="50" t="s">
        <v>87</v>
      </c>
      <c r="C38" s="50" t="s">
        <v>105</v>
      </c>
      <c r="D38" s="50" t="s">
        <v>106</v>
      </c>
      <c r="E38" s="50"/>
      <c r="F38" s="48" t="s">
        <v>107</v>
      </c>
      <c r="G38" s="9">
        <v>16</v>
      </c>
      <c r="H38" s="12">
        <f>'Engineering Assumptions'!$C$19*'Engineering Assumptions'!$B$5*U38</f>
        <v>4966</v>
      </c>
      <c r="I38" s="12">
        <f>'Engineering Assumptions'!$B$8</f>
        <v>650</v>
      </c>
      <c r="J38" s="12">
        <f>'Engineering Assumptions'!$D$19*S38*U38</f>
        <v>682.5</v>
      </c>
      <c r="K38" s="12">
        <f>'Engineering Assumptions'!$E$19*T38*U38</f>
        <v>1008</v>
      </c>
      <c r="L38" s="13">
        <f t="shared" si="3"/>
        <v>7306.5</v>
      </c>
      <c r="M38" s="12">
        <f>L38*'Engineering Assumptions'!$B$10</f>
        <v>1095.9749999999999</v>
      </c>
      <c r="N38" s="13">
        <f t="shared" si="4"/>
        <v>8402.4750000000004</v>
      </c>
      <c r="O38" s="12">
        <f>N38*'Engineering Assumptions'!$B$11</f>
        <v>1680.4950000000001</v>
      </c>
      <c r="P38" s="156">
        <f t="shared" si="5"/>
        <v>10080</v>
      </c>
      <c r="Q38" s="12">
        <f>'Fleet Pricing'!H38</f>
        <v>6930</v>
      </c>
      <c r="R38" s="45">
        <v>16</v>
      </c>
      <c r="S38" s="49">
        <v>1.95</v>
      </c>
      <c r="T38" s="49">
        <v>2.1</v>
      </c>
      <c r="U38" s="49">
        <v>1</v>
      </c>
    </row>
    <row r="39" spans="1:21" ht="15" customHeight="1" x14ac:dyDescent="0.3">
      <c r="A39" s="9">
        <v>33</v>
      </c>
      <c r="B39" s="50" t="s">
        <v>87</v>
      </c>
      <c r="C39" s="50" t="s">
        <v>108</v>
      </c>
      <c r="D39" s="50" t="s">
        <v>109</v>
      </c>
      <c r="E39" s="50"/>
      <c r="F39" s="48" t="s">
        <v>110</v>
      </c>
      <c r="G39" s="9">
        <v>17</v>
      </c>
      <c r="H39" s="12">
        <f>'Engineering Assumptions'!$C$19*'Engineering Assumptions'!$B$5*U39</f>
        <v>4966</v>
      </c>
      <c r="I39" s="12">
        <f>'Engineering Assumptions'!$B$8</f>
        <v>650</v>
      </c>
      <c r="J39" s="12">
        <f>'Engineering Assumptions'!$D$19*S39*U39</f>
        <v>682.5</v>
      </c>
      <c r="K39" s="12">
        <f>'Engineering Assumptions'!$E$19*T39*U39</f>
        <v>1008</v>
      </c>
      <c r="L39" s="13">
        <f t="shared" si="3"/>
        <v>7306.5</v>
      </c>
      <c r="M39" s="12">
        <f>L39*'Engineering Assumptions'!$B$10</f>
        <v>1095.9749999999999</v>
      </c>
      <c r="N39" s="13">
        <f t="shared" si="4"/>
        <v>8402.4750000000004</v>
      </c>
      <c r="O39" s="12">
        <f>N39*'Engineering Assumptions'!$B$11</f>
        <v>1680.4950000000001</v>
      </c>
      <c r="P39" s="156">
        <f t="shared" si="5"/>
        <v>10080</v>
      </c>
      <c r="Q39" s="12">
        <f>'Fleet Pricing'!H39</f>
        <v>6080</v>
      </c>
      <c r="R39" s="45">
        <v>17</v>
      </c>
      <c r="S39" s="49">
        <v>1.95</v>
      </c>
      <c r="T39" s="49">
        <v>2.1</v>
      </c>
      <c r="U39" s="49">
        <v>1</v>
      </c>
    </row>
    <row r="40" spans="1:21" ht="15" customHeight="1" x14ac:dyDescent="0.3">
      <c r="A40" s="199" t="s">
        <v>111</v>
      </c>
      <c r="B40" s="200"/>
      <c r="C40" s="200"/>
      <c r="D40" s="200"/>
      <c r="E40" s="200"/>
      <c r="F40" s="200"/>
      <c r="G40" s="200"/>
      <c r="H40" s="200"/>
      <c r="I40" s="200"/>
      <c r="J40" s="200"/>
      <c r="K40" s="200"/>
      <c r="L40" s="200"/>
      <c r="M40" s="200"/>
      <c r="N40" s="200"/>
      <c r="O40" s="200"/>
      <c r="P40" s="200"/>
      <c r="Q40" s="200"/>
    </row>
    <row r="41" spans="1:21" ht="15" customHeight="1" x14ac:dyDescent="0.3">
      <c r="A41" s="9">
        <v>34</v>
      </c>
      <c r="B41" s="50" t="s">
        <v>112</v>
      </c>
      <c r="C41" s="50" t="s">
        <v>113</v>
      </c>
      <c r="D41" s="50" t="s">
        <v>114</v>
      </c>
      <c r="E41" s="50" t="s">
        <v>115</v>
      </c>
      <c r="F41" s="48" t="s">
        <v>116</v>
      </c>
      <c r="G41" s="9">
        <v>9</v>
      </c>
      <c r="H41" s="12">
        <f>'Engineering Assumptions'!$C$20*'Engineering Assumptions'!$B$5*U41</f>
        <v>2674</v>
      </c>
      <c r="I41" s="12">
        <f>'Engineering Assumptions'!$B$8</f>
        <v>650</v>
      </c>
      <c r="J41" s="12">
        <f>'Engineering Assumptions'!$D$20*S41*U41</f>
        <v>275</v>
      </c>
      <c r="K41" s="12">
        <f>'Engineering Assumptions'!$E$20*T41*U41</f>
        <v>210</v>
      </c>
      <c r="L41" s="13">
        <f t="shared" ref="L41:L56" si="6">H41+I41+J41+K41</f>
        <v>3809</v>
      </c>
      <c r="M41" s="12">
        <f>L41*'Engineering Assumptions'!$B$10</f>
        <v>571.35</v>
      </c>
      <c r="N41" s="13">
        <f t="shared" ref="N41:N56" si="7">L41+M41</f>
        <v>4380.3500000000004</v>
      </c>
      <c r="O41" s="12">
        <f>N41*'Engineering Assumptions'!$B$11</f>
        <v>876.07000000000016</v>
      </c>
      <c r="P41" s="156">
        <f t="shared" ref="P41:P56" si="8">MROUND(N41+O41,10)</f>
        <v>5260</v>
      </c>
      <c r="Q41" s="12">
        <f>'Fleet Pricing'!H41</f>
        <v>4460</v>
      </c>
      <c r="R41" s="45">
        <v>9</v>
      </c>
      <c r="S41" s="49">
        <v>1.25</v>
      </c>
      <c r="T41" s="49">
        <v>0.75</v>
      </c>
      <c r="U41" s="49">
        <v>1</v>
      </c>
    </row>
    <row r="42" spans="1:21" ht="15" customHeight="1" x14ac:dyDescent="0.3">
      <c r="A42" s="9">
        <v>35</v>
      </c>
      <c r="B42" s="50" t="s">
        <v>112</v>
      </c>
      <c r="C42" s="50" t="s">
        <v>117</v>
      </c>
      <c r="D42" s="50" t="s">
        <v>118</v>
      </c>
      <c r="E42" s="50" t="s">
        <v>119</v>
      </c>
      <c r="F42" s="48" t="s">
        <v>116</v>
      </c>
      <c r="G42" s="9">
        <v>9</v>
      </c>
      <c r="H42" s="12">
        <f>'Engineering Assumptions'!$C$20*'Engineering Assumptions'!$B$5*U42</f>
        <v>2674</v>
      </c>
      <c r="I42" s="12">
        <f>'Engineering Assumptions'!$B$8</f>
        <v>650</v>
      </c>
      <c r="J42" s="12">
        <f>'Engineering Assumptions'!$D$20*S42*U42</f>
        <v>275</v>
      </c>
      <c r="K42" s="12">
        <f>'Engineering Assumptions'!$E$20*T42*U42</f>
        <v>210</v>
      </c>
      <c r="L42" s="13">
        <f t="shared" si="6"/>
        <v>3809</v>
      </c>
      <c r="M42" s="12">
        <f>L42*'Engineering Assumptions'!$B$10</f>
        <v>571.35</v>
      </c>
      <c r="N42" s="13">
        <f t="shared" si="7"/>
        <v>4380.3500000000004</v>
      </c>
      <c r="O42" s="12">
        <f>N42*'Engineering Assumptions'!$B$11</f>
        <v>876.07000000000016</v>
      </c>
      <c r="P42" s="156">
        <f t="shared" si="8"/>
        <v>5260</v>
      </c>
      <c r="Q42" s="12">
        <f>'Fleet Pricing'!H42</f>
        <v>4460</v>
      </c>
      <c r="R42" s="45">
        <v>9</v>
      </c>
      <c r="S42" s="49">
        <v>1.25</v>
      </c>
      <c r="T42" s="49">
        <v>0.75</v>
      </c>
      <c r="U42" s="49">
        <v>1</v>
      </c>
    </row>
    <row r="43" spans="1:21" ht="15" customHeight="1" x14ac:dyDescent="0.3">
      <c r="A43" s="9">
        <v>36</v>
      </c>
      <c r="B43" s="50" t="s">
        <v>112</v>
      </c>
      <c r="C43" s="50" t="s">
        <v>113</v>
      </c>
      <c r="D43" s="50" t="s">
        <v>120</v>
      </c>
      <c r="E43" s="50" t="s">
        <v>121</v>
      </c>
      <c r="F43" s="48" t="s">
        <v>116</v>
      </c>
      <c r="G43" s="9">
        <v>9</v>
      </c>
      <c r="H43" s="12">
        <f>'Engineering Assumptions'!$C$20*'Engineering Assumptions'!$B$5*U43</f>
        <v>2674</v>
      </c>
      <c r="I43" s="12">
        <f>'Engineering Assumptions'!$B$8</f>
        <v>650</v>
      </c>
      <c r="J43" s="12">
        <f>'Engineering Assumptions'!$D$20*S43*U43</f>
        <v>275</v>
      </c>
      <c r="K43" s="12">
        <f>'Engineering Assumptions'!$E$20*T43*U43</f>
        <v>210</v>
      </c>
      <c r="L43" s="13">
        <f t="shared" si="6"/>
        <v>3809</v>
      </c>
      <c r="M43" s="12">
        <f>L43*'Engineering Assumptions'!$B$10</f>
        <v>571.35</v>
      </c>
      <c r="N43" s="13">
        <f t="shared" si="7"/>
        <v>4380.3500000000004</v>
      </c>
      <c r="O43" s="12">
        <f>N43*'Engineering Assumptions'!$B$11</f>
        <v>876.07000000000016</v>
      </c>
      <c r="P43" s="156">
        <f t="shared" si="8"/>
        <v>5260</v>
      </c>
      <c r="Q43" s="12">
        <f>'Fleet Pricing'!H43</f>
        <v>4460</v>
      </c>
      <c r="R43" s="45">
        <v>9</v>
      </c>
      <c r="S43" s="49">
        <v>1.25</v>
      </c>
      <c r="T43" s="49">
        <v>0.75</v>
      </c>
      <c r="U43" s="49">
        <v>1</v>
      </c>
    </row>
    <row r="44" spans="1:21" ht="15" customHeight="1" x14ac:dyDescent="0.3">
      <c r="A44" s="9">
        <v>37</v>
      </c>
      <c r="B44" s="50" t="s">
        <v>112</v>
      </c>
      <c r="C44" s="50" t="s">
        <v>122</v>
      </c>
      <c r="D44" s="50" t="s">
        <v>123</v>
      </c>
      <c r="E44" s="50" t="s">
        <v>124</v>
      </c>
      <c r="F44" s="48" t="s">
        <v>49</v>
      </c>
      <c r="G44" s="9">
        <v>10</v>
      </c>
      <c r="H44" s="12">
        <f>'Engineering Assumptions'!$C$20*'Engineering Assumptions'!$B$5*U44</f>
        <v>2674</v>
      </c>
      <c r="I44" s="12">
        <f>'Engineering Assumptions'!$B$8</f>
        <v>650</v>
      </c>
      <c r="J44" s="12">
        <f>'Engineering Assumptions'!$D$20*S44*U44</f>
        <v>275</v>
      </c>
      <c r="K44" s="12">
        <f>'Engineering Assumptions'!$E$20*T44*U44</f>
        <v>210</v>
      </c>
      <c r="L44" s="13">
        <f t="shared" si="6"/>
        <v>3809</v>
      </c>
      <c r="M44" s="12">
        <f>L44*'Engineering Assumptions'!$B$10</f>
        <v>571.35</v>
      </c>
      <c r="N44" s="13">
        <f t="shared" si="7"/>
        <v>4380.3500000000004</v>
      </c>
      <c r="O44" s="12">
        <f>N44*'Engineering Assumptions'!$B$11</f>
        <v>876.07000000000016</v>
      </c>
      <c r="P44" s="156">
        <f t="shared" si="8"/>
        <v>5260</v>
      </c>
      <c r="Q44" s="12">
        <f>'Fleet Pricing'!H44</f>
        <v>4460</v>
      </c>
      <c r="R44" s="45">
        <v>10</v>
      </c>
      <c r="S44" s="49">
        <v>1.25</v>
      </c>
      <c r="T44" s="49">
        <v>0.75</v>
      </c>
      <c r="U44" s="49">
        <v>1</v>
      </c>
    </row>
    <row r="45" spans="1:21" ht="15" customHeight="1" x14ac:dyDescent="0.3">
      <c r="A45" s="9">
        <v>38</v>
      </c>
      <c r="B45" s="50" t="s">
        <v>112</v>
      </c>
      <c r="C45" s="50" t="s">
        <v>122</v>
      </c>
      <c r="D45" s="50" t="s">
        <v>125</v>
      </c>
      <c r="E45" s="50" t="s">
        <v>126</v>
      </c>
      <c r="F45" s="48" t="s">
        <v>49</v>
      </c>
      <c r="G45" s="9">
        <v>10</v>
      </c>
      <c r="H45" s="12">
        <f>'Engineering Assumptions'!$C$20*'Engineering Assumptions'!$B$5*U45</f>
        <v>2674</v>
      </c>
      <c r="I45" s="12">
        <f>'Engineering Assumptions'!$B$8</f>
        <v>650</v>
      </c>
      <c r="J45" s="12">
        <f>'Engineering Assumptions'!$D$20*S45*U45</f>
        <v>275</v>
      </c>
      <c r="K45" s="12">
        <f>'Engineering Assumptions'!$E$20*T45*U45</f>
        <v>210</v>
      </c>
      <c r="L45" s="13">
        <f t="shared" si="6"/>
        <v>3809</v>
      </c>
      <c r="M45" s="12">
        <f>L45*'Engineering Assumptions'!$B$10</f>
        <v>571.35</v>
      </c>
      <c r="N45" s="13">
        <f t="shared" si="7"/>
        <v>4380.3500000000004</v>
      </c>
      <c r="O45" s="12">
        <f>N45*'Engineering Assumptions'!$B$11</f>
        <v>876.07000000000016</v>
      </c>
      <c r="P45" s="156">
        <f t="shared" si="8"/>
        <v>5260</v>
      </c>
      <c r="Q45" s="12">
        <f>'Fleet Pricing'!H45</f>
        <v>4460</v>
      </c>
      <c r="R45" s="45">
        <v>10</v>
      </c>
      <c r="S45" s="49">
        <v>1.25</v>
      </c>
      <c r="T45" s="49">
        <v>0.75</v>
      </c>
      <c r="U45" s="49">
        <v>1</v>
      </c>
    </row>
    <row r="46" spans="1:21" ht="15" customHeight="1" x14ac:dyDescent="0.3">
      <c r="A46" s="9">
        <v>39</v>
      </c>
      <c r="B46" s="50" t="s">
        <v>112</v>
      </c>
      <c r="C46" s="50" t="s">
        <v>117</v>
      </c>
      <c r="D46" s="50" t="s">
        <v>127</v>
      </c>
      <c r="E46" s="50" t="s">
        <v>128</v>
      </c>
      <c r="F46" s="48" t="s">
        <v>49</v>
      </c>
      <c r="G46" s="9">
        <v>10</v>
      </c>
      <c r="H46" s="12">
        <f>'Engineering Assumptions'!$C$20*'Engineering Assumptions'!$B$5*U46</f>
        <v>2674</v>
      </c>
      <c r="I46" s="12">
        <f>'Engineering Assumptions'!$B$8</f>
        <v>650</v>
      </c>
      <c r="J46" s="12">
        <f>'Engineering Assumptions'!$D$20*S46*U46</f>
        <v>275</v>
      </c>
      <c r="K46" s="12">
        <f>'Engineering Assumptions'!$E$20*T46*U46</f>
        <v>210</v>
      </c>
      <c r="L46" s="13">
        <f t="shared" si="6"/>
        <v>3809</v>
      </c>
      <c r="M46" s="12">
        <f>L46*'Engineering Assumptions'!$B$10</f>
        <v>571.35</v>
      </c>
      <c r="N46" s="13">
        <f t="shared" si="7"/>
        <v>4380.3500000000004</v>
      </c>
      <c r="O46" s="12">
        <f>N46*'Engineering Assumptions'!$B$11</f>
        <v>876.07000000000016</v>
      </c>
      <c r="P46" s="156">
        <f t="shared" si="8"/>
        <v>5260</v>
      </c>
      <c r="Q46" s="12">
        <f>'Fleet Pricing'!H46</f>
        <v>4460</v>
      </c>
      <c r="R46" s="45">
        <v>10</v>
      </c>
      <c r="S46" s="49">
        <v>1.25</v>
      </c>
      <c r="T46" s="49">
        <v>0.75</v>
      </c>
      <c r="U46" s="49">
        <v>1</v>
      </c>
    </row>
    <row r="47" spans="1:21" ht="15" customHeight="1" x14ac:dyDescent="0.3">
      <c r="A47" s="9">
        <v>40</v>
      </c>
      <c r="B47" s="50" t="s">
        <v>112</v>
      </c>
      <c r="C47" s="50" t="s">
        <v>117</v>
      </c>
      <c r="D47" s="50" t="s">
        <v>129</v>
      </c>
      <c r="E47" s="50" t="s">
        <v>130</v>
      </c>
      <c r="F47" s="48" t="s">
        <v>49</v>
      </c>
      <c r="G47" s="9">
        <v>10</v>
      </c>
      <c r="H47" s="12">
        <f>'Engineering Assumptions'!$C$20*'Engineering Assumptions'!$B$5*U47</f>
        <v>2674</v>
      </c>
      <c r="I47" s="12">
        <f>'Engineering Assumptions'!$B$8</f>
        <v>650</v>
      </c>
      <c r="J47" s="12">
        <f>'Engineering Assumptions'!$D$20*S47*U47</f>
        <v>275</v>
      </c>
      <c r="K47" s="12">
        <f>'Engineering Assumptions'!$E$20*T47*U47</f>
        <v>210</v>
      </c>
      <c r="L47" s="13">
        <f t="shared" si="6"/>
        <v>3809</v>
      </c>
      <c r="M47" s="12">
        <f>L47*'Engineering Assumptions'!$B$10</f>
        <v>571.35</v>
      </c>
      <c r="N47" s="13">
        <f t="shared" si="7"/>
        <v>4380.3500000000004</v>
      </c>
      <c r="O47" s="12">
        <f>N47*'Engineering Assumptions'!$B$11</f>
        <v>876.07000000000016</v>
      </c>
      <c r="P47" s="156">
        <f t="shared" si="8"/>
        <v>5260</v>
      </c>
      <c r="Q47" s="12">
        <f>'Fleet Pricing'!H47</f>
        <v>4460</v>
      </c>
      <c r="R47" s="45">
        <v>10</v>
      </c>
      <c r="S47" s="49">
        <v>1.25</v>
      </c>
      <c r="T47" s="49">
        <v>0.75</v>
      </c>
      <c r="U47" s="49">
        <v>1</v>
      </c>
    </row>
    <row r="48" spans="1:21" ht="15" customHeight="1" x14ac:dyDescent="0.3">
      <c r="A48" s="9">
        <v>41</v>
      </c>
      <c r="B48" s="50" t="s">
        <v>112</v>
      </c>
      <c r="C48" s="50" t="s">
        <v>117</v>
      </c>
      <c r="D48" s="50" t="s">
        <v>131</v>
      </c>
      <c r="E48" s="50" t="s">
        <v>132</v>
      </c>
      <c r="F48" s="48" t="s">
        <v>49</v>
      </c>
      <c r="G48" s="9">
        <v>10</v>
      </c>
      <c r="H48" s="12">
        <f>'Engineering Assumptions'!$C$20*'Engineering Assumptions'!$B$5*U48</f>
        <v>2674</v>
      </c>
      <c r="I48" s="12">
        <f>'Engineering Assumptions'!$B$8</f>
        <v>650</v>
      </c>
      <c r="J48" s="12">
        <f>'Engineering Assumptions'!$D$20*S48*U48</f>
        <v>275</v>
      </c>
      <c r="K48" s="12">
        <f>'Engineering Assumptions'!$E$20*T48*U48</f>
        <v>210</v>
      </c>
      <c r="L48" s="13">
        <f t="shared" si="6"/>
        <v>3809</v>
      </c>
      <c r="M48" s="12">
        <f>L48*'Engineering Assumptions'!$B$10</f>
        <v>571.35</v>
      </c>
      <c r="N48" s="13">
        <f t="shared" si="7"/>
        <v>4380.3500000000004</v>
      </c>
      <c r="O48" s="12">
        <f>N48*'Engineering Assumptions'!$B$11</f>
        <v>876.07000000000016</v>
      </c>
      <c r="P48" s="156">
        <f t="shared" si="8"/>
        <v>5260</v>
      </c>
      <c r="Q48" s="12">
        <f>'Fleet Pricing'!H48</f>
        <v>4460</v>
      </c>
      <c r="R48" s="45">
        <v>10</v>
      </c>
      <c r="S48" s="49">
        <v>1.25</v>
      </c>
      <c r="T48" s="49">
        <v>0.75</v>
      </c>
      <c r="U48" s="49">
        <v>1</v>
      </c>
    </row>
    <row r="49" spans="1:21" ht="23.25" customHeight="1" x14ac:dyDescent="0.3">
      <c r="A49" s="9">
        <v>42</v>
      </c>
      <c r="B49" s="50" t="s">
        <v>112</v>
      </c>
      <c r="C49" s="50" t="s">
        <v>133</v>
      </c>
      <c r="D49" s="50" t="s">
        <v>134</v>
      </c>
      <c r="E49" s="50" t="s">
        <v>135</v>
      </c>
      <c r="F49" s="48" t="s">
        <v>61</v>
      </c>
      <c r="G49" s="9">
        <v>11</v>
      </c>
      <c r="H49" s="12">
        <f>'Engineering Assumptions'!$C$20*'Engineering Assumptions'!$B$5*U49</f>
        <v>2674</v>
      </c>
      <c r="I49" s="12">
        <f>'Engineering Assumptions'!$B$8</f>
        <v>650</v>
      </c>
      <c r="J49" s="12">
        <f>'Engineering Assumptions'!$D$20*S49*U49</f>
        <v>341</v>
      </c>
      <c r="K49" s="12">
        <f>'Engineering Assumptions'!$E$20*T49*U49</f>
        <v>378</v>
      </c>
      <c r="L49" s="13">
        <f t="shared" si="6"/>
        <v>4043</v>
      </c>
      <c r="M49" s="12">
        <f>L49*'Engineering Assumptions'!$B$10</f>
        <v>606.44999999999993</v>
      </c>
      <c r="N49" s="13">
        <f t="shared" si="7"/>
        <v>4649.45</v>
      </c>
      <c r="O49" s="12">
        <f>N49*'Engineering Assumptions'!$B$11</f>
        <v>929.89</v>
      </c>
      <c r="P49" s="156">
        <f t="shared" si="8"/>
        <v>5580</v>
      </c>
      <c r="Q49" s="12">
        <f>'Fleet Pricing'!H49</f>
        <v>4460</v>
      </c>
      <c r="R49" s="45">
        <v>11</v>
      </c>
      <c r="S49" s="49">
        <v>1.55</v>
      </c>
      <c r="T49" s="49">
        <v>1.35</v>
      </c>
      <c r="U49" s="49">
        <v>1</v>
      </c>
    </row>
    <row r="50" spans="1:21" ht="23.25" customHeight="1" x14ac:dyDescent="0.3">
      <c r="A50" s="9">
        <v>43</v>
      </c>
      <c r="B50" s="50" t="s">
        <v>112</v>
      </c>
      <c r="C50" s="50" t="s">
        <v>136</v>
      </c>
      <c r="D50" s="50" t="s">
        <v>137</v>
      </c>
      <c r="E50" s="50" t="s">
        <v>138</v>
      </c>
      <c r="F50" s="48" t="s">
        <v>139</v>
      </c>
      <c r="G50" s="9">
        <v>23</v>
      </c>
      <c r="H50" s="12">
        <f>'Engineering Assumptions'!$C$20*'Engineering Assumptions'!$B$5*U50</f>
        <v>2674</v>
      </c>
      <c r="I50" s="12">
        <f>'Engineering Assumptions'!$B$8</f>
        <v>650</v>
      </c>
      <c r="J50" s="12">
        <f>'Engineering Assumptions'!$D$20*S50*U50</f>
        <v>528</v>
      </c>
      <c r="K50" s="12">
        <f>'Engineering Assumptions'!$E$20*T50*U50</f>
        <v>840</v>
      </c>
      <c r="L50" s="13">
        <f t="shared" si="6"/>
        <v>4692</v>
      </c>
      <c r="M50" s="12">
        <f>L50*'Engineering Assumptions'!$B$10</f>
        <v>703.8</v>
      </c>
      <c r="N50" s="13">
        <f t="shared" si="7"/>
        <v>5395.8</v>
      </c>
      <c r="O50" s="12">
        <f>N50*'Engineering Assumptions'!$B$11</f>
        <v>1079.1600000000001</v>
      </c>
      <c r="P50" s="156">
        <f t="shared" si="8"/>
        <v>6470</v>
      </c>
      <c r="Q50" s="12">
        <f>'Fleet Pricing'!H50</f>
        <v>3150</v>
      </c>
      <c r="R50" s="45">
        <v>23</v>
      </c>
      <c r="S50" s="49">
        <v>2.4</v>
      </c>
      <c r="T50" s="49">
        <v>3</v>
      </c>
      <c r="U50" s="49">
        <v>1</v>
      </c>
    </row>
    <row r="51" spans="1:21" ht="15" customHeight="1" x14ac:dyDescent="0.3">
      <c r="A51" s="9">
        <v>44</v>
      </c>
      <c r="B51" s="50" t="s">
        <v>112</v>
      </c>
      <c r="C51" s="50" t="s">
        <v>140</v>
      </c>
      <c r="D51" s="50" t="s">
        <v>141</v>
      </c>
      <c r="E51" s="50" t="s">
        <v>142</v>
      </c>
      <c r="F51" s="48" t="s">
        <v>143</v>
      </c>
      <c r="G51" s="9">
        <v>26</v>
      </c>
      <c r="H51" s="12">
        <f>'Engineering Assumptions'!$C$20*'Engineering Assumptions'!$B$5*U51</f>
        <v>2674</v>
      </c>
      <c r="I51" s="12">
        <f>'Engineering Assumptions'!$B$8</f>
        <v>650</v>
      </c>
      <c r="J51" s="12">
        <f>'Engineering Assumptions'!$D$20*S51*U51</f>
        <v>528</v>
      </c>
      <c r="K51" s="12">
        <f>'Engineering Assumptions'!$E$20*T51*U51</f>
        <v>840</v>
      </c>
      <c r="L51" s="13">
        <f t="shared" si="6"/>
        <v>4692</v>
      </c>
      <c r="M51" s="12">
        <f>L51*'Engineering Assumptions'!$B$10</f>
        <v>703.8</v>
      </c>
      <c r="N51" s="13">
        <f t="shared" si="7"/>
        <v>5395.8</v>
      </c>
      <c r="O51" s="12">
        <f>N51*'Engineering Assumptions'!$B$11</f>
        <v>1079.1600000000001</v>
      </c>
      <c r="P51" s="156">
        <f t="shared" si="8"/>
        <v>6470</v>
      </c>
      <c r="Q51" s="12">
        <f>'Fleet Pricing'!H51</f>
        <v>3150</v>
      </c>
      <c r="R51" s="45">
        <v>26</v>
      </c>
      <c r="S51" s="49">
        <v>2.4</v>
      </c>
      <c r="T51" s="49">
        <v>3</v>
      </c>
      <c r="U51" s="49">
        <v>1</v>
      </c>
    </row>
    <row r="52" spans="1:21" ht="15" customHeight="1" x14ac:dyDescent="0.3">
      <c r="A52" s="9">
        <v>45</v>
      </c>
      <c r="B52" s="50" t="s">
        <v>112</v>
      </c>
      <c r="C52" s="50" t="s">
        <v>144</v>
      </c>
      <c r="D52" s="50" t="s">
        <v>145</v>
      </c>
      <c r="E52" s="50" t="s">
        <v>146</v>
      </c>
      <c r="F52" s="48" t="s">
        <v>147</v>
      </c>
      <c r="G52" s="9">
        <v>30</v>
      </c>
      <c r="H52" s="12">
        <f>'Engineering Assumptions'!$C$20*'Engineering Assumptions'!$B$5*U52</f>
        <v>2674</v>
      </c>
      <c r="I52" s="12">
        <f>'Engineering Assumptions'!$B$8</f>
        <v>650</v>
      </c>
      <c r="J52" s="12">
        <f>'Engineering Assumptions'!$D$20*S52*U52</f>
        <v>528</v>
      </c>
      <c r="K52" s="12">
        <f>'Engineering Assumptions'!$E$20*T52*U52</f>
        <v>840</v>
      </c>
      <c r="L52" s="13">
        <f t="shared" si="6"/>
        <v>4692</v>
      </c>
      <c r="M52" s="12">
        <f>L52*'Engineering Assumptions'!$B$10</f>
        <v>703.8</v>
      </c>
      <c r="N52" s="13">
        <f t="shared" si="7"/>
        <v>5395.8</v>
      </c>
      <c r="O52" s="12">
        <f>N52*'Engineering Assumptions'!$B$11</f>
        <v>1079.1600000000001</v>
      </c>
      <c r="P52" s="156">
        <f t="shared" si="8"/>
        <v>6470</v>
      </c>
      <c r="Q52" s="12">
        <f>'Fleet Pricing'!H52</f>
        <v>2810</v>
      </c>
      <c r="R52" s="45">
        <v>30</v>
      </c>
      <c r="S52" s="49">
        <v>2.4</v>
      </c>
      <c r="T52" s="49">
        <v>3</v>
      </c>
      <c r="U52" s="49">
        <v>1</v>
      </c>
    </row>
    <row r="53" spans="1:21" ht="15" customHeight="1" x14ac:dyDescent="0.3">
      <c r="A53" s="9">
        <v>46</v>
      </c>
      <c r="B53" s="50" t="s">
        <v>112</v>
      </c>
      <c r="C53" s="50" t="s">
        <v>144</v>
      </c>
      <c r="D53" s="50" t="s">
        <v>148</v>
      </c>
      <c r="E53" s="50" t="s">
        <v>149</v>
      </c>
      <c r="F53" s="48" t="s">
        <v>147</v>
      </c>
      <c r="G53" s="9">
        <v>30</v>
      </c>
      <c r="H53" s="12">
        <f>'Engineering Assumptions'!$C$20*'Engineering Assumptions'!$B$5*U53</f>
        <v>2674</v>
      </c>
      <c r="I53" s="12">
        <f>'Engineering Assumptions'!$B$8</f>
        <v>650</v>
      </c>
      <c r="J53" s="12">
        <f>'Engineering Assumptions'!$D$20*S53*U53</f>
        <v>528</v>
      </c>
      <c r="K53" s="12">
        <f>'Engineering Assumptions'!$E$20*T53*U53</f>
        <v>840</v>
      </c>
      <c r="L53" s="13">
        <f t="shared" si="6"/>
        <v>4692</v>
      </c>
      <c r="M53" s="12">
        <f>L53*'Engineering Assumptions'!$B$10</f>
        <v>703.8</v>
      </c>
      <c r="N53" s="13">
        <f t="shared" si="7"/>
        <v>5395.8</v>
      </c>
      <c r="O53" s="12">
        <f>N53*'Engineering Assumptions'!$B$11</f>
        <v>1079.1600000000001</v>
      </c>
      <c r="P53" s="156">
        <f t="shared" si="8"/>
        <v>6470</v>
      </c>
      <c r="Q53" s="12">
        <f>'Fleet Pricing'!H53</f>
        <v>2810</v>
      </c>
      <c r="R53" s="45">
        <v>30</v>
      </c>
      <c r="S53" s="49">
        <v>2.4</v>
      </c>
      <c r="T53" s="49">
        <v>3</v>
      </c>
      <c r="U53" s="49">
        <v>1</v>
      </c>
    </row>
    <row r="54" spans="1:21" ht="15" customHeight="1" x14ac:dyDescent="0.3">
      <c r="A54" s="9">
        <v>47</v>
      </c>
      <c r="B54" s="50" t="s">
        <v>112</v>
      </c>
      <c r="C54" s="50" t="s">
        <v>150</v>
      </c>
      <c r="D54" s="50" t="s">
        <v>151</v>
      </c>
      <c r="E54" s="50" t="s">
        <v>152</v>
      </c>
      <c r="F54" s="48" t="s">
        <v>147</v>
      </c>
      <c r="G54" s="9">
        <v>30</v>
      </c>
      <c r="H54" s="12">
        <f>'Engineering Assumptions'!$C$20*'Engineering Assumptions'!$B$5*U54</f>
        <v>2674</v>
      </c>
      <c r="I54" s="12">
        <f>'Engineering Assumptions'!$B$8</f>
        <v>650</v>
      </c>
      <c r="J54" s="12">
        <f>'Engineering Assumptions'!$D$20*S54*U54</f>
        <v>528</v>
      </c>
      <c r="K54" s="12">
        <f>'Engineering Assumptions'!$E$20*T54*U54</f>
        <v>840</v>
      </c>
      <c r="L54" s="13">
        <f t="shared" si="6"/>
        <v>4692</v>
      </c>
      <c r="M54" s="12">
        <f>L54*'Engineering Assumptions'!$B$10</f>
        <v>703.8</v>
      </c>
      <c r="N54" s="13">
        <f t="shared" si="7"/>
        <v>5395.8</v>
      </c>
      <c r="O54" s="12">
        <f>N54*'Engineering Assumptions'!$B$11</f>
        <v>1079.1600000000001</v>
      </c>
      <c r="P54" s="156">
        <f t="shared" si="8"/>
        <v>6470</v>
      </c>
      <c r="Q54" s="12">
        <f>'Fleet Pricing'!H54</f>
        <v>2810</v>
      </c>
      <c r="R54" s="45">
        <v>30</v>
      </c>
      <c r="S54" s="49">
        <v>2.4</v>
      </c>
      <c r="T54" s="49">
        <v>3</v>
      </c>
      <c r="U54" s="49">
        <v>1</v>
      </c>
    </row>
    <row r="55" spans="1:21" ht="15" customHeight="1" x14ac:dyDescent="0.3">
      <c r="A55" s="9">
        <v>48</v>
      </c>
      <c r="B55" s="50" t="s">
        <v>112</v>
      </c>
      <c r="C55" s="50" t="s">
        <v>153</v>
      </c>
      <c r="D55" s="50" t="s">
        <v>154</v>
      </c>
      <c r="E55" s="50" t="s">
        <v>155</v>
      </c>
      <c r="F55" s="48" t="s">
        <v>147</v>
      </c>
      <c r="G55" s="9">
        <v>30</v>
      </c>
      <c r="H55" s="12">
        <f>'Engineering Assumptions'!$C$20*'Engineering Assumptions'!$B$5*U55</f>
        <v>2674</v>
      </c>
      <c r="I55" s="12">
        <f>'Engineering Assumptions'!$B$8</f>
        <v>650</v>
      </c>
      <c r="J55" s="12">
        <f>'Engineering Assumptions'!$D$20*S55*U55</f>
        <v>528</v>
      </c>
      <c r="K55" s="12">
        <f>'Engineering Assumptions'!$E$20*T55*U55</f>
        <v>840</v>
      </c>
      <c r="L55" s="13">
        <f t="shared" si="6"/>
        <v>4692</v>
      </c>
      <c r="M55" s="12">
        <f>L55*'Engineering Assumptions'!$B$10</f>
        <v>703.8</v>
      </c>
      <c r="N55" s="13">
        <f t="shared" si="7"/>
        <v>5395.8</v>
      </c>
      <c r="O55" s="12">
        <f>N55*'Engineering Assumptions'!$B$11</f>
        <v>1079.1600000000001</v>
      </c>
      <c r="P55" s="156">
        <f t="shared" si="8"/>
        <v>6470</v>
      </c>
      <c r="Q55" s="12">
        <f>'Fleet Pricing'!H55</f>
        <v>2810</v>
      </c>
      <c r="R55" s="45">
        <v>30</v>
      </c>
      <c r="S55" s="49">
        <v>2.4</v>
      </c>
      <c r="T55" s="49">
        <v>3</v>
      </c>
      <c r="U55" s="49">
        <v>1</v>
      </c>
    </row>
    <row r="56" spans="1:21" ht="15" customHeight="1" x14ac:dyDescent="0.3">
      <c r="A56" s="9">
        <v>49</v>
      </c>
      <c r="B56" s="50" t="s">
        <v>112</v>
      </c>
      <c r="C56" s="50" t="s">
        <v>156</v>
      </c>
      <c r="D56" s="50" t="s">
        <v>157</v>
      </c>
      <c r="E56" s="50" t="s">
        <v>158</v>
      </c>
      <c r="F56" s="48" t="s">
        <v>159</v>
      </c>
      <c r="G56" s="9">
        <v>35</v>
      </c>
      <c r="H56" s="12">
        <f>'Engineering Assumptions'!$C$20*'Engineering Assumptions'!$B$5*U56</f>
        <v>2674</v>
      </c>
      <c r="I56" s="12">
        <f>'Engineering Assumptions'!$B$8</f>
        <v>650</v>
      </c>
      <c r="J56" s="12">
        <f>'Engineering Assumptions'!$D$20*S56*U56</f>
        <v>528</v>
      </c>
      <c r="K56" s="12">
        <f>'Engineering Assumptions'!$E$20*T56*U56</f>
        <v>840</v>
      </c>
      <c r="L56" s="13">
        <f t="shared" si="6"/>
        <v>4692</v>
      </c>
      <c r="M56" s="12">
        <f>L56*'Engineering Assumptions'!$B$10</f>
        <v>703.8</v>
      </c>
      <c r="N56" s="13">
        <f t="shared" si="7"/>
        <v>5395.8</v>
      </c>
      <c r="O56" s="12">
        <f>N56*'Engineering Assumptions'!$B$11</f>
        <v>1079.1600000000001</v>
      </c>
      <c r="P56" s="156">
        <f t="shared" si="8"/>
        <v>6470</v>
      </c>
      <c r="Q56" s="12">
        <f>'Fleet Pricing'!H56</f>
        <v>2810</v>
      </c>
      <c r="R56" s="45">
        <v>35</v>
      </c>
      <c r="S56" s="49">
        <v>2.4</v>
      </c>
      <c r="T56" s="49">
        <v>3</v>
      </c>
      <c r="U56" s="49">
        <v>1</v>
      </c>
    </row>
    <row r="57" spans="1:21" ht="15" customHeight="1" x14ac:dyDescent="0.3">
      <c r="A57" s="199" t="s">
        <v>160</v>
      </c>
      <c r="B57" s="200"/>
      <c r="C57" s="200"/>
      <c r="D57" s="200"/>
      <c r="E57" s="200"/>
      <c r="F57" s="200"/>
      <c r="G57" s="200"/>
      <c r="H57" s="200"/>
      <c r="I57" s="200"/>
      <c r="J57" s="200"/>
      <c r="K57" s="200"/>
      <c r="L57" s="200"/>
      <c r="M57" s="200"/>
      <c r="N57" s="200"/>
      <c r="O57" s="200"/>
      <c r="P57" s="200"/>
      <c r="Q57" s="200"/>
    </row>
    <row r="58" spans="1:21" ht="15" customHeight="1" x14ac:dyDescent="0.3">
      <c r="A58" s="9">
        <v>50</v>
      </c>
      <c r="B58" s="50" t="s">
        <v>161</v>
      </c>
      <c r="C58" s="50" t="s">
        <v>162</v>
      </c>
      <c r="D58" s="50" t="s">
        <v>163</v>
      </c>
      <c r="E58" s="50" t="s">
        <v>164</v>
      </c>
      <c r="F58" s="48" t="s">
        <v>165</v>
      </c>
      <c r="G58" s="9">
        <v>8</v>
      </c>
      <c r="H58" s="12">
        <f>'Engineering Assumptions'!$C$21*'Engineering Assumptions'!$B$5*U58</f>
        <v>3056</v>
      </c>
      <c r="I58" s="12">
        <f>'Engineering Assumptions'!$B$8</f>
        <v>650</v>
      </c>
      <c r="J58" s="12">
        <f>'Engineering Assumptions'!$D$21*S58*U58</f>
        <v>325</v>
      </c>
      <c r="K58" s="12">
        <f>'Engineering Assumptions'!$E$21*T58*U58</f>
        <v>240</v>
      </c>
      <c r="L58" s="13">
        <f>H58+I58+J58+K58</f>
        <v>4271</v>
      </c>
      <c r="M58" s="12">
        <f>L58*'Engineering Assumptions'!$B$10</f>
        <v>640.65</v>
      </c>
      <c r="N58" s="13">
        <f>L58+M58</f>
        <v>4911.6499999999996</v>
      </c>
      <c r="O58" s="12">
        <f>N58*'Engineering Assumptions'!$B$11</f>
        <v>982.32999999999993</v>
      </c>
      <c r="P58" s="156">
        <f>MROUND(N58+O58,10)</f>
        <v>5890</v>
      </c>
      <c r="Q58" s="12">
        <f>'Fleet Pricing'!H58</f>
        <v>4880</v>
      </c>
      <c r="R58" s="45">
        <v>8</v>
      </c>
      <c r="S58" s="49">
        <v>1.25</v>
      </c>
      <c r="T58" s="49">
        <v>0.75</v>
      </c>
      <c r="U58" s="49">
        <v>1</v>
      </c>
    </row>
    <row r="59" spans="1:21" ht="15" customHeight="1" x14ac:dyDescent="0.3">
      <c r="A59" s="9">
        <v>51</v>
      </c>
      <c r="B59" s="50" t="s">
        <v>161</v>
      </c>
      <c r="C59" s="50" t="s">
        <v>166</v>
      </c>
      <c r="D59" s="50" t="s">
        <v>167</v>
      </c>
      <c r="E59" s="50" t="s">
        <v>164</v>
      </c>
      <c r="F59" s="48" t="s">
        <v>116</v>
      </c>
      <c r="G59" s="9">
        <v>9</v>
      </c>
      <c r="H59" s="12">
        <f>'Engineering Assumptions'!$C$21*'Engineering Assumptions'!$B$5*U59</f>
        <v>3056</v>
      </c>
      <c r="I59" s="12">
        <f>'Engineering Assumptions'!$B$8</f>
        <v>650</v>
      </c>
      <c r="J59" s="12">
        <f>'Engineering Assumptions'!$D$21*S59*U59</f>
        <v>325</v>
      </c>
      <c r="K59" s="12">
        <f>'Engineering Assumptions'!$E$21*T59*U59</f>
        <v>240</v>
      </c>
      <c r="L59" s="13">
        <f>H59+I59+J59+K59</f>
        <v>4271</v>
      </c>
      <c r="M59" s="12">
        <f>L59*'Engineering Assumptions'!$B$10</f>
        <v>640.65</v>
      </c>
      <c r="N59" s="13">
        <f>L59+M59</f>
        <v>4911.6499999999996</v>
      </c>
      <c r="O59" s="12">
        <f>N59*'Engineering Assumptions'!$B$11</f>
        <v>982.32999999999993</v>
      </c>
      <c r="P59" s="156">
        <f>MROUND(N59+O59,10)</f>
        <v>5890</v>
      </c>
      <c r="Q59" s="12">
        <f>'Fleet Pricing'!H59</f>
        <v>4880</v>
      </c>
      <c r="R59" s="45">
        <v>9</v>
      </c>
      <c r="S59" s="49">
        <v>1.25</v>
      </c>
      <c r="T59" s="49">
        <v>0.75</v>
      </c>
      <c r="U59" s="49">
        <v>1</v>
      </c>
    </row>
    <row r="60" spans="1:21" ht="15" customHeight="1" x14ac:dyDescent="0.3">
      <c r="A60" s="9">
        <v>52</v>
      </c>
      <c r="B60" s="50" t="s">
        <v>161</v>
      </c>
      <c r="C60" s="50" t="s">
        <v>168</v>
      </c>
      <c r="D60" s="50" t="s">
        <v>169</v>
      </c>
      <c r="E60" s="50" t="s">
        <v>164</v>
      </c>
      <c r="F60" s="48" t="s">
        <v>116</v>
      </c>
      <c r="G60" s="9">
        <v>9</v>
      </c>
      <c r="H60" s="12">
        <f>'Engineering Assumptions'!$C$21*'Engineering Assumptions'!$B$5*U60</f>
        <v>3056</v>
      </c>
      <c r="I60" s="12">
        <f>'Engineering Assumptions'!$B$8</f>
        <v>650</v>
      </c>
      <c r="J60" s="12">
        <f>'Engineering Assumptions'!$D$21*S60*U60</f>
        <v>325</v>
      </c>
      <c r="K60" s="12">
        <f>'Engineering Assumptions'!$E$21*T60*U60</f>
        <v>240</v>
      </c>
      <c r="L60" s="13">
        <f>H60+I60+J60+K60</f>
        <v>4271</v>
      </c>
      <c r="M60" s="12">
        <f>L60*'Engineering Assumptions'!$B$10</f>
        <v>640.65</v>
      </c>
      <c r="N60" s="13">
        <f>L60+M60</f>
        <v>4911.6499999999996</v>
      </c>
      <c r="O60" s="12">
        <f>N60*'Engineering Assumptions'!$B$11</f>
        <v>982.32999999999993</v>
      </c>
      <c r="P60" s="156">
        <f>MROUND(N60+O60,10)</f>
        <v>5890</v>
      </c>
      <c r="Q60" s="12">
        <f>'Fleet Pricing'!H60</f>
        <v>4880</v>
      </c>
      <c r="R60" s="45">
        <v>9</v>
      </c>
      <c r="S60" s="49">
        <v>1.25</v>
      </c>
      <c r="T60" s="49">
        <v>0.75</v>
      </c>
      <c r="U60" s="49">
        <v>1</v>
      </c>
    </row>
    <row r="61" spans="1:21" ht="15" customHeight="1" x14ac:dyDescent="0.3">
      <c r="A61" s="199" t="s">
        <v>170</v>
      </c>
      <c r="B61" s="200"/>
      <c r="C61" s="200"/>
      <c r="D61" s="200"/>
      <c r="E61" s="200"/>
      <c r="F61" s="200"/>
      <c r="G61" s="200"/>
      <c r="H61" s="200"/>
      <c r="I61" s="200"/>
      <c r="J61" s="200"/>
      <c r="K61" s="200"/>
      <c r="L61" s="200"/>
      <c r="M61" s="200"/>
      <c r="N61" s="200"/>
      <c r="O61" s="200"/>
      <c r="P61" s="200"/>
      <c r="Q61" s="200"/>
    </row>
    <row r="62" spans="1:21" ht="15" customHeight="1" x14ac:dyDescent="0.3">
      <c r="A62" s="9">
        <v>53</v>
      </c>
      <c r="B62" s="50" t="s">
        <v>171</v>
      </c>
      <c r="C62" s="50" t="s">
        <v>172</v>
      </c>
      <c r="D62" s="50" t="s">
        <v>173</v>
      </c>
      <c r="E62" s="50"/>
      <c r="F62" s="48" t="s">
        <v>23</v>
      </c>
      <c r="G62" s="9">
        <v>5</v>
      </c>
      <c r="H62" s="12">
        <f>'Engineering Assumptions'!$C$22*'Engineering Assumptions'!$B$5*U62</f>
        <v>3056</v>
      </c>
      <c r="I62" s="12">
        <f>'Engineering Assumptions'!$B$8</f>
        <v>650</v>
      </c>
      <c r="J62" s="12">
        <f>'Engineering Assumptions'!$D$22*S62*U62</f>
        <v>230</v>
      </c>
      <c r="K62" s="12">
        <f>'Engineering Assumptions'!$E$22*T62*U62</f>
        <v>93</v>
      </c>
      <c r="L62" s="13">
        <f t="shared" ref="L62:L80" si="9">H62+I62+J62+K62</f>
        <v>4029</v>
      </c>
      <c r="M62" s="12">
        <f>L62*'Engineering Assumptions'!$B$10</f>
        <v>604.35</v>
      </c>
      <c r="N62" s="13">
        <f t="shared" ref="N62:N80" si="10">L62+M62</f>
        <v>4633.3500000000004</v>
      </c>
      <c r="O62" s="12">
        <f>N62*'Engineering Assumptions'!$B$11</f>
        <v>926.67000000000007</v>
      </c>
      <c r="P62" s="156">
        <f t="shared" ref="P62:P80" si="11">MROUND(N62+O62,10)</f>
        <v>5560</v>
      </c>
      <c r="Q62" s="12">
        <f>'Fleet Pricing'!H62</f>
        <v>4600</v>
      </c>
      <c r="R62" s="45">
        <v>5</v>
      </c>
      <c r="S62" s="49">
        <v>1</v>
      </c>
      <c r="T62" s="49">
        <v>0.3</v>
      </c>
      <c r="U62" s="49">
        <v>1</v>
      </c>
    </row>
    <row r="63" spans="1:21" ht="15" customHeight="1" x14ac:dyDescent="0.3">
      <c r="A63" s="9">
        <v>54</v>
      </c>
      <c r="B63" s="50" t="s">
        <v>171</v>
      </c>
      <c r="C63" s="50" t="s">
        <v>174</v>
      </c>
      <c r="D63" s="50" t="s">
        <v>175</v>
      </c>
      <c r="E63" s="50"/>
      <c r="F63" s="48" t="s">
        <v>23</v>
      </c>
      <c r="G63" s="9">
        <v>5</v>
      </c>
      <c r="H63" s="12">
        <f>'Engineering Assumptions'!$C$22*'Engineering Assumptions'!$B$5*U63</f>
        <v>3056</v>
      </c>
      <c r="I63" s="12">
        <f>'Engineering Assumptions'!$B$8</f>
        <v>650</v>
      </c>
      <c r="J63" s="12">
        <f>'Engineering Assumptions'!$D$22*S63*U63</f>
        <v>230</v>
      </c>
      <c r="K63" s="12">
        <f>'Engineering Assumptions'!$E$22*T63*U63</f>
        <v>93</v>
      </c>
      <c r="L63" s="13">
        <f t="shared" si="9"/>
        <v>4029</v>
      </c>
      <c r="M63" s="12">
        <f>L63*'Engineering Assumptions'!$B$10</f>
        <v>604.35</v>
      </c>
      <c r="N63" s="13">
        <f t="shared" si="10"/>
        <v>4633.3500000000004</v>
      </c>
      <c r="O63" s="12">
        <f>N63*'Engineering Assumptions'!$B$11</f>
        <v>926.67000000000007</v>
      </c>
      <c r="P63" s="156">
        <f t="shared" si="11"/>
        <v>5560</v>
      </c>
      <c r="Q63" s="12">
        <f>'Fleet Pricing'!H63</f>
        <v>4600</v>
      </c>
      <c r="R63" s="45">
        <v>5</v>
      </c>
      <c r="S63" s="49">
        <v>1</v>
      </c>
      <c r="T63" s="49">
        <v>0.3</v>
      </c>
      <c r="U63" s="49">
        <v>1</v>
      </c>
    </row>
    <row r="64" spans="1:21" ht="15" customHeight="1" x14ac:dyDescent="0.3">
      <c r="A64" s="9">
        <v>55</v>
      </c>
      <c r="B64" s="50" t="s">
        <v>171</v>
      </c>
      <c r="C64" s="50" t="s">
        <v>174</v>
      </c>
      <c r="D64" s="50" t="s">
        <v>176</v>
      </c>
      <c r="E64" s="50"/>
      <c r="F64" s="48" t="s">
        <v>23</v>
      </c>
      <c r="G64" s="9">
        <v>5</v>
      </c>
      <c r="H64" s="12">
        <f>'Engineering Assumptions'!$C$22*'Engineering Assumptions'!$B$5*U64</f>
        <v>3056</v>
      </c>
      <c r="I64" s="12">
        <f>'Engineering Assumptions'!$B$8</f>
        <v>650</v>
      </c>
      <c r="J64" s="12">
        <f>'Engineering Assumptions'!$D$22*S64*U64</f>
        <v>230</v>
      </c>
      <c r="K64" s="12">
        <f>'Engineering Assumptions'!$E$22*T64*U64</f>
        <v>93</v>
      </c>
      <c r="L64" s="13">
        <f t="shared" si="9"/>
        <v>4029</v>
      </c>
      <c r="M64" s="12">
        <f>L64*'Engineering Assumptions'!$B$10</f>
        <v>604.35</v>
      </c>
      <c r="N64" s="13">
        <f t="shared" si="10"/>
        <v>4633.3500000000004</v>
      </c>
      <c r="O64" s="12">
        <f>N64*'Engineering Assumptions'!$B$11</f>
        <v>926.67000000000007</v>
      </c>
      <c r="P64" s="156">
        <f t="shared" si="11"/>
        <v>5560</v>
      </c>
      <c r="Q64" s="12">
        <f>'Fleet Pricing'!H64</f>
        <v>4600</v>
      </c>
      <c r="R64" s="45">
        <v>5</v>
      </c>
      <c r="S64" s="49">
        <v>1</v>
      </c>
      <c r="T64" s="49">
        <v>0.3</v>
      </c>
      <c r="U64" s="49">
        <v>1</v>
      </c>
    </row>
    <row r="65" spans="1:21" ht="15" customHeight="1" x14ac:dyDescent="0.3">
      <c r="A65" s="9">
        <v>56</v>
      </c>
      <c r="B65" s="50" t="s">
        <v>171</v>
      </c>
      <c r="C65" s="50" t="s">
        <v>177</v>
      </c>
      <c r="D65" s="50" t="s">
        <v>178</v>
      </c>
      <c r="E65" s="50"/>
      <c r="F65" s="48" t="s">
        <v>116</v>
      </c>
      <c r="G65" s="9">
        <v>9</v>
      </c>
      <c r="H65" s="12">
        <f>'Engineering Assumptions'!$C$22*'Engineering Assumptions'!$B$5*U65</f>
        <v>3056</v>
      </c>
      <c r="I65" s="12">
        <f>'Engineering Assumptions'!$B$8</f>
        <v>650</v>
      </c>
      <c r="J65" s="12">
        <f>'Engineering Assumptions'!$D$22*S65*U65</f>
        <v>287.5</v>
      </c>
      <c r="K65" s="12">
        <f>'Engineering Assumptions'!$E$22*T65*U65</f>
        <v>232.5</v>
      </c>
      <c r="L65" s="13">
        <f t="shared" si="9"/>
        <v>4226</v>
      </c>
      <c r="M65" s="12">
        <f>L65*'Engineering Assumptions'!$B$10</f>
        <v>633.9</v>
      </c>
      <c r="N65" s="13">
        <f t="shared" si="10"/>
        <v>4859.8999999999996</v>
      </c>
      <c r="O65" s="12">
        <f>N65*'Engineering Assumptions'!$B$11</f>
        <v>971.98</v>
      </c>
      <c r="P65" s="156">
        <f t="shared" si="11"/>
        <v>5830</v>
      </c>
      <c r="Q65" s="12">
        <f>'Fleet Pricing'!H65</f>
        <v>4230</v>
      </c>
      <c r="R65" s="45">
        <v>9</v>
      </c>
      <c r="S65" s="49">
        <v>1.25</v>
      </c>
      <c r="T65" s="49">
        <v>0.75</v>
      </c>
      <c r="U65" s="49">
        <v>1</v>
      </c>
    </row>
    <row r="66" spans="1:21" ht="15" customHeight="1" x14ac:dyDescent="0.3">
      <c r="A66" s="9">
        <v>57</v>
      </c>
      <c r="B66" s="50" t="s">
        <v>171</v>
      </c>
      <c r="C66" s="50" t="s">
        <v>177</v>
      </c>
      <c r="D66" s="50" t="s">
        <v>179</v>
      </c>
      <c r="E66" s="50"/>
      <c r="F66" s="48" t="s">
        <v>116</v>
      </c>
      <c r="G66" s="9">
        <v>9</v>
      </c>
      <c r="H66" s="12">
        <f>'Engineering Assumptions'!$C$22*'Engineering Assumptions'!$B$5*U66</f>
        <v>3056</v>
      </c>
      <c r="I66" s="12">
        <f>'Engineering Assumptions'!$B$8</f>
        <v>650</v>
      </c>
      <c r="J66" s="12">
        <f>'Engineering Assumptions'!$D$22*S66*U66</f>
        <v>287.5</v>
      </c>
      <c r="K66" s="12">
        <f>'Engineering Assumptions'!$E$22*T66*U66</f>
        <v>232.5</v>
      </c>
      <c r="L66" s="13">
        <f t="shared" si="9"/>
        <v>4226</v>
      </c>
      <c r="M66" s="12">
        <f>L66*'Engineering Assumptions'!$B$10</f>
        <v>633.9</v>
      </c>
      <c r="N66" s="13">
        <f t="shared" si="10"/>
        <v>4859.8999999999996</v>
      </c>
      <c r="O66" s="12">
        <f>N66*'Engineering Assumptions'!$B$11</f>
        <v>971.98</v>
      </c>
      <c r="P66" s="156">
        <f t="shared" si="11"/>
        <v>5830</v>
      </c>
      <c r="Q66" s="12">
        <f>'Fleet Pricing'!H66</f>
        <v>4230</v>
      </c>
      <c r="R66" s="45">
        <v>9</v>
      </c>
      <c r="S66" s="49">
        <v>1.25</v>
      </c>
      <c r="T66" s="49">
        <v>0.75</v>
      </c>
      <c r="U66" s="49">
        <v>1</v>
      </c>
    </row>
    <row r="67" spans="1:21" ht="15" customHeight="1" x14ac:dyDescent="0.3">
      <c r="A67" s="9">
        <v>58</v>
      </c>
      <c r="B67" s="50" t="s">
        <v>171</v>
      </c>
      <c r="C67" s="50" t="s">
        <v>180</v>
      </c>
      <c r="D67" s="50" t="s">
        <v>181</v>
      </c>
      <c r="E67" s="50"/>
      <c r="F67" s="48" t="s">
        <v>49</v>
      </c>
      <c r="G67" s="9">
        <v>10</v>
      </c>
      <c r="H67" s="12">
        <f>'Engineering Assumptions'!$C$22*'Engineering Assumptions'!$B$5*U67</f>
        <v>3056</v>
      </c>
      <c r="I67" s="12">
        <f>'Engineering Assumptions'!$B$8</f>
        <v>650</v>
      </c>
      <c r="J67" s="12">
        <f>'Engineering Assumptions'!$D$22*S67*U67</f>
        <v>287.5</v>
      </c>
      <c r="K67" s="12">
        <f>'Engineering Assumptions'!$E$22*T67*U67</f>
        <v>232.5</v>
      </c>
      <c r="L67" s="13">
        <f t="shared" si="9"/>
        <v>4226</v>
      </c>
      <c r="M67" s="12">
        <f>L67*'Engineering Assumptions'!$B$10</f>
        <v>633.9</v>
      </c>
      <c r="N67" s="13">
        <f t="shared" si="10"/>
        <v>4859.8999999999996</v>
      </c>
      <c r="O67" s="12">
        <f>N67*'Engineering Assumptions'!$B$11</f>
        <v>971.98</v>
      </c>
      <c r="P67" s="156">
        <f t="shared" si="11"/>
        <v>5830</v>
      </c>
      <c r="Q67" s="12">
        <f>'Fleet Pricing'!H67</f>
        <v>4230</v>
      </c>
      <c r="R67" s="45">
        <v>10</v>
      </c>
      <c r="S67" s="49">
        <v>1.25</v>
      </c>
      <c r="T67" s="49">
        <v>0.75</v>
      </c>
      <c r="U67" s="49">
        <v>1</v>
      </c>
    </row>
    <row r="68" spans="1:21" ht="15" customHeight="1" x14ac:dyDescent="0.3">
      <c r="A68" s="9">
        <v>59</v>
      </c>
      <c r="B68" s="50" t="s">
        <v>171</v>
      </c>
      <c r="C68" s="50" t="s">
        <v>182</v>
      </c>
      <c r="D68" s="50" t="s">
        <v>183</v>
      </c>
      <c r="E68" s="50"/>
      <c r="F68" s="48" t="s">
        <v>94</v>
      </c>
      <c r="G68" s="9">
        <v>12</v>
      </c>
      <c r="H68" s="12">
        <f>'Engineering Assumptions'!$C$22*'Engineering Assumptions'!$B$5*U68</f>
        <v>3056</v>
      </c>
      <c r="I68" s="12">
        <f>'Engineering Assumptions'!$B$8</f>
        <v>650</v>
      </c>
      <c r="J68" s="12">
        <f>'Engineering Assumptions'!$D$22*S68*U68</f>
        <v>356.5</v>
      </c>
      <c r="K68" s="12">
        <f>'Engineering Assumptions'!$E$22*T68*U68</f>
        <v>418.5</v>
      </c>
      <c r="L68" s="13">
        <f t="shared" si="9"/>
        <v>4481</v>
      </c>
      <c r="M68" s="12">
        <f>L68*'Engineering Assumptions'!$B$10</f>
        <v>672.15</v>
      </c>
      <c r="N68" s="13">
        <f t="shared" si="10"/>
        <v>5153.1499999999996</v>
      </c>
      <c r="O68" s="12">
        <f>N68*'Engineering Assumptions'!$B$11</f>
        <v>1030.6299999999999</v>
      </c>
      <c r="P68" s="156">
        <f t="shared" si="11"/>
        <v>6180</v>
      </c>
      <c r="Q68" s="12">
        <f>'Fleet Pricing'!H68</f>
        <v>3770</v>
      </c>
      <c r="R68" s="45">
        <v>12</v>
      </c>
      <c r="S68" s="49">
        <v>1.55</v>
      </c>
      <c r="T68" s="49">
        <v>1.35</v>
      </c>
      <c r="U68" s="49">
        <v>1</v>
      </c>
    </row>
    <row r="69" spans="1:21" ht="15" customHeight="1" x14ac:dyDescent="0.3">
      <c r="A69" s="9">
        <v>60</v>
      </c>
      <c r="B69" s="50" t="s">
        <v>171</v>
      </c>
      <c r="C69" s="50" t="s">
        <v>184</v>
      </c>
      <c r="D69" s="50" t="s">
        <v>185</v>
      </c>
      <c r="E69" s="50"/>
      <c r="F69" s="48" t="s">
        <v>94</v>
      </c>
      <c r="G69" s="9">
        <v>12</v>
      </c>
      <c r="H69" s="12">
        <f>'Engineering Assumptions'!$C$22*'Engineering Assumptions'!$B$5*U69</f>
        <v>3056</v>
      </c>
      <c r="I69" s="12">
        <f>'Engineering Assumptions'!$B$8</f>
        <v>650</v>
      </c>
      <c r="J69" s="12">
        <f>'Engineering Assumptions'!$D$22*S69*U69</f>
        <v>356.5</v>
      </c>
      <c r="K69" s="12">
        <f>'Engineering Assumptions'!$E$22*T69*U69</f>
        <v>418.5</v>
      </c>
      <c r="L69" s="13">
        <f t="shared" si="9"/>
        <v>4481</v>
      </c>
      <c r="M69" s="12">
        <f>L69*'Engineering Assumptions'!$B$10</f>
        <v>672.15</v>
      </c>
      <c r="N69" s="13">
        <f t="shared" si="10"/>
        <v>5153.1499999999996</v>
      </c>
      <c r="O69" s="12">
        <f>N69*'Engineering Assumptions'!$B$11</f>
        <v>1030.6299999999999</v>
      </c>
      <c r="P69" s="156">
        <f t="shared" si="11"/>
        <v>6180</v>
      </c>
      <c r="Q69" s="12">
        <f>'Fleet Pricing'!H69</f>
        <v>3770</v>
      </c>
      <c r="R69" s="45">
        <v>12</v>
      </c>
      <c r="S69" s="49">
        <v>1.55</v>
      </c>
      <c r="T69" s="49">
        <v>1.35</v>
      </c>
      <c r="U69" s="49">
        <v>1</v>
      </c>
    </row>
    <row r="70" spans="1:21" ht="15" customHeight="1" x14ac:dyDescent="0.3">
      <c r="A70" s="9">
        <v>61</v>
      </c>
      <c r="B70" s="50" t="s">
        <v>171</v>
      </c>
      <c r="C70" s="50" t="s">
        <v>186</v>
      </c>
      <c r="D70" s="50" t="s">
        <v>187</v>
      </c>
      <c r="E70" s="50"/>
      <c r="F70" s="48" t="s">
        <v>99</v>
      </c>
      <c r="G70" s="9">
        <v>13</v>
      </c>
      <c r="H70" s="12">
        <f>'Engineering Assumptions'!$C$22*'Engineering Assumptions'!$B$5*U70</f>
        <v>3056</v>
      </c>
      <c r="I70" s="12">
        <f>'Engineering Assumptions'!$B$8</f>
        <v>650</v>
      </c>
      <c r="J70" s="12">
        <f>'Engineering Assumptions'!$D$22*S70*U70</f>
        <v>356.5</v>
      </c>
      <c r="K70" s="12">
        <f>'Engineering Assumptions'!$E$22*T70*U70</f>
        <v>418.5</v>
      </c>
      <c r="L70" s="13">
        <f t="shared" si="9"/>
        <v>4481</v>
      </c>
      <c r="M70" s="12">
        <f>L70*'Engineering Assumptions'!$B$10</f>
        <v>672.15</v>
      </c>
      <c r="N70" s="13">
        <f t="shared" si="10"/>
        <v>5153.1499999999996</v>
      </c>
      <c r="O70" s="12">
        <f>N70*'Engineering Assumptions'!$B$11</f>
        <v>1030.6299999999999</v>
      </c>
      <c r="P70" s="156">
        <f t="shared" si="11"/>
        <v>6180</v>
      </c>
      <c r="Q70" s="12">
        <f>'Fleet Pricing'!H70</f>
        <v>3770</v>
      </c>
      <c r="R70" s="45">
        <v>13</v>
      </c>
      <c r="S70" s="49">
        <v>1.55</v>
      </c>
      <c r="T70" s="49">
        <v>1.35</v>
      </c>
      <c r="U70" s="49">
        <v>1</v>
      </c>
    </row>
    <row r="71" spans="1:21" ht="15" customHeight="1" x14ac:dyDescent="0.3">
      <c r="A71" s="9">
        <v>62</v>
      </c>
      <c r="B71" s="50" t="s">
        <v>171</v>
      </c>
      <c r="C71" s="50" t="s">
        <v>188</v>
      </c>
      <c r="D71" s="50" t="s">
        <v>189</v>
      </c>
      <c r="E71" s="50"/>
      <c r="F71" s="48" t="s">
        <v>66</v>
      </c>
      <c r="G71" s="9">
        <v>14</v>
      </c>
      <c r="H71" s="12">
        <f>'Engineering Assumptions'!$C$22*'Engineering Assumptions'!$B$5*U71</f>
        <v>3056</v>
      </c>
      <c r="I71" s="12">
        <f>'Engineering Assumptions'!$B$8</f>
        <v>650</v>
      </c>
      <c r="J71" s="12">
        <f>'Engineering Assumptions'!$D$22*S71*U71</f>
        <v>356.5</v>
      </c>
      <c r="K71" s="12">
        <f>'Engineering Assumptions'!$E$22*T71*U71</f>
        <v>418.5</v>
      </c>
      <c r="L71" s="13">
        <f t="shared" si="9"/>
        <v>4481</v>
      </c>
      <c r="M71" s="12">
        <f>L71*'Engineering Assumptions'!$B$10</f>
        <v>672.15</v>
      </c>
      <c r="N71" s="13">
        <f t="shared" si="10"/>
        <v>5153.1499999999996</v>
      </c>
      <c r="O71" s="12">
        <f>N71*'Engineering Assumptions'!$B$11</f>
        <v>1030.6299999999999</v>
      </c>
      <c r="P71" s="156">
        <f t="shared" si="11"/>
        <v>6180</v>
      </c>
      <c r="Q71" s="12">
        <f>'Fleet Pricing'!H71</f>
        <v>3770</v>
      </c>
      <c r="R71" s="45">
        <v>14</v>
      </c>
      <c r="S71" s="49">
        <v>1.55</v>
      </c>
      <c r="T71" s="49">
        <v>1.35</v>
      </c>
      <c r="U71" s="49">
        <v>1</v>
      </c>
    </row>
    <row r="72" spans="1:21" ht="15" customHeight="1" x14ac:dyDescent="0.3">
      <c r="A72" s="9">
        <v>63</v>
      </c>
      <c r="B72" s="50" t="s">
        <v>171</v>
      </c>
      <c r="C72" s="50" t="s">
        <v>188</v>
      </c>
      <c r="D72" s="50" t="s">
        <v>190</v>
      </c>
      <c r="E72" s="50"/>
      <c r="F72" s="48" t="s">
        <v>66</v>
      </c>
      <c r="G72" s="9">
        <v>14</v>
      </c>
      <c r="H72" s="12">
        <f>'Engineering Assumptions'!$C$22*'Engineering Assumptions'!$B$5*U72</f>
        <v>3056</v>
      </c>
      <c r="I72" s="12">
        <f>'Engineering Assumptions'!$B$8</f>
        <v>650</v>
      </c>
      <c r="J72" s="12">
        <f>'Engineering Assumptions'!$D$22*S72*U72</f>
        <v>356.5</v>
      </c>
      <c r="K72" s="12">
        <f>'Engineering Assumptions'!$E$22*T72*U72</f>
        <v>418.5</v>
      </c>
      <c r="L72" s="13">
        <f t="shared" si="9"/>
        <v>4481</v>
      </c>
      <c r="M72" s="12">
        <f>L72*'Engineering Assumptions'!$B$10</f>
        <v>672.15</v>
      </c>
      <c r="N72" s="13">
        <f t="shared" si="10"/>
        <v>5153.1499999999996</v>
      </c>
      <c r="O72" s="12">
        <f>N72*'Engineering Assumptions'!$B$11</f>
        <v>1030.6299999999999</v>
      </c>
      <c r="P72" s="156">
        <f t="shared" si="11"/>
        <v>6180</v>
      </c>
      <c r="Q72" s="12">
        <f>'Fleet Pricing'!H72</f>
        <v>3770</v>
      </c>
      <c r="R72" s="45">
        <v>14</v>
      </c>
      <c r="S72" s="49">
        <v>1.55</v>
      </c>
      <c r="T72" s="49">
        <v>1.35</v>
      </c>
      <c r="U72" s="49">
        <v>1</v>
      </c>
    </row>
    <row r="73" spans="1:21" ht="15" customHeight="1" x14ac:dyDescent="0.3">
      <c r="A73" s="9">
        <v>64</v>
      </c>
      <c r="B73" s="50" t="s">
        <v>171</v>
      </c>
      <c r="C73" s="50" t="s">
        <v>191</v>
      </c>
      <c r="D73" s="50" t="s">
        <v>192</v>
      </c>
      <c r="E73" s="50"/>
      <c r="F73" s="48" t="s">
        <v>107</v>
      </c>
      <c r="G73" s="9">
        <v>16</v>
      </c>
      <c r="H73" s="12">
        <f>'Engineering Assumptions'!$C$22*'Engineering Assumptions'!$B$5*U73</f>
        <v>3056</v>
      </c>
      <c r="I73" s="12">
        <f>'Engineering Assumptions'!$B$8</f>
        <v>650</v>
      </c>
      <c r="J73" s="12">
        <f>'Engineering Assumptions'!$D$22*S73*U73</f>
        <v>448.5</v>
      </c>
      <c r="K73" s="12">
        <f>'Engineering Assumptions'!$E$22*T73*U73</f>
        <v>651</v>
      </c>
      <c r="L73" s="13">
        <f t="shared" si="9"/>
        <v>4805.5</v>
      </c>
      <c r="M73" s="12">
        <f>L73*'Engineering Assumptions'!$B$10</f>
        <v>720.82499999999993</v>
      </c>
      <c r="N73" s="13">
        <f t="shared" si="10"/>
        <v>5526.3249999999998</v>
      </c>
      <c r="O73" s="12">
        <f>N73*'Engineering Assumptions'!$B$11</f>
        <v>1105.2650000000001</v>
      </c>
      <c r="P73" s="156">
        <f t="shared" si="11"/>
        <v>6630</v>
      </c>
      <c r="Q73" s="12">
        <f>'Fleet Pricing'!H73</f>
        <v>3770</v>
      </c>
      <c r="R73" s="45">
        <v>16</v>
      </c>
      <c r="S73" s="49">
        <v>1.95</v>
      </c>
      <c r="T73" s="49">
        <v>2.1</v>
      </c>
      <c r="U73" s="49">
        <v>1</v>
      </c>
    </row>
    <row r="74" spans="1:21" ht="15" customHeight="1" x14ac:dyDescent="0.3">
      <c r="A74" s="9">
        <v>65</v>
      </c>
      <c r="B74" s="50" t="s">
        <v>171</v>
      </c>
      <c r="C74" s="50" t="s">
        <v>188</v>
      </c>
      <c r="D74" s="50" t="s">
        <v>193</v>
      </c>
      <c r="E74" s="50"/>
      <c r="F74" s="48" t="s">
        <v>110</v>
      </c>
      <c r="G74" s="9">
        <v>17</v>
      </c>
      <c r="H74" s="12">
        <f>'Engineering Assumptions'!$C$22*'Engineering Assumptions'!$B$5*U74</f>
        <v>3056</v>
      </c>
      <c r="I74" s="12">
        <f>'Engineering Assumptions'!$B$8</f>
        <v>650</v>
      </c>
      <c r="J74" s="12">
        <f>'Engineering Assumptions'!$D$22*S74*U74</f>
        <v>448.5</v>
      </c>
      <c r="K74" s="12">
        <f>'Engineering Assumptions'!$E$22*T74*U74</f>
        <v>651</v>
      </c>
      <c r="L74" s="13">
        <f t="shared" si="9"/>
        <v>4805.5</v>
      </c>
      <c r="M74" s="12">
        <f>L74*'Engineering Assumptions'!$B$10</f>
        <v>720.82499999999993</v>
      </c>
      <c r="N74" s="13">
        <f t="shared" si="10"/>
        <v>5526.3249999999998</v>
      </c>
      <c r="O74" s="12">
        <f>N74*'Engineering Assumptions'!$B$11</f>
        <v>1105.2650000000001</v>
      </c>
      <c r="P74" s="156">
        <f t="shared" si="11"/>
        <v>6630</v>
      </c>
      <c r="Q74" s="12">
        <f>'Fleet Pricing'!H74</f>
        <v>3310</v>
      </c>
      <c r="R74" s="45">
        <v>17</v>
      </c>
      <c r="S74" s="49">
        <v>1.95</v>
      </c>
      <c r="T74" s="49">
        <v>2.1</v>
      </c>
      <c r="U74" s="49">
        <v>1</v>
      </c>
    </row>
    <row r="75" spans="1:21" ht="15" customHeight="1" x14ac:dyDescent="0.3">
      <c r="A75" s="9">
        <v>66</v>
      </c>
      <c r="B75" s="50" t="s">
        <v>171</v>
      </c>
      <c r="C75" s="50" t="s">
        <v>188</v>
      </c>
      <c r="D75" s="50" t="s">
        <v>194</v>
      </c>
      <c r="E75" s="50"/>
      <c r="F75" s="48" t="s">
        <v>195</v>
      </c>
      <c r="G75" s="9">
        <v>30</v>
      </c>
      <c r="H75" s="12">
        <f>'Engineering Assumptions'!$C$22*'Engineering Assumptions'!$B$5*U75</f>
        <v>3056</v>
      </c>
      <c r="I75" s="12">
        <f>'Engineering Assumptions'!$B$8</f>
        <v>650</v>
      </c>
      <c r="J75" s="12">
        <f>'Engineering Assumptions'!$D$22*S75*U75</f>
        <v>552</v>
      </c>
      <c r="K75" s="12">
        <f>'Engineering Assumptions'!$E$22*T75*U75</f>
        <v>930</v>
      </c>
      <c r="L75" s="13">
        <f t="shared" si="9"/>
        <v>5188</v>
      </c>
      <c r="M75" s="12">
        <f>L75*'Engineering Assumptions'!$B$10</f>
        <v>778.19999999999993</v>
      </c>
      <c r="N75" s="13">
        <f t="shared" si="10"/>
        <v>5966.2</v>
      </c>
      <c r="O75" s="12">
        <f>N75*'Engineering Assumptions'!$B$11</f>
        <v>1193.24</v>
      </c>
      <c r="P75" s="156">
        <f t="shared" si="11"/>
        <v>7160</v>
      </c>
      <c r="Q75" s="12">
        <f>'Fleet Pricing'!H75</f>
        <v>2670</v>
      </c>
      <c r="R75" s="45">
        <v>30</v>
      </c>
      <c r="S75" s="49">
        <v>2.4</v>
      </c>
      <c r="T75" s="49">
        <v>3</v>
      </c>
      <c r="U75" s="49">
        <v>1</v>
      </c>
    </row>
    <row r="76" spans="1:21" ht="15" customHeight="1" x14ac:dyDescent="0.3">
      <c r="A76" s="9">
        <v>67</v>
      </c>
      <c r="B76" s="50" t="s">
        <v>171</v>
      </c>
      <c r="C76" s="50" t="s">
        <v>196</v>
      </c>
      <c r="D76" s="50" t="s">
        <v>197</v>
      </c>
      <c r="E76" s="50"/>
      <c r="F76" s="48" t="s">
        <v>195</v>
      </c>
      <c r="G76" s="9">
        <v>30</v>
      </c>
      <c r="H76" s="12">
        <f>'Engineering Assumptions'!$C$22*'Engineering Assumptions'!$B$5*U76</f>
        <v>3056</v>
      </c>
      <c r="I76" s="12">
        <f>'Engineering Assumptions'!$B$8</f>
        <v>650</v>
      </c>
      <c r="J76" s="12">
        <f>'Engineering Assumptions'!$D$22*S76*U76</f>
        <v>552</v>
      </c>
      <c r="K76" s="12">
        <f>'Engineering Assumptions'!$E$22*T76*U76</f>
        <v>930</v>
      </c>
      <c r="L76" s="13">
        <f t="shared" si="9"/>
        <v>5188</v>
      </c>
      <c r="M76" s="12">
        <f>L76*'Engineering Assumptions'!$B$10</f>
        <v>778.19999999999993</v>
      </c>
      <c r="N76" s="13">
        <f t="shared" si="10"/>
        <v>5966.2</v>
      </c>
      <c r="O76" s="12">
        <f>N76*'Engineering Assumptions'!$B$11</f>
        <v>1193.24</v>
      </c>
      <c r="P76" s="156">
        <f t="shared" si="11"/>
        <v>7160</v>
      </c>
      <c r="Q76" s="12">
        <f>'Fleet Pricing'!H76</f>
        <v>2670</v>
      </c>
      <c r="R76" s="45">
        <v>30</v>
      </c>
      <c r="S76" s="49">
        <v>2.4</v>
      </c>
      <c r="T76" s="49">
        <v>3</v>
      </c>
      <c r="U76" s="49">
        <v>1</v>
      </c>
    </row>
    <row r="77" spans="1:21" ht="15" customHeight="1" x14ac:dyDescent="0.3">
      <c r="A77" s="9">
        <v>68</v>
      </c>
      <c r="B77" s="50" t="s">
        <v>171</v>
      </c>
      <c r="C77" s="50" t="s">
        <v>174</v>
      </c>
      <c r="D77" s="50" t="s">
        <v>198</v>
      </c>
      <c r="E77" s="50"/>
      <c r="F77" s="48" t="s">
        <v>195</v>
      </c>
      <c r="G77" s="9">
        <v>30</v>
      </c>
      <c r="H77" s="12">
        <f>'Engineering Assumptions'!$C$22*'Engineering Assumptions'!$B$5*U77</f>
        <v>3056</v>
      </c>
      <c r="I77" s="12">
        <f>'Engineering Assumptions'!$B$8</f>
        <v>650</v>
      </c>
      <c r="J77" s="12">
        <f>'Engineering Assumptions'!$D$22*S77*U77</f>
        <v>552</v>
      </c>
      <c r="K77" s="12">
        <f>'Engineering Assumptions'!$E$22*T77*U77</f>
        <v>930</v>
      </c>
      <c r="L77" s="13">
        <f t="shared" si="9"/>
        <v>5188</v>
      </c>
      <c r="M77" s="12">
        <f>L77*'Engineering Assumptions'!$B$10</f>
        <v>778.19999999999993</v>
      </c>
      <c r="N77" s="13">
        <f t="shared" si="10"/>
        <v>5966.2</v>
      </c>
      <c r="O77" s="12">
        <f>N77*'Engineering Assumptions'!$B$11</f>
        <v>1193.24</v>
      </c>
      <c r="P77" s="156">
        <f t="shared" si="11"/>
        <v>7160</v>
      </c>
      <c r="Q77" s="12">
        <f>'Fleet Pricing'!H77</f>
        <v>2670</v>
      </c>
      <c r="R77" s="45">
        <v>30</v>
      </c>
      <c r="S77" s="49">
        <v>2.4</v>
      </c>
      <c r="T77" s="49">
        <v>3</v>
      </c>
      <c r="U77" s="49">
        <v>1</v>
      </c>
    </row>
    <row r="78" spans="1:21" ht="15" customHeight="1" x14ac:dyDescent="0.3">
      <c r="A78" s="9">
        <v>69</v>
      </c>
      <c r="B78" s="50" t="s">
        <v>171</v>
      </c>
      <c r="C78" s="50" t="s">
        <v>180</v>
      </c>
      <c r="D78" s="50" t="s">
        <v>199</v>
      </c>
      <c r="E78" s="50"/>
      <c r="F78" s="48" t="s">
        <v>195</v>
      </c>
      <c r="G78" s="9">
        <v>30</v>
      </c>
      <c r="H78" s="12">
        <f>'Engineering Assumptions'!$C$22*'Engineering Assumptions'!$B$5*U78</f>
        <v>3056</v>
      </c>
      <c r="I78" s="12">
        <f>'Engineering Assumptions'!$B$8</f>
        <v>650</v>
      </c>
      <c r="J78" s="12">
        <f>'Engineering Assumptions'!$D$22*S78*U78</f>
        <v>552</v>
      </c>
      <c r="K78" s="12">
        <f>'Engineering Assumptions'!$E$22*T78*U78</f>
        <v>930</v>
      </c>
      <c r="L78" s="13">
        <f t="shared" si="9"/>
        <v>5188</v>
      </c>
      <c r="M78" s="12">
        <f>L78*'Engineering Assumptions'!$B$10</f>
        <v>778.19999999999993</v>
      </c>
      <c r="N78" s="13">
        <f t="shared" si="10"/>
        <v>5966.2</v>
      </c>
      <c r="O78" s="12">
        <f>N78*'Engineering Assumptions'!$B$11</f>
        <v>1193.24</v>
      </c>
      <c r="P78" s="156">
        <f t="shared" si="11"/>
        <v>7160</v>
      </c>
      <c r="Q78" s="12">
        <f>'Fleet Pricing'!H78</f>
        <v>2670</v>
      </c>
      <c r="R78" s="45">
        <v>30</v>
      </c>
      <c r="S78" s="49">
        <v>2.4</v>
      </c>
      <c r="T78" s="49">
        <v>3</v>
      </c>
      <c r="U78" s="49">
        <v>1</v>
      </c>
    </row>
    <row r="79" spans="1:21" ht="15" customHeight="1" x14ac:dyDescent="0.3">
      <c r="A79" s="9">
        <v>70</v>
      </c>
      <c r="B79" s="50" t="s">
        <v>171</v>
      </c>
      <c r="C79" s="50" t="s">
        <v>200</v>
      </c>
      <c r="D79" s="50" t="s">
        <v>201</v>
      </c>
      <c r="E79" s="50"/>
      <c r="F79" s="48" t="s">
        <v>195</v>
      </c>
      <c r="G79" s="9">
        <v>30</v>
      </c>
      <c r="H79" s="12">
        <f>'Engineering Assumptions'!$C$22*'Engineering Assumptions'!$B$5*U79</f>
        <v>3056</v>
      </c>
      <c r="I79" s="12">
        <f>'Engineering Assumptions'!$B$8</f>
        <v>650</v>
      </c>
      <c r="J79" s="12">
        <f>'Engineering Assumptions'!$D$22*S79*U79</f>
        <v>552</v>
      </c>
      <c r="K79" s="12">
        <f>'Engineering Assumptions'!$E$22*T79*U79</f>
        <v>930</v>
      </c>
      <c r="L79" s="13">
        <f t="shared" si="9"/>
        <v>5188</v>
      </c>
      <c r="M79" s="12">
        <f>L79*'Engineering Assumptions'!$B$10</f>
        <v>778.19999999999993</v>
      </c>
      <c r="N79" s="13">
        <f t="shared" si="10"/>
        <v>5966.2</v>
      </c>
      <c r="O79" s="12">
        <f>N79*'Engineering Assumptions'!$B$11</f>
        <v>1193.24</v>
      </c>
      <c r="P79" s="156">
        <f t="shared" si="11"/>
        <v>7160</v>
      </c>
      <c r="Q79" s="12">
        <f>'Fleet Pricing'!H79</f>
        <v>2670</v>
      </c>
      <c r="R79" s="45">
        <v>30</v>
      </c>
      <c r="S79" s="49">
        <v>2.4</v>
      </c>
      <c r="T79" s="49">
        <v>3</v>
      </c>
      <c r="U79" s="49">
        <v>1</v>
      </c>
    </row>
    <row r="80" spans="1:21" ht="15" customHeight="1" x14ac:dyDescent="0.3">
      <c r="A80" s="9">
        <v>71</v>
      </c>
      <c r="B80" s="50" t="s">
        <v>171</v>
      </c>
      <c r="C80" s="50" t="s">
        <v>202</v>
      </c>
      <c r="D80" s="50" t="s">
        <v>203</v>
      </c>
      <c r="E80" s="50"/>
      <c r="F80" s="48" t="s">
        <v>195</v>
      </c>
      <c r="G80" s="9">
        <v>30</v>
      </c>
      <c r="H80" s="12">
        <f>'Engineering Assumptions'!$C$22*'Engineering Assumptions'!$B$5*U80</f>
        <v>3056</v>
      </c>
      <c r="I80" s="12">
        <f>'Engineering Assumptions'!$B$8</f>
        <v>650</v>
      </c>
      <c r="J80" s="12">
        <f>'Engineering Assumptions'!$D$22*S80*U80</f>
        <v>552</v>
      </c>
      <c r="K80" s="12">
        <f>'Engineering Assumptions'!$E$22*T80*U80</f>
        <v>930</v>
      </c>
      <c r="L80" s="13">
        <f t="shared" si="9"/>
        <v>5188</v>
      </c>
      <c r="M80" s="12">
        <f>L80*'Engineering Assumptions'!$B$10</f>
        <v>778.19999999999993</v>
      </c>
      <c r="N80" s="13">
        <f t="shared" si="10"/>
        <v>5966.2</v>
      </c>
      <c r="O80" s="12">
        <f>N80*'Engineering Assumptions'!$B$11</f>
        <v>1193.24</v>
      </c>
      <c r="P80" s="156">
        <f t="shared" si="11"/>
        <v>7160</v>
      </c>
      <c r="Q80" s="12">
        <f>'Fleet Pricing'!H80</f>
        <v>2670</v>
      </c>
      <c r="R80" s="45">
        <v>30</v>
      </c>
      <c r="S80" s="49">
        <v>2.4</v>
      </c>
      <c r="T80" s="49">
        <v>3</v>
      </c>
      <c r="U80" s="49">
        <v>1</v>
      </c>
    </row>
    <row r="81" spans="1:21" ht="15" customHeight="1" x14ac:dyDescent="0.3">
      <c r="A81" s="199" t="s">
        <v>204</v>
      </c>
      <c r="B81" s="200"/>
      <c r="C81" s="200"/>
      <c r="D81" s="200"/>
      <c r="E81" s="200"/>
      <c r="F81" s="200"/>
      <c r="G81" s="200"/>
      <c r="H81" s="200"/>
      <c r="I81" s="200"/>
      <c r="J81" s="200"/>
      <c r="K81" s="200"/>
      <c r="L81" s="200"/>
      <c r="M81" s="200"/>
      <c r="N81" s="200"/>
      <c r="O81" s="200"/>
      <c r="P81" s="200"/>
      <c r="Q81" s="200"/>
    </row>
    <row r="82" spans="1:21" ht="15" customHeight="1" x14ac:dyDescent="0.3">
      <c r="A82" s="9">
        <v>72</v>
      </c>
      <c r="B82" s="50" t="s">
        <v>205</v>
      </c>
      <c r="C82" s="50" t="s">
        <v>188</v>
      </c>
      <c r="D82" s="50" t="s">
        <v>206</v>
      </c>
      <c r="E82" s="50"/>
      <c r="F82" s="48" t="s">
        <v>116</v>
      </c>
      <c r="G82" s="9">
        <v>9</v>
      </c>
      <c r="H82" s="12">
        <f>'Engineering Assumptions'!$C$23*'Engineering Assumptions'!$B$5*U82</f>
        <v>1910</v>
      </c>
      <c r="I82" s="12">
        <f>'Engineering Assumptions'!$B$8</f>
        <v>650</v>
      </c>
      <c r="J82" s="12">
        <f>'Engineering Assumptions'!$D$23*S82*U82</f>
        <v>225</v>
      </c>
      <c r="K82" s="12">
        <f>'Engineering Assumptions'!$E$23*T82*U82</f>
        <v>180</v>
      </c>
      <c r="L82" s="13">
        <f t="shared" ref="L82:L113" si="12">H82+I82+J82+K82</f>
        <v>2965</v>
      </c>
      <c r="M82" s="12">
        <f>L82*'Engineering Assumptions'!$B$10</f>
        <v>444.75</v>
      </c>
      <c r="N82" s="13">
        <f t="shared" ref="N82:N113" si="13">L82+M82</f>
        <v>3409.75</v>
      </c>
      <c r="O82" s="12">
        <f>N82*'Engineering Assumptions'!$B$11</f>
        <v>681.95</v>
      </c>
      <c r="P82" s="156">
        <f t="shared" ref="P82:P113" si="14">MROUND(N82+O82,10)</f>
        <v>4090</v>
      </c>
      <c r="Q82" s="12">
        <f>'Fleet Pricing'!H82</f>
        <v>3590</v>
      </c>
      <c r="R82" s="45">
        <v>9</v>
      </c>
      <c r="S82" s="49">
        <v>1.25</v>
      </c>
      <c r="T82" s="49">
        <v>0.75</v>
      </c>
      <c r="U82" s="49">
        <v>1</v>
      </c>
    </row>
    <row r="83" spans="1:21" ht="15" customHeight="1" x14ac:dyDescent="0.3">
      <c r="A83" s="9">
        <v>73</v>
      </c>
      <c r="B83" s="50" t="s">
        <v>205</v>
      </c>
      <c r="C83" s="50" t="s">
        <v>207</v>
      </c>
      <c r="D83" s="50" t="s">
        <v>208</v>
      </c>
      <c r="E83" s="50"/>
      <c r="F83" s="48" t="s">
        <v>116</v>
      </c>
      <c r="G83" s="9">
        <v>9</v>
      </c>
      <c r="H83" s="12">
        <f>'Engineering Assumptions'!$C$23*'Engineering Assumptions'!$B$5*U83</f>
        <v>1910</v>
      </c>
      <c r="I83" s="12">
        <f>'Engineering Assumptions'!$B$8</f>
        <v>650</v>
      </c>
      <c r="J83" s="12">
        <f>'Engineering Assumptions'!$D$23*S83*U83</f>
        <v>225</v>
      </c>
      <c r="K83" s="12">
        <f>'Engineering Assumptions'!$E$23*T83*U83</f>
        <v>180</v>
      </c>
      <c r="L83" s="13">
        <f t="shared" si="12"/>
        <v>2965</v>
      </c>
      <c r="M83" s="12">
        <f>L83*'Engineering Assumptions'!$B$10</f>
        <v>444.75</v>
      </c>
      <c r="N83" s="13">
        <f t="shared" si="13"/>
        <v>3409.75</v>
      </c>
      <c r="O83" s="12">
        <f>N83*'Engineering Assumptions'!$B$11</f>
        <v>681.95</v>
      </c>
      <c r="P83" s="156">
        <f t="shared" si="14"/>
        <v>4090</v>
      </c>
      <c r="Q83" s="12">
        <f>'Fleet Pricing'!H83</f>
        <v>3590</v>
      </c>
      <c r="R83" s="45">
        <v>9</v>
      </c>
      <c r="S83" s="49">
        <v>1.25</v>
      </c>
      <c r="T83" s="49">
        <v>0.75</v>
      </c>
      <c r="U83" s="49">
        <v>1</v>
      </c>
    </row>
    <row r="84" spans="1:21" ht="15" customHeight="1" x14ac:dyDescent="0.3">
      <c r="A84" s="9">
        <v>74</v>
      </c>
      <c r="B84" s="50" t="s">
        <v>205</v>
      </c>
      <c r="C84" s="50" t="s">
        <v>188</v>
      </c>
      <c r="D84" s="50" t="s">
        <v>209</v>
      </c>
      <c r="E84" s="50"/>
      <c r="F84" s="48" t="s">
        <v>49</v>
      </c>
      <c r="G84" s="9">
        <v>10</v>
      </c>
      <c r="H84" s="12">
        <f>'Engineering Assumptions'!$C$23*'Engineering Assumptions'!$B$5*U84</f>
        <v>1910</v>
      </c>
      <c r="I84" s="12">
        <f>'Engineering Assumptions'!$B$8</f>
        <v>650</v>
      </c>
      <c r="J84" s="12">
        <f>'Engineering Assumptions'!$D$23*S84*U84</f>
        <v>225</v>
      </c>
      <c r="K84" s="12">
        <f>'Engineering Assumptions'!$E$23*T84*U84</f>
        <v>180</v>
      </c>
      <c r="L84" s="13">
        <f t="shared" si="12"/>
        <v>2965</v>
      </c>
      <c r="M84" s="12">
        <f>L84*'Engineering Assumptions'!$B$10</f>
        <v>444.75</v>
      </c>
      <c r="N84" s="13">
        <f t="shared" si="13"/>
        <v>3409.75</v>
      </c>
      <c r="O84" s="12">
        <f>N84*'Engineering Assumptions'!$B$11</f>
        <v>681.95</v>
      </c>
      <c r="P84" s="156">
        <f t="shared" si="14"/>
        <v>4090</v>
      </c>
      <c r="Q84" s="12">
        <f>'Fleet Pricing'!H84</f>
        <v>3590</v>
      </c>
      <c r="R84" s="45">
        <v>10</v>
      </c>
      <c r="S84" s="49">
        <v>1.25</v>
      </c>
      <c r="T84" s="49">
        <v>0.75</v>
      </c>
      <c r="U84" s="49">
        <v>1</v>
      </c>
    </row>
    <row r="85" spans="1:21" ht="15" customHeight="1" x14ac:dyDescent="0.3">
      <c r="A85" s="9">
        <v>75</v>
      </c>
      <c r="B85" s="50" t="s">
        <v>205</v>
      </c>
      <c r="C85" s="50" t="s">
        <v>210</v>
      </c>
      <c r="D85" s="50" t="s">
        <v>211</v>
      </c>
      <c r="E85" s="50"/>
      <c r="F85" s="48" t="s">
        <v>49</v>
      </c>
      <c r="G85" s="9">
        <v>10</v>
      </c>
      <c r="H85" s="12">
        <f>'Engineering Assumptions'!$C$23*'Engineering Assumptions'!$B$5*U85</f>
        <v>1910</v>
      </c>
      <c r="I85" s="12">
        <f>'Engineering Assumptions'!$B$8</f>
        <v>650</v>
      </c>
      <c r="J85" s="12">
        <f>'Engineering Assumptions'!$D$23*S85*U85</f>
        <v>225</v>
      </c>
      <c r="K85" s="12">
        <f>'Engineering Assumptions'!$E$23*T85*U85</f>
        <v>180</v>
      </c>
      <c r="L85" s="13">
        <f t="shared" si="12"/>
        <v>2965</v>
      </c>
      <c r="M85" s="12">
        <f>L85*'Engineering Assumptions'!$B$10</f>
        <v>444.75</v>
      </c>
      <c r="N85" s="13">
        <f t="shared" si="13"/>
        <v>3409.75</v>
      </c>
      <c r="O85" s="12">
        <f>N85*'Engineering Assumptions'!$B$11</f>
        <v>681.95</v>
      </c>
      <c r="P85" s="156">
        <f t="shared" si="14"/>
        <v>4090</v>
      </c>
      <c r="Q85" s="12">
        <f>'Fleet Pricing'!H85</f>
        <v>3590</v>
      </c>
      <c r="R85" s="45">
        <v>10</v>
      </c>
      <c r="S85" s="49">
        <v>1.25</v>
      </c>
      <c r="T85" s="49">
        <v>0.75</v>
      </c>
      <c r="U85" s="49">
        <v>1</v>
      </c>
    </row>
    <row r="86" spans="1:21" ht="15" customHeight="1" x14ac:dyDescent="0.3">
      <c r="A86" s="9">
        <v>76</v>
      </c>
      <c r="B86" s="50" t="s">
        <v>205</v>
      </c>
      <c r="C86" s="50" t="s">
        <v>212</v>
      </c>
      <c r="D86" s="50" t="s">
        <v>213</v>
      </c>
      <c r="E86" s="50"/>
      <c r="F86" s="48" t="s">
        <v>49</v>
      </c>
      <c r="G86" s="9">
        <v>10</v>
      </c>
      <c r="H86" s="12">
        <f>'Engineering Assumptions'!$C$23*'Engineering Assumptions'!$B$5*U86</f>
        <v>1910</v>
      </c>
      <c r="I86" s="12">
        <f>'Engineering Assumptions'!$B$8</f>
        <v>650</v>
      </c>
      <c r="J86" s="12">
        <f>'Engineering Assumptions'!$D$23*S86*U86</f>
        <v>225</v>
      </c>
      <c r="K86" s="12">
        <f>'Engineering Assumptions'!$E$23*T86*U86</f>
        <v>180</v>
      </c>
      <c r="L86" s="13">
        <f t="shared" si="12"/>
        <v>2965</v>
      </c>
      <c r="M86" s="12">
        <f>L86*'Engineering Assumptions'!$B$10</f>
        <v>444.75</v>
      </c>
      <c r="N86" s="13">
        <f t="shared" si="13"/>
        <v>3409.75</v>
      </c>
      <c r="O86" s="12">
        <f>N86*'Engineering Assumptions'!$B$11</f>
        <v>681.95</v>
      </c>
      <c r="P86" s="156">
        <f t="shared" si="14"/>
        <v>4090</v>
      </c>
      <c r="Q86" s="12">
        <f>'Fleet Pricing'!H86</f>
        <v>3590</v>
      </c>
      <c r="R86" s="45">
        <v>10</v>
      </c>
      <c r="S86" s="49">
        <v>1.25</v>
      </c>
      <c r="T86" s="49">
        <v>0.75</v>
      </c>
      <c r="U86" s="49">
        <v>1</v>
      </c>
    </row>
    <row r="87" spans="1:21" ht="15" customHeight="1" x14ac:dyDescent="0.3">
      <c r="A87" s="9">
        <v>77</v>
      </c>
      <c r="B87" s="50" t="s">
        <v>205</v>
      </c>
      <c r="C87" s="50" t="s">
        <v>214</v>
      </c>
      <c r="D87" s="50" t="s">
        <v>215</v>
      </c>
      <c r="E87" s="50"/>
      <c r="F87" s="48" t="s">
        <v>49</v>
      </c>
      <c r="G87" s="9">
        <v>10</v>
      </c>
      <c r="H87" s="12">
        <f>'Engineering Assumptions'!$C$23*'Engineering Assumptions'!$B$5*U87</f>
        <v>1910</v>
      </c>
      <c r="I87" s="12">
        <f>'Engineering Assumptions'!$B$8</f>
        <v>650</v>
      </c>
      <c r="J87" s="12">
        <f>'Engineering Assumptions'!$D$23*S87*U87</f>
        <v>225</v>
      </c>
      <c r="K87" s="12">
        <f>'Engineering Assumptions'!$E$23*T87*U87</f>
        <v>180</v>
      </c>
      <c r="L87" s="13">
        <f t="shared" si="12"/>
        <v>2965</v>
      </c>
      <c r="M87" s="12">
        <f>L87*'Engineering Assumptions'!$B$10</f>
        <v>444.75</v>
      </c>
      <c r="N87" s="13">
        <f t="shared" si="13"/>
        <v>3409.75</v>
      </c>
      <c r="O87" s="12">
        <f>N87*'Engineering Assumptions'!$B$11</f>
        <v>681.95</v>
      </c>
      <c r="P87" s="156">
        <f t="shared" si="14"/>
        <v>4090</v>
      </c>
      <c r="Q87" s="12">
        <f>'Fleet Pricing'!H87</f>
        <v>3590</v>
      </c>
      <c r="R87" s="45">
        <v>10</v>
      </c>
      <c r="S87" s="49">
        <v>1.25</v>
      </c>
      <c r="T87" s="49">
        <v>0.75</v>
      </c>
      <c r="U87" s="49">
        <v>1</v>
      </c>
    </row>
    <row r="88" spans="1:21" ht="15" customHeight="1" x14ac:dyDescent="0.3">
      <c r="A88" s="9">
        <v>78</v>
      </c>
      <c r="B88" s="50" t="s">
        <v>205</v>
      </c>
      <c r="C88" s="50" t="s">
        <v>216</v>
      </c>
      <c r="D88" s="50" t="s">
        <v>217</v>
      </c>
      <c r="E88" s="50"/>
      <c r="F88" s="48" t="s">
        <v>49</v>
      </c>
      <c r="G88" s="9">
        <v>10</v>
      </c>
      <c r="H88" s="12">
        <f>'Engineering Assumptions'!$C$23*'Engineering Assumptions'!$B$5*U88</f>
        <v>1910</v>
      </c>
      <c r="I88" s="12">
        <f>'Engineering Assumptions'!$B$8</f>
        <v>650</v>
      </c>
      <c r="J88" s="12">
        <f>'Engineering Assumptions'!$D$23*S88*U88</f>
        <v>225</v>
      </c>
      <c r="K88" s="12">
        <f>'Engineering Assumptions'!$E$23*T88*U88</f>
        <v>180</v>
      </c>
      <c r="L88" s="13">
        <f t="shared" si="12"/>
        <v>2965</v>
      </c>
      <c r="M88" s="12">
        <f>L88*'Engineering Assumptions'!$B$10</f>
        <v>444.75</v>
      </c>
      <c r="N88" s="13">
        <f t="shared" si="13"/>
        <v>3409.75</v>
      </c>
      <c r="O88" s="12">
        <f>N88*'Engineering Assumptions'!$B$11</f>
        <v>681.95</v>
      </c>
      <c r="P88" s="156">
        <f t="shared" si="14"/>
        <v>4090</v>
      </c>
      <c r="Q88" s="12">
        <f>'Fleet Pricing'!H88</f>
        <v>3590</v>
      </c>
      <c r="R88" s="45">
        <v>10</v>
      </c>
      <c r="S88" s="49">
        <v>1.25</v>
      </c>
      <c r="T88" s="49">
        <v>0.75</v>
      </c>
      <c r="U88" s="49">
        <v>1</v>
      </c>
    </row>
    <row r="89" spans="1:21" ht="15" customHeight="1" x14ac:dyDescent="0.3">
      <c r="A89" s="9">
        <v>79</v>
      </c>
      <c r="B89" s="50" t="s">
        <v>205</v>
      </c>
      <c r="C89" s="50" t="s">
        <v>218</v>
      </c>
      <c r="D89" s="50" t="s">
        <v>219</v>
      </c>
      <c r="E89" s="50"/>
      <c r="F89" s="48" t="s">
        <v>49</v>
      </c>
      <c r="G89" s="9">
        <v>10</v>
      </c>
      <c r="H89" s="12">
        <f>'Engineering Assumptions'!$C$23*'Engineering Assumptions'!$B$5*U89</f>
        <v>1910</v>
      </c>
      <c r="I89" s="12">
        <f>'Engineering Assumptions'!$B$8</f>
        <v>650</v>
      </c>
      <c r="J89" s="12">
        <f>'Engineering Assumptions'!$D$23*S89*U89</f>
        <v>225</v>
      </c>
      <c r="K89" s="12">
        <f>'Engineering Assumptions'!$E$23*T89*U89</f>
        <v>180</v>
      </c>
      <c r="L89" s="13">
        <f t="shared" si="12"/>
        <v>2965</v>
      </c>
      <c r="M89" s="12">
        <f>L89*'Engineering Assumptions'!$B$10</f>
        <v>444.75</v>
      </c>
      <c r="N89" s="13">
        <f t="shared" si="13"/>
        <v>3409.75</v>
      </c>
      <c r="O89" s="12">
        <f>N89*'Engineering Assumptions'!$B$11</f>
        <v>681.95</v>
      </c>
      <c r="P89" s="156">
        <f t="shared" si="14"/>
        <v>4090</v>
      </c>
      <c r="Q89" s="12">
        <f>'Fleet Pricing'!H89</f>
        <v>3590</v>
      </c>
      <c r="R89" s="45">
        <v>10</v>
      </c>
      <c r="S89" s="49">
        <v>1.25</v>
      </c>
      <c r="T89" s="49">
        <v>0.75</v>
      </c>
      <c r="U89" s="49">
        <v>1</v>
      </c>
    </row>
    <row r="90" spans="1:21" ht="15" customHeight="1" x14ac:dyDescent="0.3">
      <c r="A90" s="9">
        <v>80</v>
      </c>
      <c r="B90" s="50" t="s">
        <v>205</v>
      </c>
      <c r="C90" s="50" t="s">
        <v>218</v>
      </c>
      <c r="D90" s="50" t="s">
        <v>220</v>
      </c>
      <c r="E90" s="50"/>
      <c r="F90" s="48" t="s">
        <v>49</v>
      </c>
      <c r="G90" s="9">
        <v>10</v>
      </c>
      <c r="H90" s="12">
        <f>'Engineering Assumptions'!$C$23*'Engineering Assumptions'!$B$5*U90</f>
        <v>1910</v>
      </c>
      <c r="I90" s="12">
        <f>'Engineering Assumptions'!$B$8</f>
        <v>650</v>
      </c>
      <c r="J90" s="12">
        <f>'Engineering Assumptions'!$D$23*S90*U90</f>
        <v>225</v>
      </c>
      <c r="K90" s="12">
        <f>'Engineering Assumptions'!$E$23*T90*U90</f>
        <v>180</v>
      </c>
      <c r="L90" s="13">
        <f t="shared" si="12"/>
        <v>2965</v>
      </c>
      <c r="M90" s="12">
        <f>L90*'Engineering Assumptions'!$B$10</f>
        <v>444.75</v>
      </c>
      <c r="N90" s="13">
        <f t="shared" si="13"/>
        <v>3409.75</v>
      </c>
      <c r="O90" s="12">
        <f>N90*'Engineering Assumptions'!$B$11</f>
        <v>681.95</v>
      </c>
      <c r="P90" s="156">
        <f t="shared" si="14"/>
        <v>4090</v>
      </c>
      <c r="Q90" s="12">
        <f>'Fleet Pricing'!H90</f>
        <v>3590</v>
      </c>
      <c r="R90" s="45">
        <v>10</v>
      </c>
      <c r="S90" s="49">
        <v>1.25</v>
      </c>
      <c r="T90" s="49">
        <v>0.75</v>
      </c>
      <c r="U90" s="49">
        <v>1</v>
      </c>
    </row>
    <row r="91" spans="1:21" ht="15" customHeight="1" x14ac:dyDescent="0.3">
      <c r="A91" s="9">
        <v>81</v>
      </c>
      <c r="B91" s="50" t="s">
        <v>205</v>
      </c>
      <c r="C91" s="50" t="s">
        <v>188</v>
      </c>
      <c r="D91" s="50" t="s">
        <v>221</v>
      </c>
      <c r="E91" s="50"/>
      <c r="F91" s="48" t="s">
        <v>61</v>
      </c>
      <c r="G91" s="9">
        <v>11</v>
      </c>
      <c r="H91" s="12">
        <f>'Engineering Assumptions'!$C$23*'Engineering Assumptions'!$B$5*U91</f>
        <v>1910</v>
      </c>
      <c r="I91" s="12">
        <f>'Engineering Assumptions'!$B$8</f>
        <v>650</v>
      </c>
      <c r="J91" s="12">
        <f>'Engineering Assumptions'!$D$23*S91*U91</f>
        <v>279</v>
      </c>
      <c r="K91" s="12">
        <f>'Engineering Assumptions'!$E$23*T91*U91</f>
        <v>324</v>
      </c>
      <c r="L91" s="13">
        <f t="shared" si="12"/>
        <v>3163</v>
      </c>
      <c r="M91" s="12">
        <f>L91*'Engineering Assumptions'!$B$10</f>
        <v>474.45</v>
      </c>
      <c r="N91" s="13">
        <f t="shared" si="13"/>
        <v>3637.45</v>
      </c>
      <c r="O91" s="12">
        <f>N91*'Engineering Assumptions'!$B$11</f>
        <v>727.49</v>
      </c>
      <c r="P91" s="156">
        <f t="shared" si="14"/>
        <v>4360</v>
      </c>
      <c r="Q91" s="12">
        <f>'Fleet Pricing'!H91</f>
        <v>3590</v>
      </c>
      <c r="R91" s="45">
        <v>11</v>
      </c>
      <c r="S91" s="49">
        <v>1.55</v>
      </c>
      <c r="T91" s="49">
        <v>1.35</v>
      </c>
      <c r="U91" s="49">
        <v>1</v>
      </c>
    </row>
    <row r="92" spans="1:21" ht="15" customHeight="1" x14ac:dyDescent="0.3">
      <c r="A92" s="9">
        <v>82</v>
      </c>
      <c r="B92" s="50" t="s">
        <v>205</v>
      </c>
      <c r="C92" s="50" t="s">
        <v>214</v>
      </c>
      <c r="D92" s="50" t="s">
        <v>222</v>
      </c>
      <c r="E92" s="50"/>
      <c r="F92" s="48" t="s">
        <v>61</v>
      </c>
      <c r="G92" s="9">
        <v>11</v>
      </c>
      <c r="H92" s="12">
        <f>'Engineering Assumptions'!$C$23*'Engineering Assumptions'!$B$5*U92</f>
        <v>1910</v>
      </c>
      <c r="I92" s="12">
        <f>'Engineering Assumptions'!$B$8</f>
        <v>650</v>
      </c>
      <c r="J92" s="12">
        <f>'Engineering Assumptions'!$D$23*S92*U92</f>
        <v>279</v>
      </c>
      <c r="K92" s="12">
        <f>'Engineering Assumptions'!$E$23*T92*U92</f>
        <v>324</v>
      </c>
      <c r="L92" s="13">
        <f t="shared" si="12"/>
        <v>3163</v>
      </c>
      <c r="M92" s="12">
        <f>L92*'Engineering Assumptions'!$B$10</f>
        <v>474.45</v>
      </c>
      <c r="N92" s="13">
        <f t="shared" si="13"/>
        <v>3637.45</v>
      </c>
      <c r="O92" s="12">
        <f>N92*'Engineering Assumptions'!$B$11</f>
        <v>727.49</v>
      </c>
      <c r="P92" s="156">
        <f t="shared" si="14"/>
        <v>4360</v>
      </c>
      <c r="Q92" s="12">
        <f>'Fleet Pricing'!H92</f>
        <v>3590</v>
      </c>
      <c r="R92" s="45">
        <v>11</v>
      </c>
      <c r="S92" s="49">
        <v>1.55</v>
      </c>
      <c r="T92" s="49">
        <v>1.35</v>
      </c>
      <c r="U92" s="49">
        <v>1</v>
      </c>
    </row>
    <row r="93" spans="1:21" ht="15" customHeight="1" x14ac:dyDescent="0.3">
      <c r="A93" s="9">
        <v>83</v>
      </c>
      <c r="B93" s="50" t="s">
        <v>205</v>
      </c>
      <c r="C93" s="50" t="s">
        <v>216</v>
      </c>
      <c r="D93" s="50" t="s">
        <v>223</v>
      </c>
      <c r="E93" s="50"/>
      <c r="F93" s="48" t="s">
        <v>61</v>
      </c>
      <c r="G93" s="9">
        <v>11</v>
      </c>
      <c r="H93" s="12">
        <f>'Engineering Assumptions'!$C$23*'Engineering Assumptions'!$B$5*U93</f>
        <v>1910</v>
      </c>
      <c r="I93" s="12">
        <f>'Engineering Assumptions'!$B$8</f>
        <v>650</v>
      </c>
      <c r="J93" s="12">
        <f>'Engineering Assumptions'!$D$23*S93*U93</f>
        <v>279</v>
      </c>
      <c r="K93" s="12">
        <f>'Engineering Assumptions'!$E$23*T93*U93</f>
        <v>324</v>
      </c>
      <c r="L93" s="13">
        <f t="shared" si="12"/>
        <v>3163</v>
      </c>
      <c r="M93" s="12">
        <f>L93*'Engineering Assumptions'!$B$10</f>
        <v>474.45</v>
      </c>
      <c r="N93" s="13">
        <f t="shared" si="13"/>
        <v>3637.45</v>
      </c>
      <c r="O93" s="12">
        <f>N93*'Engineering Assumptions'!$B$11</f>
        <v>727.49</v>
      </c>
      <c r="P93" s="156">
        <f t="shared" si="14"/>
        <v>4360</v>
      </c>
      <c r="Q93" s="12">
        <f>'Fleet Pricing'!H93</f>
        <v>3590</v>
      </c>
      <c r="R93" s="45">
        <v>11</v>
      </c>
      <c r="S93" s="49">
        <v>1.55</v>
      </c>
      <c r="T93" s="49">
        <v>1.35</v>
      </c>
      <c r="U93" s="49">
        <v>1</v>
      </c>
    </row>
    <row r="94" spans="1:21" ht="15" customHeight="1" x14ac:dyDescent="0.3">
      <c r="A94" s="9">
        <v>84</v>
      </c>
      <c r="B94" s="50" t="s">
        <v>205</v>
      </c>
      <c r="C94" s="50" t="s">
        <v>214</v>
      </c>
      <c r="D94" s="50" t="s">
        <v>224</v>
      </c>
      <c r="E94" s="50"/>
      <c r="F94" s="48" t="s">
        <v>94</v>
      </c>
      <c r="G94" s="9">
        <v>12</v>
      </c>
      <c r="H94" s="12">
        <f>'Engineering Assumptions'!$C$23*'Engineering Assumptions'!$B$5*U94</f>
        <v>1910</v>
      </c>
      <c r="I94" s="12">
        <f>'Engineering Assumptions'!$B$8</f>
        <v>650</v>
      </c>
      <c r="J94" s="12">
        <f>'Engineering Assumptions'!$D$23*S94*U94</f>
        <v>279</v>
      </c>
      <c r="K94" s="12">
        <f>'Engineering Assumptions'!$E$23*T94*U94</f>
        <v>324</v>
      </c>
      <c r="L94" s="13">
        <f t="shared" si="12"/>
        <v>3163</v>
      </c>
      <c r="M94" s="12">
        <f>L94*'Engineering Assumptions'!$B$10</f>
        <v>474.45</v>
      </c>
      <c r="N94" s="13">
        <f t="shared" si="13"/>
        <v>3637.45</v>
      </c>
      <c r="O94" s="12">
        <f>N94*'Engineering Assumptions'!$B$11</f>
        <v>727.49</v>
      </c>
      <c r="P94" s="156">
        <f t="shared" si="14"/>
        <v>4360</v>
      </c>
      <c r="Q94" s="12">
        <f>'Fleet Pricing'!H94</f>
        <v>3200</v>
      </c>
      <c r="R94" s="45">
        <v>12</v>
      </c>
      <c r="S94" s="49">
        <v>1.55</v>
      </c>
      <c r="T94" s="49">
        <v>1.35</v>
      </c>
      <c r="U94" s="49">
        <v>1</v>
      </c>
    </row>
    <row r="95" spans="1:21" ht="15" customHeight="1" x14ac:dyDescent="0.3">
      <c r="A95" s="9">
        <v>85</v>
      </c>
      <c r="B95" s="50" t="s">
        <v>205</v>
      </c>
      <c r="C95" s="50" t="s">
        <v>216</v>
      </c>
      <c r="D95" s="50" t="s">
        <v>225</v>
      </c>
      <c r="E95" s="50"/>
      <c r="F95" s="48" t="s">
        <v>94</v>
      </c>
      <c r="G95" s="9">
        <v>12</v>
      </c>
      <c r="H95" s="12">
        <f>'Engineering Assumptions'!$C$23*'Engineering Assumptions'!$B$5*U95</f>
        <v>1910</v>
      </c>
      <c r="I95" s="12">
        <f>'Engineering Assumptions'!$B$8</f>
        <v>650</v>
      </c>
      <c r="J95" s="12">
        <f>'Engineering Assumptions'!$D$23*S95*U95</f>
        <v>279</v>
      </c>
      <c r="K95" s="12">
        <f>'Engineering Assumptions'!$E$23*T95*U95</f>
        <v>324</v>
      </c>
      <c r="L95" s="13">
        <f t="shared" si="12"/>
        <v>3163</v>
      </c>
      <c r="M95" s="12">
        <f>L95*'Engineering Assumptions'!$B$10</f>
        <v>474.45</v>
      </c>
      <c r="N95" s="13">
        <f t="shared" si="13"/>
        <v>3637.45</v>
      </c>
      <c r="O95" s="12">
        <f>N95*'Engineering Assumptions'!$B$11</f>
        <v>727.49</v>
      </c>
      <c r="P95" s="156">
        <f t="shared" si="14"/>
        <v>4360</v>
      </c>
      <c r="Q95" s="12">
        <f>'Fleet Pricing'!H95</f>
        <v>3200</v>
      </c>
      <c r="R95" s="45">
        <v>12</v>
      </c>
      <c r="S95" s="49">
        <v>1.55</v>
      </c>
      <c r="T95" s="49">
        <v>1.35</v>
      </c>
      <c r="U95" s="49">
        <v>1</v>
      </c>
    </row>
    <row r="96" spans="1:21" ht="15" customHeight="1" x14ac:dyDescent="0.3">
      <c r="A96" s="9">
        <v>86</v>
      </c>
      <c r="B96" s="50" t="s">
        <v>205</v>
      </c>
      <c r="C96" s="50" t="s">
        <v>188</v>
      </c>
      <c r="D96" s="50" t="s">
        <v>226</v>
      </c>
      <c r="E96" s="50"/>
      <c r="F96" s="48" t="s">
        <v>99</v>
      </c>
      <c r="G96" s="9">
        <v>13</v>
      </c>
      <c r="H96" s="12">
        <f>'Engineering Assumptions'!$C$23*'Engineering Assumptions'!$B$5*U96</f>
        <v>1910</v>
      </c>
      <c r="I96" s="12">
        <f>'Engineering Assumptions'!$B$8</f>
        <v>650</v>
      </c>
      <c r="J96" s="12">
        <f>'Engineering Assumptions'!$D$23*S96*U96</f>
        <v>279</v>
      </c>
      <c r="K96" s="12">
        <f>'Engineering Assumptions'!$E$23*T96*U96</f>
        <v>324</v>
      </c>
      <c r="L96" s="13">
        <f t="shared" si="12"/>
        <v>3163</v>
      </c>
      <c r="M96" s="12">
        <f>L96*'Engineering Assumptions'!$B$10</f>
        <v>474.45</v>
      </c>
      <c r="N96" s="13">
        <f t="shared" si="13"/>
        <v>3637.45</v>
      </c>
      <c r="O96" s="12">
        <f>N96*'Engineering Assumptions'!$B$11</f>
        <v>727.49</v>
      </c>
      <c r="P96" s="156">
        <f t="shared" si="14"/>
        <v>4360</v>
      </c>
      <c r="Q96" s="12">
        <f>'Fleet Pricing'!H96</f>
        <v>3200</v>
      </c>
      <c r="R96" s="45">
        <v>13</v>
      </c>
      <c r="S96" s="49">
        <v>1.55</v>
      </c>
      <c r="T96" s="49">
        <v>1.35</v>
      </c>
      <c r="U96" s="49">
        <v>1</v>
      </c>
    </row>
    <row r="97" spans="1:21" ht="15" customHeight="1" x14ac:dyDescent="0.3">
      <c r="A97" s="9">
        <v>87</v>
      </c>
      <c r="B97" s="50" t="s">
        <v>205</v>
      </c>
      <c r="C97" s="50" t="s">
        <v>227</v>
      </c>
      <c r="D97" s="50" t="s">
        <v>228</v>
      </c>
      <c r="E97" s="50"/>
      <c r="F97" s="48" t="s">
        <v>99</v>
      </c>
      <c r="G97" s="9">
        <v>13</v>
      </c>
      <c r="H97" s="12">
        <f>'Engineering Assumptions'!$C$23*'Engineering Assumptions'!$B$5*U97</f>
        <v>1910</v>
      </c>
      <c r="I97" s="12">
        <f>'Engineering Assumptions'!$B$8</f>
        <v>650</v>
      </c>
      <c r="J97" s="12">
        <f>'Engineering Assumptions'!$D$23*S97*U97</f>
        <v>279</v>
      </c>
      <c r="K97" s="12">
        <f>'Engineering Assumptions'!$E$23*T97*U97</f>
        <v>324</v>
      </c>
      <c r="L97" s="13">
        <f t="shared" si="12"/>
        <v>3163</v>
      </c>
      <c r="M97" s="12">
        <f>L97*'Engineering Assumptions'!$B$10</f>
        <v>474.45</v>
      </c>
      <c r="N97" s="13">
        <f t="shared" si="13"/>
        <v>3637.45</v>
      </c>
      <c r="O97" s="12">
        <f>N97*'Engineering Assumptions'!$B$11</f>
        <v>727.49</v>
      </c>
      <c r="P97" s="156">
        <f t="shared" si="14"/>
        <v>4360</v>
      </c>
      <c r="Q97" s="12">
        <f>'Fleet Pricing'!H97</f>
        <v>3200</v>
      </c>
      <c r="R97" s="45">
        <v>13</v>
      </c>
      <c r="S97" s="49">
        <v>1.55</v>
      </c>
      <c r="T97" s="49">
        <v>1.35</v>
      </c>
      <c r="U97" s="49">
        <v>1</v>
      </c>
    </row>
    <row r="98" spans="1:21" ht="15" customHeight="1" x14ac:dyDescent="0.3">
      <c r="A98" s="9">
        <v>88</v>
      </c>
      <c r="B98" s="50" t="s">
        <v>205</v>
      </c>
      <c r="C98" s="50" t="s">
        <v>229</v>
      </c>
      <c r="D98" s="50" t="s">
        <v>230</v>
      </c>
      <c r="E98" s="50"/>
      <c r="F98" s="48" t="s">
        <v>99</v>
      </c>
      <c r="G98" s="9">
        <v>13</v>
      </c>
      <c r="H98" s="12">
        <f>'Engineering Assumptions'!$C$23*'Engineering Assumptions'!$B$5*U98</f>
        <v>1910</v>
      </c>
      <c r="I98" s="12">
        <f>'Engineering Assumptions'!$B$8</f>
        <v>650</v>
      </c>
      <c r="J98" s="12">
        <f>'Engineering Assumptions'!$D$23*S98*U98</f>
        <v>279</v>
      </c>
      <c r="K98" s="12">
        <f>'Engineering Assumptions'!$E$23*T98*U98</f>
        <v>324</v>
      </c>
      <c r="L98" s="13">
        <f t="shared" si="12"/>
        <v>3163</v>
      </c>
      <c r="M98" s="12">
        <f>L98*'Engineering Assumptions'!$B$10</f>
        <v>474.45</v>
      </c>
      <c r="N98" s="13">
        <f t="shared" si="13"/>
        <v>3637.45</v>
      </c>
      <c r="O98" s="12">
        <f>N98*'Engineering Assumptions'!$B$11</f>
        <v>727.49</v>
      </c>
      <c r="P98" s="156">
        <f t="shared" si="14"/>
        <v>4360</v>
      </c>
      <c r="Q98" s="12">
        <f>'Fleet Pricing'!H98</f>
        <v>3200</v>
      </c>
      <c r="R98" s="45">
        <v>13</v>
      </c>
      <c r="S98" s="49">
        <v>1.55</v>
      </c>
      <c r="T98" s="49">
        <v>1.35</v>
      </c>
      <c r="U98" s="49">
        <v>1</v>
      </c>
    </row>
    <row r="99" spans="1:21" ht="15" customHeight="1" x14ac:dyDescent="0.3">
      <c r="A99" s="9">
        <v>89</v>
      </c>
      <c r="B99" s="50" t="s">
        <v>205</v>
      </c>
      <c r="C99" s="50" t="s">
        <v>229</v>
      </c>
      <c r="D99" s="50" t="s">
        <v>231</v>
      </c>
      <c r="E99" s="50"/>
      <c r="F99" s="48" t="s">
        <v>99</v>
      </c>
      <c r="G99" s="9">
        <v>13</v>
      </c>
      <c r="H99" s="12">
        <f>'Engineering Assumptions'!$C$23*'Engineering Assumptions'!$B$5*U99</f>
        <v>1910</v>
      </c>
      <c r="I99" s="12">
        <f>'Engineering Assumptions'!$B$8</f>
        <v>650</v>
      </c>
      <c r="J99" s="12">
        <f>'Engineering Assumptions'!$D$23*S99*U99</f>
        <v>279</v>
      </c>
      <c r="K99" s="12">
        <f>'Engineering Assumptions'!$E$23*T99*U99</f>
        <v>324</v>
      </c>
      <c r="L99" s="13">
        <f t="shared" si="12"/>
        <v>3163</v>
      </c>
      <c r="M99" s="12">
        <f>L99*'Engineering Assumptions'!$B$10</f>
        <v>474.45</v>
      </c>
      <c r="N99" s="13">
        <f t="shared" si="13"/>
        <v>3637.45</v>
      </c>
      <c r="O99" s="12">
        <f>N99*'Engineering Assumptions'!$B$11</f>
        <v>727.49</v>
      </c>
      <c r="P99" s="156">
        <f t="shared" si="14"/>
        <v>4360</v>
      </c>
      <c r="Q99" s="12">
        <f>'Fleet Pricing'!H99</f>
        <v>3200</v>
      </c>
      <c r="R99" s="45">
        <v>13</v>
      </c>
      <c r="S99" s="49">
        <v>1.55</v>
      </c>
      <c r="T99" s="49">
        <v>1.35</v>
      </c>
      <c r="U99" s="49">
        <v>1</v>
      </c>
    </row>
    <row r="100" spans="1:21" ht="15" customHeight="1" x14ac:dyDescent="0.3">
      <c r="A100" s="9">
        <v>90</v>
      </c>
      <c r="B100" s="50" t="s">
        <v>205</v>
      </c>
      <c r="C100" s="50" t="s">
        <v>214</v>
      </c>
      <c r="D100" s="50" t="s">
        <v>232</v>
      </c>
      <c r="E100" s="50"/>
      <c r="F100" s="48" t="s">
        <v>99</v>
      </c>
      <c r="G100" s="9">
        <v>13</v>
      </c>
      <c r="H100" s="12">
        <f>'Engineering Assumptions'!$C$23*'Engineering Assumptions'!$B$5*U100</f>
        <v>1910</v>
      </c>
      <c r="I100" s="12">
        <f>'Engineering Assumptions'!$B$8</f>
        <v>650</v>
      </c>
      <c r="J100" s="12">
        <f>'Engineering Assumptions'!$D$23*S100*U100</f>
        <v>279</v>
      </c>
      <c r="K100" s="12">
        <f>'Engineering Assumptions'!$E$23*T100*U100</f>
        <v>324</v>
      </c>
      <c r="L100" s="13">
        <f t="shared" si="12"/>
        <v>3163</v>
      </c>
      <c r="M100" s="12">
        <f>L100*'Engineering Assumptions'!$B$10</f>
        <v>474.45</v>
      </c>
      <c r="N100" s="13">
        <f t="shared" si="13"/>
        <v>3637.45</v>
      </c>
      <c r="O100" s="12">
        <f>N100*'Engineering Assumptions'!$B$11</f>
        <v>727.49</v>
      </c>
      <c r="P100" s="156">
        <f t="shared" si="14"/>
        <v>4360</v>
      </c>
      <c r="Q100" s="12">
        <f>'Fleet Pricing'!H100</f>
        <v>3200</v>
      </c>
      <c r="R100" s="45">
        <v>13</v>
      </c>
      <c r="S100" s="49">
        <v>1.55</v>
      </c>
      <c r="T100" s="49">
        <v>1.35</v>
      </c>
      <c r="U100" s="49">
        <v>1</v>
      </c>
    </row>
    <row r="101" spans="1:21" ht="15" customHeight="1" x14ac:dyDescent="0.3">
      <c r="A101" s="9">
        <v>91</v>
      </c>
      <c r="B101" s="50" t="s">
        <v>205</v>
      </c>
      <c r="C101" s="50" t="s">
        <v>214</v>
      </c>
      <c r="D101" s="50" t="s">
        <v>233</v>
      </c>
      <c r="E101" s="50"/>
      <c r="F101" s="48" t="s">
        <v>99</v>
      </c>
      <c r="G101" s="9">
        <v>13</v>
      </c>
      <c r="H101" s="12">
        <f>'Engineering Assumptions'!$C$23*'Engineering Assumptions'!$B$5*U101</f>
        <v>1910</v>
      </c>
      <c r="I101" s="12">
        <f>'Engineering Assumptions'!$B$8</f>
        <v>650</v>
      </c>
      <c r="J101" s="12">
        <f>'Engineering Assumptions'!$D$23*S101*U101</f>
        <v>279</v>
      </c>
      <c r="K101" s="12">
        <f>'Engineering Assumptions'!$E$23*T101*U101</f>
        <v>324</v>
      </c>
      <c r="L101" s="13">
        <f t="shared" si="12"/>
        <v>3163</v>
      </c>
      <c r="M101" s="12">
        <f>L101*'Engineering Assumptions'!$B$10</f>
        <v>474.45</v>
      </c>
      <c r="N101" s="13">
        <f t="shared" si="13"/>
        <v>3637.45</v>
      </c>
      <c r="O101" s="12">
        <f>N101*'Engineering Assumptions'!$B$11</f>
        <v>727.49</v>
      </c>
      <c r="P101" s="156">
        <f t="shared" si="14"/>
        <v>4360</v>
      </c>
      <c r="Q101" s="12">
        <f>'Fleet Pricing'!H101</f>
        <v>3200</v>
      </c>
      <c r="R101" s="45">
        <v>13</v>
      </c>
      <c r="S101" s="49">
        <v>1.55</v>
      </c>
      <c r="T101" s="49">
        <v>1.35</v>
      </c>
      <c r="U101" s="49">
        <v>1</v>
      </c>
    </row>
    <row r="102" spans="1:21" ht="15" customHeight="1" x14ac:dyDescent="0.3">
      <c r="A102" s="9">
        <v>92</v>
      </c>
      <c r="B102" s="50" t="s">
        <v>205</v>
      </c>
      <c r="C102" s="50" t="s">
        <v>234</v>
      </c>
      <c r="D102" s="50" t="s">
        <v>235</v>
      </c>
      <c r="E102" s="50"/>
      <c r="F102" s="48" t="s">
        <v>99</v>
      </c>
      <c r="G102" s="9">
        <v>13</v>
      </c>
      <c r="H102" s="12">
        <f>'Engineering Assumptions'!$C$23*'Engineering Assumptions'!$B$5*U102</f>
        <v>1910</v>
      </c>
      <c r="I102" s="12">
        <f>'Engineering Assumptions'!$B$8</f>
        <v>650</v>
      </c>
      <c r="J102" s="12">
        <f>'Engineering Assumptions'!$D$23*S102*U102</f>
        <v>279</v>
      </c>
      <c r="K102" s="12">
        <f>'Engineering Assumptions'!$E$23*T102*U102</f>
        <v>324</v>
      </c>
      <c r="L102" s="13">
        <f t="shared" si="12"/>
        <v>3163</v>
      </c>
      <c r="M102" s="12">
        <f>L102*'Engineering Assumptions'!$B$10</f>
        <v>474.45</v>
      </c>
      <c r="N102" s="13">
        <f t="shared" si="13"/>
        <v>3637.45</v>
      </c>
      <c r="O102" s="12">
        <f>N102*'Engineering Assumptions'!$B$11</f>
        <v>727.49</v>
      </c>
      <c r="P102" s="156">
        <f t="shared" si="14"/>
        <v>4360</v>
      </c>
      <c r="Q102" s="12">
        <f>'Fleet Pricing'!H102</f>
        <v>3200</v>
      </c>
      <c r="R102" s="45">
        <v>13</v>
      </c>
      <c r="S102" s="49">
        <v>1.55</v>
      </c>
      <c r="T102" s="49">
        <v>1.35</v>
      </c>
      <c r="U102" s="49">
        <v>1</v>
      </c>
    </row>
    <row r="103" spans="1:21" ht="15" customHeight="1" x14ac:dyDescent="0.3">
      <c r="A103" s="9">
        <v>93</v>
      </c>
      <c r="B103" s="50" t="s">
        <v>205</v>
      </c>
      <c r="C103" s="50" t="s">
        <v>236</v>
      </c>
      <c r="D103" s="50" t="s">
        <v>237</v>
      </c>
      <c r="E103" s="50"/>
      <c r="F103" s="48" t="s">
        <v>99</v>
      </c>
      <c r="G103" s="9">
        <v>13</v>
      </c>
      <c r="H103" s="12">
        <f>'Engineering Assumptions'!$C$23*'Engineering Assumptions'!$B$5*U103</f>
        <v>1910</v>
      </c>
      <c r="I103" s="12">
        <f>'Engineering Assumptions'!$B$8</f>
        <v>650</v>
      </c>
      <c r="J103" s="12">
        <f>'Engineering Assumptions'!$D$23*S103*U103</f>
        <v>279</v>
      </c>
      <c r="K103" s="12">
        <f>'Engineering Assumptions'!$E$23*T103*U103</f>
        <v>324</v>
      </c>
      <c r="L103" s="13">
        <f t="shared" si="12"/>
        <v>3163</v>
      </c>
      <c r="M103" s="12">
        <f>L103*'Engineering Assumptions'!$B$10</f>
        <v>474.45</v>
      </c>
      <c r="N103" s="13">
        <f t="shared" si="13"/>
        <v>3637.45</v>
      </c>
      <c r="O103" s="12">
        <f>N103*'Engineering Assumptions'!$B$11</f>
        <v>727.49</v>
      </c>
      <c r="P103" s="156">
        <f t="shared" si="14"/>
        <v>4360</v>
      </c>
      <c r="Q103" s="12">
        <f>'Fleet Pricing'!H103</f>
        <v>3200</v>
      </c>
      <c r="R103" s="45">
        <v>13</v>
      </c>
      <c r="S103" s="49">
        <v>1.55</v>
      </c>
      <c r="T103" s="49">
        <v>1.35</v>
      </c>
      <c r="U103" s="49">
        <v>1</v>
      </c>
    </row>
    <row r="104" spans="1:21" ht="15" customHeight="1" x14ac:dyDescent="0.3">
      <c r="A104" s="9">
        <v>94</v>
      </c>
      <c r="B104" s="50" t="s">
        <v>205</v>
      </c>
      <c r="C104" s="50" t="s">
        <v>238</v>
      </c>
      <c r="D104" s="50" t="s">
        <v>239</v>
      </c>
      <c r="E104" s="50"/>
      <c r="F104" s="48" t="s">
        <v>99</v>
      </c>
      <c r="G104" s="9">
        <v>13</v>
      </c>
      <c r="H104" s="12">
        <f>'Engineering Assumptions'!$C$23*'Engineering Assumptions'!$B$5*U104</f>
        <v>1910</v>
      </c>
      <c r="I104" s="12">
        <f>'Engineering Assumptions'!$B$8</f>
        <v>650</v>
      </c>
      <c r="J104" s="12">
        <f>'Engineering Assumptions'!$D$23*S104*U104</f>
        <v>279</v>
      </c>
      <c r="K104" s="12">
        <f>'Engineering Assumptions'!$E$23*T104*U104</f>
        <v>324</v>
      </c>
      <c r="L104" s="13">
        <f t="shared" si="12"/>
        <v>3163</v>
      </c>
      <c r="M104" s="12">
        <f>L104*'Engineering Assumptions'!$B$10</f>
        <v>474.45</v>
      </c>
      <c r="N104" s="13">
        <f t="shared" si="13"/>
        <v>3637.45</v>
      </c>
      <c r="O104" s="12">
        <f>N104*'Engineering Assumptions'!$B$11</f>
        <v>727.49</v>
      </c>
      <c r="P104" s="156">
        <f t="shared" si="14"/>
        <v>4360</v>
      </c>
      <c r="Q104" s="12">
        <f>'Fleet Pricing'!H104</f>
        <v>3200</v>
      </c>
      <c r="R104" s="45">
        <v>13</v>
      </c>
      <c r="S104" s="49">
        <v>1.55</v>
      </c>
      <c r="T104" s="49">
        <v>1.35</v>
      </c>
      <c r="U104" s="49">
        <v>1</v>
      </c>
    </row>
    <row r="105" spans="1:21" ht="15" customHeight="1" x14ac:dyDescent="0.3">
      <c r="A105" s="9">
        <v>95</v>
      </c>
      <c r="B105" s="50" t="s">
        <v>205</v>
      </c>
      <c r="C105" s="50" t="s">
        <v>240</v>
      </c>
      <c r="D105" s="50" t="s">
        <v>241</v>
      </c>
      <c r="E105" s="50"/>
      <c r="F105" s="48" t="s">
        <v>99</v>
      </c>
      <c r="G105" s="9">
        <v>13</v>
      </c>
      <c r="H105" s="12">
        <f>'Engineering Assumptions'!$C$23*'Engineering Assumptions'!$B$5*U105</f>
        <v>1910</v>
      </c>
      <c r="I105" s="12">
        <f>'Engineering Assumptions'!$B$8</f>
        <v>650</v>
      </c>
      <c r="J105" s="12">
        <f>'Engineering Assumptions'!$D$23*S105*U105</f>
        <v>279</v>
      </c>
      <c r="K105" s="12">
        <f>'Engineering Assumptions'!$E$23*T105*U105</f>
        <v>324</v>
      </c>
      <c r="L105" s="13">
        <f t="shared" si="12"/>
        <v>3163</v>
      </c>
      <c r="M105" s="12">
        <f>L105*'Engineering Assumptions'!$B$10</f>
        <v>474.45</v>
      </c>
      <c r="N105" s="13">
        <f t="shared" si="13"/>
        <v>3637.45</v>
      </c>
      <c r="O105" s="12">
        <f>N105*'Engineering Assumptions'!$B$11</f>
        <v>727.49</v>
      </c>
      <c r="P105" s="156">
        <f t="shared" si="14"/>
        <v>4360</v>
      </c>
      <c r="Q105" s="12">
        <f>'Fleet Pricing'!H105</f>
        <v>3200</v>
      </c>
      <c r="R105" s="45">
        <v>13</v>
      </c>
      <c r="S105" s="49">
        <v>1.55</v>
      </c>
      <c r="T105" s="49">
        <v>1.35</v>
      </c>
      <c r="U105" s="49">
        <v>1</v>
      </c>
    </row>
    <row r="106" spans="1:21" ht="15" customHeight="1" x14ac:dyDescent="0.3">
      <c r="A106" s="9">
        <v>96</v>
      </c>
      <c r="B106" s="50" t="s">
        <v>205</v>
      </c>
      <c r="C106" s="50" t="s">
        <v>188</v>
      </c>
      <c r="D106" s="50" t="s">
        <v>242</v>
      </c>
      <c r="E106" s="50"/>
      <c r="F106" s="48" t="s">
        <v>66</v>
      </c>
      <c r="G106" s="9">
        <v>14</v>
      </c>
      <c r="H106" s="12">
        <f>'Engineering Assumptions'!$C$23*'Engineering Assumptions'!$B$5*U106</f>
        <v>1910</v>
      </c>
      <c r="I106" s="12">
        <f>'Engineering Assumptions'!$B$8</f>
        <v>650</v>
      </c>
      <c r="J106" s="12">
        <f>'Engineering Assumptions'!$D$23*S106*U106</f>
        <v>279</v>
      </c>
      <c r="K106" s="12">
        <f>'Engineering Assumptions'!$E$23*T106*U106</f>
        <v>324</v>
      </c>
      <c r="L106" s="13">
        <f t="shared" si="12"/>
        <v>3163</v>
      </c>
      <c r="M106" s="12">
        <f>L106*'Engineering Assumptions'!$B$10</f>
        <v>474.45</v>
      </c>
      <c r="N106" s="13">
        <f t="shared" si="13"/>
        <v>3637.45</v>
      </c>
      <c r="O106" s="12">
        <f>N106*'Engineering Assumptions'!$B$11</f>
        <v>727.49</v>
      </c>
      <c r="P106" s="156">
        <f t="shared" si="14"/>
        <v>4360</v>
      </c>
      <c r="Q106" s="12">
        <f>'Fleet Pricing'!H106</f>
        <v>3200</v>
      </c>
      <c r="R106" s="45">
        <v>14</v>
      </c>
      <c r="S106" s="49">
        <v>1.55</v>
      </c>
      <c r="T106" s="49">
        <v>1.35</v>
      </c>
      <c r="U106" s="49">
        <v>1</v>
      </c>
    </row>
    <row r="107" spans="1:21" ht="15" customHeight="1" x14ac:dyDescent="0.3">
      <c r="A107" s="9">
        <v>97</v>
      </c>
      <c r="B107" s="50" t="s">
        <v>205</v>
      </c>
      <c r="C107" s="50" t="s">
        <v>188</v>
      </c>
      <c r="D107" s="50" t="s">
        <v>243</v>
      </c>
      <c r="E107" s="50"/>
      <c r="F107" s="48" t="s">
        <v>66</v>
      </c>
      <c r="G107" s="9">
        <v>14</v>
      </c>
      <c r="H107" s="12">
        <f>'Engineering Assumptions'!$C$23*'Engineering Assumptions'!$B$5*U107</f>
        <v>1910</v>
      </c>
      <c r="I107" s="12">
        <f>'Engineering Assumptions'!$B$8</f>
        <v>650</v>
      </c>
      <c r="J107" s="12">
        <f>'Engineering Assumptions'!$D$23*S107*U107</f>
        <v>279</v>
      </c>
      <c r="K107" s="12">
        <f>'Engineering Assumptions'!$E$23*T107*U107</f>
        <v>324</v>
      </c>
      <c r="L107" s="13">
        <f t="shared" si="12"/>
        <v>3163</v>
      </c>
      <c r="M107" s="12">
        <f>L107*'Engineering Assumptions'!$B$10</f>
        <v>474.45</v>
      </c>
      <c r="N107" s="13">
        <f t="shared" si="13"/>
        <v>3637.45</v>
      </c>
      <c r="O107" s="12">
        <f>N107*'Engineering Assumptions'!$B$11</f>
        <v>727.49</v>
      </c>
      <c r="P107" s="156">
        <f t="shared" si="14"/>
        <v>4360</v>
      </c>
      <c r="Q107" s="12">
        <f>'Fleet Pricing'!H107</f>
        <v>3200</v>
      </c>
      <c r="R107" s="45">
        <v>14</v>
      </c>
      <c r="S107" s="49">
        <v>1.55</v>
      </c>
      <c r="T107" s="49">
        <v>1.35</v>
      </c>
      <c r="U107" s="49">
        <v>1</v>
      </c>
    </row>
    <row r="108" spans="1:21" ht="15" customHeight="1" x14ac:dyDescent="0.3">
      <c r="A108" s="9">
        <v>98</v>
      </c>
      <c r="B108" s="50" t="s">
        <v>205</v>
      </c>
      <c r="C108" s="50" t="s">
        <v>244</v>
      </c>
      <c r="D108" s="50" t="s">
        <v>245</v>
      </c>
      <c r="E108" s="50"/>
      <c r="F108" s="48" t="s">
        <v>66</v>
      </c>
      <c r="G108" s="9">
        <v>14</v>
      </c>
      <c r="H108" s="12">
        <f>'Engineering Assumptions'!$C$23*'Engineering Assumptions'!$B$5*U108</f>
        <v>1910</v>
      </c>
      <c r="I108" s="12">
        <f>'Engineering Assumptions'!$B$8</f>
        <v>650</v>
      </c>
      <c r="J108" s="12">
        <f>'Engineering Assumptions'!$D$23*S108*U108</f>
        <v>279</v>
      </c>
      <c r="K108" s="12">
        <f>'Engineering Assumptions'!$E$23*T108*U108</f>
        <v>324</v>
      </c>
      <c r="L108" s="13">
        <f t="shared" si="12"/>
        <v>3163</v>
      </c>
      <c r="M108" s="12">
        <f>L108*'Engineering Assumptions'!$B$10</f>
        <v>474.45</v>
      </c>
      <c r="N108" s="13">
        <f t="shared" si="13"/>
        <v>3637.45</v>
      </c>
      <c r="O108" s="12">
        <f>N108*'Engineering Assumptions'!$B$11</f>
        <v>727.49</v>
      </c>
      <c r="P108" s="156">
        <f t="shared" si="14"/>
        <v>4360</v>
      </c>
      <c r="Q108" s="12">
        <f>'Fleet Pricing'!H108</f>
        <v>3200</v>
      </c>
      <c r="R108" s="45">
        <v>14</v>
      </c>
      <c r="S108" s="49">
        <v>1.55</v>
      </c>
      <c r="T108" s="49">
        <v>1.35</v>
      </c>
      <c r="U108" s="49">
        <v>1</v>
      </c>
    </row>
    <row r="109" spans="1:21" ht="15" customHeight="1" x14ac:dyDescent="0.3">
      <c r="A109" s="9">
        <v>99</v>
      </c>
      <c r="B109" s="50" t="s">
        <v>205</v>
      </c>
      <c r="C109" s="50" t="s">
        <v>246</v>
      </c>
      <c r="D109" s="50" t="s">
        <v>247</v>
      </c>
      <c r="E109" s="50"/>
      <c r="F109" s="48" t="s">
        <v>66</v>
      </c>
      <c r="G109" s="9">
        <v>14</v>
      </c>
      <c r="H109" s="12">
        <f>'Engineering Assumptions'!$C$23*'Engineering Assumptions'!$B$5*U109</f>
        <v>1910</v>
      </c>
      <c r="I109" s="12">
        <f>'Engineering Assumptions'!$B$8</f>
        <v>650</v>
      </c>
      <c r="J109" s="12">
        <f>'Engineering Assumptions'!$D$23*S109*U109</f>
        <v>279</v>
      </c>
      <c r="K109" s="12">
        <f>'Engineering Assumptions'!$E$23*T109*U109</f>
        <v>324</v>
      </c>
      <c r="L109" s="13">
        <f t="shared" si="12"/>
        <v>3163</v>
      </c>
      <c r="M109" s="12">
        <f>L109*'Engineering Assumptions'!$B$10</f>
        <v>474.45</v>
      </c>
      <c r="N109" s="13">
        <f t="shared" si="13"/>
        <v>3637.45</v>
      </c>
      <c r="O109" s="12">
        <f>N109*'Engineering Assumptions'!$B$11</f>
        <v>727.49</v>
      </c>
      <c r="P109" s="156">
        <f t="shared" si="14"/>
        <v>4360</v>
      </c>
      <c r="Q109" s="12">
        <f>'Fleet Pricing'!H109</f>
        <v>3200</v>
      </c>
      <c r="R109" s="45">
        <v>14</v>
      </c>
      <c r="S109" s="49">
        <v>1.55</v>
      </c>
      <c r="T109" s="49">
        <v>1.35</v>
      </c>
      <c r="U109" s="49">
        <v>1</v>
      </c>
    </row>
    <row r="110" spans="1:21" ht="15" customHeight="1" x14ac:dyDescent="0.3">
      <c r="A110" s="9">
        <v>100</v>
      </c>
      <c r="B110" s="50" t="s">
        <v>205</v>
      </c>
      <c r="C110" s="50" t="s">
        <v>188</v>
      </c>
      <c r="D110" s="50" t="s">
        <v>248</v>
      </c>
      <c r="E110" s="50"/>
      <c r="F110" s="48" t="s">
        <v>107</v>
      </c>
      <c r="G110" s="9">
        <v>16</v>
      </c>
      <c r="H110" s="12">
        <f>'Engineering Assumptions'!$C$23*'Engineering Assumptions'!$B$5*U110</f>
        <v>1910</v>
      </c>
      <c r="I110" s="12">
        <f>'Engineering Assumptions'!$B$8</f>
        <v>650</v>
      </c>
      <c r="J110" s="12">
        <f>'Engineering Assumptions'!$D$23*S110*U110</f>
        <v>351</v>
      </c>
      <c r="K110" s="12">
        <f>'Engineering Assumptions'!$E$23*T110*U110</f>
        <v>504</v>
      </c>
      <c r="L110" s="13">
        <f t="shared" si="12"/>
        <v>3415</v>
      </c>
      <c r="M110" s="12">
        <f>L110*'Engineering Assumptions'!$B$10</f>
        <v>512.25</v>
      </c>
      <c r="N110" s="13">
        <f t="shared" si="13"/>
        <v>3927.25</v>
      </c>
      <c r="O110" s="12">
        <f>N110*'Engineering Assumptions'!$B$11</f>
        <v>785.45</v>
      </c>
      <c r="P110" s="156">
        <f t="shared" si="14"/>
        <v>4710</v>
      </c>
      <c r="Q110" s="12">
        <f>'Fleet Pricing'!H110</f>
        <v>3200</v>
      </c>
      <c r="R110" s="45">
        <v>16</v>
      </c>
      <c r="S110" s="49">
        <v>1.95</v>
      </c>
      <c r="T110" s="49">
        <v>2.1</v>
      </c>
      <c r="U110" s="49">
        <v>1</v>
      </c>
    </row>
    <row r="111" spans="1:21" ht="15" customHeight="1" x14ac:dyDescent="0.3">
      <c r="A111" s="9">
        <v>101</v>
      </c>
      <c r="B111" s="50" t="s">
        <v>205</v>
      </c>
      <c r="C111" s="50" t="s">
        <v>188</v>
      </c>
      <c r="D111" s="50" t="s">
        <v>249</v>
      </c>
      <c r="E111" s="50"/>
      <c r="F111" s="48" t="s">
        <v>107</v>
      </c>
      <c r="G111" s="9">
        <v>16</v>
      </c>
      <c r="H111" s="12">
        <f>'Engineering Assumptions'!$C$23*'Engineering Assumptions'!$B$5*U111</f>
        <v>1910</v>
      </c>
      <c r="I111" s="12">
        <f>'Engineering Assumptions'!$B$8</f>
        <v>650</v>
      </c>
      <c r="J111" s="12">
        <f>'Engineering Assumptions'!$D$23*S111*U111</f>
        <v>351</v>
      </c>
      <c r="K111" s="12">
        <f>'Engineering Assumptions'!$E$23*T111*U111</f>
        <v>504</v>
      </c>
      <c r="L111" s="13">
        <f t="shared" si="12"/>
        <v>3415</v>
      </c>
      <c r="M111" s="12">
        <f>L111*'Engineering Assumptions'!$B$10</f>
        <v>512.25</v>
      </c>
      <c r="N111" s="13">
        <f t="shared" si="13"/>
        <v>3927.25</v>
      </c>
      <c r="O111" s="12">
        <f>N111*'Engineering Assumptions'!$B$11</f>
        <v>785.45</v>
      </c>
      <c r="P111" s="156">
        <f t="shared" si="14"/>
        <v>4710</v>
      </c>
      <c r="Q111" s="12">
        <f>'Fleet Pricing'!H111</f>
        <v>3200</v>
      </c>
      <c r="R111" s="45">
        <v>16</v>
      </c>
      <c r="S111" s="49">
        <v>1.95</v>
      </c>
      <c r="T111" s="49">
        <v>2.1</v>
      </c>
      <c r="U111" s="49">
        <v>1</v>
      </c>
    </row>
    <row r="112" spans="1:21" ht="15" customHeight="1" x14ac:dyDescent="0.3">
      <c r="A112" s="9">
        <v>102</v>
      </c>
      <c r="B112" s="50" t="s">
        <v>205</v>
      </c>
      <c r="C112" s="50" t="s">
        <v>188</v>
      </c>
      <c r="D112" s="50" t="s">
        <v>250</v>
      </c>
      <c r="E112" s="50"/>
      <c r="F112" s="48" t="s">
        <v>195</v>
      </c>
      <c r="G112" s="9">
        <v>30</v>
      </c>
      <c r="H112" s="12">
        <f>'Engineering Assumptions'!$C$23*'Engineering Assumptions'!$B$5*U112</f>
        <v>1910</v>
      </c>
      <c r="I112" s="12">
        <f>'Engineering Assumptions'!$B$8</f>
        <v>650</v>
      </c>
      <c r="J112" s="12">
        <f>'Engineering Assumptions'!$D$23*S112*U112</f>
        <v>432</v>
      </c>
      <c r="K112" s="12">
        <f>'Engineering Assumptions'!$E$23*T112*U112</f>
        <v>720</v>
      </c>
      <c r="L112" s="13">
        <f t="shared" si="12"/>
        <v>3712</v>
      </c>
      <c r="M112" s="12">
        <f>L112*'Engineering Assumptions'!$B$10</f>
        <v>556.79999999999995</v>
      </c>
      <c r="N112" s="13">
        <f t="shared" si="13"/>
        <v>4268.8</v>
      </c>
      <c r="O112" s="12">
        <f>N112*'Engineering Assumptions'!$B$11</f>
        <v>853.7600000000001</v>
      </c>
      <c r="P112" s="156">
        <f t="shared" si="14"/>
        <v>5120</v>
      </c>
      <c r="Q112" s="12">
        <f>'Fleet Pricing'!H112</f>
        <v>2260</v>
      </c>
      <c r="R112" s="45">
        <v>30</v>
      </c>
      <c r="S112" s="49">
        <v>2.4</v>
      </c>
      <c r="T112" s="49">
        <v>3</v>
      </c>
      <c r="U112" s="49">
        <v>1</v>
      </c>
    </row>
    <row r="113" spans="1:21" ht="15" customHeight="1" x14ac:dyDescent="0.3">
      <c r="A113" s="9">
        <v>103</v>
      </c>
      <c r="B113" s="50" t="s">
        <v>205</v>
      </c>
      <c r="C113" s="50" t="s">
        <v>188</v>
      </c>
      <c r="D113" s="50" t="s">
        <v>251</v>
      </c>
      <c r="E113" s="50"/>
      <c r="F113" s="48" t="s">
        <v>195</v>
      </c>
      <c r="G113" s="9">
        <v>30</v>
      </c>
      <c r="H113" s="12">
        <f>'Engineering Assumptions'!$C$23*'Engineering Assumptions'!$B$5*U113</f>
        <v>1910</v>
      </c>
      <c r="I113" s="12">
        <f>'Engineering Assumptions'!$B$8</f>
        <v>650</v>
      </c>
      <c r="J113" s="12">
        <f>'Engineering Assumptions'!$D$23*S113*U113</f>
        <v>432</v>
      </c>
      <c r="K113" s="12">
        <f>'Engineering Assumptions'!$E$23*T113*U113</f>
        <v>720</v>
      </c>
      <c r="L113" s="13">
        <f t="shared" si="12"/>
        <v>3712</v>
      </c>
      <c r="M113" s="12">
        <f>L113*'Engineering Assumptions'!$B$10</f>
        <v>556.79999999999995</v>
      </c>
      <c r="N113" s="13">
        <f t="shared" si="13"/>
        <v>4268.8</v>
      </c>
      <c r="O113" s="12">
        <f>N113*'Engineering Assumptions'!$B$11</f>
        <v>853.7600000000001</v>
      </c>
      <c r="P113" s="156">
        <f t="shared" si="14"/>
        <v>5120</v>
      </c>
      <c r="Q113" s="12">
        <f>'Fleet Pricing'!H113</f>
        <v>2260</v>
      </c>
      <c r="R113" s="45">
        <v>30</v>
      </c>
      <c r="S113" s="49">
        <v>2.4</v>
      </c>
      <c r="T113" s="49">
        <v>3</v>
      </c>
      <c r="U113" s="49">
        <v>1</v>
      </c>
    </row>
    <row r="114" spans="1:21" ht="15" customHeight="1" x14ac:dyDescent="0.3">
      <c r="A114" s="9">
        <v>104</v>
      </c>
      <c r="B114" s="50" t="s">
        <v>205</v>
      </c>
      <c r="C114" s="50" t="s">
        <v>188</v>
      </c>
      <c r="D114" s="50" t="s">
        <v>252</v>
      </c>
      <c r="E114" s="50"/>
      <c r="F114" s="48" t="s">
        <v>195</v>
      </c>
      <c r="G114" s="9">
        <v>30</v>
      </c>
      <c r="H114" s="12">
        <f>'Engineering Assumptions'!$C$23*'Engineering Assumptions'!$B$5*U114</f>
        <v>1910</v>
      </c>
      <c r="I114" s="12">
        <f>'Engineering Assumptions'!$B$8</f>
        <v>650</v>
      </c>
      <c r="J114" s="12">
        <f>'Engineering Assumptions'!$D$23*S114*U114</f>
        <v>432</v>
      </c>
      <c r="K114" s="12">
        <f>'Engineering Assumptions'!$E$23*T114*U114</f>
        <v>720</v>
      </c>
      <c r="L114" s="13">
        <f t="shared" ref="L114:L145" si="15">H114+I114+J114+K114</f>
        <v>3712</v>
      </c>
      <c r="M114" s="12">
        <f>L114*'Engineering Assumptions'!$B$10</f>
        <v>556.79999999999995</v>
      </c>
      <c r="N114" s="13">
        <f t="shared" ref="N114:N145" si="16">L114+M114</f>
        <v>4268.8</v>
      </c>
      <c r="O114" s="12">
        <f>N114*'Engineering Assumptions'!$B$11</f>
        <v>853.7600000000001</v>
      </c>
      <c r="P114" s="156">
        <f t="shared" ref="P114:P145" si="17">MROUND(N114+O114,10)</f>
        <v>5120</v>
      </c>
      <c r="Q114" s="12">
        <f>'Fleet Pricing'!H114</f>
        <v>2260</v>
      </c>
      <c r="R114" s="45">
        <v>30</v>
      </c>
      <c r="S114" s="49">
        <v>2.4</v>
      </c>
      <c r="T114" s="49">
        <v>3</v>
      </c>
      <c r="U114" s="49">
        <v>1</v>
      </c>
    </row>
    <row r="115" spans="1:21" ht="15" customHeight="1" x14ac:dyDescent="0.3">
      <c r="A115" s="9">
        <v>105</v>
      </c>
      <c r="B115" s="50" t="s">
        <v>205</v>
      </c>
      <c r="C115" s="50" t="s">
        <v>188</v>
      </c>
      <c r="D115" s="50" t="s">
        <v>253</v>
      </c>
      <c r="E115" s="50"/>
      <c r="F115" s="48" t="s">
        <v>195</v>
      </c>
      <c r="G115" s="9">
        <v>30</v>
      </c>
      <c r="H115" s="12">
        <f>'Engineering Assumptions'!$C$23*'Engineering Assumptions'!$B$5*U115</f>
        <v>1910</v>
      </c>
      <c r="I115" s="12">
        <f>'Engineering Assumptions'!$B$8</f>
        <v>650</v>
      </c>
      <c r="J115" s="12">
        <f>'Engineering Assumptions'!$D$23*S115*U115</f>
        <v>432</v>
      </c>
      <c r="K115" s="12">
        <f>'Engineering Assumptions'!$E$23*T115*U115</f>
        <v>720</v>
      </c>
      <c r="L115" s="13">
        <f t="shared" si="15"/>
        <v>3712</v>
      </c>
      <c r="M115" s="12">
        <f>L115*'Engineering Assumptions'!$B$10</f>
        <v>556.79999999999995</v>
      </c>
      <c r="N115" s="13">
        <f t="shared" si="16"/>
        <v>4268.8</v>
      </c>
      <c r="O115" s="12">
        <f>N115*'Engineering Assumptions'!$B$11</f>
        <v>853.7600000000001</v>
      </c>
      <c r="P115" s="156">
        <f t="shared" si="17"/>
        <v>5120</v>
      </c>
      <c r="Q115" s="12">
        <f>'Fleet Pricing'!H115</f>
        <v>2260</v>
      </c>
      <c r="R115" s="45">
        <v>30</v>
      </c>
      <c r="S115" s="49">
        <v>2.4</v>
      </c>
      <c r="T115" s="49">
        <v>3</v>
      </c>
      <c r="U115" s="49">
        <v>1</v>
      </c>
    </row>
    <row r="116" spans="1:21" ht="15" customHeight="1" x14ac:dyDescent="0.3">
      <c r="A116" s="9">
        <v>106</v>
      </c>
      <c r="B116" s="50" t="s">
        <v>205</v>
      </c>
      <c r="C116" s="50" t="s">
        <v>188</v>
      </c>
      <c r="D116" s="50" t="s">
        <v>254</v>
      </c>
      <c r="E116" s="50"/>
      <c r="F116" s="48" t="s">
        <v>195</v>
      </c>
      <c r="G116" s="9">
        <v>30</v>
      </c>
      <c r="H116" s="12">
        <f>'Engineering Assumptions'!$C$23*'Engineering Assumptions'!$B$5*U116</f>
        <v>1910</v>
      </c>
      <c r="I116" s="12">
        <f>'Engineering Assumptions'!$B$8</f>
        <v>650</v>
      </c>
      <c r="J116" s="12">
        <f>'Engineering Assumptions'!$D$23*S116*U116</f>
        <v>432</v>
      </c>
      <c r="K116" s="12">
        <f>'Engineering Assumptions'!$E$23*T116*U116</f>
        <v>720</v>
      </c>
      <c r="L116" s="13">
        <f t="shared" si="15"/>
        <v>3712</v>
      </c>
      <c r="M116" s="12">
        <f>L116*'Engineering Assumptions'!$B$10</f>
        <v>556.79999999999995</v>
      </c>
      <c r="N116" s="13">
        <f t="shared" si="16"/>
        <v>4268.8</v>
      </c>
      <c r="O116" s="12">
        <f>N116*'Engineering Assumptions'!$B$11</f>
        <v>853.7600000000001</v>
      </c>
      <c r="P116" s="156">
        <f t="shared" si="17"/>
        <v>5120</v>
      </c>
      <c r="Q116" s="12">
        <f>'Fleet Pricing'!H116</f>
        <v>2260</v>
      </c>
      <c r="R116" s="45">
        <v>30</v>
      </c>
      <c r="S116" s="49">
        <v>2.4</v>
      </c>
      <c r="T116" s="49">
        <v>3</v>
      </c>
      <c r="U116" s="49">
        <v>1</v>
      </c>
    </row>
    <row r="117" spans="1:21" ht="15" customHeight="1" x14ac:dyDescent="0.3">
      <c r="A117" s="9">
        <v>107</v>
      </c>
      <c r="B117" s="50" t="s">
        <v>205</v>
      </c>
      <c r="C117" s="50" t="s">
        <v>188</v>
      </c>
      <c r="D117" s="50" t="s">
        <v>255</v>
      </c>
      <c r="E117" s="50"/>
      <c r="F117" s="48" t="s">
        <v>195</v>
      </c>
      <c r="G117" s="9">
        <v>30</v>
      </c>
      <c r="H117" s="12">
        <f>'Engineering Assumptions'!$C$23*'Engineering Assumptions'!$B$5*U117</f>
        <v>1910</v>
      </c>
      <c r="I117" s="12">
        <f>'Engineering Assumptions'!$B$8</f>
        <v>650</v>
      </c>
      <c r="J117" s="12">
        <f>'Engineering Assumptions'!$D$23*S117*U117</f>
        <v>432</v>
      </c>
      <c r="K117" s="12">
        <f>'Engineering Assumptions'!$E$23*T117*U117</f>
        <v>720</v>
      </c>
      <c r="L117" s="13">
        <f t="shared" si="15"/>
        <v>3712</v>
      </c>
      <c r="M117" s="12">
        <f>L117*'Engineering Assumptions'!$B$10</f>
        <v>556.79999999999995</v>
      </c>
      <c r="N117" s="13">
        <f t="shared" si="16"/>
        <v>4268.8</v>
      </c>
      <c r="O117" s="12">
        <f>N117*'Engineering Assumptions'!$B$11</f>
        <v>853.7600000000001</v>
      </c>
      <c r="P117" s="156">
        <f t="shared" si="17"/>
        <v>5120</v>
      </c>
      <c r="Q117" s="12">
        <f>'Fleet Pricing'!H117</f>
        <v>2260</v>
      </c>
      <c r="R117" s="45">
        <v>30</v>
      </c>
      <c r="S117" s="49">
        <v>2.4</v>
      </c>
      <c r="T117" s="49">
        <v>3</v>
      </c>
      <c r="U117" s="49">
        <v>1</v>
      </c>
    </row>
    <row r="118" spans="1:21" ht="15" customHeight="1" x14ac:dyDescent="0.3">
      <c r="A118" s="9">
        <v>108</v>
      </c>
      <c r="B118" s="50" t="s">
        <v>205</v>
      </c>
      <c r="C118" s="50" t="s">
        <v>188</v>
      </c>
      <c r="D118" s="50" t="s">
        <v>256</v>
      </c>
      <c r="E118" s="50"/>
      <c r="F118" s="48" t="s">
        <v>195</v>
      </c>
      <c r="G118" s="9">
        <v>30</v>
      </c>
      <c r="H118" s="12">
        <f>'Engineering Assumptions'!$C$23*'Engineering Assumptions'!$B$5*U118</f>
        <v>1910</v>
      </c>
      <c r="I118" s="12">
        <f>'Engineering Assumptions'!$B$8</f>
        <v>650</v>
      </c>
      <c r="J118" s="12">
        <f>'Engineering Assumptions'!$D$23*S118*U118</f>
        <v>432</v>
      </c>
      <c r="K118" s="12">
        <f>'Engineering Assumptions'!$E$23*T118*U118</f>
        <v>720</v>
      </c>
      <c r="L118" s="13">
        <f t="shared" si="15"/>
        <v>3712</v>
      </c>
      <c r="M118" s="12">
        <f>L118*'Engineering Assumptions'!$B$10</f>
        <v>556.79999999999995</v>
      </c>
      <c r="N118" s="13">
        <f t="shared" si="16"/>
        <v>4268.8</v>
      </c>
      <c r="O118" s="12">
        <f>N118*'Engineering Assumptions'!$B$11</f>
        <v>853.7600000000001</v>
      </c>
      <c r="P118" s="156">
        <f t="shared" si="17"/>
        <v>5120</v>
      </c>
      <c r="Q118" s="12">
        <f>'Fleet Pricing'!H118</f>
        <v>2260</v>
      </c>
      <c r="R118" s="45">
        <v>30</v>
      </c>
      <c r="S118" s="49">
        <v>2.4</v>
      </c>
      <c r="T118" s="49">
        <v>3</v>
      </c>
      <c r="U118" s="49">
        <v>1</v>
      </c>
    </row>
    <row r="119" spans="1:21" ht="15" customHeight="1" x14ac:dyDescent="0.3">
      <c r="A119" s="9">
        <v>109</v>
      </c>
      <c r="B119" s="50" t="s">
        <v>205</v>
      </c>
      <c r="C119" s="50" t="s">
        <v>188</v>
      </c>
      <c r="D119" s="50" t="s">
        <v>257</v>
      </c>
      <c r="E119" s="50"/>
      <c r="F119" s="48" t="s">
        <v>195</v>
      </c>
      <c r="G119" s="9">
        <v>30</v>
      </c>
      <c r="H119" s="12">
        <f>'Engineering Assumptions'!$C$23*'Engineering Assumptions'!$B$5*U119</f>
        <v>1910</v>
      </c>
      <c r="I119" s="12">
        <f>'Engineering Assumptions'!$B$8</f>
        <v>650</v>
      </c>
      <c r="J119" s="12">
        <f>'Engineering Assumptions'!$D$23*S119*U119</f>
        <v>432</v>
      </c>
      <c r="K119" s="12">
        <f>'Engineering Assumptions'!$E$23*T119*U119</f>
        <v>720</v>
      </c>
      <c r="L119" s="13">
        <f t="shared" si="15"/>
        <v>3712</v>
      </c>
      <c r="M119" s="12">
        <f>L119*'Engineering Assumptions'!$B$10</f>
        <v>556.79999999999995</v>
      </c>
      <c r="N119" s="13">
        <f t="shared" si="16"/>
        <v>4268.8</v>
      </c>
      <c r="O119" s="12">
        <f>N119*'Engineering Assumptions'!$B$11</f>
        <v>853.7600000000001</v>
      </c>
      <c r="P119" s="156">
        <f t="shared" si="17"/>
        <v>5120</v>
      </c>
      <c r="Q119" s="12">
        <f>'Fleet Pricing'!H119</f>
        <v>2260</v>
      </c>
      <c r="R119" s="45">
        <v>30</v>
      </c>
      <c r="S119" s="49">
        <v>2.4</v>
      </c>
      <c r="T119" s="49">
        <v>3</v>
      </c>
      <c r="U119" s="49">
        <v>1</v>
      </c>
    </row>
    <row r="120" spans="1:21" ht="15" customHeight="1" x14ac:dyDescent="0.3">
      <c r="A120" s="9">
        <v>110</v>
      </c>
      <c r="B120" s="50" t="s">
        <v>205</v>
      </c>
      <c r="C120" s="50" t="s">
        <v>188</v>
      </c>
      <c r="D120" s="50" t="s">
        <v>258</v>
      </c>
      <c r="E120" s="50"/>
      <c r="F120" s="48" t="s">
        <v>195</v>
      </c>
      <c r="G120" s="9">
        <v>30</v>
      </c>
      <c r="H120" s="12">
        <f>'Engineering Assumptions'!$C$23*'Engineering Assumptions'!$B$5*U120</f>
        <v>1910</v>
      </c>
      <c r="I120" s="12">
        <f>'Engineering Assumptions'!$B$8</f>
        <v>650</v>
      </c>
      <c r="J120" s="12">
        <f>'Engineering Assumptions'!$D$23*S120*U120</f>
        <v>432</v>
      </c>
      <c r="K120" s="12">
        <f>'Engineering Assumptions'!$E$23*T120*U120</f>
        <v>720</v>
      </c>
      <c r="L120" s="13">
        <f t="shared" si="15"/>
        <v>3712</v>
      </c>
      <c r="M120" s="12">
        <f>L120*'Engineering Assumptions'!$B$10</f>
        <v>556.79999999999995</v>
      </c>
      <c r="N120" s="13">
        <f t="shared" si="16"/>
        <v>4268.8</v>
      </c>
      <c r="O120" s="12">
        <f>N120*'Engineering Assumptions'!$B$11</f>
        <v>853.7600000000001</v>
      </c>
      <c r="P120" s="156">
        <f t="shared" si="17"/>
        <v>5120</v>
      </c>
      <c r="Q120" s="12">
        <f>'Fleet Pricing'!H120</f>
        <v>2260</v>
      </c>
      <c r="R120" s="45">
        <v>30</v>
      </c>
      <c r="S120" s="49">
        <v>2.4</v>
      </c>
      <c r="T120" s="49">
        <v>3</v>
      </c>
      <c r="U120" s="49">
        <v>1</v>
      </c>
    </row>
    <row r="121" spans="1:21" ht="15" customHeight="1" x14ac:dyDescent="0.3">
      <c r="A121" s="9">
        <v>111</v>
      </c>
      <c r="B121" s="50" t="s">
        <v>205</v>
      </c>
      <c r="C121" s="50" t="s">
        <v>188</v>
      </c>
      <c r="D121" s="50" t="s">
        <v>259</v>
      </c>
      <c r="E121" s="50"/>
      <c r="F121" s="48" t="s">
        <v>195</v>
      </c>
      <c r="G121" s="9">
        <v>30</v>
      </c>
      <c r="H121" s="12">
        <f>'Engineering Assumptions'!$C$23*'Engineering Assumptions'!$B$5*U121</f>
        <v>1910</v>
      </c>
      <c r="I121" s="12">
        <f>'Engineering Assumptions'!$B$8</f>
        <v>650</v>
      </c>
      <c r="J121" s="12">
        <f>'Engineering Assumptions'!$D$23*S121*U121</f>
        <v>432</v>
      </c>
      <c r="K121" s="12">
        <f>'Engineering Assumptions'!$E$23*T121*U121</f>
        <v>720</v>
      </c>
      <c r="L121" s="13">
        <f t="shared" si="15"/>
        <v>3712</v>
      </c>
      <c r="M121" s="12">
        <f>L121*'Engineering Assumptions'!$B$10</f>
        <v>556.79999999999995</v>
      </c>
      <c r="N121" s="13">
        <f t="shared" si="16"/>
        <v>4268.8</v>
      </c>
      <c r="O121" s="12">
        <f>N121*'Engineering Assumptions'!$B$11</f>
        <v>853.7600000000001</v>
      </c>
      <c r="P121" s="156">
        <f t="shared" si="17"/>
        <v>5120</v>
      </c>
      <c r="Q121" s="12">
        <f>'Fleet Pricing'!H121</f>
        <v>2260</v>
      </c>
      <c r="R121" s="45">
        <v>30</v>
      </c>
      <c r="S121" s="49">
        <v>2.4</v>
      </c>
      <c r="T121" s="49">
        <v>3</v>
      </c>
      <c r="U121" s="49">
        <v>1</v>
      </c>
    </row>
    <row r="122" spans="1:21" ht="15" customHeight="1" x14ac:dyDescent="0.3">
      <c r="A122" s="9">
        <v>112</v>
      </c>
      <c r="B122" s="50" t="s">
        <v>205</v>
      </c>
      <c r="C122" s="50" t="s">
        <v>188</v>
      </c>
      <c r="D122" s="50" t="s">
        <v>260</v>
      </c>
      <c r="E122" s="50"/>
      <c r="F122" s="48" t="s">
        <v>195</v>
      </c>
      <c r="G122" s="9">
        <v>30</v>
      </c>
      <c r="H122" s="12">
        <f>'Engineering Assumptions'!$C$23*'Engineering Assumptions'!$B$5*U122</f>
        <v>1910</v>
      </c>
      <c r="I122" s="12">
        <f>'Engineering Assumptions'!$B$8</f>
        <v>650</v>
      </c>
      <c r="J122" s="12">
        <f>'Engineering Assumptions'!$D$23*S122*U122</f>
        <v>432</v>
      </c>
      <c r="K122" s="12">
        <f>'Engineering Assumptions'!$E$23*T122*U122</f>
        <v>720</v>
      </c>
      <c r="L122" s="13">
        <f t="shared" si="15"/>
        <v>3712</v>
      </c>
      <c r="M122" s="12">
        <f>L122*'Engineering Assumptions'!$B$10</f>
        <v>556.79999999999995</v>
      </c>
      <c r="N122" s="13">
        <f t="shared" si="16"/>
        <v>4268.8</v>
      </c>
      <c r="O122" s="12">
        <f>N122*'Engineering Assumptions'!$B$11</f>
        <v>853.7600000000001</v>
      </c>
      <c r="P122" s="156">
        <f t="shared" si="17"/>
        <v>5120</v>
      </c>
      <c r="Q122" s="12">
        <f>'Fleet Pricing'!H122</f>
        <v>2260</v>
      </c>
      <c r="R122" s="45">
        <v>30</v>
      </c>
      <c r="S122" s="49">
        <v>2.4</v>
      </c>
      <c r="T122" s="49">
        <v>3</v>
      </c>
      <c r="U122" s="49">
        <v>1</v>
      </c>
    </row>
    <row r="123" spans="1:21" ht="15" customHeight="1" x14ac:dyDescent="0.3">
      <c r="A123" s="9">
        <v>113</v>
      </c>
      <c r="B123" s="50" t="s">
        <v>205</v>
      </c>
      <c r="C123" s="50" t="s">
        <v>188</v>
      </c>
      <c r="D123" s="50" t="s">
        <v>261</v>
      </c>
      <c r="E123" s="50"/>
      <c r="F123" s="48" t="s">
        <v>195</v>
      </c>
      <c r="G123" s="9">
        <v>30</v>
      </c>
      <c r="H123" s="12">
        <f>'Engineering Assumptions'!$C$23*'Engineering Assumptions'!$B$5*U123</f>
        <v>1910</v>
      </c>
      <c r="I123" s="12">
        <f>'Engineering Assumptions'!$B$8</f>
        <v>650</v>
      </c>
      <c r="J123" s="12">
        <f>'Engineering Assumptions'!$D$23*S123*U123</f>
        <v>432</v>
      </c>
      <c r="K123" s="12">
        <f>'Engineering Assumptions'!$E$23*T123*U123</f>
        <v>720</v>
      </c>
      <c r="L123" s="13">
        <f t="shared" si="15"/>
        <v>3712</v>
      </c>
      <c r="M123" s="12">
        <f>L123*'Engineering Assumptions'!$B$10</f>
        <v>556.79999999999995</v>
      </c>
      <c r="N123" s="13">
        <f t="shared" si="16"/>
        <v>4268.8</v>
      </c>
      <c r="O123" s="12">
        <f>N123*'Engineering Assumptions'!$B$11</f>
        <v>853.7600000000001</v>
      </c>
      <c r="P123" s="156">
        <f t="shared" si="17"/>
        <v>5120</v>
      </c>
      <c r="Q123" s="12">
        <f>'Fleet Pricing'!H123</f>
        <v>2260</v>
      </c>
      <c r="R123" s="45">
        <v>30</v>
      </c>
      <c r="S123" s="49">
        <v>2.4</v>
      </c>
      <c r="T123" s="49">
        <v>3</v>
      </c>
      <c r="U123" s="49">
        <v>1</v>
      </c>
    </row>
    <row r="124" spans="1:21" ht="15" customHeight="1" x14ac:dyDescent="0.3">
      <c r="A124" s="9">
        <v>114</v>
      </c>
      <c r="B124" s="50" t="s">
        <v>205</v>
      </c>
      <c r="C124" s="50" t="s">
        <v>188</v>
      </c>
      <c r="D124" s="50" t="s">
        <v>262</v>
      </c>
      <c r="E124" s="50"/>
      <c r="F124" s="48" t="s">
        <v>195</v>
      </c>
      <c r="G124" s="9">
        <v>30</v>
      </c>
      <c r="H124" s="12">
        <f>'Engineering Assumptions'!$C$23*'Engineering Assumptions'!$B$5*U124</f>
        <v>1910</v>
      </c>
      <c r="I124" s="12">
        <f>'Engineering Assumptions'!$B$8</f>
        <v>650</v>
      </c>
      <c r="J124" s="12">
        <f>'Engineering Assumptions'!$D$23*S124*U124</f>
        <v>432</v>
      </c>
      <c r="K124" s="12">
        <f>'Engineering Assumptions'!$E$23*T124*U124</f>
        <v>720</v>
      </c>
      <c r="L124" s="13">
        <f t="shared" si="15"/>
        <v>3712</v>
      </c>
      <c r="M124" s="12">
        <f>L124*'Engineering Assumptions'!$B$10</f>
        <v>556.79999999999995</v>
      </c>
      <c r="N124" s="13">
        <f t="shared" si="16"/>
        <v>4268.8</v>
      </c>
      <c r="O124" s="12">
        <f>N124*'Engineering Assumptions'!$B$11</f>
        <v>853.7600000000001</v>
      </c>
      <c r="P124" s="156">
        <f t="shared" si="17"/>
        <v>5120</v>
      </c>
      <c r="Q124" s="12">
        <f>'Fleet Pricing'!H124</f>
        <v>2260</v>
      </c>
      <c r="R124" s="45">
        <v>30</v>
      </c>
      <c r="S124" s="49">
        <v>2.4</v>
      </c>
      <c r="T124" s="49">
        <v>3</v>
      </c>
      <c r="U124" s="49">
        <v>1</v>
      </c>
    </row>
    <row r="125" spans="1:21" ht="15" customHeight="1" x14ac:dyDescent="0.3">
      <c r="A125" s="9">
        <v>115</v>
      </c>
      <c r="B125" s="50" t="s">
        <v>205</v>
      </c>
      <c r="C125" s="50" t="s">
        <v>188</v>
      </c>
      <c r="D125" s="50" t="s">
        <v>263</v>
      </c>
      <c r="E125" s="50"/>
      <c r="F125" s="48" t="s">
        <v>195</v>
      </c>
      <c r="G125" s="9">
        <v>30</v>
      </c>
      <c r="H125" s="12">
        <f>'Engineering Assumptions'!$C$23*'Engineering Assumptions'!$B$5*U125</f>
        <v>1910</v>
      </c>
      <c r="I125" s="12">
        <f>'Engineering Assumptions'!$B$8</f>
        <v>650</v>
      </c>
      <c r="J125" s="12">
        <f>'Engineering Assumptions'!$D$23*S125*U125</f>
        <v>432</v>
      </c>
      <c r="K125" s="12">
        <f>'Engineering Assumptions'!$E$23*T125*U125</f>
        <v>720</v>
      </c>
      <c r="L125" s="13">
        <f t="shared" si="15"/>
        <v>3712</v>
      </c>
      <c r="M125" s="12">
        <f>L125*'Engineering Assumptions'!$B$10</f>
        <v>556.79999999999995</v>
      </c>
      <c r="N125" s="13">
        <f t="shared" si="16"/>
        <v>4268.8</v>
      </c>
      <c r="O125" s="12">
        <f>N125*'Engineering Assumptions'!$B$11</f>
        <v>853.7600000000001</v>
      </c>
      <c r="P125" s="156">
        <f t="shared" si="17"/>
        <v>5120</v>
      </c>
      <c r="Q125" s="12">
        <f>'Fleet Pricing'!H125</f>
        <v>2260</v>
      </c>
      <c r="R125" s="45">
        <v>30</v>
      </c>
      <c r="S125" s="49">
        <v>2.4</v>
      </c>
      <c r="T125" s="49">
        <v>3</v>
      </c>
      <c r="U125" s="49">
        <v>1</v>
      </c>
    </row>
    <row r="126" spans="1:21" ht="15" customHeight="1" x14ac:dyDescent="0.3">
      <c r="A126" s="9">
        <v>116</v>
      </c>
      <c r="B126" s="50" t="s">
        <v>205</v>
      </c>
      <c r="C126" s="50" t="s">
        <v>188</v>
      </c>
      <c r="D126" s="50" t="s">
        <v>264</v>
      </c>
      <c r="E126" s="50"/>
      <c r="F126" s="48" t="s">
        <v>195</v>
      </c>
      <c r="G126" s="9">
        <v>30</v>
      </c>
      <c r="H126" s="12">
        <f>'Engineering Assumptions'!$C$23*'Engineering Assumptions'!$B$5*U126</f>
        <v>1910</v>
      </c>
      <c r="I126" s="12">
        <f>'Engineering Assumptions'!$B$8</f>
        <v>650</v>
      </c>
      <c r="J126" s="12">
        <f>'Engineering Assumptions'!$D$23*S126*U126</f>
        <v>432</v>
      </c>
      <c r="K126" s="12">
        <f>'Engineering Assumptions'!$E$23*T126*U126</f>
        <v>720</v>
      </c>
      <c r="L126" s="13">
        <f t="shared" si="15"/>
        <v>3712</v>
      </c>
      <c r="M126" s="12">
        <f>L126*'Engineering Assumptions'!$B$10</f>
        <v>556.79999999999995</v>
      </c>
      <c r="N126" s="13">
        <f t="shared" si="16"/>
        <v>4268.8</v>
      </c>
      <c r="O126" s="12">
        <f>N126*'Engineering Assumptions'!$B$11</f>
        <v>853.7600000000001</v>
      </c>
      <c r="P126" s="156">
        <f t="shared" si="17"/>
        <v>5120</v>
      </c>
      <c r="Q126" s="12">
        <f>'Fleet Pricing'!H126</f>
        <v>2260</v>
      </c>
      <c r="R126" s="45">
        <v>30</v>
      </c>
      <c r="S126" s="49">
        <v>2.4</v>
      </c>
      <c r="T126" s="49">
        <v>3</v>
      </c>
      <c r="U126" s="49">
        <v>1</v>
      </c>
    </row>
    <row r="127" spans="1:21" ht="15" customHeight="1" x14ac:dyDescent="0.3">
      <c r="A127" s="9">
        <v>117</v>
      </c>
      <c r="B127" s="50" t="s">
        <v>205</v>
      </c>
      <c r="C127" s="50" t="s">
        <v>188</v>
      </c>
      <c r="D127" s="50" t="s">
        <v>265</v>
      </c>
      <c r="E127" s="50"/>
      <c r="F127" s="48" t="s">
        <v>195</v>
      </c>
      <c r="G127" s="9">
        <v>30</v>
      </c>
      <c r="H127" s="12">
        <f>'Engineering Assumptions'!$C$23*'Engineering Assumptions'!$B$5*U127</f>
        <v>1910</v>
      </c>
      <c r="I127" s="12">
        <f>'Engineering Assumptions'!$B$8</f>
        <v>650</v>
      </c>
      <c r="J127" s="12">
        <f>'Engineering Assumptions'!$D$23*S127*U127</f>
        <v>432</v>
      </c>
      <c r="K127" s="12">
        <f>'Engineering Assumptions'!$E$23*T127*U127</f>
        <v>720</v>
      </c>
      <c r="L127" s="13">
        <f t="shared" si="15"/>
        <v>3712</v>
      </c>
      <c r="M127" s="12">
        <f>L127*'Engineering Assumptions'!$B$10</f>
        <v>556.79999999999995</v>
      </c>
      <c r="N127" s="13">
        <f t="shared" si="16"/>
        <v>4268.8</v>
      </c>
      <c r="O127" s="12">
        <f>N127*'Engineering Assumptions'!$B$11</f>
        <v>853.7600000000001</v>
      </c>
      <c r="P127" s="156">
        <f t="shared" si="17"/>
        <v>5120</v>
      </c>
      <c r="Q127" s="12">
        <f>'Fleet Pricing'!H127</f>
        <v>2260</v>
      </c>
      <c r="R127" s="45">
        <v>30</v>
      </c>
      <c r="S127" s="49">
        <v>2.4</v>
      </c>
      <c r="T127" s="49">
        <v>3</v>
      </c>
      <c r="U127" s="49">
        <v>1</v>
      </c>
    </row>
    <row r="128" spans="1:21" ht="15" customHeight="1" x14ac:dyDescent="0.3">
      <c r="A128" s="9">
        <v>118</v>
      </c>
      <c r="B128" s="50" t="s">
        <v>205</v>
      </c>
      <c r="C128" s="50" t="s">
        <v>188</v>
      </c>
      <c r="D128" s="50" t="s">
        <v>266</v>
      </c>
      <c r="E128" s="50"/>
      <c r="F128" s="48" t="s">
        <v>195</v>
      </c>
      <c r="G128" s="9">
        <v>30</v>
      </c>
      <c r="H128" s="12">
        <f>'Engineering Assumptions'!$C$23*'Engineering Assumptions'!$B$5*U128</f>
        <v>1910</v>
      </c>
      <c r="I128" s="12">
        <f>'Engineering Assumptions'!$B$8</f>
        <v>650</v>
      </c>
      <c r="J128" s="12">
        <f>'Engineering Assumptions'!$D$23*S128*U128</f>
        <v>432</v>
      </c>
      <c r="K128" s="12">
        <f>'Engineering Assumptions'!$E$23*T128*U128</f>
        <v>720</v>
      </c>
      <c r="L128" s="13">
        <f t="shared" si="15"/>
        <v>3712</v>
      </c>
      <c r="M128" s="12">
        <f>L128*'Engineering Assumptions'!$B$10</f>
        <v>556.79999999999995</v>
      </c>
      <c r="N128" s="13">
        <f t="shared" si="16"/>
        <v>4268.8</v>
      </c>
      <c r="O128" s="12">
        <f>N128*'Engineering Assumptions'!$B$11</f>
        <v>853.7600000000001</v>
      </c>
      <c r="P128" s="156">
        <f t="shared" si="17"/>
        <v>5120</v>
      </c>
      <c r="Q128" s="12">
        <f>'Fleet Pricing'!H128</f>
        <v>2260</v>
      </c>
      <c r="R128" s="45">
        <v>30</v>
      </c>
      <c r="S128" s="49">
        <v>2.4</v>
      </c>
      <c r="T128" s="49">
        <v>3</v>
      </c>
      <c r="U128" s="49">
        <v>1</v>
      </c>
    </row>
    <row r="129" spans="1:21" ht="15" customHeight="1" x14ac:dyDescent="0.3">
      <c r="A129" s="9">
        <v>119</v>
      </c>
      <c r="B129" s="50" t="s">
        <v>205</v>
      </c>
      <c r="C129" s="50" t="s">
        <v>188</v>
      </c>
      <c r="D129" s="50" t="s">
        <v>267</v>
      </c>
      <c r="E129" s="50"/>
      <c r="F129" s="48" t="s">
        <v>195</v>
      </c>
      <c r="G129" s="9">
        <v>30</v>
      </c>
      <c r="H129" s="12">
        <f>'Engineering Assumptions'!$C$23*'Engineering Assumptions'!$B$5*U129</f>
        <v>1910</v>
      </c>
      <c r="I129" s="12">
        <f>'Engineering Assumptions'!$B$8</f>
        <v>650</v>
      </c>
      <c r="J129" s="12">
        <f>'Engineering Assumptions'!$D$23*S129*U129</f>
        <v>432</v>
      </c>
      <c r="K129" s="12">
        <f>'Engineering Assumptions'!$E$23*T129*U129</f>
        <v>720</v>
      </c>
      <c r="L129" s="13">
        <f t="shared" si="15"/>
        <v>3712</v>
      </c>
      <c r="M129" s="12">
        <f>L129*'Engineering Assumptions'!$B$10</f>
        <v>556.79999999999995</v>
      </c>
      <c r="N129" s="13">
        <f t="shared" si="16"/>
        <v>4268.8</v>
      </c>
      <c r="O129" s="12">
        <f>N129*'Engineering Assumptions'!$B$11</f>
        <v>853.7600000000001</v>
      </c>
      <c r="P129" s="156">
        <f t="shared" si="17"/>
        <v>5120</v>
      </c>
      <c r="Q129" s="12">
        <f>'Fleet Pricing'!H129</f>
        <v>2260</v>
      </c>
      <c r="R129" s="45">
        <v>30</v>
      </c>
      <c r="S129" s="49">
        <v>2.4</v>
      </c>
      <c r="T129" s="49">
        <v>3</v>
      </c>
      <c r="U129" s="49">
        <v>1</v>
      </c>
    </row>
    <row r="130" spans="1:21" ht="15" customHeight="1" x14ac:dyDescent="0.3">
      <c r="A130" s="9">
        <v>120</v>
      </c>
      <c r="B130" s="50" t="s">
        <v>205</v>
      </c>
      <c r="C130" s="50" t="s">
        <v>188</v>
      </c>
      <c r="D130" s="50" t="s">
        <v>268</v>
      </c>
      <c r="E130" s="50"/>
      <c r="F130" s="48" t="s">
        <v>195</v>
      </c>
      <c r="G130" s="9">
        <v>30</v>
      </c>
      <c r="H130" s="12">
        <f>'Engineering Assumptions'!$C$23*'Engineering Assumptions'!$B$5*U130</f>
        <v>1910</v>
      </c>
      <c r="I130" s="12">
        <f>'Engineering Assumptions'!$B$8</f>
        <v>650</v>
      </c>
      <c r="J130" s="12">
        <f>'Engineering Assumptions'!$D$23*S130*U130</f>
        <v>432</v>
      </c>
      <c r="K130" s="12">
        <f>'Engineering Assumptions'!$E$23*T130*U130</f>
        <v>720</v>
      </c>
      <c r="L130" s="13">
        <f t="shared" si="15"/>
        <v>3712</v>
      </c>
      <c r="M130" s="12">
        <f>L130*'Engineering Assumptions'!$B$10</f>
        <v>556.79999999999995</v>
      </c>
      <c r="N130" s="13">
        <f t="shared" si="16"/>
        <v>4268.8</v>
      </c>
      <c r="O130" s="12">
        <f>N130*'Engineering Assumptions'!$B$11</f>
        <v>853.7600000000001</v>
      </c>
      <c r="P130" s="156">
        <f t="shared" si="17"/>
        <v>5120</v>
      </c>
      <c r="Q130" s="12">
        <f>'Fleet Pricing'!H130</f>
        <v>2260</v>
      </c>
      <c r="R130" s="45">
        <v>30</v>
      </c>
      <c r="S130" s="49">
        <v>2.4</v>
      </c>
      <c r="T130" s="49">
        <v>3</v>
      </c>
      <c r="U130" s="49">
        <v>1</v>
      </c>
    </row>
    <row r="131" spans="1:21" ht="15" customHeight="1" x14ac:dyDescent="0.3">
      <c r="A131" s="9">
        <v>121</v>
      </c>
      <c r="B131" s="50" t="s">
        <v>205</v>
      </c>
      <c r="C131" s="50" t="s">
        <v>188</v>
      </c>
      <c r="D131" s="50" t="s">
        <v>269</v>
      </c>
      <c r="E131" s="50"/>
      <c r="F131" s="48" t="s">
        <v>195</v>
      </c>
      <c r="G131" s="9">
        <v>30</v>
      </c>
      <c r="H131" s="12">
        <f>'Engineering Assumptions'!$C$23*'Engineering Assumptions'!$B$5*U131</f>
        <v>1910</v>
      </c>
      <c r="I131" s="12">
        <f>'Engineering Assumptions'!$B$8</f>
        <v>650</v>
      </c>
      <c r="J131" s="12">
        <f>'Engineering Assumptions'!$D$23*S131*U131</f>
        <v>432</v>
      </c>
      <c r="K131" s="12">
        <f>'Engineering Assumptions'!$E$23*T131*U131</f>
        <v>720</v>
      </c>
      <c r="L131" s="13">
        <f t="shared" si="15"/>
        <v>3712</v>
      </c>
      <c r="M131" s="12">
        <f>L131*'Engineering Assumptions'!$B$10</f>
        <v>556.79999999999995</v>
      </c>
      <c r="N131" s="13">
        <f t="shared" si="16"/>
        <v>4268.8</v>
      </c>
      <c r="O131" s="12">
        <f>N131*'Engineering Assumptions'!$B$11</f>
        <v>853.7600000000001</v>
      </c>
      <c r="P131" s="156">
        <f t="shared" si="17"/>
        <v>5120</v>
      </c>
      <c r="Q131" s="12">
        <f>'Fleet Pricing'!H131</f>
        <v>2260</v>
      </c>
      <c r="R131" s="45">
        <v>30</v>
      </c>
      <c r="S131" s="49">
        <v>2.4</v>
      </c>
      <c r="T131" s="49">
        <v>3</v>
      </c>
      <c r="U131" s="49">
        <v>1</v>
      </c>
    </row>
    <row r="132" spans="1:21" ht="15" customHeight="1" x14ac:dyDescent="0.3">
      <c r="A132" s="9">
        <v>122</v>
      </c>
      <c r="B132" s="50" t="s">
        <v>205</v>
      </c>
      <c r="C132" s="50" t="s">
        <v>188</v>
      </c>
      <c r="D132" s="50" t="s">
        <v>270</v>
      </c>
      <c r="E132" s="50"/>
      <c r="F132" s="48" t="s">
        <v>195</v>
      </c>
      <c r="G132" s="9">
        <v>30</v>
      </c>
      <c r="H132" s="12">
        <f>'Engineering Assumptions'!$C$23*'Engineering Assumptions'!$B$5*U132</f>
        <v>1910</v>
      </c>
      <c r="I132" s="12">
        <f>'Engineering Assumptions'!$B$8</f>
        <v>650</v>
      </c>
      <c r="J132" s="12">
        <f>'Engineering Assumptions'!$D$23*S132*U132</f>
        <v>432</v>
      </c>
      <c r="K132" s="12">
        <f>'Engineering Assumptions'!$E$23*T132*U132</f>
        <v>720</v>
      </c>
      <c r="L132" s="13">
        <f t="shared" si="15"/>
        <v>3712</v>
      </c>
      <c r="M132" s="12">
        <f>L132*'Engineering Assumptions'!$B$10</f>
        <v>556.79999999999995</v>
      </c>
      <c r="N132" s="13">
        <f t="shared" si="16"/>
        <v>4268.8</v>
      </c>
      <c r="O132" s="12">
        <f>N132*'Engineering Assumptions'!$B$11</f>
        <v>853.7600000000001</v>
      </c>
      <c r="P132" s="156">
        <f t="shared" si="17"/>
        <v>5120</v>
      </c>
      <c r="Q132" s="12">
        <f>'Fleet Pricing'!H132</f>
        <v>2260</v>
      </c>
      <c r="R132" s="45">
        <v>30</v>
      </c>
      <c r="S132" s="49">
        <v>2.4</v>
      </c>
      <c r="T132" s="49">
        <v>3</v>
      </c>
      <c r="U132" s="49">
        <v>1</v>
      </c>
    </row>
    <row r="133" spans="1:21" ht="15" customHeight="1" x14ac:dyDescent="0.3">
      <c r="A133" s="9">
        <v>123</v>
      </c>
      <c r="B133" s="50" t="s">
        <v>205</v>
      </c>
      <c r="C133" s="50" t="s">
        <v>188</v>
      </c>
      <c r="D133" s="50" t="s">
        <v>271</v>
      </c>
      <c r="E133" s="50"/>
      <c r="F133" s="48" t="s">
        <v>195</v>
      </c>
      <c r="G133" s="9">
        <v>30</v>
      </c>
      <c r="H133" s="12">
        <f>'Engineering Assumptions'!$C$23*'Engineering Assumptions'!$B$5*U133</f>
        <v>1910</v>
      </c>
      <c r="I133" s="12">
        <f>'Engineering Assumptions'!$B$8</f>
        <v>650</v>
      </c>
      <c r="J133" s="12">
        <f>'Engineering Assumptions'!$D$23*S133*U133</f>
        <v>432</v>
      </c>
      <c r="K133" s="12">
        <f>'Engineering Assumptions'!$E$23*T133*U133</f>
        <v>720</v>
      </c>
      <c r="L133" s="13">
        <f t="shared" si="15"/>
        <v>3712</v>
      </c>
      <c r="M133" s="12">
        <f>L133*'Engineering Assumptions'!$B$10</f>
        <v>556.79999999999995</v>
      </c>
      <c r="N133" s="13">
        <f t="shared" si="16"/>
        <v>4268.8</v>
      </c>
      <c r="O133" s="12">
        <f>N133*'Engineering Assumptions'!$B$11</f>
        <v>853.7600000000001</v>
      </c>
      <c r="P133" s="156">
        <f t="shared" si="17"/>
        <v>5120</v>
      </c>
      <c r="Q133" s="12">
        <f>'Fleet Pricing'!H133</f>
        <v>2260</v>
      </c>
      <c r="R133" s="45">
        <v>30</v>
      </c>
      <c r="S133" s="49">
        <v>2.4</v>
      </c>
      <c r="T133" s="49">
        <v>3</v>
      </c>
      <c r="U133" s="49">
        <v>1</v>
      </c>
    </row>
    <row r="134" spans="1:21" ht="15" customHeight="1" x14ac:dyDescent="0.3">
      <c r="A134" s="9">
        <v>124</v>
      </c>
      <c r="B134" s="50" t="s">
        <v>205</v>
      </c>
      <c r="C134" s="50" t="s">
        <v>188</v>
      </c>
      <c r="D134" s="50" t="s">
        <v>272</v>
      </c>
      <c r="E134" s="50"/>
      <c r="F134" s="48" t="s">
        <v>195</v>
      </c>
      <c r="G134" s="9">
        <v>30</v>
      </c>
      <c r="H134" s="12">
        <f>'Engineering Assumptions'!$C$23*'Engineering Assumptions'!$B$5*U134</f>
        <v>1910</v>
      </c>
      <c r="I134" s="12">
        <f>'Engineering Assumptions'!$B$8</f>
        <v>650</v>
      </c>
      <c r="J134" s="12">
        <f>'Engineering Assumptions'!$D$23*S134*U134</f>
        <v>432</v>
      </c>
      <c r="K134" s="12">
        <f>'Engineering Assumptions'!$E$23*T134*U134</f>
        <v>720</v>
      </c>
      <c r="L134" s="13">
        <f t="shared" si="15"/>
        <v>3712</v>
      </c>
      <c r="M134" s="12">
        <f>L134*'Engineering Assumptions'!$B$10</f>
        <v>556.79999999999995</v>
      </c>
      <c r="N134" s="13">
        <f t="shared" si="16"/>
        <v>4268.8</v>
      </c>
      <c r="O134" s="12">
        <f>N134*'Engineering Assumptions'!$B$11</f>
        <v>853.7600000000001</v>
      </c>
      <c r="P134" s="156">
        <f t="shared" si="17"/>
        <v>5120</v>
      </c>
      <c r="Q134" s="12">
        <f>'Fleet Pricing'!H134</f>
        <v>2260</v>
      </c>
      <c r="R134" s="45">
        <v>30</v>
      </c>
      <c r="S134" s="49">
        <v>2.4</v>
      </c>
      <c r="T134" s="49">
        <v>3</v>
      </c>
      <c r="U134" s="49">
        <v>1</v>
      </c>
    </row>
    <row r="135" spans="1:21" ht="15" customHeight="1" x14ac:dyDescent="0.3">
      <c r="A135" s="9">
        <v>125</v>
      </c>
      <c r="B135" s="50" t="s">
        <v>205</v>
      </c>
      <c r="C135" s="50" t="s">
        <v>188</v>
      </c>
      <c r="D135" s="50" t="s">
        <v>273</v>
      </c>
      <c r="E135" s="50"/>
      <c r="F135" s="48" t="s">
        <v>195</v>
      </c>
      <c r="G135" s="9">
        <v>30</v>
      </c>
      <c r="H135" s="12">
        <f>'Engineering Assumptions'!$C$23*'Engineering Assumptions'!$B$5*U135</f>
        <v>1910</v>
      </c>
      <c r="I135" s="12">
        <f>'Engineering Assumptions'!$B$8</f>
        <v>650</v>
      </c>
      <c r="J135" s="12">
        <f>'Engineering Assumptions'!$D$23*S135*U135</f>
        <v>432</v>
      </c>
      <c r="K135" s="12">
        <f>'Engineering Assumptions'!$E$23*T135*U135</f>
        <v>720</v>
      </c>
      <c r="L135" s="13">
        <f t="shared" si="15"/>
        <v>3712</v>
      </c>
      <c r="M135" s="12">
        <f>L135*'Engineering Assumptions'!$B$10</f>
        <v>556.79999999999995</v>
      </c>
      <c r="N135" s="13">
        <f t="shared" si="16"/>
        <v>4268.8</v>
      </c>
      <c r="O135" s="12">
        <f>N135*'Engineering Assumptions'!$B$11</f>
        <v>853.7600000000001</v>
      </c>
      <c r="P135" s="156">
        <f t="shared" si="17"/>
        <v>5120</v>
      </c>
      <c r="Q135" s="12">
        <f>'Fleet Pricing'!H135</f>
        <v>2260</v>
      </c>
      <c r="R135" s="45">
        <v>30</v>
      </c>
      <c r="S135" s="49">
        <v>2.4</v>
      </c>
      <c r="T135" s="49">
        <v>3</v>
      </c>
      <c r="U135" s="49">
        <v>1</v>
      </c>
    </row>
    <row r="136" spans="1:21" ht="15" customHeight="1" x14ac:dyDescent="0.3">
      <c r="A136" s="9">
        <v>126</v>
      </c>
      <c r="B136" s="50" t="s">
        <v>205</v>
      </c>
      <c r="C136" s="50" t="s">
        <v>188</v>
      </c>
      <c r="D136" s="50" t="s">
        <v>274</v>
      </c>
      <c r="E136" s="50"/>
      <c r="F136" s="48" t="s">
        <v>195</v>
      </c>
      <c r="G136" s="9">
        <v>30</v>
      </c>
      <c r="H136" s="12">
        <f>'Engineering Assumptions'!$C$23*'Engineering Assumptions'!$B$5*U136</f>
        <v>1910</v>
      </c>
      <c r="I136" s="12">
        <f>'Engineering Assumptions'!$B$8</f>
        <v>650</v>
      </c>
      <c r="J136" s="12">
        <f>'Engineering Assumptions'!$D$23*S136*U136</f>
        <v>432</v>
      </c>
      <c r="K136" s="12">
        <f>'Engineering Assumptions'!$E$23*T136*U136</f>
        <v>720</v>
      </c>
      <c r="L136" s="13">
        <f t="shared" si="15"/>
        <v>3712</v>
      </c>
      <c r="M136" s="12">
        <f>L136*'Engineering Assumptions'!$B$10</f>
        <v>556.79999999999995</v>
      </c>
      <c r="N136" s="13">
        <f t="shared" si="16"/>
        <v>4268.8</v>
      </c>
      <c r="O136" s="12">
        <f>N136*'Engineering Assumptions'!$B$11</f>
        <v>853.7600000000001</v>
      </c>
      <c r="P136" s="156">
        <f t="shared" si="17"/>
        <v>5120</v>
      </c>
      <c r="Q136" s="12">
        <f>'Fleet Pricing'!H136</f>
        <v>2260</v>
      </c>
      <c r="R136" s="45">
        <v>30</v>
      </c>
      <c r="S136" s="49">
        <v>2.4</v>
      </c>
      <c r="T136" s="49">
        <v>3</v>
      </c>
      <c r="U136" s="49">
        <v>1</v>
      </c>
    </row>
    <row r="137" spans="1:21" ht="15" customHeight="1" x14ac:dyDescent="0.3">
      <c r="A137" s="9">
        <v>127</v>
      </c>
      <c r="B137" s="50" t="s">
        <v>205</v>
      </c>
      <c r="C137" s="50" t="s">
        <v>188</v>
      </c>
      <c r="D137" s="50" t="s">
        <v>275</v>
      </c>
      <c r="E137" s="50"/>
      <c r="F137" s="48" t="s">
        <v>195</v>
      </c>
      <c r="G137" s="9">
        <v>30</v>
      </c>
      <c r="H137" s="12">
        <f>'Engineering Assumptions'!$C$23*'Engineering Assumptions'!$B$5*U137</f>
        <v>1910</v>
      </c>
      <c r="I137" s="12">
        <f>'Engineering Assumptions'!$B$8</f>
        <v>650</v>
      </c>
      <c r="J137" s="12">
        <f>'Engineering Assumptions'!$D$23*S137*U137</f>
        <v>432</v>
      </c>
      <c r="K137" s="12">
        <f>'Engineering Assumptions'!$E$23*T137*U137</f>
        <v>720</v>
      </c>
      <c r="L137" s="13">
        <f t="shared" si="15"/>
        <v>3712</v>
      </c>
      <c r="M137" s="12">
        <f>L137*'Engineering Assumptions'!$B$10</f>
        <v>556.79999999999995</v>
      </c>
      <c r="N137" s="13">
        <f t="shared" si="16"/>
        <v>4268.8</v>
      </c>
      <c r="O137" s="12">
        <f>N137*'Engineering Assumptions'!$B$11</f>
        <v>853.7600000000001</v>
      </c>
      <c r="P137" s="156">
        <f t="shared" si="17"/>
        <v>5120</v>
      </c>
      <c r="Q137" s="12">
        <f>'Fleet Pricing'!H137</f>
        <v>2260</v>
      </c>
      <c r="R137" s="45">
        <v>30</v>
      </c>
      <c r="S137" s="49">
        <v>2.4</v>
      </c>
      <c r="T137" s="49">
        <v>3</v>
      </c>
      <c r="U137" s="49">
        <v>1</v>
      </c>
    </row>
    <row r="138" spans="1:21" ht="15" customHeight="1" x14ac:dyDescent="0.3">
      <c r="A138" s="9">
        <v>128</v>
      </c>
      <c r="B138" s="50" t="s">
        <v>205</v>
      </c>
      <c r="C138" s="50" t="s">
        <v>276</v>
      </c>
      <c r="D138" s="50" t="s">
        <v>277</v>
      </c>
      <c r="E138" s="50"/>
      <c r="F138" s="48" t="s">
        <v>195</v>
      </c>
      <c r="G138" s="9">
        <v>30</v>
      </c>
      <c r="H138" s="12">
        <f>'Engineering Assumptions'!$C$23*'Engineering Assumptions'!$B$5*U138</f>
        <v>1910</v>
      </c>
      <c r="I138" s="12">
        <f>'Engineering Assumptions'!$B$8</f>
        <v>650</v>
      </c>
      <c r="J138" s="12">
        <f>'Engineering Assumptions'!$D$23*S138*U138</f>
        <v>432</v>
      </c>
      <c r="K138" s="12">
        <f>'Engineering Assumptions'!$E$23*T138*U138</f>
        <v>720</v>
      </c>
      <c r="L138" s="13">
        <f t="shared" si="15"/>
        <v>3712</v>
      </c>
      <c r="M138" s="12">
        <f>L138*'Engineering Assumptions'!$B$10</f>
        <v>556.79999999999995</v>
      </c>
      <c r="N138" s="13">
        <f t="shared" si="16"/>
        <v>4268.8</v>
      </c>
      <c r="O138" s="12">
        <f>N138*'Engineering Assumptions'!$B$11</f>
        <v>853.7600000000001</v>
      </c>
      <c r="P138" s="156">
        <f t="shared" si="17"/>
        <v>5120</v>
      </c>
      <c r="Q138" s="12">
        <f>'Fleet Pricing'!H138</f>
        <v>2260</v>
      </c>
      <c r="R138" s="45">
        <v>30</v>
      </c>
      <c r="S138" s="49">
        <v>2.4</v>
      </c>
      <c r="T138" s="49">
        <v>3</v>
      </c>
      <c r="U138" s="49">
        <v>1</v>
      </c>
    </row>
    <row r="139" spans="1:21" ht="15" customHeight="1" x14ac:dyDescent="0.3">
      <c r="A139" s="9">
        <v>129</v>
      </c>
      <c r="B139" s="50" t="s">
        <v>205</v>
      </c>
      <c r="C139" s="50" t="s">
        <v>276</v>
      </c>
      <c r="D139" s="50" t="s">
        <v>278</v>
      </c>
      <c r="E139" s="50"/>
      <c r="F139" s="48" t="s">
        <v>195</v>
      </c>
      <c r="G139" s="9">
        <v>30</v>
      </c>
      <c r="H139" s="12">
        <f>'Engineering Assumptions'!$C$23*'Engineering Assumptions'!$B$5*U139</f>
        <v>1910</v>
      </c>
      <c r="I139" s="12">
        <f>'Engineering Assumptions'!$B$8</f>
        <v>650</v>
      </c>
      <c r="J139" s="12">
        <f>'Engineering Assumptions'!$D$23*S139*U139</f>
        <v>432</v>
      </c>
      <c r="K139" s="12">
        <f>'Engineering Assumptions'!$E$23*T139*U139</f>
        <v>720</v>
      </c>
      <c r="L139" s="13">
        <f t="shared" si="15"/>
        <v>3712</v>
      </c>
      <c r="M139" s="12">
        <f>L139*'Engineering Assumptions'!$B$10</f>
        <v>556.79999999999995</v>
      </c>
      <c r="N139" s="13">
        <f t="shared" si="16"/>
        <v>4268.8</v>
      </c>
      <c r="O139" s="12">
        <f>N139*'Engineering Assumptions'!$B$11</f>
        <v>853.7600000000001</v>
      </c>
      <c r="P139" s="156">
        <f t="shared" si="17"/>
        <v>5120</v>
      </c>
      <c r="Q139" s="12">
        <f>'Fleet Pricing'!H139</f>
        <v>2260</v>
      </c>
      <c r="R139" s="45">
        <v>30</v>
      </c>
      <c r="S139" s="49">
        <v>2.4</v>
      </c>
      <c r="T139" s="49">
        <v>3</v>
      </c>
      <c r="U139" s="49">
        <v>1</v>
      </c>
    </row>
    <row r="140" spans="1:21" ht="15" customHeight="1" x14ac:dyDescent="0.3">
      <c r="A140" s="9">
        <v>130</v>
      </c>
      <c r="B140" s="50" t="s">
        <v>205</v>
      </c>
      <c r="C140" s="50" t="s">
        <v>276</v>
      </c>
      <c r="D140" s="50" t="s">
        <v>279</v>
      </c>
      <c r="E140" s="50"/>
      <c r="F140" s="48" t="s">
        <v>195</v>
      </c>
      <c r="G140" s="9">
        <v>30</v>
      </c>
      <c r="H140" s="12">
        <f>'Engineering Assumptions'!$C$23*'Engineering Assumptions'!$B$5*U140</f>
        <v>1910</v>
      </c>
      <c r="I140" s="12">
        <f>'Engineering Assumptions'!$B$8</f>
        <v>650</v>
      </c>
      <c r="J140" s="12">
        <f>'Engineering Assumptions'!$D$23*S140*U140</f>
        <v>432</v>
      </c>
      <c r="K140" s="12">
        <f>'Engineering Assumptions'!$E$23*T140*U140</f>
        <v>720</v>
      </c>
      <c r="L140" s="13">
        <f t="shared" si="15"/>
        <v>3712</v>
      </c>
      <c r="M140" s="12">
        <f>L140*'Engineering Assumptions'!$B$10</f>
        <v>556.79999999999995</v>
      </c>
      <c r="N140" s="13">
        <f t="shared" si="16"/>
        <v>4268.8</v>
      </c>
      <c r="O140" s="12">
        <f>N140*'Engineering Assumptions'!$B$11</f>
        <v>853.7600000000001</v>
      </c>
      <c r="P140" s="156">
        <f t="shared" si="17"/>
        <v>5120</v>
      </c>
      <c r="Q140" s="12">
        <f>'Fleet Pricing'!H140</f>
        <v>2260</v>
      </c>
      <c r="R140" s="45">
        <v>30</v>
      </c>
      <c r="S140" s="49">
        <v>2.4</v>
      </c>
      <c r="T140" s="49">
        <v>3</v>
      </c>
      <c r="U140" s="49">
        <v>1</v>
      </c>
    </row>
    <row r="141" spans="1:21" ht="15" customHeight="1" x14ac:dyDescent="0.3">
      <c r="A141" s="9">
        <v>131</v>
      </c>
      <c r="B141" s="50" t="s">
        <v>205</v>
      </c>
      <c r="C141" s="50" t="s">
        <v>276</v>
      </c>
      <c r="D141" s="50" t="s">
        <v>280</v>
      </c>
      <c r="E141" s="50"/>
      <c r="F141" s="48" t="s">
        <v>195</v>
      </c>
      <c r="G141" s="9">
        <v>30</v>
      </c>
      <c r="H141" s="12">
        <f>'Engineering Assumptions'!$C$23*'Engineering Assumptions'!$B$5*U141</f>
        <v>1910</v>
      </c>
      <c r="I141" s="12">
        <f>'Engineering Assumptions'!$B$8</f>
        <v>650</v>
      </c>
      <c r="J141" s="12">
        <f>'Engineering Assumptions'!$D$23*S141*U141</f>
        <v>432</v>
      </c>
      <c r="K141" s="12">
        <f>'Engineering Assumptions'!$E$23*T141*U141</f>
        <v>720</v>
      </c>
      <c r="L141" s="13">
        <f t="shared" si="15"/>
        <v>3712</v>
      </c>
      <c r="M141" s="12">
        <f>L141*'Engineering Assumptions'!$B$10</f>
        <v>556.79999999999995</v>
      </c>
      <c r="N141" s="13">
        <f t="shared" si="16"/>
        <v>4268.8</v>
      </c>
      <c r="O141" s="12">
        <f>N141*'Engineering Assumptions'!$B$11</f>
        <v>853.7600000000001</v>
      </c>
      <c r="P141" s="156">
        <f t="shared" si="17"/>
        <v>5120</v>
      </c>
      <c r="Q141" s="12">
        <f>'Fleet Pricing'!H141</f>
        <v>2260</v>
      </c>
      <c r="R141" s="45">
        <v>30</v>
      </c>
      <c r="S141" s="49">
        <v>2.4</v>
      </c>
      <c r="T141" s="49">
        <v>3</v>
      </c>
      <c r="U141" s="49">
        <v>1</v>
      </c>
    </row>
    <row r="142" spans="1:21" ht="15" customHeight="1" x14ac:dyDescent="0.3">
      <c r="A142" s="9">
        <v>132</v>
      </c>
      <c r="B142" s="50" t="s">
        <v>205</v>
      </c>
      <c r="C142" s="50" t="s">
        <v>276</v>
      </c>
      <c r="D142" s="50" t="s">
        <v>281</v>
      </c>
      <c r="E142" s="50"/>
      <c r="F142" s="48" t="s">
        <v>195</v>
      </c>
      <c r="G142" s="9">
        <v>30</v>
      </c>
      <c r="H142" s="12">
        <f>'Engineering Assumptions'!$C$23*'Engineering Assumptions'!$B$5*U142</f>
        <v>1910</v>
      </c>
      <c r="I142" s="12">
        <f>'Engineering Assumptions'!$B$8</f>
        <v>650</v>
      </c>
      <c r="J142" s="12">
        <f>'Engineering Assumptions'!$D$23*S142*U142</f>
        <v>432</v>
      </c>
      <c r="K142" s="12">
        <f>'Engineering Assumptions'!$E$23*T142*U142</f>
        <v>720</v>
      </c>
      <c r="L142" s="13">
        <f t="shared" si="15"/>
        <v>3712</v>
      </c>
      <c r="M142" s="12">
        <f>L142*'Engineering Assumptions'!$B$10</f>
        <v>556.79999999999995</v>
      </c>
      <c r="N142" s="13">
        <f t="shared" si="16"/>
        <v>4268.8</v>
      </c>
      <c r="O142" s="12">
        <f>N142*'Engineering Assumptions'!$B$11</f>
        <v>853.7600000000001</v>
      </c>
      <c r="P142" s="156">
        <f t="shared" si="17"/>
        <v>5120</v>
      </c>
      <c r="Q142" s="12">
        <f>'Fleet Pricing'!H142</f>
        <v>2260</v>
      </c>
      <c r="R142" s="45">
        <v>30</v>
      </c>
      <c r="S142" s="49">
        <v>2.4</v>
      </c>
      <c r="T142" s="49">
        <v>3</v>
      </c>
      <c r="U142" s="49">
        <v>1</v>
      </c>
    </row>
    <row r="143" spans="1:21" ht="15" customHeight="1" x14ac:dyDescent="0.3">
      <c r="A143" s="9">
        <v>133</v>
      </c>
      <c r="B143" s="50" t="s">
        <v>205</v>
      </c>
      <c r="C143" s="50" t="s">
        <v>276</v>
      </c>
      <c r="D143" s="50" t="s">
        <v>282</v>
      </c>
      <c r="E143" s="50"/>
      <c r="F143" s="48" t="s">
        <v>195</v>
      </c>
      <c r="G143" s="9">
        <v>30</v>
      </c>
      <c r="H143" s="12">
        <f>'Engineering Assumptions'!$C$23*'Engineering Assumptions'!$B$5*U143</f>
        <v>1910</v>
      </c>
      <c r="I143" s="12">
        <f>'Engineering Assumptions'!$B$8</f>
        <v>650</v>
      </c>
      <c r="J143" s="12">
        <f>'Engineering Assumptions'!$D$23*S143*U143</f>
        <v>432</v>
      </c>
      <c r="K143" s="12">
        <f>'Engineering Assumptions'!$E$23*T143*U143</f>
        <v>720</v>
      </c>
      <c r="L143" s="13">
        <f t="shared" si="15"/>
        <v>3712</v>
      </c>
      <c r="M143" s="12">
        <f>L143*'Engineering Assumptions'!$B$10</f>
        <v>556.79999999999995</v>
      </c>
      <c r="N143" s="13">
        <f t="shared" si="16"/>
        <v>4268.8</v>
      </c>
      <c r="O143" s="12">
        <f>N143*'Engineering Assumptions'!$B$11</f>
        <v>853.7600000000001</v>
      </c>
      <c r="P143" s="156">
        <f t="shared" si="17"/>
        <v>5120</v>
      </c>
      <c r="Q143" s="12">
        <f>'Fleet Pricing'!H143</f>
        <v>2260</v>
      </c>
      <c r="R143" s="45">
        <v>30</v>
      </c>
      <c r="S143" s="49">
        <v>2.4</v>
      </c>
      <c r="T143" s="49">
        <v>3</v>
      </c>
      <c r="U143" s="49">
        <v>1</v>
      </c>
    </row>
    <row r="144" spans="1:21" ht="15" customHeight="1" x14ac:dyDescent="0.3">
      <c r="A144" s="9">
        <v>134</v>
      </c>
      <c r="B144" s="50" t="s">
        <v>205</v>
      </c>
      <c r="C144" s="50" t="s">
        <v>276</v>
      </c>
      <c r="D144" s="50" t="s">
        <v>283</v>
      </c>
      <c r="E144" s="50"/>
      <c r="F144" s="48" t="s">
        <v>195</v>
      </c>
      <c r="G144" s="9">
        <v>30</v>
      </c>
      <c r="H144" s="12">
        <f>'Engineering Assumptions'!$C$23*'Engineering Assumptions'!$B$5*U144</f>
        <v>1910</v>
      </c>
      <c r="I144" s="12">
        <f>'Engineering Assumptions'!$B$8</f>
        <v>650</v>
      </c>
      <c r="J144" s="12">
        <f>'Engineering Assumptions'!$D$23*S144*U144</f>
        <v>432</v>
      </c>
      <c r="K144" s="12">
        <f>'Engineering Assumptions'!$E$23*T144*U144</f>
        <v>720</v>
      </c>
      <c r="L144" s="13">
        <f t="shared" si="15"/>
        <v>3712</v>
      </c>
      <c r="M144" s="12">
        <f>L144*'Engineering Assumptions'!$B$10</f>
        <v>556.79999999999995</v>
      </c>
      <c r="N144" s="13">
        <f t="shared" si="16"/>
        <v>4268.8</v>
      </c>
      <c r="O144" s="12">
        <f>N144*'Engineering Assumptions'!$B$11</f>
        <v>853.7600000000001</v>
      </c>
      <c r="P144" s="156">
        <f t="shared" si="17"/>
        <v>5120</v>
      </c>
      <c r="Q144" s="12">
        <f>'Fleet Pricing'!H144</f>
        <v>2260</v>
      </c>
      <c r="R144" s="45">
        <v>30</v>
      </c>
      <c r="S144" s="49">
        <v>2.4</v>
      </c>
      <c r="T144" s="49">
        <v>3</v>
      </c>
      <c r="U144" s="49">
        <v>1</v>
      </c>
    </row>
    <row r="145" spans="1:21" ht="15" customHeight="1" x14ac:dyDescent="0.3">
      <c r="A145" s="9">
        <v>135</v>
      </c>
      <c r="B145" s="50" t="s">
        <v>205</v>
      </c>
      <c r="C145" s="50" t="s">
        <v>276</v>
      </c>
      <c r="D145" s="50" t="s">
        <v>284</v>
      </c>
      <c r="E145" s="50"/>
      <c r="F145" s="48" t="s">
        <v>195</v>
      </c>
      <c r="G145" s="9">
        <v>30</v>
      </c>
      <c r="H145" s="12">
        <f>'Engineering Assumptions'!$C$23*'Engineering Assumptions'!$B$5*U145</f>
        <v>1910</v>
      </c>
      <c r="I145" s="12">
        <f>'Engineering Assumptions'!$B$8</f>
        <v>650</v>
      </c>
      <c r="J145" s="12">
        <f>'Engineering Assumptions'!$D$23*S145*U145</f>
        <v>432</v>
      </c>
      <c r="K145" s="12">
        <f>'Engineering Assumptions'!$E$23*T145*U145</f>
        <v>720</v>
      </c>
      <c r="L145" s="13">
        <f t="shared" si="15"/>
        <v>3712</v>
      </c>
      <c r="M145" s="12">
        <f>L145*'Engineering Assumptions'!$B$10</f>
        <v>556.79999999999995</v>
      </c>
      <c r="N145" s="13">
        <f t="shared" si="16"/>
        <v>4268.8</v>
      </c>
      <c r="O145" s="12">
        <f>N145*'Engineering Assumptions'!$B$11</f>
        <v>853.7600000000001</v>
      </c>
      <c r="P145" s="156">
        <f t="shared" si="17"/>
        <v>5120</v>
      </c>
      <c r="Q145" s="12">
        <f>'Fleet Pricing'!H145</f>
        <v>2260</v>
      </c>
      <c r="R145" s="45">
        <v>30</v>
      </c>
      <c r="S145" s="49">
        <v>2.4</v>
      </c>
      <c r="T145" s="49">
        <v>3</v>
      </c>
      <c r="U145" s="49">
        <v>1</v>
      </c>
    </row>
    <row r="146" spans="1:21" ht="15" customHeight="1" x14ac:dyDescent="0.3">
      <c r="A146" s="9">
        <v>136</v>
      </c>
      <c r="B146" s="50" t="s">
        <v>205</v>
      </c>
      <c r="C146" s="50" t="s">
        <v>276</v>
      </c>
      <c r="D146" s="50" t="s">
        <v>285</v>
      </c>
      <c r="E146" s="50"/>
      <c r="F146" s="48" t="s">
        <v>195</v>
      </c>
      <c r="G146" s="9">
        <v>30</v>
      </c>
      <c r="H146" s="12">
        <f>'Engineering Assumptions'!$C$23*'Engineering Assumptions'!$B$5*U146</f>
        <v>1910</v>
      </c>
      <c r="I146" s="12">
        <f>'Engineering Assumptions'!$B$8</f>
        <v>650</v>
      </c>
      <c r="J146" s="12">
        <f>'Engineering Assumptions'!$D$23*S146*U146</f>
        <v>432</v>
      </c>
      <c r="K146" s="12">
        <f>'Engineering Assumptions'!$E$23*T146*U146</f>
        <v>720</v>
      </c>
      <c r="L146" s="13">
        <f t="shared" ref="L146:L153" si="18">H146+I146+J146+K146</f>
        <v>3712</v>
      </c>
      <c r="M146" s="12">
        <f>L146*'Engineering Assumptions'!$B$10</f>
        <v>556.79999999999995</v>
      </c>
      <c r="N146" s="13">
        <f t="shared" ref="N146:N153" si="19">L146+M146</f>
        <v>4268.8</v>
      </c>
      <c r="O146" s="12">
        <f>N146*'Engineering Assumptions'!$B$11</f>
        <v>853.7600000000001</v>
      </c>
      <c r="P146" s="156">
        <f t="shared" ref="P146:P153" si="20">MROUND(N146+O146,10)</f>
        <v>5120</v>
      </c>
      <c r="Q146" s="12">
        <f>'Fleet Pricing'!H146</f>
        <v>2260</v>
      </c>
      <c r="R146" s="45">
        <v>30</v>
      </c>
      <c r="S146" s="49">
        <v>2.4</v>
      </c>
      <c r="T146" s="49">
        <v>3</v>
      </c>
      <c r="U146" s="49">
        <v>1</v>
      </c>
    </row>
    <row r="147" spans="1:21" ht="15" customHeight="1" x14ac:dyDescent="0.3">
      <c r="A147" s="9">
        <v>137</v>
      </c>
      <c r="B147" s="50" t="s">
        <v>205</v>
      </c>
      <c r="C147" s="50" t="s">
        <v>276</v>
      </c>
      <c r="D147" s="50" t="s">
        <v>286</v>
      </c>
      <c r="E147" s="50"/>
      <c r="F147" s="48" t="s">
        <v>195</v>
      </c>
      <c r="G147" s="9">
        <v>30</v>
      </c>
      <c r="H147" s="12">
        <f>'Engineering Assumptions'!$C$23*'Engineering Assumptions'!$B$5*U147</f>
        <v>1910</v>
      </c>
      <c r="I147" s="12">
        <f>'Engineering Assumptions'!$B$8</f>
        <v>650</v>
      </c>
      <c r="J147" s="12">
        <f>'Engineering Assumptions'!$D$23*S147*U147</f>
        <v>432</v>
      </c>
      <c r="K147" s="12">
        <f>'Engineering Assumptions'!$E$23*T147*U147</f>
        <v>720</v>
      </c>
      <c r="L147" s="13">
        <f t="shared" si="18"/>
        <v>3712</v>
      </c>
      <c r="M147" s="12">
        <f>L147*'Engineering Assumptions'!$B$10</f>
        <v>556.79999999999995</v>
      </c>
      <c r="N147" s="13">
        <f t="shared" si="19"/>
        <v>4268.8</v>
      </c>
      <c r="O147" s="12">
        <f>N147*'Engineering Assumptions'!$B$11</f>
        <v>853.7600000000001</v>
      </c>
      <c r="P147" s="156">
        <f t="shared" si="20"/>
        <v>5120</v>
      </c>
      <c r="Q147" s="12">
        <f>'Fleet Pricing'!H147</f>
        <v>2260</v>
      </c>
      <c r="R147" s="45">
        <v>30</v>
      </c>
      <c r="S147" s="49">
        <v>2.4</v>
      </c>
      <c r="T147" s="49">
        <v>3</v>
      </c>
      <c r="U147" s="49">
        <v>1</v>
      </c>
    </row>
    <row r="148" spans="1:21" ht="15" customHeight="1" x14ac:dyDescent="0.3">
      <c r="A148" s="9">
        <v>138</v>
      </c>
      <c r="B148" s="50" t="s">
        <v>205</v>
      </c>
      <c r="C148" s="50" t="s">
        <v>276</v>
      </c>
      <c r="D148" s="50" t="s">
        <v>287</v>
      </c>
      <c r="E148" s="50"/>
      <c r="F148" s="48" t="s">
        <v>195</v>
      </c>
      <c r="G148" s="9">
        <v>30</v>
      </c>
      <c r="H148" s="12">
        <f>'Engineering Assumptions'!$C$23*'Engineering Assumptions'!$B$5*U148</f>
        <v>1910</v>
      </c>
      <c r="I148" s="12">
        <f>'Engineering Assumptions'!$B$8</f>
        <v>650</v>
      </c>
      <c r="J148" s="12">
        <f>'Engineering Assumptions'!$D$23*S148*U148</f>
        <v>432</v>
      </c>
      <c r="K148" s="12">
        <f>'Engineering Assumptions'!$E$23*T148*U148</f>
        <v>720</v>
      </c>
      <c r="L148" s="13">
        <f t="shared" si="18"/>
        <v>3712</v>
      </c>
      <c r="M148" s="12">
        <f>L148*'Engineering Assumptions'!$B$10</f>
        <v>556.79999999999995</v>
      </c>
      <c r="N148" s="13">
        <f t="shared" si="19"/>
        <v>4268.8</v>
      </c>
      <c r="O148" s="12">
        <f>N148*'Engineering Assumptions'!$B$11</f>
        <v>853.7600000000001</v>
      </c>
      <c r="P148" s="156">
        <f t="shared" si="20"/>
        <v>5120</v>
      </c>
      <c r="Q148" s="12">
        <f>'Fleet Pricing'!H148</f>
        <v>2260</v>
      </c>
      <c r="R148" s="45">
        <v>30</v>
      </c>
      <c r="S148" s="49">
        <v>2.4</v>
      </c>
      <c r="T148" s="49">
        <v>3</v>
      </c>
      <c r="U148" s="49">
        <v>1</v>
      </c>
    </row>
    <row r="149" spans="1:21" ht="15" customHeight="1" x14ac:dyDescent="0.3">
      <c r="A149" s="9">
        <v>139</v>
      </c>
      <c r="B149" s="50" t="s">
        <v>205</v>
      </c>
      <c r="C149" s="50" t="s">
        <v>288</v>
      </c>
      <c r="D149" s="50"/>
      <c r="E149" s="50"/>
      <c r="F149" s="48" t="s">
        <v>195</v>
      </c>
      <c r="G149" s="9">
        <v>30</v>
      </c>
      <c r="H149" s="12">
        <f>'Engineering Assumptions'!$C$23*'Engineering Assumptions'!$B$5*U149</f>
        <v>1910</v>
      </c>
      <c r="I149" s="12">
        <f>'Engineering Assumptions'!$B$8</f>
        <v>650</v>
      </c>
      <c r="J149" s="12">
        <f>'Engineering Assumptions'!$D$23*S149*U149</f>
        <v>432</v>
      </c>
      <c r="K149" s="12">
        <f>'Engineering Assumptions'!$E$23*T149*U149</f>
        <v>720</v>
      </c>
      <c r="L149" s="13">
        <f t="shared" si="18"/>
        <v>3712</v>
      </c>
      <c r="M149" s="12">
        <f>L149*'Engineering Assumptions'!$B$10</f>
        <v>556.79999999999995</v>
      </c>
      <c r="N149" s="13">
        <f t="shared" si="19"/>
        <v>4268.8</v>
      </c>
      <c r="O149" s="12">
        <f>N149*'Engineering Assumptions'!$B$11</f>
        <v>853.7600000000001</v>
      </c>
      <c r="P149" s="156">
        <f t="shared" si="20"/>
        <v>5120</v>
      </c>
      <c r="Q149" s="12">
        <f>'Fleet Pricing'!H149</f>
        <v>2260</v>
      </c>
      <c r="R149" s="45">
        <v>30</v>
      </c>
      <c r="S149" s="49">
        <v>2.4</v>
      </c>
      <c r="T149" s="49">
        <v>3</v>
      </c>
      <c r="U149" s="49">
        <v>1</v>
      </c>
    </row>
    <row r="150" spans="1:21" ht="15" customHeight="1" x14ac:dyDescent="0.3">
      <c r="A150" s="9">
        <v>140</v>
      </c>
      <c r="B150" s="50" t="s">
        <v>205</v>
      </c>
      <c r="C150" s="50" t="s">
        <v>289</v>
      </c>
      <c r="D150" s="50" t="s">
        <v>290</v>
      </c>
      <c r="E150" s="50"/>
      <c r="F150" s="48" t="s">
        <v>195</v>
      </c>
      <c r="G150" s="9">
        <v>30</v>
      </c>
      <c r="H150" s="12">
        <f>'Engineering Assumptions'!$C$23*'Engineering Assumptions'!$B$5*U150</f>
        <v>1910</v>
      </c>
      <c r="I150" s="12">
        <f>'Engineering Assumptions'!$B$8</f>
        <v>650</v>
      </c>
      <c r="J150" s="12">
        <f>'Engineering Assumptions'!$D$23*S150*U150</f>
        <v>432</v>
      </c>
      <c r="K150" s="12">
        <f>'Engineering Assumptions'!$E$23*T150*U150</f>
        <v>720</v>
      </c>
      <c r="L150" s="13">
        <f t="shared" si="18"/>
        <v>3712</v>
      </c>
      <c r="M150" s="12">
        <f>L150*'Engineering Assumptions'!$B$10</f>
        <v>556.79999999999995</v>
      </c>
      <c r="N150" s="13">
        <f t="shared" si="19"/>
        <v>4268.8</v>
      </c>
      <c r="O150" s="12">
        <f>N150*'Engineering Assumptions'!$B$11</f>
        <v>853.7600000000001</v>
      </c>
      <c r="P150" s="156">
        <f t="shared" si="20"/>
        <v>5120</v>
      </c>
      <c r="Q150" s="12">
        <f>'Fleet Pricing'!H150</f>
        <v>2260</v>
      </c>
      <c r="R150" s="45">
        <v>30</v>
      </c>
      <c r="S150" s="49">
        <v>2.4</v>
      </c>
      <c r="T150" s="49">
        <v>3</v>
      </c>
      <c r="U150" s="49">
        <v>1</v>
      </c>
    </row>
    <row r="151" spans="1:21" ht="15" customHeight="1" x14ac:dyDescent="0.3">
      <c r="A151" s="9">
        <v>141</v>
      </c>
      <c r="B151" s="50" t="s">
        <v>205</v>
      </c>
      <c r="C151" s="50" t="s">
        <v>240</v>
      </c>
      <c r="D151" s="50" t="s">
        <v>291</v>
      </c>
      <c r="E151" s="50"/>
      <c r="F151" s="48" t="s">
        <v>195</v>
      </c>
      <c r="G151" s="9">
        <v>30</v>
      </c>
      <c r="H151" s="12">
        <f>'Engineering Assumptions'!$C$23*'Engineering Assumptions'!$B$5*U151</f>
        <v>1910</v>
      </c>
      <c r="I151" s="12">
        <f>'Engineering Assumptions'!$B$8</f>
        <v>650</v>
      </c>
      <c r="J151" s="12">
        <f>'Engineering Assumptions'!$D$23*S151*U151</f>
        <v>432</v>
      </c>
      <c r="K151" s="12">
        <f>'Engineering Assumptions'!$E$23*T151*U151</f>
        <v>720</v>
      </c>
      <c r="L151" s="13">
        <f t="shared" si="18"/>
        <v>3712</v>
      </c>
      <c r="M151" s="12">
        <f>L151*'Engineering Assumptions'!$B$10</f>
        <v>556.79999999999995</v>
      </c>
      <c r="N151" s="13">
        <f t="shared" si="19"/>
        <v>4268.8</v>
      </c>
      <c r="O151" s="12">
        <f>N151*'Engineering Assumptions'!$B$11</f>
        <v>853.7600000000001</v>
      </c>
      <c r="P151" s="156">
        <f t="shared" si="20"/>
        <v>5120</v>
      </c>
      <c r="Q151" s="12">
        <f>'Fleet Pricing'!H151</f>
        <v>2260</v>
      </c>
      <c r="R151" s="45">
        <v>30</v>
      </c>
      <c r="S151" s="49">
        <v>2.4</v>
      </c>
      <c r="T151" s="49">
        <v>3</v>
      </c>
      <c r="U151" s="49">
        <v>1</v>
      </c>
    </row>
    <row r="152" spans="1:21" ht="15" customHeight="1" x14ac:dyDescent="0.3">
      <c r="A152" s="9">
        <v>142</v>
      </c>
      <c r="B152" s="50" t="s">
        <v>205</v>
      </c>
      <c r="C152" s="50" t="s">
        <v>292</v>
      </c>
      <c r="D152" s="50" t="s">
        <v>293</v>
      </c>
      <c r="E152" s="50"/>
      <c r="F152" s="48" t="s">
        <v>195</v>
      </c>
      <c r="G152" s="9">
        <v>30</v>
      </c>
      <c r="H152" s="12">
        <f>'Engineering Assumptions'!$C$23*'Engineering Assumptions'!$B$5*U152</f>
        <v>1910</v>
      </c>
      <c r="I152" s="12">
        <f>'Engineering Assumptions'!$B$8</f>
        <v>650</v>
      </c>
      <c r="J152" s="12">
        <f>'Engineering Assumptions'!$D$23*S152*U152</f>
        <v>432</v>
      </c>
      <c r="K152" s="12">
        <f>'Engineering Assumptions'!$E$23*T152*U152</f>
        <v>720</v>
      </c>
      <c r="L152" s="13">
        <f t="shared" si="18"/>
        <v>3712</v>
      </c>
      <c r="M152" s="12">
        <f>L152*'Engineering Assumptions'!$B$10</f>
        <v>556.79999999999995</v>
      </c>
      <c r="N152" s="13">
        <f t="shared" si="19"/>
        <v>4268.8</v>
      </c>
      <c r="O152" s="12">
        <f>N152*'Engineering Assumptions'!$B$11</f>
        <v>853.7600000000001</v>
      </c>
      <c r="P152" s="156">
        <f t="shared" si="20"/>
        <v>5120</v>
      </c>
      <c r="Q152" s="12">
        <f>'Fleet Pricing'!H152</f>
        <v>2260</v>
      </c>
      <c r="R152" s="45">
        <v>30</v>
      </c>
      <c r="S152" s="49">
        <v>2.4</v>
      </c>
      <c r="T152" s="49">
        <v>3</v>
      </c>
      <c r="U152" s="49">
        <v>1</v>
      </c>
    </row>
    <row r="153" spans="1:21" ht="15" customHeight="1" x14ac:dyDescent="0.3">
      <c r="A153" s="9">
        <v>143</v>
      </c>
      <c r="B153" s="50" t="s">
        <v>205</v>
      </c>
      <c r="C153" s="50" t="s">
        <v>294</v>
      </c>
      <c r="D153" s="50" t="s">
        <v>295</v>
      </c>
      <c r="E153" s="50"/>
      <c r="F153" s="48" t="s">
        <v>195</v>
      </c>
      <c r="G153" s="9">
        <v>30</v>
      </c>
      <c r="H153" s="12">
        <f>'Engineering Assumptions'!$C$23*'Engineering Assumptions'!$B$5*U153</f>
        <v>1910</v>
      </c>
      <c r="I153" s="12">
        <f>'Engineering Assumptions'!$B$8</f>
        <v>650</v>
      </c>
      <c r="J153" s="12">
        <f>'Engineering Assumptions'!$D$23*S153*U153</f>
        <v>432</v>
      </c>
      <c r="K153" s="12">
        <f>'Engineering Assumptions'!$E$23*T153*U153</f>
        <v>720</v>
      </c>
      <c r="L153" s="13">
        <f t="shared" si="18"/>
        <v>3712</v>
      </c>
      <c r="M153" s="12">
        <f>L153*'Engineering Assumptions'!$B$10</f>
        <v>556.79999999999995</v>
      </c>
      <c r="N153" s="13">
        <f t="shared" si="19"/>
        <v>4268.8</v>
      </c>
      <c r="O153" s="12">
        <f>N153*'Engineering Assumptions'!$B$11</f>
        <v>853.7600000000001</v>
      </c>
      <c r="P153" s="156">
        <f t="shared" si="20"/>
        <v>5120</v>
      </c>
      <c r="Q153" s="12">
        <f>'Fleet Pricing'!H153</f>
        <v>2260</v>
      </c>
      <c r="R153" s="45">
        <v>30</v>
      </c>
      <c r="S153" s="49">
        <v>2.4</v>
      </c>
      <c r="T153" s="49">
        <v>3</v>
      </c>
      <c r="U153" s="49">
        <v>1</v>
      </c>
    </row>
    <row r="154" spans="1:21" ht="15" customHeight="1" x14ac:dyDescent="0.3">
      <c r="A154" s="199" t="s">
        <v>296</v>
      </c>
      <c r="B154" s="200"/>
      <c r="C154" s="200"/>
      <c r="D154" s="200"/>
      <c r="E154" s="200"/>
      <c r="F154" s="200"/>
      <c r="G154" s="200"/>
      <c r="H154" s="200"/>
      <c r="I154" s="200"/>
      <c r="J154" s="200"/>
      <c r="K154" s="200"/>
      <c r="L154" s="200"/>
      <c r="M154" s="200"/>
      <c r="N154" s="200"/>
      <c r="O154" s="200"/>
      <c r="P154" s="200"/>
      <c r="Q154" s="200"/>
    </row>
    <row r="155" spans="1:21" ht="15" customHeight="1" x14ac:dyDescent="0.3">
      <c r="A155" s="9">
        <v>144</v>
      </c>
      <c r="B155" s="50" t="s">
        <v>297</v>
      </c>
      <c r="C155" s="50" t="s">
        <v>188</v>
      </c>
      <c r="D155" s="50" t="s">
        <v>298</v>
      </c>
      <c r="E155" s="50"/>
      <c r="F155" s="48" t="s">
        <v>66</v>
      </c>
      <c r="G155" s="9">
        <v>14</v>
      </c>
      <c r="H155" s="12">
        <f>'Engineering Assumptions'!$C$24*'Engineering Assumptions'!$B$5*U155</f>
        <v>2674</v>
      </c>
      <c r="I155" s="12">
        <f>'Engineering Assumptions'!$B$8</f>
        <v>650</v>
      </c>
      <c r="J155" s="12">
        <f>'Engineering Assumptions'!$D$24*S155*U155</f>
        <v>310</v>
      </c>
      <c r="K155" s="12">
        <f>'Engineering Assumptions'!$E$24*T155*U155</f>
        <v>364.5</v>
      </c>
      <c r="L155" s="13">
        <f t="shared" ref="L155:L164" si="21">H155+I155+J155+K155</f>
        <v>3998.5</v>
      </c>
      <c r="M155" s="12">
        <f>L155*'Engineering Assumptions'!$B$10</f>
        <v>599.77499999999998</v>
      </c>
      <c r="N155" s="13">
        <f t="shared" ref="N155:N164" si="22">L155+M155</f>
        <v>4598.2749999999996</v>
      </c>
      <c r="O155" s="12">
        <f>N155*'Engineering Assumptions'!$B$11</f>
        <v>919.65499999999997</v>
      </c>
      <c r="P155" s="156">
        <f t="shared" ref="P155:P164" si="23">MROUND(N155+O155,10)</f>
        <v>5520</v>
      </c>
      <c r="Q155" s="12">
        <f>'Fleet Pricing'!H155</f>
        <v>3240</v>
      </c>
      <c r="R155" s="45">
        <v>14</v>
      </c>
      <c r="S155" s="49">
        <v>1.55</v>
      </c>
      <c r="T155" s="49">
        <v>1.35</v>
      </c>
      <c r="U155" s="49">
        <v>1</v>
      </c>
    </row>
    <row r="156" spans="1:21" ht="15" customHeight="1" x14ac:dyDescent="0.3">
      <c r="A156" s="9">
        <v>145</v>
      </c>
      <c r="B156" s="50" t="s">
        <v>297</v>
      </c>
      <c r="C156" s="50" t="s">
        <v>299</v>
      </c>
      <c r="D156" s="50" t="s">
        <v>300</v>
      </c>
      <c r="E156" s="50"/>
      <c r="F156" s="48" t="s">
        <v>66</v>
      </c>
      <c r="G156" s="9">
        <v>14</v>
      </c>
      <c r="H156" s="12">
        <f>'Engineering Assumptions'!$C$24*'Engineering Assumptions'!$B$5*U156</f>
        <v>2674</v>
      </c>
      <c r="I156" s="12">
        <f>'Engineering Assumptions'!$B$8</f>
        <v>650</v>
      </c>
      <c r="J156" s="12">
        <f>'Engineering Assumptions'!$D$24*S156*U156</f>
        <v>310</v>
      </c>
      <c r="K156" s="12">
        <f>'Engineering Assumptions'!$E$24*T156*U156</f>
        <v>364.5</v>
      </c>
      <c r="L156" s="13">
        <f t="shared" si="21"/>
        <v>3998.5</v>
      </c>
      <c r="M156" s="12">
        <f>L156*'Engineering Assumptions'!$B$10</f>
        <v>599.77499999999998</v>
      </c>
      <c r="N156" s="13">
        <f t="shared" si="22"/>
        <v>4598.2749999999996</v>
      </c>
      <c r="O156" s="12">
        <f>N156*'Engineering Assumptions'!$B$11</f>
        <v>919.65499999999997</v>
      </c>
      <c r="P156" s="156">
        <f t="shared" si="23"/>
        <v>5520</v>
      </c>
      <c r="Q156" s="12">
        <f>'Fleet Pricing'!H156</f>
        <v>3240</v>
      </c>
      <c r="R156" s="45">
        <v>14</v>
      </c>
      <c r="S156" s="49">
        <v>1.55</v>
      </c>
      <c r="T156" s="49">
        <v>1.35</v>
      </c>
      <c r="U156" s="49">
        <v>1</v>
      </c>
    </row>
    <row r="157" spans="1:21" ht="15" customHeight="1" x14ac:dyDescent="0.3">
      <c r="A157" s="9">
        <v>146</v>
      </c>
      <c r="B157" s="50" t="s">
        <v>297</v>
      </c>
      <c r="C157" s="50" t="s">
        <v>299</v>
      </c>
      <c r="D157" s="50" t="s">
        <v>301</v>
      </c>
      <c r="E157" s="50"/>
      <c r="F157" s="48" t="s">
        <v>66</v>
      </c>
      <c r="G157" s="9">
        <v>14</v>
      </c>
      <c r="H157" s="12">
        <f>'Engineering Assumptions'!$C$24*'Engineering Assumptions'!$B$5*U157</f>
        <v>2674</v>
      </c>
      <c r="I157" s="12">
        <f>'Engineering Assumptions'!$B$8</f>
        <v>650</v>
      </c>
      <c r="J157" s="12">
        <f>'Engineering Assumptions'!$D$24*S157*U157</f>
        <v>310</v>
      </c>
      <c r="K157" s="12">
        <f>'Engineering Assumptions'!$E$24*T157*U157</f>
        <v>364.5</v>
      </c>
      <c r="L157" s="13">
        <f t="shared" si="21"/>
        <v>3998.5</v>
      </c>
      <c r="M157" s="12">
        <f>L157*'Engineering Assumptions'!$B$10</f>
        <v>599.77499999999998</v>
      </c>
      <c r="N157" s="13">
        <f t="shared" si="22"/>
        <v>4598.2749999999996</v>
      </c>
      <c r="O157" s="12">
        <f>N157*'Engineering Assumptions'!$B$11</f>
        <v>919.65499999999997</v>
      </c>
      <c r="P157" s="156">
        <f t="shared" si="23"/>
        <v>5520</v>
      </c>
      <c r="Q157" s="12">
        <f>'Fleet Pricing'!H157</f>
        <v>3240</v>
      </c>
      <c r="R157" s="45">
        <v>14</v>
      </c>
      <c r="S157" s="49">
        <v>1.55</v>
      </c>
      <c r="T157" s="49">
        <v>1.35</v>
      </c>
      <c r="U157" s="49">
        <v>1</v>
      </c>
    </row>
    <row r="158" spans="1:21" ht="15" customHeight="1" x14ac:dyDescent="0.3">
      <c r="A158" s="9">
        <v>147</v>
      </c>
      <c r="B158" s="50" t="s">
        <v>297</v>
      </c>
      <c r="C158" s="50" t="s">
        <v>302</v>
      </c>
      <c r="D158" s="50" t="s">
        <v>303</v>
      </c>
      <c r="E158" s="50"/>
      <c r="F158" s="48" t="s">
        <v>66</v>
      </c>
      <c r="G158" s="9">
        <v>14</v>
      </c>
      <c r="H158" s="12">
        <f>'Engineering Assumptions'!$C$24*'Engineering Assumptions'!$B$5*U158</f>
        <v>2674</v>
      </c>
      <c r="I158" s="12">
        <f>'Engineering Assumptions'!$B$8</f>
        <v>650</v>
      </c>
      <c r="J158" s="12">
        <f>'Engineering Assumptions'!$D$24*S158*U158</f>
        <v>310</v>
      </c>
      <c r="K158" s="12">
        <f>'Engineering Assumptions'!$E$24*T158*U158</f>
        <v>364.5</v>
      </c>
      <c r="L158" s="13">
        <f t="shared" si="21"/>
        <v>3998.5</v>
      </c>
      <c r="M158" s="12">
        <f>L158*'Engineering Assumptions'!$B$10</f>
        <v>599.77499999999998</v>
      </c>
      <c r="N158" s="13">
        <f t="shared" si="22"/>
        <v>4598.2749999999996</v>
      </c>
      <c r="O158" s="12">
        <f>N158*'Engineering Assumptions'!$B$11</f>
        <v>919.65499999999997</v>
      </c>
      <c r="P158" s="156">
        <f t="shared" si="23"/>
        <v>5520</v>
      </c>
      <c r="Q158" s="12">
        <f>'Fleet Pricing'!H158</f>
        <v>3240</v>
      </c>
      <c r="R158" s="45">
        <v>14</v>
      </c>
      <c r="S158" s="49">
        <v>1.55</v>
      </c>
      <c r="T158" s="49">
        <v>1.35</v>
      </c>
      <c r="U158" s="49">
        <v>1</v>
      </c>
    </row>
    <row r="159" spans="1:21" ht="15" customHeight="1" x14ac:dyDescent="0.3">
      <c r="A159" s="9">
        <v>148</v>
      </c>
      <c r="B159" s="50" t="s">
        <v>297</v>
      </c>
      <c r="C159" s="50" t="s">
        <v>304</v>
      </c>
      <c r="D159" s="50" t="s">
        <v>305</v>
      </c>
      <c r="E159" s="50"/>
      <c r="F159" s="48" t="s">
        <v>66</v>
      </c>
      <c r="G159" s="9">
        <v>14</v>
      </c>
      <c r="H159" s="12">
        <f>'Engineering Assumptions'!$C$24*'Engineering Assumptions'!$B$5*U159</f>
        <v>2674</v>
      </c>
      <c r="I159" s="12">
        <f>'Engineering Assumptions'!$B$8</f>
        <v>650</v>
      </c>
      <c r="J159" s="12">
        <f>'Engineering Assumptions'!$D$24*S159*U159</f>
        <v>310</v>
      </c>
      <c r="K159" s="12">
        <f>'Engineering Assumptions'!$E$24*T159*U159</f>
        <v>364.5</v>
      </c>
      <c r="L159" s="13">
        <f t="shared" si="21"/>
        <v>3998.5</v>
      </c>
      <c r="M159" s="12">
        <f>L159*'Engineering Assumptions'!$B$10</f>
        <v>599.77499999999998</v>
      </c>
      <c r="N159" s="13">
        <f t="shared" si="22"/>
        <v>4598.2749999999996</v>
      </c>
      <c r="O159" s="12">
        <f>N159*'Engineering Assumptions'!$B$11</f>
        <v>919.65499999999997</v>
      </c>
      <c r="P159" s="156">
        <f t="shared" si="23"/>
        <v>5520</v>
      </c>
      <c r="Q159" s="12">
        <f>'Fleet Pricing'!H159</f>
        <v>3240</v>
      </c>
      <c r="R159" s="45">
        <v>14</v>
      </c>
      <c r="S159" s="49">
        <v>1.55</v>
      </c>
      <c r="T159" s="49">
        <v>1.35</v>
      </c>
      <c r="U159" s="49">
        <v>1</v>
      </c>
    </row>
    <row r="160" spans="1:21" ht="15" customHeight="1" x14ac:dyDescent="0.3">
      <c r="A160" s="9">
        <v>149</v>
      </c>
      <c r="B160" s="50" t="s">
        <v>297</v>
      </c>
      <c r="C160" s="50" t="s">
        <v>306</v>
      </c>
      <c r="D160" s="50" t="s">
        <v>307</v>
      </c>
      <c r="E160" s="50"/>
      <c r="F160" s="48" t="s">
        <v>66</v>
      </c>
      <c r="G160" s="9">
        <v>14</v>
      </c>
      <c r="H160" s="12">
        <f>'Engineering Assumptions'!$C$24*'Engineering Assumptions'!$B$5*U160</f>
        <v>2674</v>
      </c>
      <c r="I160" s="12">
        <f>'Engineering Assumptions'!$B$8</f>
        <v>650</v>
      </c>
      <c r="J160" s="12">
        <f>'Engineering Assumptions'!$D$24*S160*U160</f>
        <v>310</v>
      </c>
      <c r="K160" s="12">
        <f>'Engineering Assumptions'!$E$24*T160*U160</f>
        <v>364.5</v>
      </c>
      <c r="L160" s="13">
        <f t="shared" si="21"/>
        <v>3998.5</v>
      </c>
      <c r="M160" s="12">
        <f>L160*'Engineering Assumptions'!$B$10</f>
        <v>599.77499999999998</v>
      </c>
      <c r="N160" s="13">
        <f t="shared" si="22"/>
        <v>4598.2749999999996</v>
      </c>
      <c r="O160" s="12">
        <f>N160*'Engineering Assumptions'!$B$11</f>
        <v>919.65499999999997</v>
      </c>
      <c r="P160" s="156">
        <f t="shared" si="23"/>
        <v>5520</v>
      </c>
      <c r="Q160" s="12">
        <f>'Fleet Pricing'!H160</f>
        <v>3240</v>
      </c>
      <c r="R160" s="45">
        <v>14</v>
      </c>
      <c r="S160" s="49">
        <v>1.55</v>
      </c>
      <c r="T160" s="49">
        <v>1.35</v>
      </c>
      <c r="U160" s="49">
        <v>1</v>
      </c>
    </row>
    <row r="161" spans="1:21" ht="15" customHeight="1" x14ac:dyDescent="0.3">
      <c r="A161" s="9">
        <v>150</v>
      </c>
      <c r="B161" s="50" t="s">
        <v>297</v>
      </c>
      <c r="C161" s="50" t="s">
        <v>308</v>
      </c>
      <c r="D161" s="50" t="s">
        <v>309</v>
      </c>
      <c r="E161" s="50"/>
      <c r="F161" s="48" t="s">
        <v>66</v>
      </c>
      <c r="G161" s="9">
        <v>14</v>
      </c>
      <c r="H161" s="12">
        <f>'Engineering Assumptions'!$C$24*'Engineering Assumptions'!$B$5*U161</f>
        <v>2674</v>
      </c>
      <c r="I161" s="12">
        <f>'Engineering Assumptions'!$B$8</f>
        <v>650</v>
      </c>
      <c r="J161" s="12">
        <f>'Engineering Assumptions'!$D$24*S161*U161</f>
        <v>310</v>
      </c>
      <c r="K161" s="12">
        <f>'Engineering Assumptions'!$E$24*T161*U161</f>
        <v>364.5</v>
      </c>
      <c r="L161" s="13">
        <f t="shared" si="21"/>
        <v>3998.5</v>
      </c>
      <c r="M161" s="12">
        <f>L161*'Engineering Assumptions'!$B$10</f>
        <v>599.77499999999998</v>
      </c>
      <c r="N161" s="13">
        <f t="shared" si="22"/>
        <v>4598.2749999999996</v>
      </c>
      <c r="O161" s="12">
        <f>N161*'Engineering Assumptions'!$B$11</f>
        <v>919.65499999999997</v>
      </c>
      <c r="P161" s="156">
        <f t="shared" si="23"/>
        <v>5520</v>
      </c>
      <c r="Q161" s="12">
        <f>'Fleet Pricing'!H161</f>
        <v>3240</v>
      </c>
      <c r="R161" s="45">
        <v>14</v>
      </c>
      <c r="S161" s="49">
        <v>1.55</v>
      </c>
      <c r="T161" s="49">
        <v>1.35</v>
      </c>
      <c r="U161" s="49">
        <v>1</v>
      </c>
    </row>
    <row r="162" spans="1:21" ht="15" customHeight="1" x14ac:dyDescent="0.3">
      <c r="A162" s="9">
        <v>151</v>
      </c>
      <c r="B162" s="50" t="s">
        <v>297</v>
      </c>
      <c r="C162" s="50" t="s">
        <v>310</v>
      </c>
      <c r="D162" s="50" t="s">
        <v>311</v>
      </c>
      <c r="E162" s="50"/>
      <c r="F162" s="48" t="s">
        <v>143</v>
      </c>
      <c r="G162" s="9">
        <v>26</v>
      </c>
      <c r="H162" s="12">
        <f>'Engineering Assumptions'!$C$24*'Engineering Assumptions'!$B$5*U162</f>
        <v>2674</v>
      </c>
      <c r="I162" s="12">
        <f>'Engineering Assumptions'!$B$8</f>
        <v>650</v>
      </c>
      <c r="J162" s="12">
        <f>'Engineering Assumptions'!$D$24*S162*U162</f>
        <v>480</v>
      </c>
      <c r="K162" s="12">
        <f>'Engineering Assumptions'!$E$24*T162*U162</f>
        <v>810</v>
      </c>
      <c r="L162" s="13">
        <f t="shared" si="21"/>
        <v>4614</v>
      </c>
      <c r="M162" s="12">
        <f>L162*'Engineering Assumptions'!$B$10</f>
        <v>692.1</v>
      </c>
      <c r="N162" s="13">
        <f t="shared" si="22"/>
        <v>5306.1</v>
      </c>
      <c r="O162" s="12">
        <f>N162*'Engineering Assumptions'!$B$11</f>
        <v>1061.22</v>
      </c>
      <c r="P162" s="156">
        <f t="shared" si="23"/>
        <v>6370</v>
      </c>
      <c r="Q162" s="12">
        <f>'Fleet Pricing'!H162</f>
        <v>2570</v>
      </c>
      <c r="R162" s="45">
        <v>26</v>
      </c>
      <c r="S162" s="49">
        <v>2.4</v>
      </c>
      <c r="T162" s="49">
        <v>3</v>
      </c>
      <c r="U162" s="49">
        <v>1</v>
      </c>
    </row>
    <row r="163" spans="1:21" ht="15" customHeight="1" x14ac:dyDescent="0.3">
      <c r="A163" s="9">
        <v>152</v>
      </c>
      <c r="B163" s="50" t="s">
        <v>297</v>
      </c>
      <c r="C163" s="50" t="s">
        <v>312</v>
      </c>
      <c r="D163" s="50" t="s">
        <v>313</v>
      </c>
      <c r="E163" s="50"/>
      <c r="F163" s="48" t="s">
        <v>314</v>
      </c>
      <c r="G163" s="9">
        <v>36</v>
      </c>
      <c r="H163" s="12">
        <f>'Engineering Assumptions'!$C$24*'Engineering Assumptions'!$B$5*U163</f>
        <v>2674</v>
      </c>
      <c r="I163" s="12">
        <f>'Engineering Assumptions'!$B$8</f>
        <v>650</v>
      </c>
      <c r="J163" s="12">
        <f>'Engineering Assumptions'!$D$24*S163*U163</f>
        <v>480</v>
      </c>
      <c r="K163" s="12">
        <f>'Engineering Assumptions'!$E$24*T163*U163</f>
        <v>810</v>
      </c>
      <c r="L163" s="13">
        <f t="shared" si="21"/>
        <v>4614</v>
      </c>
      <c r="M163" s="12">
        <f>L163*'Engineering Assumptions'!$B$10</f>
        <v>692.1</v>
      </c>
      <c r="N163" s="13">
        <f t="shared" si="22"/>
        <v>5306.1</v>
      </c>
      <c r="O163" s="12">
        <f>N163*'Engineering Assumptions'!$B$11</f>
        <v>1061.22</v>
      </c>
      <c r="P163" s="156">
        <f t="shared" si="23"/>
        <v>6370</v>
      </c>
      <c r="Q163" s="12">
        <f>'Fleet Pricing'!H163</f>
        <v>2290</v>
      </c>
      <c r="R163" s="45">
        <v>36</v>
      </c>
      <c r="S163" s="49">
        <v>2.4</v>
      </c>
      <c r="T163" s="49">
        <v>3</v>
      </c>
      <c r="U163" s="49">
        <v>1</v>
      </c>
    </row>
    <row r="164" spans="1:21" ht="15" customHeight="1" x14ac:dyDescent="0.3">
      <c r="A164" s="9">
        <v>153</v>
      </c>
      <c r="B164" s="50" t="s">
        <v>297</v>
      </c>
      <c r="C164" s="50" t="s">
        <v>315</v>
      </c>
      <c r="D164" s="50" t="s">
        <v>316</v>
      </c>
      <c r="E164" s="50"/>
      <c r="F164" s="48" t="s">
        <v>195</v>
      </c>
      <c r="G164" s="9">
        <v>30</v>
      </c>
      <c r="H164" s="12">
        <f>'Engineering Assumptions'!$C$24*'Engineering Assumptions'!$B$5*U164</f>
        <v>2674</v>
      </c>
      <c r="I164" s="12">
        <f>'Engineering Assumptions'!$B$8</f>
        <v>650</v>
      </c>
      <c r="J164" s="12">
        <f>'Engineering Assumptions'!$D$24*S164*U164</f>
        <v>480</v>
      </c>
      <c r="K164" s="12">
        <f>'Engineering Assumptions'!$E$24*T164*U164</f>
        <v>810</v>
      </c>
      <c r="L164" s="13">
        <f t="shared" si="21"/>
        <v>4614</v>
      </c>
      <c r="M164" s="12">
        <f>L164*'Engineering Assumptions'!$B$10</f>
        <v>692.1</v>
      </c>
      <c r="N164" s="13">
        <f t="shared" si="22"/>
        <v>5306.1</v>
      </c>
      <c r="O164" s="12">
        <f>N164*'Engineering Assumptions'!$B$11</f>
        <v>1061.22</v>
      </c>
      <c r="P164" s="156">
        <f t="shared" si="23"/>
        <v>6370</v>
      </c>
      <c r="Q164" s="12">
        <f>'Fleet Pricing'!H164</f>
        <v>2290</v>
      </c>
      <c r="R164" s="45">
        <v>30</v>
      </c>
      <c r="S164" s="49">
        <v>2.4</v>
      </c>
      <c r="T164" s="49">
        <v>3</v>
      </c>
      <c r="U164" s="49">
        <v>1</v>
      </c>
    </row>
    <row r="165" spans="1:21" ht="15" customHeight="1" x14ac:dyDescent="0.3">
      <c r="A165" s="199" t="s">
        <v>317</v>
      </c>
      <c r="B165" s="200"/>
      <c r="C165" s="200"/>
      <c r="D165" s="200"/>
      <c r="E165" s="200"/>
      <c r="F165" s="200"/>
      <c r="G165" s="200"/>
      <c r="H165" s="200"/>
      <c r="I165" s="200"/>
      <c r="J165" s="200"/>
      <c r="K165" s="200"/>
      <c r="L165" s="200"/>
      <c r="M165" s="200"/>
      <c r="N165" s="200"/>
      <c r="O165" s="200"/>
      <c r="P165" s="200"/>
      <c r="Q165" s="200"/>
    </row>
    <row r="166" spans="1:21" ht="15" customHeight="1" x14ac:dyDescent="0.3">
      <c r="A166" s="9">
        <v>154</v>
      </c>
      <c r="B166" s="50" t="s">
        <v>318</v>
      </c>
      <c r="C166" s="50" t="s">
        <v>319</v>
      </c>
      <c r="D166" s="50" t="s">
        <v>320</v>
      </c>
      <c r="E166" s="50" t="s">
        <v>321</v>
      </c>
      <c r="F166" s="48" t="s">
        <v>23</v>
      </c>
      <c r="G166" s="9">
        <v>5</v>
      </c>
      <c r="H166" s="12">
        <f>'Engineering Assumptions'!$C$25*'Engineering Assumptions'!$B$5*U166</f>
        <v>5730</v>
      </c>
      <c r="I166" s="12">
        <f>'Engineering Assumptions'!$B$8</f>
        <v>650</v>
      </c>
      <c r="J166" s="12">
        <f>'Engineering Assumptions'!$D$25*S166*U166</f>
        <v>420</v>
      </c>
      <c r="K166" s="12">
        <f>'Engineering Assumptions'!$E$25*T166*U166</f>
        <v>180</v>
      </c>
      <c r="L166" s="13">
        <f t="shared" ref="L166:L181" si="24">H166+I166+J166+K166</f>
        <v>6980</v>
      </c>
      <c r="M166" s="12">
        <f>L166*'Engineering Assumptions'!$B$10</f>
        <v>1047</v>
      </c>
      <c r="N166" s="13">
        <f t="shared" ref="N166:N181" si="25">L166+M166</f>
        <v>8027</v>
      </c>
      <c r="O166" s="12">
        <f>N166*'Engineering Assumptions'!$B$11</f>
        <v>1605.4</v>
      </c>
      <c r="P166" s="156">
        <f t="shared" ref="P166:P181" si="26">MROUND(N166+O166,10)</f>
        <v>9630</v>
      </c>
      <c r="Q166" s="12">
        <f>'Fleet Pricing'!H166</f>
        <v>9650</v>
      </c>
      <c r="R166" s="45">
        <v>5</v>
      </c>
      <c r="S166" s="49">
        <v>1</v>
      </c>
      <c r="T166" s="49">
        <v>0.3</v>
      </c>
      <c r="U166" s="49">
        <v>1</v>
      </c>
    </row>
    <row r="167" spans="1:21" ht="15" customHeight="1" x14ac:dyDescent="0.3">
      <c r="A167" s="9">
        <v>155</v>
      </c>
      <c r="B167" s="50" t="s">
        <v>318</v>
      </c>
      <c r="C167" s="50" t="s">
        <v>322</v>
      </c>
      <c r="D167" s="50" t="s">
        <v>323</v>
      </c>
      <c r="E167" s="50" t="s">
        <v>324</v>
      </c>
      <c r="F167" s="48" t="s">
        <v>23</v>
      </c>
      <c r="G167" s="9">
        <v>5</v>
      </c>
      <c r="H167" s="12">
        <f>'Engineering Assumptions'!$C$25*'Engineering Assumptions'!$B$5*U167</f>
        <v>5730</v>
      </c>
      <c r="I167" s="12">
        <f>'Engineering Assumptions'!$B$8</f>
        <v>650</v>
      </c>
      <c r="J167" s="12">
        <f>'Engineering Assumptions'!$D$25*S167*U167</f>
        <v>420</v>
      </c>
      <c r="K167" s="12">
        <f>'Engineering Assumptions'!$E$25*T167*U167</f>
        <v>180</v>
      </c>
      <c r="L167" s="13">
        <f t="shared" si="24"/>
        <v>6980</v>
      </c>
      <c r="M167" s="12">
        <f>L167*'Engineering Assumptions'!$B$10</f>
        <v>1047</v>
      </c>
      <c r="N167" s="13">
        <f t="shared" si="25"/>
        <v>8027</v>
      </c>
      <c r="O167" s="12">
        <f>N167*'Engineering Assumptions'!$B$11</f>
        <v>1605.4</v>
      </c>
      <c r="P167" s="156">
        <f t="shared" si="26"/>
        <v>9630</v>
      </c>
      <c r="Q167" s="12">
        <f>'Fleet Pricing'!H167</f>
        <v>9650</v>
      </c>
      <c r="R167" s="45">
        <v>5</v>
      </c>
      <c r="S167" s="49">
        <v>1</v>
      </c>
      <c r="T167" s="49">
        <v>0.3</v>
      </c>
      <c r="U167" s="49">
        <v>1</v>
      </c>
    </row>
    <row r="168" spans="1:21" ht="15" customHeight="1" x14ac:dyDescent="0.3">
      <c r="A168" s="9">
        <v>156</v>
      </c>
      <c r="B168" s="50" t="s">
        <v>318</v>
      </c>
      <c r="C168" s="50" t="s">
        <v>319</v>
      </c>
      <c r="D168" s="50" t="s">
        <v>325</v>
      </c>
      <c r="E168" s="50" t="s">
        <v>326</v>
      </c>
      <c r="F168" s="48" t="s">
        <v>31</v>
      </c>
      <c r="G168" s="9">
        <v>6</v>
      </c>
      <c r="H168" s="12">
        <f>'Engineering Assumptions'!$C$25*'Engineering Assumptions'!$B$5*U168</f>
        <v>5730</v>
      </c>
      <c r="I168" s="12">
        <f>'Engineering Assumptions'!$B$8</f>
        <v>650</v>
      </c>
      <c r="J168" s="12">
        <f>'Engineering Assumptions'!$D$25*S168*U168</f>
        <v>525</v>
      </c>
      <c r="K168" s="12">
        <f>'Engineering Assumptions'!$E$25*T168*U168</f>
        <v>450</v>
      </c>
      <c r="L168" s="13">
        <f t="shared" si="24"/>
        <v>7355</v>
      </c>
      <c r="M168" s="12">
        <f>L168*'Engineering Assumptions'!$B$10</f>
        <v>1103.25</v>
      </c>
      <c r="N168" s="13">
        <f t="shared" si="25"/>
        <v>8458.25</v>
      </c>
      <c r="O168" s="12">
        <f>N168*'Engineering Assumptions'!$B$11</f>
        <v>1691.65</v>
      </c>
      <c r="P168" s="156">
        <f t="shared" si="26"/>
        <v>10150</v>
      </c>
      <c r="Q168" s="12">
        <f>'Fleet Pricing'!H168</f>
        <v>9650</v>
      </c>
      <c r="R168" s="45">
        <v>6</v>
      </c>
      <c r="S168" s="49">
        <v>1.25</v>
      </c>
      <c r="T168" s="49">
        <v>0.75</v>
      </c>
      <c r="U168" s="49">
        <v>1</v>
      </c>
    </row>
    <row r="169" spans="1:21" ht="15" customHeight="1" x14ac:dyDescent="0.3">
      <c r="A169" s="9">
        <v>157</v>
      </c>
      <c r="B169" s="50" t="s">
        <v>318</v>
      </c>
      <c r="C169" s="50" t="s">
        <v>319</v>
      </c>
      <c r="D169" s="50" t="s">
        <v>327</v>
      </c>
      <c r="E169" s="50" t="s">
        <v>328</v>
      </c>
      <c r="F169" s="48" t="s">
        <v>31</v>
      </c>
      <c r="G169" s="9">
        <v>6</v>
      </c>
      <c r="H169" s="12">
        <f>'Engineering Assumptions'!$C$25*'Engineering Assumptions'!$B$5*U169</f>
        <v>5730</v>
      </c>
      <c r="I169" s="12">
        <f>'Engineering Assumptions'!$B$8</f>
        <v>650</v>
      </c>
      <c r="J169" s="12">
        <f>'Engineering Assumptions'!$D$25*S169*U169</f>
        <v>525</v>
      </c>
      <c r="K169" s="12">
        <f>'Engineering Assumptions'!$E$25*T169*U169</f>
        <v>450</v>
      </c>
      <c r="L169" s="13">
        <f t="shared" si="24"/>
        <v>7355</v>
      </c>
      <c r="M169" s="12">
        <f>L169*'Engineering Assumptions'!$B$10</f>
        <v>1103.25</v>
      </c>
      <c r="N169" s="13">
        <f t="shared" si="25"/>
        <v>8458.25</v>
      </c>
      <c r="O169" s="12">
        <f>N169*'Engineering Assumptions'!$B$11</f>
        <v>1691.65</v>
      </c>
      <c r="P169" s="156">
        <f t="shared" si="26"/>
        <v>10150</v>
      </c>
      <c r="Q169" s="12">
        <f>'Fleet Pricing'!H169</f>
        <v>9650</v>
      </c>
      <c r="R169" s="45">
        <v>6</v>
      </c>
      <c r="S169" s="49">
        <v>1.25</v>
      </c>
      <c r="T169" s="49">
        <v>0.75</v>
      </c>
      <c r="U169" s="49">
        <v>1</v>
      </c>
    </row>
    <row r="170" spans="1:21" ht="15" customHeight="1" x14ac:dyDescent="0.3">
      <c r="A170" s="9">
        <v>158</v>
      </c>
      <c r="B170" s="50" t="s">
        <v>318</v>
      </c>
      <c r="C170" s="50" t="s">
        <v>319</v>
      </c>
      <c r="D170" s="50" t="s">
        <v>329</v>
      </c>
      <c r="E170" s="50" t="s">
        <v>330</v>
      </c>
      <c r="F170" s="48" t="s">
        <v>31</v>
      </c>
      <c r="G170" s="9">
        <v>6</v>
      </c>
      <c r="H170" s="12">
        <f>'Engineering Assumptions'!$C$25*'Engineering Assumptions'!$B$5*U170</f>
        <v>5730</v>
      </c>
      <c r="I170" s="12">
        <f>'Engineering Assumptions'!$B$8</f>
        <v>650</v>
      </c>
      <c r="J170" s="12">
        <f>'Engineering Assumptions'!$D$25*S170*U170</f>
        <v>525</v>
      </c>
      <c r="K170" s="12">
        <f>'Engineering Assumptions'!$E$25*T170*U170</f>
        <v>450</v>
      </c>
      <c r="L170" s="13">
        <f t="shared" si="24"/>
        <v>7355</v>
      </c>
      <c r="M170" s="12">
        <f>L170*'Engineering Assumptions'!$B$10</f>
        <v>1103.25</v>
      </c>
      <c r="N170" s="13">
        <f t="shared" si="25"/>
        <v>8458.25</v>
      </c>
      <c r="O170" s="12">
        <f>N170*'Engineering Assumptions'!$B$11</f>
        <v>1691.65</v>
      </c>
      <c r="P170" s="156">
        <f t="shared" si="26"/>
        <v>10150</v>
      </c>
      <c r="Q170" s="12">
        <f>'Fleet Pricing'!H170</f>
        <v>9650</v>
      </c>
      <c r="R170" s="45">
        <v>6</v>
      </c>
      <c r="S170" s="49">
        <v>1.25</v>
      </c>
      <c r="T170" s="49">
        <v>0.75</v>
      </c>
      <c r="U170" s="49">
        <v>1</v>
      </c>
    </row>
    <row r="171" spans="1:21" ht="15" customHeight="1" x14ac:dyDescent="0.3">
      <c r="A171" s="9">
        <v>159</v>
      </c>
      <c r="B171" s="50" t="s">
        <v>318</v>
      </c>
      <c r="C171" s="50" t="s">
        <v>331</v>
      </c>
      <c r="D171" s="50" t="s">
        <v>332</v>
      </c>
      <c r="E171" s="50"/>
      <c r="F171" s="48" t="s">
        <v>94</v>
      </c>
      <c r="G171" s="9">
        <v>12</v>
      </c>
      <c r="H171" s="12">
        <f>'Engineering Assumptions'!$C$25*'Engineering Assumptions'!$B$5*U171</f>
        <v>5730</v>
      </c>
      <c r="I171" s="12">
        <f>'Engineering Assumptions'!$B$8</f>
        <v>650</v>
      </c>
      <c r="J171" s="12">
        <f>'Engineering Assumptions'!$D$25*S171*U171</f>
        <v>651</v>
      </c>
      <c r="K171" s="12">
        <f>'Engineering Assumptions'!$E$25*T171*U171</f>
        <v>810</v>
      </c>
      <c r="L171" s="13">
        <f t="shared" si="24"/>
        <v>7841</v>
      </c>
      <c r="M171" s="12">
        <f>L171*'Engineering Assumptions'!$B$10</f>
        <v>1176.1499999999999</v>
      </c>
      <c r="N171" s="13">
        <f t="shared" si="25"/>
        <v>9017.15</v>
      </c>
      <c r="O171" s="12">
        <f>N171*'Engineering Assumptions'!$B$11</f>
        <v>1803.43</v>
      </c>
      <c r="P171" s="156">
        <f t="shared" si="26"/>
        <v>10820</v>
      </c>
      <c r="Q171" s="12">
        <f>'Fleet Pricing'!H171</f>
        <v>7910</v>
      </c>
      <c r="R171" s="45">
        <v>12</v>
      </c>
      <c r="S171" s="49">
        <v>1.55</v>
      </c>
      <c r="T171" s="49">
        <v>1.35</v>
      </c>
      <c r="U171" s="49">
        <v>1</v>
      </c>
    </row>
    <row r="172" spans="1:21" ht="15" customHeight="1" x14ac:dyDescent="0.3">
      <c r="A172" s="9">
        <v>160</v>
      </c>
      <c r="B172" s="50" t="s">
        <v>318</v>
      </c>
      <c r="C172" s="50" t="s">
        <v>333</v>
      </c>
      <c r="D172" s="50" t="s">
        <v>334</v>
      </c>
      <c r="E172" s="50"/>
      <c r="F172" s="48" t="s">
        <v>335</v>
      </c>
      <c r="G172" s="9">
        <v>18</v>
      </c>
      <c r="H172" s="12">
        <f>'Engineering Assumptions'!$C$25*'Engineering Assumptions'!$B$5*U172</f>
        <v>5730</v>
      </c>
      <c r="I172" s="12">
        <f>'Engineering Assumptions'!$B$8</f>
        <v>650</v>
      </c>
      <c r="J172" s="12">
        <f>'Engineering Assumptions'!$D$25*S172*U172</f>
        <v>819</v>
      </c>
      <c r="K172" s="12">
        <f>'Engineering Assumptions'!$E$25*T172*U172</f>
        <v>1260</v>
      </c>
      <c r="L172" s="13">
        <f t="shared" si="24"/>
        <v>8459</v>
      </c>
      <c r="M172" s="12">
        <f>L172*'Engineering Assumptions'!$B$10</f>
        <v>1268.8499999999999</v>
      </c>
      <c r="N172" s="13">
        <f t="shared" si="25"/>
        <v>9727.85</v>
      </c>
      <c r="O172" s="12">
        <f>N172*'Engineering Assumptions'!$B$11</f>
        <v>1945.5700000000002</v>
      </c>
      <c r="P172" s="156">
        <f t="shared" si="26"/>
        <v>11670</v>
      </c>
      <c r="Q172" s="12">
        <f>'Fleet Pricing'!H172</f>
        <v>6950</v>
      </c>
      <c r="R172" s="45">
        <v>18</v>
      </c>
      <c r="S172" s="49">
        <v>1.95</v>
      </c>
      <c r="T172" s="49">
        <v>2.1</v>
      </c>
      <c r="U172" s="49">
        <v>1</v>
      </c>
    </row>
    <row r="173" spans="1:21" ht="15" customHeight="1" x14ac:dyDescent="0.3">
      <c r="A173" s="9">
        <v>161</v>
      </c>
      <c r="B173" s="50" t="s">
        <v>318</v>
      </c>
      <c r="C173" s="50" t="s">
        <v>188</v>
      </c>
      <c r="D173" s="50" t="s">
        <v>336</v>
      </c>
      <c r="E173" s="50"/>
      <c r="F173" s="48" t="s">
        <v>195</v>
      </c>
      <c r="G173" s="9">
        <v>30</v>
      </c>
      <c r="H173" s="12">
        <f>'Engineering Assumptions'!$C$25*'Engineering Assumptions'!$B$5*U173</f>
        <v>5730</v>
      </c>
      <c r="I173" s="12">
        <f>'Engineering Assumptions'!$B$8</f>
        <v>650</v>
      </c>
      <c r="J173" s="12">
        <f>'Engineering Assumptions'!$D$25*S173*U173</f>
        <v>1008</v>
      </c>
      <c r="K173" s="12">
        <f>'Engineering Assumptions'!$E$25*T173*U173</f>
        <v>1800</v>
      </c>
      <c r="L173" s="13">
        <f t="shared" si="24"/>
        <v>9188</v>
      </c>
      <c r="M173" s="12">
        <f>L173*'Engineering Assumptions'!$B$10</f>
        <v>1378.2</v>
      </c>
      <c r="N173" s="13">
        <f t="shared" si="25"/>
        <v>10566.2</v>
      </c>
      <c r="O173" s="12">
        <f>N173*'Engineering Assumptions'!$B$11</f>
        <v>2113.2400000000002</v>
      </c>
      <c r="P173" s="156">
        <f t="shared" si="26"/>
        <v>12680</v>
      </c>
      <c r="Q173" s="12">
        <f>'Fleet Pricing'!H173</f>
        <v>5600</v>
      </c>
      <c r="R173" s="45">
        <v>30</v>
      </c>
      <c r="S173" s="49">
        <v>2.4</v>
      </c>
      <c r="T173" s="49">
        <v>3</v>
      </c>
      <c r="U173" s="49">
        <v>1</v>
      </c>
    </row>
    <row r="174" spans="1:21" ht="15" customHeight="1" x14ac:dyDescent="0.3">
      <c r="A174" s="9">
        <v>162</v>
      </c>
      <c r="B174" s="50" t="s">
        <v>318</v>
      </c>
      <c r="C174" s="50" t="s">
        <v>188</v>
      </c>
      <c r="D174" s="50" t="s">
        <v>337</v>
      </c>
      <c r="E174" s="50"/>
      <c r="F174" s="48" t="s">
        <v>195</v>
      </c>
      <c r="G174" s="9">
        <v>30</v>
      </c>
      <c r="H174" s="12">
        <f>'Engineering Assumptions'!$C$25*'Engineering Assumptions'!$B$5*U174</f>
        <v>5730</v>
      </c>
      <c r="I174" s="12">
        <f>'Engineering Assumptions'!$B$8</f>
        <v>650</v>
      </c>
      <c r="J174" s="12">
        <f>'Engineering Assumptions'!$D$25*S174*U174</f>
        <v>1008</v>
      </c>
      <c r="K174" s="12">
        <f>'Engineering Assumptions'!$E$25*T174*U174</f>
        <v>1800</v>
      </c>
      <c r="L174" s="13">
        <f t="shared" si="24"/>
        <v>9188</v>
      </c>
      <c r="M174" s="12">
        <f>L174*'Engineering Assumptions'!$B$10</f>
        <v>1378.2</v>
      </c>
      <c r="N174" s="13">
        <f t="shared" si="25"/>
        <v>10566.2</v>
      </c>
      <c r="O174" s="12">
        <f>N174*'Engineering Assumptions'!$B$11</f>
        <v>2113.2400000000002</v>
      </c>
      <c r="P174" s="156">
        <f t="shared" si="26"/>
        <v>12680</v>
      </c>
      <c r="Q174" s="12">
        <f>'Fleet Pricing'!H174</f>
        <v>5600</v>
      </c>
      <c r="R174" s="45">
        <v>30</v>
      </c>
      <c r="S174" s="49">
        <v>2.4</v>
      </c>
      <c r="T174" s="49">
        <v>3</v>
      </c>
      <c r="U174" s="49">
        <v>1</v>
      </c>
    </row>
    <row r="175" spans="1:21" ht="23.25" customHeight="1" x14ac:dyDescent="0.3">
      <c r="A175" s="9">
        <v>163</v>
      </c>
      <c r="B175" s="50" t="s">
        <v>318</v>
      </c>
      <c r="C175" s="50" t="s">
        <v>338</v>
      </c>
      <c r="D175" s="50" t="s">
        <v>339</v>
      </c>
      <c r="E175" s="50"/>
      <c r="F175" s="48" t="s">
        <v>195</v>
      </c>
      <c r="G175" s="9">
        <v>30</v>
      </c>
      <c r="H175" s="12">
        <f>'Engineering Assumptions'!$C$25*'Engineering Assumptions'!$B$5*U175</f>
        <v>5730</v>
      </c>
      <c r="I175" s="12">
        <f>'Engineering Assumptions'!$B$8</f>
        <v>650</v>
      </c>
      <c r="J175" s="12">
        <f>'Engineering Assumptions'!$D$25*S175*U175</f>
        <v>1008</v>
      </c>
      <c r="K175" s="12">
        <f>'Engineering Assumptions'!$E$25*T175*U175</f>
        <v>1800</v>
      </c>
      <c r="L175" s="13">
        <f t="shared" si="24"/>
        <v>9188</v>
      </c>
      <c r="M175" s="12">
        <f>L175*'Engineering Assumptions'!$B$10</f>
        <v>1378.2</v>
      </c>
      <c r="N175" s="13">
        <f t="shared" si="25"/>
        <v>10566.2</v>
      </c>
      <c r="O175" s="12">
        <f>N175*'Engineering Assumptions'!$B$11</f>
        <v>2113.2400000000002</v>
      </c>
      <c r="P175" s="156">
        <f t="shared" si="26"/>
        <v>12680</v>
      </c>
      <c r="Q175" s="12">
        <f>'Fleet Pricing'!H175</f>
        <v>5600</v>
      </c>
      <c r="R175" s="45">
        <v>30</v>
      </c>
      <c r="S175" s="49">
        <v>2.4</v>
      </c>
      <c r="T175" s="49">
        <v>3</v>
      </c>
      <c r="U175" s="49">
        <v>1</v>
      </c>
    </row>
    <row r="176" spans="1:21" ht="15" customHeight="1" x14ac:dyDescent="0.3">
      <c r="A176" s="9">
        <v>164</v>
      </c>
      <c r="B176" s="50" t="s">
        <v>318</v>
      </c>
      <c r="C176" s="50" t="s">
        <v>246</v>
      </c>
      <c r="D176" s="50" t="s">
        <v>340</v>
      </c>
      <c r="E176" s="50"/>
      <c r="F176" s="48" t="s">
        <v>195</v>
      </c>
      <c r="G176" s="9">
        <v>30</v>
      </c>
      <c r="H176" s="12">
        <f>'Engineering Assumptions'!$C$25*'Engineering Assumptions'!$B$5*U176</f>
        <v>5730</v>
      </c>
      <c r="I176" s="12">
        <f>'Engineering Assumptions'!$B$8</f>
        <v>650</v>
      </c>
      <c r="J176" s="12">
        <f>'Engineering Assumptions'!$D$25*S176*U176</f>
        <v>1008</v>
      </c>
      <c r="K176" s="12">
        <f>'Engineering Assumptions'!$E$25*T176*U176</f>
        <v>1800</v>
      </c>
      <c r="L176" s="13">
        <f t="shared" si="24"/>
        <v>9188</v>
      </c>
      <c r="M176" s="12">
        <f>L176*'Engineering Assumptions'!$B$10</f>
        <v>1378.2</v>
      </c>
      <c r="N176" s="13">
        <f t="shared" si="25"/>
        <v>10566.2</v>
      </c>
      <c r="O176" s="12">
        <f>N176*'Engineering Assumptions'!$B$11</f>
        <v>2113.2400000000002</v>
      </c>
      <c r="P176" s="156">
        <f t="shared" si="26"/>
        <v>12680</v>
      </c>
      <c r="Q176" s="12">
        <f>'Fleet Pricing'!H176</f>
        <v>5600</v>
      </c>
      <c r="R176" s="45">
        <v>30</v>
      </c>
      <c r="S176" s="49">
        <v>2.4</v>
      </c>
      <c r="T176" s="49">
        <v>3</v>
      </c>
      <c r="U176" s="49">
        <v>1</v>
      </c>
    </row>
    <row r="177" spans="1:21" ht="15" customHeight="1" x14ac:dyDescent="0.3">
      <c r="A177" s="9">
        <v>165</v>
      </c>
      <c r="B177" s="50" t="s">
        <v>318</v>
      </c>
      <c r="C177" s="50" t="s">
        <v>341</v>
      </c>
      <c r="D177" s="50" t="s">
        <v>342</v>
      </c>
      <c r="E177" s="50"/>
      <c r="F177" s="48" t="s">
        <v>195</v>
      </c>
      <c r="G177" s="9">
        <v>30</v>
      </c>
      <c r="H177" s="12">
        <f>'Engineering Assumptions'!$C$25*'Engineering Assumptions'!$B$5*U177</f>
        <v>5730</v>
      </c>
      <c r="I177" s="12">
        <f>'Engineering Assumptions'!$B$8</f>
        <v>650</v>
      </c>
      <c r="J177" s="12">
        <f>'Engineering Assumptions'!$D$25*S177*U177</f>
        <v>1008</v>
      </c>
      <c r="K177" s="12">
        <f>'Engineering Assumptions'!$E$25*T177*U177</f>
        <v>1800</v>
      </c>
      <c r="L177" s="13">
        <f t="shared" si="24"/>
        <v>9188</v>
      </c>
      <c r="M177" s="12">
        <f>L177*'Engineering Assumptions'!$B$10</f>
        <v>1378.2</v>
      </c>
      <c r="N177" s="13">
        <f t="shared" si="25"/>
        <v>10566.2</v>
      </c>
      <c r="O177" s="12">
        <f>N177*'Engineering Assumptions'!$B$11</f>
        <v>2113.2400000000002</v>
      </c>
      <c r="P177" s="156">
        <f t="shared" si="26"/>
        <v>12680</v>
      </c>
      <c r="Q177" s="12">
        <f>'Fleet Pricing'!H177</f>
        <v>5600</v>
      </c>
      <c r="R177" s="45">
        <v>30</v>
      </c>
      <c r="S177" s="49">
        <v>2.4</v>
      </c>
      <c r="T177" s="49">
        <v>3</v>
      </c>
      <c r="U177" s="49">
        <v>1</v>
      </c>
    </row>
    <row r="178" spans="1:21" ht="15" customHeight="1" x14ac:dyDescent="0.3">
      <c r="A178" s="9">
        <v>166</v>
      </c>
      <c r="B178" s="50" t="s">
        <v>318</v>
      </c>
      <c r="C178" s="50" t="s">
        <v>246</v>
      </c>
      <c r="D178" s="50" t="s">
        <v>343</v>
      </c>
      <c r="E178" s="50" t="s">
        <v>344</v>
      </c>
      <c r="F178" s="48" t="s">
        <v>195</v>
      </c>
      <c r="G178" s="9">
        <v>30</v>
      </c>
      <c r="H178" s="12">
        <f>'Engineering Assumptions'!$C$25*'Engineering Assumptions'!$B$5*U178</f>
        <v>5730</v>
      </c>
      <c r="I178" s="12">
        <f>'Engineering Assumptions'!$B$8</f>
        <v>650</v>
      </c>
      <c r="J178" s="12">
        <f>'Engineering Assumptions'!$D$25*S178*U178</f>
        <v>1008</v>
      </c>
      <c r="K178" s="12">
        <f>'Engineering Assumptions'!$E$25*T178*U178</f>
        <v>1800</v>
      </c>
      <c r="L178" s="13">
        <f t="shared" si="24"/>
        <v>9188</v>
      </c>
      <c r="M178" s="12">
        <f>L178*'Engineering Assumptions'!$B$10</f>
        <v>1378.2</v>
      </c>
      <c r="N178" s="13">
        <f t="shared" si="25"/>
        <v>10566.2</v>
      </c>
      <c r="O178" s="12">
        <f>N178*'Engineering Assumptions'!$B$11</f>
        <v>2113.2400000000002</v>
      </c>
      <c r="P178" s="156">
        <f t="shared" si="26"/>
        <v>12680</v>
      </c>
      <c r="Q178" s="12">
        <f>'Fleet Pricing'!H178</f>
        <v>5600</v>
      </c>
      <c r="R178" s="45">
        <v>30</v>
      </c>
      <c r="S178" s="49">
        <v>2.4</v>
      </c>
      <c r="T178" s="49">
        <v>3</v>
      </c>
      <c r="U178" s="49">
        <v>1</v>
      </c>
    </row>
    <row r="179" spans="1:21" ht="15" customHeight="1" x14ac:dyDescent="0.3">
      <c r="A179" s="9">
        <v>167</v>
      </c>
      <c r="B179" s="50" t="s">
        <v>318</v>
      </c>
      <c r="C179" s="50" t="s">
        <v>345</v>
      </c>
      <c r="D179" s="50" t="s">
        <v>346</v>
      </c>
      <c r="E179" s="50"/>
      <c r="F179" s="48" t="s">
        <v>195</v>
      </c>
      <c r="G179" s="9">
        <v>30</v>
      </c>
      <c r="H179" s="12">
        <f>'Engineering Assumptions'!$C$25*'Engineering Assumptions'!$B$5*U179</f>
        <v>5730</v>
      </c>
      <c r="I179" s="12">
        <f>'Engineering Assumptions'!$B$8</f>
        <v>650</v>
      </c>
      <c r="J179" s="12">
        <f>'Engineering Assumptions'!$D$25*S179*U179</f>
        <v>1008</v>
      </c>
      <c r="K179" s="12">
        <f>'Engineering Assumptions'!$E$25*T179*U179</f>
        <v>1800</v>
      </c>
      <c r="L179" s="13">
        <f t="shared" si="24"/>
        <v>9188</v>
      </c>
      <c r="M179" s="12">
        <f>L179*'Engineering Assumptions'!$B$10</f>
        <v>1378.2</v>
      </c>
      <c r="N179" s="13">
        <f t="shared" si="25"/>
        <v>10566.2</v>
      </c>
      <c r="O179" s="12">
        <f>N179*'Engineering Assumptions'!$B$11</f>
        <v>2113.2400000000002</v>
      </c>
      <c r="P179" s="156">
        <f t="shared" si="26"/>
        <v>12680</v>
      </c>
      <c r="Q179" s="12">
        <f>'Fleet Pricing'!H179</f>
        <v>5600</v>
      </c>
      <c r="R179" s="45">
        <v>30</v>
      </c>
      <c r="S179" s="49">
        <v>2.4</v>
      </c>
      <c r="T179" s="49">
        <v>3</v>
      </c>
      <c r="U179" s="49">
        <v>1</v>
      </c>
    </row>
    <row r="180" spans="1:21" ht="15" customHeight="1" x14ac:dyDescent="0.3">
      <c r="A180" s="9">
        <v>168</v>
      </c>
      <c r="B180" s="50" t="s">
        <v>318</v>
      </c>
      <c r="C180" s="50" t="s">
        <v>347</v>
      </c>
      <c r="D180" s="50" t="s">
        <v>348</v>
      </c>
      <c r="E180" s="50"/>
      <c r="F180" s="48" t="s">
        <v>195</v>
      </c>
      <c r="G180" s="9">
        <v>30</v>
      </c>
      <c r="H180" s="12">
        <f>'Engineering Assumptions'!$C$25*'Engineering Assumptions'!$B$5*U180</f>
        <v>5730</v>
      </c>
      <c r="I180" s="12">
        <f>'Engineering Assumptions'!$B$8</f>
        <v>650</v>
      </c>
      <c r="J180" s="12">
        <f>'Engineering Assumptions'!$D$25*S180*U180</f>
        <v>1008</v>
      </c>
      <c r="K180" s="12">
        <f>'Engineering Assumptions'!$E$25*T180*U180</f>
        <v>1800</v>
      </c>
      <c r="L180" s="13">
        <f t="shared" si="24"/>
        <v>9188</v>
      </c>
      <c r="M180" s="12">
        <f>L180*'Engineering Assumptions'!$B$10</f>
        <v>1378.2</v>
      </c>
      <c r="N180" s="13">
        <f t="shared" si="25"/>
        <v>10566.2</v>
      </c>
      <c r="O180" s="12">
        <f>N180*'Engineering Assumptions'!$B$11</f>
        <v>2113.2400000000002</v>
      </c>
      <c r="P180" s="156">
        <f t="shared" si="26"/>
        <v>12680</v>
      </c>
      <c r="Q180" s="12">
        <f>'Fleet Pricing'!H180</f>
        <v>5600</v>
      </c>
      <c r="R180" s="45">
        <v>30</v>
      </c>
      <c r="S180" s="49">
        <v>2.4</v>
      </c>
      <c r="T180" s="49">
        <v>3</v>
      </c>
      <c r="U180" s="49">
        <v>1</v>
      </c>
    </row>
    <row r="181" spans="1:21" ht="15" customHeight="1" x14ac:dyDescent="0.3">
      <c r="A181" s="9">
        <v>169</v>
      </c>
      <c r="B181" s="50" t="s">
        <v>318</v>
      </c>
      <c r="C181" s="50" t="s">
        <v>349</v>
      </c>
      <c r="D181" s="50" t="s">
        <v>350</v>
      </c>
      <c r="E181" s="50"/>
      <c r="F181" s="48" t="s">
        <v>195</v>
      </c>
      <c r="G181" s="9">
        <v>30</v>
      </c>
      <c r="H181" s="12">
        <f>'Engineering Assumptions'!$C$25*'Engineering Assumptions'!$B$5*U181</f>
        <v>5730</v>
      </c>
      <c r="I181" s="12">
        <f>'Engineering Assumptions'!$B$8</f>
        <v>650</v>
      </c>
      <c r="J181" s="12">
        <f>'Engineering Assumptions'!$D$25*S181*U181</f>
        <v>1008</v>
      </c>
      <c r="K181" s="12">
        <f>'Engineering Assumptions'!$E$25*T181*U181</f>
        <v>1800</v>
      </c>
      <c r="L181" s="13">
        <f t="shared" si="24"/>
        <v>9188</v>
      </c>
      <c r="M181" s="12">
        <f>L181*'Engineering Assumptions'!$B$10</f>
        <v>1378.2</v>
      </c>
      <c r="N181" s="13">
        <f t="shared" si="25"/>
        <v>10566.2</v>
      </c>
      <c r="O181" s="12">
        <f>N181*'Engineering Assumptions'!$B$11</f>
        <v>2113.2400000000002</v>
      </c>
      <c r="P181" s="156">
        <f t="shared" si="26"/>
        <v>12680</v>
      </c>
      <c r="Q181" s="12">
        <f>'Fleet Pricing'!H181</f>
        <v>5600</v>
      </c>
      <c r="R181" s="45">
        <v>30</v>
      </c>
      <c r="S181" s="49">
        <v>2.4</v>
      </c>
      <c r="T181" s="49">
        <v>3</v>
      </c>
      <c r="U181" s="49">
        <v>1</v>
      </c>
    </row>
    <row r="182" spans="1:21" ht="15" customHeight="1" x14ac:dyDescent="0.3">
      <c r="A182" s="199" t="s">
        <v>351</v>
      </c>
      <c r="B182" s="200"/>
      <c r="C182" s="200"/>
      <c r="D182" s="200"/>
      <c r="E182" s="200"/>
      <c r="F182" s="200"/>
      <c r="G182" s="200"/>
      <c r="H182" s="200"/>
      <c r="I182" s="200"/>
      <c r="J182" s="200"/>
      <c r="K182" s="200"/>
      <c r="L182" s="200"/>
      <c r="M182" s="200"/>
      <c r="N182" s="200"/>
      <c r="O182" s="200"/>
      <c r="P182" s="200"/>
      <c r="Q182" s="200"/>
    </row>
    <row r="183" spans="1:21" ht="15" customHeight="1" x14ac:dyDescent="0.3">
      <c r="A183" s="9">
        <v>170</v>
      </c>
      <c r="B183" s="50" t="s">
        <v>352</v>
      </c>
      <c r="C183" s="50" t="s">
        <v>353</v>
      </c>
      <c r="D183" s="50" t="s">
        <v>354</v>
      </c>
      <c r="E183" s="50"/>
      <c r="F183" s="48" t="s">
        <v>23</v>
      </c>
      <c r="G183" s="9">
        <v>5</v>
      </c>
      <c r="H183" s="12">
        <f>'Engineering Assumptions'!$C$26*'Engineering Assumptions'!$B$5*U183</f>
        <v>1719</v>
      </c>
      <c r="I183" s="12">
        <f>'Engineering Assumptions'!$B$8</f>
        <v>650</v>
      </c>
      <c r="J183" s="12">
        <f>'Engineering Assumptions'!$D$26*S183*U183</f>
        <v>160</v>
      </c>
      <c r="K183" s="12">
        <f>'Engineering Assumptions'!$E$26*T183*U183</f>
        <v>60</v>
      </c>
      <c r="L183" s="13">
        <f t="shared" ref="L183:L207" si="27">H183+I183+J183+K183</f>
        <v>2589</v>
      </c>
      <c r="M183" s="12">
        <f>L183*'Engineering Assumptions'!$B$10</f>
        <v>388.34999999999997</v>
      </c>
      <c r="N183" s="13">
        <f t="shared" ref="N183:N207" si="28">L183+M183</f>
        <v>2977.35</v>
      </c>
      <c r="O183" s="12">
        <f>N183*'Engineering Assumptions'!$B$11</f>
        <v>595.47</v>
      </c>
      <c r="P183" s="156">
        <f t="shared" ref="P183:P207" si="29">MROUND(N183+O183,10)</f>
        <v>3570</v>
      </c>
      <c r="Q183" s="12">
        <f>'Fleet Pricing'!H183</f>
        <v>2700</v>
      </c>
      <c r="R183" s="45">
        <v>5</v>
      </c>
      <c r="S183" s="49">
        <v>1</v>
      </c>
      <c r="T183" s="49">
        <v>0.3</v>
      </c>
      <c r="U183" s="49">
        <v>1</v>
      </c>
    </row>
    <row r="184" spans="1:21" ht="15" customHeight="1" x14ac:dyDescent="0.3">
      <c r="A184" s="9">
        <v>171</v>
      </c>
      <c r="B184" s="50" t="s">
        <v>352</v>
      </c>
      <c r="C184" s="50" t="s">
        <v>353</v>
      </c>
      <c r="D184" s="50" t="s">
        <v>355</v>
      </c>
      <c r="E184" s="50"/>
      <c r="F184" s="48" t="s">
        <v>23</v>
      </c>
      <c r="G184" s="9">
        <v>5</v>
      </c>
      <c r="H184" s="12">
        <f>'Engineering Assumptions'!$C$26*'Engineering Assumptions'!$B$5*U184</f>
        <v>1719</v>
      </c>
      <c r="I184" s="12">
        <f>'Engineering Assumptions'!$B$8</f>
        <v>650</v>
      </c>
      <c r="J184" s="12">
        <f>'Engineering Assumptions'!$D$26*S184*U184</f>
        <v>160</v>
      </c>
      <c r="K184" s="12">
        <f>'Engineering Assumptions'!$E$26*T184*U184</f>
        <v>60</v>
      </c>
      <c r="L184" s="13">
        <f t="shared" si="27"/>
        <v>2589</v>
      </c>
      <c r="M184" s="12">
        <f>L184*'Engineering Assumptions'!$B$10</f>
        <v>388.34999999999997</v>
      </c>
      <c r="N184" s="13">
        <f t="shared" si="28"/>
        <v>2977.35</v>
      </c>
      <c r="O184" s="12">
        <f>N184*'Engineering Assumptions'!$B$11</f>
        <v>595.47</v>
      </c>
      <c r="P184" s="156">
        <f t="shared" si="29"/>
        <v>3570</v>
      </c>
      <c r="Q184" s="12">
        <f>'Fleet Pricing'!H184</f>
        <v>2700</v>
      </c>
      <c r="R184" s="45">
        <v>5</v>
      </c>
      <c r="S184" s="49">
        <v>1</v>
      </c>
      <c r="T184" s="49">
        <v>0.3</v>
      </c>
      <c r="U184" s="49">
        <v>1</v>
      </c>
    </row>
    <row r="185" spans="1:21" ht="15" customHeight="1" x14ac:dyDescent="0.3">
      <c r="A185" s="9">
        <v>172</v>
      </c>
      <c r="B185" s="50" t="s">
        <v>352</v>
      </c>
      <c r="C185" s="50" t="s">
        <v>353</v>
      </c>
      <c r="D185" s="50" t="s">
        <v>356</v>
      </c>
      <c r="E185" s="50"/>
      <c r="F185" s="48" t="s">
        <v>23</v>
      </c>
      <c r="G185" s="9">
        <v>5</v>
      </c>
      <c r="H185" s="12">
        <f>'Engineering Assumptions'!$C$26*'Engineering Assumptions'!$B$5*U185</f>
        <v>1719</v>
      </c>
      <c r="I185" s="12">
        <f>'Engineering Assumptions'!$B$8</f>
        <v>650</v>
      </c>
      <c r="J185" s="12">
        <f>'Engineering Assumptions'!$D$26*S185*U185</f>
        <v>160</v>
      </c>
      <c r="K185" s="12">
        <f>'Engineering Assumptions'!$E$26*T185*U185</f>
        <v>60</v>
      </c>
      <c r="L185" s="13">
        <f t="shared" si="27"/>
        <v>2589</v>
      </c>
      <c r="M185" s="12">
        <f>L185*'Engineering Assumptions'!$B$10</f>
        <v>388.34999999999997</v>
      </c>
      <c r="N185" s="13">
        <f t="shared" si="28"/>
        <v>2977.35</v>
      </c>
      <c r="O185" s="12">
        <f>N185*'Engineering Assumptions'!$B$11</f>
        <v>595.47</v>
      </c>
      <c r="P185" s="156">
        <f t="shared" si="29"/>
        <v>3570</v>
      </c>
      <c r="Q185" s="12">
        <f>'Fleet Pricing'!H185</f>
        <v>2700</v>
      </c>
      <c r="R185" s="45">
        <v>5</v>
      </c>
      <c r="S185" s="49">
        <v>1</v>
      </c>
      <c r="T185" s="49">
        <v>0.3</v>
      </c>
      <c r="U185" s="49">
        <v>1</v>
      </c>
    </row>
    <row r="186" spans="1:21" ht="15" customHeight="1" x14ac:dyDescent="0.3">
      <c r="A186" s="9">
        <v>173</v>
      </c>
      <c r="B186" s="50" t="s">
        <v>352</v>
      </c>
      <c r="C186" s="50" t="s">
        <v>357</v>
      </c>
      <c r="D186" s="50" t="s">
        <v>358</v>
      </c>
      <c r="E186" s="50"/>
      <c r="F186" s="48" t="s">
        <v>23</v>
      </c>
      <c r="G186" s="9">
        <v>5</v>
      </c>
      <c r="H186" s="12">
        <f>'Engineering Assumptions'!$C$26*'Engineering Assumptions'!$B$5*U186</f>
        <v>1719</v>
      </c>
      <c r="I186" s="12">
        <f>'Engineering Assumptions'!$B$8</f>
        <v>650</v>
      </c>
      <c r="J186" s="12">
        <f>'Engineering Assumptions'!$D$26*S186*U186</f>
        <v>160</v>
      </c>
      <c r="K186" s="12">
        <f>'Engineering Assumptions'!$E$26*T186*U186</f>
        <v>60</v>
      </c>
      <c r="L186" s="13">
        <f t="shared" si="27"/>
        <v>2589</v>
      </c>
      <c r="M186" s="12">
        <f>L186*'Engineering Assumptions'!$B$10</f>
        <v>388.34999999999997</v>
      </c>
      <c r="N186" s="13">
        <f t="shared" si="28"/>
        <v>2977.35</v>
      </c>
      <c r="O186" s="12">
        <f>N186*'Engineering Assumptions'!$B$11</f>
        <v>595.47</v>
      </c>
      <c r="P186" s="156">
        <f t="shared" si="29"/>
        <v>3570</v>
      </c>
      <c r="Q186" s="12">
        <f>'Fleet Pricing'!H186</f>
        <v>2700</v>
      </c>
      <c r="R186" s="45">
        <v>5</v>
      </c>
      <c r="S186" s="49">
        <v>1</v>
      </c>
      <c r="T186" s="49">
        <v>0.3</v>
      </c>
      <c r="U186" s="49">
        <v>1</v>
      </c>
    </row>
    <row r="187" spans="1:21" ht="15" customHeight="1" x14ac:dyDescent="0.3">
      <c r="A187" s="9">
        <v>174</v>
      </c>
      <c r="B187" s="50" t="s">
        <v>352</v>
      </c>
      <c r="C187" s="50" t="s">
        <v>357</v>
      </c>
      <c r="D187" s="50" t="s">
        <v>359</v>
      </c>
      <c r="E187" s="50"/>
      <c r="F187" s="48" t="s">
        <v>23</v>
      </c>
      <c r="G187" s="9">
        <v>5</v>
      </c>
      <c r="H187" s="12">
        <f>'Engineering Assumptions'!$C$26*'Engineering Assumptions'!$B$5*U187</f>
        <v>1719</v>
      </c>
      <c r="I187" s="12">
        <f>'Engineering Assumptions'!$B$8</f>
        <v>650</v>
      </c>
      <c r="J187" s="12">
        <f>'Engineering Assumptions'!$D$26*S187*U187</f>
        <v>160</v>
      </c>
      <c r="K187" s="12">
        <f>'Engineering Assumptions'!$E$26*T187*U187</f>
        <v>60</v>
      </c>
      <c r="L187" s="13">
        <f t="shared" si="27"/>
        <v>2589</v>
      </c>
      <c r="M187" s="12">
        <f>L187*'Engineering Assumptions'!$B$10</f>
        <v>388.34999999999997</v>
      </c>
      <c r="N187" s="13">
        <f t="shared" si="28"/>
        <v>2977.35</v>
      </c>
      <c r="O187" s="12">
        <f>N187*'Engineering Assumptions'!$B$11</f>
        <v>595.47</v>
      </c>
      <c r="P187" s="156">
        <f t="shared" si="29"/>
        <v>3570</v>
      </c>
      <c r="Q187" s="12">
        <f>'Fleet Pricing'!H187</f>
        <v>2700</v>
      </c>
      <c r="R187" s="45">
        <v>5</v>
      </c>
      <c r="S187" s="49">
        <v>1</v>
      </c>
      <c r="T187" s="49">
        <v>0.3</v>
      </c>
      <c r="U187" s="49">
        <v>1</v>
      </c>
    </row>
    <row r="188" spans="1:21" ht="15" customHeight="1" x14ac:dyDescent="0.3">
      <c r="A188" s="9">
        <v>175</v>
      </c>
      <c r="B188" s="50" t="s">
        <v>352</v>
      </c>
      <c r="C188" s="50" t="s">
        <v>353</v>
      </c>
      <c r="D188" s="50" t="s">
        <v>360</v>
      </c>
      <c r="E188" s="50"/>
      <c r="F188" s="48" t="s">
        <v>31</v>
      </c>
      <c r="G188" s="9">
        <v>6</v>
      </c>
      <c r="H188" s="12">
        <f>'Engineering Assumptions'!$C$26*'Engineering Assumptions'!$B$5*U188</f>
        <v>1719</v>
      </c>
      <c r="I188" s="12">
        <f>'Engineering Assumptions'!$B$8</f>
        <v>650</v>
      </c>
      <c r="J188" s="12">
        <f>'Engineering Assumptions'!$D$26*S188*U188</f>
        <v>200</v>
      </c>
      <c r="K188" s="12">
        <f>'Engineering Assumptions'!$E$26*T188*U188</f>
        <v>150</v>
      </c>
      <c r="L188" s="13">
        <f t="shared" si="27"/>
        <v>2719</v>
      </c>
      <c r="M188" s="12">
        <f>L188*'Engineering Assumptions'!$B$10</f>
        <v>407.84999999999997</v>
      </c>
      <c r="N188" s="13">
        <f t="shared" si="28"/>
        <v>3126.85</v>
      </c>
      <c r="O188" s="12">
        <f>N188*'Engineering Assumptions'!$B$11</f>
        <v>625.37</v>
      </c>
      <c r="P188" s="156">
        <f t="shared" si="29"/>
        <v>3750</v>
      </c>
      <c r="Q188" s="12">
        <f>'Fleet Pricing'!H188</f>
        <v>2700</v>
      </c>
      <c r="R188" s="45">
        <v>6</v>
      </c>
      <c r="S188" s="49">
        <v>1.25</v>
      </c>
      <c r="T188" s="49">
        <v>0.75</v>
      </c>
      <c r="U188" s="49">
        <v>1</v>
      </c>
    </row>
    <row r="189" spans="1:21" ht="15" customHeight="1" x14ac:dyDescent="0.3">
      <c r="A189" s="9">
        <v>176</v>
      </c>
      <c r="B189" s="50" t="s">
        <v>352</v>
      </c>
      <c r="C189" s="50" t="s">
        <v>361</v>
      </c>
      <c r="D189" s="50" t="s">
        <v>362</v>
      </c>
      <c r="E189" s="50"/>
      <c r="F189" s="48" t="s">
        <v>116</v>
      </c>
      <c r="G189" s="9">
        <v>9</v>
      </c>
      <c r="H189" s="12">
        <f>'Engineering Assumptions'!$C$26*'Engineering Assumptions'!$B$5*U189</f>
        <v>1719</v>
      </c>
      <c r="I189" s="12">
        <f>'Engineering Assumptions'!$B$8</f>
        <v>650</v>
      </c>
      <c r="J189" s="12">
        <f>'Engineering Assumptions'!$D$26*S189*U189</f>
        <v>200</v>
      </c>
      <c r="K189" s="12">
        <f>'Engineering Assumptions'!$E$26*T189*U189</f>
        <v>150</v>
      </c>
      <c r="L189" s="13">
        <f t="shared" si="27"/>
        <v>2719</v>
      </c>
      <c r="M189" s="12">
        <f>L189*'Engineering Assumptions'!$B$10</f>
        <v>407.84999999999997</v>
      </c>
      <c r="N189" s="13">
        <f t="shared" si="28"/>
        <v>3126.85</v>
      </c>
      <c r="O189" s="12">
        <f>N189*'Engineering Assumptions'!$B$11</f>
        <v>625.37</v>
      </c>
      <c r="P189" s="156">
        <f t="shared" si="29"/>
        <v>3750</v>
      </c>
      <c r="Q189" s="12">
        <f>'Fleet Pricing'!H189</f>
        <v>2480</v>
      </c>
      <c r="R189" s="45">
        <v>9</v>
      </c>
      <c r="S189" s="49">
        <v>1.25</v>
      </c>
      <c r="T189" s="49">
        <v>0.75</v>
      </c>
      <c r="U189" s="49">
        <v>1</v>
      </c>
    </row>
    <row r="190" spans="1:21" ht="15" customHeight="1" x14ac:dyDescent="0.3">
      <c r="A190" s="9">
        <v>177</v>
      </c>
      <c r="B190" s="50" t="s">
        <v>352</v>
      </c>
      <c r="C190" s="50" t="s">
        <v>361</v>
      </c>
      <c r="D190" s="50" t="s">
        <v>363</v>
      </c>
      <c r="E190" s="50"/>
      <c r="F190" s="48" t="s">
        <v>116</v>
      </c>
      <c r="G190" s="9">
        <v>9</v>
      </c>
      <c r="H190" s="12">
        <f>'Engineering Assumptions'!$C$26*'Engineering Assumptions'!$B$5*U190</f>
        <v>1719</v>
      </c>
      <c r="I190" s="12">
        <f>'Engineering Assumptions'!$B$8</f>
        <v>650</v>
      </c>
      <c r="J190" s="12">
        <f>'Engineering Assumptions'!$D$26*S190*U190</f>
        <v>200</v>
      </c>
      <c r="K190" s="12">
        <f>'Engineering Assumptions'!$E$26*T190*U190</f>
        <v>150</v>
      </c>
      <c r="L190" s="13">
        <f t="shared" si="27"/>
        <v>2719</v>
      </c>
      <c r="M190" s="12">
        <f>L190*'Engineering Assumptions'!$B$10</f>
        <v>407.84999999999997</v>
      </c>
      <c r="N190" s="13">
        <f t="shared" si="28"/>
        <v>3126.85</v>
      </c>
      <c r="O190" s="12">
        <f>N190*'Engineering Assumptions'!$B$11</f>
        <v>625.37</v>
      </c>
      <c r="P190" s="156">
        <f t="shared" si="29"/>
        <v>3750</v>
      </c>
      <c r="Q190" s="12">
        <f>'Fleet Pricing'!H190</f>
        <v>2480</v>
      </c>
      <c r="R190" s="45">
        <v>9</v>
      </c>
      <c r="S190" s="49">
        <v>1.25</v>
      </c>
      <c r="T190" s="49">
        <v>0.75</v>
      </c>
      <c r="U190" s="49">
        <v>1</v>
      </c>
    </row>
    <row r="191" spans="1:21" ht="15" customHeight="1" x14ac:dyDescent="0.3">
      <c r="A191" s="9">
        <v>178</v>
      </c>
      <c r="B191" s="50" t="s">
        <v>352</v>
      </c>
      <c r="C191" s="50" t="s">
        <v>361</v>
      </c>
      <c r="D191" s="50" t="s">
        <v>364</v>
      </c>
      <c r="E191" s="50"/>
      <c r="F191" s="48" t="s">
        <v>116</v>
      </c>
      <c r="G191" s="9">
        <v>9</v>
      </c>
      <c r="H191" s="12">
        <f>'Engineering Assumptions'!$C$26*'Engineering Assumptions'!$B$5*U191</f>
        <v>1719</v>
      </c>
      <c r="I191" s="12">
        <f>'Engineering Assumptions'!$B$8</f>
        <v>650</v>
      </c>
      <c r="J191" s="12">
        <f>'Engineering Assumptions'!$D$26*S191*U191</f>
        <v>200</v>
      </c>
      <c r="K191" s="12">
        <f>'Engineering Assumptions'!$E$26*T191*U191</f>
        <v>150</v>
      </c>
      <c r="L191" s="13">
        <f t="shared" si="27"/>
        <v>2719</v>
      </c>
      <c r="M191" s="12">
        <f>L191*'Engineering Assumptions'!$B$10</f>
        <v>407.84999999999997</v>
      </c>
      <c r="N191" s="13">
        <f t="shared" si="28"/>
        <v>3126.85</v>
      </c>
      <c r="O191" s="12">
        <f>N191*'Engineering Assumptions'!$B$11</f>
        <v>625.37</v>
      </c>
      <c r="P191" s="156">
        <f t="shared" si="29"/>
        <v>3750</v>
      </c>
      <c r="Q191" s="12">
        <f>'Fleet Pricing'!H191</f>
        <v>2480</v>
      </c>
      <c r="R191" s="45">
        <v>9</v>
      </c>
      <c r="S191" s="49">
        <v>1.25</v>
      </c>
      <c r="T191" s="49">
        <v>0.75</v>
      </c>
      <c r="U191" s="49">
        <v>1</v>
      </c>
    </row>
    <row r="192" spans="1:21" ht="15" customHeight="1" x14ac:dyDescent="0.3">
      <c r="A192" s="9">
        <v>179</v>
      </c>
      <c r="B192" s="50" t="s">
        <v>352</v>
      </c>
      <c r="C192" s="50" t="s">
        <v>361</v>
      </c>
      <c r="D192" s="50" t="s">
        <v>365</v>
      </c>
      <c r="E192" s="50"/>
      <c r="F192" s="48" t="s">
        <v>116</v>
      </c>
      <c r="G192" s="9">
        <v>9</v>
      </c>
      <c r="H192" s="12">
        <f>'Engineering Assumptions'!$C$26*'Engineering Assumptions'!$B$5*U192</f>
        <v>1719</v>
      </c>
      <c r="I192" s="12">
        <f>'Engineering Assumptions'!$B$8</f>
        <v>650</v>
      </c>
      <c r="J192" s="12">
        <f>'Engineering Assumptions'!$D$26*S192*U192</f>
        <v>200</v>
      </c>
      <c r="K192" s="12">
        <f>'Engineering Assumptions'!$E$26*T192*U192</f>
        <v>150</v>
      </c>
      <c r="L192" s="13">
        <f t="shared" si="27"/>
        <v>2719</v>
      </c>
      <c r="M192" s="12">
        <f>L192*'Engineering Assumptions'!$B$10</f>
        <v>407.84999999999997</v>
      </c>
      <c r="N192" s="13">
        <f t="shared" si="28"/>
        <v>3126.85</v>
      </c>
      <c r="O192" s="12">
        <f>N192*'Engineering Assumptions'!$B$11</f>
        <v>625.37</v>
      </c>
      <c r="P192" s="156">
        <f t="shared" si="29"/>
        <v>3750</v>
      </c>
      <c r="Q192" s="12">
        <f>'Fleet Pricing'!H192</f>
        <v>2480</v>
      </c>
      <c r="R192" s="45">
        <v>9</v>
      </c>
      <c r="S192" s="49">
        <v>1.25</v>
      </c>
      <c r="T192" s="49">
        <v>0.75</v>
      </c>
      <c r="U192" s="49">
        <v>1</v>
      </c>
    </row>
    <row r="193" spans="1:21" ht="15" customHeight="1" x14ac:dyDescent="0.3">
      <c r="A193" s="9">
        <v>180</v>
      </c>
      <c r="B193" s="50" t="s">
        <v>352</v>
      </c>
      <c r="C193" s="50" t="s">
        <v>353</v>
      </c>
      <c r="D193" s="50" t="s">
        <v>366</v>
      </c>
      <c r="E193" s="50"/>
      <c r="F193" s="48" t="s">
        <v>116</v>
      </c>
      <c r="G193" s="9">
        <v>9</v>
      </c>
      <c r="H193" s="12">
        <f>'Engineering Assumptions'!$C$26*'Engineering Assumptions'!$B$5*U193</f>
        <v>1719</v>
      </c>
      <c r="I193" s="12">
        <f>'Engineering Assumptions'!$B$8</f>
        <v>650</v>
      </c>
      <c r="J193" s="12">
        <f>'Engineering Assumptions'!$D$26*S193*U193</f>
        <v>200</v>
      </c>
      <c r="K193" s="12">
        <f>'Engineering Assumptions'!$E$26*T193*U193</f>
        <v>150</v>
      </c>
      <c r="L193" s="13">
        <f t="shared" si="27"/>
        <v>2719</v>
      </c>
      <c r="M193" s="12">
        <f>L193*'Engineering Assumptions'!$B$10</f>
        <v>407.84999999999997</v>
      </c>
      <c r="N193" s="13">
        <f t="shared" si="28"/>
        <v>3126.85</v>
      </c>
      <c r="O193" s="12">
        <f>N193*'Engineering Assumptions'!$B$11</f>
        <v>625.37</v>
      </c>
      <c r="P193" s="156">
        <f t="shared" si="29"/>
        <v>3750</v>
      </c>
      <c r="Q193" s="12">
        <f>'Fleet Pricing'!H193</f>
        <v>2480</v>
      </c>
      <c r="R193" s="45">
        <v>9</v>
      </c>
      <c r="S193" s="49">
        <v>1.25</v>
      </c>
      <c r="T193" s="49">
        <v>0.75</v>
      </c>
      <c r="U193" s="49">
        <v>1</v>
      </c>
    </row>
    <row r="194" spans="1:21" ht="15" customHeight="1" x14ac:dyDescent="0.3">
      <c r="A194" s="9">
        <v>181</v>
      </c>
      <c r="B194" s="50" t="s">
        <v>352</v>
      </c>
      <c r="C194" s="50" t="s">
        <v>353</v>
      </c>
      <c r="D194" s="50" t="s">
        <v>367</v>
      </c>
      <c r="E194" s="50"/>
      <c r="F194" s="48" t="s">
        <v>116</v>
      </c>
      <c r="G194" s="9">
        <v>9</v>
      </c>
      <c r="H194" s="12">
        <f>'Engineering Assumptions'!$C$26*'Engineering Assumptions'!$B$5*U194</f>
        <v>1719</v>
      </c>
      <c r="I194" s="12">
        <f>'Engineering Assumptions'!$B$8</f>
        <v>650</v>
      </c>
      <c r="J194" s="12">
        <f>'Engineering Assumptions'!$D$26*S194*U194</f>
        <v>200</v>
      </c>
      <c r="K194" s="12">
        <f>'Engineering Assumptions'!$E$26*T194*U194</f>
        <v>150</v>
      </c>
      <c r="L194" s="13">
        <f t="shared" si="27"/>
        <v>2719</v>
      </c>
      <c r="M194" s="12">
        <f>L194*'Engineering Assumptions'!$B$10</f>
        <v>407.84999999999997</v>
      </c>
      <c r="N194" s="13">
        <f t="shared" si="28"/>
        <v>3126.85</v>
      </c>
      <c r="O194" s="12">
        <f>N194*'Engineering Assumptions'!$B$11</f>
        <v>625.37</v>
      </c>
      <c r="P194" s="156">
        <f t="shared" si="29"/>
        <v>3750</v>
      </c>
      <c r="Q194" s="12">
        <f>'Fleet Pricing'!H194</f>
        <v>2480</v>
      </c>
      <c r="R194" s="45">
        <v>9</v>
      </c>
      <c r="S194" s="49">
        <v>1.25</v>
      </c>
      <c r="T194" s="49">
        <v>0.75</v>
      </c>
      <c r="U194" s="49">
        <v>1</v>
      </c>
    </row>
    <row r="195" spans="1:21" ht="15" customHeight="1" x14ac:dyDescent="0.3">
      <c r="A195" s="9">
        <v>182</v>
      </c>
      <c r="B195" s="50" t="s">
        <v>352</v>
      </c>
      <c r="C195" s="50" t="s">
        <v>353</v>
      </c>
      <c r="D195" s="50" t="s">
        <v>368</v>
      </c>
      <c r="E195" s="50"/>
      <c r="F195" s="48" t="s">
        <v>116</v>
      </c>
      <c r="G195" s="9">
        <v>9</v>
      </c>
      <c r="H195" s="12">
        <f>'Engineering Assumptions'!$C$26*'Engineering Assumptions'!$B$5*U195</f>
        <v>1719</v>
      </c>
      <c r="I195" s="12">
        <f>'Engineering Assumptions'!$B$8</f>
        <v>650</v>
      </c>
      <c r="J195" s="12">
        <f>'Engineering Assumptions'!$D$26*S195*U195</f>
        <v>200</v>
      </c>
      <c r="K195" s="12">
        <f>'Engineering Assumptions'!$E$26*T195*U195</f>
        <v>150</v>
      </c>
      <c r="L195" s="13">
        <f t="shared" si="27"/>
        <v>2719</v>
      </c>
      <c r="M195" s="12">
        <f>L195*'Engineering Assumptions'!$B$10</f>
        <v>407.84999999999997</v>
      </c>
      <c r="N195" s="13">
        <f t="shared" si="28"/>
        <v>3126.85</v>
      </c>
      <c r="O195" s="12">
        <f>N195*'Engineering Assumptions'!$B$11</f>
        <v>625.37</v>
      </c>
      <c r="P195" s="156">
        <f t="shared" si="29"/>
        <v>3750</v>
      </c>
      <c r="Q195" s="12">
        <f>'Fleet Pricing'!H195</f>
        <v>2480</v>
      </c>
      <c r="R195" s="45">
        <v>9</v>
      </c>
      <c r="S195" s="49">
        <v>1.25</v>
      </c>
      <c r="T195" s="49">
        <v>0.75</v>
      </c>
      <c r="U195" s="49">
        <v>1</v>
      </c>
    </row>
    <row r="196" spans="1:21" ht="15" customHeight="1" x14ac:dyDescent="0.3">
      <c r="A196" s="9">
        <v>183</v>
      </c>
      <c r="B196" s="50" t="s">
        <v>352</v>
      </c>
      <c r="C196" s="50" t="s">
        <v>353</v>
      </c>
      <c r="D196" s="50" t="s">
        <v>369</v>
      </c>
      <c r="E196" s="50"/>
      <c r="F196" s="48" t="s">
        <v>116</v>
      </c>
      <c r="G196" s="9">
        <v>9</v>
      </c>
      <c r="H196" s="12">
        <f>'Engineering Assumptions'!$C$26*'Engineering Assumptions'!$B$5*U196</f>
        <v>1719</v>
      </c>
      <c r="I196" s="12">
        <f>'Engineering Assumptions'!$B$8</f>
        <v>650</v>
      </c>
      <c r="J196" s="12">
        <f>'Engineering Assumptions'!$D$26*S196*U196</f>
        <v>200</v>
      </c>
      <c r="K196" s="12">
        <f>'Engineering Assumptions'!$E$26*T196*U196</f>
        <v>150</v>
      </c>
      <c r="L196" s="13">
        <f t="shared" si="27"/>
        <v>2719</v>
      </c>
      <c r="M196" s="12">
        <f>L196*'Engineering Assumptions'!$B$10</f>
        <v>407.84999999999997</v>
      </c>
      <c r="N196" s="13">
        <f t="shared" si="28"/>
        <v>3126.85</v>
      </c>
      <c r="O196" s="12">
        <f>N196*'Engineering Assumptions'!$B$11</f>
        <v>625.37</v>
      </c>
      <c r="P196" s="156">
        <f t="shared" si="29"/>
        <v>3750</v>
      </c>
      <c r="Q196" s="12">
        <f>'Fleet Pricing'!H196</f>
        <v>2480</v>
      </c>
      <c r="R196" s="45">
        <v>9</v>
      </c>
      <c r="S196" s="49">
        <v>1.25</v>
      </c>
      <c r="T196" s="49">
        <v>0.75</v>
      </c>
      <c r="U196" s="49">
        <v>1</v>
      </c>
    </row>
    <row r="197" spans="1:21" ht="15" customHeight="1" x14ac:dyDescent="0.3">
      <c r="A197" s="9">
        <v>184</v>
      </c>
      <c r="B197" s="50" t="s">
        <v>352</v>
      </c>
      <c r="C197" s="50" t="s">
        <v>370</v>
      </c>
      <c r="D197" s="50" t="s">
        <v>371</v>
      </c>
      <c r="E197" s="50"/>
      <c r="F197" s="48" t="s">
        <v>116</v>
      </c>
      <c r="G197" s="9">
        <v>9</v>
      </c>
      <c r="H197" s="12">
        <f>'Engineering Assumptions'!$C$26*'Engineering Assumptions'!$B$5*U197</f>
        <v>1719</v>
      </c>
      <c r="I197" s="12">
        <f>'Engineering Assumptions'!$B$8</f>
        <v>650</v>
      </c>
      <c r="J197" s="12">
        <f>'Engineering Assumptions'!$D$26*S197*U197</f>
        <v>200</v>
      </c>
      <c r="K197" s="12">
        <f>'Engineering Assumptions'!$E$26*T197*U197</f>
        <v>150</v>
      </c>
      <c r="L197" s="13">
        <f t="shared" si="27"/>
        <v>2719</v>
      </c>
      <c r="M197" s="12">
        <f>L197*'Engineering Assumptions'!$B$10</f>
        <v>407.84999999999997</v>
      </c>
      <c r="N197" s="13">
        <f t="shared" si="28"/>
        <v>3126.85</v>
      </c>
      <c r="O197" s="12">
        <f>N197*'Engineering Assumptions'!$B$11</f>
        <v>625.37</v>
      </c>
      <c r="P197" s="156">
        <f t="shared" si="29"/>
        <v>3750</v>
      </c>
      <c r="Q197" s="12">
        <f>'Fleet Pricing'!H197</f>
        <v>2480</v>
      </c>
      <c r="R197" s="45">
        <v>9</v>
      </c>
      <c r="S197" s="49">
        <v>1.25</v>
      </c>
      <c r="T197" s="49">
        <v>0.75</v>
      </c>
      <c r="U197" s="49">
        <v>1</v>
      </c>
    </row>
    <row r="198" spans="1:21" ht="15" customHeight="1" x14ac:dyDescent="0.3">
      <c r="A198" s="9">
        <v>185</v>
      </c>
      <c r="B198" s="50" t="s">
        <v>352</v>
      </c>
      <c r="C198" s="50" t="s">
        <v>372</v>
      </c>
      <c r="D198" s="50" t="s">
        <v>373</v>
      </c>
      <c r="E198" s="50"/>
      <c r="F198" s="48" t="s">
        <v>116</v>
      </c>
      <c r="G198" s="9">
        <v>9</v>
      </c>
      <c r="H198" s="12">
        <f>'Engineering Assumptions'!$C$26*'Engineering Assumptions'!$B$5*U198</f>
        <v>1719</v>
      </c>
      <c r="I198" s="12">
        <f>'Engineering Assumptions'!$B$8</f>
        <v>650</v>
      </c>
      <c r="J198" s="12">
        <f>'Engineering Assumptions'!$D$26*S198*U198</f>
        <v>200</v>
      </c>
      <c r="K198" s="12">
        <f>'Engineering Assumptions'!$E$26*T198*U198</f>
        <v>150</v>
      </c>
      <c r="L198" s="13">
        <f t="shared" si="27"/>
        <v>2719</v>
      </c>
      <c r="M198" s="12">
        <f>L198*'Engineering Assumptions'!$B$10</f>
        <v>407.84999999999997</v>
      </c>
      <c r="N198" s="13">
        <f t="shared" si="28"/>
        <v>3126.85</v>
      </c>
      <c r="O198" s="12">
        <f>N198*'Engineering Assumptions'!$B$11</f>
        <v>625.37</v>
      </c>
      <c r="P198" s="156">
        <f t="shared" si="29"/>
        <v>3750</v>
      </c>
      <c r="Q198" s="12">
        <f>'Fleet Pricing'!H198</f>
        <v>2480</v>
      </c>
      <c r="R198" s="45">
        <v>9</v>
      </c>
      <c r="S198" s="49">
        <v>1.25</v>
      </c>
      <c r="T198" s="49">
        <v>0.75</v>
      </c>
      <c r="U198" s="49">
        <v>1</v>
      </c>
    </row>
    <row r="199" spans="1:21" ht="15" customHeight="1" x14ac:dyDescent="0.3">
      <c r="A199" s="9">
        <v>186</v>
      </c>
      <c r="B199" s="50" t="s">
        <v>352</v>
      </c>
      <c r="C199" s="50" t="s">
        <v>353</v>
      </c>
      <c r="D199" s="50" t="s">
        <v>374</v>
      </c>
      <c r="E199" s="50"/>
      <c r="F199" s="48" t="s">
        <v>49</v>
      </c>
      <c r="G199" s="9">
        <v>10</v>
      </c>
      <c r="H199" s="12">
        <f>'Engineering Assumptions'!$C$26*'Engineering Assumptions'!$B$5*U199</f>
        <v>1719</v>
      </c>
      <c r="I199" s="12">
        <f>'Engineering Assumptions'!$B$8</f>
        <v>650</v>
      </c>
      <c r="J199" s="12">
        <f>'Engineering Assumptions'!$D$26*S199*U199</f>
        <v>200</v>
      </c>
      <c r="K199" s="12">
        <f>'Engineering Assumptions'!$E$26*T199*U199</f>
        <v>150</v>
      </c>
      <c r="L199" s="13">
        <f t="shared" si="27"/>
        <v>2719</v>
      </c>
      <c r="M199" s="12">
        <f>L199*'Engineering Assumptions'!$B$10</f>
        <v>407.84999999999997</v>
      </c>
      <c r="N199" s="13">
        <f t="shared" si="28"/>
        <v>3126.85</v>
      </c>
      <c r="O199" s="12">
        <f>N199*'Engineering Assumptions'!$B$11</f>
        <v>625.37</v>
      </c>
      <c r="P199" s="156">
        <f t="shared" si="29"/>
        <v>3750</v>
      </c>
      <c r="Q199" s="12">
        <f>'Fleet Pricing'!H199</f>
        <v>2480</v>
      </c>
      <c r="R199" s="45">
        <v>10</v>
      </c>
      <c r="S199" s="49">
        <v>1.25</v>
      </c>
      <c r="T199" s="49">
        <v>0.75</v>
      </c>
      <c r="U199" s="49">
        <v>1</v>
      </c>
    </row>
    <row r="200" spans="1:21" ht="15" customHeight="1" x14ac:dyDescent="0.3">
      <c r="A200" s="9">
        <v>187</v>
      </c>
      <c r="B200" s="50" t="s">
        <v>352</v>
      </c>
      <c r="C200" s="50" t="s">
        <v>353</v>
      </c>
      <c r="D200" s="50" t="s">
        <v>375</v>
      </c>
      <c r="E200" s="50"/>
      <c r="F200" s="48" t="s">
        <v>49</v>
      </c>
      <c r="G200" s="9">
        <v>10</v>
      </c>
      <c r="H200" s="12">
        <f>'Engineering Assumptions'!$C$26*'Engineering Assumptions'!$B$5*U200</f>
        <v>1719</v>
      </c>
      <c r="I200" s="12">
        <f>'Engineering Assumptions'!$B$8</f>
        <v>650</v>
      </c>
      <c r="J200" s="12">
        <f>'Engineering Assumptions'!$D$26*S200*U200</f>
        <v>200</v>
      </c>
      <c r="K200" s="12">
        <f>'Engineering Assumptions'!$E$26*T200*U200</f>
        <v>150</v>
      </c>
      <c r="L200" s="13">
        <f t="shared" si="27"/>
        <v>2719</v>
      </c>
      <c r="M200" s="12">
        <f>L200*'Engineering Assumptions'!$B$10</f>
        <v>407.84999999999997</v>
      </c>
      <c r="N200" s="13">
        <f t="shared" si="28"/>
        <v>3126.85</v>
      </c>
      <c r="O200" s="12">
        <f>N200*'Engineering Assumptions'!$B$11</f>
        <v>625.37</v>
      </c>
      <c r="P200" s="156">
        <f t="shared" si="29"/>
        <v>3750</v>
      </c>
      <c r="Q200" s="12">
        <f>'Fleet Pricing'!H200</f>
        <v>2480</v>
      </c>
      <c r="R200" s="45">
        <v>10</v>
      </c>
      <c r="S200" s="49">
        <v>1.25</v>
      </c>
      <c r="T200" s="49">
        <v>0.75</v>
      </c>
      <c r="U200" s="49">
        <v>1</v>
      </c>
    </row>
    <row r="201" spans="1:21" ht="15" customHeight="1" x14ac:dyDescent="0.3">
      <c r="A201" s="9">
        <v>188</v>
      </c>
      <c r="B201" s="50" t="s">
        <v>352</v>
      </c>
      <c r="C201" s="50" t="s">
        <v>353</v>
      </c>
      <c r="D201" s="50" t="s">
        <v>376</v>
      </c>
      <c r="E201" s="50"/>
      <c r="F201" s="48" t="s">
        <v>49</v>
      </c>
      <c r="G201" s="9">
        <v>10</v>
      </c>
      <c r="H201" s="12">
        <f>'Engineering Assumptions'!$C$26*'Engineering Assumptions'!$B$5*U201</f>
        <v>1719</v>
      </c>
      <c r="I201" s="12">
        <f>'Engineering Assumptions'!$B$8</f>
        <v>650</v>
      </c>
      <c r="J201" s="12">
        <f>'Engineering Assumptions'!$D$26*S201*U201</f>
        <v>200</v>
      </c>
      <c r="K201" s="12">
        <f>'Engineering Assumptions'!$E$26*T201*U201</f>
        <v>150</v>
      </c>
      <c r="L201" s="13">
        <f t="shared" si="27"/>
        <v>2719</v>
      </c>
      <c r="M201" s="12">
        <f>L201*'Engineering Assumptions'!$B$10</f>
        <v>407.84999999999997</v>
      </c>
      <c r="N201" s="13">
        <f t="shared" si="28"/>
        <v>3126.85</v>
      </c>
      <c r="O201" s="12">
        <f>N201*'Engineering Assumptions'!$B$11</f>
        <v>625.37</v>
      </c>
      <c r="P201" s="156">
        <f t="shared" si="29"/>
        <v>3750</v>
      </c>
      <c r="Q201" s="12">
        <f>'Fleet Pricing'!H201</f>
        <v>2480</v>
      </c>
      <c r="R201" s="45">
        <v>10</v>
      </c>
      <c r="S201" s="49">
        <v>1.25</v>
      </c>
      <c r="T201" s="49">
        <v>0.75</v>
      </c>
      <c r="U201" s="49">
        <v>1</v>
      </c>
    </row>
    <row r="202" spans="1:21" ht="15" customHeight="1" x14ac:dyDescent="0.3">
      <c r="A202" s="9">
        <v>189</v>
      </c>
      <c r="B202" s="50" t="s">
        <v>352</v>
      </c>
      <c r="C202" s="50" t="s">
        <v>353</v>
      </c>
      <c r="D202" s="50" t="s">
        <v>377</v>
      </c>
      <c r="E202" s="50"/>
      <c r="F202" s="48" t="s">
        <v>49</v>
      </c>
      <c r="G202" s="9">
        <v>10</v>
      </c>
      <c r="H202" s="12">
        <f>'Engineering Assumptions'!$C$26*'Engineering Assumptions'!$B$5*U202</f>
        <v>1719</v>
      </c>
      <c r="I202" s="12">
        <f>'Engineering Assumptions'!$B$8</f>
        <v>650</v>
      </c>
      <c r="J202" s="12">
        <f>'Engineering Assumptions'!$D$26*S202*U202</f>
        <v>200</v>
      </c>
      <c r="K202" s="12">
        <f>'Engineering Assumptions'!$E$26*T202*U202</f>
        <v>150</v>
      </c>
      <c r="L202" s="13">
        <f t="shared" si="27"/>
        <v>2719</v>
      </c>
      <c r="M202" s="12">
        <f>L202*'Engineering Assumptions'!$B$10</f>
        <v>407.84999999999997</v>
      </c>
      <c r="N202" s="13">
        <f t="shared" si="28"/>
        <v>3126.85</v>
      </c>
      <c r="O202" s="12">
        <f>N202*'Engineering Assumptions'!$B$11</f>
        <v>625.37</v>
      </c>
      <c r="P202" s="156">
        <f t="shared" si="29"/>
        <v>3750</v>
      </c>
      <c r="Q202" s="12">
        <f>'Fleet Pricing'!H202</f>
        <v>2480</v>
      </c>
      <c r="R202" s="45">
        <v>10</v>
      </c>
      <c r="S202" s="49">
        <v>1.25</v>
      </c>
      <c r="T202" s="49">
        <v>0.75</v>
      </c>
      <c r="U202" s="49">
        <v>1</v>
      </c>
    </row>
    <row r="203" spans="1:21" ht="15" customHeight="1" x14ac:dyDescent="0.3">
      <c r="A203" s="9">
        <v>190</v>
      </c>
      <c r="B203" s="50" t="s">
        <v>352</v>
      </c>
      <c r="C203" s="50" t="s">
        <v>378</v>
      </c>
      <c r="D203" s="50" t="s">
        <v>379</v>
      </c>
      <c r="E203" s="50"/>
      <c r="F203" s="48" t="s">
        <v>49</v>
      </c>
      <c r="G203" s="9">
        <v>10</v>
      </c>
      <c r="H203" s="12">
        <f>'Engineering Assumptions'!$C$26*'Engineering Assumptions'!$B$5*U203</f>
        <v>1719</v>
      </c>
      <c r="I203" s="12">
        <f>'Engineering Assumptions'!$B$8</f>
        <v>650</v>
      </c>
      <c r="J203" s="12">
        <f>'Engineering Assumptions'!$D$26*S203*U203</f>
        <v>200</v>
      </c>
      <c r="K203" s="12">
        <f>'Engineering Assumptions'!$E$26*T203*U203</f>
        <v>150</v>
      </c>
      <c r="L203" s="13">
        <f t="shared" si="27"/>
        <v>2719</v>
      </c>
      <c r="M203" s="12">
        <f>L203*'Engineering Assumptions'!$B$10</f>
        <v>407.84999999999997</v>
      </c>
      <c r="N203" s="13">
        <f t="shared" si="28"/>
        <v>3126.85</v>
      </c>
      <c r="O203" s="12">
        <f>N203*'Engineering Assumptions'!$B$11</f>
        <v>625.37</v>
      </c>
      <c r="P203" s="156">
        <f t="shared" si="29"/>
        <v>3750</v>
      </c>
      <c r="Q203" s="12">
        <f>'Fleet Pricing'!H203</f>
        <v>2480</v>
      </c>
      <c r="R203" s="45">
        <v>10</v>
      </c>
      <c r="S203" s="49">
        <v>1.25</v>
      </c>
      <c r="T203" s="49">
        <v>0.75</v>
      </c>
      <c r="U203" s="49">
        <v>1</v>
      </c>
    </row>
    <row r="204" spans="1:21" ht="15" customHeight="1" x14ac:dyDescent="0.3">
      <c r="A204" s="9">
        <v>191</v>
      </c>
      <c r="B204" s="50" t="s">
        <v>352</v>
      </c>
      <c r="C204" s="50" t="s">
        <v>361</v>
      </c>
      <c r="D204" s="50" t="s">
        <v>380</v>
      </c>
      <c r="E204" s="50"/>
      <c r="F204" s="48" t="s">
        <v>94</v>
      </c>
      <c r="G204" s="9">
        <v>12</v>
      </c>
      <c r="H204" s="12">
        <f>'Engineering Assumptions'!$C$26*'Engineering Assumptions'!$B$5*U204</f>
        <v>1719</v>
      </c>
      <c r="I204" s="12">
        <f>'Engineering Assumptions'!$B$8</f>
        <v>650</v>
      </c>
      <c r="J204" s="12">
        <f>'Engineering Assumptions'!$D$26*S204*U204</f>
        <v>248</v>
      </c>
      <c r="K204" s="12">
        <f>'Engineering Assumptions'!$E$26*T204*U204</f>
        <v>270</v>
      </c>
      <c r="L204" s="13">
        <f t="shared" si="27"/>
        <v>2887</v>
      </c>
      <c r="M204" s="12">
        <f>L204*'Engineering Assumptions'!$B$10</f>
        <v>433.05</v>
      </c>
      <c r="N204" s="13">
        <f t="shared" si="28"/>
        <v>3320.05</v>
      </c>
      <c r="O204" s="12">
        <f>N204*'Engineering Assumptions'!$B$11</f>
        <v>664.0100000000001</v>
      </c>
      <c r="P204" s="156">
        <f t="shared" si="29"/>
        <v>3980</v>
      </c>
      <c r="Q204" s="12">
        <f>'Fleet Pricing'!H204</f>
        <v>2210</v>
      </c>
      <c r="R204" s="45">
        <v>12</v>
      </c>
      <c r="S204" s="49">
        <v>1.55</v>
      </c>
      <c r="T204" s="49">
        <v>1.35</v>
      </c>
      <c r="U204" s="49">
        <v>1</v>
      </c>
    </row>
    <row r="205" spans="1:21" ht="15" customHeight="1" x14ac:dyDescent="0.3">
      <c r="A205" s="9">
        <v>192</v>
      </c>
      <c r="B205" s="50" t="s">
        <v>352</v>
      </c>
      <c r="C205" s="50" t="s">
        <v>381</v>
      </c>
      <c r="D205" s="50" t="s">
        <v>382</v>
      </c>
      <c r="E205" s="50"/>
      <c r="F205" s="48" t="s">
        <v>94</v>
      </c>
      <c r="G205" s="9">
        <v>12</v>
      </c>
      <c r="H205" s="12">
        <f>'Engineering Assumptions'!$C$26*'Engineering Assumptions'!$B$5*U205</f>
        <v>1719</v>
      </c>
      <c r="I205" s="12">
        <f>'Engineering Assumptions'!$B$8</f>
        <v>650</v>
      </c>
      <c r="J205" s="12">
        <f>'Engineering Assumptions'!$D$26*S205*U205</f>
        <v>248</v>
      </c>
      <c r="K205" s="12">
        <f>'Engineering Assumptions'!$E$26*T205*U205</f>
        <v>270</v>
      </c>
      <c r="L205" s="13">
        <f t="shared" si="27"/>
        <v>2887</v>
      </c>
      <c r="M205" s="12">
        <f>L205*'Engineering Assumptions'!$B$10</f>
        <v>433.05</v>
      </c>
      <c r="N205" s="13">
        <f t="shared" si="28"/>
        <v>3320.05</v>
      </c>
      <c r="O205" s="12">
        <f>N205*'Engineering Assumptions'!$B$11</f>
        <v>664.0100000000001</v>
      </c>
      <c r="P205" s="156">
        <f t="shared" si="29"/>
        <v>3980</v>
      </c>
      <c r="Q205" s="12">
        <f>'Fleet Pricing'!H205</f>
        <v>2210</v>
      </c>
      <c r="R205" s="45">
        <v>12</v>
      </c>
      <c r="S205" s="49">
        <v>1.55</v>
      </c>
      <c r="T205" s="49">
        <v>1.35</v>
      </c>
      <c r="U205" s="49">
        <v>1</v>
      </c>
    </row>
    <row r="206" spans="1:21" ht="15" customHeight="1" x14ac:dyDescent="0.3">
      <c r="A206" s="9">
        <v>193</v>
      </c>
      <c r="B206" s="50" t="s">
        <v>352</v>
      </c>
      <c r="C206" s="50" t="s">
        <v>381</v>
      </c>
      <c r="D206" s="50" t="s">
        <v>383</v>
      </c>
      <c r="E206" s="50"/>
      <c r="F206" s="48" t="s">
        <v>94</v>
      </c>
      <c r="G206" s="9">
        <v>12</v>
      </c>
      <c r="H206" s="12">
        <f>'Engineering Assumptions'!$C$26*'Engineering Assumptions'!$B$5*U206</f>
        <v>1719</v>
      </c>
      <c r="I206" s="12">
        <f>'Engineering Assumptions'!$B$8</f>
        <v>650</v>
      </c>
      <c r="J206" s="12">
        <f>'Engineering Assumptions'!$D$26*S206*U206</f>
        <v>248</v>
      </c>
      <c r="K206" s="12">
        <f>'Engineering Assumptions'!$E$26*T206*U206</f>
        <v>270</v>
      </c>
      <c r="L206" s="13">
        <f t="shared" si="27"/>
        <v>2887</v>
      </c>
      <c r="M206" s="12">
        <f>L206*'Engineering Assumptions'!$B$10</f>
        <v>433.05</v>
      </c>
      <c r="N206" s="13">
        <f t="shared" si="28"/>
        <v>3320.05</v>
      </c>
      <c r="O206" s="12">
        <f>N206*'Engineering Assumptions'!$B$11</f>
        <v>664.0100000000001</v>
      </c>
      <c r="P206" s="156">
        <f t="shared" si="29"/>
        <v>3980</v>
      </c>
      <c r="Q206" s="12">
        <f>'Fleet Pricing'!H206</f>
        <v>2210</v>
      </c>
      <c r="R206" s="45">
        <v>12</v>
      </c>
      <c r="S206" s="49">
        <v>1.55</v>
      </c>
      <c r="T206" s="49">
        <v>1.35</v>
      </c>
      <c r="U206" s="49">
        <v>1</v>
      </c>
    </row>
    <row r="207" spans="1:21" ht="15" customHeight="1" x14ac:dyDescent="0.3">
      <c r="A207" s="9">
        <v>194</v>
      </c>
      <c r="B207" s="50" t="s">
        <v>352</v>
      </c>
      <c r="C207" s="50" t="s">
        <v>361</v>
      </c>
      <c r="D207" s="50" t="s">
        <v>384</v>
      </c>
      <c r="E207" s="50"/>
      <c r="F207" s="48" t="s">
        <v>94</v>
      </c>
      <c r="G207" s="9">
        <v>12</v>
      </c>
      <c r="H207" s="12">
        <f>'Engineering Assumptions'!$C$26*'Engineering Assumptions'!$B$5*U207</f>
        <v>1719</v>
      </c>
      <c r="I207" s="12">
        <f>'Engineering Assumptions'!$B$8</f>
        <v>650</v>
      </c>
      <c r="J207" s="12">
        <f>'Engineering Assumptions'!$D$26*S207*U207</f>
        <v>248</v>
      </c>
      <c r="K207" s="12">
        <f>'Engineering Assumptions'!$E$26*T207*U207</f>
        <v>270</v>
      </c>
      <c r="L207" s="13">
        <f t="shared" si="27"/>
        <v>2887</v>
      </c>
      <c r="M207" s="12">
        <f>L207*'Engineering Assumptions'!$B$10</f>
        <v>433.05</v>
      </c>
      <c r="N207" s="13">
        <f t="shared" si="28"/>
        <v>3320.05</v>
      </c>
      <c r="O207" s="12">
        <f>N207*'Engineering Assumptions'!$B$11</f>
        <v>664.0100000000001</v>
      </c>
      <c r="P207" s="156">
        <f t="shared" si="29"/>
        <v>3980</v>
      </c>
      <c r="Q207" s="12">
        <f>'Fleet Pricing'!H207</f>
        <v>2210</v>
      </c>
      <c r="R207" s="45">
        <v>12</v>
      </c>
      <c r="S207" s="49">
        <v>1.55</v>
      </c>
      <c r="T207" s="49">
        <v>1.35</v>
      </c>
      <c r="U207" s="49">
        <v>1</v>
      </c>
    </row>
    <row r="208" spans="1:21" ht="15" customHeight="1" x14ac:dyDescent="0.3">
      <c r="A208" s="199" t="s">
        <v>385</v>
      </c>
      <c r="B208" s="200"/>
      <c r="C208" s="200"/>
      <c r="D208" s="200"/>
      <c r="E208" s="200"/>
      <c r="F208" s="200"/>
      <c r="G208" s="200"/>
      <c r="H208" s="200"/>
      <c r="I208" s="200"/>
      <c r="J208" s="200"/>
      <c r="K208" s="200"/>
      <c r="L208" s="200"/>
      <c r="M208" s="200"/>
      <c r="N208" s="200"/>
      <c r="O208" s="200"/>
      <c r="P208" s="200"/>
      <c r="Q208" s="200"/>
    </row>
    <row r="209" spans="1:21" ht="15" customHeight="1" x14ac:dyDescent="0.3">
      <c r="A209" s="9">
        <v>195</v>
      </c>
      <c r="B209" s="50" t="s">
        <v>386</v>
      </c>
      <c r="C209" s="50" t="s">
        <v>387</v>
      </c>
      <c r="D209" s="50" t="s">
        <v>388</v>
      </c>
      <c r="E209" s="50"/>
      <c r="F209" s="48" t="s">
        <v>31</v>
      </c>
      <c r="G209" s="9">
        <v>6</v>
      </c>
      <c r="H209" s="12">
        <f>'Engineering Assumptions'!$C$27*'Engineering Assumptions'!$B$5*U209</f>
        <v>4584</v>
      </c>
      <c r="I209" s="12">
        <f>'Engineering Assumptions'!$B$8</f>
        <v>650</v>
      </c>
      <c r="J209" s="12">
        <f>'Engineering Assumptions'!$D$27*S209*U209</f>
        <v>525</v>
      </c>
      <c r="K209" s="12">
        <f>'Engineering Assumptions'!$E$27*T209*U209</f>
        <v>420</v>
      </c>
      <c r="L209" s="13">
        <f t="shared" ref="L209:L219" si="30">H209+I209+J209+K209</f>
        <v>6179</v>
      </c>
      <c r="M209" s="12">
        <f>L209*'Engineering Assumptions'!$B$10</f>
        <v>926.84999999999991</v>
      </c>
      <c r="N209" s="13">
        <f t="shared" ref="N209:N219" si="31">L209+M209</f>
        <v>7105.85</v>
      </c>
      <c r="O209" s="12">
        <f>N209*'Engineering Assumptions'!$B$11</f>
        <v>1421.17</v>
      </c>
      <c r="P209" s="156">
        <f t="shared" ref="P209:P219" si="32">MROUND(N209+O209,10)</f>
        <v>8530</v>
      </c>
      <c r="Q209" s="12">
        <f>'Fleet Pricing'!H209</f>
        <v>8050</v>
      </c>
      <c r="R209" s="45">
        <v>6</v>
      </c>
      <c r="S209" s="49">
        <v>1.25</v>
      </c>
      <c r="T209" s="49">
        <v>0.75</v>
      </c>
      <c r="U209" s="49">
        <v>1</v>
      </c>
    </row>
    <row r="210" spans="1:21" ht="15" customHeight="1" x14ac:dyDescent="0.3">
      <c r="A210" s="9">
        <v>196</v>
      </c>
      <c r="B210" s="50" t="s">
        <v>386</v>
      </c>
      <c r="C210" s="50" t="s">
        <v>389</v>
      </c>
      <c r="D210" s="50" t="s">
        <v>390</v>
      </c>
      <c r="E210" s="50"/>
      <c r="F210" s="48" t="s">
        <v>45</v>
      </c>
      <c r="G210" s="9">
        <v>7</v>
      </c>
      <c r="H210" s="12">
        <f>'Engineering Assumptions'!$C$27*'Engineering Assumptions'!$B$5*U210</f>
        <v>4584</v>
      </c>
      <c r="I210" s="12">
        <f>'Engineering Assumptions'!$B$8</f>
        <v>650</v>
      </c>
      <c r="J210" s="12">
        <f>'Engineering Assumptions'!$D$27*S210*U210</f>
        <v>525</v>
      </c>
      <c r="K210" s="12">
        <f>'Engineering Assumptions'!$E$27*T210*U210</f>
        <v>420</v>
      </c>
      <c r="L210" s="13">
        <f t="shared" si="30"/>
        <v>6179</v>
      </c>
      <c r="M210" s="12">
        <f>L210*'Engineering Assumptions'!$B$10</f>
        <v>926.84999999999991</v>
      </c>
      <c r="N210" s="13">
        <f t="shared" si="31"/>
        <v>7105.85</v>
      </c>
      <c r="O210" s="12">
        <f>N210*'Engineering Assumptions'!$B$11</f>
        <v>1421.17</v>
      </c>
      <c r="P210" s="156">
        <f t="shared" si="32"/>
        <v>8530</v>
      </c>
      <c r="Q210" s="12">
        <f>'Fleet Pricing'!H210</f>
        <v>7410</v>
      </c>
      <c r="R210" s="45">
        <v>7</v>
      </c>
      <c r="S210" s="49">
        <v>1.25</v>
      </c>
      <c r="T210" s="49">
        <v>0.75</v>
      </c>
      <c r="U210" s="49">
        <v>1</v>
      </c>
    </row>
    <row r="211" spans="1:21" ht="15" customHeight="1" x14ac:dyDescent="0.3">
      <c r="A211" s="9">
        <v>197</v>
      </c>
      <c r="B211" s="50" t="s">
        <v>386</v>
      </c>
      <c r="C211" s="50" t="s">
        <v>391</v>
      </c>
      <c r="D211" s="50" t="s">
        <v>392</v>
      </c>
      <c r="E211" s="50"/>
      <c r="F211" s="48" t="s">
        <v>94</v>
      </c>
      <c r="G211" s="9">
        <v>12</v>
      </c>
      <c r="H211" s="12">
        <f>'Engineering Assumptions'!$C$27*'Engineering Assumptions'!$B$5*U211</f>
        <v>4584</v>
      </c>
      <c r="I211" s="12">
        <f>'Engineering Assumptions'!$B$8</f>
        <v>650</v>
      </c>
      <c r="J211" s="12">
        <f>'Engineering Assumptions'!$D$27*S211*U211</f>
        <v>651</v>
      </c>
      <c r="K211" s="12">
        <f>'Engineering Assumptions'!$E$27*T211*U211</f>
        <v>756</v>
      </c>
      <c r="L211" s="13">
        <f t="shared" si="30"/>
        <v>6641</v>
      </c>
      <c r="M211" s="12">
        <f>L211*'Engineering Assumptions'!$B$10</f>
        <v>996.15</v>
      </c>
      <c r="N211" s="13">
        <f t="shared" si="31"/>
        <v>7637.15</v>
      </c>
      <c r="O211" s="12">
        <f>N211*'Engineering Assumptions'!$B$11</f>
        <v>1527.43</v>
      </c>
      <c r="P211" s="156">
        <f t="shared" si="32"/>
        <v>9160</v>
      </c>
      <c r="Q211" s="12">
        <f>'Fleet Pricing'!H211</f>
        <v>6600</v>
      </c>
      <c r="R211" s="45">
        <v>12</v>
      </c>
      <c r="S211" s="49">
        <v>1.55</v>
      </c>
      <c r="T211" s="49">
        <v>1.35</v>
      </c>
      <c r="U211" s="49">
        <v>1</v>
      </c>
    </row>
    <row r="212" spans="1:21" ht="15" customHeight="1" x14ac:dyDescent="0.3">
      <c r="A212" s="9">
        <v>198</v>
      </c>
      <c r="B212" s="50" t="s">
        <v>386</v>
      </c>
      <c r="C212" s="50" t="s">
        <v>393</v>
      </c>
      <c r="D212" s="50" t="s">
        <v>394</v>
      </c>
      <c r="E212" s="50"/>
      <c r="F212" s="48" t="s">
        <v>94</v>
      </c>
      <c r="G212" s="9">
        <v>12</v>
      </c>
      <c r="H212" s="12">
        <f>'Engineering Assumptions'!$C$27*'Engineering Assumptions'!$B$5*U212</f>
        <v>4584</v>
      </c>
      <c r="I212" s="12">
        <f>'Engineering Assumptions'!$B$8</f>
        <v>650</v>
      </c>
      <c r="J212" s="12">
        <f>'Engineering Assumptions'!$D$27*S212*U212</f>
        <v>651</v>
      </c>
      <c r="K212" s="12">
        <f>'Engineering Assumptions'!$E$27*T212*U212</f>
        <v>756</v>
      </c>
      <c r="L212" s="13">
        <f t="shared" si="30"/>
        <v>6641</v>
      </c>
      <c r="M212" s="12">
        <f>L212*'Engineering Assumptions'!$B$10</f>
        <v>996.15</v>
      </c>
      <c r="N212" s="13">
        <f t="shared" si="31"/>
        <v>7637.15</v>
      </c>
      <c r="O212" s="12">
        <f>N212*'Engineering Assumptions'!$B$11</f>
        <v>1527.43</v>
      </c>
      <c r="P212" s="156">
        <f t="shared" si="32"/>
        <v>9160</v>
      </c>
      <c r="Q212" s="12">
        <f>'Fleet Pricing'!H212</f>
        <v>6600</v>
      </c>
      <c r="R212" s="45">
        <v>12</v>
      </c>
      <c r="S212" s="49">
        <v>1.55</v>
      </c>
      <c r="T212" s="49">
        <v>1.35</v>
      </c>
      <c r="U212" s="49">
        <v>1</v>
      </c>
    </row>
    <row r="213" spans="1:21" ht="15" customHeight="1" x14ac:dyDescent="0.3">
      <c r="A213" s="9">
        <v>199</v>
      </c>
      <c r="B213" s="50" t="s">
        <v>386</v>
      </c>
      <c r="C213" s="50" t="s">
        <v>395</v>
      </c>
      <c r="D213" s="50" t="s">
        <v>396</v>
      </c>
      <c r="E213" s="50"/>
      <c r="F213" s="48" t="s">
        <v>99</v>
      </c>
      <c r="G213" s="9">
        <v>13</v>
      </c>
      <c r="H213" s="12">
        <f>'Engineering Assumptions'!$C$27*'Engineering Assumptions'!$B$5*U213</f>
        <v>4584</v>
      </c>
      <c r="I213" s="12">
        <f>'Engineering Assumptions'!$B$8</f>
        <v>650</v>
      </c>
      <c r="J213" s="12">
        <f>'Engineering Assumptions'!$D$27*S213*U213</f>
        <v>651</v>
      </c>
      <c r="K213" s="12">
        <f>'Engineering Assumptions'!$E$27*T213*U213</f>
        <v>756</v>
      </c>
      <c r="L213" s="13">
        <f t="shared" si="30"/>
        <v>6641</v>
      </c>
      <c r="M213" s="12">
        <f>L213*'Engineering Assumptions'!$B$10</f>
        <v>996.15</v>
      </c>
      <c r="N213" s="13">
        <f t="shared" si="31"/>
        <v>7637.15</v>
      </c>
      <c r="O213" s="12">
        <f>N213*'Engineering Assumptions'!$B$11</f>
        <v>1527.43</v>
      </c>
      <c r="P213" s="156">
        <f t="shared" si="32"/>
        <v>9160</v>
      </c>
      <c r="Q213" s="12">
        <f>'Fleet Pricing'!H213</f>
        <v>6600</v>
      </c>
      <c r="R213" s="45">
        <v>13</v>
      </c>
      <c r="S213" s="49">
        <v>1.55</v>
      </c>
      <c r="T213" s="49">
        <v>1.35</v>
      </c>
      <c r="U213" s="49">
        <v>1</v>
      </c>
    </row>
    <row r="214" spans="1:21" ht="15" customHeight="1" x14ac:dyDescent="0.3">
      <c r="A214" s="9">
        <v>200</v>
      </c>
      <c r="B214" s="50" t="s">
        <v>386</v>
      </c>
      <c r="C214" s="50" t="s">
        <v>397</v>
      </c>
      <c r="D214" s="50" t="s">
        <v>398</v>
      </c>
      <c r="E214" s="50"/>
      <c r="F214" s="48" t="s">
        <v>66</v>
      </c>
      <c r="G214" s="9">
        <v>14</v>
      </c>
      <c r="H214" s="12">
        <f>'Engineering Assumptions'!$C$27*'Engineering Assumptions'!$B$5*U214</f>
        <v>4584</v>
      </c>
      <c r="I214" s="12">
        <f>'Engineering Assumptions'!$B$8</f>
        <v>650</v>
      </c>
      <c r="J214" s="12">
        <f>'Engineering Assumptions'!$D$27*S214*U214</f>
        <v>651</v>
      </c>
      <c r="K214" s="12">
        <f>'Engineering Assumptions'!$E$27*T214*U214</f>
        <v>756</v>
      </c>
      <c r="L214" s="13">
        <f t="shared" si="30"/>
        <v>6641</v>
      </c>
      <c r="M214" s="12">
        <f>L214*'Engineering Assumptions'!$B$10</f>
        <v>996.15</v>
      </c>
      <c r="N214" s="13">
        <f t="shared" si="31"/>
        <v>7637.15</v>
      </c>
      <c r="O214" s="12">
        <f>N214*'Engineering Assumptions'!$B$11</f>
        <v>1527.43</v>
      </c>
      <c r="P214" s="156">
        <f t="shared" si="32"/>
        <v>9160</v>
      </c>
      <c r="Q214" s="12">
        <f>'Fleet Pricing'!H214</f>
        <v>6600</v>
      </c>
      <c r="R214" s="45">
        <v>14</v>
      </c>
      <c r="S214" s="49">
        <v>1.55</v>
      </c>
      <c r="T214" s="49">
        <v>1.35</v>
      </c>
      <c r="U214" s="49">
        <v>1</v>
      </c>
    </row>
    <row r="215" spans="1:21" ht="15" customHeight="1" x14ac:dyDescent="0.3">
      <c r="A215" s="9">
        <v>201</v>
      </c>
      <c r="B215" s="50" t="s">
        <v>386</v>
      </c>
      <c r="C215" s="50" t="s">
        <v>399</v>
      </c>
      <c r="D215" s="50" t="s">
        <v>400</v>
      </c>
      <c r="E215" s="50"/>
      <c r="F215" s="48" t="s">
        <v>66</v>
      </c>
      <c r="G215" s="9">
        <v>14</v>
      </c>
      <c r="H215" s="12">
        <f>'Engineering Assumptions'!$C$27*'Engineering Assumptions'!$B$5*U215</f>
        <v>4584</v>
      </c>
      <c r="I215" s="12">
        <f>'Engineering Assumptions'!$B$8</f>
        <v>650</v>
      </c>
      <c r="J215" s="12">
        <f>'Engineering Assumptions'!$D$27*S215*U215</f>
        <v>651</v>
      </c>
      <c r="K215" s="12">
        <f>'Engineering Assumptions'!$E$27*T215*U215</f>
        <v>756</v>
      </c>
      <c r="L215" s="13">
        <f t="shared" si="30"/>
        <v>6641</v>
      </c>
      <c r="M215" s="12">
        <f>L215*'Engineering Assumptions'!$B$10</f>
        <v>996.15</v>
      </c>
      <c r="N215" s="13">
        <f t="shared" si="31"/>
        <v>7637.15</v>
      </c>
      <c r="O215" s="12">
        <f>N215*'Engineering Assumptions'!$B$11</f>
        <v>1527.43</v>
      </c>
      <c r="P215" s="156">
        <f t="shared" si="32"/>
        <v>9160</v>
      </c>
      <c r="Q215" s="12">
        <f>'Fleet Pricing'!H215</f>
        <v>6600</v>
      </c>
      <c r="R215" s="45">
        <v>14</v>
      </c>
      <c r="S215" s="49">
        <v>1.55</v>
      </c>
      <c r="T215" s="49">
        <v>1.35</v>
      </c>
      <c r="U215" s="49">
        <v>1</v>
      </c>
    </row>
    <row r="216" spans="1:21" ht="15" customHeight="1" x14ac:dyDescent="0.3">
      <c r="A216" s="9">
        <v>202</v>
      </c>
      <c r="B216" s="50" t="s">
        <v>386</v>
      </c>
      <c r="C216" s="50" t="s">
        <v>401</v>
      </c>
      <c r="D216" s="50" t="s">
        <v>402</v>
      </c>
      <c r="E216" s="50"/>
      <c r="F216" s="48" t="s">
        <v>66</v>
      </c>
      <c r="G216" s="9">
        <v>14</v>
      </c>
      <c r="H216" s="12">
        <f>'Engineering Assumptions'!$C$27*'Engineering Assumptions'!$B$5*U216</f>
        <v>4584</v>
      </c>
      <c r="I216" s="12">
        <f>'Engineering Assumptions'!$B$8</f>
        <v>650</v>
      </c>
      <c r="J216" s="12">
        <f>'Engineering Assumptions'!$D$27*S216*U216</f>
        <v>651</v>
      </c>
      <c r="K216" s="12">
        <f>'Engineering Assumptions'!$E$27*T216*U216</f>
        <v>756</v>
      </c>
      <c r="L216" s="13">
        <f t="shared" si="30"/>
        <v>6641</v>
      </c>
      <c r="M216" s="12">
        <f>L216*'Engineering Assumptions'!$B$10</f>
        <v>996.15</v>
      </c>
      <c r="N216" s="13">
        <f t="shared" si="31"/>
        <v>7637.15</v>
      </c>
      <c r="O216" s="12">
        <f>N216*'Engineering Assumptions'!$B$11</f>
        <v>1527.43</v>
      </c>
      <c r="P216" s="156">
        <f t="shared" si="32"/>
        <v>9160</v>
      </c>
      <c r="Q216" s="12">
        <f>'Fleet Pricing'!H216</f>
        <v>6600</v>
      </c>
      <c r="R216" s="45">
        <v>14</v>
      </c>
      <c r="S216" s="49">
        <v>1.55</v>
      </c>
      <c r="T216" s="49">
        <v>1.35</v>
      </c>
      <c r="U216" s="49">
        <v>1</v>
      </c>
    </row>
    <row r="217" spans="1:21" ht="15" customHeight="1" x14ac:dyDescent="0.3">
      <c r="A217" s="9">
        <v>203</v>
      </c>
      <c r="B217" s="50" t="s">
        <v>386</v>
      </c>
      <c r="C217" s="50" t="s">
        <v>403</v>
      </c>
      <c r="D217" s="50" t="s">
        <v>404</v>
      </c>
      <c r="E217" s="50"/>
      <c r="F217" s="48" t="s">
        <v>73</v>
      </c>
      <c r="G217" s="9">
        <v>20</v>
      </c>
      <c r="H217" s="12">
        <f>'Engineering Assumptions'!$C$27*'Engineering Assumptions'!$B$5*U217</f>
        <v>4584</v>
      </c>
      <c r="I217" s="12">
        <f>'Engineering Assumptions'!$B$8</f>
        <v>650</v>
      </c>
      <c r="J217" s="12">
        <f>'Engineering Assumptions'!$D$27*S217*U217</f>
        <v>819</v>
      </c>
      <c r="K217" s="12">
        <f>'Engineering Assumptions'!$E$27*T217*U217</f>
        <v>1176</v>
      </c>
      <c r="L217" s="13">
        <f t="shared" si="30"/>
        <v>7229</v>
      </c>
      <c r="M217" s="12">
        <f>L217*'Engineering Assumptions'!$B$10</f>
        <v>1084.3499999999999</v>
      </c>
      <c r="N217" s="13">
        <f t="shared" si="31"/>
        <v>8313.35</v>
      </c>
      <c r="O217" s="12">
        <f>N217*'Engineering Assumptions'!$B$11</f>
        <v>1662.67</v>
      </c>
      <c r="P217" s="156">
        <f t="shared" si="32"/>
        <v>9980</v>
      </c>
      <c r="Q217" s="12">
        <f>'Fleet Pricing'!H217</f>
        <v>5800</v>
      </c>
      <c r="R217" s="45">
        <v>20</v>
      </c>
      <c r="S217" s="49">
        <v>1.95</v>
      </c>
      <c r="T217" s="49">
        <v>2.1</v>
      </c>
      <c r="U217" s="49">
        <v>1</v>
      </c>
    </row>
    <row r="218" spans="1:21" ht="15" customHeight="1" x14ac:dyDescent="0.3">
      <c r="A218" s="9">
        <v>204</v>
      </c>
      <c r="B218" s="50" t="s">
        <v>386</v>
      </c>
      <c r="C218" s="50" t="s">
        <v>188</v>
      </c>
      <c r="D218" s="50" t="s">
        <v>405</v>
      </c>
      <c r="E218" s="50"/>
      <c r="F218" s="48" t="s">
        <v>195</v>
      </c>
      <c r="G218" s="9">
        <v>30</v>
      </c>
      <c r="H218" s="12">
        <f>'Engineering Assumptions'!$C$27*'Engineering Assumptions'!$B$5*U218</f>
        <v>4584</v>
      </c>
      <c r="I218" s="12">
        <f>'Engineering Assumptions'!$B$8</f>
        <v>650</v>
      </c>
      <c r="J218" s="12">
        <f>'Engineering Assumptions'!$D$27*S218*U218</f>
        <v>1008</v>
      </c>
      <c r="K218" s="12">
        <f>'Engineering Assumptions'!$E$27*T218*U218</f>
        <v>1680</v>
      </c>
      <c r="L218" s="13">
        <f t="shared" si="30"/>
        <v>7922</v>
      </c>
      <c r="M218" s="12">
        <f>L218*'Engineering Assumptions'!$B$10</f>
        <v>1188.3</v>
      </c>
      <c r="N218" s="13">
        <f t="shared" si="31"/>
        <v>9110.2999999999993</v>
      </c>
      <c r="O218" s="12">
        <f>N218*'Engineering Assumptions'!$B$11</f>
        <v>1822.06</v>
      </c>
      <c r="P218" s="156">
        <f t="shared" si="32"/>
        <v>10930</v>
      </c>
      <c r="Q218" s="12">
        <f>'Fleet Pricing'!H218</f>
        <v>4670</v>
      </c>
      <c r="R218" s="45">
        <v>30</v>
      </c>
      <c r="S218" s="49">
        <v>2.4</v>
      </c>
      <c r="T218" s="49">
        <v>3</v>
      </c>
      <c r="U218" s="49">
        <v>1</v>
      </c>
    </row>
    <row r="219" spans="1:21" ht="15" customHeight="1" x14ac:dyDescent="0.3">
      <c r="A219" s="9">
        <v>205</v>
      </c>
      <c r="B219" s="50" t="s">
        <v>386</v>
      </c>
      <c r="C219" s="50" t="s">
        <v>188</v>
      </c>
      <c r="D219" s="50" t="s">
        <v>406</v>
      </c>
      <c r="E219" s="50"/>
      <c r="F219" s="48" t="s">
        <v>195</v>
      </c>
      <c r="G219" s="9">
        <v>30</v>
      </c>
      <c r="H219" s="12">
        <f>'Engineering Assumptions'!$C$27*'Engineering Assumptions'!$B$5*U219</f>
        <v>4584</v>
      </c>
      <c r="I219" s="12">
        <f>'Engineering Assumptions'!$B$8</f>
        <v>650</v>
      </c>
      <c r="J219" s="12">
        <f>'Engineering Assumptions'!$D$27*S219*U219</f>
        <v>1008</v>
      </c>
      <c r="K219" s="12">
        <f>'Engineering Assumptions'!$E$27*T219*U219</f>
        <v>1680</v>
      </c>
      <c r="L219" s="13">
        <f t="shared" si="30"/>
        <v>7922</v>
      </c>
      <c r="M219" s="12">
        <f>L219*'Engineering Assumptions'!$B$10</f>
        <v>1188.3</v>
      </c>
      <c r="N219" s="13">
        <f t="shared" si="31"/>
        <v>9110.2999999999993</v>
      </c>
      <c r="O219" s="12">
        <f>N219*'Engineering Assumptions'!$B$11</f>
        <v>1822.06</v>
      </c>
      <c r="P219" s="156">
        <f t="shared" si="32"/>
        <v>10930</v>
      </c>
      <c r="Q219" s="12">
        <f>'Fleet Pricing'!H219</f>
        <v>4670</v>
      </c>
      <c r="R219" s="45">
        <v>30</v>
      </c>
      <c r="S219" s="49">
        <v>2.4</v>
      </c>
      <c r="T219" s="49">
        <v>3</v>
      </c>
      <c r="U219" s="49">
        <v>1</v>
      </c>
    </row>
    <row r="220" spans="1:21" ht="15" customHeight="1" x14ac:dyDescent="0.3">
      <c r="A220" s="199" t="s">
        <v>407</v>
      </c>
      <c r="B220" s="200"/>
      <c r="C220" s="200"/>
      <c r="D220" s="200"/>
      <c r="E220" s="200"/>
      <c r="F220" s="200"/>
      <c r="G220" s="200"/>
      <c r="H220" s="200"/>
      <c r="I220" s="200"/>
      <c r="J220" s="200"/>
      <c r="K220" s="200"/>
      <c r="L220" s="200"/>
      <c r="M220" s="200"/>
      <c r="N220" s="200"/>
      <c r="O220" s="200"/>
      <c r="P220" s="200"/>
      <c r="Q220" s="200"/>
    </row>
    <row r="221" spans="1:21" ht="15" customHeight="1" x14ac:dyDescent="0.3">
      <c r="A221" s="9">
        <v>206</v>
      </c>
      <c r="B221" s="50" t="s">
        <v>408</v>
      </c>
      <c r="C221" s="50" t="s">
        <v>409</v>
      </c>
      <c r="D221" s="50" t="s">
        <v>410</v>
      </c>
      <c r="E221" s="50" t="s">
        <v>411</v>
      </c>
      <c r="F221" s="48" t="s">
        <v>45</v>
      </c>
      <c r="G221" s="9">
        <v>7</v>
      </c>
      <c r="H221" s="12">
        <f>'Engineering Assumptions'!$C$28*'Engineering Assumptions'!$B$5*U221</f>
        <v>2483</v>
      </c>
      <c r="I221" s="12">
        <f>'Engineering Assumptions'!$B$8</f>
        <v>650</v>
      </c>
      <c r="J221" s="12">
        <f>'Engineering Assumptions'!$D$28*S221*U221</f>
        <v>212.5</v>
      </c>
      <c r="K221" s="12">
        <f>'Engineering Assumptions'!$E$28*T221*U221</f>
        <v>157.5</v>
      </c>
      <c r="L221" s="13">
        <f>H221+I221+J221+K221</f>
        <v>3503</v>
      </c>
      <c r="M221" s="12">
        <f>L221*'Engineering Assumptions'!$B$10</f>
        <v>525.44999999999993</v>
      </c>
      <c r="N221" s="13">
        <f>L221+M221</f>
        <v>4028.45</v>
      </c>
      <c r="O221" s="12">
        <f>N221*'Engineering Assumptions'!$B$11</f>
        <v>805.69</v>
      </c>
      <c r="P221" s="156">
        <f>MROUND(N221+O221,10)</f>
        <v>4830</v>
      </c>
      <c r="Q221" s="12">
        <f>'Fleet Pricing'!H221</f>
        <v>3220</v>
      </c>
      <c r="R221" s="45">
        <v>7</v>
      </c>
      <c r="S221" s="49">
        <v>1.25</v>
      </c>
      <c r="T221" s="49">
        <v>0.75</v>
      </c>
      <c r="U221" s="49">
        <v>1</v>
      </c>
    </row>
    <row r="222" spans="1:21" ht="15" customHeight="1" x14ac:dyDescent="0.3">
      <c r="A222" s="9">
        <v>207</v>
      </c>
      <c r="B222" s="50" t="s">
        <v>408</v>
      </c>
      <c r="C222" s="50" t="s">
        <v>412</v>
      </c>
      <c r="D222" s="50" t="s">
        <v>413</v>
      </c>
      <c r="E222" s="50" t="s">
        <v>414</v>
      </c>
      <c r="F222" s="48" t="s">
        <v>99</v>
      </c>
      <c r="G222" s="9">
        <v>13</v>
      </c>
      <c r="H222" s="12">
        <f>'Engineering Assumptions'!$C$28*'Engineering Assumptions'!$B$5*U222</f>
        <v>2483</v>
      </c>
      <c r="I222" s="12">
        <f>'Engineering Assumptions'!$B$8</f>
        <v>650</v>
      </c>
      <c r="J222" s="12">
        <f>'Engineering Assumptions'!$D$28*S222*U222</f>
        <v>263.5</v>
      </c>
      <c r="K222" s="12">
        <f>'Engineering Assumptions'!$E$28*T222*U222</f>
        <v>283.5</v>
      </c>
      <c r="L222" s="13">
        <f>H222+I222+J222+K222</f>
        <v>3680</v>
      </c>
      <c r="M222" s="12">
        <f>L222*'Engineering Assumptions'!$B$10</f>
        <v>552</v>
      </c>
      <c r="N222" s="13">
        <f>L222+M222</f>
        <v>4232</v>
      </c>
      <c r="O222" s="12">
        <f>N222*'Engineering Assumptions'!$B$11</f>
        <v>846.40000000000009</v>
      </c>
      <c r="P222" s="156">
        <f>MROUND(N222+O222,10)</f>
        <v>5080</v>
      </c>
      <c r="Q222" s="12">
        <f>'Fleet Pricing'!H222</f>
        <v>2870</v>
      </c>
      <c r="R222" s="45">
        <v>13</v>
      </c>
      <c r="S222" s="49">
        <v>1.55</v>
      </c>
      <c r="T222" s="49">
        <v>1.35</v>
      </c>
      <c r="U222" s="49">
        <v>1</v>
      </c>
    </row>
    <row r="223" spans="1:21" ht="15" customHeight="1" x14ac:dyDescent="0.3">
      <c r="A223" s="9">
        <v>208</v>
      </c>
      <c r="B223" s="50" t="s">
        <v>408</v>
      </c>
      <c r="C223" s="50" t="s">
        <v>415</v>
      </c>
      <c r="D223" s="50" t="s">
        <v>416</v>
      </c>
      <c r="E223" s="50" t="s">
        <v>417</v>
      </c>
      <c r="F223" s="48" t="s">
        <v>66</v>
      </c>
      <c r="G223" s="9">
        <v>14</v>
      </c>
      <c r="H223" s="12">
        <f>'Engineering Assumptions'!$C$28*'Engineering Assumptions'!$B$5*U223</f>
        <v>2483</v>
      </c>
      <c r="I223" s="12">
        <f>'Engineering Assumptions'!$B$8</f>
        <v>650</v>
      </c>
      <c r="J223" s="12">
        <f>'Engineering Assumptions'!$D$28*S223*U223</f>
        <v>263.5</v>
      </c>
      <c r="K223" s="12">
        <f>'Engineering Assumptions'!$E$28*T223*U223</f>
        <v>283.5</v>
      </c>
      <c r="L223" s="13">
        <f>H223+I223+J223+K223</f>
        <v>3680</v>
      </c>
      <c r="M223" s="12">
        <f>L223*'Engineering Assumptions'!$B$10</f>
        <v>552</v>
      </c>
      <c r="N223" s="13">
        <f>L223+M223</f>
        <v>4232</v>
      </c>
      <c r="O223" s="12">
        <f>N223*'Engineering Assumptions'!$B$11</f>
        <v>846.40000000000009</v>
      </c>
      <c r="P223" s="156">
        <f>MROUND(N223+O223,10)</f>
        <v>5080</v>
      </c>
      <c r="Q223" s="12">
        <f>'Fleet Pricing'!H223</f>
        <v>2870</v>
      </c>
      <c r="R223" s="45">
        <v>14</v>
      </c>
      <c r="S223" s="49">
        <v>1.55</v>
      </c>
      <c r="T223" s="49">
        <v>1.35</v>
      </c>
      <c r="U223" s="49">
        <v>1</v>
      </c>
    </row>
    <row r="224" spans="1:21" ht="23.25" customHeight="1" x14ac:dyDescent="0.3">
      <c r="A224" s="9">
        <v>209</v>
      </c>
      <c r="B224" s="50" t="s">
        <v>408</v>
      </c>
      <c r="C224" s="50" t="s">
        <v>418</v>
      </c>
      <c r="D224" s="50" t="s">
        <v>419</v>
      </c>
      <c r="E224" s="50" t="s">
        <v>420</v>
      </c>
      <c r="F224" s="48" t="s">
        <v>421</v>
      </c>
      <c r="G224" s="9">
        <v>34</v>
      </c>
      <c r="H224" s="12">
        <f>'Engineering Assumptions'!$C$28*'Engineering Assumptions'!$B$5*U224</f>
        <v>2483</v>
      </c>
      <c r="I224" s="12">
        <f>'Engineering Assumptions'!$B$8</f>
        <v>650</v>
      </c>
      <c r="J224" s="12">
        <f>'Engineering Assumptions'!$D$28*S224*U224</f>
        <v>408</v>
      </c>
      <c r="K224" s="12">
        <f>'Engineering Assumptions'!$E$28*T224*U224</f>
        <v>630</v>
      </c>
      <c r="L224" s="13">
        <f>H224+I224+J224+K224</f>
        <v>4171</v>
      </c>
      <c r="M224" s="12">
        <f>L224*'Engineering Assumptions'!$B$10</f>
        <v>625.65</v>
      </c>
      <c r="N224" s="13">
        <f>L224+M224</f>
        <v>4796.6499999999996</v>
      </c>
      <c r="O224" s="12">
        <f>N224*'Engineering Assumptions'!$B$11</f>
        <v>959.32999999999993</v>
      </c>
      <c r="P224" s="156">
        <f>MROUND(N224+O224,10)</f>
        <v>5760</v>
      </c>
      <c r="Q224" s="12">
        <f>'Fleet Pricing'!H224</f>
        <v>2030</v>
      </c>
      <c r="R224" s="45">
        <v>34</v>
      </c>
      <c r="S224" s="49">
        <v>2.4</v>
      </c>
      <c r="T224" s="49">
        <v>3</v>
      </c>
      <c r="U224" s="49">
        <v>1</v>
      </c>
    </row>
    <row r="225" spans="1:21" ht="15" customHeight="1" x14ac:dyDescent="0.3">
      <c r="A225" s="199" t="s">
        <v>422</v>
      </c>
      <c r="B225" s="200"/>
      <c r="C225" s="200"/>
      <c r="D225" s="200"/>
      <c r="E225" s="200"/>
      <c r="F225" s="200"/>
      <c r="G225" s="200"/>
      <c r="H225" s="200"/>
      <c r="I225" s="200"/>
      <c r="J225" s="200"/>
      <c r="K225" s="200"/>
      <c r="L225" s="200"/>
      <c r="M225" s="200"/>
      <c r="N225" s="200"/>
      <c r="O225" s="200"/>
      <c r="P225" s="200"/>
      <c r="Q225" s="200"/>
    </row>
    <row r="226" spans="1:21" ht="15" customHeight="1" x14ac:dyDescent="0.3">
      <c r="A226" s="9">
        <v>210</v>
      </c>
      <c r="B226" s="50" t="s">
        <v>423</v>
      </c>
      <c r="C226" s="50" t="s">
        <v>424</v>
      </c>
      <c r="D226" s="50" t="s">
        <v>425</v>
      </c>
      <c r="E226" s="50" t="s">
        <v>426</v>
      </c>
      <c r="F226" s="48" t="s">
        <v>427</v>
      </c>
      <c r="G226" s="9">
        <v>28</v>
      </c>
      <c r="H226" s="12">
        <f>'Engineering Assumptions'!$C$29*'Engineering Assumptions'!$B$5*U226</f>
        <v>3820</v>
      </c>
      <c r="I226" s="12">
        <f>'Engineering Assumptions'!$B$8</f>
        <v>650</v>
      </c>
      <c r="J226" s="12">
        <f>'Engineering Assumptions'!$D$29*S226*U226</f>
        <v>816</v>
      </c>
      <c r="K226" s="12">
        <f>'Engineering Assumptions'!$E$29*T226*U226</f>
        <v>1440</v>
      </c>
      <c r="L226" s="13">
        <f>H226+I226+J226+K226</f>
        <v>6726</v>
      </c>
      <c r="M226" s="12">
        <f>L226*'Engineering Assumptions'!$B$10</f>
        <v>1008.9</v>
      </c>
      <c r="N226" s="13">
        <f>L226+M226</f>
        <v>7734.9</v>
      </c>
      <c r="O226" s="12">
        <f>N226*'Engineering Assumptions'!$B$11</f>
        <v>1546.98</v>
      </c>
      <c r="P226" s="156">
        <f>MROUND(N226+O226,10)</f>
        <v>9280</v>
      </c>
      <c r="Q226" s="12">
        <f>'Fleet Pricing'!H226</f>
        <v>5100</v>
      </c>
      <c r="R226" s="45">
        <v>28</v>
      </c>
      <c r="S226" s="49">
        <v>2.4</v>
      </c>
      <c r="T226" s="49">
        <v>3</v>
      </c>
      <c r="U226" s="49">
        <v>1</v>
      </c>
    </row>
    <row r="227" spans="1:21" ht="15" customHeight="1" x14ac:dyDescent="0.3">
      <c r="A227" s="9">
        <v>211</v>
      </c>
      <c r="B227" s="50" t="s">
        <v>423</v>
      </c>
      <c r="C227" s="50" t="s">
        <v>428</v>
      </c>
      <c r="D227" s="50" t="s">
        <v>429</v>
      </c>
      <c r="E227" s="50" t="s">
        <v>430</v>
      </c>
      <c r="F227" s="48" t="s">
        <v>431</v>
      </c>
      <c r="G227" s="9">
        <v>31</v>
      </c>
      <c r="H227" s="12">
        <f>'Engineering Assumptions'!$C$29*'Engineering Assumptions'!$B$5*U227</f>
        <v>3820</v>
      </c>
      <c r="I227" s="12">
        <f>'Engineering Assumptions'!$B$8</f>
        <v>650</v>
      </c>
      <c r="J227" s="12">
        <f>'Engineering Assumptions'!$D$29*S227*U227</f>
        <v>816</v>
      </c>
      <c r="K227" s="12">
        <f>'Engineering Assumptions'!$E$29*T227*U227</f>
        <v>1440</v>
      </c>
      <c r="L227" s="13">
        <f>H227+I227+J227+K227</f>
        <v>6726</v>
      </c>
      <c r="M227" s="12">
        <f>L227*'Engineering Assumptions'!$B$10</f>
        <v>1008.9</v>
      </c>
      <c r="N227" s="13">
        <f>L227+M227</f>
        <v>7734.9</v>
      </c>
      <c r="O227" s="12">
        <f>N227*'Engineering Assumptions'!$B$11</f>
        <v>1546.98</v>
      </c>
      <c r="P227" s="156">
        <f>MROUND(N227+O227,10)</f>
        <v>9280</v>
      </c>
      <c r="Q227" s="12">
        <f>'Fleet Pricing'!H227</f>
        <v>5100</v>
      </c>
      <c r="R227" s="45">
        <v>31</v>
      </c>
      <c r="S227" s="49">
        <v>2.4</v>
      </c>
      <c r="T227" s="49">
        <v>3</v>
      </c>
      <c r="U227" s="49">
        <v>1</v>
      </c>
    </row>
    <row r="228" spans="1:21" ht="15" customHeight="1" x14ac:dyDescent="0.3">
      <c r="A228" s="199" t="s">
        <v>432</v>
      </c>
      <c r="B228" s="200"/>
      <c r="C228" s="200"/>
      <c r="D228" s="200"/>
      <c r="E228" s="200"/>
      <c r="F228" s="200"/>
      <c r="G228" s="200"/>
      <c r="H228" s="200"/>
      <c r="I228" s="200"/>
      <c r="J228" s="200"/>
      <c r="K228" s="200"/>
      <c r="L228" s="200"/>
      <c r="M228" s="200"/>
      <c r="N228" s="200"/>
      <c r="O228" s="200"/>
      <c r="P228" s="200"/>
      <c r="Q228" s="200"/>
    </row>
    <row r="229" spans="1:21" ht="15" customHeight="1" x14ac:dyDescent="0.3">
      <c r="A229" s="9">
        <v>212</v>
      </c>
      <c r="B229" s="50" t="s">
        <v>433</v>
      </c>
      <c r="C229" s="50" t="s">
        <v>434</v>
      </c>
      <c r="D229" s="50" t="s">
        <v>435</v>
      </c>
      <c r="E229" s="50" t="s">
        <v>436</v>
      </c>
      <c r="F229" s="48" t="s">
        <v>73</v>
      </c>
      <c r="G229" s="9">
        <v>20</v>
      </c>
      <c r="H229" s="12">
        <f>'Engineering Assumptions'!$C$30*'Engineering Assumptions'!$B$5*U229</f>
        <v>2674</v>
      </c>
      <c r="I229" s="12">
        <f>'Engineering Assumptions'!$B$8</f>
        <v>650</v>
      </c>
      <c r="J229" s="12">
        <f>'Engineering Assumptions'!$D$30*S229*U229</f>
        <v>429</v>
      </c>
      <c r="K229" s="12">
        <f>'Engineering Assumptions'!$E$30*T229*U229</f>
        <v>588</v>
      </c>
      <c r="L229" s="13">
        <f>H229+I229+J229+K229</f>
        <v>4341</v>
      </c>
      <c r="M229" s="12">
        <f>L229*'Engineering Assumptions'!$B$10</f>
        <v>651.15</v>
      </c>
      <c r="N229" s="13">
        <f>L229+M229</f>
        <v>4992.1499999999996</v>
      </c>
      <c r="O229" s="12">
        <f>N229*'Engineering Assumptions'!$B$11</f>
        <v>998.43</v>
      </c>
      <c r="P229" s="156">
        <f>MROUND(N229+O229,10)</f>
        <v>5990</v>
      </c>
      <c r="Q229" s="12">
        <f>'Fleet Pricing'!H229</f>
        <v>3600</v>
      </c>
      <c r="R229" s="45">
        <v>20</v>
      </c>
      <c r="S229" s="49">
        <v>1.95</v>
      </c>
      <c r="T229" s="49">
        <v>2.1</v>
      </c>
      <c r="U229" s="49">
        <v>1</v>
      </c>
    </row>
    <row r="230" spans="1:21" ht="15" customHeight="1" x14ac:dyDescent="0.3">
      <c r="A230" s="9">
        <v>213</v>
      </c>
      <c r="B230" s="50" t="s">
        <v>433</v>
      </c>
      <c r="C230" s="50" t="s">
        <v>437</v>
      </c>
      <c r="D230" s="50" t="s">
        <v>438</v>
      </c>
      <c r="E230" s="50" t="s">
        <v>439</v>
      </c>
      <c r="F230" s="48" t="s">
        <v>440</v>
      </c>
      <c r="G230" s="9">
        <v>21</v>
      </c>
      <c r="H230" s="12">
        <f>'Engineering Assumptions'!$C$30*'Engineering Assumptions'!$B$5*U230</f>
        <v>2674</v>
      </c>
      <c r="I230" s="12">
        <f>'Engineering Assumptions'!$B$8</f>
        <v>650</v>
      </c>
      <c r="J230" s="12">
        <f>'Engineering Assumptions'!$D$30*S230*U230</f>
        <v>528</v>
      </c>
      <c r="K230" s="12">
        <f>'Engineering Assumptions'!$E$30*T230*U230</f>
        <v>840</v>
      </c>
      <c r="L230" s="13">
        <f>H230+I230+J230+K230</f>
        <v>4692</v>
      </c>
      <c r="M230" s="12">
        <f>L230*'Engineering Assumptions'!$B$10</f>
        <v>703.8</v>
      </c>
      <c r="N230" s="13">
        <f>L230+M230</f>
        <v>5395.8</v>
      </c>
      <c r="O230" s="12">
        <f>N230*'Engineering Assumptions'!$B$11</f>
        <v>1079.1600000000001</v>
      </c>
      <c r="P230" s="156">
        <f>MROUND(N230+O230,10)</f>
        <v>6470</v>
      </c>
      <c r="Q230" s="12">
        <f>'Fleet Pricing'!H230</f>
        <v>3600</v>
      </c>
      <c r="R230" s="45">
        <v>21</v>
      </c>
      <c r="S230" s="49">
        <v>2.4</v>
      </c>
      <c r="T230" s="49">
        <v>3</v>
      </c>
      <c r="U230" s="49">
        <v>1</v>
      </c>
    </row>
    <row r="231" spans="1:21" ht="15" customHeight="1" x14ac:dyDescent="0.3">
      <c r="A231" s="9">
        <v>214</v>
      </c>
      <c r="B231" s="50" t="s">
        <v>433</v>
      </c>
      <c r="C231" s="50" t="s">
        <v>441</v>
      </c>
      <c r="D231" s="50" t="s">
        <v>442</v>
      </c>
      <c r="E231" s="50" t="s">
        <v>443</v>
      </c>
      <c r="F231" s="48" t="s">
        <v>139</v>
      </c>
      <c r="G231" s="9">
        <v>23</v>
      </c>
      <c r="H231" s="12">
        <f>'Engineering Assumptions'!$C$30*'Engineering Assumptions'!$B$5*U231</f>
        <v>2674</v>
      </c>
      <c r="I231" s="12">
        <f>'Engineering Assumptions'!$B$8</f>
        <v>650</v>
      </c>
      <c r="J231" s="12">
        <f>'Engineering Assumptions'!$D$30*S231*U231</f>
        <v>528</v>
      </c>
      <c r="K231" s="12">
        <f>'Engineering Assumptions'!$E$30*T231*U231</f>
        <v>840</v>
      </c>
      <c r="L231" s="13">
        <f>H231+I231+J231+K231</f>
        <v>4692</v>
      </c>
      <c r="M231" s="12">
        <f>L231*'Engineering Assumptions'!$B$10</f>
        <v>703.8</v>
      </c>
      <c r="N231" s="13">
        <f>L231+M231</f>
        <v>5395.8</v>
      </c>
      <c r="O231" s="12">
        <f>N231*'Engineering Assumptions'!$B$11</f>
        <v>1079.1600000000001</v>
      </c>
      <c r="P231" s="156">
        <f>MROUND(N231+O231,10)</f>
        <v>6470</v>
      </c>
      <c r="Q231" s="12">
        <f>'Fleet Pricing'!H231</f>
        <v>3250</v>
      </c>
      <c r="R231" s="45">
        <v>23</v>
      </c>
      <c r="S231" s="49">
        <v>2.4</v>
      </c>
      <c r="T231" s="49">
        <v>3</v>
      </c>
      <c r="U231" s="49">
        <v>1</v>
      </c>
    </row>
    <row r="232" spans="1:21" ht="15" customHeight="1" x14ac:dyDescent="0.3">
      <c r="A232" s="9">
        <v>215</v>
      </c>
      <c r="B232" s="50" t="s">
        <v>433</v>
      </c>
      <c r="C232" s="50" t="s">
        <v>444</v>
      </c>
      <c r="D232" s="50" t="s">
        <v>445</v>
      </c>
      <c r="E232" s="50" t="s">
        <v>446</v>
      </c>
      <c r="F232" s="48" t="s">
        <v>147</v>
      </c>
      <c r="G232" s="9">
        <v>30</v>
      </c>
      <c r="H232" s="12">
        <f>'Engineering Assumptions'!$C$30*'Engineering Assumptions'!$B$5*U232</f>
        <v>2674</v>
      </c>
      <c r="I232" s="12">
        <f>'Engineering Assumptions'!$B$8</f>
        <v>650</v>
      </c>
      <c r="J232" s="12">
        <f>'Engineering Assumptions'!$D$30*S232*U232</f>
        <v>528</v>
      </c>
      <c r="K232" s="12">
        <f>'Engineering Assumptions'!$E$30*T232*U232</f>
        <v>840</v>
      </c>
      <c r="L232" s="13">
        <f>H232+I232+J232+K232</f>
        <v>4692</v>
      </c>
      <c r="M232" s="12">
        <f>L232*'Engineering Assumptions'!$B$10</f>
        <v>703.8</v>
      </c>
      <c r="N232" s="13">
        <f>L232+M232</f>
        <v>5395.8</v>
      </c>
      <c r="O232" s="12">
        <f>N232*'Engineering Assumptions'!$B$11</f>
        <v>1079.1600000000001</v>
      </c>
      <c r="P232" s="156">
        <f>MROUND(N232+O232,10)</f>
        <v>6470</v>
      </c>
      <c r="Q232" s="12">
        <f>'Fleet Pricing'!H232</f>
        <v>2900</v>
      </c>
      <c r="R232" s="45">
        <v>30</v>
      </c>
      <c r="S232" s="49">
        <v>2.4</v>
      </c>
      <c r="T232" s="49">
        <v>3</v>
      </c>
      <c r="U232" s="49">
        <v>1</v>
      </c>
    </row>
    <row r="233" spans="1:21" ht="15" customHeight="1" x14ac:dyDescent="0.3">
      <c r="A233" s="199" t="s">
        <v>447</v>
      </c>
      <c r="B233" s="200"/>
      <c r="C233" s="200"/>
      <c r="D233" s="200"/>
      <c r="E233" s="200"/>
      <c r="F233" s="200"/>
      <c r="G233" s="200"/>
      <c r="H233" s="200"/>
      <c r="I233" s="200"/>
      <c r="J233" s="200"/>
      <c r="K233" s="200"/>
      <c r="L233" s="200"/>
      <c r="M233" s="200"/>
      <c r="N233" s="200"/>
      <c r="O233" s="200"/>
      <c r="P233" s="200"/>
      <c r="Q233" s="200"/>
    </row>
    <row r="234" spans="1:21" ht="15" customHeight="1" x14ac:dyDescent="0.3">
      <c r="A234" s="9">
        <v>216</v>
      </c>
      <c r="B234" s="50" t="s">
        <v>448</v>
      </c>
      <c r="C234" s="50" t="s">
        <v>449</v>
      </c>
      <c r="D234" s="50" t="s">
        <v>450</v>
      </c>
      <c r="E234" s="50" t="s">
        <v>451</v>
      </c>
      <c r="F234" s="48" t="s">
        <v>49</v>
      </c>
      <c r="G234" s="9">
        <v>10</v>
      </c>
      <c r="H234" s="12">
        <f>'Engineering Assumptions'!$C$31*'Engineering Assumptions'!$B$5*U234</f>
        <v>5348</v>
      </c>
      <c r="I234" s="12">
        <f>'Engineering Assumptions'!$B$8</f>
        <v>650</v>
      </c>
      <c r="J234" s="12">
        <f>'Engineering Assumptions'!$D$31*S234*U234</f>
        <v>325</v>
      </c>
      <c r="K234" s="12">
        <f>'Engineering Assumptions'!$E$31*T234*U234</f>
        <v>262.5</v>
      </c>
      <c r="L234" s="13">
        <f t="shared" ref="L234:L241" si="33">H234+I234+J234+K234</f>
        <v>6585.5</v>
      </c>
      <c r="M234" s="12">
        <f>L234*'Engineering Assumptions'!$B$10</f>
        <v>987.82499999999993</v>
      </c>
      <c r="N234" s="13">
        <f t="shared" ref="N234:N241" si="34">L234+M234</f>
        <v>7573.3249999999998</v>
      </c>
      <c r="O234" s="12">
        <f>N234*'Engineering Assumptions'!$B$11</f>
        <v>1514.665</v>
      </c>
      <c r="P234" s="156">
        <f t="shared" ref="P234:P241" si="35">MROUND(N234+O234,10)</f>
        <v>9090</v>
      </c>
      <c r="Q234" s="12">
        <f>'Fleet Pricing'!H234</f>
        <v>4460</v>
      </c>
      <c r="R234" s="45">
        <v>10</v>
      </c>
      <c r="S234" s="49">
        <v>1.25</v>
      </c>
      <c r="T234" s="49">
        <v>0.75</v>
      </c>
      <c r="U234" s="49">
        <v>1</v>
      </c>
    </row>
    <row r="235" spans="1:21" ht="15" customHeight="1" x14ac:dyDescent="0.3">
      <c r="A235" s="9">
        <v>217</v>
      </c>
      <c r="B235" s="50" t="s">
        <v>448</v>
      </c>
      <c r="C235" s="50" t="s">
        <v>452</v>
      </c>
      <c r="D235" s="50" t="s">
        <v>453</v>
      </c>
      <c r="E235" s="50" t="s">
        <v>454</v>
      </c>
      <c r="F235" s="48" t="s">
        <v>66</v>
      </c>
      <c r="G235" s="9">
        <v>14</v>
      </c>
      <c r="H235" s="12">
        <f>'Engineering Assumptions'!$C$31*'Engineering Assumptions'!$B$5*U235</f>
        <v>5348</v>
      </c>
      <c r="I235" s="12">
        <f>'Engineering Assumptions'!$B$8</f>
        <v>650</v>
      </c>
      <c r="J235" s="12">
        <f>'Engineering Assumptions'!$D$31*S235*U235</f>
        <v>403</v>
      </c>
      <c r="K235" s="12">
        <f>'Engineering Assumptions'!$E$31*T235*U235</f>
        <v>472.50000000000006</v>
      </c>
      <c r="L235" s="13">
        <f t="shared" si="33"/>
        <v>6873.5</v>
      </c>
      <c r="M235" s="12">
        <f>L235*'Engineering Assumptions'!$B$10</f>
        <v>1031.0249999999999</v>
      </c>
      <c r="N235" s="13">
        <f t="shared" si="34"/>
        <v>7904.5249999999996</v>
      </c>
      <c r="O235" s="12">
        <f>N235*'Engineering Assumptions'!$B$11</f>
        <v>1580.905</v>
      </c>
      <c r="P235" s="156">
        <f t="shared" si="35"/>
        <v>9490</v>
      </c>
      <c r="Q235" s="12">
        <f>'Fleet Pricing'!H235</f>
        <v>3980</v>
      </c>
      <c r="R235" s="45">
        <v>14</v>
      </c>
      <c r="S235" s="49">
        <v>1.55</v>
      </c>
      <c r="T235" s="49">
        <v>1.35</v>
      </c>
      <c r="U235" s="49">
        <v>1</v>
      </c>
    </row>
    <row r="236" spans="1:21" ht="15" customHeight="1" x14ac:dyDescent="0.3">
      <c r="A236" s="9">
        <v>218</v>
      </c>
      <c r="B236" s="50" t="s">
        <v>448</v>
      </c>
      <c r="C236" s="50" t="s">
        <v>455</v>
      </c>
      <c r="D236" s="50" t="s">
        <v>456</v>
      </c>
      <c r="E236" s="50" t="s">
        <v>457</v>
      </c>
      <c r="F236" s="48" t="s">
        <v>458</v>
      </c>
      <c r="G236" s="9">
        <v>15</v>
      </c>
      <c r="H236" s="12">
        <f>'Engineering Assumptions'!$C$31*'Engineering Assumptions'!$B$5*U236</f>
        <v>5348</v>
      </c>
      <c r="I236" s="12">
        <f>'Engineering Assumptions'!$B$8</f>
        <v>650</v>
      </c>
      <c r="J236" s="12">
        <f>'Engineering Assumptions'!$D$31*S236*U236</f>
        <v>403</v>
      </c>
      <c r="K236" s="12">
        <f>'Engineering Assumptions'!$E$31*T236*U236</f>
        <v>472.50000000000006</v>
      </c>
      <c r="L236" s="13">
        <f t="shared" si="33"/>
        <v>6873.5</v>
      </c>
      <c r="M236" s="12">
        <f>L236*'Engineering Assumptions'!$B$10</f>
        <v>1031.0249999999999</v>
      </c>
      <c r="N236" s="13">
        <f t="shared" si="34"/>
        <v>7904.5249999999996</v>
      </c>
      <c r="O236" s="12">
        <f>N236*'Engineering Assumptions'!$B$11</f>
        <v>1580.905</v>
      </c>
      <c r="P236" s="156">
        <f t="shared" si="35"/>
        <v>9490</v>
      </c>
      <c r="Q236" s="12">
        <f>'Fleet Pricing'!H236</f>
        <v>3980</v>
      </c>
      <c r="R236" s="45">
        <v>15</v>
      </c>
      <c r="S236" s="49">
        <v>1.55</v>
      </c>
      <c r="T236" s="49">
        <v>1.35</v>
      </c>
      <c r="U236" s="49">
        <v>1</v>
      </c>
    </row>
    <row r="237" spans="1:21" ht="15" customHeight="1" x14ac:dyDescent="0.3">
      <c r="A237" s="9">
        <v>219</v>
      </c>
      <c r="B237" s="50" t="s">
        <v>448</v>
      </c>
      <c r="C237" s="50" t="s">
        <v>459</v>
      </c>
      <c r="D237" s="50"/>
      <c r="E237" s="50"/>
      <c r="F237" s="48" t="s">
        <v>107</v>
      </c>
      <c r="G237" s="9">
        <v>16</v>
      </c>
      <c r="H237" s="12">
        <f>'Engineering Assumptions'!$C$31*'Engineering Assumptions'!$B$5*U237</f>
        <v>5348</v>
      </c>
      <c r="I237" s="12">
        <f>'Engineering Assumptions'!$B$8</f>
        <v>650</v>
      </c>
      <c r="J237" s="12">
        <f>'Engineering Assumptions'!$D$31*S237*U237</f>
        <v>507</v>
      </c>
      <c r="K237" s="12">
        <f>'Engineering Assumptions'!$E$31*T237*U237</f>
        <v>735</v>
      </c>
      <c r="L237" s="13">
        <f t="shared" si="33"/>
        <v>7240</v>
      </c>
      <c r="M237" s="12">
        <f>L237*'Engineering Assumptions'!$B$10</f>
        <v>1086</v>
      </c>
      <c r="N237" s="13">
        <f t="shared" si="34"/>
        <v>8326</v>
      </c>
      <c r="O237" s="12">
        <f>N237*'Engineering Assumptions'!$B$11</f>
        <v>1665.2</v>
      </c>
      <c r="P237" s="156">
        <f t="shared" si="35"/>
        <v>9990</v>
      </c>
      <c r="Q237" s="12">
        <f>'Fleet Pricing'!H237</f>
        <v>3980</v>
      </c>
      <c r="R237" s="45">
        <v>16</v>
      </c>
      <c r="S237" s="49">
        <v>1.95</v>
      </c>
      <c r="T237" s="49">
        <v>2.1</v>
      </c>
      <c r="U237" s="49">
        <v>1</v>
      </c>
    </row>
    <row r="238" spans="1:21" ht="15" customHeight="1" x14ac:dyDescent="0.3">
      <c r="A238" s="9">
        <v>220</v>
      </c>
      <c r="B238" s="50" t="s">
        <v>448</v>
      </c>
      <c r="C238" s="50" t="s">
        <v>460</v>
      </c>
      <c r="D238" s="50" t="s">
        <v>461</v>
      </c>
      <c r="E238" s="50" t="s">
        <v>462</v>
      </c>
      <c r="F238" s="48" t="s">
        <v>335</v>
      </c>
      <c r="G238" s="9">
        <v>18</v>
      </c>
      <c r="H238" s="12">
        <f>'Engineering Assumptions'!$C$31*'Engineering Assumptions'!$B$5*U238</f>
        <v>5348</v>
      </c>
      <c r="I238" s="12">
        <f>'Engineering Assumptions'!$B$8</f>
        <v>650</v>
      </c>
      <c r="J238" s="12">
        <f>'Engineering Assumptions'!$D$31*S238*U238</f>
        <v>507</v>
      </c>
      <c r="K238" s="12">
        <f>'Engineering Assumptions'!$E$31*T238*U238</f>
        <v>735</v>
      </c>
      <c r="L238" s="13">
        <f t="shared" si="33"/>
        <v>7240</v>
      </c>
      <c r="M238" s="12">
        <f>L238*'Engineering Assumptions'!$B$10</f>
        <v>1086</v>
      </c>
      <c r="N238" s="13">
        <f t="shared" si="34"/>
        <v>8326</v>
      </c>
      <c r="O238" s="12">
        <f>N238*'Engineering Assumptions'!$B$11</f>
        <v>1665.2</v>
      </c>
      <c r="P238" s="156">
        <f t="shared" si="35"/>
        <v>9990</v>
      </c>
      <c r="Q238" s="12">
        <f>'Fleet Pricing'!H238</f>
        <v>3490</v>
      </c>
      <c r="R238" s="45">
        <v>18</v>
      </c>
      <c r="S238" s="49">
        <v>1.95</v>
      </c>
      <c r="T238" s="49">
        <v>2.1</v>
      </c>
      <c r="U238" s="49">
        <v>1</v>
      </c>
    </row>
    <row r="239" spans="1:21" ht="15" customHeight="1" x14ac:dyDescent="0.3">
      <c r="A239" s="9">
        <v>221</v>
      </c>
      <c r="B239" s="50" t="s">
        <v>448</v>
      </c>
      <c r="C239" s="50" t="s">
        <v>463</v>
      </c>
      <c r="D239" s="50" t="s">
        <v>464</v>
      </c>
      <c r="E239" s="50" t="s">
        <v>465</v>
      </c>
      <c r="F239" s="48" t="s">
        <v>427</v>
      </c>
      <c r="G239" s="9">
        <v>28</v>
      </c>
      <c r="H239" s="12">
        <f>'Engineering Assumptions'!$C$31*'Engineering Assumptions'!$B$5*U239</f>
        <v>5348</v>
      </c>
      <c r="I239" s="12">
        <f>'Engineering Assumptions'!$B$8</f>
        <v>650</v>
      </c>
      <c r="J239" s="12">
        <f>'Engineering Assumptions'!$D$31*S239*U239</f>
        <v>624</v>
      </c>
      <c r="K239" s="12">
        <f>'Engineering Assumptions'!$E$31*T239*U239</f>
        <v>1050</v>
      </c>
      <c r="L239" s="13">
        <f t="shared" si="33"/>
        <v>7672</v>
      </c>
      <c r="M239" s="12">
        <f>L239*'Engineering Assumptions'!$B$10</f>
        <v>1150.8</v>
      </c>
      <c r="N239" s="13">
        <f t="shared" si="34"/>
        <v>8822.7999999999993</v>
      </c>
      <c r="O239" s="12">
        <f>N239*'Engineering Assumptions'!$B$11</f>
        <v>1764.56</v>
      </c>
      <c r="P239" s="156">
        <f t="shared" si="35"/>
        <v>10590</v>
      </c>
      <c r="Q239" s="12">
        <f>'Fleet Pricing'!H239</f>
        <v>2810</v>
      </c>
      <c r="R239" s="45">
        <v>28</v>
      </c>
      <c r="S239" s="49">
        <v>2.4</v>
      </c>
      <c r="T239" s="49">
        <v>3</v>
      </c>
      <c r="U239" s="49">
        <v>1</v>
      </c>
    </row>
    <row r="240" spans="1:21" ht="15" customHeight="1" x14ac:dyDescent="0.3">
      <c r="A240" s="9">
        <v>222</v>
      </c>
      <c r="B240" s="50" t="s">
        <v>448</v>
      </c>
      <c r="C240" s="50" t="s">
        <v>466</v>
      </c>
      <c r="D240" s="50" t="s">
        <v>467</v>
      </c>
      <c r="E240" s="50" t="s">
        <v>468</v>
      </c>
      <c r="F240" s="48" t="s">
        <v>147</v>
      </c>
      <c r="G240" s="9">
        <v>30</v>
      </c>
      <c r="H240" s="12">
        <f>'Engineering Assumptions'!$C$31*'Engineering Assumptions'!$B$5*U240</f>
        <v>5348</v>
      </c>
      <c r="I240" s="12">
        <f>'Engineering Assumptions'!$B$8</f>
        <v>650</v>
      </c>
      <c r="J240" s="12">
        <f>'Engineering Assumptions'!$D$31*S240*U240</f>
        <v>624</v>
      </c>
      <c r="K240" s="12">
        <f>'Engineering Assumptions'!$E$31*T240*U240</f>
        <v>1050</v>
      </c>
      <c r="L240" s="13">
        <f t="shared" si="33"/>
        <v>7672</v>
      </c>
      <c r="M240" s="12">
        <f>L240*'Engineering Assumptions'!$B$10</f>
        <v>1150.8</v>
      </c>
      <c r="N240" s="13">
        <f t="shared" si="34"/>
        <v>8822.7999999999993</v>
      </c>
      <c r="O240" s="12">
        <f>N240*'Engineering Assumptions'!$B$11</f>
        <v>1764.56</v>
      </c>
      <c r="P240" s="156">
        <f t="shared" si="35"/>
        <v>10590</v>
      </c>
      <c r="Q240" s="12">
        <f>'Fleet Pricing'!H240</f>
        <v>2810</v>
      </c>
      <c r="R240" s="45">
        <v>30</v>
      </c>
      <c r="S240" s="49">
        <v>2.4</v>
      </c>
      <c r="T240" s="49">
        <v>3</v>
      </c>
      <c r="U240" s="49">
        <v>1</v>
      </c>
    </row>
    <row r="241" spans="1:21" ht="15" customHeight="1" x14ac:dyDescent="0.3">
      <c r="A241" s="9">
        <v>223</v>
      </c>
      <c r="B241" s="50" t="s">
        <v>448</v>
      </c>
      <c r="C241" s="50" t="s">
        <v>469</v>
      </c>
      <c r="D241" s="50" t="s">
        <v>470</v>
      </c>
      <c r="E241" s="50" t="s">
        <v>471</v>
      </c>
      <c r="F241" s="48" t="s">
        <v>431</v>
      </c>
      <c r="G241" s="9">
        <v>31</v>
      </c>
      <c r="H241" s="12">
        <f>'Engineering Assumptions'!$C$31*'Engineering Assumptions'!$B$5*U241</f>
        <v>5348</v>
      </c>
      <c r="I241" s="12">
        <f>'Engineering Assumptions'!$B$8</f>
        <v>650</v>
      </c>
      <c r="J241" s="12">
        <f>'Engineering Assumptions'!$D$31*S241*U241</f>
        <v>624</v>
      </c>
      <c r="K241" s="12">
        <f>'Engineering Assumptions'!$E$31*T241*U241</f>
        <v>1050</v>
      </c>
      <c r="L241" s="13">
        <f t="shared" si="33"/>
        <v>7672</v>
      </c>
      <c r="M241" s="12">
        <f>L241*'Engineering Assumptions'!$B$10</f>
        <v>1150.8</v>
      </c>
      <c r="N241" s="13">
        <f t="shared" si="34"/>
        <v>8822.7999999999993</v>
      </c>
      <c r="O241" s="12">
        <f>N241*'Engineering Assumptions'!$B$11</f>
        <v>1764.56</v>
      </c>
      <c r="P241" s="156">
        <f t="shared" si="35"/>
        <v>10590</v>
      </c>
      <c r="Q241" s="12">
        <f>'Fleet Pricing'!H241</f>
        <v>2810</v>
      </c>
      <c r="R241" s="45">
        <v>31</v>
      </c>
      <c r="S241" s="49">
        <v>2.4</v>
      </c>
      <c r="T241" s="49">
        <v>3</v>
      </c>
      <c r="U241" s="49">
        <v>1</v>
      </c>
    </row>
    <row r="242" spans="1:21" ht="15" customHeight="1" x14ac:dyDescent="0.3">
      <c r="A242" s="199" t="s">
        <v>472</v>
      </c>
      <c r="B242" s="200"/>
      <c r="C242" s="200"/>
      <c r="D242" s="200"/>
      <c r="E242" s="200"/>
      <c r="F242" s="200"/>
      <c r="G242" s="200"/>
      <c r="H242" s="200"/>
      <c r="I242" s="200"/>
      <c r="J242" s="200"/>
      <c r="K242" s="200"/>
      <c r="L242" s="200"/>
      <c r="M242" s="200"/>
      <c r="N242" s="200"/>
      <c r="O242" s="200"/>
      <c r="P242" s="200"/>
      <c r="Q242" s="200"/>
    </row>
    <row r="243" spans="1:21" ht="15" customHeight="1" x14ac:dyDescent="0.3">
      <c r="A243" s="9">
        <v>224</v>
      </c>
      <c r="B243" s="50" t="s">
        <v>473</v>
      </c>
      <c r="C243" s="50" t="s">
        <v>474</v>
      </c>
      <c r="D243" s="50" t="s">
        <v>475</v>
      </c>
      <c r="E243" s="50" t="s">
        <v>476</v>
      </c>
      <c r="F243" s="48" t="s">
        <v>45</v>
      </c>
      <c r="G243" s="9">
        <v>7</v>
      </c>
      <c r="H243" s="12">
        <f>'Engineering Assumptions'!$C$32*'Engineering Assumptions'!$B$5*U243</f>
        <v>4966</v>
      </c>
      <c r="I243" s="12">
        <f>'Engineering Assumptions'!$B$8</f>
        <v>650</v>
      </c>
      <c r="J243" s="12">
        <f>'Engineering Assumptions'!$D$32*S243*U243</f>
        <v>550</v>
      </c>
      <c r="K243" s="12">
        <f>'Engineering Assumptions'!$E$32*T243*U243</f>
        <v>465</v>
      </c>
      <c r="L243" s="13">
        <f>H243+I243+J243+K243</f>
        <v>6631</v>
      </c>
      <c r="M243" s="12">
        <f>L243*'Engineering Assumptions'!$B$10</f>
        <v>994.65</v>
      </c>
      <c r="N243" s="13">
        <f>L243+M243</f>
        <v>7625.65</v>
      </c>
      <c r="O243" s="12">
        <f>N243*'Engineering Assumptions'!$B$11</f>
        <v>1525.13</v>
      </c>
      <c r="P243" s="156">
        <f>MROUND(N243+O243,10)</f>
        <v>9150</v>
      </c>
      <c r="Q243" s="12">
        <f>'Fleet Pricing'!H243</f>
        <v>8600</v>
      </c>
      <c r="R243" s="45">
        <v>7</v>
      </c>
      <c r="S243" s="49">
        <v>1.25</v>
      </c>
      <c r="T243" s="49">
        <v>0.75</v>
      </c>
      <c r="U243" s="49">
        <v>1</v>
      </c>
    </row>
    <row r="244" spans="1:21" ht="15" customHeight="1" x14ac:dyDescent="0.3">
      <c r="A244" s="9">
        <v>225</v>
      </c>
      <c r="B244" s="50" t="s">
        <v>473</v>
      </c>
      <c r="C244" s="50" t="s">
        <v>477</v>
      </c>
      <c r="D244" s="50" t="s">
        <v>478</v>
      </c>
      <c r="E244" s="50" t="s">
        <v>479</v>
      </c>
      <c r="F244" s="48" t="s">
        <v>335</v>
      </c>
      <c r="G244" s="9">
        <v>18</v>
      </c>
      <c r="H244" s="12">
        <f>'Engineering Assumptions'!$C$32*'Engineering Assumptions'!$B$5*U244</f>
        <v>4966</v>
      </c>
      <c r="I244" s="12">
        <f>'Engineering Assumptions'!$B$8</f>
        <v>650</v>
      </c>
      <c r="J244" s="12">
        <f>'Engineering Assumptions'!$D$32*S244*U244</f>
        <v>858</v>
      </c>
      <c r="K244" s="12">
        <f>'Engineering Assumptions'!$E$32*T244*U244</f>
        <v>1302</v>
      </c>
      <c r="L244" s="13">
        <f>H244+I244+J244+K244</f>
        <v>7776</v>
      </c>
      <c r="M244" s="12">
        <f>L244*'Engineering Assumptions'!$B$10</f>
        <v>1166.3999999999999</v>
      </c>
      <c r="N244" s="13">
        <f>L244+M244</f>
        <v>8942.4</v>
      </c>
      <c r="O244" s="12">
        <f>N244*'Engineering Assumptions'!$B$11</f>
        <v>1788.48</v>
      </c>
      <c r="P244" s="156">
        <f>MROUND(N244+O244,10)</f>
        <v>10730</v>
      </c>
      <c r="Q244" s="12">
        <f>'Fleet Pricing'!H244</f>
        <v>6730</v>
      </c>
      <c r="R244" s="45">
        <v>18</v>
      </c>
      <c r="S244" s="49">
        <v>1.95</v>
      </c>
      <c r="T244" s="49">
        <v>2.1</v>
      </c>
      <c r="U244" s="49">
        <v>1</v>
      </c>
    </row>
    <row r="245" spans="1:21" ht="15" customHeight="1" x14ac:dyDescent="0.3">
      <c r="A245" s="199" t="s">
        <v>480</v>
      </c>
      <c r="B245" s="200"/>
      <c r="C245" s="200"/>
      <c r="D245" s="200"/>
      <c r="E245" s="200"/>
      <c r="F245" s="200"/>
      <c r="G245" s="200"/>
      <c r="H245" s="200"/>
      <c r="I245" s="200"/>
      <c r="J245" s="200"/>
      <c r="K245" s="200"/>
      <c r="L245" s="200"/>
      <c r="M245" s="200"/>
      <c r="N245" s="200"/>
      <c r="O245" s="200"/>
      <c r="P245" s="200"/>
      <c r="Q245" s="200"/>
    </row>
    <row r="246" spans="1:21" ht="15" customHeight="1" x14ac:dyDescent="0.3">
      <c r="A246" s="9">
        <v>226</v>
      </c>
      <c r="B246" s="50" t="s">
        <v>481</v>
      </c>
      <c r="C246" s="50" t="s">
        <v>482</v>
      </c>
      <c r="D246" s="50" t="s">
        <v>483</v>
      </c>
      <c r="E246" s="50" t="s">
        <v>484</v>
      </c>
      <c r="F246" s="48" t="s">
        <v>45</v>
      </c>
      <c r="G246" s="9">
        <v>7</v>
      </c>
      <c r="H246" s="12">
        <f>'Engineering Assumptions'!$C$33*'Engineering Assumptions'!$B$5*U246</f>
        <v>1146</v>
      </c>
      <c r="I246" s="12">
        <f>'Engineering Assumptions'!$B$8</f>
        <v>650</v>
      </c>
      <c r="J246" s="12">
        <f>'Engineering Assumptions'!$D$33*S246*U246</f>
        <v>112.5</v>
      </c>
      <c r="K246" s="12">
        <f>'Engineering Assumptions'!$E$33*T246*U246</f>
        <v>82.5</v>
      </c>
      <c r="L246" s="13">
        <f t="shared" ref="L246:L270" si="36">H246+I246+J246+K246</f>
        <v>1991</v>
      </c>
      <c r="M246" s="12">
        <f>L246*'Engineering Assumptions'!$B$10</f>
        <v>298.64999999999998</v>
      </c>
      <c r="N246" s="13">
        <f t="shared" ref="N246:N270" si="37">L246+M246</f>
        <v>2289.65</v>
      </c>
      <c r="O246" s="12">
        <f>N246*'Engineering Assumptions'!$B$11</f>
        <v>457.93000000000006</v>
      </c>
      <c r="P246" s="156">
        <f t="shared" ref="P246:P270" si="38">MROUND(N246+O246,10)</f>
        <v>2750</v>
      </c>
      <c r="Q246" s="12">
        <f>'Fleet Pricing'!H246</f>
        <v>1610</v>
      </c>
      <c r="R246" s="45">
        <v>7</v>
      </c>
      <c r="S246" s="49">
        <v>1.25</v>
      </c>
      <c r="T246" s="49">
        <v>0.75</v>
      </c>
      <c r="U246" s="49">
        <v>1</v>
      </c>
    </row>
    <row r="247" spans="1:21" ht="15" customHeight="1" x14ac:dyDescent="0.3">
      <c r="A247" s="9">
        <v>227</v>
      </c>
      <c r="B247" s="50" t="s">
        <v>481</v>
      </c>
      <c r="C247" s="50" t="s">
        <v>482</v>
      </c>
      <c r="D247" s="50" t="s">
        <v>485</v>
      </c>
      <c r="E247" s="50" t="s">
        <v>486</v>
      </c>
      <c r="F247" s="48" t="s">
        <v>45</v>
      </c>
      <c r="G247" s="9">
        <v>7</v>
      </c>
      <c r="H247" s="12">
        <f>'Engineering Assumptions'!$C$33*'Engineering Assumptions'!$B$5*U247</f>
        <v>1146</v>
      </c>
      <c r="I247" s="12">
        <f>'Engineering Assumptions'!$B$8</f>
        <v>650</v>
      </c>
      <c r="J247" s="12">
        <f>'Engineering Assumptions'!$D$33*S247*U247</f>
        <v>112.5</v>
      </c>
      <c r="K247" s="12">
        <f>'Engineering Assumptions'!$E$33*T247*U247</f>
        <v>82.5</v>
      </c>
      <c r="L247" s="13">
        <f t="shared" si="36"/>
        <v>1991</v>
      </c>
      <c r="M247" s="12">
        <f>L247*'Engineering Assumptions'!$B$10</f>
        <v>298.64999999999998</v>
      </c>
      <c r="N247" s="13">
        <f t="shared" si="37"/>
        <v>2289.65</v>
      </c>
      <c r="O247" s="12">
        <f>N247*'Engineering Assumptions'!$B$11</f>
        <v>457.93000000000006</v>
      </c>
      <c r="P247" s="156">
        <f t="shared" si="38"/>
        <v>2750</v>
      </c>
      <c r="Q247" s="12">
        <f>'Fleet Pricing'!H247</f>
        <v>1610</v>
      </c>
      <c r="R247" s="45">
        <v>7</v>
      </c>
      <c r="S247" s="49">
        <v>1.25</v>
      </c>
      <c r="T247" s="49">
        <v>0.75</v>
      </c>
      <c r="U247" s="49">
        <v>1</v>
      </c>
    </row>
    <row r="248" spans="1:21" ht="15" customHeight="1" x14ac:dyDescent="0.3">
      <c r="A248" s="9">
        <v>228</v>
      </c>
      <c r="B248" s="50" t="s">
        <v>481</v>
      </c>
      <c r="C248" s="50" t="s">
        <v>482</v>
      </c>
      <c r="D248" s="50" t="s">
        <v>487</v>
      </c>
      <c r="E248" s="50" t="s">
        <v>488</v>
      </c>
      <c r="F248" s="48" t="s">
        <v>45</v>
      </c>
      <c r="G248" s="9">
        <v>7</v>
      </c>
      <c r="H248" s="12">
        <f>'Engineering Assumptions'!$C$33*'Engineering Assumptions'!$B$5*U248</f>
        <v>1146</v>
      </c>
      <c r="I248" s="12">
        <f>'Engineering Assumptions'!$B$8</f>
        <v>650</v>
      </c>
      <c r="J248" s="12">
        <f>'Engineering Assumptions'!$D$33*S248*U248</f>
        <v>112.5</v>
      </c>
      <c r="K248" s="12">
        <f>'Engineering Assumptions'!$E$33*T248*U248</f>
        <v>82.5</v>
      </c>
      <c r="L248" s="13">
        <f t="shared" si="36"/>
        <v>1991</v>
      </c>
      <c r="M248" s="12">
        <f>L248*'Engineering Assumptions'!$B$10</f>
        <v>298.64999999999998</v>
      </c>
      <c r="N248" s="13">
        <f t="shared" si="37"/>
        <v>2289.65</v>
      </c>
      <c r="O248" s="12">
        <f>N248*'Engineering Assumptions'!$B$11</f>
        <v>457.93000000000006</v>
      </c>
      <c r="P248" s="156">
        <f t="shared" si="38"/>
        <v>2750</v>
      </c>
      <c r="Q248" s="12">
        <f>'Fleet Pricing'!H248</f>
        <v>1610</v>
      </c>
      <c r="R248" s="45">
        <v>7</v>
      </c>
      <c r="S248" s="49">
        <v>1.25</v>
      </c>
      <c r="T248" s="49">
        <v>0.75</v>
      </c>
      <c r="U248" s="49">
        <v>1</v>
      </c>
    </row>
    <row r="249" spans="1:21" ht="15" customHeight="1" x14ac:dyDescent="0.3">
      <c r="A249" s="9">
        <v>229</v>
      </c>
      <c r="B249" s="50" t="s">
        <v>481</v>
      </c>
      <c r="C249" s="50" t="s">
        <v>482</v>
      </c>
      <c r="D249" s="50" t="s">
        <v>489</v>
      </c>
      <c r="E249" s="50" t="s">
        <v>490</v>
      </c>
      <c r="F249" s="48" t="s">
        <v>45</v>
      </c>
      <c r="G249" s="9">
        <v>7</v>
      </c>
      <c r="H249" s="12">
        <f>'Engineering Assumptions'!$C$33*'Engineering Assumptions'!$B$5*U249</f>
        <v>1146</v>
      </c>
      <c r="I249" s="12">
        <f>'Engineering Assumptions'!$B$8</f>
        <v>650</v>
      </c>
      <c r="J249" s="12">
        <f>'Engineering Assumptions'!$D$33*S249*U249</f>
        <v>112.5</v>
      </c>
      <c r="K249" s="12">
        <f>'Engineering Assumptions'!$E$33*T249*U249</f>
        <v>82.5</v>
      </c>
      <c r="L249" s="13">
        <f t="shared" si="36"/>
        <v>1991</v>
      </c>
      <c r="M249" s="12">
        <f>L249*'Engineering Assumptions'!$B$10</f>
        <v>298.64999999999998</v>
      </c>
      <c r="N249" s="13">
        <f t="shared" si="37"/>
        <v>2289.65</v>
      </c>
      <c r="O249" s="12">
        <f>N249*'Engineering Assumptions'!$B$11</f>
        <v>457.93000000000006</v>
      </c>
      <c r="P249" s="156">
        <f t="shared" si="38"/>
        <v>2750</v>
      </c>
      <c r="Q249" s="12">
        <f>'Fleet Pricing'!H249</f>
        <v>1610</v>
      </c>
      <c r="R249" s="45">
        <v>7</v>
      </c>
      <c r="S249" s="49">
        <v>1.25</v>
      </c>
      <c r="T249" s="49">
        <v>0.75</v>
      </c>
      <c r="U249" s="49">
        <v>1</v>
      </c>
    </row>
    <row r="250" spans="1:21" ht="15" customHeight="1" x14ac:dyDescent="0.3">
      <c r="A250" s="9">
        <v>230</v>
      </c>
      <c r="B250" s="50" t="s">
        <v>481</v>
      </c>
      <c r="C250" s="50" t="s">
        <v>482</v>
      </c>
      <c r="D250" s="50" t="s">
        <v>491</v>
      </c>
      <c r="E250" s="50" t="s">
        <v>492</v>
      </c>
      <c r="F250" s="48" t="s">
        <v>45</v>
      </c>
      <c r="G250" s="9">
        <v>7</v>
      </c>
      <c r="H250" s="12">
        <f>'Engineering Assumptions'!$C$33*'Engineering Assumptions'!$B$5*U250</f>
        <v>1146</v>
      </c>
      <c r="I250" s="12">
        <f>'Engineering Assumptions'!$B$8</f>
        <v>650</v>
      </c>
      <c r="J250" s="12">
        <f>'Engineering Assumptions'!$D$33*S250*U250</f>
        <v>112.5</v>
      </c>
      <c r="K250" s="12">
        <f>'Engineering Assumptions'!$E$33*T250*U250</f>
        <v>82.5</v>
      </c>
      <c r="L250" s="13">
        <f t="shared" si="36"/>
        <v>1991</v>
      </c>
      <c r="M250" s="12">
        <f>L250*'Engineering Assumptions'!$B$10</f>
        <v>298.64999999999998</v>
      </c>
      <c r="N250" s="13">
        <f t="shared" si="37"/>
        <v>2289.65</v>
      </c>
      <c r="O250" s="12">
        <f>N250*'Engineering Assumptions'!$B$11</f>
        <v>457.93000000000006</v>
      </c>
      <c r="P250" s="156">
        <f t="shared" si="38"/>
        <v>2750</v>
      </c>
      <c r="Q250" s="12">
        <f>'Fleet Pricing'!H250</f>
        <v>1610</v>
      </c>
      <c r="R250" s="45">
        <v>7</v>
      </c>
      <c r="S250" s="49">
        <v>1.25</v>
      </c>
      <c r="T250" s="49">
        <v>0.75</v>
      </c>
      <c r="U250" s="49">
        <v>1</v>
      </c>
    </row>
    <row r="251" spans="1:21" ht="15" customHeight="1" x14ac:dyDescent="0.3">
      <c r="A251" s="9">
        <v>231</v>
      </c>
      <c r="B251" s="50" t="s">
        <v>481</v>
      </c>
      <c r="C251" s="50" t="s">
        <v>482</v>
      </c>
      <c r="D251" s="50" t="s">
        <v>493</v>
      </c>
      <c r="E251" s="50" t="s">
        <v>494</v>
      </c>
      <c r="F251" s="48" t="s">
        <v>45</v>
      </c>
      <c r="G251" s="9">
        <v>7</v>
      </c>
      <c r="H251" s="12">
        <f>'Engineering Assumptions'!$C$33*'Engineering Assumptions'!$B$5*U251</f>
        <v>1146</v>
      </c>
      <c r="I251" s="12">
        <f>'Engineering Assumptions'!$B$8</f>
        <v>650</v>
      </c>
      <c r="J251" s="12">
        <f>'Engineering Assumptions'!$D$33*S251*U251</f>
        <v>112.5</v>
      </c>
      <c r="K251" s="12">
        <f>'Engineering Assumptions'!$E$33*T251*U251</f>
        <v>82.5</v>
      </c>
      <c r="L251" s="13">
        <f t="shared" si="36"/>
        <v>1991</v>
      </c>
      <c r="M251" s="12">
        <f>L251*'Engineering Assumptions'!$B$10</f>
        <v>298.64999999999998</v>
      </c>
      <c r="N251" s="13">
        <f t="shared" si="37"/>
        <v>2289.65</v>
      </c>
      <c r="O251" s="12">
        <f>N251*'Engineering Assumptions'!$B$11</f>
        <v>457.93000000000006</v>
      </c>
      <c r="P251" s="156">
        <f t="shared" si="38"/>
        <v>2750</v>
      </c>
      <c r="Q251" s="12">
        <f>'Fleet Pricing'!H251</f>
        <v>1610</v>
      </c>
      <c r="R251" s="45">
        <v>7</v>
      </c>
      <c r="S251" s="49">
        <v>1.25</v>
      </c>
      <c r="T251" s="49">
        <v>0.75</v>
      </c>
      <c r="U251" s="49">
        <v>1</v>
      </c>
    </row>
    <row r="252" spans="1:21" ht="23.25" customHeight="1" x14ac:dyDescent="0.3">
      <c r="A252" s="9">
        <v>232</v>
      </c>
      <c r="B252" s="50" t="s">
        <v>481</v>
      </c>
      <c r="C252" s="50" t="s">
        <v>495</v>
      </c>
      <c r="D252" s="50" t="s">
        <v>496</v>
      </c>
      <c r="E252" s="50" t="s">
        <v>497</v>
      </c>
      <c r="F252" s="48" t="s">
        <v>116</v>
      </c>
      <c r="G252" s="9">
        <v>9</v>
      </c>
      <c r="H252" s="12">
        <f>'Engineering Assumptions'!$C$33*'Engineering Assumptions'!$B$5*U252</f>
        <v>1146</v>
      </c>
      <c r="I252" s="12">
        <f>'Engineering Assumptions'!$B$8</f>
        <v>650</v>
      </c>
      <c r="J252" s="12">
        <f>'Engineering Assumptions'!$D$33*S252*U252</f>
        <v>112.5</v>
      </c>
      <c r="K252" s="12">
        <f>'Engineering Assumptions'!$E$33*T252*U252</f>
        <v>82.5</v>
      </c>
      <c r="L252" s="13">
        <f t="shared" si="36"/>
        <v>1991</v>
      </c>
      <c r="M252" s="12">
        <f>L252*'Engineering Assumptions'!$B$10</f>
        <v>298.64999999999998</v>
      </c>
      <c r="N252" s="13">
        <f t="shared" si="37"/>
        <v>2289.65</v>
      </c>
      <c r="O252" s="12">
        <f>N252*'Engineering Assumptions'!$B$11</f>
        <v>457.93000000000006</v>
      </c>
      <c r="P252" s="156">
        <f t="shared" si="38"/>
        <v>2750</v>
      </c>
      <c r="Q252" s="12">
        <f>'Fleet Pricing'!H252</f>
        <v>1610</v>
      </c>
      <c r="R252" s="45">
        <v>9</v>
      </c>
      <c r="S252" s="49">
        <v>1.25</v>
      </c>
      <c r="T252" s="49">
        <v>0.75</v>
      </c>
      <c r="U252" s="49">
        <v>1</v>
      </c>
    </row>
    <row r="253" spans="1:21" ht="15" customHeight="1" x14ac:dyDescent="0.3">
      <c r="A253" s="9">
        <v>233</v>
      </c>
      <c r="B253" s="50" t="s">
        <v>481</v>
      </c>
      <c r="C253" s="50" t="s">
        <v>482</v>
      </c>
      <c r="D253" s="50" t="s">
        <v>498</v>
      </c>
      <c r="E253" s="50" t="s">
        <v>499</v>
      </c>
      <c r="F253" s="48" t="s">
        <v>116</v>
      </c>
      <c r="G253" s="9">
        <v>9</v>
      </c>
      <c r="H253" s="12">
        <f>'Engineering Assumptions'!$C$33*'Engineering Assumptions'!$B$5*U253</f>
        <v>1146</v>
      </c>
      <c r="I253" s="12">
        <f>'Engineering Assumptions'!$B$8</f>
        <v>650</v>
      </c>
      <c r="J253" s="12">
        <f>'Engineering Assumptions'!$D$33*S253*U253</f>
        <v>112.5</v>
      </c>
      <c r="K253" s="12">
        <f>'Engineering Assumptions'!$E$33*T253*U253</f>
        <v>82.5</v>
      </c>
      <c r="L253" s="13">
        <f t="shared" si="36"/>
        <v>1991</v>
      </c>
      <c r="M253" s="12">
        <f>L253*'Engineering Assumptions'!$B$10</f>
        <v>298.64999999999998</v>
      </c>
      <c r="N253" s="13">
        <f t="shared" si="37"/>
        <v>2289.65</v>
      </c>
      <c r="O253" s="12">
        <f>N253*'Engineering Assumptions'!$B$11</f>
        <v>457.93000000000006</v>
      </c>
      <c r="P253" s="156">
        <f t="shared" si="38"/>
        <v>2750</v>
      </c>
      <c r="Q253" s="12">
        <f>'Fleet Pricing'!H253</f>
        <v>1610</v>
      </c>
      <c r="R253" s="45">
        <v>9</v>
      </c>
      <c r="S253" s="49">
        <v>1.25</v>
      </c>
      <c r="T253" s="49">
        <v>0.75</v>
      </c>
      <c r="U253" s="49">
        <v>1</v>
      </c>
    </row>
    <row r="254" spans="1:21" ht="15" customHeight="1" x14ac:dyDescent="0.3">
      <c r="A254" s="9">
        <v>234</v>
      </c>
      <c r="B254" s="50" t="s">
        <v>481</v>
      </c>
      <c r="C254" s="50" t="s">
        <v>500</v>
      </c>
      <c r="D254" s="50" t="s">
        <v>501</v>
      </c>
      <c r="E254" s="50" t="s">
        <v>502</v>
      </c>
      <c r="F254" s="48" t="s">
        <v>49</v>
      </c>
      <c r="G254" s="9">
        <v>10</v>
      </c>
      <c r="H254" s="12">
        <f>'Engineering Assumptions'!$C$33*'Engineering Assumptions'!$B$5*U254</f>
        <v>1146</v>
      </c>
      <c r="I254" s="12">
        <f>'Engineering Assumptions'!$B$8</f>
        <v>650</v>
      </c>
      <c r="J254" s="12">
        <f>'Engineering Assumptions'!$D$33*S254*U254</f>
        <v>112.5</v>
      </c>
      <c r="K254" s="12">
        <f>'Engineering Assumptions'!$E$33*T254*U254</f>
        <v>82.5</v>
      </c>
      <c r="L254" s="13">
        <f t="shared" si="36"/>
        <v>1991</v>
      </c>
      <c r="M254" s="12">
        <f>L254*'Engineering Assumptions'!$B$10</f>
        <v>298.64999999999998</v>
      </c>
      <c r="N254" s="13">
        <f t="shared" si="37"/>
        <v>2289.65</v>
      </c>
      <c r="O254" s="12">
        <f>N254*'Engineering Assumptions'!$B$11</f>
        <v>457.93000000000006</v>
      </c>
      <c r="P254" s="156">
        <f t="shared" si="38"/>
        <v>2750</v>
      </c>
      <c r="Q254" s="12">
        <f>'Fleet Pricing'!H254</f>
        <v>1610</v>
      </c>
      <c r="R254" s="45">
        <v>10</v>
      </c>
      <c r="S254" s="49">
        <v>1.25</v>
      </c>
      <c r="T254" s="49">
        <v>0.75</v>
      </c>
      <c r="U254" s="49">
        <v>1</v>
      </c>
    </row>
    <row r="255" spans="1:21" ht="23.25" customHeight="1" x14ac:dyDescent="0.3">
      <c r="A255" s="9">
        <v>235</v>
      </c>
      <c r="B255" s="50" t="s">
        <v>481</v>
      </c>
      <c r="C255" s="50" t="s">
        <v>503</v>
      </c>
      <c r="D255" s="50" t="s">
        <v>504</v>
      </c>
      <c r="E255" s="50" t="s">
        <v>505</v>
      </c>
      <c r="F255" s="48" t="s">
        <v>61</v>
      </c>
      <c r="G255" s="9">
        <v>11</v>
      </c>
      <c r="H255" s="12">
        <f>'Engineering Assumptions'!$C$33*'Engineering Assumptions'!$B$5*U255</f>
        <v>1146</v>
      </c>
      <c r="I255" s="12">
        <f>'Engineering Assumptions'!$B$8</f>
        <v>650</v>
      </c>
      <c r="J255" s="12">
        <f>'Engineering Assumptions'!$D$33*S255*U255</f>
        <v>139.5</v>
      </c>
      <c r="K255" s="12">
        <f>'Engineering Assumptions'!$E$33*T255*U255</f>
        <v>148.5</v>
      </c>
      <c r="L255" s="13">
        <f t="shared" si="36"/>
        <v>2084</v>
      </c>
      <c r="M255" s="12">
        <f>L255*'Engineering Assumptions'!$B$10</f>
        <v>312.59999999999997</v>
      </c>
      <c r="N255" s="13">
        <f t="shared" si="37"/>
        <v>2396.6</v>
      </c>
      <c r="O255" s="12">
        <f>N255*'Engineering Assumptions'!$B$11</f>
        <v>479.32</v>
      </c>
      <c r="P255" s="156">
        <f t="shared" si="38"/>
        <v>2880</v>
      </c>
      <c r="Q255" s="12">
        <f>'Fleet Pricing'!H255</f>
        <v>1610</v>
      </c>
      <c r="R255" s="45">
        <v>11</v>
      </c>
      <c r="S255" s="49">
        <v>1.55</v>
      </c>
      <c r="T255" s="49">
        <v>1.35</v>
      </c>
      <c r="U255" s="49">
        <v>1</v>
      </c>
    </row>
    <row r="256" spans="1:21" ht="15" customHeight="1" x14ac:dyDescent="0.3">
      <c r="A256" s="9">
        <v>236</v>
      </c>
      <c r="B256" s="50" t="s">
        <v>481</v>
      </c>
      <c r="C256" s="50" t="s">
        <v>482</v>
      </c>
      <c r="D256" s="50" t="s">
        <v>506</v>
      </c>
      <c r="E256" s="50" t="s">
        <v>507</v>
      </c>
      <c r="F256" s="48" t="s">
        <v>66</v>
      </c>
      <c r="G256" s="9">
        <v>14</v>
      </c>
      <c r="H256" s="12">
        <f>'Engineering Assumptions'!$C$33*'Engineering Assumptions'!$B$5*U256</f>
        <v>1146</v>
      </c>
      <c r="I256" s="12">
        <f>'Engineering Assumptions'!$B$8</f>
        <v>650</v>
      </c>
      <c r="J256" s="12">
        <f>'Engineering Assumptions'!$D$33*S256*U256</f>
        <v>139.5</v>
      </c>
      <c r="K256" s="12">
        <f>'Engineering Assumptions'!$E$33*T256*U256</f>
        <v>148.5</v>
      </c>
      <c r="L256" s="13">
        <f t="shared" si="36"/>
        <v>2084</v>
      </c>
      <c r="M256" s="12">
        <f>L256*'Engineering Assumptions'!$B$10</f>
        <v>312.59999999999997</v>
      </c>
      <c r="N256" s="13">
        <f t="shared" si="37"/>
        <v>2396.6</v>
      </c>
      <c r="O256" s="12">
        <f>N256*'Engineering Assumptions'!$B$11</f>
        <v>479.32</v>
      </c>
      <c r="P256" s="156">
        <f t="shared" si="38"/>
        <v>2880</v>
      </c>
      <c r="Q256" s="12">
        <f>'Fleet Pricing'!H256</f>
        <v>1440</v>
      </c>
      <c r="R256" s="45">
        <v>14</v>
      </c>
      <c r="S256" s="49">
        <v>1.55</v>
      </c>
      <c r="T256" s="49">
        <v>1.35</v>
      </c>
      <c r="U256" s="49">
        <v>1</v>
      </c>
    </row>
    <row r="257" spans="1:21" ht="23.25" customHeight="1" x14ac:dyDescent="0.3">
      <c r="A257" s="9">
        <v>237</v>
      </c>
      <c r="B257" s="50" t="s">
        <v>481</v>
      </c>
      <c r="C257" s="50" t="s">
        <v>503</v>
      </c>
      <c r="D257" s="50" t="s">
        <v>508</v>
      </c>
      <c r="E257" s="50" t="s">
        <v>509</v>
      </c>
      <c r="F257" s="48" t="s">
        <v>458</v>
      </c>
      <c r="G257" s="9">
        <v>15</v>
      </c>
      <c r="H257" s="12">
        <f>'Engineering Assumptions'!$C$33*'Engineering Assumptions'!$B$5*U257</f>
        <v>1146</v>
      </c>
      <c r="I257" s="12">
        <f>'Engineering Assumptions'!$B$8</f>
        <v>650</v>
      </c>
      <c r="J257" s="12">
        <f>'Engineering Assumptions'!$D$33*S257*U257</f>
        <v>139.5</v>
      </c>
      <c r="K257" s="12">
        <f>'Engineering Assumptions'!$E$33*T257*U257</f>
        <v>148.5</v>
      </c>
      <c r="L257" s="13">
        <f t="shared" si="36"/>
        <v>2084</v>
      </c>
      <c r="M257" s="12">
        <f>L257*'Engineering Assumptions'!$B$10</f>
        <v>312.59999999999997</v>
      </c>
      <c r="N257" s="13">
        <f t="shared" si="37"/>
        <v>2396.6</v>
      </c>
      <c r="O257" s="12">
        <f>N257*'Engineering Assumptions'!$B$11</f>
        <v>479.32</v>
      </c>
      <c r="P257" s="156">
        <f t="shared" si="38"/>
        <v>2880</v>
      </c>
      <c r="Q257" s="12">
        <f>'Fleet Pricing'!H257</f>
        <v>1440</v>
      </c>
      <c r="R257" s="45">
        <v>15</v>
      </c>
      <c r="S257" s="49">
        <v>1.55</v>
      </c>
      <c r="T257" s="49">
        <v>1.35</v>
      </c>
      <c r="U257" s="49">
        <v>1</v>
      </c>
    </row>
    <row r="258" spans="1:21" ht="15" customHeight="1" x14ac:dyDescent="0.3">
      <c r="A258" s="9">
        <v>238</v>
      </c>
      <c r="B258" s="50" t="s">
        <v>481</v>
      </c>
      <c r="C258" s="50" t="s">
        <v>510</v>
      </c>
      <c r="D258" s="50" t="s">
        <v>511</v>
      </c>
      <c r="E258" s="50" t="s">
        <v>512</v>
      </c>
      <c r="F258" s="48" t="s">
        <v>335</v>
      </c>
      <c r="G258" s="9">
        <v>18</v>
      </c>
      <c r="H258" s="12">
        <f>'Engineering Assumptions'!$C$33*'Engineering Assumptions'!$B$5*U258</f>
        <v>1146</v>
      </c>
      <c r="I258" s="12">
        <f>'Engineering Assumptions'!$B$8</f>
        <v>650</v>
      </c>
      <c r="J258" s="12">
        <f>'Engineering Assumptions'!$D$33*S258*U258</f>
        <v>175.5</v>
      </c>
      <c r="K258" s="12">
        <f>'Engineering Assumptions'!$E$33*T258*U258</f>
        <v>231</v>
      </c>
      <c r="L258" s="13">
        <f t="shared" si="36"/>
        <v>2202.5</v>
      </c>
      <c r="M258" s="12">
        <f>L258*'Engineering Assumptions'!$B$10</f>
        <v>330.375</v>
      </c>
      <c r="N258" s="13">
        <f t="shared" si="37"/>
        <v>2532.875</v>
      </c>
      <c r="O258" s="12">
        <f>N258*'Engineering Assumptions'!$B$11</f>
        <v>506.57500000000005</v>
      </c>
      <c r="P258" s="156">
        <f t="shared" si="38"/>
        <v>3040</v>
      </c>
      <c r="Q258" s="12">
        <f>'Fleet Pricing'!H258</f>
        <v>1260</v>
      </c>
      <c r="R258" s="45">
        <v>18</v>
      </c>
      <c r="S258" s="49">
        <v>1.95</v>
      </c>
      <c r="T258" s="49">
        <v>2.1</v>
      </c>
      <c r="U258" s="49">
        <v>1</v>
      </c>
    </row>
    <row r="259" spans="1:21" ht="15" customHeight="1" x14ac:dyDescent="0.3">
      <c r="A259" s="9">
        <v>239</v>
      </c>
      <c r="B259" s="50" t="s">
        <v>481</v>
      </c>
      <c r="C259" s="50" t="s">
        <v>513</v>
      </c>
      <c r="D259" s="50" t="s">
        <v>514</v>
      </c>
      <c r="E259" s="50" t="s">
        <v>515</v>
      </c>
      <c r="F259" s="48" t="s">
        <v>335</v>
      </c>
      <c r="G259" s="9">
        <v>18</v>
      </c>
      <c r="H259" s="12">
        <f>'Engineering Assumptions'!$C$33*'Engineering Assumptions'!$B$5*U259</f>
        <v>1146</v>
      </c>
      <c r="I259" s="12">
        <f>'Engineering Assumptions'!$B$8</f>
        <v>650</v>
      </c>
      <c r="J259" s="12">
        <f>'Engineering Assumptions'!$D$33*S259*U259</f>
        <v>175.5</v>
      </c>
      <c r="K259" s="12">
        <f>'Engineering Assumptions'!$E$33*T259*U259</f>
        <v>231</v>
      </c>
      <c r="L259" s="13">
        <f t="shared" si="36"/>
        <v>2202.5</v>
      </c>
      <c r="M259" s="12">
        <f>L259*'Engineering Assumptions'!$B$10</f>
        <v>330.375</v>
      </c>
      <c r="N259" s="13">
        <f t="shared" si="37"/>
        <v>2532.875</v>
      </c>
      <c r="O259" s="12">
        <f>N259*'Engineering Assumptions'!$B$11</f>
        <v>506.57500000000005</v>
      </c>
      <c r="P259" s="156">
        <f t="shared" si="38"/>
        <v>3040</v>
      </c>
      <c r="Q259" s="12">
        <f>'Fleet Pricing'!H259</f>
        <v>1260</v>
      </c>
      <c r="R259" s="45">
        <v>18</v>
      </c>
      <c r="S259" s="49">
        <v>1.95</v>
      </c>
      <c r="T259" s="49">
        <v>2.1</v>
      </c>
      <c r="U259" s="49">
        <v>1</v>
      </c>
    </row>
    <row r="260" spans="1:21" ht="15" customHeight="1" x14ac:dyDescent="0.3">
      <c r="A260" s="9">
        <v>240</v>
      </c>
      <c r="B260" s="50" t="s">
        <v>481</v>
      </c>
      <c r="C260" s="50" t="s">
        <v>513</v>
      </c>
      <c r="D260" s="50" t="s">
        <v>516</v>
      </c>
      <c r="E260" s="50" t="s">
        <v>517</v>
      </c>
      <c r="F260" s="48" t="s">
        <v>518</v>
      </c>
      <c r="G260" s="9">
        <v>19</v>
      </c>
      <c r="H260" s="12">
        <f>'Engineering Assumptions'!$C$33*'Engineering Assumptions'!$B$5*U260</f>
        <v>1146</v>
      </c>
      <c r="I260" s="12">
        <f>'Engineering Assumptions'!$B$8</f>
        <v>650</v>
      </c>
      <c r="J260" s="12">
        <f>'Engineering Assumptions'!$D$33*S260*U260</f>
        <v>175.5</v>
      </c>
      <c r="K260" s="12">
        <f>'Engineering Assumptions'!$E$33*T260*U260</f>
        <v>231</v>
      </c>
      <c r="L260" s="13">
        <f t="shared" si="36"/>
        <v>2202.5</v>
      </c>
      <c r="M260" s="12">
        <f>L260*'Engineering Assumptions'!$B$10</f>
        <v>330.375</v>
      </c>
      <c r="N260" s="13">
        <f t="shared" si="37"/>
        <v>2532.875</v>
      </c>
      <c r="O260" s="12">
        <f>N260*'Engineering Assumptions'!$B$11</f>
        <v>506.57500000000005</v>
      </c>
      <c r="P260" s="156">
        <f t="shared" si="38"/>
        <v>3040</v>
      </c>
      <c r="Q260" s="12">
        <f>'Fleet Pricing'!H260</f>
        <v>1260</v>
      </c>
      <c r="R260" s="45">
        <v>19</v>
      </c>
      <c r="S260" s="49">
        <v>1.95</v>
      </c>
      <c r="T260" s="49">
        <v>2.1</v>
      </c>
      <c r="U260" s="49">
        <v>1</v>
      </c>
    </row>
    <row r="261" spans="1:21" ht="15" customHeight="1" x14ac:dyDescent="0.3">
      <c r="A261" s="9">
        <v>241</v>
      </c>
      <c r="B261" s="50" t="s">
        <v>481</v>
      </c>
      <c r="C261" s="50" t="s">
        <v>482</v>
      </c>
      <c r="D261" s="50" t="s">
        <v>519</v>
      </c>
      <c r="E261" s="50" t="s">
        <v>520</v>
      </c>
      <c r="F261" s="48" t="s">
        <v>518</v>
      </c>
      <c r="G261" s="9">
        <v>19</v>
      </c>
      <c r="H261" s="12">
        <f>'Engineering Assumptions'!$C$33*'Engineering Assumptions'!$B$5*U261</f>
        <v>1146</v>
      </c>
      <c r="I261" s="12">
        <f>'Engineering Assumptions'!$B$8</f>
        <v>650</v>
      </c>
      <c r="J261" s="12">
        <f>'Engineering Assumptions'!$D$33*S261*U261</f>
        <v>175.5</v>
      </c>
      <c r="K261" s="12">
        <f>'Engineering Assumptions'!$E$33*T261*U261</f>
        <v>231</v>
      </c>
      <c r="L261" s="13">
        <f t="shared" si="36"/>
        <v>2202.5</v>
      </c>
      <c r="M261" s="12">
        <f>L261*'Engineering Assumptions'!$B$10</f>
        <v>330.375</v>
      </c>
      <c r="N261" s="13">
        <f t="shared" si="37"/>
        <v>2532.875</v>
      </c>
      <c r="O261" s="12">
        <f>N261*'Engineering Assumptions'!$B$11</f>
        <v>506.57500000000005</v>
      </c>
      <c r="P261" s="156">
        <f t="shared" si="38"/>
        <v>3040</v>
      </c>
      <c r="Q261" s="12">
        <f>'Fleet Pricing'!H261</f>
        <v>1260</v>
      </c>
      <c r="R261" s="45">
        <v>19</v>
      </c>
      <c r="S261" s="49">
        <v>1.95</v>
      </c>
      <c r="T261" s="49">
        <v>2.1</v>
      </c>
      <c r="U261" s="49">
        <v>1</v>
      </c>
    </row>
    <row r="262" spans="1:21" ht="15" customHeight="1" x14ac:dyDescent="0.3">
      <c r="A262" s="9">
        <v>242</v>
      </c>
      <c r="B262" s="50" t="s">
        <v>481</v>
      </c>
      <c r="C262" s="50" t="s">
        <v>521</v>
      </c>
      <c r="D262" s="50" t="s">
        <v>522</v>
      </c>
      <c r="E262" s="50" t="s">
        <v>523</v>
      </c>
      <c r="F262" s="48" t="s">
        <v>518</v>
      </c>
      <c r="G262" s="9">
        <v>19</v>
      </c>
      <c r="H262" s="12">
        <f>'Engineering Assumptions'!$C$33*'Engineering Assumptions'!$B$5*U262</f>
        <v>1146</v>
      </c>
      <c r="I262" s="12">
        <f>'Engineering Assumptions'!$B$8</f>
        <v>650</v>
      </c>
      <c r="J262" s="12">
        <f>'Engineering Assumptions'!$D$33*S262*U262</f>
        <v>175.5</v>
      </c>
      <c r="K262" s="12">
        <f>'Engineering Assumptions'!$E$33*T262*U262</f>
        <v>231</v>
      </c>
      <c r="L262" s="13">
        <f t="shared" si="36"/>
        <v>2202.5</v>
      </c>
      <c r="M262" s="12">
        <f>L262*'Engineering Assumptions'!$B$10</f>
        <v>330.375</v>
      </c>
      <c r="N262" s="13">
        <f t="shared" si="37"/>
        <v>2532.875</v>
      </c>
      <c r="O262" s="12">
        <f>N262*'Engineering Assumptions'!$B$11</f>
        <v>506.57500000000005</v>
      </c>
      <c r="P262" s="156">
        <f t="shared" si="38"/>
        <v>3040</v>
      </c>
      <c r="Q262" s="12">
        <f>'Fleet Pricing'!H262</f>
        <v>1260</v>
      </c>
      <c r="R262" s="45">
        <v>19</v>
      </c>
      <c r="S262" s="49">
        <v>1.95</v>
      </c>
      <c r="T262" s="49">
        <v>2.1</v>
      </c>
      <c r="U262" s="49">
        <v>1</v>
      </c>
    </row>
    <row r="263" spans="1:21" ht="15" customHeight="1" x14ac:dyDescent="0.3">
      <c r="A263" s="9">
        <v>243</v>
      </c>
      <c r="B263" s="50" t="s">
        <v>481</v>
      </c>
      <c r="C263" s="50" t="s">
        <v>482</v>
      </c>
      <c r="D263" s="50" t="s">
        <v>524</v>
      </c>
      <c r="E263" s="50" t="s">
        <v>525</v>
      </c>
      <c r="F263" s="48" t="s">
        <v>440</v>
      </c>
      <c r="G263" s="9">
        <v>21</v>
      </c>
      <c r="H263" s="12">
        <f>'Engineering Assumptions'!$C$33*'Engineering Assumptions'!$B$5*U263</f>
        <v>1146</v>
      </c>
      <c r="I263" s="12">
        <f>'Engineering Assumptions'!$B$8</f>
        <v>650</v>
      </c>
      <c r="J263" s="12">
        <f>'Engineering Assumptions'!$D$33*S263*U263</f>
        <v>216</v>
      </c>
      <c r="K263" s="12">
        <f>'Engineering Assumptions'!$E$33*T263*U263</f>
        <v>330</v>
      </c>
      <c r="L263" s="13">
        <f t="shared" si="36"/>
        <v>2342</v>
      </c>
      <c r="M263" s="12">
        <f>L263*'Engineering Assumptions'!$B$10</f>
        <v>351.3</v>
      </c>
      <c r="N263" s="13">
        <f t="shared" si="37"/>
        <v>2693.3</v>
      </c>
      <c r="O263" s="12">
        <f>N263*'Engineering Assumptions'!$B$11</f>
        <v>538.66000000000008</v>
      </c>
      <c r="P263" s="156">
        <f t="shared" si="38"/>
        <v>3230</v>
      </c>
      <c r="Q263" s="12">
        <f>'Fleet Pricing'!H263</f>
        <v>1260</v>
      </c>
      <c r="R263" s="45">
        <v>21</v>
      </c>
      <c r="S263" s="49">
        <v>2.4</v>
      </c>
      <c r="T263" s="49">
        <v>3</v>
      </c>
      <c r="U263" s="49">
        <v>1</v>
      </c>
    </row>
    <row r="264" spans="1:21" ht="23.25" customHeight="1" x14ac:dyDescent="0.3">
      <c r="A264" s="9">
        <v>244</v>
      </c>
      <c r="B264" s="50" t="s">
        <v>481</v>
      </c>
      <c r="C264" s="50" t="s">
        <v>526</v>
      </c>
      <c r="D264" s="50" t="s">
        <v>527</v>
      </c>
      <c r="E264" s="50" t="s">
        <v>528</v>
      </c>
      <c r="F264" s="48" t="s">
        <v>440</v>
      </c>
      <c r="G264" s="9">
        <v>21</v>
      </c>
      <c r="H264" s="12">
        <f>'Engineering Assumptions'!$C$33*'Engineering Assumptions'!$B$5*U264</f>
        <v>1146</v>
      </c>
      <c r="I264" s="12">
        <f>'Engineering Assumptions'!$B$8</f>
        <v>650</v>
      </c>
      <c r="J264" s="12">
        <f>'Engineering Assumptions'!$D$33*S264*U264</f>
        <v>216</v>
      </c>
      <c r="K264" s="12">
        <f>'Engineering Assumptions'!$E$33*T264*U264</f>
        <v>330</v>
      </c>
      <c r="L264" s="13">
        <f t="shared" si="36"/>
        <v>2342</v>
      </c>
      <c r="M264" s="12">
        <f>L264*'Engineering Assumptions'!$B$10</f>
        <v>351.3</v>
      </c>
      <c r="N264" s="13">
        <f t="shared" si="37"/>
        <v>2693.3</v>
      </c>
      <c r="O264" s="12">
        <f>N264*'Engineering Assumptions'!$B$11</f>
        <v>538.66000000000008</v>
      </c>
      <c r="P264" s="156">
        <f t="shared" si="38"/>
        <v>3230</v>
      </c>
      <c r="Q264" s="12">
        <f>'Fleet Pricing'!H264</f>
        <v>1260</v>
      </c>
      <c r="R264" s="45">
        <v>21</v>
      </c>
      <c r="S264" s="49">
        <v>2.4</v>
      </c>
      <c r="T264" s="49">
        <v>3</v>
      </c>
      <c r="U264" s="49">
        <v>1</v>
      </c>
    </row>
    <row r="265" spans="1:21" ht="15" customHeight="1" x14ac:dyDescent="0.3">
      <c r="A265" s="9">
        <v>245</v>
      </c>
      <c r="B265" s="50" t="s">
        <v>481</v>
      </c>
      <c r="C265" s="50" t="s">
        <v>510</v>
      </c>
      <c r="D265" s="50" t="s">
        <v>529</v>
      </c>
      <c r="E265" s="50" t="s">
        <v>530</v>
      </c>
      <c r="F265" s="48" t="s">
        <v>139</v>
      </c>
      <c r="G265" s="9">
        <v>23</v>
      </c>
      <c r="H265" s="12">
        <f>'Engineering Assumptions'!$C$33*'Engineering Assumptions'!$B$5*U265</f>
        <v>1146</v>
      </c>
      <c r="I265" s="12">
        <f>'Engineering Assumptions'!$B$8</f>
        <v>650</v>
      </c>
      <c r="J265" s="12">
        <f>'Engineering Assumptions'!$D$33*S265*U265</f>
        <v>216</v>
      </c>
      <c r="K265" s="12">
        <f>'Engineering Assumptions'!$E$33*T265*U265</f>
        <v>330</v>
      </c>
      <c r="L265" s="13">
        <f t="shared" si="36"/>
        <v>2342</v>
      </c>
      <c r="M265" s="12">
        <f>L265*'Engineering Assumptions'!$B$10</f>
        <v>351.3</v>
      </c>
      <c r="N265" s="13">
        <f t="shared" si="37"/>
        <v>2693.3</v>
      </c>
      <c r="O265" s="12">
        <f>N265*'Engineering Assumptions'!$B$11</f>
        <v>538.66000000000008</v>
      </c>
      <c r="P265" s="156">
        <f t="shared" si="38"/>
        <v>3230</v>
      </c>
      <c r="Q265" s="12">
        <f>'Fleet Pricing'!H265</f>
        <v>1140</v>
      </c>
      <c r="R265" s="45">
        <v>23</v>
      </c>
      <c r="S265" s="49">
        <v>2.4</v>
      </c>
      <c r="T265" s="49">
        <v>3</v>
      </c>
      <c r="U265" s="49">
        <v>1</v>
      </c>
    </row>
    <row r="266" spans="1:21" ht="15" customHeight="1" x14ac:dyDescent="0.3">
      <c r="A266" s="9">
        <v>246</v>
      </c>
      <c r="B266" s="50" t="s">
        <v>481</v>
      </c>
      <c r="C266" s="50" t="s">
        <v>531</v>
      </c>
      <c r="D266" s="50" t="s">
        <v>532</v>
      </c>
      <c r="E266" s="50" t="s">
        <v>533</v>
      </c>
      <c r="F266" s="48" t="s">
        <v>85</v>
      </c>
      <c r="G266" s="9">
        <v>27</v>
      </c>
      <c r="H266" s="12">
        <f>'Engineering Assumptions'!$C$33*'Engineering Assumptions'!$B$5*U266</f>
        <v>1146</v>
      </c>
      <c r="I266" s="12">
        <f>'Engineering Assumptions'!$B$8</f>
        <v>650</v>
      </c>
      <c r="J266" s="12">
        <f>'Engineering Assumptions'!$D$33*S266*U266</f>
        <v>216</v>
      </c>
      <c r="K266" s="12">
        <f>'Engineering Assumptions'!$E$33*T266*U266</f>
        <v>330</v>
      </c>
      <c r="L266" s="13">
        <f t="shared" si="36"/>
        <v>2342</v>
      </c>
      <c r="M266" s="12">
        <f>L266*'Engineering Assumptions'!$B$10</f>
        <v>351.3</v>
      </c>
      <c r="N266" s="13">
        <f t="shared" si="37"/>
        <v>2693.3</v>
      </c>
      <c r="O266" s="12">
        <f>N266*'Engineering Assumptions'!$B$11</f>
        <v>538.66000000000008</v>
      </c>
      <c r="P266" s="156">
        <f t="shared" si="38"/>
        <v>3230</v>
      </c>
      <c r="Q266" s="12">
        <f>'Fleet Pricing'!H266</f>
        <v>1010</v>
      </c>
      <c r="R266" s="45">
        <v>27</v>
      </c>
      <c r="S266" s="49">
        <v>2.4</v>
      </c>
      <c r="T266" s="49">
        <v>3</v>
      </c>
      <c r="U266" s="49">
        <v>1</v>
      </c>
    </row>
    <row r="267" spans="1:21" ht="15" customHeight="1" x14ac:dyDescent="0.3">
      <c r="A267" s="9">
        <v>247</v>
      </c>
      <c r="B267" s="50" t="s">
        <v>481</v>
      </c>
      <c r="C267" s="50" t="s">
        <v>534</v>
      </c>
      <c r="D267" s="50" t="s">
        <v>535</v>
      </c>
      <c r="E267" s="50" t="s">
        <v>536</v>
      </c>
      <c r="F267" s="48" t="s">
        <v>537</v>
      </c>
      <c r="G267" s="9">
        <v>29</v>
      </c>
      <c r="H267" s="12">
        <f>'Engineering Assumptions'!$C$33*'Engineering Assumptions'!$B$5*U267</f>
        <v>1146</v>
      </c>
      <c r="I267" s="12">
        <f>'Engineering Assumptions'!$B$8</f>
        <v>650</v>
      </c>
      <c r="J267" s="12">
        <f>'Engineering Assumptions'!$D$33*S267*U267</f>
        <v>216</v>
      </c>
      <c r="K267" s="12">
        <f>'Engineering Assumptions'!$E$33*T267*U267</f>
        <v>330</v>
      </c>
      <c r="L267" s="13">
        <f t="shared" si="36"/>
        <v>2342</v>
      </c>
      <c r="M267" s="12">
        <f>L267*'Engineering Assumptions'!$B$10</f>
        <v>351.3</v>
      </c>
      <c r="N267" s="13">
        <f t="shared" si="37"/>
        <v>2693.3</v>
      </c>
      <c r="O267" s="12">
        <f>N267*'Engineering Assumptions'!$B$11</f>
        <v>538.66000000000008</v>
      </c>
      <c r="P267" s="156">
        <f t="shared" si="38"/>
        <v>3230</v>
      </c>
      <c r="Q267" s="12">
        <f>'Fleet Pricing'!H267</f>
        <v>1010</v>
      </c>
      <c r="R267" s="45">
        <v>29</v>
      </c>
      <c r="S267" s="49">
        <v>2.4</v>
      </c>
      <c r="T267" s="49">
        <v>3</v>
      </c>
      <c r="U267" s="49">
        <v>1</v>
      </c>
    </row>
    <row r="268" spans="1:21" ht="15" customHeight="1" x14ac:dyDescent="0.3">
      <c r="A268" s="9">
        <v>248</v>
      </c>
      <c r="B268" s="50" t="s">
        <v>481</v>
      </c>
      <c r="C268" s="50" t="s">
        <v>538</v>
      </c>
      <c r="D268" s="50" t="s">
        <v>539</v>
      </c>
      <c r="E268" s="50" t="s">
        <v>540</v>
      </c>
      <c r="F268" s="48" t="s">
        <v>541</v>
      </c>
      <c r="G268" s="9">
        <v>41</v>
      </c>
      <c r="H268" s="12">
        <f>'Engineering Assumptions'!$C$33*'Engineering Assumptions'!$B$5*U268</f>
        <v>1146</v>
      </c>
      <c r="I268" s="12">
        <f>'Engineering Assumptions'!$B$8</f>
        <v>650</v>
      </c>
      <c r="J268" s="12">
        <f>'Engineering Assumptions'!$D$33*S268*U268</f>
        <v>216</v>
      </c>
      <c r="K268" s="12">
        <f>'Engineering Assumptions'!$E$33*T268*U268</f>
        <v>330</v>
      </c>
      <c r="L268" s="13">
        <f t="shared" si="36"/>
        <v>2342</v>
      </c>
      <c r="M268" s="12">
        <f>L268*'Engineering Assumptions'!$B$10</f>
        <v>351.3</v>
      </c>
      <c r="N268" s="13">
        <f t="shared" si="37"/>
        <v>2693.3</v>
      </c>
      <c r="O268" s="12">
        <f>N268*'Engineering Assumptions'!$B$11</f>
        <v>538.66000000000008</v>
      </c>
      <c r="P268" s="156">
        <f t="shared" si="38"/>
        <v>3230</v>
      </c>
      <c r="Q268" s="12">
        <f>'Fleet Pricing'!H268</f>
        <v>1010</v>
      </c>
      <c r="R268" s="45">
        <v>41</v>
      </c>
      <c r="S268" s="49">
        <v>2.4</v>
      </c>
      <c r="T268" s="49">
        <v>3</v>
      </c>
      <c r="U268" s="49">
        <v>1</v>
      </c>
    </row>
    <row r="269" spans="1:21" ht="15" customHeight="1" x14ac:dyDescent="0.3">
      <c r="A269" s="9">
        <v>249</v>
      </c>
      <c r="B269" s="50" t="s">
        <v>481</v>
      </c>
      <c r="C269" s="50" t="s">
        <v>538</v>
      </c>
      <c r="D269" s="50" t="s">
        <v>542</v>
      </c>
      <c r="E269" s="50" t="s">
        <v>543</v>
      </c>
      <c r="F269" s="48" t="s">
        <v>195</v>
      </c>
      <c r="G269" s="9">
        <v>30</v>
      </c>
      <c r="H269" s="12">
        <f>'Engineering Assumptions'!$C$33*'Engineering Assumptions'!$B$5*U269</f>
        <v>1146</v>
      </c>
      <c r="I269" s="12">
        <f>'Engineering Assumptions'!$B$8</f>
        <v>650</v>
      </c>
      <c r="J269" s="12">
        <f>'Engineering Assumptions'!$D$33*S269*U269</f>
        <v>216</v>
      </c>
      <c r="K269" s="12">
        <f>'Engineering Assumptions'!$E$33*T269*U269</f>
        <v>330</v>
      </c>
      <c r="L269" s="13">
        <f t="shared" si="36"/>
        <v>2342</v>
      </c>
      <c r="M269" s="12">
        <f>L269*'Engineering Assumptions'!$B$10</f>
        <v>351.3</v>
      </c>
      <c r="N269" s="13">
        <f t="shared" si="37"/>
        <v>2693.3</v>
      </c>
      <c r="O269" s="12">
        <f>N269*'Engineering Assumptions'!$B$11</f>
        <v>538.66000000000008</v>
      </c>
      <c r="P269" s="156">
        <f t="shared" si="38"/>
        <v>3230</v>
      </c>
      <c r="Q269" s="12">
        <f>'Fleet Pricing'!H269</f>
        <v>1010</v>
      </c>
      <c r="R269" s="45">
        <v>30</v>
      </c>
      <c r="S269" s="49">
        <v>2.4</v>
      </c>
      <c r="T269" s="49">
        <v>3</v>
      </c>
      <c r="U269" s="49">
        <v>1</v>
      </c>
    </row>
    <row r="270" spans="1:21" ht="15" customHeight="1" x14ac:dyDescent="0.3">
      <c r="A270" s="9">
        <v>250</v>
      </c>
      <c r="B270" s="50" t="s">
        <v>481</v>
      </c>
      <c r="C270" s="50" t="s">
        <v>544</v>
      </c>
      <c r="D270" s="50"/>
      <c r="E270" s="50"/>
      <c r="F270" s="48" t="s">
        <v>195</v>
      </c>
      <c r="G270" s="9">
        <v>30</v>
      </c>
      <c r="H270" s="12">
        <f>'Engineering Assumptions'!$C$33*'Engineering Assumptions'!$B$5*U270</f>
        <v>1146</v>
      </c>
      <c r="I270" s="12">
        <f>'Engineering Assumptions'!$B$8</f>
        <v>650</v>
      </c>
      <c r="J270" s="12">
        <f>'Engineering Assumptions'!$D$33*S270*U270</f>
        <v>216</v>
      </c>
      <c r="K270" s="12">
        <f>'Engineering Assumptions'!$E$33*T270*U270</f>
        <v>330</v>
      </c>
      <c r="L270" s="13">
        <f t="shared" si="36"/>
        <v>2342</v>
      </c>
      <c r="M270" s="12">
        <f>L270*'Engineering Assumptions'!$B$10</f>
        <v>351.3</v>
      </c>
      <c r="N270" s="13">
        <f t="shared" si="37"/>
        <v>2693.3</v>
      </c>
      <c r="O270" s="12">
        <f>N270*'Engineering Assumptions'!$B$11</f>
        <v>538.66000000000008</v>
      </c>
      <c r="P270" s="156">
        <f t="shared" si="38"/>
        <v>3230</v>
      </c>
      <c r="Q270" s="12">
        <f>'Fleet Pricing'!H270</f>
        <v>1010</v>
      </c>
      <c r="R270" s="45">
        <v>30</v>
      </c>
      <c r="S270" s="49">
        <v>2.4</v>
      </c>
      <c r="T270" s="49">
        <v>3</v>
      </c>
      <c r="U270" s="49">
        <v>1</v>
      </c>
    </row>
    <row r="271" spans="1:21" ht="15" customHeight="1" x14ac:dyDescent="0.3">
      <c r="A271" s="199" t="s">
        <v>545</v>
      </c>
      <c r="B271" s="200"/>
      <c r="C271" s="200"/>
      <c r="D271" s="200"/>
      <c r="E271" s="200"/>
      <c r="F271" s="200"/>
      <c r="G271" s="200"/>
      <c r="H271" s="200"/>
      <c r="I271" s="200"/>
      <c r="J271" s="200"/>
      <c r="K271" s="200"/>
      <c r="L271" s="200"/>
      <c r="M271" s="200"/>
      <c r="N271" s="200"/>
      <c r="O271" s="200"/>
      <c r="P271" s="200"/>
      <c r="Q271" s="200"/>
    </row>
    <row r="272" spans="1:21" ht="15" customHeight="1" x14ac:dyDescent="0.3">
      <c r="A272" s="9">
        <v>251</v>
      </c>
      <c r="B272" s="50" t="s">
        <v>546</v>
      </c>
      <c r="C272" s="50" t="s">
        <v>547</v>
      </c>
      <c r="D272" s="50" t="s">
        <v>548</v>
      </c>
      <c r="E272" s="50" t="s">
        <v>549</v>
      </c>
      <c r="F272" s="48" t="s">
        <v>73</v>
      </c>
      <c r="G272" s="9">
        <v>20</v>
      </c>
      <c r="H272" s="12">
        <f>'Engineering Assumptions'!$C$34*'Engineering Assumptions'!$B$5*U272</f>
        <v>955</v>
      </c>
      <c r="I272" s="12">
        <f>'Engineering Assumptions'!$B$8</f>
        <v>650</v>
      </c>
      <c r="J272" s="12">
        <f>'Engineering Assumptions'!$D$34*S272*U272</f>
        <v>136.5</v>
      </c>
      <c r="K272" s="12">
        <f>'Engineering Assumptions'!$E$34*T272*U272</f>
        <v>189</v>
      </c>
      <c r="L272" s="13">
        <f>H272+I272+J272+K272</f>
        <v>1930.5</v>
      </c>
      <c r="M272" s="12">
        <f>L272*'Engineering Assumptions'!$B$10</f>
        <v>289.57499999999999</v>
      </c>
      <c r="N272" s="13">
        <f>L272+M272</f>
        <v>2220.0749999999998</v>
      </c>
      <c r="O272" s="12">
        <f>N272*'Engineering Assumptions'!$B$11</f>
        <v>444.01499999999999</v>
      </c>
      <c r="P272" s="156">
        <f>MROUND(N272+O272,10)</f>
        <v>2660</v>
      </c>
      <c r="Q272" s="12">
        <f>'Fleet Pricing'!H272</f>
        <v>1150</v>
      </c>
      <c r="R272" s="45">
        <v>20</v>
      </c>
      <c r="S272" s="49">
        <v>1.95</v>
      </c>
      <c r="T272" s="49">
        <v>2.1</v>
      </c>
      <c r="U272" s="49">
        <v>1</v>
      </c>
    </row>
    <row r="273" spans="1:21" ht="15" customHeight="1" x14ac:dyDescent="0.3">
      <c r="A273" s="9">
        <v>252</v>
      </c>
      <c r="B273" s="50" t="s">
        <v>546</v>
      </c>
      <c r="C273" s="50" t="s">
        <v>550</v>
      </c>
      <c r="D273" s="50"/>
      <c r="E273" s="50"/>
      <c r="F273" s="48" t="s">
        <v>551</v>
      </c>
      <c r="G273" s="9">
        <v>37</v>
      </c>
      <c r="H273" s="12">
        <f>'Engineering Assumptions'!$C$34*'Engineering Assumptions'!$B$5*U273</f>
        <v>955</v>
      </c>
      <c r="I273" s="12">
        <f>'Engineering Assumptions'!$B$8</f>
        <v>650</v>
      </c>
      <c r="J273" s="12">
        <f>'Engineering Assumptions'!$D$34*S273*U273</f>
        <v>168</v>
      </c>
      <c r="K273" s="12">
        <f>'Engineering Assumptions'!$E$34*T273*U273</f>
        <v>270</v>
      </c>
      <c r="L273" s="13">
        <f>H273+I273+J273+K273</f>
        <v>2043</v>
      </c>
      <c r="M273" s="12">
        <f>L273*'Engineering Assumptions'!$B$10</f>
        <v>306.45</v>
      </c>
      <c r="N273" s="13">
        <f>L273+M273</f>
        <v>2349.4499999999998</v>
      </c>
      <c r="O273" s="12">
        <f>N273*'Engineering Assumptions'!$B$11</f>
        <v>469.89</v>
      </c>
      <c r="P273" s="156">
        <f>MROUND(N273+O273,10)</f>
        <v>2820</v>
      </c>
      <c r="Q273" s="12">
        <f>'Fleet Pricing'!H273</f>
        <v>930</v>
      </c>
      <c r="R273" s="45">
        <v>37</v>
      </c>
      <c r="S273" s="49">
        <v>2.4</v>
      </c>
      <c r="T273" s="49">
        <v>3</v>
      </c>
      <c r="U273" s="49">
        <v>1</v>
      </c>
    </row>
    <row r="274" spans="1:21" ht="15" customHeight="1" x14ac:dyDescent="0.3">
      <c r="A274" s="9">
        <v>253</v>
      </c>
      <c r="B274" s="50" t="s">
        <v>546</v>
      </c>
      <c r="C274" s="50" t="s">
        <v>552</v>
      </c>
      <c r="D274" s="50"/>
      <c r="E274" s="50"/>
      <c r="F274" s="48" t="s">
        <v>553</v>
      </c>
      <c r="G274" s="9">
        <v>39</v>
      </c>
      <c r="H274" s="12">
        <f>'Engineering Assumptions'!$C$34*'Engineering Assumptions'!$B$5*U274</f>
        <v>955</v>
      </c>
      <c r="I274" s="12">
        <f>'Engineering Assumptions'!$B$8</f>
        <v>650</v>
      </c>
      <c r="J274" s="12">
        <f>'Engineering Assumptions'!$D$34*S274*U274</f>
        <v>168</v>
      </c>
      <c r="K274" s="12">
        <f>'Engineering Assumptions'!$E$34*T274*U274</f>
        <v>270</v>
      </c>
      <c r="L274" s="13">
        <f>H274+I274+J274+K274</f>
        <v>2043</v>
      </c>
      <c r="M274" s="12">
        <f>L274*'Engineering Assumptions'!$B$10</f>
        <v>306.45</v>
      </c>
      <c r="N274" s="13">
        <f>L274+M274</f>
        <v>2349.4499999999998</v>
      </c>
      <c r="O274" s="12">
        <f>N274*'Engineering Assumptions'!$B$11</f>
        <v>469.89</v>
      </c>
      <c r="P274" s="156">
        <f>MROUND(N274+O274,10)</f>
        <v>2820</v>
      </c>
      <c r="Q274" s="12">
        <f>'Fleet Pricing'!H274</f>
        <v>930</v>
      </c>
      <c r="R274" s="45">
        <v>39</v>
      </c>
      <c r="S274" s="49">
        <v>2.4</v>
      </c>
      <c r="T274" s="49">
        <v>3</v>
      </c>
      <c r="U274" s="49">
        <v>1</v>
      </c>
    </row>
    <row r="275" spans="1:21" ht="15" customHeight="1" x14ac:dyDescent="0.3">
      <c r="A275" s="199" t="s">
        <v>554</v>
      </c>
      <c r="B275" s="200"/>
      <c r="C275" s="200"/>
      <c r="D275" s="200"/>
      <c r="E275" s="200"/>
      <c r="F275" s="200"/>
      <c r="G275" s="200"/>
      <c r="H275" s="200"/>
      <c r="I275" s="200"/>
      <c r="J275" s="200"/>
      <c r="K275" s="200"/>
      <c r="L275" s="200"/>
      <c r="M275" s="200"/>
      <c r="N275" s="200"/>
      <c r="O275" s="200"/>
      <c r="P275" s="200"/>
      <c r="Q275" s="200"/>
    </row>
    <row r="276" spans="1:21" ht="15" customHeight="1" x14ac:dyDescent="0.3">
      <c r="A276" s="9">
        <v>254</v>
      </c>
      <c r="B276" s="50" t="s">
        <v>555</v>
      </c>
      <c r="C276" s="50" t="s">
        <v>556</v>
      </c>
      <c r="D276" s="50" t="s">
        <v>557</v>
      </c>
      <c r="E276" s="50" t="s">
        <v>558</v>
      </c>
      <c r="F276" s="48" t="s">
        <v>45</v>
      </c>
      <c r="G276" s="9">
        <v>7</v>
      </c>
      <c r="H276" s="12">
        <f>'Engineering Assumptions'!$C$35*'Engineering Assumptions'!$B$5*U276</f>
        <v>1146</v>
      </c>
      <c r="I276" s="12">
        <f>'Engineering Assumptions'!$B$8</f>
        <v>650</v>
      </c>
      <c r="J276" s="12">
        <f>'Engineering Assumptions'!$D$35*S276*U276</f>
        <v>100</v>
      </c>
      <c r="K276" s="12">
        <f>'Engineering Assumptions'!$E$35*T276*U276</f>
        <v>75</v>
      </c>
      <c r="L276" s="13">
        <f t="shared" ref="L276:L286" si="39">H276+I276+J276+K276</f>
        <v>1971</v>
      </c>
      <c r="M276" s="12">
        <f>L276*'Engineering Assumptions'!$B$10</f>
        <v>295.64999999999998</v>
      </c>
      <c r="N276" s="13">
        <f t="shared" ref="N276:N286" si="40">L276+M276</f>
        <v>2266.65</v>
      </c>
      <c r="O276" s="12">
        <f>N276*'Engineering Assumptions'!$B$11</f>
        <v>453.33000000000004</v>
      </c>
      <c r="P276" s="156">
        <f t="shared" ref="P276:P286" si="41">MROUND(N276+O276,10)</f>
        <v>2720</v>
      </c>
      <c r="Q276" s="12">
        <f>'Fleet Pricing'!H276</f>
        <v>1290</v>
      </c>
      <c r="R276" s="45">
        <v>7</v>
      </c>
      <c r="S276" s="49">
        <v>1.25</v>
      </c>
      <c r="T276" s="49">
        <v>0.75</v>
      </c>
      <c r="U276" s="49">
        <v>1</v>
      </c>
    </row>
    <row r="277" spans="1:21" ht="15" customHeight="1" x14ac:dyDescent="0.3">
      <c r="A277" s="9">
        <v>255</v>
      </c>
      <c r="B277" s="50" t="s">
        <v>555</v>
      </c>
      <c r="C277" s="50" t="s">
        <v>559</v>
      </c>
      <c r="D277" s="50" t="s">
        <v>560</v>
      </c>
      <c r="E277" s="50" t="s">
        <v>561</v>
      </c>
      <c r="F277" s="48" t="s">
        <v>165</v>
      </c>
      <c r="G277" s="9">
        <v>8</v>
      </c>
      <c r="H277" s="12">
        <f>'Engineering Assumptions'!$C$35*'Engineering Assumptions'!$B$5*U277</f>
        <v>1146</v>
      </c>
      <c r="I277" s="12">
        <f>'Engineering Assumptions'!$B$8</f>
        <v>650</v>
      </c>
      <c r="J277" s="12">
        <f>'Engineering Assumptions'!$D$35*S277*U277</f>
        <v>100</v>
      </c>
      <c r="K277" s="12">
        <f>'Engineering Assumptions'!$E$35*T277*U277</f>
        <v>75</v>
      </c>
      <c r="L277" s="13">
        <f t="shared" si="39"/>
        <v>1971</v>
      </c>
      <c r="M277" s="12">
        <f>L277*'Engineering Assumptions'!$B$10</f>
        <v>295.64999999999998</v>
      </c>
      <c r="N277" s="13">
        <f t="shared" si="40"/>
        <v>2266.65</v>
      </c>
      <c r="O277" s="12">
        <f>N277*'Engineering Assumptions'!$B$11</f>
        <v>453.33000000000004</v>
      </c>
      <c r="P277" s="156">
        <f t="shared" si="41"/>
        <v>2720</v>
      </c>
      <c r="Q277" s="12">
        <f>'Fleet Pricing'!H277</f>
        <v>1290</v>
      </c>
      <c r="R277" s="45">
        <v>8</v>
      </c>
      <c r="S277" s="49">
        <v>1.25</v>
      </c>
      <c r="T277" s="49">
        <v>0.75</v>
      </c>
      <c r="U277" s="49">
        <v>1</v>
      </c>
    </row>
    <row r="278" spans="1:21" ht="15" customHeight="1" x14ac:dyDescent="0.3">
      <c r="A278" s="9">
        <v>256</v>
      </c>
      <c r="B278" s="50" t="s">
        <v>555</v>
      </c>
      <c r="C278" s="50" t="s">
        <v>562</v>
      </c>
      <c r="D278" s="50" t="s">
        <v>563</v>
      </c>
      <c r="E278" s="50" t="s">
        <v>564</v>
      </c>
      <c r="F278" s="48" t="s">
        <v>116</v>
      </c>
      <c r="G278" s="9">
        <v>9</v>
      </c>
      <c r="H278" s="12">
        <f>'Engineering Assumptions'!$C$35*'Engineering Assumptions'!$B$5*U278</f>
        <v>1146</v>
      </c>
      <c r="I278" s="12">
        <f>'Engineering Assumptions'!$B$8</f>
        <v>650</v>
      </c>
      <c r="J278" s="12">
        <f>'Engineering Assumptions'!$D$35*S278*U278</f>
        <v>100</v>
      </c>
      <c r="K278" s="12">
        <f>'Engineering Assumptions'!$E$35*T278*U278</f>
        <v>75</v>
      </c>
      <c r="L278" s="13">
        <f t="shared" si="39"/>
        <v>1971</v>
      </c>
      <c r="M278" s="12">
        <f>L278*'Engineering Assumptions'!$B$10</f>
        <v>295.64999999999998</v>
      </c>
      <c r="N278" s="13">
        <f t="shared" si="40"/>
        <v>2266.65</v>
      </c>
      <c r="O278" s="12">
        <f>N278*'Engineering Assumptions'!$B$11</f>
        <v>453.33000000000004</v>
      </c>
      <c r="P278" s="156">
        <f t="shared" si="41"/>
        <v>2720</v>
      </c>
      <c r="Q278" s="12">
        <f>'Fleet Pricing'!H278</f>
        <v>1290</v>
      </c>
      <c r="R278" s="45">
        <v>9</v>
      </c>
      <c r="S278" s="49">
        <v>1.25</v>
      </c>
      <c r="T278" s="49">
        <v>0.75</v>
      </c>
      <c r="U278" s="49">
        <v>1</v>
      </c>
    </row>
    <row r="279" spans="1:21" ht="15" customHeight="1" x14ac:dyDescent="0.3">
      <c r="A279" s="9">
        <v>257</v>
      </c>
      <c r="B279" s="50" t="s">
        <v>555</v>
      </c>
      <c r="C279" s="50" t="s">
        <v>556</v>
      </c>
      <c r="D279" s="50" t="s">
        <v>565</v>
      </c>
      <c r="E279" s="50" t="s">
        <v>566</v>
      </c>
      <c r="F279" s="48" t="s">
        <v>49</v>
      </c>
      <c r="G279" s="9">
        <v>10</v>
      </c>
      <c r="H279" s="12">
        <f>'Engineering Assumptions'!$C$35*'Engineering Assumptions'!$B$5*U279</f>
        <v>1146</v>
      </c>
      <c r="I279" s="12">
        <f>'Engineering Assumptions'!$B$8</f>
        <v>650</v>
      </c>
      <c r="J279" s="12">
        <f>'Engineering Assumptions'!$D$35*S279*U279</f>
        <v>100</v>
      </c>
      <c r="K279" s="12">
        <f>'Engineering Assumptions'!$E$35*T279*U279</f>
        <v>75</v>
      </c>
      <c r="L279" s="13">
        <f t="shared" si="39"/>
        <v>1971</v>
      </c>
      <c r="M279" s="12">
        <f>L279*'Engineering Assumptions'!$B$10</f>
        <v>295.64999999999998</v>
      </c>
      <c r="N279" s="13">
        <f t="shared" si="40"/>
        <v>2266.65</v>
      </c>
      <c r="O279" s="12">
        <f>N279*'Engineering Assumptions'!$B$11</f>
        <v>453.33000000000004</v>
      </c>
      <c r="P279" s="156">
        <f t="shared" si="41"/>
        <v>2720</v>
      </c>
      <c r="Q279" s="12">
        <f>'Fleet Pricing'!H279</f>
        <v>1290</v>
      </c>
      <c r="R279" s="45">
        <v>10</v>
      </c>
      <c r="S279" s="49">
        <v>1.25</v>
      </c>
      <c r="T279" s="49">
        <v>0.75</v>
      </c>
      <c r="U279" s="49">
        <v>1</v>
      </c>
    </row>
    <row r="280" spans="1:21" ht="15" customHeight="1" x14ac:dyDescent="0.3">
      <c r="A280" s="9">
        <v>258</v>
      </c>
      <c r="B280" s="50" t="s">
        <v>555</v>
      </c>
      <c r="C280" s="50" t="s">
        <v>556</v>
      </c>
      <c r="D280" s="50" t="s">
        <v>567</v>
      </c>
      <c r="E280" s="50" t="s">
        <v>568</v>
      </c>
      <c r="F280" s="48" t="s">
        <v>49</v>
      </c>
      <c r="G280" s="9">
        <v>10</v>
      </c>
      <c r="H280" s="12">
        <f>'Engineering Assumptions'!$C$35*'Engineering Assumptions'!$B$5*U280</f>
        <v>1146</v>
      </c>
      <c r="I280" s="12">
        <f>'Engineering Assumptions'!$B$8</f>
        <v>650</v>
      </c>
      <c r="J280" s="12">
        <f>'Engineering Assumptions'!$D$35*S280*U280</f>
        <v>100</v>
      </c>
      <c r="K280" s="12">
        <f>'Engineering Assumptions'!$E$35*T280*U280</f>
        <v>75</v>
      </c>
      <c r="L280" s="13">
        <f t="shared" si="39"/>
        <v>1971</v>
      </c>
      <c r="M280" s="12">
        <f>L280*'Engineering Assumptions'!$B$10</f>
        <v>295.64999999999998</v>
      </c>
      <c r="N280" s="13">
        <f t="shared" si="40"/>
        <v>2266.65</v>
      </c>
      <c r="O280" s="12">
        <f>N280*'Engineering Assumptions'!$B$11</f>
        <v>453.33000000000004</v>
      </c>
      <c r="P280" s="156">
        <f t="shared" si="41"/>
        <v>2720</v>
      </c>
      <c r="Q280" s="12">
        <f>'Fleet Pricing'!H280</f>
        <v>1290</v>
      </c>
      <c r="R280" s="45">
        <v>10</v>
      </c>
      <c r="S280" s="49">
        <v>1.25</v>
      </c>
      <c r="T280" s="49">
        <v>0.75</v>
      </c>
      <c r="U280" s="49">
        <v>1</v>
      </c>
    </row>
    <row r="281" spans="1:21" ht="15" customHeight="1" x14ac:dyDescent="0.3">
      <c r="A281" s="9">
        <v>259</v>
      </c>
      <c r="B281" s="50" t="s">
        <v>555</v>
      </c>
      <c r="C281" s="50" t="s">
        <v>556</v>
      </c>
      <c r="D281" s="50" t="s">
        <v>569</v>
      </c>
      <c r="E281" s="50" t="s">
        <v>570</v>
      </c>
      <c r="F281" s="48" t="s">
        <v>49</v>
      </c>
      <c r="G281" s="9">
        <v>10</v>
      </c>
      <c r="H281" s="12">
        <f>'Engineering Assumptions'!$C$35*'Engineering Assumptions'!$B$5*U281</f>
        <v>1146</v>
      </c>
      <c r="I281" s="12">
        <f>'Engineering Assumptions'!$B$8</f>
        <v>650</v>
      </c>
      <c r="J281" s="12">
        <f>'Engineering Assumptions'!$D$35*S281*U281</f>
        <v>100</v>
      </c>
      <c r="K281" s="12">
        <f>'Engineering Assumptions'!$E$35*T281*U281</f>
        <v>75</v>
      </c>
      <c r="L281" s="13">
        <f t="shared" si="39"/>
        <v>1971</v>
      </c>
      <c r="M281" s="12">
        <f>L281*'Engineering Assumptions'!$B$10</f>
        <v>295.64999999999998</v>
      </c>
      <c r="N281" s="13">
        <f t="shared" si="40"/>
        <v>2266.65</v>
      </c>
      <c r="O281" s="12">
        <f>N281*'Engineering Assumptions'!$B$11</f>
        <v>453.33000000000004</v>
      </c>
      <c r="P281" s="156">
        <f t="shared" si="41"/>
        <v>2720</v>
      </c>
      <c r="Q281" s="12">
        <f>'Fleet Pricing'!H281</f>
        <v>1290</v>
      </c>
      <c r="R281" s="45">
        <v>10</v>
      </c>
      <c r="S281" s="49">
        <v>1.25</v>
      </c>
      <c r="T281" s="49">
        <v>0.75</v>
      </c>
      <c r="U281" s="49">
        <v>1</v>
      </c>
    </row>
    <row r="282" spans="1:21" ht="15" customHeight="1" x14ac:dyDescent="0.3">
      <c r="A282" s="9">
        <v>260</v>
      </c>
      <c r="B282" s="50" t="s">
        <v>555</v>
      </c>
      <c r="C282" s="50" t="s">
        <v>571</v>
      </c>
      <c r="D282" s="50" t="s">
        <v>572</v>
      </c>
      <c r="E282" s="50" t="s">
        <v>573</v>
      </c>
      <c r="F282" s="48" t="s">
        <v>143</v>
      </c>
      <c r="G282" s="9">
        <v>26</v>
      </c>
      <c r="H282" s="12">
        <f>'Engineering Assumptions'!$C$35*'Engineering Assumptions'!$B$5*U282</f>
        <v>1146</v>
      </c>
      <c r="I282" s="12">
        <f>'Engineering Assumptions'!$B$8</f>
        <v>650</v>
      </c>
      <c r="J282" s="12">
        <f>'Engineering Assumptions'!$D$35*S282*U282</f>
        <v>192</v>
      </c>
      <c r="K282" s="12">
        <f>'Engineering Assumptions'!$E$35*T282*U282</f>
        <v>300</v>
      </c>
      <c r="L282" s="13">
        <f t="shared" si="39"/>
        <v>2288</v>
      </c>
      <c r="M282" s="12">
        <f>L282*'Engineering Assumptions'!$B$10</f>
        <v>343.2</v>
      </c>
      <c r="N282" s="13">
        <f t="shared" si="40"/>
        <v>2631.2</v>
      </c>
      <c r="O282" s="12">
        <f>N282*'Engineering Assumptions'!$B$11</f>
        <v>526.24</v>
      </c>
      <c r="P282" s="156">
        <f t="shared" si="41"/>
        <v>3160</v>
      </c>
      <c r="Q282" s="12">
        <f>'Fleet Pricing'!H282</f>
        <v>910</v>
      </c>
      <c r="R282" s="45">
        <v>26</v>
      </c>
      <c r="S282" s="49">
        <v>2.4</v>
      </c>
      <c r="T282" s="49">
        <v>3</v>
      </c>
      <c r="U282" s="49">
        <v>1</v>
      </c>
    </row>
    <row r="283" spans="1:21" ht="15" customHeight="1" x14ac:dyDescent="0.3">
      <c r="A283" s="9">
        <v>261</v>
      </c>
      <c r="B283" s="50" t="s">
        <v>555</v>
      </c>
      <c r="C283" s="50" t="s">
        <v>574</v>
      </c>
      <c r="D283" s="50" t="s">
        <v>575</v>
      </c>
      <c r="E283" s="50" t="s">
        <v>576</v>
      </c>
      <c r="F283" s="48" t="s">
        <v>537</v>
      </c>
      <c r="G283" s="9">
        <v>29</v>
      </c>
      <c r="H283" s="12">
        <f>'Engineering Assumptions'!$C$35*'Engineering Assumptions'!$B$5*U283</f>
        <v>1146</v>
      </c>
      <c r="I283" s="12">
        <f>'Engineering Assumptions'!$B$8</f>
        <v>650</v>
      </c>
      <c r="J283" s="12">
        <f>'Engineering Assumptions'!$D$35*S283*U283</f>
        <v>192</v>
      </c>
      <c r="K283" s="12">
        <f>'Engineering Assumptions'!$E$35*T283*U283</f>
        <v>300</v>
      </c>
      <c r="L283" s="13">
        <f t="shared" si="39"/>
        <v>2288</v>
      </c>
      <c r="M283" s="12">
        <f>L283*'Engineering Assumptions'!$B$10</f>
        <v>343.2</v>
      </c>
      <c r="N283" s="13">
        <f t="shared" si="40"/>
        <v>2631.2</v>
      </c>
      <c r="O283" s="12">
        <f>N283*'Engineering Assumptions'!$B$11</f>
        <v>526.24</v>
      </c>
      <c r="P283" s="156">
        <f t="shared" si="41"/>
        <v>3160</v>
      </c>
      <c r="Q283" s="12">
        <f>'Fleet Pricing'!H283</f>
        <v>810</v>
      </c>
      <c r="R283" s="45">
        <v>29</v>
      </c>
      <c r="S283" s="49">
        <v>2.4</v>
      </c>
      <c r="T283" s="49">
        <v>3</v>
      </c>
      <c r="U283" s="49">
        <v>1</v>
      </c>
    </row>
    <row r="284" spans="1:21" ht="15" customHeight="1" x14ac:dyDescent="0.3">
      <c r="A284" s="9">
        <v>262</v>
      </c>
      <c r="B284" s="50" t="s">
        <v>555</v>
      </c>
      <c r="C284" s="50" t="s">
        <v>577</v>
      </c>
      <c r="D284" s="50" t="s">
        <v>578</v>
      </c>
      <c r="E284" s="50" t="s">
        <v>579</v>
      </c>
      <c r="F284" s="48" t="s">
        <v>537</v>
      </c>
      <c r="G284" s="9">
        <v>29</v>
      </c>
      <c r="H284" s="12">
        <f>'Engineering Assumptions'!$C$35*'Engineering Assumptions'!$B$5*U284</f>
        <v>1146</v>
      </c>
      <c r="I284" s="12">
        <f>'Engineering Assumptions'!$B$8</f>
        <v>650</v>
      </c>
      <c r="J284" s="12">
        <f>'Engineering Assumptions'!$D$35*S284*U284</f>
        <v>192</v>
      </c>
      <c r="K284" s="12">
        <f>'Engineering Assumptions'!$E$35*T284*U284</f>
        <v>300</v>
      </c>
      <c r="L284" s="13">
        <f t="shared" si="39"/>
        <v>2288</v>
      </c>
      <c r="M284" s="12">
        <f>L284*'Engineering Assumptions'!$B$10</f>
        <v>343.2</v>
      </c>
      <c r="N284" s="13">
        <f t="shared" si="40"/>
        <v>2631.2</v>
      </c>
      <c r="O284" s="12">
        <f>N284*'Engineering Assumptions'!$B$11</f>
        <v>526.24</v>
      </c>
      <c r="P284" s="156">
        <f t="shared" si="41"/>
        <v>3160</v>
      </c>
      <c r="Q284" s="12">
        <f>'Fleet Pricing'!H284</f>
        <v>810</v>
      </c>
      <c r="R284" s="45">
        <v>29</v>
      </c>
      <c r="S284" s="49">
        <v>2.4</v>
      </c>
      <c r="T284" s="49">
        <v>3</v>
      </c>
      <c r="U284" s="49">
        <v>1</v>
      </c>
    </row>
    <row r="285" spans="1:21" ht="15" customHeight="1" x14ac:dyDescent="0.3">
      <c r="A285" s="9">
        <v>263</v>
      </c>
      <c r="B285" s="50" t="s">
        <v>555</v>
      </c>
      <c r="C285" s="50" t="s">
        <v>580</v>
      </c>
      <c r="D285" s="50" t="s">
        <v>581</v>
      </c>
      <c r="E285" s="50" t="s">
        <v>582</v>
      </c>
      <c r="F285" s="48" t="s">
        <v>583</v>
      </c>
      <c r="G285" s="9">
        <v>42</v>
      </c>
      <c r="H285" s="12">
        <f>'Engineering Assumptions'!$C$35*'Engineering Assumptions'!$B$5*U285</f>
        <v>1146</v>
      </c>
      <c r="I285" s="12">
        <f>'Engineering Assumptions'!$B$8</f>
        <v>650</v>
      </c>
      <c r="J285" s="12">
        <f>'Engineering Assumptions'!$D$35*S285*U285</f>
        <v>192</v>
      </c>
      <c r="K285" s="12">
        <f>'Engineering Assumptions'!$E$35*T285*U285</f>
        <v>300</v>
      </c>
      <c r="L285" s="13">
        <f t="shared" si="39"/>
        <v>2288</v>
      </c>
      <c r="M285" s="12">
        <f>L285*'Engineering Assumptions'!$B$10</f>
        <v>343.2</v>
      </c>
      <c r="N285" s="13">
        <f t="shared" si="40"/>
        <v>2631.2</v>
      </c>
      <c r="O285" s="12">
        <f>N285*'Engineering Assumptions'!$B$11</f>
        <v>526.24</v>
      </c>
      <c r="P285" s="156">
        <f t="shared" si="41"/>
        <v>3160</v>
      </c>
      <c r="Q285" s="12">
        <f>'Fleet Pricing'!H285</f>
        <v>810</v>
      </c>
      <c r="R285" s="45">
        <v>42</v>
      </c>
      <c r="S285" s="49">
        <v>2.4</v>
      </c>
      <c r="T285" s="49">
        <v>3</v>
      </c>
      <c r="U285" s="49">
        <v>1</v>
      </c>
    </row>
    <row r="286" spans="1:21" ht="15" customHeight="1" x14ac:dyDescent="0.3">
      <c r="A286" s="9">
        <v>264</v>
      </c>
      <c r="B286" s="50" t="s">
        <v>555</v>
      </c>
      <c r="C286" s="50" t="s">
        <v>584</v>
      </c>
      <c r="D286" s="50" t="s">
        <v>585</v>
      </c>
      <c r="E286" s="50" t="s">
        <v>586</v>
      </c>
      <c r="F286" s="48" t="s">
        <v>587</v>
      </c>
      <c r="G286" s="9">
        <v>53</v>
      </c>
      <c r="H286" s="12">
        <f>'Engineering Assumptions'!$C$35*'Engineering Assumptions'!$B$5*U286</f>
        <v>1146</v>
      </c>
      <c r="I286" s="12">
        <f>'Engineering Assumptions'!$B$8</f>
        <v>650</v>
      </c>
      <c r="J286" s="12">
        <f>'Engineering Assumptions'!$D$35*S286*U286</f>
        <v>192</v>
      </c>
      <c r="K286" s="12">
        <f>'Engineering Assumptions'!$E$35*T286*U286</f>
        <v>300</v>
      </c>
      <c r="L286" s="13">
        <f t="shared" si="39"/>
        <v>2288</v>
      </c>
      <c r="M286" s="12">
        <f>L286*'Engineering Assumptions'!$B$10</f>
        <v>343.2</v>
      </c>
      <c r="N286" s="13">
        <f t="shared" si="40"/>
        <v>2631.2</v>
      </c>
      <c r="O286" s="12">
        <f>N286*'Engineering Assumptions'!$B$11</f>
        <v>526.24</v>
      </c>
      <c r="P286" s="156">
        <f t="shared" si="41"/>
        <v>3160</v>
      </c>
      <c r="Q286" s="12">
        <f>'Fleet Pricing'!H286</f>
        <v>810</v>
      </c>
      <c r="R286" s="45">
        <v>53</v>
      </c>
      <c r="S286" s="49">
        <v>2.4</v>
      </c>
      <c r="T286" s="49">
        <v>3</v>
      </c>
      <c r="U286" s="49">
        <v>1</v>
      </c>
    </row>
    <row r="287" spans="1:21" ht="15" customHeight="1" x14ac:dyDescent="0.3">
      <c r="A287" s="199" t="s">
        <v>588</v>
      </c>
      <c r="B287" s="200"/>
      <c r="C287" s="200"/>
      <c r="D287" s="200"/>
      <c r="E287" s="200"/>
      <c r="F287" s="200"/>
      <c r="G287" s="200"/>
      <c r="H287" s="200"/>
      <c r="I287" s="200"/>
      <c r="J287" s="200"/>
      <c r="K287" s="200"/>
      <c r="L287" s="200"/>
      <c r="M287" s="200"/>
      <c r="N287" s="200"/>
      <c r="O287" s="200"/>
      <c r="P287" s="200"/>
      <c r="Q287" s="200"/>
    </row>
    <row r="288" spans="1:21" ht="15" customHeight="1" x14ac:dyDescent="0.3">
      <c r="A288" s="9">
        <v>265</v>
      </c>
      <c r="B288" s="50" t="s">
        <v>589</v>
      </c>
      <c r="C288" s="50" t="s">
        <v>590</v>
      </c>
      <c r="D288" s="50" t="s">
        <v>591</v>
      </c>
      <c r="E288" s="50" t="s">
        <v>592</v>
      </c>
      <c r="F288" s="48" t="s">
        <v>45</v>
      </c>
      <c r="G288" s="9">
        <v>7</v>
      </c>
      <c r="H288" s="12">
        <f>'Engineering Assumptions'!$C$36*'Engineering Assumptions'!$B$5*U288</f>
        <v>955</v>
      </c>
      <c r="I288" s="12">
        <f>'Engineering Assumptions'!$B$8</f>
        <v>650</v>
      </c>
      <c r="J288" s="12">
        <f>'Engineering Assumptions'!$D$36*S288*U288</f>
        <v>87.5</v>
      </c>
      <c r="K288" s="12">
        <f>'Engineering Assumptions'!$E$36*T288*U288</f>
        <v>67.5</v>
      </c>
      <c r="L288" s="13">
        <f t="shared" ref="L288:L300" si="42">H288+I288+J288+K288</f>
        <v>1760</v>
      </c>
      <c r="M288" s="12">
        <f>L288*'Engineering Assumptions'!$B$10</f>
        <v>264</v>
      </c>
      <c r="N288" s="13">
        <f t="shared" ref="N288:N300" si="43">L288+M288</f>
        <v>2024</v>
      </c>
      <c r="O288" s="12">
        <f>N288*'Engineering Assumptions'!$B$11</f>
        <v>404.8</v>
      </c>
      <c r="P288" s="156">
        <f t="shared" ref="P288:P300" si="44">MROUND(N288+O288,10)</f>
        <v>2430</v>
      </c>
      <c r="Q288" s="12">
        <f>'Fleet Pricing'!H288</f>
        <v>1060</v>
      </c>
      <c r="R288" s="45">
        <v>7</v>
      </c>
      <c r="S288" s="49">
        <v>1.25</v>
      </c>
      <c r="T288" s="49">
        <v>0.75</v>
      </c>
      <c r="U288" s="49">
        <v>1</v>
      </c>
    </row>
    <row r="289" spans="1:21" ht="15" customHeight="1" x14ac:dyDescent="0.3">
      <c r="A289" s="9">
        <v>266</v>
      </c>
      <c r="B289" s="50" t="s">
        <v>589</v>
      </c>
      <c r="C289" s="50" t="s">
        <v>590</v>
      </c>
      <c r="D289" s="50" t="s">
        <v>593</v>
      </c>
      <c r="E289" s="50" t="s">
        <v>594</v>
      </c>
      <c r="F289" s="48" t="s">
        <v>45</v>
      </c>
      <c r="G289" s="9">
        <v>7</v>
      </c>
      <c r="H289" s="12">
        <f>'Engineering Assumptions'!$C$36*'Engineering Assumptions'!$B$5*U289</f>
        <v>955</v>
      </c>
      <c r="I289" s="12">
        <f>'Engineering Assumptions'!$B$8</f>
        <v>650</v>
      </c>
      <c r="J289" s="12">
        <f>'Engineering Assumptions'!$D$36*S289*U289</f>
        <v>87.5</v>
      </c>
      <c r="K289" s="12">
        <f>'Engineering Assumptions'!$E$36*T289*U289</f>
        <v>67.5</v>
      </c>
      <c r="L289" s="13">
        <f t="shared" si="42"/>
        <v>1760</v>
      </c>
      <c r="M289" s="12">
        <f>L289*'Engineering Assumptions'!$B$10</f>
        <v>264</v>
      </c>
      <c r="N289" s="13">
        <f t="shared" si="43"/>
        <v>2024</v>
      </c>
      <c r="O289" s="12">
        <f>N289*'Engineering Assumptions'!$B$11</f>
        <v>404.8</v>
      </c>
      <c r="P289" s="156">
        <f t="shared" si="44"/>
        <v>2430</v>
      </c>
      <c r="Q289" s="12">
        <f>'Fleet Pricing'!H289</f>
        <v>1060</v>
      </c>
      <c r="R289" s="45">
        <v>7</v>
      </c>
      <c r="S289" s="49">
        <v>1.25</v>
      </c>
      <c r="T289" s="49">
        <v>0.75</v>
      </c>
      <c r="U289" s="49">
        <v>1</v>
      </c>
    </row>
    <row r="290" spans="1:21" ht="15" customHeight="1" x14ac:dyDescent="0.3">
      <c r="A290" s="9">
        <v>267</v>
      </c>
      <c r="B290" s="50" t="s">
        <v>589</v>
      </c>
      <c r="C290" s="50" t="s">
        <v>590</v>
      </c>
      <c r="D290" s="50" t="s">
        <v>595</v>
      </c>
      <c r="E290" s="50" t="s">
        <v>596</v>
      </c>
      <c r="F290" s="48" t="s">
        <v>45</v>
      </c>
      <c r="G290" s="9">
        <v>7</v>
      </c>
      <c r="H290" s="12">
        <f>'Engineering Assumptions'!$C$36*'Engineering Assumptions'!$B$5*U290</f>
        <v>955</v>
      </c>
      <c r="I290" s="12">
        <f>'Engineering Assumptions'!$B$8</f>
        <v>650</v>
      </c>
      <c r="J290" s="12">
        <f>'Engineering Assumptions'!$D$36*S290*U290</f>
        <v>87.5</v>
      </c>
      <c r="K290" s="12">
        <f>'Engineering Assumptions'!$E$36*T290*U290</f>
        <v>67.5</v>
      </c>
      <c r="L290" s="13">
        <f t="shared" si="42"/>
        <v>1760</v>
      </c>
      <c r="M290" s="12">
        <f>L290*'Engineering Assumptions'!$B$10</f>
        <v>264</v>
      </c>
      <c r="N290" s="13">
        <f t="shared" si="43"/>
        <v>2024</v>
      </c>
      <c r="O290" s="12">
        <f>N290*'Engineering Assumptions'!$B$11</f>
        <v>404.8</v>
      </c>
      <c r="P290" s="156">
        <f t="shared" si="44"/>
        <v>2430</v>
      </c>
      <c r="Q290" s="12">
        <f>'Fleet Pricing'!H290</f>
        <v>1060</v>
      </c>
      <c r="R290" s="45">
        <v>7</v>
      </c>
      <c r="S290" s="49">
        <v>1.25</v>
      </c>
      <c r="T290" s="49">
        <v>0.75</v>
      </c>
      <c r="U290" s="49">
        <v>1</v>
      </c>
    </row>
    <row r="291" spans="1:21" ht="15" customHeight="1" x14ac:dyDescent="0.3">
      <c r="A291" s="9">
        <v>268</v>
      </c>
      <c r="B291" s="50" t="s">
        <v>589</v>
      </c>
      <c r="C291" s="50" t="s">
        <v>590</v>
      </c>
      <c r="D291" s="50" t="s">
        <v>597</v>
      </c>
      <c r="E291" s="50" t="s">
        <v>598</v>
      </c>
      <c r="F291" s="48" t="s">
        <v>45</v>
      </c>
      <c r="G291" s="9">
        <v>7</v>
      </c>
      <c r="H291" s="12">
        <f>'Engineering Assumptions'!$C$36*'Engineering Assumptions'!$B$5*U291</f>
        <v>955</v>
      </c>
      <c r="I291" s="12">
        <f>'Engineering Assumptions'!$B$8</f>
        <v>650</v>
      </c>
      <c r="J291" s="12">
        <f>'Engineering Assumptions'!$D$36*S291*U291</f>
        <v>87.5</v>
      </c>
      <c r="K291" s="12">
        <f>'Engineering Assumptions'!$E$36*T291*U291</f>
        <v>67.5</v>
      </c>
      <c r="L291" s="13">
        <f t="shared" si="42"/>
        <v>1760</v>
      </c>
      <c r="M291" s="12">
        <f>L291*'Engineering Assumptions'!$B$10</f>
        <v>264</v>
      </c>
      <c r="N291" s="13">
        <f t="shared" si="43"/>
        <v>2024</v>
      </c>
      <c r="O291" s="12">
        <f>N291*'Engineering Assumptions'!$B$11</f>
        <v>404.8</v>
      </c>
      <c r="P291" s="156">
        <f t="shared" si="44"/>
        <v>2430</v>
      </c>
      <c r="Q291" s="12">
        <f>'Fleet Pricing'!H291</f>
        <v>1060</v>
      </c>
      <c r="R291" s="45">
        <v>7</v>
      </c>
      <c r="S291" s="49">
        <v>1.25</v>
      </c>
      <c r="T291" s="49">
        <v>0.75</v>
      </c>
      <c r="U291" s="49">
        <v>1</v>
      </c>
    </row>
    <row r="292" spans="1:21" ht="15" customHeight="1" x14ac:dyDescent="0.3">
      <c r="A292" s="9">
        <v>269</v>
      </c>
      <c r="B292" s="50" t="s">
        <v>589</v>
      </c>
      <c r="C292" s="50" t="s">
        <v>599</v>
      </c>
      <c r="D292" s="50" t="s">
        <v>600</v>
      </c>
      <c r="E292" s="50" t="s">
        <v>601</v>
      </c>
      <c r="F292" s="48" t="s">
        <v>45</v>
      </c>
      <c r="G292" s="9">
        <v>7</v>
      </c>
      <c r="H292" s="12">
        <f>'Engineering Assumptions'!$C$36*'Engineering Assumptions'!$B$5*U292</f>
        <v>955</v>
      </c>
      <c r="I292" s="12">
        <f>'Engineering Assumptions'!$B$8</f>
        <v>650</v>
      </c>
      <c r="J292" s="12">
        <f>'Engineering Assumptions'!$D$36*S292*U292</f>
        <v>87.5</v>
      </c>
      <c r="K292" s="12">
        <f>'Engineering Assumptions'!$E$36*T292*U292</f>
        <v>67.5</v>
      </c>
      <c r="L292" s="13">
        <f t="shared" si="42"/>
        <v>1760</v>
      </c>
      <c r="M292" s="12">
        <f>L292*'Engineering Assumptions'!$B$10</f>
        <v>264</v>
      </c>
      <c r="N292" s="13">
        <f t="shared" si="43"/>
        <v>2024</v>
      </c>
      <c r="O292" s="12">
        <f>N292*'Engineering Assumptions'!$B$11</f>
        <v>404.8</v>
      </c>
      <c r="P292" s="156">
        <f t="shared" si="44"/>
        <v>2430</v>
      </c>
      <c r="Q292" s="12">
        <f>'Fleet Pricing'!H292</f>
        <v>1060</v>
      </c>
      <c r="R292" s="45">
        <v>7</v>
      </c>
      <c r="S292" s="49">
        <v>1.25</v>
      </c>
      <c r="T292" s="49">
        <v>0.75</v>
      </c>
      <c r="U292" s="49">
        <v>1</v>
      </c>
    </row>
    <row r="293" spans="1:21" ht="15" customHeight="1" x14ac:dyDescent="0.3">
      <c r="A293" s="9">
        <v>270</v>
      </c>
      <c r="B293" s="50" t="s">
        <v>589</v>
      </c>
      <c r="C293" s="50" t="s">
        <v>602</v>
      </c>
      <c r="D293" s="50" t="s">
        <v>603</v>
      </c>
      <c r="E293" s="50" t="s">
        <v>604</v>
      </c>
      <c r="F293" s="48" t="s">
        <v>94</v>
      </c>
      <c r="G293" s="9">
        <v>12</v>
      </c>
      <c r="H293" s="12">
        <f>'Engineering Assumptions'!$C$36*'Engineering Assumptions'!$B$5*U293</f>
        <v>955</v>
      </c>
      <c r="I293" s="12">
        <f>'Engineering Assumptions'!$B$8</f>
        <v>650</v>
      </c>
      <c r="J293" s="12">
        <f>'Engineering Assumptions'!$D$36*S293*U293</f>
        <v>108.5</v>
      </c>
      <c r="K293" s="12">
        <f>'Engineering Assumptions'!$E$36*T293*U293</f>
        <v>121.50000000000001</v>
      </c>
      <c r="L293" s="13">
        <f t="shared" si="42"/>
        <v>1835</v>
      </c>
      <c r="M293" s="12">
        <f>L293*'Engineering Assumptions'!$B$10</f>
        <v>275.25</v>
      </c>
      <c r="N293" s="13">
        <f t="shared" si="43"/>
        <v>2110.25</v>
      </c>
      <c r="O293" s="12">
        <f>N293*'Engineering Assumptions'!$B$11</f>
        <v>422.05</v>
      </c>
      <c r="P293" s="156">
        <f t="shared" si="44"/>
        <v>2530</v>
      </c>
      <c r="Q293" s="12">
        <f>'Fleet Pricing'!H293</f>
        <v>940</v>
      </c>
      <c r="R293" s="45">
        <v>12</v>
      </c>
      <c r="S293" s="49">
        <v>1.55</v>
      </c>
      <c r="T293" s="49">
        <v>1.35</v>
      </c>
      <c r="U293" s="49">
        <v>1</v>
      </c>
    </row>
    <row r="294" spans="1:21" ht="15" customHeight="1" x14ac:dyDescent="0.3">
      <c r="A294" s="9">
        <v>271</v>
      </c>
      <c r="B294" s="50" t="s">
        <v>589</v>
      </c>
      <c r="C294" s="50" t="s">
        <v>605</v>
      </c>
      <c r="D294" s="50" t="s">
        <v>606</v>
      </c>
      <c r="E294" s="50" t="s">
        <v>607</v>
      </c>
      <c r="F294" s="48" t="s">
        <v>99</v>
      </c>
      <c r="G294" s="9">
        <v>13</v>
      </c>
      <c r="H294" s="12">
        <f>'Engineering Assumptions'!$C$36*'Engineering Assumptions'!$B$5*U294</f>
        <v>955</v>
      </c>
      <c r="I294" s="12">
        <f>'Engineering Assumptions'!$B$8</f>
        <v>650</v>
      </c>
      <c r="J294" s="12">
        <f>'Engineering Assumptions'!$D$36*S294*U294</f>
        <v>108.5</v>
      </c>
      <c r="K294" s="12">
        <f>'Engineering Assumptions'!$E$36*T294*U294</f>
        <v>121.50000000000001</v>
      </c>
      <c r="L294" s="13">
        <f t="shared" si="42"/>
        <v>1835</v>
      </c>
      <c r="M294" s="12">
        <f>L294*'Engineering Assumptions'!$B$10</f>
        <v>275.25</v>
      </c>
      <c r="N294" s="13">
        <f t="shared" si="43"/>
        <v>2110.25</v>
      </c>
      <c r="O294" s="12">
        <f>N294*'Engineering Assumptions'!$B$11</f>
        <v>422.05</v>
      </c>
      <c r="P294" s="156">
        <f t="shared" si="44"/>
        <v>2530</v>
      </c>
      <c r="Q294" s="12">
        <f>'Fleet Pricing'!H294</f>
        <v>940</v>
      </c>
      <c r="R294" s="45">
        <v>13</v>
      </c>
      <c r="S294" s="49">
        <v>1.55</v>
      </c>
      <c r="T294" s="49">
        <v>1.35</v>
      </c>
      <c r="U294" s="49">
        <v>1</v>
      </c>
    </row>
    <row r="295" spans="1:21" ht="15" customHeight="1" x14ac:dyDescent="0.3">
      <c r="A295" s="9">
        <v>272</v>
      </c>
      <c r="B295" s="50" t="s">
        <v>589</v>
      </c>
      <c r="C295" s="50" t="s">
        <v>608</v>
      </c>
      <c r="D295" s="50" t="s">
        <v>609</v>
      </c>
      <c r="E295" s="50" t="s">
        <v>610</v>
      </c>
      <c r="F295" s="48" t="s">
        <v>66</v>
      </c>
      <c r="G295" s="9">
        <v>14</v>
      </c>
      <c r="H295" s="12">
        <f>'Engineering Assumptions'!$C$36*'Engineering Assumptions'!$B$5*U295</f>
        <v>955</v>
      </c>
      <c r="I295" s="12">
        <f>'Engineering Assumptions'!$B$8</f>
        <v>650</v>
      </c>
      <c r="J295" s="12">
        <f>'Engineering Assumptions'!$D$36*S295*U295</f>
        <v>108.5</v>
      </c>
      <c r="K295" s="12">
        <f>'Engineering Assumptions'!$E$36*T295*U295</f>
        <v>121.50000000000001</v>
      </c>
      <c r="L295" s="13">
        <f t="shared" si="42"/>
        <v>1835</v>
      </c>
      <c r="M295" s="12">
        <f>L295*'Engineering Assumptions'!$B$10</f>
        <v>275.25</v>
      </c>
      <c r="N295" s="13">
        <f t="shared" si="43"/>
        <v>2110.25</v>
      </c>
      <c r="O295" s="12">
        <f>N295*'Engineering Assumptions'!$B$11</f>
        <v>422.05</v>
      </c>
      <c r="P295" s="156">
        <f t="shared" si="44"/>
        <v>2530</v>
      </c>
      <c r="Q295" s="12">
        <f>'Fleet Pricing'!H295</f>
        <v>940</v>
      </c>
      <c r="R295" s="45">
        <v>14</v>
      </c>
      <c r="S295" s="49">
        <v>1.55</v>
      </c>
      <c r="T295" s="49">
        <v>1.35</v>
      </c>
      <c r="U295" s="49">
        <v>1</v>
      </c>
    </row>
    <row r="296" spans="1:21" ht="15" customHeight="1" x14ac:dyDescent="0.3">
      <c r="A296" s="9">
        <v>273</v>
      </c>
      <c r="B296" s="50" t="s">
        <v>589</v>
      </c>
      <c r="C296" s="50" t="s">
        <v>608</v>
      </c>
      <c r="D296" s="50" t="s">
        <v>611</v>
      </c>
      <c r="E296" s="50" t="s">
        <v>612</v>
      </c>
      <c r="F296" s="48" t="s">
        <v>66</v>
      </c>
      <c r="G296" s="9">
        <v>14</v>
      </c>
      <c r="H296" s="12">
        <f>'Engineering Assumptions'!$C$36*'Engineering Assumptions'!$B$5*U296</f>
        <v>955</v>
      </c>
      <c r="I296" s="12">
        <f>'Engineering Assumptions'!$B$8</f>
        <v>650</v>
      </c>
      <c r="J296" s="12">
        <f>'Engineering Assumptions'!$D$36*S296*U296</f>
        <v>108.5</v>
      </c>
      <c r="K296" s="12">
        <f>'Engineering Assumptions'!$E$36*T296*U296</f>
        <v>121.50000000000001</v>
      </c>
      <c r="L296" s="13">
        <f t="shared" si="42"/>
        <v>1835</v>
      </c>
      <c r="M296" s="12">
        <f>L296*'Engineering Assumptions'!$B$10</f>
        <v>275.25</v>
      </c>
      <c r="N296" s="13">
        <f t="shared" si="43"/>
        <v>2110.25</v>
      </c>
      <c r="O296" s="12">
        <f>N296*'Engineering Assumptions'!$B$11</f>
        <v>422.05</v>
      </c>
      <c r="P296" s="156">
        <f t="shared" si="44"/>
        <v>2530</v>
      </c>
      <c r="Q296" s="12">
        <f>'Fleet Pricing'!H296</f>
        <v>940</v>
      </c>
      <c r="R296" s="45">
        <v>14</v>
      </c>
      <c r="S296" s="49">
        <v>1.55</v>
      </c>
      <c r="T296" s="49">
        <v>1.35</v>
      </c>
      <c r="U296" s="49">
        <v>1</v>
      </c>
    </row>
    <row r="297" spans="1:21" ht="15" customHeight="1" x14ac:dyDescent="0.3">
      <c r="A297" s="9">
        <v>274</v>
      </c>
      <c r="B297" s="50" t="s">
        <v>589</v>
      </c>
      <c r="C297" s="50" t="s">
        <v>613</v>
      </c>
      <c r="D297" s="50" t="s">
        <v>614</v>
      </c>
      <c r="E297" s="50" t="s">
        <v>615</v>
      </c>
      <c r="F297" s="48" t="s">
        <v>458</v>
      </c>
      <c r="G297" s="9">
        <v>15</v>
      </c>
      <c r="H297" s="12">
        <f>'Engineering Assumptions'!$C$36*'Engineering Assumptions'!$B$5*U297</f>
        <v>955</v>
      </c>
      <c r="I297" s="12">
        <f>'Engineering Assumptions'!$B$8</f>
        <v>650</v>
      </c>
      <c r="J297" s="12">
        <f>'Engineering Assumptions'!$D$36*S297*U297</f>
        <v>108.5</v>
      </c>
      <c r="K297" s="12">
        <f>'Engineering Assumptions'!$E$36*T297*U297</f>
        <v>121.50000000000001</v>
      </c>
      <c r="L297" s="13">
        <f t="shared" si="42"/>
        <v>1835</v>
      </c>
      <c r="M297" s="12">
        <f>L297*'Engineering Assumptions'!$B$10</f>
        <v>275.25</v>
      </c>
      <c r="N297" s="13">
        <f t="shared" si="43"/>
        <v>2110.25</v>
      </c>
      <c r="O297" s="12">
        <f>N297*'Engineering Assumptions'!$B$11</f>
        <v>422.05</v>
      </c>
      <c r="P297" s="156">
        <f t="shared" si="44"/>
        <v>2530</v>
      </c>
      <c r="Q297" s="12">
        <f>'Fleet Pricing'!H297</f>
        <v>940</v>
      </c>
      <c r="R297" s="45">
        <v>15</v>
      </c>
      <c r="S297" s="49">
        <v>1.55</v>
      </c>
      <c r="T297" s="49">
        <v>1.35</v>
      </c>
      <c r="U297" s="49">
        <v>1</v>
      </c>
    </row>
    <row r="298" spans="1:21" ht="15" customHeight="1" x14ac:dyDescent="0.3">
      <c r="A298" s="9">
        <v>275</v>
      </c>
      <c r="B298" s="50" t="s">
        <v>589</v>
      </c>
      <c r="C298" s="50" t="s">
        <v>613</v>
      </c>
      <c r="D298" s="50" t="s">
        <v>616</v>
      </c>
      <c r="E298" s="50" t="s">
        <v>617</v>
      </c>
      <c r="F298" s="48" t="s">
        <v>458</v>
      </c>
      <c r="G298" s="9">
        <v>15</v>
      </c>
      <c r="H298" s="12">
        <f>'Engineering Assumptions'!$C$36*'Engineering Assumptions'!$B$5*U298</f>
        <v>955</v>
      </c>
      <c r="I298" s="12">
        <f>'Engineering Assumptions'!$B$8</f>
        <v>650</v>
      </c>
      <c r="J298" s="12">
        <f>'Engineering Assumptions'!$D$36*S298*U298</f>
        <v>108.5</v>
      </c>
      <c r="K298" s="12">
        <f>'Engineering Assumptions'!$E$36*T298*U298</f>
        <v>121.50000000000001</v>
      </c>
      <c r="L298" s="13">
        <f t="shared" si="42"/>
        <v>1835</v>
      </c>
      <c r="M298" s="12">
        <f>L298*'Engineering Assumptions'!$B$10</f>
        <v>275.25</v>
      </c>
      <c r="N298" s="13">
        <f t="shared" si="43"/>
        <v>2110.25</v>
      </c>
      <c r="O298" s="12">
        <f>N298*'Engineering Assumptions'!$B$11</f>
        <v>422.05</v>
      </c>
      <c r="P298" s="156">
        <f t="shared" si="44"/>
        <v>2530</v>
      </c>
      <c r="Q298" s="12">
        <f>'Fleet Pricing'!H298</f>
        <v>940</v>
      </c>
      <c r="R298" s="45">
        <v>15</v>
      </c>
      <c r="S298" s="49">
        <v>1.55</v>
      </c>
      <c r="T298" s="49">
        <v>1.35</v>
      </c>
      <c r="U298" s="49">
        <v>1</v>
      </c>
    </row>
    <row r="299" spans="1:21" ht="15" customHeight="1" x14ac:dyDescent="0.3">
      <c r="A299" s="9">
        <v>276</v>
      </c>
      <c r="B299" s="50" t="s">
        <v>589</v>
      </c>
      <c r="C299" s="50" t="s">
        <v>618</v>
      </c>
      <c r="D299" s="50" t="s">
        <v>619</v>
      </c>
      <c r="E299" s="50" t="s">
        <v>620</v>
      </c>
      <c r="F299" s="48" t="s">
        <v>73</v>
      </c>
      <c r="G299" s="9">
        <v>20</v>
      </c>
      <c r="H299" s="12">
        <f>'Engineering Assumptions'!$C$36*'Engineering Assumptions'!$B$5*U299</f>
        <v>955</v>
      </c>
      <c r="I299" s="12">
        <f>'Engineering Assumptions'!$B$8</f>
        <v>650</v>
      </c>
      <c r="J299" s="12">
        <f>'Engineering Assumptions'!$D$36*S299*U299</f>
        <v>136.5</v>
      </c>
      <c r="K299" s="12">
        <f>'Engineering Assumptions'!$E$36*T299*U299</f>
        <v>189</v>
      </c>
      <c r="L299" s="13">
        <f t="shared" si="42"/>
        <v>1930.5</v>
      </c>
      <c r="M299" s="12">
        <f>L299*'Engineering Assumptions'!$B$10</f>
        <v>289.57499999999999</v>
      </c>
      <c r="N299" s="13">
        <f t="shared" si="43"/>
        <v>2220.0749999999998</v>
      </c>
      <c r="O299" s="12">
        <f>N299*'Engineering Assumptions'!$B$11</f>
        <v>444.01499999999999</v>
      </c>
      <c r="P299" s="156">
        <f t="shared" si="44"/>
        <v>2660</v>
      </c>
      <c r="Q299" s="12">
        <f>'Fleet Pricing'!H299</f>
        <v>830</v>
      </c>
      <c r="R299" s="45">
        <v>20</v>
      </c>
      <c r="S299" s="49">
        <v>1.95</v>
      </c>
      <c r="T299" s="49">
        <v>2.1</v>
      </c>
      <c r="U299" s="49">
        <v>1</v>
      </c>
    </row>
    <row r="300" spans="1:21" ht="15" customHeight="1" x14ac:dyDescent="0.3">
      <c r="A300" s="9">
        <v>277</v>
      </c>
      <c r="B300" s="50" t="s">
        <v>589</v>
      </c>
      <c r="C300" s="50" t="s">
        <v>621</v>
      </c>
      <c r="D300" s="50" t="s">
        <v>622</v>
      </c>
      <c r="E300" s="50" t="s">
        <v>623</v>
      </c>
      <c r="F300" s="48" t="s">
        <v>195</v>
      </c>
      <c r="G300" s="9">
        <v>30</v>
      </c>
      <c r="H300" s="12">
        <f>'Engineering Assumptions'!$C$36*'Engineering Assumptions'!$B$5*U300</f>
        <v>955</v>
      </c>
      <c r="I300" s="12">
        <f>'Engineering Assumptions'!$B$8</f>
        <v>650</v>
      </c>
      <c r="J300" s="12">
        <f>'Engineering Assumptions'!$D$36*S300*U300</f>
        <v>168</v>
      </c>
      <c r="K300" s="12">
        <f>'Engineering Assumptions'!$E$36*T300*U300</f>
        <v>270</v>
      </c>
      <c r="L300" s="13">
        <f t="shared" si="42"/>
        <v>2043</v>
      </c>
      <c r="M300" s="12">
        <f>L300*'Engineering Assumptions'!$B$10</f>
        <v>306.45</v>
      </c>
      <c r="N300" s="13">
        <f t="shared" si="43"/>
        <v>2349.4499999999998</v>
      </c>
      <c r="O300" s="12">
        <f>N300*'Engineering Assumptions'!$B$11</f>
        <v>469.89</v>
      </c>
      <c r="P300" s="156">
        <f t="shared" si="44"/>
        <v>2820</v>
      </c>
      <c r="Q300" s="12">
        <f>'Fleet Pricing'!H300</f>
        <v>670</v>
      </c>
      <c r="R300" s="45">
        <v>30</v>
      </c>
      <c r="S300" s="49">
        <v>2.4</v>
      </c>
      <c r="T300" s="49">
        <v>3</v>
      </c>
      <c r="U300" s="49">
        <v>1</v>
      </c>
    </row>
    <row r="301" spans="1:21" ht="15" customHeight="1" x14ac:dyDescent="0.3">
      <c r="A301" s="199" t="s">
        <v>624</v>
      </c>
      <c r="B301" s="200"/>
      <c r="C301" s="200"/>
      <c r="D301" s="200"/>
      <c r="E301" s="200"/>
      <c r="F301" s="200"/>
      <c r="G301" s="200"/>
      <c r="H301" s="200"/>
      <c r="I301" s="200"/>
      <c r="J301" s="200"/>
      <c r="K301" s="200"/>
      <c r="L301" s="200"/>
      <c r="M301" s="200"/>
      <c r="N301" s="200"/>
      <c r="O301" s="200"/>
      <c r="P301" s="200"/>
      <c r="Q301" s="200"/>
    </row>
    <row r="302" spans="1:21" ht="15" customHeight="1" x14ac:dyDescent="0.3">
      <c r="A302" s="9">
        <v>278</v>
      </c>
      <c r="B302" s="50" t="s">
        <v>625</v>
      </c>
      <c r="C302" s="50" t="s">
        <v>626</v>
      </c>
      <c r="D302" s="50" t="s">
        <v>627</v>
      </c>
      <c r="E302" s="50" t="s">
        <v>628</v>
      </c>
      <c r="F302" s="48" t="s">
        <v>23</v>
      </c>
      <c r="G302" s="9">
        <v>5</v>
      </c>
      <c r="H302" s="12">
        <f>'Engineering Assumptions'!$C$37*'Engineering Assumptions'!$B$5*U302</f>
        <v>2865</v>
      </c>
      <c r="I302" s="12">
        <f>'Engineering Assumptions'!$B$8</f>
        <v>650</v>
      </c>
      <c r="J302" s="12">
        <f>'Engineering Assumptions'!$D$37*S302*U302</f>
        <v>230</v>
      </c>
      <c r="K302" s="12">
        <f>'Engineering Assumptions'!$E$37*T302*U302</f>
        <v>93</v>
      </c>
      <c r="L302" s="13">
        <f t="shared" ref="L302:L333" si="45">H302+I302+J302+K302</f>
        <v>3838</v>
      </c>
      <c r="M302" s="12">
        <f>L302*'Engineering Assumptions'!$B$10</f>
        <v>575.69999999999993</v>
      </c>
      <c r="N302" s="13">
        <f t="shared" ref="N302:N333" si="46">L302+M302</f>
        <v>4413.7</v>
      </c>
      <c r="O302" s="12">
        <f>N302*'Engineering Assumptions'!$B$11</f>
        <v>882.74</v>
      </c>
      <c r="P302" s="156">
        <f t="shared" ref="P302:P333" si="47">MROUND(N302+O302,10)</f>
        <v>5300</v>
      </c>
      <c r="Q302" s="12">
        <f>'Fleet Pricing'!H302</f>
        <v>3250</v>
      </c>
      <c r="R302" s="45">
        <v>5</v>
      </c>
      <c r="S302" s="49">
        <v>1</v>
      </c>
      <c r="T302" s="49">
        <v>0.3</v>
      </c>
      <c r="U302" s="49">
        <v>1</v>
      </c>
    </row>
    <row r="303" spans="1:21" ht="15" customHeight="1" x14ac:dyDescent="0.3">
      <c r="A303" s="9">
        <v>279</v>
      </c>
      <c r="B303" s="50" t="s">
        <v>625</v>
      </c>
      <c r="C303" s="50" t="s">
        <v>626</v>
      </c>
      <c r="D303" s="50" t="s">
        <v>629</v>
      </c>
      <c r="E303" s="50" t="s">
        <v>630</v>
      </c>
      <c r="F303" s="48" t="s">
        <v>23</v>
      </c>
      <c r="G303" s="9">
        <v>5</v>
      </c>
      <c r="H303" s="12">
        <f>'Engineering Assumptions'!$C$37*'Engineering Assumptions'!$B$5*U303</f>
        <v>2865</v>
      </c>
      <c r="I303" s="12">
        <f>'Engineering Assumptions'!$B$8</f>
        <v>650</v>
      </c>
      <c r="J303" s="12">
        <f>'Engineering Assumptions'!$D$37*S303*U303</f>
        <v>230</v>
      </c>
      <c r="K303" s="12">
        <f>'Engineering Assumptions'!$E$37*T303*U303</f>
        <v>93</v>
      </c>
      <c r="L303" s="13">
        <f t="shared" si="45"/>
        <v>3838</v>
      </c>
      <c r="M303" s="12">
        <f>L303*'Engineering Assumptions'!$B$10</f>
        <v>575.69999999999993</v>
      </c>
      <c r="N303" s="13">
        <f t="shared" si="46"/>
        <v>4413.7</v>
      </c>
      <c r="O303" s="12">
        <f>N303*'Engineering Assumptions'!$B$11</f>
        <v>882.74</v>
      </c>
      <c r="P303" s="156">
        <f t="shared" si="47"/>
        <v>5300</v>
      </c>
      <c r="Q303" s="12">
        <f>'Fleet Pricing'!H303</f>
        <v>3250</v>
      </c>
      <c r="R303" s="45">
        <v>5</v>
      </c>
      <c r="S303" s="49">
        <v>1</v>
      </c>
      <c r="T303" s="49">
        <v>0.3</v>
      </c>
      <c r="U303" s="49">
        <v>1</v>
      </c>
    </row>
    <row r="304" spans="1:21" ht="15" customHeight="1" x14ac:dyDescent="0.3">
      <c r="A304" s="9">
        <v>280</v>
      </c>
      <c r="B304" s="50" t="s">
        <v>625</v>
      </c>
      <c r="C304" s="50" t="s">
        <v>626</v>
      </c>
      <c r="D304" s="50" t="s">
        <v>631</v>
      </c>
      <c r="E304" s="50" t="s">
        <v>632</v>
      </c>
      <c r="F304" s="48" t="s">
        <v>23</v>
      </c>
      <c r="G304" s="9">
        <v>5</v>
      </c>
      <c r="H304" s="12">
        <f>'Engineering Assumptions'!$C$37*'Engineering Assumptions'!$B$5*U304</f>
        <v>2865</v>
      </c>
      <c r="I304" s="12">
        <f>'Engineering Assumptions'!$B$8</f>
        <v>650</v>
      </c>
      <c r="J304" s="12">
        <f>'Engineering Assumptions'!$D$37*S304*U304</f>
        <v>230</v>
      </c>
      <c r="K304" s="12">
        <f>'Engineering Assumptions'!$E$37*T304*U304</f>
        <v>93</v>
      </c>
      <c r="L304" s="13">
        <f t="shared" si="45"/>
        <v>3838</v>
      </c>
      <c r="M304" s="12">
        <f>L304*'Engineering Assumptions'!$B$10</f>
        <v>575.69999999999993</v>
      </c>
      <c r="N304" s="13">
        <f t="shared" si="46"/>
        <v>4413.7</v>
      </c>
      <c r="O304" s="12">
        <f>N304*'Engineering Assumptions'!$B$11</f>
        <v>882.74</v>
      </c>
      <c r="P304" s="156">
        <f t="shared" si="47"/>
        <v>5300</v>
      </c>
      <c r="Q304" s="12">
        <f>'Fleet Pricing'!H304</f>
        <v>3250</v>
      </c>
      <c r="R304" s="45">
        <v>5</v>
      </c>
      <c r="S304" s="49">
        <v>1</v>
      </c>
      <c r="T304" s="49">
        <v>0.3</v>
      </c>
      <c r="U304" s="49">
        <v>1</v>
      </c>
    </row>
    <row r="305" spans="1:21" ht="15" customHeight="1" x14ac:dyDescent="0.3">
      <c r="A305" s="9">
        <v>281</v>
      </c>
      <c r="B305" s="50" t="s">
        <v>625</v>
      </c>
      <c r="C305" s="50" t="s">
        <v>626</v>
      </c>
      <c r="D305" s="50" t="s">
        <v>633</v>
      </c>
      <c r="E305" s="50" t="s">
        <v>634</v>
      </c>
      <c r="F305" s="48" t="s">
        <v>23</v>
      </c>
      <c r="G305" s="9">
        <v>5</v>
      </c>
      <c r="H305" s="12">
        <f>'Engineering Assumptions'!$C$37*'Engineering Assumptions'!$B$5*U305</f>
        <v>2865</v>
      </c>
      <c r="I305" s="12">
        <f>'Engineering Assumptions'!$B$8</f>
        <v>650</v>
      </c>
      <c r="J305" s="12">
        <f>'Engineering Assumptions'!$D$37*S305*U305</f>
        <v>230</v>
      </c>
      <c r="K305" s="12">
        <f>'Engineering Assumptions'!$E$37*T305*U305</f>
        <v>93</v>
      </c>
      <c r="L305" s="13">
        <f t="shared" si="45"/>
        <v>3838</v>
      </c>
      <c r="M305" s="12">
        <f>L305*'Engineering Assumptions'!$B$10</f>
        <v>575.69999999999993</v>
      </c>
      <c r="N305" s="13">
        <f t="shared" si="46"/>
        <v>4413.7</v>
      </c>
      <c r="O305" s="12">
        <f>N305*'Engineering Assumptions'!$B$11</f>
        <v>882.74</v>
      </c>
      <c r="P305" s="156">
        <f t="shared" si="47"/>
        <v>5300</v>
      </c>
      <c r="Q305" s="12">
        <f>'Fleet Pricing'!H305</f>
        <v>3250</v>
      </c>
      <c r="R305" s="45">
        <v>5</v>
      </c>
      <c r="S305" s="49">
        <v>1</v>
      </c>
      <c r="T305" s="49">
        <v>0.3</v>
      </c>
      <c r="U305" s="49">
        <v>1</v>
      </c>
    </row>
    <row r="306" spans="1:21" ht="15" customHeight="1" x14ac:dyDescent="0.3">
      <c r="A306" s="9">
        <v>282</v>
      </c>
      <c r="B306" s="50" t="s">
        <v>625</v>
      </c>
      <c r="C306" s="50" t="s">
        <v>626</v>
      </c>
      <c r="D306" s="50" t="s">
        <v>635</v>
      </c>
      <c r="E306" s="50" t="s">
        <v>636</v>
      </c>
      <c r="F306" s="48" t="s">
        <v>23</v>
      </c>
      <c r="G306" s="9">
        <v>5</v>
      </c>
      <c r="H306" s="12">
        <f>'Engineering Assumptions'!$C$37*'Engineering Assumptions'!$B$5*U306</f>
        <v>2865</v>
      </c>
      <c r="I306" s="12">
        <f>'Engineering Assumptions'!$B$8</f>
        <v>650</v>
      </c>
      <c r="J306" s="12">
        <f>'Engineering Assumptions'!$D$37*S306*U306</f>
        <v>230</v>
      </c>
      <c r="K306" s="12">
        <f>'Engineering Assumptions'!$E$37*T306*U306</f>
        <v>93</v>
      </c>
      <c r="L306" s="13">
        <f t="shared" si="45"/>
        <v>3838</v>
      </c>
      <c r="M306" s="12">
        <f>L306*'Engineering Assumptions'!$B$10</f>
        <v>575.69999999999993</v>
      </c>
      <c r="N306" s="13">
        <f t="shared" si="46"/>
        <v>4413.7</v>
      </c>
      <c r="O306" s="12">
        <f>N306*'Engineering Assumptions'!$B$11</f>
        <v>882.74</v>
      </c>
      <c r="P306" s="156">
        <f t="shared" si="47"/>
        <v>5300</v>
      </c>
      <c r="Q306" s="12">
        <f>'Fleet Pricing'!H306</f>
        <v>3250</v>
      </c>
      <c r="R306" s="45">
        <v>5</v>
      </c>
      <c r="S306" s="49">
        <v>1</v>
      </c>
      <c r="T306" s="49">
        <v>0.3</v>
      </c>
      <c r="U306" s="49">
        <v>1</v>
      </c>
    </row>
    <row r="307" spans="1:21" ht="15" customHeight="1" x14ac:dyDescent="0.3">
      <c r="A307" s="9">
        <v>283</v>
      </c>
      <c r="B307" s="50" t="s">
        <v>625</v>
      </c>
      <c r="C307" s="50" t="s">
        <v>626</v>
      </c>
      <c r="D307" s="50" t="s">
        <v>637</v>
      </c>
      <c r="E307" s="50" t="s">
        <v>638</v>
      </c>
      <c r="F307" s="48" t="s">
        <v>23</v>
      </c>
      <c r="G307" s="9">
        <v>5</v>
      </c>
      <c r="H307" s="12">
        <f>'Engineering Assumptions'!$C$37*'Engineering Assumptions'!$B$5*U307</f>
        <v>2865</v>
      </c>
      <c r="I307" s="12">
        <f>'Engineering Assumptions'!$B$8</f>
        <v>650</v>
      </c>
      <c r="J307" s="12">
        <f>'Engineering Assumptions'!$D$37*S307*U307</f>
        <v>230</v>
      </c>
      <c r="K307" s="12">
        <f>'Engineering Assumptions'!$E$37*T307*U307</f>
        <v>93</v>
      </c>
      <c r="L307" s="13">
        <f t="shared" si="45"/>
        <v>3838</v>
      </c>
      <c r="M307" s="12">
        <f>L307*'Engineering Assumptions'!$B$10</f>
        <v>575.69999999999993</v>
      </c>
      <c r="N307" s="13">
        <f t="shared" si="46"/>
        <v>4413.7</v>
      </c>
      <c r="O307" s="12">
        <f>N307*'Engineering Assumptions'!$B$11</f>
        <v>882.74</v>
      </c>
      <c r="P307" s="156">
        <f t="shared" si="47"/>
        <v>5300</v>
      </c>
      <c r="Q307" s="12">
        <f>'Fleet Pricing'!H307</f>
        <v>3250</v>
      </c>
      <c r="R307" s="45">
        <v>5</v>
      </c>
      <c r="S307" s="49">
        <v>1</v>
      </c>
      <c r="T307" s="49">
        <v>0.3</v>
      </c>
      <c r="U307" s="49">
        <v>1</v>
      </c>
    </row>
    <row r="308" spans="1:21" ht="15" customHeight="1" x14ac:dyDescent="0.3">
      <c r="A308" s="9">
        <v>284</v>
      </c>
      <c r="B308" s="50" t="s">
        <v>625</v>
      </c>
      <c r="C308" s="50" t="s">
        <v>626</v>
      </c>
      <c r="D308" s="50" t="s">
        <v>639</v>
      </c>
      <c r="E308" s="50" t="s">
        <v>640</v>
      </c>
      <c r="F308" s="48" t="s">
        <v>23</v>
      </c>
      <c r="G308" s="9">
        <v>5</v>
      </c>
      <c r="H308" s="12">
        <f>'Engineering Assumptions'!$C$37*'Engineering Assumptions'!$B$5*U308</f>
        <v>2865</v>
      </c>
      <c r="I308" s="12">
        <f>'Engineering Assumptions'!$B$8</f>
        <v>650</v>
      </c>
      <c r="J308" s="12">
        <f>'Engineering Assumptions'!$D$37*S308*U308</f>
        <v>230</v>
      </c>
      <c r="K308" s="12">
        <f>'Engineering Assumptions'!$E$37*T308*U308</f>
        <v>93</v>
      </c>
      <c r="L308" s="13">
        <f t="shared" si="45"/>
        <v>3838</v>
      </c>
      <c r="M308" s="12">
        <f>L308*'Engineering Assumptions'!$B$10</f>
        <v>575.69999999999993</v>
      </c>
      <c r="N308" s="13">
        <f t="shared" si="46"/>
        <v>4413.7</v>
      </c>
      <c r="O308" s="12">
        <f>N308*'Engineering Assumptions'!$B$11</f>
        <v>882.74</v>
      </c>
      <c r="P308" s="156">
        <f t="shared" si="47"/>
        <v>5300</v>
      </c>
      <c r="Q308" s="12">
        <f>'Fleet Pricing'!H308</f>
        <v>3250</v>
      </c>
      <c r="R308" s="45">
        <v>5</v>
      </c>
      <c r="S308" s="49">
        <v>1</v>
      </c>
      <c r="T308" s="49">
        <v>0.3</v>
      </c>
      <c r="U308" s="49">
        <v>1</v>
      </c>
    </row>
    <row r="309" spans="1:21" ht="15" customHeight="1" x14ac:dyDescent="0.3">
      <c r="A309" s="9">
        <v>285</v>
      </c>
      <c r="B309" s="50" t="s">
        <v>625</v>
      </c>
      <c r="C309" s="50" t="s">
        <v>626</v>
      </c>
      <c r="D309" s="50" t="s">
        <v>641</v>
      </c>
      <c r="E309" s="50" t="s">
        <v>642</v>
      </c>
      <c r="F309" s="48" t="s">
        <v>23</v>
      </c>
      <c r="G309" s="9">
        <v>5</v>
      </c>
      <c r="H309" s="12">
        <f>'Engineering Assumptions'!$C$37*'Engineering Assumptions'!$B$5*U309</f>
        <v>2865</v>
      </c>
      <c r="I309" s="12">
        <f>'Engineering Assumptions'!$B$8</f>
        <v>650</v>
      </c>
      <c r="J309" s="12">
        <f>'Engineering Assumptions'!$D$37*S309*U309</f>
        <v>230</v>
      </c>
      <c r="K309" s="12">
        <f>'Engineering Assumptions'!$E$37*T309*U309</f>
        <v>93</v>
      </c>
      <c r="L309" s="13">
        <f t="shared" si="45"/>
        <v>3838</v>
      </c>
      <c r="M309" s="12">
        <f>L309*'Engineering Assumptions'!$B$10</f>
        <v>575.69999999999993</v>
      </c>
      <c r="N309" s="13">
        <f t="shared" si="46"/>
        <v>4413.7</v>
      </c>
      <c r="O309" s="12">
        <f>N309*'Engineering Assumptions'!$B$11</f>
        <v>882.74</v>
      </c>
      <c r="P309" s="156">
        <f t="shared" si="47"/>
        <v>5300</v>
      </c>
      <c r="Q309" s="12">
        <f>'Fleet Pricing'!H309</f>
        <v>3250</v>
      </c>
      <c r="R309" s="45">
        <v>5</v>
      </c>
      <c r="S309" s="49">
        <v>1</v>
      </c>
      <c r="T309" s="49">
        <v>0.3</v>
      </c>
      <c r="U309" s="49">
        <v>1</v>
      </c>
    </row>
    <row r="310" spans="1:21" ht="15" customHeight="1" x14ac:dyDescent="0.3">
      <c r="A310" s="9">
        <v>286</v>
      </c>
      <c r="B310" s="50" t="s">
        <v>625</v>
      </c>
      <c r="C310" s="50" t="s">
        <v>626</v>
      </c>
      <c r="D310" s="50" t="s">
        <v>643</v>
      </c>
      <c r="E310" s="50" t="s">
        <v>644</v>
      </c>
      <c r="F310" s="48" t="s">
        <v>23</v>
      </c>
      <c r="G310" s="9">
        <v>5</v>
      </c>
      <c r="H310" s="12">
        <f>'Engineering Assumptions'!$C$37*'Engineering Assumptions'!$B$5*U310</f>
        <v>2865</v>
      </c>
      <c r="I310" s="12">
        <f>'Engineering Assumptions'!$B$8</f>
        <v>650</v>
      </c>
      <c r="J310" s="12">
        <f>'Engineering Assumptions'!$D$37*S310*U310</f>
        <v>230</v>
      </c>
      <c r="K310" s="12">
        <f>'Engineering Assumptions'!$E$37*T310*U310</f>
        <v>93</v>
      </c>
      <c r="L310" s="13">
        <f t="shared" si="45"/>
        <v>3838</v>
      </c>
      <c r="M310" s="12">
        <f>L310*'Engineering Assumptions'!$B$10</f>
        <v>575.69999999999993</v>
      </c>
      <c r="N310" s="13">
        <f t="shared" si="46"/>
        <v>4413.7</v>
      </c>
      <c r="O310" s="12">
        <f>N310*'Engineering Assumptions'!$B$11</f>
        <v>882.74</v>
      </c>
      <c r="P310" s="156">
        <f t="shared" si="47"/>
        <v>5300</v>
      </c>
      <c r="Q310" s="12">
        <f>'Fleet Pricing'!H310</f>
        <v>3250</v>
      </c>
      <c r="R310" s="45">
        <v>5</v>
      </c>
      <c r="S310" s="49">
        <v>1</v>
      </c>
      <c r="T310" s="49">
        <v>0.3</v>
      </c>
      <c r="U310" s="49">
        <v>1</v>
      </c>
    </row>
    <row r="311" spans="1:21" ht="15" customHeight="1" x14ac:dyDescent="0.3">
      <c r="A311" s="9">
        <v>287</v>
      </c>
      <c r="B311" s="50" t="s">
        <v>625</v>
      </c>
      <c r="C311" s="50" t="s">
        <v>626</v>
      </c>
      <c r="D311" s="50" t="s">
        <v>645</v>
      </c>
      <c r="E311" s="50" t="s">
        <v>646</v>
      </c>
      <c r="F311" s="48" t="s">
        <v>23</v>
      </c>
      <c r="G311" s="9">
        <v>5</v>
      </c>
      <c r="H311" s="12">
        <f>'Engineering Assumptions'!$C$37*'Engineering Assumptions'!$B$5*U311</f>
        <v>2865</v>
      </c>
      <c r="I311" s="12">
        <f>'Engineering Assumptions'!$B$8</f>
        <v>650</v>
      </c>
      <c r="J311" s="12">
        <f>'Engineering Assumptions'!$D$37*S311*U311</f>
        <v>230</v>
      </c>
      <c r="K311" s="12">
        <f>'Engineering Assumptions'!$E$37*T311*U311</f>
        <v>93</v>
      </c>
      <c r="L311" s="13">
        <f t="shared" si="45"/>
        <v>3838</v>
      </c>
      <c r="M311" s="12">
        <f>L311*'Engineering Assumptions'!$B$10</f>
        <v>575.69999999999993</v>
      </c>
      <c r="N311" s="13">
        <f t="shared" si="46"/>
        <v>4413.7</v>
      </c>
      <c r="O311" s="12">
        <f>N311*'Engineering Assumptions'!$B$11</f>
        <v>882.74</v>
      </c>
      <c r="P311" s="156">
        <f t="shared" si="47"/>
        <v>5300</v>
      </c>
      <c r="Q311" s="12">
        <f>'Fleet Pricing'!H311</f>
        <v>3250</v>
      </c>
      <c r="R311" s="45">
        <v>5</v>
      </c>
      <c r="S311" s="49">
        <v>1</v>
      </c>
      <c r="T311" s="49">
        <v>0.3</v>
      </c>
      <c r="U311" s="49">
        <v>1</v>
      </c>
    </row>
    <row r="312" spans="1:21" ht="15" customHeight="1" x14ac:dyDescent="0.3">
      <c r="A312" s="9">
        <v>288</v>
      </c>
      <c r="B312" s="50" t="s">
        <v>625</v>
      </c>
      <c r="C312" s="50" t="s">
        <v>626</v>
      </c>
      <c r="D312" s="50" t="s">
        <v>647</v>
      </c>
      <c r="E312" s="50" t="s">
        <v>648</v>
      </c>
      <c r="F312" s="48" t="s">
        <v>23</v>
      </c>
      <c r="G312" s="9">
        <v>5</v>
      </c>
      <c r="H312" s="12">
        <f>'Engineering Assumptions'!$C$37*'Engineering Assumptions'!$B$5*U312</f>
        <v>2865</v>
      </c>
      <c r="I312" s="12">
        <f>'Engineering Assumptions'!$B$8</f>
        <v>650</v>
      </c>
      <c r="J312" s="12">
        <f>'Engineering Assumptions'!$D$37*S312*U312</f>
        <v>230</v>
      </c>
      <c r="K312" s="12">
        <f>'Engineering Assumptions'!$E$37*T312*U312</f>
        <v>93</v>
      </c>
      <c r="L312" s="13">
        <f t="shared" si="45"/>
        <v>3838</v>
      </c>
      <c r="M312" s="12">
        <f>L312*'Engineering Assumptions'!$B$10</f>
        <v>575.69999999999993</v>
      </c>
      <c r="N312" s="13">
        <f t="shared" si="46"/>
        <v>4413.7</v>
      </c>
      <c r="O312" s="12">
        <f>N312*'Engineering Assumptions'!$B$11</f>
        <v>882.74</v>
      </c>
      <c r="P312" s="156">
        <f t="shared" si="47"/>
        <v>5300</v>
      </c>
      <c r="Q312" s="12">
        <f>'Fleet Pricing'!H312</f>
        <v>3250</v>
      </c>
      <c r="R312" s="45">
        <v>5</v>
      </c>
      <c r="S312" s="49">
        <v>1</v>
      </c>
      <c r="T312" s="49">
        <v>0.3</v>
      </c>
      <c r="U312" s="49">
        <v>1</v>
      </c>
    </row>
    <row r="313" spans="1:21" ht="15" customHeight="1" x14ac:dyDescent="0.3">
      <c r="A313" s="9">
        <v>289</v>
      </c>
      <c r="B313" s="50" t="s">
        <v>625</v>
      </c>
      <c r="C313" s="50" t="s">
        <v>626</v>
      </c>
      <c r="D313" s="50" t="s">
        <v>649</v>
      </c>
      <c r="E313" s="50" t="s">
        <v>650</v>
      </c>
      <c r="F313" s="48" t="s">
        <v>23</v>
      </c>
      <c r="G313" s="9">
        <v>5</v>
      </c>
      <c r="H313" s="12">
        <f>'Engineering Assumptions'!$C$37*'Engineering Assumptions'!$B$5*U313</f>
        <v>2865</v>
      </c>
      <c r="I313" s="12">
        <f>'Engineering Assumptions'!$B$8</f>
        <v>650</v>
      </c>
      <c r="J313" s="12">
        <f>'Engineering Assumptions'!$D$37*S313*U313</f>
        <v>230</v>
      </c>
      <c r="K313" s="12">
        <f>'Engineering Assumptions'!$E$37*T313*U313</f>
        <v>93</v>
      </c>
      <c r="L313" s="13">
        <f t="shared" si="45"/>
        <v>3838</v>
      </c>
      <c r="M313" s="12">
        <f>L313*'Engineering Assumptions'!$B$10</f>
        <v>575.69999999999993</v>
      </c>
      <c r="N313" s="13">
        <f t="shared" si="46"/>
        <v>4413.7</v>
      </c>
      <c r="O313" s="12">
        <f>N313*'Engineering Assumptions'!$B$11</f>
        <v>882.74</v>
      </c>
      <c r="P313" s="156">
        <f t="shared" si="47"/>
        <v>5300</v>
      </c>
      <c r="Q313" s="12">
        <f>'Fleet Pricing'!H313</f>
        <v>3250</v>
      </c>
      <c r="R313" s="45">
        <v>5</v>
      </c>
      <c r="S313" s="49">
        <v>1</v>
      </c>
      <c r="T313" s="49">
        <v>0.3</v>
      </c>
      <c r="U313" s="49">
        <v>1</v>
      </c>
    </row>
    <row r="314" spans="1:21" ht="15" customHeight="1" x14ac:dyDescent="0.3">
      <c r="A314" s="9">
        <v>290</v>
      </c>
      <c r="B314" s="50" t="s">
        <v>625</v>
      </c>
      <c r="C314" s="50" t="s">
        <v>626</v>
      </c>
      <c r="D314" s="50" t="s">
        <v>651</v>
      </c>
      <c r="E314" s="50" t="s">
        <v>652</v>
      </c>
      <c r="F314" s="48" t="s">
        <v>23</v>
      </c>
      <c r="G314" s="9">
        <v>5</v>
      </c>
      <c r="H314" s="12">
        <f>'Engineering Assumptions'!$C$37*'Engineering Assumptions'!$B$5*U314</f>
        <v>2865</v>
      </c>
      <c r="I314" s="12">
        <f>'Engineering Assumptions'!$B$8</f>
        <v>650</v>
      </c>
      <c r="J314" s="12">
        <f>'Engineering Assumptions'!$D$37*S314*U314</f>
        <v>230</v>
      </c>
      <c r="K314" s="12">
        <f>'Engineering Assumptions'!$E$37*T314*U314</f>
        <v>93</v>
      </c>
      <c r="L314" s="13">
        <f t="shared" si="45"/>
        <v>3838</v>
      </c>
      <c r="M314" s="12">
        <f>L314*'Engineering Assumptions'!$B$10</f>
        <v>575.69999999999993</v>
      </c>
      <c r="N314" s="13">
        <f t="shared" si="46"/>
        <v>4413.7</v>
      </c>
      <c r="O314" s="12">
        <f>N314*'Engineering Assumptions'!$B$11</f>
        <v>882.74</v>
      </c>
      <c r="P314" s="156">
        <f t="shared" si="47"/>
        <v>5300</v>
      </c>
      <c r="Q314" s="12">
        <f>'Fleet Pricing'!H314</f>
        <v>3250</v>
      </c>
      <c r="R314" s="45">
        <v>5</v>
      </c>
      <c r="S314" s="49">
        <v>1</v>
      </c>
      <c r="T314" s="49">
        <v>0.3</v>
      </c>
      <c r="U314" s="49">
        <v>1</v>
      </c>
    </row>
    <row r="315" spans="1:21" ht="15" customHeight="1" x14ac:dyDescent="0.3">
      <c r="A315" s="9">
        <v>291</v>
      </c>
      <c r="B315" s="50" t="s">
        <v>625</v>
      </c>
      <c r="C315" s="50" t="s">
        <v>626</v>
      </c>
      <c r="D315" s="50" t="s">
        <v>653</v>
      </c>
      <c r="E315" s="50" t="s">
        <v>654</v>
      </c>
      <c r="F315" s="48" t="s">
        <v>23</v>
      </c>
      <c r="G315" s="9">
        <v>5</v>
      </c>
      <c r="H315" s="12">
        <f>'Engineering Assumptions'!$C$37*'Engineering Assumptions'!$B$5*U315</f>
        <v>2865</v>
      </c>
      <c r="I315" s="12">
        <f>'Engineering Assumptions'!$B$8</f>
        <v>650</v>
      </c>
      <c r="J315" s="12">
        <f>'Engineering Assumptions'!$D$37*S315*U315</f>
        <v>230</v>
      </c>
      <c r="K315" s="12">
        <f>'Engineering Assumptions'!$E$37*T315*U315</f>
        <v>93</v>
      </c>
      <c r="L315" s="13">
        <f t="shared" si="45"/>
        <v>3838</v>
      </c>
      <c r="M315" s="12">
        <f>L315*'Engineering Assumptions'!$B$10</f>
        <v>575.69999999999993</v>
      </c>
      <c r="N315" s="13">
        <f t="shared" si="46"/>
        <v>4413.7</v>
      </c>
      <c r="O315" s="12">
        <f>N315*'Engineering Assumptions'!$B$11</f>
        <v>882.74</v>
      </c>
      <c r="P315" s="156">
        <f t="shared" si="47"/>
        <v>5300</v>
      </c>
      <c r="Q315" s="12">
        <f>'Fleet Pricing'!H315</f>
        <v>3250</v>
      </c>
      <c r="R315" s="45">
        <v>5</v>
      </c>
      <c r="S315" s="49">
        <v>1</v>
      </c>
      <c r="T315" s="49">
        <v>0.3</v>
      </c>
      <c r="U315" s="49">
        <v>1</v>
      </c>
    </row>
    <row r="316" spans="1:21" ht="15" customHeight="1" x14ac:dyDescent="0.3">
      <c r="A316" s="9">
        <v>292</v>
      </c>
      <c r="B316" s="50" t="s">
        <v>625</v>
      </c>
      <c r="C316" s="50" t="s">
        <v>626</v>
      </c>
      <c r="D316" s="50" t="s">
        <v>655</v>
      </c>
      <c r="E316" s="50" t="s">
        <v>656</v>
      </c>
      <c r="F316" s="48" t="s">
        <v>23</v>
      </c>
      <c r="G316" s="9">
        <v>5</v>
      </c>
      <c r="H316" s="12">
        <f>'Engineering Assumptions'!$C$37*'Engineering Assumptions'!$B$5*U316</f>
        <v>2865</v>
      </c>
      <c r="I316" s="12">
        <f>'Engineering Assumptions'!$B$8</f>
        <v>650</v>
      </c>
      <c r="J316" s="12">
        <f>'Engineering Assumptions'!$D$37*S316*U316</f>
        <v>230</v>
      </c>
      <c r="K316" s="12">
        <f>'Engineering Assumptions'!$E$37*T316*U316</f>
        <v>93</v>
      </c>
      <c r="L316" s="13">
        <f t="shared" si="45"/>
        <v>3838</v>
      </c>
      <c r="M316" s="12">
        <f>L316*'Engineering Assumptions'!$B$10</f>
        <v>575.69999999999993</v>
      </c>
      <c r="N316" s="13">
        <f t="shared" si="46"/>
        <v>4413.7</v>
      </c>
      <c r="O316" s="12">
        <f>N316*'Engineering Assumptions'!$B$11</f>
        <v>882.74</v>
      </c>
      <c r="P316" s="156">
        <f t="shared" si="47"/>
        <v>5300</v>
      </c>
      <c r="Q316" s="12">
        <f>'Fleet Pricing'!H316</f>
        <v>3250</v>
      </c>
      <c r="R316" s="45">
        <v>5</v>
      </c>
      <c r="S316" s="49">
        <v>1</v>
      </c>
      <c r="T316" s="49">
        <v>0.3</v>
      </c>
      <c r="U316" s="49">
        <v>1</v>
      </c>
    </row>
    <row r="317" spans="1:21" ht="15" customHeight="1" x14ac:dyDescent="0.3">
      <c r="A317" s="9">
        <v>293</v>
      </c>
      <c r="B317" s="50" t="s">
        <v>625</v>
      </c>
      <c r="C317" s="50" t="s">
        <v>626</v>
      </c>
      <c r="D317" s="50" t="s">
        <v>657</v>
      </c>
      <c r="E317" s="50" t="s">
        <v>658</v>
      </c>
      <c r="F317" s="48" t="s">
        <v>23</v>
      </c>
      <c r="G317" s="9">
        <v>5</v>
      </c>
      <c r="H317" s="12">
        <f>'Engineering Assumptions'!$C$37*'Engineering Assumptions'!$B$5*U317</f>
        <v>2865</v>
      </c>
      <c r="I317" s="12">
        <f>'Engineering Assumptions'!$B$8</f>
        <v>650</v>
      </c>
      <c r="J317" s="12">
        <f>'Engineering Assumptions'!$D$37*S317*U317</f>
        <v>230</v>
      </c>
      <c r="K317" s="12">
        <f>'Engineering Assumptions'!$E$37*T317*U317</f>
        <v>93</v>
      </c>
      <c r="L317" s="13">
        <f t="shared" si="45"/>
        <v>3838</v>
      </c>
      <c r="M317" s="12">
        <f>L317*'Engineering Assumptions'!$B$10</f>
        <v>575.69999999999993</v>
      </c>
      <c r="N317" s="13">
        <f t="shared" si="46"/>
        <v>4413.7</v>
      </c>
      <c r="O317" s="12">
        <f>N317*'Engineering Assumptions'!$B$11</f>
        <v>882.74</v>
      </c>
      <c r="P317" s="156">
        <f t="shared" si="47"/>
        <v>5300</v>
      </c>
      <c r="Q317" s="12">
        <f>'Fleet Pricing'!H317</f>
        <v>3250</v>
      </c>
      <c r="R317" s="45">
        <v>5</v>
      </c>
      <c r="S317" s="49">
        <v>1</v>
      </c>
      <c r="T317" s="49">
        <v>0.3</v>
      </c>
      <c r="U317" s="49">
        <v>1</v>
      </c>
    </row>
    <row r="318" spans="1:21" ht="15" customHeight="1" x14ac:dyDescent="0.3">
      <c r="A318" s="9">
        <v>294</v>
      </c>
      <c r="B318" s="50" t="s">
        <v>625</v>
      </c>
      <c r="C318" s="50" t="s">
        <v>626</v>
      </c>
      <c r="D318" s="50" t="s">
        <v>659</v>
      </c>
      <c r="E318" s="50" t="s">
        <v>660</v>
      </c>
      <c r="F318" s="48" t="s">
        <v>23</v>
      </c>
      <c r="G318" s="9">
        <v>5</v>
      </c>
      <c r="H318" s="12">
        <f>'Engineering Assumptions'!$C$37*'Engineering Assumptions'!$B$5*U318</f>
        <v>2865</v>
      </c>
      <c r="I318" s="12">
        <f>'Engineering Assumptions'!$B$8</f>
        <v>650</v>
      </c>
      <c r="J318" s="12">
        <f>'Engineering Assumptions'!$D$37*S318*U318</f>
        <v>230</v>
      </c>
      <c r="K318" s="12">
        <f>'Engineering Assumptions'!$E$37*T318*U318</f>
        <v>93</v>
      </c>
      <c r="L318" s="13">
        <f t="shared" si="45"/>
        <v>3838</v>
      </c>
      <c r="M318" s="12">
        <f>L318*'Engineering Assumptions'!$B$10</f>
        <v>575.69999999999993</v>
      </c>
      <c r="N318" s="13">
        <f t="shared" si="46"/>
        <v>4413.7</v>
      </c>
      <c r="O318" s="12">
        <f>N318*'Engineering Assumptions'!$B$11</f>
        <v>882.74</v>
      </c>
      <c r="P318" s="156">
        <f t="shared" si="47"/>
        <v>5300</v>
      </c>
      <c r="Q318" s="12">
        <f>'Fleet Pricing'!H318</f>
        <v>3250</v>
      </c>
      <c r="R318" s="45">
        <v>5</v>
      </c>
      <c r="S318" s="49">
        <v>1</v>
      </c>
      <c r="T318" s="49">
        <v>0.3</v>
      </c>
      <c r="U318" s="49">
        <v>1</v>
      </c>
    </row>
    <row r="319" spans="1:21" ht="15" customHeight="1" x14ac:dyDescent="0.3">
      <c r="A319" s="9">
        <v>295</v>
      </c>
      <c r="B319" s="50" t="s">
        <v>625</v>
      </c>
      <c r="C319" s="50" t="s">
        <v>626</v>
      </c>
      <c r="D319" s="50" t="s">
        <v>661</v>
      </c>
      <c r="E319" s="50" t="s">
        <v>662</v>
      </c>
      <c r="F319" s="48" t="s">
        <v>23</v>
      </c>
      <c r="G319" s="9">
        <v>5</v>
      </c>
      <c r="H319" s="12">
        <f>'Engineering Assumptions'!$C$37*'Engineering Assumptions'!$B$5*U319</f>
        <v>2865</v>
      </c>
      <c r="I319" s="12">
        <f>'Engineering Assumptions'!$B$8</f>
        <v>650</v>
      </c>
      <c r="J319" s="12">
        <f>'Engineering Assumptions'!$D$37*S319*U319</f>
        <v>230</v>
      </c>
      <c r="K319" s="12">
        <f>'Engineering Assumptions'!$E$37*T319*U319</f>
        <v>93</v>
      </c>
      <c r="L319" s="13">
        <f t="shared" si="45"/>
        <v>3838</v>
      </c>
      <c r="M319" s="12">
        <f>L319*'Engineering Assumptions'!$B$10</f>
        <v>575.69999999999993</v>
      </c>
      <c r="N319" s="13">
        <f t="shared" si="46"/>
        <v>4413.7</v>
      </c>
      <c r="O319" s="12">
        <f>N319*'Engineering Assumptions'!$B$11</f>
        <v>882.74</v>
      </c>
      <c r="P319" s="156">
        <f t="shared" si="47"/>
        <v>5300</v>
      </c>
      <c r="Q319" s="12">
        <f>'Fleet Pricing'!H319</f>
        <v>3250</v>
      </c>
      <c r="R319" s="45">
        <v>5</v>
      </c>
      <c r="S319" s="49">
        <v>1</v>
      </c>
      <c r="T319" s="49">
        <v>0.3</v>
      </c>
      <c r="U319" s="49">
        <v>1</v>
      </c>
    </row>
    <row r="320" spans="1:21" ht="15" customHeight="1" x14ac:dyDescent="0.3">
      <c r="A320" s="9">
        <v>296</v>
      </c>
      <c r="B320" s="50" t="s">
        <v>625</v>
      </c>
      <c r="C320" s="50" t="s">
        <v>626</v>
      </c>
      <c r="D320" s="50" t="s">
        <v>663</v>
      </c>
      <c r="E320" s="50" t="s">
        <v>664</v>
      </c>
      <c r="F320" s="48" t="s">
        <v>23</v>
      </c>
      <c r="G320" s="9">
        <v>5</v>
      </c>
      <c r="H320" s="12">
        <f>'Engineering Assumptions'!$C$37*'Engineering Assumptions'!$B$5*U320</f>
        <v>2865</v>
      </c>
      <c r="I320" s="12">
        <f>'Engineering Assumptions'!$B$8</f>
        <v>650</v>
      </c>
      <c r="J320" s="12">
        <f>'Engineering Assumptions'!$D$37*S320*U320</f>
        <v>230</v>
      </c>
      <c r="K320" s="12">
        <f>'Engineering Assumptions'!$E$37*T320*U320</f>
        <v>93</v>
      </c>
      <c r="L320" s="13">
        <f t="shared" si="45"/>
        <v>3838</v>
      </c>
      <c r="M320" s="12">
        <f>L320*'Engineering Assumptions'!$B$10</f>
        <v>575.69999999999993</v>
      </c>
      <c r="N320" s="13">
        <f t="shared" si="46"/>
        <v>4413.7</v>
      </c>
      <c r="O320" s="12">
        <f>N320*'Engineering Assumptions'!$B$11</f>
        <v>882.74</v>
      </c>
      <c r="P320" s="156">
        <f t="shared" si="47"/>
        <v>5300</v>
      </c>
      <c r="Q320" s="12">
        <f>'Fleet Pricing'!H320</f>
        <v>3250</v>
      </c>
      <c r="R320" s="45">
        <v>5</v>
      </c>
      <c r="S320" s="49">
        <v>1</v>
      </c>
      <c r="T320" s="49">
        <v>0.3</v>
      </c>
      <c r="U320" s="49">
        <v>1</v>
      </c>
    </row>
    <row r="321" spans="1:21" ht="15" customHeight="1" x14ac:dyDescent="0.3">
      <c r="A321" s="9">
        <v>297</v>
      </c>
      <c r="B321" s="50" t="s">
        <v>625</v>
      </c>
      <c r="C321" s="50" t="s">
        <v>626</v>
      </c>
      <c r="D321" s="50" t="s">
        <v>665</v>
      </c>
      <c r="E321" s="50" t="s">
        <v>666</v>
      </c>
      <c r="F321" s="48" t="s">
        <v>23</v>
      </c>
      <c r="G321" s="9">
        <v>5</v>
      </c>
      <c r="H321" s="12">
        <f>'Engineering Assumptions'!$C$37*'Engineering Assumptions'!$B$5*U321</f>
        <v>2865</v>
      </c>
      <c r="I321" s="12">
        <f>'Engineering Assumptions'!$B$8</f>
        <v>650</v>
      </c>
      <c r="J321" s="12">
        <f>'Engineering Assumptions'!$D$37*S321*U321</f>
        <v>230</v>
      </c>
      <c r="K321" s="12">
        <f>'Engineering Assumptions'!$E$37*T321*U321</f>
        <v>93</v>
      </c>
      <c r="L321" s="13">
        <f t="shared" si="45"/>
        <v>3838</v>
      </c>
      <c r="M321" s="12">
        <f>L321*'Engineering Assumptions'!$B$10</f>
        <v>575.69999999999993</v>
      </c>
      <c r="N321" s="13">
        <f t="shared" si="46"/>
        <v>4413.7</v>
      </c>
      <c r="O321" s="12">
        <f>N321*'Engineering Assumptions'!$B$11</f>
        <v>882.74</v>
      </c>
      <c r="P321" s="156">
        <f t="shared" si="47"/>
        <v>5300</v>
      </c>
      <c r="Q321" s="12">
        <f>'Fleet Pricing'!H321</f>
        <v>3250</v>
      </c>
      <c r="R321" s="45">
        <v>5</v>
      </c>
      <c r="S321" s="49">
        <v>1</v>
      </c>
      <c r="T321" s="49">
        <v>0.3</v>
      </c>
      <c r="U321" s="49">
        <v>1</v>
      </c>
    </row>
    <row r="322" spans="1:21" ht="15" customHeight="1" x14ac:dyDescent="0.3">
      <c r="A322" s="9">
        <v>298</v>
      </c>
      <c r="B322" s="50" t="s">
        <v>625</v>
      </c>
      <c r="C322" s="50" t="s">
        <v>626</v>
      </c>
      <c r="D322" s="50" t="s">
        <v>667</v>
      </c>
      <c r="E322" s="50" t="s">
        <v>668</v>
      </c>
      <c r="F322" s="48" t="s">
        <v>23</v>
      </c>
      <c r="G322" s="9">
        <v>5</v>
      </c>
      <c r="H322" s="12">
        <f>'Engineering Assumptions'!$C$37*'Engineering Assumptions'!$B$5*U322</f>
        <v>2865</v>
      </c>
      <c r="I322" s="12">
        <f>'Engineering Assumptions'!$B$8</f>
        <v>650</v>
      </c>
      <c r="J322" s="12">
        <f>'Engineering Assumptions'!$D$37*S322*U322</f>
        <v>230</v>
      </c>
      <c r="K322" s="12">
        <f>'Engineering Assumptions'!$E$37*T322*U322</f>
        <v>93</v>
      </c>
      <c r="L322" s="13">
        <f t="shared" si="45"/>
        <v>3838</v>
      </c>
      <c r="M322" s="12">
        <f>L322*'Engineering Assumptions'!$B$10</f>
        <v>575.69999999999993</v>
      </c>
      <c r="N322" s="13">
        <f t="shared" si="46"/>
        <v>4413.7</v>
      </c>
      <c r="O322" s="12">
        <f>N322*'Engineering Assumptions'!$B$11</f>
        <v>882.74</v>
      </c>
      <c r="P322" s="156">
        <f t="shared" si="47"/>
        <v>5300</v>
      </c>
      <c r="Q322" s="12">
        <f>'Fleet Pricing'!H322</f>
        <v>3250</v>
      </c>
      <c r="R322" s="45">
        <v>5</v>
      </c>
      <c r="S322" s="49">
        <v>1</v>
      </c>
      <c r="T322" s="49">
        <v>0.3</v>
      </c>
      <c r="U322" s="49">
        <v>1</v>
      </c>
    </row>
    <row r="323" spans="1:21" ht="15" customHeight="1" x14ac:dyDescent="0.3">
      <c r="A323" s="9">
        <v>299</v>
      </c>
      <c r="B323" s="50" t="s">
        <v>625</v>
      </c>
      <c r="C323" s="50" t="s">
        <v>626</v>
      </c>
      <c r="D323" s="50" t="s">
        <v>669</v>
      </c>
      <c r="E323" s="50" t="s">
        <v>670</v>
      </c>
      <c r="F323" s="48" t="s">
        <v>23</v>
      </c>
      <c r="G323" s="9">
        <v>5</v>
      </c>
      <c r="H323" s="12">
        <f>'Engineering Assumptions'!$C$37*'Engineering Assumptions'!$B$5*U323</f>
        <v>2865</v>
      </c>
      <c r="I323" s="12">
        <f>'Engineering Assumptions'!$B$8</f>
        <v>650</v>
      </c>
      <c r="J323" s="12">
        <f>'Engineering Assumptions'!$D$37*S323*U323</f>
        <v>230</v>
      </c>
      <c r="K323" s="12">
        <f>'Engineering Assumptions'!$E$37*T323*U323</f>
        <v>93</v>
      </c>
      <c r="L323" s="13">
        <f t="shared" si="45"/>
        <v>3838</v>
      </c>
      <c r="M323" s="12">
        <f>L323*'Engineering Assumptions'!$B$10</f>
        <v>575.69999999999993</v>
      </c>
      <c r="N323" s="13">
        <f t="shared" si="46"/>
        <v>4413.7</v>
      </c>
      <c r="O323" s="12">
        <f>N323*'Engineering Assumptions'!$B$11</f>
        <v>882.74</v>
      </c>
      <c r="P323" s="156">
        <f t="shared" si="47"/>
        <v>5300</v>
      </c>
      <c r="Q323" s="12">
        <f>'Fleet Pricing'!H323</f>
        <v>3250</v>
      </c>
      <c r="R323" s="45">
        <v>5</v>
      </c>
      <c r="S323" s="49">
        <v>1</v>
      </c>
      <c r="T323" s="49">
        <v>0.3</v>
      </c>
      <c r="U323" s="49">
        <v>1</v>
      </c>
    </row>
    <row r="324" spans="1:21" ht="15" customHeight="1" x14ac:dyDescent="0.3">
      <c r="A324" s="9">
        <v>300</v>
      </c>
      <c r="B324" s="50" t="s">
        <v>625</v>
      </c>
      <c r="C324" s="50" t="s">
        <v>626</v>
      </c>
      <c r="D324" s="50" t="s">
        <v>671</v>
      </c>
      <c r="E324" s="50" t="s">
        <v>672</v>
      </c>
      <c r="F324" s="48" t="s">
        <v>23</v>
      </c>
      <c r="G324" s="9">
        <v>5</v>
      </c>
      <c r="H324" s="12">
        <f>'Engineering Assumptions'!$C$37*'Engineering Assumptions'!$B$5*U324</f>
        <v>2865</v>
      </c>
      <c r="I324" s="12">
        <f>'Engineering Assumptions'!$B$8</f>
        <v>650</v>
      </c>
      <c r="J324" s="12">
        <f>'Engineering Assumptions'!$D$37*S324*U324</f>
        <v>230</v>
      </c>
      <c r="K324" s="12">
        <f>'Engineering Assumptions'!$E$37*T324*U324</f>
        <v>93</v>
      </c>
      <c r="L324" s="13">
        <f t="shared" si="45"/>
        <v>3838</v>
      </c>
      <c r="M324" s="12">
        <f>L324*'Engineering Assumptions'!$B$10</f>
        <v>575.69999999999993</v>
      </c>
      <c r="N324" s="13">
        <f t="shared" si="46"/>
        <v>4413.7</v>
      </c>
      <c r="O324" s="12">
        <f>N324*'Engineering Assumptions'!$B$11</f>
        <v>882.74</v>
      </c>
      <c r="P324" s="156">
        <f t="shared" si="47"/>
        <v>5300</v>
      </c>
      <c r="Q324" s="12">
        <f>'Fleet Pricing'!H324</f>
        <v>3250</v>
      </c>
      <c r="R324" s="45">
        <v>5</v>
      </c>
      <c r="S324" s="49">
        <v>1</v>
      </c>
      <c r="T324" s="49">
        <v>0.3</v>
      </c>
      <c r="U324" s="49">
        <v>1</v>
      </c>
    </row>
    <row r="325" spans="1:21" ht="15" customHeight="1" x14ac:dyDescent="0.3">
      <c r="A325" s="9">
        <v>301</v>
      </c>
      <c r="B325" s="50" t="s">
        <v>625</v>
      </c>
      <c r="C325" s="50" t="s">
        <v>626</v>
      </c>
      <c r="D325" s="50" t="s">
        <v>673</v>
      </c>
      <c r="E325" s="50" t="s">
        <v>674</v>
      </c>
      <c r="F325" s="48" t="s">
        <v>23</v>
      </c>
      <c r="G325" s="9">
        <v>5</v>
      </c>
      <c r="H325" s="12">
        <f>'Engineering Assumptions'!$C$37*'Engineering Assumptions'!$B$5*U325</f>
        <v>2865</v>
      </c>
      <c r="I325" s="12">
        <f>'Engineering Assumptions'!$B$8</f>
        <v>650</v>
      </c>
      <c r="J325" s="12">
        <f>'Engineering Assumptions'!$D$37*S325*U325</f>
        <v>230</v>
      </c>
      <c r="K325" s="12">
        <f>'Engineering Assumptions'!$E$37*T325*U325</f>
        <v>93</v>
      </c>
      <c r="L325" s="13">
        <f t="shared" si="45"/>
        <v>3838</v>
      </c>
      <c r="M325" s="12">
        <f>L325*'Engineering Assumptions'!$B$10</f>
        <v>575.69999999999993</v>
      </c>
      <c r="N325" s="13">
        <f t="shared" si="46"/>
        <v>4413.7</v>
      </c>
      <c r="O325" s="12">
        <f>N325*'Engineering Assumptions'!$B$11</f>
        <v>882.74</v>
      </c>
      <c r="P325" s="156">
        <f t="shared" si="47"/>
        <v>5300</v>
      </c>
      <c r="Q325" s="12">
        <f>'Fleet Pricing'!H325</f>
        <v>3250</v>
      </c>
      <c r="R325" s="45">
        <v>5</v>
      </c>
      <c r="S325" s="49">
        <v>1</v>
      </c>
      <c r="T325" s="49">
        <v>0.3</v>
      </c>
      <c r="U325" s="49">
        <v>1</v>
      </c>
    </row>
    <row r="326" spans="1:21" ht="15" customHeight="1" x14ac:dyDescent="0.3">
      <c r="A326" s="9">
        <v>302</v>
      </c>
      <c r="B326" s="50" t="s">
        <v>625</v>
      </c>
      <c r="C326" s="50" t="s">
        <v>626</v>
      </c>
      <c r="D326" s="50" t="s">
        <v>675</v>
      </c>
      <c r="E326" s="50" t="s">
        <v>676</v>
      </c>
      <c r="F326" s="48" t="s">
        <v>23</v>
      </c>
      <c r="G326" s="9">
        <v>5</v>
      </c>
      <c r="H326" s="12">
        <f>'Engineering Assumptions'!$C$37*'Engineering Assumptions'!$B$5*U326</f>
        <v>2865</v>
      </c>
      <c r="I326" s="12">
        <f>'Engineering Assumptions'!$B$8</f>
        <v>650</v>
      </c>
      <c r="J326" s="12">
        <f>'Engineering Assumptions'!$D$37*S326*U326</f>
        <v>230</v>
      </c>
      <c r="K326" s="12">
        <f>'Engineering Assumptions'!$E$37*T326*U326</f>
        <v>93</v>
      </c>
      <c r="L326" s="13">
        <f t="shared" si="45"/>
        <v>3838</v>
      </c>
      <c r="M326" s="12">
        <f>L326*'Engineering Assumptions'!$B$10</f>
        <v>575.69999999999993</v>
      </c>
      <c r="N326" s="13">
        <f t="shared" si="46"/>
        <v>4413.7</v>
      </c>
      <c r="O326" s="12">
        <f>N326*'Engineering Assumptions'!$B$11</f>
        <v>882.74</v>
      </c>
      <c r="P326" s="156">
        <f t="shared" si="47"/>
        <v>5300</v>
      </c>
      <c r="Q326" s="12">
        <f>'Fleet Pricing'!H326</f>
        <v>3250</v>
      </c>
      <c r="R326" s="45">
        <v>5</v>
      </c>
      <c r="S326" s="49">
        <v>1</v>
      </c>
      <c r="T326" s="49">
        <v>0.3</v>
      </c>
      <c r="U326" s="49">
        <v>1</v>
      </c>
    </row>
    <row r="327" spans="1:21" ht="15" customHeight="1" x14ac:dyDescent="0.3">
      <c r="A327" s="9">
        <v>303</v>
      </c>
      <c r="B327" s="50" t="s">
        <v>625</v>
      </c>
      <c r="C327" s="50" t="s">
        <v>626</v>
      </c>
      <c r="D327" s="50" t="s">
        <v>677</v>
      </c>
      <c r="E327" s="50" t="s">
        <v>678</v>
      </c>
      <c r="F327" s="48" t="s">
        <v>23</v>
      </c>
      <c r="G327" s="9">
        <v>5</v>
      </c>
      <c r="H327" s="12">
        <f>'Engineering Assumptions'!$C$37*'Engineering Assumptions'!$B$5*U327</f>
        <v>2865</v>
      </c>
      <c r="I327" s="12">
        <f>'Engineering Assumptions'!$B$8</f>
        <v>650</v>
      </c>
      <c r="J327" s="12">
        <f>'Engineering Assumptions'!$D$37*S327*U327</f>
        <v>230</v>
      </c>
      <c r="K327" s="12">
        <f>'Engineering Assumptions'!$E$37*T327*U327</f>
        <v>93</v>
      </c>
      <c r="L327" s="13">
        <f t="shared" si="45"/>
        <v>3838</v>
      </c>
      <c r="M327" s="12">
        <f>L327*'Engineering Assumptions'!$B$10</f>
        <v>575.69999999999993</v>
      </c>
      <c r="N327" s="13">
        <f t="shared" si="46"/>
        <v>4413.7</v>
      </c>
      <c r="O327" s="12">
        <f>N327*'Engineering Assumptions'!$B$11</f>
        <v>882.74</v>
      </c>
      <c r="P327" s="156">
        <f t="shared" si="47"/>
        <v>5300</v>
      </c>
      <c r="Q327" s="12">
        <f>'Fleet Pricing'!H327</f>
        <v>3250</v>
      </c>
      <c r="R327" s="45">
        <v>5</v>
      </c>
      <c r="S327" s="49">
        <v>1</v>
      </c>
      <c r="T327" s="49">
        <v>0.3</v>
      </c>
      <c r="U327" s="49">
        <v>1</v>
      </c>
    </row>
    <row r="328" spans="1:21" ht="15" customHeight="1" x14ac:dyDescent="0.3">
      <c r="A328" s="9">
        <v>304</v>
      </c>
      <c r="B328" s="50" t="s">
        <v>625</v>
      </c>
      <c r="C328" s="50" t="s">
        <v>626</v>
      </c>
      <c r="D328" s="50" t="s">
        <v>679</v>
      </c>
      <c r="E328" s="50" t="s">
        <v>680</v>
      </c>
      <c r="F328" s="48" t="s">
        <v>23</v>
      </c>
      <c r="G328" s="9">
        <v>5</v>
      </c>
      <c r="H328" s="12">
        <f>'Engineering Assumptions'!$C$37*'Engineering Assumptions'!$B$5*U328</f>
        <v>2865</v>
      </c>
      <c r="I328" s="12">
        <f>'Engineering Assumptions'!$B$8</f>
        <v>650</v>
      </c>
      <c r="J328" s="12">
        <f>'Engineering Assumptions'!$D$37*S328*U328</f>
        <v>230</v>
      </c>
      <c r="K328" s="12">
        <f>'Engineering Assumptions'!$E$37*T328*U328</f>
        <v>93</v>
      </c>
      <c r="L328" s="13">
        <f t="shared" si="45"/>
        <v>3838</v>
      </c>
      <c r="M328" s="12">
        <f>L328*'Engineering Assumptions'!$B$10</f>
        <v>575.69999999999993</v>
      </c>
      <c r="N328" s="13">
        <f t="shared" si="46"/>
        <v>4413.7</v>
      </c>
      <c r="O328" s="12">
        <f>N328*'Engineering Assumptions'!$B$11</f>
        <v>882.74</v>
      </c>
      <c r="P328" s="156">
        <f t="shared" si="47"/>
        <v>5300</v>
      </c>
      <c r="Q328" s="12">
        <f>'Fleet Pricing'!H328</f>
        <v>3250</v>
      </c>
      <c r="R328" s="45">
        <v>5</v>
      </c>
      <c r="S328" s="49">
        <v>1</v>
      </c>
      <c r="T328" s="49">
        <v>0.3</v>
      </c>
      <c r="U328" s="49">
        <v>1</v>
      </c>
    </row>
    <row r="329" spans="1:21" ht="15" customHeight="1" x14ac:dyDescent="0.3">
      <c r="A329" s="9">
        <v>305</v>
      </c>
      <c r="B329" s="50" t="s">
        <v>625</v>
      </c>
      <c r="C329" s="50" t="s">
        <v>626</v>
      </c>
      <c r="D329" s="50" t="s">
        <v>681</v>
      </c>
      <c r="E329" s="50" t="s">
        <v>682</v>
      </c>
      <c r="F329" s="48" t="s">
        <v>23</v>
      </c>
      <c r="G329" s="9">
        <v>5</v>
      </c>
      <c r="H329" s="12">
        <f>'Engineering Assumptions'!$C$37*'Engineering Assumptions'!$B$5*U329</f>
        <v>2865</v>
      </c>
      <c r="I329" s="12">
        <f>'Engineering Assumptions'!$B$8</f>
        <v>650</v>
      </c>
      <c r="J329" s="12">
        <f>'Engineering Assumptions'!$D$37*S329*U329</f>
        <v>230</v>
      </c>
      <c r="K329" s="12">
        <f>'Engineering Assumptions'!$E$37*T329*U329</f>
        <v>93</v>
      </c>
      <c r="L329" s="13">
        <f t="shared" si="45"/>
        <v>3838</v>
      </c>
      <c r="M329" s="12">
        <f>L329*'Engineering Assumptions'!$B$10</f>
        <v>575.69999999999993</v>
      </c>
      <c r="N329" s="13">
        <f t="shared" si="46"/>
        <v>4413.7</v>
      </c>
      <c r="O329" s="12">
        <f>N329*'Engineering Assumptions'!$B$11</f>
        <v>882.74</v>
      </c>
      <c r="P329" s="156">
        <f t="shared" si="47"/>
        <v>5300</v>
      </c>
      <c r="Q329" s="12">
        <f>'Fleet Pricing'!H329</f>
        <v>3250</v>
      </c>
      <c r="R329" s="45">
        <v>5</v>
      </c>
      <c r="S329" s="49">
        <v>1</v>
      </c>
      <c r="T329" s="49">
        <v>0.3</v>
      </c>
      <c r="U329" s="49">
        <v>1</v>
      </c>
    </row>
    <row r="330" spans="1:21" ht="15" customHeight="1" x14ac:dyDescent="0.3">
      <c r="A330" s="9">
        <v>306</v>
      </c>
      <c r="B330" s="50" t="s">
        <v>625</v>
      </c>
      <c r="C330" s="50" t="s">
        <v>113</v>
      </c>
      <c r="D330" s="50" t="s">
        <v>683</v>
      </c>
      <c r="E330" s="50" t="s">
        <v>684</v>
      </c>
      <c r="F330" s="48" t="s">
        <v>165</v>
      </c>
      <c r="G330" s="9">
        <v>8</v>
      </c>
      <c r="H330" s="12">
        <f>'Engineering Assumptions'!$C$37*'Engineering Assumptions'!$B$5*U330</f>
        <v>2865</v>
      </c>
      <c r="I330" s="12">
        <f>'Engineering Assumptions'!$B$8</f>
        <v>650</v>
      </c>
      <c r="J330" s="12">
        <f>'Engineering Assumptions'!$D$37*S330*U330</f>
        <v>287.5</v>
      </c>
      <c r="K330" s="12">
        <f>'Engineering Assumptions'!$E$37*T330*U330</f>
        <v>232.5</v>
      </c>
      <c r="L330" s="13">
        <f t="shared" si="45"/>
        <v>4035</v>
      </c>
      <c r="M330" s="12">
        <f>L330*'Engineering Assumptions'!$B$10</f>
        <v>605.25</v>
      </c>
      <c r="N330" s="13">
        <f t="shared" si="46"/>
        <v>4640.25</v>
      </c>
      <c r="O330" s="12">
        <f>N330*'Engineering Assumptions'!$B$11</f>
        <v>928.05000000000007</v>
      </c>
      <c r="P330" s="156">
        <f t="shared" si="47"/>
        <v>5570</v>
      </c>
      <c r="Q330" s="12">
        <f>'Fleet Pricing'!H330</f>
        <v>2990</v>
      </c>
      <c r="R330" s="45">
        <v>8</v>
      </c>
      <c r="S330" s="49">
        <v>1.25</v>
      </c>
      <c r="T330" s="49">
        <v>0.75</v>
      </c>
      <c r="U330" s="49">
        <v>1</v>
      </c>
    </row>
    <row r="331" spans="1:21" ht="15" customHeight="1" x14ac:dyDescent="0.3">
      <c r="A331" s="9">
        <v>307</v>
      </c>
      <c r="B331" s="50" t="s">
        <v>625</v>
      </c>
      <c r="C331" s="50" t="s">
        <v>113</v>
      </c>
      <c r="D331" s="50" t="s">
        <v>685</v>
      </c>
      <c r="E331" s="50" t="s">
        <v>686</v>
      </c>
      <c r="F331" s="48" t="s">
        <v>165</v>
      </c>
      <c r="G331" s="9">
        <v>8</v>
      </c>
      <c r="H331" s="12">
        <f>'Engineering Assumptions'!$C$37*'Engineering Assumptions'!$B$5*U331</f>
        <v>2865</v>
      </c>
      <c r="I331" s="12">
        <f>'Engineering Assumptions'!$B$8</f>
        <v>650</v>
      </c>
      <c r="J331" s="12">
        <f>'Engineering Assumptions'!$D$37*S331*U331</f>
        <v>287.5</v>
      </c>
      <c r="K331" s="12">
        <f>'Engineering Assumptions'!$E$37*T331*U331</f>
        <v>232.5</v>
      </c>
      <c r="L331" s="13">
        <f t="shared" si="45"/>
        <v>4035</v>
      </c>
      <c r="M331" s="12">
        <f>L331*'Engineering Assumptions'!$B$10</f>
        <v>605.25</v>
      </c>
      <c r="N331" s="13">
        <f t="shared" si="46"/>
        <v>4640.25</v>
      </c>
      <c r="O331" s="12">
        <f>N331*'Engineering Assumptions'!$B$11</f>
        <v>928.05000000000007</v>
      </c>
      <c r="P331" s="156">
        <f t="shared" si="47"/>
        <v>5570</v>
      </c>
      <c r="Q331" s="12">
        <f>'Fleet Pricing'!H331</f>
        <v>2990</v>
      </c>
      <c r="R331" s="45">
        <v>8</v>
      </c>
      <c r="S331" s="49">
        <v>1.25</v>
      </c>
      <c r="T331" s="49">
        <v>0.75</v>
      </c>
      <c r="U331" s="49">
        <v>1</v>
      </c>
    </row>
    <row r="332" spans="1:21" ht="15" customHeight="1" x14ac:dyDescent="0.3">
      <c r="A332" s="9">
        <v>308</v>
      </c>
      <c r="B332" s="50" t="s">
        <v>625</v>
      </c>
      <c r="C332" s="50" t="s">
        <v>113</v>
      </c>
      <c r="D332" s="50" t="s">
        <v>687</v>
      </c>
      <c r="E332" s="50" t="s">
        <v>688</v>
      </c>
      <c r="F332" s="48" t="s">
        <v>165</v>
      </c>
      <c r="G332" s="9">
        <v>8</v>
      </c>
      <c r="H332" s="12">
        <f>'Engineering Assumptions'!$C$37*'Engineering Assumptions'!$B$5*U332</f>
        <v>2865</v>
      </c>
      <c r="I332" s="12">
        <f>'Engineering Assumptions'!$B$8</f>
        <v>650</v>
      </c>
      <c r="J332" s="12">
        <f>'Engineering Assumptions'!$D$37*S332*U332</f>
        <v>287.5</v>
      </c>
      <c r="K332" s="12">
        <f>'Engineering Assumptions'!$E$37*T332*U332</f>
        <v>232.5</v>
      </c>
      <c r="L332" s="13">
        <f t="shared" si="45"/>
        <v>4035</v>
      </c>
      <c r="M332" s="12">
        <f>L332*'Engineering Assumptions'!$B$10</f>
        <v>605.25</v>
      </c>
      <c r="N332" s="13">
        <f t="shared" si="46"/>
        <v>4640.25</v>
      </c>
      <c r="O332" s="12">
        <f>N332*'Engineering Assumptions'!$B$11</f>
        <v>928.05000000000007</v>
      </c>
      <c r="P332" s="156">
        <f t="shared" si="47"/>
        <v>5570</v>
      </c>
      <c r="Q332" s="12">
        <f>'Fleet Pricing'!H332</f>
        <v>2990</v>
      </c>
      <c r="R332" s="45">
        <v>8</v>
      </c>
      <c r="S332" s="49">
        <v>1.25</v>
      </c>
      <c r="T332" s="49">
        <v>0.75</v>
      </c>
      <c r="U332" s="49">
        <v>1</v>
      </c>
    </row>
    <row r="333" spans="1:21" ht="15" customHeight="1" x14ac:dyDescent="0.3">
      <c r="A333" s="9">
        <v>309</v>
      </c>
      <c r="B333" s="50" t="s">
        <v>625</v>
      </c>
      <c r="C333" s="50" t="s">
        <v>113</v>
      </c>
      <c r="D333" s="50" t="s">
        <v>689</v>
      </c>
      <c r="E333" s="50" t="s">
        <v>690</v>
      </c>
      <c r="F333" s="48" t="s">
        <v>165</v>
      </c>
      <c r="G333" s="9">
        <v>8</v>
      </c>
      <c r="H333" s="12">
        <f>'Engineering Assumptions'!$C$37*'Engineering Assumptions'!$B$5*U333</f>
        <v>2865</v>
      </c>
      <c r="I333" s="12">
        <f>'Engineering Assumptions'!$B$8</f>
        <v>650</v>
      </c>
      <c r="J333" s="12">
        <f>'Engineering Assumptions'!$D$37*S333*U333</f>
        <v>287.5</v>
      </c>
      <c r="K333" s="12">
        <f>'Engineering Assumptions'!$E$37*T333*U333</f>
        <v>232.5</v>
      </c>
      <c r="L333" s="13">
        <f t="shared" si="45"/>
        <v>4035</v>
      </c>
      <c r="M333" s="12">
        <f>L333*'Engineering Assumptions'!$B$10</f>
        <v>605.25</v>
      </c>
      <c r="N333" s="13">
        <f t="shared" si="46"/>
        <v>4640.25</v>
      </c>
      <c r="O333" s="12">
        <f>N333*'Engineering Assumptions'!$B$11</f>
        <v>928.05000000000007</v>
      </c>
      <c r="P333" s="156">
        <f t="shared" si="47"/>
        <v>5570</v>
      </c>
      <c r="Q333" s="12">
        <f>'Fleet Pricing'!H333</f>
        <v>2990</v>
      </c>
      <c r="R333" s="45">
        <v>8</v>
      </c>
      <c r="S333" s="49">
        <v>1.25</v>
      </c>
      <c r="T333" s="49">
        <v>0.75</v>
      </c>
      <c r="U333" s="49">
        <v>1</v>
      </c>
    </row>
    <row r="334" spans="1:21" ht="15" customHeight="1" x14ac:dyDescent="0.3">
      <c r="A334" s="9">
        <v>310</v>
      </c>
      <c r="B334" s="50" t="s">
        <v>625</v>
      </c>
      <c r="C334" s="50" t="s">
        <v>626</v>
      </c>
      <c r="D334" s="50" t="s">
        <v>691</v>
      </c>
      <c r="E334" s="50" t="s">
        <v>692</v>
      </c>
      <c r="F334" s="48" t="s">
        <v>165</v>
      </c>
      <c r="G334" s="9">
        <v>8</v>
      </c>
      <c r="H334" s="12">
        <f>'Engineering Assumptions'!$C$37*'Engineering Assumptions'!$B$5*U334</f>
        <v>2865</v>
      </c>
      <c r="I334" s="12">
        <f>'Engineering Assumptions'!$B$8</f>
        <v>650</v>
      </c>
      <c r="J334" s="12">
        <f>'Engineering Assumptions'!$D$37*S334*U334</f>
        <v>287.5</v>
      </c>
      <c r="K334" s="12">
        <f>'Engineering Assumptions'!$E$37*T334*U334</f>
        <v>232.5</v>
      </c>
      <c r="L334" s="13">
        <f t="shared" ref="L334:L365" si="48">H334+I334+J334+K334</f>
        <v>4035</v>
      </c>
      <c r="M334" s="12">
        <f>L334*'Engineering Assumptions'!$B$10</f>
        <v>605.25</v>
      </c>
      <c r="N334" s="13">
        <f t="shared" ref="N334:N365" si="49">L334+M334</f>
        <v>4640.25</v>
      </c>
      <c r="O334" s="12">
        <f>N334*'Engineering Assumptions'!$B$11</f>
        <v>928.05000000000007</v>
      </c>
      <c r="P334" s="156">
        <f t="shared" ref="P334:P365" si="50">MROUND(N334+O334,10)</f>
        <v>5570</v>
      </c>
      <c r="Q334" s="12">
        <f>'Fleet Pricing'!H334</f>
        <v>2990</v>
      </c>
      <c r="R334" s="45">
        <v>8</v>
      </c>
      <c r="S334" s="49">
        <v>1.25</v>
      </c>
      <c r="T334" s="49">
        <v>0.75</v>
      </c>
      <c r="U334" s="49">
        <v>1</v>
      </c>
    </row>
    <row r="335" spans="1:21" ht="15" customHeight="1" x14ac:dyDescent="0.3">
      <c r="A335" s="9">
        <v>311</v>
      </c>
      <c r="B335" s="50" t="s">
        <v>625</v>
      </c>
      <c r="C335" s="50" t="s">
        <v>693</v>
      </c>
      <c r="D335" s="50" t="s">
        <v>694</v>
      </c>
      <c r="E335" s="50" t="s">
        <v>695</v>
      </c>
      <c r="F335" s="48" t="s">
        <v>165</v>
      </c>
      <c r="G335" s="9">
        <v>8</v>
      </c>
      <c r="H335" s="12">
        <f>'Engineering Assumptions'!$C$37*'Engineering Assumptions'!$B$5*U335</f>
        <v>2865</v>
      </c>
      <c r="I335" s="12">
        <f>'Engineering Assumptions'!$B$8</f>
        <v>650</v>
      </c>
      <c r="J335" s="12">
        <f>'Engineering Assumptions'!$D$37*S335*U335</f>
        <v>287.5</v>
      </c>
      <c r="K335" s="12">
        <f>'Engineering Assumptions'!$E$37*T335*U335</f>
        <v>232.5</v>
      </c>
      <c r="L335" s="13">
        <f t="shared" si="48"/>
        <v>4035</v>
      </c>
      <c r="M335" s="12">
        <f>L335*'Engineering Assumptions'!$B$10</f>
        <v>605.25</v>
      </c>
      <c r="N335" s="13">
        <f t="shared" si="49"/>
        <v>4640.25</v>
      </c>
      <c r="O335" s="12">
        <f>N335*'Engineering Assumptions'!$B$11</f>
        <v>928.05000000000007</v>
      </c>
      <c r="P335" s="156">
        <f t="shared" si="50"/>
        <v>5570</v>
      </c>
      <c r="Q335" s="12">
        <f>'Fleet Pricing'!H335</f>
        <v>2990</v>
      </c>
      <c r="R335" s="45">
        <v>8</v>
      </c>
      <c r="S335" s="49">
        <v>1.25</v>
      </c>
      <c r="T335" s="49">
        <v>0.75</v>
      </c>
      <c r="U335" s="49">
        <v>1</v>
      </c>
    </row>
    <row r="336" spans="1:21" ht="15" customHeight="1" x14ac:dyDescent="0.3">
      <c r="A336" s="9">
        <v>312</v>
      </c>
      <c r="B336" s="50" t="s">
        <v>625</v>
      </c>
      <c r="C336" s="50" t="s">
        <v>693</v>
      </c>
      <c r="D336" s="50" t="s">
        <v>696</v>
      </c>
      <c r="E336" s="50" t="s">
        <v>697</v>
      </c>
      <c r="F336" s="48" t="s">
        <v>165</v>
      </c>
      <c r="G336" s="9">
        <v>8</v>
      </c>
      <c r="H336" s="12">
        <f>'Engineering Assumptions'!$C$37*'Engineering Assumptions'!$B$5*U336</f>
        <v>2865</v>
      </c>
      <c r="I336" s="12">
        <f>'Engineering Assumptions'!$B$8</f>
        <v>650</v>
      </c>
      <c r="J336" s="12">
        <f>'Engineering Assumptions'!$D$37*S336*U336</f>
        <v>287.5</v>
      </c>
      <c r="K336" s="12">
        <f>'Engineering Assumptions'!$E$37*T336*U336</f>
        <v>232.5</v>
      </c>
      <c r="L336" s="13">
        <f t="shared" si="48"/>
        <v>4035</v>
      </c>
      <c r="M336" s="12">
        <f>L336*'Engineering Assumptions'!$B$10</f>
        <v>605.25</v>
      </c>
      <c r="N336" s="13">
        <f t="shared" si="49"/>
        <v>4640.25</v>
      </c>
      <c r="O336" s="12">
        <f>N336*'Engineering Assumptions'!$B$11</f>
        <v>928.05000000000007</v>
      </c>
      <c r="P336" s="156">
        <f t="shared" si="50"/>
        <v>5570</v>
      </c>
      <c r="Q336" s="12">
        <f>'Fleet Pricing'!H336</f>
        <v>2990</v>
      </c>
      <c r="R336" s="45">
        <v>8</v>
      </c>
      <c r="S336" s="49">
        <v>1.25</v>
      </c>
      <c r="T336" s="49">
        <v>0.75</v>
      </c>
      <c r="U336" s="49">
        <v>1</v>
      </c>
    </row>
    <row r="337" spans="1:21" ht="15" customHeight="1" x14ac:dyDescent="0.3">
      <c r="A337" s="9">
        <v>313</v>
      </c>
      <c r="B337" s="50" t="s">
        <v>625</v>
      </c>
      <c r="C337" s="50" t="s">
        <v>693</v>
      </c>
      <c r="D337" s="50" t="s">
        <v>698</v>
      </c>
      <c r="E337" s="50" t="s">
        <v>699</v>
      </c>
      <c r="F337" s="48" t="s">
        <v>165</v>
      </c>
      <c r="G337" s="9">
        <v>8</v>
      </c>
      <c r="H337" s="12">
        <f>'Engineering Assumptions'!$C$37*'Engineering Assumptions'!$B$5*U337</f>
        <v>2865</v>
      </c>
      <c r="I337" s="12">
        <f>'Engineering Assumptions'!$B$8</f>
        <v>650</v>
      </c>
      <c r="J337" s="12">
        <f>'Engineering Assumptions'!$D$37*S337*U337</f>
        <v>287.5</v>
      </c>
      <c r="K337" s="12">
        <f>'Engineering Assumptions'!$E$37*T337*U337</f>
        <v>232.5</v>
      </c>
      <c r="L337" s="13">
        <f t="shared" si="48"/>
        <v>4035</v>
      </c>
      <c r="M337" s="12">
        <f>L337*'Engineering Assumptions'!$B$10</f>
        <v>605.25</v>
      </c>
      <c r="N337" s="13">
        <f t="shared" si="49"/>
        <v>4640.25</v>
      </c>
      <c r="O337" s="12">
        <f>N337*'Engineering Assumptions'!$B$11</f>
        <v>928.05000000000007</v>
      </c>
      <c r="P337" s="156">
        <f t="shared" si="50"/>
        <v>5570</v>
      </c>
      <c r="Q337" s="12">
        <f>'Fleet Pricing'!H337</f>
        <v>2990</v>
      </c>
      <c r="R337" s="45">
        <v>8</v>
      </c>
      <c r="S337" s="49">
        <v>1.25</v>
      </c>
      <c r="T337" s="49">
        <v>0.75</v>
      </c>
      <c r="U337" s="49">
        <v>1</v>
      </c>
    </row>
    <row r="338" spans="1:21" ht="15" customHeight="1" x14ac:dyDescent="0.3">
      <c r="A338" s="9">
        <v>314</v>
      </c>
      <c r="B338" s="50" t="s">
        <v>625</v>
      </c>
      <c r="C338" s="50" t="s">
        <v>693</v>
      </c>
      <c r="D338" s="50" t="s">
        <v>700</v>
      </c>
      <c r="E338" s="50" t="s">
        <v>701</v>
      </c>
      <c r="F338" s="48" t="s">
        <v>165</v>
      </c>
      <c r="G338" s="9">
        <v>8</v>
      </c>
      <c r="H338" s="12">
        <f>'Engineering Assumptions'!$C$37*'Engineering Assumptions'!$B$5*U338</f>
        <v>2865</v>
      </c>
      <c r="I338" s="12">
        <f>'Engineering Assumptions'!$B$8</f>
        <v>650</v>
      </c>
      <c r="J338" s="12">
        <f>'Engineering Assumptions'!$D$37*S338*U338</f>
        <v>287.5</v>
      </c>
      <c r="K338" s="12">
        <f>'Engineering Assumptions'!$E$37*T338*U338</f>
        <v>232.5</v>
      </c>
      <c r="L338" s="13">
        <f t="shared" si="48"/>
        <v>4035</v>
      </c>
      <c r="M338" s="12">
        <f>L338*'Engineering Assumptions'!$B$10</f>
        <v>605.25</v>
      </c>
      <c r="N338" s="13">
        <f t="shared" si="49"/>
        <v>4640.25</v>
      </c>
      <c r="O338" s="12">
        <f>N338*'Engineering Assumptions'!$B$11</f>
        <v>928.05000000000007</v>
      </c>
      <c r="P338" s="156">
        <f t="shared" si="50"/>
        <v>5570</v>
      </c>
      <c r="Q338" s="12">
        <f>'Fleet Pricing'!H338</f>
        <v>2990</v>
      </c>
      <c r="R338" s="45">
        <v>8</v>
      </c>
      <c r="S338" s="49">
        <v>1.25</v>
      </c>
      <c r="T338" s="49">
        <v>0.75</v>
      </c>
      <c r="U338" s="49">
        <v>1</v>
      </c>
    </row>
    <row r="339" spans="1:21" ht="15" customHeight="1" x14ac:dyDescent="0.3">
      <c r="A339" s="9">
        <v>315</v>
      </c>
      <c r="B339" s="50" t="s">
        <v>625</v>
      </c>
      <c r="C339" s="50" t="s">
        <v>693</v>
      </c>
      <c r="D339" s="50" t="s">
        <v>702</v>
      </c>
      <c r="E339" s="50" t="s">
        <v>703</v>
      </c>
      <c r="F339" s="48" t="s">
        <v>165</v>
      </c>
      <c r="G339" s="9">
        <v>8</v>
      </c>
      <c r="H339" s="12">
        <f>'Engineering Assumptions'!$C$37*'Engineering Assumptions'!$B$5*U339</f>
        <v>2865</v>
      </c>
      <c r="I339" s="12">
        <f>'Engineering Assumptions'!$B$8</f>
        <v>650</v>
      </c>
      <c r="J339" s="12">
        <f>'Engineering Assumptions'!$D$37*S339*U339</f>
        <v>287.5</v>
      </c>
      <c r="K339" s="12">
        <f>'Engineering Assumptions'!$E$37*T339*U339</f>
        <v>232.5</v>
      </c>
      <c r="L339" s="13">
        <f t="shared" si="48"/>
        <v>4035</v>
      </c>
      <c r="M339" s="12">
        <f>L339*'Engineering Assumptions'!$B$10</f>
        <v>605.25</v>
      </c>
      <c r="N339" s="13">
        <f t="shared" si="49"/>
        <v>4640.25</v>
      </c>
      <c r="O339" s="12">
        <f>N339*'Engineering Assumptions'!$B$11</f>
        <v>928.05000000000007</v>
      </c>
      <c r="P339" s="156">
        <f t="shared" si="50"/>
        <v>5570</v>
      </c>
      <c r="Q339" s="12">
        <f>'Fleet Pricing'!H339</f>
        <v>2990</v>
      </c>
      <c r="R339" s="45">
        <v>8</v>
      </c>
      <c r="S339" s="49">
        <v>1.25</v>
      </c>
      <c r="T339" s="49">
        <v>0.75</v>
      </c>
      <c r="U339" s="49">
        <v>1</v>
      </c>
    </row>
    <row r="340" spans="1:21" ht="15" customHeight="1" x14ac:dyDescent="0.3">
      <c r="A340" s="9">
        <v>316</v>
      </c>
      <c r="B340" s="50" t="s">
        <v>625</v>
      </c>
      <c r="C340" s="50" t="s">
        <v>693</v>
      </c>
      <c r="D340" s="50" t="s">
        <v>704</v>
      </c>
      <c r="E340" s="50" t="s">
        <v>705</v>
      </c>
      <c r="F340" s="48" t="s">
        <v>165</v>
      </c>
      <c r="G340" s="9">
        <v>8</v>
      </c>
      <c r="H340" s="12">
        <f>'Engineering Assumptions'!$C$37*'Engineering Assumptions'!$B$5*U340</f>
        <v>2865</v>
      </c>
      <c r="I340" s="12">
        <f>'Engineering Assumptions'!$B$8</f>
        <v>650</v>
      </c>
      <c r="J340" s="12">
        <f>'Engineering Assumptions'!$D$37*S340*U340</f>
        <v>287.5</v>
      </c>
      <c r="K340" s="12">
        <f>'Engineering Assumptions'!$E$37*T340*U340</f>
        <v>232.5</v>
      </c>
      <c r="L340" s="13">
        <f t="shared" si="48"/>
        <v>4035</v>
      </c>
      <c r="M340" s="12">
        <f>L340*'Engineering Assumptions'!$B$10</f>
        <v>605.25</v>
      </c>
      <c r="N340" s="13">
        <f t="shared" si="49"/>
        <v>4640.25</v>
      </c>
      <c r="O340" s="12">
        <f>N340*'Engineering Assumptions'!$B$11</f>
        <v>928.05000000000007</v>
      </c>
      <c r="P340" s="156">
        <f t="shared" si="50"/>
        <v>5570</v>
      </c>
      <c r="Q340" s="12">
        <f>'Fleet Pricing'!H340</f>
        <v>2990</v>
      </c>
      <c r="R340" s="45">
        <v>8</v>
      </c>
      <c r="S340" s="49">
        <v>1.25</v>
      </c>
      <c r="T340" s="49">
        <v>0.75</v>
      </c>
      <c r="U340" s="49">
        <v>1</v>
      </c>
    </row>
    <row r="341" spans="1:21" ht="15" customHeight="1" x14ac:dyDescent="0.3">
      <c r="A341" s="9">
        <v>317</v>
      </c>
      <c r="B341" s="50" t="s">
        <v>625</v>
      </c>
      <c r="C341" s="50" t="s">
        <v>693</v>
      </c>
      <c r="D341" s="50" t="s">
        <v>706</v>
      </c>
      <c r="E341" s="50" t="s">
        <v>707</v>
      </c>
      <c r="F341" s="48" t="s">
        <v>165</v>
      </c>
      <c r="G341" s="9">
        <v>8</v>
      </c>
      <c r="H341" s="12">
        <f>'Engineering Assumptions'!$C$37*'Engineering Assumptions'!$B$5*U341</f>
        <v>2865</v>
      </c>
      <c r="I341" s="12">
        <f>'Engineering Assumptions'!$B$8</f>
        <v>650</v>
      </c>
      <c r="J341" s="12">
        <f>'Engineering Assumptions'!$D$37*S341*U341</f>
        <v>287.5</v>
      </c>
      <c r="K341" s="12">
        <f>'Engineering Assumptions'!$E$37*T341*U341</f>
        <v>232.5</v>
      </c>
      <c r="L341" s="13">
        <f t="shared" si="48"/>
        <v>4035</v>
      </c>
      <c r="M341" s="12">
        <f>L341*'Engineering Assumptions'!$B$10</f>
        <v>605.25</v>
      </c>
      <c r="N341" s="13">
        <f t="shared" si="49"/>
        <v>4640.25</v>
      </c>
      <c r="O341" s="12">
        <f>N341*'Engineering Assumptions'!$B$11</f>
        <v>928.05000000000007</v>
      </c>
      <c r="P341" s="156">
        <f t="shared" si="50"/>
        <v>5570</v>
      </c>
      <c r="Q341" s="12">
        <f>'Fleet Pricing'!H341</f>
        <v>2990</v>
      </c>
      <c r="R341" s="45">
        <v>8</v>
      </c>
      <c r="S341" s="49">
        <v>1.25</v>
      </c>
      <c r="T341" s="49">
        <v>0.75</v>
      </c>
      <c r="U341" s="49">
        <v>1</v>
      </c>
    </row>
    <row r="342" spans="1:21" ht="15" customHeight="1" x14ac:dyDescent="0.3">
      <c r="A342" s="9">
        <v>318</v>
      </c>
      <c r="B342" s="50" t="s">
        <v>625</v>
      </c>
      <c r="C342" s="50" t="s">
        <v>693</v>
      </c>
      <c r="D342" s="50" t="s">
        <v>708</v>
      </c>
      <c r="E342" s="50" t="s">
        <v>709</v>
      </c>
      <c r="F342" s="48" t="s">
        <v>165</v>
      </c>
      <c r="G342" s="9">
        <v>8</v>
      </c>
      <c r="H342" s="12">
        <f>'Engineering Assumptions'!$C$37*'Engineering Assumptions'!$B$5*U342</f>
        <v>2865</v>
      </c>
      <c r="I342" s="12">
        <f>'Engineering Assumptions'!$B$8</f>
        <v>650</v>
      </c>
      <c r="J342" s="12">
        <f>'Engineering Assumptions'!$D$37*S342*U342</f>
        <v>287.5</v>
      </c>
      <c r="K342" s="12">
        <f>'Engineering Assumptions'!$E$37*T342*U342</f>
        <v>232.5</v>
      </c>
      <c r="L342" s="13">
        <f t="shared" si="48"/>
        <v>4035</v>
      </c>
      <c r="M342" s="12">
        <f>L342*'Engineering Assumptions'!$B$10</f>
        <v>605.25</v>
      </c>
      <c r="N342" s="13">
        <f t="shared" si="49"/>
        <v>4640.25</v>
      </c>
      <c r="O342" s="12">
        <f>N342*'Engineering Assumptions'!$B$11</f>
        <v>928.05000000000007</v>
      </c>
      <c r="P342" s="156">
        <f t="shared" si="50"/>
        <v>5570</v>
      </c>
      <c r="Q342" s="12">
        <f>'Fleet Pricing'!H342</f>
        <v>2990</v>
      </c>
      <c r="R342" s="45">
        <v>8</v>
      </c>
      <c r="S342" s="49">
        <v>1.25</v>
      </c>
      <c r="T342" s="49">
        <v>0.75</v>
      </c>
      <c r="U342" s="49">
        <v>1</v>
      </c>
    </row>
    <row r="343" spans="1:21" ht="15" customHeight="1" x14ac:dyDescent="0.3">
      <c r="A343" s="9">
        <v>319</v>
      </c>
      <c r="B343" s="50" t="s">
        <v>625</v>
      </c>
      <c r="C343" s="50" t="s">
        <v>693</v>
      </c>
      <c r="D343" s="50" t="s">
        <v>710</v>
      </c>
      <c r="E343" s="50" t="s">
        <v>711</v>
      </c>
      <c r="F343" s="48" t="s">
        <v>165</v>
      </c>
      <c r="G343" s="9">
        <v>8</v>
      </c>
      <c r="H343" s="12">
        <f>'Engineering Assumptions'!$C$37*'Engineering Assumptions'!$B$5*U343</f>
        <v>2865</v>
      </c>
      <c r="I343" s="12">
        <f>'Engineering Assumptions'!$B$8</f>
        <v>650</v>
      </c>
      <c r="J343" s="12">
        <f>'Engineering Assumptions'!$D$37*S343*U343</f>
        <v>287.5</v>
      </c>
      <c r="K343" s="12">
        <f>'Engineering Assumptions'!$E$37*T343*U343</f>
        <v>232.5</v>
      </c>
      <c r="L343" s="13">
        <f t="shared" si="48"/>
        <v>4035</v>
      </c>
      <c r="M343" s="12">
        <f>L343*'Engineering Assumptions'!$B$10</f>
        <v>605.25</v>
      </c>
      <c r="N343" s="13">
        <f t="shared" si="49"/>
        <v>4640.25</v>
      </c>
      <c r="O343" s="12">
        <f>N343*'Engineering Assumptions'!$B$11</f>
        <v>928.05000000000007</v>
      </c>
      <c r="P343" s="156">
        <f t="shared" si="50"/>
        <v>5570</v>
      </c>
      <c r="Q343" s="12">
        <f>'Fleet Pricing'!H343</f>
        <v>2990</v>
      </c>
      <c r="R343" s="45">
        <v>8</v>
      </c>
      <c r="S343" s="49">
        <v>1.25</v>
      </c>
      <c r="T343" s="49">
        <v>0.75</v>
      </c>
      <c r="U343" s="49">
        <v>1</v>
      </c>
    </row>
    <row r="344" spans="1:21" ht="15" customHeight="1" x14ac:dyDescent="0.3">
      <c r="A344" s="9">
        <v>320</v>
      </c>
      <c r="B344" s="50" t="s">
        <v>625</v>
      </c>
      <c r="C344" s="50" t="s">
        <v>693</v>
      </c>
      <c r="D344" s="50" t="s">
        <v>712</v>
      </c>
      <c r="E344" s="50" t="s">
        <v>713</v>
      </c>
      <c r="F344" s="48" t="s">
        <v>165</v>
      </c>
      <c r="G344" s="9">
        <v>8</v>
      </c>
      <c r="H344" s="12">
        <f>'Engineering Assumptions'!$C$37*'Engineering Assumptions'!$B$5*U344</f>
        <v>2865</v>
      </c>
      <c r="I344" s="12">
        <f>'Engineering Assumptions'!$B$8</f>
        <v>650</v>
      </c>
      <c r="J344" s="12">
        <f>'Engineering Assumptions'!$D$37*S344*U344</f>
        <v>287.5</v>
      </c>
      <c r="K344" s="12">
        <f>'Engineering Assumptions'!$E$37*T344*U344</f>
        <v>232.5</v>
      </c>
      <c r="L344" s="13">
        <f t="shared" si="48"/>
        <v>4035</v>
      </c>
      <c r="M344" s="12">
        <f>L344*'Engineering Assumptions'!$B$10</f>
        <v>605.25</v>
      </c>
      <c r="N344" s="13">
        <f t="shared" si="49"/>
        <v>4640.25</v>
      </c>
      <c r="O344" s="12">
        <f>N344*'Engineering Assumptions'!$B$11</f>
        <v>928.05000000000007</v>
      </c>
      <c r="P344" s="156">
        <f t="shared" si="50"/>
        <v>5570</v>
      </c>
      <c r="Q344" s="12">
        <f>'Fleet Pricing'!H344</f>
        <v>2990</v>
      </c>
      <c r="R344" s="45">
        <v>8</v>
      </c>
      <c r="S344" s="49">
        <v>1.25</v>
      </c>
      <c r="T344" s="49">
        <v>0.75</v>
      </c>
      <c r="U344" s="49">
        <v>1</v>
      </c>
    </row>
    <row r="345" spans="1:21" ht="15" customHeight="1" x14ac:dyDescent="0.3">
      <c r="A345" s="9">
        <v>321</v>
      </c>
      <c r="B345" s="50" t="s">
        <v>625</v>
      </c>
      <c r="C345" s="50" t="s">
        <v>693</v>
      </c>
      <c r="D345" s="50" t="s">
        <v>714</v>
      </c>
      <c r="E345" s="50" t="s">
        <v>715</v>
      </c>
      <c r="F345" s="48" t="s">
        <v>165</v>
      </c>
      <c r="G345" s="9">
        <v>8</v>
      </c>
      <c r="H345" s="12">
        <f>'Engineering Assumptions'!$C$37*'Engineering Assumptions'!$B$5*U345</f>
        <v>2865</v>
      </c>
      <c r="I345" s="12">
        <f>'Engineering Assumptions'!$B$8</f>
        <v>650</v>
      </c>
      <c r="J345" s="12">
        <f>'Engineering Assumptions'!$D$37*S345*U345</f>
        <v>287.5</v>
      </c>
      <c r="K345" s="12">
        <f>'Engineering Assumptions'!$E$37*T345*U345</f>
        <v>232.5</v>
      </c>
      <c r="L345" s="13">
        <f t="shared" si="48"/>
        <v>4035</v>
      </c>
      <c r="M345" s="12">
        <f>L345*'Engineering Assumptions'!$B$10</f>
        <v>605.25</v>
      </c>
      <c r="N345" s="13">
        <f t="shared" si="49"/>
        <v>4640.25</v>
      </c>
      <c r="O345" s="12">
        <f>N345*'Engineering Assumptions'!$B$11</f>
        <v>928.05000000000007</v>
      </c>
      <c r="P345" s="156">
        <f t="shared" si="50"/>
        <v>5570</v>
      </c>
      <c r="Q345" s="12">
        <f>'Fleet Pricing'!H345</f>
        <v>2990</v>
      </c>
      <c r="R345" s="45">
        <v>8</v>
      </c>
      <c r="S345" s="49">
        <v>1.25</v>
      </c>
      <c r="T345" s="49">
        <v>0.75</v>
      </c>
      <c r="U345" s="49">
        <v>1</v>
      </c>
    </row>
    <row r="346" spans="1:21" ht="15" customHeight="1" x14ac:dyDescent="0.3">
      <c r="A346" s="9">
        <v>322</v>
      </c>
      <c r="B346" s="50" t="s">
        <v>625</v>
      </c>
      <c r="C346" s="50" t="s">
        <v>716</v>
      </c>
      <c r="D346" s="50" t="s">
        <v>717</v>
      </c>
      <c r="E346" s="50" t="s">
        <v>718</v>
      </c>
      <c r="F346" s="48" t="s">
        <v>116</v>
      </c>
      <c r="G346" s="9">
        <v>9</v>
      </c>
      <c r="H346" s="12">
        <f>'Engineering Assumptions'!$C$37*'Engineering Assumptions'!$B$5*U346</f>
        <v>2865</v>
      </c>
      <c r="I346" s="12">
        <f>'Engineering Assumptions'!$B$8</f>
        <v>650</v>
      </c>
      <c r="J346" s="12">
        <f>'Engineering Assumptions'!$D$37*S346*U346</f>
        <v>287.5</v>
      </c>
      <c r="K346" s="12">
        <f>'Engineering Assumptions'!$E$37*T346*U346</f>
        <v>232.5</v>
      </c>
      <c r="L346" s="13">
        <f t="shared" si="48"/>
        <v>4035</v>
      </c>
      <c r="M346" s="12">
        <f>L346*'Engineering Assumptions'!$B$10</f>
        <v>605.25</v>
      </c>
      <c r="N346" s="13">
        <f t="shared" si="49"/>
        <v>4640.25</v>
      </c>
      <c r="O346" s="12">
        <f>N346*'Engineering Assumptions'!$B$11</f>
        <v>928.05000000000007</v>
      </c>
      <c r="P346" s="156">
        <f t="shared" si="50"/>
        <v>5570</v>
      </c>
      <c r="Q346" s="12">
        <f>'Fleet Pricing'!H346</f>
        <v>2990</v>
      </c>
      <c r="R346" s="45">
        <v>9</v>
      </c>
      <c r="S346" s="49">
        <v>1.25</v>
      </c>
      <c r="T346" s="49">
        <v>0.75</v>
      </c>
      <c r="U346" s="49">
        <v>1</v>
      </c>
    </row>
    <row r="347" spans="1:21" ht="15" customHeight="1" x14ac:dyDescent="0.3">
      <c r="A347" s="9">
        <v>323</v>
      </c>
      <c r="B347" s="50" t="s">
        <v>625</v>
      </c>
      <c r="C347" s="50" t="s">
        <v>719</v>
      </c>
      <c r="D347" s="50" t="s">
        <v>720</v>
      </c>
      <c r="E347" s="50" t="s">
        <v>721</v>
      </c>
      <c r="F347" s="48" t="s">
        <v>49</v>
      </c>
      <c r="G347" s="9">
        <v>10</v>
      </c>
      <c r="H347" s="12">
        <f>'Engineering Assumptions'!$C$37*'Engineering Assumptions'!$B$5*U347</f>
        <v>2865</v>
      </c>
      <c r="I347" s="12">
        <f>'Engineering Assumptions'!$B$8</f>
        <v>650</v>
      </c>
      <c r="J347" s="12">
        <f>'Engineering Assumptions'!$D$37*S347*U347</f>
        <v>287.5</v>
      </c>
      <c r="K347" s="12">
        <f>'Engineering Assumptions'!$E$37*T347*U347</f>
        <v>232.5</v>
      </c>
      <c r="L347" s="13">
        <f t="shared" si="48"/>
        <v>4035</v>
      </c>
      <c r="M347" s="12">
        <f>L347*'Engineering Assumptions'!$B$10</f>
        <v>605.25</v>
      </c>
      <c r="N347" s="13">
        <f t="shared" si="49"/>
        <v>4640.25</v>
      </c>
      <c r="O347" s="12">
        <f>N347*'Engineering Assumptions'!$B$11</f>
        <v>928.05000000000007</v>
      </c>
      <c r="P347" s="156">
        <f t="shared" si="50"/>
        <v>5570</v>
      </c>
      <c r="Q347" s="12">
        <f>'Fleet Pricing'!H347</f>
        <v>2990</v>
      </c>
      <c r="R347" s="45">
        <v>10</v>
      </c>
      <c r="S347" s="49">
        <v>1.25</v>
      </c>
      <c r="T347" s="49">
        <v>0.75</v>
      </c>
      <c r="U347" s="49">
        <v>1</v>
      </c>
    </row>
    <row r="348" spans="1:21" ht="15" customHeight="1" x14ac:dyDescent="0.3">
      <c r="A348" s="9">
        <v>324</v>
      </c>
      <c r="B348" s="50" t="s">
        <v>625</v>
      </c>
      <c r="C348" s="50" t="s">
        <v>719</v>
      </c>
      <c r="D348" s="50" t="s">
        <v>722</v>
      </c>
      <c r="E348" s="50" t="s">
        <v>723</v>
      </c>
      <c r="F348" s="48" t="s">
        <v>49</v>
      </c>
      <c r="G348" s="9">
        <v>10</v>
      </c>
      <c r="H348" s="12">
        <f>'Engineering Assumptions'!$C$37*'Engineering Assumptions'!$B$5*U348</f>
        <v>2865</v>
      </c>
      <c r="I348" s="12">
        <f>'Engineering Assumptions'!$B$8</f>
        <v>650</v>
      </c>
      <c r="J348" s="12">
        <f>'Engineering Assumptions'!$D$37*S348*U348</f>
        <v>287.5</v>
      </c>
      <c r="K348" s="12">
        <f>'Engineering Assumptions'!$E$37*T348*U348</f>
        <v>232.5</v>
      </c>
      <c r="L348" s="13">
        <f t="shared" si="48"/>
        <v>4035</v>
      </c>
      <c r="M348" s="12">
        <f>L348*'Engineering Assumptions'!$B$10</f>
        <v>605.25</v>
      </c>
      <c r="N348" s="13">
        <f t="shared" si="49"/>
        <v>4640.25</v>
      </c>
      <c r="O348" s="12">
        <f>N348*'Engineering Assumptions'!$B$11</f>
        <v>928.05000000000007</v>
      </c>
      <c r="P348" s="156">
        <f t="shared" si="50"/>
        <v>5570</v>
      </c>
      <c r="Q348" s="12">
        <f>'Fleet Pricing'!H348</f>
        <v>2990</v>
      </c>
      <c r="R348" s="45">
        <v>10</v>
      </c>
      <c r="S348" s="49">
        <v>1.25</v>
      </c>
      <c r="T348" s="49">
        <v>0.75</v>
      </c>
      <c r="U348" s="49">
        <v>1</v>
      </c>
    </row>
    <row r="349" spans="1:21" ht="15" customHeight="1" x14ac:dyDescent="0.3">
      <c r="A349" s="9">
        <v>325</v>
      </c>
      <c r="B349" s="50" t="s">
        <v>625</v>
      </c>
      <c r="C349" s="50" t="s">
        <v>719</v>
      </c>
      <c r="D349" s="50" t="s">
        <v>724</v>
      </c>
      <c r="E349" s="50" t="s">
        <v>725</v>
      </c>
      <c r="F349" s="48" t="s">
        <v>49</v>
      </c>
      <c r="G349" s="9">
        <v>10</v>
      </c>
      <c r="H349" s="12">
        <f>'Engineering Assumptions'!$C$37*'Engineering Assumptions'!$B$5*U349</f>
        <v>2865</v>
      </c>
      <c r="I349" s="12">
        <f>'Engineering Assumptions'!$B$8</f>
        <v>650</v>
      </c>
      <c r="J349" s="12">
        <f>'Engineering Assumptions'!$D$37*S349*U349</f>
        <v>287.5</v>
      </c>
      <c r="K349" s="12">
        <f>'Engineering Assumptions'!$E$37*T349*U349</f>
        <v>232.5</v>
      </c>
      <c r="L349" s="13">
        <f t="shared" si="48"/>
        <v>4035</v>
      </c>
      <c r="M349" s="12">
        <f>L349*'Engineering Assumptions'!$B$10</f>
        <v>605.25</v>
      </c>
      <c r="N349" s="13">
        <f t="shared" si="49"/>
        <v>4640.25</v>
      </c>
      <c r="O349" s="12">
        <f>N349*'Engineering Assumptions'!$B$11</f>
        <v>928.05000000000007</v>
      </c>
      <c r="P349" s="156">
        <f t="shared" si="50"/>
        <v>5570</v>
      </c>
      <c r="Q349" s="12">
        <f>'Fleet Pricing'!H349</f>
        <v>2990</v>
      </c>
      <c r="R349" s="45">
        <v>10</v>
      </c>
      <c r="S349" s="49">
        <v>1.25</v>
      </c>
      <c r="T349" s="49">
        <v>0.75</v>
      </c>
      <c r="U349" s="49">
        <v>1</v>
      </c>
    </row>
    <row r="350" spans="1:21" ht="15" customHeight="1" x14ac:dyDescent="0.3">
      <c r="A350" s="9">
        <v>326</v>
      </c>
      <c r="B350" s="50" t="s">
        <v>625</v>
      </c>
      <c r="C350" s="50" t="s">
        <v>719</v>
      </c>
      <c r="D350" s="50" t="s">
        <v>726</v>
      </c>
      <c r="E350" s="50" t="s">
        <v>727</v>
      </c>
      <c r="F350" s="48" t="s">
        <v>49</v>
      </c>
      <c r="G350" s="9">
        <v>10</v>
      </c>
      <c r="H350" s="12">
        <f>'Engineering Assumptions'!$C$37*'Engineering Assumptions'!$B$5*U350</f>
        <v>2865</v>
      </c>
      <c r="I350" s="12">
        <f>'Engineering Assumptions'!$B$8</f>
        <v>650</v>
      </c>
      <c r="J350" s="12">
        <f>'Engineering Assumptions'!$D$37*S350*U350</f>
        <v>287.5</v>
      </c>
      <c r="K350" s="12">
        <f>'Engineering Assumptions'!$E$37*T350*U350</f>
        <v>232.5</v>
      </c>
      <c r="L350" s="13">
        <f t="shared" si="48"/>
        <v>4035</v>
      </c>
      <c r="M350" s="12">
        <f>L350*'Engineering Assumptions'!$B$10</f>
        <v>605.25</v>
      </c>
      <c r="N350" s="13">
        <f t="shared" si="49"/>
        <v>4640.25</v>
      </c>
      <c r="O350" s="12">
        <f>N350*'Engineering Assumptions'!$B$11</f>
        <v>928.05000000000007</v>
      </c>
      <c r="P350" s="156">
        <f t="shared" si="50"/>
        <v>5570</v>
      </c>
      <c r="Q350" s="12">
        <f>'Fleet Pricing'!H350</f>
        <v>2990</v>
      </c>
      <c r="R350" s="45">
        <v>10</v>
      </c>
      <c r="S350" s="49">
        <v>1.25</v>
      </c>
      <c r="T350" s="49">
        <v>0.75</v>
      </c>
      <c r="U350" s="49">
        <v>1</v>
      </c>
    </row>
    <row r="351" spans="1:21" ht="15" customHeight="1" x14ac:dyDescent="0.3">
      <c r="A351" s="9">
        <v>327</v>
      </c>
      <c r="B351" s="50" t="s">
        <v>625</v>
      </c>
      <c r="C351" s="50" t="s">
        <v>719</v>
      </c>
      <c r="D351" s="50" t="s">
        <v>728</v>
      </c>
      <c r="E351" s="50" t="s">
        <v>729</v>
      </c>
      <c r="F351" s="48" t="s">
        <v>49</v>
      </c>
      <c r="G351" s="9">
        <v>10</v>
      </c>
      <c r="H351" s="12">
        <f>'Engineering Assumptions'!$C$37*'Engineering Assumptions'!$B$5*U351</f>
        <v>2865</v>
      </c>
      <c r="I351" s="12">
        <f>'Engineering Assumptions'!$B$8</f>
        <v>650</v>
      </c>
      <c r="J351" s="12">
        <f>'Engineering Assumptions'!$D$37*S351*U351</f>
        <v>287.5</v>
      </c>
      <c r="K351" s="12">
        <f>'Engineering Assumptions'!$E$37*T351*U351</f>
        <v>232.5</v>
      </c>
      <c r="L351" s="13">
        <f t="shared" si="48"/>
        <v>4035</v>
      </c>
      <c r="M351" s="12">
        <f>L351*'Engineering Assumptions'!$B$10</f>
        <v>605.25</v>
      </c>
      <c r="N351" s="13">
        <f t="shared" si="49"/>
        <v>4640.25</v>
      </c>
      <c r="O351" s="12">
        <f>N351*'Engineering Assumptions'!$B$11</f>
        <v>928.05000000000007</v>
      </c>
      <c r="P351" s="156">
        <f t="shared" si="50"/>
        <v>5570</v>
      </c>
      <c r="Q351" s="12">
        <f>'Fleet Pricing'!H351</f>
        <v>2990</v>
      </c>
      <c r="R351" s="45">
        <v>10</v>
      </c>
      <c r="S351" s="49">
        <v>1.25</v>
      </c>
      <c r="T351" s="49">
        <v>0.75</v>
      </c>
      <c r="U351" s="49">
        <v>1</v>
      </c>
    </row>
    <row r="352" spans="1:21" ht="15" customHeight="1" x14ac:dyDescent="0.3">
      <c r="A352" s="9">
        <v>328</v>
      </c>
      <c r="B352" s="50" t="s">
        <v>625</v>
      </c>
      <c r="C352" s="50" t="s">
        <v>719</v>
      </c>
      <c r="D352" s="50" t="s">
        <v>730</v>
      </c>
      <c r="E352" s="50" t="s">
        <v>731</v>
      </c>
      <c r="F352" s="48" t="s">
        <v>49</v>
      </c>
      <c r="G352" s="9">
        <v>10</v>
      </c>
      <c r="H352" s="12">
        <f>'Engineering Assumptions'!$C$37*'Engineering Assumptions'!$B$5*U352</f>
        <v>2865</v>
      </c>
      <c r="I352" s="12">
        <f>'Engineering Assumptions'!$B$8</f>
        <v>650</v>
      </c>
      <c r="J352" s="12">
        <f>'Engineering Assumptions'!$D$37*S352*U352</f>
        <v>287.5</v>
      </c>
      <c r="K352" s="12">
        <f>'Engineering Assumptions'!$E$37*T352*U352</f>
        <v>232.5</v>
      </c>
      <c r="L352" s="13">
        <f t="shared" si="48"/>
        <v>4035</v>
      </c>
      <c r="M352" s="12">
        <f>L352*'Engineering Assumptions'!$B$10</f>
        <v>605.25</v>
      </c>
      <c r="N352" s="13">
        <f t="shared" si="49"/>
        <v>4640.25</v>
      </c>
      <c r="O352" s="12">
        <f>N352*'Engineering Assumptions'!$B$11</f>
        <v>928.05000000000007</v>
      </c>
      <c r="P352" s="156">
        <f t="shared" si="50"/>
        <v>5570</v>
      </c>
      <c r="Q352" s="12">
        <f>'Fleet Pricing'!H352</f>
        <v>2990</v>
      </c>
      <c r="R352" s="45">
        <v>10</v>
      </c>
      <c r="S352" s="49">
        <v>1.25</v>
      </c>
      <c r="T352" s="49">
        <v>0.75</v>
      </c>
      <c r="U352" s="49">
        <v>1</v>
      </c>
    </row>
    <row r="353" spans="1:21" ht="15" customHeight="1" x14ac:dyDescent="0.3">
      <c r="A353" s="9">
        <v>329</v>
      </c>
      <c r="B353" s="50" t="s">
        <v>625</v>
      </c>
      <c r="C353" s="50" t="s">
        <v>719</v>
      </c>
      <c r="D353" s="50" t="s">
        <v>732</v>
      </c>
      <c r="E353" s="50" t="s">
        <v>733</v>
      </c>
      <c r="F353" s="48" t="s">
        <v>49</v>
      </c>
      <c r="G353" s="9">
        <v>10</v>
      </c>
      <c r="H353" s="12">
        <f>'Engineering Assumptions'!$C$37*'Engineering Assumptions'!$B$5*U353</f>
        <v>2865</v>
      </c>
      <c r="I353" s="12">
        <f>'Engineering Assumptions'!$B$8</f>
        <v>650</v>
      </c>
      <c r="J353" s="12">
        <f>'Engineering Assumptions'!$D$37*S353*U353</f>
        <v>287.5</v>
      </c>
      <c r="K353" s="12">
        <f>'Engineering Assumptions'!$E$37*T353*U353</f>
        <v>232.5</v>
      </c>
      <c r="L353" s="13">
        <f t="shared" si="48"/>
        <v>4035</v>
      </c>
      <c r="M353" s="12">
        <f>L353*'Engineering Assumptions'!$B$10</f>
        <v>605.25</v>
      </c>
      <c r="N353" s="13">
        <f t="shared" si="49"/>
        <v>4640.25</v>
      </c>
      <c r="O353" s="12">
        <f>N353*'Engineering Assumptions'!$B$11</f>
        <v>928.05000000000007</v>
      </c>
      <c r="P353" s="156">
        <f t="shared" si="50"/>
        <v>5570</v>
      </c>
      <c r="Q353" s="12">
        <f>'Fleet Pricing'!H353</f>
        <v>2990</v>
      </c>
      <c r="R353" s="45">
        <v>10</v>
      </c>
      <c r="S353" s="49">
        <v>1.25</v>
      </c>
      <c r="T353" s="49">
        <v>0.75</v>
      </c>
      <c r="U353" s="49">
        <v>1</v>
      </c>
    </row>
    <row r="354" spans="1:21" ht="15" customHeight="1" x14ac:dyDescent="0.3">
      <c r="A354" s="9">
        <v>330</v>
      </c>
      <c r="B354" s="50" t="s">
        <v>625</v>
      </c>
      <c r="C354" s="50" t="s">
        <v>719</v>
      </c>
      <c r="D354" s="50" t="s">
        <v>734</v>
      </c>
      <c r="E354" s="50" t="s">
        <v>735</v>
      </c>
      <c r="F354" s="48" t="s">
        <v>49</v>
      </c>
      <c r="G354" s="9">
        <v>10</v>
      </c>
      <c r="H354" s="12">
        <f>'Engineering Assumptions'!$C$37*'Engineering Assumptions'!$B$5*U354</f>
        <v>2865</v>
      </c>
      <c r="I354" s="12">
        <f>'Engineering Assumptions'!$B$8</f>
        <v>650</v>
      </c>
      <c r="J354" s="12">
        <f>'Engineering Assumptions'!$D$37*S354*U354</f>
        <v>287.5</v>
      </c>
      <c r="K354" s="12">
        <f>'Engineering Assumptions'!$E$37*T354*U354</f>
        <v>232.5</v>
      </c>
      <c r="L354" s="13">
        <f t="shared" si="48"/>
        <v>4035</v>
      </c>
      <c r="M354" s="12">
        <f>L354*'Engineering Assumptions'!$B$10</f>
        <v>605.25</v>
      </c>
      <c r="N354" s="13">
        <f t="shared" si="49"/>
        <v>4640.25</v>
      </c>
      <c r="O354" s="12">
        <f>N354*'Engineering Assumptions'!$B$11</f>
        <v>928.05000000000007</v>
      </c>
      <c r="P354" s="156">
        <f t="shared" si="50"/>
        <v>5570</v>
      </c>
      <c r="Q354" s="12">
        <f>'Fleet Pricing'!H354</f>
        <v>2990</v>
      </c>
      <c r="R354" s="45">
        <v>10</v>
      </c>
      <c r="S354" s="49">
        <v>1.25</v>
      </c>
      <c r="T354" s="49">
        <v>0.75</v>
      </c>
      <c r="U354" s="49">
        <v>1</v>
      </c>
    </row>
    <row r="355" spans="1:21" ht="15" customHeight="1" x14ac:dyDescent="0.3">
      <c r="A355" s="9">
        <v>331</v>
      </c>
      <c r="B355" s="50" t="s">
        <v>625</v>
      </c>
      <c r="C355" s="50" t="s">
        <v>719</v>
      </c>
      <c r="D355" s="50" t="s">
        <v>736</v>
      </c>
      <c r="E355" s="50" t="s">
        <v>737</v>
      </c>
      <c r="F355" s="48" t="s">
        <v>49</v>
      </c>
      <c r="G355" s="9">
        <v>10</v>
      </c>
      <c r="H355" s="12">
        <f>'Engineering Assumptions'!$C$37*'Engineering Assumptions'!$B$5*U355</f>
        <v>2865</v>
      </c>
      <c r="I355" s="12">
        <f>'Engineering Assumptions'!$B$8</f>
        <v>650</v>
      </c>
      <c r="J355" s="12">
        <f>'Engineering Assumptions'!$D$37*S355*U355</f>
        <v>287.5</v>
      </c>
      <c r="K355" s="12">
        <f>'Engineering Assumptions'!$E$37*T355*U355</f>
        <v>232.5</v>
      </c>
      <c r="L355" s="13">
        <f t="shared" si="48"/>
        <v>4035</v>
      </c>
      <c r="M355" s="12">
        <f>L355*'Engineering Assumptions'!$B$10</f>
        <v>605.25</v>
      </c>
      <c r="N355" s="13">
        <f t="shared" si="49"/>
        <v>4640.25</v>
      </c>
      <c r="O355" s="12">
        <f>N355*'Engineering Assumptions'!$B$11</f>
        <v>928.05000000000007</v>
      </c>
      <c r="P355" s="156">
        <f t="shared" si="50"/>
        <v>5570</v>
      </c>
      <c r="Q355" s="12">
        <f>'Fleet Pricing'!H355</f>
        <v>2990</v>
      </c>
      <c r="R355" s="45">
        <v>10</v>
      </c>
      <c r="S355" s="49">
        <v>1.25</v>
      </c>
      <c r="T355" s="49">
        <v>0.75</v>
      </c>
      <c r="U355" s="49">
        <v>1</v>
      </c>
    </row>
    <row r="356" spans="1:21" ht="15" customHeight="1" x14ac:dyDescent="0.3">
      <c r="A356" s="9">
        <v>332</v>
      </c>
      <c r="B356" s="50" t="s">
        <v>625</v>
      </c>
      <c r="C356" s="50" t="s">
        <v>719</v>
      </c>
      <c r="D356" s="50" t="s">
        <v>738</v>
      </c>
      <c r="E356" s="50" t="s">
        <v>739</v>
      </c>
      <c r="F356" s="48" t="s">
        <v>49</v>
      </c>
      <c r="G356" s="9">
        <v>10</v>
      </c>
      <c r="H356" s="12">
        <f>'Engineering Assumptions'!$C$37*'Engineering Assumptions'!$B$5*U356</f>
        <v>2865</v>
      </c>
      <c r="I356" s="12">
        <f>'Engineering Assumptions'!$B$8</f>
        <v>650</v>
      </c>
      <c r="J356" s="12">
        <f>'Engineering Assumptions'!$D$37*S356*U356</f>
        <v>287.5</v>
      </c>
      <c r="K356" s="12">
        <f>'Engineering Assumptions'!$E$37*T356*U356</f>
        <v>232.5</v>
      </c>
      <c r="L356" s="13">
        <f t="shared" si="48"/>
        <v>4035</v>
      </c>
      <c r="M356" s="12">
        <f>L356*'Engineering Assumptions'!$B$10</f>
        <v>605.25</v>
      </c>
      <c r="N356" s="13">
        <f t="shared" si="49"/>
        <v>4640.25</v>
      </c>
      <c r="O356" s="12">
        <f>N356*'Engineering Assumptions'!$B$11</f>
        <v>928.05000000000007</v>
      </c>
      <c r="P356" s="156">
        <f t="shared" si="50"/>
        <v>5570</v>
      </c>
      <c r="Q356" s="12">
        <f>'Fleet Pricing'!H356</f>
        <v>2990</v>
      </c>
      <c r="R356" s="45">
        <v>10</v>
      </c>
      <c r="S356" s="49">
        <v>1.25</v>
      </c>
      <c r="T356" s="49">
        <v>0.75</v>
      </c>
      <c r="U356" s="49">
        <v>1</v>
      </c>
    </row>
    <row r="357" spans="1:21" ht="15" customHeight="1" x14ac:dyDescent="0.3">
      <c r="A357" s="9">
        <v>333</v>
      </c>
      <c r="B357" s="50" t="s">
        <v>625</v>
      </c>
      <c r="C357" s="50" t="s">
        <v>693</v>
      </c>
      <c r="D357" s="50" t="s">
        <v>740</v>
      </c>
      <c r="E357" s="50" t="s">
        <v>741</v>
      </c>
      <c r="F357" s="48" t="s">
        <v>49</v>
      </c>
      <c r="G357" s="9">
        <v>10</v>
      </c>
      <c r="H357" s="12">
        <f>'Engineering Assumptions'!$C$37*'Engineering Assumptions'!$B$5*U357</f>
        <v>2865</v>
      </c>
      <c r="I357" s="12">
        <f>'Engineering Assumptions'!$B$8</f>
        <v>650</v>
      </c>
      <c r="J357" s="12">
        <f>'Engineering Assumptions'!$D$37*S357*U357</f>
        <v>287.5</v>
      </c>
      <c r="K357" s="12">
        <f>'Engineering Assumptions'!$E$37*T357*U357</f>
        <v>232.5</v>
      </c>
      <c r="L357" s="13">
        <f t="shared" si="48"/>
        <v>4035</v>
      </c>
      <c r="M357" s="12">
        <f>L357*'Engineering Assumptions'!$B$10</f>
        <v>605.25</v>
      </c>
      <c r="N357" s="13">
        <f t="shared" si="49"/>
        <v>4640.25</v>
      </c>
      <c r="O357" s="12">
        <f>N357*'Engineering Assumptions'!$B$11</f>
        <v>928.05000000000007</v>
      </c>
      <c r="P357" s="156">
        <f t="shared" si="50"/>
        <v>5570</v>
      </c>
      <c r="Q357" s="12">
        <f>'Fleet Pricing'!H357</f>
        <v>2990</v>
      </c>
      <c r="R357" s="45">
        <v>10</v>
      </c>
      <c r="S357" s="49">
        <v>1.25</v>
      </c>
      <c r="T357" s="49">
        <v>0.75</v>
      </c>
      <c r="U357" s="49">
        <v>1</v>
      </c>
    </row>
    <row r="358" spans="1:21" ht="15" customHeight="1" x14ac:dyDescent="0.3">
      <c r="A358" s="9">
        <v>334</v>
      </c>
      <c r="B358" s="50" t="s">
        <v>625</v>
      </c>
      <c r="C358" s="50" t="s">
        <v>693</v>
      </c>
      <c r="D358" s="50" t="s">
        <v>742</v>
      </c>
      <c r="E358" s="50" t="s">
        <v>743</v>
      </c>
      <c r="F358" s="48" t="s">
        <v>49</v>
      </c>
      <c r="G358" s="9">
        <v>10</v>
      </c>
      <c r="H358" s="12">
        <f>'Engineering Assumptions'!$C$37*'Engineering Assumptions'!$B$5*U358</f>
        <v>2865</v>
      </c>
      <c r="I358" s="12">
        <f>'Engineering Assumptions'!$B$8</f>
        <v>650</v>
      </c>
      <c r="J358" s="12">
        <f>'Engineering Assumptions'!$D$37*S358*U358</f>
        <v>287.5</v>
      </c>
      <c r="K358" s="12">
        <f>'Engineering Assumptions'!$E$37*T358*U358</f>
        <v>232.5</v>
      </c>
      <c r="L358" s="13">
        <f t="shared" si="48"/>
        <v>4035</v>
      </c>
      <c r="M358" s="12">
        <f>L358*'Engineering Assumptions'!$B$10</f>
        <v>605.25</v>
      </c>
      <c r="N358" s="13">
        <f t="shared" si="49"/>
        <v>4640.25</v>
      </c>
      <c r="O358" s="12">
        <f>N358*'Engineering Assumptions'!$B$11</f>
        <v>928.05000000000007</v>
      </c>
      <c r="P358" s="156">
        <f t="shared" si="50"/>
        <v>5570</v>
      </c>
      <c r="Q358" s="12">
        <f>'Fleet Pricing'!H358</f>
        <v>2990</v>
      </c>
      <c r="R358" s="45">
        <v>10</v>
      </c>
      <c r="S358" s="49">
        <v>1.25</v>
      </c>
      <c r="T358" s="49">
        <v>0.75</v>
      </c>
      <c r="U358" s="49">
        <v>1</v>
      </c>
    </row>
    <row r="359" spans="1:21" ht="15" customHeight="1" x14ac:dyDescent="0.3">
      <c r="A359" s="9">
        <v>335</v>
      </c>
      <c r="B359" s="50" t="s">
        <v>625</v>
      </c>
      <c r="C359" s="50" t="s">
        <v>693</v>
      </c>
      <c r="D359" s="50" t="s">
        <v>744</v>
      </c>
      <c r="E359" s="50" t="s">
        <v>745</v>
      </c>
      <c r="F359" s="48" t="s">
        <v>49</v>
      </c>
      <c r="G359" s="9">
        <v>10</v>
      </c>
      <c r="H359" s="12">
        <f>'Engineering Assumptions'!$C$37*'Engineering Assumptions'!$B$5*U359</f>
        <v>2865</v>
      </c>
      <c r="I359" s="12">
        <f>'Engineering Assumptions'!$B$8</f>
        <v>650</v>
      </c>
      <c r="J359" s="12">
        <f>'Engineering Assumptions'!$D$37*S359*U359</f>
        <v>287.5</v>
      </c>
      <c r="K359" s="12">
        <f>'Engineering Assumptions'!$E$37*T359*U359</f>
        <v>232.5</v>
      </c>
      <c r="L359" s="13">
        <f t="shared" si="48"/>
        <v>4035</v>
      </c>
      <c r="M359" s="12">
        <f>L359*'Engineering Assumptions'!$B$10</f>
        <v>605.25</v>
      </c>
      <c r="N359" s="13">
        <f t="shared" si="49"/>
        <v>4640.25</v>
      </c>
      <c r="O359" s="12">
        <f>N359*'Engineering Assumptions'!$B$11</f>
        <v>928.05000000000007</v>
      </c>
      <c r="P359" s="156">
        <f t="shared" si="50"/>
        <v>5570</v>
      </c>
      <c r="Q359" s="12">
        <f>'Fleet Pricing'!H359</f>
        <v>2990</v>
      </c>
      <c r="R359" s="45">
        <v>10</v>
      </c>
      <c r="S359" s="49">
        <v>1.25</v>
      </c>
      <c r="T359" s="49">
        <v>0.75</v>
      </c>
      <c r="U359" s="49">
        <v>1</v>
      </c>
    </row>
    <row r="360" spans="1:21" ht="15" customHeight="1" x14ac:dyDescent="0.3">
      <c r="A360" s="9">
        <v>336</v>
      </c>
      <c r="B360" s="50" t="s">
        <v>625</v>
      </c>
      <c r="C360" s="50" t="s">
        <v>746</v>
      </c>
      <c r="D360" s="50" t="s">
        <v>747</v>
      </c>
      <c r="E360" s="50" t="s">
        <v>748</v>
      </c>
      <c r="F360" s="48" t="s">
        <v>99</v>
      </c>
      <c r="G360" s="9">
        <v>13</v>
      </c>
      <c r="H360" s="12">
        <f>'Engineering Assumptions'!$C$37*'Engineering Assumptions'!$B$5*U360</f>
        <v>2865</v>
      </c>
      <c r="I360" s="12">
        <f>'Engineering Assumptions'!$B$8</f>
        <v>650</v>
      </c>
      <c r="J360" s="12">
        <f>'Engineering Assumptions'!$D$37*S360*U360</f>
        <v>356.5</v>
      </c>
      <c r="K360" s="12">
        <f>'Engineering Assumptions'!$E$37*T360*U360</f>
        <v>418.5</v>
      </c>
      <c r="L360" s="13">
        <f t="shared" si="48"/>
        <v>4290</v>
      </c>
      <c r="M360" s="12">
        <f>L360*'Engineering Assumptions'!$B$10</f>
        <v>643.5</v>
      </c>
      <c r="N360" s="13">
        <f t="shared" si="49"/>
        <v>4933.5</v>
      </c>
      <c r="O360" s="12">
        <f>N360*'Engineering Assumptions'!$B$11</f>
        <v>986.7</v>
      </c>
      <c r="P360" s="156">
        <f t="shared" si="50"/>
        <v>5920</v>
      </c>
      <c r="Q360" s="12">
        <f>'Fleet Pricing'!H360</f>
        <v>2670</v>
      </c>
      <c r="R360" s="45">
        <v>13</v>
      </c>
      <c r="S360" s="49">
        <v>1.55</v>
      </c>
      <c r="T360" s="49">
        <v>1.35</v>
      </c>
      <c r="U360" s="49">
        <v>1</v>
      </c>
    </row>
    <row r="361" spans="1:21" ht="15" customHeight="1" x14ac:dyDescent="0.3">
      <c r="A361" s="9">
        <v>337</v>
      </c>
      <c r="B361" s="50" t="s">
        <v>625</v>
      </c>
      <c r="C361" s="50" t="s">
        <v>749</v>
      </c>
      <c r="D361" s="50" t="s">
        <v>750</v>
      </c>
      <c r="E361" s="50" t="s">
        <v>751</v>
      </c>
      <c r="F361" s="48" t="s">
        <v>99</v>
      </c>
      <c r="G361" s="9">
        <v>13</v>
      </c>
      <c r="H361" s="12">
        <f>'Engineering Assumptions'!$C$37*'Engineering Assumptions'!$B$5*U361</f>
        <v>2865</v>
      </c>
      <c r="I361" s="12">
        <f>'Engineering Assumptions'!$B$8</f>
        <v>650</v>
      </c>
      <c r="J361" s="12">
        <f>'Engineering Assumptions'!$D$37*S361*U361</f>
        <v>356.5</v>
      </c>
      <c r="K361" s="12">
        <f>'Engineering Assumptions'!$E$37*T361*U361</f>
        <v>418.5</v>
      </c>
      <c r="L361" s="13">
        <f t="shared" si="48"/>
        <v>4290</v>
      </c>
      <c r="M361" s="12">
        <f>L361*'Engineering Assumptions'!$B$10</f>
        <v>643.5</v>
      </c>
      <c r="N361" s="13">
        <f t="shared" si="49"/>
        <v>4933.5</v>
      </c>
      <c r="O361" s="12">
        <f>N361*'Engineering Assumptions'!$B$11</f>
        <v>986.7</v>
      </c>
      <c r="P361" s="156">
        <f t="shared" si="50"/>
        <v>5920</v>
      </c>
      <c r="Q361" s="12">
        <f>'Fleet Pricing'!H361</f>
        <v>2670</v>
      </c>
      <c r="R361" s="45">
        <v>13</v>
      </c>
      <c r="S361" s="49">
        <v>1.55</v>
      </c>
      <c r="T361" s="49">
        <v>1.35</v>
      </c>
      <c r="U361" s="49">
        <v>1</v>
      </c>
    </row>
    <row r="362" spans="1:21" ht="23.25" customHeight="1" x14ac:dyDescent="0.3">
      <c r="A362" s="9">
        <v>338</v>
      </c>
      <c r="B362" s="50" t="s">
        <v>625</v>
      </c>
      <c r="C362" s="50" t="s">
        <v>752</v>
      </c>
      <c r="D362" s="50" t="s">
        <v>753</v>
      </c>
      <c r="E362" s="50" t="s">
        <v>754</v>
      </c>
      <c r="F362" s="48" t="s">
        <v>66</v>
      </c>
      <c r="G362" s="9">
        <v>14</v>
      </c>
      <c r="H362" s="12">
        <f>'Engineering Assumptions'!$C$37*'Engineering Assumptions'!$B$5*U362</f>
        <v>2865</v>
      </c>
      <c r="I362" s="12">
        <f>'Engineering Assumptions'!$B$8</f>
        <v>650</v>
      </c>
      <c r="J362" s="12">
        <f>'Engineering Assumptions'!$D$37*S362*U362</f>
        <v>356.5</v>
      </c>
      <c r="K362" s="12">
        <f>'Engineering Assumptions'!$E$37*T362*U362</f>
        <v>418.5</v>
      </c>
      <c r="L362" s="13">
        <f t="shared" si="48"/>
        <v>4290</v>
      </c>
      <c r="M362" s="12">
        <f>L362*'Engineering Assumptions'!$B$10</f>
        <v>643.5</v>
      </c>
      <c r="N362" s="13">
        <f t="shared" si="49"/>
        <v>4933.5</v>
      </c>
      <c r="O362" s="12">
        <f>N362*'Engineering Assumptions'!$B$11</f>
        <v>986.7</v>
      </c>
      <c r="P362" s="156">
        <f t="shared" si="50"/>
        <v>5920</v>
      </c>
      <c r="Q362" s="12">
        <f>'Fleet Pricing'!H362</f>
        <v>2670</v>
      </c>
      <c r="R362" s="45">
        <v>14</v>
      </c>
      <c r="S362" s="49">
        <v>1.55</v>
      </c>
      <c r="T362" s="49">
        <v>1.35</v>
      </c>
      <c r="U362" s="49">
        <v>1</v>
      </c>
    </row>
    <row r="363" spans="1:21" ht="23.25" customHeight="1" x14ac:dyDescent="0.3">
      <c r="A363" s="9">
        <v>339</v>
      </c>
      <c r="B363" s="50" t="s">
        <v>625</v>
      </c>
      <c r="C363" s="50" t="s">
        <v>752</v>
      </c>
      <c r="D363" s="50" t="s">
        <v>755</v>
      </c>
      <c r="E363" s="50" t="s">
        <v>756</v>
      </c>
      <c r="F363" s="48" t="s">
        <v>66</v>
      </c>
      <c r="G363" s="9">
        <v>14</v>
      </c>
      <c r="H363" s="12">
        <f>'Engineering Assumptions'!$C$37*'Engineering Assumptions'!$B$5*U363</f>
        <v>2865</v>
      </c>
      <c r="I363" s="12">
        <f>'Engineering Assumptions'!$B$8</f>
        <v>650</v>
      </c>
      <c r="J363" s="12">
        <f>'Engineering Assumptions'!$D$37*S363*U363</f>
        <v>356.5</v>
      </c>
      <c r="K363" s="12">
        <f>'Engineering Assumptions'!$E$37*T363*U363</f>
        <v>418.5</v>
      </c>
      <c r="L363" s="13">
        <f t="shared" si="48"/>
        <v>4290</v>
      </c>
      <c r="M363" s="12">
        <f>L363*'Engineering Assumptions'!$B$10</f>
        <v>643.5</v>
      </c>
      <c r="N363" s="13">
        <f t="shared" si="49"/>
        <v>4933.5</v>
      </c>
      <c r="O363" s="12">
        <f>N363*'Engineering Assumptions'!$B$11</f>
        <v>986.7</v>
      </c>
      <c r="P363" s="156">
        <f t="shared" si="50"/>
        <v>5920</v>
      </c>
      <c r="Q363" s="12">
        <f>'Fleet Pricing'!H363</f>
        <v>2670</v>
      </c>
      <c r="R363" s="45">
        <v>14</v>
      </c>
      <c r="S363" s="49">
        <v>1.55</v>
      </c>
      <c r="T363" s="49">
        <v>1.35</v>
      </c>
      <c r="U363" s="49">
        <v>1</v>
      </c>
    </row>
    <row r="364" spans="1:21" ht="23.25" customHeight="1" x14ac:dyDescent="0.3">
      <c r="A364" s="9">
        <v>340</v>
      </c>
      <c r="B364" s="50" t="s">
        <v>625</v>
      </c>
      <c r="C364" s="50" t="s">
        <v>752</v>
      </c>
      <c r="D364" s="50" t="s">
        <v>757</v>
      </c>
      <c r="E364" s="50" t="s">
        <v>758</v>
      </c>
      <c r="F364" s="48" t="s">
        <v>66</v>
      </c>
      <c r="G364" s="9">
        <v>14</v>
      </c>
      <c r="H364" s="12">
        <f>'Engineering Assumptions'!$C$37*'Engineering Assumptions'!$B$5*U364</f>
        <v>2865</v>
      </c>
      <c r="I364" s="12">
        <f>'Engineering Assumptions'!$B$8</f>
        <v>650</v>
      </c>
      <c r="J364" s="12">
        <f>'Engineering Assumptions'!$D$37*S364*U364</f>
        <v>356.5</v>
      </c>
      <c r="K364" s="12">
        <f>'Engineering Assumptions'!$E$37*T364*U364</f>
        <v>418.5</v>
      </c>
      <c r="L364" s="13">
        <f t="shared" si="48"/>
        <v>4290</v>
      </c>
      <c r="M364" s="12">
        <f>L364*'Engineering Assumptions'!$B$10</f>
        <v>643.5</v>
      </c>
      <c r="N364" s="13">
        <f t="shared" si="49"/>
        <v>4933.5</v>
      </c>
      <c r="O364" s="12">
        <f>N364*'Engineering Assumptions'!$B$11</f>
        <v>986.7</v>
      </c>
      <c r="P364" s="156">
        <f t="shared" si="50"/>
        <v>5920</v>
      </c>
      <c r="Q364" s="12">
        <f>'Fleet Pricing'!H364</f>
        <v>2670</v>
      </c>
      <c r="R364" s="45">
        <v>14</v>
      </c>
      <c r="S364" s="49">
        <v>1.55</v>
      </c>
      <c r="T364" s="49">
        <v>1.35</v>
      </c>
      <c r="U364" s="49">
        <v>1</v>
      </c>
    </row>
    <row r="365" spans="1:21" ht="15" customHeight="1" x14ac:dyDescent="0.3">
      <c r="A365" s="9">
        <v>341</v>
      </c>
      <c r="B365" s="50" t="s">
        <v>625</v>
      </c>
      <c r="C365" s="50" t="s">
        <v>759</v>
      </c>
      <c r="D365" s="50" t="s">
        <v>760</v>
      </c>
      <c r="E365" s="50" t="s">
        <v>761</v>
      </c>
      <c r="F365" s="48" t="s">
        <v>66</v>
      </c>
      <c r="G365" s="9">
        <v>14</v>
      </c>
      <c r="H365" s="12">
        <f>'Engineering Assumptions'!$C$37*'Engineering Assumptions'!$B$5*U365</f>
        <v>2865</v>
      </c>
      <c r="I365" s="12">
        <f>'Engineering Assumptions'!$B$8</f>
        <v>650</v>
      </c>
      <c r="J365" s="12">
        <f>'Engineering Assumptions'!$D$37*S365*U365</f>
        <v>356.5</v>
      </c>
      <c r="K365" s="12">
        <f>'Engineering Assumptions'!$E$37*T365*U365</f>
        <v>418.5</v>
      </c>
      <c r="L365" s="13">
        <f t="shared" si="48"/>
        <v>4290</v>
      </c>
      <c r="M365" s="12">
        <f>L365*'Engineering Assumptions'!$B$10</f>
        <v>643.5</v>
      </c>
      <c r="N365" s="13">
        <f t="shared" si="49"/>
        <v>4933.5</v>
      </c>
      <c r="O365" s="12">
        <f>N365*'Engineering Assumptions'!$B$11</f>
        <v>986.7</v>
      </c>
      <c r="P365" s="156">
        <f t="shared" si="50"/>
        <v>5920</v>
      </c>
      <c r="Q365" s="12">
        <f>'Fleet Pricing'!H365</f>
        <v>2670</v>
      </c>
      <c r="R365" s="45">
        <v>14</v>
      </c>
      <c r="S365" s="49">
        <v>1.55</v>
      </c>
      <c r="T365" s="49">
        <v>1.35</v>
      </c>
      <c r="U365" s="49">
        <v>1</v>
      </c>
    </row>
    <row r="366" spans="1:21" ht="15" customHeight="1" x14ac:dyDescent="0.3">
      <c r="A366" s="9">
        <v>342</v>
      </c>
      <c r="B366" s="50" t="s">
        <v>625</v>
      </c>
      <c r="C366" s="50" t="s">
        <v>759</v>
      </c>
      <c r="D366" s="50" t="s">
        <v>762</v>
      </c>
      <c r="E366" s="50" t="s">
        <v>763</v>
      </c>
      <c r="F366" s="48" t="s">
        <v>66</v>
      </c>
      <c r="G366" s="9">
        <v>14</v>
      </c>
      <c r="H366" s="12">
        <f>'Engineering Assumptions'!$C$37*'Engineering Assumptions'!$B$5*U366</f>
        <v>2865</v>
      </c>
      <c r="I366" s="12">
        <f>'Engineering Assumptions'!$B$8</f>
        <v>650</v>
      </c>
      <c r="J366" s="12">
        <f>'Engineering Assumptions'!$D$37*S366*U366</f>
        <v>356.5</v>
      </c>
      <c r="K366" s="12">
        <f>'Engineering Assumptions'!$E$37*T366*U366</f>
        <v>418.5</v>
      </c>
      <c r="L366" s="13">
        <f t="shared" ref="L366:L389" si="51">H366+I366+J366+K366</f>
        <v>4290</v>
      </c>
      <c r="M366" s="12">
        <f>L366*'Engineering Assumptions'!$B$10</f>
        <v>643.5</v>
      </c>
      <c r="N366" s="13">
        <f t="shared" ref="N366:N389" si="52">L366+M366</f>
        <v>4933.5</v>
      </c>
      <c r="O366" s="12">
        <f>N366*'Engineering Assumptions'!$B$11</f>
        <v>986.7</v>
      </c>
      <c r="P366" s="156">
        <f t="shared" ref="P366:P389" si="53">MROUND(N366+O366,10)</f>
        <v>5920</v>
      </c>
      <c r="Q366" s="12">
        <f>'Fleet Pricing'!H366</f>
        <v>2670</v>
      </c>
      <c r="R366" s="45">
        <v>14</v>
      </c>
      <c r="S366" s="49">
        <v>1.55</v>
      </c>
      <c r="T366" s="49">
        <v>1.35</v>
      </c>
      <c r="U366" s="49">
        <v>1</v>
      </c>
    </row>
    <row r="367" spans="1:21" ht="15" customHeight="1" x14ac:dyDescent="0.3">
      <c r="A367" s="9">
        <v>343</v>
      </c>
      <c r="B367" s="50" t="s">
        <v>625</v>
      </c>
      <c r="C367" s="50" t="s">
        <v>749</v>
      </c>
      <c r="D367" s="50" t="s">
        <v>764</v>
      </c>
      <c r="E367" s="50" t="s">
        <v>765</v>
      </c>
      <c r="F367" s="48" t="s">
        <v>66</v>
      </c>
      <c r="G367" s="9">
        <v>14</v>
      </c>
      <c r="H367" s="12">
        <f>'Engineering Assumptions'!$C$37*'Engineering Assumptions'!$B$5*U367</f>
        <v>2865</v>
      </c>
      <c r="I367" s="12">
        <f>'Engineering Assumptions'!$B$8</f>
        <v>650</v>
      </c>
      <c r="J367" s="12">
        <f>'Engineering Assumptions'!$D$37*S367*U367</f>
        <v>356.5</v>
      </c>
      <c r="K367" s="12">
        <f>'Engineering Assumptions'!$E$37*T367*U367</f>
        <v>418.5</v>
      </c>
      <c r="L367" s="13">
        <f t="shared" si="51"/>
        <v>4290</v>
      </c>
      <c r="M367" s="12">
        <f>L367*'Engineering Assumptions'!$B$10</f>
        <v>643.5</v>
      </c>
      <c r="N367" s="13">
        <f t="shared" si="52"/>
        <v>4933.5</v>
      </c>
      <c r="O367" s="12">
        <f>N367*'Engineering Assumptions'!$B$11</f>
        <v>986.7</v>
      </c>
      <c r="P367" s="156">
        <f t="shared" si="53"/>
        <v>5920</v>
      </c>
      <c r="Q367" s="12">
        <f>'Fleet Pricing'!H367</f>
        <v>2670</v>
      </c>
      <c r="R367" s="45">
        <v>14</v>
      </c>
      <c r="S367" s="49">
        <v>1.55</v>
      </c>
      <c r="T367" s="49">
        <v>1.35</v>
      </c>
      <c r="U367" s="49">
        <v>1</v>
      </c>
    </row>
    <row r="368" spans="1:21" ht="15" customHeight="1" x14ac:dyDescent="0.3">
      <c r="A368" s="9">
        <v>344</v>
      </c>
      <c r="B368" s="50" t="s">
        <v>625</v>
      </c>
      <c r="C368" s="50" t="s">
        <v>749</v>
      </c>
      <c r="D368" s="50" t="s">
        <v>766</v>
      </c>
      <c r="E368" s="50" t="s">
        <v>767</v>
      </c>
      <c r="F368" s="48" t="s">
        <v>66</v>
      </c>
      <c r="G368" s="9">
        <v>14</v>
      </c>
      <c r="H368" s="12">
        <f>'Engineering Assumptions'!$C$37*'Engineering Assumptions'!$B$5*U368</f>
        <v>2865</v>
      </c>
      <c r="I368" s="12">
        <f>'Engineering Assumptions'!$B$8</f>
        <v>650</v>
      </c>
      <c r="J368" s="12">
        <f>'Engineering Assumptions'!$D$37*S368*U368</f>
        <v>356.5</v>
      </c>
      <c r="K368" s="12">
        <f>'Engineering Assumptions'!$E$37*T368*U368</f>
        <v>418.5</v>
      </c>
      <c r="L368" s="13">
        <f t="shared" si="51"/>
        <v>4290</v>
      </c>
      <c r="M368" s="12">
        <f>L368*'Engineering Assumptions'!$B$10</f>
        <v>643.5</v>
      </c>
      <c r="N368" s="13">
        <f t="shared" si="52"/>
        <v>4933.5</v>
      </c>
      <c r="O368" s="12">
        <f>N368*'Engineering Assumptions'!$B$11</f>
        <v>986.7</v>
      </c>
      <c r="P368" s="156">
        <f t="shared" si="53"/>
        <v>5920</v>
      </c>
      <c r="Q368" s="12">
        <f>'Fleet Pricing'!H368</f>
        <v>2670</v>
      </c>
      <c r="R368" s="45">
        <v>14</v>
      </c>
      <c r="S368" s="49">
        <v>1.55</v>
      </c>
      <c r="T368" s="49">
        <v>1.35</v>
      </c>
      <c r="U368" s="49">
        <v>1</v>
      </c>
    </row>
    <row r="369" spans="1:21" ht="15" customHeight="1" x14ac:dyDescent="0.3">
      <c r="A369" s="9">
        <v>345</v>
      </c>
      <c r="B369" s="50" t="s">
        <v>625</v>
      </c>
      <c r="C369" s="50" t="s">
        <v>768</v>
      </c>
      <c r="D369" s="50" t="s">
        <v>769</v>
      </c>
      <c r="E369" s="50" t="s">
        <v>770</v>
      </c>
      <c r="F369" s="48" t="s">
        <v>66</v>
      </c>
      <c r="G369" s="9">
        <v>14</v>
      </c>
      <c r="H369" s="12">
        <f>'Engineering Assumptions'!$C$37*'Engineering Assumptions'!$B$5*U369</f>
        <v>2865</v>
      </c>
      <c r="I369" s="12">
        <f>'Engineering Assumptions'!$B$8</f>
        <v>650</v>
      </c>
      <c r="J369" s="12">
        <f>'Engineering Assumptions'!$D$37*S369*U369</f>
        <v>356.5</v>
      </c>
      <c r="K369" s="12">
        <f>'Engineering Assumptions'!$E$37*T369*U369</f>
        <v>418.5</v>
      </c>
      <c r="L369" s="13">
        <f t="shared" si="51"/>
        <v>4290</v>
      </c>
      <c r="M369" s="12">
        <f>L369*'Engineering Assumptions'!$B$10</f>
        <v>643.5</v>
      </c>
      <c r="N369" s="13">
        <f t="shared" si="52"/>
        <v>4933.5</v>
      </c>
      <c r="O369" s="12">
        <f>N369*'Engineering Assumptions'!$B$11</f>
        <v>986.7</v>
      </c>
      <c r="P369" s="156">
        <f t="shared" si="53"/>
        <v>5920</v>
      </c>
      <c r="Q369" s="12">
        <f>'Fleet Pricing'!H369</f>
        <v>2670</v>
      </c>
      <c r="R369" s="45">
        <v>14</v>
      </c>
      <c r="S369" s="49">
        <v>1.55</v>
      </c>
      <c r="T369" s="49">
        <v>1.35</v>
      </c>
      <c r="U369" s="49">
        <v>1</v>
      </c>
    </row>
    <row r="370" spans="1:21" ht="15" customHeight="1" x14ac:dyDescent="0.3">
      <c r="A370" s="9">
        <v>346</v>
      </c>
      <c r="B370" s="50" t="s">
        <v>625</v>
      </c>
      <c r="C370" s="50" t="s">
        <v>768</v>
      </c>
      <c r="D370" s="50" t="s">
        <v>771</v>
      </c>
      <c r="E370" s="50" t="s">
        <v>772</v>
      </c>
      <c r="F370" s="48" t="s">
        <v>66</v>
      </c>
      <c r="G370" s="9">
        <v>14</v>
      </c>
      <c r="H370" s="12">
        <f>'Engineering Assumptions'!$C$37*'Engineering Assumptions'!$B$5*U370</f>
        <v>2865</v>
      </c>
      <c r="I370" s="12">
        <f>'Engineering Assumptions'!$B$8</f>
        <v>650</v>
      </c>
      <c r="J370" s="12">
        <f>'Engineering Assumptions'!$D$37*S370*U370</f>
        <v>356.5</v>
      </c>
      <c r="K370" s="12">
        <f>'Engineering Assumptions'!$E$37*T370*U370</f>
        <v>418.5</v>
      </c>
      <c r="L370" s="13">
        <f t="shared" si="51"/>
        <v>4290</v>
      </c>
      <c r="M370" s="12">
        <f>L370*'Engineering Assumptions'!$B$10</f>
        <v>643.5</v>
      </c>
      <c r="N370" s="13">
        <f t="shared" si="52"/>
        <v>4933.5</v>
      </c>
      <c r="O370" s="12">
        <f>N370*'Engineering Assumptions'!$B$11</f>
        <v>986.7</v>
      </c>
      <c r="P370" s="156">
        <f t="shared" si="53"/>
        <v>5920</v>
      </c>
      <c r="Q370" s="12">
        <f>'Fleet Pricing'!H370</f>
        <v>2670</v>
      </c>
      <c r="R370" s="45">
        <v>14</v>
      </c>
      <c r="S370" s="49">
        <v>1.55</v>
      </c>
      <c r="T370" s="49">
        <v>1.35</v>
      </c>
      <c r="U370" s="49">
        <v>1</v>
      </c>
    </row>
    <row r="371" spans="1:21" ht="15" customHeight="1" x14ac:dyDescent="0.3">
      <c r="A371" s="9">
        <v>347</v>
      </c>
      <c r="B371" s="50" t="s">
        <v>625</v>
      </c>
      <c r="C371" s="50" t="s">
        <v>719</v>
      </c>
      <c r="D371" s="50" t="s">
        <v>773</v>
      </c>
      <c r="E371" s="50" t="s">
        <v>774</v>
      </c>
      <c r="F371" s="48" t="s">
        <v>66</v>
      </c>
      <c r="G371" s="9">
        <v>14</v>
      </c>
      <c r="H371" s="12">
        <f>'Engineering Assumptions'!$C$37*'Engineering Assumptions'!$B$5*U371</f>
        <v>2865</v>
      </c>
      <c r="I371" s="12">
        <f>'Engineering Assumptions'!$B$8</f>
        <v>650</v>
      </c>
      <c r="J371" s="12">
        <f>'Engineering Assumptions'!$D$37*S371*U371</f>
        <v>356.5</v>
      </c>
      <c r="K371" s="12">
        <f>'Engineering Assumptions'!$E$37*T371*U371</f>
        <v>418.5</v>
      </c>
      <c r="L371" s="13">
        <f t="shared" si="51"/>
        <v>4290</v>
      </c>
      <c r="M371" s="12">
        <f>L371*'Engineering Assumptions'!$B$10</f>
        <v>643.5</v>
      </c>
      <c r="N371" s="13">
        <f t="shared" si="52"/>
        <v>4933.5</v>
      </c>
      <c r="O371" s="12">
        <f>N371*'Engineering Assumptions'!$B$11</f>
        <v>986.7</v>
      </c>
      <c r="P371" s="156">
        <f t="shared" si="53"/>
        <v>5920</v>
      </c>
      <c r="Q371" s="12">
        <f>'Fleet Pricing'!H371</f>
        <v>2670</v>
      </c>
      <c r="R371" s="45">
        <v>14</v>
      </c>
      <c r="S371" s="49">
        <v>1.55</v>
      </c>
      <c r="T371" s="49">
        <v>1.35</v>
      </c>
      <c r="U371" s="49">
        <v>1</v>
      </c>
    </row>
    <row r="372" spans="1:21" ht="15" customHeight="1" x14ac:dyDescent="0.3">
      <c r="A372" s="9">
        <v>348</v>
      </c>
      <c r="B372" s="50" t="s">
        <v>625</v>
      </c>
      <c r="C372" s="50" t="s">
        <v>719</v>
      </c>
      <c r="D372" s="50" t="s">
        <v>775</v>
      </c>
      <c r="E372" s="50" t="s">
        <v>776</v>
      </c>
      <c r="F372" s="48" t="s">
        <v>66</v>
      </c>
      <c r="G372" s="9">
        <v>14</v>
      </c>
      <c r="H372" s="12">
        <f>'Engineering Assumptions'!$C$37*'Engineering Assumptions'!$B$5*U372</f>
        <v>2865</v>
      </c>
      <c r="I372" s="12">
        <f>'Engineering Assumptions'!$B$8</f>
        <v>650</v>
      </c>
      <c r="J372" s="12">
        <f>'Engineering Assumptions'!$D$37*S372*U372</f>
        <v>356.5</v>
      </c>
      <c r="K372" s="12">
        <f>'Engineering Assumptions'!$E$37*T372*U372</f>
        <v>418.5</v>
      </c>
      <c r="L372" s="13">
        <f t="shared" si="51"/>
        <v>4290</v>
      </c>
      <c r="M372" s="12">
        <f>L372*'Engineering Assumptions'!$B$10</f>
        <v>643.5</v>
      </c>
      <c r="N372" s="13">
        <f t="shared" si="52"/>
        <v>4933.5</v>
      </c>
      <c r="O372" s="12">
        <f>N372*'Engineering Assumptions'!$B$11</f>
        <v>986.7</v>
      </c>
      <c r="P372" s="156">
        <f t="shared" si="53"/>
        <v>5920</v>
      </c>
      <c r="Q372" s="12">
        <f>'Fleet Pricing'!H372</f>
        <v>2670</v>
      </c>
      <c r="R372" s="45">
        <v>14</v>
      </c>
      <c r="S372" s="49">
        <v>1.55</v>
      </c>
      <c r="T372" s="49">
        <v>1.35</v>
      </c>
      <c r="U372" s="49">
        <v>1</v>
      </c>
    </row>
    <row r="373" spans="1:21" ht="15" customHeight="1" x14ac:dyDescent="0.3">
      <c r="A373" s="9">
        <v>349</v>
      </c>
      <c r="B373" s="50" t="s">
        <v>625</v>
      </c>
      <c r="C373" s="50" t="s">
        <v>759</v>
      </c>
      <c r="D373" s="50" t="s">
        <v>777</v>
      </c>
      <c r="E373" s="50" t="s">
        <v>778</v>
      </c>
      <c r="F373" s="48" t="s">
        <v>458</v>
      </c>
      <c r="G373" s="9">
        <v>15</v>
      </c>
      <c r="H373" s="12">
        <f>'Engineering Assumptions'!$C$37*'Engineering Assumptions'!$B$5*U373</f>
        <v>2865</v>
      </c>
      <c r="I373" s="12">
        <f>'Engineering Assumptions'!$B$8</f>
        <v>650</v>
      </c>
      <c r="J373" s="12">
        <f>'Engineering Assumptions'!$D$37*S373*U373</f>
        <v>356.5</v>
      </c>
      <c r="K373" s="12">
        <f>'Engineering Assumptions'!$E$37*T373*U373</f>
        <v>418.5</v>
      </c>
      <c r="L373" s="13">
        <f t="shared" si="51"/>
        <v>4290</v>
      </c>
      <c r="M373" s="12">
        <f>L373*'Engineering Assumptions'!$B$10</f>
        <v>643.5</v>
      </c>
      <c r="N373" s="13">
        <f t="shared" si="52"/>
        <v>4933.5</v>
      </c>
      <c r="O373" s="12">
        <f>N373*'Engineering Assumptions'!$B$11</f>
        <v>986.7</v>
      </c>
      <c r="P373" s="156">
        <f t="shared" si="53"/>
        <v>5920</v>
      </c>
      <c r="Q373" s="12">
        <f>'Fleet Pricing'!H373</f>
        <v>2670</v>
      </c>
      <c r="R373" s="45">
        <v>15</v>
      </c>
      <c r="S373" s="49">
        <v>1.55</v>
      </c>
      <c r="T373" s="49">
        <v>1.35</v>
      </c>
      <c r="U373" s="49">
        <v>1</v>
      </c>
    </row>
    <row r="374" spans="1:21" ht="15" customHeight="1" x14ac:dyDescent="0.3">
      <c r="A374" s="9">
        <v>350</v>
      </c>
      <c r="B374" s="50" t="s">
        <v>625</v>
      </c>
      <c r="C374" s="50" t="s">
        <v>779</v>
      </c>
      <c r="D374" s="50" t="s">
        <v>780</v>
      </c>
      <c r="E374" s="50" t="s">
        <v>781</v>
      </c>
      <c r="F374" s="48" t="s">
        <v>458</v>
      </c>
      <c r="G374" s="9">
        <v>15</v>
      </c>
      <c r="H374" s="12">
        <f>'Engineering Assumptions'!$C$37*'Engineering Assumptions'!$B$5*U374</f>
        <v>2865</v>
      </c>
      <c r="I374" s="12">
        <f>'Engineering Assumptions'!$B$8</f>
        <v>650</v>
      </c>
      <c r="J374" s="12">
        <f>'Engineering Assumptions'!$D$37*S374*U374</f>
        <v>356.5</v>
      </c>
      <c r="K374" s="12">
        <f>'Engineering Assumptions'!$E$37*T374*U374</f>
        <v>418.5</v>
      </c>
      <c r="L374" s="13">
        <f t="shared" si="51"/>
        <v>4290</v>
      </c>
      <c r="M374" s="12">
        <f>L374*'Engineering Assumptions'!$B$10</f>
        <v>643.5</v>
      </c>
      <c r="N374" s="13">
        <f t="shared" si="52"/>
        <v>4933.5</v>
      </c>
      <c r="O374" s="12">
        <f>N374*'Engineering Assumptions'!$B$11</f>
        <v>986.7</v>
      </c>
      <c r="P374" s="156">
        <f t="shared" si="53"/>
        <v>5920</v>
      </c>
      <c r="Q374" s="12">
        <f>'Fleet Pricing'!H374</f>
        <v>2670</v>
      </c>
      <c r="R374" s="45">
        <v>15</v>
      </c>
      <c r="S374" s="49">
        <v>1.55</v>
      </c>
      <c r="T374" s="49">
        <v>1.35</v>
      </c>
      <c r="U374" s="49">
        <v>1</v>
      </c>
    </row>
    <row r="375" spans="1:21" ht="15" customHeight="1" x14ac:dyDescent="0.3">
      <c r="A375" s="9">
        <v>351</v>
      </c>
      <c r="B375" s="50" t="s">
        <v>625</v>
      </c>
      <c r="C375" s="50" t="s">
        <v>779</v>
      </c>
      <c r="D375" s="50" t="s">
        <v>782</v>
      </c>
      <c r="E375" s="50" t="s">
        <v>783</v>
      </c>
      <c r="F375" s="48" t="s">
        <v>458</v>
      </c>
      <c r="G375" s="9">
        <v>15</v>
      </c>
      <c r="H375" s="12">
        <f>'Engineering Assumptions'!$C$37*'Engineering Assumptions'!$B$5*U375</f>
        <v>2865</v>
      </c>
      <c r="I375" s="12">
        <f>'Engineering Assumptions'!$B$8</f>
        <v>650</v>
      </c>
      <c r="J375" s="12">
        <f>'Engineering Assumptions'!$D$37*S375*U375</f>
        <v>356.5</v>
      </c>
      <c r="K375" s="12">
        <f>'Engineering Assumptions'!$E$37*T375*U375</f>
        <v>418.5</v>
      </c>
      <c r="L375" s="13">
        <f t="shared" si="51"/>
        <v>4290</v>
      </c>
      <c r="M375" s="12">
        <f>L375*'Engineering Assumptions'!$B$10</f>
        <v>643.5</v>
      </c>
      <c r="N375" s="13">
        <f t="shared" si="52"/>
        <v>4933.5</v>
      </c>
      <c r="O375" s="12">
        <f>N375*'Engineering Assumptions'!$B$11</f>
        <v>986.7</v>
      </c>
      <c r="P375" s="156">
        <f t="shared" si="53"/>
        <v>5920</v>
      </c>
      <c r="Q375" s="12">
        <f>'Fleet Pricing'!H375</f>
        <v>2670</v>
      </c>
      <c r="R375" s="45">
        <v>15</v>
      </c>
      <c r="S375" s="49">
        <v>1.55</v>
      </c>
      <c r="T375" s="49">
        <v>1.35</v>
      </c>
      <c r="U375" s="49">
        <v>1</v>
      </c>
    </row>
    <row r="376" spans="1:21" ht="15" customHeight="1" x14ac:dyDescent="0.3">
      <c r="A376" s="9">
        <v>352</v>
      </c>
      <c r="B376" s="50" t="s">
        <v>625</v>
      </c>
      <c r="C376" s="50" t="s">
        <v>779</v>
      </c>
      <c r="D376" s="50" t="s">
        <v>784</v>
      </c>
      <c r="E376" s="50" t="s">
        <v>785</v>
      </c>
      <c r="F376" s="48" t="s">
        <v>458</v>
      </c>
      <c r="G376" s="9">
        <v>15</v>
      </c>
      <c r="H376" s="12">
        <f>'Engineering Assumptions'!$C$37*'Engineering Assumptions'!$B$5*U376</f>
        <v>2865</v>
      </c>
      <c r="I376" s="12">
        <f>'Engineering Assumptions'!$B$8</f>
        <v>650</v>
      </c>
      <c r="J376" s="12">
        <f>'Engineering Assumptions'!$D$37*S376*U376</f>
        <v>356.5</v>
      </c>
      <c r="K376" s="12">
        <f>'Engineering Assumptions'!$E$37*T376*U376</f>
        <v>418.5</v>
      </c>
      <c r="L376" s="13">
        <f t="shared" si="51"/>
        <v>4290</v>
      </c>
      <c r="M376" s="12">
        <f>L376*'Engineering Assumptions'!$B$10</f>
        <v>643.5</v>
      </c>
      <c r="N376" s="13">
        <f t="shared" si="52"/>
        <v>4933.5</v>
      </c>
      <c r="O376" s="12">
        <f>N376*'Engineering Assumptions'!$B$11</f>
        <v>986.7</v>
      </c>
      <c r="P376" s="156">
        <f t="shared" si="53"/>
        <v>5920</v>
      </c>
      <c r="Q376" s="12">
        <f>'Fleet Pricing'!H376</f>
        <v>2670</v>
      </c>
      <c r="R376" s="45">
        <v>15</v>
      </c>
      <c r="S376" s="49">
        <v>1.55</v>
      </c>
      <c r="T376" s="49">
        <v>1.35</v>
      </c>
      <c r="U376" s="49">
        <v>1</v>
      </c>
    </row>
    <row r="377" spans="1:21" ht="15" customHeight="1" x14ac:dyDescent="0.3">
      <c r="A377" s="9">
        <v>353</v>
      </c>
      <c r="B377" s="50" t="s">
        <v>625</v>
      </c>
      <c r="C377" s="50" t="s">
        <v>779</v>
      </c>
      <c r="D377" s="50" t="s">
        <v>786</v>
      </c>
      <c r="E377" s="50" t="s">
        <v>787</v>
      </c>
      <c r="F377" s="48" t="s">
        <v>458</v>
      </c>
      <c r="G377" s="9">
        <v>15</v>
      </c>
      <c r="H377" s="12">
        <f>'Engineering Assumptions'!$C$37*'Engineering Assumptions'!$B$5*U377</f>
        <v>2865</v>
      </c>
      <c r="I377" s="12">
        <f>'Engineering Assumptions'!$B$8</f>
        <v>650</v>
      </c>
      <c r="J377" s="12">
        <f>'Engineering Assumptions'!$D$37*S377*U377</f>
        <v>356.5</v>
      </c>
      <c r="K377" s="12">
        <f>'Engineering Assumptions'!$E$37*T377*U377</f>
        <v>418.5</v>
      </c>
      <c r="L377" s="13">
        <f t="shared" si="51"/>
        <v>4290</v>
      </c>
      <c r="M377" s="12">
        <f>L377*'Engineering Assumptions'!$B$10</f>
        <v>643.5</v>
      </c>
      <c r="N377" s="13">
        <f t="shared" si="52"/>
        <v>4933.5</v>
      </c>
      <c r="O377" s="12">
        <f>N377*'Engineering Assumptions'!$B$11</f>
        <v>986.7</v>
      </c>
      <c r="P377" s="156">
        <f t="shared" si="53"/>
        <v>5920</v>
      </c>
      <c r="Q377" s="12">
        <f>'Fleet Pricing'!H377</f>
        <v>2670</v>
      </c>
      <c r="R377" s="45">
        <v>15</v>
      </c>
      <c r="S377" s="49">
        <v>1.55</v>
      </c>
      <c r="T377" s="49">
        <v>1.35</v>
      </c>
      <c r="U377" s="49">
        <v>1</v>
      </c>
    </row>
    <row r="378" spans="1:21" ht="15" customHeight="1" x14ac:dyDescent="0.3">
      <c r="A378" s="9">
        <v>354</v>
      </c>
      <c r="B378" s="50" t="s">
        <v>625</v>
      </c>
      <c r="C378" s="50" t="s">
        <v>719</v>
      </c>
      <c r="D378" s="50" t="s">
        <v>788</v>
      </c>
      <c r="E378" s="50" t="s">
        <v>789</v>
      </c>
      <c r="F378" s="48" t="s">
        <v>458</v>
      </c>
      <c r="G378" s="9">
        <v>15</v>
      </c>
      <c r="H378" s="12">
        <f>'Engineering Assumptions'!$C$37*'Engineering Assumptions'!$B$5*U378</f>
        <v>2865</v>
      </c>
      <c r="I378" s="12">
        <f>'Engineering Assumptions'!$B$8</f>
        <v>650</v>
      </c>
      <c r="J378" s="12">
        <f>'Engineering Assumptions'!$D$37*S378*U378</f>
        <v>356.5</v>
      </c>
      <c r="K378" s="12">
        <f>'Engineering Assumptions'!$E$37*T378*U378</f>
        <v>418.5</v>
      </c>
      <c r="L378" s="13">
        <f t="shared" si="51"/>
        <v>4290</v>
      </c>
      <c r="M378" s="12">
        <f>L378*'Engineering Assumptions'!$B$10</f>
        <v>643.5</v>
      </c>
      <c r="N378" s="13">
        <f t="shared" si="52"/>
        <v>4933.5</v>
      </c>
      <c r="O378" s="12">
        <f>N378*'Engineering Assumptions'!$B$11</f>
        <v>986.7</v>
      </c>
      <c r="P378" s="156">
        <f t="shared" si="53"/>
        <v>5920</v>
      </c>
      <c r="Q378" s="12">
        <f>'Fleet Pricing'!H378</f>
        <v>2670</v>
      </c>
      <c r="R378" s="45">
        <v>15</v>
      </c>
      <c r="S378" s="49">
        <v>1.55</v>
      </c>
      <c r="T378" s="49">
        <v>1.35</v>
      </c>
      <c r="U378" s="49">
        <v>1</v>
      </c>
    </row>
    <row r="379" spans="1:21" ht="15" customHeight="1" x14ac:dyDescent="0.3">
      <c r="A379" s="9">
        <v>355</v>
      </c>
      <c r="B379" s="50" t="s">
        <v>625</v>
      </c>
      <c r="C379" s="50" t="s">
        <v>719</v>
      </c>
      <c r="D379" s="50"/>
      <c r="E379" s="50"/>
      <c r="F379" s="48" t="s">
        <v>458</v>
      </c>
      <c r="G379" s="9">
        <v>15</v>
      </c>
      <c r="H379" s="12">
        <f>'Engineering Assumptions'!$C$37*'Engineering Assumptions'!$B$5*U379</f>
        <v>2865</v>
      </c>
      <c r="I379" s="12">
        <f>'Engineering Assumptions'!$B$8</f>
        <v>650</v>
      </c>
      <c r="J379" s="12">
        <f>'Engineering Assumptions'!$D$37*S379*U379</f>
        <v>356.5</v>
      </c>
      <c r="K379" s="12">
        <f>'Engineering Assumptions'!$E$37*T379*U379</f>
        <v>418.5</v>
      </c>
      <c r="L379" s="13">
        <f t="shared" si="51"/>
        <v>4290</v>
      </c>
      <c r="M379" s="12">
        <f>L379*'Engineering Assumptions'!$B$10</f>
        <v>643.5</v>
      </c>
      <c r="N379" s="13">
        <f t="shared" si="52"/>
        <v>4933.5</v>
      </c>
      <c r="O379" s="12">
        <f>N379*'Engineering Assumptions'!$B$11</f>
        <v>986.7</v>
      </c>
      <c r="P379" s="156">
        <f t="shared" si="53"/>
        <v>5920</v>
      </c>
      <c r="Q379" s="12">
        <f>'Fleet Pricing'!H379</f>
        <v>2670</v>
      </c>
      <c r="R379" s="45">
        <v>15</v>
      </c>
      <c r="S379" s="49">
        <v>1.55</v>
      </c>
      <c r="T379" s="49">
        <v>1.35</v>
      </c>
      <c r="U379" s="49">
        <v>1</v>
      </c>
    </row>
    <row r="380" spans="1:21" ht="15" customHeight="1" x14ac:dyDescent="0.3">
      <c r="A380" s="9">
        <v>356</v>
      </c>
      <c r="B380" s="50" t="s">
        <v>625</v>
      </c>
      <c r="C380" s="50" t="s">
        <v>719</v>
      </c>
      <c r="D380" s="50"/>
      <c r="E380" s="50"/>
      <c r="F380" s="48" t="s">
        <v>458</v>
      </c>
      <c r="G380" s="9">
        <v>15</v>
      </c>
      <c r="H380" s="12">
        <f>'Engineering Assumptions'!$C$37*'Engineering Assumptions'!$B$5*U380</f>
        <v>2865</v>
      </c>
      <c r="I380" s="12">
        <f>'Engineering Assumptions'!$B$8</f>
        <v>650</v>
      </c>
      <c r="J380" s="12">
        <f>'Engineering Assumptions'!$D$37*S380*U380</f>
        <v>356.5</v>
      </c>
      <c r="K380" s="12">
        <f>'Engineering Assumptions'!$E$37*T380*U380</f>
        <v>418.5</v>
      </c>
      <c r="L380" s="13">
        <f t="shared" si="51"/>
        <v>4290</v>
      </c>
      <c r="M380" s="12">
        <f>L380*'Engineering Assumptions'!$B$10</f>
        <v>643.5</v>
      </c>
      <c r="N380" s="13">
        <f t="shared" si="52"/>
        <v>4933.5</v>
      </c>
      <c r="O380" s="12">
        <f>N380*'Engineering Assumptions'!$B$11</f>
        <v>986.7</v>
      </c>
      <c r="P380" s="156">
        <f t="shared" si="53"/>
        <v>5920</v>
      </c>
      <c r="Q380" s="12">
        <f>'Fleet Pricing'!H380</f>
        <v>2670</v>
      </c>
      <c r="R380" s="45">
        <v>15</v>
      </c>
      <c r="S380" s="49">
        <v>1.55</v>
      </c>
      <c r="T380" s="49">
        <v>1.35</v>
      </c>
      <c r="U380" s="49">
        <v>1</v>
      </c>
    </row>
    <row r="381" spans="1:21" ht="15" customHeight="1" x14ac:dyDescent="0.3">
      <c r="A381" s="9">
        <v>357</v>
      </c>
      <c r="B381" s="50" t="s">
        <v>625</v>
      </c>
      <c r="C381" s="50" t="s">
        <v>719</v>
      </c>
      <c r="D381" s="50"/>
      <c r="E381" s="50"/>
      <c r="F381" s="48" t="s">
        <v>458</v>
      </c>
      <c r="G381" s="9">
        <v>15</v>
      </c>
      <c r="H381" s="12">
        <f>'Engineering Assumptions'!$C$37*'Engineering Assumptions'!$B$5*U381</f>
        <v>2865</v>
      </c>
      <c r="I381" s="12">
        <f>'Engineering Assumptions'!$B$8</f>
        <v>650</v>
      </c>
      <c r="J381" s="12">
        <f>'Engineering Assumptions'!$D$37*S381*U381</f>
        <v>356.5</v>
      </c>
      <c r="K381" s="12">
        <f>'Engineering Assumptions'!$E$37*T381*U381</f>
        <v>418.5</v>
      </c>
      <c r="L381" s="13">
        <f t="shared" si="51"/>
        <v>4290</v>
      </c>
      <c r="M381" s="12">
        <f>L381*'Engineering Assumptions'!$B$10</f>
        <v>643.5</v>
      </c>
      <c r="N381" s="13">
        <f t="shared" si="52"/>
        <v>4933.5</v>
      </c>
      <c r="O381" s="12">
        <f>N381*'Engineering Assumptions'!$B$11</f>
        <v>986.7</v>
      </c>
      <c r="P381" s="156">
        <f t="shared" si="53"/>
        <v>5920</v>
      </c>
      <c r="Q381" s="12">
        <f>'Fleet Pricing'!H381</f>
        <v>2670</v>
      </c>
      <c r="R381" s="45">
        <v>15</v>
      </c>
      <c r="S381" s="49">
        <v>1.55</v>
      </c>
      <c r="T381" s="49">
        <v>1.35</v>
      </c>
      <c r="U381" s="49">
        <v>1</v>
      </c>
    </row>
    <row r="382" spans="1:21" ht="15" customHeight="1" x14ac:dyDescent="0.3">
      <c r="A382" s="9">
        <v>358</v>
      </c>
      <c r="B382" s="50" t="s">
        <v>625</v>
      </c>
      <c r="C382" s="50" t="s">
        <v>790</v>
      </c>
      <c r="D382" s="50" t="s">
        <v>791</v>
      </c>
      <c r="E382" s="50" t="s">
        <v>792</v>
      </c>
      <c r="F382" s="48" t="s">
        <v>107</v>
      </c>
      <c r="G382" s="9">
        <v>16</v>
      </c>
      <c r="H382" s="12">
        <f>'Engineering Assumptions'!$C$37*'Engineering Assumptions'!$B$5*U382</f>
        <v>2865</v>
      </c>
      <c r="I382" s="12">
        <f>'Engineering Assumptions'!$B$8</f>
        <v>650</v>
      </c>
      <c r="J382" s="12">
        <f>'Engineering Assumptions'!$D$37*S382*U382</f>
        <v>448.5</v>
      </c>
      <c r="K382" s="12">
        <f>'Engineering Assumptions'!$E$37*T382*U382</f>
        <v>651</v>
      </c>
      <c r="L382" s="13">
        <f t="shared" si="51"/>
        <v>4614.5</v>
      </c>
      <c r="M382" s="12">
        <f>L382*'Engineering Assumptions'!$B$10</f>
        <v>692.17499999999995</v>
      </c>
      <c r="N382" s="13">
        <f t="shared" si="52"/>
        <v>5306.6750000000002</v>
      </c>
      <c r="O382" s="12">
        <f>N382*'Engineering Assumptions'!$B$11</f>
        <v>1061.335</v>
      </c>
      <c r="P382" s="156">
        <f t="shared" si="53"/>
        <v>6370</v>
      </c>
      <c r="Q382" s="12">
        <f>'Fleet Pricing'!H382</f>
        <v>2670</v>
      </c>
      <c r="R382" s="45">
        <v>16</v>
      </c>
      <c r="S382" s="49">
        <v>1.95</v>
      </c>
      <c r="T382" s="49">
        <v>2.1</v>
      </c>
      <c r="U382" s="49">
        <v>1</v>
      </c>
    </row>
    <row r="383" spans="1:21" ht="15" customHeight="1" x14ac:dyDescent="0.3">
      <c r="A383" s="9">
        <v>359</v>
      </c>
      <c r="B383" s="50" t="s">
        <v>625</v>
      </c>
      <c r="C383" s="50" t="s">
        <v>759</v>
      </c>
      <c r="D383" s="50" t="s">
        <v>793</v>
      </c>
      <c r="E383" s="50" t="s">
        <v>794</v>
      </c>
      <c r="F383" s="48" t="s">
        <v>107</v>
      </c>
      <c r="G383" s="9">
        <v>16</v>
      </c>
      <c r="H383" s="12">
        <f>'Engineering Assumptions'!$C$37*'Engineering Assumptions'!$B$5*U383</f>
        <v>2865</v>
      </c>
      <c r="I383" s="12">
        <f>'Engineering Assumptions'!$B$8</f>
        <v>650</v>
      </c>
      <c r="J383" s="12">
        <f>'Engineering Assumptions'!$D$37*S383*U383</f>
        <v>448.5</v>
      </c>
      <c r="K383" s="12">
        <f>'Engineering Assumptions'!$E$37*T383*U383</f>
        <v>651</v>
      </c>
      <c r="L383" s="13">
        <f t="shared" si="51"/>
        <v>4614.5</v>
      </c>
      <c r="M383" s="12">
        <f>L383*'Engineering Assumptions'!$B$10</f>
        <v>692.17499999999995</v>
      </c>
      <c r="N383" s="13">
        <f t="shared" si="52"/>
        <v>5306.6750000000002</v>
      </c>
      <c r="O383" s="12">
        <f>N383*'Engineering Assumptions'!$B$11</f>
        <v>1061.335</v>
      </c>
      <c r="P383" s="156">
        <f t="shared" si="53"/>
        <v>6370</v>
      </c>
      <c r="Q383" s="12">
        <f>'Fleet Pricing'!H383</f>
        <v>2670</v>
      </c>
      <c r="R383" s="45">
        <v>16</v>
      </c>
      <c r="S383" s="49">
        <v>1.95</v>
      </c>
      <c r="T383" s="49">
        <v>2.1</v>
      </c>
      <c r="U383" s="49">
        <v>1</v>
      </c>
    </row>
    <row r="384" spans="1:21" ht="15" customHeight="1" x14ac:dyDescent="0.3">
      <c r="A384" s="9">
        <v>360</v>
      </c>
      <c r="B384" s="50" t="s">
        <v>625</v>
      </c>
      <c r="C384" s="50" t="s">
        <v>795</v>
      </c>
      <c r="D384" s="50" t="s">
        <v>796</v>
      </c>
      <c r="E384" s="50" t="s">
        <v>797</v>
      </c>
      <c r="F384" s="48" t="s">
        <v>518</v>
      </c>
      <c r="G384" s="9">
        <v>19</v>
      </c>
      <c r="H384" s="12">
        <f>'Engineering Assumptions'!$C$37*'Engineering Assumptions'!$B$5*U384</f>
        <v>2865</v>
      </c>
      <c r="I384" s="12">
        <f>'Engineering Assumptions'!$B$8</f>
        <v>650</v>
      </c>
      <c r="J384" s="12">
        <f>'Engineering Assumptions'!$D$37*S384*U384</f>
        <v>448.5</v>
      </c>
      <c r="K384" s="12">
        <f>'Engineering Assumptions'!$E$37*T384*U384</f>
        <v>651</v>
      </c>
      <c r="L384" s="13">
        <f t="shared" si="51"/>
        <v>4614.5</v>
      </c>
      <c r="M384" s="12">
        <f>L384*'Engineering Assumptions'!$B$10</f>
        <v>692.17499999999995</v>
      </c>
      <c r="N384" s="13">
        <f t="shared" si="52"/>
        <v>5306.6750000000002</v>
      </c>
      <c r="O384" s="12">
        <f>N384*'Engineering Assumptions'!$B$11</f>
        <v>1061.335</v>
      </c>
      <c r="P384" s="156">
        <f t="shared" si="53"/>
        <v>6370</v>
      </c>
      <c r="Q384" s="12">
        <f>'Fleet Pricing'!H384</f>
        <v>2340</v>
      </c>
      <c r="R384" s="45">
        <v>19</v>
      </c>
      <c r="S384" s="49">
        <v>1.95</v>
      </c>
      <c r="T384" s="49">
        <v>2.1</v>
      </c>
      <c r="U384" s="49">
        <v>1</v>
      </c>
    </row>
    <row r="385" spans="1:21" ht="15" customHeight="1" x14ac:dyDescent="0.3">
      <c r="A385" s="9">
        <v>361</v>
      </c>
      <c r="B385" s="50" t="s">
        <v>625</v>
      </c>
      <c r="C385" s="50" t="s">
        <v>798</v>
      </c>
      <c r="D385" s="50" t="s">
        <v>799</v>
      </c>
      <c r="E385" s="50" t="s">
        <v>800</v>
      </c>
      <c r="F385" s="48" t="s">
        <v>73</v>
      </c>
      <c r="G385" s="9">
        <v>20</v>
      </c>
      <c r="H385" s="12">
        <f>'Engineering Assumptions'!$C$37*'Engineering Assumptions'!$B$5*U385</f>
        <v>2865</v>
      </c>
      <c r="I385" s="12">
        <f>'Engineering Assumptions'!$B$8</f>
        <v>650</v>
      </c>
      <c r="J385" s="12">
        <f>'Engineering Assumptions'!$D$37*S385*U385</f>
        <v>448.5</v>
      </c>
      <c r="K385" s="12">
        <f>'Engineering Assumptions'!$E$37*T385*U385</f>
        <v>651</v>
      </c>
      <c r="L385" s="13">
        <f t="shared" si="51"/>
        <v>4614.5</v>
      </c>
      <c r="M385" s="12">
        <f>L385*'Engineering Assumptions'!$B$10</f>
        <v>692.17499999999995</v>
      </c>
      <c r="N385" s="13">
        <f t="shared" si="52"/>
        <v>5306.6750000000002</v>
      </c>
      <c r="O385" s="12">
        <f>N385*'Engineering Assumptions'!$B$11</f>
        <v>1061.335</v>
      </c>
      <c r="P385" s="156">
        <f t="shared" si="53"/>
        <v>6370</v>
      </c>
      <c r="Q385" s="12">
        <f>'Fleet Pricing'!H385</f>
        <v>2340</v>
      </c>
      <c r="R385" s="45">
        <v>20</v>
      </c>
      <c r="S385" s="49">
        <v>1.95</v>
      </c>
      <c r="T385" s="49">
        <v>2.1</v>
      </c>
      <c r="U385" s="49">
        <v>1</v>
      </c>
    </row>
    <row r="386" spans="1:21" ht="15" customHeight="1" x14ac:dyDescent="0.3">
      <c r="A386" s="9">
        <v>362</v>
      </c>
      <c r="B386" s="50" t="s">
        <v>625</v>
      </c>
      <c r="C386" s="50" t="s">
        <v>801</v>
      </c>
      <c r="D386" s="50"/>
      <c r="E386" s="50"/>
      <c r="F386" s="48" t="s">
        <v>440</v>
      </c>
      <c r="G386" s="9">
        <v>21</v>
      </c>
      <c r="H386" s="12">
        <f>'Engineering Assumptions'!$C$37*'Engineering Assumptions'!$B$5*U386</f>
        <v>2865</v>
      </c>
      <c r="I386" s="12">
        <f>'Engineering Assumptions'!$B$8</f>
        <v>650</v>
      </c>
      <c r="J386" s="12">
        <f>'Engineering Assumptions'!$D$37*S386*U386</f>
        <v>552</v>
      </c>
      <c r="K386" s="12">
        <f>'Engineering Assumptions'!$E$37*T386*U386</f>
        <v>930</v>
      </c>
      <c r="L386" s="13">
        <f t="shared" si="51"/>
        <v>4997</v>
      </c>
      <c r="M386" s="12">
        <f>L386*'Engineering Assumptions'!$B$10</f>
        <v>749.55</v>
      </c>
      <c r="N386" s="13">
        <f t="shared" si="52"/>
        <v>5746.55</v>
      </c>
      <c r="O386" s="12">
        <f>N386*'Engineering Assumptions'!$B$11</f>
        <v>1149.3100000000002</v>
      </c>
      <c r="P386" s="156">
        <f t="shared" si="53"/>
        <v>6900</v>
      </c>
      <c r="Q386" s="12">
        <f>'Fleet Pricing'!H386</f>
        <v>2340</v>
      </c>
      <c r="R386" s="45">
        <v>21</v>
      </c>
      <c r="S386" s="49">
        <v>2.4</v>
      </c>
      <c r="T386" s="49">
        <v>3</v>
      </c>
      <c r="U386" s="49">
        <v>1</v>
      </c>
    </row>
    <row r="387" spans="1:21" ht="15" customHeight="1" x14ac:dyDescent="0.3">
      <c r="A387" s="9">
        <v>363</v>
      </c>
      <c r="B387" s="50" t="s">
        <v>625</v>
      </c>
      <c r="C387" s="50" t="s">
        <v>798</v>
      </c>
      <c r="D387" s="50" t="s">
        <v>802</v>
      </c>
      <c r="E387" s="50" t="s">
        <v>803</v>
      </c>
      <c r="F387" s="48" t="s">
        <v>139</v>
      </c>
      <c r="G387" s="9">
        <v>23</v>
      </c>
      <c r="H387" s="12">
        <f>'Engineering Assumptions'!$C$37*'Engineering Assumptions'!$B$5*U387</f>
        <v>2865</v>
      </c>
      <c r="I387" s="12">
        <f>'Engineering Assumptions'!$B$8</f>
        <v>650</v>
      </c>
      <c r="J387" s="12">
        <f>'Engineering Assumptions'!$D$37*S387*U387</f>
        <v>552</v>
      </c>
      <c r="K387" s="12">
        <f>'Engineering Assumptions'!$E$37*T387*U387</f>
        <v>930</v>
      </c>
      <c r="L387" s="13">
        <f t="shared" si="51"/>
        <v>4997</v>
      </c>
      <c r="M387" s="12">
        <f>L387*'Engineering Assumptions'!$B$10</f>
        <v>749.55</v>
      </c>
      <c r="N387" s="13">
        <f t="shared" si="52"/>
        <v>5746.55</v>
      </c>
      <c r="O387" s="12">
        <f>N387*'Engineering Assumptions'!$B$11</f>
        <v>1149.3100000000002</v>
      </c>
      <c r="P387" s="156">
        <f t="shared" si="53"/>
        <v>6900</v>
      </c>
      <c r="Q387" s="12">
        <f>'Fleet Pricing'!H387</f>
        <v>2110</v>
      </c>
      <c r="R387" s="45">
        <v>23</v>
      </c>
      <c r="S387" s="49">
        <v>2.4</v>
      </c>
      <c r="T387" s="49">
        <v>3</v>
      </c>
      <c r="U387" s="49">
        <v>1</v>
      </c>
    </row>
    <row r="388" spans="1:21" ht="15" customHeight="1" x14ac:dyDescent="0.3">
      <c r="A388" s="9">
        <v>364</v>
      </c>
      <c r="B388" s="50" t="s">
        <v>625</v>
      </c>
      <c r="C388" s="50" t="s">
        <v>798</v>
      </c>
      <c r="D388" s="50" t="s">
        <v>804</v>
      </c>
      <c r="E388" s="50" t="s">
        <v>805</v>
      </c>
      <c r="F388" s="48" t="s">
        <v>139</v>
      </c>
      <c r="G388" s="9">
        <v>23</v>
      </c>
      <c r="H388" s="12">
        <f>'Engineering Assumptions'!$C$37*'Engineering Assumptions'!$B$5*U388</f>
        <v>2865</v>
      </c>
      <c r="I388" s="12">
        <f>'Engineering Assumptions'!$B$8</f>
        <v>650</v>
      </c>
      <c r="J388" s="12">
        <f>'Engineering Assumptions'!$D$37*S388*U388</f>
        <v>552</v>
      </c>
      <c r="K388" s="12">
        <f>'Engineering Assumptions'!$E$37*T388*U388</f>
        <v>930</v>
      </c>
      <c r="L388" s="13">
        <f t="shared" si="51"/>
        <v>4997</v>
      </c>
      <c r="M388" s="12">
        <f>L388*'Engineering Assumptions'!$B$10</f>
        <v>749.55</v>
      </c>
      <c r="N388" s="13">
        <f t="shared" si="52"/>
        <v>5746.55</v>
      </c>
      <c r="O388" s="12">
        <f>N388*'Engineering Assumptions'!$B$11</f>
        <v>1149.3100000000002</v>
      </c>
      <c r="P388" s="156">
        <f t="shared" si="53"/>
        <v>6900</v>
      </c>
      <c r="Q388" s="12">
        <f>'Fleet Pricing'!H388</f>
        <v>2110</v>
      </c>
      <c r="R388" s="45">
        <v>23</v>
      </c>
      <c r="S388" s="49">
        <v>2.4</v>
      </c>
      <c r="T388" s="49">
        <v>3</v>
      </c>
      <c r="U388" s="49">
        <v>1</v>
      </c>
    </row>
    <row r="389" spans="1:21" ht="23.25" customHeight="1" x14ac:dyDescent="0.3">
      <c r="A389" s="9">
        <v>365</v>
      </c>
      <c r="B389" s="50" t="s">
        <v>625</v>
      </c>
      <c r="C389" s="50" t="s">
        <v>752</v>
      </c>
      <c r="D389" s="50" t="s">
        <v>806</v>
      </c>
      <c r="E389" s="50" t="s">
        <v>807</v>
      </c>
      <c r="F389" s="48" t="s">
        <v>139</v>
      </c>
      <c r="G389" s="9">
        <v>23</v>
      </c>
      <c r="H389" s="12">
        <f>'Engineering Assumptions'!$C$37*'Engineering Assumptions'!$B$5*U389</f>
        <v>2865</v>
      </c>
      <c r="I389" s="12">
        <f>'Engineering Assumptions'!$B$8</f>
        <v>650</v>
      </c>
      <c r="J389" s="12">
        <f>'Engineering Assumptions'!$D$37*S389*U389</f>
        <v>552</v>
      </c>
      <c r="K389" s="12">
        <f>'Engineering Assumptions'!$E$37*T389*U389</f>
        <v>930</v>
      </c>
      <c r="L389" s="13">
        <f t="shared" si="51"/>
        <v>4997</v>
      </c>
      <c r="M389" s="12">
        <f>L389*'Engineering Assumptions'!$B$10</f>
        <v>749.55</v>
      </c>
      <c r="N389" s="13">
        <f t="shared" si="52"/>
        <v>5746.55</v>
      </c>
      <c r="O389" s="12">
        <f>N389*'Engineering Assumptions'!$B$11</f>
        <v>1149.3100000000002</v>
      </c>
      <c r="P389" s="156">
        <f t="shared" si="53"/>
        <v>6900</v>
      </c>
      <c r="Q389" s="12">
        <f>'Fleet Pricing'!H389</f>
        <v>2110</v>
      </c>
      <c r="R389" s="45">
        <v>23</v>
      </c>
      <c r="S389" s="49">
        <v>2.4</v>
      </c>
      <c r="T389" s="49">
        <v>3</v>
      </c>
      <c r="U389" s="49">
        <v>1</v>
      </c>
    </row>
    <row r="390" spans="1:21" ht="15" customHeight="1" x14ac:dyDescent="0.3">
      <c r="A390" s="199" t="s">
        <v>808</v>
      </c>
      <c r="B390" s="200"/>
      <c r="C390" s="200"/>
      <c r="D390" s="200"/>
      <c r="E390" s="200"/>
      <c r="F390" s="200"/>
      <c r="G390" s="200"/>
      <c r="H390" s="200"/>
      <c r="I390" s="200"/>
      <c r="J390" s="200"/>
      <c r="K390" s="200"/>
      <c r="L390" s="200"/>
      <c r="M390" s="200"/>
      <c r="N390" s="200"/>
      <c r="O390" s="200"/>
      <c r="P390" s="200"/>
      <c r="Q390" s="200"/>
    </row>
    <row r="391" spans="1:21" ht="15" customHeight="1" x14ac:dyDescent="0.3">
      <c r="A391" s="9">
        <v>366</v>
      </c>
      <c r="B391" s="50" t="s">
        <v>809</v>
      </c>
      <c r="C391" s="50" t="s">
        <v>810</v>
      </c>
      <c r="D391" s="50"/>
      <c r="E391" s="50"/>
      <c r="F391" s="48" t="s">
        <v>116</v>
      </c>
      <c r="G391" s="9">
        <v>9</v>
      </c>
      <c r="H391" s="12">
        <f>'Engineering Assumptions'!$C$38*'Engineering Assumptions'!$B$5*U391</f>
        <v>0</v>
      </c>
      <c r="I391" s="12">
        <v>0</v>
      </c>
      <c r="J391" s="12">
        <f>'Engineering Assumptions'!$D$38*S391*U391</f>
        <v>62.5</v>
      </c>
      <c r="K391" s="12">
        <f>'Engineering Assumptions'!$E$38*T391*U391</f>
        <v>52.5</v>
      </c>
      <c r="L391" s="13">
        <f t="shared" ref="L391:L396" si="54">H391+I391+J391+K391</f>
        <v>115</v>
      </c>
      <c r="M391" s="12">
        <f>L391*'Engineering Assumptions'!$B$10</f>
        <v>17.25</v>
      </c>
      <c r="N391" s="13">
        <f t="shared" ref="N391:N396" si="55">L391+M391</f>
        <v>132.25</v>
      </c>
      <c r="O391" s="12">
        <f>N391*'Engineering Assumptions'!$B$11</f>
        <v>26.450000000000003</v>
      </c>
      <c r="P391" s="156">
        <f t="shared" ref="P391:P396" si="56">MROUND(N391+O391,10)</f>
        <v>160</v>
      </c>
      <c r="Q391" s="12">
        <f>'Fleet Pricing'!H391</f>
        <v>1200</v>
      </c>
      <c r="R391" s="45">
        <v>9</v>
      </c>
      <c r="S391" s="49">
        <v>1.25</v>
      </c>
      <c r="T391" s="49">
        <v>0.75</v>
      </c>
      <c r="U391" s="49">
        <v>1</v>
      </c>
    </row>
    <row r="392" spans="1:21" ht="15" customHeight="1" x14ac:dyDescent="0.3">
      <c r="A392" s="9">
        <v>367</v>
      </c>
      <c r="B392" s="50" t="s">
        <v>809</v>
      </c>
      <c r="C392" s="50" t="s">
        <v>811</v>
      </c>
      <c r="D392" s="50"/>
      <c r="E392" s="50"/>
      <c r="F392" s="48" t="s">
        <v>116</v>
      </c>
      <c r="G392" s="9">
        <v>9</v>
      </c>
      <c r="H392" s="12">
        <f>'Engineering Assumptions'!$C$38*'Engineering Assumptions'!$B$5*U392</f>
        <v>0</v>
      </c>
      <c r="I392" s="12">
        <v>0</v>
      </c>
      <c r="J392" s="12">
        <f>'Engineering Assumptions'!$D$38*S392*U392</f>
        <v>62.5</v>
      </c>
      <c r="K392" s="12">
        <f>'Engineering Assumptions'!$E$38*T392*U392</f>
        <v>52.5</v>
      </c>
      <c r="L392" s="13">
        <f t="shared" si="54"/>
        <v>115</v>
      </c>
      <c r="M392" s="12">
        <f>L392*'Engineering Assumptions'!$B$10</f>
        <v>17.25</v>
      </c>
      <c r="N392" s="13">
        <f t="shared" si="55"/>
        <v>132.25</v>
      </c>
      <c r="O392" s="12">
        <f>N392*'Engineering Assumptions'!$B$11</f>
        <v>26.450000000000003</v>
      </c>
      <c r="P392" s="156">
        <f t="shared" si="56"/>
        <v>160</v>
      </c>
      <c r="Q392" s="12">
        <f>'Fleet Pricing'!H392</f>
        <v>1200</v>
      </c>
      <c r="R392" s="45">
        <v>9</v>
      </c>
      <c r="S392" s="49">
        <v>1.25</v>
      </c>
      <c r="T392" s="49">
        <v>0.75</v>
      </c>
      <c r="U392" s="49">
        <v>1</v>
      </c>
    </row>
    <row r="393" spans="1:21" ht="15" customHeight="1" x14ac:dyDescent="0.3">
      <c r="A393" s="9">
        <v>368</v>
      </c>
      <c r="B393" s="50" t="s">
        <v>809</v>
      </c>
      <c r="C393" s="50" t="s">
        <v>811</v>
      </c>
      <c r="D393" s="50"/>
      <c r="E393" s="50"/>
      <c r="F393" s="48" t="s">
        <v>116</v>
      </c>
      <c r="G393" s="9">
        <v>9</v>
      </c>
      <c r="H393" s="12">
        <f>'Engineering Assumptions'!$C$38*'Engineering Assumptions'!$B$5*U393</f>
        <v>0</v>
      </c>
      <c r="I393" s="12">
        <v>0</v>
      </c>
      <c r="J393" s="12">
        <f>'Engineering Assumptions'!$D$38*S393*U393</f>
        <v>62.5</v>
      </c>
      <c r="K393" s="12">
        <f>'Engineering Assumptions'!$E$38*T393*U393</f>
        <v>52.5</v>
      </c>
      <c r="L393" s="13">
        <f t="shared" si="54"/>
        <v>115</v>
      </c>
      <c r="M393" s="12">
        <f>L393*'Engineering Assumptions'!$B$10</f>
        <v>17.25</v>
      </c>
      <c r="N393" s="13">
        <f t="shared" si="55"/>
        <v>132.25</v>
      </c>
      <c r="O393" s="12">
        <f>N393*'Engineering Assumptions'!$B$11</f>
        <v>26.450000000000003</v>
      </c>
      <c r="P393" s="156">
        <f t="shared" si="56"/>
        <v>160</v>
      </c>
      <c r="Q393" s="12">
        <f>'Fleet Pricing'!H393</f>
        <v>1200</v>
      </c>
      <c r="R393" s="45">
        <v>9</v>
      </c>
      <c r="S393" s="49">
        <v>1.25</v>
      </c>
      <c r="T393" s="49">
        <v>0.75</v>
      </c>
      <c r="U393" s="49">
        <v>1</v>
      </c>
    </row>
    <row r="394" spans="1:21" ht="15" customHeight="1" x14ac:dyDescent="0.3">
      <c r="A394" s="9">
        <v>369</v>
      </c>
      <c r="B394" s="50" t="s">
        <v>809</v>
      </c>
      <c r="C394" s="50" t="s">
        <v>812</v>
      </c>
      <c r="D394" s="50"/>
      <c r="E394" s="50"/>
      <c r="F394" s="48" t="s">
        <v>116</v>
      </c>
      <c r="G394" s="9">
        <v>9</v>
      </c>
      <c r="H394" s="12">
        <f>'Engineering Assumptions'!$C$38*'Engineering Assumptions'!$B$5*U394</f>
        <v>0</v>
      </c>
      <c r="I394" s="12">
        <v>0</v>
      </c>
      <c r="J394" s="12">
        <f>'Engineering Assumptions'!$D$38*S394*U394</f>
        <v>62.5</v>
      </c>
      <c r="K394" s="12">
        <f>'Engineering Assumptions'!$E$38*T394*U394</f>
        <v>52.5</v>
      </c>
      <c r="L394" s="13">
        <f t="shared" si="54"/>
        <v>115</v>
      </c>
      <c r="M394" s="12">
        <f>L394*'Engineering Assumptions'!$B$10</f>
        <v>17.25</v>
      </c>
      <c r="N394" s="13">
        <f t="shared" si="55"/>
        <v>132.25</v>
      </c>
      <c r="O394" s="12">
        <f>N394*'Engineering Assumptions'!$B$11</f>
        <v>26.450000000000003</v>
      </c>
      <c r="P394" s="156">
        <f t="shared" si="56"/>
        <v>160</v>
      </c>
      <c r="Q394" s="12">
        <f>'Fleet Pricing'!H394</f>
        <v>1200</v>
      </c>
      <c r="R394" s="45">
        <v>9</v>
      </c>
      <c r="S394" s="49">
        <v>1.25</v>
      </c>
      <c r="T394" s="49">
        <v>0.75</v>
      </c>
      <c r="U394" s="49">
        <v>1</v>
      </c>
    </row>
    <row r="395" spans="1:21" ht="15" customHeight="1" x14ac:dyDescent="0.3">
      <c r="A395" s="9">
        <v>370</v>
      </c>
      <c r="B395" s="50" t="s">
        <v>809</v>
      </c>
      <c r="C395" s="50" t="s">
        <v>810</v>
      </c>
      <c r="D395" s="50"/>
      <c r="E395" s="50"/>
      <c r="F395" s="48" t="s">
        <v>73</v>
      </c>
      <c r="G395" s="9">
        <v>20</v>
      </c>
      <c r="H395" s="12">
        <f>'Engineering Assumptions'!$C$38*'Engineering Assumptions'!$B$5*U395</f>
        <v>0</v>
      </c>
      <c r="I395" s="12">
        <v>0</v>
      </c>
      <c r="J395" s="12">
        <f>'Engineering Assumptions'!$D$38*S395*U395</f>
        <v>97.5</v>
      </c>
      <c r="K395" s="12">
        <f>'Engineering Assumptions'!$E$38*T395*U395</f>
        <v>147</v>
      </c>
      <c r="L395" s="13">
        <f t="shared" si="54"/>
        <v>244.5</v>
      </c>
      <c r="M395" s="12">
        <f>L395*'Engineering Assumptions'!$B$10</f>
        <v>36.674999999999997</v>
      </c>
      <c r="N395" s="13">
        <f t="shared" si="55"/>
        <v>281.17500000000001</v>
      </c>
      <c r="O395" s="12">
        <f>N395*'Engineering Assumptions'!$B$11</f>
        <v>56.235000000000007</v>
      </c>
      <c r="P395" s="156">
        <f t="shared" si="56"/>
        <v>340</v>
      </c>
      <c r="Q395" s="12">
        <f>'Fleet Pricing'!H395</f>
        <v>940</v>
      </c>
      <c r="R395" s="45">
        <v>20</v>
      </c>
      <c r="S395" s="49">
        <v>1.95</v>
      </c>
      <c r="T395" s="49">
        <v>2.1</v>
      </c>
      <c r="U395" s="49">
        <v>1</v>
      </c>
    </row>
    <row r="396" spans="1:21" ht="15" customHeight="1" x14ac:dyDescent="0.3">
      <c r="A396" s="9">
        <v>371</v>
      </c>
      <c r="B396" s="50" t="s">
        <v>809</v>
      </c>
      <c r="C396" s="50" t="s">
        <v>810</v>
      </c>
      <c r="D396" s="50"/>
      <c r="E396" s="50"/>
      <c r="F396" s="48" t="s">
        <v>73</v>
      </c>
      <c r="G396" s="9">
        <v>20</v>
      </c>
      <c r="H396" s="12">
        <f>'Engineering Assumptions'!$C$38*'Engineering Assumptions'!$B$5*U396</f>
        <v>0</v>
      </c>
      <c r="I396" s="12">
        <v>0</v>
      </c>
      <c r="J396" s="12">
        <f>'Engineering Assumptions'!$D$38*S396*U396</f>
        <v>97.5</v>
      </c>
      <c r="K396" s="12">
        <f>'Engineering Assumptions'!$E$38*T396*U396</f>
        <v>147</v>
      </c>
      <c r="L396" s="13">
        <f t="shared" si="54"/>
        <v>244.5</v>
      </c>
      <c r="M396" s="12">
        <f>L396*'Engineering Assumptions'!$B$10</f>
        <v>36.674999999999997</v>
      </c>
      <c r="N396" s="13">
        <f t="shared" si="55"/>
        <v>281.17500000000001</v>
      </c>
      <c r="O396" s="12">
        <f>N396*'Engineering Assumptions'!$B$11</f>
        <v>56.235000000000007</v>
      </c>
      <c r="P396" s="156">
        <f t="shared" si="56"/>
        <v>340</v>
      </c>
      <c r="Q396" s="12">
        <f>'Fleet Pricing'!H396</f>
        <v>940</v>
      </c>
      <c r="R396" s="45">
        <v>20</v>
      </c>
      <c r="S396" s="49">
        <v>1.95</v>
      </c>
      <c r="T396" s="49">
        <v>2.1</v>
      </c>
      <c r="U396" s="49">
        <v>1</v>
      </c>
    </row>
    <row r="397" spans="1:21" ht="15" customHeight="1" x14ac:dyDescent="0.3">
      <c r="A397" s="199" t="s">
        <v>813</v>
      </c>
      <c r="B397" s="200"/>
      <c r="C397" s="200"/>
      <c r="D397" s="200"/>
      <c r="E397" s="200"/>
      <c r="F397" s="200"/>
      <c r="G397" s="200"/>
      <c r="H397" s="200"/>
      <c r="I397" s="200"/>
      <c r="J397" s="200"/>
      <c r="K397" s="200"/>
      <c r="L397" s="200"/>
      <c r="M397" s="200"/>
      <c r="N397" s="200"/>
      <c r="O397" s="200"/>
      <c r="P397" s="200"/>
      <c r="Q397" s="200"/>
    </row>
    <row r="398" spans="1:21" ht="15" customHeight="1" x14ac:dyDescent="0.3">
      <c r="A398" s="9">
        <v>372</v>
      </c>
      <c r="B398" s="50" t="s">
        <v>814</v>
      </c>
      <c r="C398" s="50" t="s">
        <v>815</v>
      </c>
      <c r="D398" s="50"/>
      <c r="E398" s="50"/>
      <c r="F398" s="48" t="s">
        <v>458</v>
      </c>
      <c r="G398" s="9">
        <v>15</v>
      </c>
      <c r="H398" s="12">
        <f>'Engineering Assumptions'!$C$39*'Engineering Assumptions'!$B$5*U398</f>
        <v>0</v>
      </c>
      <c r="I398" s="12">
        <v>0</v>
      </c>
      <c r="J398" s="12">
        <f>'Engineering Assumptions'!$D$39*S398*U398</f>
        <v>93</v>
      </c>
      <c r="K398" s="12">
        <f>'Engineering Assumptions'!$E$39*T398*U398</f>
        <v>108</v>
      </c>
      <c r="L398" s="13">
        <f>H398+I398+J398+K398</f>
        <v>201</v>
      </c>
      <c r="M398" s="12">
        <f>L398*'Engineering Assumptions'!$B$10</f>
        <v>30.15</v>
      </c>
      <c r="N398" s="13">
        <f>L398+M398</f>
        <v>231.15</v>
      </c>
      <c r="O398" s="12">
        <f>N398*'Engineering Assumptions'!$B$11</f>
        <v>46.230000000000004</v>
      </c>
      <c r="P398" s="156">
        <f>MROUND(N398+O398,10)</f>
        <v>280</v>
      </c>
      <c r="Q398" s="12">
        <f>'Fleet Pricing'!H398</f>
        <v>1800</v>
      </c>
      <c r="R398" s="45">
        <v>15</v>
      </c>
      <c r="S398" s="49">
        <v>1.55</v>
      </c>
      <c r="T398" s="49">
        <v>1.35</v>
      </c>
      <c r="U398" s="49">
        <v>1</v>
      </c>
    </row>
    <row r="399" spans="1:21" ht="15" customHeight="1" x14ac:dyDescent="0.3">
      <c r="A399" s="9">
        <v>373</v>
      </c>
      <c r="B399" s="50" t="s">
        <v>814</v>
      </c>
      <c r="C399" s="50" t="s">
        <v>816</v>
      </c>
      <c r="D399" s="50"/>
      <c r="E399" s="50"/>
      <c r="F399" s="48" t="s">
        <v>139</v>
      </c>
      <c r="G399" s="9">
        <v>23</v>
      </c>
      <c r="H399" s="12">
        <f>'Engineering Assumptions'!$C$39*'Engineering Assumptions'!$B$5*U399</f>
        <v>0</v>
      </c>
      <c r="I399" s="12">
        <v>0</v>
      </c>
      <c r="J399" s="12">
        <f>'Engineering Assumptions'!$D$39*S399*U399</f>
        <v>144</v>
      </c>
      <c r="K399" s="12">
        <f>'Engineering Assumptions'!$E$39*T399*U399</f>
        <v>240</v>
      </c>
      <c r="L399" s="13">
        <f>H399+I399+J399+K399</f>
        <v>384</v>
      </c>
      <c r="M399" s="12">
        <f>L399*'Engineering Assumptions'!$B$10</f>
        <v>57.599999999999994</v>
      </c>
      <c r="N399" s="13">
        <f>L399+M399</f>
        <v>441.6</v>
      </c>
      <c r="O399" s="12">
        <f>N399*'Engineering Assumptions'!$B$11</f>
        <v>88.320000000000007</v>
      </c>
      <c r="P399" s="156">
        <f>MROUND(N399+O399,10)</f>
        <v>530</v>
      </c>
      <c r="Q399" s="12">
        <f>'Fleet Pricing'!H399</f>
        <v>1430</v>
      </c>
      <c r="R399" s="45">
        <v>23</v>
      </c>
      <c r="S399" s="49">
        <v>2.4</v>
      </c>
      <c r="T399" s="49">
        <v>3</v>
      </c>
      <c r="U399" s="49">
        <v>1</v>
      </c>
    </row>
    <row r="400" spans="1:21" ht="15" customHeight="1" x14ac:dyDescent="0.3">
      <c r="A400" s="9">
        <v>374</v>
      </c>
      <c r="B400" s="50" t="s">
        <v>814</v>
      </c>
      <c r="C400" s="50" t="s">
        <v>188</v>
      </c>
      <c r="D400" s="50"/>
      <c r="E400" s="50"/>
      <c r="F400" s="48" t="s">
        <v>195</v>
      </c>
      <c r="G400" s="9">
        <v>30</v>
      </c>
      <c r="H400" s="12">
        <f>'Engineering Assumptions'!$C$39*'Engineering Assumptions'!$B$5*U400</f>
        <v>0</v>
      </c>
      <c r="I400" s="12">
        <v>0</v>
      </c>
      <c r="J400" s="12">
        <f>'Engineering Assumptions'!$D$39*S400*U400</f>
        <v>144</v>
      </c>
      <c r="K400" s="12">
        <f>'Engineering Assumptions'!$E$39*T400*U400</f>
        <v>240</v>
      </c>
      <c r="L400" s="13">
        <f>H400+I400+J400+K400</f>
        <v>384</v>
      </c>
      <c r="M400" s="12">
        <f>L400*'Engineering Assumptions'!$B$10</f>
        <v>57.599999999999994</v>
      </c>
      <c r="N400" s="13">
        <f>L400+M400</f>
        <v>441.6</v>
      </c>
      <c r="O400" s="12">
        <f>N400*'Engineering Assumptions'!$B$11</f>
        <v>88.320000000000007</v>
      </c>
      <c r="P400" s="156">
        <f>MROUND(N400+O400,10)</f>
        <v>530</v>
      </c>
      <c r="Q400" s="12">
        <f>'Fleet Pricing'!H400</f>
        <v>1280</v>
      </c>
      <c r="R400" s="45">
        <v>30</v>
      </c>
      <c r="S400" s="49">
        <v>2.4</v>
      </c>
      <c r="T400" s="49">
        <v>3</v>
      </c>
      <c r="U400" s="49">
        <v>1</v>
      </c>
    </row>
    <row r="401" spans="1:21" ht="15" customHeight="1" x14ac:dyDescent="0.3">
      <c r="A401" s="199" t="s">
        <v>817</v>
      </c>
      <c r="B401" s="200"/>
      <c r="C401" s="200"/>
      <c r="D401" s="200"/>
      <c r="E401" s="200"/>
      <c r="F401" s="200"/>
      <c r="G401" s="200"/>
      <c r="H401" s="200"/>
      <c r="I401" s="200"/>
      <c r="J401" s="200"/>
      <c r="K401" s="200"/>
      <c r="L401" s="200"/>
      <c r="M401" s="200"/>
      <c r="N401" s="200"/>
      <c r="O401" s="200"/>
      <c r="P401" s="200"/>
      <c r="Q401" s="200"/>
    </row>
    <row r="402" spans="1:21" ht="15" customHeight="1" x14ac:dyDescent="0.3">
      <c r="A402" s="9">
        <v>375</v>
      </c>
      <c r="B402" s="50" t="s">
        <v>818</v>
      </c>
      <c r="C402" s="50" t="s">
        <v>819</v>
      </c>
      <c r="D402" s="50" t="s">
        <v>820</v>
      </c>
      <c r="E402" s="50" t="s">
        <v>821</v>
      </c>
      <c r="F402" s="48" t="s">
        <v>440</v>
      </c>
      <c r="G402" s="9">
        <v>21</v>
      </c>
      <c r="H402" s="12">
        <f>'Engineering Assumptions'!$C$40*'Engineering Assumptions'!$B$5*U402</f>
        <v>1337</v>
      </c>
      <c r="I402" s="12">
        <f>'Engineering Assumptions'!$B$8</f>
        <v>650</v>
      </c>
      <c r="J402" s="12">
        <f>'Engineering Assumptions'!$D$40*S402*U402</f>
        <v>264</v>
      </c>
      <c r="K402" s="12">
        <f>'Engineering Assumptions'!$E$40*T402*U402</f>
        <v>420</v>
      </c>
      <c r="L402" s="13">
        <f t="shared" ref="L402:L407" si="57">H402+I402+J402+K402</f>
        <v>2671</v>
      </c>
      <c r="M402" s="12">
        <f>L402*'Engineering Assumptions'!$B$10</f>
        <v>400.65</v>
      </c>
      <c r="N402" s="13">
        <f t="shared" ref="N402:N407" si="58">L402+M402</f>
        <v>3071.65</v>
      </c>
      <c r="O402" s="12">
        <f>N402*'Engineering Assumptions'!$B$11</f>
        <v>614.33000000000004</v>
      </c>
      <c r="P402" s="156">
        <f t="shared" ref="P402:P407" si="59">MROUND(N402+O402,10)</f>
        <v>3690</v>
      </c>
      <c r="Q402" s="12">
        <f>'Fleet Pricing'!H402</f>
        <v>1760</v>
      </c>
      <c r="R402" s="45">
        <v>21</v>
      </c>
      <c r="S402" s="49">
        <v>2.4</v>
      </c>
      <c r="T402" s="49">
        <v>3</v>
      </c>
      <c r="U402" s="49">
        <v>1</v>
      </c>
    </row>
    <row r="403" spans="1:21" ht="15" customHeight="1" x14ac:dyDescent="0.3">
      <c r="A403" s="9">
        <v>376</v>
      </c>
      <c r="B403" s="50" t="s">
        <v>818</v>
      </c>
      <c r="C403" s="50" t="s">
        <v>618</v>
      </c>
      <c r="D403" s="50" t="s">
        <v>822</v>
      </c>
      <c r="E403" s="50" t="s">
        <v>823</v>
      </c>
      <c r="F403" s="48" t="s">
        <v>440</v>
      </c>
      <c r="G403" s="9">
        <v>21</v>
      </c>
      <c r="H403" s="12">
        <f>'Engineering Assumptions'!$C$40*'Engineering Assumptions'!$B$5*U403</f>
        <v>1337</v>
      </c>
      <c r="I403" s="12">
        <f>'Engineering Assumptions'!$B$8</f>
        <v>650</v>
      </c>
      <c r="J403" s="12">
        <f>'Engineering Assumptions'!$D$40*S403*U403</f>
        <v>264</v>
      </c>
      <c r="K403" s="12">
        <f>'Engineering Assumptions'!$E$40*T403*U403</f>
        <v>420</v>
      </c>
      <c r="L403" s="13">
        <f t="shared" si="57"/>
        <v>2671</v>
      </c>
      <c r="M403" s="12">
        <f>L403*'Engineering Assumptions'!$B$10</f>
        <v>400.65</v>
      </c>
      <c r="N403" s="13">
        <f t="shared" si="58"/>
        <v>3071.65</v>
      </c>
      <c r="O403" s="12">
        <f>N403*'Engineering Assumptions'!$B$11</f>
        <v>614.33000000000004</v>
      </c>
      <c r="P403" s="156">
        <f t="shared" si="59"/>
        <v>3690</v>
      </c>
      <c r="Q403" s="12">
        <f>'Fleet Pricing'!H403</f>
        <v>1760</v>
      </c>
      <c r="R403" s="45">
        <v>21</v>
      </c>
      <c r="S403" s="49">
        <v>2.4</v>
      </c>
      <c r="T403" s="49">
        <v>3</v>
      </c>
      <c r="U403" s="49">
        <v>1</v>
      </c>
    </row>
    <row r="404" spans="1:21" ht="15" customHeight="1" x14ac:dyDescent="0.3">
      <c r="A404" s="9">
        <v>377</v>
      </c>
      <c r="B404" s="50" t="s">
        <v>818</v>
      </c>
      <c r="C404" s="50" t="s">
        <v>819</v>
      </c>
      <c r="D404" s="50" t="s">
        <v>824</v>
      </c>
      <c r="E404" s="50" t="s">
        <v>825</v>
      </c>
      <c r="F404" s="48" t="s">
        <v>314</v>
      </c>
      <c r="G404" s="9">
        <v>36</v>
      </c>
      <c r="H404" s="12">
        <f>'Engineering Assumptions'!$C$40*'Engineering Assumptions'!$B$5*U404</f>
        <v>1337</v>
      </c>
      <c r="I404" s="12">
        <f>'Engineering Assumptions'!$B$8</f>
        <v>650</v>
      </c>
      <c r="J404" s="12">
        <f>'Engineering Assumptions'!$D$40*S404*U404</f>
        <v>264</v>
      </c>
      <c r="K404" s="12">
        <f>'Engineering Assumptions'!$E$40*T404*U404</f>
        <v>420</v>
      </c>
      <c r="L404" s="13">
        <f t="shared" si="57"/>
        <v>2671</v>
      </c>
      <c r="M404" s="12">
        <f>L404*'Engineering Assumptions'!$B$10</f>
        <v>400.65</v>
      </c>
      <c r="N404" s="13">
        <f t="shared" si="58"/>
        <v>3071.65</v>
      </c>
      <c r="O404" s="12">
        <f>N404*'Engineering Assumptions'!$B$11</f>
        <v>614.33000000000004</v>
      </c>
      <c r="P404" s="156">
        <f t="shared" si="59"/>
        <v>3690</v>
      </c>
      <c r="Q404" s="12">
        <f>'Fleet Pricing'!H404</f>
        <v>1420</v>
      </c>
      <c r="R404" s="45">
        <v>36</v>
      </c>
      <c r="S404" s="49">
        <v>2.4</v>
      </c>
      <c r="T404" s="49">
        <v>3</v>
      </c>
      <c r="U404" s="49">
        <v>1</v>
      </c>
    </row>
    <row r="405" spans="1:21" ht="15" customHeight="1" x14ac:dyDescent="0.3">
      <c r="A405" s="9">
        <v>378</v>
      </c>
      <c r="B405" s="50" t="s">
        <v>818</v>
      </c>
      <c r="C405" s="50" t="s">
        <v>826</v>
      </c>
      <c r="D405" s="50"/>
      <c r="E405" s="50"/>
      <c r="F405" s="48" t="s">
        <v>314</v>
      </c>
      <c r="G405" s="9">
        <v>36</v>
      </c>
      <c r="H405" s="12">
        <f>'Engineering Assumptions'!$C$40*'Engineering Assumptions'!$B$5*U405</f>
        <v>1337</v>
      </c>
      <c r="I405" s="12">
        <f>'Engineering Assumptions'!$B$8</f>
        <v>650</v>
      </c>
      <c r="J405" s="12">
        <f>'Engineering Assumptions'!$D$40*S405*U405</f>
        <v>264</v>
      </c>
      <c r="K405" s="12">
        <f>'Engineering Assumptions'!$E$40*T405*U405</f>
        <v>420</v>
      </c>
      <c r="L405" s="13">
        <f t="shared" si="57"/>
        <v>2671</v>
      </c>
      <c r="M405" s="12">
        <f>L405*'Engineering Assumptions'!$B$10</f>
        <v>400.65</v>
      </c>
      <c r="N405" s="13">
        <f t="shared" si="58"/>
        <v>3071.65</v>
      </c>
      <c r="O405" s="12">
        <f>N405*'Engineering Assumptions'!$B$11</f>
        <v>614.33000000000004</v>
      </c>
      <c r="P405" s="156">
        <f t="shared" si="59"/>
        <v>3690</v>
      </c>
      <c r="Q405" s="12">
        <f>'Fleet Pricing'!H405</f>
        <v>1420</v>
      </c>
      <c r="R405" s="45">
        <v>36</v>
      </c>
      <c r="S405" s="49">
        <v>2.4</v>
      </c>
      <c r="T405" s="49">
        <v>3</v>
      </c>
      <c r="U405" s="49">
        <v>1</v>
      </c>
    </row>
    <row r="406" spans="1:21" ht="15" customHeight="1" x14ac:dyDescent="0.3">
      <c r="A406" s="9">
        <v>379</v>
      </c>
      <c r="B406" s="50" t="s">
        <v>818</v>
      </c>
      <c r="C406" s="50" t="s">
        <v>827</v>
      </c>
      <c r="D406" s="50" t="s">
        <v>828</v>
      </c>
      <c r="E406" s="50" t="s">
        <v>829</v>
      </c>
      <c r="F406" s="48" t="s">
        <v>195</v>
      </c>
      <c r="G406" s="9">
        <v>30</v>
      </c>
      <c r="H406" s="12">
        <f>'Engineering Assumptions'!$C$40*'Engineering Assumptions'!$B$5*U406</f>
        <v>1337</v>
      </c>
      <c r="I406" s="12">
        <f>'Engineering Assumptions'!$B$8</f>
        <v>650</v>
      </c>
      <c r="J406" s="12">
        <f>'Engineering Assumptions'!$D$40*S406*U406</f>
        <v>264</v>
      </c>
      <c r="K406" s="12">
        <f>'Engineering Assumptions'!$E$40*T406*U406</f>
        <v>420</v>
      </c>
      <c r="L406" s="13">
        <f t="shared" si="57"/>
        <v>2671</v>
      </c>
      <c r="M406" s="12">
        <f>L406*'Engineering Assumptions'!$B$10</f>
        <v>400.65</v>
      </c>
      <c r="N406" s="13">
        <f t="shared" si="58"/>
        <v>3071.65</v>
      </c>
      <c r="O406" s="12">
        <f>N406*'Engineering Assumptions'!$B$11</f>
        <v>614.33000000000004</v>
      </c>
      <c r="P406" s="156">
        <f t="shared" si="59"/>
        <v>3690</v>
      </c>
      <c r="Q406" s="12">
        <f>'Fleet Pricing'!H406</f>
        <v>1420</v>
      </c>
      <c r="R406" s="45">
        <v>30</v>
      </c>
      <c r="S406" s="49">
        <v>2.4</v>
      </c>
      <c r="T406" s="49">
        <v>3</v>
      </c>
      <c r="U406" s="49">
        <v>1</v>
      </c>
    </row>
    <row r="407" spans="1:21" ht="15" customHeight="1" x14ac:dyDescent="0.3">
      <c r="A407" s="9">
        <v>380</v>
      </c>
      <c r="B407" s="50" t="s">
        <v>818</v>
      </c>
      <c r="C407" s="50" t="s">
        <v>830</v>
      </c>
      <c r="D407" s="50" t="s">
        <v>831</v>
      </c>
      <c r="E407" s="50" t="s">
        <v>832</v>
      </c>
      <c r="F407" s="48" t="s">
        <v>195</v>
      </c>
      <c r="G407" s="9">
        <v>30</v>
      </c>
      <c r="H407" s="12">
        <f>'Engineering Assumptions'!$C$40*'Engineering Assumptions'!$B$5*U407</f>
        <v>1337</v>
      </c>
      <c r="I407" s="12">
        <f>'Engineering Assumptions'!$B$8</f>
        <v>650</v>
      </c>
      <c r="J407" s="12">
        <f>'Engineering Assumptions'!$D$40*S407*U407</f>
        <v>264</v>
      </c>
      <c r="K407" s="12">
        <f>'Engineering Assumptions'!$E$40*T407*U407</f>
        <v>420</v>
      </c>
      <c r="L407" s="13">
        <f t="shared" si="57"/>
        <v>2671</v>
      </c>
      <c r="M407" s="12">
        <f>L407*'Engineering Assumptions'!$B$10</f>
        <v>400.65</v>
      </c>
      <c r="N407" s="13">
        <f t="shared" si="58"/>
        <v>3071.65</v>
      </c>
      <c r="O407" s="12">
        <f>N407*'Engineering Assumptions'!$B$11</f>
        <v>614.33000000000004</v>
      </c>
      <c r="P407" s="156">
        <f t="shared" si="59"/>
        <v>3690</v>
      </c>
      <c r="Q407" s="12">
        <f>'Fleet Pricing'!H407</f>
        <v>1420</v>
      </c>
      <c r="R407" s="45">
        <v>30</v>
      </c>
      <c r="S407" s="49">
        <v>2.4</v>
      </c>
      <c r="T407" s="49">
        <v>3</v>
      </c>
      <c r="U407" s="49">
        <v>1</v>
      </c>
    </row>
    <row r="408" spans="1:21" ht="15" customHeight="1" x14ac:dyDescent="0.3">
      <c r="A408" s="199" t="s">
        <v>833</v>
      </c>
      <c r="B408" s="200"/>
      <c r="C408" s="200"/>
      <c r="D408" s="200"/>
      <c r="E408" s="200"/>
      <c r="F408" s="200"/>
      <c r="G408" s="200"/>
      <c r="H408" s="200"/>
      <c r="I408" s="200"/>
      <c r="J408" s="200"/>
      <c r="K408" s="200"/>
      <c r="L408" s="200"/>
      <c r="M408" s="200"/>
      <c r="N408" s="200"/>
      <c r="O408" s="200"/>
      <c r="P408" s="200"/>
      <c r="Q408" s="200"/>
    </row>
    <row r="409" spans="1:21" ht="15" customHeight="1" x14ac:dyDescent="0.3">
      <c r="A409" s="9">
        <v>381</v>
      </c>
      <c r="B409" s="50" t="s">
        <v>834</v>
      </c>
      <c r="C409" s="50" t="s">
        <v>835</v>
      </c>
      <c r="D409" s="50" t="s">
        <v>836</v>
      </c>
      <c r="E409" s="50"/>
      <c r="F409" s="48" t="s">
        <v>23</v>
      </c>
      <c r="G409" s="9">
        <v>5</v>
      </c>
      <c r="H409" s="12">
        <f>'Engineering Assumptions'!$C$41*'Engineering Assumptions'!$B$5*U409</f>
        <v>6303.0000000000009</v>
      </c>
      <c r="I409" s="12">
        <f>'Engineering Assumptions'!$B$8</f>
        <v>650</v>
      </c>
      <c r="J409" s="12">
        <f>'Engineering Assumptions'!$D$41*S409*U409</f>
        <v>418.00000000000006</v>
      </c>
      <c r="K409" s="12">
        <f>'Engineering Assumptions'!$E$41*T409*U409</f>
        <v>171.60000000000002</v>
      </c>
      <c r="L409" s="13">
        <f t="shared" ref="L409:L449" si="60">H409+I409+J409+K409</f>
        <v>7542.6000000000013</v>
      </c>
      <c r="M409" s="12">
        <f>L409*'Engineering Assumptions'!$B$10</f>
        <v>1131.3900000000001</v>
      </c>
      <c r="N409" s="13">
        <f t="shared" ref="N409:N449" si="61">L409+M409</f>
        <v>8673.9900000000016</v>
      </c>
      <c r="O409" s="12">
        <f>N409*'Engineering Assumptions'!$B$11</f>
        <v>1734.7980000000005</v>
      </c>
      <c r="P409" s="156">
        <f t="shared" ref="P409:P449" si="62">MROUND(N409+O409,10)</f>
        <v>10410</v>
      </c>
      <c r="Q409" s="12">
        <f>'Fleet Pricing'!H409</f>
        <v>10510</v>
      </c>
      <c r="R409" s="45">
        <v>5</v>
      </c>
      <c r="S409" s="49">
        <v>1</v>
      </c>
      <c r="T409" s="49">
        <v>0.3</v>
      </c>
      <c r="U409" s="49">
        <v>1.1000000000000001</v>
      </c>
    </row>
    <row r="410" spans="1:21" ht="15" customHeight="1" x14ac:dyDescent="0.3">
      <c r="A410" s="9">
        <v>382</v>
      </c>
      <c r="B410" s="50" t="s">
        <v>834</v>
      </c>
      <c r="C410" s="50" t="s">
        <v>835</v>
      </c>
      <c r="D410" s="50" t="s">
        <v>837</v>
      </c>
      <c r="E410" s="50"/>
      <c r="F410" s="48" t="s">
        <v>23</v>
      </c>
      <c r="G410" s="9">
        <v>5</v>
      </c>
      <c r="H410" s="12">
        <f>'Engineering Assumptions'!$C$41*'Engineering Assumptions'!$B$5*U410</f>
        <v>6303.0000000000009</v>
      </c>
      <c r="I410" s="12">
        <f>'Engineering Assumptions'!$B$8</f>
        <v>650</v>
      </c>
      <c r="J410" s="12">
        <f>'Engineering Assumptions'!$D$41*S410*U410</f>
        <v>418.00000000000006</v>
      </c>
      <c r="K410" s="12">
        <f>'Engineering Assumptions'!$E$41*T410*U410</f>
        <v>171.60000000000002</v>
      </c>
      <c r="L410" s="13">
        <f t="shared" si="60"/>
        <v>7542.6000000000013</v>
      </c>
      <c r="M410" s="12">
        <f>L410*'Engineering Assumptions'!$B$10</f>
        <v>1131.3900000000001</v>
      </c>
      <c r="N410" s="13">
        <f t="shared" si="61"/>
        <v>8673.9900000000016</v>
      </c>
      <c r="O410" s="12">
        <f>N410*'Engineering Assumptions'!$B$11</f>
        <v>1734.7980000000005</v>
      </c>
      <c r="P410" s="156">
        <f t="shared" si="62"/>
        <v>10410</v>
      </c>
      <c r="Q410" s="12">
        <f>'Fleet Pricing'!H410</f>
        <v>10510</v>
      </c>
      <c r="R410" s="45">
        <v>5</v>
      </c>
      <c r="S410" s="49">
        <v>1</v>
      </c>
      <c r="T410" s="49">
        <v>0.3</v>
      </c>
      <c r="U410" s="49">
        <v>1.1000000000000001</v>
      </c>
    </row>
    <row r="411" spans="1:21" ht="15" customHeight="1" x14ac:dyDescent="0.3">
      <c r="A411" s="9">
        <v>383</v>
      </c>
      <c r="B411" s="50" t="s">
        <v>834</v>
      </c>
      <c r="C411" s="50" t="s">
        <v>835</v>
      </c>
      <c r="D411" s="50" t="s">
        <v>838</v>
      </c>
      <c r="E411" s="50"/>
      <c r="F411" s="48" t="s">
        <v>23</v>
      </c>
      <c r="G411" s="9">
        <v>5</v>
      </c>
      <c r="H411" s="12">
        <f>'Engineering Assumptions'!$C$41*'Engineering Assumptions'!$B$5*U411</f>
        <v>6303.0000000000009</v>
      </c>
      <c r="I411" s="12">
        <f>'Engineering Assumptions'!$B$8</f>
        <v>650</v>
      </c>
      <c r="J411" s="12">
        <f>'Engineering Assumptions'!$D$41*S411*U411</f>
        <v>418.00000000000006</v>
      </c>
      <c r="K411" s="12">
        <f>'Engineering Assumptions'!$E$41*T411*U411</f>
        <v>171.60000000000002</v>
      </c>
      <c r="L411" s="13">
        <f t="shared" si="60"/>
        <v>7542.6000000000013</v>
      </c>
      <c r="M411" s="12">
        <f>L411*'Engineering Assumptions'!$B$10</f>
        <v>1131.3900000000001</v>
      </c>
      <c r="N411" s="13">
        <f t="shared" si="61"/>
        <v>8673.9900000000016</v>
      </c>
      <c r="O411" s="12">
        <f>N411*'Engineering Assumptions'!$B$11</f>
        <v>1734.7980000000005</v>
      </c>
      <c r="P411" s="156">
        <f t="shared" si="62"/>
        <v>10410</v>
      </c>
      <c r="Q411" s="12">
        <f>'Fleet Pricing'!H411</f>
        <v>10510</v>
      </c>
      <c r="R411" s="45">
        <v>5</v>
      </c>
      <c r="S411" s="49">
        <v>1</v>
      </c>
      <c r="T411" s="49">
        <v>0.3</v>
      </c>
      <c r="U411" s="49">
        <v>1.1000000000000001</v>
      </c>
    </row>
    <row r="412" spans="1:21" ht="15" customHeight="1" x14ac:dyDescent="0.3">
      <c r="A412" s="9">
        <v>384</v>
      </c>
      <c r="B412" s="50" t="s">
        <v>834</v>
      </c>
      <c r="C412" s="50" t="s">
        <v>835</v>
      </c>
      <c r="D412" s="50" t="s">
        <v>839</v>
      </c>
      <c r="E412" s="50"/>
      <c r="F412" s="48" t="s">
        <v>23</v>
      </c>
      <c r="G412" s="9">
        <v>5</v>
      </c>
      <c r="H412" s="12">
        <f>'Engineering Assumptions'!$C$41*'Engineering Assumptions'!$B$5*U412</f>
        <v>6303.0000000000009</v>
      </c>
      <c r="I412" s="12">
        <f>'Engineering Assumptions'!$B$8</f>
        <v>650</v>
      </c>
      <c r="J412" s="12">
        <f>'Engineering Assumptions'!$D$41*S412*U412</f>
        <v>418.00000000000006</v>
      </c>
      <c r="K412" s="12">
        <f>'Engineering Assumptions'!$E$41*T412*U412</f>
        <v>171.60000000000002</v>
      </c>
      <c r="L412" s="13">
        <f t="shared" si="60"/>
        <v>7542.6000000000013</v>
      </c>
      <c r="M412" s="12">
        <f>L412*'Engineering Assumptions'!$B$10</f>
        <v>1131.3900000000001</v>
      </c>
      <c r="N412" s="13">
        <f t="shared" si="61"/>
        <v>8673.9900000000016</v>
      </c>
      <c r="O412" s="12">
        <f>N412*'Engineering Assumptions'!$B$11</f>
        <v>1734.7980000000005</v>
      </c>
      <c r="P412" s="156">
        <f t="shared" si="62"/>
        <v>10410</v>
      </c>
      <c r="Q412" s="12">
        <f>'Fleet Pricing'!H412</f>
        <v>10510</v>
      </c>
      <c r="R412" s="45">
        <v>5</v>
      </c>
      <c r="S412" s="49">
        <v>1</v>
      </c>
      <c r="T412" s="49">
        <v>0.3</v>
      </c>
      <c r="U412" s="49">
        <v>1.1000000000000001</v>
      </c>
    </row>
    <row r="413" spans="1:21" ht="15" customHeight="1" x14ac:dyDescent="0.3">
      <c r="A413" s="9">
        <v>385</v>
      </c>
      <c r="B413" s="50" t="s">
        <v>834</v>
      </c>
      <c r="C413" s="50" t="s">
        <v>840</v>
      </c>
      <c r="D413" s="50" t="s">
        <v>841</v>
      </c>
      <c r="E413" s="50"/>
      <c r="F413" s="48" t="s">
        <v>165</v>
      </c>
      <c r="G413" s="9">
        <v>8</v>
      </c>
      <c r="H413" s="12">
        <f>'Engineering Assumptions'!$C$41*'Engineering Assumptions'!$B$5*U413</f>
        <v>3724.5</v>
      </c>
      <c r="I413" s="12">
        <f>'Engineering Assumptions'!$B$8</f>
        <v>650</v>
      </c>
      <c r="J413" s="12">
        <f>'Engineering Assumptions'!$D$41*S413*U413</f>
        <v>308.75</v>
      </c>
      <c r="K413" s="12">
        <f>'Engineering Assumptions'!$E$41*T413*U413</f>
        <v>253.5</v>
      </c>
      <c r="L413" s="13">
        <f t="shared" si="60"/>
        <v>4936.75</v>
      </c>
      <c r="M413" s="12">
        <f>L413*'Engineering Assumptions'!$B$10</f>
        <v>740.51249999999993</v>
      </c>
      <c r="N413" s="13">
        <f t="shared" si="61"/>
        <v>5677.2624999999998</v>
      </c>
      <c r="O413" s="12">
        <f>N413*'Engineering Assumptions'!$B$11</f>
        <v>1135.4525000000001</v>
      </c>
      <c r="P413" s="156">
        <f t="shared" si="62"/>
        <v>6810</v>
      </c>
      <c r="Q413" s="12">
        <f>'Fleet Pricing'!H413</f>
        <v>5710</v>
      </c>
      <c r="R413" s="45">
        <v>8</v>
      </c>
      <c r="S413" s="49">
        <v>1.25</v>
      </c>
      <c r="T413" s="49">
        <v>0.75</v>
      </c>
      <c r="U413" s="49">
        <v>0.65</v>
      </c>
    </row>
    <row r="414" spans="1:21" ht="15" customHeight="1" x14ac:dyDescent="0.3">
      <c r="A414" s="9">
        <v>386</v>
      </c>
      <c r="B414" s="50" t="s">
        <v>834</v>
      </c>
      <c r="C414" s="50" t="s">
        <v>842</v>
      </c>
      <c r="D414" s="50" t="s">
        <v>843</v>
      </c>
      <c r="E414" s="50">
        <v>14160</v>
      </c>
      <c r="F414" s="48" t="s">
        <v>116</v>
      </c>
      <c r="G414" s="9">
        <v>9</v>
      </c>
      <c r="H414" s="12">
        <f>'Engineering Assumptions'!$C$41*'Engineering Assumptions'!$B$5*U414</f>
        <v>6589.4999999999991</v>
      </c>
      <c r="I414" s="12">
        <f>'Engineering Assumptions'!$B$8</f>
        <v>650</v>
      </c>
      <c r="J414" s="12">
        <f>'Engineering Assumptions'!$D$41*S414*U414</f>
        <v>546.25</v>
      </c>
      <c r="K414" s="12">
        <f>'Engineering Assumptions'!$E$41*T414*U414</f>
        <v>448.49999999999994</v>
      </c>
      <c r="L414" s="13">
        <f t="shared" si="60"/>
        <v>8234.2499999999982</v>
      </c>
      <c r="M414" s="12">
        <f>L414*'Engineering Assumptions'!$B$10</f>
        <v>1235.1374999999996</v>
      </c>
      <c r="N414" s="13">
        <f t="shared" si="61"/>
        <v>9469.3874999999971</v>
      </c>
      <c r="O414" s="12">
        <f>N414*'Engineering Assumptions'!$B$11</f>
        <v>1893.8774999999996</v>
      </c>
      <c r="P414" s="156">
        <f t="shared" si="62"/>
        <v>11360</v>
      </c>
      <c r="Q414" s="12">
        <f>'Fleet Pricing'!H414</f>
        <v>10100</v>
      </c>
      <c r="R414" s="45">
        <v>9</v>
      </c>
      <c r="S414" s="49">
        <v>1.25</v>
      </c>
      <c r="T414" s="49">
        <v>0.75</v>
      </c>
      <c r="U414" s="49">
        <v>1.1499999999999999</v>
      </c>
    </row>
    <row r="415" spans="1:21" ht="15" customHeight="1" x14ac:dyDescent="0.3">
      <c r="A415" s="9">
        <v>387</v>
      </c>
      <c r="B415" s="50" t="s">
        <v>834</v>
      </c>
      <c r="C415" s="50" t="s">
        <v>842</v>
      </c>
      <c r="D415" s="50" t="s">
        <v>844</v>
      </c>
      <c r="E415" s="50"/>
      <c r="F415" s="48" t="s">
        <v>116</v>
      </c>
      <c r="G415" s="9">
        <v>9</v>
      </c>
      <c r="H415" s="12">
        <f>'Engineering Assumptions'!$C$41*'Engineering Assumptions'!$B$5*U415</f>
        <v>6589.4999999999991</v>
      </c>
      <c r="I415" s="12">
        <f>'Engineering Assumptions'!$B$8</f>
        <v>650</v>
      </c>
      <c r="J415" s="12">
        <f>'Engineering Assumptions'!$D$41*S415*U415</f>
        <v>546.25</v>
      </c>
      <c r="K415" s="12">
        <f>'Engineering Assumptions'!$E$41*T415*U415</f>
        <v>448.49999999999994</v>
      </c>
      <c r="L415" s="13">
        <f t="shared" si="60"/>
        <v>8234.2499999999982</v>
      </c>
      <c r="M415" s="12">
        <f>L415*'Engineering Assumptions'!$B$10</f>
        <v>1235.1374999999996</v>
      </c>
      <c r="N415" s="13">
        <f t="shared" si="61"/>
        <v>9469.3874999999971</v>
      </c>
      <c r="O415" s="12">
        <f>N415*'Engineering Assumptions'!$B$11</f>
        <v>1893.8774999999996</v>
      </c>
      <c r="P415" s="156">
        <f t="shared" si="62"/>
        <v>11360</v>
      </c>
      <c r="Q415" s="12">
        <f>'Fleet Pricing'!H415</f>
        <v>10100</v>
      </c>
      <c r="R415" s="45">
        <v>9</v>
      </c>
      <c r="S415" s="49">
        <v>1.25</v>
      </c>
      <c r="T415" s="49">
        <v>0.75</v>
      </c>
      <c r="U415" s="49">
        <v>1.1499999999999999</v>
      </c>
    </row>
    <row r="416" spans="1:21" ht="15" customHeight="1" x14ac:dyDescent="0.3">
      <c r="A416" s="9">
        <v>388</v>
      </c>
      <c r="B416" s="50" t="s">
        <v>834</v>
      </c>
      <c r="C416" s="50" t="s">
        <v>842</v>
      </c>
      <c r="D416" s="50" t="s">
        <v>845</v>
      </c>
      <c r="E416" s="50"/>
      <c r="F416" s="48" t="s">
        <v>116</v>
      </c>
      <c r="G416" s="9">
        <v>9</v>
      </c>
      <c r="H416" s="12">
        <f>'Engineering Assumptions'!$C$41*'Engineering Assumptions'!$B$5*U416</f>
        <v>6589.4999999999991</v>
      </c>
      <c r="I416" s="12">
        <f>'Engineering Assumptions'!$B$8</f>
        <v>650</v>
      </c>
      <c r="J416" s="12">
        <f>'Engineering Assumptions'!$D$41*S416*U416</f>
        <v>546.25</v>
      </c>
      <c r="K416" s="12">
        <f>'Engineering Assumptions'!$E$41*T416*U416</f>
        <v>448.49999999999994</v>
      </c>
      <c r="L416" s="13">
        <f t="shared" si="60"/>
        <v>8234.2499999999982</v>
      </c>
      <c r="M416" s="12">
        <f>L416*'Engineering Assumptions'!$B$10</f>
        <v>1235.1374999999996</v>
      </c>
      <c r="N416" s="13">
        <f t="shared" si="61"/>
        <v>9469.3874999999971</v>
      </c>
      <c r="O416" s="12">
        <f>N416*'Engineering Assumptions'!$B$11</f>
        <v>1893.8774999999996</v>
      </c>
      <c r="P416" s="156">
        <f t="shared" si="62"/>
        <v>11360</v>
      </c>
      <c r="Q416" s="12">
        <f>'Fleet Pricing'!H416</f>
        <v>10100</v>
      </c>
      <c r="R416" s="45">
        <v>9</v>
      </c>
      <c r="S416" s="49">
        <v>1.25</v>
      </c>
      <c r="T416" s="49">
        <v>0.75</v>
      </c>
      <c r="U416" s="49">
        <v>1.1499999999999999</v>
      </c>
    </row>
    <row r="417" spans="1:21" ht="15" customHeight="1" x14ac:dyDescent="0.3">
      <c r="A417" s="9">
        <v>389</v>
      </c>
      <c r="B417" s="50" t="s">
        <v>834</v>
      </c>
      <c r="C417" s="50" t="s">
        <v>842</v>
      </c>
      <c r="D417" s="50" t="s">
        <v>846</v>
      </c>
      <c r="E417" s="50">
        <v>14160</v>
      </c>
      <c r="F417" s="48" t="s">
        <v>116</v>
      </c>
      <c r="G417" s="9">
        <v>9</v>
      </c>
      <c r="H417" s="12">
        <f>'Engineering Assumptions'!$C$41*'Engineering Assumptions'!$B$5*U417</f>
        <v>6589.4999999999991</v>
      </c>
      <c r="I417" s="12">
        <f>'Engineering Assumptions'!$B$8</f>
        <v>650</v>
      </c>
      <c r="J417" s="12">
        <f>'Engineering Assumptions'!$D$41*S417*U417</f>
        <v>546.25</v>
      </c>
      <c r="K417" s="12">
        <f>'Engineering Assumptions'!$E$41*T417*U417</f>
        <v>448.49999999999994</v>
      </c>
      <c r="L417" s="13">
        <f t="shared" si="60"/>
        <v>8234.2499999999982</v>
      </c>
      <c r="M417" s="12">
        <f>L417*'Engineering Assumptions'!$B$10</f>
        <v>1235.1374999999996</v>
      </c>
      <c r="N417" s="13">
        <f t="shared" si="61"/>
        <v>9469.3874999999971</v>
      </c>
      <c r="O417" s="12">
        <f>N417*'Engineering Assumptions'!$B$11</f>
        <v>1893.8774999999996</v>
      </c>
      <c r="P417" s="156">
        <f t="shared" si="62"/>
        <v>11360</v>
      </c>
      <c r="Q417" s="12">
        <f>'Fleet Pricing'!H417</f>
        <v>10100</v>
      </c>
      <c r="R417" s="45">
        <v>9</v>
      </c>
      <c r="S417" s="49">
        <v>1.25</v>
      </c>
      <c r="T417" s="49">
        <v>0.75</v>
      </c>
      <c r="U417" s="49">
        <v>1.1499999999999999</v>
      </c>
    </row>
    <row r="418" spans="1:21" ht="15" customHeight="1" x14ac:dyDescent="0.3">
      <c r="A418" s="9">
        <v>390</v>
      </c>
      <c r="B418" s="50" t="s">
        <v>834</v>
      </c>
      <c r="C418" s="50" t="s">
        <v>842</v>
      </c>
      <c r="D418" s="50" t="s">
        <v>847</v>
      </c>
      <c r="E418" s="50">
        <v>14160</v>
      </c>
      <c r="F418" s="48" t="s">
        <v>116</v>
      </c>
      <c r="G418" s="9">
        <v>9</v>
      </c>
      <c r="H418" s="12">
        <f>'Engineering Assumptions'!$C$41*'Engineering Assumptions'!$B$5*U418</f>
        <v>6589.4999999999991</v>
      </c>
      <c r="I418" s="12">
        <f>'Engineering Assumptions'!$B$8</f>
        <v>650</v>
      </c>
      <c r="J418" s="12">
        <f>'Engineering Assumptions'!$D$41*S418*U418</f>
        <v>546.25</v>
      </c>
      <c r="K418" s="12">
        <f>'Engineering Assumptions'!$E$41*T418*U418</f>
        <v>448.49999999999994</v>
      </c>
      <c r="L418" s="13">
        <f t="shared" si="60"/>
        <v>8234.2499999999982</v>
      </c>
      <c r="M418" s="12">
        <f>L418*'Engineering Assumptions'!$B$10</f>
        <v>1235.1374999999996</v>
      </c>
      <c r="N418" s="13">
        <f t="shared" si="61"/>
        <v>9469.3874999999971</v>
      </c>
      <c r="O418" s="12">
        <f>N418*'Engineering Assumptions'!$B$11</f>
        <v>1893.8774999999996</v>
      </c>
      <c r="P418" s="156">
        <f t="shared" si="62"/>
        <v>11360</v>
      </c>
      <c r="Q418" s="12">
        <f>'Fleet Pricing'!H418</f>
        <v>10100</v>
      </c>
      <c r="R418" s="45">
        <v>9</v>
      </c>
      <c r="S418" s="49">
        <v>1.25</v>
      </c>
      <c r="T418" s="49">
        <v>0.75</v>
      </c>
      <c r="U418" s="49">
        <v>1.1499999999999999</v>
      </c>
    </row>
    <row r="419" spans="1:21" ht="15" customHeight="1" x14ac:dyDescent="0.3">
      <c r="A419" s="9">
        <v>391</v>
      </c>
      <c r="B419" s="50" t="s">
        <v>834</v>
      </c>
      <c r="C419" s="50" t="s">
        <v>848</v>
      </c>
      <c r="D419" s="50" t="s">
        <v>849</v>
      </c>
      <c r="E419" s="50"/>
      <c r="F419" s="48" t="s">
        <v>116</v>
      </c>
      <c r="G419" s="9">
        <v>9</v>
      </c>
      <c r="H419" s="12">
        <f>'Engineering Assumptions'!$C$41*'Engineering Assumptions'!$B$5*U419</f>
        <v>6303.0000000000009</v>
      </c>
      <c r="I419" s="12">
        <f>'Engineering Assumptions'!$B$8</f>
        <v>650</v>
      </c>
      <c r="J419" s="12">
        <f>'Engineering Assumptions'!$D$41*S419*U419</f>
        <v>522.5</v>
      </c>
      <c r="K419" s="12">
        <f>'Engineering Assumptions'!$E$41*T419*U419</f>
        <v>429.00000000000006</v>
      </c>
      <c r="L419" s="13">
        <f t="shared" si="60"/>
        <v>7904.5000000000009</v>
      </c>
      <c r="M419" s="12">
        <f>L419*'Engineering Assumptions'!$B$10</f>
        <v>1185.6750000000002</v>
      </c>
      <c r="N419" s="13">
        <f t="shared" si="61"/>
        <v>9090.1750000000011</v>
      </c>
      <c r="O419" s="12">
        <f>N419*'Engineering Assumptions'!$B$11</f>
        <v>1818.0350000000003</v>
      </c>
      <c r="P419" s="156">
        <f t="shared" si="62"/>
        <v>10910</v>
      </c>
      <c r="Q419" s="12">
        <f>'Fleet Pricing'!H419</f>
        <v>9660</v>
      </c>
      <c r="R419" s="45">
        <v>9</v>
      </c>
      <c r="S419" s="49">
        <v>1.25</v>
      </c>
      <c r="T419" s="49">
        <v>0.75</v>
      </c>
      <c r="U419" s="49">
        <v>1.1000000000000001</v>
      </c>
    </row>
    <row r="420" spans="1:21" ht="15" customHeight="1" x14ac:dyDescent="0.3">
      <c r="A420" s="9">
        <v>392</v>
      </c>
      <c r="B420" s="50" t="s">
        <v>834</v>
      </c>
      <c r="C420" s="50" t="s">
        <v>848</v>
      </c>
      <c r="D420" s="50" t="s">
        <v>850</v>
      </c>
      <c r="E420" s="50">
        <v>14160</v>
      </c>
      <c r="F420" s="48" t="s">
        <v>116</v>
      </c>
      <c r="G420" s="9">
        <v>9</v>
      </c>
      <c r="H420" s="12">
        <f>'Engineering Assumptions'!$C$41*'Engineering Assumptions'!$B$5*U420</f>
        <v>6303.0000000000009</v>
      </c>
      <c r="I420" s="12">
        <f>'Engineering Assumptions'!$B$8</f>
        <v>650</v>
      </c>
      <c r="J420" s="12">
        <f>'Engineering Assumptions'!$D$41*S420*U420</f>
        <v>522.5</v>
      </c>
      <c r="K420" s="12">
        <f>'Engineering Assumptions'!$E$41*T420*U420</f>
        <v>429.00000000000006</v>
      </c>
      <c r="L420" s="13">
        <f t="shared" si="60"/>
        <v>7904.5000000000009</v>
      </c>
      <c r="M420" s="12">
        <f>L420*'Engineering Assumptions'!$B$10</f>
        <v>1185.6750000000002</v>
      </c>
      <c r="N420" s="13">
        <f t="shared" si="61"/>
        <v>9090.1750000000011</v>
      </c>
      <c r="O420" s="12">
        <f>N420*'Engineering Assumptions'!$B$11</f>
        <v>1818.0350000000003</v>
      </c>
      <c r="P420" s="156">
        <f t="shared" si="62"/>
        <v>10910</v>
      </c>
      <c r="Q420" s="12">
        <f>'Fleet Pricing'!H420</f>
        <v>9660</v>
      </c>
      <c r="R420" s="45">
        <v>9</v>
      </c>
      <c r="S420" s="49">
        <v>1.25</v>
      </c>
      <c r="T420" s="49">
        <v>0.75</v>
      </c>
      <c r="U420" s="49">
        <v>1.1000000000000001</v>
      </c>
    </row>
    <row r="421" spans="1:21" ht="15" customHeight="1" x14ac:dyDescent="0.3">
      <c r="A421" s="9">
        <v>393</v>
      </c>
      <c r="B421" s="50" t="s">
        <v>834</v>
      </c>
      <c r="C421" s="50" t="s">
        <v>851</v>
      </c>
      <c r="D421" s="50" t="s">
        <v>852</v>
      </c>
      <c r="E421" s="50"/>
      <c r="F421" s="48" t="s">
        <v>61</v>
      </c>
      <c r="G421" s="9">
        <v>11</v>
      </c>
      <c r="H421" s="12">
        <f>'Engineering Assumptions'!$C$41*'Engineering Assumptions'!$B$5*U421</f>
        <v>5730</v>
      </c>
      <c r="I421" s="12">
        <f>'Engineering Assumptions'!$B$8</f>
        <v>650</v>
      </c>
      <c r="J421" s="12">
        <f>'Engineering Assumptions'!$D$41*S421*U421</f>
        <v>589</v>
      </c>
      <c r="K421" s="12">
        <f>'Engineering Assumptions'!$E$41*T421*U421</f>
        <v>702</v>
      </c>
      <c r="L421" s="13">
        <f t="shared" si="60"/>
        <v>7671</v>
      </c>
      <c r="M421" s="12">
        <f>L421*'Engineering Assumptions'!$B$10</f>
        <v>1150.6499999999999</v>
      </c>
      <c r="N421" s="13">
        <f t="shared" si="61"/>
        <v>8821.65</v>
      </c>
      <c r="O421" s="12">
        <f>N421*'Engineering Assumptions'!$B$11</f>
        <v>1764.33</v>
      </c>
      <c r="P421" s="156">
        <f t="shared" si="62"/>
        <v>10590</v>
      </c>
      <c r="Q421" s="12">
        <f>'Fleet Pricing'!H421</f>
        <v>8790</v>
      </c>
      <c r="R421" s="45">
        <v>11</v>
      </c>
      <c r="S421" s="49">
        <v>1.55</v>
      </c>
      <c r="T421" s="49">
        <v>1.35</v>
      </c>
      <c r="U421" s="49">
        <v>1</v>
      </c>
    </row>
    <row r="422" spans="1:21" ht="15" customHeight="1" x14ac:dyDescent="0.3">
      <c r="A422" s="9">
        <v>394</v>
      </c>
      <c r="B422" s="50" t="s">
        <v>834</v>
      </c>
      <c r="C422" s="50" t="s">
        <v>853</v>
      </c>
      <c r="D422" s="50" t="s">
        <v>854</v>
      </c>
      <c r="E422" s="50"/>
      <c r="F422" s="48" t="s">
        <v>94</v>
      </c>
      <c r="G422" s="9">
        <v>12</v>
      </c>
      <c r="H422" s="12">
        <f>'Engineering Assumptions'!$C$41*'Engineering Assumptions'!$B$5*U422</f>
        <v>3151.5000000000005</v>
      </c>
      <c r="I422" s="12">
        <f>'Engineering Assumptions'!$B$8</f>
        <v>650</v>
      </c>
      <c r="J422" s="12">
        <f>'Engineering Assumptions'!$D$41*S422*U422</f>
        <v>323.95000000000005</v>
      </c>
      <c r="K422" s="12">
        <f>'Engineering Assumptions'!$E$41*T422*U422</f>
        <v>386.1</v>
      </c>
      <c r="L422" s="13">
        <f t="shared" si="60"/>
        <v>4511.5500000000011</v>
      </c>
      <c r="M422" s="12">
        <f>L422*'Engineering Assumptions'!$B$10</f>
        <v>676.73250000000019</v>
      </c>
      <c r="N422" s="13">
        <f t="shared" si="61"/>
        <v>5188.2825000000012</v>
      </c>
      <c r="O422" s="12">
        <f>N422*'Engineering Assumptions'!$B$11</f>
        <v>1037.6565000000003</v>
      </c>
      <c r="P422" s="156">
        <f t="shared" si="62"/>
        <v>6230</v>
      </c>
      <c r="Q422" s="12">
        <f>'Fleet Pricing'!H422</f>
        <v>4310</v>
      </c>
      <c r="R422" s="45">
        <v>12</v>
      </c>
      <c r="S422" s="49">
        <v>1.55</v>
      </c>
      <c r="T422" s="49">
        <v>1.35</v>
      </c>
      <c r="U422" s="49">
        <v>0.55000000000000004</v>
      </c>
    </row>
    <row r="423" spans="1:21" ht="15" customHeight="1" x14ac:dyDescent="0.3">
      <c r="A423" s="9">
        <v>395</v>
      </c>
      <c r="B423" s="50" t="s">
        <v>834</v>
      </c>
      <c r="C423" s="50" t="s">
        <v>855</v>
      </c>
      <c r="D423" s="50" t="s">
        <v>856</v>
      </c>
      <c r="E423" s="50"/>
      <c r="F423" s="48" t="s">
        <v>94</v>
      </c>
      <c r="G423" s="9">
        <v>12</v>
      </c>
      <c r="H423" s="12">
        <f>'Engineering Assumptions'!$C$41*'Engineering Assumptions'!$B$5*U423</f>
        <v>5443.5</v>
      </c>
      <c r="I423" s="12">
        <f>'Engineering Assumptions'!$B$8</f>
        <v>650</v>
      </c>
      <c r="J423" s="12">
        <f>'Engineering Assumptions'!$D$41*S423*U423</f>
        <v>559.54999999999995</v>
      </c>
      <c r="K423" s="12">
        <f>'Engineering Assumptions'!$E$41*T423*U423</f>
        <v>666.9</v>
      </c>
      <c r="L423" s="13">
        <f t="shared" si="60"/>
        <v>7319.95</v>
      </c>
      <c r="M423" s="12">
        <f>L423*'Engineering Assumptions'!$B$10</f>
        <v>1097.9924999999998</v>
      </c>
      <c r="N423" s="13">
        <f t="shared" si="61"/>
        <v>8417.9424999999992</v>
      </c>
      <c r="O423" s="12">
        <f>N423*'Engineering Assumptions'!$B$11</f>
        <v>1683.5884999999998</v>
      </c>
      <c r="P423" s="156">
        <f t="shared" si="62"/>
        <v>10100</v>
      </c>
      <c r="Q423" s="12">
        <f>'Fleet Pricing'!H423</f>
        <v>7440</v>
      </c>
      <c r="R423" s="45">
        <v>12</v>
      </c>
      <c r="S423" s="49">
        <v>1.55</v>
      </c>
      <c r="T423" s="49">
        <v>1.35</v>
      </c>
      <c r="U423" s="49">
        <v>0.95</v>
      </c>
    </row>
    <row r="424" spans="1:21" ht="15" customHeight="1" x14ac:dyDescent="0.3">
      <c r="A424" s="9">
        <v>396</v>
      </c>
      <c r="B424" s="50" t="s">
        <v>834</v>
      </c>
      <c r="C424" s="50" t="s">
        <v>857</v>
      </c>
      <c r="D424" s="50" t="s">
        <v>858</v>
      </c>
      <c r="E424" s="50"/>
      <c r="F424" s="48" t="s">
        <v>94</v>
      </c>
      <c r="G424" s="9">
        <v>12</v>
      </c>
      <c r="H424" s="12">
        <f>'Engineering Assumptions'!$C$41*'Engineering Assumptions'!$B$5*U424</f>
        <v>4010.9999999999995</v>
      </c>
      <c r="I424" s="12">
        <f>'Engineering Assumptions'!$B$8</f>
        <v>650</v>
      </c>
      <c r="J424" s="12">
        <f>'Engineering Assumptions'!$D$41*S424*U424</f>
        <v>412.29999999999995</v>
      </c>
      <c r="K424" s="12">
        <f>'Engineering Assumptions'!$E$41*T424*U424</f>
        <v>491.4</v>
      </c>
      <c r="L424" s="13">
        <f t="shared" si="60"/>
        <v>5564.7</v>
      </c>
      <c r="M424" s="12">
        <f>L424*'Engineering Assumptions'!$B$10</f>
        <v>834.70499999999993</v>
      </c>
      <c r="N424" s="13">
        <f t="shared" si="61"/>
        <v>6399.4049999999997</v>
      </c>
      <c r="O424" s="12">
        <f>N424*'Engineering Assumptions'!$B$11</f>
        <v>1279.8810000000001</v>
      </c>
      <c r="P424" s="156">
        <f t="shared" si="62"/>
        <v>7680</v>
      </c>
      <c r="Q424" s="12">
        <f>'Fleet Pricing'!H424</f>
        <v>5480</v>
      </c>
      <c r="R424" s="45">
        <v>12</v>
      </c>
      <c r="S424" s="49">
        <v>1.55</v>
      </c>
      <c r="T424" s="49">
        <v>1.35</v>
      </c>
      <c r="U424" s="49">
        <v>0.7</v>
      </c>
    </row>
    <row r="425" spans="1:21" ht="15" customHeight="1" x14ac:dyDescent="0.3">
      <c r="A425" s="9">
        <v>397</v>
      </c>
      <c r="B425" s="50" t="s">
        <v>834</v>
      </c>
      <c r="C425" s="50" t="s">
        <v>859</v>
      </c>
      <c r="D425" s="50" t="s">
        <v>860</v>
      </c>
      <c r="E425" s="50"/>
      <c r="F425" s="48" t="s">
        <v>94</v>
      </c>
      <c r="G425" s="9">
        <v>12</v>
      </c>
      <c r="H425" s="12">
        <f>'Engineering Assumptions'!$C$41*'Engineering Assumptions'!$B$5*U425</f>
        <v>5730</v>
      </c>
      <c r="I425" s="12">
        <f>'Engineering Assumptions'!$B$8</f>
        <v>650</v>
      </c>
      <c r="J425" s="12">
        <f>'Engineering Assumptions'!$D$41*S425*U425</f>
        <v>589</v>
      </c>
      <c r="K425" s="12">
        <f>'Engineering Assumptions'!$E$41*T425*U425</f>
        <v>702</v>
      </c>
      <c r="L425" s="13">
        <f t="shared" si="60"/>
        <v>7671</v>
      </c>
      <c r="M425" s="12">
        <f>L425*'Engineering Assumptions'!$B$10</f>
        <v>1150.6499999999999</v>
      </c>
      <c r="N425" s="13">
        <f t="shared" si="61"/>
        <v>8821.65</v>
      </c>
      <c r="O425" s="12">
        <f>N425*'Engineering Assumptions'!$B$11</f>
        <v>1764.33</v>
      </c>
      <c r="P425" s="156">
        <f t="shared" si="62"/>
        <v>10590</v>
      </c>
      <c r="Q425" s="12">
        <f>'Fleet Pricing'!H425</f>
        <v>7830</v>
      </c>
      <c r="R425" s="45">
        <v>12</v>
      </c>
      <c r="S425" s="49">
        <v>1.55</v>
      </c>
      <c r="T425" s="49">
        <v>1.35</v>
      </c>
      <c r="U425" s="49">
        <v>1</v>
      </c>
    </row>
    <row r="426" spans="1:21" ht="15" customHeight="1" x14ac:dyDescent="0.3">
      <c r="A426" s="9">
        <v>398</v>
      </c>
      <c r="B426" s="50" t="s">
        <v>834</v>
      </c>
      <c r="C426" s="50" t="s">
        <v>861</v>
      </c>
      <c r="D426" s="50" t="s">
        <v>862</v>
      </c>
      <c r="E426" s="50"/>
      <c r="F426" s="48" t="s">
        <v>94</v>
      </c>
      <c r="G426" s="9">
        <v>12</v>
      </c>
      <c r="H426" s="12">
        <f>'Engineering Assumptions'!$C$41*'Engineering Assumptions'!$B$5*U426</f>
        <v>3151.5000000000005</v>
      </c>
      <c r="I426" s="12">
        <f>'Engineering Assumptions'!$B$8</f>
        <v>650</v>
      </c>
      <c r="J426" s="12">
        <f>'Engineering Assumptions'!$D$41*S426*U426</f>
        <v>323.95000000000005</v>
      </c>
      <c r="K426" s="12">
        <f>'Engineering Assumptions'!$E$41*T426*U426</f>
        <v>386.1</v>
      </c>
      <c r="L426" s="13">
        <f t="shared" si="60"/>
        <v>4511.5500000000011</v>
      </c>
      <c r="M426" s="12">
        <f>L426*'Engineering Assumptions'!$B$10</f>
        <v>676.73250000000019</v>
      </c>
      <c r="N426" s="13">
        <f t="shared" si="61"/>
        <v>5188.2825000000012</v>
      </c>
      <c r="O426" s="12">
        <f>N426*'Engineering Assumptions'!$B$11</f>
        <v>1037.6565000000003</v>
      </c>
      <c r="P426" s="156">
        <f t="shared" si="62"/>
        <v>6230</v>
      </c>
      <c r="Q426" s="12">
        <f>'Fleet Pricing'!H426</f>
        <v>4310</v>
      </c>
      <c r="R426" s="45">
        <v>12</v>
      </c>
      <c r="S426" s="49">
        <v>1.55</v>
      </c>
      <c r="T426" s="49">
        <v>1.35</v>
      </c>
      <c r="U426" s="49">
        <v>0.55000000000000004</v>
      </c>
    </row>
    <row r="427" spans="1:21" ht="15" customHeight="1" x14ac:dyDescent="0.3">
      <c r="A427" s="9">
        <v>399</v>
      </c>
      <c r="B427" s="50" t="s">
        <v>834</v>
      </c>
      <c r="C427" s="50" t="s">
        <v>863</v>
      </c>
      <c r="D427" s="50" t="s">
        <v>864</v>
      </c>
      <c r="E427" s="50"/>
      <c r="F427" s="48" t="s">
        <v>99</v>
      </c>
      <c r="G427" s="9">
        <v>13</v>
      </c>
      <c r="H427" s="12">
        <f>'Engineering Assumptions'!$C$41*'Engineering Assumptions'!$B$5*U427</f>
        <v>4870.5</v>
      </c>
      <c r="I427" s="12">
        <f>'Engineering Assumptions'!$B$8</f>
        <v>650</v>
      </c>
      <c r="J427" s="12">
        <f>'Engineering Assumptions'!$D$41*S427*U427</f>
        <v>500.65</v>
      </c>
      <c r="K427" s="12">
        <f>'Engineering Assumptions'!$E$41*T427*U427</f>
        <v>596.69999999999993</v>
      </c>
      <c r="L427" s="13">
        <f t="shared" si="60"/>
        <v>6617.8499999999995</v>
      </c>
      <c r="M427" s="12">
        <f>L427*'Engineering Assumptions'!$B$10</f>
        <v>992.6774999999999</v>
      </c>
      <c r="N427" s="13">
        <f t="shared" si="61"/>
        <v>7610.5274999999992</v>
      </c>
      <c r="O427" s="12">
        <f>N427*'Engineering Assumptions'!$B$11</f>
        <v>1522.1054999999999</v>
      </c>
      <c r="P427" s="156">
        <f t="shared" si="62"/>
        <v>9130</v>
      </c>
      <c r="Q427" s="12">
        <f>'Fleet Pricing'!H427</f>
        <v>6660</v>
      </c>
      <c r="R427" s="45">
        <v>13</v>
      </c>
      <c r="S427" s="49">
        <v>1.55</v>
      </c>
      <c r="T427" s="49">
        <v>1.35</v>
      </c>
      <c r="U427" s="49">
        <v>0.85</v>
      </c>
    </row>
    <row r="428" spans="1:21" ht="15" customHeight="1" x14ac:dyDescent="0.3">
      <c r="A428" s="9">
        <v>400</v>
      </c>
      <c r="B428" s="50" t="s">
        <v>834</v>
      </c>
      <c r="C428" s="50" t="s">
        <v>865</v>
      </c>
      <c r="D428" s="50" t="s">
        <v>866</v>
      </c>
      <c r="E428" s="50"/>
      <c r="F428" s="48" t="s">
        <v>99</v>
      </c>
      <c r="G428" s="9">
        <v>13</v>
      </c>
      <c r="H428" s="12">
        <f>'Engineering Assumptions'!$C$41*'Engineering Assumptions'!$B$5*U428</f>
        <v>3151.5000000000005</v>
      </c>
      <c r="I428" s="12">
        <f>'Engineering Assumptions'!$B$8</f>
        <v>650</v>
      </c>
      <c r="J428" s="12">
        <f>'Engineering Assumptions'!$D$41*S428*U428</f>
        <v>323.95000000000005</v>
      </c>
      <c r="K428" s="12">
        <f>'Engineering Assumptions'!$E$41*T428*U428</f>
        <v>386.1</v>
      </c>
      <c r="L428" s="13">
        <f t="shared" si="60"/>
        <v>4511.5500000000011</v>
      </c>
      <c r="M428" s="12">
        <f>L428*'Engineering Assumptions'!$B$10</f>
        <v>676.73250000000019</v>
      </c>
      <c r="N428" s="13">
        <f t="shared" si="61"/>
        <v>5188.2825000000012</v>
      </c>
      <c r="O428" s="12">
        <f>N428*'Engineering Assumptions'!$B$11</f>
        <v>1037.6565000000003</v>
      </c>
      <c r="P428" s="156">
        <f t="shared" si="62"/>
        <v>6230</v>
      </c>
      <c r="Q428" s="12">
        <f>'Fleet Pricing'!H428</f>
        <v>4310</v>
      </c>
      <c r="R428" s="45">
        <v>13</v>
      </c>
      <c r="S428" s="49">
        <v>1.55</v>
      </c>
      <c r="T428" s="49">
        <v>1.35</v>
      </c>
      <c r="U428" s="49">
        <v>0.55000000000000004</v>
      </c>
    </row>
    <row r="429" spans="1:21" ht="15" customHeight="1" x14ac:dyDescent="0.3">
      <c r="A429" s="9">
        <v>401</v>
      </c>
      <c r="B429" s="50" t="s">
        <v>834</v>
      </c>
      <c r="C429" s="50" t="s">
        <v>867</v>
      </c>
      <c r="D429" s="50" t="s">
        <v>868</v>
      </c>
      <c r="E429" s="50"/>
      <c r="F429" s="48" t="s">
        <v>99</v>
      </c>
      <c r="G429" s="9">
        <v>13</v>
      </c>
      <c r="H429" s="12">
        <f>'Engineering Assumptions'!$C$41*'Engineering Assumptions'!$B$5*U429</f>
        <v>6016.5</v>
      </c>
      <c r="I429" s="12">
        <f>'Engineering Assumptions'!$B$8</f>
        <v>650</v>
      </c>
      <c r="J429" s="12">
        <f>'Engineering Assumptions'!$D$41*S429*U429</f>
        <v>618.45000000000005</v>
      </c>
      <c r="K429" s="12">
        <f>'Engineering Assumptions'!$E$41*T429*U429</f>
        <v>737.1</v>
      </c>
      <c r="L429" s="13">
        <f t="shared" si="60"/>
        <v>8022.05</v>
      </c>
      <c r="M429" s="12">
        <f>L429*'Engineering Assumptions'!$B$10</f>
        <v>1203.3074999999999</v>
      </c>
      <c r="N429" s="13">
        <f t="shared" si="61"/>
        <v>9225.3575000000001</v>
      </c>
      <c r="O429" s="12">
        <f>N429*'Engineering Assumptions'!$B$11</f>
        <v>1845.0715</v>
      </c>
      <c r="P429" s="156">
        <f t="shared" si="62"/>
        <v>11070</v>
      </c>
      <c r="Q429" s="12">
        <f>'Fleet Pricing'!H429</f>
        <v>8220</v>
      </c>
      <c r="R429" s="45">
        <v>13</v>
      </c>
      <c r="S429" s="49">
        <v>1.55</v>
      </c>
      <c r="T429" s="49">
        <v>1.35</v>
      </c>
      <c r="U429" s="49">
        <v>1.05</v>
      </c>
    </row>
    <row r="430" spans="1:21" ht="15" customHeight="1" x14ac:dyDescent="0.3">
      <c r="A430" s="9">
        <v>402</v>
      </c>
      <c r="B430" s="50" t="s">
        <v>834</v>
      </c>
      <c r="C430" s="50" t="s">
        <v>869</v>
      </c>
      <c r="D430" s="50" t="s">
        <v>870</v>
      </c>
      <c r="E430" s="50"/>
      <c r="F430" s="48" t="s">
        <v>66</v>
      </c>
      <c r="G430" s="9">
        <v>14</v>
      </c>
      <c r="H430" s="12">
        <f>'Engineering Assumptions'!$C$41*'Engineering Assumptions'!$B$5*U430</f>
        <v>4870.5</v>
      </c>
      <c r="I430" s="12">
        <f>'Engineering Assumptions'!$B$8</f>
        <v>650</v>
      </c>
      <c r="J430" s="12">
        <f>'Engineering Assumptions'!$D$41*S430*U430</f>
        <v>500.65</v>
      </c>
      <c r="K430" s="12">
        <f>'Engineering Assumptions'!$E$41*T430*U430</f>
        <v>596.69999999999993</v>
      </c>
      <c r="L430" s="13">
        <f t="shared" si="60"/>
        <v>6617.8499999999995</v>
      </c>
      <c r="M430" s="12">
        <f>L430*'Engineering Assumptions'!$B$10</f>
        <v>992.6774999999999</v>
      </c>
      <c r="N430" s="13">
        <f t="shared" si="61"/>
        <v>7610.5274999999992</v>
      </c>
      <c r="O430" s="12">
        <f>N430*'Engineering Assumptions'!$B$11</f>
        <v>1522.1054999999999</v>
      </c>
      <c r="P430" s="156">
        <f t="shared" si="62"/>
        <v>9130</v>
      </c>
      <c r="Q430" s="12">
        <f>'Fleet Pricing'!H430</f>
        <v>6660</v>
      </c>
      <c r="R430" s="45">
        <v>14</v>
      </c>
      <c r="S430" s="49">
        <v>1.55</v>
      </c>
      <c r="T430" s="49">
        <v>1.35</v>
      </c>
      <c r="U430" s="49">
        <v>0.85</v>
      </c>
    </row>
    <row r="431" spans="1:21" ht="15" customHeight="1" x14ac:dyDescent="0.3">
      <c r="A431" s="9">
        <v>403</v>
      </c>
      <c r="B431" s="50" t="s">
        <v>834</v>
      </c>
      <c r="C431" s="50" t="s">
        <v>871</v>
      </c>
      <c r="D431" s="50" t="s">
        <v>872</v>
      </c>
      <c r="E431" s="50"/>
      <c r="F431" s="48" t="s">
        <v>66</v>
      </c>
      <c r="G431" s="9">
        <v>14</v>
      </c>
      <c r="H431" s="12">
        <f>'Engineering Assumptions'!$C$41*'Engineering Assumptions'!$B$5*U431</f>
        <v>3151.5000000000005</v>
      </c>
      <c r="I431" s="12">
        <f>'Engineering Assumptions'!$B$8</f>
        <v>650</v>
      </c>
      <c r="J431" s="12">
        <f>'Engineering Assumptions'!$D$41*S431*U431</f>
        <v>323.95000000000005</v>
      </c>
      <c r="K431" s="12">
        <f>'Engineering Assumptions'!$E$41*T431*U431</f>
        <v>386.1</v>
      </c>
      <c r="L431" s="13">
        <f t="shared" si="60"/>
        <v>4511.5500000000011</v>
      </c>
      <c r="M431" s="12">
        <f>L431*'Engineering Assumptions'!$B$10</f>
        <v>676.73250000000019</v>
      </c>
      <c r="N431" s="13">
        <f t="shared" si="61"/>
        <v>5188.2825000000012</v>
      </c>
      <c r="O431" s="12">
        <f>N431*'Engineering Assumptions'!$B$11</f>
        <v>1037.6565000000003</v>
      </c>
      <c r="P431" s="156">
        <f t="shared" si="62"/>
        <v>6230</v>
      </c>
      <c r="Q431" s="12">
        <f>'Fleet Pricing'!H431</f>
        <v>4310</v>
      </c>
      <c r="R431" s="45">
        <v>14</v>
      </c>
      <c r="S431" s="49">
        <v>1.55</v>
      </c>
      <c r="T431" s="49">
        <v>1.35</v>
      </c>
      <c r="U431" s="49">
        <v>0.55000000000000004</v>
      </c>
    </row>
    <row r="432" spans="1:21" ht="15" customHeight="1" x14ac:dyDescent="0.3">
      <c r="A432" s="9">
        <v>404</v>
      </c>
      <c r="B432" s="50" t="s">
        <v>834</v>
      </c>
      <c r="C432" s="50" t="s">
        <v>873</v>
      </c>
      <c r="D432" s="50" t="s">
        <v>874</v>
      </c>
      <c r="E432" s="50"/>
      <c r="F432" s="48" t="s">
        <v>66</v>
      </c>
      <c r="G432" s="9">
        <v>14</v>
      </c>
      <c r="H432" s="12">
        <f>'Engineering Assumptions'!$C$41*'Engineering Assumptions'!$B$5*U432</f>
        <v>4010.9999999999995</v>
      </c>
      <c r="I432" s="12">
        <f>'Engineering Assumptions'!$B$8</f>
        <v>650</v>
      </c>
      <c r="J432" s="12">
        <f>'Engineering Assumptions'!$D$41*S432*U432</f>
        <v>412.29999999999995</v>
      </c>
      <c r="K432" s="12">
        <f>'Engineering Assumptions'!$E$41*T432*U432</f>
        <v>491.4</v>
      </c>
      <c r="L432" s="13">
        <f t="shared" si="60"/>
        <v>5564.7</v>
      </c>
      <c r="M432" s="12">
        <f>L432*'Engineering Assumptions'!$B$10</f>
        <v>834.70499999999993</v>
      </c>
      <c r="N432" s="13">
        <f t="shared" si="61"/>
        <v>6399.4049999999997</v>
      </c>
      <c r="O432" s="12">
        <f>N432*'Engineering Assumptions'!$B$11</f>
        <v>1279.8810000000001</v>
      </c>
      <c r="P432" s="156">
        <f t="shared" si="62"/>
        <v>7680</v>
      </c>
      <c r="Q432" s="12">
        <f>'Fleet Pricing'!H432</f>
        <v>5480</v>
      </c>
      <c r="R432" s="45">
        <v>14</v>
      </c>
      <c r="S432" s="49">
        <v>1.55</v>
      </c>
      <c r="T432" s="49">
        <v>1.35</v>
      </c>
      <c r="U432" s="49">
        <v>0.7</v>
      </c>
    </row>
    <row r="433" spans="1:21" ht="15" customHeight="1" x14ac:dyDescent="0.3">
      <c r="A433" s="9">
        <v>405</v>
      </c>
      <c r="B433" s="50" t="s">
        <v>834</v>
      </c>
      <c r="C433" s="50" t="s">
        <v>875</v>
      </c>
      <c r="D433" s="50" t="s">
        <v>876</v>
      </c>
      <c r="E433" s="50"/>
      <c r="F433" s="48" t="s">
        <v>458</v>
      </c>
      <c r="G433" s="9">
        <v>15</v>
      </c>
      <c r="H433" s="12">
        <f>'Engineering Assumptions'!$C$41*'Engineering Assumptions'!$B$5*U433</f>
        <v>4870.5</v>
      </c>
      <c r="I433" s="12">
        <f>'Engineering Assumptions'!$B$8</f>
        <v>650</v>
      </c>
      <c r="J433" s="12">
        <f>'Engineering Assumptions'!$D$41*S433*U433</f>
        <v>500.65</v>
      </c>
      <c r="K433" s="12">
        <f>'Engineering Assumptions'!$E$41*T433*U433</f>
        <v>596.69999999999993</v>
      </c>
      <c r="L433" s="13">
        <f t="shared" si="60"/>
        <v>6617.8499999999995</v>
      </c>
      <c r="M433" s="12">
        <f>L433*'Engineering Assumptions'!$B$10</f>
        <v>992.6774999999999</v>
      </c>
      <c r="N433" s="13">
        <f t="shared" si="61"/>
        <v>7610.5274999999992</v>
      </c>
      <c r="O433" s="12">
        <f>N433*'Engineering Assumptions'!$B$11</f>
        <v>1522.1054999999999</v>
      </c>
      <c r="P433" s="156">
        <f t="shared" si="62"/>
        <v>9130</v>
      </c>
      <c r="Q433" s="12">
        <f>'Fleet Pricing'!H433</f>
        <v>6660</v>
      </c>
      <c r="R433" s="45">
        <v>15</v>
      </c>
      <c r="S433" s="49">
        <v>1.55</v>
      </c>
      <c r="T433" s="49">
        <v>1.35</v>
      </c>
      <c r="U433" s="49">
        <v>0.85</v>
      </c>
    </row>
    <row r="434" spans="1:21" ht="15" customHeight="1" x14ac:dyDescent="0.3">
      <c r="A434" s="9">
        <v>406</v>
      </c>
      <c r="B434" s="50" t="s">
        <v>834</v>
      </c>
      <c r="C434" s="50" t="s">
        <v>877</v>
      </c>
      <c r="D434" s="50" t="s">
        <v>878</v>
      </c>
      <c r="E434" s="50"/>
      <c r="F434" s="48" t="s">
        <v>107</v>
      </c>
      <c r="G434" s="9">
        <v>16</v>
      </c>
      <c r="H434" s="12">
        <f>'Engineering Assumptions'!$C$41*'Engineering Assumptions'!$B$5*U434</f>
        <v>5730</v>
      </c>
      <c r="I434" s="12">
        <f>'Engineering Assumptions'!$B$8</f>
        <v>650</v>
      </c>
      <c r="J434" s="12">
        <f>'Engineering Assumptions'!$D$41*S434*U434</f>
        <v>741</v>
      </c>
      <c r="K434" s="12">
        <f>'Engineering Assumptions'!$E$41*T434*U434</f>
        <v>1092</v>
      </c>
      <c r="L434" s="13">
        <f t="shared" si="60"/>
        <v>8213</v>
      </c>
      <c r="M434" s="12">
        <f>L434*'Engineering Assumptions'!$B$10</f>
        <v>1231.95</v>
      </c>
      <c r="N434" s="13">
        <f t="shared" si="61"/>
        <v>9444.9500000000007</v>
      </c>
      <c r="O434" s="12">
        <f>N434*'Engineering Assumptions'!$B$11</f>
        <v>1888.9900000000002</v>
      </c>
      <c r="P434" s="156">
        <f t="shared" si="62"/>
        <v>11330</v>
      </c>
      <c r="Q434" s="12">
        <f>'Fleet Pricing'!H434</f>
        <v>7830</v>
      </c>
      <c r="R434" s="45">
        <v>16</v>
      </c>
      <c r="S434" s="49">
        <v>1.95</v>
      </c>
      <c r="T434" s="49">
        <v>2.1</v>
      </c>
      <c r="U434" s="49">
        <v>1</v>
      </c>
    </row>
    <row r="435" spans="1:21" ht="15" customHeight="1" x14ac:dyDescent="0.3">
      <c r="A435" s="9">
        <v>407</v>
      </c>
      <c r="B435" s="50" t="s">
        <v>834</v>
      </c>
      <c r="C435" s="50" t="s">
        <v>875</v>
      </c>
      <c r="D435" s="50" t="s">
        <v>879</v>
      </c>
      <c r="E435" s="50"/>
      <c r="F435" s="48" t="s">
        <v>107</v>
      </c>
      <c r="G435" s="9">
        <v>16</v>
      </c>
      <c r="H435" s="12">
        <f>'Engineering Assumptions'!$C$41*'Engineering Assumptions'!$B$5*U435</f>
        <v>4870.5</v>
      </c>
      <c r="I435" s="12">
        <f>'Engineering Assumptions'!$B$8</f>
        <v>650</v>
      </c>
      <c r="J435" s="12">
        <f>'Engineering Assumptions'!$D$41*S435*U435</f>
        <v>629.85</v>
      </c>
      <c r="K435" s="12">
        <f>'Engineering Assumptions'!$E$41*T435*U435</f>
        <v>928.19999999999993</v>
      </c>
      <c r="L435" s="13">
        <f t="shared" si="60"/>
        <v>7078.55</v>
      </c>
      <c r="M435" s="12">
        <f>L435*'Engineering Assumptions'!$B$10</f>
        <v>1061.7825</v>
      </c>
      <c r="N435" s="13">
        <f t="shared" si="61"/>
        <v>8140.3325000000004</v>
      </c>
      <c r="O435" s="12">
        <f>N435*'Engineering Assumptions'!$B$11</f>
        <v>1628.0665000000001</v>
      </c>
      <c r="P435" s="156">
        <f t="shared" si="62"/>
        <v>9770</v>
      </c>
      <c r="Q435" s="12">
        <f>'Fleet Pricing'!H435</f>
        <v>6660</v>
      </c>
      <c r="R435" s="45">
        <v>16</v>
      </c>
      <c r="S435" s="49">
        <v>1.95</v>
      </c>
      <c r="T435" s="49">
        <v>2.1</v>
      </c>
      <c r="U435" s="49">
        <v>0.85</v>
      </c>
    </row>
    <row r="436" spans="1:21" ht="15" customHeight="1" x14ac:dyDescent="0.3">
      <c r="A436" s="9">
        <v>408</v>
      </c>
      <c r="B436" s="50" t="s">
        <v>834</v>
      </c>
      <c r="C436" s="50" t="s">
        <v>880</v>
      </c>
      <c r="D436" s="50" t="s">
        <v>881</v>
      </c>
      <c r="E436" s="50"/>
      <c r="F436" s="48" t="s">
        <v>107</v>
      </c>
      <c r="G436" s="9">
        <v>16</v>
      </c>
      <c r="H436" s="12">
        <f>'Engineering Assumptions'!$C$41*'Engineering Assumptions'!$B$5*U436</f>
        <v>3151.5000000000005</v>
      </c>
      <c r="I436" s="12">
        <f>'Engineering Assumptions'!$B$8</f>
        <v>650</v>
      </c>
      <c r="J436" s="12">
        <f>'Engineering Assumptions'!$D$41*S436*U436</f>
        <v>407.55</v>
      </c>
      <c r="K436" s="12">
        <f>'Engineering Assumptions'!$E$41*T436*U436</f>
        <v>600.6</v>
      </c>
      <c r="L436" s="13">
        <f t="shared" si="60"/>
        <v>4809.6500000000005</v>
      </c>
      <c r="M436" s="12">
        <f>L436*'Engineering Assumptions'!$B$10</f>
        <v>721.4475000000001</v>
      </c>
      <c r="N436" s="13">
        <f t="shared" si="61"/>
        <v>5531.0975000000008</v>
      </c>
      <c r="O436" s="12">
        <f>N436*'Engineering Assumptions'!$B$11</f>
        <v>1106.2195000000002</v>
      </c>
      <c r="P436" s="156">
        <f t="shared" si="62"/>
        <v>6640</v>
      </c>
      <c r="Q436" s="12">
        <f>'Fleet Pricing'!H436</f>
        <v>4310</v>
      </c>
      <c r="R436" s="45">
        <v>16</v>
      </c>
      <c r="S436" s="49">
        <v>1.95</v>
      </c>
      <c r="T436" s="49">
        <v>2.1</v>
      </c>
      <c r="U436" s="49">
        <v>0.55000000000000004</v>
      </c>
    </row>
    <row r="437" spans="1:21" ht="15" customHeight="1" x14ac:dyDescent="0.3">
      <c r="A437" s="9">
        <v>409</v>
      </c>
      <c r="B437" s="50" t="s">
        <v>834</v>
      </c>
      <c r="C437" s="50" t="s">
        <v>882</v>
      </c>
      <c r="D437" s="50" t="s">
        <v>883</v>
      </c>
      <c r="E437" s="50"/>
      <c r="F437" s="48" t="s">
        <v>110</v>
      </c>
      <c r="G437" s="9">
        <v>17</v>
      </c>
      <c r="H437" s="12">
        <f>'Engineering Assumptions'!$C$41*'Engineering Assumptions'!$B$5*U437</f>
        <v>4010.9999999999995</v>
      </c>
      <c r="I437" s="12">
        <f>'Engineering Assumptions'!$B$8</f>
        <v>650</v>
      </c>
      <c r="J437" s="12">
        <f>'Engineering Assumptions'!$D$41*S437*U437</f>
        <v>518.69999999999993</v>
      </c>
      <c r="K437" s="12">
        <f>'Engineering Assumptions'!$E$41*T437*U437</f>
        <v>764.4</v>
      </c>
      <c r="L437" s="13">
        <f t="shared" si="60"/>
        <v>5944.0999999999995</v>
      </c>
      <c r="M437" s="12">
        <f>L437*'Engineering Assumptions'!$B$10</f>
        <v>891.6149999999999</v>
      </c>
      <c r="N437" s="13">
        <f t="shared" si="61"/>
        <v>6835.7149999999992</v>
      </c>
      <c r="O437" s="12">
        <f>N437*'Engineering Assumptions'!$B$11</f>
        <v>1367.143</v>
      </c>
      <c r="P437" s="156">
        <f t="shared" si="62"/>
        <v>8200</v>
      </c>
      <c r="Q437" s="12">
        <f>'Fleet Pricing'!H437</f>
        <v>4810</v>
      </c>
      <c r="R437" s="45">
        <v>17</v>
      </c>
      <c r="S437" s="49">
        <v>1.95</v>
      </c>
      <c r="T437" s="49">
        <v>2.1</v>
      </c>
      <c r="U437" s="49">
        <v>0.7</v>
      </c>
    </row>
    <row r="438" spans="1:21" ht="15" customHeight="1" x14ac:dyDescent="0.3">
      <c r="A438" s="9">
        <v>410</v>
      </c>
      <c r="B438" s="50" t="s">
        <v>834</v>
      </c>
      <c r="C438" s="50" t="s">
        <v>884</v>
      </c>
      <c r="D438" s="50" t="s">
        <v>885</v>
      </c>
      <c r="E438" s="50"/>
      <c r="F438" s="48" t="s">
        <v>110</v>
      </c>
      <c r="G438" s="9">
        <v>17</v>
      </c>
      <c r="H438" s="12">
        <f>'Engineering Assumptions'!$C$41*'Engineering Assumptions'!$B$5*U438</f>
        <v>3151.5000000000005</v>
      </c>
      <c r="I438" s="12">
        <f>'Engineering Assumptions'!$B$8</f>
        <v>650</v>
      </c>
      <c r="J438" s="12">
        <f>'Engineering Assumptions'!$D$41*S438*U438</f>
        <v>407.55</v>
      </c>
      <c r="K438" s="12">
        <f>'Engineering Assumptions'!$E$41*T438*U438</f>
        <v>600.6</v>
      </c>
      <c r="L438" s="13">
        <f t="shared" si="60"/>
        <v>4809.6500000000005</v>
      </c>
      <c r="M438" s="12">
        <f>L438*'Engineering Assumptions'!$B$10</f>
        <v>721.4475000000001</v>
      </c>
      <c r="N438" s="13">
        <f t="shared" si="61"/>
        <v>5531.0975000000008</v>
      </c>
      <c r="O438" s="12">
        <f>N438*'Engineering Assumptions'!$B$11</f>
        <v>1106.2195000000002</v>
      </c>
      <c r="P438" s="156">
        <f t="shared" si="62"/>
        <v>6640</v>
      </c>
      <c r="Q438" s="12">
        <f>'Fleet Pricing'!H438</f>
        <v>3780</v>
      </c>
      <c r="R438" s="45">
        <v>17</v>
      </c>
      <c r="S438" s="49">
        <v>1.95</v>
      </c>
      <c r="T438" s="49">
        <v>2.1</v>
      </c>
      <c r="U438" s="49">
        <v>0.55000000000000004</v>
      </c>
    </row>
    <row r="439" spans="1:21" ht="15" customHeight="1" x14ac:dyDescent="0.3">
      <c r="A439" s="9">
        <v>411</v>
      </c>
      <c r="B439" s="50" t="s">
        <v>834</v>
      </c>
      <c r="C439" s="50" t="s">
        <v>886</v>
      </c>
      <c r="D439" s="50" t="s">
        <v>887</v>
      </c>
      <c r="E439" s="50"/>
      <c r="F439" s="48" t="s">
        <v>110</v>
      </c>
      <c r="G439" s="9">
        <v>17</v>
      </c>
      <c r="H439" s="12">
        <f>'Engineering Assumptions'!$C$41*'Engineering Assumptions'!$B$5*U439</f>
        <v>3151.5000000000005</v>
      </c>
      <c r="I439" s="12">
        <f>'Engineering Assumptions'!$B$8</f>
        <v>650</v>
      </c>
      <c r="J439" s="12">
        <f>'Engineering Assumptions'!$D$41*S439*U439</f>
        <v>407.55</v>
      </c>
      <c r="K439" s="12">
        <f>'Engineering Assumptions'!$E$41*T439*U439</f>
        <v>600.6</v>
      </c>
      <c r="L439" s="13">
        <f t="shared" si="60"/>
        <v>4809.6500000000005</v>
      </c>
      <c r="M439" s="12">
        <f>L439*'Engineering Assumptions'!$B$10</f>
        <v>721.4475000000001</v>
      </c>
      <c r="N439" s="13">
        <f t="shared" si="61"/>
        <v>5531.0975000000008</v>
      </c>
      <c r="O439" s="12">
        <f>N439*'Engineering Assumptions'!$B$11</f>
        <v>1106.2195000000002</v>
      </c>
      <c r="P439" s="156">
        <f t="shared" si="62"/>
        <v>6640</v>
      </c>
      <c r="Q439" s="12">
        <f>'Fleet Pricing'!H439</f>
        <v>3780</v>
      </c>
      <c r="R439" s="45">
        <v>17</v>
      </c>
      <c r="S439" s="49">
        <v>1.95</v>
      </c>
      <c r="T439" s="49">
        <v>2.1</v>
      </c>
      <c r="U439" s="49">
        <v>0.55000000000000004</v>
      </c>
    </row>
    <row r="440" spans="1:21" ht="15" customHeight="1" x14ac:dyDescent="0.3">
      <c r="A440" s="9">
        <v>412</v>
      </c>
      <c r="B440" s="50" t="s">
        <v>834</v>
      </c>
      <c r="C440" s="50" t="s">
        <v>888</v>
      </c>
      <c r="D440" s="50" t="s">
        <v>889</v>
      </c>
      <c r="E440" s="50"/>
      <c r="F440" s="48" t="s">
        <v>110</v>
      </c>
      <c r="G440" s="9">
        <v>17</v>
      </c>
      <c r="H440" s="12">
        <f>'Engineering Assumptions'!$C$41*'Engineering Assumptions'!$B$5*U440</f>
        <v>5730</v>
      </c>
      <c r="I440" s="12">
        <f>'Engineering Assumptions'!$B$8</f>
        <v>650</v>
      </c>
      <c r="J440" s="12">
        <f>'Engineering Assumptions'!$D$41*S440*U440</f>
        <v>741</v>
      </c>
      <c r="K440" s="12">
        <f>'Engineering Assumptions'!$E$41*T440*U440</f>
        <v>1092</v>
      </c>
      <c r="L440" s="13">
        <f t="shared" si="60"/>
        <v>8213</v>
      </c>
      <c r="M440" s="12">
        <f>L440*'Engineering Assumptions'!$B$10</f>
        <v>1231.95</v>
      </c>
      <c r="N440" s="13">
        <f t="shared" si="61"/>
        <v>9444.9500000000007</v>
      </c>
      <c r="O440" s="12">
        <f>N440*'Engineering Assumptions'!$B$11</f>
        <v>1888.9900000000002</v>
      </c>
      <c r="P440" s="156">
        <f t="shared" si="62"/>
        <v>11330</v>
      </c>
      <c r="Q440" s="12">
        <f>'Fleet Pricing'!H440</f>
        <v>6880</v>
      </c>
      <c r="R440" s="45">
        <v>17</v>
      </c>
      <c r="S440" s="49">
        <v>1.95</v>
      </c>
      <c r="T440" s="49">
        <v>2.1</v>
      </c>
      <c r="U440" s="49">
        <v>1</v>
      </c>
    </row>
    <row r="441" spans="1:21" ht="15" customHeight="1" x14ac:dyDescent="0.3">
      <c r="A441" s="9">
        <v>413</v>
      </c>
      <c r="B441" s="50" t="s">
        <v>834</v>
      </c>
      <c r="C441" s="50" t="s">
        <v>890</v>
      </c>
      <c r="D441" s="50" t="s">
        <v>891</v>
      </c>
      <c r="E441" s="50"/>
      <c r="F441" s="48" t="s">
        <v>110</v>
      </c>
      <c r="G441" s="9">
        <v>17</v>
      </c>
      <c r="H441" s="12">
        <f>'Engineering Assumptions'!$C$41*'Engineering Assumptions'!$B$5*U441</f>
        <v>3151.5000000000005</v>
      </c>
      <c r="I441" s="12">
        <f>'Engineering Assumptions'!$B$8</f>
        <v>650</v>
      </c>
      <c r="J441" s="12">
        <f>'Engineering Assumptions'!$D$41*S441*U441</f>
        <v>407.55</v>
      </c>
      <c r="K441" s="12">
        <f>'Engineering Assumptions'!$E$41*T441*U441</f>
        <v>600.6</v>
      </c>
      <c r="L441" s="13">
        <f t="shared" si="60"/>
        <v>4809.6500000000005</v>
      </c>
      <c r="M441" s="12">
        <f>L441*'Engineering Assumptions'!$B$10</f>
        <v>721.4475000000001</v>
      </c>
      <c r="N441" s="13">
        <f t="shared" si="61"/>
        <v>5531.0975000000008</v>
      </c>
      <c r="O441" s="12">
        <f>N441*'Engineering Assumptions'!$B$11</f>
        <v>1106.2195000000002</v>
      </c>
      <c r="P441" s="156">
        <f t="shared" si="62"/>
        <v>6640</v>
      </c>
      <c r="Q441" s="12">
        <f>'Fleet Pricing'!H441</f>
        <v>3780</v>
      </c>
      <c r="R441" s="45">
        <v>17</v>
      </c>
      <c r="S441" s="49">
        <v>1.95</v>
      </c>
      <c r="T441" s="49">
        <v>2.1</v>
      </c>
      <c r="U441" s="49">
        <v>0.55000000000000004</v>
      </c>
    </row>
    <row r="442" spans="1:21" ht="15" customHeight="1" x14ac:dyDescent="0.3">
      <c r="A442" s="9">
        <v>414</v>
      </c>
      <c r="B442" s="50" t="s">
        <v>834</v>
      </c>
      <c r="C442" s="50" t="s">
        <v>188</v>
      </c>
      <c r="D442" s="50" t="s">
        <v>892</v>
      </c>
      <c r="E442" s="50"/>
      <c r="F442" s="48" t="s">
        <v>195</v>
      </c>
      <c r="G442" s="9">
        <v>30</v>
      </c>
      <c r="H442" s="12">
        <f>'Engineering Assumptions'!$C$41*'Engineering Assumptions'!$B$5*U442</f>
        <v>5730</v>
      </c>
      <c r="I442" s="12">
        <f>'Engineering Assumptions'!$B$8</f>
        <v>650</v>
      </c>
      <c r="J442" s="12">
        <f>'Engineering Assumptions'!$D$41*S442*U442</f>
        <v>912</v>
      </c>
      <c r="K442" s="12">
        <f>'Engineering Assumptions'!$E$41*T442*U442</f>
        <v>1560</v>
      </c>
      <c r="L442" s="13">
        <f t="shared" si="60"/>
        <v>8852</v>
      </c>
      <c r="M442" s="12">
        <f>L442*'Engineering Assumptions'!$B$10</f>
        <v>1327.8</v>
      </c>
      <c r="N442" s="13">
        <f t="shared" si="61"/>
        <v>10179.799999999999</v>
      </c>
      <c r="O442" s="12">
        <f>N442*'Engineering Assumptions'!$B$11</f>
        <v>2035.96</v>
      </c>
      <c r="P442" s="156">
        <f t="shared" si="62"/>
        <v>12220</v>
      </c>
      <c r="Q442" s="12">
        <f>'Fleet Pricing'!H442</f>
        <v>5540</v>
      </c>
      <c r="R442" s="45">
        <v>30</v>
      </c>
      <c r="S442" s="49">
        <v>2.4</v>
      </c>
      <c r="T442" s="49">
        <v>3</v>
      </c>
      <c r="U442" s="49">
        <v>1</v>
      </c>
    </row>
    <row r="443" spans="1:21" ht="15" customHeight="1" x14ac:dyDescent="0.3">
      <c r="A443" s="9">
        <v>415</v>
      </c>
      <c r="B443" s="50" t="s">
        <v>834</v>
      </c>
      <c r="C443" s="50" t="s">
        <v>893</v>
      </c>
      <c r="D443" s="50" t="s">
        <v>894</v>
      </c>
      <c r="E443" s="50">
        <v>14160</v>
      </c>
      <c r="F443" s="48" t="s">
        <v>195</v>
      </c>
      <c r="G443" s="9">
        <v>30</v>
      </c>
      <c r="H443" s="12">
        <f>'Engineering Assumptions'!$C$41*'Engineering Assumptions'!$B$5*U443</f>
        <v>7449</v>
      </c>
      <c r="I443" s="12">
        <f>'Engineering Assumptions'!$B$8</f>
        <v>650</v>
      </c>
      <c r="J443" s="12">
        <f>'Engineering Assumptions'!$D$41*S443*U443</f>
        <v>1185.6000000000001</v>
      </c>
      <c r="K443" s="12">
        <f>'Engineering Assumptions'!$E$41*T443*U443</f>
        <v>2028</v>
      </c>
      <c r="L443" s="13">
        <f t="shared" si="60"/>
        <v>11312.6</v>
      </c>
      <c r="M443" s="12">
        <f>L443*'Engineering Assumptions'!$B$10</f>
        <v>1696.89</v>
      </c>
      <c r="N443" s="13">
        <f t="shared" si="61"/>
        <v>13009.49</v>
      </c>
      <c r="O443" s="12">
        <f>N443*'Engineering Assumptions'!$B$11</f>
        <v>2601.8980000000001</v>
      </c>
      <c r="P443" s="156">
        <f t="shared" si="62"/>
        <v>15610</v>
      </c>
      <c r="Q443" s="12">
        <f>'Fleet Pricing'!H443</f>
        <v>7200</v>
      </c>
      <c r="R443" s="45">
        <v>30</v>
      </c>
      <c r="S443" s="49">
        <v>2.4</v>
      </c>
      <c r="T443" s="49">
        <v>3</v>
      </c>
      <c r="U443" s="49">
        <v>1.3</v>
      </c>
    </row>
    <row r="444" spans="1:21" ht="15" customHeight="1" x14ac:dyDescent="0.3">
      <c r="A444" s="9">
        <v>416</v>
      </c>
      <c r="B444" s="50" t="s">
        <v>834</v>
      </c>
      <c r="C444" s="50" t="s">
        <v>895</v>
      </c>
      <c r="D444" s="50" t="s">
        <v>896</v>
      </c>
      <c r="E444" s="50"/>
      <c r="F444" s="48" t="s">
        <v>195</v>
      </c>
      <c r="G444" s="9">
        <v>30</v>
      </c>
      <c r="H444" s="12">
        <f>'Engineering Assumptions'!$C$41*'Engineering Assumptions'!$B$5*U444</f>
        <v>3724.5</v>
      </c>
      <c r="I444" s="12">
        <f>'Engineering Assumptions'!$B$8</f>
        <v>650</v>
      </c>
      <c r="J444" s="12">
        <f>'Engineering Assumptions'!$D$41*S444*U444</f>
        <v>592.80000000000007</v>
      </c>
      <c r="K444" s="12">
        <f>'Engineering Assumptions'!$E$41*T444*U444</f>
        <v>1014</v>
      </c>
      <c r="L444" s="13">
        <f t="shared" si="60"/>
        <v>5981.3</v>
      </c>
      <c r="M444" s="12">
        <f>L444*'Engineering Assumptions'!$B$10</f>
        <v>897.19500000000005</v>
      </c>
      <c r="N444" s="13">
        <f t="shared" si="61"/>
        <v>6878.4949999999999</v>
      </c>
      <c r="O444" s="12">
        <f>N444*'Engineering Assumptions'!$B$11</f>
        <v>1375.6990000000001</v>
      </c>
      <c r="P444" s="156">
        <f t="shared" si="62"/>
        <v>8250</v>
      </c>
      <c r="Q444" s="12">
        <f>'Fleet Pricing'!H444</f>
        <v>3600</v>
      </c>
      <c r="R444" s="45">
        <v>30</v>
      </c>
      <c r="S444" s="49">
        <v>2.4</v>
      </c>
      <c r="T444" s="49">
        <v>3</v>
      </c>
      <c r="U444" s="49">
        <v>0.65</v>
      </c>
    </row>
    <row r="445" spans="1:21" ht="15" customHeight="1" x14ac:dyDescent="0.3">
      <c r="A445" s="9">
        <v>417</v>
      </c>
      <c r="B445" s="50" t="s">
        <v>834</v>
      </c>
      <c r="C445" s="50" t="s">
        <v>897</v>
      </c>
      <c r="D445" s="50" t="s">
        <v>898</v>
      </c>
      <c r="E445" s="50"/>
      <c r="F445" s="48" t="s">
        <v>195</v>
      </c>
      <c r="G445" s="9">
        <v>30</v>
      </c>
      <c r="H445" s="12">
        <f>'Engineering Assumptions'!$C$41*'Engineering Assumptions'!$B$5*U445</f>
        <v>6303.0000000000009</v>
      </c>
      <c r="I445" s="12">
        <f>'Engineering Assumptions'!$B$8</f>
        <v>650</v>
      </c>
      <c r="J445" s="12">
        <f>'Engineering Assumptions'!$D$41*S445*U445</f>
        <v>1003.2</v>
      </c>
      <c r="K445" s="12">
        <f>'Engineering Assumptions'!$E$41*T445*U445</f>
        <v>1716.0000000000002</v>
      </c>
      <c r="L445" s="13">
        <f t="shared" si="60"/>
        <v>9672.2000000000007</v>
      </c>
      <c r="M445" s="12">
        <f>L445*'Engineering Assumptions'!$B$10</f>
        <v>1450.8300000000002</v>
      </c>
      <c r="N445" s="13">
        <f t="shared" si="61"/>
        <v>11123.03</v>
      </c>
      <c r="O445" s="12">
        <f>N445*'Engineering Assumptions'!$B$11</f>
        <v>2224.6060000000002</v>
      </c>
      <c r="P445" s="156">
        <f t="shared" si="62"/>
        <v>13350</v>
      </c>
      <c r="Q445" s="12">
        <f>'Fleet Pricing'!H445</f>
        <v>6090</v>
      </c>
      <c r="R445" s="45">
        <v>30</v>
      </c>
      <c r="S445" s="49">
        <v>2.4</v>
      </c>
      <c r="T445" s="49">
        <v>3</v>
      </c>
      <c r="U445" s="49">
        <v>1.1000000000000001</v>
      </c>
    </row>
    <row r="446" spans="1:21" ht="15" customHeight="1" x14ac:dyDescent="0.3">
      <c r="A446" s="9">
        <v>418</v>
      </c>
      <c r="B446" s="50" t="s">
        <v>834</v>
      </c>
      <c r="C446" s="50" t="s">
        <v>899</v>
      </c>
      <c r="D446" s="50" t="s">
        <v>900</v>
      </c>
      <c r="E446" s="50"/>
      <c r="F446" s="48" t="s">
        <v>195</v>
      </c>
      <c r="G446" s="9">
        <v>30</v>
      </c>
      <c r="H446" s="12">
        <f>'Engineering Assumptions'!$C$41*'Engineering Assumptions'!$B$5*U446</f>
        <v>7449</v>
      </c>
      <c r="I446" s="12">
        <f>'Engineering Assumptions'!$B$8</f>
        <v>650</v>
      </c>
      <c r="J446" s="12">
        <f>'Engineering Assumptions'!$D$41*S446*U446</f>
        <v>1185.6000000000001</v>
      </c>
      <c r="K446" s="12">
        <f>'Engineering Assumptions'!$E$41*T446*U446</f>
        <v>2028</v>
      </c>
      <c r="L446" s="13">
        <f t="shared" si="60"/>
        <v>11312.6</v>
      </c>
      <c r="M446" s="12">
        <f>L446*'Engineering Assumptions'!$B$10</f>
        <v>1696.89</v>
      </c>
      <c r="N446" s="13">
        <f t="shared" si="61"/>
        <v>13009.49</v>
      </c>
      <c r="O446" s="12">
        <f>N446*'Engineering Assumptions'!$B$11</f>
        <v>2601.8980000000001</v>
      </c>
      <c r="P446" s="156">
        <f t="shared" si="62"/>
        <v>15610</v>
      </c>
      <c r="Q446" s="12">
        <f>'Fleet Pricing'!H446</f>
        <v>7200</v>
      </c>
      <c r="R446" s="45">
        <v>30</v>
      </c>
      <c r="S446" s="49">
        <v>2.4</v>
      </c>
      <c r="T446" s="49">
        <v>3</v>
      </c>
      <c r="U446" s="49">
        <v>1.3</v>
      </c>
    </row>
    <row r="447" spans="1:21" ht="15" customHeight="1" x14ac:dyDescent="0.3">
      <c r="A447" s="9">
        <v>419</v>
      </c>
      <c r="B447" s="50" t="s">
        <v>834</v>
      </c>
      <c r="C447" s="50" t="s">
        <v>901</v>
      </c>
      <c r="D447" s="50" t="s">
        <v>902</v>
      </c>
      <c r="E447" s="50"/>
      <c r="F447" s="48" t="s">
        <v>195</v>
      </c>
      <c r="G447" s="9">
        <v>30</v>
      </c>
      <c r="H447" s="12">
        <f>'Engineering Assumptions'!$C$41*'Engineering Assumptions'!$B$5*U447</f>
        <v>6303.0000000000009</v>
      </c>
      <c r="I447" s="12">
        <f>'Engineering Assumptions'!$B$8</f>
        <v>650</v>
      </c>
      <c r="J447" s="12">
        <f>'Engineering Assumptions'!$D$41*S447*U447</f>
        <v>1003.2</v>
      </c>
      <c r="K447" s="12">
        <f>'Engineering Assumptions'!$E$41*T447*U447</f>
        <v>1716.0000000000002</v>
      </c>
      <c r="L447" s="13">
        <f t="shared" si="60"/>
        <v>9672.2000000000007</v>
      </c>
      <c r="M447" s="12">
        <f>L447*'Engineering Assumptions'!$B$10</f>
        <v>1450.8300000000002</v>
      </c>
      <c r="N447" s="13">
        <f t="shared" si="61"/>
        <v>11123.03</v>
      </c>
      <c r="O447" s="12">
        <f>N447*'Engineering Assumptions'!$B$11</f>
        <v>2224.6060000000002</v>
      </c>
      <c r="P447" s="156">
        <f t="shared" si="62"/>
        <v>13350</v>
      </c>
      <c r="Q447" s="12">
        <f>'Fleet Pricing'!H447</f>
        <v>6090</v>
      </c>
      <c r="R447" s="45">
        <v>30</v>
      </c>
      <c r="S447" s="49">
        <v>2.4</v>
      </c>
      <c r="T447" s="49">
        <v>3</v>
      </c>
      <c r="U447" s="49">
        <v>1.1000000000000001</v>
      </c>
    </row>
    <row r="448" spans="1:21" ht="15" customHeight="1" x14ac:dyDescent="0.3">
      <c r="A448" s="9">
        <v>420</v>
      </c>
      <c r="B448" s="50" t="s">
        <v>834</v>
      </c>
      <c r="C448" s="50" t="s">
        <v>903</v>
      </c>
      <c r="D448" s="50" t="s">
        <v>904</v>
      </c>
      <c r="E448" s="50"/>
      <c r="F448" s="48" t="s">
        <v>195</v>
      </c>
      <c r="G448" s="9">
        <v>30</v>
      </c>
      <c r="H448" s="12">
        <f>'Engineering Assumptions'!$C$41*'Engineering Assumptions'!$B$5*U448</f>
        <v>4870.5</v>
      </c>
      <c r="I448" s="12">
        <f>'Engineering Assumptions'!$B$8</f>
        <v>650</v>
      </c>
      <c r="J448" s="12">
        <f>'Engineering Assumptions'!$D$41*S448*U448</f>
        <v>775.19999999999993</v>
      </c>
      <c r="K448" s="12">
        <f>'Engineering Assumptions'!$E$41*T448*U448</f>
        <v>1326</v>
      </c>
      <c r="L448" s="13">
        <f t="shared" si="60"/>
        <v>7621.7</v>
      </c>
      <c r="M448" s="12">
        <f>L448*'Engineering Assumptions'!$B$10</f>
        <v>1143.2549999999999</v>
      </c>
      <c r="N448" s="13">
        <f t="shared" si="61"/>
        <v>8764.9549999999999</v>
      </c>
      <c r="O448" s="12">
        <f>N448*'Engineering Assumptions'!$B$11</f>
        <v>1752.991</v>
      </c>
      <c r="P448" s="156">
        <f t="shared" si="62"/>
        <v>10520</v>
      </c>
      <c r="Q448" s="12">
        <f>'Fleet Pricing'!H448</f>
        <v>4710</v>
      </c>
      <c r="R448" s="45">
        <v>30</v>
      </c>
      <c r="S448" s="49">
        <v>2.4</v>
      </c>
      <c r="T448" s="49">
        <v>3</v>
      </c>
      <c r="U448" s="49">
        <v>0.85</v>
      </c>
    </row>
    <row r="449" spans="1:21" ht="15" customHeight="1" x14ac:dyDescent="0.3">
      <c r="A449" s="9">
        <v>421</v>
      </c>
      <c r="B449" s="50" t="s">
        <v>834</v>
      </c>
      <c r="C449" s="50" t="s">
        <v>905</v>
      </c>
      <c r="D449" s="50" t="s">
        <v>906</v>
      </c>
      <c r="E449" s="50"/>
      <c r="F449" s="48" t="s">
        <v>195</v>
      </c>
      <c r="G449" s="9">
        <v>30</v>
      </c>
      <c r="H449" s="12">
        <f>'Engineering Assumptions'!$C$41*'Engineering Assumptions'!$B$5*U449</f>
        <v>6016.5</v>
      </c>
      <c r="I449" s="12">
        <f>'Engineering Assumptions'!$B$8</f>
        <v>650</v>
      </c>
      <c r="J449" s="12">
        <f>'Engineering Assumptions'!$D$41*S449*U449</f>
        <v>957.6</v>
      </c>
      <c r="K449" s="12">
        <f>'Engineering Assumptions'!$E$41*T449*U449</f>
        <v>1638</v>
      </c>
      <c r="L449" s="13">
        <f t="shared" si="60"/>
        <v>9262.1</v>
      </c>
      <c r="M449" s="12">
        <f>L449*'Engineering Assumptions'!$B$10</f>
        <v>1389.3150000000001</v>
      </c>
      <c r="N449" s="13">
        <f t="shared" si="61"/>
        <v>10651.415000000001</v>
      </c>
      <c r="O449" s="12">
        <f>N449*'Engineering Assumptions'!$B$11</f>
        <v>2130.2830000000004</v>
      </c>
      <c r="P449" s="156">
        <f t="shared" si="62"/>
        <v>12780</v>
      </c>
      <c r="Q449" s="12">
        <f>'Fleet Pricing'!H449</f>
        <v>5820</v>
      </c>
      <c r="R449" s="45">
        <v>30</v>
      </c>
      <c r="S449" s="49">
        <v>2.4</v>
      </c>
      <c r="T449" s="49">
        <v>3</v>
      </c>
      <c r="U449" s="49">
        <v>1.05</v>
      </c>
    </row>
    <row r="450" spans="1:21" ht="15" customHeight="1" x14ac:dyDescent="0.3">
      <c r="A450" s="199" t="s">
        <v>907</v>
      </c>
      <c r="B450" s="200"/>
      <c r="C450" s="200"/>
      <c r="D450" s="200"/>
      <c r="E450" s="200"/>
      <c r="F450" s="200"/>
      <c r="G450" s="200"/>
      <c r="H450" s="200"/>
      <c r="I450" s="200"/>
      <c r="J450" s="200"/>
      <c r="K450" s="200"/>
      <c r="L450" s="200"/>
      <c r="M450" s="200"/>
      <c r="N450" s="200"/>
      <c r="O450" s="200"/>
      <c r="P450" s="200"/>
      <c r="Q450" s="200"/>
    </row>
    <row r="451" spans="1:21" ht="15" customHeight="1" x14ac:dyDescent="0.3">
      <c r="A451" s="9">
        <v>422</v>
      </c>
      <c r="B451" s="50" t="s">
        <v>908</v>
      </c>
      <c r="C451" s="50" t="s">
        <v>909</v>
      </c>
      <c r="D451" s="50" t="s">
        <v>910</v>
      </c>
      <c r="E451" s="50" t="s">
        <v>911</v>
      </c>
      <c r="F451" s="48" t="s">
        <v>165</v>
      </c>
      <c r="G451" s="9">
        <v>8</v>
      </c>
      <c r="H451" s="12">
        <f>'Engineering Assumptions'!$C$42*'Engineering Assumptions'!$B$5*U451</f>
        <v>1337</v>
      </c>
      <c r="I451" s="12">
        <f>'Engineering Assumptions'!$B$8</f>
        <v>650</v>
      </c>
      <c r="J451" s="12">
        <f>'Engineering Assumptions'!$D$42*S451*U451</f>
        <v>150</v>
      </c>
      <c r="K451" s="12">
        <f>'Engineering Assumptions'!$E$42*T451*U451</f>
        <v>112.5</v>
      </c>
      <c r="L451" s="13">
        <f t="shared" ref="L451:L469" si="63">H451+I451+J451+K451</f>
        <v>2249.5</v>
      </c>
      <c r="M451" s="12">
        <f>L451*'Engineering Assumptions'!$B$10</f>
        <v>337.42500000000001</v>
      </c>
      <c r="N451" s="13">
        <f t="shared" ref="N451:N469" si="64">L451+M451</f>
        <v>2586.9250000000002</v>
      </c>
      <c r="O451" s="12">
        <f>N451*'Engineering Assumptions'!$B$11</f>
        <v>517.3850000000001</v>
      </c>
      <c r="P451" s="156">
        <f t="shared" ref="P451:P469" si="65">MROUND(N451+O451,10)</f>
        <v>3100</v>
      </c>
      <c r="Q451" s="12">
        <f>'Fleet Pricing'!H451</f>
        <v>2710</v>
      </c>
      <c r="R451" s="45">
        <v>8</v>
      </c>
      <c r="S451" s="49">
        <v>1.25</v>
      </c>
      <c r="T451" s="49">
        <v>0.75</v>
      </c>
      <c r="U451" s="49">
        <v>1</v>
      </c>
    </row>
    <row r="452" spans="1:21" ht="15" customHeight="1" x14ac:dyDescent="0.3">
      <c r="A452" s="9">
        <v>423</v>
      </c>
      <c r="B452" s="50" t="s">
        <v>908</v>
      </c>
      <c r="C452" s="50" t="s">
        <v>779</v>
      </c>
      <c r="D452" s="50" t="s">
        <v>912</v>
      </c>
      <c r="E452" s="50" t="s">
        <v>913</v>
      </c>
      <c r="F452" s="48" t="s">
        <v>458</v>
      </c>
      <c r="G452" s="9">
        <v>15</v>
      </c>
      <c r="H452" s="12">
        <f>'Engineering Assumptions'!$C$42*'Engineering Assumptions'!$B$5*U452</f>
        <v>1337</v>
      </c>
      <c r="I452" s="12">
        <f>'Engineering Assumptions'!$B$8</f>
        <v>650</v>
      </c>
      <c r="J452" s="12">
        <f>'Engineering Assumptions'!$D$42*S452*U452</f>
        <v>186</v>
      </c>
      <c r="K452" s="12">
        <f>'Engineering Assumptions'!$E$42*T452*U452</f>
        <v>202.5</v>
      </c>
      <c r="L452" s="13">
        <f t="shared" si="63"/>
        <v>2375.5</v>
      </c>
      <c r="M452" s="12">
        <f>L452*'Engineering Assumptions'!$B$10</f>
        <v>356.32499999999999</v>
      </c>
      <c r="N452" s="13">
        <f t="shared" si="64"/>
        <v>2731.8249999999998</v>
      </c>
      <c r="O452" s="12">
        <f>N452*'Engineering Assumptions'!$B$11</f>
        <v>546.36500000000001</v>
      </c>
      <c r="P452" s="156">
        <f t="shared" si="65"/>
        <v>3280</v>
      </c>
      <c r="Q452" s="12">
        <f>'Fleet Pricing'!H452</f>
        <v>2420</v>
      </c>
      <c r="R452" s="45">
        <v>15</v>
      </c>
      <c r="S452" s="49">
        <v>1.55</v>
      </c>
      <c r="T452" s="49">
        <v>1.35</v>
      </c>
      <c r="U452" s="49">
        <v>1</v>
      </c>
    </row>
    <row r="453" spans="1:21" ht="15" customHeight="1" x14ac:dyDescent="0.3">
      <c r="A453" s="9">
        <v>424</v>
      </c>
      <c r="B453" s="50" t="s">
        <v>908</v>
      </c>
      <c r="C453" s="50" t="s">
        <v>914</v>
      </c>
      <c r="D453" s="50" t="s">
        <v>915</v>
      </c>
      <c r="E453" s="50" t="s">
        <v>789</v>
      </c>
      <c r="F453" s="48" t="s">
        <v>440</v>
      </c>
      <c r="G453" s="9">
        <v>21</v>
      </c>
      <c r="H453" s="12">
        <f>'Engineering Assumptions'!$C$42*'Engineering Assumptions'!$B$5*U453</f>
        <v>1337</v>
      </c>
      <c r="I453" s="12">
        <f>'Engineering Assumptions'!$B$8</f>
        <v>650</v>
      </c>
      <c r="J453" s="12">
        <f>'Engineering Assumptions'!$D$42*S453*U453</f>
        <v>288</v>
      </c>
      <c r="K453" s="12">
        <f>'Engineering Assumptions'!$E$42*T453*U453</f>
        <v>450</v>
      </c>
      <c r="L453" s="13">
        <f t="shared" si="63"/>
        <v>2725</v>
      </c>
      <c r="M453" s="12">
        <f>L453*'Engineering Assumptions'!$B$10</f>
        <v>408.75</v>
      </c>
      <c r="N453" s="13">
        <f t="shared" si="64"/>
        <v>3133.75</v>
      </c>
      <c r="O453" s="12">
        <f>N453*'Engineering Assumptions'!$B$11</f>
        <v>626.75</v>
      </c>
      <c r="P453" s="156">
        <f t="shared" si="65"/>
        <v>3760</v>
      </c>
      <c r="Q453" s="12">
        <f>'Fleet Pricing'!H453</f>
        <v>2120</v>
      </c>
      <c r="R453" s="45">
        <v>21</v>
      </c>
      <c r="S453" s="49">
        <v>2.4</v>
      </c>
      <c r="T453" s="49">
        <v>3</v>
      </c>
      <c r="U453" s="49">
        <v>1</v>
      </c>
    </row>
    <row r="454" spans="1:21" ht="15" customHeight="1" x14ac:dyDescent="0.3">
      <c r="A454" s="9">
        <v>425</v>
      </c>
      <c r="B454" s="50" t="s">
        <v>908</v>
      </c>
      <c r="C454" s="50" t="s">
        <v>914</v>
      </c>
      <c r="D454" s="50" t="s">
        <v>916</v>
      </c>
      <c r="E454" s="50" t="s">
        <v>807</v>
      </c>
      <c r="F454" s="48" t="s">
        <v>139</v>
      </c>
      <c r="G454" s="9">
        <v>23</v>
      </c>
      <c r="H454" s="12">
        <f>'Engineering Assumptions'!$C$42*'Engineering Assumptions'!$B$5*U454</f>
        <v>1337</v>
      </c>
      <c r="I454" s="12">
        <f>'Engineering Assumptions'!$B$8</f>
        <v>650</v>
      </c>
      <c r="J454" s="12">
        <f>'Engineering Assumptions'!$D$42*S454*U454</f>
        <v>288</v>
      </c>
      <c r="K454" s="12">
        <f>'Engineering Assumptions'!$E$42*T454*U454</f>
        <v>450</v>
      </c>
      <c r="L454" s="13">
        <f t="shared" si="63"/>
        <v>2725</v>
      </c>
      <c r="M454" s="12">
        <f>L454*'Engineering Assumptions'!$B$10</f>
        <v>408.75</v>
      </c>
      <c r="N454" s="13">
        <f t="shared" si="64"/>
        <v>3133.75</v>
      </c>
      <c r="O454" s="12">
        <f>N454*'Engineering Assumptions'!$B$11</f>
        <v>626.75</v>
      </c>
      <c r="P454" s="156">
        <f t="shared" si="65"/>
        <v>3760</v>
      </c>
      <c r="Q454" s="12">
        <f>'Fleet Pricing'!H454</f>
        <v>1920</v>
      </c>
      <c r="R454" s="45">
        <v>23</v>
      </c>
      <c r="S454" s="49">
        <v>2.4</v>
      </c>
      <c r="T454" s="49">
        <v>3</v>
      </c>
      <c r="U454" s="49">
        <v>1</v>
      </c>
    </row>
    <row r="455" spans="1:21" ht="23.25" customHeight="1" x14ac:dyDescent="0.3">
      <c r="A455" s="9">
        <v>426</v>
      </c>
      <c r="B455" s="50" t="s">
        <v>908</v>
      </c>
      <c r="C455" s="50" t="s">
        <v>917</v>
      </c>
      <c r="D455" s="50" t="s">
        <v>918</v>
      </c>
      <c r="E455" s="50" t="s">
        <v>919</v>
      </c>
      <c r="F455" s="48" t="s">
        <v>143</v>
      </c>
      <c r="G455" s="9">
        <v>26</v>
      </c>
      <c r="H455" s="12">
        <f>'Engineering Assumptions'!$C$42*'Engineering Assumptions'!$B$5*U455</f>
        <v>1337</v>
      </c>
      <c r="I455" s="12">
        <f>'Engineering Assumptions'!$B$8</f>
        <v>650</v>
      </c>
      <c r="J455" s="12">
        <f>'Engineering Assumptions'!$D$42*S455*U455</f>
        <v>288</v>
      </c>
      <c r="K455" s="12">
        <f>'Engineering Assumptions'!$E$42*T455*U455</f>
        <v>450</v>
      </c>
      <c r="L455" s="13">
        <f t="shared" si="63"/>
        <v>2725</v>
      </c>
      <c r="M455" s="12">
        <f>L455*'Engineering Assumptions'!$B$10</f>
        <v>408.75</v>
      </c>
      <c r="N455" s="13">
        <f t="shared" si="64"/>
        <v>3133.75</v>
      </c>
      <c r="O455" s="12">
        <f>N455*'Engineering Assumptions'!$B$11</f>
        <v>626.75</v>
      </c>
      <c r="P455" s="156">
        <f t="shared" si="65"/>
        <v>3760</v>
      </c>
      <c r="Q455" s="12">
        <f>'Fleet Pricing'!H455</f>
        <v>1920</v>
      </c>
      <c r="R455" s="45">
        <v>26</v>
      </c>
      <c r="S455" s="49">
        <v>2.4</v>
      </c>
      <c r="T455" s="49">
        <v>3</v>
      </c>
      <c r="U455" s="49">
        <v>1</v>
      </c>
    </row>
    <row r="456" spans="1:21" ht="15" customHeight="1" x14ac:dyDescent="0.3">
      <c r="A456" s="9">
        <v>427</v>
      </c>
      <c r="B456" s="50" t="s">
        <v>908</v>
      </c>
      <c r="C456" s="50" t="s">
        <v>920</v>
      </c>
      <c r="D456" s="50" t="s">
        <v>921</v>
      </c>
      <c r="E456" s="50" t="s">
        <v>922</v>
      </c>
      <c r="F456" s="48" t="s">
        <v>537</v>
      </c>
      <c r="G456" s="9">
        <v>29</v>
      </c>
      <c r="H456" s="12">
        <f>'Engineering Assumptions'!$C$42*'Engineering Assumptions'!$B$5*U456</f>
        <v>1337</v>
      </c>
      <c r="I456" s="12">
        <f>'Engineering Assumptions'!$B$8</f>
        <v>650</v>
      </c>
      <c r="J456" s="12">
        <f>'Engineering Assumptions'!$D$42*S456*U456</f>
        <v>288</v>
      </c>
      <c r="K456" s="12">
        <f>'Engineering Assumptions'!$E$42*T456*U456</f>
        <v>450</v>
      </c>
      <c r="L456" s="13">
        <f t="shared" si="63"/>
        <v>2725</v>
      </c>
      <c r="M456" s="12">
        <f>L456*'Engineering Assumptions'!$B$10</f>
        <v>408.75</v>
      </c>
      <c r="N456" s="13">
        <f t="shared" si="64"/>
        <v>3133.75</v>
      </c>
      <c r="O456" s="12">
        <f>N456*'Engineering Assumptions'!$B$11</f>
        <v>626.75</v>
      </c>
      <c r="P456" s="156">
        <f t="shared" si="65"/>
        <v>3760</v>
      </c>
      <c r="Q456" s="12">
        <f>'Fleet Pricing'!H456</f>
        <v>1710</v>
      </c>
      <c r="R456" s="45">
        <v>29</v>
      </c>
      <c r="S456" s="49">
        <v>2.4</v>
      </c>
      <c r="T456" s="49">
        <v>3</v>
      </c>
      <c r="U456" s="49">
        <v>1</v>
      </c>
    </row>
    <row r="457" spans="1:21" ht="15" customHeight="1" x14ac:dyDescent="0.3">
      <c r="A457" s="9">
        <v>428</v>
      </c>
      <c r="B457" s="50" t="s">
        <v>908</v>
      </c>
      <c r="C457" s="50" t="s">
        <v>923</v>
      </c>
      <c r="D457" s="50" t="s">
        <v>924</v>
      </c>
      <c r="E457" s="50" t="s">
        <v>925</v>
      </c>
      <c r="F457" s="48" t="s">
        <v>159</v>
      </c>
      <c r="G457" s="9">
        <v>35</v>
      </c>
      <c r="H457" s="12">
        <f>'Engineering Assumptions'!$C$42*'Engineering Assumptions'!$B$5*U457</f>
        <v>1337</v>
      </c>
      <c r="I457" s="12">
        <f>'Engineering Assumptions'!$B$8</f>
        <v>650</v>
      </c>
      <c r="J457" s="12">
        <f>'Engineering Assumptions'!$D$42*S457*U457</f>
        <v>288</v>
      </c>
      <c r="K457" s="12">
        <f>'Engineering Assumptions'!$E$42*T457*U457</f>
        <v>450</v>
      </c>
      <c r="L457" s="13">
        <f t="shared" si="63"/>
        <v>2725</v>
      </c>
      <c r="M457" s="12">
        <f>L457*'Engineering Assumptions'!$B$10</f>
        <v>408.75</v>
      </c>
      <c r="N457" s="13">
        <f t="shared" si="64"/>
        <v>3133.75</v>
      </c>
      <c r="O457" s="12">
        <f>N457*'Engineering Assumptions'!$B$11</f>
        <v>626.75</v>
      </c>
      <c r="P457" s="156">
        <f t="shared" si="65"/>
        <v>3760</v>
      </c>
      <c r="Q457" s="12">
        <f>'Fleet Pricing'!H457</f>
        <v>1710</v>
      </c>
      <c r="R457" s="45">
        <v>35</v>
      </c>
      <c r="S457" s="49">
        <v>2.4</v>
      </c>
      <c r="T457" s="49">
        <v>3</v>
      </c>
      <c r="U457" s="49">
        <v>1</v>
      </c>
    </row>
    <row r="458" spans="1:21" ht="15" customHeight="1" x14ac:dyDescent="0.3">
      <c r="A458" s="9">
        <v>429</v>
      </c>
      <c r="B458" s="50" t="s">
        <v>908</v>
      </c>
      <c r="C458" s="50" t="s">
        <v>188</v>
      </c>
      <c r="D458" s="50" t="s">
        <v>926</v>
      </c>
      <c r="E458" s="50"/>
      <c r="F458" s="48" t="s">
        <v>195</v>
      </c>
      <c r="G458" s="9">
        <v>30</v>
      </c>
      <c r="H458" s="12">
        <f>'Engineering Assumptions'!$C$42*'Engineering Assumptions'!$B$5*U458</f>
        <v>1337</v>
      </c>
      <c r="I458" s="12">
        <f>'Engineering Assumptions'!$B$8</f>
        <v>650</v>
      </c>
      <c r="J458" s="12">
        <f>'Engineering Assumptions'!$D$42*S458*U458</f>
        <v>288</v>
      </c>
      <c r="K458" s="12">
        <f>'Engineering Assumptions'!$E$42*T458*U458</f>
        <v>450</v>
      </c>
      <c r="L458" s="13">
        <f t="shared" si="63"/>
        <v>2725</v>
      </c>
      <c r="M458" s="12">
        <f>L458*'Engineering Assumptions'!$B$10</f>
        <v>408.75</v>
      </c>
      <c r="N458" s="13">
        <f t="shared" si="64"/>
        <v>3133.75</v>
      </c>
      <c r="O458" s="12">
        <f>N458*'Engineering Assumptions'!$B$11</f>
        <v>626.75</v>
      </c>
      <c r="P458" s="156">
        <f t="shared" si="65"/>
        <v>3760</v>
      </c>
      <c r="Q458" s="12">
        <f>'Fleet Pricing'!H458</f>
        <v>1710</v>
      </c>
      <c r="R458" s="45">
        <v>30</v>
      </c>
      <c r="S458" s="49">
        <v>2.4</v>
      </c>
      <c r="T458" s="49">
        <v>3</v>
      </c>
      <c r="U458" s="49">
        <v>1</v>
      </c>
    </row>
    <row r="459" spans="1:21" ht="15" customHeight="1" x14ac:dyDescent="0.3">
      <c r="A459" s="9">
        <v>430</v>
      </c>
      <c r="B459" s="50" t="s">
        <v>908</v>
      </c>
      <c r="C459" s="50" t="s">
        <v>188</v>
      </c>
      <c r="D459" s="50" t="s">
        <v>927</v>
      </c>
      <c r="E459" s="50" t="s">
        <v>928</v>
      </c>
      <c r="F459" s="48" t="s">
        <v>195</v>
      </c>
      <c r="G459" s="9">
        <v>30</v>
      </c>
      <c r="H459" s="12">
        <f>'Engineering Assumptions'!$C$42*'Engineering Assumptions'!$B$5*U459</f>
        <v>1337</v>
      </c>
      <c r="I459" s="12">
        <f>'Engineering Assumptions'!$B$8</f>
        <v>650</v>
      </c>
      <c r="J459" s="12">
        <f>'Engineering Assumptions'!$D$42*S459*U459</f>
        <v>288</v>
      </c>
      <c r="K459" s="12">
        <f>'Engineering Assumptions'!$E$42*T459*U459</f>
        <v>450</v>
      </c>
      <c r="L459" s="13">
        <f t="shared" si="63"/>
        <v>2725</v>
      </c>
      <c r="M459" s="12">
        <f>L459*'Engineering Assumptions'!$B$10</f>
        <v>408.75</v>
      </c>
      <c r="N459" s="13">
        <f t="shared" si="64"/>
        <v>3133.75</v>
      </c>
      <c r="O459" s="12">
        <f>N459*'Engineering Assumptions'!$B$11</f>
        <v>626.75</v>
      </c>
      <c r="P459" s="156">
        <f t="shared" si="65"/>
        <v>3760</v>
      </c>
      <c r="Q459" s="12">
        <f>'Fleet Pricing'!H459</f>
        <v>1710</v>
      </c>
      <c r="R459" s="45">
        <v>30</v>
      </c>
      <c r="S459" s="49">
        <v>2.4</v>
      </c>
      <c r="T459" s="49">
        <v>3</v>
      </c>
      <c r="U459" s="49">
        <v>1</v>
      </c>
    </row>
    <row r="460" spans="1:21" ht="15" customHeight="1" x14ac:dyDescent="0.3">
      <c r="A460" s="9">
        <v>431</v>
      </c>
      <c r="B460" s="50" t="s">
        <v>908</v>
      </c>
      <c r="C460" s="50" t="s">
        <v>188</v>
      </c>
      <c r="D460" s="50" t="s">
        <v>929</v>
      </c>
      <c r="E460" s="50" t="s">
        <v>930</v>
      </c>
      <c r="F460" s="48" t="s">
        <v>195</v>
      </c>
      <c r="G460" s="9">
        <v>30</v>
      </c>
      <c r="H460" s="12">
        <f>'Engineering Assumptions'!$C$42*'Engineering Assumptions'!$B$5*U460</f>
        <v>1337</v>
      </c>
      <c r="I460" s="12">
        <f>'Engineering Assumptions'!$B$8</f>
        <v>650</v>
      </c>
      <c r="J460" s="12">
        <f>'Engineering Assumptions'!$D$42*S460*U460</f>
        <v>288</v>
      </c>
      <c r="K460" s="12">
        <f>'Engineering Assumptions'!$E$42*T460*U460</f>
        <v>450</v>
      </c>
      <c r="L460" s="13">
        <f t="shared" si="63"/>
        <v>2725</v>
      </c>
      <c r="M460" s="12">
        <f>L460*'Engineering Assumptions'!$B$10</f>
        <v>408.75</v>
      </c>
      <c r="N460" s="13">
        <f t="shared" si="64"/>
        <v>3133.75</v>
      </c>
      <c r="O460" s="12">
        <f>N460*'Engineering Assumptions'!$B$11</f>
        <v>626.75</v>
      </c>
      <c r="P460" s="156">
        <f t="shared" si="65"/>
        <v>3760</v>
      </c>
      <c r="Q460" s="12">
        <f>'Fleet Pricing'!H460</f>
        <v>1710</v>
      </c>
      <c r="R460" s="45">
        <v>30</v>
      </c>
      <c r="S460" s="49">
        <v>2.4</v>
      </c>
      <c r="T460" s="49">
        <v>3</v>
      </c>
      <c r="U460" s="49">
        <v>1</v>
      </c>
    </row>
    <row r="461" spans="1:21" ht="15" customHeight="1" x14ac:dyDescent="0.3">
      <c r="A461" s="9">
        <v>432</v>
      </c>
      <c r="B461" s="50" t="s">
        <v>908</v>
      </c>
      <c r="C461" s="50" t="s">
        <v>188</v>
      </c>
      <c r="D461" s="50" t="s">
        <v>931</v>
      </c>
      <c r="E461" s="50" t="s">
        <v>932</v>
      </c>
      <c r="F461" s="48" t="s">
        <v>195</v>
      </c>
      <c r="G461" s="9">
        <v>30</v>
      </c>
      <c r="H461" s="12">
        <f>'Engineering Assumptions'!$C$42*'Engineering Assumptions'!$B$5*U461</f>
        <v>1337</v>
      </c>
      <c r="I461" s="12">
        <f>'Engineering Assumptions'!$B$8</f>
        <v>650</v>
      </c>
      <c r="J461" s="12">
        <f>'Engineering Assumptions'!$D$42*S461*U461</f>
        <v>288</v>
      </c>
      <c r="K461" s="12">
        <f>'Engineering Assumptions'!$E$42*T461*U461</f>
        <v>450</v>
      </c>
      <c r="L461" s="13">
        <f t="shared" si="63"/>
        <v>2725</v>
      </c>
      <c r="M461" s="12">
        <f>L461*'Engineering Assumptions'!$B$10</f>
        <v>408.75</v>
      </c>
      <c r="N461" s="13">
        <f t="shared" si="64"/>
        <v>3133.75</v>
      </c>
      <c r="O461" s="12">
        <f>N461*'Engineering Assumptions'!$B$11</f>
        <v>626.75</v>
      </c>
      <c r="P461" s="156">
        <f t="shared" si="65"/>
        <v>3760</v>
      </c>
      <c r="Q461" s="12">
        <f>'Fleet Pricing'!H461</f>
        <v>1710</v>
      </c>
      <c r="R461" s="45">
        <v>30</v>
      </c>
      <c r="S461" s="49">
        <v>2.4</v>
      </c>
      <c r="T461" s="49">
        <v>3</v>
      </c>
      <c r="U461" s="49">
        <v>1</v>
      </c>
    </row>
    <row r="462" spans="1:21" ht="15" customHeight="1" x14ac:dyDescent="0.3">
      <c r="A462" s="9">
        <v>433</v>
      </c>
      <c r="B462" s="50" t="s">
        <v>908</v>
      </c>
      <c r="C462" s="50" t="s">
        <v>188</v>
      </c>
      <c r="D462" s="50" t="s">
        <v>933</v>
      </c>
      <c r="E462" s="50" t="s">
        <v>934</v>
      </c>
      <c r="F462" s="48" t="s">
        <v>195</v>
      </c>
      <c r="G462" s="9">
        <v>30</v>
      </c>
      <c r="H462" s="12">
        <f>'Engineering Assumptions'!$C$42*'Engineering Assumptions'!$B$5*U462</f>
        <v>1337</v>
      </c>
      <c r="I462" s="12">
        <f>'Engineering Assumptions'!$B$8</f>
        <v>650</v>
      </c>
      <c r="J462" s="12">
        <f>'Engineering Assumptions'!$D$42*S462*U462</f>
        <v>288</v>
      </c>
      <c r="K462" s="12">
        <f>'Engineering Assumptions'!$E$42*T462*U462</f>
        <v>450</v>
      </c>
      <c r="L462" s="13">
        <f t="shared" si="63"/>
        <v>2725</v>
      </c>
      <c r="M462" s="12">
        <f>L462*'Engineering Assumptions'!$B$10</f>
        <v>408.75</v>
      </c>
      <c r="N462" s="13">
        <f t="shared" si="64"/>
        <v>3133.75</v>
      </c>
      <c r="O462" s="12">
        <f>N462*'Engineering Assumptions'!$B$11</f>
        <v>626.75</v>
      </c>
      <c r="P462" s="156">
        <f t="shared" si="65"/>
        <v>3760</v>
      </c>
      <c r="Q462" s="12">
        <f>'Fleet Pricing'!H462</f>
        <v>1710</v>
      </c>
      <c r="R462" s="45">
        <v>30</v>
      </c>
      <c r="S462" s="49">
        <v>2.4</v>
      </c>
      <c r="T462" s="49">
        <v>3</v>
      </c>
      <c r="U462" s="49">
        <v>1</v>
      </c>
    </row>
    <row r="463" spans="1:21" ht="15" customHeight="1" x14ac:dyDescent="0.3">
      <c r="A463" s="9">
        <v>434</v>
      </c>
      <c r="B463" s="50" t="s">
        <v>908</v>
      </c>
      <c r="C463" s="50" t="s">
        <v>188</v>
      </c>
      <c r="D463" s="50" t="s">
        <v>935</v>
      </c>
      <c r="E463" s="50"/>
      <c r="F463" s="48" t="s">
        <v>195</v>
      </c>
      <c r="G463" s="9">
        <v>30</v>
      </c>
      <c r="H463" s="12">
        <f>'Engineering Assumptions'!$C$42*'Engineering Assumptions'!$B$5*U463</f>
        <v>1337</v>
      </c>
      <c r="I463" s="12">
        <f>'Engineering Assumptions'!$B$8</f>
        <v>650</v>
      </c>
      <c r="J463" s="12">
        <f>'Engineering Assumptions'!$D$42*S463*U463</f>
        <v>288</v>
      </c>
      <c r="K463" s="12">
        <f>'Engineering Assumptions'!$E$42*T463*U463</f>
        <v>450</v>
      </c>
      <c r="L463" s="13">
        <f t="shared" si="63"/>
        <v>2725</v>
      </c>
      <c r="M463" s="12">
        <f>L463*'Engineering Assumptions'!$B$10</f>
        <v>408.75</v>
      </c>
      <c r="N463" s="13">
        <f t="shared" si="64"/>
        <v>3133.75</v>
      </c>
      <c r="O463" s="12">
        <f>N463*'Engineering Assumptions'!$B$11</f>
        <v>626.75</v>
      </c>
      <c r="P463" s="156">
        <f t="shared" si="65"/>
        <v>3760</v>
      </c>
      <c r="Q463" s="12">
        <f>'Fleet Pricing'!H463</f>
        <v>1710</v>
      </c>
      <c r="R463" s="45">
        <v>30</v>
      </c>
      <c r="S463" s="49">
        <v>2.4</v>
      </c>
      <c r="T463" s="49">
        <v>3</v>
      </c>
      <c r="U463" s="49">
        <v>1</v>
      </c>
    </row>
    <row r="464" spans="1:21" ht="15" customHeight="1" x14ac:dyDescent="0.3">
      <c r="A464" s="9">
        <v>435</v>
      </c>
      <c r="B464" s="50" t="s">
        <v>908</v>
      </c>
      <c r="C464" s="50" t="s">
        <v>188</v>
      </c>
      <c r="D464" s="50" t="s">
        <v>936</v>
      </c>
      <c r="E464" s="50"/>
      <c r="F464" s="48" t="s">
        <v>195</v>
      </c>
      <c r="G464" s="9">
        <v>30</v>
      </c>
      <c r="H464" s="12">
        <f>'Engineering Assumptions'!$C$42*'Engineering Assumptions'!$B$5*U464</f>
        <v>1337</v>
      </c>
      <c r="I464" s="12">
        <f>'Engineering Assumptions'!$B$8</f>
        <v>650</v>
      </c>
      <c r="J464" s="12">
        <f>'Engineering Assumptions'!$D$42*S464*U464</f>
        <v>288</v>
      </c>
      <c r="K464" s="12">
        <f>'Engineering Assumptions'!$E$42*T464*U464</f>
        <v>450</v>
      </c>
      <c r="L464" s="13">
        <f t="shared" si="63"/>
        <v>2725</v>
      </c>
      <c r="M464" s="12">
        <f>L464*'Engineering Assumptions'!$B$10</f>
        <v>408.75</v>
      </c>
      <c r="N464" s="13">
        <f t="shared" si="64"/>
        <v>3133.75</v>
      </c>
      <c r="O464" s="12">
        <f>N464*'Engineering Assumptions'!$B$11</f>
        <v>626.75</v>
      </c>
      <c r="P464" s="156">
        <f t="shared" si="65"/>
        <v>3760</v>
      </c>
      <c r="Q464" s="12">
        <f>'Fleet Pricing'!H464</f>
        <v>1710</v>
      </c>
      <c r="R464" s="45">
        <v>30</v>
      </c>
      <c r="S464" s="49">
        <v>2.4</v>
      </c>
      <c r="T464" s="49">
        <v>3</v>
      </c>
      <c r="U464" s="49">
        <v>1</v>
      </c>
    </row>
    <row r="465" spans="1:21" ht="15" customHeight="1" x14ac:dyDescent="0.3">
      <c r="A465" s="9">
        <v>436</v>
      </c>
      <c r="B465" s="50" t="s">
        <v>908</v>
      </c>
      <c r="C465" s="50" t="s">
        <v>188</v>
      </c>
      <c r="D465" s="50" t="s">
        <v>937</v>
      </c>
      <c r="E465" s="50" t="s">
        <v>938</v>
      </c>
      <c r="F465" s="48" t="s">
        <v>195</v>
      </c>
      <c r="G465" s="9">
        <v>30</v>
      </c>
      <c r="H465" s="12">
        <f>'Engineering Assumptions'!$C$42*'Engineering Assumptions'!$B$5*U465</f>
        <v>1337</v>
      </c>
      <c r="I465" s="12">
        <f>'Engineering Assumptions'!$B$8</f>
        <v>650</v>
      </c>
      <c r="J465" s="12">
        <f>'Engineering Assumptions'!$D$42*S465*U465</f>
        <v>288</v>
      </c>
      <c r="K465" s="12">
        <f>'Engineering Assumptions'!$E$42*T465*U465</f>
        <v>450</v>
      </c>
      <c r="L465" s="13">
        <f t="shared" si="63"/>
        <v>2725</v>
      </c>
      <c r="M465" s="12">
        <f>L465*'Engineering Assumptions'!$B$10</f>
        <v>408.75</v>
      </c>
      <c r="N465" s="13">
        <f t="shared" si="64"/>
        <v>3133.75</v>
      </c>
      <c r="O465" s="12">
        <f>N465*'Engineering Assumptions'!$B$11</f>
        <v>626.75</v>
      </c>
      <c r="P465" s="156">
        <f t="shared" si="65"/>
        <v>3760</v>
      </c>
      <c r="Q465" s="12">
        <f>'Fleet Pricing'!H465</f>
        <v>1710</v>
      </c>
      <c r="R465" s="45">
        <v>30</v>
      </c>
      <c r="S465" s="49">
        <v>2.4</v>
      </c>
      <c r="T465" s="49">
        <v>3</v>
      </c>
      <c r="U465" s="49">
        <v>1</v>
      </c>
    </row>
    <row r="466" spans="1:21" ht="15" customHeight="1" x14ac:dyDescent="0.3">
      <c r="A466" s="9">
        <v>437</v>
      </c>
      <c r="B466" s="50" t="s">
        <v>908</v>
      </c>
      <c r="C466" s="50" t="s">
        <v>188</v>
      </c>
      <c r="D466" s="50" t="s">
        <v>939</v>
      </c>
      <c r="E466" s="50"/>
      <c r="F466" s="48" t="s">
        <v>195</v>
      </c>
      <c r="G466" s="9">
        <v>30</v>
      </c>
      <c r="H466" s="12">
        <f>'Engineering Assumptions'!$C$42*'Engineering Assumptions'!$B$5*U466</f>
        <v>1337</v>
      </c>
      <c r="I466" s="12">
        <f>'Engineering Assumptions'!$B$8</f>
        <v>650</v>
      </c>
      <c r="J466" s="12">
        <f>'Engineering Assumptions'!$D$42*S466*U466</f>
        <v>288</v>
      </c>
      <c r="K466" s="12">
        <f>'Engineering Assumptions'!$E$42*T466*U466</f>
        <v>450</v>
      </c>
      <c r="L466" s="13">
        <f t="shared" si="63"/>
        <v>2725</v>
      </c>
      <c r="M466" s="12">
        <f>L466*'Engineering Assumptions'!$B$10</f>
        <v>408.75</v>
      </c>
      <c r="N466" s="13">
        <f t="shared" si="64"/>
        <v>3133.75</v>
      </c>
      <c r="O466" s="12">
        <f>N466*'Engineering Assumptions'!$B$11</f>
        <v>626.75</v>
      </c>
      <c r="P466" s="156">
        <f t="shared" si="65"/>
        <v>3760</v>
      </c>
      <c r="Q466" s="12">
        <f>'Fleet Pricing'!H466</f>
        <v>1710</v>
      </c>
      <c r="R466" s="45">
        <v>30</v>
      </c>
      <c r="S466" s="49">
        <v>2.4</v>
      </c>
      <c r="T466" s="49">
        <v>3</v>
      </c>
      <c r="U466" s="49">
        <v>1</v>
      </c>
    </row>
    <row r="467" spans="1:21" ht="15" customHeight="1" x14ac:dyDescent="0.3">
      <c r="A467" s="9">
        <v>438</v>
      </c>
      <c r="B467" s="50" t="s">
        <v>908</v>
      </c>
      <c r="C467" s="50" t="s">
        <v>188</v>
      </c>
      <c r="D467" s="50" t="s">
        <v>940</v>
      </c>
      <c r="E467" s="50"/>
      <c r="F467" s="48" t="s">
        <v>195</v>
      </c>
      <c r="G467" s="9">
        <v>30</v>
      </c>
      <c r="H467" s="12">
        <f>'Engineering Assumptions'!$C$42*'Engineering Assumptions'!$B$5*U467</f>
        <v>1337</v>
      </c>
      <c r="I467" s="12">
        <f>'Engineering Assumptions'!$B$8</f>
        <v>650</v>
      </c>
      <c r="J467" s="12">
        <f>'Engineering Assumptions'!$D$42*S467*U467</f>
        <v>288</v>
      </c>
      <c r="K467" s="12">
        <f>'Engineering Assumptions'!$E$42*T467*U467</f>
        <v>450</v>
      </c>
      <c r="L467" s="13">
        <f t="shared" si="63"/>
        <v>2725</v>
      </c>
      <c r="M467" s="12">
        <f>L467*'Engineering Assumptions'!$B$10</f>
        <v>408.75</v>
      </c>
      <c r="N467" s="13">
        <f t="shared" si="64"/>
        <v>3133.75</v>
      </c>
      <c r="O467" s="12">
        <f>N467*'Engineering Assumptions'!$B$11</f>
        <v>626.75</v>
      </c>
      <c r="P467" s="156">
        <f t="shared" si="65"/>
        <v>3760</v>
      </c>
      <c r="Q467" s="12">
        <f>'Fleet Pricing'!H467</f>
        <v>1710</v>
      </c>
      <c r="R467" s="45">
        <v>30</v>
      </c>
      <c r="S467" s="49">
        <v>2.4</v>
      </c>
      <c r="T467" s="49">
        <v>3</v>
      </c>
      <c r="U467" s="49">
        <v>1</v>
      </c>
    </row>
    <row r="468" spans="1:21" ht="15" customHeight="1" x14ac:dyDescent="0.3">
      <c r="A468" s="9">
        <v>439</v>
      </c>
      <c r="B468" s="50" t="s">
        <v>908</v>
      </c>
      <c r="C468" s="50" t="s">
        <v>188</v>
      </c>
      <c r="D468" s="50" t="s">
        <v>941</v>
      </c>
      <c r="E468" s="50"/>
      <c r="F468" s="48" t="s">
        <v>195</v>
      </c>
      <c r="G468" s="9">
        <v>30</v>
      </c>
      <c r="H468" s="12">
        <f>'Engineering Assumptions'!$C$42*'Engineering Assumptions'!$B$5*U468</f>
        <v>1337</v>
      </c>
      <c r="I468" s="12">
        <f>'Engineering Assumptions'!$B$8</f>
        <v>650</v>
      </c>
      <c r="J468" s="12">
        <f>'Engineering Assumptions'!$D$42*S468*U468</f>
        <v>288</v>
      </c>
      <c r="K468" s="12">
        <f>'Engineering Assumptions'!$E$42*T468*U468</f>
        <v>450</v>
      </c>
      <c r="L468" s="13">
        <f t="shared" si="63"/>
        <v>2725</v>
      </c>
      <c r="M468" s="12">
        <f>L468*'Engineering Assumptions'!$B$10</f>
        <v>408.75</v>
      </c>
      <c r="N468" s="13">
        <f t="shared" si="64"/>
        <v>3133.75</v>
      </c>
      <c r="O468" s="12">
        <f>N468*'Engineering Assumptions'!$B$11</f>
        <v>626.75</v>
      </c>
      <c r="P468" s="156">
        <f t="shared" si="65"/>
        <v>3760</v>
      </c>
      <c r="Q468" s="12">
        <f>'Fleet Pricing'!H468</f>
        <v>1710</v>
      </c>
      <c r="R468" s="45">
        <v>30</v>
      </c>
      <c r="S468" s="49">
        <v>2.4</v>
      </c>
      <c r="T468" s="49">
        <v>3</v>
      </c>
      <c r="U468" s="49">
        <v>1</v>
      </c>
    </row>
    <row r="469" spans="1:21" ht="15" customHeight="1" x14ac:dyDescent="0.3">
      <c r="A469" s="9">
        <v>440</v>
      </c>
      <c r="B469" s="50" t="s">
        <v>908</v>
      </c>
      <c r="C469" s="50" t="s">
        <v>188</v>
      </c>
      <c r="D469" s="50" t="s">
        <v>942</v>
      </c>
      <c r="E469" s="50" t="s">
        <v>943</v>
      </c>
      <c r="F469" s="48" t="s">
        <v>195</v>
      </c>
      <c r="G469" s="9">
        <v>30</v>
      </c>
      <c r="H469" s="12">
        <f>'Engineering Assumptions'!$C$42*'Engineering Assumptions'!$B$5*U469</f>
        <v>1337</v>
      </c>
      <c r="I469" s="12">
        <f>'Engineering Assumptions'!$B$8</f>
        <v>650</v>
      </c>
      <c r="J469" s="12">
        <f>'Engineering Assumptions'!$D$42*S469*U469</f>
        <v>288</v>
      </c>
      <c r="K469" s="12">
        <f>'Engineering Assumptions'!$E$42*T469*U469</f>
        <v>450</v>
      </c>
      <c r="L469" s="13">
        <f t="shared" si="63"/>
        <v>2725</v>
      </c>
      <c r="M469" s="12">
        <f>L469*'Engineering Assumptions'!$B$10</f>
        <v>408.75</v>
      </c>
      <c r="N469" s="13">
        <f t="shared" si="64"/>
        <v>3133.75</v>
      </c>
      <c r="O469" s="12">
        <f>N469*'Engineering Assumptions'!$B$11</f>
        <v>626.75</v>
      </c>
      <c r="P469" s="156">
        <f t="shared" si="65"/>
        <v>3760</v>
      </c>
      <c r="Q469" s="12">
        <f>'Fleet Pricing'!H469</f>
        <v>1710</v>
      </c>
      <c r="R469" s="45">
        <v>30</v>
      </c>
      <c r="S469" s="49">
        <v>2.4</v>
      </c>
      <c r="T469" s="49">
        <v>3</v>
      </c>
      <c r="U469" s="49">
        <v>1</v>
      </c>
    </row>
    <row r="470" spans="1:21" ht="15" customHeight="1" x14ac:dyDescent="0.3">
      <c r="A470" s="199" t="s">
        <v>944</v>
      </c>
      <c r="B470" s="200"/>
      <c r="C470" s="200"/>
      <c r="D470" s="200"/>
      <c r="E470" s="200"/>
      <c r="F470" s="200"/>
      <c r="G470" s="200"/>
      <c r="H470" s="200"/>
      <c r="I470" s="200"/>
      <c r="J470" s="200"/>
      <c r="K470" s="200"/>
      <c r="L470" s="200"/>
      <c r="M470" s="200"/>
      <c r="N470" s="200"/>
      <c r="O470" s="200"/>
      <c r="P470" s="200"/>
      <c r="Q470" s="200"/>
    </row>
    <row r="471" spans="1:21" ht="15" customHeight="1" x14ac:dyDescent="0.3">
      <c r="A471" s="9">
        <v>441</v>
      </c>
      <c r="B471" s="50" t="s">
        <v>945</v>
      </c>
      <c r="C471" s="50" t="s">
        <v>946</v>
      </c>
      <c r="D471" s="50" t="s">
        <v>947</v>
      </c>
      <c r="E471" s="50" t="s">
        <v>948</v>
      </c>
      <c r="F471" s="48" t="s">
        <v>66</v>
      </c>
      <c r="G471" s="9">
        <v>14</v>
      </c>
      <c r="H471" s="12">
        <f>'Engineering Assumptions'!$C$43*'Engineering Assumptions'!$B$5*U471</f>
        <v>1528</v>
      </c>
      <c r="I471" s="12">
        <f>'Engineering Assumptions'!$B$8</f>
        <v>650</v>
      </c>
      <c r="J471" s="12">
        <f>'Engineering Assumptions'!$D$43*S471*U471</f>
        <v>170.5</v>
      </c>
      <c r="K471" s="12">
        <f>'Engineering Assumptions'!$E$43*T471*U471</f>
        <v>189</v>
      </c>
      <c r="L471" s="13">
        <f t="shared" ref="L471:L482" si="66">H471+I471+J471+K471</f>
        <v>2537.5</v>
      </c>
      <c r="M471" s="12">
        <f>L471*'Engineering Assumptions'!$B$10</f>
        <v>380.625</v>
      </c>
      <c r="N471" s="13">
        <f t="shared" ref="N471:N482" si="67">L471+M471</f>
        <v>2918.125</v>
      </c>
      <c r="O471" s="12">
        <f>N471*'Engineering Assumptions'!$B$11</f>
        <v>583.625</v>
      </c>
      <c r="P471" s="156">
        <f t="shared" ref="P471:P482" si="68">MROUND(N471+O471,10)</f>
        <v>3500</v>
      </c>
      <c r="Q471" s="12">
        <f>'Fleet Pricing'!H471</f>
        <v>1720</v>
      </c>
      <c r="R471" s="45">
        <v>14</v>
      </c>
      <c r="S471" s="49">
        <v>1.55</v>
      </c>
      <c r="T471" s="49">
        <v>1.35</v>
      </c>
      <c r="U471" s="49">
        <v>1</v>
      </c>
    </row>
    <row r="472" spans="1:21" ht="15" customHeight="1" x14ac:dyDescent="0.3">
      <c r="A472" s="9">
        <v>442</v>
      </c>
      <c r="B472" s="50" t="s">
        <v>945</v>
      </c>
      <c r="C472" s="50" t="s">
        <v>946</v>
      </c>
      <c r="D472" s="50" t="s">
        <v>949</v>
      </c>
      <c r="E472" s="50" t="s">
        <v>950</v>
      </c>
      <c r="F472" s="48" t="s">
        <v>66</v>
      </c>
      <c r="G472" s="9">
        <v>14</v>
      </c>
      <c r="H472" s="12">
        <f>'Engineering Assumptions'!$C$43*'Engineering Assumptions'!$B$5*U472</f>
        <v>1528</v>
      </c>
      <c r="I472" s="12">
        <f>'Engineering Assumptions'!$B$8</f>
        <v>650</v>
      </c>
      <c r="J472" s="12">
        <f>'Engineering Assumptions'!$D$43*S472*U472</f>
        <v>170.5</v>
      </c>
      <c r="K472" s="12">
        <f>'Engineering Assumptions'!$E$43*T472*U472</f>
        <v>189</v>
      </c>
      <c r="L472" s="13">
        <f t="shared" si="66"/>
        <v>2537.5</v>
      </c>
      <c r="M472" s="12">
        <f>L472*'Engineering Assumptions'!$B$10</f>
        <v>380.625</v>
      </c>
      <c r="N472" s="13">
        <f t="shared" si="67"/>
        <v>2918.125</v>
      </c>
      <c r="O472" s="12">
        <f>N472*'Engineering Assumptions'!$B$11</f>
        <v>583.625</v>
      </c>
      <c r="P472" s="156">
        <f t="shared" si="68"/>
        <v>3500</v>
      </c>
      <c r="Q472" s="12">
        <f>'Fleet Pricing'!H472</f>
        <v>1720</v>
      </c>
      <c r="R472" s="45">
        <v>14</v>
      </c>
      <c r="S472" s="49">
        <v>1.55</v>
      </c>
      <c r="T472" s="49">
        <v>1.35</v>
      </c>
      <c r="U472" s="49">
        <v>1</v>
      </c>
    </row>
    <row r="473" spans="1:21" ht="15" customHeight="1" x14ac:dyDescent="0.3">
      <c r="A473" s="9">
        <v>443</v>
      </c>
      <c r="B473" s="50" t="s">
        <v>945</v>
      </c>
      <c r="C473" s="50" t="s">
        <v>951</v>
      </c>
      <c r="D473" s="50" t="s">
        <v>952</v>
      </c>
      <c r="E473" s="50" t="s">
        <v>953</v>
      </c>
      <c r="F473" s="48" t="s">
        <v>66</v>
      </c>
      <c r="G473" s="9">
        <v>14</v>
      </c>
      <c r="H473" s="12">
        <f>'Engineering Assumptions'!$C$43*'Engineering Assumptions'!$B$5*U473</f>
        <v>1528</v>
      </c>
      <c r="I473" s="12">
        <f>'Engineering Assumptions'!$B$8</f>
        <v>650</v>
      </c>
      <c r="J473" s="12">
        <f>'Engineering Assumptions'!$D$43*S473*U473</f>
        <v>170.5</v>
      </c>
      <c r="K473" s="12">
        <f>'Engineering Assumptions'!$E$43*T473*U473</f>
        <v>189</v>
      </c>
      <c r="L473" s="13">
        <f t="shared" si="66"/>
        <v>2537.5</v>
      </c>
      <c r="M473" s="12">
        <f>L473*'Engineering Assumptions'!$B$10</f>
        <v>380.625</v>
      </c>
      <c r="N473" s="13">
        <f t="shared" si="67"/>
        <v>2918.125</v>
      </c>
      <c r="O473" s="12">
        <f>N473*'Engineering Assumptions'!$B$11</f>
        <v>583.625</v>
      </c>
      <c r="P473" s="156">
        <f t="shared" si="68"/>
        <v>3500</v>
      </c>
      <c r="Q473" s="12">
        <f>'Fleet Pricing'!H473</f>
        <v>1720</v>
      </c>
      <c r="R473" s="45">
        <v>14</v>
      </c>
      <c r="S473" s="49">
        <v>1.55</v>
      </c>
      <c r="T473" s="49">
        <v>1.35</v>
      </c>
      <c r="U473" s="49">
        <v>1</v>
      </c>
    </row>
    <row r="474" spans="1:21" ht="15" customHeight="1" x14ac:dyDescent="0.3">
      <c r="A474" s="9">
        <v>444</v>
      </c>
      <c r="B474" s="50" t="s">
        <v>945</v>
      </c>
      <c r="C474" s="50" t="s">
        <v>954</v>
      </c>
      <c r="D474" s="50" t="s">
        <v>955</v>
      </c>
      <c r="E474" s="50" t="s">
        <v>956</v>
      </c>
      <c r="F474" s="48" t="s">
        <v>66</v>
      </c>
      <c r="G474" s="9">
        <v>14</v>
      </c>
      <c r="H474" s="12">
        <f>'Engineering Assumptions'!$C$43*'Engineering Assumptions'!$B$5*U474</f>
        <v>1528</v>
      </c>
      <c r="I474" s="12">
        <f>'Engineering Assumptions'!$B$8</f>
        <v>650</v>
      </c>
      <c r="J474" s="12">
        <f>'Engineering Assumptions'!$D$43*S474*U474</f>
        <v>170.5</v>
      </c>
      <c r="K474" s="12">
        <f>'Engineering Assumptions'!$E$43*T474*U474</f>
        <v>189</v>
      </c>
      <c r="L474" s="13">
        <f t="shared" si="66"/>
        <v>2537.5</v>
      </c>
      <c r="M474" s="12">
        <f>L474*'Engineering Assumptions'!$B$10</f>
        <v>380.625</v>
      </c>
      <c r="N474" s="13">
        <f t="shared" si="67"/>
        <v>2918.125</v>
      </c>
      <c r="O474" s="12">
        <f>N474*'Engineering Assumptions'!$B$11</f>
        <v>583.625</v>
      </c>
      <c r="P474" s="156">
        <f t="shared" si="68"/>
        <v>3500</v>
      </c>
      <c r="Q474" s="12">
        <f>'Fleet Pricing'!H474</f>
        <v>1720</v>
      </c>
      <c r="R474" s="45">
        <v>14</v>
      </c>
      <c r="S474" s="49">
        <v>1.55</v>
      </c>
      <c r="T474" s="49">
        <v>1.35</v>
      </c>
      <c r="U474" s="49">
        <v>1</v>
      </c>
    </row>
    <row r="475" spans="1:21" ht="15" customHeight="1" x14ac:dyDescent="0.3">
      <c r="A475" s="9">
        <v>445</v>
      </c>
      <c r="B475" s="50" t="s">
        <v>945</v>
      </c>
      <c r="C475" s="50" t="s">
        <v>957</v>
      </c>
      <c r="D475" s="50" t="s">
        <v>958</v>
      </c>
      <c r="E475" s="50" t="s">
        <v>959</v>
      </c>
      <c r="F475" s="48" t="s">
        <v>335</v>
      </c>
      <c r="G475" s="9">
        <v>18</v>
      </c>
      <c r="H475" s="12">
        <f>'Engineering Assumptions'!$C$43*'Engineering Assumptions'!$B$5*U475</f>
        <v>1528</v>
      </c>
      <c r="I475" s="12">
        <f>'Engineering Assumptions'!$B$8</f>
        <v>650</v>
      </c>
      <c r="J475" s="12">
        <f>'Engineering Assumptions'!$D$43*S475*U475</f>
        <v>214.5</v>
      </c>
      <c r="K475" s="12">
        <f>'Engineering Assumptions'!$E$43*T475*U475</f>
        <v>294</v>
      </c>
      <c r="L475" s="13">
        <f t="shared" si="66"/>
        <v>2686.5</v>
      </c>
      <c r="M475" s="12">
        <f>L475*'Engineering Assumptions'!$B$10</f>
        <v>402.97499999999997</v>
      </c>
      <c r="N475" s="13">
        <f t="shared" si="67"/>
        <v>3089.4749999999999</v>
      </c>
      <c r="O475" s="12">
        <f>N475*'Engineering Assumptions'!$B$11</f>
        <v>617.89499999999998</v>
      </c>
      <c r="P475" s="156">
        <f t="shared" si="68"/>
        <v>3710</v>
      </c>
      <c r="Q475" s="12">
        <f>'Fleet Pricing'!H475</f>
        <v>1510</v>
      </c>
      <c r="R475" s="45">
        <v>18</v>
      </c>
      <c r="S475" s="49">
        <v>1.95</v>
      </c>
      <c r="T475" s="49">
        <v>2.1</v>
      </c>
      <c r="U475" s="49">
        <v>1</v>
      </c>
    </row>
    <row r="476" spans="1:21" ht="15" customHeight="1" x14ac:dyDescent="0.3">
      <c r="A476" s="9">
        <v>446</v>
      </c>
      <c r="B476" s="50" t="s">
        <v>945</v>
      </c>
      <c r="C476" s="50" t="s">
        <v>954</v>
      </c>
      <c r="D476" s="50" t="s">
        <v>960</v>
      </c>
      <c r="E476" s="50" t="s">
        <v>961</v>
      </c>
      <c r="F476" s="48" t="s">
        <v>440</v>
      </c>
      <c r="G476" s="9">
        <v>21</v>
      </c>
      <c r="H476" s="12">
        <f>'Engineering Assumptions'!$C$43*'Engineering Assumptions'!$B$5*U476</f>
        <v>1528</v>
      </c>
      <c r="I476" s="12">
        <f>'Engineering Assumptions'!$B$8</f>
        <v>650</v>
      </c>
      <c r="J476" s="12">
        <f>'Engineering Assumptions'!$D$43*S476*U476</f>
        <v>264</v>
      </c>
      <c r="K476" s="12">
        <f>'Engineering Assumptions'!$E$43*T476*U476</f>
        <v>420</v>
      </c>
      <c r="L476" s="13">
        <f t="shared" si="66"/>
        <v>2862</v>
      </c>
      <c r="M476" s="12">
        <f>L476*'Engineering Assumptions'!$B$10</f>
        <v>429.3</v>
      </c>
      <c r="N476" s="13">
        <f t="shared" si="67"/>
        <v>3291.3</v>
      </c>
      <c r="O476" s="12">
        <f>N476*'Engineering Assumptions'!$B$11</f>
        <v>658.2600000000001</v>
      </c>
      <c r="P476" s="156">
        <f t="shared" si="68"/>
        <v>3950</v>
      </c>
      <c r="Q476" s="12">
        <f>'Fleet Pricing'!H476</f>
        <v>1510</v>
      </c>
      <c r="R476" s="45">
        <v>21</v>
      </c>
      <c r="S476" s="49">
        <v>2.4</v>
      </c>
      <c r="T476" s="49">
        <v>3</v>
      </c>
      <c r="U476" s="49">
        <v>1</v>
      </c>
    </row>
    <row r="477" spans="1:21" ht="15" customHeight="1" x14ac:dyDescent="0.3">
      <c r="A477" s="9">
        <v>447</v>
      </c>
      <c r="B477" s="50" t="s">
        <v>945</v>
      </c>
      <c r="C477" s="50" t="s">
        <v>954</v>
      </c>
      <c r="D477" s="50" t="s">
        <v>962</v>
      </c>
      <c r="E477" s="50" t="s">
        <v>963</v>
      </c>
      <c r="F477" s="48" t="s">
        <v>440</v>
      </c>
      <c r="G477" s="9">
        <v>21</v>
      </c>
      <c r="H477" s="12">
        <f>'Engineering Assumptions'!$C$43*'Engineering Assumptions'!$B$5*U477</f>
        <v>1528</v>
      </c>
      <c r="I477" s="12">
        <f>'Engineering Assumptions'!$B$8</f>
        <v>650</v>
      </c>
      <c r="J477" s="12">
        <f>'Engineering Assumptions'!$D$43*S477*U477</f>
        <v>264</v>
      </c>
      <c r="K477" s="12">
        <f>'Engineering Assumptions'!$E$43*T477*U477</f>
        <v>420</v>
      </c>
      <c r="L477" s="13">
        <f t="shared" si="66"/>
        <v>2862</v>
      </c>
      <c r="M477" s="12">
        <f>L477*'Engineering Assumptions'!$B$10</f>
        <v>429.3</v>
      </c>
      <c r="N477" s="13">
        <f t="shared" si="67"/>
        <v>3291.3</v>
      </c>
      <c r="O477" s="12">
        <f>N477*'Engineering Assumptions'!$B$11</f>
        <v>658.2600000000001</v>
      </c>
      <c r="P477" s="156">
        <f t="shared" si="68"/>
        <v>3950</v>
      </c>
      <c r="Q477" s="12">
        <f>'Fleet Pricing'!H477</f>
        <v>1510</v>
      </c>
      <c r="R477" s="45">
        <v>21</v>
      </c>
      <c r="S477" s="49">
        <v>2.4</v>
      </c>
      <c r="T477" s="49">
        <v>3</v>
      </c>
      <c r="U477" s="49">
        <v>1</v>
      </c>
    </row>
    <row r="478" spans="1:21" ht="15" customHeight="1" x14ac:dyDescent="0.3">
      <c r="A478" s="9">
        <v>448</v>
      </c>
      <c r="B478" s="50" t="s">
        <v>945</v>
      </c>
      <c r="C478" s="50" t="s">
        <v>964</v>
      </c>
      <c r="D478" s="50" t="s">
        <v>965</v>
      </c>
      <c r="E478" s="50" t="s">
        <v>966</v>
      </c>
      <c r="F478" s="48" t="s">
        <v>967</v>
      </c>
      <c r="G478" s="9">
        <v>46</v>
      </c>
      <c r="H478" s="12">
        <f>'Engineering Assumptions'!$C$43*'Engineering Assumptions'!$B$5*U478</f>
        <v>1528</v>
      </c>
      <c r="I478" s="12">
        <f>'Engineering Assumptions'!$B$8</f>
        <v>650</v>
      </c>
      <c r="J478" s="12">
        <f>'Engineering Assumptions'!$D$43*S478*U478</f>
        <v>264</v>
      </c>
      <c r="K478" s="12">
        <f>'Engineering Assumptions'!$E$43*T478*U478</f>
        <v>420</v>
      </c>
      <c r="L478" s="13">
        <f t="shared" si="66"/>
        <v>2862</v>
      </c>
      <c r="M478" s="12">
        <f>L478*'Engineering Assumptions'!$B$10</f>
        <v>429.3</v>
      </c>
      <c r="N478" s="13">
        <f t="shared" si="67"/>
        <v>3291.3</v>
      </c>
      <c r="O478" s="12">
        <f>N478*'Engineering Assumptions'!$B$11</f>
        <v>658.2600000000001</v>
      </c>
      <c r="P478" s="156">
        <f t="shared" si="68"/>
        <v>3950</v>
      </c>
      <c r="Q478" s="12">
        <f>'Fleet Pricing'!H478</f>
        <v>1220</v>
      </c>
      <c r="R478" s="45">
        <v>46</v>
      </c>
      <c r="S478" s="49">
        <v>2.4</v>
      </c>
      <c r="T478" s="49">
        <v>3</v>
      </c>
      <c r="U478" s="49">
        <v>1</v>
      </c>
    </row>
    <row r="479" spans="1:21" ht="15" customHeight="1" x14ac:dyDescent="0.3">
      <c r="A479" s="9">
        <v>449</v>
      </c>
      <c r="B479" s="50" t="s">
        <v>945</v>
      </c>
      <c r="C479" s="50" t="s">
        <v>968</v>
      </c>
      <c r="D479" s="50" t="s">
        <v>969</v>
      </c>
      <c r="E479" s="50" t="s">
        <v>970</v>
      </c>
      <c r="F479" s="48" t="s">
        <v>971</v>
      </c>
      <c r="G479" s="9">
        <v>52</v>
      </c>
      <c r="H479" s="12">
        <f>'Engineering Assumptions'!$C$43*'Engineering Assumptions'!$B$5*U479</f>
        <v>1528</v>
      </c>
      <c r="I479" s="12">
        <f>'Engineering Assumptions'!$B$8</f>
        <v>650</v>
      </c>
      <c r="J479" s="12">
        <f>'Engineering Assumptions'!$D$43*S479*U479</f>
        <v>264</v>
      </c>
      <c r="K479" s="12">
        <f>'Engineering Assumptions'!$E$43*T479*U479</f>
        <v>420</v>
      </c>
      <c r="L479" s="13">
        <f t="shared" si="66"/>
        <v>2862</v>
      </c>
      <c r="M479" s="12">
        <f>L479*'Engineering Assumptions'!$B$10</f>
        <v>429.3</v>
      </c>
      <c r="N479" s="13">
        <f t="shared" si="67"/>
        <v>3291.3</v>
      </c>
      <c r="O479" s="12">
        <f>N479*'Engineering Assumptions'!$B$11</f>
        <v>658.2600000000001</v>
      </c>
      <c r="P479" s="156">
        <f t="shared" si="68"/>
        <v>3950</v>
      </c>
      <c r="Q479" s="12">
        <f>'Fleet Pricing'!H479</f>
        <v>1220</v>
      </c>
      <c r="R479" s="45">
        <v>52</v>
      </c>
      <c r="S479" s="49">
        <v>2.4</v>
      </c>
      <c r="T479" s="49">
        <v>3</v>
      </c>
      <c r="U479" s="49">
        <v>1</v>
      </c>
    </row>
    <row r="480" spans="1:21" ht="15" customHeight="1" x14ac:dyDescent="0.3">
      <c r="A480" s="9">
        <v>450</v>
      </c>
      <c r="B480" s="50" t="s">
        <v>945</v>
      </c>
      <c r="C480" s="50" t="s">
        <v>188</v>
      </c>
      <c r="D480" s="50" t="s">
        <v>972</v>
      </c>
      <c r="E480" s="50" t="s">
        <v>959</v>
      </c>
      <c r="F480" s="48" t="s">
        <v>195</v>
      </c>
      <c r="G480" s="9">
        <v>30</v>
      </c>
      <c r="H480" s="12">
        <f>'Engineering Assumptions'!$C$43*'Engineering Assumptions'!$B$5*U480</f>
        <v>1528</v>
      </c>
      <c r="I480" s="12">
        <f>'Engineering Assumptions'!$B$8</f>
        <v>650</v>
      </c>
      <c r="J480" s="12">
        <f>'Engineering Assumptions'!$D$43*S480*U480</f>
        <v>264</v>
      </c>
      <c r="K480" s="12">
        <f>'Engineering Assumptions'!$E$43*T480*U480</f>
        <v>420</v>
      </c>
      <c r="L480" s="13">
        <f t="shared" si="66"/>
        <v>2862</v>
      </c>
      <c r="M480" s="12">
        <f>L480*'Engineering Assumptions'!$B$10</f>
        <v>429.3</v>
      </c>
      <c r="N480" s="13">
        <f t="shared" si="67"/>
        <v>3291.3</v>
      </c>
      <c r="O480" s="12">
        <f>N480*'Engineering Assumptions'!$B$11</f>
        <v>658.2600000000001</v>
      </c>
      <c r="P480" s="156">
        <f t="shared" si="68"/>
        <v>3950</v>
      </c>
      <c r="Q480" s="12">
        <f>'Fleet Pricing'!H480</f>
        <v>1220</v>
      </c>
      <c r="R480" s="45">
        <v>30</v>
      </c>
      <c r="S480" s="49">
        <v>2.4</v>
      </c>
      <c r="T480" s="49">
        <v>3</v>
      </c>
      <c r="U480" s="49">
        <v>1</v>
      </c>
    </row>
    <row r="481" spans="1:21" ht="15" customHeight="1" x14ac:dyDescent="0.3">
      <c r="A481" s="9">
        <v>451</v>
      </c>
      <c r="B481" s="50" t="s">
        <v>945</v>
      </c>
      <c r="C481" s="50" t="s">
        <v>188</v>
      </c>
      <c r="D481" s="50"/>
      <c r="E481" s="50"/>
      <c r="F481" s="48" t="s">
        <v>195</v>
      </c>
      <c r="G481" s="9">
        <v>30</v>
      </c>
      <c r="H481" s="12">
        <f>'Engineering Assumptions'!$C$43*'Engineering Assumptions'!$B$5*U481</f>
        <v>1528</v>
      </c>
      <c r="I481" s="12">
        <f>'Engineering Assumptions'!$B$8</f>
        <v>650</v>
      </c>
      <c r="J481" s="12">
        <f>'Engineering Assumptions'!$D$43*S481*U481</f>
        <v>264</v>
      </c>
      <c r="K481" s="12">
        <f>'Engineering Assumptions'!$E$43*T481*U481</f>
        <v>420</v>
      </c>
      <c r="L481" s="13">
        <f t="shared" si="66"/>
        <v>2862</v>
      </c>
      <c r="M481" s="12">
        <f>L481*'Engineering Assumptions'!$B$10</f>
        <v>429.3</v>
      </c>
      <c r="N481" s="13">
        <f t="shared" si="67"/>
        <v>3291.3</v>
      </c>
      <c r="O481" s="12">
        <f>N481*'Engineering Assumptions'!$B$11</f>
        <v>658.2600000000001</v>
      </c>
      <c r="P481" s="156">
        <f t="shared" si="68"/>
        <v>3950</v>
      </c>
      <c r="Q481" s="12">
        <f>'Fleet Pricing'!H481</f>
        <v>1220</v>
      </c>
      <c r="R481" s="45">
        <v>30</v>
      </c>
      <c r="S481" s="49">
        <v>2.4</v>
      </c>
      <c r="T481" s="49">
        <v>3</v>
      </c>
      <c r="U481" s="49">
        <v>1</v>
      </c>
    </row>
    <row r="482" spans="1:21" ht="15" customHeight="1" x14ac:dyDescent="0.3">
      <c r="A482" s="9">
        <v>452</v>
      </c>
      <c r="B482" s="50" t="s">
        <v>945</v>
      </c>
      <c r="C482" s="50" t="s">
        <v>957</v>
      </c>
      <c r="D482" s="50"/>
      <c r="E482" s="50"/>
      <c r="F482" s="48" t="s">
        <v>195</v>
      </c>
      <c r="G482" s="9">
        <v>30</v>
      </c>
      <c r="H482" s="12">
        <f>'Engineering Assumptions'!$C$43*'Engineering Assumptions'!$B$5*U482</f>
        <v>1528</v>
      </c>
      <c r="I482" s="12">
        <f>'Engineering Assumptions'!$B$8</f>
        <v>650</v>
      </c>
      <c r="J482" s="12">
        <f>'Engineering Assumptions'!$D$43*S482*U482</f>
        <v>264</v>
      </c>
      <c r="K482" s="12">
        <f>'Engineering Assumptions'!$E$43*T482*U482</f>
        <v>420</v>
      </c>
      <c r="L482" s="13">
        <f t="shared" si="66"/>
        <v>2862</v>
      </c>
      <c r="M482" s="12">
        <f>L482*'Engineering Assumptions'!$B$10</f>
        <v>429.3</v>
      </c>
      <c r="N482" s="13">
        <f t="shared" si="67"/>
        <v>3291.3</v>
      </c>
      <c r="O482" s="12">
        <f>N482*'Engineering Assumptions'!$B$11</f>
        <v>658.2600000000001</v>
      </c>
      <c r="P482" s="156">
        <f t="shared" si="68"/>
        <v>3950</v>
      </c>
      <c r="Q482" s="12">
        <f>'Fleet Pricing'!H482</f>
        <v>1220</v>
      </c>
      <c r="R482" s="45">
        <v>30</v>
      </c>
      <c r="S482" s="49">
        <v>2.4</v>
      </c>
      <c r="T482" s="49">
        <v>3</v>
      </c>
      <c r="U482" s="49">
        <v>1</v>
      </c>
    </row>
    <row r="483" spans="1:21" ht="15" customHeight="1" x14ac:dyDescent="0.3">
      <c r="A483" s="199" t="s">
        <v>973</v>
      </c>
      <c r="B483" s="200"/>
      <c r="C483" s="200"/>
      <c r="D483" s="200"/>
      <c r="E483" s="200"/>
      <c r="F483" s="200"/>
      <c r="G483" s="200"/>
      <c r="H483" s="200"/>
      <c r="I483" s="200"/>
      <c r="J483" s="200"/>
      <c r="K483" s="200"/>
      <c r="L483" s="200"/>
      <c r="M483" s="200"/>
      <c r="N483" s="200"/>
      <c r="O483" s="200"/>
      <c r="P483" s="200"/>
      <c r="Q483" s="200"/>
    </row>
    <row r="484" spans="1:21" ht="15" customHeight="1" x14ac:dyDescent="0.3">
      <c r="A484" s="9">
        <v>453</v>
      </c>
      <c r="B484" s="50" t="s">
        <v>974</v>
      </c>
      <c r="C484" s="50" t="s">
        <v>975</v>
      </c>
      <c r="D484" s="50" t="s">
        <v>976</v>
      </c>
      <c r="E484" s="50" t="s">
        <v>977</v>
      </c>
      <c r="F484" s="48" t="s">
        <v>116</v>
      </c>
      <c r="G484" s="9">
        <v>9</v>
      </c>
      <c r="H484" s="12">
        <f>'Engineering Assumptions'!$C$44*'Engineering Assumptions'!$B$5*U484</f>
        <v>458.4</v>
      </c>
      <c r="I484" s="12">
        <v>0</v>
      </c>
      <c r="J484" s="12">
        <f>'Engineering Assumptions'!$D$44*S484*U484</f>
        <v>31.25</v>
      </c>
      <c r="K484" s="12">
        <f>'Engineering Assumptions'!$E$44*T484*U484</f>
        <v>26.25</v>
      </c>
      <c r="L484" s="13">
        <f t="shared" ref="L484:L515" si="69">H484+I484+J484+K484</f>
        <v>515.9</v>
      </c>
      <c r="M484" s="12">
        <f>L484*'Engineering Assumptions'!$B$10</f>
        <v>77.384999999999991</v>
      </c>
      <c r="N484" s="13">
        <f t="shared" ref="N484:N515" si="70">L484+M484</f>
        <v>593.28499999999997</v>
      </c>
      <c r="O484" s="12">
        <f>N484*'Engineering Assumptions'!$B$11</f>
        <v>118.657</v>
      </c>
      <c r="P484" s="156">
        <f t="shared" ref="P484:P515" si="71">MROUND(N484+O484,10)</f>
        <v>710</v>
      </c>
      <c r="Q484" s="12">
        <f>'Fleet Pricing'!H484</f>
        <v>460</v>
      </c>
      <c r="R484" s="45">
        <v>9</v>
      </c>
      <c r="S484" s="49">
        <v>1.25</v>
      </c>
      <c r="T484" s="49">
        <v>0.75</v>
      </c>
      <c r="U484" s="49">
        <v>1</v>
      </c>
    </row>
    <row r="485" spans="1:21" ht="15" customHeight="1" x14ac:dyDescent="0.3">
      <c r="A485" s="9">
        <v>454</v>
      </c>
      <c r="B485" s="50" t="s">
        <v>974</v>
      </c>
      <c r="C485" s="50" t="s">
        <v>975</v>
      </c>
      <c r="D485" s="50" t="s">
        <v>978</v>
      </c>
      <c r="E485" s="50" t="s">
        <v>979</v>
      </c>
      <c r="F485" s="48" t="s">
        <v>116</v>
      </c>
      <c r="G485" s="9">
        <v>9</v>
      </c>
      <c r="H485" s="12">
        <f>'Engineering Assumptions'!$C$44*'Engineering Assumptions'!$B$5*U485</f>
        <v>458.4</v>
      </c>
      <c r="I485" s="12">
        <v>0</v>
      </c>
      <c r="J485" s="12">
        <f>'Engineering Assumptions'!$D$44*S485*U485</f>
        <v>31.25</v>
      </c>
      <c r="K485" s="12">
        <f>'Engineering Assumptions'!$E$44*T485*U485</f>
        <v>26.25</v>
      </c>
      <c r="L485" s="13">
        <f t="shared" si="69"/>
        <v>515.9</v>
      </c>
      <c r="M485" s="12">
        <f>L485*'Engineering Assumptions'!$B$10</f>
        <v>77.384999999999991</v>
      </c>
      <c r="N485" s="13">
        <f t="shared" si="70"/>
        <v>593.28499999999997</v>
      </c>
      <c r="O485" s="12">
        <f>N485*'Engineering Assumptions'!$B$11</f>
        <v>118.657</v>
      </c>
      <c r="P485" s="156">
        <f t="shared" si="71"/>
        <v>710</v>
      </c>
      <c r="Q485" s="12">
        <f>'Fleet Pricing'!H485</f>
        <v>460</v>
      </c>
      <c r="R485" s="45">
        <v>9</v>
      </c>
      <c r="S485" s="49">
        <v>1.25</v>
      </c>
      <c r="T485" s="49">
        <v>0.75</v>
      </c>
      <c r="U485" s="49">
        <v>1</v>
      </c>
    </row>
    <row r="486" spans="1:21" ht="15" customHeight="1" x14ac:dyDescent="0.3">
      <c r="A486" s="9">
        <v>455</v>
      </c>
      <c r="B486" s="50" t="s">
        <v>974</v>
      </c>
      <c r="C486" s="50" t="s">
        <v>980</v>
      </c>
      <c r="D486" s="50" t="s">
        <v>981</v>
      </c>
      <c r="E486" s="50" t="s">
        <v>982</v>
      </c>
      <c r="F486" s="48" t="s">
        <v>116</v>
      </c>
      <c r="G486" s="9">
        <v>9</v>
      </c>
      <c r="H486" s="12">
        <f>'Engineering Assumptions'!$C$44*'Engineering Assumptions'!$B$5*U486</f>
        <v>458.4</v>
      </c>
      <c r="I486" s="12">
        <v>0</v>
      </c>
      <c r="J486" s="12">
        <f>'Engineering Assumptions'!$D$44*S486*U486</f>
        <v>31.25</v>
      </c>
      <c r="K486" s="12">
        <f>'Engineering Assumptions'!$E$44*T486*U486</f>
        <v>26.25</v>
      </c>
      <c r="L486" s="13">
        <f t="shared" si="69"/>
        <v>515.9</v>
      </c>
      <c r="M486" s="12">
        <f>L486*'Engineering Assumptions'!$B$10</f>
        <v>77.384999999999991</v>
      </c>
      <c r="N486" s="13">
        <f t="shared" si="70"/>
        <v>593.28499999999997</v>
      </c>
      <c r="O486" s="12">
        <f>N486*'Engineering Assumptions'!$B$11</f>
        <v>118.657</v>
      </c>
      <c r="P486" s="156">
        <f t="shared" si="71"/>
        <v>710</v>
      </c>
      <c r="Q486" s="12">
        <f>'Fleet Pricing'!H486</f>
        <v>460</v>
      </c>
      <c r="R486" s="45">
        <v>9</v>
      </c>
      <c r="S486" s="49">
        <v>1.25</v>
      </c>
      <c r="T486" s="49">
        <v>0.75</v>
      </c>
      <c r="U486" s="49">
        <v>1</v>
      </c>
    </row>
    <row r="487" spans="1:21" ht="15" customHeight="1" x14ac:dyDescent="0.3">
      <c r="A487" s="9">
        <v>456</v>
      </c>
      <c r="B487" s="50" t="s">
        <v>974</v>
      </c>
      <c r="C487" s="50" t="s">
        <v>983</v>
      </c>
      <c r="D487" s="50" t="s">
        <v>984</v>
      </c>
      <c r="E487" s="50" t="s">
        <v>985</v>
      </c>
      <c r="F487" s="48" t="s">
        <v>116</v>
      </c>
      <c r="G487" s="9">
        <v>9</v>
      </c>
      <c r="H487" s="12">
        <f>'Engineering Assumptions'!$C$44*'Engineering Assumptions'!$B$5*U487</f>
        <v>458.4</v>
      </c>
      <c r="I487" s="12">
        <v>0</v>
      </c>
      <c r="J487" s="12">
        <f>'Engineering Assumptions'!$D$44*S487*U487</f>
        <v>31.25</v>
      </c>
      <c r="K487" s="12">
        <f>'Engineering Assumptions'!$E$44*T487*U487</f>
        <v>26.25</v>
      </c>
      <c r="L487" s="13">
        <f t="shared" si="69"/>
        <v>515.9</v>
      </c>
      <c r="M487" s="12">
        <f>L487*'Engineering Assumptions'!$B$10</f>
        <v>77.384999999999991</v>
      </c>
      <c r="N487" s="13">
        <f t="shared" si="70"/>
        <v>593.28499999999997</v>
      </c>
      <c r="O487" s="12">
        <f>N487*'Engineering Assumptions'!$B$11</f>
        <v>118.657</v>
      </c>
      <c r="P487" s="156">
        <f t="shared" si="71"/>
        <v>710</v>
      </c>
      <c r="Q487" s="12">
        <f>'Fleet Pricing'!H487</f>
        <v>460</v>
      </c>
      <c r="R487" s="45">
        <v>9</v>
      </c>
      <c r="S487" s="49">
        <v>1.25</v>
      </c>
      <c r="T487" s="49">
        <v>0.75</v>
      </c>
      <c r="U487" s="49">
        <v>1</v>
      </c>
    </row>
    <row r="488" spans="1:21" ht="15" customHeight="1" x14ac:dyDescent="0.3">
      <c r="A488" s="9">
        <v>457</v>
      </c>
      <c r="B488" s="50" t="s">
        <v>974</v>
      </c>
      <c r="C488" s="50" t="s">
        <v>983</v>
      </c>
      <c r="D488" s="50" t="s">
        <v>986</v>
      </c>
      <c r="E488" s="50" t="s">
        <v>987</v>
      </c>
      <c r="F488" s="48" t="s">
        <v>116</v>
      </c>
      <c r="G488" s="9">
        <v>9</v>
      </c>
      <c r="H488" s="12">
        <f>'Engineering Assumptions'!$C$44*'Engineering Assumptions'!$B$5*U488</f>
        <v>458.4</v>
      </c>
      <c r="I488" s="12">
        <v>0</v>
      </c>
      <c r="J488" s="12">
        <f>'Engineering Assumptions'!$D$44*S488*U488</f>
        <v>31.25</v>
      </c>
      <c r="K488" s="12">
        <f>'Engineering Assumptions'!$E$44*T488*U488</f>
        <v>26.25</v>
      </c>
      <c r="L488" s="13">
        <f t="shared" si="69"/>
        <v>515.9</v>
      </c>
      <c r="M488" s="12">
        <f>L488*'Engineering Assumptions'!$B$10</f>
        <v>77.384999999999991</v>
      </c>
      <c r="N488" s="13">
        <f t="shared" si="70"/>
        <v>593.28499999999997</v>
      </c>
      <c r="O488" s="12">
        <f>N488*'Engineering Assumptions'!$B$11</f>
        <v>118.657</v>
      </c>
      <c r="P488" s="156">
        <f t="shared" si="71"/>
        <v>710</v>
      </c>
      <c r="Q488" s="12">
        <f>'Fleet Pricing'!H488</f>
        <v>460</v>
      </c>
      <c r="R488" s="45">
        <v>9</v>
      </c>
      <c r="S488" s="49">
        <v>1.25</v>
      </c>
      <c r="T488" s="49">
        <v>0.75</v>
      </c>
      <c r="U488" s="49">
        <v>1</v>
      </c>
    </row>
    <row r="489" spans="1:21" ht="15" customHeight="1" x14ac:dyDescent="0.3">
      <c r="A489" s="9">
        <v>458</v>
      </c>
      <c r="B489" s="50" t="s">
        <v>974</v>
      </c>
      <c r="C489" s="50" t="s">
        <v>988</v>
      </c>
      <c r="D489" s="50" t="s">
        <v>989</v>
      </c>
      <c r="E489" s="50" t="s">
        <v>990</v>
      </c>
      <c r="F489" s="48" t="s">
        <v>49</v>
      </c>
      <c r="G489" s="9">
        <v>10</v>
      </c>
      <c r="H489" s="12">
        <f>'Engineering Assumptions'!$C$44*'Engineering Assumptions'!$B$5*U489</f>
        <v>458.4</v>
      </c>
      <c r="I489" s="12">
        <v>0</v>
      </c>
      <c r="J489" s="12">
        <f>'Engineering Assumptions'!$D$44*S489*U489</f>
        <v>31.25</v>
      </c>
      <c r="K489" s="12">
        <f>'Engineering Assumptions'!$E$44*T489*U489</f>
        <v>26.25</v>
      </c>
      <c r="L489" s="13">
        <f t="shared" si="69"/>
        <v>515.9</v>
      </c>
      <c r="M489" s="12">
        <f>L489*'Engineering Assumptions'!$B$10</f>
        <v>77.384999999999991</v>
      </c>
      <c r="N489" s="13">
        <f t="shared" si="70"/>
        <v>593.28499999999997</v>
      </c>
      <c r="O489" s="12">
        <f>N489*'Engineering Assumptions'!$B$11</f>
        <v>118.657</v>
      </c>
      <c r="P489" s="156">
        <f t="shared" si="71"/>
        <v>710</v>
      </c>
      <c r="Q489" s="12">
        <f>'Fleet Pricing'!H489</f>
        <v>460</v>
      </c>
      <c r="R489" s="45">
        <v>10</v>
      </c>
      <c r="S489" s="49">
        <v>1.25</v>
      </c>
      <c r="T489" s="49">
        <v>0.75</v>
      </c>
      <c r="U489" s="49">
        <v>1</v>
      </c>
    </row>
    <row r="490" spans="1:21" ht="15" customHeight="1" x14ac:dyDescent="0.3">
      <c r="A490" s="9">
        <v>459</v>
      </c>
      <c r="B490" s="50" t="s">
        <v>974</v>
      </c>
      <c r="C490" s="50" t="s">
        <v>975</v>
      </c>
      <c r="D490" s="50" t="s">
        <v>991</v>
      </c>
      <c r="E490" s="50" t="s">
        <v>992</v>
      </c>
      <c r="F490" s="48" t="s">
        <v>49</v>
      </c>
      <c r="G490" s="9">
        <v>10</v>
      </c>
      <c r="H490" s="12">
        <f>'Engineering Assumptions'!$C$44*'Engineering Assumptions'!$B$5*U490</f>
        <v>458.4</v>
      </c>
      <c r="I490" s="12">
        <v>0</v>
      </c>
      <c r="J490" s="12">
        <f>'Engineering Assumptions'!$D$44*S490*U490</f>
        <v>31.25</v>
      </c>
      <c r="K490" s="12">
        <f>'Engineering Assumptions'!$E$44*T490*U490</f>
        <v>26.25</v>
      </c>
      <c r="L490" s="13">
        <f t="shared" si="69"/>
        <v>515.9</v>
      </c>
      <c r="M490" s="12">
        <f>L490*'Engineering Assumptions'!$B$10</f>
        <v>77.384999999999991</v>
      </c>
      <c r="N490" s="13">
        <f t="shared" si="70"/>
        <v>593.28499999999997</v>
      </c>
      <c r="O490" s="12">
        <f>N490*'Engineering Assumptions'!$B$11</f>
        <v>118.657</v>
      </c>
      <c r="P490" s="156">
        <f t="shared" si="71"/>
        <v>710</v>
      </c>
      <c r="Q490" s="12">
        <f>'Fleet Pricing'!H490</f>
        <v>460</v>
      </c>
      <c r="R490" s="45">
        <v>10</v>
      </c>
      <c r="S490" s="49">
        <v>1.25</v>
      </c>
      <c r="T490" s="49">
        <v>0.75</v>
      </c>
      <c r="U490" s="49">
        <v>1</v>
      </c>
    </row>
    <row r="491" spans="1:21" ht="15" customHeight="1" x14ac:dyDescent="0.3">
      <c r="A491" s="9">
        <v>460</v>
      </c>
      <c r="B491" s="50" t="s">
        <v>974</v>
      </c>
      <c r="C491" s="50" t="s">
        <v>975</v>
      </c>
      <c r="D491" s="50" t="s">
        <v>993</v>
      </c>
      <c r="E491" s="50" t="s">
        <v>994</v>
      </c>
      <c r="F491" s="48" t="s">
        <v>49</v>
      </c>
      <c r="G491" s="9">
        <v>10</v>
      </c>
      <c r="H491" s="12">
        <f>'Engineering Assumptions'!$C$44*'Engineering Assumptions'!$B$5*U491</f>
        <v>458.4</v>
      </c>
      <c r="I491" s="12">
        <v>0</v>
      </c>
      <c r="J491" s="12">
        <f>'Engineering Assumptions'!$D$44*S491*U491</f>
        <v>31.25</v>
      </c>
      <c r="K491" s="12">
        <f>'Engineering Assumptions'!$E$44*T491*U491</f>
        <v>26.25</v>
      </c>
      <c r="L491" s="13">
        <f t="shared" si="69"/>
        <v>515.9</v>
      </c>
      <c r="M491" s="12">
        <f>L491*'Engineering Assumptions'!$B$10</f>
        <v>77.384999999999991</v>
      </c>
      <c r="N491" s="13">
        <f t="shared" si="70"/>
        <v>593.28499999999997</v>
      </c>
      <c r="O491" s="12">
        <f>N491*'Engineering Assumptions'!$B$11</f>
        <v>118.657</v>
      </c>
      <c r="P491" s="156">
        <f t="shared" si="71"/>
        <v>710</v>
      </c>
      <c r="Q491" s="12">
        <f>'Fleet Pricing'!H491</f>
        <v>460</v>
      </c>
      <c r="R491" s="45">
        <v>10</v>
      </c>
      <c r="S491" s="49">
        <v>1.25</v>
      </c>
      <c r="T491" s="49">
        <v>0.75</v>
      </c>
      <c r="U491" s="49">
        <v>1</v>
      </c>
    </row>
    <row r="492" spans="1:21" ht="15" customHeight="1" x14ac:dyDescent="0.3">
      <c r="A492" s="9">
        <v>461</v>
      </c>
      <c r="B492" s="50" t="s">
        <v>974</v>
      </c>
      <c r="C492" s="50" t="s">
        <v>975</v>
      </c>
      <c r="D492" s="50" t="s">
        <v>995</v>
      </c>
      <c r="E492" s="50" t="s">
        <v>996</v>
      </c>
      <c r="F492" s="48" t="s">
        <v>49</v>
      </c>
      <c r="G492" s="9">
        <v>10</v>
      </c>
      <c r="H492" s="12">
        <f>'Engineering Assumptions'!$C$44*'Engineering Assumptions'!$B$5*U492</f>
        <v>458.4</v>
      </c>
      <c r="I492" s="12">
        <v>0</v>
      </c>
      <c r="J492" s="12">
        <f>'Engineering Assumptions'!$D$44*S492*U492</f>
        <v>31.25</v>
      </c>
      <c r="K492" s="12">
        <f>'Engineering Assumptions'!$E$44*T492*U492</f>
        <v>26.25</v>
      </c>
      <c r="L492" s="13">
        <f t="shared" si="69"/>
        <v>515.9</v>
      </c>
      <c r="M492" s="12">
        <f>L492*'Engineering Assumptions'!$B$10</f>
        <v>77.384999999999991</v>
      </c>
      <c r="N492" s="13">
        <f t="shared" si="70"/>
        <v>593.28499999999997</v>
      </c>
      <c r="O492" s="12">
        <f>N492*'Engineering Assumptions'!$B$11</f>
        <v>118.657</v>
      </c>
      <c r="P492" s="156">
        <f t="shared" si="71"/>
        <v>710</v>
      </c>
      <c r="Q492" s="12">
        <f>'Fleet Pricing'!H492</f>
        <v>460</v>
      </c>
      <c r="R492" s="45">
        <v>10</v>
      </c>
      <c r="S492" s="49">
        <v>1.25</v>
      </c>
      <c r="T492" s="49">
        <v>0.75</v>
      </c>
      <c r="U492" s="49">
        <v>1</v>
      </c>
    </row>
    <row r="493" spans="1:21" ht="15" customHeight="1" x14ac:dyDescent="0.3">
      <c r="A493" s="9">
        <v>462</v>
      </c>
      <c r="B493" s="50" t="s">
        <v>974</v>
      </c>
      <c r="C493" s="50" t="s">
        <v>983</v>
      </c>
      <c r="D493" s="50"/>
      <c r="E493" s="50"/>
      <c r="F493" s="48" t="s">
        <v>49</v>
      </c>
      <c r="G493" s="9">
        <v>10</v>
      </c>
      <c r="H493" s="12">
        <f>'Engineering Assumptions'!$C$44*'Engineering Assumptions'!$B$5*U493</f>
        <v>458.4</v>
      </c>
      <c r="I493" s="12">
        <v>0</v>
      </c>
      <c r="J493" s="12">
        <f>'Engineering Assumptions'!$D$44*S493*U493</f>
        <v>31.25</v>
      </c>
      <c r="K493" s="12">
        <f>'Engineering Assumptions'!$E$44*T493*U493</f>
        <v>26.25</v>
      </c>
      <c r="L493" s="13">
        <f t="shared" si="69"/>
        <v>515.9</v>
      </c>
      <c r="M493" s="12">
        <f>L493*'Engineering Assumptions'!$B$10</f>
        <v>77.384999999999991</v>
      </c>
      <c r="N493" s="13">
        <f t="shared" si="70"/>
        <v>593.28499999999997</v>
      </c>
      <c r="O493" s="12">
        <f>N493*'Engineering Assumptions'!$B$11</f>
        <v>118.657</v>
      </c>
      <c r="P493" s="156">
        <f t="shared" si="71"/>
        <v>710</v>
      </c>
      <c r="Q493" s="12">
        <f>'Fleet Pricing'!H493</f>
        <v>460</v>
      </c>
      <c r="R493" s="45">
        <v>10</v>
      </c>
      <c r="S493" s="49">
        <v>1.25</v>
      </c>
      <c r="T493" s="49">
        <v>0.75</v>
      </c>
      <c r="U493" s="49">
        <v>1</v>
      </c>
    </row>
    <row r="494" spans="1:21" ht="15" customHeight="1" x14ac:dyDescent="0.3">
      <c r="A494" s="9">
        <v>463</v>
      </c>
      <c r="B494" s="50" t="s">
        <v>974</v>
      </c>
      <c r="C494" s="50" t="s">
        <v>975</v>
      </c>
      <c r="D494" s="50" t="s">
        <v>997</v>
      </c>
      <c r="E494" s="50" t="s">
        <v>998</v>
      </c>
      <c r="F494" s="48" t="s">
        <v>61</v>
      </c>
      <c r="G494" s="9">
        <v>11</v>
      </c>
      <c r="H494" s="12">
        <f>'Engineering Assumptions'!$C$44*'Engineering Assumptions'!$B$5*U494</f>
        <v>458.4</v>
      </c>
      <c r="I494" s="12">
        <v>0</v>
      </c>
      <c r="J494" s="12">
        <f>'Engineering Assumptions'!$D$44*S494*U494</f>
        <v>38.75</v>
      </c>
      <c r="K494" s="12">
        <f>'Engineering Assumptions'!$E$44*T494*U494</f>
        <v>47.25</v>
      </c>
      <c r="L494" s="13">
        <f t="shared" si="69"/>
        <v>544.4</v>
      </c>
      <c r="M494" s="12">
        <f>L494*'Engineering Assumptions'!$B$10</f>
        <v>81.66</v>
      </c>
      <c r="N494" s="13">
        <f t="shared" si="70"/>
        <v>626.05999999999995</v>
      </c>
      <c r="O494" s="12">
        <f>N494*'Engineering Assumptions'!$B$11</f>
        <v>125.21199999999999</v>
      </c>
      <c r="P494" s="156">
        <f t="shared" si="71"/>
        <v>750</v>
      </c>
      <c r="Q494" s="12">
        <f>'Fleet Pricing'!H494</f>
        <v>460</v>
      </c>
      <c r="R494" s="45">
        <v>11</v>
      </c>
      <c r="S494" s="49">
        <v>1.55</v>
      </c>
      <c r="T494" s="49">
        <v>1.35</v>
      </c>
      <c r="U494" s="49">
        <v>1</v>
      </c>
    </row>
    <row r="495" spans="1:21" ht="15" customHeight="1" x14ac:dyDescent="0.3">
      <c r="A495" s="9">
        <v>464</v>
      </c>
      <c r="B495" s="50" t="s">
        <v>974</v>
      </c>
      <c r="C495" s="50" t="s">
        <v>975</v>
      </c>
      <c r="D495" s="50" t="s">
        <v>999</v>
      </c>
      <c r="E495" s="50" t="s">
        <v>1000</v>
      </c>
      <c r="F495" s="48" t="s">
        <v>61</v>
      </c>
      <c r="G495" s="9">
        <v>11</v>
      </c>
      <c r="H495" s="12">
        <f>'Engineering Assumptions'!$C$44*'Engineering Assumptions'!$B$5*U495</f>
        <v>458.4</v>
      </c>
      <c r="I495" s="12">
        <v>0</v>
      </c>
      <c r="J495" s="12">
        <f>'Engineering Assumptions'!$D$44*S495*U495</f>
        <v>38.75</v>
      </c>
      <c r="K495" s="12">
        <f>'Engineering Assumptions'!$E$44*T495*U495</f>
        <v>47.25</v>
      </c>
      <c r="L495" s="13">
        <f t="shared" si="69"/>
        <v>544.4</v>
      </c>
      <c r="M495" s="12">
        <f>L495*'Engineering Assumptions'!$B$10</f>
        <v>81.66</v>
      </c>
      <c r="N495" s="13">
        <f t="shared" si="70"/>
        <v>626.05999999999995</v>
      </c>
      <c r="O495" s="12">
        <f>N495*'Engineering Assumptions'!$B$11</f>
        <v>125.21199999999999</v>
      </c>
      <c r="P495" s="156">
        <f t="shared" si="71"/>
        <v>750</v>
      </c>
      <c r="Q495" s="12">
        <f>'Fleet Pricing'!H495</f>
        <v>460</v>
      </c>
      <c r="R495" s="45">
        <v>11</v>
      </c>
      <c r="S495" s="49">
        <v>1.55</v>
      </c>
      <c r="T495" s="49">
        <v>1.35</v>
      </c>
      <c r="U495" s="49">
        <v>1</v>
      </c>
    </row>
    <row r="496" spans="1:21" ht="15" customHeight="1" x14ac:dyDescent="0.3">
      <c r="A496" s="9">
        <v>465</v>
      </c>
      <c r="B496" s="50" t="s">
        <v>974</v>
      </c>
      <c r="C496" s="50" t="s">
        <v>1001</v>
      </c>
      <c r="D496" s="50" t="s">
        <v>1002</v>
      </c>
      <c r="E496" s="50" t="s">
        <v>1003</v>
      </c>
      <c r="F496" s="48" t="s">
        <v>61</v>
      </c>
      <c r="G496" s="9">
        <v>11</v>
      </c>
      <c r="H496" s="12">
        <f>'Engineering Assumptions'!$C$44*'Engineering Assumptions'!$B$5*U496</f>
        <v>458.4</v>
      </c>
      <c r="I496" s="12">
        <v>0</v>
      </c>
      <c r="J496" s="12">
        <f>'Engineering Assumptions'!$D$44*S496*U496</f>
        <v>38.75</v>
      </c>
      <c r="K496" s="12">
        <f>'Engineering Assumptions'!$E$44*T496*U496</f>
        <v>47.25</v>
      </c>
      <c r="L496" s="13">
        <f t="shared" si="69"/>
        <v>544.4</v>
      </c>
      <c r="M496" s="12">
        <f>L496*'Engineering Assumptions'!$B$10</f>
        <v>81.66</v>
      </c>
      <c r="N496" s="13">
        <f t="shared" si="70"/>
        <v>626.05999999999995</v>
      </c>
      <c r="O496" s="12">
        <f>N496*'Engineering Assumptions'!$B$11</f>
        <v>125.21199999999999</v>
      </c>
      <c r="P496" s="156">
        <f t="shared" si="71"/>
        <v>750</v>
      </c>
      <c r="Q496" s="12">
        <f>'Fleet Pricing'!H496</f>
        <v>460</v>
      </c>
      <c r="R496" s="45">
        <v>11</v>
      </c>
      <c r="S496" s="49">
        <v>1.55</v>
      </c>
      <c r="T496" s="49">
        <v>1.35</v>
      </c>
      <c r="U496" s="49">
        <v>1</v>
      </c>
    </row>
    <row r="497" spans="1:21" ht="15" customHeight="1" x14ac:dyDescent="0.3">
      <c r="A497" s="9">
        <v>466</v>
      </c>
      <c r="B497" s="50" t="s">
        <v>974</v>
      </c>
      <c r="C497" s="50" t="s">
        <v>1001</v>
      </c>
      <c r="D497" s="50" t="s">
        <v>1004</v>
      </c>
      <c r="E497" s="50" t="s">
        <v>1005</v>
      </c>
      <c r="F497" s="48" t="s">
        <v>61</v>
      </c>
      <c r="G497" s="9">
        <v>11</v>
      </c>
      <c r="H497" s="12">
        <f>'Engineering Assumptions'!$C$44*'Engineering Assumptions'!$B$5*U497</f>
        <v>458.4</v>
      </c>
      <c r="I497" s="12">
        <v>0</v>
      </c>
      <c r="J497" s="12">
        <f>'Engineering Assumptions'!$D$44*S497*U497</f>
        <v>38.75</v>
      </c>
      <c r="K497" s="12">
        <f>'Engineering Assumptions'!$E$44*T497*U497</f>
        <v>47.25</v>
      </c>
      <c r="L497" s="13">
        <f t="shared" si="69"/>
        <v>544.4</v>
      </c>
      <c r="M497" s="12">
        <f>L497*'Engineering Assumptions'!$B$10</f>
        <v>81.66</v>
      </c>
      <c r="N497" s="13">
        <f t="shared" si="70"/>
        <v>626.05999999999995</v>
      </c>
      <c r="O497" s="12">
        <f>N497*'Engineering Assumptions'!$B$11</f>
        <v>125.21199999999999</v>
      </c>
      <c r="P497" s="156">
        <f t="shared" si="71"/>
        <v>750</v>
      </c>
      <c r="Q497" s="12">
        <f>'Fleet Pricing'!H497</f>
        <v>460</v>
      </c>
      <c r="R497" s="45">
        <v>11</v>
      </c>
      <c r="S497" s="49">
        <v>1.55</v>
      </c>
      <c r="T497" s="49">
        <v>1.35</v>
      </c>
      <c r="U497" s="49">
        <v>1</v>
      </c>
    </row>
    <row r="498" spans="1:21" ht="15" customHeight="1" x14ac:dyDescent="0.3">
      <c r="A498" s="9">
        <v>467</v>
      </c>
      <c r="B498" s="50" t="s">
        <v>974</v>
      </c>
      <c r="C498" s="50" t="s">
        <v>1006</v>
      </c>
      <c r="D498" s="50" t="s">
        <v>1007</v>
      </c>
      <c r="E498" s="50" t="s">
        <v>1008</v>
      </c>
      <c r="F498" s="48" t="s">
        <v>99</v>
      </c>
      <c r="G498" s="9">
        <v>13</v>
      </c>
      <c r="H498" s="12">
        <f>'Engineering Assumptions'!$C$44*'Engineering Assumptions'!$B$5*U498</f>
        <v>458.4</v>
      </c>
      <c r="I498" s="12">
        <v>0</v>
      </c>
      <c r="J498" s="12">
        <f>'Engineering Assumptions'!$D$44*S498*U498</f>
        <v>38.75</v>
      </c>
      <c r="K498" s="12">
        <f>'Engineering Assumptions'!$E$44*T498*U498</f>
        <v>47.25</v>
      </c>
      <c r="L498" s="13">
        <f t="shared" si="69"/>
        <v>544.4</v>
      </c>
      <c r="M498" s="12">
        <f>L498*'Engineering Assumptions'!$B$10</f>
        <v>81.66</v>
      </c>
      <c r="N498" s="13">
        <f t="shared" si="70"/>
        <v>626.05999999999995</v>
      </c>
      <c r="O498" s="12">
        <f>N498*'Engineering Assumptions'!$B$11</f>
        <v>125.21199999999999</v>
      </c>
      <c r="P498" s="156">
        <f t="shared" si="71"/>
        <v>750</v>
      </c>
      <c r="Q498" s="12">
        <f>'Fleet Pricing'!H498</f>
        <v>410</v>
      </c>
      <c r="R498" s="45">
        <v>13</v>
      </c>
      <c r="S498" s="49">
        <v>1.55</v>
      </c>
      <c r="T498" s="49">
        <v>1.35</v>
      </c>
      <c r="U498" s="49">
        <v>1</v>
      </c>
    </row>
    <row r="499" spans="1:21" ht="15" customHeight="1" x14ac:dyDescent="0.3">
      <c r="A499" s="9">
        <v>468</v>
      </c>
      <c r="B499" s="50" t="s">
        <v>974</v>
      </c>
      <c r="C499" s="50" t="s">
        <v>1006</v>
      </c>
      <c r="D499" s="50" t="s">
        <v>1009</v>
      </c>
      <c r="E499" s="50" t="s">
        <v>1010</v>
      </c>
      <c r="F499" s="48" t="s">
        <v>99</v>
      </c>
      <c r="G499" s="9">
        <v>13</v>
      </c>
      <c r="H499" s="12">
        <f>'Engineering Assumptions'!$C$44*'Engineering Assumptions'!$B$5*U499</f>
        <v>458.4</v>
      </c>
      <c r="I499" s="12">
        <v>0</v>
      </c>
      <c r="J499" s="12">
        <f>'Engineering Assumptions'!$D$44*S499*U499</f>
        <v>38.75</v>
      </c>
      <c r="K499" s="12">
        <f>'Engineering Assumptions'!$E$44*T499*U499</f>
        <v>47.25</v>
      </c>
      <c r="L499" s="13">
        <f t="shared" si="69"/>
        <v>544.4</v>
      </c>
      <c r="M499" s="12">
        <f>L499*'Engineering Assumptions'!$B$10</f>
        <v>81.66</v>
      </c>
      <c r="N499" s="13">
        <f t="shared" si="70"/>
        <v>626.05999999999995</v>
      </c>
      <c r="O499" s="12">
        <f>N499*'Engineering Assumptions'!$B$11</f>
        <v>125.21199999999999</v>
      </c>
      <c r="P499" s="156">
        <f t="shared" si="71"/>
        <v>750</v>
      </c>
      <c r="Q499" s="12">
        <f>'Fleet Pricing'!H499</f>
        <v>410</v>
      </c>
      <c r="R499" s="45">
        <v>13</v>
      </c>
      <c r="S499" s="49">
        <v>1.55</v>
      </c>
      <c r="T499" s="49">
        <v>1.35</v>
      </c>
      <c r="U499" s="49">
        <v>1</v>
      </c>
    </row>
    <row r="500" spans="1:21" ht="15" customHeight="1" x14ac:dyDescent="0.3">
      <c r="A500" s="9">
        <v>469</v>
      </c>
      <c r="B500" s="50" t="s">
        <v>974</v>
      </c>
      <c r="C500" s="50" t="s">
        <v>975</v>
      </c>
      <c r="D500" s="50" t="s">
        <v>1011</v>
      </c>
      <c r="E500" s="50" t="s">
        <v>1012</v>
      </c>
      <c r="F500" s="48" t="s">
        <v>66</v>
      </c>
      <c r="G500" s="9">
        <v>14</v>
      </c>
      <c r="H500" s="12">
        <f>'Engineering Assumptions'!$C$44*'Engineering Assumptions'!$B$5*U500</f>
        <v>458.4</v>
      </c>
      <c r="I500" s="12">
        <v>0</v>
      </c>
      <c r="J500" s="12">
        <f>'Engineering Assumptions'!$D$44*S500*U500</f>
        <v>38.75</v>
      </c>
      <c r="K500" s="12">
        <f>'Engineering Assumptions'!$E$44*T500*U500</f>
        <v>47.25</v>
      </c>
      <c r="L500" s="13">
        <f t="shared" si="69"/>
        <v>544.4</v>
      </c>
      <c r="M500" s="12">
        <f>L500*'Engineering Assumptions'!$B$10</f>
        <v>81.66</v>
      </c>
      <c r="N500" s="13">
        <f t="shared" si="70"/>
        <v>626.05999999999995</v>
      </c>
      <c r="O500" s="12">
        <f>N500*'Engineering Assumptions'!$B$11</f>
        <v>125.21199999999999</v>
      </c>
      <c r="P500" s="156">
        <f t="shared" si="71"/>
        <v>750</v>
      </c>
      <c r="Q500" s="12">
        <f>'Fleet Pricing'!H500</f>
        <v>410</v>
      </c>
      <c r="R500" s="45">
        <v>14</v>
      </c>
      <c r="S500" s="49">
        <v>1.55</v>
      </c>
      <c r="T500" s="49">
        <v>1.35</v>
      </c>
      <c r="U500" s="49">
        <v>1</v>
      </c>
    </row>
    <row r="501" spans="1:21" ht="15" customHeight="1" x14ac:dyDescent="0.3">
      <c r="A501" s="9">
        <v>470</v>
      </c>
      <c r="B501" s="50" t="s">
        <v>974</v>
      </c>
      <c r="C501" s="50" t="s">
        <v>975</v>
      </c>
      <c r="D501" s="50" t="s">
        <v>1013</v>
      </c>
      <c r="E501" s="50" t="s">
        <v>1014</v>
      </c>
      <c r="F501" s="48" t="s">
        <v>66</v>
      </c>
      <c r="G501" s="9">
        <v>14</v>
      </c>
      <c r="H501" s="12">
        <f>'Engineering Assumptions'!$C$44*'Engineering Assumptions'!$B$5*U501</f>
        <v>458.4</v>
      </c>
      <c r="I501" s="12">
        <v>0</v>
      </c>
      <c r="J501" s="12">
        <f>'Engineering Assumptions'!$D$44*S501*U501</f>
        <v>38.75</v>
      </c>
      <c r="K501" s="12">
        <f>'Engineering Assumptions'!$E$44*T501*U501</f>
        <v>47.25</v>
      </c>
      <c r="L501" s="13">
        <f t="shared" si="69"/>
        <v>544.4</v>
      </c>
      <c r="M501" s="12">
        <f>L501*'Engineering Assumptions'!$B$10</f>
        <v>81.66</v>
      </c>
      <c r="N501" s="13">
        <f t="shared" si="70"/>
        <v>626.05999999999995</v>
      </c>
      <c r="O501" s="12">
        <f>N501*'Engineering Assumptions'!$B$11</f>
        <v>125.21199999999999</v>
      </c>
      <c r="P501" s="156">
        <f t="shared" si="71"/>
        <v>750</v>
      </c>
      <c r="Q501" s="12">
        <f>'Fleet Pricing'!H501</f>
        <v>410</v>
      </c>
      <c r="R501" s="45">
        <v>14</v>
      </c>
      <c r="S501" s="49">
        <v>1.55</v>
      </c>
      <c r="T501" s="49">
        <v>1.35</v>
      </c>
      <c r="U501" s="49">
        <v>1</v>
      </c>
    </row>
    <row r="502" spans="1:21" ht="15" customHeight="1" x14ac:dyDescent="0.3">
      <c r="A502" s="9">
        <v>471</v>
      </c>
      <c r="B502" s="50" t="s">
        <v>974</v>
      </c>
      <c r="C502" s="50" t="s">
        <v>975</v>
      </c>
      <c r="D502" s="50" t="s">
        <v>1015</v>
      </c>
      <c r="E502" s="50" t="s">
        <v>1016</v>
      </c>
      <c r="F502" s="48" t="s">
        <v>66</v>
      </c>
      <c r="G502" s="9">
        <v>14</v>
      </c>
      <c r="H502" s="12">
        <f>'Engineering Assumptions'!$C$44*'Engineering Assumptions'!$B$5*U502</f>
        <v>458.4</v>
      </c>
      <c r="I502" s="12">
        <v>0</v>
      </c>
      <c r="J502" s="12">
        <f>'Engineering Assumptions'!$D$44*S502*U502</f>
        <v>38.75</v>
      </c>
      <c r="K502" s="12">
        <f>'Engineering Assumptions'!$E$44*T502*U502</f>
        <v>47.25</v>
      </c>
      <c r="L502" s="13">
        <f t="shared" si="69"/>
        <v>544.4</v>
      </c>
      <c r="M502" s="12">
        <f>L502*'Engineering Assumptions'!$B$10</f>
        <v>81.66</v>
      </c>
      <c r="N502" s="13">
        <f t="shared" si="70"/>
        <v>626.05999999999995</v>
      </c>
      <c r="O502" s="12">
        <f>N502*'Engineering Assumptions'!$B$11</f>
        <v>125.21199999999999</v>
      </c>
      <c r="P502" s="156">
        <f t="shared" si="71"/>
        <v>750</v>
      </c>
      <c r="Q502" s="12">
        <f>'Fleet Pricing'!H502</f>
        <v>410</v>
      </c>
      <c r="R502" s="45">
        <v>14</v>
      </c>
      <c r="S502" s="49">
        <v>1.55</v>
      </c>
      <c r="T502" s="49">
        <v>1.35</v>
      </c>
      <c r="U502" s="49">
        <v>1</v>
      </c>
    </row>
    <row r="503" spans="1:21" ht="15" customHeight="1" x14ac:dyDescent="0.3">
      <c r="A503" s="9">
        <v>472</v>
      </c>
      <c r="B503" s="50" t="s">
        <v>974</v>
      </c>
      <c r="C503" s="50" t="s">
        <v>1006</v>
      </c>
      <c r="D503" s="50" t="s">
        <v>1017</v>
      </c>
      <c r="E503" s="50" t="s">
        <v>1018</v>
      </c>
      <c r="F503" s="48" t="s">
        <v>66</v>
      </c>
      <c r="G503" s="9">
        <v>14</v>
      </c>
      <c r="H503" s="12">
        <f>'Engineering Assumptions'!$C$44*'Engineering Assumptions'!$B$5*U503</f>
        <v>458.4</v>
      </c>
      <c r="I503" s="12">
        <v>0</v>
      </c>
      <c r="J503" s="12">
        <f>'Engineering Assumptions'!$D$44*S503*U503</f>
        <v>38.75</v>
      </c>
      <c r="K503" s="12">
        <f>'Engineering Assumptions'!$E$44*T503*U503</f>
        <v>47.25</v>
      </c>
      <c r="L503" s="13">
        <f t="shared" si="69"/>
        <v>544.4</v>
      </c>
      <c r="M503" s="12">
        <f>L503*'Engineering Assumptions'!$B$10</f>
        <v>81.66</v>
      </c>
      <c r="N503" s="13">
        <f t="shared" si="70"/>
        <v>626.05999999999995</v>
      </c>
      <c r="O503" s="12">
        <f>N503*'Engineering Assumptions'!$B$11</f>
        <v>125.21199999999999</v>
      </c>
      <c r="P503" s="156">
        <f t="shared" si="71"/>
        <v>750</v>
      </c>
      <c r="Q503" s="12">
        <f>'Fleet Pricing'!H503</f>
        <v>410</v>
      </c>
      <c r="R503" s="45">
        <v>14</v>
      </c>
      <c r="S503" s="49">
        <v>1.55</v>
      </c>
      <c r="T503" s="49">
        <v>1.35</v>
      </c>
      <c r="U503" s="49">
        <v>1</v>
      </c>
    </row>
    <row r="504" spans="1:21" ht="15" customHeight="1" x14ac:dyDescent="0.3">
      <c r="A504" s="9">
        <v>473</v>
      </c>
      <c r="B504" s="50" t="s">
        <v>974</v>
      </c>
      <c r="C504" s="50" t="s">
        <v>1006</v>
      </c>
      <c r="D504" s="50" t="s">
        <v>1019</v>
      </c>
      <c r="E504" s="50" t="s">
        <v>1020</v>
      </c>
      <c r="F504" s="48" t="s">
        <v>66</v>
      </c>
      <c r="G504" s="9">
        <v>14</v>
      </c>
      <c r="H504" s="12">
        <f>'Engineering Assumptions'!$C$44*'Engineering Assumptions'!$B$5*U504</f>
        <v>458.4</v>
      </c>
      <c r="I504" s="12">
        <v>0</v>
      </c>
      <c r="J504" s="12">
        <f>'Engineering Assumptions'!$D$44*S504*U504</f>
        <v>38.75</v>
      </c>
      <c r="K504" s="12">
        <f>'Engineering Assumptions'!$E$44*T504*U504</f>
        <v>47.25</v>
      </c>
      <c r="L504" s="13">
        <f t="shared" si="69"/>
        <v>544.4</v>
      </c>
      <c r="M504" s="12">
        <f>L504*'Engineering Assumptions'!$B$10</f>
        <v>81.66</v>
      </c>
      <c r="N504" s="13">
        <f t="shared" si="70"/>
        <v>626.05999999999995</v>
      </c>
      <c r="O504" s="12">
        <f>N504*'Engineering Assumptions'!$B$11</f>
        <v>125.21199999999999</v>
      </c>
      <c r="P504" s="156">
        <f t="shared" si="71"/>
        <v>750</v>
      </c>
      <c r="Q504" s="12">
        <f>'Fleet Pricing'!H504</f>
        <v>410</v>
      </c>
      <c r="R504" s="45">
        <v>14</v>
      </c>
      <c r="S504" s="49">
        <v>1.55</v>
      </c>
      <c r="T504" s="49">
        <v>1.35</v>
      </c>
      <c r="U504" s="49">
        <v>1</v>
      </c>
    </row>
    <row r="505" spans="1:21" ht="15" customHeight="1" x14ac:dyDescent="0.3">
      <c r="A505" s="9">
        <v>474</v>
      </c>
      <c r="B505" s="50" t="s">
        <v>974</v>
      </c>
      <c r="C505" s="50" t="s">
        <v>1006</v>
      </c>
      <c r="D505" s="50" t="s">
        <v>1021</v>
      </c>
      <c r="E505" s="50" t="s">
        <v>1022</v>
      </c>
      <c r="F505" s="48" t="s">
        <v>66</v>
      </c>
      <c r="G505" s="9">
        <v>14</v>
      </c>
      <c r="H505" s="12">
        <f>'Engineering Assumptions'!$C$44*'Engineering Assumptions'!$B$5*U505</f>
        <v>458.4</v>
      </c>
      <c r="I505" s="12">
        <v>0</v>
      </c>
      <c r="J505" s="12">
        <f>'Engineering Assumptions'!$D$44*S505*U505</f>
        <v>38.75</v>
      </c>
      <c r="K505" s="12">
        <f>'Engineering Assumptions'!$E$44*T505*U505</f>
        <v>47.25</v>
      </c>
      <c r="L505" s="13">
        <f t="shared" si="69"/>
        <v>544.4</v>
      </c>
      <c r="M505" s="12">
        <f>L505*'Engineering Assumptions'!$B$10</f>
        <v>81.66</v>
      </c>
      <c r="N505" s="13">
        <f t="shared" si="70"/>
        <v>626.05999999999995</v>
      </c>
      <c r="O505" s="12">
        <f>N505*'Engineering Assumptions'!$B$11</f>
        <v>125.21199999999999</v>
      </c>
      <c r="P505" s="156">
        <f t="shared" si="71"/>
        <v>750</v>
      </c>
      <c r="Q505" s="12">
        <f>'Fleet Pricing'!H505</f>
        <v>410</v>
      </c>
      <c r="R505" s="45">
        <v>14</v>
      </c>
      <c r="S505" s="49">
        <v>1.55</v>
      </c>
      <c r="T505" s="49">
        <v>1.35</v>
      </c>
      <c r="U505" s="49">
        <v>1</v>
      </c>
    </row>
    <row r="506" spans="1:21" ht="15" customHeight="1" x14ac:dyDescent="0.3">
      <c r="A506" s="9">
        <v>475</v>
      </c>
      <c r="B506" s="50" t="s">
        <v>974</v>
      </c>
      <c r="C506" s="50" t="s">
        <v>1006</v>
      </c>
      <c r="D506" s="50" t="s">
        <v>1023</v>
      </c>
      <c r="E506" s="50" t="s">
        <v>1024</v>
      </c>
      <c r="F506" s="48" t="s">
        <v>458</v>
      </c>
      <c r="G506" s="9">
        <v>15</v>
      </c>
      <c r="H506" s="12">
        <f>'Engineering Assumptions'!$C$44*'Engineering Assumptions'!$B$5*U506</f>
        <v>458.4</v>
      </c>
      <c r="I506" s="12">
        <v>0</v>
      </c>
      <c r="J506" s="12">
        <f>'Engineering Assumptions'!$D$44*S506*U506</f>
        <v>38.75</v>
      </c>
      <c r="K506" s="12">
        <f>'Engineering Assumptions'!$E$44*T506*U506</f>
        <v>47.25</v>
      </c>
      <c r="L506" s="13">
        <f t="shared" si="69"/>
        <v>544.4</v>
      </c>
      <c r="M506" s="12">
        <f>L506*'Engineering Assumptions'!$B$10</f>
        <v>81.66</v>
      </c>
      <c r="N506" s="13">
        <f t="shared" si="70"/>
        <v>626.05999999999995</v>
      </c>
      <c r="O506" s="12">
        <f>N506*'Engineering Assumptions'!$B$11</f>
        <v>125.21199999999999</v>
      </c>
      <c r="P506" s="156">
        <f t="shared" si="71"/>
        <v>750</v>
      </c>
      <c r="Q506" s="12">
        <f>'Fleet Pricing'!H506</f>
        <v>410</v>
      </c>
      <c r="R506" s="45">
        <v>15</v>
      </c>
      <c r="S506" s="49">
        <v>1.55</v>
      </c>
      <c r="T506" s="49">
        <v>1.35</v>
      </c>
      <c r="U506" s="49">
        <v>1</v>
      </c>
    </row>
    <row r="507" spans="1:21" ht="15" customHeight="1" x14ac:dyDescent="0.3">
      <c r="A507" s="9">
        <v>476</v>
      </c>
      <c r="B507" s="50" t="s">
        <v>974</v>
      </c>
      <c r="C507" s="50" t="s">
        <v>1006</v>
      </c>
      <c r="D507" s="50" t="s">
        <v>1025</v>
      </c>
      <c r="E507" s="50" t="s">
        <v>1026</v>
      </c>
      <c r="F507" s="48" t="s">
        <v>458</v>
      </c>
      <c r="G507" s="9">
        <v>15</v>
      </c>
      <c r="H507" s="12">
        <f>'Engineering Assumptions'!$C$44*'Engineering Assumptions'!$B$5*U507</f>
        <v>458.4</v>
      </c>
      <c r="I507" s="12">
        <v>0</v>
      </c>
      <c r="J507" s="12">
        <f>'Engineering Assumptions'!$D$44*S507*U507</f>
        <v>38.75</v>
      </c>
      <c r="K507" s="12">
        <f>'Engineering Assumptions'!$E$44*T507*U507</f>
        <v>47.25</v>
      </c>
      <c r="L507" s="13">
        <f t="shared" si="69"/>
        <v>544.4</v>
      </c>
      <c r="M507" s="12">
        <f>L507*'Engineering Assumptions'!$B$10</f>
        <v>81.66</v>
      </c>
      <c r="N507" s="13">
        <f t="shared" si="70"/>
        <v>626.05999999999995</v>
      </c>
      <c r="O507" s="12">
        <f>N507*'Engineering Assumptions'!$B$11</f>
        <v>125.21199999999999</v>
      </c>
      <c r="P507" s="156">
        <f t="shared" si="71"/>
        <v>750</v>
      </c>
      <c r="Q507" s="12">
        <f>'Fleet Pricing'!H507</f>
        <v>410</v>
      </c>
      <c r="R507" s="45">
        <v>15</v>
      </c>
      <c r="S507" s="49">
        <v>1.55</v>
      </c>
      <c r="T507" s="49">
        <v>1.35</v>
      </c>
      <c r="U507" s="49">
        <v>1</v>
      </c>
    </row>
    <row r="508" spans="1:21" ht="15" customHeight="1" x14ac:dyDescent="0.3">
      <c r="A508" s="9">
        <v>477</v>
      </c>
      <c r="B508" s="50" t="s">
        <v>974</v>
      </c>
      <c r="C508" s="50" t="s">
        <v>1006</v>
      </c>
      <c r="D508" s="50" t="s">
        <v>1027</v>
      </c>
      <c r="E508" s="50" t="s">
        <v>1028</v>
      </c>
      <c r="F508" s="48" t="s">
        <v>458</v>
      </c>
      <c r="G508" s="9">
        <v>15</v>
      </c>
      <c r="H508" s="12">
        <f>'Engineering Assumptions'!$C$44*'Engineering Assumptions'!$B$5*U508</f>
        <v>458.4</v>
      </c>
      <c r="I508" s="12">
        <v>0</v>
      </c>
      <c r="J508" s="12">
        <f>'Engineering Assumptions'!$D$44*S508*U508</f>
        <v>38.75</v>
      </c>
      <c r="K508" s="12">
        <f>'Engineering Assumptions'!$E$44*T508*U508</f>
        <v>47.25</v>
      </c>
      <c r="L508" s="13">
        <f t="shared" si="69"/>
        <v>544.4</v>
      </c>
      <c r="M508" s="12">
        <f>L508*'Engineering Assumptions'!$B$10</f>
        <v>81.66</v>
      </c>
      <c r="N508" s="13">
        <f t="shared" si="70"/>
        <v>626.05999999999995</v>
      </c>
      <c r="O508" s="12">
        <f>N508*'Engineering Assumptions'!$B$11</f>
        <v>125.21199999999999</v>
      </c>
      <c r="P508" s="156">
        <f t="shared" si="71"/>
        <v>750</v>
      </c>
      <c r="Q508" s="12">
        <f>'Fleet Pricing'!H508</f>
        <v>410</v>
      </c>
      <c r="R508" s="45">
        <v>15</v>
      </c>
      <c r="S508" s="49">
        <v>1.55</v>
      </c>
      <c r="T508" s="49">
        <v>1.35</v>
      </c>
      <c r="U508" s="49">
        <v>1</v>
      </c>
    </row>
    <row r="509" spans="1:21" ht="15" customHeight="1" x14ac:dyDescent="0.3">
      <c r="A509" s="9">
        <v>478</v>
      </c>
      <c r="B509" s="50" t="s">
        <v>974</v>
      </c>
      <c r="C509" s="50" t="s">
        <v>1029</v>
      </c>
      <c r="D509" s="50" t="s">
        <v>1030</v>
      </c>
      <c r="E509" s="50" t="s">
        <v>1031</v>
      </c>
      <c r="F509" s="48" t="s">
        <v>518</v>
      </c>
      <c r="G509" s="9">
        <v>19</v>
      </c>
      <c r="H509" s="12">
        <f>'Engineering Assumptions'!$C$44*'Engineering Assumptions'!$B$5*U509</f>
        <v>458.4</v>
      </c>
      <c r="I509" s="12">
        <v>0</v>
      </c>
      <c r="J509" s="12">
        <f>'Engineering Assumptions'!$D$44*S509*U509</f>
        <v>48.75</v>
      </c>
      <c r="K509" s="12">
        <f>'Engineering Assumptions'!$E$44*T509*U509</f>
        <v>73.5</v>
      </c>
      <c r="L509" s="13">
        <f t="shared" si="69"/>
        <v>580.65</v>
      </c>
      <c r="M509" s="12">
        <f>L509*'Engineering Assumptions'!$B$10</f>
        <v>87.097499999999997</v>
      </c>
      <c r="N509" s="13">
        <f t="shared" si="70"/>
        <v>667.74749999999995</v>
      </c>
      <c r="O509" s="12">
        <f>N509*'Engineering Assumptions'!$B$11</f>
        <v>133.54949999999999</v>
      </c>
      <c r="P509" s="156">
        <f t="shared" si="71"/>
        <v>800</v>
      </c>
      <c r="Q509" s="12">
        <f>'Fleet Pricing'!H509</f>
        <v>360</v>
      </c>
      <c r="R509" s="45">
        <v>19</v>
      </c>
      <c r="S509" s="49">
        <v>1.95</v>
      </c>
      <c r="T509" s="49">
        <v>2.1</v>
      </c>
      <c r="U509" s="49">
        <v>1</v>
      </c>
    </row>
    <row r="510" spans="1:21" ht="15" customHeight="1" x14ac:dyDescent="0.3">
      <c r="A510" s="9">
        <v>479</v>
      </c>
      <c r="B510" s="50" t="s">
        <v>974</v>
      </c>
      <c r="C510" s="50" t="s">
        <v>1032</v>
      </c>
      <c r="D510" s="50" t="s">
        <v>1033</v>
      </c>
      <c r="E510" s="50" t="s">
        <v>1034</v>
      </c>
      <c r="F510" s="48" t="s">
        <v>73</v>
      </c>
      <c r="G510" s="9">
        <v>20</v>
      </c>
      <c r="H510" s="12">
        <f>'Engineering Assumptions'!$C$44*'Engineering Assumptions'!$B$5*U510</f>
        <v>458.4</v>
      </c>
      <c r="I510" s="12">
        <v>0</v>
      </c>
      <c r="J510" s="12">
        <f>'Engineering Assumptions'!$D$44*S510*U510</f>
        <v>48.75</v>
      </c>
      <c r="K510" s="12">
        <f>'Engineering Assumptions'!$E$44*T510*U510</f>
        <v>73.5</v>
      </c>
      <c r="L510" s="13">
        <f t="shared" si="69"/>
        <v>580.65</v>
      </c>
      <c r="M510" s="12">
        <f>L510*'Engineering Assumptions'!$B$10</f>
        <v>87.097499999999997</v>
      </c>
      <c r="N510" s="13">
        <f t="shared" si="70"/>
        <v>667.74749999999995</v>
      </c>
      <c r="O510" s="12">
        <f>N510*'Engineering Assumptions'!$B$11</f>
        <v>133.54949999999999</v>
      </c>
      <c r="P510" s="156">
        <f t="shared" si="71"/>
        <v>800</v>
      </c>
      <c r="Q510" s="12">
        <f>'Fleet Pricing'!H510</f>
        <v>360</v>
      </c>
      <c r="R510" s="45">
        <v>20</v>
      </c>
      <c r="S510" s="49">
        <v>1.95</v>
      </c>
      <c r="T510" s="49">
        <v>2.1</v>
      </c>
      <c r="U510" s="49">
        <v>1</v>
      </c>
    </row>
    <row r="511" spans="1:21" ht="15" customHeight="1" x14ac:dyDescent="0.3">
      <c r="A511" s="9">
        <v>480</v>
      </c>
      <c r="B511" s="50" t="s">
        <v>974</v>
      </c>
      <c r="C511" s="50" t="s">
        <v>1032</v>
      </c>
      <c r="D511" s="50" t="s">
        <v>1035</v>
      </c>
      <c r="E511" s="50" t="s">
        <v>1036</v>
      </c>
      <c r="F511" s="48" t="s">
        <v>73</v>
      </c>
      <c r="G511" s="9">
        <v>20</v>
      </c>
      <c r="H511" s="12">
        <f>'Engineering Assumptions'!$C$44*'Engineering Assumptions'!$B$5*U511</f>
        <v>458.4</v>
      </c>
      <c r="I511" s="12">
        <v>0</v>
      </c>
      <c r="J511" s="12">
        <f>'Engineering Assumptions'!$D$44*S511*U511</f>
        <v>48.75</v>
      </c>
      <c r="K511" s="12">
        <f>'Engineering Assumptions'!$E$44*T511*U511</f>
        <v>73.5</v>
      </c>
      <c r="L511" s="13">
        <f t="shared" si="69"/>
        <v>580.65</v>
      </c>
      <c r="M511" s="12">
        <f>L511*'Engineering Assumptions'!$B$10</f>
        <v>87.097499999999997</v>
      </c>
      <c r="N511" s="13">
        <f t="shared" si="70"/>
        <v>667.74749999999995</v>
      </c>
      <c r="O511" s="12">
        <f>N511*'Engineering Assumptions'!$B$11</f>
        <v>133.54949999999999</v>
      </c>
      <c r="P511" s="156">
        <f t="shared" si="71"/>
        <v>800</v>
      </c>
      <c r="Q511" s="12">
        <f>'Fleet Pricing'!H511</f>
        <v>360</v>
      </c>
      <c r="R511" s="45">
        <v>20</v>
      </c>
      <c r="S511" s="49">
        <v>1.95</v>
      </c>
      <c r="T511" s="49">
        <v>2.1</v>
      </c>
      <c r="U511" s="49">
        <v>1</v>
      </c>
    </row>
    <row r="512" spans="1:21" ht="15" customHeight="1" x14ac:dyDescent="0.3">
      <c r="A512" s="9">
        <v>481</v>
      </c>
      <c r="B512" s="50" t="s">
        <v>974</v>
      </c>
      <c r="C512" s="50" t="s">
        <v>1037</v>
      </c>
      <c r="D512" s="50" t="s">
        <v>1038</v>
      </c>
      <c r="E512" s="50" t="s">
        <v>1039</v>
      </c>
      <c r="F512" s="48" t="s">
        <v>73</v>
      </c>
      <c r="G512" s="9">
        <v>20</v>
      </c>
      <c r="H512" s="12">
        <f>'Engineering Assumptions'!$C$44*'Engineering Assumptions'!$B$5*U512</f>
        <v>458.4</v>
      </c>
      <c r="I512" s="12">
        <v>0</v>
      </c>
      <c r="J512" s="12">
        <f>'Engineering Assumptions'!$D$44*S512*U512</f>
        <v>48.75</v>
      </c>
      <c r="K512" s="12">
        <f>'Engineering Assumptions'!$E$44*T512*U512</f>
        <v>73.5</v>
      </c>
      <c r="L512" s="13">
        <f t="shared" si="69"/>
        <v>580.65</v>
      </c>
      <c r="M512" s="12">
        <f>L512*'Engineering Assumptions'!$B$10</f>
        <v>87.097499999999997</v>
      </c>
      <c r="N512" s="13">
        <f t="shared" si="70"/>
        <v>667.74749999999995</v>
      </c>
      <c r="O512" s="12">
        <f>N512*'Engineering Assumptions'!$B$11</f>
        <v>133.54949999999999</v>
      </c>
      <c r="P512" s="156">
        <f t="shared" si="71"/>
        <v>800</v>
      </c>
      <c r="Q512" s="12">
        <f>'Fleet Pricing'!H512</f>
        <v>360</v>
      </c>
      <c r="R512" s="45">
        <v>20</v>
      </c>
      <c r="S512" s="49">
        <v>1.95</v>
      </c>
      <c r="T512" s="49">
        <v>2.1</v>
      </c>
      <c r="U512" s="49">
        <v>1</v>
      </c>
    </row>
    <row r="513" spans="1:21" ht="15" customHeight="1" x14ac:dyDescent="0.3">
      <c r="A513" s="9">
        <v>482</v>
      </c>
      <c r="B513" s="50" t="s">
        <v>974</v>
      </c>
      <c r="C513" s="50" t="s">
        <v>1040</v>
      </c>
      <c r="D513" s="50"/>
      <c r="E513" s="50"/>
      <c r="F513" s="48" t="s">
        <v>77</v>
      </c>
      <c r="G513" s="9">
        <v>22</v>
      </c>
      <c r="H513" s="12">
        <f>'Engineering Assumptions'!$C$44*'Engineering Assumptions'!$B$5*U513</f>
        <v>458.4</v>
      </c>
      <c r="I513" s="12">
        <v>0</v>
      </c>
      <c r="J513" s="12">
        <f>'Engineering Assumptions'!$D$44*S513*U513</f>
        <v>60</v>
      </c>
      <c r="K513" s="12">
        <f>'Engineering Assumptions'!$E$44*T513*U513</f>
        <v>105</v>
      </c>
      <c r="L513" s="13">
        <f t="shared" si="69"/>
        <v>623.4</v>
      </c>
      <c r="M513" s="12">
        <f>L513*'Engineering Assumptions'!$B$10</f>
        <v>93.509999999999991</v>
      </c>
      <c r="N513" s="13">
        <f t="shared" si="70"/>
        <v>716.91</v>
      </c>
      <c r="O513" s="12">
        <f>N513*'Engineering Assumptions'!$B$11</f>
        <v>143.38200000000001</v>
      </c>
      <c r="P513" s="156">
        <f t="shared" si="71"/>
        <v>860</v>
      </c>
      <c r="Q513" s="12">
        <f>'Fleet Pricing'!H513</f>
        <v>330</v>
      </c>
      <c r="R513" s="45">
        <v>22</v>
      </c>
      <c r="S513" s="49">
        <v>2.4</v>
      </c>
      <c r="T513" s="49">
        <v>3</v>
      </c>
      <c r="U513" s="49">
        <v>1</v>
      </c>
    </row>
    <row r="514" spans="1:21" ht="23.25" customHeight="1" x14ac:dyDescent="0.3">
      <c r="A514" s="9">
        <v>483</v>
      </c>
      <c r="B514" s="50" t="s">
        <v>974</v>
      </c>
      <c r="C514" s="50" t="s">
        <v>1041</v>
      </c>
      <c r="D514" s="50" t="s">
        <v>1042</v>
      </c>
      <c r="E514" s="50" t="s">
        <v>1043</v>
      </c>
      <c r="F514" s="48" t="s">
        <v>139</v>
      </c>
      <c r="G514" s="9">
        <v>23</v>
      </c>
      <c r="H514" s="12">
        <f>'Engineering Assumptions'!$C$44*'Engineering Assumptions'!$B$5*U514</f>
        <v>458.4</v>
      </c>
      <c r="I514" s="12">
        <v>0</v>
      </c>
      <c r="J514" s="12">
        <f>'Engineering Assumptions'!$D$44*S514*U514</f>
        <v>60</v>
      </c>
      <c r="K514" s="12">
        <f>'Engineering Assumptions'!$E$44*T514*U514</f>
        <v>105</v>
      </c>
      <c r="L514" s="13">
        <f t="shared" si="69"/>
        <v>623.4</v>
      </c>
      <c r="M514" s="12">
        <f>L514*'Engineering Assumptions'!$B$10</f>
        <v>93.509999999999991</v>
      </c>
      <c r="N514" s="13">
        <f t="shared" si="70"/>
        <v>716.91</v>
      </c>
      <c r="O514" s="12">
        <f>N514*'Engineering Assumptions'!$B$11</f>
        <v>143.38200000000001</v>
      </c>
      <c r="P514" s="156">
        <f t="shared" si="71"/>
        <v>860</v>
      </c>
      <c r="Q514" s="12">
        <f>'Fleet Pricing'!H514</f>
        <v>330</v>
      </c>
      <c r="R514" s="45">
        <v>23</v>
      </c>
      <c r="S514" s="49">
        <v>2.4</v>
      </c>
      <c r="T514" s="49">
        <v>3</v>
      </c>
      <c r="U514" s="49">
        <v>1</v>
      </c>
    </row>
    <row r="515" spans="1:21" ht="15" customHeight="1" x14ac:dyDescent="0.3">
      <c r="A515" s="9">
        <v>484</v>
      </c>
      <c r="B515" s="50" t="s">
        <v>974</v>
      </c>
      <c r="C515" s="50" t="s">
        <v>188</v>
      </c>
      <c r="D515" s="50" t="s">
        <v>1044</v>
      </c>
      <c r="E515" s="50" t="s">
        <v>1045</v>
      </c>
      <c r="F515" s="48" t="s">
        <v>195</v>
      </c>
      <c r="G515" s="9">
        <v>30</v>
      </c>
      <c r="H515" s="12">
        <f>'Engineering Assumptions'!$C$44*'Engineering Assumptions'!$B$5*U515</f>
        <v>458.4</v>
      </c>
      <c r="I515" s="12">
        <v>0</v>
      </c>
      <c r="J515" s="12">
        <f>'Engineering Assumptions'!$D$44*S515*U515</f>
        <v>60</v>
      </c>
      <c r="K515" s="12">
        <f>'Engineering Assumptions'!$E$44*T515*U515</f>
        <v>105</v>
      </c>
      <c r="L515" s="13">
        <f t="shared" si="69"/>
        <v>623.4</v>
      </c>
      <c r="M515" s="12">
        <f>L515*'Engineering Assumptions'!$B$10</f>
        <v>93.509999999999991</v>
      </c>
      <c r="N515" s="13">
        <f t="shared" si="70"/>
        <v>716.91</v>
      </c>
      <c r="O515" s="12">
        <f>N515*'Engineering Assumptions'!$B$11</f>
        <v>143.38200000000001</v>
      </c>
      <c r="P515" s="156">
        <f t="shared" si="71"/>
        <v>860</v>
      </c>
      <c r="Q515" s="12">
        <f>'Fleet Pricing'!H515</f>
        <v>290</v>
      </c>
      <c r="R515" s="45">
        <v>30</v>
      </c>
      <c r="S515" s="49">
        <v>2.4</v>
      </c>
      <c r="T515" s="49">
        <v>3</v>
      </c>
      <c r="U515" s="49">
        <v>1</v>
      </c>
    </row>
    <row r="516" spans="1:21" ht="15" customHeight="1" x14ac:dyDescent="0.3">
      <c r="A516" s="9">
        <v>485</v>
      </c>
      <c r="B516" s="50" t="s">
        <v>974</v>
      </c>
      <c r="C516" s="50" t="s">
        <v>188</v>
      </c>
      <c r="D516" s="50"/>
      <c r="E516" s="50"/>
      <c r="F516" s="48" t="s">
        <v>195</v>
      </c>
      <c r="G516" s="9">
        <v>30</v>
      </c>
      <c r="H516" s="12">
        <f>'Engineering Assumptions'!$C$44*'Engineering Assumptions'!$B$5*U516</f>
        <v>458.4</v>
      </c>
      <c r="I516" s="12">
        <v>0</v>
      </c>
      <c r="J516" s="12">
        <f>'Engineering Assumptions'!$D$44*S516*U516</f>
        <v>60</v>
      </c>
      <c r="K516" s="12">
        <f>'Engineering Assumptions'!$E$44*T516*U516</f>
        <v>105</v>
      </c>
      <c r="L516" s="13">
        <f t="shared" ref="L516:L536" si="72">H516+I516+J516+K516</f>
        <v>623.4</v>
      </c>
      <c r="M516" s="12">
        <f>L516*'Engineering Assumptions'!$B$10</f>
        <v>93.509999999999991</v>
      </c>
      <c r="N516" s="13">
        <f t="shared" ref="N516:N536" si="73">L516+M516</f>
        <v>716.91</v>
      </c>
      <c r="O516" s="12">
        <f>N516*'Engineering Assumptions'!$B$11</f>
        <v>143.38200000000001</v>
      </c>
      <c r="P516" s="156">
        <f t="shared" ref="P516:P536" si="74">MROUND(N516+O516,10)</f>
        <v>860</v>
      </c>
      <c r="Q516" s="12">
        <f>'Fleet Pricing'!H516</f>
        <v>290</v>
      </c>
      <c r="R516" s="45">
        <v>30</v>
      </c>
      <c r="S516" s="49">
        <v>2.4</v>
      </c>
      <c r="T516" s="49">
        <v>3</v>
      </c>
      <c r="U516" s="49">
        <v>1</v>
      </c>
    </row>
    <row r="517" spans="1:21" ht="15" customHeight="1" x14ac:dyDescent="0.3">
      <c r="A517" s="9">
        <v>486</v>
      </c>
      <c r="B517" s="50" t="s">
        <v>974</v>
      </c>
      <c r="C517" s="50" t="s">
        <v>188</v>
      </c>
      <c r="D517" s="50"/>
      <c r="E517" s="50"/>
      <c r="F517" s="48" t="s">
        <v>195</v>
      </c>
      <c r="G517" s="9">
        <v>30</v>
      </c>
      <c r="H517" s="12">
        <f>'Engineering Assumptions'!$C$44*'Engineering Assumptions'!$B$5*U517</f>
        <v>458.4</v>
      </c>
      <c r="I517" s="12">
        <v>0</v>
      </c>
      <c r="J517" s="12">
        <f>'Engineering Assumptions'!$D$44*S517*U517</f>
        <v>60</v>
      </c>
      <c r="K517" s="12">
        <f>'Engineering Assumptions'!$E$44*T517*U517</f>
        <v>105</v>
      </c>
      <c r="L517" s="13">
        <f t="shared" si="72"/>
        <v>623.4</v>
      </c>
      <c r="M517" s="12">
        <f>L517*'Engineering Assumptions'!$B$10</f>
        <v>93.509999999999991</v>
      </c>
      <c r="N517" s="13">
        <f t="shared" si="73"/>
        <v>716.91</v>
      </c>
      <c r="O517" s="12">
        <f>N517*'Engineering Assumptions'!$B$11</f>
        <v>143.38200000000001</v>
      </c>
      <c r="P517" s="156">
        <f t="shared" si="74"/>
        <v>860</v>
      </c>
      <c r="Q517" s="12">
        <f>'Fleet Pricing'!H517</f>
        <v>290</v>
      </c>
      <c r="R517" s="45">
        <v>30</v>
      </c>
      <c r="S517" s="49">
        <v>2.4</v>
      </c>
      <c r="T517" s="49">
        <v>3</v>
      </c>
      <c r="U517" s="49">
        <v>1</v>
      </c>
    </row>
    <row r="518" spans="1:21" ht="15" customHeight="1" x14ac:dyDescent="0.3">
      <c r="A518" s="9">
        <v>487</v>
      </c>
      <c r="B518" s="50" t="s">
        <v>974</v>
      </c>
      <c r="C518" s="50" t="s">
        <v>188</v>
      </c>
      <c r="D518" s="50"/>
      <c r="E518" s="50"/>
      <c r="F518" s="48" t="s">
        <v>195</v>
      </c>
      <c r="G518" s="9">
        <v>30</v>
      </c>
      <c r="H518" s="12">
        <f>'Engineering Assumptions'!$C$44*'Engineering Assumptions'!$B$5*U518</f>
        <v>458.4</v>
      </c>
      <c r="I518" s="12">
        <v>0</v>
      </c>
      <c r="J518" s="12">
        <f>'Engineering Assumptions'!$D$44*S518*U518</f>
        <v>60</v>
      </c>
      <c r="K518" s="12">
        <f>'Engineering Assumptions'!$E$44*T518*U518</f>
        <v>105</v>
      </c>
      <c r="L518" s="13">
        <f t="shared" si="72"/>
        <v>623.4</v>
      </c>
      <c r="M518" s="12">
        <f>L518*'Engineering Assumptions'!$B$10</f>
        <v>93.509999999999991</v>
      </c>
      <c r="N518" s="13">
        <f t="shared" si="73"/>
        <v>716.91</v>
      </c>
      <c r="O518" s="12">
        <f>N518*'Engineering Assumptions'!$B$11</f>
        <v>143.38200000000001</v>
      </c>
      <c r="P518" s="156">
        <f t="shared" si="74"/>
        <v>860</v>
      </c>
      <c r="Q518" s="12">
        <f>'Fleet Pricing'!H518</f>
        <v>290</v>
      </c>
      <c r="R518" s="45">
        <v>30</v>
      </c>
      <c r="S518" s="49">
        <v>2.4</v>
      </c>
      <c r="T518" s="49">
        <v>3</v>
      </c>
      <c r="U518" s="49">
        <v>1</v>
      </c>
    </row>
    <row r="519" spans="1:21" ht="41.25" customHeight="1" x14ac:dyDescent="0.3">
      <c r="A519" s="9">
        <v>488</v>
      </c>
      <c r="B519" s="50" t="s">
        <v>974</v>
      </c>
      <c r="C519" s="50" t="s">
        <v>188</v>
      </c>
      <c r="D519" s="50"/>
      <c r="E519" s="50"/>
      <c r="F519" s="48" t="s">
        <v>1046</v>
      </c>
      <c r="G519" s="9">
        <v>30</v>
      </c>
      <c r="H519" s="12">
        <f>'Engineering Assumptions'!$C$44*'Engineering Assumptions'!$B$5*U519</f>
        <v>458.4</v>
      </c>
      <c r="I519" s="12">
        <v>0</v>
      </c>
      <c r="J519" s="12">
        <f>'Engineering Assumptions'!$D$44*S519*U519</f>
        <v>60</v>
      </c>
      <c r="K519" s="12">
        <f>'Engineering Assumptions'!$E$44*T519*U519</f>
        <v>105</v>
      </c>
      <c r="L519" s="13">
        <f t="shared" si="72"/>
        <v>623.4</v>
      </c>
      <c r="M519" s="12">
        <f>L519*'Engineering Assumptions'!$B$10</f>
        <v>93.509999999999991</v>
      </c>
      <c r="N519" s="13">
        <f t="shared" si="73"/>
        <v>716.91</v>
      </c>
      <c r="O519" s="12">
        <f>N519*'Engineering Assumptions'!$B$11</f>
        <v>143.38200000000001</v>
      </c>
      <c r="P519" s="156">
        <f t="shared" si="74"/>
        <v>860</v>
      </c>
      <c r="Q519" s="12">
        <f>'Fleet Pricing'!H519</f>
        <v>290</v>
      </c>
      <c r="R519" s="45">
        <v>30</v>
      </c>
      <c r="S519" s="49">
        <v>2.4</v>
      </c>
      <c r="T519" s="49">
        <v>3</v>
      </c>
      <c r="U519" s="49">
        <v>1</v>
      </c>
    </row>
    <row r="520" spans="1:21" ht="41.25" customHeight="1" x14ac:dyDescent="0.3">
      <c r="A520" s="9">
        <v>489</v>
      </c>
      <c r="B520" s="50" t="s">
        <v>974</v>
      </c>
      <c r="C520" s="50" t="s">
        <v>188</v>
      </c>
      <c r="D520" s="50"/>
      <c r="E520" s="50"/>
      <c r="F520" s="48" t="s">
        <v>1047</v>
      </c>
      <c r="G520" s="9">
        <v>30</v>
      </c>
      <c r="H520" s="12">
        <f>'Engineering Assumptions'!$C$44*'Engineering Assumptions'!$B$5*U520</f>
        <v>458.4</v>
      </c>
      <c r="I520" s="12">
        <v>0</v>
      </c>
      <c r="J520" s="12">
        <f>'Engineering Assumptions'!$D$44*S520*U520</f>
        <v>60</v>
      </c>
      <c r="K520" s="12">
        <f>'Engineering Assumptions'!$E$44*T520*U520</f>
        <v>105</v>
      </c>
      <c r="L520" s="13">
        <f t="shared" si="72"/>
        <v>623.4</v>
      </c>
      <c r="M520" s="12">
        <f>L520*'Engineering Assumptions'!$B$10</f>
        <v>93.509999999999991</v>
      </c>
      <c r="N520" s="13">
        <f t="shared" si="73"/>
        <v>716.91</v>
      </c>
      <c r="O520" s="12">
        <f>N520*'Engineering Assumptions'!$B$11</f>
        <v>143.38200000000001</v>
      </c>
      <c r="P520" s="156">
        <f t="shared" si="74"/>
        <v>860</v>
      </c>
      <c r="Q520" s="12">
        <f>'Fleet Pricing'!H520</f>
        <v>290</v>
      </c>
      <c r="R520" s="45">
        <v>30</v>
      </c>
      <c r="S520" s="49">
        <v>2.4</v>
      </c>
      <c r="T520" s="49">
        <v>3</v>
      </c>
      <c r="U520" s="49">
        <v>1</v>
      </c>
    </row>
    <row r="521" spans="1:21" ht="41.25" customHeight="1" x14ac:dyDescent="0.3">
      <c r="A521" s="9">
        <v>490</v>
      </c>
      <c r="B521" s="50" t="s">
        <v>974</v>
      </c>
      <c r="C521" s="50" t="s">
        <v>188</v>
      </c>
      <c r="D521" s="50"/>
      <c r="E521" s="50"/>
      <c r="F521" s="48" t="s">
        <v>1048</v>
      </c>
      <c r="G521" s="9">
        <v>30</v>
      </c>
      <c r="H521" s="12">
        <f>'Engineering Assumptions'!$C$44*'Engineering Assumptions'!$B$5*U521</f>
        <v>458.4</v>
      </c>
      <c r="I521" s="12">
        <v>0</v>
      </c>
      <c r="J521" s="12">
        <f>'Engineering Assumptions'!$D$44*S521*U521</f>
        <v>60</v>
      </c>
      <c r="K521" s="12">
        <f>'Engineering Assumptions'!$E$44*T521*U521</f>
        <v>105</v>
      </c>
      <c r="L521" s="13">
        <f t="shared" si="72"/>
        <v>623.4</v>
      </c>
      <c r="M521" s="12">
        <f>L521*'Engineering Assumptions'!$B$10</f>
        <v>93.509999999999991</v>
      </c>
      <c r="N521" s="13">
        <f t="shared" si="73"/>
        <v>716.91</v>
      </c>
      <c r="O521" s="12">
        <f>N521*'Engineering Assumptions'!$B$11</f>
        <v>143.38200000000001</v>
      </c>
      <c r="P521" s="156">
        <f t="shared" si="74"/>
        <v>860</v>
      </c>
      <c r="Q521" s="12">
        <f>'Fleet Pricing'!H521</f>
        <v>290</v>
      </c>
      <c r="R521" s="45">
        <v>30</v>
      </c>
      <c r="S521" s="49">
        <v>2.4</v>
      </c>
      <c r="T521" s="49">
        <v>3</v>
      </c>
      <c r="U521" s="49">
        <v>1</v>
      </c>
    </row>
    <row r="522" spans="1:21" ht="54.75" customHeight="1" x14ac:dyDescent="0.3">
      <c r="A522" s="9">
        <v>491</v>
      </c>
      <c r="B522" s="50" t="s">
        <v>974</v>
      </c>
      <c r="C522" s="50" t="s">
        <v>188</v>
      </c>
      <c r="D522" s="50"/>
      <c r="E522" s="50"/>
      <c r="F522" s="48" t="s">
        <v>1049</v>
      </c>
      <c r="G522" s="9">
        <v>30</v>
      </c>
      <c r="H522" s="12">
        <f>'Engineering Assumptions'!$C$44*'Engineering Assumptions'!$B$5*U522</f>
        <v>458.4</v>
      </c>
      <c r="I522" s="12">
        <v>0</v>
      </c>
      <c r="J522" s="12">
        <f>'Engineering Assumptions'!$D$44*S522*U522</f>
        <v>60</v>
      </c>
      <c r="K522" s="12">
        <f>'Engineering Assumptions'!$E$44*T522*U522</f>
        <v>105</v>
      </c>
      <c r="L522" s="13">
        <f t="shared" si="72"/>
        <v>623.4</v>
      </c>
      <c r="M522" s="12">
        <f>L522*'Engineering Assumptions'!$B$10</f>
        <v>93.509999999999991</v>
      </c>
      <c r="N522" s="13">
        <f t="shared" si="73"/>
        <v>716.91</v>
      </c>
      <c r="O522" s="12">
        <f>N522*'Engineering Assumptions'!$B$11</f>
        <v>143.38200000000001</v>
      </c>
      <c r="P522" s="156">
        <f t="shared" si="74"/>
        <v>860</v>
      </c>
      <c r="Q522" s="12">
        <f>'Fleet Pricing'!H522</f>
        <v>290</v>
      </c>
      <c r="R522" s="45">
        <v>30</v>
      </c>
      <c r="S522" s="49">
        <v>2.4</v>
      </c>
      <c r="T522" s="49">
        <v>3</v>
      </c>
      <c r="U522" s="49">
        <v>1</v>
      </c>
    </row>
    <row r="523" spans="1:21" ht="15" customHeight="1" x14ac:dyDescent="0.3">
      <c r="A523" s="9">
        <v>492</v>
      </c>
      <c r="B523" s="50" t="s">
        <v>974</v>
      </c>
      <c r="C523" s="50" t="s">
        <v>188</v>
      </c>
      <c r="D523" s="50"/>
      <c r="E523" s="50"/>
      <c r="F523" s="48" t="s">
        <v>195</v>
      </c>
      <c r="G523" s="9">
        <v>30</v>
      </c>
      <c r="H523" s="12">
        <f>'Engineering Assumptions'!$C$44*'Engineering Assumptions'!$B$5*U523</f>
        <v>458.4</v>
      </c>
      <c r="I523" s="12">
        <v>0</v>
      </c>
      <c r="J523" s="12">
        <f>'Engineering Assumptions'!$D$44*S523*U523</f>
        <v>60</v>
      </c>
      <c r="K523" s="12">
        <f>'Engineering Assumptions'!$E$44*T523*U523</f>
        <v>105</v>
      </c>
      <c r="L523" s="13">
        <f t="shared" si="72"/>
        <v>623.4</v>
      </c>
      <c r="M523" s="12">
        <f>L523*'Engineering Assumptions'!$B$10</f>
        <v>93.509999999999991</v>
      </c>
      <c r="N523" s="13">
        <f t="shared" si="73"/>
        <v>716.91</v>
      </c>
      <c r="O523" s="12">
        <f>N523*'Engineering Assumptions'!$B$11</f>
        <v>143.38200000000001</v>
      </c>
      <c r="P523" s="156">
        <f t="shared" si="74"/>
        <v>860</v>
      </c>
      <c r="Q523" s="12">
        <f>'Fleet Pricing'!H523</f>
        <v>290</v>
      </c>
      <c r="R523" s="45">
        <v>30</v>
      </c>
      <c r="S523" s="49">
        <v>2.4</v>
      </c>
      <c r="T523" s="49">
        <v>3</v>
      </c>
      <c r="U523" s="49">
        <v>1</v>
      </c>
    </row>
    <row r="524" spans="1:21" ht="41.25" customHeight="1" x14ac:dyDescent="0.3">
      <c r="A524" s="9">
        <v>493</v>
      </c>
      <c r="B524" s="50" t="s">
        <v>974</v>
      </c>
      <c r="C524" s="50" t="s">
        <v>188</v>
      </c>
      <c r="D524" s="50"/>
      <c r="E524" s="50"/>
      <c r="F524" s="48" t="s">
        <v>1050</v>
      </c>
      <c r="G524" s="9">
        <v>30</v>
      </c>
      <c r="H524" s="12">
        <f>'Engineering Assumptions'!$C$44*'Engineering Assumptions'!$B$5*U524</f>
        <v>458.4</v>
      </c>
      <c r="I524" s="12">
        <v>0</v>
      </c>
      <c r="J524" s="12">
        <f>'Engineering Assumptions'!$D$44*S524*U524</f>
        <v>60</v>
      </c>
      <c r="K524" s="12">
        <f>'Engineering Assumptions'!$E$44*T524*U524</f>
        <v>105</v>
      </c>
      <c r="L524" s="13">
        <f t="shared" si="72"/>
        <v>623.4</v>
      </c>
      <c r="M524" s="12">
        <f>L524*'Engineering Assumptions'!$B$10</f>
        <v>93.509999999999991</v>
      </c>
      <c r="N524" s="13">
        <f t="shared" si="73"/>
        <v>716.91</v>
      </c>
      <c r="O524" s="12">
        <f>N524*'Engineering Assumptions'!$B$11</f>
        <v>143.38200000000001</v>
      </c>
      <c r="P524" s="156">
        <f t="shared" si="74"/>
        <v>860</v>
      </c>
      <c r="Q524" s="12">
        <f>'Fleet Pricing'!H524</f>
        <v>290</v>
      </c>
      <c r="R524" s="45">
        <v>30</v>
      </c>
      <c r="S524" s="49">
        <v>2.4</v>
      </c>
      <c r="T524" s="49">
        <v>3</v>
      </c>
      <c r="U524" s="49">
        <v>1</v>
      </c>
    </row>
    <row r="525" spans="1:21" ht="41.25" customHeight="1" x14ac:dyDescent="0.3">
      <c r="A525" s="9">
        <v>494</v>
      </c>
      <c r="B525" s="50" t="s">
        <v>974</v>
      </c>
      <c r="C525" s="50" t="s">
        <v>188</v>
      </c>
      <c r="D525" s="50"/>
      <c r="E525" s="50"/>
      <c r="F525" s="48" t="s">
        <v>1051</v>
      </c>
      <c r="G525" s="9">
        <v>30</v>
      </c>
      <c r="H525" s="12">
        <f>'Engineering Assumptions'!$C$44*'Engineering Assumptions'!$B$5*U525</f>
        <v>458.4</v>
      </c>
      <c r="I525" s="12">
        <v>0</v>
      </c>
      <c r="J525" s="12">
        <f>'Engineering Assumptions'!$D$44*S525*U525</f>
        <v>60</v>
      </c>
      <c r="K525" s="12">
        <f>'Engineering Assumptions'!$E$44*T525*U525</f>
        <v>105</v>
      </c>
      <c r="L525" s="13">
        <f t="shared" si="72"/>
        <v>623.4</v>
      </c>
      <c r="M525" s="12">
        <f>L525*'Engineering Assumptions'!$B$10</f>
        <v>93.509999999999991</v>
      </c>
      <c r="N525" s="13">
        <f t="shared" si="73"/>
        <v>716.91</v>
      </c>
      <c r="O525" s="12">
        <f>N525*'Engineering Assumptions'!$B$11</f>
        <v>143.38200000000001</v>
      </c>
      <c r="P525" s="156">
        <f t="shared" si="74"/>
        <v>860</v>
      </c>
      <c r="Q525" s="12">
        <f>'Fleet Pricing'!H525</f>
        <v>290</v>
      </c>
      <c r="R525" s="45">
        <v>30</v>
      </c>
      <c r="S525" s="49">
        <v>2.4</v>
      </c>
      <c r="T525" s="49">
        <v>3</v>
      </c>
      <c r="U525" s="49">
        <v>1</v>
      </c>
    </row>
    <row r="526" spans="1:21" ht="54.75" customHeight="1" x14ac:dyDescent="0.3">
      <c r="A526" s="9">
        <v>495</v>
      </c>
      <c r="B526" s="50" t="s">
        <v>974</v>
      </c>
      <c r="C526" s="50" t="s">
        <v>188</v>
      </c>
      <c r="D526" s="50"/>
      <c r="E526" s="50"/>
      <c r="F526" s="48" t="s">
        <v>1052</v>
      </c>
      <c r="G526" s="9">
        <v>30</v>
      </c>
      <c r="H526" s="12">
        <f>'Engineering Assumptions'!$C$44*'Engineering Assumptions'!$B$5*U526</f>
        <v>458.4</v>
      </c>
      <c r="I526" s="12">
        <v>0</v>
      </c>
      <c r="J526" s="12">
        <f>'Engineering Assumptions'!$D$44*S526*U526</f>
        <v>60</v>
      </c>
      <c r="K526" s="12">
        <f>'Engineering Assumptions'!$E$44*T526*U526</f>
        <v>105</v>
      </c>
      <c r="L526" s="13">
        <f t="shared" si="72"/>
        <v>623.4</v>
      </c>
      <c r="M526" s="12">
        <f>L526*'Engineering Assumptions'!$B$10</f>
        <v>93.509999999999991</v>
      </c>
      <c r="N526" s="13">
        <f t="shared" si="73"/>
        <v>716.91</v>
      </c>
      <c r="O526" s="12">
        <f>N526*'Engineering Assumptions'!$B$11</f>
        <v>143.38200000000001</v>
      </c>
      <c r="P526" s="156">
        <f t="shared" si="74"/>
        <v>860</v>
      </c>
      <c r="Q526" s="12">
        <f>'Fleet Pricing'!H526</f>
        <v>290</v>
      </c>
      <c r="R526" s="45">
        <v>30</v>
      </c>
      <c r="S526" s="49">
        <v>2.4</v>
      </c>
      <c r="T526" s="49">
        <v>3</v>
      </c>
      <c r="U526" s="49">
        <v>1</v>
      </c>
    </row>
    <row r="527" spans="1:21" ht="54.75" customHeight="1" x14ac:dyDescent="0.3">
      <c r="A527" s="9">
        <v>496</v>
      </c>
      <c r="B527" s="50" t="s">
        <v>974</v>
      </c>
      <c r="C527" s="50" t="s">
        <v>188</v>
      </c>
      <c r="D527" s="50"/>
      <c r="E527" s="50"/>
      <c r="F527" s="48" t="s">
        <v>1053</v>
      </c>
      <c r="G527" s="9">
        <v>30</v>
      </c>
      <c r="H527" s="12">
        <f>'Engineering Assumptions'!$C$44*'Engineering Assumptions'!$B$5*U527</f>
        <v>458.4</v>
      </c>
      <c r="I527" s="12">
        <v>0</v>
      </c>
      <c r="J527" s="12">
        <f>'Engineering Assumptions'!$D$44*S527*U527</f>
        <v>60</v>
      </c>
      <c r="K527" s="12">
        <f>'Engineering Assumptions'!$E$44*T527*U527</f>
        <v>105</v>
      </c>
      <c r="L527" s="13">
        <f t="shared" si="72"/>
        <v>623.4</v>
      </c>
      <c r="M527" s="12">
        <f>L527*'Engineering Assumptions'!$B$10</f>
        <v>93.509999999999991</v>
      </c>
      <c r="N527" s="13">
        <f t="shared" si="73"/>
        <v>716.91</v>
      </c>
      <c r="O527" s="12">
        <f>N527*'Engineering Assumptions'!$B$11</f>
        <v>143.38200000000001</v>
      </c>
      <c r="P527" s="156">
        <f t="shared" si="74"/>
        <v>860</v>
      </c>
      <c r="Q527" s="12">
        <f>'Fleet Pricing'!H527</f>
        <v>290</v>
      </c>
      <c r="R527" s="45">
        <v>30</v>
      </c>
      <c r="S527" s="49">
        <v>2.4</v>
      </c>
      <c r="T527" s="49">
        <v>3</v>
      </c>
      <c r="U527" s="49">
        <v>1</v>
      </c>
    </row>
    <row r="528" spans="1:21" ht="54.75" customHeight="1" x14ac:dyDescent="0.3">
      <c r="A528" s="9">
        <v>497</v>
      </c>
      <c r="B528" s="50" t="s">
        <v>974</v>
      </c>
      <c r="C528" s="50" t="s">
        <v>188</v>
      </c>
      <c r="D528" s="50"/>
      <c r="E528" s="50"/>
      <c r="F528" s="48" t="s">
        <v>1054</v>
      </c>
      <c r="G528" s="9">
        <v>30</v>
      </c>
      <c r="H528" s="12">
        <f>'Engineering Assumptions'!$C$44*'Engineering Assumptions'!$B$5*U528</f>
        <v>458.4</v>
      </c>
      <c r="I528" s="12">
        <v>0</v>
      </c>
      <c r="J528" s="12">
        <f>'Engineering Assumptions'!$D$44*S528*U528</f>
        <v>60</v>
      </c>
      <c r="K528" s="12">
        <f>'Engineering Assumptions'!$E$44*T528*U528</f>
        <v>105</v>
      </c>
      <c r="L528" s="13">
        <f t="shared" si="72"/>
        <v>623.4</v>
      </c>
      <c r="M528" s="12">
        <f>L528*'Engineering Assumptions'!$B$10</f>
        <v>93.509999999999991</v>
      </c>
      <c r="N528" s="13">
        <f t="shared" si="73"/>
        <v>716.91</v>
      </c>
      <c r="O528" s="12">
        <f>N528*'Engineering Assumptions'!$B$11</f>
        <v>143.38200000000001</v>
      </c>
      <c r="P528" s="156">
        <f t="shared" si="74"/>
        <v>860</v>
      </c>
      <c r="Q528" s="12">
        <f>'Fleet Pricing'!H528</f>
        <v>290</v>
      </c>
      <c r="R528" s="45">
        <v>30</v>
      </c>
      <c r="S528" s="49">
        <v>2.4</v>
      </c>
      <c r="T528" s="49">
        <v>3</v>
      </c>
      <c r="U528" s="49">
        <v>1</v>
      </c>
    </row>
    <row r="529" spans="1:21" ht="15" customHeight="1" x14ac:dyDescent="0.3">
      <c r="A529" s="9">
        <v>498</v>
      </c>
      <c r="B529" s="50" t="s">
        <v>974</v>
      </c>
      <c r="C529" s="50" t="s">
        <v>188</v>
      </c>
      <c r="D529" s="50"/>
      <c r="E529" s="50"/>
      <c r="F529" s="48" t="s">
        <v>195</v>
      </c>
      <c r="G529" s="9">
        <v>30</v>
      </c>
      <c r="H529" s="12">
        <f>'Engineering Assumptions'!$C$44*'Engineering Assumptions'!$B$5*U529</f>
        <v>458.4</v>
      </c>
      <c r="I529" s="12">
        <v>0</v>
      </c>
      <c r="J529" s="12">
        <f>'Engineering Assumptions'!$D$44*S529*U529</f>
        <v>60</v>
      </c>
      <c r="K529" s="12">
        <f>'Engineering Assumptions'!$E$44*T529*U529</f>
        <v>105</v>
      </c>
      <c r="L529" s="13">
        <f t="shared" si="72"/>
        <v>623.4</v>
      </c>
      <c r="M529" s="12">
        <f>L529*'Engineering Assumptions'!$B$10</f>
        <v>93.509999999999991</v>
      </c>
      <c r="N529" s="13">
        <f t="shared" si="73"/>
        <v>716.91</v>
      </c>
      <c r="O529" s="12">
        <f>N529*'Engineering Assumptions'!$B$11</f>
        <v>143.38200000000001</v>
      </c>
      <c r="P529" s="156">
        <f t="shared" si="74"/>
        <v>860</v>
      </c>
      <c r="Q529" s="12">
        <f>'Fleet Pricing'!H529</f>
        <v>290</v>
      </c>
      <c r="R529" s="45">
        <v>30</v>
      </c>
      <c r="S529" s="49">
        <v>2.4</v>
      </c>
      <c r="T529" s="49">
        <v>3</v>
      </c>
      <c r="U529" s="49">
        <v>1</v>
      </c>
    </row>
    <row r="530" spans="1:21" ht="15" customHeight="1" x14ac:dyDescent="0.3">
      <c r="A530" s="9">
        <v>499</v>
      </c>
      <c r="B530" s="50" t="s">
        <v>974</v>
      </c>
      <c r="C530" s="50" t="s">
        <v>188</v>
      </c>
      <c r="D530" s="50"/>
      <c r="E530" s="50"/>
      <c r="F530" s="48" t="s">
        <v>195</v>
      </c>
      <c r="G530" s="9">
        <v>30</v>
      </c>
      <c r="H530" s="12">
        <f>'Engineering Assumptions'!$C$44*'Engineering Assumptions'!$B$5*U530</f>
        <v>458.4</v>
      </c>
      <c r="I530" s="12">
        <v>0</v>
      </c>
      <c r="J530" s="12">
        <f>'Engineering Assumptions'!$D$44*S530*U530</f>
        <v>60</v>
      </c>
      <c r="K530" s="12">
        <f>'Engineering Assumptions'!$E$44*T530*U530</f>
        <v>105</v>
      </c>
      <c r="L530" s="13">
        <f t="shared" si="72"/>
        <v>623.4</v>
      </c>
      <c r="M530" s="12">
        <f>L530*'Engineering Assumptions'!$B$10</f>
        <v>93.509999999999991</v>
      </c>
      <c r="N530" s="13">
        <f t="shared" si="73"/>
        <v>716.91</v>
      </c>
      <c r="O530" s="12">
        <f>N530*'Engineering Assumptions'!$B$11</f>
        <v>143.38200000000001</v>
      </c>
      <c r="P530" s="156">
        <f t="shared" si="74"/>
        <v>860</v>
      </c>
      <c r="Q530" s="12">
        <f>'Fleet Pricing'!H530</f>
        <v>290</v>
      </c>
      <c r="R530" s="45">
        <v>30</v>
      </c>
      <c r="S530" s="49">
        <v>2.4</v>
      </c>
      <c r="T530" s="49">
        <v>3</v>
      </c>
      <c r="U530" s="49">
        <v>1</v>
      </c>
    </row>
    <row r="531" spans="1:21" ht="15" customHeight="1" x14ac:dyDescent="0.3">
      <c r="A531" s="9">
        <v>500</v>
      </c>
      <c r="B531" s="50" t="s">
        <v>974</v>
      </c>
      <c r="C531" s="50" t="s">
        <v>188</v>
      </c>
      <c r="D531" s="50"/>
      <c r="E531" s="50"/>
      <c r="F531" s="48" t="s">
        <v>195</v>
      </c>
      <c r="G531" s="9">
        <v>30</v>
      </c>
      <c r="H531" s="12">
        <f>'Engineering Assumptions'!$C$44*'Engineering Assumptions'!$B$5*U531</f>
        <v>458.4</v>
      </c>
      <c r="I531" s="12">
        <v>0</v>
      </c>
      <c r="J531" s="12">
        <f>'Engineering Assumptions'!$D$44*S531*U531</f>
        <v>60</v>
      </c>
      <c r="K531" s="12">
        <f>'Engineering Assumptions'!$E$44*T531*U531</f>
        <v>105</v>
      </c>
      <c r="L531" s="13">
        <f t="shared" si="72"/>
        <v>623.4</v>
      </c>
      <c r="M531" s="12">
        <f>L531*'Engineering Assumptions'!$B$10</f>
        <v>93.509999999999991</v>
      </c>
      <c r="N531" s="13">
        <f t="shared" si="73"/>
        <v>716.91</v>
      </c>
      <c r="O531" s="12">
        <f>N531*'Engineering Assumptions'!$B$11</f>
        <v>143.38200000000001</v>
      </c>
      <c r="P531" s="156">
        <f t="shared" si="74"/>
        <v>860</v>
      </c>
      <c r="Q531" s="12">
        <f>'Fleet Pricing'!H531</f>
        <v>290</v>
      </c>
      <c r="R531" s="45">
        <v>30</v>
      </c>
      <c r="S531" s="49">
        <v>2.4</v>
      </c>
      <c r="T531" s="49">
        <v>3</v>
      </c>
      <c r="U531" s="49">
        <v>1</v>
      </c>
    </row>
    <row r="532" spans="1:21" ht="15" customHeight="1" x14ac:dyDescent="0.3">
      <c r="A532" s="9">
        <v>501</v>
      </c>
      <c r="B532" s="50" t="s">
        <v>974</v>
      </c>
      <c r="C532" s="50" t="s">
        <v>188</v>
      </c>
      <c r="D532" s="50"/>
      <c r="E532" s="50"/>
      <c r="F532" s="48" t="s">
        <v>195</v>
      </c>
      <c r="G532" s="9">
        <v>30</v>
      </c>
      <c r="H532" s="12">
        <f>'Engineering Assumptions'!$C$44*'Engineering Assumptions'!$B$5*U532</f>
        <v>458.4</v>
      </c>
      <c r="I532" s="12">
        <v>0</v>
      </c>
      <c r="J532" s="12">
        <f>'Engineering Assumptions'!$D$44*S532*U532</f>
        <v>60</v>
      </c>
      <c r="K532" s="12">
        <f>'Engineering Assumptions'!$E$44*T532*U532</f>
        <v>105</v>
      </c>
      <c r="L532" s="13">
        <f t="shared" si="72"/>
        <v>623.4</v>
      </c>
      <c r="M532" s="12">
        <f>L532*'Engineering Assumptions'!$B$10</f>
        <v>93.509999999999991</v>
      </c>
      <c r="N532" s="13">
        <f t="shared" si="73"/>
        <v>716.91</v>
      </c>
      <c r="O532" s="12">
        <f>N532*'Engineering Assumptions'!$B$11</f>
        <v>143.38200000000001</v>
      </c>
      <c r="P532" s="156">
        <f t="shared" si="74"/>
        <v>860</v>
      </c>
      <c r="Q532" s="12">
        <f>'Fleet Pricing'!H532</f>
        <v>290</v>
      </c>
      <c r="R532" s="45">
        <v>30</v>
      </c>
      <c r="S532" s="49">
        <v>2.4</v>
      </c>
      <c r="T532" s="49">
        <v>3</v>
      </c>
      <c r="U532" s="49">
        <v>1</v>
      </c>
    </row>
    <row r="533" spans="1:21" ht="41.25" customHeight="1" x14ac:dyDescent="0.3">
      <c r="A533" s="9">
        <v>502</v>
      </c>
      <c r="B533" s="50" t="s">
        <v>974</v>
      </c>
      <c r="C533" s="50" t="s">
        <v>188</v>
      </c>
      <c r="D533" s="50"/>
      <c r="E533" s="50"/>
      <c r="F533" s="48" t="s">
        <v>1055</v>
      </c>
      <c r="G533" s="9">
        <v>30</v>
      </c>
      <c r="H533" s="12">
        <f>'Engineering Assumptions'!$C$44*'Engineering Assumptions'!$B$5*U533</f>
        <v>458.4</v>
      </c>
      <c r="I533" s="12">
        <v>0</v>
      </c>
      <c r="J533" s="12">
        <f>'Engineering Assumptions'!$D$44*S533*U533</f>
        <v>60</v>
      </c>
      <c r="K533" s="12">
        <f>'Engineering Assumptions'!$E$44*T533*U533</f>
        <v>105</v>
      </c>
      <c r="L533" s="13">
        <f t="shared" si="72"/>
        <v>623.4</v>
      </c>
      <c r="M533" s="12">
        <f>L533*'Engineering Assumptions'!$B$10</f>
        <v>93.509999999999991</v>
      </c>
      <c r="N533" s="13">
        <f t="shared" si="73"/>
        <v>716.91</v>
      </c>
      <c r="O533" s="12">
        <f>N533*'Engineering Assumptions'!$B$11</f>
        <v>143.38200000000001</v>
      </c>
      <c r="P533" s="156">
        <f t="shared" si="74"/>
        <v>860</v>
      </c>
      <c r="Q533" s="12">
        <f>'Fleet Pricing'!H533</f>
        <v>290</v>
      </c>
      <c r="R533" s="45">
        <v>30</v>
      </c>
      <c r="S533" s="49">
        <v>2.4</v>
      </c>
      <c r="T533" s="49">
        <v>3</v>
      </c>
      <c r="U533" s="49">
        <v>1</v>
      </c>
    </row>
    <row r="534" spans="1:21" ht="54.75" customHeight="1" x14ac:dyDescent="0.3">
      <c r="A534" s="9">
        <v>503</v>
      </c>
      <c r="B534" s="50" t="s">
        <v>974</v>
      </c>
      <c r="C534" s="50" t="s">
        <v>188</v>
      </c>
      <c r="D534" s="50"/>
      <c r="E534" s="50"/>
      <c r="F534" s="48" t="s">
        <v>1056</v>
      </c>
      <c r="G534" s="9">
        <v>30</v>
      </c>
      <c r="H534" s="12">
        <f>'Engineering Assumptions'!$C$44*'Engineering Assumptions'!$B$5*U534</f>
        <v>458.4</v>
      </c>
      <c r="I534" s="12">
        <v>0</v>
      </c>
      <c r="J534" s="12">
        <f>'Engineering Assumptions'!$D$44*S534*U534</f>
        <v>60</v>
      </c>
      <c r="K534" s="12">
        <f>'Engineering Assumptions'!$E$44*T534*U534</f>
        <v>105</v>
      </c>
      <c r="L534" s="13">
        <f t="shared" si="72"/>
        <v>623.4</v>
      </c>
      <c r="M534" s="12">
        <f>L534*'Engineering Assumptions'!$B$10</f>
        <v>93.509999999999991</v>
      </c>
      <c r="N534" s="13">
        <f t="shared" si="73"/>
        <v>716.91</v>
      </c>
      <c r="O534" s="12">
        <f>N534*'Engineering Assumptions'!$B$11</f>
        <v>143.38200000000001</v>
      </c>
      <c r="P534" s="156">
        <f t="shared" si="74"/>
        <v>860</v>
      </c>
      <c r="Q534" s="12">
        <f>'Fleet Pricing'!H534</f>
        <v>290</v>
      </c>
      <c r="R534" s="45">
        <v>30</v>
      </c>
      <c r="S534" s="49">
        <v>2.4</v>
      </c>
      <c r="T534" s="49">
        <v>3</v>
      </c>
      <c r="U534" s="49">
        <v>1</v>
      </c>
    </row>
    <row r="535" spans="1:21" ht="15" customHeight="1" x14ac:dyDescent="0.3">
      <c r="A535" s="9">
        <v>504</v>
      </c>
      <c r="B535" s="50" t="s">
        <v>974</v>
      </c>
      <c r="C535" s="50" t="s">
        <v>1057</v>
      </c>
      <c r="D535" s="50"/>
      <c r="E535" s="50"/>
      <c r="F535" s="48" t="s">
        <v>195</v>
      </c>
      <c r="G535" s="9">
        <v>30</v>
      </c>
      <c r="H535" s="12">
        <f>'Engineering Assumptions'!$C$44*'Engineering Assumptions'!$B$5*U535</f>
        <v>458.4</v>
      </c>
      <c r="I535" s="12">
        <v>0</v>
      </c>
      <c r="J535" s="12">
        <f>'Engineering Assumptions'!$D$44*S535*U535</f>
        <v>60</v>
      </c>
      <c r="K535" s="12">
        <f>'Engineering Assumptions'!$E$44*T535*U535</f>
        <v>105</v>
      </c>
      <c r="L535" s="13">
        <f t="shared" si="72"/>
        <v>623.4</v>
      </c>
      <c r="M535" s="12">
        <f>L535*'Engineering Assumptions'!$B$10</f>
        <v>93.509999999999991</v>
      </c>
      <c r="N535" s="13">
        <f t="shared" si="73"/>
        <v>716.91</v>
      </c>
      <c r="O535" s="12">
        <f>N535*'Engineering Assumptions'!$B$11</f>
        <v>143.38200000000001</v>
      </c>
      <c r="P535" s="156">
        <f t="shared" si="74"/>
        <v>860</v>
      </c>
      <c r="Q535" s="12">
        <f>'Fleet Pricing'!H535</f>
        <v>290</v>
      </c>
      <c r="R535" s="45">
        <v>30</v>
      </c>
      <c r="S535" s="49">
        <v>2.4</v>
      </c>
      <c r="T535" s="49">
        <v>3</v>
      </c>
      <c r="U535" s="49">
        <v>1</v>
      </c>
    </row>
    <row r="536" spans="1:21" ht="41.25" customHeight="1" x14ac:dyDescent="0.3">
      <c r="A536" s="9">
        <v>505</v>
      </c>
      <c r="B536" s="50" t="s">
        <v>974</v>
      </c>
      <c r="C536" s="50" t="s">
        <v>1058</v>
      </c>
      <c r="D536" s="50"/>
      <c r="E536" s="50"/>
      <c r="F536" s="48" t="s">
        <v>1059</v>
      </c>
      <c r="G536" s="9">
        <v>30</v>
      </c>
      <c r="H536" s="12">
        <f>'Engineering Assumptions'!$C$44*'Engineering Assumptions'!$B$5*U536</f>
        <v>458.4</v>
      </c>
      <c r="I536" s="12">
        <v>0</v>
      </c>
      <c r="J536" s="12">
        <f>'Engineering Assumptions'!$D$44*S536*U536</f>
        <v>60</v>
      </c>
      <c r="K536" s="12">
        <f>'Engineering Assumptions'!$E$44*T536*U536</f>
        <v>105</v>
      </c>
      <c r="L536" s="13">
        <f t="shared" si="72"/>
        <v>623.4</v>
      </c>
      <c r="M536" s="12">
        <f>L536*'Engineering Assumptions'!$B$10</f>
        <v>93.509999999999991</v>
      </c>
      <c r="N536" s="13">
        <f t="shared" si="73"/>
        <v>716.91</v>
      </c>
      <c r="O536" s="12">
        <f>N536*'Engineering Assumptions'!$B$11</f>
        <v>143.38200000000001</v>
      </c>
      <c r="P536" s="156">
        <f t="shared" si="74"/>
        <v>860</v>
      </c>
      <c r="Q536" s="12">
        <f>'Fleet Pricing'!H536</f>
        <v>290</v>
      </c>
      <c r="R536" s="45">
        <v>30</v>
      </c>
      <c r="S536" s="49">
        <v>2.4</v>
      </c>
      <c r="T536" s="49">
        <v>3</v>
      </c>
      <c r="U536" s="49">
        <v>1</v>
      </c>
    </row>
    <row r="537" spans="1:21" ht="15" customHeight="1" x14ac:dyDescent="0.3">
      <c r="A537" s="199" t="s">
        <v>1060</v>
      </c>
      <c r="B537" s="200"/>
      <c r="C537" s="200"/>
      <c r="D537" s="200"/>
      <c r="E537" s="200"/>
      <c r="F537" s="200"/>
      <c r="G537" s="200"/>
      <c r="H537" s="200"/>
      <c r="I537" s="200"/>
      <c r="J537" s="200"/>
      <c r="K537" s="200"/>
      <c r="L537" s="200"/>
      <c r="M537" s="200"/>
      <c r="N537" s="200"/>
      <c r="O537" s="200"/>
      <c r="P537" s="200"/>
      <c r="Q537" s="200"/>
    </row>
    <row r="538" spans="1:21" ht="23.25" customHeight="1" x14ac:dyDescent="0.3">
      <c r="A538" s="9">
        <v>506</v>
      </c>
      <c r="B538" s="50" t="s">
        <v>1061</v>
      </c>
      <c r="C538" s="50" t="s">
        <v>1062</v>
      </c>
      <c r="D538" s="50" t="s">
        <v>1063</v>
      </c>
      <c r="E538" s="50" t="s">
        <v>932</v>
      </c>
      <c r="F538" s="48" t="s">
        <v>116</v>
      </c>
      <c r="G538" s="9">
        <v>9</v>
      </c>
      <c r="H538" s="12">
        <f>'Engineering Assumptions'!$C$45*'Engineering Assumptions'!$B$5*U538</f>
        <v>1719</v>
      </c>
      <c r="I538" s="12">
        <f>'Engineering Assumptions'!$B$8</f>
        <v>650</v>
      </c>
      <c r="J538" s="12">
        <f>'Engineering Assumptions'!$D$45*S538*U538</f>
        <v>137.5</v>
      </c>
      <c r="K538" s="12">
        <f>'Engineering Assumptions'!$E$45*T538*U538</f>
        <v>105</v>
      </c>
      <c r="L538" s="13">
        <f t="shared" ref="L538:L547" si="75">H538+I538+J538+K538</f>
        <v>2611.5</v>
      </c>
      <c r="M538" s="12">
        <f>L538*'Engineering Assumptions'!$B$10</f>
        <v>391.72499999999997</v>
      </c>
      <c r="N538" s="13">
        <f t="shared" ref="N538:N547" si="76">L538+M538</f>
        <v>3003.2249999999999</v>
      </c>
      <c r="O538" s="12">
        <f>N538*'Engineering Assumptions'!$B$11</f>
        <v>600.64499999999998</v>
      </c>
      <c r="P538" s="156">
        <f t="shared" ref="P538:P547" si="77">MROUND(N538+O538,10)</f>
        <v>3600</v>
      </c>
      <c r="Q538" s="12">
        <f>'Fleet Pricing'!H538</f>
        <v>1610</v>
      </c>
      <c r="R538" s="45">
        <v>9</v>
      </c>
      <c r="S538" s="49">
        <v>1.25</v>
      </c>
      <c r="T538" s="49">
        <v>0.75</v>
      </c>
      <c r="U538" s="49">
        <v>1</v>
      </c>
    </row>
    <row r="539" spans="1:21" ht="23.25" customHeight="1" x14ac:dyDescent="0.3">
      <c r="A539" s="9">
        <v>507</v>
      </c>
      <c r="B539" s="50" t="s">
        <v>1061</v>
      </c>
      <c r="C539" s="50" t="s">
        <v>1062</v>
      </c>
      <c r="D539" s="50" t="s">
        <v>1064</v>
      </c>
      <c r="E539" s="50" t="s">
        <v>930</v>
      </c>
      <c r="F539" s="48" t="s">
        <v>116</v>
      </c>
      <c r="G539" s="9">
        <v>9</v>
      </c>
      <c r="H539" s="12">
        <f>'Engineering Assumptions'!$C$45*'Engineering Assumptions'!$B$5*U539</f>
        <v>1719</v>
      </c>
      <c r="I539" s="12">
        <f>'Engineering Assumptions'!$B$8</f>
        <v>650</v>
      </c>
      <c r="J539" s="12">
        <f>'Engineering Assumptions'!$D$45*S539*U539</f>
        <v>137.5</v>
      </c>
      <c r="K539" s="12">
        <f>'Engineering Assumptions'!$E$45*T539*U539</f>
        <v>105</v>
      </c>
      <c r="L539" s="13">
        <f t="shared" si="75"/>
        <v>2611.5</v>
      </c>
      <c r="M539" s="12">
        <f>L539*'Engineering Assumptions'!$B$10</f>
        <v>391.72499999999997</v>
      </c>
      <c r="N539" s="13">
        <f t="shared" si="76"/>
        <v>3003.2249999999999</v>
      </c>
      <c r="O539" s="12">
        <f>N539*'Engineering Assumptions'!$B$11</f>
        <v>600.64499999999998</v>
      </c>
      <c r="P539" s="156">
        <f t="shared" si="77"/>
        <v>3600</v>
      </c>
      <c r="Q539" s="12">
        <f>'Fleet Pricing'!H539</f>
        <v>1610</v>
      </c>
      <c r="R539" s="45">
        <v>9</v>
      </c>
      <c r="S539" s="49">
        <v>1.25</v>
      </c>
      <c r="T539" s="49">
        <v>0.75</v>
      </c>
      <c r="U539" s="49">
        <v>1</v>
      </c>
    </row>
    <row r="540" spans="1:21" ht="15" customHeight="1" x14ac:dyDescent="0.3">
      <c r="A540" s="9">
        <v>508</v>
      </c>
      <c r="B540" s="50" t="s">
        <v>1061</v>
      </c>
      <c r="C540" s="50" t="s">
        <v>1065</v>
      </c>
      <c r="D540" s="50" t="s">
        <v>1066</v>
      </c>
      <c r="E540" s="50"/>
      <c r="F540" s="48" t="s">
        <v>116</v>
      </c>
      <c r="G540" s="9">
        <v>9</v>
      </c>
      <c r="H540" s="12">
        <f>'Engineering Assumptions'!$C$45*'Engineering Assumptions'!$B$5*U540</f>
        <v>1719</v>
      </c>
      <c r="I540" s="12">
        <f>'Engineering Assumptions'!$B$8</f>
        <v>650</v>
      </c>
      <c r="J540" s="12">
        <f>'Engineering Assumptions'!$D$45*S540*U540</f>
        <v>137.5</v>
      </c>
      <c r="K540" s="12">
        <f>'Engineering Assumptions'!$E$45*T540*U540</f>
        <v>105</v>
      </c>
      <c r="L540" s="13">
        <f t="shared" si="75"/>
        <v>2611.5</v>
      </c>
      <c r="M540" s="12">
        <f>L540*'Engineering Assumptions'!$B$10</f>
        <v>391.72499999999997</v>
      </c>
      <c r="N540" s="13">
        <f t="shared" si="76"/>
        <v>3003.2249999999999</v>
      </c>
      <c r="O540" s="12">
        <f>N540*'Engineering Assumptions'!$B$11</f>
        <v>600.64499999999998</v>
      </c>
      <c r="P540" s="156">
        <f t="shared" si="77"/>
        <v>3600</v>
      </c>
      <c r="Q540" s="12">
        <f>'Fleet Pricing'!H540</f>
        <v>1610</v>
      </c>
      <c r="R540" s="45">
        <v>9</v>
      </c>
      <c r="S540" s="49">
        <v>1.25</v>
      </c>
      <c r="T540" s="49">
        <v>0.75</v>
      </c>
      <c r="U540" s="49">
        <v>1</v>
      </c>
    </row>
    <row r="541" spans="1:21" ht="23.25" customHeight="1" x14ac:dyDescent="0.3">
      <c r="A541" s="9">
        <v>509</v>
      </c>
      <c r="B541" s="50" t="s">
        <v>1061</v>
      </c>
      <c r="C541" s="50" t="s">
        <v>1067</v>
      </c>
      <c r="D541" s="50" t="s">
        <v>1068</v>
      </c>
      <c r="E541" s="50" t="s">
        <v>928</v>
      </c>
      <c r="F541" s="48" t="s">
        <v>116</v>
      </c>
      <c r="G541" s="9">
        <v>9</v>
      </c>
      <c r="H541" s="12">
        <f>'Engineering Assumptions'!$C$45*'Engineering Assumptions'!$B$5*U541</f>
        <v>1719</v>
      </c>
      <c r="I541" s="12">
        <f>'Engineering Assumptions'!$B$8</f>
        <v>650</v>
      </c>
      <c r="J541" s="12">
        <f>'Engineering Assumptions'!$D$45*S541*U541</f>
        <v>137.5</v>
      </c>
      <c r="K541" s="12">
        <f>'Engineering Assumptions'!$E$45*T541*U541</f>
        <v>105</v>
      </c>
      <c r="L541" s="13">
        <f t="shared" si="75"/>
        <v>2611.5</v>
      </c>
      <c r="M541" s="12">
        <f>L541*'Engineering Assumptions'!$B$10</f>
        <v>391.72499999999997</v>
      </c>
      <c r="N541" s="13">
        <f t="shared" si="76"/>
        <v>3003.2249999999999</v>
      </c>
      <c r="O541" s="12">
        <f>N541*'Engineering Assumptions'!$B$11</f>
        <v>600.64499999999998</v>
      </c>
      <c r="P541" s="156">
        <f t="shared" si="77"/>
        <v>3600</v>
      </c>
      <c r="Q541" s="12">
        <f>'Fleet Pricing'!H541</f>
        <v>1610</v>
      </c>
      <c r="R541" s="45">
        <v>9</v>
      </c>
      <c r="S541" s="49">
        <v>1.25</v>
      </c>
      <c r="T541" s="49">
        <v>0.75</v>
      </c>
      <c r="U541" s="49">
        <v>1</v>
      </c>
    </row>
    <row r="542" spans="1:21" ht="23.25" customHeight="1" x14ac:dyDescent="0.3">
      <c r="A542" s="9">
        <v>510</v>
      </c>
      <c r="B542" s="50" t="s">
        <v>1061</v>
      </c>
      <c r="C542" s="50" t="s">
        <v>1067</v>
      </c>
      <c r="D542" s="50" t="s">
        <v>1069</v>
      </c>
      <c r="E542" s="50"/>
      <c r="F542" s="48" t="s">
        <v>195</v>
      </c>
      <c r="G542" s="9">
        <v>30</v>
      </c>
      <c r="H542" s="12">
        <f>'Engineering Assumptions'!$C$45*'Engineering Assumptions'!$B$5*U542</f>
        <v>1719</v>
      </c>
      <c r="I542" s="12">
        <f>'Engineering Assumptions'!$B$8</f>
        <v>650</v>
      </c>
      <c r="J542" s="12">
        <f>'Engineering Assumptions'!$D$45*S542*U542</f>
        <v>264</v>
      </c>
      <c r="K542" s="12">
        <f>'Engineering Assumptions'!$E$45*T542*U542</f>
        <v>420</v>
      </c>
      <c r="L542" s="13">
        <f t="shared" si="75"/>
        <v>3053</v>
      </c>
      <c r="M542" s="12">
        <f>L542*'Engineering Assumptions'!$B$10</f>
        <v>457.95</v>
      </c>
      <c r="N542" s="13">
        <f t="shared" si="76"/>
        <v>3510.95</v>
      </c>
      <c r="O542" s="12">
        <f>N542*'Engineering Assumptions'!$B$11</f>
        <v>702.19</v>
      </c>
      <c r="P542" s="156">
        <f t="shared" si="77"/>
        <v>4210</v>
      </c>
      <c r="Q542" s="12">
        <f>'Fleet Pricing'!H542</f>
        <v>1010</v>
      </c>
      <c r="R542" s="45">
        <v>30</v>
      </c>
      <c r="S542" s="49">
        <v>2.4</v>
      </c>
      <c r="T542" s="49">
        <v>3</v>
      </c>
      <c r="U542" s="49">
        <v>1</v>
      </c>
    </row>
    <row r="543" spans="1:21" ht="23.25" customHeight="1" x14ac:dyDescent="0.3">
      <c r="A543" s="9">
        <v>511</v>
      </c>
      <c r="B543" s="50" t="s">
        <v>1061</v>
      </c>
      <c r="C543" s="50" t="s">
        <v>1067</v>
      </c>
      <c r="D543" s="50" t="s">
        <v>1070</v>
      </c>
      <c r="E543" s="50"/>
      <c r="F543" s="48" t="s">
        <v>195</v>
      </c>
      <c r="G543" s="9">
        <v>30</v>
      </c>
      <c r="H543" s="12">
        <f>'Engineering Assumptions'!$C$45*'Engineering Assumptions'!$B$5*U543</f>
        <v>1719</v>
      </c>
      <c r="I543" s="12">
        <f>'Engineering Assumptions'!$B$8</f>
        <v>650</v>
      </c>
      <c r="J543" s="12">
        <f>'Engineering Assumptions'!$D$45*S543*U543</f>
        <v>264</v>
      </c>
      <c r="K543" s="12">
        <f>'Engineering Assumptions'!$E$45*T543*U543</f>
        <v>420</v>
      </c>
      <c r="L543" s="13">
        <f t="shared" si="75"/>
        <v>3053</v>
      </c>
      <c r="M543" s="12">
        <f>L543*'Engineering Assumptions'!$B$10</f>
        <v>457.95</v>
      </c>
      <c r="N543" s="13">
        <f t="shared" si="76"/>
        <v>3510.95</v>
      </c>
      <c r="O543" s="12">
        <f>N543*'Engineering Assumptions'!$B$11</f>
        <v>702.19</v>
      </c>
      <c r="P543" s="156">
        <f t="shared" si="77"/>
        <v>4210</v>
      </c>
      <c r="Q543" s="12">
        <f>'Fleet Pricing'!H543</f>
        <v>1010</v>
      </c>
      <c r="R543" s="45">
        <v>30</v>
      </c>
      <c r="S543" s="49">
        <v>2.4</v>
      </c>
      <c r="T543" s="49">
        <v>3</v>
      </c>
      <c r="U543" s="49">
        <v>1</v>
      </c>
    </row>
    <row r="544" spans="1:21" ht="23.25" customHeight="1" x14ac:dyDescent="0.3">
      <c r="A544" s="9">
        <v>512</v>
      </c>
      <c r="B544" s="50" t="s">
        <v>1061</v>
      </c>
      <c r="C544" s="50" t="s">
        <v>1067</v>
      </c>
      <c r="D544" s="50" t="s">
        <v>1071</v>
      </c>
      <c r="E544" s="50"/>
      <c r="F544" s="48" t="s">
        <v>195</v>
      </c>
      <c r="G544" s="9">
        <v>30</v>
      </c>
      <c r="H544" s="12">
        <f>'Engineering Assumptions'!$C$45*'Engineering Assumptions'!$B$5*U544</f>
        <v>1719</v>
      </c>
      <c r="I544" s="12">
        <f>'Engineering Assumptions'!$B$8</f>
        <v>650</v>
      </c>
      <c r="J544" s="12">
        <f>'Engineering Assumptions'!$D$45*S544*U544</f>
        <v>264</v>
      </c>
      <c r="K544" s="12">
        <f>'Engineering Assumptions'!$E$45*T544*U544</f>
        <v>420</v>
      </c>
      <c r="L544" s="13">
        <f t="shared" si="75"/>
        <v>3053</v>
      </c>
      <c r="M544" s="12">
        <f>L544*'Engineering Assumptions'!$B$10</f>
        <v>457.95</v>
      </c>
      <c r="N544" s="13">
        <f t="shared" si="76"/>
        <v>3510.95</v>
      </c>
      <c r="O544" s="12">
        <f>N544*'Engineering Assumptions'!$B$11</f>
        <v>702.19</v>
      </c>
      <c r="P544" s="156">
        <f t="shared" si="77"/>
        <v>4210</v>
      </c>
      <c r="Q544" s="12">
        <f>'Fleet Pricing'!H544</f>
        <v>1010</v>
      </c>
      <c r="R544" s="45">
        <v>30</v>
      </c>
      <c r="S544" s="49">
        <v>2.4</v>
      </c>
      <c r="T544" s="49">
        <v>3</v>
      </c>
      <c r="U544" s="49">
        <v>1</v>
      </c>
    </row>
    <row r="545" spans="1:21" ht="23.25" customHeight="1" x14ac:dyDescent="0.3">
      <c r="A545" s="9">
        <v>513</v>
      </c>
      <c r="B545" s="50" t="s">
        <v>1061</v>
      </c>
      <c r="C545" s="50" t="s">
        <v>1067</v>
      </c>
      <c r="D545" s="50" t="s">
        <v>1072</v>
      </c>
      <c r="E545" s="50"/>
      <c r="F545" s="48" t="s">
        <v>195</v>
      </c>
      <c r="G545" s="9">
        <v>30</v>
      </c>
      <c r="H545" s="12">
        <f>'Engineering Assumptions'!$C$45*'Engineering Assumptions'!$B$5*U545</f>
        <v>1719</v>
      </c>
      <c r="I545" s="12">
        <f>'Engineering Assumptions'!$B$8</f>
        <v>650</v>
      </c>
      <c r="J545" s="12">
        <f>'Engineering Assumptions'!$D$45*S545*U545</f>
        <v>264</v>
      </c>
      <c r="K545" s="12">
        <f>'Engineering Assumptions'!$E$45*T545*U545</f>
        <v>420</v>
      </c>
      <c r="L545" s="13">
        <f t="shared" si="75"/>
        <v>3053</v>
      </c>
      <c r="M545" s="12">
        <f>L545*'Engineering Assumptions'!$B$10</f>
        <v>457.95</v>
      </c>
      <c r="N545" s="13">
        <f t="shared" si="76"/>
        <v>3510.95</v>
      </c>
      <c r="O545" s="12">
        <f>N545*'Engineering Assumptions'!$B$11</f>
        <v>702.19</v>
      </c>
      <c r="P545" s="156">
        <f t="shared" si="77"/>
        <v>4210</v>
      </c>
      <c r="Q545" s="12">
        <f>'Fleet Pricing'!H545</f>
        <v>1010</v>
      </c>
      <c r="R545" s="45">
        <v>30</v>
      </c>
      <c r="S545" s="49">
        <v>2.4</v>
      </c>
      <c r="T545" s="49">
        <v>3</v>
      </c>
      <c r="U545" s="49">
        <v>1</v>
      </c>
    </row>
    <row r="546" spans="1:21" ht="23.25" customHeight="1" x14ac:dyDescent="0.3">
      <c r="A546" s="9">
        <v>514</v>
      </c>
      <c r="B546" s="50" t="s">
        <v>1061</v>
      </c>
      <c r="C546" s="50" t="s">
        <v>1067</v>
      </c>
      <c r="D546" s="50" t="s">
        <v>1073</v>
      </c>
      <c r="E546" s="50"/>
      <c r="F546" s="48" t="s">
        <v>195</v>
      </c>
      <c r="G546" s="9">
        <v>30</v>
      </c>
      <c r="H546" s="12">
        <f>'Engineering Assumptions'!$C$45*'Engineering Assumptions'!$B$5*U546</f>
        <v>1719</v>
      </c>
      <c r="I546" s="12">
        <f>'Engineering Assumptions'!$B$8</f>
        <v>650</v>
      </c>
      <c r="J546" s="12">
        <f>'Engineering Assumptions'!$D$45*S546*U546</f>
        <v>264</v>
      </c>
      <c r="K546" s="12">
        <f>'Engineering Assumptions'!$E$45*T546*U546</f>
        <v>420</v>
      </c>
      <c r="L546" s="13">
        <f t="shared" si="75"/>
        <v>3053</v>
      </c>
      <c r="M546" s="12">
        <f>L546*'Engineering Assumptions'!$B$10</f>
        <v>457.95</v>
      </c>
      <c r="N546" s="13">
        <f t="shared" si="76"/>
        <v>3510.95</v>
      </c>
      <c r="O546" s="12">
        <f>N546*'Engineering Assumptions'!$B$11</f>
        <v>702.19</v>
      </c>
      <c r="P546" s="156">
        <f t="shared" si="77"/>
        <v>4210</v>
      </c>
      <c r="Q546" s="12">
        <f>'Fleet Pricing'!H546</f>
        <v>1010</v>
      </c>
      <c r="R546" s="45">
        <v>30</v>
      </c>
      <c r="S546" s="49">
        <v>2.4</v>
      </c>
      <c r="T546" s="49">
        <v>3</v>
      </c>
      <c r="U546" s="49">
        <v>1</v>
      </c>
    </row>
    <row r="547" spans="1:21" ht="23.25" customHeight="1" x14ac:dyDescent="0.3">
      <c r="A547" s="9">
        <v>515</v>
      </c>
      <c r="B547" s="50" t="s">
        <v>1061</v>
      </c>
      <c r="C547" s="50" t="s">
        <v>1067</v>
      </c>
      <c r="D547" s="50" t="s">
        <v>1074</v>
      </c>
      <c r="E547" s="50"/>
      <c r="F547" s="48" t="s">
        <v>195</v>
      </c>
      <c r="G547" s="9">
        <v>30</v>
      </c>
      <c r="H547" s="12">
        <f>'Engineering Assumptions'!$C$45*'Engineering Assumptions'!$B$5*U547</f>
        <v>1719</v>
      </c>
      <c r="I547" s="12">
        <f>'Engineering Assumptions'!$B$8</f>
        <v>650</v>
      </c>
      <c r="J547" s="12">
        <f>'Engineering Assumptions'!$D$45*S547*U547</f>
        <v>264</v>
      </c>
      <c r="K547" s="12">
        <f>'Engineering Assumptions'!$E$45*T547*U547</f>
        <v>420</v>
      </c>
      <c r="L547" s="13">
        <f t="shared" si="75"/>
        <v>3053</v>
      </c>
      <c r="M547" s="12">
        <f>L547*'Engineering Assumptions'!$B$10</f>
        <v>457.95</v>
      </c>
      <c r="N547" s="13">
        <f t="shared" si="76"/>
        <v>3510.95</v>
      </c>
      <c r="O547" s="12">
        <f>N547*'Engineering Assumptions'!$B$11</f>
        <v>702.19</v>
      </c>
      <c r="P547" s="156">
        <f t="shared" si="77"/>
        <v>4210</v>
      </c>
      <c r="Q547" s="12">
        <f>'Fleet Pricing'!H547</f>
        <v>1010</v>
      </c>
      <c r="R547" s="45">
        <v>30</v>
      </c>
      <c r="S547" s="49">
        <v>2.4</v>
      </c>
      <c r="T547" s="49">
        <v>3</v>
      </c>
      <c r="U547" s="49">
        <v>1</v>
      </c>
    </row>
    <row r="548" spans="1:21" ht="15" customHeight="1" x14ac:dyDescent="0.3">
      <c r="A548" s="199" t="s">
        <v>1075</v>
      </c>
      <c r="B548" s="200"/>
      <c r="C548" s="200"/>
      <c r="D548" s="200"/>
      <c r="E548" s="200"/>
      <c r="F548" s="200"/>
      <c r="G548" s="200"/>
      <c r="H548" s="200"/>
      <c r="I548" s="200"/>
      <c r="J548" s="200"/>
      <c r="K548" s="200"/>
      <c r="L548" s="200"/>
      <c r="M548" s="200"/>
      <c r="N548" s="200"/>
      <c r="O548" s="200"/>
      <c r="P548" s="200"/>
      <c r="Q548" s="200"/>
    </row>
    <row r="549" spans="1:21" ht="15" customHeight="1" x14ac:dyDescent="0.3">
      <c r="A549" s="9">
        <v>516</v>
      </c>
      <c r="B549" s="50" t="s">
        <v>1076</v>
      </c>
      <c r="C549" s="50" t="s">
        <v>1077</v>
      </c>
      <c r="D549" s="50" t="s">
        <v>1078</v>
      </c>
      <c r="E549" s="50"/>
      <c r="F549" s="48" t="s">
        <v>195</v>
      </c>
      <c r="G549" s="9">
        <v>30</v>
      </c>
      <c r="H549" s="12">
        <f>'Engineering Assumptions'!$C$46*'Engineering Assumptions'!$B$5*U549</f>
        <v>1337</v>
      </c>
      <c r="I549" s="12">
        <f>'Engineering Assumptions'!$B$8</f>
        <v>650</v>
      </c>
      <c r="J549" s="12">
        <f>'Engineering Assumptions'!$D$46*S549*U549</f>
        <v>384</v>
      </c>
      <c r="K549" s="12">
        <f>'Engineering Assumptions'!$E$46*T549*U549</f>
        <v>630</v>
      </c>
      <c r="L549" s="13">
        <f>H549+I549+J549+K549</f>
        <v>3001</v>
      </c>
      <c r="M549" s="12">
        <f>L549*'Engineering Assumptions'!$B$10</f>
        <v>450.15</v>
      </c>
      <c r="N549" s="13">
        <f>L549+M549</f>
        <v>3451.15</v>
      </c>
      <c r="O549" s="12">
        <f>N549*'Engineering Assumptions'!$B$11</f>
        <v>690.23</v>
      </c>
      <c r="P549" s="156">
        <f>MROUND(N549+O549,10)</f>
        <v>4140</v>
      </c>
      <c r="Q549" s="12">
        <f>'Fleet Pricing'!H549</f>
        <v>1770</v>
      </c>
      <c r="R549" s="45">
        <v>30</v>
      </c>
      <c r="S549" s="49">
        <v>2.4</v>
      </c>
      <c r="T549" s="49">
        <v>3</v>
      </c>
      <c r="U549" s="49">
        <v>1</v>
      </c>
    </row>
    <row r="550" spans="1:21" ht="15" customHeight="1" x14ac:dyDescent="0.3">
      <c r="A550" s="9">
        <v>517</v>
      </c>
      <c r="B550" s="50" t="s">
        <v>1076</v>
      </c>
      <c r="C550" s="50" t="s">
        <v>1079</v>
      </c>
      <c r="D550" s="50" t="s">
        <v>1080</v>
      </c>
      <c r="E550" s="50"/>
      <c r="F550" s="48" t="s">
        <v>195</v>
      </c>
      <c r="G550" s="9">
        <v>30</v>
      </c>
      <c r="H550" s="12">
        <f>'Engineering Assumptions'!$C$46*'Engineering Assumptions'!$B$5*U550</f>
        <v>1337</v>
      </c>
      <c r="I550" s="12">
        <f>'Engineering Assumptions'!$B$8</f>
        <v>650</v>
      </c>
      <c r="J550" s="12">
        <f>'Engineering Assumptions'!$D$46*S550*U550</f>
        <v>384</v>
      </c>
      <c r="K550" s="12">
        <f>'Engineering Assumptions'!$E$46*T550*U550</f>
        <v>630</v>
      </c>
      <c r="L550" s="13">
        <f>H550+I550+J550+K550</f>
        <v>3001</v>
      </c>
      <c r="M550" s="12">
        <f>L550*'Engineering Assumptions'!$B$10</f>
        <v>450.15</v>
      </c>
      <c r="N550" s="13">
        <f>L550+M550</f>
        <v>3451.15</v>
      </c>
      <c r="O550" s="12">
        <f>N550*'Engineering Assumptions'!$B$11</f>
        <v>690.23</v>
      </c>
      <c r="P550" s="156">
        <f>MROUND(N550+O550,10)</f>
        <v>4140</v>
      </c>
      <c r="Q550" s="12">
        <f>'Fleet Pricing'!H550</f>
        <v>1770</v>
      </c>
      <c r="R550" s="45">
        <v>30</v>
      </c>
      <c r="S550" s="49">
        <v>2.4</v>
      </c>
      <c r="T550" s="49">
        <v>3</v>
      </c>
      <c r="U550" s="49">
        <v>1</v>
      </c>
    </row>
    <row r="551" spans="1:21" ht="15" customHeight="1" x14ac:dyDescent="0.3">
      <c r="A551" s="9">
        <v>518</v>
      </c>
      <c r="B551" s="50" t="s">
        <v>1076</v>
      </c>
      <c r="C551" s="50" t="s">
        <v>1079</v>
      </c>
      <c r="D551" s="50" t="s">
        <v>1081</v>
      </c>
      <c r="E551" s="50"/>
      <c r="F551" s="48" t="s">
        <v>195</v>
      </c>
      <c r="G551" s="9">
        <v>30</v>
      </c>
      <c r="H551" s="12">
        <f>'Engineering Assumptions'!$C$46*'Engineering Assumptions'!$B$5*U551</f>
        <v>1337</v>
      </c>
      <c r="I551" s="12">
        <f>'Engineering Assumptions'!$B$8</f>
        <v>650</v>
      </c>
      <c r="J551" s="12">
        <f>'Engineering Assumptions'!$D$46*S551*U551</f>
        <v>384</v>
      </c>
      <c r="K551" s="12">
        <f>'Engineering Assumptions'!$E$46*T551*U551</f>
        <v>630</v>
      </c>
      <c r="L551" s="13">
        <f>H551+I551+J551+K551</f>
        <v>3001</v>
      </c>
      <c r="M551" s="12">
        <f>L551*'Engineering Assumptions'!$B$10</f>
        <v>450.15</v>
      </c>
      <c r="N551" s="13">
        <f>L551+M551</f>
        <v>3451.15</v>
      </c>
      <c r="O551" s="12">
        <f>N551*'Engineering Assumptions'!$B$11</f>
        <v>690.23</v>
      </c>
      <c r="P551" s="156">
        <f>MROUND(N551+O551,10)</f>
        <v>4140</v>
      </c>
      <c r="Q551" s="12">
        <f>'Fleet Pricing'!H551</f>
        <v>1770</v>
      </c>
      <c r="R551" s="45">
        <v>30</v>
      </c>
      <c r="S551" s="49">
        <v>2.4</v>
      </c>
      <c r="T551" s="49">
        <v>3</v>
      </c>
      <c r="U551" s="49">
        <v>1</v>
      </c>
    </row>
  </sheetData>
  <mergeCells count="31">
    <mergeCell ref="A1:Q1"/>
    <mergeCell ref="A287:Q287"/>
    <mergeCell ref="A61:Q61"/>
    <mergeCell ref="A228:Q228"/>
    <mergeCell ref="A154:Q154"/>
    <mergeCell ref="A57:Q57"/>
    <mergeCell ref="A2:Q2"/>
    <mergeCell ref="A5:Q5"/>
    <mergeCell ref="A81:Q81"/>
    <mergeCell ref="A165:Q165"/>
    <mergeCell ref="A220:Q220"/>
    <mergeCell ref="A40:Q40"/>
    <mergeCell ref="A245:Q245"/>
    <mergeCell ref="A30:Q30"/>
    <mergeCell ref="A182:Q182"/>
    <mergeCell ref="A408:Q408"/>
    <mergeCell ref="A548:Q548"/>
    <mergeCell ref="A271:Q271"/>
    <mergeCell ref="A208:Q208"/>
    <mergeCell ref="A397:Q397"/>
    <mergeCell ref="A537:Q537"/>
    <mergeCell ref="A233:Q233"/>
    <mergeCell ref="A301:Q301"/>
    <mergeCell ref="A390:Q390"/>
    <mergeCell ref="A242:Q242"/>
    <mergeCell ref="A483:Q483"/>
    <mergeCell ref="A470:Q470"/>
    <mergeCell ref="A401:Q401"/>
    <mergeCell ref="A450:Q450"/>
    <mergeCell ref="A275:Q275"/>
    <mergeCell ref="A225:Q225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551"/>
  <sheetViews>
    <sheetView zoomScaleNormal="100"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D26" sqref="D26"/>
    </sheetView>
  </sheetViews>
  <sheetFormatPr defaultColWidth="8.6640625" defaultRowHeight="14.4" x14ac:dyDescent="0.3"/>
  <cols>
    <col min="1" max="1" width="5" customWidth="1"/>
    <col min="2" max="2" width="22" customWidth="1"/>
    <col min="3" max="5" width="28" customWidth="1"/>
    <col min="6" max="6" width="7" customWidth="1"/>
    <col min="7" max="7" width="6" customWidth="1"/>
    <col min="8" max="10" width="14" customWidth="1"/>
    <col min="11" max="12" width="18" customWidth="1"/>
    <col min="13" max="13" width="22" customWidth="1"/>
  </cols>
  <sheetData>
    <row r="1" spans="1:13" ht="24" customHeight="1" x14ac:dyDescent="0.4">
      <c r="A1" s="193" t="s">
        <v>2840</v>
      </c>
      <c r="B1" s="186"/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</row>
    <row r="2" spans="1:13" ht="15" customHeight="1" x14ac:dyDescent="0.3">
      <c r="A2" s="197" t="s">
        <v>2841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</row>
    <row r="4" spans="1:13" ht="42" customHeight="1" x14ac:dyDescent="0.3">
      <c r="A4" s="8" t="s">
        <v>2</v>
      </c>
      <c r="B4" s="8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2842</v>
      </c>
      <c r="I4" s="8" t="s">
        <v>2843</v>
      </c>
      <c r="J4" s="8" t="s">
        <v>2844</v>
      </c>
      <c r="K4" s="8" t="s">
        <v>2845</v>
      </c>
      <c r="L4" s="8" t="s">
        <v>2846</v>
      </c>
      <c r="M4" s="8" t="s">
        <v>2847</v>
      </c>
    </row>
    <row r="5" spans="1:13" ht="15" customHeight="1" x14ac:dyDescent="0.3">
      <c r="A5" s="199" t="s">
        <v>18</v>
      </c>
      <c r="B5" s="200"/>
      <c r="C5" s="200"/>
      <c r="D5" s="200"/>
      <c r="E5" s="200"/>
      <c r="F5" s="200"/>
      <c r="G5" s="200"/>
      <c r="H5" s="200"/>
      <c r="I5" s="200"/>
      <c r="J5" s="200"/>
      <c r="K5" s="200"/>
      <c r="L5" s="200"/>
      <c r="M5" s="200"/>
    </row>
    <row r="6" spans="1:13" ht="15" customHeight="1" x14ac:dyDescent="0.3">
      <c r="A6" s="9">
        <v>1</v>
      </c>
      <c r="B6" s="46" t="s">
        <v>19</v>
      </c>
      <c r="C6" s="46" t="s">
        <v>20</v>
      </c>
      <c r="D6" s="46" t="s">
        <v>21</v>
      </c>
      <c r="E6" s="46" t="s">
        <v>22</v>
      </c>
      <c r="F6" s="48" t="s">
        <v>23</v>
      </c>
      <c r="G6" s="9">
        <v>5</v>
      </c>
      <c r="H6" s="12">
        <f>'Engineering Cost'!H6*'Engineering Assumptions'!$B$6</f>
        <v>252120</v>
      </c>
      <c r="I6" s="12">
        <f>IF('Engineering Cost'!I6=0,0,MAX('Engineering Cost'!I6*'Engineering Assumptions'!$B$6,'Engineering Assumptions'!$B$9))</f>
        <v>78000</v>
      </c>
      <c r="J6" s="12">
        <f>'Engineering Cost'!J6*'Engineering Assumptions'!$B$6</f>
        <v>21600</v>
      </c>
      <c r="K6" s="12">
        <f>'Engineering Cost'!K6*'Engineering Assumptions'!$B$6</f>
        <v>7920</v>
      </c>
      <c r="L6" s="13">
        <f t="shared" ref="L6:L29" si="0">SUM(H6:K6)</f>
        <v>359640</v>
      </c>
      <c r="M6" s="13">
        <f>L6*(1+'Engineering Assumptions'!$B$10)</f>
        <v>413585.99999999994</v>
      </c>
    </row>
    <row r="7" spans="1:13" ht="15" customHeight="1" x14ac:dyDescent="0.3">
      <c r="A7" s="9">
        <v>2</v>
      </c>
      <c r="B7" s="46" t="s">
        <v>19</v>
      </c>
      <c r="C7" s="46" t="s">
        <v>20</v>
      </c>
      <c r="D7" s="46" t="s">
        <v>24</v>
      </c>
      <c r="E7" s="46" t="s">
        <v>25</v>
      </c>
      <c r="F7" s="48" t="s">
        <v>23</v>
      </c>
      <c r="G7" s="9">
        <v>5</v>
      </c>
      <c r="H7" s="12">
        <f>'Engineering Cost'!H7*'Engineering Assumptions'!$B$6</f>
        <v>252120</v>
      </c>
      <c r="I7" s="12">
        <f>IF('Engineering Cost'!I7=0,0,MAX('Engineering Cost'!I7*'Engineering Assumptions'!$B$6,'Engineering Assumptions'!$B$9))</f>
        <v>78000</v>
      </c>
      <c r="J7" s="12">
        <f>'Engineering Cost'!J7*'Engineering Assumptions'!$B$6</f>
        <v>21600</v>
      </c>
      <c r="K7" s="12">
        <f>'Engineering Cost'!K7*'Engineering Assumptions'!$B$6</f>
        <v>7920</v>
      </c>
      <c r="L7" s="13">
        <f t="shared" si="0"/>
        <v>359640</v>
      </c>
      <c r="M7" s="13">
        <f>L7*(1+'Engineering Assumptions'!$B$10)</f>
        <v>413585.99999999994</v>
      </c>
    </row>
    <row r="8" spans="1:13" ht="15" customHeight="1" x14ac:dyDescent="0.3">
      <c r="A8" s="9">
        <v>3</v>
      </c>
      <c r="B8" s="46" t="s">
        <v>19</v>
      </c>
      <c r="C8" s="46" t="s">
        <v>20</v>
      </c>
      <c r="D8" s="46" t="s">
        <v>26</v>
      </c>
      <c r="E8" s="46" t="s">
        <v>27</v>
      </c>
      <c r="F8" s="48" t="s">
        <v>23</v>
      </c>
      <c r="G8" s="9">
        <v>5</v>
      </c>
      <c r="H8" s="12">
        <f>'Engineering Cost'!H8*'Engineering Assumptions'!$B$6</f>
        <v>252120</v>
      </c>
      <c r="I8" s="12">
        <f>IF('Engineering Cost'!I8=0,0,MAX('Engineering Cost'!I8*'Engineering Assumptions'!$B$6,'Engineering Assumptions'!$B$9))</f>
        <v>78000</v>
      </c>
      <c r="J8" s="12">
        <f>'Engineering Cost'!J8*'Engineering Assumptions'!$B$6</f>
        <v>21600</v>
      </c>
      <c r="K8" s="12">
        <f>'Engineering Cost'!K8*'Engineering Assumptions'!$B$6</f>
        <v>7920</v>
      </c>
      <c r="L8" s="13">
        <f t="shared" si="0"/>
        <v>359640</v>
      </c>
      <c r="M8" s="13">
        <f>L8*(1+'Engineering Assumptions'!$B$10)</f>
        <v>413585.99999999994</v>
      </c>
    </row>
    <row r="9" spans="1:13" ht="15" customHeight="1" x14ac:dyDescent="0.3">
      <c r="A9" s="9">
        <v>4</v>
      </c>
      <c r="B9" s="46" t="s">
        <v>19</v>
      </c>
      <c r="C9" s="46" t="s">
        <v>28</v>
      </c>
      <c r="D9" s="46" t="s">
        <v>29</v>
      </c>
      <c r="E9" s="46" t="s">
        <v>30</v>
      </c>
      <c r="F9" s="48" t="s">
        <v>31</v>
      </c>
      <c r="G9" s="9">
        <v>6</v>
      </c>
      <c r="H9" s="12">
        <f>'Engineering Cost'!H9*'Engineering Assumptions'!$B$6</f>
        <v>252120</v>
      </c>
      <c r="I9" s="12">
        <f>IF('Engineering Cost'!I9=0,0,MAX('Engineering Cost'!I9*'Engineering Assumptions'!$B$6,'Engineering Assumptions'!$B$9))</f>
        <v>78000</v>
      </c>
      <c r="J9" s="12">
        <f>'Engineering Cost'!J9*'Engineering Assumptions'!$B$6</f>
        <v>27000</v>
      </c>
      <c r="K9" s="12">
        <f>'Engineering Cost'!K9*'Engineering Assumptions'!$B$6</f>
        <v>19800</v>
      </c>
      <c r="L9" s="13">
        <f t="shared" si="0"/>
        <v>376920</v>
      </c>
      <c r="M9" s="13">
        <f>L9*(1+'Engineering Assumptions'!$B$10)</f>
        <v>433457.99999999994</v>
      </c>
    </row>
    <row r="10" spans="1:13" ht="15" customHeight="1" x14ac:dyDescent="0.3">
      <c r="A10" s="9">
        <v>5</v>
      </c>
      <c r="B10" s="46" t="s">
        <v>19</v>
      </c>
      <c r="C10" s="46" t="s">
        <v>28</v>
      </c>
      <c r="D10" s="46" t="s">
        <v>32</v>
      </c>
      <c r="E10" s="46" t="s">
        <v>33</v>
      </c>
      <c r="F10" s="48" t="s">
        <v>31</v>
      </c>
      <c r="G10" s="9">
        <v>6</v>
      </c>
      <c r="H10" s="12">
        <f>'Engineering Cost'!H10*'Engineering Assumptions'!$B$6</f>
        <v>252120</v>
      </c>
      <c r="I10" s="12">
        <f>IF('Engineering Cost'!I10=0,0,MAX('Engineering Cost'!I10*'Engineering Assumptions'!$B$6,'Engineering Assumptions'!$B$9))</f>
        <v>78000</v>
      </c>
      <c r="J10" s="12">
        <f>'Engineering Cost'!J10*'Engineering Assumptions'!$B$6</f>
        <v>27000</v>
      </c>
      <c r="K10" s="12">
        <f>'Engineering Cost'!K10*'Engineering Assumptions'!$B$6</f>
        <v>19800</v>
      </c>
      <c r="L10" s="13">
        <f t="shared" si="0"/>
        <v>376920</v>
      </c>
      <c r="M10" s="13">
        <f>L10*(1+'Engineering Assumptions'!$B$10)</f>
        <v>433457.99999999994</v>
      </c>
    </row>
    <row r="11" spans="1:13" ht="15" customHeight="1" x14ac:dyDescent="0.3">
      <c r="A11" s="9">
        <v>6</v>
      </c>
      <c r="B11" s="46" t="s">
        <v>19</v>
      </c>
      <c r="C11" s="46" t="s">
        <v>28</v>
      </c>
      <c r="D11" s="46" t="s">
        <v>34</v>
      </c>
      <c r="E11" s="46" t="s">
        <v>35</v>
      </c>
      <c r="F11" s="48" t="s">
        <v>31</v>
      </c>
      <c r="G11" s="9">
        <v>6</v>
      </c>
      <c r="H11" s="12">
        <f>'Engineering Cost'!H11*'Engineering Assumptions'!$B$6</f>
        <v>252120</v>
      </c>
      <c r="I11" s="12">
        <f>IF('Engineering Cost'!I11=0,0,MAX('Engineering Cost'!I11*'Engineering Assumptions'!$B$6,'Engineering Assumptions'!$B$9))</f>
        <v>78000</v>
      </c>
      <c r="J11" s="12">
        <f>'Engineering Cost'!J11*'Engineering Assumptions'!$B$6</f>
        <v>27000</v>
      </c>
      <c r="K11" s="12">
        <f>'Engineering Cost'!K11*'Engineering Assumptions'!$B$6</f>
        <v>19800</v>
      </c>
      <c r="L11" s="13">
        <f t="shared" si="0"/>
        <v>376920</v>
      </c>
      <c r="M11" s="13">
        <f>L11*(1+'Engineering Assumptions'!$B$10)</f>
        <v>433457.99999999994</v>
      </c>
    </row>
    <row r="12" spans="1:13" ht="15" customHeight="1" x14ac:dyDescent="0.3">
      <c r="A12" s="9">
        <v>7</v>
      </c>
      <c r="B12" s="46" t="s">
        <v>19</v>
      </c>
      <c r="C12" s="46" t="s">
        <v>28</v>
      </c>
      <c r="D12" s="46" t="s">
        <v>36</v>
      </c>
      <c r="E12" s="46" t="s">
        <v>37</v>
      </c>
      <c r="F12" s="48" t="s">
        <v>31</v>
      </c>
      <c r="G12" s="9">
        <v>6</v>
      </c>
      <c r="H12" s="12">
        <f>'Engineering Cost'!H12*'Engineering Assumptions'!$B$6</f>
        <v>252120</v>
      </c>
      <c r="I12" s="12">
        <f>IF('Engineering Cost'!I12=0,0,MAX('Engineering Cost'!I12*'Engineering Assumptions'!$B$6,'Engineering Assumptions'!$B$9))</f>
        <v>78000</v>
      </c>
      <c r="J12" s="12">
        <f>'Engineering Cost'!J12*'Engineering Assumptions'!$B$6</f>
        <v>27000</v>
      </c>
      <c r="K12" s="12">
        <f>'Engineering Cost'!K12*'Engineering Assumptions'!$B$6</f>
        <v>19800</v>
      </c>
      <c r="L12" s="13">
        <f t="shared" si="0"/>
        <v>376920</v>
      </c>
      <c r="M12" s="13">
        <f>L12*(1+'Engineering Assumptions'!$B$10)</f>
        <v>433457.99999999994</v>
      </c>
    </row>
    <row r="13" spans="1:13" ht="15" customHeight="1" x14ac:dyDescent="0.3">
      <c r="A13" s="9">
        <v>8</v>
      </c>
      <c r="B13" s="46" t="s">
        <v>19</v>
      </c>
      <c r="C13" s="46" t="s">
        <v>28</v>
      </c>
      <c r="D13" s="46" t="s">
        <v>38</v>
      </c>
      <c r="E13" s="46" t="s">
        <v>39</v>
      </c>
      <c r="F13" s="48" t="s">
        <v>31</v>
      </c>
      <c r="G13" s="9">
        <v>6</v>
      </c>
      <c r="H13" s="12">
        <f>'Engineering Cost'!H13*'Engineering Assumptions'!$B$6</f>
        <v>252120</v>
      </c>
      <c r="I13" s="12">
        <f>IF('Engineering Cost'!I13=0,0,MAX('Engineering Cost'!I13*'Engineering Assumptions'!$B$6,'Engineering Assumptions'!$B$9))</f>
        <v>78000</v>
      </c>
      <c r="J13" s="12">
        <f>'Engineering Cost'!J13*'Engineering Assumptions'!$B$6</f>
        <v>27000</v>
      </c>
      <c r="K13" s="12">
        <f>'Engineering Cost'!K13*'Engineering Assumptions'!$B$6</f>
        <v>19800</v>
      </c>
      <c r="L13" s="13">
        <f t="shared" si="0"/>
        <v>376920</v>
      </c>
      <c r="M13" s="13">
        <f>L13*(1+'Engineering Assumptions'!$B$10)</f>
        <v>433457.99999999994</v>
      </c>
    </row>
    <row r="14" spans="1:13" ht="15" customHeight="1" x14ac:dyDescent="0.3">
      <c r="A14" s="9">
        <v>9</v>
      </c>
      <c r="B14" s="46" t="s">
        <v>19</v>
      </c>
      <c r="C14" s="46" t="s">
        <v>28</v>
      </c>
      <c r="D14" s="46" t="s">
        <v>40</v>
      </c>
      <c r="E14" s="46" t="s">
        <v>41</v>
      </c>
      <c r="F14" s="48" t="s">
        <v>31</v>
      </c>
      <c r="G14" s="9">
        <v>6</v>
      </c>
      <c r="H14" s="12">
        <f>'Engineering Cost'!H14*'Engineering Assumptions'!$B$6</f>
        <v>252120</v>
      </c>
      <c r="I14" s="12">
        <f>IF('Engineering Cost'!I14=0,0,MAX('Engineering Cost'!I14*'Engineering Assumptions'!$B$6,'Engineering Assumptions'!$B$9))</f>
        <v>78000</v>
      </c>
      <c r="J14" s="12">
        <f>'Engineering Cost'!J14*'Engineering Assumptions'!$B$6</f>
        <v>27000</v>
      </c>
      <c r="K14" s="12">
        <f>'Engineering Cost'!K14*'Engineering Assumptions'!$B$6</f>
        <v>19800</v>
      </c>
      <c r="L14" s="13">
        <f t="shared" si="0"/>
        <v>376920</v>
      </c>
      <c r="M14" s="13">
        <f>L14*(1+'Engineering Assumptions'!$B$10)</f>
        <v>433457.99999999994</v>
      </c>
    </row>
    <row r="15" spans="1:13" ht="15" customHeight="1" x14ac:dyDescent="0.3">
      <c r="A15" s="9">
        <v>10</v>
      </c>
      <c r="B15" s="46" t="s">
        <v>19</v>
      </c>
      <c r="C15" s="46" t="s">
        <v>42</v>
      </c>
      <c r="D15" s="46" t="s">
        <v>43</v>
      </c>
      <c r="E15" s="46" t="s">
        <v>44</v>
      </c>
      <c r="F15" s="48" t="s">
        <v>45</v>
      </c>
      <c r="G15" s="9">
        <v>7</v>
      </c>
      <c r="H15" s="12">
        <f>'Engineering Cost'!H15*'Engineering Assumptions'!$B$6</f>
        <v>252120</v>
      </c>
      <c r="I15" s="12">
        <f>IF('Engineering Cost'!I15=0,0,MAX('Engineering Cost'!I15*'Engineering Assumptions'!$B$6,'Engineering Assumptions'!$B$9))</f>
        <v>78000</v>
      </c>
      <c r="J15" s="12">
        <f>'Engineering Cost'!J15*'Engineering Assumptions'!$B$6</f>
        <v>27000</v>
      </c>
      <c r="K15" s="12">
        <f>'Engineering Cost'!K15*'Engineering Assumptions'!$B$6</f>
        <v>19800</v>
      </c>
      <c r="L15" s="13">
        <f t="shared" si="0"/>
        <v>376920</v>
      </c>
      <c r="M15" s="13">
        <f>L15*(1+'Engineering Assumptions'!$B$10)</f>
        <v>433457.99999999994</v>
      </c>
    </row>
    <row r="16" spans="1:13" ht="15" customHeight="1" x14ac:dyDescent="0.3">
      <c r="A16" s="9">
        <v>11</v>
      </c>
      <c r="B16" s="46" t="s">
        <v>19</v>
      </c>
      <c r="C16" s="46" t="s">
        <v>46</v>
      </c>
      <c r="D16" s="46" t="s">
        <v>47</v>
      </c>
      <c r="E16" s="46" t="s">
        <v>48</v>
      </c>
      <c r="F16" s="48" t="s">
        <v>49</v>
      </c>
      <c r="G16" s="9">
        <v>10</v>
      </c>
      <c r="H16" s="12">
        <f>'Engineering Cost'!H16*'Engineering Assumptions'!$B$6</f>
        <v>252120</v>
      </c>
      <c r="I16" s="12">
        <f>IF('Engineering Cost'!I16=0,0,MAX('Engineering Cost'!I16*'Engineering Assumptions'!$B$6,'Engineering Assumptions'!$B$9))</f>
        <v>78000</v>
      </c>
      <c r="J16" s="12">
        <f>'Engineering Cost'!J16*'Engineering Assumptions'!$B$6</f>
        <v>27000</v>
      </c>
      <c r="K16" s="12">
        <f>'Engineering Cost'!K16*'Engineering Assumptions'!$B$6</f>
        <v>19800</v>
      </c>
      <c r="L16" s="13">
        <f t="shared" si="0"/>
        <v>376920</v>
      </c>
      <c r="M16" s="13">
        <f>L16*(1+'Engineering Assumptions'!$B$10)</f>
        <v>433457.99999999994</v>
      </c>
    </row>
    <row r="17" spans="1:13" ht="15" customHeight="1" x14ac:dyDescent="0.3">
      <c r="A17" s="9">
        <v>12</v>
      </c>
      <c r="B17" s="46" t="s">
        <v>19</v>
      </c>
      <c r="C17" s="46" t="s">
        <v>46</v>
      </c>
      <c r="D17" s="46" t="s">
        <v>50</v>
      </c>
      <c r="E17" s="46" t="s">
        <v>51</v>
      </c>
      <c r="F17" s="48" t="s">
        <v>49</v>
      </c>
      <c r="G17" s="9">
        <v>10</v>
      </c>
      <c r="H17" s="12">
        <f>'Engineering Cost'!H17*'Engineering Assumptions'!$B$6</f>
        <v>252120</v>
      </c>
      <c r="I17" s="12">
        <f>IF('Engineering Cost'!I17=0,0,MAX('Engineering Cost'!I17*'Engineering Assumptions'!$B$6,'Engineering Assumptions'!$B$9))</f>
        <v>78000</v>
      </c>
      <c r="J17" s="12">
        <f>'Engineering Cost'!J17*'Engineering Assumptions'!$B$6</f>
        <v>27000</v>
      </c>
      <c r="K17" s="12">
        <f>'Engineering Cost'!K17*'Engineering Assumptions'!$B$6</f>
        <v>19800</v>
      </c>
      <c r="L17" s="13">
        <f t="shared" si="0"/>
        <v>376920</v>
      </c>
      <c r="M17" s="13">
        <f>L17*(1+'Engineering Assumptions'!$B$10)</f>
        <v>433457.99999999994</v>
      </c>
    </row>
    <row r="18" spans="1:13" ht="15" customHeight="1" x14ac:dyDescent="0.3">
      <c r="A18" s="9">
        <v>13</v>
      </c>
      <c r="B18" s="46" t="s">
        <v>19</v>
      </c>
      <c r="C18" s="46" t="s">
        <v>52</v>
      </c>
      <c r="D18" s="46" t="s">
        <v>53</v>
      </c>
      <c r="E18" s="46" t="s">
        <v>54</v>
      </c>
      <c r="F18" s="48" t="s">
        <v>49</v>
      </c>
      <c r="G18" s="9">
        <v>10</v>
      </c>
      <c r="H18" s="12">
        <f>'Engineering Cost'!H18*'Engineering Assumptions'!$B$6</f>
        <v>252120</v>
      </c>
      <c r="I18" s="12">
        <f>IF('Engineering Cost'!I18=0,0,MAX('Engineering Cost'!I18*'Engineering Assumptions'!$B$6,'Engineering Assumptions'!$B$9))</f>
        <v>78000</v>
      </c>
      <c r="J18" s="12">
        <f>'Engineering Cost'!J18*'Engineering Assumptions'!$B$6</f>
        <v>27000</v>
      </c>
      <c r="K18" s="12">
        <f>'Engineering Cost'!K18*'Engineering Assumptions'!$B$6</f>
        <v>19800</v>
      </c>
      <c r="L18" s="13">
        <f t="shared" si="0"/>
        <v>376920</v>
      </c>
      <c r="M18" s="13">
        <f>L18*(1+'Engineering Assumptions'!$B$10)</f>
        <v>433457.99999999994</v>
      </c>
    </row>
    <row r="19" spans="1:13" ht="15" customHeight="1" x14ac:dyDescent="0.3">
      <c r="A19" s="9">
        <v>14</v>
      </c>
      <c r="B19" s="46" t="s">
        <v>19</v>
      </c>
      <c r="C19" s="46" t="s">
        <v>52</v>
      </c>
      <c r="D19" s="46" t="s">
        <v>55</v>
      </c>
      <c r="E19" s="46" t="s">
        <v>56</v>
      </c>
      <c r="F19" s="48" t="s">
        <v>49</v>
      </c>
      <c r="G19" s="9">
        <v>10</v>
      </c>
      <c r="H19" s="12">
        <f>'Engineering Cost'!H19*'Engineering Assumptions'!$B$6</f>
        <v>252120</v>
      </c>
      <c r="I19" s="12">
        <f>IF('Engineering Cost'!I19=0,0,MAX('Engineering Cost'!I19*'Engineering Assumptions'!$B$6,'Engineering Assumptions'!$B$9))</f>
        <v>78000</v>
      </c>
      <c r="J19" s="12">
        <f>'Engineering Cost'!J19*'Engineering Assumptions'!$B$6</f>
        <v>27000</v>
      </c>
      <c r="K19" s="12">
        <f>'Engineering Cost'!K19*'Engineering Assumptions'!$B$6</f>
        <v>19800</v>
      </c>
      <c r="L19" s="13">
        <f t="shared" si="0"/>
        <v>376920</v>
      </c>
      <c r="M19" s="13">
        <f>L19*(1+'Engineering Assumptions'!$B$10)</f>
        <v>433457.99999999994</v>
      </c>
    </row>
    <row r="20" spans="1:13" ht="15" customHeight="1" x14ac:dyDescent="0.3">
      <c r="A20" s="9">
        <v>15</v>
      </c>
      <c r="B20" s="46" t="s">
        <v>19</v>
      </c>
      <c r="C20" s="46" t="s">
        <v>52</v>
      </c>
      <c r="D20" s="46" t="s">
        <v>57</v>
      </c>
      <c r="E20" s="46" t="s">
        <v>58</v>
      </c>
      <c r="F20" s="48" t="s">
        <v>49</v>
      </c>
      <c r="G20" s="9">
        <v>10</v>
      </c>
      <c r="H20" s="12">
        <f>'Engineering Cost'!H20*'Engineering Assumptions'!$B$6</f>
        <v>252120</v>
      </c>
      <c r="I20" s="12">
        <f>IF('Engineering Cost'!I20=0,0,MAX('Engineering Cost'!I20*'Engineering Assumptions'!$B$6,'Engineering Assumptions'!$B$9))</f>
        <v>78000</v>
      </c>
      <c r="J20" s="12">
        <f>'Engineering Cost'!J20*'Engineering Assumptions'!$B$6</f>
        <v>27000</v>
      </c>
      <c r="K20" s="12">
        <f>'Engineering Cost'!K20*'Engineering Assumptions'!$B$6</f>
        <v>19800</v>
      </c>
      <c r="L20" s="13">
        <f t="shared" si="0"/>
        <v>376920</v>
      </c>
      <c r="M20" s="13">
        <f>L20*(1+'Engineering Assumptions'!$B$10)</f>
        <v>433457.99999999994</v>
      </c>
    </row>
    <row r="21" spans="1:13" ht="15" customHeight="1" x14ac:dyDescent="0.3">
      <c r="A21" s="9">
        <v>16</v>
      </c>
      <c r="B21" s="46" t="s">
        <v>19</v>
      </c>
      <c r="C21" s="46" t="s">
        <v>46</v>
      </c>
      <c r="D21" s="46" t="s">
        <v>59</v>
      </c>
      <c r="E21" s="46" t="s">
        <v>60</v>
      </c>
      <c r="F21" s="48" t="s">
        <v>61</v>
      </c>
      <c r="G21" s="9">
        <v>11</v>
      </c>
      <c r="H21" s="12">
        <f>'Engineering Cost'!H21*'Engineering Assumptions'!$B$6</f>
        <v>252120</v>
      </c>
      <c r="I21" s="12">
        <f>IF('Engineering Cost'!I21=0,0,MAX('Engineering Cost'!I21*'Engineering Assumptions'!$B$6,'Engineering Assumptions'!$B$9))</f>
        <v>78000</v>
      </c>
      <c r="J21" s="12">
        <f>'Engineering Cost'!J21*'Engineering Assumptions'!$B$6</f>
        <v>33480</v>
      </c>
      <c r="K21" s="12">
        <f>'Engineering Cost'!K21*'Engineering Assumptions'!$B$6</f>
        <v>35640</v>
      </c>
      <c r="L21" s="13">
        <f t="shared" si="0"/>
        <v>399240</v>
      </c>
      <c r="M21" s="13">
        <f>L21*(1+'Engineering Assumptions'!$B$10)</f>
        <v>459125.99999999994</v>
      </c>
    </row>
    <row r="22" spans="1:13" ht="15" customHeight="1" x14ac:dyDescent="0.3">
      <c r="A22" s="9">
        <v>17</v>
      </c>
      <c r="B22" s="46" t="s">
        <v>19</v>
      </c>
      <c r="C22" s="46" t="s">
        <v>46</v>
      </c>
      <c r="D22" s="46" t="s">
        <v>62</v>
      </c>
      <c r="E22" s="46" t="s">
        <v>63</v>
      </c>
      <c r="F22" s="48" t="s">
        <v>61</v>
      </c>
      <c r="G22" s="9">
        <v>11</v>
      </c>
      <c r="H22" s="12">
        <f>'Engineering Cost'!H22*'Engineering Assumptions'!$B$6</f>
        <v>252120</v>
      </c>
      <c r="I22" s="12">
        <f>IF('Engineering Cost'!I22=0,0,MAX('Engineering Cost'!I22*'Engineering Assumptions'!$B$6,'Engineering Assumptions'!$B$9))</f>
        <v>78000</v>
      </c>
      <c r="J22" s="12">
        <f>'Engineering Cost'!J22*'Engineering Assumptions'!$B$6</f>
        <v>33480</v>
      </c>
      <c r="K22" s="12">
        <f>'Engineering Cost'!K22*'Engineering Assumptions'!$B$6</f>
        <v>35640</v>
      </c>
      <c r="L22" s="13">
        <f t="shared" si="0"/>
        <v>399240</v>
      </c>
      <c r="M22" s="13">
        <f>L22*(1+'Engineering Assumptions'!$B$10)</f>
        <v>459125.99999999994</v>
      </c>
    </row>
    <row r="23" spans="1:13" ht="15" customHeight="1" x14ac:dyDescent="0.3">
      <c r="A23" s="9">
        <v>18</v>
      </c>
      <c r="B23" s="46" t="s">
        <v>19</v>
      </c>
      <c r="C23" s="46" t="s">
        <v>52</v>
      </c>
      <c r="D23" s="46" t="s">
        <v>64</v>
      </c>
      <c r="E23" s="46" t="s">
        <v>65</v>
      </c>
      <c r="F23" s="48" t="s">
        <v>66</v>
      </c>
      <c r="G23" s="9">
        <v>14</v>
      </c>
      <c r="H23" s="12">
        <f>'Engineering Cost'!H23*'Engineering Assumptions'!$B$6</f>
        <v>252120</v>
      </c>
      <c r="I23" s="12">
        <f>IF('Engineering Cost'!I23=0,0,MAX('Engineering Cost'!I23*'Engineering Assumptions'!$B$6,'Engineering Assumptions'!$B$9))</f>
        <v>78000</v>
      </c>
      <c r="J23" s="12">
        <f>'Engineering Cost'!J23*'Engineering Assumptions'!$B$6</f>
        <v>33480</v>
      </c>
      <c r="K23" s="12">
        <f>'Engineering Cost'!K23*'Engineering Assumptions'!$B$6</f>
        <v>35640</v>
      </c>
      <c r="L23" s="13">
        <f t="shared" si="0"/>
        <v>399240</v>
      </c>
      <c r="M23" s="13">
        <f>L23*(1+'Engineering Assumptions'!$B$10)</f>
        <v>459125.99999999994</v>
      </c>
    </row>
    <row r="24" spans="1:13" ht="15" customHeight="1" x14ac:dyDescent="0.3">
      <c r="A24" s="9">
        <v>19</v>
      </c>
      <c r="B24" s="46" t="s">
        <v>19</v>
      </c>
      <c r="C24" s="46" t="s">
        <v>52</v>
      </c>
      <c r="D24" s="46" t="s">
        <v>67</v>
      </c>
      <c r="E24" s="46" t="s">
        <v>68</v>
      </c>
      <c r="F24" s="48" t="s">
        <v>66</v>
      </c>
      <c r="G24" s="9">
        <v>14</v>
      </c>
      <c r="H24" s="12">
        <f>'Engineering Cost'!H24*'Engineering Assumptions'!$B$6</f>
        <v>252120</v>
      </c>
      <c r="I24" s="12">
        <f>IF('Engineering Cost'!I24=0,0,MAX('Engineering Cost'!I24*'Engineering Assumptions'!$B$6,'Engineering Assumptions'!$B$9))</f>
        <v>78000</v>
      </c>
      <c r="J24" s="12">
        <f>'Engineering Cost'!J24*'Engineering Assumptions'!$B$6</f>
        <v>33480</v>
      </c>
      <c r="K24" s="12">
        <f>'Engineering Cost'!K24*'Engineering Assumptions'!$B$6</f>
        <v>35640</v>
      </c>
      <c r="L24" s="13">
        <f t="shared" si="0"/>
        <v>399240</v>
      </c>
      <c r="M24" s="13">
        <f>L24*(1+'Engineering Assumptions'!$B$10)</f>
        <v>459125.99999999994</v>
      </c>
    </row>
    <row r="25" spans="1:13" ht="15" customHeight="1" x14ac:dyDescent="0.3">
      <c r="A25" s="9">
        <v>20</v>
      </c>
      <c r="B25" s="46" t="s">
        <v>19</v>
      </c>
      <c r="C25" s="46" t="s">
        <v>52</v>
      </c>
      <c r="D25" s="46" t="s">
        <v>69</v>
      </c>
      <c r="E25" s="46" t="s">
        <v>70</v>
      </c>
      <c r="F25" s="48" t="s">
        <v>66</v>
      </c>
      <c r="G25" s="9">
        <v>14</v>
      </c>
      <c r="H25" s="12">
        <f>'Engineering Cost'!H25*'Engineering Assumptions'!$B$6</f>
        <v>252120</v>
      </c>
      <c r="I25" s="12">
        <f>IF('Engineering Cost'!I25=0,0,MAX('Engineering Cost'!I25*'Engineering Assumptions'!$B$6,'Engineering Assumptions'!$B$9))</f>
        <v>78000</v>
      </c>
      <c r="J25" s="12">
        <f>'Engineering Cost'!J25*'Engineering Assumptions'!$B$6</f>
        <v>33480</v>
      </c>
      <c r="K25" s="12">
        <f>'Engineering Cost'!K25*'Engineering Assumptions'!$B$6</f>
        <v>35640</v>
      </c>
      <c r="L25" s="13">
        <f t="shared" si="0"/>
        <v>399240</v>
      </c>
      <c r="M25" s="13">
        <f>L25*(1+'Engineering Assumptions'!$B$10)</f>
        <v>459125.99999999994</v>
      </c>
    </row>
    <row r="26" spans="1:13" ht="15" customHeight="1" x14ac:dyDescent="0.3">
      <c r="A26" s="9">
        <v>21</v>
      </c>
      <c r="B26" s="46" t="s">
        <v>19</v>
      </c>
      <c r="C26" s="46" t="s">
        <v>52</v>
      </c>
      <c r="D26" s="46" t="s">
        <v>2848</v>
      </c>
      <c r="E26" s="46"/>
      <c r="F26" s="48" t="s">
        <v>73</v>
      </c>
      <c r="G26" s="9">
        <v>20</v>
      </c>
      <c r="H26" s="12">
        <f>'Engineering Cost'!H26*'Engineering Assumptions'!$B$6</f>
        <v>252120</v>
      </c>
      <c r="I26" s="12">
        <f>IF('Engineering Cost'!I26=0,0,MAX('Engineering Cost'!I26*'Engineering Assumptions'!$B$6,'Engineering Assumptions'!$B$9))</f>
        <v>78000</v>
      </c>
      <c r="J26" s="12">
        <f>'Engineering Cost'!J26*'Engineering Assumptions'!$B$6</f>
        <v>42120</v>
      </c>
      <c r="K26" s="12">
        <f>'Engineering Cost'!K26*'Engineering Assumptions'!$B$6</f>
        <v>55440</v>
      </c>
      <c r="L26" s="13">
        <f t="shared" si="0"/>
        <v>427680</v>
      </c>
      <c r="M26" s="13">
        <f>L26*(1+'Engineering Assumptions'!$B$10)</f>
        <v>491831.99999999994</v>
      </c>
    </row>
    <row r="27" spans="1:13" ht="15" customHeight="1" x14ac:dyDescent="0.3">
      <c r="A27" s="9">
        <v>22</v>
      </c>
      <c r="B27" s="46" t="s">
        <v>19</v>
      </c>
      <c r="C27" s="46" t="s">
        <v>74</v>
      </c>
      <c r="D27" s="46" t="s">
        <v>75</v>
      </c>
      <c r="E27" s="46" t="s">
        <v>76</v>
      </c>
      <c r="F27" s="48" t="s">
        <v>77</v>
      </c>
      <c r="G27" s="9">
        <v>22</v>
      </c>
      <c r="H27" s="12">
        <f>'Engineering Cost'!H27*'Engineering Assumptions'!$B$6</f>
        <v>252120</v>
      </c>
      <c r="I27" s="12">
        <f>IF('Engineering Cost'!I27=0,0,MAX('Engineering Cost'!I27*'Engineering Assumptions'!$B$6,'Engineering Assumptions'!$B$9))</f>
        <v>78000</v>
      </c>
      <c r="J27" s="12">
        <f>'Engineering Cost'!J27*'Engineering Assumptions'!$B$6</f>
        <v>51840</v>
      </c>
      <c r="K27" s="12">
        <f>'Engineering Cost'!K27*'Engineering Assumptions'!$B$6</f>
        <v>79200</v>
      </c>
      <c r="L27" s="13">
        <f t="shared" si="0"/>
        <v>461160</v>
      </c>
      <c r="M27" s="13">
        <f>L27*(1+'Engineering Assumptions'!$B$10)</f>
        <v>530334</v>
      </c>
    </row>
    <row r="28" spans="1:13" ht="15" customHeight="1" x14ac:dyDescent="0.3">
      <c r="A28" s="9">
        <v>23</v>
      </c>
      <c r="B28" s="46" t="s">
        <v>19</v>
      </c>
      <c r="C28" s="46" t="s">
        <v>78</v>
      </c>
      <c r="D28" s="46" t="s">
        <v>79</v>
      </c>
      <c r="E28" s="46" t="s">
        <v>80</v>
      </c>
      <c r="F28" s="48" t="s">
        <v>81</v>
      </c>
      <c r="G28" s="9">
        <v>24</v>
      </c>
      <c r="H28" s="12">
        <f>'Engineering Cost'!H28*'Engineering Assumptions'!$B$6</f>
        <v>252120</v>
      </c>
      <c r="I28" s="12">
        <f>IF('Engineering Cost'!I28=0,0,MAX('Engineering Cost'!I28*'Engineering Assumptions'!$B$6,'Engineering Assumptions'!$B$9))</f>
        <v>78000</v>
      </c>
      <c r="J28" s="12">
        <f>'Engineering Cost'!J28*'Engineering Assumptions'!$B$6</f>
        <v>51840</v>
      </c>
      <c r="K28" s="12">
        <f>'Engineering Cost'!K28*'Engineering Assumptions'!$B$6</f>
        <v>79200</v>
      </c>
      <c r="L28" s="13">
        <f t="shared" si="0"/>
        <v>461160</v>
      </c>
      <c r="M28" s="13">
        <f>L28*(1+'Engineering Assumptions'!$B$10)</f>
        <v>530334</v>
      </c>
    </row>
    <row r="29" spans="1:13" ht="15" customHeight="1" x14ac:dyDescent="0.3">
      <c r="A29" s="9">
        <v>24</v>
      </c>
      <c r="B29" s="46" t="s">
        <v>19</v>
      </c>
      <c r="C29" s="46" t="s">
        <v>82</v>
      </c>
      <c r="D29" s="46" t="s">
        <v>83</v>
      </c>
      <c r="E29" s="46" t="s">
        <v>84</v>
      </c>
      <c r="F29" s="48" t="s">
        <v>85</v>
      </c>
      <c r="G29" s="9">
        <v>27</v>
      </c>
      <c r="H29" s="12">
        <f>'Engineering Cost'!H29*'Engineering Assumptions'!$B$6</f>
        <v>252120</v>
      </c>
      <c r="I29" s="12">
        <f>IF('Engineering Cost'!I29=0,0,MAX('Engineering Cost'!I29*'Engineering Assumptions'!$B$6,'Engineering Assumptions'!$B$9))</f>
        <v>78000</v>
      </c>
      <c r="J29" s="12">
        <f>'Engineering Cost'!J29*'Engineering Assumptions'!$B$6</f>
        <v>51840</v>
      </c>
      <c r="K29" s="12">
        <f>'Engineering Cost'!K29*'Engineering Assumptions'!$B$6</f>
        <v>79200</v>
      </c>
      <c r="L29" s="13">
        <f t="shared" si="0"/>
        <v>461160</v>
      </c>
      <c r="M29" s="13">
        <f>L29*(1+'Engineering Assumptions'!$B$10)</f>
        <v>530334</v>
      </c>
    </row>
    <row r="30" spans="1:13" ht="15" customHeight="1" x14ac:dyDescent="0.3">
      <c r="A30" s="199" t="s">
        <v>86</v>
      </c>
      <c r="B30" s="200"/>
      <c r="C30" s="200"/>
      <c r="D30" s="200"/>
      <c r="E30" s="200"/>
      <c r="F30" s="200"/>
      <c r="G30" s="200"/>
      <c r="H30" s="200"/>
      <c r="I30" s="200"/>
      <c r="J30" s="200"/>
      <c r="K30" s="200"/>
      <c r="L30" s="200"/>
      <c r="M30" s="200"/>
    </row>
    <row r="31" spans="1:13" ht="15" customHeight="1" x14ac:dyDescent="0.3">
      <c r="A31" s="9">
        <v>25</v>
      </c>
      <c r="B31" s="46" t="s">
        <v>87</v>
      </c>
      <c r="C31" s="46" t="s">
        <v>88</v>
      </c>
      <c r="D31" s="46" t="s">
        <v>89</v>
      </c>
      <c r="E31" s="46"/>
      <c r="F31" s="48" t="s">
        <v>31</v>
      </c>
      <c r="G31" s="9">
        <v>6</v>
      </c>
      <c r="H31" s="12">
        <f>'Engineering Cost'!H31*'Engineering Assumptions'!$B$6</f>
        <v>595920</v>
      </c>
      <c r="I31" s="12">
        <f>IF('Engineering Cost'!I31=0,0,MAX('Engineering Cost'!I31*'Engineering Assumptions'!$B$6,'Engineering Assumptions'!$B$9))</f>
        <v>78000</v>
      </c>
      <c r="J31" s="12">
        <f>'Engineering Cost'!J31*'Engineering Assumptions'!$B$6</f>
        <v>52500</v>
      </c>
      <c r="K31" s="12">
        <f>'Engineering Cost'!K31*'Engineering Assumptions'!$B$6</f>
        <v>43200</v>
      </c>
      <c r="L31" s="13">
        <f t="shared" ref="L31:L39" si="1">SUM(H31:K31)</f>
        <v>769620</v>
      </c>
      <c r="M31" s="13">
        <f>L31*(1+'Engineering Assumptions'!$B$10)</f>
        <v>885062.99999999988</v>
      </c>
    </row>
    <row r="32" spans="1:13" ht="15" customHeight="1" x14ac:dyDescent="0.3">
      <c r="A32" s="9">
        <v>26</v>
      </c>
      <c r="B32" s="46" t="s">
        <v>87</v>
      </c>
      <c r="C32" s="46" t="s">
        <v>90</v>
      </c>
      <c r="D32" s="46" t="s">
        <v>91</v>
      </c>
      <c r="E32" s="46"/>
      <c r="F32" s="48" t="s">
        <v>61</v>
      </c>
      <c r="G32" s="9">
        <v>11</v>
      </c>
      <c r="H32" s="12">
        <f>'Engineering Cost'!H32*'Engineering Assumptions'!$B$6</f>
        <v>595920</v>
      </c>
      <c r="I32" s="12">
        <f>IF('Engineering Cost'!I32=0,0,MAX('Engineering Cost'!I32*'Engineering Assumptions'!$B$6,'Engineering Assumptions'!$B$9))</f>
        <v>78000</v>
      </c>
      <c r="J32" s="12">
        <f>'Engineering Cost'!J32*'Engineering Assumptions'!$B$6</f>
        <v>65100</v>
      </c>
      <c r="K32" s="12">
        <f>'Engineering Cost'!K32*'Engineering Assumptions'!$B$6</f>
        <v>77760</v>
      </c>
      <c r="L32" s="13">
        <f t="shared" si="1"/>
        <v>816780</v>
      </c>
      <c r="M32" s="13">
        <f>L32*(1+'Engineering Assumptions'!$B$10)</f>
        <v>939296.99999999988</v>
      </c>
    </row>
    <row r="33" spans="1:13" ht="15" customHeight="1" x14ac:dyDescent="0.3">
      <c r="A33" s="9">
        <v>27</v>
      </c>
      <c r="B33" s="46" t="s">
        <v>87</v>
      </c>
      <c r="C33" s="46" t="s">
        <v>92</v>
      </c>
      <c r="D33" s="46" t="s">
        <v>93</v>
      </c>
      <c r="E33" s="46"/>
      <c r="F33" s="48" t="s">
        <v>94</v>
      </c>
      <c r="G33" s="9">
        <v>12</v>
      </c>
      <c r="H33" s="12">
        <f>'Engineering Cost'!H33*'Engineering Assumptions'!$B$6</f>
        <v>595920</v>
      </c>
      <c r="I33" s="12">
        <f>IF('Engineering Cost'!I33=0,0,MAX('Engineering Cost'!I33*'Engineering Assumptions'!$B$6,'Engineering Assumptions'!$B$9))</f>
        <v>78000</v>
      </c>
      <c r="J33" s="12">
        <f>'Engineering Cost'!J33*'Engineering Assumptions'!$B$6</f>
        <v>65100</v>
      </c>
      <c r="K33" s="12">
        <f>'Engineering Cost'!K33*'Engineering Assumptions'!$B$6</f>
        <v>77760</v>
      </c>
      <c r="L33" s="13">
        <f t="shared" si="1"/>
        <v>816780</v>
      </c>
      <c r="M33" s="13">
        <f>L33*(1+'Engineering Assumptions'!$B$10)</f>
        <v>939296.99999999988</v>
      </c>
    </row>
    <row r="34" spans="1:13" ht="15" customHeight="1" x14ac:dyDescent="0.3">
      <c r="A34" s="9">
        <v>28</v>
      </c>
      <c r="B34" s="46" t="s">
        <v>87</v>
      </c>
      <c r="C34" s="46" t="s">
        <v>95</v>
      </c>
      <c r="D34" s="46" t="s">
        <v>96</v>
      </c>
      <c r="E34" s="46"/>
      <c r="F34" s="48" t="s">
        <v>94</v>
      </c>
      <c r="G34" s="9">
        <v>12</v>
      </c>
      <c r="H34" s="12">
        <f>'Engineering Cost'!H34*'Engineering Assumptions'!$B$6</f>
        <v>595920</v>
      </c>
      <c r="I34" s="12">
        <f>IF('Engineering Cost'!I34=0,0,MAX('Engineering Cost'!I34*'Engineering Assumptions'!$B$6,'Engineering Assumptions'!$B$9))</f>
        <v>78000</v>
      </c>
      <c r="J34" s="12">
        <f>'Engineering Cost'!J34*'Engineering Assumptions'!$B$6</f>
        <v>65100</v>
      </c>
      <c r="K34" s="12">
        <f>'Engineering Cost'!K34*'Engineering Assumptions'!$B$6</f>
        <v>77760</v>
      </c>
      <c r="L34" s="13">
        <f t="shared" si="1"/>
        <v>816780</v>
      </c>
      <c r="M34" s="13">
        <f>L34*(1+'Engineering Assumptions'!$B$10)</f>
        <v>939296.99999999988</v>
      </c>
    </row>
    <row r="35" spans="1:13" ht="15" customHeight="1" x14ac:dyDescent="0.3">
      <c r="A35" s="9">
        <v>29</v>
      </c>
      <c r="B35" s="46" t="s">
        <v>87</v>
      </c>
      <c r="C35" s="46" t="s">
        <v>97</v>
      </c>
      <c r="D35" s="46" t="s">
        <v>98</v>
      </c>
      <c r="E35" s="46"/>
      <c r="F35" s="48" t="s">
        <v>99</v>
      </c>
      <c r="G35" s="9">
        <v>13</v>
      </c>
      <c r="H35" s="12">
        <f>'Engineering Cost'!H35*'Engineering Assumptions'!$B$6</f>
        <v>595920</v>
      </c>
      <c r="I35" s="12">
        <f>IF('Engineering Cost'!I35=0,0,MAX('Engineering Cost'!I35*'Engineering Assumptions'!$B$6,'Engineering Assumptions'!$B$9))</f>
        <v>78000</v>
      </c>
      <c r="J35" s="12">
        <f>'Engineering Cost'!J35*'Engineering Assumptions'!$B$6</f>
        <v>65100</v>
      </c>
      <c r="K35" s="12">
        <f>'Engineering Cost'!K35*'Engineering Assumptions'!$B$6</f>
        <v>77760</v>
      </c>
      <c r="L35" s="13">
        <f t="shared" si="1"/>
        <v>816780</v>
      </c>
      <c r="M35" s="13">
        <f>L35*(1+'Engineering Assumptions'!$B$10)</f>
        <v>939296.99999999988</v>
      </c>
    </row>
    <row r="36" spans="1:13" ht="15" customHeight="1" x14ac:dyDescent="0.3">
      <c r="A36" s="9">
        <v>30</v>
      </c>
      <c r="B36" s="46" t="s">
        <v>87</v>
      </c>
      <c r="C36" s="46" t="s">
        <v>100</v>
      </c>
      <c r="D36" s="46" t="s">
        <v>101</v>
      </c>
      <c r="E36" s="46" t="s">
        <v>102</v>
      </c>
      <c r="F36" s="48" t="s">
        <v>99</v>
      </c>
      <c r="G36" s="9">
        <v>13</v>
      </c>
      <c r="H36" s="12">
        <f>'Engineering Cost'!H36*'Engineering Assumptions'!$B$6</f>
        <v>595920</v>
      </c>
      <c r="I36" s="12">
        <f>IF('Engineering Cost'!I36=0,0,MAX('Engineering Cost'!I36*'Engineering Assumptions'!$B$6,'Engineering Assumptions'!$B$9))</f>
        <v>78000</v>
      </c>
      <c r="J36" s="12">
        <f>'Engineering Cost'!J36*'Engineering Assumptions'!$B$6</f>
        <v>65100</v>
      </c>
      <c r="K36" s="12">
        <f>'Engineering Cost'!K36*'Engineering Assumptions'!$B$6</f>
        <v>77760</v>
      </c>
      <c r="L36" s="13">
        <f t="shared" si="1"/>
        <v>816780</v>
      </c>
      <c r="M36" s="13">
        <f>L36*(1+'Engineering Assumptions'!$B$10)</f>
        <v>939296.99999999988</v>
      </c>
    </row>
    <row r="37" spans="1:13" ht="15" customHeight="1" x14ac:dyDescent="0.3">
      <c r="A37" s="9">
        <v>31</v>
      </c>
      <c r="B37" s="46" t="s">
        <v>87</v>
      </c>
      <c r="C37" s="46" t="s">
        <v>103</v>
      </c>
      <c r="D37" s="46" t="s">
        <v>104</v>
      </c>
      <c r="E37" s="46"/>
      <c r="F37" s="48" t="s">
        <v>66</v>
      </c>
      <c r="G37" s="9">
        <v>14</v>
      </c>
      <c r="H37" s="12">
        <f>'Engineering Cost'!H37*'Engineering Assumptions'!$B$6</f>
        <v>595920</v>
      </c>
      <c r="I37" s="12">
        <f>IF('Engineering Cost'!I37=0,0,MAX('Engineering Cost'!I37*'Engineering Assumptions'!$B$6,'Engineering Assumptions'!$B$9))</f>
        <v>78000</v>
      </c>
      <c r="J37" s="12">
        <f>'Engineering Cost'!J37*'Engineering Assumptions'!$B$6</f>
        <v>65100</v>
      </c>
      <c r="K37" s="12">
        <f>'Engineering Cost'!K37*'Engineering Assumptions'!$B$6</f>
        <v>77760</v>
      </c>
      <c r="L37" s="13">
        <f t="shared" si="1"/>
        <v>816780</v>
      </c>
      <c r="M37" s="13">
        <f>L37*(1+'Engineering Assumptions'!$B$10)</f>
        <v>939296.99999999988</v>
      </c>
    </row>
    <row r="38" spans="1:13" ht="15" customHeight="1" x14ac:dyDescent="0.3">
      <c r="A38" s="9">
        <v>32</v>
      </c>
      <c r="B38" s="46" t="s">
        <v>87</v>
      </c>
      <c r="C38" s="46" t="s">
        <v>105</v>
      </c>
      <c r="D38" s="46" t="s">
        <v>106</v>
      </c>
      <c r="E38" s="46"/>
      <c r="F38" s="48" t="s">
        <v>107</v>
      </c>
      <c r="G38" s="9">
        <v>16</v>
      </c>
      <c r="H38" s="12">
        <f>'Engineering Cost'!H38*'Engineering Assumptions'!$B$6</f>
        <v>595920</v>
      </c>
      <c r="I38" s="12">
        <f>IF('Engineering Cost'!I38=0,0,MAX('Engineering Cost'!I38*'Engineering Assumptions'!$B$6,'Engineering Assumptions'!$B$9))</f>
        <v>78000</v>
      </c>
      <c r="J38" s="12">
        <f>'Engineering Cost'!J38*'Engineering Assumptions'!$B$6</f>
        <v>81900</v>
      </c>
      <c r="K38" s="12">
        <f>'Engineering Cost'!K38*'Engineering Assumptions'!$B$6</f>
        <v>120960</v>
      </c>
      <c r="L38" s="13">
        <f t="shared" si="1"/>
        <v>876780</v>
      </c>
      <c r="M38" s="13">
        <f>L38*(1+'Engineering Assumptions'!$B$10)</f>
        <v>1008296.9999999999</v>
      </c>
    </row>
    <row r="39" spans="1:13" ht="15" customHeight="1" x14ac:dyDescent="0.3">
      <c r="A39" s="9">
        <v>33</v>
      </c>
      <c r="B39" s="46" t="s">
        <v>87</v>
      </c>
      <c r="C39" s="46" t="s">
        <v>108</v>
      </c>
      <c r="D39" s="46" t="s">
        <v>109</v>
      </c>
      <c r="E39" s="46"/>
      <c r="F39" s="48" t="s">
        <v>110</v>
      </c>
      <c r="G39" s="9">
        <v>17</v>
      </c>
      <c r="H39" s="12">
        <f>'Engineering Cost'!H39*'Engineering Assumptions'!$B$6</f>
        <v>595920</v>
      </c>
      <c r="I39" s="12">
        <f>IF('Engineering Cost'!I39=0,0,MAX('Engineering Cost'!I39*'Engineering Assumptions'!$B$6,'Engineering Assumptions'!$B$9))</f>
        <v>78000</v>
      </c>
      <c r="J39" s="12">
        <f>'Engineering Cost'!J39*'Engineering Assumptions'!$B$6</f>
        <v>81900</v>
      </c>
      <c r="K39" s="12">
        <f>'Engineering Cost'!K39*'Engineering Assumptions'!$B$6</f>
        <v>120960</v>
      </c>
      <c r="L39" s="13">
        <f t="shared" si="1"/>
        <v>876780</v>
      </c>
      <c r="M39" s="13">
        <f>L39*(1+'Engineering Assumptions'!$B$10)</f>
        <v>1008296.9999999999</v>
      </c>
    </row>
    <row r="40" spans="1:13" ht="15" customHeight="1" x14ac:dyDescent="0.3">
      <c r="A40" s="199" t="s">
        <v>111</v>
      </c>
      <c r="B40" s="200"/>
      <c r="C40" s="200"/>
      <c r="D40" s="200"/>
      <c r="E40" s="200"/>
      <c r="F40" s="200"/>
      <c r="G40" s="200"/>
      <c r="H40" s="200"/>
      <c r="I40" s="200"/>
      <c r="J40" s="200"/>
      <c r="K40" s="200"/>
      <c r="L40" s="200"/>
      <c r="M40" s="200"/>
    </row>
    <row r="41" spans="1:13" ht="15" customHeight="1" x14ac:dyDescent="0.3">
      <c r="A41" s="9">
        <v>34</v>
      </c>
      <c r="B41" s="46" t="s">
        <v>112</v>
      </c>
      <c r="C41" s="46" t="s">
        <v>113</v>
      </c>
      <c r="D41" s="46" t="s">
        <v>114</v>
      </c>
      <c r="E41" s="46" t="s">
        <v>115</v>
      </c>
      <c r="F41" s="48" t="s">
        <v>116</v>
      </c>
      <c r="G41" s="9">
        <v>9</v>
      </c>
      <c r="H41" s="12">
        <f>'Engineering Cost'!H41*'Engineering Assumptions'!$B$6</f>
        <v>320880</v>
      </c>
      <c r="I41" s="12">
        <f>IF('Engineering Cost'!I41=0,0,MAX('Engineering Cost'!I41*'Engineering Assumptions'!$B$6,'Engineering Assumptions'!$B$9))</f>
        <v>78000</v>
      </c>
      <c r="J41" s="12">
        <f>'Engineering Cost'!J41*'Engineering Assumptions'!$B$6</f>
        <v>33000</v>
      </c>
      <c r="K41" s="12">
        <f>'Engineering Cost'!K41*'Engineering Assumptions'!$B$6</f>
        <v>25200</v>
      </c>
      <c r="L41" s="13">
        <f t="shared" ref="L41:L56" si="2">SUM(H41:K41)</f>
        <v>457080</v>
      </c>
      <c r="M41" s="13">
        <f>L41*(1+'Engineering Assumptions'!$B$10)</f>
        <v>525642</v>
      </c>
    </row>
    <row r="42" spans="1:13" ht="15" customHeight="1" x14ac:dyDescent="0.3">
      <c r="A42" s="9">
        <v>35</v>
      </c>
      <c r="B42" s="46" t="s">
        <v>112</v>
      </c>
      <c r="C42" s="46" t="s">
        <v>117</v>
      </c>
      <c r="D42" s="46" t="s">
        <v>118</v>
      </c>
      <c r="E42" s="46" t="s">
        <v>119</v>
      </c>
      <c r="F42" s="48" t="s">
        <v>116</v>
      </c>
      <c r="G42" s="9">
        <v>9</v>
      </c>
      <c r="H42" s="12">
        <f>'Engineering Cost'!H42*'Engineering Assumptions'!$B$6</f>
        <v>320880</v>
      </c>
      <c r="I42" s="12">
        <f>IF('Engineering Cost'!I42=0,0,MAX('Engineering Cost'!I42*'Engineering Assumptions'!$B$6,'Engineering Assumptions'!$B$9))</f>
        <v>78000</v>
      </c>
      <c r="J42" s="12">
        <f>'Engineering Cost'!J42*'Engineering Assumptions'!$B$6</f>
        <v>33000</v>
      </c>
      <c r="K42" s="12">
        <f>'Engineering Cost'!K42*'Engineering Assumptions'!$B$6</f>
        <v>25200</v>
      </c>
      <c r="L42" s="13">
        <f t="shared" si="2"/>
        <v>457080</v>
      </c>
      <c r="M42" s="13">
        <f>L42*(1+'Engineering Assumptions'!$B$10)</f>
        <v>525642</v>
      </c>
    </row>
    <row r="43" spans="1:13" ht="15" customHeight="1" x14ac:dyDescent="0.3">
      <c r="A43" s="9">
        <v>36</v>
      </c>
      <c r="B43" s="46" t="s">
        <v>112</v>
      </c>
      <c r="C43" s="46" t="s">
        <v>113</v>
      </c>
      <c r="D43" s="46" t="s">
        <v>120</v>
      </c>
      <c r="E43" s="46" t="s">
        <v>121</v>
      </c>
      <c r="F43" s="48" t="s">
        <v>116</v>
      </c>
      <c r="G43" s="9">
        <v>9</v>
      </c>
      <c r="H43" s="12">
        <f>'Engineering Cost'!H43*'Engineering Assumptions'!$B$6</f>
        <v>320880</v>
      </c>
      <c r="I43" s="12">
        <f>IF('Engineering Cost'!I43=0,0,MAX('Engineering Cost'!I43*'Engineering Assumptions'!$B$6,'Engineering Assumptions'!$B$9))</f>
        <v>78000</v>
      </c>
      <c r="J43" s="12">
        <f>'Engineering Cost'!J43*'Engineering Assumptions'!$B$6</f>
        <v>33000</v>
      </c>
      <c r="K43" s="12">
        <f>'Engineering Cost'!K43*'Engineering Assumptions'!$B$6</f>
        <v>25200</v>
      </c>
      <c r="L43" s="13">
        <f t="shared" si="2"/>
        <v>457080</v>
      </c>
      <c r="M43" s="13">
        <f>L43*(1+'Engineering Assumptions'!$B$10)</f>
        <v>525642</v>
      </c>
    </row>
    <row r="44" spans="1:13" ht="15" customHeight="1" x14ac:dyDescent="0.3">
      <c r="A44" s="9">
        <v>37</v>
      </c>
      <c r="B44" s="46" t="s">
        <v>112</v>
      </c>
      <c r="C44" s="46" t="s">
        <v>122</v>
      </c>
      <c r="D44" s="46" t="s">
        <v>123</v>
      </c>
      <c r="E44" s="46" t="s">
        <v>124</v>
      </c>
      <c r="F44" s="48" t="s">
        <v>49</v>
      </c>
      <c r="G44" s="9">
        <v>10</v>
      </c>
      <c r="H44" s="12">
        <f>'Engineering Cost'!H44*'Engineering Assumptions'!$B$6</f>
        <v>320880</v>
      </c>
      <c r="I44" s="12">
        <f>IF('Engineering Cost'!I44=0,0,MAX('Engineering Cost'!I44*'Engineering Assumptions'!$B$6,'Engineering Assumptions'!$B$9))</f>
        <v>78000</v>
      </c>
      <c r="J44" s="12">
        <f>'Engineering Cost'!J44*'Engineering Assumptions'!$B$6</f>
        <v>33000</v>
      </c>
      <c r="K44" s="12">
        <f>'Engineering Cost'!K44*'Engineering Assumptions'!$B$6</f>
        <v>25200</v>
      </c>
      <c r="L44" s="13">
        <f t="shared" si="2"/>
        <v>457080</v>
      </c>
      <c r="M44" s="13">
        <f>L44*(1+'Engineering Assumptions'!$B$10)</f>
        <v>525642</v>
      </c>
    </row>
    <row r="45" spans="1:13" ht="15" customHeight="1" x14ac:dyDescent="0.3">
      <c r="A45" s="9">
        <v>38</v>
      </c>
      <c r="B45" s="46" t="s">
        <v>112</v>
      </c>
      <c r="C45" s="46" t="s">
        <v>122</v>
      </c>
      <c r="D45" s="46" t="s">
        <v>125</v>
      </c>
      <c r="E45" s="46" t="s">
        <v>126</v>
      </c>
      <c r="F45" s="48" t="s">
        <v>49</v>
      </c>
      <c r="G45" s="9">
        <v>10</v>
      </c>
      <c r="H45" s="12">
        <f>'Engineering Cost'!H45*'Engineering Assumptions'!$B$6</f>
        <v>320880</v>
      </c>
      <c r="I45" s="12">
        <f>IF('Engineering Cost'!I45=0,0,MAX('Engineering Cost'!I45*'Engineering Assumptions'!$B$6,'Engineering Assumptions'!$B$9))</f>
        <v>78000</v>
      </c>
      <c r="J45" s="12">
        <f>'Engineering Cost'!J45*'Engineering Assumptions'!$B$6</f>
        <v>33000</v>
      </c>
      <c r="K45" s="12">
        <f>'Engineering Cost'!K45*'Engineering Assumptions'!$B$6</f>
        <v>25200</v>
      </c>
      <c r="L45" s="13">
        <f t="shared" si="2"/>
        <v>457080</v>
      </c>
      <c r="M45" s="13">
        <f>L45*(1+'Engineering Assumptions'!$B$10)</f>
        <v>525642</v>
      </c>
    </row>
    <row r="46" spans="1:13" ht="15" customHeight="1" x14ac:dyDescent="0.3">
      <c r="A46" s="9">
        <v>39</v>
      </c>
      <c r="B46" s="46" t="s">
        <v>112</v>
      </c>
      <c r="C46" s="46" t="s">
        <v>117</v>
      </c>
      <c r="D46" s="46" t="s">
        <v>127</v>
      </c>
      <c r="E46" s="46" t="s">
        <v>128</v>
      </c>
      <c r="F46" s="48" t="s">
        <v>49</v>
      </c>
      <c r="G46" s="9">
        <v>10</v>
      </c>
      <c r="H46" s="12">
        <f>'Engineering Cost'!H46*'Engineering Assumptions'!$B$6</f>
        <v>320880</v>
      </c>
      <c r="I46" s="12">
        <f>IF('Engineering Cost'!I46=0,0,MAX('Engineering Cost'!I46*'Engineering Assumptions'!$B$6,'Engineering Assumptions'!$B$9))</f>
        <v>78000</v>
      </c>
      <c r="J46" s="12">
        <f>'Engineering Cost'!J46*'Engineering Assumptions'!$B$6</f>
        <v>33000</v>
      </c>
      <c r="K46" s="12">
        <f>'Engineering Cost'!K46*'Engineering Assumptions'!$B$6</f>
        <v>25200</v>
      </c>
      <c r="L46" s="13">
        <f t="shared" si="2"/>
        <v>457080</v>
      </c>
      <c r="M46" s="13">
        <f>L46*(1+'Engineering Assumptions'!$B$10)</f>
        <v>525642</v>
      </c>
    </row>
    <row r="47" spans="1:13" ht="15" customHeight="1" x14ac:dyDescent="0.3">
      <c r="A47" s="9">
        <v>40</v>
      </c>
      <c r="B47" s="46" t="s">
        <v>112</v>
      </c>
      <c r="C47" s="46" t="s">
        <v>117</v>
      </c>
      <c r="D47" s="46" t="s">
        <v>129</v>
      </c>
      <c r="E47" s="46" t="s">
        <v>130</v>
      </c>
      <c r="F47" s="48" t="s">
        <v>49</v>
      </c>
      <c r="G47" s="9">
        <v>10</v>
      </c>
      <c r="H47" s="12">
        <f>'Engineering Cost'!H47*'Engineering Assumptions'!$B$6</f>
        <v>320880</v>
      </c>
      <c r="I47" s="12">
        <f>IF('Engineering Cost'!I47=0,0,MAX('Engineering Cost'!I47*'Engineering Assumptions'!$B$6,'Engineering Assumptions'!$B$9))</f>
        <v>78000</v>
      </c>
      <c r="J47" s="12">
        <f>'Engineering Cost'!J47*'Engineering Assumptions'!$B$6</f>
        <v>33000</v>
      </c>
      <c r="K47" s="12">
        <f>'Engineering Cost'!K47*'Engineering Assumptions'!$B$6</f>
        <v>25200</v>
      </c>
      <c r="L47" s="13">
        <f t="shared" si="2"/>
        <v>457080</v>
      </c>
      <c r="M47" s="13">
        <f>L47*(1+'Engineering Assumptions'!$B$10)</f>
        <v>525642</v>
      </c>
    </row>
    <row r="48" spans="1:13" ht="15" customHeight="1" x14ac:dyDescent="0.3">
      <c r="A48" s="9">
        <v>41</v>
      </c>
      <c r="B48" s="46" t="s">
        <v>112</v>
      </c>
      <c r="C48" s="46" t="s">
        <v>117</v>
      </c>
      <c r="D48" s="46" t="s">
        <v>131</v>
      </c>
      <c r="E48" s="46" t="s">
        <v>132</v>
      </c>
      <c r="F48" s="48" t="s">
        <v>49</v>
      </c>
      <c r="G48" s="9">
        <v>10</v>
      </c>
      <c r="H48" s="12">
        <f>'Engineering Cost'!H48*'Engineering Assumptions'!$B$6</f>
        <v>320880</v>
      </c>
      <c r="I48" s="12">
        <f>IF('Engineering Cost'!I48=0,0,MAX('Engineering Cost'!I48*'Engineering Assumptions'!$B$6,'Engineering Assumptions'!$B$9))</f>
        <v>78000</v>
      </c>
      <c r="J48" s="12">
        <f>'Engineering Cost'!J48*'Engineering Assumptions'!$B$6</f>
        <v>33000</v>
      </c>
      <c r="K48" s="12">
        <f>'Engineering Cost'!K48*'Engineering Assumptions'!$B$6</f>
        <v>25200</v>
      </c>
      <c r="L48" s="13">
        <f t="shared" si="2"/>
        <v>457080</v>
      </c>
      <c r="M48" s="13">
        <f>L48*(1+'Engineering Assumptions'!$B$10)</f>
        <v>525642</v>
      </c>
    </row>
    <row r="49" spans="1:13" ht="27.75" customHeight="1" x14ac:dyDescent="0.3">
      <c r="A49" s="9">
        <v>42</v>
      </c>
      <c r="B49" s="46" t="s">
        <v>112</v>
      </c>
      <c r="C49" s="46" t="s">
        <v>133</v>
      </c>
      <c r="D49" s="46" t="s">
        <v>134</v>
      </c>
      <c r="E49" s="46" t="s">
        <v>135</v>
      </c>
      <c r="F49" s="48" t="s">
        <v>61</v>
      </c>
      <c r="G49" s="9">
        <v>11</v>
      </c>
      <c r="H49" s="12">
        <f>'Engineering Cost'!H49*'Engineering Assumptions'!$B$6</f>
        <v>320880</v>
      </c>
      <c r="I49" s="12">
        <f>IF('Engineering Cost'!I49=0,0,MAX('Engineering Cost'!I49*'Engineering Assumptions'!$B$6,'Engineering Assumptions'!$B$9))</f>
        <v>78000</v>
      </c>
      <c r="J49" s="12">
        <f>'Engineering Cost'!J49*'Engineering Assumptions'!$B$6</f>
        <v>40920</v>
      </c>
      <c r="K49" s="12">
        <f>'Engineering Cost'!K49*'Engineering Assumptions'!$B$6</f>
        <v>45360</v>
      </c>
      <c r="L49" s="13">
        <f t="shared" si="2"/>
        <v>485160</v>
      </c>
      <c r="M49" s="13">
        <f>L49*(1+'Engineering Assumptions'!$B$10)</f>
        <v>557934</v>
      </c>
    </row>
    <row r="50" spans="1:13" ht="15" customHeight="1" x14ac:dyDescent="0.3">
      <c r="A50" s="9">
        <v>43</v>
      </c>
      <c r="B50" s="46" t="s">
        <v>112</v>
      </c>
      <c r="C50" s="46" t="s">
        <v>136</v>
      </c>
      <c r="D50" s="46" t="s">
        <v>137</v>
      </c>
      <c r="E50" s="46" t="s">
        <v>138</v>
      </c>
      <c r="F50" s="48" t="s">
        <v>139</v>
      </c>
      <c r="G50" s="9">
        <v>23</v>
      </c>
      <c r="H50" s="12">
        <f>'Engineering Cost'!H50*'Engineering Assumptions'!$B$6</f>
        <v>320880</v>
      </c>
      <c r="I50" s="12">
        <f>IF('Engineering Cost'!I50=0,0,MAX('Engineering Cost'!I50*'Engineering Assumptions'!$B$6,'Engineering Assumptions'!$B$9))</f>
        <v>78000</v>
      </c>
      <c r="J50" s="12">
        <f>'Engineering Cost'!J50*'Engineering Assumptions'!$B$6</f>
        <v>63360</v>
      </c>
      <c r="K50" s="12">
        <f>'Engineering Cost'!K50*'Engineering Assumptions'!$B$6</f>
        <v>100800</v>
      </c>
      <c r="L50" s="13">
        <f t="shared" si="2"/>
        <v>563040</v>
      </c>
      <c r="M50" s="13">
        <f>L50*(1+'Engineering Assumptions'!$B$10)</f>
        <v>647496</v>
      </c>
    </row>
    <row r="51" spans="1:13" ht="15" customHeight="1" x14ac:dyDescent="0.3">
      <c r="A51" s="9">
        <v>44</v>
      </c>
      <c r="B51" s="46" t="s">
        <v>112</v>
      </c>
      <c r="C51" s="46" t="s">
        <v>140</v>
      </c>
      <c r="D51" s="46" t="s">
        <v>141</v>
      </c>
      <c r="E51" s="46" t="s">
        <v>142</v>
      </c>
      <c r="F51" s="48" t="s">
        <v>143</v>
      </c>
      <c r="G51" s="9">
        <v>26</v>
      </c>
      <c r="H51" s="12">
        <f>'Engineering Cost'!H51*'Engineering Assumptions'!$B$6</f>
        <v>320880</v>
      </c>
      <c r="I51" s="12">
        <f>IF('Engineering Cost'!I51=0,0,MAX('Engineering Cost'!I51*'Engineering Assumptions'!$B$6,'Engineering Assumptions'!$B$9))</f>
        <v>78000</v>
      </c>
      <c r="J51" s="12">
        <f>'Engineering Cost'!J51*'Engineering Assumptions'!$B$6</f>
        <v>63360</v>
      </c>
      <c r="K51" s="12">
        <f>'Engineering Cost'!K51*'Engineering Assumptions'!$B$6</f>
        <v>100800</v>
      </c>
      <c r="L51" s="13">
        <f t="shared" si="2"/>
        <v>563040</v>
      </c>
      <c r="M51" s="13">
        <f>L51*(1+'Engineering Assumptions'!$B$10)</f>
        <v>647496</v>
      </c>
    </row>
    <row r="52" spans="1:13" ht="15" customHeight="1" x14ac:dyDescent="0.3">
      <c r="A52" s="9">
        <v>45</v>
      </c>
      <c r="B52" s="46" t="s">
        <v>112</v>
      </c>
      <c r="C52" s="46" t="s">
        <v>144</v>
      </c>
      <c r="D52" s="46" t="s">
        <v>145</v>
      </c>
      <c r="E52" s="46" t="s">
        <v>146</v>
      </c>
      <c r="F52" s="48" t="s">
        <v>147</v>
      </c>
      <c r="G52" s="9">
        <v>30</v>
      </c>
      <c r="H52" s="12">
        <f>'Engineering Cost'!H52*'Engineering Assumptions'!$B$6</f>
        <v>320880</v>
      </c>
      <c r="I52" s="12">
        <f>IF('Engineering Cost'!I52=0,0,MAX('Engineering Cost'!I52*'Engineering Assumptions'!$B$6,'Engineering Assumptions'!$B$9))</f>
        <v>78000</v>
      </c>
      <c r="J52" s="12">
        <f>'Engineering Cost'!J52*'Engineering Assumptions'!$B$6</f>
        <v>63360</v>
      </c>
      <c r="K52" s="12">
        <f>'Engineering Cost'!K52*'Engineering Assumptions'!$B$6</f>
        <v>100800</v>
      </c>
      <c r="L52" s="13">
        <f t="shared" si="2"/>
        <v>563040</v>
      </c>
      <c r="M52" s="13">
        <f>L52*(1+'Engineering Assumptions'!$B$10)</f>
        <v>647496</v>
      </c>
    </row>
    <row r="53" spans="1:13" ht="15" customHeight="1" x14ac:dyDescent="0.3">
      <c r="A53" s="9">
        <v>46</v>
      </c>
      <c r="B53" s="46" t="s">
        <v>112</v>
      </c>
      <c r="C53" s="46" t="s">
        <v>144</v>
      </c>
      <c r="D53" s="46" t="s">
        <v>148</v>
      </c>
      <c r="E53" s="46" t="s">
        <v>149</v>
      </c>
      <c r="F53" s="48" t="s">
        <v>147</v>
      </c>
      <c r="G53" s="9">
        <v>30</v>
      </c>
      <c r="H53" s="12">
        <f>'Engineering Cost'!H53*'Engineering Assumptions'!$B$6</f>
        <v>320880</v>
      </c>
      <c r="I53" s="12">
        <f>IF('Engineering Cost'!I53=0,0,MAX('Engineering Cost'!I53*'Engineering Assumptions'!$B$6,'Engineering Assumptions'!$B$9))</f>
        <v>78000</v>
      </c>
      <c r="J53" s="12">
        <f>'Engineering Cost'!J53*'Engineering Assumptions'!$B$6</f>
        <v>63360</v>
      </c>
      <c r="K53" s="12">
        <f>'Engineering Cost'!K53*'Engineering Assumptions'!$B$6</f>
        <v>100800</v>
      </c>
      <c r="L53" s="13">
        <f t="shared" si="2"/>
        <v>563040</v>
      </c>
      <c r="M53" s="13">
        <f>L53*(1+'Engineering Assumptions'!$B$10)</f>
        <v>647496</v>
      </c>
    </row>
    <row r="54" spans="1:13" ht="15" customHeight="1" x14ac:dyDescent="0.3">
      <c r="A54" s="9">
        <v>47</v>
      </c>
      <c r="B54" s="46" t="s">
        <v>112</v>
      </c>
      <c r="C54" s="46" t="s">
        <v>150</v>
      </c>
      <c r="D54" s="46" t="s">
        <v>151</v>
      </c>
      <c r="E54" s="46" t="s">
        <v>152</v>
      </c>
      <c r="F54" s="48" t="s">
        <v>147</v>
      </c>
      <c r="G54" s="9">
        <v>30</v>
      </c>
      <c r="H54" s="12">
        <f>'Engineering Cost'!H54*'Engineering Assumptions'!$B$6</f>
        <v>320880</v>
      </c>
      <c r="I54" s="12">
        <f>IF('Engineering Cost'!I54=0,0,MAX('Engineering Cost'!I54*'Engineering Assumptions'!$B$6,'Engineering Assumptions'!$B$9))</f>
        <v>78000</v>
      </c>
      <c r="J54" s="12">
        <f>'Engineering Cost'!J54*'Engineering Assumptions'!$B$6</f>
        <v>63360</v>
      </c>
      <c r="K54" s="12">
        <f>'Engineering Cost'!K54*'Engineering Assumptions'!$B$6</f>
        <v>100800</v>
      </c>
      <c r="L54" s="13">
        <f t="shared" si="2"/>
        <v>563040</v>
      </c>
      <c r="M54" s="13">
        <f>L54*(1+'Engineering Assumptions'!$B$10)</f>
        <v>647496</v>
      </c>
    </row>
    <row r="55" spans="1:13" ht="15" customHeight="1" x14ac:dyDescent="0.3">
      <c r="A55" s="9">
        <v>48</v>
      </c>
      <c r="B55" s="46" t="s">
        <v>112</v>
      </c>
      <c r="C55" s="46" t="s">
        <v>153</v>
      </c>
      <c r="D55" s="46" t="s">
        <v>154</v>
      </c>
      <c r="E55" s="46" t="s">
        <v>155</v>
      </c>
      <c r="F55" s="48" t="s">
        <v>147</v>
      </c>
      <c r="G55" s="9">
        <v>30</v>
      </c>
      <c r="H55" s="12">
        <f>'Engineering Cost'!H55*'Engineering Assumptions'!$B$6</f>
        <v>320880</v>
      </c>
      <c r="I55" s="12">
        <f>IF('Engineering Cost'!I55=0,0,MAX('Engineering Cost'!I55*'Engineering Assumptions'!$B$6,'Engineering Assumptions'!$B$9))</f>
        <v>78000</v>
      </c>
      <c r="J55" s="12">
        <f>'Engineering Cost'!J55*'Engineering Assumptions'!$B$6</f>
        <v>63360</v>
      </c>
      <c r="K55" s="12">
        <f>'Engineering Cost'!K55*'Engineering Assumptions'!$B$6</f>
        <v>100800</v>
      </c>
      <c r="L55" s="13">
        <f t="shared" si="2"/>
        <v>563040</v>
      </c>
      <c r="M55" s="13">
        <f>L55*(1+'Engineering Assumptions'!$B$10)</f>
        <v>647496</v>
      </c>
    </row>
    <row r="56" spans="1:13" ht="15" customHeight="1" x14ac:dyDescent="0.3">
      <c r="A56" s="9">
        <v>49</v>
      </c>
      <c r="B56" s="46" t="s">
        <v>112</v>
      </c>
      <c r="C56" s="46" t="s">
        <v>156</v>
      </c>
      <c r="D56" s="46" t="s">
        <v>157</v>
      </c>
      <c r="E56" s="46" t="s">
        <v>158</v>
      </c>
      <c r="F56" s="48" t="s">
        <v>159</v>
      </c>
      <c r="G56" s="9">
        <v>35</v>
      </c>
      <c r="H56" s="12">
        <f>'Engineering Cost'!H56*'Engineering Assumptions'!$B$6</f>
        <v>320880</v>
      </c>
      <c r="I56" s="12">
        <f>IF('Engineering Cost'!I56=0,0,MAX('Engineering Cost'!I56*'Engineering Assumptions'!$B$6,'Engineering Assumptions'!$B$9))</f>
        <v>78000</v>
      </c>
      <c r="J56" s="12">
        <f>'Engineering Cost'!J56*'Engineering Assumptions'!$B$6</f>
        <v>63360</v>
      </c>
      <c r="K56" s="12">
        <f>'Engineering Cost'!K56*'Engineering Assumptions'!$B$6</f>
        <v>100800</v>
      </c>
      <c r="L56" s="13">
        <f t="shared" si="2"/>
        <v>563040</v>
      </c>
      <c r="M56" s="13">
        <f>L56*(1+'Engineering Assumptions'!$B$10)</f>
        <v>647496</v>
      </c>
    </row>
    <row r="57" spans="1:13" ht="15" customHeight="1" x14ac:dyDescent="0.3">
      <c r="A57" s="199" t="s">
        <v>160</v>
      </c>
      <c r="B57" s="200"/>
      <c r="C57" s="200"/>
      <c r="D57" s="200"/>
      <c r="E57" s="200"/>
      <c r="F57" s="200"/>
      <c r="G57" s="200"/>
      <c r="H57" s="200"/>
      <c r="I57" s="200"/>
      <c r="J57" s="200"/>
      <c r="K57" s="200"/>
      <c r="L57" s="200"/>
      <c r="M57" s="200"/>
    </row>
    <row r="58" spans="1:13" ht="15" customHeight="1" x14ac:dyDescent="0.3">
      <c r="A58" s="9">
        <v>50</v>
      </c>
      <c r="B58" s="46" t="s">
        <v>161</v>
      </c>
      <c r="C58" s="46" t="s">
        <v>162</v>
      </c>
      <c r="D58" s="46" t="s">
        <v>163</v>
      </c>
      <c r="E58" s="46" t="s">
        <v>164</v>
      </c>
      <c r="F58" s="48" t="s">
        <v>165</v>
      </c>
      <c r="G58" s="9">
        <v>8</v>
      </c>
      <c r="H58" s="12">
        <f>'Engineering Cost'!H58*'Engineering Assumptions'!$B$6</f>
        <v>366720</v>
      </c>
      <c r="I58" s="12">
        <f>IF('Engineering Cost'!I58=0,0,MAX('Engineering Cost'!I58*'Engineering Assumptions'!$B$6,'Engineering Assumptions'!$B$9))</f>
        <v>78000</v>
      </c>
      <c r="J58" s="12">
        <f>'Engineering Cost'!J58*'Engineering Assumptions'!$B$6</f>
        <v>39000</v>
      </c>
      <c r="K58" s="12">
        <f>'Engineering Cost'!K58*'Engineering Assumptions'!$B$6</f>
        <v>28800</v>
      </c>
      <c r="L58" s="13">
        <f>SUM(H58:K58)</f>
        <v>512520</v>
      </c>
      <c r="M58" s="13">
        <f>L58*(1+'Engineering Assumptions'!$B$10)</f>
        <v>589398</v>
      </c>
    </row>
    <row r="59" spans="1:13" ht="15" customHeight="1" x14ac:dyDescent="0.3">
      <c r="A59" s="9">
        <v>51</v>
      </c>
      <c r="B59" s="46" t="s">
        <v>161</v>
      </c>
      <c r="C59" s="46" t="s">
        <v>166</v>
      </c>
      <c r="D59" s="46" t="s">
        <v>167</v>
      </c>
      <c r="E59" s="46" t="s">
        <v>164</v>
      </c>
      <c r="F59" s="48" t="s">
        <v>116</v>
      </c>
      <c r="G59" s="9">
        <v>9</v>
      </c>
      <c r="H59" s="12">
        <f>'Engineering Cost'!H59*'Engineering Assumptions'!$B$6</f>
        <v>366720</v>
      </c>
      <c r="I59" s="12">
        <f>IF('Engineering Cost'!I59=0,0,MAX('Engineering Cost'!I59*'Engineering Assumptions'!$B$6,'Engineering Assumptions'!$B$9))</f>
        <v>78000</v>
      </c>
      <c r="J59" s="12">
        <f>'Engineering Cost'!J59*'Engineering Assumptions'!$B$6</f>
        <v>39000</v>
      </c>
      <c r="K59" s="12">
        <f>'Engineering Cost'!K59*'Engineering Assumptions'!$B$6</f>
        <v>28800</v>
      </c>
      <c r="L59" s="13">
        <f>SUM(H59:K59)</f>
        <v>512520</v>
      </c>
      <c r="M59" s="13">
        <f>L59*(1+'Engineering Assumptions'!$B$10)</f>
        <v>589398</v>
      </c>
    </row>
    <row r="60" spans="1:13" ht="15" customHeight="1" x14ac:dyDescent="0.3">
      <c r="A60" s="9">
        <v>52</v>
      </c>
      <c r="B60" s="46" t="s">
        <v>161</v>
      </c>
      <c r="C60" s="46" t="s">
        <v>168</v>
      </c>
      <c r="D60" s="46" t="s">
        <v>169</v>
      </c>
      <c r="E60" s="46" t="s">
        <v>164</v>
      </c>
      <c r="F60" s="48" t="s">
        <v>116</v>
      </c>
      <c r="G60" s="9">
        <v>9</v>
      </c>
      <c r="H60" s="12">
        <f>'Engineering Cost'!H60*'Engineering Assumptions'!$B$6</f>
        <v>366720</v>
      </c>
      <c r="I60" s="12">
        <f>IF('Engineering Cost'!I60=0,0,MAX('Engineering Cost'!I60*'Engineering Assumptions'!$B$6,'Engineering Assumptions'!$B$9))</f>
        <v>78000</v>
      </c>
      <c r="J60" s="12">
        <f>'Engineering Cost'!J60*'Engineering Assumptions'!$B$6</f>
        <v>39000</v>
      </c>
      <c r="K60" s="12">
        <f>'Engineering Cost'!K60*'Engineering Assumptions'!$B$6</f>
        <v>28800</v>
      </c>
      <c r="L60" s="13">
        <f>SUM(H60:K60)</f>
        <v>512520</v>
      </c>
      <c r="M60" s="13">
        <f>L60*(1+'Engineering Assumptions'!$B$10)</f>
        <v>589398</v>
      </c>
    </row>
    <row r="61" spans="1:13" ht="15" customHeight="1" x14ac:dyDescent="0.3">
      <c r="A61" s="199" t="s">
        <v>170</v>
      </c>
      <c r="B61" s="200"/>
      <c r="C61" s="200"/>
      <c r="D61" s="200"/>
      <c r="E61" s="200"/>
      <c r="F61" s="200"/>
      <c r="G61" s="200"/>
      <c r="H61" s="200"/>
      <c r="I61" s="200"/>
      <c r="J61" s="200"/>
      <c r="K61" s="200"/>
      <c r="L61" s="200"/>
      <c r="M61" s="200"/>
    </row>
    <row r="62" spans="1:13" ht="15" customHeight="1" x14ac:dyDescent="0.3">
      <c r="A62" s="9">
        <v>53</v>
      </c>
      <c r="B62" s="46" t="s">
        <v>171</v>
      </c>
      <c r="C62" s="46" t="s">
        <v>172</v>
      </c>
      <c r="D62" s="46" t="s">
        <v>173</v>
      </c>
      <c r="E62" s="46"/>
      <c r="F62" s="48" t="s">
        <v>23</v>
      </c>
      <c r="G62" s="9">
        <v>5</v>
      </c>
      <c r="H62" s="12">
        <f>'Engineering Cost'!H62*'Engineering Assumptions'!$B$6</f>
        <v>366720</v>
      </c>
      <c r="I62" s="12">
        <f>IF('Engineering Cost'!I62=0,0,MAX('Engineering Cost'!I62*'Engineering Assumptions'!$B$6,'Engineering Assumptions'!$B$9))</f>
        <v>78000</v>
      </c>
      <c r="J62" s="12">
        <f>'Engineering Cost'!J62*'Engineering Assumptions'!$B$6</f>
        <v>27600</v>
      </c>
      <c r="K62" s="12">
        <f>'Engineering Cost'!K62*'Engineering Assumptions'!$B$6</f>
        <v>11160</v>
      </c>
      <c r="L62" s="13">
        <f t="shared" ref="L62:L80" si="3">SUM(H62:K62)</f>
        <v>483480</v>
      </c>
      <c r="M62" s="13">
        <f>L62*(1+'Engineering Assumptions'!$B$10)</f>
        <v>556002</v>
      </c>
    </row>
    <row r="63" spans="1:13" ht="15" customHeight="1" x14ac:dyDescent="0.3">
      <c r="A63" s="9">
        <v>54</v>
      </c>
      <c r="B63" s="46" t="s">
        <v>171</v>
      </c>
      <c r="C63" s="46" t="s">
        <v>174</v>
      </c>
      <c r="D63" s="46" t="s">
        <v>175</v>
      </c>
      <c r="E63" s="46"/>
      <c r="F63" s="48" t="s">
        <v>23</v>
      </c>
      <c r="G63" s="9">
        <v>5</v>
      </c>
      <c r="H63" s="12">
        <f>'Engineering Cost'!H63*'Engineering Assumptions'!$B$6</f>
        <v>366720</v>
      </c>
      <c r="I63" s="12">
        <f>IF('Engineering Cost'!I63=0,0,MAX('Engineering Cost'!I63*'Engineering Assumptions'!$B$6,'Engineering Assumptions'!$B$9))</f>
        <v>78000</v>
      </c>
      <c r="J63" s="12">
        <f>'Engineering Cost'!J63*'Engineering Assumptions'!$B$6</f>
        <v>27600</v>
      </c>
      <c r="K63" s="12">
        <f>'Engineering Cost'!K63*'Engineering Assumptions'!$B$6</f>
        <v>11160</v>
      </c>
      <c r="L63" s="13">
        <f t="shared" si="3"/>
        <v>483480</v>
      </c>
      <c r="M63" s="13">
        <f>L63*(1+'Engineering Assumptions'!$B$10)</f>
        <v>556002</v>
      </c>
    </row>
    <row r="64" spans="1:13" ht="15" customHeight="1" x14ac:dyDescent="0.3">
      <c r="A64" s="9">
        <v>55</v>
      </c>
      <c r="B64" s="46" t="s">
        <v>171</v>
      </c>
      <c r="C64" s="46" t="s">
        <v>174</v>
      </c>
      <c r="D64" s="46" t="s">
        <v>176</v>
      </c>
      <c r="E64" s="46"/>
      <c r="F64" s="48" t="s">
        <v>23</v>
      </c>
      <c r="G64" s="9">
        <v>5</v>
      </c>
      <c r="H64" s="12">
        <f>'Engineering Cost'!H64*'Engineering Assumptions'!$B$6</f>
        <v>366720</v>
      </c>
      <c r="I64" s="12">
        <f>IF('Engineering Cost'!I64=0,0,MAX('Engineering Cost'!I64*'Engineering Assumptions'!$B$6,'Engineering Assumptions'!$B$9))</f>
        <v>78000</v>
      </c>
      <c r="J64" s="12">
        <f>'Engineering Cost'!J64*'Engineering Assumptions'!$B$6</f>
        <v>27600</v>
      </c>
      <c r="K64" s="12">
        <f>'Engineering Cost'!K64*'Engineering Assumptions'!$B$6</f>
        <v>11160</v>
      </c>
      <c r="L64" s="13">
        <f t="shared" si="3"/>
        <v>483480</v>
      </c>
      <c r="M64" s="13">
        <f>L64*(1+'Engineering Assumptions'!$B$10)</f>
        <v>556002</v>
      </c>
    </row>
    <row r="65" spans="1:13" ht="15" customHeight="1" x14ac:dyDescent="0.3">
      <c r="A65" s="9">
        <v>56</v>
      </c>
      <c r="B65" s="46" t="s">
        <v>171</v>
      </c>
      <c r="C65" s="46" t="s">
        <v>177</v>
      </c>
      <c r="D65" s="46" t="s">
        <v>178</v>
      </c>
      <c r="E65" s="46"/>
      <c r="F65" s="48" t="s">
        <v>116</v>
      </c>
      <c r="G65" s="9">
        <v>9</v>
      </c>
      <c r="H65" s="12">
        <f>'Engineering Cost'!H65*'Engineering Assumptions'!$B$6</f>
        <v>366720</v>
      </c>
      <c r="I65" s="12">
        <f>IF('Engineering Cost'!I65=0,0,MAX('Engineering Cost'!I65*'Engineering Assumptions'!$B$6,'Engineering Assumptions'!$B$9))</f>
        <v>78000</v>
      </c>
      <c r="J65" s="12">
        <f>'Engineering Cost'!J65*'Engineering Assumptions'!$B$6</f>
        <v>34500</v>
      </c>
      <c r="K65" s="12">
        <f>'Engineering Cost'!K65*'Engineering Assumptions'!$B$6</f>
        <v>27900</v>
      </c>
      <c r="L65" s="13">
        <f t="shared" si="3"/>
        <v>507120</v>
      </c>
      <c r="M65" s="13">
        <f>L65*(1+'Engineering Assumptions'!$B$10)</f>
        <v>583188</v>
      </c>
    </row>
    <row r="66" spans="1:13" ht="15" customHeight="1" x14ac:dyDescent="0.3">
      <c r="A66" s="9">
        <v>57</v>
      </c>
      <c r="B66" s="46" t="s">
        <v>171</v>
      </c>
      <c r="C66" s="46" t="s">
        <v>177</v>
      </c>
      <c r="D66" s="46" t="s">
        <v>179</v>
      </c>
      <c r="E66" s="46"/>
      <c r="F66" s="48" t="s">
        <v>116</v>
      </c>
      <c r="G66" s="9">
        <v>9</v>
      </c>
      <c r="H66" s="12">
        <f>'Engineering Cost'!H66*'Engineering Assumptions'!$B$6</f>
        <v>366720</v>
      </c>
      <c r="I66" s="12">
        <f>IF('Engineering Cost'!I66=0,0,MAX('Engineering Cost'!I66*'Engineering Assumptions'!$B$6,'Engineering Assumptions'!$B$9))</f>
        <v>78000</v>
      </c>
      <c r="J66" s="12">
        <f>'Engineering Cost'!J66*'Engineering Assumptions'!$B$6</f>
        <v>34500</v>
      </c>
      <c r="K66" s="12">
        <f>'Engineering Cost'!K66*'Engineering Assumptions'!$B$6</f>
        <v>27900</v>
      </c>
      <c r="L66" s="13">
        <f t="shared" si="3"/>
        <v>507120</v>
      </c>
      <c r="M66" s="13">
        <f>L66*(1+'Engineering Assumptions'!$B$10)</f>
        <v>583188</v>
      </c>
    </row>
    <row r="67" spans="1:13" ht="15" customHeight="1" x14ac:dyDescent="0.3">
      <c r="A67" s="9">
        <v>58</v>
      </c>
      <c r="B67" s="46" t="s">
        <v>171</v>
      </c>
      <c r="C67" s="46" t="s">
        <v>180</v>
      </c>
      <c r="D67" s="46" t="s">
        <v>181</v>
      </c>
      <c r="E67" s="46"/>
      <c r="F67" s="48" t="s">
        <v>49</v>
      </c>
      <c r="G67" s="9">
        <v>10</v>
      </c>
      <c r="H67" s="12">
        <f>'Engineering Cost'!H67*'Engineering Assumptions'!$B$6</f>
        <v>366720</v>
      </c>
      <c r="I67" s="12">
        <f>IF('Engineering Cost'!I67=0,0,MAX('Engineering Cost'!I67*'Engineering Assumptions'!$B$6,'Engineering Assumptions'!$B$9))</f>
        <v>78000</v>
      </c>
      <c r="J67" s="12">
        <f>'Engineering Cost'!J67*'Engineering Assumptions'!$B$6</f>
        <v>34500</v>
      </c>
      <c r="K67" s="12">
        <f>'Engineering Cost'!K67*'Engineering Assumptions'!$B$6</f>
        <v>27900</v>
      </c>
      <c r="L67" s="13">
        <f t="shared" si="3"/>
        <v>507120</v>
      </c>
      <c r="M67" s="13">
        <f>L67*(1+'Engineering Assumptions'!$B$10)</f>
        <v>583188</v>
      </c>
    </row>
    <row r="68" spans="1:13" ht="15" customHeight="1" x14ac:dyDescent="0.3">
      <c r="A68" s="9">
        <v>59</v>
      </c>
      <c r="B68" s="46" t="s">
        <v>171</v>
      </c>
      <c r="C68" s="46" t="s">
        <v>182</v>
      </c>
      <c r="D68" s="46" t="s">
        <v>183</v>
      </c>
      <c r="E68" s="46"/>
      <c r="F68" s="48" t="s">
        <v>94</v>
      </c>
      <c r="G68" s="9">
        <v>12</v>
      </c>
      <c r="H68" s="12">
        <f>'Engineering Cost'!H68*'Engineering Assumptions'!$B$6</f>
        <v>366720</v>
      </c>
      <c r="I68" s="12">
        <f>IF('Engineering Cost'!I68=0,0,MAX('Engineering Cost'!I68*'Engineering Assumptions'!$B$6,'Engineering Assumptions'!$B$9))</f>
        <v>78000</v>
      </c>
      <c r="J68" s="12">
        <f>'Engineering Cost'!J68*'Engineering Assumptions'!$B$6</f>
        <v>42780</v>
      </c>
      <c r="K68" s="12">
        <f>'Engineering Cost'!K68*'Engineering Assumptions'!$B$6</f>
        <v>50220</v>
      </c>
      <c r="L68" s="13">
        <f t="shared" si="3"/>
        <v>537720</v>
      </c>
      <c r="M68" s="13">
        <f>L68*(1+'Engineering Assumptions'!$B$10)</f>
        <v>618378</v>
      </c>
    </row>
    <row r="69" spans="1:13" ht="15" customHeight="1" x14ac:dyDescent="0.3">
      <c r="A69" s="9">
        <v>60</v>
      </c>
      <c r="B69" s="46" t="s">
        <v>171</v>
      </c>
      <c r="C69" s="46" t="s">
        <v>184</v>
      </c>
      <c r="D69" s="46" t="s">
        <v>185</v>
      </c>
      <c r="E69" s="46"/>
      <c r="F69" s="48" t="s">
        <v>94</v>
      </c>
      <c r="G69" s="9">
        <v>12</v>
      </c>
      <c r="H69" s="12">
        <f>'Engineering Cost'!H69*'Engineering Assumptions'!$B$6</f>
        <v>366720</v>
      </c>
      <c r="I69" s="12">
        <f>IF('Engineering Cost'!I69=0,0,MAX('Engineering Cost'!I69*'Engineering Assumptions'!$B$6,'Engineering Assumptions'!$B$9))</f>
        <v>78000</v>
      </c>
      <c r="J69" s="12">
        <f>'Engineering Cost'!J69*'Engineering Assumptions'!$B$6</f>
        <v>42780</v>
      </c>
      <c r="K69" s="12">
        <f>'Engineering Cost'!K69*'Engineering Assumptions'!$B$6</f>
        <v>50220</v>
      </c>
      <c r="L69" s="13">
        <f t="shared" si="3"/>
        <v>537720</v>
      </c>
      <c r="M69" s="13">
        <f>L69*(1+'Engineering Assumptions'!$B$10)</f>
        <v>618378</v>
      </c>
    </row>
    <row r="70" spans="1:13" ht="15" customHeight="1" x14ac:dyDescent="0.3">
      <c r="A70" s="9">
        <v>61</v>
      </c>
      <c r="B70" s="46" t="s">
        <v>171</v>
      </c>
      <c r="C70" s="46" t="s">
        <v>186</v>
      </c>
      <c r="D70" s="46" t="s">
        <v>187</v>
      </c>
      <c r="E70" s="46"/>
      <c r="F70" s="48" t="s">
        <v>99</v>
      </c>
      <c r="G70" s="9">
        <v>13</v>
      </c>
      <c r="H70" s="12">
        <f>'Engineering Cost'!H70*'Engineering Assumptions'!$B$6</f>
        <v>366720</v>
      </c>
      <c r="I70" s="12">
        <f>IF('Engineering Cost'!I70=0,0,MAX('Engineering Cost'!I70*'Engineering Assumptions'!$B$6,'Engineering Assumptions'!$B$9))</f>
        <v>78000</v>
      </c>
      <c r="J70" s="12">
        <f>'Engineering Cost'!J70*'Engineering Assumptions'!$B$6</f>
        <v>42780</v>
      </c>
      <c r="K70" s="12">
        <f>'Engineering Cost'!K70*'Engineering Assumptions'!$B$6</f>
        <v>50220</v>
      </c>
      <c r="L70" s="13">
        <f t="shared" si="3"/>
        <v>537720</v>
      </c>
      <c r="M70" s="13">
        <f>L70*(1+'Engineering Assumptions'!$B$10)</f>
        <v>618378</v>
      </c>
    </row>
    <row r="71" spans="1:13" ht="15" customHeight="1" x14ac:dyDescent="0.3">
      <c r="A71" s="9">
        <v>62</v>
      </c>
      <c r="B71" s="46" t="s">
        <v>171</v>
      </c>
      <c r="C71" s="46" t="s">
        <v>188</v>
      </c>
      <c r="D71" s="46" t="s">
        <v>189</v>
      </c>
      <c r="E71" s="46"/>
      <c r="F71" s="48" t="s">
        <v>66</v>
      </c>
      <c r="G71" s="9">
        <v>14</v>
      </c>
      <c r="H71" s="12">
        <f>'Engineering Cost'!H71*'Engineering Assumptions'!$B$6</f>
        <v>366720</v>
      </c>
      <c r="I71" s="12">
        <f>IF('Engineering Cost'!I71=0,0,MAX('Engineering Cost'!I71*'Engineering Assumptions'!$B$6,'Engineering Assumptions'!$B$9))</f>
        <v>78000</v>
      </c>
      <c r="J71" s="12">
        <f>'Engineering Cost'!J71*'Engineering Assumptions'!$B$6</f>
        <v>42780</v>
      </c>
      <c r="K71" s="12">
        <f>'Engineering Cost'!K71*'Engineering Assumptions'!$B$6</f>
        <v>50220</v>
      </c>
      <c r="L71" s="13">
        <f t="shared" si="3"/>
        <v>537720</v>
      </c>
      <c r="M71" s="13">
        <f>L71*(1+'Engineering Assumptions'!$B$10)</f>
        <v>618378</v>
      </c>
    </row>
    <row r="72" spans="1:13" ht="15" customHeight="1" x14ac:dyDescent="0.3">
      <c r="A72" s="9">
        <v>63</v>
      </c>
      <c r="B72" s="46" t="s">
        <v>171</v>
      </c>
      <c r="C72" s="46" t="s">
        <v>188</v>
      </c>
      <c r="D72" s="46" t="s">
        <v>190</v>
      </c>
      <c r="E72" s="46"/>
      <c r="F72" s="48" t="s">
        <v>66</v>
      </c>
      <c r="G72" s="9">
        <v>14</v>
      </c>
      <c r="H72" s="12">
        <f>'Engineering Cost'!H72*'Engineering Assumptions'!$B$6</f>
        <v>366720</v>
      </c>
      <c r="I72" s="12">
        <f>IF('Engineering Cost'!I72=0,0,MAX('Engineering Cost'!I72*'Engineering Assumptions'!$B$6,'Engineering Assumptions'!$B$9))</f>
        <v>78000</v>
      </c>
      <c r="J72" s="12">
        <f>'Engineering Cost'!J72*'Engineering Assumptions'!$B$6</f>
        <v>42780</v>
      </c>
      <c r="K72" s="12">
        <f>'Engineering Cost'!K72*'Engineering Assumptions'!$B$6</f>
        <v>50220</v>
      </c>
      <c r="L72" s="13">
        <f t="shared" si="3"/>
        <v>537720</v>
      </c>
      <c r="M72" s="13">
        <f>L72*(1+'Engineering Assumptions'!$B$10)</f>
        <v>618378</v>
      </c>
    </row>
    <row r="73" spans="1:13" ht="15" customHeight="1" x14ac:dyDescent="0.3">
      <c r="A73" s="9">
        <v>64</v>
      </c>
      <c r="B73" s="46" t="s">
        <v>171</v>
      </c>
      <c r="C73" s="46" t="s">
        <v>191</v>
      </c>
      <c r="D73" s="46" t="s">
        <v>192</v>
      </c>
      <c r="E73" s="46"/>
      <c r="F73" s="48" t="s">
        <v>107</v>
      </c>
      <c r="G73" s="9">
        <v>16</v>
      </c>
      <c r="H73" s="12">
        <f>'Engineering Cost'!H73*'Engineering Assumptions'!$B$6</f>
        <v>366720</v>
      </c>
      <c r="I73" s="12">
        <f>IF('Engineering Cost'!I73=0,0,MAX('Engineering Cost'!I73*'Engineering Assumptions'!$B$6,'Engineering Assumptions'!$B$9))</f>
        <v>78000</v>
      </c>
      <c r="J73" s="12">
        <f>'Engineering Cost'!J73*'Engineering Assumptions'!$B$6</f>
        <v>53820</v>
      </c>
      <c r="K73" s="12">
        <f>'Engineering Cost'!K73*'Engineering Assumptions'!$B$6</f>
        <v>78120</v>
      </c>
      <c r="L73" s="13">
        <f t="shared" si="3"/>
        <v>576660</v>
      </c>
      <c r="M73" s="13">
        <f>L73*(1+'Engineering Assumptions'!$B$10)</f>
        <v>663159</v>
      </c>
    </row>
    <row r="74" spans="1:13" ht="15" customHeight="1" x14ac:dyDescent="0.3">
      <c r="A74" s="9">
        <v>65</v>
      </c>
      <c r="B74" s="46" t="s">
        <v>171</v>
      </c>
      <c r="C74" s="46" t="s">
        <v>188</v>
      </c>
      <c r="D74" s="46" t="s">
        <v>193</v>
      </c>
      <c r="E74" s="46"/>
      <c r="F74" s="48" t="s">
        <v>110</v>
      </c>
      <c r="G74" s="9">
        <v>17</v>
      </c>
      <c r="H74" s="12">
        <f>'Engineering Cost'!H74*'Engineering Assumptions'!$B$6</f>
        <v>366720</v>
      </c>
      <c r="I74" s="12">
        <f>IF('Engineering Cost'!I74=0,0,MAX('Engineering Cost'!I74*'Engineering Assumptions'!$B$6,'Engineering Assumptions'!$B$9))</f>
        <v>78000</v>
      </c>
      <c r="J74" s="12">
        <f>'Engineering Cost'!J74*'Engineering Assumptions'!$B$6</f>
        <v>53820</v>
      </c>
      <c r="K74" s="12">
        <f>'Engineering Cost'!K74*'Engineering Assumptions'!$B$6</f>
        <v>78120</v>
      </c>
      <c r="L74" s="13">
        <f t="shared" si="3"/>
        <v>576660</v>
      </c>
      <c r="M74" s="13">
        <f>L74*(1+'Engineering Assumptions'!$B$10)</f>
        <v>663159</v>
      </c>
    </row>
    <row r="75" spans="1:13" ht="15" customHeight="1" x14ac:dyDescent="0.3">
      <c r="A75" s="9">
        <v>66</v>
      </c>
      <c r="B75" s="46" t="s">
        <v>171</v>
      </c>
      <c r="C75" s="46" t="s">
        <v>188</v>
      </c>
      <c r="D75" s="46" t="s">
        <v>194</v>
      </c>
      <c r="E75" s="46"/>
      <c r="F75" s="48" t="s">
        <v>195</v>
      </c>
      <c r="G75" s="9">
        <v>30</v>
      </c>
      <c r="H75" s="12">
        <f>'Engineering Cost'!H75*'Engineering Assumptions'!$B$6</f>
        <v>366720</v>
      </c>
      <c r="I75" s="12">
        <f>IF('Engineering Cost'!I75=0,0,MAX('Engineering Cost'!I75*'Engineering Assumptions'!$B$6,'Engineering Assumptions'!$B$9))</f>
        <v>78000</v>
      </c>
      <c r="J75" s="12">
        <f>'Engineering Cost'!J75*'Engineering Assumptions'!$B$6</f>
        <v>66240</v>
      </c>
      <c r="K75" s="12">
        <f>'Engineering Cost'!K75*'Engineering Assumptions'!$B$6</f>
        <v>111600</v>
      </c>
      <c r="L75" s="13">
        <f t="shared" si="3"/>
        <v>622560</v>
      </c>
      <c r="M75" s="13">
        <f>L75*(1+'Engineering Assumptions'!$B$10)</f>
        <v>715944</v>
      </c>
    </row>
    <row r="76" spans="1:13" ht="15" customHeight="1" x14ac:dyDescent="0.3">
      <c r="A76" s="9">
        <v>67</v>
      </c>
      <c r="B76" s="46" t="s">
        <v>171</v>
      </c>
      <c r="C76" s="46" t="s">
        <v>196</v>
      </c>
      <c r="D76" s="46" t="s">
        <v>197</v>
      </c>
      <c r="E76" s="46"/>
      <c r="F76" s="48" t="s">
        <v>195</v>
      </c>
      <c r="G76" s="9">
        <v>30</v>
      </c>
      <c r="H76" s="12">
        <f>'Engineering Cost'!H76*'Engineering Assumptions'!$B$6</f>
        <v>366720</v>
      </c>
      <c r="I76" s="12">
        <f>IF('Engineering Cost'!I76=0,0,MAX('Engineering Cost'!I76*'Engineering Assumptions'!$B$6,'Engineering Assumptions'!$B$9))</f>
        <v>78000</v>
      </c>
      <c r="J76" s="12">
        <f>'Engineering Cost'!J76*'Engineering Assumptions'!$B$6</f>
        <v>66240</v>
      </c>
      <c r="K76" s="12">
        <f>'Engineering Cost'!K76*'Engineering Assumptions'!$B$6</f>
        <v>111600</v>
      </c>
      <c r="L76" s="13">
        <f t="shared" si="3"/>
        <v>622560</v>
      </c>
      <c r="M76" s="13">
        <f>L76*(1+'Engineering Assumptions'!$B$10)</f>
        <v>715944</v>
      </c>
    </row>
    <row r="77" spans="1:13" ht="15" customHeight="1" x14ac:dyDescent="0.3">
      <c r="A77" s="9">
        <v>68</v>
      </c>
      <c r="B77" s="46" t="s">
        <v>171</v>
      </c>
      <c r="C77" s="46" t="s">
        <v>174</v>
      </c>
      <c r="D77" s="46" t="s">
        <v>198</v>
      </c>
      <c r="E77" s="46"/>
      <c r="F77" s="48" t="s">
        <v>195</v>
      </c>
      <c r="G77" s="9">
        <v>30</v>
      </c>
      <c r="H77" s="12">
        <f>'Engineering Cost'!H77*'Engineering Assumptions'!$B$6</f>
        <v>366720</v>
      </c>
      <c r="I77" s="12">
        <f>IF('Engineering Cost'!I77=0,0,MAX('Engineering Cost'!I77*'Engineering Assumptions'!$B$6,'Engineering Assumptions'!$B$9))</f>
        <v>78000</v>
      </c>
      <c r="J77" s="12">
        <f>'Engineering Cost'!J77*'Engineering Assumptions'!$B$6</f>
        <v>66240</v>
      </c>
      <c r="K77" s="12">
        <f>'Engineering Cost'!K77*'Engineering Assumptions'!$B$6</f>
        <v>111600</v>
      </c>
      <c r="L77" s="13">
        <f t="shared" si="3"/>
        <v>622560</v>
      </c>
      <c r="M77" s="13">
        <f>L77*(1+'Engineering Assumptions'!$B$10)</f>
        <v>715944</v>
      </c>
    </row>
    <row r="78" spans="1:13" ht="15" customHeight="1" x14ac:dyDescent="0.3">
      <c r="A78" s="9">
        <v>69</v>
      </c>
      <c r="B78" s="46" t="s">
        <v>171</v>
      </c>
      <c r="C78" s="46" t="s">
        <v>180</v>
      </c>
      <c r="D78" s="46" t="s">
        <v>199</v>
      </c>
      <c r="E78" s="46"/>
      <c r="F78" s="48" t="s">
        <v>195</v>
      </c>
      <c r="G78" s="9">
        <v>30</v>
      </c>
      <c r="H78" s="12">
        <f>'Engineering Cost'!H78*'Engineering Assumptions'!$B$6</f>
        <v>366720</v>
      </c>
      <c r="I78" s="12">
        <f>IF('Engineering Cost'!I78=0,0,MAX('Engineering Cost'!I78*'Engineering Assumptions'!$B$6,'Engineering Assumptions'!$B$9))</f>
        <v>78000</v>
      </c>
      <c r="J78" s="12">
        <f>'Engineering Cost'!J78*'Engineering Assumptions'!$B$6</f>
        <v>66240</v>
      </c>
      <c r="K78" s="12">
        <f>'Engineering Cost'!K78*'Engineering Assumptions'!$B$6</f>
        <v>111600</v>
      </c>
      <c r="L78" s="13">
        <f t="shared" si="3"/>
        <v>622560</v>
      </c>
      <c r="M78" s="13">
        <f>L78*(1+'Engineering Assumptions'!$B$10)</f>
        <v>715944</v>
      </c>
    </row>
    <row r="79" spans="1:13" ht="15" customHeight="1" x14ac:dyDescent="0.3">
      <c r="A79" s="9">
        <v>70</v>
      </c>
      <c r="B79" s="46" t="s">
        <v>171</v>
      </c>
      <c r="C79" s="46" t="s">
        <v>200</v>
      </c>
      <c r="D79" s="46" t="s">
        <v>201</v>
      </c>
      <c r="E79" s="46"/>
      <c r="F79" s="48" t="s">
        <v>195</v>
      </c>
      <c r="G79" s="9">
        <v>30</v>
      </c>
      <c r="H79" s="12">
        <f>'Engineering Cost'!H79*'Engineering Assumptions'!$B$6</f>
        <v>366720</v>
      </c>
      <c r="I79" s="12">
        <f>IF('Engineering Cost'!I79=0,0,MAX('Engineering Cost'!I79*'Engineering Assumptions'!$B$6,'Engineering Assumptions'!$B$9))</f>
        <v>78000</v>
      </c>
      <c r="J79" s="12">
        <f>'Engineering Cost'!J79*'Engineering Assumptions'!$B$6</f>
        <v>66240</v>
      </c>
      <c r="K79" s="12">
        <f>'Engineering Cost'!K79*'Engineering Assumptions'!$B$6</f>
        <v>111600</v>
      </c>
      <c r="L79" s="13">
        <f t="shared" si="3"/>
        <v>622560</v>
      </c>
      <c r="M79" s="13">
        <f>L79*(1+'Engineering Assumptions'!$B$10)</f>
        <v>715944</v>
      </c>
    </row>
    <row r="80" spans="1:13" ht="15" customHeight="1" x14ac:dyDescent="0.3">
      <c r="A80" s="9">
        <v>71</v>
      </c>
      <c r="B80" s="46" t="s">
        <v>171</v>
      </c>
      <c r="C80" s="46" t="s">
        <v>202</v>
      </c>
      <c r="D80" s="46" t="s">
        <v>203</v>
      </c>
      <c r="E80" s="46"/>
      <c r="F80" s="48" t="s">
        <v>195</v>
      </c>
      <c r="G80" s="9">
        <v>30</v>
      </c>
      <c r="H80" s="12">
        <f>'Engineering Cost'!H80*'Engineering Assumptions'!$B$6</f>
        <v>366720</v>
      </c>
      <c r="I80" s="12">
        <f>IF('Engineering Cost'!I80=0,0,MAX('Engineering Cost'!I80*'Engineering Assumptions'!$B$6,'Engineering Assumptions'!$B$9))</f>
        <v>78000</v>
      </c>
      <c r="J80" s="12">
        <f>'Engineering Cost'!J80*'Engineering Assumptions'!$B$6</f>
        <v>66240</v>
      </c>
      <c r="K80" s="12">
        <f>'Engineering Cost'!K80*'Engineering Assumptions'!$B$6</f>
        <v>111600</v>
      </c>
      <c r="L80" s="13">
        <f t="shared" si="3"/>
        <v>622560</v>
      </c>
      <c r="M80" s="13">
        <f>L80*(1+'Engineering Assumptions'!$B$10)</f>
        <v>715944</v>
      </c>
    </row>
    <row r="81" spans="1:13" ht="15" customHeight="1" x14ac:dyDescent="0.3">
      <c r="A81" s="199" t="s">
        <v>204</v>
      </c>
      <c r="B81" s="200"/>
      <c r="C81" s="200"/>
      <c r="D81" s="200"/>
      <c r="E81" s="200"/>
      <c r="F81" s="200"/>
      <c r="G81" s="200"/>
      <c r="H81" s="200"/>
      <c r="I81" s="200"/>
      <c r="J81" s="200"/>
      <c r="K81" s="200"/>
      <c r="L81" s="200"/>
      <c r="M81" s="200"/>
    </row>
    <row r="82" spans="1:13" ht="15" customHeight="1" x14ac:dyDescent="0.3">
      <c r="A82" s="9">
        <v>72</v>
      </c>
      <c r="B82" s="46" t="s">
        <v>205</v>
      </c>
      <c r="C82" s="46" t="s">
        <v>188</v>
      </c>
      <c r="D82" s="46" t="s">
        <v>206</v>
      </c>
      <c r="E82" s="46"/>
      <c r="F82" s="48" t="s">
        <v>116</v>
      </c>
      <c r="G82" s="9">
        <v>9</v>
      </c>
      <c r="H82" s="12">
        <f>'Engineering Cost'!H82*'Engineering Assumptions'!$B$6</f>
        <v>229200</v>
      </c>
      <c r="I82" s="12">
        <f>IF('Engineering Cost'!I82=0,0,MAX('Engineering Cost'!I82*'Engineering Assumptions'!$B$6,'Engineering Assumptions'!$B$9))</f>
        <v>78000</v>
      </c>
      <c r="J82" s="12">
        <f>'Engineering Cost'!J82*'Engineering Assumptions'!$B$6</f>
        <v>27000</v>
      </c>
      <c r="K82" s="12">
        <f>'Engineering Cost'!K82*'Engineering Assumptions'!$B$6</f>
        <v>21600</v>
      </c>
      <c r="L82" s="13">
        <f t="shared" ref="L82:L113" si="4">SUM(H82:K82)</f>
        <v>355800</v>
      </c>
      <c r="M82" s="13">
        <f>L82*(1+'Engineering Assumptions'!$B$10)</f>
        <v>409169.99999999994</v>
      </c>
    </row>
    <row r="83" spans="1:13" ht="15" customHeight="1" x14ac:dyDescent="0.3">
      <c r="A83" s="9">
        <v>73</v>
      </c>
      <c r="B83" s="46" t="s">
        <v>205</v>
      </c>
      <c r="C83" s="46" t="s">
        <v>207</v>
      </c>
      <c r="D83" s="46" t="s">
        <v>208</v>
      </c>
      <c r="E83" s="46"/>
      <c r="F83" s="48" t="s">
        <v>116</v>
      </c>
      <c r="G83" s="9">
        <v>9</v>
      </c>
      <c r="H83" s="12">
        <f>'Engineering Cost'!H83*'Engineering Assumptions'!$B$6</f>
        <v>229200</v>
      </c>
      <c r="I83" s="12">
        <f>IF('Engineering Cost'!I83=0,0,MAX('Engineering Cost'!I83*'Engineering Assumptions'!$B$6,'Engineering Assumptions'!$B$9))</f>
        <v>78000</v>
      </c>
      <c r="J83" s="12">
        <f>'Engineering Cost'!J83*'Engineering Assumptions'!$B$6</f>
        <v>27000</v>
      </c>
      <c r="K83" s="12">
        <f>'Engineering Cost'!K83*'Engineering Assumptions'!$B$6</f>
        <v>21600</v>
      </c>
      <c r="L83" s="13">
        <f t="shared" si="4"/>
        <v>355800</v>
      </c>
      <c r="M83" s="13">
        <f>L83*(1+'Engineering Assumptions'!$B$10)</f>
        <v>409169.99999999994</v>
      </c>
    </row>
    <row r="84" spans="1:13" ht="15" customHeight="1" x14ac:dyDescent="0.3">
      <c r="A84" s="9">
        <v>74</v>
      </c>
      <c r="B84" s="46" t="s">
        <v>205</v>
      </c>
      <c r="C84" s="46" t="s">
        <v>188</v>
      </c>
      <c r="D84" s="46" t="s">
        <v>209</v>
      </c>
      <c r="E84" s="46"/>
      <c r="F84" s="48" t="s">
        <v>49</v>
      </c>
      <c r="G84" s="9">
        <v>10</v>
      </c>
      <c r="H84" s="12">
        <f>'Engineering Cost'!H84*'Engineering Assumptions'!$B$6</f>
        <v>229200</v>
      </c>
      <c r="I84" s="12">
        <f>IF('Engineering Cost'!I84=0,0,MAX('Engineering Cost'!I84*'Engineering Assumptions'!$B$6,'Engineering Assumptions'!$B$9))</f>
        <v>78000</v>
      </c>
      <c r="J84" s="12">
        <f>'Engineering Cost'!J84*'Engineering Assumptions'!$B$6</f>
        <v>27000</v>
      </c>
      <c r="K84" s="12">
        <f>'Engineering Cost'!K84*'Engineering Assumptions'!$B$6</f>
        <v>21600</v>
      </c>
      <c r="L84" s="13">
        <f t="shared" si="4"/>
        <v>355800</v>
      </c>
      <c r="M84" s="13">
        <f>L84*(1+'Engineering Assumptions'!$B$10)</f>
        <v>409169.99999999994</v>
      </c>
    </row>
    <row r="85" spans="1:13" ht="15" customHeight="1" x14ac:dyDescent="0.3">
      <c r="A85" s="9">
        <v>75</v>
      </c>
      <c r="B85" s="46" t="s">
        <v>205</v>
      </c>
      <c r="C85" s="46" t="s">
        <v>210</v>
      </c>
      <c r="D85" s="46" t="s">
        <v>211</v>
      </c>
      <c r="E85" s="46"/>
      <c r="F85" s="48" t="s">
        <v>49</v>
      </c>
      <c r="G85" s="9">
        <v>10</v>
      </c>
      <c r="H85" s="12">
        <f>'Engineering Cost'!H85*'Engineering Assumptions'!$B$6</f>
        <v>229200</v>
      </c>
      <c r="I85" s="12">
        <f>IF('Engineering Cost'!I85=0,0,MAX('Engineering Cost'!I85*'Engineering Assumptions'!$B$6,'Engineering Assumptions'!$B$9))</f>
        <v>78000</v>
      </c>
      <c r="J85" s="12">
        <f>'Engineering Cost'!J85*'Engineering Assumptions'!$B$6</f>
        <v>27000</v>
      </c>
      <c r="K85" s="12">
        <f>'Engineering Cost'!K85*'Engineering Assumptions'!$B$6</f>
        <v>21600</v>
      </c>
      <c r="L85" s="13">
        <f t="shared" si="4"/>
        <v>355800</v>
      </c>
      <c r="M85" s="13">
        <f>L85*(1+'Engineering Assumptions'!$B$10)</f>
        <v>409169.99999999994</v>
      </c>
    </row>
    <row r="86" spans="1:13" ht="15" customHeight="1" x14ac:dyDescent="0.3">
      <c r="A86" s="9">
        <v>76</v>
      </c>
      <c r="B86" s="46" t="s">
        <v>205</v>
      </c>
      <c r="C86" s="46" t="s">
        <v>212</v>
      </c>
      <c r="D86" s="46" t="s">
        <v>213</v>
      </c>
      <c r="E86" s="46"/>
      <c r="F86" s="48" t="s">
        <v>49</v>
      </c>
      <c r="G86" s="9">
        <v>10</v>
      </c>
      <c r="H86" s="12">
        <f>'Engineering Cost'!H86*'Engineering Assumptions'!$B$6</f>
        <v>229200</v>
      </c>
      <c r="I86" s="12">
        <f>IF('Engineering Cost'!I86=0,0,MAX('Engineering Cost'!I86*'Engineering Assumptions'!$B$6,'Engineering Assumptions'!$B$9))</f>
        <v>78000</v>
      </c>
      <c r="J86" s="12">
        <f>'Engineering Cost'!J86*'Engineering Assumptions'!$B$6</f>
        <v>27000</v>
      </c>
      <c r="K86" s="12">
        <f>'Engineering Cost'!K86*'Engineering Assumptions'!$B$6</f>
        <v>21600</v>
      </c>
      <c r="L86" s="13">
        <f t="shared" si="4"/>
        <v>355800</v>
      </c>
      <c r="M86" s="13">
        <f>L86*(1+'Engineering Assumptions'!$B$10)</f>
        <v>409169.99999999994</v>
      </c>
    </row>
    <row r="87" spans="1:13" ht="15" customHeight="1" x14ac:dyDescent="0.3">
      <c r="A87" s="9">
        <v>77</v>
      </c>
      <c r="B87" s="46" t="s">
        <v>205</v>
      </c>
      <c r="C87" s="46" t="s">
        <v>214</v>
      </c>
      <c r="D87" s="46" t="s">
        <v>215</v>
      </c>
      <c r="E87" s="46"/>
      <c r="F87" s="48" t="s">
        <v>49</v>
      </c>
      <c r="G87" s="9">
        <v>10</v>
      </c>
      <c r="H87" s="12">
        <f>'Engineering Cost'!H87*'Engineering Assumptions'!$B$6</f>
        <v>229200</v>
      </c>
      <c r="I87" s="12">
        <f>IF('Engineering Cost'!I87=0,0,MAX('Engineering Cost'!I87*'Engineering Assumptions'!$B$6,'Engineering Assumptions'!$B$9))</f>
        <v>78000</v>
      </c>
      <c r="J87" s="12">
        <f>'Engineering Cost'!J87*'Engineering Assumptions'!$B$6</f>
        <v>27000</v>
      </c>
      <c r="K87" s="12">
        <f>'Engineering Cost'!K87*'Engineering Assumptions'!$B$6</f>
        <v>21600</v>
      </c>
      <c r="L87" s="13">
        <f t="shared" si="4"/>
        <v>355800</v>
      </c>
      <c r="M87" s="13">
        <f>L87*(1+'Engineering Assumptions'!$B$10)</f>
        <v>409169.99999999994</v>
      </c>
    </row>
    <row r="88" spans="1:13" ht="15" customHeight="1" x14ac:dyDescent="0.3">
      <c r="A88" s="9">
        <v>78</v>
      </c>
      <c r="B88" s="46" t="s">
        <v>205</v>
      </c>
      <c r="C88" s="46" t="s">
        <v>216</v>
      </c>
      <c r="D88" s="46" t="s">
        <v>217</v>
      </c>
      <c r="E88" s="46"/>
      <c r="F88" s="48" t="s">
        <v>49</v>
      </c>
      <c r="G88" s="9">
        <v>10</v>
      </c>
      <c r="H88" s="12">
        <f>'Engineering Cost'!H88*'Engineering Assumptions'!$B$6</f>
        <v>229200</v>
      </c>
      <c r="I88" s="12">
        <f>IF('Engineering Cost'!I88=0,0,MAX('Engineering Cost'!I88*'Engineering Assumptions'!$B$6,'Engineering Assumptions'!$B$9))</f>
        <v>78000</v>
      </c>
      <c r="J88" s="12">
        <f>'Engineering Cost'!J88*'Engineering Assumptions'!$B$6</f>
        <v>27000</v>
      </c>
      <c r="K88" s="12">
        <f>'Engineering Cost'!K88*'Engineering Assumptions'!$B$6</f>
        <v>21600</v>
      </c>
      <c r="L88" s="13">
        <f t="shared" si="4"/>
        <v>355800</v>
      </c>
      <c r="M88" s="13">
        <f>L88*(1+'Engineering Assumptions'!$B$10)</f>
        <v>409169.99999999994</v>
      </c>
    </row>
    <row r="89" spans="1:13" ht="15" customHeight="1" x14ac:dyDescent="0.3">
      <c r="A89" s="9">
        <v>79</v>
      </c>
      <c r="B89" s="46" t="s">
        <v>205</v>
      </c>
      <c r="C89" s="46" t="s">
        <v>218</v>
      </c>
      <c r="D89" s="46" t="s">
        <v>219</v>
      </c>
      <c r="E89" s="46"/>
      <c r="F89" s="48" t="s">
        <v>49</v>
      </c>
      <c r="G89" s="9">
        <v>10</v>
      </c>
      <c r="H89" s="12">
        <f>'Engineering Cost'!H89*'Engineering Assumptions'!$B$6</f>
        <v>229200</v>
      </c>
      <c r="I89" s="12">
        <f>IF('Engineering Cost'!I89=0,0,MAX('Engineering Cost'!I89*'Engineering Assumptions'!$B$6,'Engineering Assumptions'!$B$9))</f>
        <v>78000</v>
      </c>
      <c r="J89" s="12">
        <f>'Engineering Cost'!J89*'Engineering Assumptions'!$B$6</f>
        <v>27000</v>
      </c>
      <c r="K89" s="12">
        <f>'Engineering Cost'!K89*'Engineering Assumptions'!$B$6</f>
        <v>21600</v>
      </c>
      <c r="L89" s="13">
        <f t="shared" si="4"/>
        <v>355800</v>
      </c>
      <c r="M89" s="13">
        <f>L89*(1+'Engineering Assumptions'!$B$10)</f>
        <v>409169.99999999994</v>
      </c>
    </row>
    <row r="90" spans="1:13" ht="15" customHeight="1" x14ac:dyDescent="0.3">
      <c r="A90" s="9">
        <v>80</v>
      </c>
      <c r="B90" s="46" t="s">
        <v>205</v>
      </c>
      <c r="C90" s="46" t="s">
        <v>218</v>
      </c>
      <c r="D90" s="46" t="s">
        <v>220</v>
      </c>
      <c r="E90" s="46"/>
      <c r="F90" s="48" t="s">
        <v>49</v>
      </c>
      <c r="G90" s="9">
        <v>10</v>
      </c>
      <c r="H90" s="12">
        <f>'Engineering Cost'!H90*'Engineering Assumptions'!$B$6</f>
        <v>229200</v>
      </c>
      <c r="I90" s="12">
        <f>IF('Engineering Cost'!I90=0,0,MAX('Engineering Cost'!I90*'Engineering Assumptions'!$B$6,'Engineering Assumptions'!$B$9))</f>
        <v>78000</v>
      </c>
      <c r="J90" s="12">
        <f>'Engineering Cost'!J90*'Engineering Assumptions'!$B$6</f>
        <v>27000</v>
      </c>
      <c r="K90" s="12">
        <f>'Engineering Cost'!K90*'Engineering Assumptions'!$B$6</f>
        <v>21600</v>
      </c>
      <c r="L90" s="13">
        <f t="shared" si="4"/>
        <v>355800</v>
      </c>
      <c r="M90" s="13">
        <f>L90*(1+'Engineering Assumptions'!$B$10)</f>
        <v>409169.99999999994</v>
      </c>
    </row>
    <row r="91" spans="1:13" ht="15" customHeight="1" x14ac:dyDescent="0.3">
      <c r="A91" s="9">
        <v>81</v>
      </c>
      <c r="B91" s="46" t="s">
        <v>205</v>
      </c>
      <c r="C91" s="46" t="s">
        <v>188</v>
      </c>
      <c r="D91" s="46" t="s">
        <v>221</v>
      </c>
      <c r="E91" s="46"/>
      <c r="F91" s="48" t="s">
        <v>61</v>
      </c>
      <c r="G91" s="9">
        <v>11</v>
      </c>
      <c r="H91" s="12">
        <f>'Engineering Cost'!H91*'Engineering Assumptions'!$B$6</f>
        <v>229200</v>
      </c>
      <c r="I91" s="12">
        <f>IF('Engineering Cost'!I91=0,0,MAX('Engineering Cost'!I91*'Engineering Assumptions'!$B$6,'Engineering Assumptions'!$B$9))</f>
        <v>78000</v>
      </c>
      <c r="J91" s="12">
        <f>'Engineering Cost'!J91*'Engineering Assumptions'!$B$6</f>
        <v>33480</v>
      </c>
      <c r="K91" s="12">
        <f>'Engineering Cost'!K91*'Engineering Assumptions'!$B$6</f>
        <v>38880</v>
      </c>
      <c r="L91" s="13">
        <f t="shared" si="4"/>
        <v>379560</v>
      </c>
      <c r="M91" s="13">
        <f>L91*(1+'Engineering Assumptions'!$B$10)</f>
        <v>436493.99999999994</v>
      </c>
    </row>
    <row r="92" spans="1:13" ht="15" customHeight="1" x14ac:dyDescent="0.3">
      <c r="A92" s="9">
        <v>82</v>
      </c>
      <c r="B92" s="46" t="s">
        <v>205</v>
      </c>
      <c r="C92" s="46" t="s">
        <v>214</v>
      </c>
      <c r="D92" s="46" t="s">
        <v>222</v>
      </c>
      <c r="E92" s="46"/>
      <c r="F92" s="48" t="s">
        <v>61</v>
      </c>
      <c r="G92" s="9">
        <v>11</v>
      </c>
      <c r="H92" s="12">
        <f>'Engineering Cost'!H92*'Engineering Assumptions'!$B$6</f>
        <v>229200</v>
      </c>
      <c r="I92" s="12">
        <f>IF('Engineering Cost'!I92=0,0,MAX('Engineering Cost'!I92*'Engineering Assumptions'!$B$6,'Engineering Assumptions'!$B$9))</f>
        <v>78000</v>
      </c>
      <c r="J92" s="12">
        <f>'Engineering Cost'!J92*'Engineering Assumptions'!$B$6</f>
        <v>33480</v>
      </c>
      <c r="K92" s="12">
        <f>'Engineering Cost'!K92*'Engineering Assumptions'!$B$6</f>
        <v>38880</v>
      </c>
      <c r="L92" s="13">
        <f t="shared" si="4"/>
        <v>379560</v>
      </c>
      <c r="M92" s="13">
        <f>L92*(1+'Engineering Assumptions'!$B$10)</f>
        <v>436493.99999999994</v>
      </c>
    </row>
    <row r="93" spans="1:13" ht="15" customHeight="1" x14ac:dyDescent="0.3">
      <c r="A93" s="9">
        <v>83</v>
      </c>
      <c r="B93" s="46" t="s">
        <v>205</v>
      </c>
      <c r="C93" s="46" t="s">
        <v>216</v>
      </c>
      <c r="D93" s="46" t="s">
        <v>223</v>
      </c>
      <c r="E93" s="46"/>
      <c r="F93" s="48" t="s">
        <v>61</v>
      </c>
      <c r="G93" s="9">
        <v>11</v>
      </c>
      <c r="H93" s="12">
        <f>'Engineering Cost'!H93*'Engineering Assumptions'!$B$6</f>
        <v>229200</v>
      </c>
      <c r="I93" s="12">
        <f>IF('Engineering Cost'!I93=0,0,MAX('Engineering Cost'!I93*'Engineering Assumptions'!$B$6,'Engineering Assumptions'!$B$9))</f>
        <v>78000</v>
      </c>
      <c r="J93" s="12">
        <f>'Engineering Cost'!J93*'Engineering Assumptions'!$B$6</f>
        <v>33480</v>
      </c>
      <c r="K93" s="12">
        <f>'Engineering Cost'!K93*'Engineering Assumptions'!$B$6</f>
        <v>38880</v>
      </c>
      <c r="L93" s="13">
        <f t="shared" si="4"/>
        <v>379560</v>
      </c>
      <c r="M93" s="13">
        <f>L93*(1+'Engineering Assumptions'!$B$10)</f>
        <v>436493.99999999994</v>
      </c>
    </row>
    <row r="94" spans="1:13" ht="15" customHeight="1" x14ac:dyDescent="0.3">
      <c r="A94" s="9">
        <v>84</v>
      </c>
      <c r="B94" s="46" t="s">
        <v>205</v>
      </c>
      <c r="C94" s="46" t="s">
        <v>214</v>
      </c>
      <c r="D94" s="46" t="s">
        <v>224</v>
      </c>
      <c r="E94" s="46"/>
      <c r="F94" s="48" t="s">
        <v>94</v>
      </c>
      <c r="G94" s="9">
        <v>12</v>
      </c>
      <c r="H94" s="12">
        <f>'Engineering Cost'!H94*'Engineering Assumptions'!$B$6</f>
        <v>229200</v>
      </c>
      <c r="I94" s="12">
        <f>IF('Engineering Cost'!I94=0,0,MAX('Engineering Cost'!I94*'Engineering Assumptions'!$B$6,'Engineering Assumptions'!$B$9))</f>
        <v>78000</v>
      </c>
      <c r="J94" s="12">
        <f>'Engineering Cost'!J94*'Engineering Assumptions'!$B$6</f>
        <v>33480</v>
      </c>
      <c r="K94" s="12">
        <f>'Engineering Cost'!K94*'Engineering Assumptions'!$B$6</f>
        <v>38880</v>
      </c>
      <c r="L94" s="13">
        <f t="shared" si="4"/>
        <v>379560</v>
      </c>
      <c r="M94" s="13">
        <f>L94*(1+'Engineering Assumptions'!$B$10)</f>
        <v>436493.99999999994</v>
      </c>
    </row>
    <row r="95" spans="1:13" ht="15" customHeight="1" x14ac:dyDescent="0.3">
      <c r="A95" s="9">
        <v>85</v>
      </c>
      <c r="B95" s="46" t="s">
        <v>205</v>
      </c>
      <c r="C95" s="46" t="s">
        <v>216</v>
      </c>
      <c r="D95" s="46" t="s">
        <v>225</v>
      </c>
      <c r="E95" s="46"/>
      <c r="F95" s="48" t="s">
        <v>94</v>
      </c>
      <c r="G95" s="9">
        <v>12</v>
      </c>
      <c r="H95" s="12">
        <f>'Engineering Cost'!H95*'Engineering Assumptions'!$B$6</f>
        <v>229200</v>
      </c>
      <c r="I95" s="12">
        <f>IF('Engineering Cost'!I95=0,0,MAX('Engineering Cost'!I95*'Engineering Assumptions'!$B$6,'Engineering Assumptions'!$B$9))</f>
        <v>78000</v>
      </c>
      <c r="J95" s="12">
        <f>'Engineering Cost'!J95*'Engineering Assumptions'!$B$6</f>
        <v>33480</v>
      </c>
      <c r="K95" s="12">
        <f>'Engineering Cost'!K95*'Engineering Assumptions'!$B$6</f>
        <v>38880</v>
      </c>
      <c r="L95" s="13">
        <f t="shared" si="4"/>
        <v>379560</v>
      </c>
      <c r="M95" s="13">
        <f>L95*(1+'Engineering Assumptions'!$B$10)</f>
        <v>436493.99999999994</v>
      </c>
    </row>
    <row r="96" spans="1:13" ht="15" customHeight="1" x14ac:dyDescent="0.3">
      <c r="A96" s="9">
        <v>86</v>
      </c>
      <c r="B96" s="46" t="s">
        <v>205</v>
      </c>
      <c r="C96" s="46" t="s">
        <v>188</v>
      </c>
      <c r="D96" s="46" t="s">
        <v>226</v>
      </c>
      <c r="E96" s="46"/>
      <c r="F96" s="48" t="s">
        <v>99</v>
      </c>
      <c r="G96" s="9">
        <v>13</v>
      </c>
      <c r="H96" s="12">
        <f>'Engineering Cost'!H96*'Engineering Assumptions'!$B$6</f>
        <v>229200</v>
      </c>
      <c r="I96" s="12">
        <f>IF('Engineering Cost'!I96=0,0,MAX('Engineering Cost'!I96*'Engineering Assumptions'!$B$6,'Engineering Assumptions'!$B$9))</f>
        <v>78000</v>
      </c>
      <c r="J96" s="12">
        <f>'Engineering Cost'!J96*'Engineering Assumptions'!$B$6</f>
        <v>33480</v>
      </c>
      <c r="K96" s="12">
        <f>'Engineering Cost'!K96*'Engineering Assumptions'!$B$6</f>
        <v>38880</v>
      </c>
      <c r="L96" s="13">
        <f t="shared" si="4"/>
        <v>379560</v>
      </c>
      <c r="M96" s="13">
        <f>L96*(1+'Engineering Assumptions'!$B$10)</f>
        <v>436493.99999999994</v>
      </c>
    </row>
    <row r="97" spans="1:13" ht="15" customHeight="1" x14ac:dyDescent="0.3">
      <c r="A97" s="9">
        <v>87</v>
      </c>
      <c r="B97" s="46" t="s">
        <v>205</v>
      </c>
      <c r="C97" s="46" t="s">
        <v>227</v>
      </c>
      <c r="D97" s="46" t="s">
        <v>228</v>
      </c>
      <c r="E97" s="46"/>
      <c r="F97" s="48" t="s">
        <v>99</v>
      </c>
      <c r="G97" s="9">
        <v>13</v>
      </c>
      <c r="H97" s="12">
        <f>'Engineering Cost'!H97*'Engineering Assumptions'!$B$6</f>
        <v>229200</v>
      </c>
      <c r="I97" s="12">
        <f>IF('Engineering Cost'!I97=0,0,MAX('Engineering Cost'!I97*'Engineering Assumptions'!$B$6,'Engineering Assumptions'!$B$9))</f>
        <v>78000</v>
      </c>
      <c r="J97" s="12">
        <f>'Engineering Cost'!J97*'Engineering Assumptions'!$B$6</f>
        <v>33480</v>
      </c>
      <c r="K97" s="12">
        <f>'Engineering Cost'!K97*'Engineering Assumptions'!$B$6</f>
        <v>38880</v>
      </c>
      <c r="L97" s="13">
        <f t="shared" si="4"/>
        <v>379560</v>
      </c>
      <c r="M97" s="13">
        <f>L97*(1+'Engineering Assumptions'!$B$10)</f>
        <v>436493.99999999994</v>
      </c>
    </row>
    <row r="98" spans="1:13" ht="15" customHeight="1" x14ac:dyDescent="0.3">
      <c r="A98" s="9">
        <v>88</v>
      </c>
      <c r="B98" s="46" t="s">
        <v>205</v>
      </c>
      <c r="C98" s="46" t="s">
        <v>229</v>
      </c>
      <c r="D98" s="46" t="s">
        <v>230</v>
      </c>
      <c r="E98" s="46"/>
      <c r="F98" s="48" t="s">
        <v>99</v>
      </c>
      <c r="G98" s="9">
        <v>13</v>
      </c>
      <c r="H98" s="12">
        <f>'Engineering Cost'!H98*'Engineering Assumptions'!$B$6</f>
        <v>229200</v>
      </c>
      <c r="I98" s="12">
        <f>IF('Engineering Cost'!I98=0,0,MAX('Engineering Cost'!I98*'Engineering Assumptions'!$B$6,'Engineering Assumptions'!$B$9))</f>
        <v>78000</v>
      </c>
      <c r="J98" s="12">
        <f>'Engineering Cost'!J98*'Engineering Assumptions'!$B$6</f>
        <v>33480</v>
      </c>
      <c r="K98" s="12">
        <f>'Engineering Cost'!K98*'Engineering Assumptions'!$B$6</f>
        <v>38880</v>
      </c>
      <c r="L98" s="13">
        <f t="shared" si="4"/>
        <v>379560</v>
      </c>
      <c r="M98" s="13">
        <f>L98*(1+'Engineering Assumptions'!$B$10)</f>
        <v>436493.99999999994</v>
      </c>
    </row>
    <row r="99" spans="1:13" ht="15" customHeight="1" x14ac:dyDescent="0.3">
      <c r="A99" s="9">
        <v>89</v>
      </c>
      <c r="B99" s="46" t="s">
        <v>205</v>
      </c>
      <c r="C99" s="46" t="s">
        <v>229</v>
      </c>
      <c r="D99" s="46" t="s">
        <v>231</v>
      </c>
      <c r="E99" s="46"/>
      <c r="F99" s="48" t="s">
        <v>99</v>
      </c>
      <c r="G99" s="9">
        <v>13</v>
      </c>
      <c r="H99" s="12">
        <f>'Engineering Cost'!H99*'Engineering Assumptions'!$B$6</f>
        <v>229200</v>
      </c>
      <c r="I99" s="12">
        <f>IF('Engineering Cost'!I99=0,0,MAX('Engineering Cost'!I99*'Engineering Assumptions'!$B$6,'Engineering Assumptions'!$B$9))</f>
        <v>78000</v>
      </c>
      <c r="J99" s="12">
        <f>'Engineering Cost'!J99*'Engineering Assumptions'!$B$6</f>
        <v>33480</v>
      </c>
      <c r="K99" s="12">
        <f>'Engineering Cost'!K99*'Engineering Assumptions'!$B$6</f>
        <v>38880</v>
      </c>
      <c r="L99" s="13">
        <f t="shared" si="4"/>
        <v>379560</v>
      </c>
      <c r="M99" s="13">
        <f>L99*(1+'Engineering Assumptions'!$B$10)</f>
        <v>436493.99999999994</v>
      </c>
    </row>
    <row r="100" spans="1:13" ht="15" customHeight="1" x14ac:dyDescent="0.3">
      <c r="A100" s="9">
        <v>90</v>
      </c>
      <c r="B100" s="46" t="s">
        <v>205</v>
      </c>
      <c r="C100" s="46" t="s">
        <v>214</v>
      </c>
      <c r="D100" s="46" t="s">
        <v>232</v>
      </c>
      <c r="E100" s="46"/>
      <c r="F100" s="48" t="s">
        <v>99</v>
      </c>
      <c r="G100" s="9">
        <v>13</v>
      </c>
      <c r="H100" s="12">
        <f>'Engineering Cost'!H100*'Engineering Assumptions'!$B$6</f>
        <v>229200</v>
      </c>
      <c r="I100" s="12">
        <f>IF('Engineering Cost'!I100=0,0,MAX('Engineering Cost'!I100*'Engineering Assumptions'!$B$6,'Engineering Assumptions'!$B$9))</f>
        <v>78000</v>
      </c>
      <c r="J100" s="12">
        <f>'Engineering Cost'!J100*'Engineering Assumptions'!$B$6</f>
        <v>33480</v>
      </c>
      <c r="K100" s="12">
        <f>'Engineering Cost'!K100*'Engineering Assumptions'!$B$6</f>
        <v>38880</v>
      </c>
      <c r="L100" s="13">
        <f t="shared" si="4"/>
        <v>379560</v>
      </c>
      <c r="M100" s="13">
        <f>L100*(1+'Engineering Assumptions'!$B$10)</f>
        <v>436493.99999999994</v>
      </c>
    </row>
    <row r="101" spans="1:13" ht="15" customHeight="1" x14ac:dyDescent="0.3">
      <c r="A101" s="9">
        <v>91</v>
      </c>
      <c r="B101" s="46" t="s">
        <v>205</v>
      </c>
      <c r="C101" s="46" t="s">
        <v>214</v>
      </c>
      <c r="D101" s="46" t="s">
        <v>233</v>
      </c>
      <c r="E101" s="46"/>
      <c r="F101" s="48" t="s">
        <v>99</v>
      </c>
      <c r="G101" s="9">
        <v>13</v>
      </c>
      <c r="H101" s="12">
        <f>'Engineering Cost'!H101*'Engineering Assumptions'!$B$6</f>
        <v>229200</v>
      </c>
      <c r="I101" s="12">
        <f>IF('Engineering Cost'!I101=0,0,MAX('Engineering Cost'!I101*'Engineering Assumptions'!$B$6,'Engineering Assumptions'!$B$9))</f>
        <v>78000</v>
      </c>
      <c r="J101" s="12">
        <f>'Engineering Cost'!J101*'Engineering Assumptions'!$B$6</f>
        <v>33480</v>
      </c>
      <c r="K101" s="12">
        <f>'Engineering Cost'!K101*'Engineering Assumptions'!$B$6</f>
        <v>38880</v>
      </c>
      <c r="L101" s="13">
        <f t="shared" si="4"/>
        <v>379560</v>
      </c>
      <c r="M101" s="13">
        <f>L101*(1+'Engineering Assumptions'!$B$10)</f>
        <v>436493.99999999994</v>
      </c>
    </row>
    <row r="102" spans="1:13" ht="15" customHeight="1" x14ac:dyDescent="0.3">
      <c r="A102" s="9">
        <v>92</v>
      </c>
      <c r="B102" s="46" t="s">
        <v>205</v>
      </c>
      <c r="C102" s="46" t="s">
        <v>234</v>
      </c>
      <c r="D102" s="46" t="s">
        <v>235</v>
      </c>
      <c r="E102" s="46"/>
      <c r="F102" s="48" t="s">
        <v>99</v>
      </c>
      <c r="G102" s="9">
        <v>13</v>
      </c>
      <c r="H102" s="12">
        <f>'Engineering Cost'!H102*'Engineering Assumptions'!$B$6</f>
        <v>229200</v>
      </c>
      <c r="I102" s="12">
        <f>IF('Engineering Cost'!I102=0,0,MAX('Engineering Cost'!I102*'Engineering Assumptions'!$B$6,'Engineering Assumptions'!$B$9))</f>
        <v>78000</v>
      </c>
      <c r="J102" s="12">
        <f>'Engineering Cost'!J102*'Engineering Assumptions'!$B$6</f>
        <v>33480</v>
      </c>
      <c r="K102" s="12">
        <f>'Engineering Cost'!K102*'Engineering Assumptions'!$B$6</f>
        <v>38880</v>
      </c>
      <c r="L102" s="13">
        <f t="shared" si="4"/>
        <v>379560</v>
      </c>
      <c r="M102" s="13">
        <f>L102*(1+'Engineering Assumptions'!$B$10)</f>
        <v>436493.99999999994</v>
      </c>
    </row>
    <row r="103" spans="1:13" ht="15" customHeight="1" x14ac:dyDescent="0.3">
      <c r="A103" s="9">
        <v>93</v>
      </c>
      <c r="B103" s="46" t="s">
        <v>205</v>
      </c>
      <c r="C103" s="46" t="s">
        <v>236</v>
      </c>
      <c r="D103" s="46" t="s">
        <v>237</v>
      </c>
      <c r="E103" s="46"/>
      <c r="F103" s="48" t="s">
        <v>99</v>
      </c>
      <c r="G103" s="9">
        <v>13</v>
      </c>
      <c r="H103" s="12">
        <f>'Engineering Cost'!H103*'Engineering Assumptions'!$B$6</f>
        <v>229200</v>
      </c>
      <c r="I103" s="12">
        <f>IF('Engineering Cost'!I103=0,0,MAX('Engineering Cost'!I103*'Engineering Assumptions'!$B$6,'Engineering Assumptions'!$B$9))</f>
        <v>78000</v>
      </c>
      <c r="J103" s="12">
        <f>'Engineering Cost'!J103*'Engineering Assumptions'!$B$6</f>
        <v>33480</v>
      </c>
      <c r="K103" s="12">
        <f>'Engineering Cost'!K103*'Engineering Assumptions'!$B$6</f>
        <v>38880</v>
      </c>
      <c r="L103" s="13">
        <f t="shared" si="4"/>
        <v>379560</v>
      </c>
      <c r="M103" s="13">
        <f>L103*(1+'Engineering Assumptions'!$B$10)</f>
        <v>436493.99999999994</v>
      </c>
    </row>
    <row r="104" spans="1:13" ht="15" customHeight="1" x14ac:dyDescent="0.3">
      <c r="A104" s="9">
        <v>94</v>
      </c>
      <c r="B104" s="46" t="s">
        <v>205</v>
      </c>
      <c r="C104" s="46" t="s">
        <v>238</v>
      </c>
      <c r="D104" s="46" t="s">
        <v>239</v>
      </c>
      <c r="E104" s="46"/>
      <c r="F104" s="48" t="s">
        <v>99</v>
      </c>
      <c r="G104" s="9">
        <v>13</v>
      </c>
      <c r="H104" s="12">
        <f>'Engineering Cost'!H104*'Engineering Assumptions'!$B$6</f>
        <v>229200</v>
      </c>
      <c r="I104" s="12">
        <f>IF('Engineering Cost'!I104=0,0,MAX('Engineering Cost'!I104*'Engineering Assumptions'!$B$6,'Engineering Assumptions'!$B$9))</f>
        <v>78000</v>
      </c>
      <c r="J104" s="12">
        <f>'Engineering Cost'!J104*'Engineering Assumptions'!$B$6</f>
        <v>33480</v>
      </c>
      <c r="K104" s="12">
        <f>'Engineering Cost'!K104*'Engineering Assumptions'!$B$6</f>
        <v>38880</v>
      </c>
      <c r="L104" s="13">
        <f t="shared" si="4"/>
        <v>379560</v>
      </c>
      <c r="M104" s="13">
        <f>L104*(1+'Engineering Assumptions'!$B$10)</f>
        <v>436493.99999999994</v>
      </c>
    </row>
    <row r="105" spans="1:13" ht="15" customHeight="1" x14ac:dyDescent="0.3">
      <c r="A105" s="9">
        <v>95</v>
      </c>
      <c r="B105" s="46" t="s">
        <v>205</v>
      </c>
      <c r="C105" s="46" t="s">
        <v>240</v>
      </c>
      <c r="D105" s="46" t="s">
        <v>241</v>
      </c>
      <c r="E105" s="46"/>
      <c r="F105" s="48" t="s">
        <v>99</v>
      </c>
      <c r="G105" s="9">
        <v>13</v>
      </c>
      <c r="H105" s="12">
        <f>'Engineering Cost'!H105*'Engineering Assumptions'!$B$6</f>
        <v>229200</v>
      </c>
      <c r="I105" s="12">
        <f>IF('Engineering Cost'!I105=0,0,MAX('Engineering Cost'!I105*'Engineering Assumptions'!$B$6,'Engineering Assumptions'!$B$9))</f>
        <v>78000</v>
      </c>
      <c r="J105" s="12">
        <f>'Engineering Cost'!J105*'Engineering Assumptions'!$B$6</f>
        <v>33480</v>
      </c>
      <c r="K105" s="12">
        <f>'Engineering Cost'!K105*'Engineering Assumptions'!$B$6</f>
        <v>38880</v>
      </c>
      <c r="L105" s="13">
        <f t="shared" si="4"/>
        <v>379560</v>
      </c>
      <c r="M105" s="13">
        <f>L105*(1+'Engineering Assumptions'!$B$10)</f>
        <v>436493.99999999994</v>
      </c>
    </row>
    <row r="106" spans="1:13" ht="15" customHeight="1" x14ac:dyDescent="0.3">
      <c r="A106" s="9">
        <v>96</v>
      </c>
      <c r="B106" s="46" t="s">
        <v>205</v>
      </c>
      <c r="C106" s="46" t="s">
        <v>188</v>
      </c>
      <c r="D106" s="46" t="s">
        <v>242</v>
      </c>
      <c r="E106" s="46"/>
      <c r="F106" s="48" t="s">
        <v>66</v>
      </c>
      <c r="G106" s="9">
        <v>14</v>
      </c>
      <c r="H106" s="12">
        <f>'Engineering Cost'!H106*'Engineering Assumptions'!$B$6</f>
        <v>229200</v>
      </c>
      <c r="I106" s="12">
        <f>IF('Engineering Cost'!I106=0,0,MAX('Engineering Cost'!I106*'Engineering Assumptions'!$B$6,'Engineering Assumptions'!$B$9))</f>
        <v>78000</v>
      </c>
      <c r="J106" s="12">
        <f>'Engineering Cost'!J106*'Engineering Assumptions'!$B$6</f>
        <v>33480</v>
      </c>
      <c r="K106" s="12">
        <f>'Engineering Cost'!K106*'Engineering Assumptions'!$B$6</f>
        <v>38880</v>
      </c>
      <c r="L106" s="13">
        <f t="shared" si="4"/>
        <v>379560</v>
      </c>
      <c r="M106" s="13">
        <f>L106*(1+'Engineering Assumptions'!$B$10)</f>
        <v>436493.99999999994</v>
      </c>
    </row>
    <row r="107" spans="1:13" ht="15" customHeight="1" x14ac:dyDescent="0.3">
      <c r="A107" s="9">
        <v>97</v>
      </c>
      <c r="B107" s="46" t="s">
        <v>205</v>
      </c>
      <c r="C107" s="46" t="s">
        <v>188</v>
      </c>
      <c r="D107" s="46" t="s">
        <v>243</v>
      </c>
      <c r="E107" s="46"/>
      <c r="F107" s="48" t="s">
        <v>66</v>
      </c>
      <c r="G107" s="9">
        <v>14</v>
      </c>
      <c r="H107" s="12">
        <f>'Engineering Cost'!H107*'Engineering Assumptions'!$B$6</f>
        <v>229200</v>
      </c>
      <c r="I107" s="12">
        <f>IF('Engineering Cost'!I107=0,0,MAX('Engineering Cost'!I107*'Engineering Assumptions'!$B$6,'Engineering Assumptions'!$B$9))</f>
        <v>78000</v>
      </c>
      <c r="J107" s="12">
        <f>'Engineering Cost'!J107*'Engineering Assumptions'!$B$6</f>
        <v>33480</v>
      </c>
      <c r="K107" s="12">
        <f>'Engineering Cost'!K107*'Engineering Assumptions'!$B$6</f>
        <v>38880</v>
      </c>
      <c r="L107" s="13">
        <f t="shared" si="4"/>
        <v>379560</v>
      </c>
      <c r="M107" s="13">
        <f>L107*(1+'Engineering Assumptions'!$B$10)</f>
        <v>436493.99999999994</v>
      </c>
    </row>
    <row r="108" spans="1:13" ht="15" customHeight="1" x14ac:dyDescent="0.3">
      <c r="A108" s="9">
        <v>98</v>
      </c>
      <c r="B108" s="46" t="s">
        <v>205</v>
      </c>
      <c r="C108" s="46" t="s">
        <v>244</v>
      </c>
      <c r="D108" s="46" t="s">
        <v>245</v>
      </c>
      <c r="E108" s="46"/>
      <c r="F108" s="48" t="s">
        <v>66</v>
      </c>
      <c r="G108" s="9">
        <v>14</v>
      </c>
      <c r="H108" s="12">
        <f>'Engineering Cost'!H108*'Engineering Assumptions'!$B$6</f>
        <v>229200</v>
      </c>
      <c r="I108" s="12">
        <f>IF('Engineering Cost'!I108=0,0,MAX('Engineering Cost'!I108*'Engineering Assumptions'!$B$6,'Engineering Assumptions'!$B$9))</f>
        <v>78000</v>
      </c>
      <c r="J108" s="12">
        <f>'Engineering Cost'!J108*'Engineering Assumptions'!$B$6</f>
        <v>33480</v>
      </c>
      <c r="K108" s="12">
        <f>'Engineering Cost'!K108*'Engineering Assumptions'!$B$6</f>
        <v>38880</v>
      </c>
      <c r="L108" s="13">
        <f t="shared" si="4"/>
        <v>379560</v>
      </c>
      <c r="M108" s="13">
        <f>L108*(1+'Engineering Assumptions'!$B$10)</f>
        <v>436493.99999999994</v>
      </c>
    </row>
    <row r="109" spans="1:13" ht="15" customHeight="1" x14ac:dyDescent="0.3">
      <c r="A109" s="9">
        <v>99</v>
      </c>
      <c r="B109" s="46" t="s">
        <v>205</v>
      </c>
      <c r="C109" s="46" t="s">
        <v>246</v>
      </c>
      <c r="D109" s="46" t="s">
        <v>247</v>
      </c>
      <c r="E109" s="46"/>
      <c r="F109" s="48" t="s">
        <v>66</v>
      </c>
      <c r="G109" s="9">
        <v>14</v>
      </c>
      <c r="H109" s="12">
        <f>'Engineering Cost'!H109*'Engineering Assumptions'!$B$6</f>
        <v>229200</v>
      </c>
      <c r="I109" s="12">
        <f>IF('Engineering Cost'!I109=0,0,MAX('Engineering Cost'!I109*'Engineering Assumptions'!$B$6,'Engineering Assumptions'!$B$9))</f>
        <v>78000</v>
      </c>
      <c r="J109" s="12">
        <f>'Engineering Cost'!J109*'Engineering Assumptions'!$B$6</f>
        <v>33480</v>
      </c>
      <c r="K109" s="12">
        <f>'Engineering Cost'!K109*'Engineering Assumptions'!$B$6</f>
        <v>38880</v>
      </c>
      <c r="L109" s="13">
        <f t="shared" si="4"/>
        <v>379560</v>
      </c>
      <c r="M109" s="13">
        <f>L109*(1+'Engineering Assumptions'!$B$10)</f>
        <v>436493.99999999994</v>
      </c>
    </row>
    <row r="110" spans="1:13" ht="15" customHeight="1" x14ac:dyDescent="0.3">
      <c r="A110" s="9">
        <v>100</v>
      </c>
      <c r="B110" s="46" t="s">
        <v>205</v>
      </c>
      <c r="C110" s="46" t="s">
        <v>188</v>
      </c>
      <c r="D110" s="46" t="s">
        <v>248</v>
      </c>
      <c r="E110" s="46"/>
      <c r="F110" s="48" t="s">
        <v>107</v>
      </c>
      <c r="G110" s="9">
        <v>16</v>
      </c>
      <c r="H110" s="12">
        <f>'Engineering Cost'!H110*'Engineering Assumptions'!$B$6</f>
        <v>229200</v>
      </c>
      <c r="I110" s="12">
        <f>IF('Engineering Cost'!I110=0,0,MAX('Engineering Cost'!I110*'Engineering Assumptions'!$B$6,'Engineering Assumptions'!$B$9))</f>
        <v>78000</v>
      </c>
      <c r="J110" s="12">
        <f>'Engineering Cost'!J110*'Engineering Assumptions'!$B$6</f>
        <v>42120</v>
      </c>
      <c r="K110" s="12">
        <f>'Engineering Cost'!K110*'Engineering Assumptions'!$B$6</f>
        <v>60480</v>
      </c>
      <c r="L110" s="13">
        <f t="shared" si="4"/>
        <v>409800</v>
      </c>
      <c r="M110" s="13">
        <f>L110*(1+'Engineering Assumptions'!$B$10)</f>
        <v>471269.99999999994</v>
      </c>
    </row>
    <row r="111" spans="1:13" ht="15" customHeight="1" x14ac:dyDescent="0.3">
      <c r="A111" s="9">
        <v>101</v>
      </c>
      <c r="B111" s="46" t="s">
        <v>205</v>
      </c>
      <c r="C111" s="46" t="s">
        <v>188</v>
      </c>
      <c r="D111" s="46" t="s">
        <v>249</v>
      </c>
      <c r="E111" s="46"/>
      <c r="F111" s="48" t="s">
        <v>107</v>
      </c>
      <c r="G111" s="9">
        <v>16</v>
      </c>
      <c r="H111" s="12">
        <f>'Engineering Cost'!H111*'Engineering Assumptions'!$B$6</f>
        <v>229200</v>
      </c>
      <c r="I111" s="12">
        <f>IF('Engineering Cost'!I111=0,0,MAX('Engineering Cost'!I111*'Engineering Assumptions'!$B$6,'Engineering Assumptions'!$B$9))</f>
        <v>78000</v>
      </c>
      <c r="J111" s="12">
        <f>'Engineering Cost'!J111*'Engineering Assumptions'!$B$6</f>
        <v>42120</v>
      </c>
      <c r="K111" s="12">
        <f>'Engineering Cost'!K111*'Engineering Assumptions'!$B$6</f>
        <v>60480</v>
      </c>
      <c r="L111" s="13">
        <f t="shared" si="4"/>
        <v>409800</v>
      </c>
      <c r="M111" s="13">
        <f>L111*(1+'Engineering Assumptions'!$B$10)</f>
        <v>471269.99999999994</v>
      </c>
    </row>
    <row r="112" spans="1:13" ht="15" customHeight="1" x14ac:dyDescent="0.3">
      <c r="A112" s="9">
        <v>102</v>
      </c>
      <c r="B112" s="46" t="s">
        <v>205</v>
      </c>
      <c r="C112" s="46" t="s">
        <v>188</v>
      </c>
      <c r="D112" s="46" t="s">
        <v>250</v>
      </c>
      <c r="E112" s="46"/>
      <c r="F112" s="48" t="s">
        <v>195</v>
      </c>
      <c r="G112" s="9">
        <v>30</v>
      </c>
      <c r="H112" s="12">
        <f>'Engineering Cost'!H112*'Engineering Assumptions'!$B$6</f>
        <v>229200</v>
      </c>
      <c r="I112" s="12">
        <f>IF('Engineering Cost'!I112=0,0,MAX('Engineering Cost'!I112*'Engineering Assumptions'!$B$6,'Engineering Assumptions'!$B$9))</f>
        <v>78000</v>
      </c>
      <c r="J112" s="12">
        <f>'Engineering Cost'!J112*'Engineering Assumptions'!$B$6</f>
        <v>51840</v>
      </c>
      <c r="K112" s="12">
        <f>'Engineering Cost'!K112*'Engineering Assumptions'!$B$6</f>
        <v>86400</v>
      </c>
      <c r="L112" s="13">
        <f t="shared" si="4"/>
        <v>445440</v>
      </c>
      <c r="M112" s="13">
        <f>L112*(1+'Engineering Assumptions'!$B$10)</f>
        <v>512255.99999999994</v>
      </c>
    </row>
    <row r="113" spans="1:13" ht="15" customHeight="1" x14ac:dyDescent="0.3">
      <c r="A113" s="9">
        <v>103</v>
      </c>
      <c r="B113" s="46" t="s">
        <v>205</v>
      </c>
      <c r="C113" s="46" t="s">
        <v>188</v>
      </c>
      <c r="D113" s="46" t="s">
        <v>251</v>
      </c>
      <c r="E113" s="46"/>
      <c r="F113" s="48" t="s">
        <v>195</v>
      </c>
      <c r="G113" s="9">
        <v>30</v>
      </c>
      <c r="H113" s="12">
        <f>'Engineering Cost'!H113*'Engineering Assumptions'!$B$6</f>
        <v>229200</v>
      </c>
      <c r="I113" s="12">
        <f>IF('Engineering Cost'!I113=0,0,MAX('Engineering Cost'!I113*'Engineering Assumptions'!$B$6,'Engineering Assumptions'!$B$9))</f>
        <v>78000</v>
      </c>
      <c r="J113" s="12">
        <f>'Engineering Cost'!J113*'Engineering Assumptions'!$B$6</f>
        <v>51840</v>
      </c>
      <c r="K113" s="12">
        <f>'Engineering Cost'!K113*'Engineering Assumptions'!$B$6</f>
        <v>86400</v>
      </c>
      <c r="L113" s="13">
        <f t="shared" si="4"/>
        <v>445440</v>
      </c>
      <c r="M113" s="13">
        <f>L113*(1+'Engineering Assumptions'!$B$10)</f>
        <v>512255.99999999994</v>
      </c>
    </row>
    <row r="114" spans="1:13" ht="15" customHeight="1" x14ac:dyDescent="0.3">
      <c r="A114" s="9">
        <v>104</v>
      </c>
      <c r="B114" s="46" t="s">
        <v>205</v>
      </c>
      <c r="C114" s="46" t="s">
        <v>188</v>
      </c>
      <c r="D114" s="46" t="s">
        <v>252</v>
      </c>
      <c r="E114" s="46"/>
      <c r="F114" s="48" t="s">
        <v>195</v>
      </c>
      <c r="G114" s="9">
        <v>30</v>
      </c>
      <c r="H114" s="12">
        <f>'Engineering Cost'!H114*'Engineering Assumptions'!$B$6</f>
        <v>229200</v>
      </c>
      <c r="I114" s="12">
        <f>IF('Engineering Cost'!I114=0,0,MAX('Engineering Cost'!I114*'Engineering Assumptions'!$B$6,'Engineering Assumptions'!$B$9))</f>
        <v>78000</v>
      </c>
      <c r="J114" s="12">
        <f>'Engineering Cost'!J114*'Engineering Assumptions'!$B$6</f>
        <v>51840</v>
      </c>
      <c r="K114" s="12">
        <f>'Engineering Cost'!K114*'Engineering Assumptions'!$B$6</f>
        <v>86400</v>
      </c>
      <c r="L114" s="13">
        <f t="shared" ref="L114:L145" si="5">SUM(H114:K114)</f>
        <v>445440</v>
      </c>
      <c r="M114" s="13">
        <f>L114*(1+'Engineering Assumptions'!$B$10)</f>
        <v>512255.99999999994</v>
      </c>
    </row>
    <row r="115" spans="1:13" ht="15" customHeight="1" x14ac:dyDescent="0.3">
      <c r="A115" s="9">
        <v>105</v>
      </c>
      <c r="B115" s="46" t="s">
        <v>205</v>
      </c>
      <c r="C115" s="46" t="s">
        <v>188</v>
      </c>
      <c r="D115" s="46" t="s">
        <v>253</v>
      </c>
      <c r="E115" s="46"/>
      <c r="F115" s="48" t="s">
        <v>195</v>
      </c>
      <c r="G115" s="9">
        <v>30</v>
      </c>
      <c r="H115" s="12">
        <f>'Engineering Cost'!H115*'Engineering Assumptions'!$B$6</f>
        <v>229200</v>
      </c>
      <c r="I115" s="12">
        <f>IF('Engineering Cost'!I115=0,0,MAX('Engineering Cost'!I115*'Engineering Assumptions'!$B$6,'Engineering Assumptions'!$B$9))</f>
        <v>78000</v>
      </c>
      <c r="J115" s="12">
        <f>'Engineering Cost'!J115*'Engineering Assumptions'!$B$6</f>
        <v>51840</v>
      </c>
      <c r="K115" s="12">
        <f>'Engineering Cost'!K115*'Engineering Assumptions'!$B$6</f>
        <v>86400</v>
      </c>
      <c r="L115" s="13">
        <f t="shared" si="5"/>
        <v>445440</v>
      </c>
      <c r="M115" s="13">
        <f>L115*(1+'Engineering Assumptions'!$B$10)</f>
        <v>512255.99999999994</v>
      </c>
    </row>
    <row r="116" spans="1:13" ht="15" customHeight="1" x14ac:dyDescent="0.3">
      <c r="A116" s="9">
        <v>106</v>
      </c>
      <c r="B116" s="46" t="s">
        <v>205</v>
      </c>
      <c r="C116" s="46" t="s">
        <v>188</v>
      </c>
      <c r="D116" s="46" t="s">
        <v>254</v>
      </c>
      <c r="E116" s="46"/>
      <c r="F116" s="48" t="s">
        <v>195</v>
      </c>
      <c r="G116" s="9">
        <v>30</v>
      </c>
      <c r="H116" s="12">
        <f>'Engineering Cost'!H116*'Engineering Assumptions'!$B$6</f>
        <v>229200</v>
      </c>
      <c r="I116" s="12">
        <f>IF('Engineering Cost'!I116=0,0,MAX('Engineering Cost'!I116*'Engineering Assumptions'!$B$6,'Engineering Assumptions'!$B$9))</f>
        <v>78000</v>
      </c>
      <c r="J116" s="12">
        <f>'Engineering Cost'!J116*'Engineering Assumptions'!$B$6</f>
        <v>51840</v>
      </c>
      <c r="K116" s="12">
        <f>'Engineering Cost'!K116*'Engineering Assumptions'!$B$6</f>
        <v>86400</v>
      </c>
      <c r="L116" s="13">
        <f t="shared" si="5"/>
        <v>445440</v>
      </c>
      <c r="M116" s="13">
        <f>L116*(1+'Engineering Assumptions'!$B$10)</f>
        <v>512255.99999999994</v>
      </c>
    </row>
    <row r="117" spans="1:13" ht="15" customHeight="1" x14ac:dyDescent="0.3">
      <c r="A117" s="9">
        <v>107</v>
      </c>
      <c r="B117" s="46" t="s">
        <v>205</v>
      </c>
      <c r="C117" s="46" t="s">
        <v>188</v>
      </c>
      <c r="D117" s="46" t="s">
        <v>255</v>
      </c>
      <c r="E117" s="46"/>
      <c r="F117" s="48" t="s">
        <v>195</v>
      </c>
      <c r="G117" s="9">
        <v>30</v>
      </c>
      <c r="H117" s="12">
        <f>'Engineering Cost'!H117*'Engineering Assumptions'!$B$6</f>
        <v>229200</v>
      </c>
      <c r="I117" s="12">
        <f>IF('Engineering Cost'!I117=0,0,MAX('Engineering Cost'!I117*'Engineering Assumptions'!$B$6,'Engineering Assumptions'!$B$9))</f>
        <v>78000</v>
      </c>
      <c r="J117" s="12">
        <f>'Engineering Cost'!J117*'Engineering Assumptions'!$B$6</f>
        <v>51840</v>
      </c>
      <c r="K117" s="12">
        <f>'Engineering Cost'!K117*'Engineering Assumptions'!$B$6</f>
        <v>86400</v>
      </c>
      <c r="L117" s="13">
        <f t="shared" si="5"/>
        <v>445440</v>
      </c>
      <c r="M117" s="13">
        <f>L117*(1+'Engineering Assumptions'!$B$10)</f>
        <v>512255.99999999994</v>
      </c>
    </row>
    <row r="118" spans="1:13" ht="15" customHeight="1" x14ac:dyDescent="0.3">
      <c r="A118" s="9">
        <v>108</v>
      </c>
      <c r="B118" s="46" t="s">
        <v>205</v>
      </c>
      <c r="C118" s="46" t="s">
        <v>188</v>
      </c>
      <c r="D118" s="46" t="s">
        <v>256</v>
      </c>
      <c r="E118" s="46"/>
      <c r="F118" s="48" t="s">
        <v>195</v>
      </c>
      <c r="G118" s="9">
        <v>30</v>
      </c>
      <c r="H118" s="12">
        <f>'Engineering Cost'!H118*'Engineering Assumptions'!$B$6</f>
        <v>229200</v>
      </c>
      <c r="I118" s="12">
        <f>IF('Engineering Cost'!I118=0,0,MAX('Engineering Cost'!I118*'Engineering Assumptions'!$B$6,'Engineering Assumptions'!$B$9))</f>
        <v>78000</v>
      </c>
      <c r="J118" s="12">
        <f>'Engineering Cost'!J118*'Engineering Assumptions'!$B$6</f>
        <v>51840</v>
      </c>
      <c r="K118" s="12">
        <f>'Engineering Cost'!K118*'Engineering Assumptions'!$B$6</f>
        <v>86400</v>
      </c>
      <c r="L118" s="13">
        <f t="shared" si="5"/>
        <v>445440</v>
      </c>
      <c r="M118" s="13">
        <f>L118*(1+'Engineering Assumptions'!$B$10)</f>
        <v>512255.99999999994</v>
      </c>
    </row>
    <row r="119" spans="1:13" ht="15" customHeight="1" x14ac:dyDescent="0.3">
      <c r="A119" s="9">
        <v>109</v>
      </c>
      <c r="B119" s="46" t="s">
        <v>205</v>
      </c>
      <c r="C119" s="46" t="s">
        <v>188</v>
      </c>
      <c r="D119" s="46" t="s">
        <v>257</v>
      </c>
      <c r="E119" s="46"/>
      <c r="F119" s="48" t="s">
        <v>195</v>
      </c>
      <c r="G119" s="9">
        <v>30</v>
      </c>
      <c r="H119" s="12">
        <f>'Engineering Cost'!H119*'Engineering Assumptions'!$B$6</f>
        <v>229200</v>
      </c>
      <c r="I119" s="12">
        <f>IF('Engineering Cost'!I119=0,0,MAX('Engineering Cost'!I119*'Engineering Assumptions'!$B$6,'Engineering Assumptions'!$B$9))</f>
        <v>78000</v>
      </c>
      <c r="J119" s="12">
        <f>'Engineering Cost'!J119*'Engineering Assumptions'!$B$6</f>
        <v>51840</v>
      </c>
      <c r="K119" s="12">
        <f>'Engineering Cost'!K119*'Engineering Assumptions'!$B$6</f>
        <v>86400</v>
      </c>
      <c r="L119" s="13">
        <f t="shared" si="5"/>
        <v>445440</v>
      </c>
      <c r="M119" s="13">
        <f>L119*(1+'Engineering Assumptions'!$B$10)</f>
        <v>512255.99999999994</v>
      </c>
    </row>
    <row r="120" spans="1:13" ht="15" customHeight="1" x14ac:dyDescent="0.3">
      <c r="A120" s="9">
        <v>110</v>
      </c>
      <c r="B120" s="46" t="s">
        <v>205</v>
      </c>
      <c r="C120" s="46" t="s">
        <v>188</v>
      </c>
      <c r="D120" s="46" t="s">
        <v>258</v>
      </c>
      <c r="E120" s="46"/>
      <c r="F120" s="48" t="s">
        <v>195</v>
      </c>
      <c r="G120" s="9">
        <v>30</v>
      </c>
      <c r="H120" s="12">
        <f>'Engineering Cost'!H120*'Engineering Assumptions'!$B$6</f>
        <v>229200</v>
      </c>
      <c r="I120" s="12">
        <f>IF('Engineering Cost'!I120=0,0,MAX('Engineering Cost'!I120*'Engineering Assumptions'!$B$6,'Engineering Assumptions'!$B$9))</f>
        <v>78000</v>
      </c>
      <c r="J120" s="12">
        <f>'Engineering Cost'!J120*'Engineering Assumptions'!$B$6</f>
        <v>51840</v>
      </c>
      <c r="K120" s="12">
        <f>'Engineering Cost'!K120*'Engineering Assumptions'!$B$6</f>
        <v>86400</v>
      </c>
      <c r="L120" s="13">
        <f t="shared" si="5"/>
        <v>445440</v>
      </c>
      <c r="M120" s="13">
        <f>L120*(1+'Engineering Assumptions'!$B$10)</f>
        <v>512255.99999999994</v>
      </c>
    </row>
    <row r="121" spans="1:13" ht="15" customHeight="1" x14ac:dyDescent="0.3">
      <c r="A121" s="9">
        <v>111</v>
      </c>
      <c r="B121" s="46" t="s">
        <v>205</v>
      </c>
      <c r="C121" s="46" t="s">
        <v>188</v>
      </c>
      <c r="D121" s="46" t="s">
        <v>259</v>
      </c>
      <c r="E121" s="46"/>
      <c r="F121" s="48" t="s">
        <v>195</v>
      </c>
      <c r="G121" s="9">
        <v>30</v>
      </c>
      <c r="H121" s="12">
        <f>'Engineering Cost'!H121*'Engineering Assumptions'!$B$6</f>
        <v>229200</v>
      </c>
      <c r="I121" s="12">
        <f>IF('Engineering Cost'!I121=0,0,MAX('Engineering Cost'!I121*'Engineering Assumptions'!$B$6,'Engineering Assumptions'!$B$9))</f>
        <v>78000</v>
      </c>
      <c r="J121" s="12">
        <f>'Engineering Cost'!J121*'Engineering Assumptions'!$B$6</f>
        <v>51840</v>
      </c>
      <c r="K121" s="12">
        <f>'Engineering Cost'!K121*'Engineering Assumptions'!$B$6</f>
        <v>86400</v>
      </c>
      <c r="L121" s="13">
        <f t="shared" si="5"/>
        <v>445440</v>
      </c>
      <c r="M121" s="13">
        <f>L121*(1+'Engineering Assumptions'!$B$10)</f>
        <v>512255.99999999994</v>
      </c>
    </row>
    <row r="122" spans="1:13" ht="15" customHeight="1" x14ac:dyDescent="0.3">
      <c r="A122" s="9">
        <v>112</v>
      </c>
      <c r="B122" s="46" t="s">
        <v>205</v>
      </c>
      <c r="C122" s="46" t="s">
        <v>188</v>
      </c>
      <c r="D122" s="46" t="s">
        <v>260</v>
      </c>
      <c r="E122" s="46"/>
      <c r="F122" s="48" t="s">
        <v>195</v>
      </c>
      <c r="G122" s="9">
        <v>30</v>
      </c>
      <c r="H122" s="12">
        <f>'Engineering Cost'!H122*'Engineering Assumptions'!$B$6</f>
        <v>229200</v>
      </c>
      <c r="I122" s="12">
        <f>IF('Engineering Cost'!I122=0,0,MAX('Engineering Cost'!I122*'Engineering Assumptions'!$B$6,'Engineering Assumptions'!$B$9))</f>
        <v>78000</v>
      </c>
      <c r="J122" s="12">
        <f>'Engineering Cost'!J122*'Engineering Assumptions'!$B$6</f>
        <v>51840</v>
      </c>
      <c r="K122" s="12">
        <f>'Engineering Cost'!K122*'Engineering Assumptions'!$B$6</f>
        <v>86400</v>
      </c>
      <c r="L122" s="13">
        <f t="shared" si="5"/>
        <v>445440</v>
      </c>
      <c r="M122" s="13">
        <f>L122*(1+'Engineering Assumptions'!$B$10)</f>
        <v>512255.99999999994</v>
      </c>
    </row>
    <row r="123" spans="1:13" ht="15" customHeight="1" x14ac:dyDescent="0.3">
      <c r="A123" s="9">
        <v>113</v>
      </c>
      <c r="B123" s="46" t="s">
        <v>205</v>
      </c>
      <c r="C123" s="46" t="s">
        <v>188</v>
      </c>
      <c r="D123" s="46" t="s">
        <v>261</v>
      </c>
      <c r="E123" s="46"/>
      <c r="F123" s="48" t="s">
        <v>195</v>
      </c>
      <c r="G123" s="9">
        <v>30</v>
      </c>
      <c r="H123" s="12">
        <f>'Engineering Cost'!H123*'Engineering Assumptions'!$B$6</f>
        <v>229200</v>
      </c>
      <c r="I123" s="12">
        <f>IF('Engineering Cost'!I123=0,0,MAX('Engineering Cost'!I123*'Engineering Assumptions'!$B$6,'Engineering Assumptions'!$B$9))</f>
        <v>78000</v>
      </c>
      <c r="J123" s="12">
        <f>'Engineering Cost'!J123*'Engineering Assumptions'!$B$6</f>
        <v>51840</v>
      </c>
      <c r="K123" s="12">
        <f>'Engineering Cost'!K123*'Engineering Assumptions'!$B$6</f>
        <v>86400</v>
      </c>
      <c r="L123" s="13">
        <f t="shared" si="5"/>
        <v>445440</v>
      </c>
      <c r="M123" s="13">
        <f>L123*(1+'Engineering Assumptions'!$B$10)</f>
        <v>512255.99999999994</v>
      </c>
    </row>
    <row r="124" spans="1:13" ht="15" customHeight="1" x14ac:dyDescent="0.3">
      <c r="A124" s="9">
        <v>114</v>
      </c>
      <c r="B124" s="46" t="s">
        <v>205</v>
      </c>
      <c r="C124" s="46" t="s">
        <v>188</v>
      </c>
      <c r="D124" s="46" t="s">
        <v>262</v>
      </c>
      <c r="E124" s="46"/>
      <c r="F124" s="48" t="s">
        <v>195</v>
      </c>
      <c r="G124" s="9">
        <v>30</v>
      </c>
      <c r="H124" s="12">
        <f>'Engineering Cost'!H124*'Engineering Assumptions'!$B$6</f>
        <v>229200</v>
      </c>
      <c r="I124" s="12">
        <f>IF('Engineering Cost'!I124=0,0,MAX('Engineering Cost'!I124*'Engineering Assumptions'!$B$6,'Engineering Assumptions'!$B$9))</f>
        <v>78000</v>
      </c>
      <c r="J124" s="12">
        <f>'Engineering Cost'!J124*'Engineering Assumptions'!$B$6</f>
        <v>51840</v>
      </c>
      <c r="K124" s="12">
        <f>'Engineering Cost'!K124*'Engineering Assumptions'!$B$6</f>
        <v>86400</v>
      </c>
      <c r="L124" s="13">
        <f t="shared" si="5"/>
        <v>445440</v>
      </c>
      <c r="M124" s="13">
        <f>L124*(1+'Engineering Assumptions'!$B$10)</f>
        <v>512255.99999999994</v>
      </c>
    </row>
    <row r="125" spans="1:13" ht="15" customHeight="1" x14ac:dyDescent="0.3">
      <c r="A125" s="9">
        <v>115</v>
      </c>
      <c r="B125" s="46" t="s">
        <v>205</v>
      </c>
      <c r="C125" s="46" t="s">
        <v>188</v>
      </c>
      <c r="D125" s="46" t="s">
        <v>263</v>
      </c>
      <c r="E125" s="46"/>
      <c r="F125" s="48" t="s">
        <v>195</v>
      </c>
      <c r="G125" s="9">
        <v>30</v>
      </c>
      <c r="H125" s="12">
        <f>'Engineering Cost'!H125*'Engineering Assumptions'!$B$6</f>
        <v>229200</v>
      </c>
      <c r="I125" s="12">
        <f>IF('Engineering Cost'!I125=0,0,MAX('Engineering Cost'!I125*'Engineering Assumptions'!$B$6,'Engineering Assumptions'!$B$9))</f>
        <v>78000</v>
      </c>
      <c r="J125" s="12">
        <f>'Engineering Cost'!J125*'Engineering Assumptions'!$B$6</f>
        <v>51840</v>
      </c>
      <c r="K125" s="12">
        <f>'Engineering Cost'!K125*'Engineering Assumptions'!$B$6</f>
        <v>86400</v>
      </c>
      <c r="L125" s="13">
        <f t="shared" si="5"/>
        <v>445440</v>
      </c>
      <c r="M125" s="13">
        <f>L125*(1+'Engineering Assumptions'!$B$10)</f>
        <v>512255.99999999994</v>
      </c>
    </row>
    <row r="126" spans="1:13" ht="15" customHeight="1" x14ac:dyDescent="0.3">
      <c r="A126" s="9">
        <v>116</v>
      </c>
      <c r="B126" s="46" t="s">
        <v>205</v>
      </c>
      <c r="C126" s="46" t="s">
        <v>188</v>
      </c>
      <c r="D126" s="46" t="s">
        <v>264</v>
      </c>
      <c r="E126" s="46"/>
      <c r="F126" s="48" t="s">
        <v>195</v>
      </c>
      <c r="G126" s="9">
        <v>30</v>
      </c>
      <c r="H126" s="12">
        <f>'Engineering Cost'!H126*'Engineering Assumptions'!$B$6</f>
        <v>229200</v>
      </c>
      <c r="I126" s="12">
        <f>IF('Engineering Cost'!I126=0,0,MAX('Engineering Cost'!I126*'Engineering Assumptions'!$B$6,'Engineering Assumptions'!$B$9))</f>
        <v>78000</v>
      </c>
      <c r="J126" s="12">
        <f>'Engineering Cost'!J126*'Engineering Assumptions'!$B$6</f>
        <v>51840</v>
      </c>
      <c r="K126" s="12">
        <f>'Engineering Cost'!K126*'Engineering Assumptions'!$B$6</f>
        <v>86400</v>
      </c>
      <c r="L126" s="13">
        <f t="shared" si="5"/>
        <v>445440</v>
      </c>
      <c r="M126" s="13">
        <f>L126*(1+'Engineering Assumptions'!$B$10)</f>
        <v>512255.99999999994</v>
      </c>
    </row>
    <row r="127" spans="1:13" ht="15" customHeight="1" x14ac:dyDescent="0.3">
      <c r="A127" s="9">
        <v>117</v>
      </c>
      <c r="B127" s="46" t="s">
        <v>205</v>
      </c>
      <c r="C127" s="46" t="s">
        <v>188</v>
      </c>
      <c r="D127" s="46" t="s">
        <v>265</v>
      </c>
      <c r="E127" s="46"/>
      <c r="F127" s="48" t="s">
        <v>195</v>
      </c>
      <c r="G127" s="9">
        <v>30</v>
      </c>
      <c r="H127" s="12">
        <f>'Engineering Cost'!H127*'Engineering Assumptions'!$B$6</f>
        <v>229200</v>
      </c>
      <c r="I127" s="12">
        <f>IF('Engineering Cost'!I127=0,0,MAX('Engineering Cost'!I127*'Engineering Assumptions'!$B$6,'Engineering Assumptions'!$B$9))</f>
        <v>78000</v>
      </c>
      <c r="J127" s="12">
        <f>'Engineering Cost'!J127*'Engineering Assumptions'!$B$6</f>
        <v>51840</v>
      </c>
      <c r="K127" s="12">
        <f>'Engineering Cost'!K127*'Engineering Assumptions'!$B$6</f>
        <v>86400</v>
      </c>
      <c r="L127" s="13">
        <f t="shared" si="5"/>
        <v>445440</v>
      </c>
      <c r="M127" s="13">
        <f>L127*(1+'Engineering Assumptions'!$B$10)</f>
        <v>512255.99999999994</v>
      </c>
    </row>
    <row r="128" spans="1:13" ht="15" customHeight="1" x14ac:dyDescent="0.3">
      <c r="A128" s="9">
        <v>118</v>
      </c>
      <c r="B128" s="46" t="s">
        <v>205</v>
      </c>
      <c r="C128" s="46" t="s">
        <v>188</v>
      </c>
      <c r="D128" s="46" t="s">
        <v>266</v>
      </c>
      <c r="E128" s="46"/>
      <c r="F128" s="48" t="s">
        <v>195</v>
      </c>
      <c r="G128" s="9">
        <v>30</v>
      </c>
      <c r="H128" s="12">
        <f>'Engineering Cost'!H128*'Engineering Assumptions'!$B$6</f>
        <v>229200</v>
      </c>
      <c r="I128" s="12">
        <f>IF('Engineering Cost'!I128=0,0,MAX('Engineering Cost'!I128*'Engineering Assumptions'!$B$6,'Engineering Assumptions'!$B$9))</f>
        <v>78000</v>
      </c>
      <c r="J128" s="12">
        <f>'Engineering Cost'!J128*'Engineering Assumptions'!$B$6</f>
        <v>51840</v>
      </c>
      <c r="K128" s="12">
        <f>'Engineering Cost'!K128*'Engineering Assumptions'!$B$6</f>
        <v>86400</v>
      </c>
      <c r="L128" s="13">
        <f t="shared" si="5"/>
        <v>445440</v>
      </c>
      <c r="M128" s="13">
        <f>L128*(1+'Engineering Assumptions'!$B$10)</f>
        <v>512255.99999999994</v>
      </c>
    </row>
    <row r="129" spans="1:13" ht="15" customHeight="1" x14ac:dyDescent="0.3">
      <c r="A129" s="9">
        <v>119</v>
      </c>
      <c r="B129" s="46" t="s">
        <v>205</v>
      </c>
      <c r="C129" s="46" t="s">
        <v>188</v>
      </c>
      <c r="D129" s="46" t="s">
        <v>267</v>
      </c>
      <c r="E129" s="46"/>
      <c r="F129" s="48" t="s">
        <v>195</v>
      </c>
      <c r="G129" s="9">
        <v>30</v>
      </c>
      <c r="H129" s="12">
        <f>'Engineering Cost'!H129*'Engineering Assumptions'!$B$6</f>
        <v>229200</v>
      </c>
      <c r="I129" s="12">
        <f>IF('Engineering Cost'!I129=0,0,MAX('Engineering Cost'!I129*'Engineering Assumptions'!$B$6,'Engineering Assumptions'!$B$9))</f>
        <v>78000</v>
      </c>
      <c r="J129" s="12">
        <f>'Engineering Cost'!J129*'Engineering Assumptions'!$B$6</f>
        <v>51840</v>
      </c>
      <c r="K129" s="12">
        <f>'Engineering Cost'!K129*'Engineering Assumptions'!$B$6</f>
        <v>86400</v>
      </c>
      <c r="L129" s="13">
        <f t="shared" si="5"/>
        <v>445440</v>
      </c>
      <c r="M129" s="13">
        <f>L129*(1+'Engineering Assumptions'!$B$10)</f>
        <v>512255.99999999994</v>
      </c>
    </row>
    <row r="130" spans="1:13" ht="15" customHeight="1" x14ac:dyDescent="0.3">
      <c r="A130" s="9">
        <v>120</v>
      </c>
      <c r="B130" s="46" t="s">
        <v>205</v>
      </c>
      <c r="C130" s="46" t="s">
        <v>188</v>
      </c>
      <c r="D130" s="46" t="s">
        <v>268</v>
      </c>
      <c r="E130" s="46"/>
      <c r="F130" s="48" t="s">
        <v>195</v>
      </c>
      <c r="G130" s="9">
        <v>30</v>
      </c>
      <c r="H130" s="12">
        <f>'Engineering Cost'!H130*'Engineering Assumptions'!$B$6</f>
        <v>229200</v>
      </c>
      <c r="I130" s="12">
        <f>IF('Engineering Cost'!I130=0,0,MAX('Engineering Cost'!I130*'Engineering Assumptions'!$B$6,'Engineering Assumptions'!$B$9))</f>
        <v>78000</v>
      </c>
      <c r="J130" s="12">
        <f>'Engineering Cost'!J130*'Engineering Assumptions'!$B$6</f>
        <v>51840</v>
      </c>
      <c r="K130" s="12">
        <f>'Engineering Cost'!K130*'Engineering Assumptions'!$B$6</f>
        <v>86400</v>
      </c>
      <c r="L130" s="13">
        <f t="shared" si="5"/>
        <v>445440</v>
      </c>
      <c r="M130" s="13">
        <f>L130*(1+'Engineering Assumptions'!$B$10)</f>
        <v>512255.99999999994</v>
      </c>
    </row>
    <row r="131" spans="1:13" ht="15" customHeight="1" x14ac:dyDescent="0.3">
      <c r="A131" s="9">
        <v>121</v>
      </c>
      <c r="B131" s="46" t="s">
        <v>205</v>
      </c>
      <c r="C131" s="46" t="s">
        <v>188</v>
      </c>
      <c r="D131" s="46" t="s">
        <v>269</v>
      </c>
      <c r="E131" s="46"/>
      <c r="F131" s="48" t="s">
        <v>195</v>
      </c>
      <c r="G131" s="9">
        <v>30</v>
      </c>
      <c r="H131" s="12">
        <f>'Engineering Cost'!H131*'Engineering Assumptions'!$B$6</f>
        <v>229200</v>
      </c>
      <c r="I131" s="12">
        <f>IF('Engineering Cost'!I131=0,0,MAX('Engineering Cost'!I131*'Engineering Assumptions'!$B$6,'Engineering Assumptions'!$B$9))</f>
        <v>78000</v>
      </c>
      <c r="J131" s="12">
        <f>'Engineering Cost'!J131*'Engineering Assumptions'!$B$6</f>
        <v>51840</v>
      </c>
      <c r="K131" s="12">
        <f>'Engineering Cost'!K131*'Engineering Assumptions'!$B$6</f>
        <v>86400</v>
      </c>
      <c r="L131" s="13">
        <f t="shared" si="5"/>
        <v>445440</v>
      </c>
      <c r="M131" s="13">
        <f>L131*(1+'Engineering Assumptions'!$B$10)</f>
        <v>512255.99999999994</v>
      </c>
    </row>
    <row r="132" spans="1:13" ht="15" customHeight="1" x14ac:dyDescent="0.3">
      <c r="A132" s="9">
        <v>122</v>
      </c>
      <c r="B132" s="46" t="s">
        <v>205</v>
      </c>
      <c r="C132" s="46" t="s">
        <v>188</v>
      </c>
      <c r="D132" s="46" t="s">
        <v>270</v>
      </c>
      <c r="E132" s="46"/>
      <c r="F132" s="48" t="s">
        <v>195</v>
      </c>
      <c r="G132" s="9">
        <v>30</v>
      </c>
      <c r="H132" s="12">
        <f>'Engineering Cost'!H132*'Engineering Assumptions'!$B$6</f>
        <v>229200</v>
      </c>
      <c r="I132" s="12">
        <f>IF('Engineering Cost'!I132=0,0,MAX('Engineering Cost'!I132*'Engineering Assumptions'!$B$6,'Engineering Assumptions'!$B$9))</f>
        <v>78000</v>
      </c>
      <c r="J132" s="12">
        <f>'Engineering Cost'!J132*'Engineering Assumptions'!$B$6</f>
        <v>51840</v>
      </c>
      <c r="K132" s="12">
        <f>'Engineering Cost'!K132*'Engineering Assumptions'!$B$6</f>
        <v>86400</v>
      </c>
      <c r="L132" s="13">
        <f t="shared" si="5"/>
        <v>445440</v>
      </c>
      <c r="M132" s="13">
        <f>L132*(1+'Engineering Assumptions'!$B$10)</f>
        <v>512255.99999999994</v>
      </c>
    </row>
    <row r="133" spans="1:13" ht="15" customHeight="1" x14ac:dyDescent="0.3">
      <c r="A133" s="9">
        <v>123</v>
      </c>
      <c r="B133" s="46" t="s">
        <v>205</v>
      </c>
      <c r="C133" s="46" t="s">
        <v>188</v>
      </c>
      <c r="D133" s="46" t="s">
        <v>271</v>
      </c>
      <c r="E133" s="46"/>
      <c r="F133" s="48" t="s">
        <v>195</v>
      </c>
      <c r="G133" s="9">
        <v>30</v>
      </c>
      <c r="H133" s="12">
        <f>'Engineering Cost'!H133*'Engineering Assumptions'!$B$6</f>
        <v>229200</v>
      </c>
      <c r="I133" s="12">
        <f>IF('Engineering Cost'!I133=0,0,MAX('Engineering Cost'!I133*'Engineering Assumptions'!$B$6,'Engineering Assumptions'!$B$9))</f>
        <v>78000</v>
      </c>
      <c r="J133" s="12">
        <f>'Engineering Cost'!J133*'Engineering Assumptions'!$B$6</f>
        <v>51840</v>
      </c>
      <c r="K133" s="12">
        <f>'Engineering Cost'!K133*'Engineering Assumptions'!$B$6</f>
        <v>86400</v>
      </c>
      <c r="L133" s="13">
        <f t="shared" si="5"/>
        <v>445440</v>
      </c>
      <c r="M133" s="13">
        <f>L133*(1+'Engineering Assumptions'!$B$10)</f>
        <v>512255.99999999994</v>
      </c>
    </row>
    <row r="134" spans="1:13" ht="15" customHeight="1" x14ac:dyDescent="0.3">
      <c r="A134" s="9">
        <v>124</v>
      </c>
      <c r="B134" s="46" t="s">
        <v>205</v>
      </c>
      <c r="C134" s="46" t="s">
        <v>188</v>
      </c>
      <c r="D134" s="46" t="s">
        <v>272</v>
      </c>
      <c r="E134" s="46"/>
      <c r="F134" s="48" t="s">
        <v>195</v>
      </c>
      <c r="G134" s="9">
        <v>30</v>
      </c>
      <c r="H134" s="12">
        <f>'Engineering Cost'!H134*'Engineering Assumptions'!$B$6</f>
        <v>229200</v>
      </c>
      <c r="I134" s="12">
        <f>IF('Engineering Cost'!I134=0,0,MAX('Engineering Cost'!I134*'Engineering Assumptions'!$B$6,'Engineering Assumptions'!$B$9))</f>
        <v>78000</v>
      </c>
      <c r="J134" s="12">
        <f>'Engineering Cost'!J134*'Engineering Assumptions'!$B$6</f>
        <v>51840</v>
      </c>
      <c r="K134" s="12">
        <f>'Engineering Cost'!K134*'Engineering Assumptions'!$B$6</f>
        <v>86400</v>
      </c>
      <c r="L134" s="13">
        <f t="shared" si="5"/>
        <v>445440</v>
      </c>
      <c r="M134" s="13">
        <f>L134*(1+'Engineering Assumptions'!$B$10)</f>
        <v>512255.99999999994</v>
      </c>
    </row>
    <row r="135" spans="1:13" ht="15" customHeight="1" x14ac:dyDescent="0.3">
      <c r="A135" s="9">
        <v>125</v>
      </c>
      <c r="B135" s="46" t="s">
        <v>205</v>
      </c>
      <c r="C135" s="46" t="s">
        <v>188</v>
      </c>
      <c r="D135" s="46" t="s">
        <v>273</v>
      </c>
      <c r="E135" s="46"/>
      <c r="F135" s="48" t="s">
        <v>195</v>
      </c>
      <c r="G135" s="9">
        <v>30</v>
      </c>
      <c r="H135" s="12">
        <f>'Engineering Cost'!H135*'Engineering Assumptions'!$B$6</f>
        <v>229200</v>
      </c>
      <c r="I135" s="12">
        <f>IF('Engineering Cost'!I135=0,0,MAX('Engineering Cost'!I135*'Engineering Assumptions'!$B$6,'Engineering Assumptions'!$B$9))</f>
        <v>78000</v>
      </c>
      <c r="J135" s="12">
        <f>'Engineering Cost'!J135*'Engineering Assumptions'!$B$6</f>
        <v>51840</v>
      </c>
      <c r="K135" s="12">
        <f>'Engineering Cost'!K135*'Engineering Assumptions'!$B$6</f>
        <v>86400</v>
      </c>
      <c r="L135" s="13">
        <f t="shared" si="5"/>
        <v>445440</v>
      </c>
      <c r="M135" s="13">
        <f>L135*(1+'Engineering Assumptions'!$B$10)</f>
        <v>512255.99999999994</v>
      </c>
    </row>
    <row r="136" spans="1:13" ht="15" customHeight="1" x14ac:dyDescent="0.3">
      <c r="A136" s="9">
        <v>126</v>
      </c>
      <c r="B136" s="46" t="s">
        <v>205</v>
      </c>
      <c r="C136" s="46" t="s">
        <v>188</v>
      </c>
      <c r="D136" s="46" t="s">
        <v>274</v>
      </c>
      <c r="E136" s="46"/>
      <c r="F136" s="48" t="s">
        <v>195</v>
      </c>
      <c r="G136" s="9">
        <v>30</v>
      </c>
      <c r="H136" s="12">
        <f>'Engineering Cost'!H136*'Engineering Assumptions'!$B$6</f>
        <v>229200</v>
      </c>
      <c r="I136" s="12">
        <f>IF('Engineering Cost'!I136=0,0,MAX('Engineering Cost'!I136*'Engineering Assumptions'!$B$6,'Engineering Assumptions'!$B$9))</f>
        <v>78000</v>
      </c>
      <c r="J136" s="12">
        <f>'Engineering Cost'!J136*'Engineering Assumptions'!$B$6</f>
        <v>51840</v>
      </c>
      <c r="K136" s="12">
        <f>'Engineering Cost'!K136*'Engineering Assumptions'!$B$6</f>
        <v>86400</v>
      </c>
      <c r="L136" s="13">
        <f t="shared" si="5"/>
        <v>445440</v>
      </c>
      <c r="M136" s="13">
        <f>L136*(1+'Engineering Assumptions'!$B$10)</f>
        <v>512255.99999999994</v>
      </c>
    </row>
    <row r="137" spans="1:13" ht="15" customHeight="1" x14ac:dyDescent="0.3">
      <c r="A137" s="9">
        <v>127</v>
      </c>
      <c r="B137" s="46" t="s">
        <v>205</v>
      </c>
      <c r="C137" s="46" t="s">
        <v>188</v>
      </c>
      <c r="D137" s="46" t="s">
        <v>275</v>
      </c>
      <c r="E137" s="46"/>
      <c r="F137" s="48" t="s">
        <v>195</v>
      </c>
      <c r="G137" s="9">
        <v>30</v>
      </c>
      <c r="H137" s="12">
        <f>'Engineering Cost'!H137*'Engineering Assumptions'!$B$6</f>
        <v>229200</v>
      </c>
      <c r="I137" s="12">
        <f>IF('Engineering Cost'!I137=0,0,MAX('Engineering Cost'!I137*'Engineering Assumptions'!$B$6,'Engineering Assumptions'!$B$9))</f>
        <v>78000</v>
      </c>
      <c r="J137" s="12">
        <f>'Engineering Cost'!J137*'Engineering Assumptions'!$B$6</f>
        <v>51840</v>
      </c>
      <c r="K137" s="12">
        <f>'Engineering Cost'!K137*'Engineering Assumptions'!$B$6</f>
        <v>86400</v>
      </c>
      <c r="L137" s="13">
        <f t="shared" si="5"/>
        <v>445440</v>
      </c>
      <c r="M137" s="13">
        <f>L137*(1+'Engineering Assumptions'!$B$10)</f>
        <v>512255.99999999994</v>
      </c>
    </row>
    <row r="138" spans="1:13" ht="15" customHeight="1" x14ac:dyDescent="0.3">
      <c r="A138" s="9">
        <v>128</v>
      </c>
      <c r="B138" s="46" t="s">
        <v>205</v>
      </c>
      <c r="C138" s="46" t="s">
        <v>276</v>
      </c>
      <c r="D138" s="46" t="s">
        <v>277</v>
      </c>
      <c r="E138" s="46"/>
      <c r="F138" s="48" t="s">
        <v>195</v>
      </c>
      <c r="G138" s="9">
        <v>30</v>
      </c>
      <c r="H138" s="12">
        <f>'Engineering Cost'!H138*'Engineering Assumptions'!$B$6</f>
        <v>229200</v>
      </c>
      <c r="I138" s="12">
        <f>IF('Engineering Cost'!I138=0,0,MAX('Engineering Cost'!I138*'Engineering Assumptions'!$B$6,'Engineering Assumptions'!$B$9))</f>
        <v>78000</v>
      </c>
      <c r="J138" s="12">
        <f>'Engineering Cost'!J138*'Engineering Assumptions'!$B$6</f>
        <v>51840</v>
      </c>
      <c r="K138" s="12">
        <f>'Engineering Cost'!K138*'Engineering Assumptions'!$B$6</f>
        <v>86400</v>
      </c>
      <c r="L138" s="13">
        <f t="shared" si="5"/>
        <v>445440</v>
      </c>
      <c r="M138" s="13">
        <f>L138*(1+'Engineering Assumptions'!$B$10)</f>
        <v>512255.99999999994</v>
      </c>
    </row>
    <row r="139" spans="1:13" ht="15" customHeight="1" x14ac:dyDescent="0.3">
      <c r="A139" s="9">
        <v>129</v>
      </c>
      <c r="B139" s="46" t="s">
        <v>205</v>
      </c>
      <c r="C139" s="46" t="s">
        <v>276</v>
      </c>
      <c r="D139" s="46" t="s">
        <v>278</v>
      </c>
      <c r="E139" s="46"/>
      <c r="F139" s="48" t="s">
        <v>195</v>
      </c>
      <c r="G139" s="9">
        <v>30</v>
      </c>
      <c r="H139" s="12">
        <f>'Engineering Cost'!H139*'Engineering Assumptions'!$B$6</f>
        <v>229200</v>
      </c>
      <c r="I139" s="12">
        <f>IF('Engineering Cost'!I139=0,0,MAX('Engineering Cost'!I139*'Engineering Assumptions'!$B$6,'Engineering Assumptions'!$B$9))</f>
        <v>78000</v>
      </c>
      <c r="J139" s="12">
        <f>'Engineering Cost'!J139*'Engineering Assumptions'!$B$6</f>
        <v>51840</v>
      </c>
      <c r="K139" s="12">
        <f>'Engineering Cost'!K139*'Engineering Assumptions'!$B$6</f>
        <v>86400</v>
      </c>
      <c r="L139" s="13">
        <f t="shared" si="5"/>
        <v>445440</v>
      </c>
      <c r="M139" s="13">
        <f>L139*(1+'Engineering Assumptions'!$B$10)</f>
        <v>512255.99999999994</v>
      </c>
    </row>
    <row r="140" spans="1:13" ht="15" customHeight="1" x14ac:dyDescent="0.3">
      <c r="A140" s="9">
        <v>130</v>
      </c>
      <c r="B140" s="46" t="s">
        <v>205</v>
      </c>
      <c r="C140" s="46" t="s">
        <v>276</v>
      </c>
      <c r="D140" s="46" t="s">
        <v>279</v>
      </c>
      <c r="E140" s="46"/>
      <c r="F140" s="48" t="s">
        <v>195</v>
      </c>
      <c r="G140" s="9">
        <v>30</v>
      </c>
      <c r="H140" s="12">
        <f>'Engineering Cost'!H140*'Engineering Assumptions'!$B$6</f>
        <v>229200</v>
      </c>
      <c r="I140" s="12">
        <f>IF('Engineering Cost'!I140=0,0,MAX('Engineering Cost'!I140*'Engineering Assumptions'!$B$6,'Engineering Assumptions'!$B$9))</f>
        <v>78000</v>
      </c>
      <c r="J140" s="12">
        <f>'Engineering Cost'!J140*'Engineering Assumptions'!$B$6</f>
        <v>51840</v>
      </c>
      <c r="K140" s="12">
        <f>'Engineering Cost'!K140*'Engineering Assumptions'!$B$6</f>
        <v>86400</v>
      </c>
      <c r="L140" s="13">
        <f t="shared" si="5"/>
        <v>445440</v>
      </c>
      <c r="M140" s="13">
        <f>L140*(1+'Engineering Assumptions'!$B$10)</f>
        <v>512255.99999999994</v>
      </c>
    </row>
    <row r="141" spans="1:13" ht="15" customHeight="1" x14ac:dyDescent="0.3">
      <c r="A141" s="9">
        <v>131</v>
      </c>
      <c r="B141" s="46" t="s">
        <v>205</v>
      </c>
      <c r="C141" s="46" t="s">
        <v>276</v>
      </c>
      <c r="D141" s="46" t="s">
        <v>280</v>
      </c>
      <c r="E141" s="46"/>
      <c r="F141" s="48" t="s">
        <v>195</v>
      </c>
      <c r="G141" s="9">
        <v>30</v>
      </c>
      <c r="H141" s="12">
        <f>'Engineering Cost'!H141*'Engineering Assumptions'!$B$6</f>
        <v>229200</v>
      </c>
      <c r="I141" s="12">
        <f>IF('Engineering Cost'!I141=0,0,MAX('Engineering Cost'!I141*'Engineering Assumptions'!$B$6,'Engineering Assumptions'!$B$9))</f>
        <v>78000</v>
      </c>
      <c r="J141" s="12">
        <f>'Engineering Cost'!J141*'Engineering Assumptions'!$B$6</f>
        <v>51840</v>
      </c>
      <c r="K141" s="12">
        <f>'Engineering Cost'!K141*'Engineering Assumptions'!$B$6</f>
        <v>86400</v>
      </c>
      <c r="L141" s="13">
        <f t="shared" si="5"/>
        <v>445440</v>
      </c>
      <c r="M141" s="13">
        <f>L141*(1+'Engineering Assumptions'!$B$10)</f>
        <v>512255.99999999994</v>
      </c>
    </row>
    <row r="142" spans="1:13" ht="15" customHeight="1" x14ac:dyDescent="0.3">
      <c r="A142" s="9">
        <v>132</v>
      </c>
      <c r="B142" s="46" t="s">
        <v>205</v>
      </c>
      <c r="C142" s="46" t="s">
        <v>276</v>
      </c>
      <c r="D142" s="46" t="s">
        <v>281</v>
      </c>
      <c r="E142" s="46"/>
      <c r="F142" s="48" t="s">
        <v>195</v>
      </c>
      <c r="G142" s="9">
        <v>30</v>
      </c>
      <c r="H142" s="12">
        <f>'Engineering Cost'!H142*'Engineering Assumptions'!$B$6</f>
        <v>229200</v>
      </c>
      <c r="I142" s="12">
        <f>IF('Engineering Cost'!I142=0,0,MAX('Engineering Cost'!I142*'Engineering Assumptions'!$B$6,'Engineering Assumptions'!$B$9))</f>
        <v>78000</v>
      </c>
      <c r="J142" s="12">
        <f>'Engineering Cost'!J142*'Engineering Assumptions'!$B$6</f>
        <v>51840</v>
      </c>
      <c r="K142" s="12">
        <f>'Engineering Cost'!K142*'Engineering Assumptions'!$B$6</f>
        <v>86400</v>
      </c>
      <c r="L142" s="13">
        <f t="shared" si="5"/>
        <v>445440</v>
      </c>
      <c r="M142" s="13">
        <f>L142*(1+'Engineering Assumptions'!$B$10)</f>
        <v>512255.99999999994</v>
      </c>
    </row>
    <row r="143" spans="1:13" ht="15" customHeight="1" x14ac:dyDescent="0.3">
      <c r="A143" s="9">
        <v>133</v>
      </c>
      <c r="B143" s="46" t="s">
        <v>205</v>
      </c>
      <c r="C143" s="46" t="s">
        <v>276</v>
      </c>
      <c r="D143" s="46" t="s">
        <v>282</v>
      </c>
      <c r="E143" s="46"/>
      <c r="F143" s="48" t="s">
        <v>195</v>
      </c>
      <c r="G143" s="9">
        <v>30</v>
      </c>
      <c r="H143" s="12">
        <f>'Engineering Cost'!H143*'Engineering Assumptions'!$B$6</f>
        <v>229200</v>
      </c>
      <c r="I143" s="12">
        <f>IF('Engineering Cost'!I143=0,0,MAX('Engineering Cost'!I143*'Engineering Assumptions'!$B$6,'Engineering Assumptions'!$B$9))</f>
        <v>78000</v>
      </c>
      <c r="J143" s="12">
        <f>'Engineering Cost'!J143*'Engineering Assumptions'!$B$6</f>
        <v>51840</v>
      </c>
      <c r="K143" s="12">
        <f>'Engineering Cost'!K143*'Engineering Assumptions'!$B$6</f>
        <v>86400</v>
      </c>
      <c r="L143" s="13">
        <f t="shared" si="5"/>
        <v>445440</v>
      </c>
      <c r="M143" s="13">
        <f>L143*(1+'Engineering Assumptions'!$B$10)</f>
        <v>512255.99999999994</v>
      </c>
    </row>
    <row r="144" spans="1:13" ht="15" customHeight="1" x14ac:dyDescent="0.3">
      <c r="A144" s="9">
        <v>134</v>
      </c>
      <c r="B144" s="46" t="s">
        <v>205</v>
      </c>
      <c r="C144" s="46" t="s">
        <v>276</v>
      </c>
      <c r="D144" s="46" t="s">
        <v>283</v>
      </c>
      <c r="E144" s="46"/>
      <c r="F144" s="48" t="s">
        <v>195</v>
      </c>
      <c r="G144" s="9">
        <v>30</v>
      </c>
      <c r="H144" s="12">
        <f>'Engineering Cost'!H144*'Engineering Assumptions'!$B$6</f>
        <v>229200</v>
      </c>
      <c r="I144" s="12">
        <f>IF('Engineering Cost'!I144=0,0,MAX('Engineering Cost'!I144*'Engineering Assumptions'!$B$6,'Engineering Assumptions'!$B$9))</f>
        <v>78000</v>
      </c>
      <c r="J144" s="12">
        <f>'Engineering Cost'!J144*'Engineering Assumptions'!$B$6</f>
        <v>51840</v>
      </c>
      <c r="K144" s="12">
        <f>'Engineering Cost'!K144*'Engineering Assumptions'!$B$6</f>
        <v>86400</v>
      </c>
      <c r="L144" s="13">
        <f t="shared" si="5"/>
        <v>445440</v>
      </c>
      <c r="M144" s="13">
        <f>L144*(1+'Engineering Assumptions'!$B$10)</f>
        <v>512255.99999999994</v>
      </c>
    </row>
    <row r="145" spans="1:13" ht="15" customHeight="1" x14ac:dyDescent="0.3">
      <c r="A145" s="9">
        <v>135</v>
      </c>
      <c r="B145" s="46" t="s">
        <v>205</v>
      </c>
      <c r="C145" s="46" t="s">
        <v>276</v>
      </c>
      <c r="D145" s="46" t="s">
        <v>284</v>
      </c>
      <c r="E145" s="46"/>
      <c r="F145" s="48" t="s">
        <v>195</v>
      </c>
      <c r="G145" s="9">
        <v>30</v>
      </c>
      <c r="H145" s="12">
        <f>'Engineering Cost'!H145*'Engineering Assumptions'!$B$6</f>
        <v>229200</v>
      </c>
      <c r="I145" s="12">
        <f>IF('Engineering Cost'!I145=0,0,MAX('Engineering Cost'!I145*'Engineering Assumptions'!$B$6,'Engineering Assumptions'!$B$9))</f>
        <v>78000</v>
      </c>
      <c r="J145" s="12">
        <f>'Engineering Cost'!J145*'Engineering Assumptions'!$B$6</f>
        <v>51840</v>
      </c>
      <c r="K145" s="12">
        <f>'Engineering Cost'!K145*'Engineering Assumptions'!$B$6</f>
        <v>86400</v>
      </c>
      <c r="L145" s="13">
        <f t="shared" si="5"/>
        <v>445440</v>
      </c>
      <c r="M145" s="13">
        <f>L145*(1+'Engineering Assumptions'!$B$10)</f>
        <v>512255.99999999994</v>
      </c>
    </row>
    <row r="146" spans="1:13" ht="15" customHeight="1" x14ac:dyDescent="0.3">
      <c r="A146" s="9">
        <v>136</v>
      </c>
      <c r="B146" s="46" t="s">
        <v>205</v>
      </c>
      <c r="C146" s="46" t="s">
        <v>276</v>
      </c>
      <c r="D146" s="46" t="s">
        <v>285</v>
      </c>
      <c r="E146" s="46"/>
      <c r="F146" s="48" t="s">
        <v>195</v>
      </c>
      <c r="G146" s="9">
        <v>30</v>
      </c>
      <c r="H146" s="12">
        <f>'Engineering Cost'!H146*'Engineering Assumptions'!$B$6</f>
        <v>229200</v>
      </c>
      <c r="I146" s="12">
        <f>IF('Engineering Cost'!I146=0,0,MAX('Engineering Cost'!I146*'Engineering Assumptions'!$B$6,'Engineering Assumptions'!$B$9))</f>
        <v>78000</v>
      </c>
      <c r="J146" s="12">
        <f>'Engineering Cost'!J146*'Engineering Assumptions'!$B$6</f>
        <v>51840</v>
      </c>
      <c r="K146" s="12">
        <f>'Engineering Cost'!K146*'Engineering Assumptions'!$B$6</f>
        <v>86400</v>
      </c>
      <c r="L146" s="13">
        <f t="shared" ref="L146:L153" si="6">SUM(H146:K146)</f>
        <v>445440</v>
      </c>
      <c r="M146" s="13">
        <f>L146*(1+'Engineering Assumptions'!$B$10)</f>
        <v>512255.99999999994</v>
      </c>
    </row>
    <row r="147" spans="1:13" ht="15" customHeight="1" x14ac:dyDescent="0.3">
      <c r="A147" s="9">
        <v>137</v>
      </c>
      <c r="B147" s="46" t="s">
        <v>205</v>
      </c>
      <c r="C147" s="46" t="s">
        <v>276</v>
      </c>
      <c r="D147" s="46" t="s">
        <v>286</v>
      </c>
      <c r="E147" s="46"/>
      <c r="F147" s="48" t="s">
        <v>195</v>
      </c>
      <c r="G147" s="9">
        <v>30</v>
      </c>
      <c r="H147" s="12">
        <f>'Engineering Cost'!H147*'Engineering Assumptions'!$B$6</f>
        <v>229200</v>
      </c>
      <c r="I147" s="12">
        <f>IF('Engineering Cost'!I147=0,0,MAX('Engineering Cost'!I147*'Engineering Assumptions'!$B$6,'Engineering Assumptions'!$B$9))</f>
        <v>78000</v>
      </c>
      <c r="J147" s="12">
        <f>'Engineering Cost'!J147*'Engineering Assumptions'!$B$6</f>
        <v>51840</v>
      </c>
      <c r="K147" s="12">
        <f>'Engineering Cost'!K147*'Engineering Assumptions'!$B$6</f>
        <v>86400</v>
      </c>
      <c r="L147" s="13">
        <f t="shared" si="6"/>
        <v>445440</v>
      </c>
      <c r="M147" s="13">
        <f>L147*(1+'Engineering Assumptions'!$B$10)</f>
        <v>512255.99999999994</v>
      </c>
    </row>
    <row r="148" spans="1:13" ht="15" customHeight="1" x14ac:dyDescent="0.3">
      <c r="A148" s="9">
        <v>138</v>
      </c>
      <c r="B148" s="46" t="s">
        <v>205</v>
      </c>
      <c r="C148" s="46" t="s">
        <v>276</v>
      </c>
      <c r="D148" s="46" t="s">
        <v>287</v>
      </c>
      <c r="E148" s="46"/>
      <c r="F148" s="48" t="s">
        <v>195</v>
      </c>
      <c r="G148" s="9">
        <v>30</v>
      </c>
      <c r="H148" s="12">
        <f>'Engineering Cost'!H148*'Engineering Assumptions'!$B$6</f>
        <v>229200</v>
      </c>
      <c r="I148" s="12">
        <f>IF('Engineering Cost'!I148=0,0,MAX('Engineering Cost'!I148*'Engineering Assumptions'!$B$6,'Engineering Assumptions'!$B$9))</f>
        <v>78000</v>
      </c>
      <c r="J148" s="12">
        <f>'Engineering Cost'!J148*'Engineering Assumptions'!$B$6</f>
        <v>51840</v>
      </c>
      <c r="K148" s="12">
        <f>'Engineering Cost'!K148*'Engineering Assumptions'!$B$6</f>
        <v>86400</v>
      </c>
      <c r="L148" s="13">
        <f t="shared" si="6"/>
        <v>445440</v>
      </c>
      <c r="M148" s="13">
        <f>L148*(1+'Engineering Assumptions'!$B$10)</f>
        <v>512255.99999999994</v>
      </c>
    </row>
    <row r="149" spans="1:13" ht="15" customHeight="1" x14ac:dyDescent="0.3">
      <c r="A149" s="9">
        <v>139</v>
      </c>
      <c r="B149" s="46" t="s">
        <v>205</v>
      </c>
      <c r="C149" s="46" t="s">
        <v>288</v>
      </c>
      <c r="D149" s="46"/>
      <c r="E149" s="46"/>
      <c r="F149" s="48" t="s">
        <v>195</v>
      </c>
      <c r="G149" s="9">
        <v>30</v>
      </c>
      <c r="H149" s="12">
        <f>'Engineering Cost'!H149*'Engineering Assumptions'!$B$6</f>
        <v>229200</v>
      </c>
      <c r="I149" s="12">
        <f>IF('Engineering Cost'!I149=0,0,MAX('Engineering Cost'!I149*'Engineering Assumptions'!$B$6,'Engineering Assumptions'!$B$9))</f>
        <v>78000</v>
      </c>
      <c r="J149" s="12">
        <f>'Engineering Cost'!J149*'Engineering Assumptions'!$B$6</f>
        <v>51840</v>
      </c>
      <c r="K149" s="12">
        <f>'Engineering Cost'!K149*'Engineering Assumptions'!$B$6</f>
        <v>86400</v>
      </c>
      <c r="L149" s="13">
        <f t="shared" si="6"/>
        <v>445440</v>
      </c>
      <c r="M149" s="13">
        <f>L149*(1+'Engineering Assumptions'!$B$10)</f>
        <v>512255.99999999994</v>
      </c>
    </row>
    <row r="150" spans="1:13" ht="15" customHeight="1" x14ac:dyDescent="0.3">
      <c r="A150" s="9">
        <v>140</v>
      </c>
      <c r="B150" s="46" t="s">
        <v>205</v>
      </c>
      <c r="C150" s="46" t="s">
        <v>289</v>
      </c>
      <c r="D150" s="46" t="s">
        <v>290</v>
      </c>
      <c r="E150" s="46"/>
      <c r="F150" s="48" t="s">
        <v>195</v>
      </c>
      <c r="G150" s="9">
        <v>30</v>
      </c>
      <c r="H150" s="12">
        <f>'Engineering Cost'!H150*'Engineering Assumptions'!$B$6</f>
        <v>229200</v>
      </c>
      <c r="I150" s="12">
        <f>IF('Engineering Cost'!I150=0,0,MAX('Engineering Cost'!I150*'Engineering Assumptions'!$B$6,'Engineering Assumptions'!$B$9))</f>
        <v>78000</v>
      </c>
      <c r="J150" s="12">
        <f>'Engineering Cost'!J150*'Engineering Assumptions'!$B$6</f>
        <v>51840</v>
      </c>
      <c r="K150" s="12">
        <f>'Engineering Cost'!K150*'Engineering Assumptions'!$B$6</f>
        <v>86400</v>
      </c>
      <c r="L150" s="13">
        <f t="shared" si="6"/>
        <v>445440</v>
      </c>
      <c r="M150" s="13">
        <f>L150*(1+'Engineering Assumptions'!$B$10)</f>
        <v>512255.99999999994</v>
      </c>
    </row>
    <row r="151" spans="1:13" ht="15" customHeight="1" x14ac:dyDescent="0.3">
      <c r="A151" s="9">
        <v>141</v>
      </c>
      <c r="B151" s="46" t="s">
        <v>205</v>
      </c>
      <c r="C151" s="46" t="s">
        <v>240</v>
      </c>
      <c r="D151" s="46" t="s">
        <v>291</v>
      </c>
      <c r="E151" s="46"/>
      <c r="F151" s="48" t="s">
        <v>195</v>
      </c>
      <c r="G151" s="9">
        <v>30</v>
      </c>
      <c r="H151" s="12">
        <f>'Engineering Cost'!H151*'Engineering Assumptions'!$B$6</f>
        <v>229200</v>
      </c>
      <c r="I151" s="12">
        <f>IF('Engineering Cost'!I151=0,0,MAX('Engineering Cost'!I151*'Engineering Assumptions'!$B$6,'Engineering Assumptions'!$B$9))</f>
        <v>78000</v>
      </c>
      <c r="J151" s="12">
        <f>'Engineering Cost'!J151*'Engineering Assumptions'!$B$6</f>
        <v>51840</v>
      </c>
      <c r="K151" s="12">
        <f>'Engineering Cost'!K151*'Engineering Assumptions'!$B$6</f>
        <v>86400</v>
      </c>
      <c r="L151" s="13">
        <f t="shared" si="6"/>
        <v>445440</v>
      </c>
      <c r="M151" s="13">
        <f>L151*(1+'Engineering Assumptions'!$B$10)</f>
        <v>512255.99999999994</v>
      </c>
    </row>
    <row r="152" spans="1:13" ht="15" customHeight="1" x14ac:dyDescent="0.3">
      <c r="A152" s="9">
        <v>142</v>
      </c>
      <c r="B152" s="46" t="s">
        <v>205</v>
      </c>
      <c r="C152" s="46" t="s">
        <v>292</v>
      </c>
      <c r="D152" s="46" t="s">
        <v>293</v>
      </c>
      <c r="E152" s="46"/>
      <c r="F152" s="48" t="s">
        <v>195</v>
      </c>
      <c r="G152" s="9">
        <v>30</v>
      </c>
      <c r="H152" s="12">
        <f>'Engineering Cost'!H152*'Engineering Assumptions'!$B$6</f>
        <v>229200</v>
      </c>
      <c r="I152" s="12">
        <f>IF('Engineering Cost'!I152=0,0,MAX('Engineering Cost'!I152*'Engineering Assumptions'!$B$6,'Engineering Assumptions'!$B$9))</f>
        <v>78000</v>
      </c>
      <c r="J152" s="12">
        <f>'Engineering Cost'!J152*'Engineering Assumptions'!$B$6</f>
        <v>51840</v>
      </c>
      <c r="K152" s="12">
        <f>'Engineering Cost'!K152*'Engineering Assumptions'!$B$6</f>
        <v>86400</v>
      </c>
      <c r="L152" s="13">
        <f t="shared" si="6"/>
        <v>445440</v>
      </c>
      <c r="M152" s="13">
        <f>L152*(1+'Engineering Assumptions'!$B$10)</f>
        <v>512255.99999999994</v>
      </c>
    </row>
    <row r="153" spans="1:13" ht="15" customHeight="1" x14ac:dyDescent="0.3">
      <c r="A153" s="9">
        <v>143</v>
      </c>
      <c r="B153" s="46" t="s">
        <v>205</v>
      </c>
      <c r="C153" s="46" t="s">
        <v>294</v>
      </c>
      <c r="D153" s="46" t="s">
        <v>295</v>
      </c>
      <c r="E153" s="46"/>
      <c r="F153" s="48" t="s">
        <v>195</v>
      </c>
      <c r="G153" s="9">
        <v>30</v>
      </c>
      <c r="H153" s="12">
        <f>'Engineering Cost'!H153*'Engineering Assumptions'!$B$6</f>
        <v>229200</v>
      </c>
      <c r="I153" s="12">
        <f>IF('Engineering Cost'!I153=0,0,MAX('Engineering Cost'!I153*'Engineering Assumptions'!$B$6,'Engineering Assumptions'!$B$9))</f>
        <v>78000</v>
      </c>
      <c r="J153" s="12">
        <f>'Engineering Cost'!J153*'Engineering Assumptions'!$B$6</f>
        <v>51840</v>
      </c>
      <c r="K153" s="12">
        <f>'Engineering Cost'!K153*'Engineering Assumptions'!$B$6</f>
        <v>86400</v>
      </c>
      <c r="L153" s="13">
        <f t="shared" si="6"/>
        <v>445440</v>
      </c>
      <c r="M153" s="13">
        <f>L153*(1+'Engineering Assumptions'!$B$10)</f>
        <v>512255.99999999994</v>
      </c>
    </row>
    <row r="154" spans="1:13" ht="15" customHeight="1" x14ac:dyDescent="0.3">
      <c r="A154" s="199" t="s">
        <v>296</v>
      </c>
      <c r="B154" s="200"/>
      <c r="C154" s="200"/>
      <c r="D154" s="200"/>
      <c r="E154" s="200"/>
      <c r="F154" s="200"/>
      <c r="G154" s="200"/>
      <c r="H154" s="200"/>
      <c r="I154" s="200"/>
      <c r="J154" s="200"/>
      <c r="K154" s="200"/>
      <c r="L154" s="200"/>
      <c r="M154" s="200"/>
    </row>
    <row r="155" spans="1:13" ht="15" customHeight="1" x14ac:dyDescent="0.3">
      <c r="A155" s="9">
        <v>144</v>
      </c>
      <c r="B155" s="46" t="s">
        <v>297</v>
      </c>
      <c r="C155" s="46" t="s">
        <v>188</v>
      </c>
      <c r="D155" s="46" t="s">
        <v>298</v>
      </c>
      <c r="E155" s="46"/>
      <c r="F155" s="48" t="s">
        <v>66</v>
      </c>
      <c r="G155" s="9">
        <v>14</v>
      </c>
      <c r="H155" s="12">
        <f>'Engineering Cost'!H155*'Engineering Assumptions'!$B$6</f>
        <v>320880</v>
      </c>
      <c r="I155" s="12">
        <f>IF('Engineering Cost'!I155=0,0,MAX('Engineering Cost'!I155*'Engineering Assumptions'!$B$6,'Engineering Assumptions'!$B$9))</f>
        <v>78000</v>
      </c>
      <c r="J155" s="12">
        <f>'Engineering Cost'!J155*'Engineering Assumptions'!$B$6</f>
        <v>37200</v>
      </c>
      <c r="K155" s="12">
        <f>'Engineering Cost'!K155*'Engineering Assumptions'!$B$6</f>
        <v>43740</v>
      </c>
      <c r="L155" s="13">
        <f t="shared" ref="L155:L164" si="7">SUM(H155:K155)</f>
        <v>479820</v>
      </c>
      <c r="M155" s="13">
        <f>L155*(1+'Engineering Assumptions'!$B$10)</f>
        <v>551793</v>
      </c>
    </row>
    <row r="156" spans="1:13" ht="15" customHeight="1" x14ac:dyDescent="0.3">
      <c r="A156" s="9">
        <v>145</v>
      </c>
      <c r="B156" s="46" t="s">
        <v>297</v>
      </c>
      <c r="C156" s="46" t="s">
        <v>299</v>
      </c>
      <c r="D156" s="46" t="s">
        <v>300</v>
      </c>
      <c r="E156" s="46"/>
      <c r="F156" s="48" t="s">
        <v>66</v>
      </c>
      <c r="G156" s="9">
        <v>14</v>
      </c>
      <c r="H156" s="12">
        <f>'Engineering Cost'!H156*'Engineering Assumptions'!$B$6</f>
        <v>320880</v>
      </c>
      <c r="I156" s="12">
        <f>IF('Engineering Cost'!I156=0,0,MAX('Engineering Cost'!I156*'Engineering Assumptions'!$B$6,'Engineering Assumptions'!$B$9))</f>
        <v>78000</v>
      </c>
      <c r="J156" s="12">
        <f>'Engineering Cost'!J156*'Engineering Assumptions'!$B$6</f>
        <v>37200</v>
      </c>
      <c r="K156" s="12">
        <f>'Engineering Cost'!K156*'Engineering Assumptions'!$B$6</f>
        <v>43740</v>
      </c>
      <c r="L156" s="13">
        <f t="shared" si="7"/>
        <v>479820</v>
      </c>
      <c r="M156" s="13">
        <f>L156*(1+'Engineering Assumptions'!$B$10)</f>
        <v>551793</v>
      </c>
    </row>
    <row r="157" spans="1:13" ht="15" customHeight="1" x14ac:dyDescent="0.3">
      <c r="A157" s="9">
        <v>146</v>
      </c>
      <c r="B157" s="46" t="s">
        <v>297</v>
      </c>
      <c r="C157" s="46" t="s">
        <v>299</v>
      </c>
      <c r="D157" s="46" t="s">
        <v>301</v>
      </c>
      <c r="E157" s="46"/>
      <c r="F157" s="48" t="s">
        <v>66</v>
      </c>
      <c r="G157" s="9">
        <v>14</v>
      </c>
      <c r="H157" s="12">
        <f>'Engineering Cost'!H157*'Engineering Assumptions'!$B$6</f>
        <v>320880</v>
      </c>
      <c r="I157" s="12">
        <f>IF('Engineering Cost'!I157=0,0,MAX('Engineering Cost'!I157*'Engineering Assumptions'!$B$6,'Engineering Assumptions'!$B$9))</f>
        <v>78000</v>
      </c>
      <c r="J157" s="12">
        <f>'Engineering Cost'!J157*'Engineering Assumptions'!$B$6</f>
        <v>37200</v>
      </c>
      <c r="K157" s="12">
        <f>'Engineering Cost'!K157*'Engineering Assumptions'!$B$6</f>
        <v>43740</v>
      </c>
      <c r="L157" s="13">
        <f t="shared" si="7"/>
        <v>479820</v>
      </c>
      <c r="M157" s="13">
        <f>L157*(1+'Engineering Assumptions'!$B$10)</f>
        <v>551793</v>
      </c>
    </row>
    <row r="158" spans="1:13" ht="15" customHeight="1" x14ac:dyDescent="0.3">
      <c r="A158" s="9">
        <v>147</v>
      </c>
      <c r="B158" s="46" t="s">
        <v>297</v>
      </c>
      <c r="C158" s="46" t="s">
        <v>302</v>
      </c>
      <c r="D158" s="46" t="s">
        <v>303</v>
      </c>
      <c r="E158" s="46"/>
      <c r="F158" s="48" t="s">
        <v>66</v>
      </c>
      <c r="G158" s="9">
        <v>14</v>
      </c>
      <c r="H158" s="12">
        <f>'Engineering Cost'!H158*'Engineering Assumptions'!$B$6</f>
        <v>320880</v>
      </c>
      <c r="I158" s="12">
        <f>IF('Engineering Cost'!I158=0,0,MAX('Engineering Cost'!I158*'Engineering Assumptions'!$B$6,'Engineering Assumptions'!$B$9))</f>
        <v>78000</v>
      </c>
      <c r="J158" s="12">
        <f>'Engineering Cost'!J158*'Engineering Assumptions'!$B$6</f>
        <v>37200</v>
      </c>
      <c r="K158" s="12">
        <f>'Engineering Cost'!K158*'Engineering Assumptions'!$B$6</f>
        <v>43740</v>
      </c>
      <c r="L158" s="13">
        <f t="shared" si="7"/>
        <v>479820</v>
      </c>
      <c r="M158" s="13">
        <f>L158*(1+'Engineering Assumptions'!$B$10)</f>
        <v>551793</v>
      </c>
    </row>
    <row r="159" spans="1:13" ht="15" customHeight="1" x14ac:dyDescent="0.3">
      <c r="A159" s="9">
        <v>148</v>
      </c>
      <c r="B159" s="46" t="s">
        <v>297</v>
      </c>
      <c r="C159" s="46" t="s">
        <v>304</v>
      </c>
      <c r="D159" s="46" t="s">
        <v>305</v>
      </c>
      <c r="E159" s="46"/>
      <c r="F159" s="48" t="s">
        <v>66</v>
      </c>
      <c r="G159" s="9">
        <v>14</v>
      </c>
      <c r="H159" s="12">
        <f>'Engineering Cost'!H159*'Engineering Assumptions'!$B$6</f>
        <v>320880</v>
      </c>
      <c r="I159" s="12">
        <f>IF('Engineering Cost'!I159=0,0,MAX('Engineering Cost'!I159*'Engineering Assumptions'!$B$6,'Engineering Assumptions'!$B$9))</f>
        <v>78000</v>
      </c>
      <c r="J159" s="12">
        <f>'Engineering Cost'!J159*'Engineering Assumptions'!$B$6</f>
        <v>37200</v>
      </c>
      <c r="K159" s="12">
        <f>'Engineering Cost'!K159*'Engineering Assumptions'!$B$6</f>
        <v>43740</v>
      </c>
      <c r="L159" s="13">
        <f t="shared" si="7"/>
        <v>479820</v>
      </c>
      <c r="M159" s="13">
        <f>L159*(1+'Engineering Assumptions'!$B$10)</f>
        <v>551793</v>
      </c>
    </row>
    <row r="160" spans="1:13" ht="15" customHeight="1" x14ac:dyDescent="0.3">
      <c r="A160" s="9">
        <v>149</v>
      </c>
      <c r="B160" s="46" t="s">
        <v>297</v>
      </c>
      <c r="C160" s="46" t="s">
        <v>306</v>
      </c>
      <c r="D160" s="46" t="s">
        <v>307</v>
      </c>
      <c r="E160" s="46"/>
      <c r="F160" s="48" t="s">
        <v>66</v>
      </c>
      <c r="G160" s="9">
        <v>14</v>
      </c>
      <c r="H160" s="12">
        <f>'Engineering Cost'!H160*'Engineering Assumptions'!$B$6</f>
        <v>320880</v>
      </c>
      <c r="I160" s="12">
        <f>IF('Engineering Cost'!I160=0,0,MAX('Engineering Cost'!I160*'Engineering Assumptions'!$B$6,'Engineering Assumptions'!$B$9))</f>
        <v>78000</v>
      </c>
      <c r="J160" s="12">
        <f>'Engineering Cost'!J160*'Engineering Assumptions'!$B$6</f>
        <v>37200</v>
      </c>
      <c r="K160" s="12">
        <f>'Engineering Cost'!K160*'Engineering Assumptions'!$B$6</f>
        <v>43740</v>
      </c>
      <c r="L160" s="13">
        <f t="shared" si="7"/>
        <v>479820</v>
      </c>
      <c r="M160" s="13">
        <f>L160*(1+'Engineering Assumptions'!$B$10)</f>
        <v>551793</v>
      </c>
    </row>
    <row r="161" spans="1:13" ht="15" customHeight="1" x14ac:dyDescent="0.3">
      <c r="A161" s="9">
        <v>150</v>
      </c>
      <c r="B161" s="46" t="s">
        <v>297</v>
      </c>
      <c r="C161" s="46" t="s">
        <v>308</v>
      </c>
      <c r="D161" s="46" t="s">
        <v>309</v>
      </c>
      <c r="E161" s="46"/>
      <c r="F161" s="48" t="s">
        <v>66</v>
      </c>
      <c r="G161" s="9">
        <v>14</v>
      </c>
      <c r="H161" s="12">
        <f>'Engineering Cost'!H161*'Engineering Assumptions'!$B$6</f>
        <v>320880</v>
      </c>
      <c r="I161" s="12">
        <f>IF('Engineering Cost'!I161=0,0,MAX('Engineering Cost'!I161*'Engineering Assumptions'!$B$6,'Engineering Assumptions'!$B$9))</f>
        <v>78000</v>
      </c>
      <c r="J161" s="12">
        <f>'Engineering Cost'!J161*'Engineering Assumptions'!$B$6</f>
        <v>37200</v>
      </c>
      <c r="K161" s="12">
        <f>'Engineering Cost'!K161*'Engineering Assumptions'!$B$6</f>
        <v>43740</v>
      </c>
      <c r="L161" s="13">
        <f t="shared" si="7"/>
        <v>479820</v>
      </c>
      <c r="M161" s="13">
        <f>L161*(1+'Engineering Assumptions'!$B$10)</f>
        <v>551793</v>
      </c>
    </row>
    <row r="162" spans="1:13" ht="15" customHeight="1" x14ac:dyDescent="0.3">
      <c r="A162" s="9">
        <v>151</v>
      </c>
      <c r="B162" s="46" t="s">
        <v>297</v>
      </c>
      <c r="C162" s="46" t="s">
        <v>310</v>
      </c>
      <c r="D162" s="46" t="s">
        <v>311</v>
      </c>
      <c r="E162" s="46"/>
      <c r="F162" s="48" t="s">
        <v>143</v>
      </c>
      <c r="G162" s="9">
        <v>26</v>
      </c>
      <c r="H162" s="12">
        <f>'Engineering Cost'!H162*'Engineering Assumptions'!$B$6</f>
        <v>320880</v>
      </c>
      <c r="I162" s="12">
        <f>IF('Engineering Cost'!I162=0,0,MAX('Engineering Cost'!I162*'Engineering Assumptions'!$B$6,'Engineering Assumptions'!$B$9))</f>
        <v>78000</v>
      </c>
      <c r="J162" s="12">
        <f>'Engineering Cost'!J162*'Engineering Assumptions'!$B$6</f>
        <v>57600</v>
      </c>
      <c r="K162" s="12">
        <f>'Engineering Cost'!K162*'Engineering Assumptions'!$B$6</f>
        <v>97200</v>
      </c>
      <c r="L162" s="13">
        <f t="shared" si="7"/>
        <v>553680</v>
      </c>
      <c r="M162" s="13">
        <f>L162*(1+'Engineering Assumptions'!$B$10)</f>
        <v>636732</v>
      </c>
    </row>
    <row r="163" spans="1:13" ht="15" customHeight="1" x14ac:dyDescent="0.3">
      <c r="A163" s="9">
        <v>152</v>
      </c>
      <c r="B163" s="46" t="s">
        <v>297</v>
      </c>
      <c r="C163" s="46" t="s">
        <v>312</v>
      </c>
      <c r="D163" s="46" t="s">
        <v>313</v>
      </c>
      <c r="E163" s="46"/>
      <c r="F163" s="48" t="s">
        <v>314</v>
      </c>
      <c r="G163" s="9">
        <v>36</v>
      </c>
      <c r="H163" s="12">
        <f>'Engineering Cost'!H163*'Engineering Assumptions'!$B$6</f>
        <v>320880</v>
      </c>
      <c r="I163" s="12">
        <f>IF('Engineering Cost'!I163=0,0,MAX('Engineering Cost'!I163*'Engineering Assumptions'!$B$6,'Engineering Assumptions'!$B$9))</f>
        <v>78000</v>
      </c>
      <c r="J163" s="12">
        <f>'Engineering Cost'!J163*'Engineering Assumptions'!$B$6</f>
        <v>57600</v>
      </c>
      <c r="K163" s="12">
        <f>'Engineering Cost'!K163*'Engineering Assumptions'!$B$6</f>
        <v>97200</v>
      </c>
      <c r="L163" s="13">
        <f t="shared" si="7"/>
        <v>553680</v>
      </c>
      <c r="M163" s="13">
        <f>L163*(1+'Engineering Assumptions'!$B$10)</f>
        <v>636732</v>
      </c>
    </row>
    <row r="164" spans="1:13" ht="15" customHeight="1" x14ac:dyDescent="0.3">
      <c r="A164" s="9">
        <v>153</v>
      </c>
      <c r="B164" s="46" t="s">
        <v>297</v>
      </c>
      <c r="C164" s="46" t="s">
        <v>315</v>
      </c>
      <c r="D164" s="46" t="s">
        <v>316</v>
      </c>
      <c r="E164" s="46"/>
      <c r="F164" s="48" t="s">
        <v>195</v>
      </c>
      <c r="G164" s="9">
        <v>30</v>
      </c>
      <c r="H164" s="12">
        <f>'Engineering Cost'!H164*'Engineering Assumptions'!$B$6</f>
        <v>320880</v>
      </c>
      <c r="I164" s="12">
        <f>IF('Engineering Cost'!I164=0,0,MAX('Engineering Cost'!I164*'Engineering Assumptions'!$B$6,'Engineering Assumptions'!$B$9))</f>
        <v>78000</v>
      </c>
      <c r="J164" s="12">
        <f>'Engineering Cost'!J164*'Engineering Assumptions'!$B$6</f>
        <v>57600</v>
      </c>
      <c r="K164" s="12">
        <f>'Engineering Cost'!K164*'Engineering Assumptions'!$B$6</f>
        <v>97200</v>
      </c>
      <c r="L164" s="13">
        <f t="shared" si="7"/>
        <v>553680</v>
      </c>
      <c r="M164" s="13">
        <f>L164*(1+'Engineering Assumptions'!$B$10)</f>
        <v>636732</v>
      </c>
    </row>
    <row r="165" spans="1:13" ht="15" customHeight="1" x14ac:dyDescent="0.3">
      <c r="A165" s="199" t="s">
        <v>317</v>
      </c>
      <c r="B165" s="200"/>
      <c r="C165" s="200"/>
      <c r="D165" s="200"/>
      <c r="E165" s="200"/>
      <c r="F165" s="200"/>
      <c r="G165" s="200"/>
      <c r="H165" s="200"/>
      <c r="I165" s="200"/>
      <c r="J165" s="200"/>
      <c r="K165" s="200"/>
      <c r="L165" s="200"/>
      <c r="M165" s="200"/>
    </row>
    <row r="166" spans="1:13" ht="15" customHeight="1" x14ac:dyDescent="0.3">
      <c r="A166" s="9">
        <v>154</v>
      </c>
      <c r="B166" s="46" t="s">
        <v>318</v>
      </c>
      <c r="C166" s="46" t="s">
        <v>319</v>
      </c>
      <c r="D166" s="46" t="s">
        <v>320</v>
      </c>
      <c r="E166" s="46" t="s">
        <v>321</v>
      </c>
      <c r="F166" s="48" t="s">
        <v>23</v>
      </c>
      <c r="G166" s="9">
        <v>5</v>
      </c>
      <c r="H166" s="12">
        <f>'Engineering Cost'!H166*'Engineering Assumptions'!$B$6</f>
        <v>687600</v>
      </c>
      <c r="I166" s="12">
        <f>IF('Engineering Cost'!I166=0,0,MAX('Engineering Cost'!I166*'Engineering Assumptions'!$B$6,'Engineering Assumptions'!$B$9))</f>
        <v>78000</v>
      </c>
      <c r="J166" s="12">
        <f>'Engineering Cost'!J166*'Engineering Assumptions'!$B$6</f>
        <v>50400</v>
      </c>
      <c r="K166" s="12">
        <f>'Engineering Cost'!K166*'Engineering Assumptions'!$B$6</f>
        <v>21600</v>
      </c>
      <c r="L166" s="13">
        <f t="shared" ref="L166:L181" si="8">SUM(H166:K166)</f>
        <v>837600</v>
      </c>
      <c r="M166" s="13">
        <f>L166*(1+'Engineering Assumptions'!$B$10)</f>
        <v>963239.99999999988</v>
      </c>
    </row>
    <row r="167" spans="1:13" ht="15" customHeight="1" x14ac:dyDescent="0.3">
      <c r="A167" s="9">
        <v>155</v>
      </c>
      <c r="B167" s="46" t="s">
        <v>318</v>
      </c>
      <c r="C167" s="46" t="s">
        <v>322</v>
      </c>
      <c r="D167" s="46" t="s">
        <v>323</v>
      </c>
      <c r="E167" s="46" t="s">
        <v>324</v>
      </c>
      <c r="F167" s="48" t="s">
        <v>23</v>
      </c>
      <c r="G167" s="9">
        <v>5</v>
      </c>
      <c r="H167" s="12">
        <f>'Engineering Cost'!H167*'Engineering Assumptions'!$B$6</f>
        <v>687600</v>
      </c>
      <c r="I167" s="12">
        <f>IF('Engineering Cost'!I167=0,0,MAX('Engineering Cost'!I167*'Engineering Assumptions'!$B$6,'Engineering Assumptions'!$B$9))</f>
        <v>78000</v>
      </c>
      <c r="J167" s="12">
        <f>'Engineering Cost'!J167*'Engineering Assumptions'!$B$6</f>
        <v>50400</v>
      </c>
      <c r="K167" s="12">
        <f>'Engineering Cost'!K167*'Engineering Assumptions'!$B$6</f>
        <v>21600</v>
      </c>
      <c r="L167" s="13">
        <f t="shared" si="8"/>
        <v>837600</v>
      </c>
      <c r="M167" s="13">
        <f>L167*(1+'Engineering Assumptions'!$B$10)</f>
        <v>963239.99999999988</v>
      </c>
    </row>
    <row r="168" spans="1:13" ht="15" customHeight="1" x14ac:dyDescent="0.3">
      <c r="A168" s="9">
        <v>156</v>
      </c>
      <c r="B168" s="46" t="s">
        <v>318</v>
      </c>
      <c r="C168" s="46" t="s">
        <v>319</v>
      </c>
      <c r="D168" s="46" t="s">
        <v>325</v>
      </c>
      <c r="E168" s="46" t="s">
        <v>326</v>
      </c>
      <c r="F168" s="48" t="s">
        <v>31</v>
      </c>
      <c r="G168" s="9">
        <v>6</v>
      </c>
      <c r="H168" s="12">
        <f>'Engineering Cost'!H168*'Engineering Assumptions'!$B$6</f>
        <v>687600</v>
      </c>
      <c r="I168" s="12">
        <f>IF('Engineering Cost'!I168=0,0,MAX('Engineering Cost'!I168*'Engineering Assumptions'!$B$6,'Engineering Assumptions'!$B$9))</f>
        <v>78000</v>
      </c>
      <c r="J168" s="12">
        <f>'Engineering Cost'!J168*'Engineering Assumptions'!$B$6</f>
        <v>63000</v>
      </c>
      <c r="K168" s="12">
        <f>'Engineering Cost'!K168*'Engineering Assumptions'!$B$6</f>
        <v>54000</v>
      </c>
      <c r="L168" s="13">
        <f t="shared" si="8"/>
        <v>882600</v>
      </c>
      <c r="M168" s="13">
        <f>L168*(1+'Engineering Assumptions'!$B$10)</f>
        <v>1014989.9999999999</v>
      </c>
    </row>
    <row r="169" spans="1:13" ht="15" customHeight="1" x14ac:dyDescent="0.3">
      <c r="A169" s="9">
        <v>157</v>
      </c>
      <c r="B169" s="46" t="s">
        <v>318</v>
      </c>
      <c r="C169" s="46" t="s">
        <v>319</v>
      </c>
      <c r="D169" s="46" t="s">
        <v>327</v>
      </c>
      <c r="E169" s="46" t="s">
        <v>328</v>
      </c>
      <c r="F169" s="48" t="s">
        <v>31</v>
      </c>
      <c r="G169" s="9">
        <v>6</v>
      </c>
      <c r="H169" s="12">
        <f>'Engineering Cost'!H169*'Engineering Assumptions'!$B$6</f>
        <v>687600</v>
      </c>
      <c r="I169" s="12">
        <f>IF('Engineering Cost'!I169=0,0,MAX('Engineering Cost'!I169*'Engineering Assumptions'!$B$6,'Engineering Assumptions'!$B$9))</f>
        <v>78000</v>
      </c>
      <c r="J169" s="12">
        <f>'Engineering Cost'!J169*'Engineering Assumptions'!$B$6</f>
        <v>63000</v>
      </c>
      <c r="K169" s="12">
        <f>'Engineering Cost'!K169*'Engineering Assumptions'!$B$6</f>
        <v>54000</v>
      </c>
      <c r="L169" s="13">
        <f t="shared" si="8"/>
        <v>882600</v>
      </c>
      <c r="M169" s="13">
        <f>L169*(1+'Engineering Assumptions'!$B$10)</f>
        <v>1014989.9999999999</v>
      </c>
    </row>
    <row r="170" spans="1:13" ht="15" customHeight="1" x14ac:dyDescent="0.3">
      <c r="A170" s="9">
        <v>158</v>
      </c>
      <c r="B170" s="46" t="s">
        <v>318</v>
      </c>
      <c r="C170" s="46" t="s">
        <v>319</v>
      </c>
      <c r="D170" s="46" t="s">
        <v>329</v>
      </c>
      <c r="E170" s="46" t="s">
        <v>330</v>
      </c>
      <c r="F170" s="48" t="s">
        <v>31</v>
      </c>
      <c r="G170" s="9">
        <v>6</v>
      </c>
      <c r="H170" s="12">
        <f>'Engineering Cost'!H170*'Engineering Assumptions'!$B$6</f>
        <v>687600</v>
      </c>
      <c r="I170" s="12">
        <f>IF('Engineering Cost'!I170=0,0,MAX('Engineering Cost'!I170*'Engineering Assumptions'!$B$6,'Engineering Assumptions'!$B$9))</f>
        <v>78000</v>
      </c>
      <c r="J170" s="12">
        <f>'Engineering Cost'!J170*'Engineering Assumptions'!$B$6</f>
        <v>63000</v>
      </c>
      <c r="K170" s="12">
        <f>'Engineering Cost'!K170*'Engineering Assumptions'!$B$6</f>
        <v>54000</v>
      </c>
      <c r="L170" s="13">
        <f t="shared" si="8"/>
        <v>882600</v>
      </c>
      <c r="M170" s="13">
        <f>L170*(1+'Engineering Assumptions'!$B$10)</f>
        <v>1014989.9999999999</v>
      </c>
    </row>
    <row r="171" spans="1:13" ht="15" customHeight="1" x14ac:dyDescent="0.3">
      <c r="A171" s="9">
        <v>159</v>
      </c>
      <c r="B171" s="46" t="s">
        <v>318</v>
      </c>
      <c r="C171" s="46" t="s">
        <v>331</v>
      </c>
      <c r="D171" s="46" t="s">
        <v>332</v>
      </c>
      <c r="E171" s="46"/>
      <c r="F171" s="48" t="s">
        <v>94</v>
      </c>
      <c r="G171" s="9">
        <v>12</v>
      </c>
      <c r="H171" s="12">
        <f>'Engineering Cost'!H171*'Engineering Assumptions'!$B$6</f>
        <v>687600</v>
      </c>
      <c r="I171" s="12">
        <f>IF('Engineering Cost'!I171=0,0,MAX('Engineering Cost'!I171*'Engineering Assumptions'!$B$6,'Engineering Assumptions'!$B$9))</f>
        <v>78000</v>
      </c>
      <c r="J171" s="12">
        <f>'Engineering Cost'!J171*'Engineering Assumptions'!$B$6</f>
        <v>78120</v>
      </c>
      <c r="K171" s="12">
        <f>'Engineering Cost'!K171*'Engineering Assumptions'!$B$6</f>
        <v>97200</v>
      </c>
      <c r="L171" s="13">
        <f t="shared" si="8"/>
        <v>940920</v>
      </c>
      <c r="M171" s="13">
        <f>L171*(1+'Engineering Assumptions'!$B$10)</f>
        <v>1082058</v>
      </c>
    </row>
    <row r="172" spans="1:13" ht="15" customHeight="1" x14ac:dyDescent="0.3">
      <c r="A172" s="9">
        <v>160</v>
      </c>
      <c r="B172" s="46" t="s">
        <v>318</v>
      </c>
      <c r="C172" s="46" t="s">
        <v>333</v>
      </c>
      <c r="D172" s="46" t="s">
        <v>334</v>
      </c>
      <c r="E172" s="46"/>
      <c r="F172" s="48" t="s">
        <v>335</v>
      </c>
      <c r="G172" s="9">
        <v>18</v>
      </c>
      <c r="H172" s="12">
        <f>'Engineering Cost'!H172*'Engineering Assumptions'!$B$6</f>
        <v>687600</v>
      </c>
      <c r="I172" s="12">
        <f>IF('Engineering Cost'!I172=0,0,MAX('Engineering Cost'!I172*'Engineering Assumptions'!$B$6,'Engineering Assumptions'!$B$9))</f>
        <v>78000</v>
      </c>
      <c r="J172" s="12">
        <f>'Engineering Cost'!J172*'Engineering Assumptions'!$B$6</f>
        <v>98280</v>
      </c>
      <c r="K172" s="12">
        <f>'Engineering Cost'!K172*'Engineering Assumptions'!$B$6</f>
        <v>151200</v>
      </c>
      <c r="L172" s="13">
        <f t="shared" si="8"/>
        <v>1015080</v>
      </c>
      <c r="M172" s="13">
        <f>L172*(1+'Engineering Assumptions'!$B$10)</f>
        <v>1167342</v>
      </c>
    </row>
    <row r="173" spans="1:13" ht="15" customHeight="1" x14ac:dyDescent="0.3">
      <c r="A173" s="9">
        <v>161</v>
      </c>
      <c r="B173" s="46" t="s">
        <v>318</v>
      </c>
      <c r="C173" s="46" t="s">
        <v>188</v>
      </c>
      <c r="D173" s="46" t="s">
        <v>336</v>
      </c>
      <c r="E173" s="46"/>
      <c r="F173" s="48" t="s">
        <v>195</v>
      </c>
      <c r="G173" s="9">
        <v>30</v>
      </c>
      <c r="H173" s="12">
        <f>'Engineering Cost'!H173*'Engineering Assumptions'!$B$6</f>
        <v>687600</v>
      </c>
      <c r="I173" s="12">
        <f>IF('Engineering Cost'!I173=0,0,MAX('Engineering Cost'!I173*'Engineering Assumptions'!$B$6,'Engineering Assumptions'!$B$9))</f>
        <v>78000</v>
      </c>
      <c r="J173" s="12">
        <f>'Engineering Cost'!J173*'Engineering Assumptions'!$B$6</f>
        <v>120960</v>
      </c>
      <c r="K173" s="12">
        <f>'Engineering Cost'!K173*'Engineering Assumptions'!$B$6</f>
        <v>216000</v>
      </c>
      <c r="L173" s="13">
        <f t="shared" si="8"/>
        <v>1102560</v>
      </c>
      <c r="M173" s="13">
        <f>L173*(1+'Engineering Assumptions'!$B$10)</f>
        <v>1267944</v>
      </c>
    </row>
    <row r="174" spans="1:13" ht="15" customHeight="1" x14ac:dyDescent="0.3">
      <c r="A174" s="9">
        <v>162</v>
      </c>
      <c r="B174" s="46" t="s">
        <v>318</v>
      </c>
      <c r="C174" s="46" t="s">
        <v>188</v>
      </c>
      <c r="D174" s="46" t="s">
        <v>337</v>
      </c>
      <c r="E174" s="46"/>
      <c r="F174" s="48" t="s">
        <v>195</v>
      </c>
      <c r="G174" s="9">
        <v>30</v>
      </c>
      <c r="H174" s="12">
        <f>'Engineering Cost'!H174*'Engineering Assumptions'!$B$6</f>
        <v>687600</v>
      </c>
      <c r="I174" s="12">
        <f>IF('Engineering Cost'!I174=0,0,MAX('Engineering Cost'!I174*'Engineering Assumptions'!$B$6,'Engineering Assumptions'!$B$9))</f>
        <v>78000</v>
      </c>
      <c r="J174" s="12">
        <f>'Engineering Cost'!J174*'Engineering Assumptions'!$B$6</f>
        <v>120960</v>
      </c>
      <c r="K174" s="12">
        <f>'Engineering Cost'!K174*'Engineering Assumptions'!$B$6</f>
        <v>216000</v>
      </c>
      <c r="L174" s="13">
        <f t="shared" si="8"/>
        <v>1102560</v>
      </c>
      <c r="M174" s="13">
        <f>L174*(1+'Engineering Assumptions'!$B$10)</f>
        <v>1267944</v>
      </c>
    </row>
    <row r="175" spans="1:13" ht="27.75" customHeight="1" x14ac:dyDescent="0.3">
      <c r="A175" s="9">
        <v>163</v>
      </c>
      <c r="B175" s="46" t="s">
        <v>318</v>
      </c>
      <c r="C175" s="46" t="s">
        <v>338</v>
      </c>
      <c r="D175" s="46" t="s">
        <v>339</v>
      </c>
      <c r="E175" s="46"/>
      <c r="F175" s="48" t="s">
        <v>195</v>
      </c>
      <c r="G175" s="9">
        <v>30</v>
      </c>
      <c r="H175" s="12">
        <f>'Engineering Cost'!H175*'Engineering Assumptions'!$B$6</f>
        <v>687600</v>
      </c>
      <c r="I175" s="12">
        <f>IF('Engineering Cost'!I175=0,0,MAX('Engineering Cost'!I175*'Engineering Assumptions'!$B$6,'Engineering Assumptions'!$B$9))</f>
        <v>78000</v>
      </c>
      <c r="J175" s="12">
        <f>'Engineering Cost'!J175*'Engineering Assumptions'!$B$6</f>
        <v>120960</v>
      </c>
      <c r="K175" s="12">
        <f>'Engineering Cost'!K175*'Engineering Assumptions'!$B$6</f>
        <v>216000</v>
      </c>
      <c r="L175" s="13">
        <f t="shared" si="8"/>
        <v>1102560</v>
      </c>
      <c r="M175" s="13">
        <f>L175*(1+'Engineering Assumptions'!$B$10)</f>
        <v>1267944</v>
      </c>
    </row>
    <row r="176" spans="1:13" ht="15" customHeight="1" x14ac:dyDescent="0.3">
      <c r="A176" s="9">
        <v>164</v>
      </c>
      <c r="B176" s="46" t="s">
        <v>318</v>
      </c>
      <c r="C176" s="46" t="s">
        <v>246</v>
      </c>
      <c r="D176" s="46" t="s">
        <v>340</v>
      </c>
      <c r="E176" s="46"/>
      <c r="F176" s="48" t="s">
        <v>195</v>
      </c>
      <c r="G176" s="9">
        <v>30</v>
      </c>
      <c r="H176" s="12">
        <f>'Engineering Cost'!H176*'Engineering Assumptions'!$B$6</f>
        <v>687600</v>
      </c>
      <c r="I176" s="12">
        <f>IF('Engineering Cost'!I176=0,0,MAX('Engineering Cost'!I176*'Engineering Assumptions'!$B$6,'Engineering Assumptions'!$B$9))</f>
        <v>78000</v>
      </c>
      <c r="J176" s="12">
        <f>'Engineering Cost'!J176*'Engineering Assumptions'!$B$6</f>
        <v>120960</v>
      </c>
      <c r="K176" s="12">
        <f>'Engineering Cost'!K176*'Engineering Assumptions'!$B$6</f>
        <v>216000</v>
      </c>
      <c r="L176" s="13">
        <f t="shared" si="8"/>
        <v>1102560</v>
      </c>
      <c r="M176" s="13">
        <f>L176*(1+'Engineering Assumptions'!$B$10)</f>
        <v>1267944</v>
      </c>
    </row>
    <row r="177" spans="1:13" ht="15" customHeight="1" x14ac:dyDescent="0.3">
      <c r="A177" s="9">
        <v>165</v>
      </c>
      <c r="B177" s="46" t="s">
        <v>318</v>
      </c>
      <c r="C177" s="46" t="s">
        <v>341</v>
      </c>
      <c r="D177" s="46" t="s">
        <v>342</v>
      </c>
      <c r="E177" s="46"/>
      <c r="F177" s="48" t="s">
        <v>195</v>
      </c>
      <c r="G177" s="9">
        <v>30</v>
      </c>
      <c r="H177" s="12">
        <f>'Engineering Cost'!H177*'Engineering Assumptions'!$B$6</f>
        <v>687600</v>
      </c>
      <c r="I177" s="12">
        <f>IF('Engineering Cost'!I177=0,0,MAX('Engineering Cost'!I177*'Engineering Assumptions'!$B$6,'Engineering Assumptions'!$B$9))</f>
        <v>78000</v>
      </c>
      <c r="J177" s="12">
        <f>'Engineering Cost'!J177*'Engineering Assumptions'!$B$6</f>
        <v>120960</v>
      </c>
      <c r="K177" s="12">
        <f>'Engineering Cost'!K177*'Engineering Assumptions'!$B$6</f>
        <v>216000</v>
      </c>
      <c r="L177" s="13">
        <f t="shared" si="8"/>
        <v>1102560</v>
      </c>
      <c r="M177" s="13">
        <f>L177*(1+'Engineering Assumptions'!$B$10)</f>
        <v>1267944</v>
      </c>
    </row>
    <row r="178" spans="1:13" ht="15" customHeight="1" x14ac:dyDescent="0.3">
      <c r="A178" s="9">
        <v>166</v>
      </c>
      <c r="B178" s="46" t="s">
        <v>318</v>
      </c>
      <c r="C178" s="46" t="s">
        <v>246</v>
      </c>
      <c r="D178" s="46" t="s">
        <v>343</v>
      </c>
      <c r="E178" s="46" t="s">
        <v>344</v>
      </c>
      <c r="F178" s="48" t="s">
        <v>195</v>
      </c>
      <c r="G178" s="9">
        <v>30</v>
      </c>
      <c r="H178" s="12">
        <f>'Engineering Cost'!H178*'Engineering Assumptions'!$B$6</f>
        <v>687600</v>
      </c>
      <c r="I178" s="12">
        <f>IF('Engineering Cost'!I178=0,0,MAX('Engineering Cost'!I178*'Engineering Assumptions'!$B$6,'Engineering Assumptions'!$B$9))</f>
        <v>78000</v>
      </c>
      <c r="J178" s="12">
        <f>'Engineering Cost'!J178*'Engineering Assumptions'!$B$6</f>
        <v>120960</v>
      </c>
      <c r="K178" s="12">
        <f>'Engineering Cost'!K178*'Engineering Assumptions'!$B$6</f>
        <v>216000</v>
      </c>
      <c r="L178" s="13">
        <f t="shared" si="8"/>
        <v>1102560</v>
      </c>
      <c r="M178" s="13">
        <f>L178*(1+'Engineering Assumptions'!$B$10)</f>
        <v>1267944</v>
      </c>
    </row>
    <row r="179" spans="1:13" ht="15" customHeight="1" x14ac:dyDescent="0.3">
      <c r="A179" s="9">
        <v>167</v>
      </c>
      <c r="B179" s="46" t="s">
        <v>318</v>
      </c>
      <c r="C179" s="46" t="s">
        <v>345</v>
      </c>
      <c r="D179" s="46" t="s">
        <v>346</v>
      </c>
      <c r="E179" s="46"/>
      <c r="F179" s="48" t="s">
        <v>195</v>
      </c>
      <c r="G179" s="9">
        <v>30</v>
      </c>
      <c r="H179" s="12">
        <f>'Engineering Cost'!H179*'Engineering Assumptions'!$B$6</f>
        <v>687600</v>
      </c>
      <c r="I179" s="12">
        <f>IF('Engineering Cost'!I179=0,0,MAX('Engineering Cost'!I179*'Engineering Assumptions'!$B$6,'Engineering Assumptions'!$B$9))</f>
        <v>78000</v>
      </c>
      <c r="J179" s="12">
        <f>'Engineering Cost'!J179*'Engineering Assumptions'!$B$6</f>
        <v>120960</v>
      </c>
      <c r="K179" s="12">
        <f>'Engineering Cost'!K179*'Engineering Assumptions'!$B$6</f>
        <v>216000</v>
      </c>
      <c r="L179" s="13">
        <f t="shared" si="8"/>
        <v>1102560</v>
      </c>
      <c r="M179" s="13">
        <f>L179*(1+'Engineering Assumptions'!$B$10)</f>
        <v>1267944</v>
      </c>
    </row>
    <row r="180" spans="1:13" ht="15" customHeight="1" x14ac:dyDescent="0.3">
      <c r="A180" s="9">
        <v>168</v>
      </c>
      <c r="B180" s="46" t="s">
        <v>318</v>
      </c>
      <c r="C180" s="46" t="s">
        <v>347</v>
      </c>
      <c r="D180" s="46" t="s">
        <v>348</v>
      </c>
      <c r="E180" s="46"/>
      <c r="F180" s="48" t="s">
        <v>195</v>
      </c>
      <c r="G180" s="9">
        <v>30</v>
      </c>
      <c r="H180" s="12">
        <f>'Engineering Cost'!H180*'Engineering Assumptions'!$B$6</f>
        <v>687600</v>
      </c>
      <c r="I180" s="12">
        <f>IF('Engineering Cost'!I180=0,0,MAX('Engineering Cost'!I180*'Engineering Assumptions'!$B$6,'Engineering Assumptions'!$B$9))</f>
        <v>78000</v>
      </c>
      <c r="J180" s="12">
        <f>'Engineering Cost'!J180*'Engineering Assumptions'!$B$6</f>
        <v>120960</v>
      </c>
      <c r="K180" s="12">
        <f>'Engineering Cost'!K180*'Engineering Assumptions'!$B$6</f>
        <v>216000</v>
      </c>
      <c r="L180" s="13">
        <f t="shared" si="8"/>
        <v>1102560</v>
      </c>
      <c r="M180" s="13">
        <f>L180*(1+'Engineering Assumptions'!$B$10)</f>
        <v>1267944</v>
      </c>
    </row>
    <row r="181" spans="1:13" ht="15" customHeight="1" x14ac:dyDescent="0.3">
      <c r="A181" s="9">
        <v>169</v>
      </c>
      <c r="B181" s="46" t="s">
        <v>318</v>
      </c>
      <c r="C181" s="46" t="s">
        <v>349</v>
      </c>
      <c r="D181" s="46" t="s">
        <v>350</v>
      </c>
      <c r="E181" s="46"/>
      <c r="F181" s="48" t="s">
        <v>195</v>
      </c>
      <c r="G181" s="9">
        <v>30</v>
      </c>
      <c r="H181" s="12">
        <f>'Engineering Cost'!H181*'Engineering Assumptions'!$B$6</f>
        <v>687600</v>
      </c>
      <c r="I181" s="12">
        <f>IF('Engineering Cost'!I181=0,0,MAX('Engineering Cost'!I181*'Engineering Assumptions'!$B$6,'Engineering Assumptions'!$B$9))</f>
        <v>78000</v>
      </c>
      <c r="J181" s="12">
        <f>'Engineering Cost'!J181*'Engineering Assumptions'!$B$6</f>
        <v>120960</v>
      </c>
      <c r="K181" s="12">
        <f>'Engineering Cost'!K181*'Engineering Assumptions'!$B$6</f>
        <v>216000</v>
      </c>
      <c r="L181" s="13">
        <f t="shared" si="8"/>
        <v>1102560</v>
      </c>
      <c r="M181" s="13">
        <f>L181*(1+'Engineering Assumptions'!$B$10)</f>
        <v>1267944</v>
      </c>
    </row>
    <row r="182" spans="1:13" ht="15" customHeight="1" x14ac:dyDescent="0.3">
      <c r="A182" s="199" t="s">
        <v>351</v>
      </c>
      <c r="B182" s="200"/>
      <c r="C182" s="200"/>
      <c r="D182" s="200"/>
      <c r="E182" s="200"/>
      <c r="F182" s="200"/>
      <c r="G182" s="200"/>
      <c r="H182" s="200"/>
      <c r="I182" s="200"/>
      <c r="J182" s="200"/>
      <c r="K182" s="200"/>
      <c r="L182" s="200"/>
      <c r="M182" s="200"/>
    </row>
    <row r="183" spans="1:13" ht="15" customHeight="1" x14ac:dyDescent="0.3">
      <c r="A183" s="9">
        <v>170</v>
      </c>
      <c r="B183" s="46" t="s">
        <v>352</v>
      </c>
      <c r="C183" s="46" t="s">
        <v>353</v>
      </c>
      <c r="D183" s="46" t="s">
        <v>354</v>
      </c>
      <c r="E183" s="46"/>
      <c r="F183" s="48" t="s">
        <v>23</v>
      </c>
      <c r="G183" s="9">
        <v>5</v>
      </c>
      <c r="H183" s="12">
        <f>'Engineering Cost'!H183*'Engineering Assumptions'!$B$6</f>
        <v>206280</v>
      </c>
      <c r="I183" s="12">
        <f>IF('Engineering Cost'!I183=0,0,MAX('Engineering Cost'!I183*'Engineering Assumptions'!$B$6,'Engineering Assumptions'!$B$9))</f>
        <v>78000</v>
      </c>
      <c r="J183" s="12">
        <f>'Engineering Cost'!J183*'Engineering Assumptions'!$B$6</f>
        <v>19200</v>
      </c>
      <c r="K183" s="12">
        <f>'Engineering Cost'!K183*'Engineering Assumptions'!$B$6</f>
        <v>7200</v>
      </c>
      <c r="L183" s="13">
        <f t="shared" ref="L183:L207" si="9">SUM(H183:K183)</f>
        <v>310680</v>
      </c>
      <c r="M183" s="13">
        <f>L183*(1+'Engineering Assumptions'!$B$10)</f>
        <v>357282</v>
      </c>
    </row>
    <row r="184" spans="1:13" ht="15" customHeight="1" x14ac:dyDescent="0.3">
      <c r="A184" s="9">
        <v>171</v>
      </c>
      <c r="B184" s="46" t="s">
        <v>352</v>
      </c>
      <c r="C184" s="46" t="s">
        <v>353</v>
      </c>
      <c r="D184" s="46" t="s">
        <v>355</v>
      </c>
      <c r="E184" s="46"/>
      <c r="F184" s="48" t="s">
        <v>23</v>
      </c>
      <c r="G184" s="9">
        <v>5</v>
      </c>
      <c r="H184" s="12">
        <f>'Engineering Cost'!H184*'Engineering Assumptions'!$B$6</f>
        <v>206280</v>
      </c>
      <c r="I184" s="12">
        <f>IF('Engineering Cost'!I184=0,0,MAX('Engineering Cost'!I184*'Engineering Assumptions'!$B$6,'Engineering Assumptions'!$B$9))</f>
        <v>78000</v>
      </c>
      <c r="J184" s="12">
        <f>'Engineering Cost'!J184*'Engineering Assumptions'!$B$6</f>
        <v>19200</v>
      </c>
      <c r="K184" s="12">
        <f>'Engineering Cost'!K184*'Engineering Assumptions'!$B$6</f>
        <v>7200</v>
      </c>
      <c r="L184" s="13">
        <f t="shared" si="9"/>
        <v>310680</v>
      </c>
      <c r="M184" s="13">
        <f>L184*(1+'Engineering Assumptions'!$B$10)</f>
        <v>357282</v>
      </c>
    </row>
    <row r="185" spans="1:13" ht="15" customHeight="1" x14ac:dyDescent="0.3">
      <c r="A185" s="9">
        <v>172</v>
      </c>
      <c r="B185" s="46" t="s">
        <v>352</v>
      </c>
      <c r="C185" s="46" t="s">
        <v>353</v>
      </c>
      <c r="D185" s="46" t="s">
        <v>356</v>
      </c>
      <c r="E185" s="46"/>
      <c r="F185" s="48" t="s">
        <v>23</v>
      </c>
      <c r="G185" s="9">
        <v>5</v>
      </c>
      <c r="H185" s="12">
        <f>'Engineering Cost'!H185*'Engineering Assumptions'!$B$6</f>
        <v>206280</v>
      </c>
      <c r="I185" s="12">
        <f>IF('Engineering Cost'!I185=0,0,MAX('Engineering Cost'!I185*'Engineering Assumptions'!$B$6,'Engineering Assumptions'!$B$9))</f>
        <v>78000</v>
      </c>
      <c r="J185" s="12">
        <f>'Engineering Cost'!J185*'Engineering Assumptions'!$B$6</f>
        <v>19200</v>
      </c>
      <c r="K185" s="12">
        <f>'Engineering Cost'!K185*'Engineering Assumptions'!$B$6</f>
        <v>7200</v>
      </c>
      <c r="L185" s="13">
        <f t="shared" si="9"/>
        <v>310680</v>
      </c>
      <c r="M185" s="13">
        <f>L185*(1+'Engineering Assumptions'!$B$10)</f>
        <v>357282</v>
      </c>
    </row>
    <row r="186" spans="1:13" ht="15" customHeight="1" x14ac:dyDescent="0.3">
      <c r="A186" s="9">
        <v>173</v>
      </c>
      <c r="B186" s="46" t="s">
        <v>352</v>
      </c>
      <c r="C186" s="46" t="s">
        <v>357</v>
      </c>
      <c r="D186" s="46" t="s">
        <v>358</v>
      </c>
      <c r="E186" s="46"/>
      <c r="F186" s="48" t="s">
        <v>23</v>
      </c>
      <c r="G186" s="9">
        <v>5</v>
      </c>
      <c r="H186" s="12">
        <f>'Engineering Cost'!H186*'Engineering Assumptions'!$B$6</f>
        <v>206280</v>
      </c>
      <c r="I186" s="12">
        <f>IF('Engineering Cost'!I186=0,0,MAX('Engineering Cost'!I186*'Engineering Assumptions'!$B$6,'Engineering Assumptions'!$B$9))</f>
        <v>78000</v>
      </c>
      <c r="J186" s="12">
        <f>'Engineering Cost'!J186*'Engineering Assumptions'!$B$6</f>
        <v>19200</v>
      </c>
      <c r="K186" s="12">
        <f>'Engineering Cost'!K186*'Engineering Assumptions'!$B$6</f>
        <v>7200</v>
      </c>
      <c r="L186" s="13">
        <f t="shared" si="9"/>
        <v>310680</v>
      </c>
      <c r="M186" s="13">
        <f>L186*(1+'Engineering Assumptions'!$B$10)</f>
        <v>357282</v>
      </c>
    </row>
    <row r="187" spans="1:13" ht="15" customHeight="1" x14ac:dyDescent="0.3">
      <c r="A187" s="9">
        <v>174</v>
      </c>
      <c r="B187" s="46" t="s">
        <v>352</v>
      </c>
      <c r="C187" s="46" t="s">
        <v>357</v>
      </c>
      <c r="D187" s="46" t="s">
        <v>359</v>
      </c>
      <c r="E187" s="46"/>
      <c r="F187" s="48" t="s">
        <v>23</v>
      </c>
      <c r="G187" s="9">
        <v>5</v>
      </c>
      <c r="H187" s="12">
        <f>'Engineering Cost'!H187*'Engineering Assumptions'!$B$6</f>
        <v>206280</v>
      </c>
      <c r="I187" s="12">
        <f>IF('Engineering Cost'!I187=0,0,MAX('Engineering Cost'!I187*'Engineering Assumptions'!$B$6,'Engineering Assumptions'!$B$9))</f>
        <v>78000</v>
      </c>
      <c r="J187" s="12">
        <f>'Engineering Cost'!J187*'Engineering Assumptions'!$B$6</f>
        <v>19200</v>
      </c>
      <c r="K187" s="12">
        <f>'Engineering Cost'!K187*'Engineering Assumptions'!$B$6</f>
        <v>7200</v>
      </c>
      <c r="L187" s="13">
        <f t="shared" si="9"/>
        <v>310680</v>
      </c>
      <c r="M187" s="13">
        <f>L187*(1+'Engineering Assumptions'!$B$10)</f>
        <v>357282</v>
      </c>
    </row>
    <row r="188" spans="1:13" ht="15" customHeight="1" x14ac:dyDescent="0.3">
      <c r="A188" s="9">
        <v>175</v>
      </c>
      <c r="B188" s="46" t="s">
        <v>352</v>
      </c>
      <c r="C188" s="46" t="s">
        <v>353</v>
      </c>
      <c r="D188" s="46" t="s">
        <v>360</v>
      </c>
      <c r="E188" s="46"/>
      <c r="F188" s="48" t="s">
        <v>31</v>
      </c>
      <c r="G188" s="9">
        <v>6</v>
      </c>
      <c r="H188" s="12">
        <f>'Engineering Cost'!H188*'Engineering Assumptions'!$B$6</f>
        <v>206280</v>
      </c>
      <c r="I188" s="12">
        <f>IF('Engineering Cost'!I188=0,0,MAX('Engineering Cost'!I188*'Engineering Assumptions'!$B$6,'Engineering Assumptions'!$B$9))</f>
        <v>78000</v>
      </c>
      <c r="J188" s="12">
        <f>'Engineering Cost'!J188*'Engineering Assumptions'!$B$6</f>
        <v>24000</v>
      </c>
      <c r="K188" s="12">
        <f>'Engineering Cost'!K188*'Engineering Assumptions'!$B$6</f>
        <v>18000</v>
      </c>
      <c r="L188" s="13">
        <f t="shared" si="9"/>
        <v>326280</v>
      </c>
      <c r="M188" s="13">
        <f>L188*(1+'Engineering Assumptions'!$B$10)</f>
        <v>375222</v>
      </c>
    </row>
    <row r="189" spans="1:13" ht="15" customHeight="1" x14ac:dyDescent="0.3">
      <c r="A189" s="9">
        <v>176</v>
      </c>
      <c r="B189" s="46" t="s">
        <v>352</v>
      </c>
      <c r="C189" s="46" t="s">
        <v>361</v>
      </c>
      <c r="D189" s="46" t="s">
        <v>362</v>
      </c>
      <c r="E189" s="46"/>
      <c r="F189" s="48" t="s">
        <v>116</v>
      </c>
      <c r="G189" s="9">
        <v>9</v>
      </c>
      <c r="H189" s="12">
        <f>'Engineering Cost'!H189*'Engineering Assumptions'!$B$6</f>
        <v>206280</v>
      </c>
      <c r="I189" s="12">
        <f>IF('Engineering Cost'!I189=0,0,MAX('Engineering Cost'!I189*'Engineering Assumptions'!$B$6,'Engineering Assumptions'!$B$9))</f>
        <v>78000</v>
      </c>
      <c r="J189" s="12">
        <f>'Engineering Cost'!J189*'Engineering Assumptions'!$B$6</f>
        <v>24000</v>
      </c>
      <c r="K189" s="12">
        <f>'Engineering Cost'!K189*'Engineering Assumptions'!$B$6</f>
        <v>18000</v>
      </c>
      <c r="L189" s="13">
        <f t="shared" si="9"/>
        <v>326280</v>
      </c>
      <c r="M189" s="13">
        <f>L189*(1+'Engineering Assumptions'!$B$10)</f>
        <v>375222</v>
      </c>
    </row>
    <row r="190" spans="1:13" ht="15" customHeight="1" x14ac:dyDescent="0.3">
      <c r="A190" s="9">
        <v>177</v>
      </c>
      <c r="B190" s="46" t="s">
        <v>352</v>
      </c>
      <c r="C190" s="46" t="s">
        <v>361</v>
      </c>
      <c r="D190" s="46" t="s">
        <v>363</v>
      </c>
      <c r="E190" s="46"/>
      <c r="F190" s="48" t="s">
        <v>116</v>
      </c>
      <c r="G190" s="9">
        <v>9</v>
      </c>
      <c r="H190" s="12">
        <f>'Engineering Cost'!H190*'Engineering Assumptions'!$B$6</f>
        <v>206280</v>
      </c>
      <c r="I190" s="12">
        <f>IF('Engineering Cost'!I190=0,0,MAX('Engineering Cost'!I190*'Engineering Assumptions'!$B$6,'Engineering Assumptions'!$B$9))</f>
        <v>78000</v>
      </c>
      <c r="J190" s="12">
        <f>'Engineering Cost'!J190*'Engineering Assumptions'!$B$6</f>
        <v>24000</v>
      </c>
      <c r="K190" s="12">
        <f>'Engineering Cost'!K190*'Engineering Assumptions'!$B$6</f>
        <v>18000</v>
      </c>
      <c r="L190" s="13">
        <f t="shared" si="9"/>
        <v>326280</v>
      </c>
      <c r="M190" s="13">
        <f>L190*(1+'Engineering Assumptions'!$B$10)</f>
        <v>375222</v>
      </c>
    </row>
    <row r="191" spans="1:13" ht="15" customHeight="1" x14ac:dyDescent="0.3">
      <c r="A191" s="9">
        <v>178</v>
      </c>
      <c r="B191" s="46" t="s">
        <v>352</v>
      </c>
      <c r="C191" s="46" t="s">
        <v>361</v>
      </c>
      <c r="D191" s="46" t="s">
        <v>364</v>
      </c>
      <c r="E191" s="46"/>
      <c r="F191" s="48" t="s">
        <v>116</v>
      </c>
      <c r="G191" s="9">
        <v>9</v>
      </c>
      <c r="H191" s="12">
        <f>'Engineering Cost'!H191*'Engineering Assumptions'!$B$6</f>
        <v>206280</v>
      </c>
      <c r="I191" s="12">
        <f>IF('Engineering Cost'!I191=0,0,MAX('Engineering Cost'!I191*'Engineering Assumptions'!$B$6,'Engineering Assumptions'!$B$9))</f>
        <v>78000</v>
      </c>
      <c r="J191" s="12">
        <f>'Engineering Cost'!J191*'Engineering Assumptions'!$B$6</f>
        <v>24000</v>
      </c>
      <c r="K191" s="12">
        <f>'Engineering Cost'!K191*'Engineering Assumptions'!$B$6</f>
        <v>18000</v>
      </c>
      <c r="L191" s="13">
        <f t="shared" si="9"/>
        <v>326280</v>
      </c>
      <c r="M191" s="13">
        <f>L191*(1+'Engineering Assumptions'!$B$10)</f>
        <v>375222</v>
      </c>
    </row>
    <row r="192" spans="1:13" ht="15" customHeight="1" x14ac:dyDescent="0.3">
      <c r="A192" s="9">
        <v>179</v>
      </c>
      <c r="B192" s="46" t="s">
        <v>352</v>
      </c>
      <c r="C192" s="46" t="s">
        <v>361</v>
      </c>
      <c r="D192" s="46" t="s">
        <v>365</v>
      </c>
      <c r="E192" s="46"/>
      <c r="F192" s="48" t="s">
        <v>116</v>
      </c>
      <c r="G192" s="9">
        <v>9</v>
      </c>
      <c r="H192" s="12">
        <f>'Engineering Cost'!H192*'Engineering Assumptions'!$B$6</f>
        <v>206280</v>
      </c>
      <c r="I192" s="12">
        <f>IF('Engineering Cost'!I192=0,0,MAX('Engineering Cost'!I192*'Engineering Assumptions'!$B$6,'Engineering Assumptions'!$B$9))</f>
        <v>78000</v>
      </c>
      <c r="J192" s="12">
        <f>'Engineering Cost'!J192*'Engineering Assumptions'!$B$6</f>
        <v>24000</v>
      </c>
      <c r="K192" s="12">
        <f>'Engineering Cost'!K192*'Engineering Assumptions'!$B$6</f>
        <v>18000</v>
      </c>
      <c r="L192" s="13">
        <f t="shared" si="9"/>
        <v>326280</v>
      </c>
      <c r="M192" s="13">
        <f>L192*(1+'Engineering Assumptions'!$B$10)</f>
        <v>375222</v>
      </c>
    </row>
    <row r="193" spans="1:13" ht="15" customHeight="1" x14ac:dyDescent="0.3">
      <c r="A193" s="9">
        <v>180</v>
      </c>
      <c r="B193" s="46" t="s">
        <v>352</v>
      </c>
      <c r="C193" s="46" t="s">
        <v>353</v>
      </c>
      <c r="D193" s="46" t="s">
        <v>366</v>
      </c>
      <c r="E193" s="46"/>
      <c r="F193" s="48" t="s">
        <v>116</v>
      </c>
      <c r="G193" s="9">
        <v>9</v>
      </c>
      <c r="H193" s="12">
        <f>'Engineering Cost'!H193*'Engineering Assumptions'!$B$6</f>
        <v>206280</v>
      </c>
      <c r="I193" s="12">
        <f>IF('Engineering Cost'!I193=0,0,MAX('Engineering Cost'!I193*'Engineering Assumptions'!$B$6,'Engineering Assumptions'!$B$9))</f>
        <v>78000</v>
      </c>
      <c r="J193" s="12">
        <f>'Engineering Cost'!J193*'Engineering Assumptions'!$B$6</f>
        <v>24000</v>
      </c>
      <c r="K193" s="12">
        <f>'Engineering Cost'!K193*'Engineering Assumptions'!$B$6</f>
        <v>18000</v>
      </c>
      <c r="L193" s="13">
        <f t="shared" si="9"/>
        <v>326280</v>
      </c>
      <c r="M193" s="13">
        <f>L193*(1+'Engineering Assumptions'!$B$10)</f>
        <v>375222</v>
      </c>
    </row>
    <row r="194" spans="1:13" ht="15" customHeight="1" x14ac:dyDescent="0.3">
      <c r="A194" s="9">
        <v>181</v>
      </c>
      <c r="B194" s="46" t="s">
        <v>352</v>
      </c>
      <c r="C194" s="46" t="s">
        <v>353</v>
      </c>
      <c r="D194" s="46" t="s">
        <v>367</v>
      </c>
      <c r="E194" s="46"/>
      <c r="F194" s="48" t="s">
        <v>116</v>
      </c>
      <c r="G194" s="9">
        <v>9</v>
      </c>
      <c r="H194" s="12">
        <f>'Engineering Cost'!H194*'Engineering Assumptions'!$B$6</f>
        <v>206280</v>
      </c>
      <c r="I194" s="12">
        <f>IF('Engineering Cost'!I194=0,0,MAX('Engineering Cost'!I194*'Engineering Assumptions'!$B$6,'Engineering Assumptions'!$B$9))</f>
        <v>78000</v>
      </c>
      <c r="J194" s="12">
        <f>'Engineering Cost'!J194*'Engineering Assumptions'!$B$6</f>
        <v>24000</v>
      </c>
      <c r="K194" s="12">
        <f>'Engineering Cost'!K194*'Engineering Assumptions'!$B$6</f>
        <v>18000</v>
      </c>
      <c r="L194" s="13">
        <f t="shared" si="9"/>
        <v>326280</v>
      </c>
      <c r="M194" s="13">
        <f>L194*(1+'Engineering Assumptions'!$B$10)</f>
        <v>375222</v>
      </c>
    </row>
    <row r="195" spans="1:13" ht="15" customHeight="1" x14ac:dyDescent="0.3">
      <c r="A195" s="9">
        <v>182</v>
      </c>
      <c r="B195" s="46" t="s">
        <v>352</v>
      </c>
      <c r="C195" s="46" t="s">
        <v>353</v>
      </c>
      <c r="D195" s="46" t="s">
        <v>368</v>
      </c>
      <c r="E195" s="46"/>
      <c r="F195" s="48" t="s">
        <v>116</v>
      </c>
      <c r="G195" s="9">
        <v>9</v>
      </c>
      <c r="H195" s="12">
        <f>'Engineering Cost'!H195*'Engineering Assumptions'!$B$6</f>
        <v>206280</v>
      </c>
      <c r="I195" s="12">
        <f>IF('Engineering Cost'!I195=0,0,MAX('Engineering Cost'!I195*'Engineering Assumptions'!$B$6,'Engineering Assumptions'!$B$9))</f>
        <v>78000</v>
      </c>
      <c r="J195" s="12">
        <f>'Engineering Cost'!J195*'Engineering Assumptions'!$B$6</f>
        <v>24000</v>
      </c>
      <c r="K195" s="12">
        <f>'Engineering Cost'!K195*'Engineering Assumptions'!$B$6</f>
        <v>18000</v>
      </c>
      <c r="L195" s="13">
        <f t="shared" si="9"/>
        <v>326280</v>
      </c>
      <c r="M195" s="13">
        <f>L195*(1+'Engineering Assumptions'!$B$10)</f>
        <v>375222</v>
      </c>
    </row>
    <row r="196" spans="1:13" ht="15" customHeight="1" x14ac:dyDescent="0.3">
      <c r="A196" s="9">
        <v>183</v>
      </c>
      <c r="B196" s="46" t="s">
        <v>352</v>
      </c>
      <c r="C196" s="46" t="s">
        <v>353</v>
      </c>
      <c r="D196" s="46" t="s">
        <v>369</v>
      </c>
      <c r="E196" s="46"/>
      <c r="F196" s="48" t="s">
        <v>116</v>
      </c>
      <c r="G196" s="9">
        <v>9</v>
      </c>
      <c r="H196" s="12">
        <f>'Engineering Cost'!H196*'Engineering Assumptions'!$B$6</f>
        <v>206280</v>
      </c>
      <c r="I196" s="12">
        <f>IF('Engineering Cost'!I196=0,0,MAX('Engineering Cost'!I196*'Engineering Assumptions'!$B$6,'Engineering Assumptions'!$B$9))</f>
        <v>78000</v>
      </c>
      <c r="J196" s="12">
        <f>'Engineering Cost'!J196*'Engineering Assumptions'!$B$6</f>
        <v>24000</v>
      </c>
      <c r="K196" s="12">
        <f>'Engineering Cost'!K196*'Engineering Assumptions'!$B$6</f>
        <v>18000</v>
      </c>
      <c r="L196" s="13">
        <f t="shared" si="9"/>
        <v>326280</v>
      </c>
      <c r="M196" s="13">
        <f>L196*(1+'Engineering Assumptions'!$B$10)</f>
        <v>375222</v>
      </c>
    </row>
    <row r="197" spans="1:13" ht="15" customHeight="1" x14ac:dyDescent="0.3">
      <c r="A197" s="9">
        <v>184</v>
      </c>
      <c r="B197" s="46" t="s">
        <v>352</v>
      </c>
      <c r="C197" s="46" t="s">
        <v>370</v>
      </c>
      <c r="D197" s="46" t="s">
        <v>371</v>
      </c>
      <c r="E197" s="46"/>
      <c r="F197" s="48" t="s">
        <v>116</v>
      </c>
      <c r="G197" s="9">
        <v>9</v>
      </c>
      <c r="H197" s="12">
        <f>'Engineering Cost'!H197*'Engineering Assumptions'!$B$6</f>
        <v>206280</v>
      </c>
      <c r="I197" s="12">
        <f>IF('Engineering Cost'!I197=0,0,MAX('Engineering Cost'!I197*'Engineering Assumptions'!$B$6,'Engineering Assumptions'!$B$9))</f>
        <v>78000</v>
      </c>
      <c r="J197" s="12">
        <f>'Engineering Cost'!J197*'Engineering Assumptions'!$B$6</f>
        <v>24000</v>
      </c>
      <c r="K197" s="12">
        <f>'Engineering Cost'!K197*'Engineering Assumptions'!$B$6</f>
        <v>18000</v>
      </c>
      <c r="L197" s="13">
        <f t="shared" si="9"/>
        <v>326280</v>
      </c>
      <c r="M197" s="13">
        <f>L197*(1+'Engineering Assumptions'!$B$10)</f>
        <v>375222</v>
      </c>
    </row>
    <row r="198" spans="1:13" ht="15" customHeight="1" x14ac:dyDescent="0.3">
      <c r="A198" s="9">
        <v>185</v>
      </c>
      <c r="B198" s="46" t="s">
        <v>352</v>
      </c>
      <c r="C198" s="46" t="s">
        <v>372</v>
      </c>
      <c r="D198" s="46" t="s">
        <v>373</v>
      </c>
      <c r="E198" s="46"/>
      <c r="F198" s="48" t="s">
        <v>116</v>
      </c>
      <c r="G198" s="9">
        <v>9</v>
      </c>
      <c r="H198" s="12">
        <f>'Engineering Cost'!H198*'Engineering Assumptions'!$B$6</f>
        <v>206280</v>
      </c>
      <c r="I198" s="12">
        <f>IF('Engineering Cost'!I198=0,0,MAX('Engineering Cost'!I198*'Engineering Assumptions'!$B$6,'Engineering Assumptions'!$B$9))</f>
        <v>78000</v>
      </c>
      <c r="J198" s="12">
        <f>'Engineering Cost'!J198*'Engineering Assumptions'!$B$6</f>
        <v>24000</v>
      </c>
      <c r="K198" s="12">
        <f>'Engineering Cost'!K198*'Engineering Assumptions'!$B$6</f>
        <v>18000</v>
      </c>
      <c r="L198" s="13">
        <f t="shared" si="9"/>
        <v>326280</v>
      </c>
      <c r="M198" s="13">
        <f>L198*(1+'Engineering Assumptions'!$B$10)</f>
        <v>375222</v>
      </c>
    </row>
    <row r="199" spans="1:13" ht="15" customHeight="1" x14ac:dyDescent="0.3">
      <c r="A199" s="9">
        <v>186</v>
      </c>
      <c r="B199" s="46" t="s">
        <v>352</v>
      </c>
      <c r="C199" s="46" t="s">
        <v>353</v>
      </c>
      <c r="D199" s="46" t="s">
        <v>374</v>
      </c>
      <c r="E199" s="46"/>
      <c r="F199" s="48" t="s">
        <v>49</v>
      </c>
      <c r="G199" s="9">
        <v>10</v>
      </c>
      <c r="H199" s="12">
        <f>'Engineering Cost'!H199*'Engineering Assumptions'!$B$6</f>
        <v>206280</v>
      </c>
      <c r="I199" s="12">
        <f>IF('Engineering Cost'!I199=0,0,MAX('Engineering Cost'!I199*'Engineering Assumptions'!$B$6,'Engineering Assumptions'!$B$9))</f>
        <v>78000</v>
      </c>
      <c r="J199" s="12">
        <f>'Engineering Cost'!J199*'Engineering Assumptions'!$B$6</f>
        <v>24000</v>
      </c>
      <c r="K199" s="12">
        <f>'Engineering Cost'!K199*'Engineering Assumptions'!$B$6</f>
        <v>18000</v>
      </c>
      <c r="L199" s="13">
        <f t="shared" si="9"/>
        <v>326280</v>
      </c>
      <c r="M199" s="13">
        <f>L199*(1+'Engineering Assumptions'!$B$10)</f>
        <v>375222</v>
      </c>
    </row>
    <row r="200" spans="1:13" ht="15" customHeight="1" x14ac:dyDescent="0.3">
      <c r="A200" s="9">
        <v>187</v>
      </c>
      <c r="B200" s="46" t="s">
        <v>352</v>
      </c>
      <c r="C200" s="46" t="s">
        <v>353</v>
      </c>
      <c r="D200" s="46" t="s">
        <v>375</v>
      </c>
      <c r="E200" s="46"/>
      <c r="F200" s="48" t="s">
        <v>49</v>
      </c>
      <c r="G200" s="9">
        <v>10</v>
      </c>
      <c r="H200" s="12">
        <f>'Engineering Cost'!H200*'Engineering Assumptions'!$B$6</f>
        <v>206280</v>
      </c>
      <c r="I200" s="12">
        <f>IF('Engineering Cost'!I200=0,0,MAX('Engineering Cost'!I200*'Engineering Assumptions'!$B$6,'Engineering Assumptions'!$B$9))</f>
        <v>78000</v>
      </c>
      <c r="J200" s="12">
        <f>'Engineering Cost'!J200*'Engineering Assumptions'!$B$6</f>
        <v>24000</v>
      </c>
      <c r="K200" s="12">
        <f>'Engineering Cost'!K200*'Engineering Assumptions'!$B$6</f>
        <v>18000</v>
      </c>
      <c r="L200" s="13">
        <f t="shared" si="9"/>
        <v>326280</v>
      </c>
      <c r="M200" s="13">
        <f>L200*(1+'Engineering Assumptions'!$B$10)</f>
        <v>375222</v>
      </c>
    </row>
    <row r="201" spans="1:13" ht="15" customHeight="1" x14ac:dyDescent="0.3">
      <c r="A201" s="9">
        <v>188</v>
      </c>
      <c r="B201" s="46" t="s">
        <v>352</v>
      </c>
      <c r="C201" s="46" t="s">
        <v>353</v>
      </c>
      <c r="D201" s="46" t="s">
        <v>376</v>
      </c>
      <c r="E201" s="46"/>
      <c r="F201" s="48" t="s">
        <v>49</v>
      </c>
      <c r="G201" s="9">
        <v>10</v>
      </c>
      <c r="H201" s="12">
        <f>'Engineering Cost'!H201*'Engineering Assumptions'!$B$6</f>
        <v>206280</v>
      </c>
      <c r="I201" s="12">
        <f>IF('Engineering Cost'!I201=0,0,MAX('Engineering Cost'!I201*'Engineering Assumptions'!$B$6,'Engineering Assumptions'!$B$9))</f>
        <v>78000</v>
      </c>
      <c r="J201" s="12">
        <f>'Engineering Cost'!J201*'Engineering Assumptions'!$B$6</f>
        <v>24000</v>
      </c>
      <c r="K201" s="12">
        <f>'Engineering Cost'!K201*'Engineering Assumptions'!$B$6</f>
        <v>18000</v>
      </c>
      <c r="L201" s="13">
        <f t="shared" si="9"/>
        <v>326280</v>
      </c>
      <c r="M201" s="13">
        <f>L201*(1+'Engineering Assumptions'!$B$10)</f>
        <v>375222</v>
      </c>
    </row>
    <row r="202" spans="1:13" ht="15" customHeight="1" x14ac:dyDescent="0.3">
      <c r="A202" s="9">
        <v>189</v>
      </c>
      <c r="B202" s="46" t="s">
        <v>352</v>
      </c>
      <c r="C202" s="46" t="s">
        <v>353</v>
      </c>
      <c r="D202" s="46" t="s">
        <v>377</v>
      </c>
      <c r="E202" s="46"/>
      <c r="F202" s="48" t="s">
        <v>49</v>
      </c>
      <c r="G202" s="9">
        <v>10</v>
      </c>
      <c r="H202" s="12">
        <f>'Engineering Cost'!H202*'Engineering Assumptions'!$B$6</f>
        <v>206280</v>
      </c>
      <c r="I202" s="12">
        <f>IF('Engineering Cost'!I202=0,0,MAX('Engineering Cost'!I202*'Engineering Assumptions'!$B$6,'Engineering Assumptions'!$B$9))</f>
        <v>78000</v>
      </c>
      <c r="J202" s="12">
        <f>'Engineering Cost'!J202*'Engineering Assumptions'!$B$6</f>
        <v>24000</v>
      </c>
      <c r="K202" s="12">
        <f>'Engineering Cost'!K202*'Engineering Assumptions'!$B$6</f>
        <v>18000</v>
      </c>
      <c r="L202" s="13">
        <f t="shared" si="9"/>
        <v>326280</v>
      </c>
      <c r="M202" s="13">
        <f>L202*(1+'Engineering Assumptions'!$B$10)</f>
        <v>375222</v>
      </c>
    </row>
    <row r="203" spans="1:13" ht="15" customHeight="1" x14ac:dyDescent="0.3">
      <c r="A203" s="9">
        <v>190</v>
      </c>
      <c r="B203" s="46" t="s">
        <v>352</v>
      </c>
      <c r="C203" s="46" t="s">
        <v>378</v>
      </c>
      <c r="D203" s="46" t="s">
        <v>379</v>
      </c>
      <c r="E203" s="46"/>
      <c r="F203" s="48" t="s">
        <v>49</v>
      </c>
      <c r="G203" s="9">
        <v>10</v>
      </c>
      <c r="H203" s="12">
        <f>'Engineering Cost'!H203*'Engineering Assumptions'!$B$6</f>
        <v>206280</v>
      </c>
      <c r="I203" s="12">
        <f>IF('Engineering Cost'!I203=0,0,MAX('Engineering Cost'!I203*'Engineering Assumptions'!$B$6,'Engineering Assumptions'!$B$9))</f>
        <v>78000</v>
      </c>
      <c r="J203" s="12">
        <f>'Engineering Cost'!J203*'Engineering Assumptions'!$B$6</f>
        <v>24000</v>
      </c>
      <c r="K203" s="12">
        <f>'Engineering Cost'!K203*'Engineering Assumptions'!$B$6</f>
        <v>18000</v>
      </c>
      <c r="L203" s="13">
        <f t="shared" si="9"/>
        <v>326280</v>
      </c>
      <c r="M203" s="13">
        <f>L203*(1+'Engineering Assumptions'!$B$10)</f>
        <v>375222</v>
      </c>
    </row>
    <row r="204" spans="1:13" ht="15" customHeight="1" x14ac:dyDescent="0.3">
      <c r="A204" s="9">
        <v>191</v>
      </c>
      <c r="B204" s="46" t="s">
        <v>352</v>
      </c>
      <c r="C204" s="46" t="s">
        <v>361</v>
      </c>
      <c r="D204" s="46" t="s">
        <v>380</v>
      </c>
      <c r="E204" s="46"/>
      <c r="F204" s="48" t="s">
        <v>94</v>
      </c>
      <c r="G204" s="9">
        <v>12</v>
      </c>
      <c r="H204" s="12">
        <f>'Engineering Cost'!H204*'Engineering Assumptions'!$B$6</f>
        <v>206280</v>
      </c>
      <c r="I204" s="12">
        <f>IF('Engineering Cost'!I204=0,0,MAX('Engineering Cost'!I204*'Engineering Assumptions'!$B$6,'Engineering Assumptions'!$B$9))</f>
        <v>78000</v>
      </c>
      <c r="J204" s="12">
        <f>'Engineering Cost'!J204*'Engineering Assumptions'!$B$6</f>
        <v>29760</v>
      </c>
      <c r="K204" s="12">
        <f>'Engineering Cost'!K204*'Engineering Assumptions'!$B$6</f>
        <v>32400</v>
      </c>
      <c r="L204" s="13">
        <f t="shared" si="9"/>
        <v>346440</v>
      </c>
      <c r="M204" s="13">
        <f>L204*(1+'Engineering Assumptions'!$B$10)</f>
        <v>398405.99999999994</v>
      </c>
    </row>
    <row r="205" spans="1:13" ht="15" customHeight="1" x14ac:dyDescent="0.3">
      <c r="A205" s="9">
        <v>192</v>
      </c>
      <c r="B205" s="46" t="s">
        <v>352</v>
      </c>
      <c r="C205" s="46" t="s">
        <v>381</v>
      </c>
      <c r="D205" s="46" t="s">
        <v>382</v>
      </c>
      <c r="E205" s="46"/>
      <c r="F205" s="48" t="s">
        <v>94</v>
      </c>
      <c r="G205" s="9">
        <v>12</v>
      </c>
      <c r="H205" s="12">
        <f>'Engineering Cost'!H205*'Engineering Assumptions'!$B$6</f>
        <v>206280</v>
      </c>
      <c r="I205" s="12">
        <f>IF('Engineering Cost'!I205=0,0,MAX('Engineering Cost'!I205*'Engineering Assumptions'!$B$6,'Engineering Assumptions'!$B$9))</f>
        <v>78000</v>
      </c>
      <c r="J205" s="12">
        <f>'Engineering Cost'!J205*'Engineering Assumptions'!$B$6</f>
        <v>29760</v>
      </c>
      <c r="K205" s="12">
        <f>'Engineering Cost'!K205*'Engineering Assumptions'!$B$6</f>
        <v>32400</v>
      </c>
      <c r="L205" s="13">
        <f t="shared" si="9"/>
        <v>346440</v>
      </c>
      <c r="M205" s="13">
        <f>L205*(1+'Engineering Assumptions'!$B$10)</f>
        <v>398405.99999999994</v>
      </c>
    </row>
    <row r="206" spans="1:13" ht="15" customHeight="1" x14ac:dyDescent="0.3">
      <c r="A206" s="9">
        <v>193</v>
      </c>
      <c r="B206" s="46" t="s">
        <v>352</v>
      </c>
      <c r="C206" s="46" t="s">
        <v>381</v>
      </c>
      <c r="D206" s="46" t="s">
        <v>383</v>
      </c>
      <c r="E206" s="46"/>
      <c r="F206" s="48" t="s">
        <v>94</v>
      </c>
      <c r="G206" s="9">
        <v>12</v>
      </c>
      <c r="H206" s="12">
        <f>'Engineering Cost'!H206*'Engineering Assumptions'!$B$6</f>
        <v>206280</v>
      </c>
      <c r="I206" s="12">
        <f>IF('Engineering Cost'!I206=0,0,MAX('Engineering Cost'!I206*'Engineering Assumptions'!$B$6,'Engineering Assumptions'!$B$9))</f>
        <v>78000</v>
      </c>
      <c r="J206" s="12">
        <f>'Engineering Cost'!J206*'Engineering Assumptions'!$B$6</f>
        <v>29760</v>
      </c>
      <c r="K206" s="12">
        <f>'Engineering Cost'!K206*'Engineering Assumptions'!$B$6</f>
        <v>32400</v>
      </c>
      <c r="L206" s="13">
        <f t="shared" si="9"/>
        <v>346440</v>
      </c>
      <c r="M206" s="13">
        <f>L206*(1+'Engineering Assumptions'!$B$10)</f>
        <v>398405.99999999994</v>
      </c>
    </row>
    <row r="207" spans="1:13" ht="15" customHeight="1" x14ac:dyDescent="0.3">
      <c r="A207" s="9">
        <v>194</v>
      </c>
      <c r="B207" s="46" t="s">
        <v>352</v>
      </c>
      <c r="C207" s="46" t="s">
        <v>361</v>
      </c>
      <c r="D207" s="46" t="s">
        <v>384</v>
      </c>
      <c r="E207" s="46"/>
      <c r="F207" s="48" t="s">
        <v>94</v>
      </c>
      <c r="G207" s="9">
        <v>12</v>
      </c>
      <c r="H207" s="12">
        <f>'Engineering Cost'!H207*'Engineering Assumptions'!$B$6</f>
        <v>206280</v>
      </c>
      <c r="I207" s="12">
        <f>IF('Engineering Cost'!I207=0,0,MAX('Engineering Cost'!I207*'Engineering Assumptions'!$B$6,'Engineering Assumptions'!$B$9))</f>
        <v>78000</v>
      </c>
      <c r="J207" s="12">
        <f>'Engineering Cost'!J207*'Engineering Assumptions'!$B$6</f>
        <v>29760</v>
      </c>
      <c r="K207" s="12">
        <f>'Engineering Cost'!K207*'Engineering Assumptions'!$B$6</f>
        <v>32400</v>
      </c>
      <c r="L207" s="13">
        <f t="shared" si="9"/>
        <v>346440</v>
      </c>
      <c r="M207" s="13">
        <f>L207*(1+'Engineering Assumptions'!$B$10)</f>
        <v>398405.99999999994</v>
      </c>
    </row>
    <row r="208" spans="1:13" ht="15" customHeight="1" x14ac:dyDescent="0.3">
      <c r="A208" s="199" t="s">
        <v>385</v>
      </c>
      <c r="B208" s="200"/>
      <c r="C208" s="200"/>
      <c r="D208" s="200"/>
      <c r="E208" s="200"/>
      <c r="F208" s="200"/>
      <c r="G208" s="200"/>
      <c r="H208" s="200"/>
      <c r="I208" s="200"/>
      <c r="J208" s="200"/>
      <c r="K208" s="200"/>
      <c r="L208" s="200"/>
      <c r="M208" s="200"/>
    </row>
    <row r="209" spans="1:13" ht="15" customHeight="1" x14ac:dyDescent="0.3">
      <c r="A209" s="9">
        <v>195</v>
      </c>
      <c r="B209" s="46" t="s">
        <v>386</v>
      </c>
      <c r="C209" s="46" t="s">
        <v>387</v>
      </c>
      <c r="D209" s="46" t="s">
        <v>388</v>
      </c>
      <c r="E209" s="46"/>
      <c r="F209" s="48" t="s">
        <v>31</v>
      </c>
      <c r="G209" s="9">
        <v>6</v>
      </c>
      <c r="H209" s="12">
        <f>'Engineering Cost'!H209*'Engineering Assumptions'!$B$6</f>
        <v>550080</v>
      </c>
      <c r="I209" s="12">
        <f>IF('Engineering Cost'!I209=0,0,MAX('Engineering Cost'!I209*'Engineering Assumptions'!$B$6,'Engineering Assumptions'!$B$9))</f>
        <v>78000</v>
      </c>
      <c r="J209" s="12">
        <f>'Engineering Cost'!J209*'Engineering Assumptions'!$B$6</f>
        <v>63000</v>
      </c>
      <c r="K209" s="12">
        <f>'Engineering Cost'!K209*'Engineering Assumptions'!$B$6</f>
        <v>50400</v>
      </c>
      <c r="L209" s="13">
        <f t="shared" ref="L209:L219" si="10">SUM(H209:K209)</f>
        <v>741480</v>
      </c>
      <c r="M209" s="13">
        <f>L209*(1+'Engineering Assumptions'!$B$10)</f>
        <v>852701.99999999988</v>
      </c>
    </row>
    <row r="210" spans="1:13" ht="15" customHeight="1" x14ac:dyDescent="0.3">
      <c r="A210" s="9">
        <v>196</v>
      </c>
      <c r="B210" s="46" t="s">
        <v>386</v>
      </c>
      <c r="C210" s="46" t="s">
        <v>389</v>
      </c>
      <c r="D210" s="46" t="s">
        <v>390</v>
      </c>
      <c r="E210" s="46"/>
      <c r="F210" s="48" t="s">
        <v>45</v>
      </c>
      <c r="G210" s="9">
        <v>7</v>
      </c>
      <c r="H210" s="12">
        <f>'Engineering Cost'!H210*'Engineering Assumptions'!$B$6</f>
        <v>550080</v>
      </c>
      <c r="I210" s="12">
        <f>IF('Engineering Cost'!I210=0,0,MAX('Engineering Cost'!I210*'Engineering Assumptions'!$B$6,'Engineering Assumptions'!$B$9))</f>
        <v>78000</v>
      </c>
      <c r="J210" s="12">
        <f>'Engineering Cost'!J210*'Engineering Assumptions'!$B$6</f>
        <v>63000</v>
      </c>
      <c r="K210" s="12">
        <f>'Engineering Cost'!K210*'Engineering Assumptions'!$B$6</f>
        <v>50400</v>
      </c>
      <c r="L210" s="13">
        <f t="shared" si="10"/>
        <v>741480</v>
      </c>
      <c r="M210" s="13">
        <f>L210*(1+'Engineering Assumptions'!$B$10)</f>
        <v>852701.99999999988</v>
      </c>
    </row>
    <row r="211" spans="1:13" ht="15" customHeight="1" x14ac:dyDescent="0.3">
      <c r="A211" s="9">
        <v>197</v>
      </c>
      <c r="B211" s="46" t="s">
        <v>386</v>
      </c>
      <c r="C211" s="46" t="s">
        <v>391</v>
      </c>
      <c r="D211" s="46" t="s">
        <v>392</v>
      </c>
      <c r="E211" s="46"/>
      <c r="F211" s="48" t="s">
        <v>94</v>
      </c>
      <c r="G211" s="9">
        <v>12</v>
      </c>
      <c r="H211" s="12">
        <f>'Engineering Cost'!H211*'Engineering Assumptions'!$B$6</f>
        <v>550080</v>
      </c>
      <c r="I211" s="12">
        <f>IF('Engineering Cost'!I211=0,0,MAX('Engineering Cost'!I211*'Engineering Assumptions'!$B$6,'Engineering Assumptions'!$B$9))</f>
        <v>78000</v>
      </c>
      <c r="J211" s="12">
        <f>'Engineering Cost'!J211*'Engineering Assumptions'!$B$6</f>
        <v>78120</v>
      </c>
      <c r="K211" s="12">
        <f>'Engineering Cost'!K211*'Engineering Assumptions'!$B$6</f>
        <v>90720</v>
      </c>
      <c r="L211" s="13">
        <f t="shared" si="10"/>
        <v>796920</v>
      </c>
      <c r="M211" s="13">
        <f>L211*(1+'Engineering Assumptions'!$B$10)</f>
        <v>916457.99999999988</v>
      </c>
    </row>
    <row r="212" spans="1:13" ht="15" customHeight="1" x14ac:dyDescent="0.3">
      <c r="A212" s="9">
        <v>198</v>
      </c>
      <c r="B212" s="46" t="s">
        <v>386</v>
      </c>
      <c r="C212" s="46" t="s">
        <v>393</v>
      </c>
      <c r="D212" s="46" t="s">
        <v>394</v>
      </c>
      <c r="E212" s="46"/>
      <c r="F212" s="48" t="s">
        <v>94</v>
      </c>
      <c r="G212" s="9">
        <v>12</v>
      </c>
      <c r="H212" s="12">
        <f>'Engineering Cost'!H212*'Engineering Assumptions'!$B$6</f>
        <v>550080</v>
      </c>
      <c r="I212" s="12">
        <f>IF('Engineering Cost'!I212=0,0,MAX('Engineering Cost'!I212*'Engineering Assumptions'!$B$6,'Engineering Assumptions'!$B$9))</f>
        <v>78000</v>
      </c>
      <c r="J212" s="12">
        <f>'Engineering Cost'!J212*'Engineering Assumptions'!$B$6</f>
        <v>78120</v>
      </c>
      <c r="K212" s="12">
        <f>'Engineering Cost'!K212*'Engineering Assumptions'!$B$6</f>
        <v>90720</v>
      </c>
      <c r="L212" s="13">
        <f t="shared" si="10"/>
        <v>796920</v>
      </c>
      <c r="M212" s="13">
        <f>L212*(1+'Engineering Assumptions'!$B$10)</f>
        <v>916457.99999999988</v>
      </c>
    </row>
    <row r="213" spans="1:13" ht="15" customHeight="1" x14ac:dyDescent="0.3">
      <c r="A213" s="9">
        <v>199</v>
      </c>
      <c r="B213" s="46" t="s">
        <v>386</v>
      </c>
      <c r="C213" s="46" t="s">
        <v>395</v>
      </c>
      <c r="D213" s="46" t="s">
        <v>396</v>
      </c>
      <c r="E213" s="46"/>
      <c r="F213" s="48" t="s">
        <v>99</v>
      </c>
      <c r="G213" s="9">
        <v>13</v>
      </c>
      <c r="H213" s="12">
        <f>'Engineering Cost'!H213*'Engineering Assumptions'!$B$6</f>
        <v>550080</v>
      </c>
      <c r="I213" s="12">
        <f>IF('Engineering Cost'!I213=0,0,MAX('Engineering Cost'!I213*'Engineering Assumptions'!$B$6,'Engineering Assumptions'!$B$9))</f>
        <v>78000</v>
      </c>
      <c r="J213" s="12">
        <f>'Engineering Cost'!J213*'Engineering Assumptions'!$B$6</f>
        <v>78120</v>
      </c>
      <c r="K213" s="12">
        <f>'Engineering Cost'!K213*'Engineering Assumptions'!$B$6</f>
        <v>90720</v>
      </c>
      <c r="L213" s="13">
        <f t="shared" si="10"/>
        <v>796920</v>
      </c>
      <c r="M213" s="13">
        <f>L213*(1+'Engineering Assumptions'!$B$10)</f>
        <v>916457.99999999988</v>
      </c>
    </row>
    <row r="214" spans="1:13" ht="15" customHeight="1" x14ac:dyDescent="0.3">
      <c r="A214" s="9">
        <v>200</v>
      </c>
      <c r="B214" s="46" t="s">
        <v>386</v>
      </c>
      <c r="C214" s="46" t="s">
        <v>397</v>
      </c>
      <c r="D214" s="46" t="s">
        <v>398</v>
      </c>
      <c r="E214" s="46"/>
      <c r="F214" s="48" t="s">
        <v>66</v>
      </c>
      <c r="G214" s="9">
        <v>14</v>
      </c>
      <c r="H214" s="12">
        <f>'Engineering Cost'!H214*'Engineering Assumptions'!$B$6</f>
        <v>550080</v>
      </c>
      <c r="I214" s="12">
        <f>IF('Engineering Cost'!I214=0,0,MAX('Engineering Cost'!I214*'Engineering Assumptions'!$B$6,'Engineering Assumptions'!$B$9))</f>
        <v>78000</v>
      </c>
      <c r="J214" s="12">
        <f>'Engineering Cost'!J214*'Engineering Assumptions'!$B$6</f>
        <v>78120</v>
      </c>
      <c r="K214" s="12">
        <f>'Engineering Cost'!K214*'Engineering Assumptions'!$B$6</f>
        <v>90720</v>
      </c>
      <c r="L214" s="13">
        <f t="shared" si="10"/>
        <v>796920</v>
      </c>
      <c r="M214" s="13">
        <f>L214*(1+'Engineering Assumptions'!$B$10)</f>
        <v>916457.99999999988</v>
      </c>
    </row>
    <row r="215" spans="1:13" ht="15" customHeight="1" x14ac:dyDescent="0.3">
      <c r="A215" s="9">
        <v>201</v>
      </c>
      <c r="B215" s="46" t="s">
        <v>386</v>
      </c>
      <c r="C215" s="46" t="s">
        <v>399</v>
      </c>
      <c r="D215" s="46" t="s">
        <v>400</v>
      </c>
      <c r="E215" s="46"/>
      <c r="F215" s="48" t="s">
        <v>66</v>
      </c>
      <c r="G215" s="9">
        <v>14</v>
      </c>
      <c r="H215" s="12">
        <f>'Engineering Cost'!H215*'Engineering Assumptions'!$B$6</f>
        <v>550080</v>
      </c>
      <c r="I215" s="12">
        <f>IF('Engineering Cost'!I215=0,0,MAX('Engineering Cost'!I215*'Engineering Assumptions'!$B$6,'Engineering Assumptions'!$B$9))</f>
        <v>78000</v>
      </c>
      <c r="J215" s="12">
        <f>'Engineering Cost'!J215*'Engineering Assumptions'!$B$6</f>
        <v>78120</v>
      </c>
      <c r="K215" s="12">
        <f>'Engineering Cost'!K215*'Engineering Assumptions'!$B$6</f>
        <v>90720</v>
      </c>
      <c r="L215" s="13">
        <f t="shared" si="10"/>
        <v>796920</v>
      </c>
      <c r="M215" s="13">
        <f>L215*(1+'Engineering Assumptions'!$B$10)</f>
        <v>916457.99999999988</v>
      </c>
    </row>
    <row r="216" spans="1:13" ht="15" customHeight="1" x14ac:dyDescent="0.3">
      <c r="A216" s="9">
        <v>202</v>
      </c>
      <c r="B216" s="46" t="s">
        <v>386</v>
      </c>
      <c r="C216" s="46" t="s">
        <v>401</v>
      </c>
      <c r="D216" s="46" t="s">
        <v>402</v>
      </c>
      <c r="E216" s="46"/>
      <c r="F216" s="48" t="s">
        <v>66</v>
      </c>
      <c r="G216" s="9">
        <v>14</v>
      </c>
      <c r="H216" s="12">
        <f>'Engineering Cost'!H216*'Engineering Assumptions'!$B$6</f>
        <v>550080</v>
      </c>
      <c r="I216" s="12">
        <f>IF('Engineering Cost'!I216=0,0,MAX('Engineering Cost'!I216*'Engineering Assumptions'!$B$6,'Engineering Assumptions'!$B$9))</f>
        <v>78000</v>
      </c>
      <c r="J216" s="12">
        <f>'Engineering Cost'!J216*'Engineering Assumptions'!$B$6</f>
        <v>78120</v>
      </c>
      <c r="K216" s="12">
        <f>'Engineering Cost'!K216*'Engineering Assumptions'!$B$6</f>
        <v>90720</v>
      </c>
      <c r="L216" s="13">
        <f t="shared" si="10"/>
        <v>796920</v>
      </c>
      <c r="M216" s="13">
        <f>L216*(1+'Engineering Assumptions'!$B$10)</f>
        <v>916457.99999999988</v>
      </c>
    </row>
    <row r="217" spans="1:13" ht="15" customHeight="1" x14ac:dyDescent="0.3">
      <c r="A217" s="9">
        <v>203</v>
      </c>
      <c r="B217" s="46" t="s">
        <v>386</v>
      </c>
      <c r="C217" s="46" t="s">
        <v>403</v>
      </c>
      <c r="D217" s="46" t="s">
        <v>404</v>
      </c>
      <c r="E217" s="46"/>
      <c r="F217" s="48" t="s">
        <v>73</v>
      </c>
      <c r="G217" s="9">
        <v>20</v>
      </c>
      <c r="H217" s="12">
        <f>'Engineering Cost'!H217*'Engineering Assumptions'!$B$6</f>
        <v>550080</v>
      </c>
      <c r="I217" s="12">
        <f>IF('Engineering Cost'!I217=0,0,MAX('Engineering Cost'!I217*'Engineering Assumptions'!$B$6,'Engineering Assumptions'!$B$9))</f>
        <v>78000</v>
      </c>
      <c r="J217" s="12">
        <f>'Engineering Cost'!J217*'Engineering Assumptions'!$B$6</f>
        <v>98280</v>
      </c>
      <c r="K217" s="12">
        <f>'Engineering Cost'!K217*'Engineering Assumptions'!$B$6</f>
        <v>141120</v>
      </c>
      <c r="L217" s="13">
        <f t="shared" si="10"/>
        <v>867480</v>
      </c>
      <c r="M217" s="13">
        <f>L217*(1+'Engineering Assumptions'!$B$10)</f>
        <v>997601.99999999988</v>
      </c>
    </row>
    <row r="218" spans="1:13" ht="15" customHeight="1" x14ac:dyDescent="0.3">
      <c r="A218" s="9">
        <v>204</v>
      </c>
      <c r="B218" s="46" t="s">
        <v>386</v>
      </c>
      <c r="C218" s="46" t="s">
        <v>188</v>
      </c>
      <c r="D218" s="46" t="s">
        <v>405</v>
      </c>
      <c r="E218" s="46"/>
      <c r="F218" s="48" t="s">
        <v>195</v>
      </c>
      <c r="G218" s="9">
        <v>30</v>
      </c>
      <c r="H218" s="12">
        <f>'Engineering Cost'!H218*'Engineering Assumptions'!$B$6</f>
        <v>550080</v>
      </c>
      <c r="I218" s="12">
        <f>IF('Engineering Cost'!I218=0,0,MAX('Engineering Cost'!I218*'Engineering Assumptions'!$B$6,'Engineering Assumptions'!$B$9))</f>
        <v>78000</v>
      </c>
      <c r="J218" s="12">
        <f>'Engineering Cost'!J218*'Engineering Assumptions'!$B$6</f>
        <v>120960</v>
      </c>
      <c r="K218" s="12">
        <f>'Engineering Cost'!K218*'Engineering Assumptions'!$B$6</f>
        <v>201600</v>
      </c>
      <c r="L218" s="13">
        <f t="shared" si="10"/>
        <v>950640</v>
      </c>
      <c r="M218" s="13">
        <f>L218*(1+'Engineering Assumptions'!$B$10)</f>
        <v>1093236</v>
      </c>
    </row>
    <row r="219" spans="1:13" ht="15" customHeight="1" x14ac:dyDescent="0.3">
      <c r="A219" s="9">
        <v>205</v>
      </c>
      <c r="B219" s="46" t="s">
        <v>386</v>
      </c>
      <c r="C219" s="46" t="s">
        <v>188</v>
      </c>
      <c r="D219" s="46" t="s">
        <v>406</v>
      </c>
      <c r="E219" s="46"/>
      <c r="F219" s="48" t="s">
        <v>195</v>
      </c>
      <c r="G219" s="9">
        <v>30</v>
      </c>
      <c r="H219" s="12">
        <f>'Engineering Cost'!H219*'Engineering Assumptions'!$B$6</f>
        <v>550080</v>
      </c>
      <c r="I219" s="12">
        <f>IF('Engineering Cost'!I219=0,0,MAX('Engineering Cost'!I219*'Engineering Assumptions'!$B$6,'Engineering Assumptions'!$B$9))</f>
        <v>78000</v>
      </c>
      <c r="J219" s="12">
        <f>'Engineering Cost'!J219*'Engineering Assumptions'!$B$6</f>
        <v>120960</v>
      </c>
      <c r="K219" s="12">
        <f>'Engineering Cost'!K219*'Engineering Assumptions'!$B$6</f>
        <v>201600</v>
      </c>
      <c r="L219" s="13">
        <f t="shared" si="10"/>
        <v>950640</v>
      </c>
      <c r="M219" s="13">
        <f>L219*(1+'Engineering Assumptions'!$B$10)</f>
        <v>1093236</v>
      </c>
    </row>
    <row r="220" spans="1:13" ht="15" customHeight="1" x14ac:dyDescent="0.3">
      <c r="A220" s="199" t="s">
        <v>407</v>
      </c>
      <c r="B220" s="200"/>
      <c r="C220" s="200"/>
      <c r="D220" s="200"/>
      <c r="E220" s="200"/>
      <c r="F220" s="200"/>
      <c r="G220" s="200"/>
      <c r="H220" s="200"/>
      <c r="I220" s="200"/>
      <c r="J220" s="200"/>
      <c r="K220" s="200"/>
      <c r="L220" s="200"/>
      <c r="M220" s="200"/>
    </row>
    <row r="221" spans="1:13" ht="15" customHeight="1" x14ac:dyDescent="0.3">
      <c r="A221" s="9">
        <v>206</v>
      </c>
      <c r="B221" s="46" t="s">
        <v>408</v>
      </c>
      <c r="C221" s="46" t="s">
        <v>409</v>
      </c>
      <c r="D221" s="46" t="s">
        <v>410</v>
      </c>
      <c r="E221" s="46" t="s">
        <v>411</v>
      </c>
      <c r="F221" s="48" t="s">
        <v>45</v>
      </c>
      <c r="G221" s="9">
        <v>7</v>
      </c>
      <c r="H221" s="12">
        <f>'Engineering Cost'!H221*'Engineering Assumptions'!$B$6</f>
        <v>297960</v>
      </c>
      <c r="I221" s="12">
        <f>IF('Engineering Cost'!I221=0,0,MAX('Engineering Cost'!I221*'Engineering Assumptions'!$B$6,'Engineering Assumptions'!$B$9))</f>
        <v>78000</v>
      </c>
      <c r="J221" s="12">
        <f>'Engineering Cost'!J221*'Engineering Assumptions'!$B$6</f>
        <v>25500</v>
      </c>
      <c r="K221" s="12">
        <f>'Engineering Cost'!K221*'Engineering Assumptions'!$B$6</f>
        <v>18900</v>
      </c>
      <c r="L221" s="13">
        <f>SUM(H221:K221)</f>
        <v>420360</v>
      </c>
      <c r="M221" s="13">
        <f>L221*(1+'Engineering Assumptions'!$B$10)</f>
        <v>483413.99999999994</v>
      </c>
    </row>
    <row r="222" spans="1:13" ht="15" customHeight="1" x14ac:dyDescent="0.3">
      <c r="A222" s="9">
        <v>207</v>
      </c>
      <c r="B222" s="46" t="s">
        <v>408</v>
      </c>
      <c r="C222" s="46" t="s">
        <v>412</v>
      </c>
      <c r="D222" s="46" t="s">
        <v>413</v>
      </c>
      <c r="E222" s="46" t="s">
        <v>414</v>
      </c>
      <c r="F222" s="48" t="s">
        <v>99</v>
      </c>
      <c r="G222" s="9">
        <v>13</v>
      </c>
      <c r="H222" s="12">
        <f>'Engineering Cost'!H222*'Engineering Assumptions'!$B$6</f>
        <v>297960</v>
      </c>
      <c r="I222" s="12">
        <f>IF('Engineering Cost'!I222=0,0,MAX('Engineering Cost'!I222*'Engineering Assumptions'!$B$6,'Engineering Assumptions'!$B$9))</f>
        <v>78000</v>
      </c>
      <c r="J222" s="12">
        <f>'Engineering Cost'!J222*'Engineering Assumptions'!$B$6</f>
        <v>31620</v>
      </c>
      <c r="K222" s="12">
        <f>'Engineering Cost'!K222*'Engineering Assumptions'!$B$6</f>
        <v>34020</v>
      </c>
      <c r="L222" s="13">
        <f>SUM(H222:K222)</f>
        <v>441600</v>
      </c>
      <c r="M222" s="13">
        <f>L222*(1+'Engineering Assumptions'!$B$10)</f>
        <v>507839.99999999994</v>
      </c>
    </row>
    <row r="223" spans="1:13" ht="15" customHeight="1" x14ac:dyDescent="0.3">
      <c r="A223" s="9">
        <v>208</v>
      </c>
      <c r="B223" s="46" t="s">
        <v>408</v>
      </c>
      <c r="C223" s="46" t="s">
        <v>415</v>
      </c>
      <c r="D223" s="46" t="s">
        <v>416</v>
      </c>
      <c r="E223" s="46" t="s">
        <v>417</v>
      </c>
      <c r="F223" s="48" t="s">
        <v>66</v>
      </c>
      <c r="G223" s="9">
        <v>14</v>
      </c>
      <c r="H223" s="12">
        <f>'Engineering Cost'!H223*'Engineering Assumptions'!$B$6</f>
        <v>297960</v>
      </c>
      <c r="I223" s="12">
        <f>IF('Engineering Cost'!I223=0,0,MAX('Engineering Cost'!I223*'Engineering Assumptions'!$B$6,'Engineering Assumptions'!$B$9))</f>
        <v>78000</v>
      </c>
      <c r="J223" s="12">
        <f>'Engineering Cost'!J223*'Engineering Assumptions'!$B$6</f>
        <v>31620</v>
      </c>
      <c r="K223" s="12">
        <f>'Engineering Cost'!K223*'Engineering Assumptions'!$B$6</f>
        <v>34020</v>
      </c>
      <c r="L223" s="13">
        <f>SUM(H223:K223)</f>
        <v>441600</v>
      </c>
      <c r="M223" s="13">
        <f>L223*(1+'Engineering Assumptions'!$B$10)</f>
        <v>507839.99999999994</v>
      </c>
    </row>
    <row r="224" spans="1:13" ht="15" customHeight="1" x14ac:dyDescent="0.3">
      <c r="A224" s="9">
        <v>209</v>
      </c>
      <c r="B224" s="46" t="s">
        <v>408</v>
      </c>
      <c r="C224" s="46" t="s">
        <v>418</v>
      </c>
      <c r="D224" s="46" t="s">
        <v>419</v>
      </c>
      <c r="E224" s="46" t="s">
        <v>420</v>
      </c>
      <c r="F224" s="48" t="s">
        <v>421</v>
      </c>
      <c r="G224" s="9">
        <v>34</v>
      </c>
      <c r="H224" s="12">
        <f>'Engineering Cost'!H224*'Engineering Assumptions'!$B$6</f>
        <v>297960</v>
      </c>
      <c r="I224" s="12">
        <f>IF('Engineering Cost'!I224=0,0,MAX('Engineering Cost'!I224*'Engineering Assumptions'!$B$6,'Engineering Assumptions'!$B$9))</f>
        <v>78000</v>
      </c>
      <c r="J224" s="12">
        <f>'Engineering Cost'!J224*'Engineering Assumptions'!$B$6</f>
        <v>48960</v>
      </c>
      <c r="K224" s="12">
        <f>'Engineering Cost'!K224*'Engineering Assumptions'!$B$6</f>
        <v>75600</v>
      </c>
      <c r="L224" s="13">
        <f>SUM(H224:K224)</f>
        <v>500520</v>
      </c>
      <c r="M224" s="13">
        <f>L224*(1+'Engineering Assumptions'!$B$10)</f>
        <v>575598</v>
      </c>
    </row>
    <row r="225" spans="1:13" ht="15" customHeight="1" x14ac:dyDescent="0.3">
      <c r="A225" s="199" t="s">
        <v>422</v>
      </c>
      <c r="B225" s="200"/>
      <c r="C225" s="200"/>
      <c r="D225" s="200"/>
      <c r="E225" s="200"/>
      <c r="F225" s="200"/>
      <c r="G225" s="200"/>
      <c r="H225" s="200"/>
      <c r="I225" s="200"/>
      <c r="J225" s="200"/>
      <c r="K225" s="200"/>
      <c r="L225" s="200"/>
      <c r="M225" s="200"/>
    </row>
    <row r="226" spans="1:13" ht="15" customHeight="1" x14ac:dyDescent="0.3">
      <c r="A226" s="9">
        <v>210</v>
      </c>
      <c r="B226" s="46" t="s">
        <v>423</v>
      </c>
      <c r="C226" s="46" t="s">
        <v>424</v>
      </c>
      <c r="D226" s="46" t="s">
        <v>425</v>
      </c>
      <c r="E226" s="46" t="s">
        <v>426</v>
      </c>
      <c r="F226" s="48" t="s">
        <v>427</v>
      </c>
      <c r="G226" s="9">
        <v>28</v>
      </c>
      <c r="H226" s="12">
        <f>'Engineering Cost'!H226*'Engineering Assumptions'!$B$6</f>
        <v>458400</v>
      </c>
      <c r="I226" s="12">
        <f>IF('Engineering Cost'!I226=0,0,MAX('Engineering Cost'!I226*'Engineering Assumptions'!$B$6,'Engineering Assumptions'!$B$9))</f>
        <v>78000</v>
      </c>
      <c r="J226" s="12">
        <f>'Engineering Cost'!J226*'Engineering Assumptions'!$B$6</f>
        <v>97920</v>
      </c>
      <c r="K226" s="12">
        <f>'Engineering Cost'!K226*'Engineering Assumptions'!$B$6</f>
        <v>172800</v>
      </c>
      <c r="L226" s="13">
        <f>SUM(H226:K226)</f>
        <v>807120</v>
      </c>
      <c r="M226" s="13">
        <f>L226*(1+'Engineering Assumptions'!$B$10)</f>
        <v>928187.99999999988</v>
      </c>
    </row>
    <row r="227" spans="1:13" ht="15" customHeight="1" x14ac:dyDescent="0.3">
      <c r="A227" s="9">
        <v>211</v>
      </c>
      <c r="B227" s="46" t="s">
        <v>423</v>
      </c>
      <c r="C227" s="46" t="s">
        <v>428</v>
      </c>
      <c r="D227" s="46" t="s">
        <v>429</v>
      </c>
      <c r="E227" s="46" t="s">
        <v>430</v>
      </c>
      <c r="F227" s="48" t="s">
        <v>431</v>
      </c>
      <c r="G227" s="9">
        <v>31</v>
      </c>
      <c r="H227" s="12">
        <f>'Engineering Cost'!H227*'Engineering Assumptions'!$B$6</f>
        <v>458400</v>
      </c>
      <c r="I227" s="12">
        <f>IF('Engineering Cost'!I227=0,0,MAX('Engineering Cost'!I227*'Engineering Assumptions'!$B$6,'Engineering Assumptions'!$B$9))</f>
        <v>78000</v>
      </c>
      <c r="J227" s="12">
        <f>'Engineering Cost'!J227*'Engineering Assumptions'!$B$6</f>
        <v>97920</v>
      </c>
      <c r="K227" s="12">
        <f>'Engineering Cost'!K227*'Engineering Assumptions'!$B$6</f>
        <v>172800</v>
      </c>
      <c r="L227" s="13">
        <f>SUM(H227:K227)</f>
        <v>807120</v>
      </c>
      <c r="M227" s="13">
        <f>L227*(1+'Engineering Assumptions'!$B$10)</f>
        <v>928187.99999999988</v>
      </c>
    </row>
    <row r="228" spans="1:13" ht="15" customHeight="1" x14ac:dyDescent="0.3">
      <c r="A228" s="199" t="s">
        <v>432</v>
      </c>
      <c r="B228" s="200"/>
      <c r="C228" s="200"/>
      <c r="D228" s="200"/>
      <c r="E228" s="200"/>
      <c r="F228" s="200"/>
      <c r="G228" s="200"/>
      <c r="H228" s="200"/>
      <c r="I228" s="200"/>
      <c r="J228" s="200"/>
      <c r="K228" s="200"/>
      <c r="L228" s="200"/>
      <c r="M228" s="200"/>
    </row>
    <row r="229" spans="1:13" ht="15" customHeight="1" x14ac:dyDescent="0.3">
      <c r="A229" s="9">
        <v>212</v>
      </c>
      <c r="B229" s="46" t="s">
        <v>433</v>
      </c>
      <c r="C229" s="46" t="s">
        <v>434</v>
      </c>
      <c r="D229" s="46" t="s">
        <v>435</v>
      </c>
      <c r="E229" s="46" t="s">
        <v>436</v>
      </c>
      <c r="F229" s="48" t="s">
        <v>73</v>
      </c>
      <c r="G229" s="9">
        <v>20</v>
      </c>
      <c r="H229" s="12">
        <f>'Engineering Cost'!H229*'Engineering Assumptions'!$B$6</f>
        <v>320880</v>
      </c>
      <c r="I229" s="12">
        <f>IF('Engineering Cost'!I229=0,0,MAX('Engineering Cost'!I229*'Engineering Assumptions'!$B$6,'Engineering Assumptions'!$B$9))</f>
        <v>78000</v>
      </c>
      <c r="J229" s="12">
        <f>'Engineering Cost'!J229*'Engineering Assumptions'!$B$6</f>
        <v>51480</v>
      </c>
      <c r="K229" s="12">
        <f>'Engineering Cost'!K229*'Engineering Assumptions'!$B$6</f>
        <v>70560</v>
      </c>
      <c r="L229" s="13">
        <f>SUM(H229:K229)</f>
        <v>520920</v>
      </c>
      <c r="M229" s="13">
        <f>L229*(1+'Engineering Assumptions'!$B$10)</f>
        <v>599058</v>
      </c>
    </row>
    <row r="230" spans="1:13" ht="15" customHeight="1" x14ac:dyDescent="0.3">
      <c r="A230" s="9">
        <v>213</v>
      </c>
      <c r="B230" s="46" t="s">
        <v>433</v>
      </c>
      <c r="C230" s="46" t="s">
        <v>437</v>
      </c>
      <c r="D230" s="46" t="s">
        <v>438</v>
      </c>
      <c r="E230" s="46" t="s">
        <v>439</v>
      </c>
      <c r="F230" s="48" t="s">
        <v>440</v>
      </c>
      <c r="G230" s="9">
        <v>21</v>
      </c>
      <c r="H230" s="12">
        <f>'Engineering Cost'!H230*'Engineering Assumptions'!$B$6</f>
        <v>320880</v>
      </c>
      <c r="I230" s="12">
        <f>IF('Engineering Cost'!I230=0,0,MAX('Engineering Cost'!I230*'Engineering Assumptions'!$B$6,'Engineering Assumptions'!$B$9))</f>
        <v>78000</v>
      </c>
      <c r="J230" s="12">
        <f>'Engineering Cost'!J230*'Engineering Assumptions'!$B$6</f>
        <v>63360</v>
      </c>
      <c r="K230" s="12">
        <f>'Engineering Cost'!K230*'Engineering Assumptions'!$B$6</f>
        <v>100800</v>
      </c>
      <c r="L230" s="13">
        <f>SUM(H230:K230)</f>
        <v>563040</v>
      </c>
      <c r="M230" s="13">
        <f>L230*(1+'Engineering Assumptions'!$B$10)</f>
        <v>647496</v>
      </c>
    </row>
    <row r="231" spans="1:13" ht="15" customHeight="1" x14ac:dyDescent="0.3">
      <c r="A231" s="9">
        <v>214</v>
      </c>
      <c r="B231" s="46" t="s">
        <v>433</v>
      </c>
      <c r="C231" s="46" t="s">
        <v>441</v>
      </c>
      <c r="D231" s="46" t="s">
        <v>442</v>
      </c>
      <c r="E231" s="46" t="s">
        <v>443</v>
      </c>
      <c r="F231" s="48" t="s">
        <v>139</v>
      </c>
      <c r="G231" s="9">
        <v>23</v>
      </c>
      <c r="H231" s="12">
        <f>'Engineering Cost'!H231*'Engineering Assumptions'!$B$6</f>
        <v>320880</v>
      </c>
      <c r="I231" s="12">
        <f>IF('Engineering Cost'!I231=0,0,MAX('Engineering Cost'!I231*'Engineering Assumptions'!$B$6,'Engineering Assumptions'!$B$9))</f>
        <v>78000</v>
      </c>
      <c r="J231" s="12">
        <f>'Engineering Cost'!J231*'Engineering Assumptions'!$B$6</f>
        <v>63360</v>
      </c>
      <c r="K231" s="12">
        <f>'Engineering Cost'!K231*'Engineering Assumptions'!$B$6</f>
        <v>100800</v>
      </c>
      <c r="L231" s="13">
        <f>SUM(H231:K231)</f>
        <v>563040</v>
      </c>
      <c r="M231" s="13">
        <f>L231*(1+'Engineering Assumptions'!$B$10)</f>
        <v>647496</v>
      </c>
    </row>
    <row r="232" spans="1:13" ht="15" customHeight="1" x14ac:dyDescent="0.3">
      <c r="A232" s="9">
        <v>215</v>
      </c>
      <c r="B232" s="46" t="s">
        <v>433</v>
      </c>
      <c r="C232" s="46" t="s">
        <v>444</v>
      </c>
      <c r="D232" s="46" t="s">
        <v>445</v>
      </c>
      <c r="E232" s="46" t="s">
        <v>446</v>
      </c>
      <c r="F232" s="48" t="s">
        <v>147</v>
      </c>
      <c r="G232" s="9">
        <v>30</v>
      </c>
      <c r="H232" s="12">
        <f>'Engineering Cost'!H232*'Engineering Assumptions'!$B$6</f>
        <v>320880</v>
      </c>
      <c r="I232" s="12">
        <f>IF('Engineering Cost'!I232=0,0,MAX('Engineering Cost'!I232*'Engineering Assumptions'!$B$6,'Engineering Assumptions'!$B$9))</f>
        <v>78000</v>
      </c>
      <c r="J232" s="12">
        <f>'Engineering Cost'!J232*'Engineering Assumptions'!$B$6</f>
        <v>63360</v>
      </c>
      <c r="K232" s="12">
        <f>'Engineering Cost'!K232*'Engineering Assumptions'!$B$6</f>
        <v>100800</v>
      </c>
      <c r="L232" s="13">
        <f>SUM(H232:K232)</f>
        <v>563040</v>
      </c>
      <c r="M232" s="13">
        <f>L232*(1+'Engineering Assumptions'!$B$10)</f>
        <v>647496</v>
      </c>
    </row>
    <row r="233" spans="1:13" ht="15" customHeight="1" x14ac:dyDescent="0.3">
      <c r="A233" s="199" t="s">
        <v>447</v>
      </c>
      <c r="B233" s="200"/>
      <c r="C233" s="200"/>
      <c r="D233" s="200"/>
      <c r="E233" s="200"/>
      <c r="F233" s="200"/>
      <c r="G233" s="200"/>
      <c r="H233" s="200"/>
      <c r="I233" s="200"/>
      <c r="J233" s="200"/>
      <c r="K233" s="200"/>
      <c r="L233" s="200"/>
      <c r="M233" s="200"/>
    </row>
    <row r="234" spans="1:13" ht="15" customHeight="1" x14ac:dyDescent="0.3">
      <c r="A234" s="9">
        <v>216</v>
      </c>
      <c r="B234" s="46" t="s">
        <v>448</v>
      </c>
      <c r="C234" s="46" t="s">
        <v>449</v>
      </c>
      <c r="D234" s="46" t="s">
        <v>450</v>
      </c>
      <c r="E234" s="46" t="s">
        <v>451</v>
      </c>
      <c r="F234" s="48" t="s">
        <v>49</v>
      </c>
      <c r="G234" s="9">
        <v>10</v>
      </c>
      <c r="H234" s="12">
        <f>'Engineering Cost'!H234*'Engineering Assumptions'!$B$6</f>
        <v>641760</v>
      </c>
      <c r="I234" s="12">
        <f>IF('Engineering Cost'!I234=0,0,MAX('Engineering Cost'!I234*'Engineering Assumptions'!$B$6,'Engineering Assumptions'!$B$9))</f>
        <v>78000</v>
      </c>
      <c r="J234" s="12">
        <f>'Engineering Cost'!J234*'Engineering Assumptions'!$B$6</f>
        <v>39000</v>
      </c>
      <c r="K234" s="12">
        <f>'Engineering Cost'!K234*'Engineering Assumptions'!$B$6</f>
        <v>31500</v>
      </c>
      <c r="L234" s="13">
        <f t="shared" ref="L234:L241" si="11">SUM(H234:K234)</f>
        <v>790260</v>
      </c>
      <c r="M234" s="13">
        <f>L234*(1+'Engineering Assumptions'!$B$10)</f>
        <v>908798.99999999988</v>
      </c>
    </row>
    <row r="235" spans="1:13" ht="15" customHeight="1" x14ac:dyDescent="0.3">
      <c r="A235" s="9">
        <v>217</v>
      </c>
      <c r="B235" s="46" t="s">
        <v>448</v>
      </c>
      <c r="C235" s="46" t="s">
        <v>452</v>
      </c>
      <c r="D235" s="46" t="s">
        <v>453</v>
      </c>
      <c r="E235" s="46" t="s">
        <v>454</v>
      </c>
      <c r="F235" s="48" t="s">
        <v>66</v>
      </c>
      <c r="G235" s="9">
        <v>14</v>
      </c>
      <c r="H235" s="12">
        <f>'Engineering Cost'!H235*'Engineering Assumptions'!$B$6</f>
        <v>641760</v>
      </c>
      <c r="I235" s="12">
        <f>IF('Engineering Cost'!I235=0,0,MAX('Engineering Cost'!I235*'Engineering Assumptions'!$B$6,'Engineering Assumptions'!$B$9))</f>
        <v>78000</v>
      </c>
      <c r="J235" s="12">
        <f>'Engineering Cost'!J235*'Engineering Assumptions'!$B$6</f>
        <v>48360</v>
      </c>
      <c r="K235" s="12">
        <f>'Engineering Cost'!K235*'Engineering Assumptions'!$B$6</f>
        <v>56700.000000000007</v>
      </c>
      <c r="L235" s="13">
        <f t="shared" si="11"/>
        <v>824820</v>
      </c>
      <c r="M235" s="13">
        <f>L235*(1+'Engineering Assumptions'!$B$10)</f>
        <v>948542.99999999988</v>
      </c>
    </row>
    <row r="236" spans="1:13" ht="15" customHeight="1" x14ac:dyDescent="0.3">
      <c r="A236" s="9">
        <v>218</v>
      </c>
      <c r="B236" s="46" t="s">
        <v>448</v>
      </c>
      <c r="C236" s="46" t="s">
        <v>455</v>
      </c>
      <c r="D236" s="46" t="s">
        <v>456</v>
      </c>
      <c r="E236" s="46" t="s">
        <v>457</v>
      </c>
      <c r="F236" s="48" t="s">
        <v>458</v>
      </c>
      <c r="G236" s="9">
        <v>15</v>
      </c>
      <c r="H236" s="12">
        <f>'Engineering Cost'!H236*'Engineering Assumptions'!$B$6</f>
        <v>641760</v>
      </c>
      <c r="I236" s="12">
        <f>IF('Engineering Cost'!I236=0,0,MAX('Engineering Cost'!I236*'Engineering Assumptions'!$B$6,'Engineering Assumptions'!$B$9))</f>
        <v>78000</v>
      </c>
      <c r="J236" s="12">
        <f>'Engineering Cost'!J236*'Engineering Assumptions'!$B$6</f>
        <v>48360</v>
      </c>
      <c r="K236" s="12">
        <f>'Engineering Cost'!K236*'Engineering Assumptions'!$B$6</f>
        <v>56700.000000000007</v>
      </c>
      <c r="L236" s="13">
        <f t="shared" si="11"/>
        <v>824820</v>
      </c>
      <c r="M236" s="13">
        <f>L236*(1+'Engineering Assumptions'!$B$10)</f>
        <v>948542.99999999988</v>
      </c>
    </row>
    <row r="237" spans="1:13" ht="15" customHeight="1" x14ac:dyDescent="0.3">
      <c r="A237" s="9">
        <v>219</v>
      </c>
      <c r="B237" s="46" t="s">
        <v>448</v>
      </c>
      <c r="C237" s="46" t="s">
        <v>459</v>
      </c>
      <c r="D237" s="46"/>
      <c r="E237" s="46"/>
      <c r="F237" s="48" t="s">
        <v>107</v>
      </c>
      <c r="G237" s="9">
        <v>16</v>
      </c>
      <c r="H237" s="12">
        <f>'Engineering Cost'!H237*'Engineering Assumptions'!$B$6</f>
        <v>641760</v>
      </c>
      <c r="I237" s="12">
        <f>IF('Engineering Cost'!I237=0,0,MAX('Engineering Cost'!I237*'Engineering Assumptions'!$B$6,'Engineering Assumptions'!$B$9))</f>
        <v>78000</v>
      </c>
      <c r="J237" s="12">
        <f>'Engineering Cost'!J237*'Engineering Assumptions'!$B$6</f>
        <v>60840</v>
      </c>
      <c r="K237" s="12">
        <f>'Engineering Cost'!K237*'Engineering Assumptions'!$B$6</f>
        <v>88200</v>
      </c>
      <c r="L237" s="13">
        <f t="shared" si="11"/>
        <v>868800</v>
      </c>
      <c r="M237" s="13">
        <f>L237*(1+'Engineering Assumptions'!$B$10)</f>
        <v>999119.99999999988</v>
      </c>
    </row>
    <row r="238" spans="1:13" ht="15" customHeight="1" x14ac:dyDescent="0.3">
      <c r="A238" s="9">
        <v>220</v>
      </c>
      <c r="B238" s="46" t="s">
        <v>448</v>
      </c>
      <c r="C238" s="46" t="s">
        <v>460</v>
      </c>
      <c r="D238" s="46" t="s">
        <v>461</v>
      </c>
      <c r="E238" s="46" t="s">
        <v>462</v>
      </c>
      <c r="F238" s="48" t="s">
        <v>335</v>
      </c>
      <c r="G238" s="9">
        <v>18</v>
      </c>
      <c r="H238" s="12">
        <f>'Engineering Cost'!H238*'Engineering Assumptions'!$B$6</f>
        <v>641760</v>
      </c>
      <c r="I238" s="12">
        <f>IF('Engineering Cost'!I238=0,0,MAX('Engineering Cost'!I238*'Engineering Assumptions'!$B$6,'Engineering Assumptions'!$B$9))</f>
        <v>78000</v>
      </c>
      <c r="J238" s="12">
        <f>'Engineering Cost'!J238*'Engineering Assumptions'!$B$6</f>
        <v>60840</v>
      </c>
      <c r="K238" s="12">
        <f>'Engineering Cost'!K238*'Engineering Assumptions'!$B$6</f>
        <v>88200</v>
      </c>
      <c r="L238" s="13">
        <f t="shared" si="11"/>
        <v>868800</v>
      </c>
      <c r="M238" s="13">
        <f>L238*(1+'Engineering Assumptions'!$B$10)</f>
        <v>999119.99999999988</v>
      </c>
    </row>
    <row r="239" spans="1:13" ht="15" customHeight="1" x14ac:dyDescent="0.3">
      <c r="A239" s="9">
        <v>221</v>
      </c>
      <c r="B239" s="46" t="s">
        <v>448</v>
      </c>
      <c r="C239" s="46" t="s">
        <v>463</v>
      </c>
      <c r="D239" s="46" t="s">
        <v>464</v>
      </c>
      <c r="E239" s="46" t="s">
        <v>465</v>
      </c>
      <c r="F239" s="48" t="s">
        <v>427</v>
      </c>
      <c r="G239" s="9">
        <v>28</v>
      </c>
      <c r="H239" s="12">
        <f>'Engineering Cost'!H239*'Engineering Assumptions'!$B$6</f>
        <v>641760</v>
      </c>
      <c r="I239" s="12">
        <f>IF('Engineering Cost'!I239=0,0,MAX('Engineering Cost'!I239*'Engineering Assumptions'!$B$6,'Engineering Assumptions'!$B$9))</f>
        <v>78000</v>
      </c>
      <c r="J239" s="12">
        <f>'Engineering Cost'!J239*'Engineering Assumptions'!$B$6</f>
        <v>74880</v>
      </c>
      <c r="K239" s="12">
        <f>'Engineering Cost'!K239*'Engineering Assumptions'!$B$6</f>
        <v>126000</v>
      </c>
      <c r="L239" s="13">
        <f t="shared" si="11"/>
        <v>920640</v>
      </c>
      <c r="M239" s="13">
        <f>L239*(1+'Engineering Assumptions'!$B$10)</f>
        <v>1058736</v>
      </c>
    </row>
    <row r="240" spans="1:13" ht="15" customHeight="1" x14ac:dyDescent="0.3">
      <c r="A240" s="9">
        <v>222</v>
      </c>
      <c r="B240" s="46" t="s">
        <v>448</v>
      </c>
      <c r="C240" s="46" t="s">
        <v>466</v>
      </c>
      <c r="D240" s="46" t="s">
        <v>467</v>
      </c>
      <c r="E240" s="46" t="s">
        <v>468</v>
      </c>
      <c r="F240" s="48" t="s">
        <v>147</v>
      </c>
      <c r="G240" s="9">
        <v>30</v>
      </c>
      <c r="H240" s="12">
        <f>'Engineering Cost'!H240*'Engineering Assumptions'!$B$6</f>
        <v>641760</v>
      </c>
      <c r="I240" s="12">
        <f>IF('Engineering Cost'!I240=0,0,MAX('Engineering Cost'!I240*'Engineering Assumptions'!$B$6,'Engineering Assumptions'!$B$9))</f>
        <v>78000</v>
      </c>
      <c r="J240" s="12">
        <f>'Engineering Cost'!J240*'Engineering Assumptions'!$B$6</f>
        <v>74880</v>
      </c>
      <c r="K240" s="12">
        <f>'Engineering Cost'!K240*'Engineering Assumptions'!$B$6</f>
        <v>126000</v>
      </c>
      <c r="L240" s="13">
        <f t="shared" si="11"/>
        <v>920640</v>
      </c>
      <c r="M240" s="13">
        <f>L240*(1+'Engineering Assumptions'!$B$10)</f>
        <v>1058736</v>
      </c>
    </row>
    <row r="241" spans="1:13" ht="15" customHeight="1" x14ac:dyDescent="0.3">
      <c r="A241" s="9">
        <v>223</v>
      </c>
      <c r="B241" s="46" t="s">
        <v>448</v>
      </c>
      <c r="C241" s="46" t="s">
        <v>469</v>
      </c>
      <c r="D241" s="46" t="s">
        <v>470</v>
      </c>
      <c r="E241" s="46" t="s">
        <v>471</v>
      </c>
      <c r="F241" s="48" t="s">
        <v>431</v>
      </c>
      <c r="G241" s="9">
        <v>31</v>
      </c>
      <c r="H241" s="12">
        <f>'Engineering Cost'!H241*'Engineering Assumptions'!$B$6</f>
        <v>641760</v>
      </c>
      <c r="I241" s="12">
        <f>IF('Engineering Cost'!I241=0,0,MAX('Engineering Cost'!I241*'Engineering Assumptions'!$B$6,'Engineering Assumptions'!$B$9))</f>
        <v>78000</v>
      </c>
      <c r="J241" s="12">
        <f>'Engineering Cost'!J241*'Engineering Assumptions'!$B$6</f>
        <v>74880</v>
      </c>
      <c r="K241" s="12">
        <f>'Engineering Cost'!K241*'Engineering Assumptions'!$B$6</f>
        <v>126000</v>
      </c>
      <c r="L241" s="13">
        <f t="shared" si="11"/>
        <v>920640</v>
      </c>
      <c r="M241" s="13">
        <f>L241*(1+'Engineering Assumptions'!$B$10)</f>
        <v>1058736</v>
      </c>
    </row>
    <row r="242" spans="1:13" ht="15" customHeight="1" x14ac:dyDescent="0.3">
      <c r="A242" s="199" t="s">
        <v>472</v>
      </c>
      <c r="B242" s="200"/>
      <c r="C242" s="200"/>
      <c r="D242" s="200"/>
      <c r="E242" s="200"/>
      <c r="F242" s="200"/>
      <c r="G242" s="200"/>
      <c r="H242" s="200"/>
      <c r="I242" s="200"/>
      <c r="J242" s="200"/>
      <c r="K242" s="200"/>
      <c r="L242" s="200"/>
      <c r="M242" s="200"/>
    </row>
    <row r="243" spans="1:13" ht="15" customHeight="1" x14ac:dyDescent="0.3">
      <c r="A243" s="9">
        <v>224</v>
      </c>
      <c r="B243" s="46" t="s">
        <v>473</v>
      </c>
      <c r="C243" s="46" t="s">
        <v>474</v>
      </c>
      <c r="D243" s="46" t="s">
        <v>475</v>
      </c>
      <c r="E243" s="46" t="s">
        <v>476</v>
      </c>
      <c r="F243" s="48" t="s">
        <v>45</v>
      </c>
      <c r="G243" s="9">
        <v>7</v>
      </c>
      <c r="H243" s="12">
        <f>'Engineering Cost'!H243*'Engineering Assumptions'!$B$6</f>
        <v>595920</v>
      </c>
      <c r="I243" s="12">
        <f>IF('Engineering Cost'!I243=0,0,MAX('Engineering Cost'!I243*'Engineering Assumptions'!$B$6,'Engineering Assumptions'!$B$9))</f>
        <v>78000</v>
      </c>
      <c r="J243" s="12">
        <f>'Engineering Cost'!J243*'Engineering Assumptions'!$B$6</f>
        <v>66000</v>
      </c>
      <c r="K243" s="12">
        <f>'Engineering Cost'!K243*'Engineering Assumptions'!$B$6</f>
        <v>55800</v>
      </c>
      <c r="L243" s="13">
        <f>SUM(H243:K243)</f>
        <v>795720</v>
      </c>
      <c r="M243" s="13">
        <f>L243*(1+'Engineering Assumptions'!$B$10)</f>
        <v>915077.99999999988</v>
      </c>
    </row>
    <row r="244" spans="1:13" ht="15" customHeight="1" x14ac:dyDescent="0.3">
      <c r="A244" s="9">
        <v>225</v>
      </c>
      <c r="B244" s="46" t="s">
        <v>473</v>
      </c>
      <c r="C244" s="46" t="s">
        <v>477</v>
      </c>
      <c r="D244" s="46" t="s">
        <v>478</v>
      </c>
      <c r="E244" s="46" t="s">
        <v>479</v>
      </c>
      <c r="F244" s="48" t="s">
        <v>335</v>
      </c>
      <c r="G244" s="9">
        <v>18</v>
      </c>
      <c r="H244" s="12">
        <f>'Engineering Cost'!H244*'Engineering Assumptions'!$B$6</f>
        <v>595920</v>
      </c>
      <c r="I244" s="12">
        <f>IF('Engineering Cost'!I244=0,0,MAX('Engineering Cost'!I244*'Engineering Assumptions'!$B$6,'Engineering Assumptions'!$B$9))</f>
        <v>78000</v>
      </c>
      <c r="J244" s="12">
        <f>'Engineering Cost'!J244*'Engineering Assumptions'!$B$6</f>
        <v>102960</v>
      </c>
      <c r="K244" s="12">
        <f>'Engineering Cost'!K244*'Engineering Assumptions'!$B$6</f>
        <v>156240</v>
      </c>
      <c r="L244" s="13">
        <f>SUM(H244:K244)</f>
        <v>933120</v>
      </c>
      <c r="M244" s="13">
        <f>L244*(1+'Engineering Assumptions'!$B$10)</f>
        <v>1073088</v>
      </c>
    </row>
    <row r="245" spans="1:13" ht="15" customHeight="1" x14ac:dyDescent="0.3">
      <c r="A245" s="199" t="s">
        <v>480</v>
      </c>
      <c r="B245" s="200"/>
      <c r="C245" s="200"/>
      <c r="D245" s="200"/>
      <c r="E245" s="200"/>
      <c r="F245" s="200"/>
      <c r="G245" s="200"/>
      <c r="H245" s="200"/>
      <c r="I245" s="200"/>
      <c r="J245" s="200"/>
      <c r="K245" s="200"/>
      <c r="L245" s="200"/>
      <c r="M245" s="200"/>
    </row>
    <row r="246" spans="1:13" ht="15" customHeight="1" x14ac:dyDescent="0.3">
      <c r="A246" s="9">
        <v>226</v>
      </c>
      <c r="B246" s="46" t="s">
        <v>481</v>
      </c>
      <c r="C246" s="46" t="s">
        <v>482</v>
      </c>
      <c r="D246" s="46" t="s">
        <v>483</v>
      </c>
      <c r="E246" s="46" t="s">
        <v>484</v>
      </c>
      <c r="F246" s="48" t="s">
        <v>45</v>
      </c>
      <c r="G246" s="9">
        <v>7</v>
      </c>
      <c r="H246" s="12">
        <f>'Engineering Cost'!H246*'Engineering Assumptions'!$B$6</f>
        <v>137520</v>
      </c>
      <c r="I246" s="12">
        <f>IF('Engineering Cost'!I246=0,0,MAX('Engineering Cost'!I246*'Engineering Assumptions'!$B$6,'Engineering Assumptions'!$B$9))</f>
        <v>78000</v>
      </c>
      <c r="J246" s="12">
        <f>'Engineering Cost'!J246*'Engineering Assumptions'!$B$6</f>
        <v>13500</v>
      </c>
      <c r="K246" s="12">
        <f>'Engineering Cost'!K246*'Engineering Assumptions'!$B$6</f>
        <v>9900</v>
      </c>
      <c r="L246" s="13">
        <f t="shared" ref="L246:L270" si="12">SUM(H246:K246)</f>
        <v>238920</v>
      </c>
      <c r="M246" s="13">
        <f>L246*(1+'Engineering Assumptions'!$B$10)</f>
        <v>274758</v>
      </c>
    </row>
    <row r="247" spans="1:13" ht="15" customHeight="1" x14ac:dyDescent="0.3">
      <c r="A247" s="9">
        <v>227</v>
      </c>
      <c r="B247" s="46" t="s">
        <v>481</v>
      </c>
      <c r="C247" s="46" t="s">
        <v>482</v>
      </c>
      <c r="D247" s="46" t="s">
        <v>485</v>
      </c>
      <c r="E247" s="46" t="s">
        <v>486</v>
      </c>
      <c r="F247" s="48" t="s">
        <v>45</v>
      </c>
      <c r="G247" s="9">
        <v>7</v>
      </c>
      <c r="H247" s="12">
        <f>'Engineering Cost'!H247*'Engineering Assumptions'!$B$6</f>
        <v>137520</v>
      </c>
      <c r="I247" s="12">
        <f>IF('Engineering Cost'!I247=0,0,MAX('Engineering Cost'!I247*'Engineering Assumptions'!$B$6,'Engineering Assumptions'!$B$9))</f>
        <v>78000</v>
      </c>
      <c r="J247" s="12">
        <f>'Engineering Cost'!J247*'Engineering Assumptions'!$B$6</f>
        <v>13500</v>
      </c>
      <c r="K247" s="12">
        <f>'Engineering Cost'!K247*'Engineering Assumptions'!$B$6</f>
        <v>9900</v>
      </c>
      <c r="L247" s="13">
        <f t="shared" si="12"/>
        <v>238920</v>
      </c>
      <c r="M247" s="13">
        <f>L247*(1+'Engineering Assumptions'!$B$10)</f>
        <v>274758</v>
      </c>
    </row>
    <row r="248" spans="1:13" ht="15" customHeight="1" x14ac:dyDescent="0.3">
      <c r="A248" s="9">
        <v>228</v>
      </c>
      <c r="B248" s="46" t="s">
        <v>481</v>
      </c>
      <c r="C248" s="46" t="s">
        <v>482</v>
      </c>
      <c r="D248" s="46" t="s">
        <v>487</v>
      </c>
      <c r="E248" s="46" t="s">
        <v>488</v>
      </c>
      <c r="F248" s="48" t="s">
        <v>45</v>
      </c>
      <c r="G248" s="9">
        <v>7</v>
      </c>
      <c r="H248" s="12">
        <f>'Engineering Cost'!H248*'Engineering Assumptions'!$B$6</f>
        <v>137520</v>
      </c>
      <c r="I248" s="12">
        <f>IF('Engineering Cost'!I248=0,0,MAX('Engineering Cost'!I248*'Engineering Assumptions'!$B$6,'Engineering Assumptions'!$B$9))</f>
        <v>78000</v>
      </c>
      <c r="J248" s="12">
        <f>'Engineering Cost'!J248*'Engineering Assumptions'!$B$6</f>
        <v>13500</v>
      </c>
      <c r="K248" s="12">
        <f>'Engineering Cost'!K248*'Engineering Assumptions'!$B$6</f>
        <v>9900</v>
      </c>
      <c r="L248" s="13">
        <f t="shared" si="12"/>
        <v>238920</v>
      </c>
      <c r="M248" s="13">
        <f>L248*(1+'Engineering Assumptions'!$B$10)</f>
        <v>274758</v>
      </c>
    </row>
    <row r="249" spans="1:13" ht="15" customHeight="1" x14ac:dyDescent="0.3">
      <c r="A249" s="9">
        <v>229</v>
      </c>
      <c r="B249" s="46" t="s">
        <v>481</v>
      </c>
      <c r="C249" s="46" t="s">
        <v>482</v>
      </c>
      <c r="D249" s="46" t="s">
        <v>489</v>
      </c>
      <c r="E249" s="46" t="s">
        <v>490</v>
      </c>
      <c r="F249" s="48" t="s">
        <v>45</v>
      </c>
      <c r="G249" s="9">
        <v>7</v>
      </c>
      <c r="H249" s="12">
        <f>'Engineering Cost'!H249*'Engineering Assumptions'!$B$6</f>
        <v>137520</v>
      </c>
      <c r="I249" s="12">
        <f>IF('Engineering Cost'!I249=0,0,MAX('Engineering Cost'!I249*'Engineering Assumptions'!$B$6,'Engineering Assumptions'!$B$9))</f>
        <v>78000</v>
      </c>
      <c r="J249" s="12">
        <f>'Engineering Cost'!J249*'Engineering Assumptions'!$B$6</f>
        <v>13500</v>
      </c>
      <c r="K249" s="12">
        <f>'Engineering Cost'!K249*'Engineering Assumptions'!$B$6</f>
        <v>9900</v>
      </c>
      <c r="L249" s="13">
        <f t="shared" si="12"/>
        <v>238920</v>
      </c>
      <c r="M249" s="13">
        <f>L249*(1+'Engineering Assumptions'!$B$10)</f>
        <v>274758</v>
      </c>
    </row>
    <row r="250" spans="1:13" ht="15" customHeight="1" x14ac:dyDescent="0.3">
      <c r="A250" s="9">
        <v>230</v>
      </c>
      <c r="B250" s="46" t="s">
        <v>481</v>
      </c>
      <c r="C250" s="46" t="s">
        <v>482</v>
      </c>
      <c r="D250" s="46" t="s">
        <v>491</v>
      </c>
      <c r="E250" s="46" t="s">
        <v>492</v>
      </c>
      <c r="F250" s="48" t="s">
        <v>45</v>
      </c>
      <c r="G250" s="9">
        <v>7</v>
      </c>
      <c r="H250" s="12">
        <f>'Engineering Cost'!H250*'Engineering Assumptions'!$B$6</f>
        <v>137520</v>
      </c>
      <c r="I250" s="12">
        <f>IF('Engineering Cost'!I250=0,0,MAX('Engineering Cost'!I250*'Engineering Assumptions'!$B$6,'Engineering Assumptions'!$B$9))</f>
        <v>78000</v>
      </c>
      <c r="J250" s="12">
        <f>'Engineering Cost'!J250*'Engineering Assumptions'!$B$6</f>
        <v>13500</v>
      </c>
      <c r="K250" s="12">
        <f>'Engineering Cost'!K250*'Engineering Assumptions'!$B$6</f>
        <v>9900</v>
      </c>
      <c r="L250" s="13">
        <f t="shared" si="12"/>
        <v>238920</v>
      </c>
      <c r="M250" s="13">
        <f>L250*(1+'Engineering Assumptions'!$B$10)</f>
        <v>274758</v>
      </c>
    </row>
    <row r="251" spans="1:13" ht="15" customHeight="1" x14ac:dyDescent="0.3">
      <c r="A251" s="9">
        <v>231</v>
      </c>
      <c r="B251" s="46" t="s">
        <v>481</v>
      </c>
      <c r="C251" s="46" t="s">
        <v>482</v>
      </c>
      <c r="D251" s="46" t="s">
        <v>493</v>
      </c>
      <c r="E251" s="46" t="s">
        <v>494</v>
      </c>
      <c r="F251" s="48" t="s">
        <v>45</v>
      </c>
      <c r="G251" s="9">
        <v>7</v>
      </c>
      <c r="H251" s="12">
        <f>'Engineering Cost'!H251*'Engineering Assumptions'!$B$6</f>
        <v>137520</v>
      </c>
      <c r="I251" s="12">
        <f>IF('Engineering Cost'!I251=0,0,MAX('Engineering Cost'!I251*'Engineering Assumptions'!$B$6,'Engineering Assumptions'!$B$9))</f>
        <v>78000</v>
      </c>
      <c r="J251" s="12">
        <f>'Engineering Cost'!J251*'Engineering Assumptions'!$B$6</f>
        <v>13500</v>
      </c>
      <c r="K251" s="12">
        <f>'Engineering Cost'!K251*'Engineering Assumptions'!$B$6</f>
        <v>9900</v>
      </c>
      <c r="L251" s="13">
        <f t="shared" si="12"/>
        <v>238920</v>
      </c>
      <c r="M251" s="13">
        <f>L251*(1+'Engineering Assumptions'!$B$10)</f>
        <v>274758</v>
      </c>
    </row>
    <row r="252" spans="1:13" ht="15" customHeight="1" x14ac:dyDescent="0.3">
      <c r="A252" s="9">
        <v>232</v>
      </c>
      <c r="B252" s="46" t="s">
        <v>481</v>
      </c>
      <c r="C252" s="46" t="s">
        <v>495</v>
      </c>
      <c r="D252" s="46" t="s">
        <v>496</v>
      </c>
      <c r="E252" s="46" t="s">
        <v>497</v>
      </c>
      <c r="F252" s="48" t="s">
        <v>116</v>
      </c>
      <c r="G252" s="9">
        <v>9</v>
      </c>
      <c r="H252" s="12">
        <f>'Engineering Cost'!H252*'Engineering Assumptions'!$B$6</f>
        <v>137520</v>
      </c>
      <c r="I252" s="12">
        <f>IF('Engineering Cost'!I252=0,0,MAX('Engineering Cost'!I252*'Engineering Assumptions'!$B$6,'Engineering Assumptions'!$B$9))</f>
        <v>78000</v>
      </c>
      <c r="J252" s="12">
        <f>'Engineering Cost'!J252*'Engineering Assumptions'!$B$6</f>
        <v>13500</v>
      </c>
      <c r="K252" s="12">
        <f>'Engineering Cost'!K252*'Engineering Assumptions'!$B$6</f>
        <v>9900</v>
      </c>
      <c r="L252" s="13">
        <f t="shared" si="12"/>
        <v>238920</v>
      </c>
      <c r="M252" s="13">
        <f>L252*(1+'Engineering Assumptions'!$B$10)</f>
        <v>274758</v>
      </c>
    </row>
    <row r="253" spans="1:13" ht="15" customHeight="1" x14ac:dyDescent="0.3">
      <c r="A253" s="9">
        <v>233</v>
      </c>
      <c r="B253" s="46" t="s">
        <v>481</v>
      </c>
      <c r="C253" s="46" t="s">
        <v>482</v>
      </c>
      <c r="D253" s="46" t="s">
        <v>498</v>
      </c>
      <c r="E253" s="46" t="s">
        <v>499</v>
      </c>
      <c r="F253" s="48" t="s">
        <v>116</v>
      </c>
      <c r="G253" s="9">
        <v>9</v>
      </c>
      <c r="H253" s="12">
        <f>'Engineering Cost'!H253*'Engineering Assumptions'!$B$6</f>
        <v>137520</v>
      </c>
      <c r="I253" s="12">
        <f>IF('Engineering Cost'!I253=0,0,MAX('Engineering Cost'!I253*'Engineering Assumptions'!$B$6,'Engineering Assumptions'!$B$9))</f>
        <v>78000</v>
      </c>
      <c r="J253" s="12">
        <f>'Engineering Cost'!J253*'Engineering Assumptions'!$B$6</f>
        <v>13500</v>
      </c>
      <c r="K253" s="12">
        <f>'Engineering Cost'!K253*'Engineering Assumptions'!$B$6</f>
        <v>9900</v>
      </c>
      <c r="L253" s="13">
        <f t="shared" si="12"/>
        <v>238920</v>
      </c>
      <c r="M253" s="13">
        <f>L253*(1+'Engineering Assumptions'!$B$10)</f>
        <v>274758</v>
      </c>
    </row>
    <row r="254" spans="1:13" ht="15" customHeight="1" x14ac:dyDescent="0.3">
      <c r="A254" s="9">
        <v>234</v>
      </c>
      <c r="B254" s="46" t="s">
        <v>481</v>
      </c>
      <c r="C254" s="46" t="s">
        <v>500</v>
      </c>
      <c r="D254" s="46" t="s">
        <v>501</v>
      </c>
      <c r="E254" s="46" t="s">
        <v>502</v>
      </c>
      <c r="F254" s="48" t="s">
        <v>49</v>
      </c>
      <c r="G254" s="9">
        <v>10</v>
      </c>
      <c r="H254" s="12">
        <f>'Engineering Cost'!H254*'Engineering Assumptions'!$B$6</f>
        <v>137520</v>
      </c>
      <c r="I254" s="12">
        <f>IF('Engineering Cost'!I254=0,0,MAX('Engineering Cost'!I254*'Engineering Assumptions'!$B$6,'Engineering Assumptions'!$B$9))</f>
        <v>78000</v>
      </c>
      <c r="J254" s="12">
        <f>'Engineering Cost'!J254*'Engineering Assumptions'!$B$6</f>
        <v>13500</v>
      </c>
      <c r="K254" s="12">
        <f>'Engineering Cost'!K254*'Engineering Assumptions'!$B$6</f>
        <v>9900</v>
      </c>
      <c r="L254" s="13">
        <f t="shared" si="12"/>
        <v>238920</v>
      </c>
      <c r="M254" s="13">
        <f>L254*(1+'Engineering Assumptions'!$B$10)</f>
        <v>274758</v>
      </c>
    </row>
    <row r="255" spans="1:13" ht="27.75" customHeight="1" x14ac:dyDescent="0.3">
      <c r="A255" s="9">
        <v>235</v>
      </c>
      <c r="B255" s="46" t="s">
        <v>481</v>
      </c>
      <c r="C255" s="46" t="s">
        <v>503</v>
      </c>
      <c r="D255" s="46" t="s">
        <v>504</v>
      </c>
      <c r="E255" s="46" t="s">
        <v>505</v>
      </c>
      <c r="F255" s="48" t="s">
        <v>61</v>
      </c>
      <c r="G255" s="9">
        <v>11</v>
      </c>
      <c r="H255" s="12">
        <f>'Engineering Cost'!H255*'Engineering Assumptions'!$B$6</f>
        <v>137520</v>
      </c>
      <c r="I255" s="12">
        <f>IF('Engineering Cost'!I255=0,0,MAX('Engineering Cost'!I255*'Engineering Assumptions'!$B$6,'Engineering Assumptions'!$B$9))</f>
        <v>78000</v>
      </c>
      <c r="J255" s="12">
        <f>'Engineering Cost'!J255*'Engineering Assumptions'!$B$6</f>
        <v>16740</v>
      </c>
      <c r="K255" s="12">
        <f>'Engineering Cost'!K255*'Engineering Assumptions'!$B$6</f>
        <v>17820</v>
      </c>
      <c r="L255" s="13">
        <f t="shared" si="12"/>
        <v>250080</v>
      </c>
      <c r="M255" s="13">
        <f>L255*(1+'Engineering Assumptions'!$B$10)</f>
        <v>287592</v>
      </c>
    </row>
    <row r="256" spans="1:13" ht="15" customHeight="1" x14ac:dyDescent="0.3">
      <c r="A256" s="9">
        <v>236</v>
      </c>
      <c r="B256" s="46" t="s">
        <v>481</v>
      </c>
      <c r="C256" s="46" t="s">
        <v>482</v>
      </c>
      <c r="D256" s="46" t="s">
        <v>506</v>
      </c>
      <c r="E256" s="46" t="s">
        <v>507</v>
      </c>
      <c r="F256" s="48" t="s">
        <v>66</v>
      </c>
      <c r="G256" s="9">
        <v>14</v>
      </c>
      <c r="H256" s="12">
        <f>'Engineering Cost'!H256*'Engineering Assumptions'!$B$6</f>
        <v>137520</v>
      </c>
      <c r="I256" s="12">
        <f>IF('Engineering Cost'!I256=0,0,MAX('Engineering Cost'!I256*'Engineering Assumptions'!$B$6,'Engineering Assumptions'!$B$9))</f>
        <v>78000</v>
      </c>
      <c r="J256" s="12">
        <f>'Engineering Cost'!J256*'Engineering Assumptions'!$B$6</f>
        <v>16740</v>
      </c>
      <c r="K256" s="12">
        <f>'Engineering Cost'!K256*'Engineering Assumptions'!$B$6</f>
        <v>17820</v>
      </c>
      <c r="L256" s="13">
        <f t="shared" si="12"/>
        <v>250080</v>
      </c>
      <c r="M256" s="13">
        <f>L256*(1+'Engineering Assumptions'!$B$10)</f>
        <v>287592</v>
      </c>
    </row>
    <row r="257" spans="1:13" ht="27.75" customHeight="1" x14ac:dyDescent="0.3">
      <c r="A257" s="9">
        <v>237</v>
      </c>
      <c r="B257" s="46" t="s">
        <v>481</v>
      </c>
      <c r="C257" s="46" t="s">
        <v>503</v>
      </c>
      <c r="D257" s="46" t="s">
        <v>508</v>
      </c>
      <c r="E257" s="46" t="s">
        <v>509</v>
      </c>
      <c r="F257" s="48" t="s">
        <v>458</v>
      </c>
      <c r="G257" s="9">
        <v>15</v>
      </c>
      <c r="H257" s="12">
        <f>'Engineering Cost'!H257*'Engineering Assumptions'!$B$6</f>
        <v>137520</v>
      </c>
      <c r="I257" s="12">
        <f>IF('Engineering Cost'!I257=0,0,MAX('Engineering Cost'!I257*'Engineering Assumptions'!$B$6,'Engineering Assumptions'!$B$9))</f>
        <v>78000</v>
      </c>
      <c r="J257" s="12">
        <f>'Engineering Cost'!J257*'Engineering Assumptions'!$B$6</f>
        <v>16740</v>
      </c>
      <c r="K257" s="12">
        <f>'Engineering Cost'!K257*'Engineering Assumptions'!$B$6</f>
        <v>17820</v>
      </c>
      <c r="L257" s="13">
        <f t="shared" si="12"/>
        <v>250080</v>
      </c>
      <c r="M257" s="13">
        <f>L257*(1+'Engineering Assumptions'!$B$10)</f>
        <v>287592</v>
      </c>
    </row>
    <row r="258" spans="1:13" ht="15" customHeight="1" x14ac:dyDescent="0.3">
      <c r="A258" s="9">
        <v>238</v>
      </c>
      <c r="B258" s="46" t="s">
        <v>481</v>
      </c>
      <c r="C258" s="46" t="s">
        <v>510</v>
      </c>
      <c r="D258" s="46" t="s">
        <v>511</v>
      </c>
      <c r="E258" s="46" t="s">
        <v>512</v>
      </c>
      <c r="F258" s="48" t="s">
        <v>335</v>
      </c>
      <c r="G258" s="9">
        <v>18</v>
      </c>
      <c r="H258" s="12">
        <f>'Engineering Cost'!H258*'Engineering Assumptions'!$B$6</f>
        <v>137520</v>
      </c>
      <c r="I258" s="12">
        <f>IF('Engineering Cost'!I258=0,0,MAX('Engineering Cost'!I258*'Engineering Assumptions'!$B$6,'Engineering Assumptions'!$B$9))</f>
        <v>78000</v>
      </c>
      <c r="J258" s="12">
        <f>'Engineering Cost'!J258*'Engineering Assumptions'!$B$6</f>
        <v>21060</v>
      </c>
      <c r="K258" s="12">
        <f>'Engineering Cost'!K258*'Engineering Assumptions'!$B$6</f>
        <v>27720</v>
      </c>
      <c r="L258" s="13">
        <f t="shared" si="12"/>
        <v>264300</v>
      </c>
      <c r="M258" s="13">
        <f>L258*(1+'Engineering Assumptions'!$B$10)</f>
        <v>303945</v>
      </c>
    </row>
    <row r="259" spans="1:13" ht="15" customHeight="1" x14ac:dyDescent="0.3">
      <c r="A259" s="9">
        <v>239</v>
      </c>
      <c r="B259" s="46" t="s">
        <v>481</v>
      </c>
      <c r="C259" s="46" t="s">
        <v>513</v>
      </c>
      <c r="D259" s="46" t="s">
        <v>514</v>
      </c>
      <c r="E259" s="46" t="s">
        <v>515</v>
      </c>
      <c r="F259" s="48" t="s">
        <v>335</v>
      </c>
      <c r="G259" s="9">
        <v>18</v>
      </c>
      <c r="H259" s="12">
        <f>'Engineering Cost'!H259*'Engineering Assumptions'!$B$6</f>
        <v>137520</v>
      </c>
      <c r="I259" s="12">
        <f>IF('Engineering Cost'!I259=0,0,MAX('Engineering Cost'!I259*'Engineering Assumptions'!$B$6,'Engineering Assumptions'!$B$9))</f>
        <v>78000</v>
      </c>
      <c r="J259" s="12">
        <f>'Engineering Cost'!J259*'Engineering Assumptions'!$B$6</f>
        <v>21060</v>
      </c>
      <c r="K259" s="12">
        <f>'Engineering Cost'!K259*'Engineering Assumptions'!$B$6</f>
        <v>27720</v>
      </c>
      <c r="L259" s="13">
        <f t="shared" si="12"/>
        <v>264300</v>
      </c>
      <c r="M259" s="13">
        <f>L259*(1+'Engineering Assumptions'!$B$10)</f>
        <v>303945</v>
      </c>
    </row>
    <row r="260" spans="1:13" ht="15" customHeight="1" x14ac:dyDescent="0.3">
      <c r="A260" s="9">
        <v>240</v>
      </c>
      <c r="B260" s="46" t="s">
        <v>481</v>
      </c>
      <c r="C260" s="46" t="s">
        <v>513</v>
      </c>
      <c r="D260" s="46" t="s">
        <v>516</v>
      </c>
      <c r="E260" s="46" t="s">
        <v>517</v>
      </c>
      <c r="F260" s="48" t="s">
        <v>518</v>
      </c>
      <c r="G260" s="9">
        <v>19</v>
      </c>
      <c r="H260" s="12">
        <f>'Engineering Cost'!H260*'Engineering Assumptions'!$B$6</f>
        <v>137520</v>
      </c>
      <c r="I260" s="12">
        <f>IF('Engineering Cost'!I260=0,0,MAX('Engineering Cost'!I260*'Engineering Assumptions'!$B$6,'Engineering Assumptions'!$B$9))</f>
        <v>78000</v>
      </c>
      <c r="J260" s="12">
        <f>'Engineering Cost'!J260*'Engineering Assumptions'!$B$6</f>
        <v>21060</v>
      </c>
      <c r="K260" s="12">
        <f>'Engineering Cost'!K260*'Engineering Assumptions'!$B$6</f>
        <v>27720</v>
      </c>
      <c r="L260" s="13">
        <f t="shared" si="12"/>
        <v>264300</v>
      </c>
      <c r="M260" s="13">
        <f>L260*(1+'Engineering Assumptions'!$B$10)</f>
        <v>303945</v>
      </c>
    </row>
    <row r="261" spans="1:13" ht="15" customHeight="1" x14ac:dyDescent="0.3">
      <c r="A261" s="9">
        <v>241</v>
      </c>
      <c r="B261" s="46" t="s">
        <v>481</v>
      </c>
      <c r="C261" s="46" t="s">
        <v>482</v>
      </c>
      <c r="D261" s="46" t="s">
        <v>519</v>
      </c>
      <c r="E261" s="46" t="s">
        <v>520</v>
      </c>
      <c r="F261" s="48" t="s">
        <v>518</v>
      </c>
      <c r="G261" s="9">
        <v>19</v>
      </c>
      <c r="H261" s="12">
        <f>'Engineering Cost'!H261*'Engineering Assumptions'!$B$6</f>
        <v>137520</v>
      </c>
      <c r="I261" s="12">
        <f>IF('Engineering Cost'!I261=0,0,MAX('Engineering Cost'!I261*'Engineering Assumptions'!$B$6,'Engineering Assumptions'!$B$9))</f>
        <v>78000</v>
      </c>
      <c r="J261" s="12">
        <f>'Engineering Cost'!J261*'Engineering Assumptions'!$B$6</f>
        <v>21060</v>
      </c>
      <c r="K261" s="12">
        <f>'Engineering Cost'!K261*'Engineering Assumptions'!$B$6</f>
        <v>27720</v>
      </c>
      <c r="L261" s="13">
        <f t="shared" si="12"/>
        <v>264300</v>
      </c>
      <c r="M261" s="13">
        <f>L261*(1+'Engineering Assumptions'!$B$10)</f>
        <v>303945</v>
      </c>
    </row>
    <row r="262" spans="1:13" ht="15" customHeight="1" x14ac:dyDescent="0.3">
      <c r="A262" s="9">
        <v>242</v>
      </c>
      <c r="B262" s="46" t="s">
        <v>481</v>
      </c>
      <c r="C262" s="46" t="s">
        <v>521</v>
      </c>
      <c r="D262" s="46" t="s">
        <v>522</v>
      </c>
      <c r="E262" s="46" t="s">
        <v>523</v>
      </c>
      <c r="F262" s="48" t="s">
        <v>518</v>
      </c>
      <c r="G262" s="9">
        <v>19</v>
      </c>
      <c r="H262" s="12">
        <f>'Engineering Cost'!H262*'Engineering Assumptions'!$B$6</f>
        <v>137520</v>
      </c>
      <c r="I262" s="12">
        <f>IF('Engineering Cost'!I262=0,0,MAX('Engineering Cost'!I262*'Engineering Assumptions'!$B$6,'Engineering Assumptions'!$B$9))</f>
        <v>78000</v>
      </c>
      <c r="J262" s="12">
        <f>'Engineering Cost'!J262*'Engineering Assumptions'!$B$6</f>
        <v>21060</v>
      </c>
      <c r="K262" s="12">
        <f>'Engineering Cost'!K262*'Engineering Assumptions'!$B$6</f>
        <v>27720</v>
      </c>
      <c r="L262" s="13">
        <f t="shared" si="12"/>
        <v>264300</v>
      </c>
      <c r="M262" s="13">
        <f>L262*(1+'Engineering Assumptions'!$B$10)</f>
        <v>303945</v>
      </c>
    </row>
    <row r="263" spans="1:13" ht="15" customHeight="1" x14ac:dyDescent="0.3">
      <c r="A263" s="9">
        <v>243</v>
      </c>
      <c r="B263" s="46" t="s">
        <v>481</v>
      </c>
      <c r="C263" s="46" t="s">
        <v>482</v>
      </c>
      <c r="D263" s="46" t="s">
        <v>524</v>
      </c>
      <c r="E263" s="46" t="s">
        <v>525</v>
      </c>
      <c r="F263" s="48" t="s">
        <v>440</v>
      </c>
      <c r="G263" s="9">
        <v>21</v>
      </c>
      <c r="H263" s="12">
        <f>'Engineering Cost'!H263*'Engineering Assumptions'!$B$6</f>
        <v>137520</v>
      </c>
      <c r="I263" s="12">
        <f>IF('Engineering Cost'!I263=0,0,MAX('Engineering Cost'!I263*'Engineering Assumptions'!$B$6,'Engineering Assumptions'!$B$9))</f>
        <v>78000</v>
      </c>
      <c r="J263" s="12">
        <f>'Engineering Cost'!J263*'Engineering Assumptions'!$B$6</f>
        <v>25920</v>
      </c>
      <c r="K263" s="12">
        <f>'Engineering Cost'!K263*'Engineering Assumptions'!$B$6</f>
        <v>39600</v>
      </c>
      <c r="L263" s="13">
        <f t="shared" si="12"/>
        <v>281040</v>
      </c>
      <c r="M263" s="13">
        <f>L263*(1+'Engineering Assumptions'!$B$10)</f>
        <v>323196</v>
      </c>
    </row>
    <row r="264" spans="1:13" ht="27.75" customHeight="1" x14ac:dyDescent="0.3">
      <c r="A264" s="9">
        <v>244</v>
      </c>
      <c r="B264" s="46" t="s">
        <v>481</v>
      </c>
      <c r="C264" s="46" t="s">
        <v>526</v>
      </c>
      <c r="D264" s="46" t="s">
        <v>527</v>
      </c>
      <c r="E264" s="46" t="s">
        <v>528</v>
      </c>
      <c r="F264" s="48" t="s">
        <v>440</v>
      </c>
      <c r="G264" s="9">
        <v>21</v>
      </c>
      <c r="H264" s="12">
        <f>'Engineering Cost'!H264*'Engineering Assumptions'!$B$6</f>
        <v>137520</v>
      </c>
      <c r="I264" s="12">
        <f>IF('Engineering Cost'!I264=0,0,MAX('Engineering Cost'!I264*'Engineering Assumptions'!$B$6,'Engineering Assumptions'!$B$9))</f>
        <v>78000</v>
      </c>
      <c r="J264" s="12">
        <f>'Engineering Cost'!J264*'Engineering Assumptions'!$B$6</f>
        <v>25920</v>
      </c>
      <c r="K264" s="12">
        <f>'Engineering Cost'!K264*'Engineering Assumptions'!$B$6</f>
        <v>39600</v>
      </c>
      <c r="L264" s="13">
        <f t="shared" si="12"/>
        <v>281040</v>
      </c>
      <c r="M264" s="13">
        <f>L264*(1+'Engineering Assumptions'!$B$10)</f>
        <v>323196</v>
      </c>
    </row>
    <row r="265" spans="1:13" ht="15" customHeight="1" x14ac:dyDescent="0.3">
      <c r="A265" s="9">
        <v>245</v>
      </c>
      <c r="B265" s="46" t="s">
        <v>481</v>
      </c>
      <c r="C265" s="46" t="s">
        <v>510</v>
      </c>
      <c r="D265" s="46" t="s">
        <v>529</v>
      </c>
      <c r="E265" s="46" t="s">
        <v>530</v>
      </c>
      <c r="F265" s="48" t="s">
        <v>139</v>
      </c>
      <c r="G265" s="9">
        <v>23</v>
      </c>
      <c r="H265" s="12">
        <f>'Engineering Cost'!H265*'Engineering Assumptions'!$B$6</f>
        <v>137520</v>
      </c>
      <c r="I265" s="12">
        <f>IF('Engineering Cost'!I265=0,0,MAX('Engineering Cost'!I265*'Engineering Assumptions'!$B$6,'Engineering Assumptions'!$B$9))</f>
        <v>78000</v>
      </c>
      <c r="J265" s="12">
        <f>'Engineering Cost'!J265*'Engineering Assumptions'!$B$6</f>
        <v>25920</v>
      </c>
      <c r="K265" s="12">
        <f>'Engineering Cost'!K265*'Engineering Assumptions'!$B$6</f>
        <v>39600</v>
      </c>
      <c r="L265" s="13">
        <f t="shared" si="12"/>
        <v>281040</v>
      </c>
      <c r="M265" s="13">
        <f>L265*(1+'Engineering Assumptions'!$B$10)</f>
        <v>323196</v>
      </c>
    </row>
    <row r="266" spans="1:13" ht="15" customHeight="1" x14ac:dyDescent="0.3">
      <c r="A266" s="9">
        <v>246</v>
      </c>
      <c r="B266" s="46" t="s">
        <v>481</v>
      </c>
      <c r="C266" s="46" t="s">
        <v>531</v>
      </c>
      <c r="D266" s="46" t="s">
        <v>532</v>
      </c>
      <c r="E266" s="46" t="s">
        <v>533</v>
      </c>
      <c r="F266" s="48" t="s">
        <v>85</v>
      </c>
      <c r="G266" s="9">
        <v>27</v>
      </c>
      <c r="H266" s="12">
        <f>'Engineering Cost'!H266*'Engineering Assumptions'!$B$6</f>
        <v>137520</v>
      </c>
      <c r="I266" s="12">
        <f>IF('Engineering Cost'!I266=0,0,MAX('Engineering Cost'!I266*'Engineering Assumptions'!$B$6,'Engineering Assumptions'!$B$9))</f>
        <v>78000</v>
      </c>
      <c r="J266" s="12">
        <f>'Engineering Cost'!J266*'Engineering Assumptions'!$B$6</f>
        <v>25920</v>
      </c>
      <c r="K266" s="12">
        <f>'Engineering Cost'!K266*'Engineering Assumptions'!$B$6</f>
        <v>39600</v>
      </c>
      <c r="L266" s="13">
        <f t="shared" si="12"/>
        <v>281040</v>
      </c>
      <c r="M266" s="13">
        <f>L266*(1+'Engineering Assumptions'!$B$10)</f>
        <v>323196</v>
      </c>
    </row>
    <row r="267" spans="1:13" ht="15" customHeight="1" x14ac:dyDescent="0.3">
      <c r="A267" s="9">
        <v>247</v>
      </c>
      <c r="B267" s="46" t="s">
        <v>481</v>
      </c>
      <c r="C267" s="46" t="s">
        <v>534</v>
      </c>
      <c r="D267" s="46" t="s">
        <v>535</v>
      </c>
      <c r="E267" s="46" t="s">
        <v>536</v>
      </c>
      <c r="F267" s="48" t="s">
        <v>537</v>
      </c>
      <c r="G267" s="9">
        <v>29</v>
      </c>
      <c r="H267" s="12">
        <f>'Engineering Cost'!H267*'Engineering Assumptions'!$B$6</f>
        <v>137520</v>
      </c>
      <c r="I267" s="12">
        <f>IF('Engineering Cost'!I267=0,0,MAX('Engineering Cost'!I267*'Engineering Assumptions'!$B$6,'Engineering Assumptions'!$B$9))</f>
        <v>78000</v>
      </c>
      <c r="J267" s="12">
        <f>'Engineering Cost'!J267*'Engineering Assumptions'!$B$6</f>
        <v>25920</v>
      </c>
      <c r="K267" s="12">
        <f>'Engineering Cost'!K267*'Engineering Assumptions'!$B$6</f>
        <v>39600</v>
      </c>
      <c r="L267" s="13">
        <f t="shared" si="12"/>
        <v>281040</v>
      </c>
      <c r="M267" s="13">
        <f>L267*(1+'Engineering Assumptions'!$B$10)</f>
        <v>323196</v>
      </c>
    </row>
    <row r="268" spans="1:13" ht="15" customHeight="1" x14ac:dyDescent="0.3">
      <c r="A268" s="9">
        <v>248</v>
      </c>
      <c r="B268" s="46" t="s">
        <v>481</v>
      </c>
      <c r="C268" s="46" t="s">
        <v>538</v>
      </c>
      <c r="D268" s="46" t="s">
        <v>539</v>
      </c>
      <c r="E268" s="46" t="s">
        <v>540</v>
      </c>
      <c r="F268" s="48" t="s">
        <v>541</v>
      </c>
      <c r="G268" s="9">
        <v>41</v>
      </c>
      <c r="H268" s="12">
        <f>'Engineering Cost'!H268*'Engineering Assumptions'!$B$6</f>
        <v>137520</v>
      </c>
      <c r="I268" s="12">
        <f>IF('Engineering Cost'!I268=0,0,MAX('Engineering Cost'!I268*'Engineering Assumptions'!$B$6,'Engineering Assumptions'!$B$9))</f>
        <v>78000</v>
      </c>
      <c r="J268" s="12">
        <f>'Engineering Cost'!J268*'Engineering Assumptions'!$B$6</f>
        <v>25920</v>
      </c>
      <c r="K268" s="12">
        <f>'Engineering Cost'!K268*'Engineering Assumptions'!$B$6</f>
        <v>39600</v>
      </c>
      <c r="L268" s="13">
        <f t="shared" si="12"/>
        <v>281040</v>
      </c>
      <c r="M268" s="13">
        <f>L268*(1+'Engineering Assumptions'!$B$10)</f>
        <v>323196</v>
      </c>
    </row>
    <row r="269" spans="1:13" ht="15" customHeight="1" x14ac:dyDescent="0.3">
      <c r="A269" s="9">
        <v>249</v>
      </c>
      <c r="B269" s="46" t="s">
        <v>481</v>
      </c>
      <c r="C269" s="46" t="s">
        <v>538</v>
      </c>
      <c r="D269" s="46" t="s">
        <v>542</v>
      </c>
      <c r="E269" s="46" t="s">
        <v>543</v>
      </c>
      <c r="F269" s="48" t="s">
        <v>195</v>
      </c>
      <c r="G269" s="9">
        <v>30</v>
      </c>
      <c r="H269" s="12">
        <f>'Engineering Cost'!H269*'Engineering Assumptions'!$B$6</f>
        <v>137520</v>
      </c>
      <c r="I269" s="12">
        <f>IF('Engineering Cost'!I269=0,0,MAX('Engineering Cost'!I269*'Engineering Assumptions'!$B$6,'Engineering Assumptions'!$B$9))</f>
        <v>78000</v>
      </c>
      <c r="J269" s="12">
        <f>'Engineering Cost'!J269*'Engineering Assumptions'!$B$6</f>
        <v>25920</v>
      </c>
      <c r="K269" s="12">
        <f>'Engineering Cost'!K269*'Engineering Assumptions'!$B$6</f>
        <v>39600</v>
      </c>
      <c r="L269" s="13">
        <f t="shared" si="12"/>
        <v>281040</v>
      </c>
      <c r="M269" s="13">
        <f>L269*(1+'Engineering Assumptions'!$B$10)</f>
        <v>323196</v>
      </c>
    </row>
    <row r="270" spans="1:13" ht="15" customHeight="1" x14ac:dyDescent="0.3">
      <c r="A270" s="9">
        <v>250</v>
      </c>
      <c r="B270" s="46" t="s">
        <v>481</v>
      </c>
      <c r="C270" s="46" t="s">
        <v>544</v>
      </c>
      <c r="D270" s="46"/>
      <c r="E270" s="46"/>
      <c r="F270" s="48" t="s">
        <v>195</v>
      </c>
      <c r="G270" s="9">
        <v>30</v>
      </c>
      <c r="H270" s="12">
        <f>'Engineering Cost'!H270*'Engineering Assumptions'!$B$6</f>
        <v>137520</v>
      </c>
      <c r="I270" s="12">
        <f>IF('Engineering Cost'!I270=0,0,MAX('Engineering Cost'!I270*'Engineering Assumptions'!$B$6,'Engineering Assumptions'!$B$9))</f>
        <v>78000</v>
      </c>
      <c r="J270" s="12">
        <f>'Engineering Cost'!J270*'Engineering Assumptions'!$B$6</f>
        <v>25920</v>
      </c>
      <c r="K270" s="12">
        <f>'Engineering Cost'!K270*'Engineering Assumptions'!$B$6</f>
        <v>39600</v>
      </c>
      <c r="L270" s="13">
        <f t="shared" si="12"/>
        <v>281040</v>
      </c>
      <c r="M270" s="13">
        <f>L270*(1+'Engineering Assumptions'!$B$10)</f>
        <v>323196</v>
      </c>
    </row>
    <row r="271" spans="1:13" ht="15" customHeight="1" x14ac:dyDescent="0.3">
      <c r="A271" s="199" t="s">
        <v>545</v>
      </c>
      <c r="B271" s="200"/>
      <c r="C271" s="200"/>
      <c r="D271" s="200"/>
      <c r="E271" s="200"/>
      <c r="F271" s="200"/>
      <c r="G271" s="200"/>
      <c r="H271" s="200"/>
      <c r="I271" s="200"/>
      <c r="J271" s="200"/>
      <c r="K271" s="200"/>
      <c r="L271" s="200"/>
      <c r="M271" s="200"/>
    </row>
    <row r="272" spans="1:13" ht="15" customHeight="1" x14ac:dyDescent="0.3">
      <c r="A272" s="9">
        <v>251</v>
      </c>
      <c r="B272" s="46" t="s">
        <v>546</v>
      </c>
      <c r="C272" s="46" t="s">
        <v>547</v>
      </c>
      <c r="D272" s="46" t="s">
        <v>548</v>
      </c>
      <c r="E272" s="46" t="s">
        <v>549</v>
      </c>
      <c r="F272" s="48" t="s">
        <v>73</v>
      </c>
      <c r="G272" s="9">
        <v>20</v>
      </c>
      <c r="H272" s="12">
        <f>'Engineering Cost'!H272*'Engineering Assumptions'!$B$6</f>
        <v>114600</v>
      </c>
      <c r="I272" s="12">
        <f>IF('Engineering Cost'!I272=0,0,MAX('Engineering Cost'!I272*'Engineering Assumptions'!$B$6,'Engineering Assumptions'!$B$9))</f>
        <v>78000</v>
      </c>
      <c r="J272" s="12">
        <f>'Engineering Cost'!J272*'Engineering Assumptions'!$B$6</f>
        <v>16380</v>
      </c>
      <c r="K272" s="12">
        <f>'Engineering Cost'!K272*'Engineering Assumptions'!$B$6</f>
        <v>22680</v>
      </c>
      <c r="L272" s="13">
        <f>SUM(H272:K272)</f>
        <v>231660</v>
      </c>
      <c r="M272" s="13">
        <f>L272*(1+'Engineering Assumptions'!$B$10)</f>
        <v>266409</v>
      </c>
    </row>
    <row r="273" spans="1:13" ht="15" customHeight="1" x14ac:dyDescent="0.3">
      <c r="A273" s="9">
        <v>252</v>
      </c>
      <c r="B273" s="46" t="s">
        <v>546</v>
      </c>
      <c r="C273" s="46" t="s">
        <v>550</v>
      </c>
      <c r="D273" s="46"/>
      <c r="E273" s="46"/>
      <c r="F273" s="48" t="s">
        <v>551</v>
      </c>
      <c r="G273" s="9">
        <v>37</v>
      </c>
      <c r="H273" s="12">
        <f>'Engineering Cost'!H273*'Engineering Assumptions'!$B$6</f>
        <v>114600</v>
      </c>
      <c r="I273" s="12">
        <f>IF('Engineering Cost'!I273=0,0,MAX('Engineering Cost'!I273*'Engineering Assumptions'!$B$6,'Engineering Assumptions'!$B$9))</f>
        <v>78000</v>
      </c>
      <c r="J273" s="12">
        <f>'Engineering Cost'!J273*'Engineering Assumptions'!$B$6</f>
        <v>20160</v>
      </c>
      <c r="K273" s="12">
        <f>'Engineering Cost'!K273*'Engineering Assumptions'!$B$6</f>
        <v>32400</v>
      </c>
      <c r="L273" s="13">
        <f>SUM(H273:K273)</f>
        <v>245160</v>
      </c>
      <c r="M273" s="13">
        <f>L273*(1+'Engineering Assumptions'!$B$10)</f>
        <v>281934</v>
      </c>
    </row>
    <row r="274" spans="1:13" ht="15" customHeight="1" x14ac:dyDescent="0.3">
      <c r="A274" s="9">
        <v>253</v>
      </c>
      <c r="B274" s="46" t="s">
        <v>546</v>
      </c>
      <c r="C274" s="46" t="s">
        <v>552</v>
      </c>
      <c r="D274" s="46"/>
      <c r="E274" s="46"/>
      <c r="F274" s="48" t="s">
        <v>553</v>
      </c>
      <c r="G274" s="9">
        <v>39</v>
      </c>
      <c r="H274" s="12">
        <f>'Engineering Cost'!H274*'Engineering Assumptions'!$B$6</f>
        <v>114600</v>
      </c>
      <c r="I274" s="12">
        <f>IF('Engineering Cost'!I274=0,0,MAX('Engineering Cost'!I274*'Engineering Assumptions'!$B$6,'Engineering Assumptions'!$B$9))</f>
        <v>78000</v>
      </c>
      <c r="J274" s="12">
        <f>'Engineering Cost'!J274*'Engineering Assumptions'!$B$6</f>
        <v>20160</v>
      </c>
      <c r="K274" s="12">
        <f>'Engineering Cost'!K274*'Engineering Assumptions'!$B$6</f>
        <v>32400</v>
      </c>
      <c r="L274" s="13">
        <f>SUM(H274:K274)</f>
        <v>245160</v>
      </c>
      <c r="M274" s="13">
        <f>L274*(1+'Engineering Assumptions'!$B$10)</f>
        <v>281934</v>
      </c>
    </row>
    <row r="275" spans="1:13" ht="15" customHeight="1" x14ac:dyDescent="0.3">
      <c r="A275" s="199" t="s">
        <v>554</v>
      </c>
      <c r="B275" s="200"/>
      <c r="C275" s="200"/>
      <c r="D275" s="200"/>
      <c r="E275" s="200"/>
      <c r="F275" s="200"/>
      <c r="G275" s="200"/>
      <c r="H275" s="200"/>
      <c r="I275" s="200"/>
      <c r="J275" s="200"/>
      <c r="K275" s="200"/>
      <c r="L275" s="200"/>
      <c r="M275" s="200"/>
    </row>
    <row r="276" spans="1:13" ht="15" customHeight="1" x14ac:dyDescent="0.3">
      <c r="A276" s="9">
        <v>254</v>
      </c>
      <c r="B276" s="46" t="s">
        <v>555</v>
      </c>
      <c r="C276" s="46" t="s">
        <v>556</v>
      </c>
      <c r="D276" s="46" t="s">
        <v>557</v>
      </c>
      <c r="E276" s="46" t="s">
        <v>558</v>
      </c>
      <c r="F276" s="48" t="s">
        <v>45</v>
      </c>
      <c r="G276" s="9">
        <v>7</v>
      </c>
      <c r="H276" s="12">
        <f>'Engineering Cost'!H276*'Engineering Assumptions'!$B$6</f>
        <v>137520</v>
      </c>
      <c r="I276" s="12">
        <f>IF('Engineering Cost'!I276=0,0,MAX('Engineering Cost'!I276*'Engineering Assumptions'!$B$6,'Engineering Assumptions'!$B$9))</f>
        <v>78000</v>
      </c>
      <c r="J276" s="12">
        <f>'Engineering Cost'!J276*'Engineering Assumptions'!$B$6</f>
        <v>12000</v>
      </c>
      <c r="K276" s="12">
        <f>'Engineering Cost'!K276*'Engineering Assumptions'!$B$6</f>
        <v>9000</v>
      </c>
      <c r="L276" s="13">
        <f t="shared" ref="L276:L286" si="13">SUM(H276:K276)</f>
        <v>236520</v>
      </c>
      <c r="M276" s="13">
        <f>L276*(1+'Engineering Assumptions'!$B$10)</f>
        <v>271998</v>
      </c>
    </row>
    <row r="277" spans="1:13" ht="15" customHeight="1" x14ac:dyDescent="0.3">
      <c r="A277" s="9">
        <v>255</v>
      </c>
      <c r="B277" s="46" t="s">
        <v>555</v>
      </c>
      <c r="C277" s="46" t="s">
        <v>559</v>
      </c>
      <c r="D277" s="46" t="s">
        <v>560</v>
      </c>
      <c r="E277" s="46" t="s">
        <v>561</v>
      </c>
      <c r="F277" s="48" t="s">
        <v>165</v>
      </c>
      <c r="G277" s="9">
        <v>8</v>
      </c>
      <c r="H277" s="12">
        <f>'Engineering Cost'!H277*'Engineering Assumptions'!$B$6</f>
        <v>137520</v>
      </c>
      <c r="I277" s="12">
        <f>IF('Engineering Cost'!I277=0,0,MAX('Engineering Cost'!I277*'Engineering Assumptions'!$B$6,'Engineering Assumptions'!$B$9))</f>
        <v>78000</v>
      </c>
      <c r="J277" s="12">
        <f>'Engineering Cost'!J277*'Engineering Assumptions'!$B$6</f>
        <v>12000</v>
      </c>
      <c r="K277" s="12">
        <f>'Engineering Cost'!K277*'Engineering Assumptions'!$B$6</f>
        <v>9000</v>
      </c>
      <c r="L277" s="13">
        <f t="shared" si="13"/>
        <v>236520</v>
      </c>
      <c r="M277" s="13">
        <f>L277*(1+'Engineering Assumptions'!$B$10)</f>
        <v>271998</v>
      </c>
    </row>
    <row r="278" spans="1:13" ht="15" customHeight="1" x14ac:dyDescent="0.3">
      <c r="A278" s="9">
        <v>256</v>
      </c>
      <c r="B278" s="46" t="s">
        <v>555</v>
      </c>
      <c r="C278" s="46" t="s">
        <v>562</v>
      </c>
      <c r="D278" s="46" t="s">
        <v>563</v>
      </c>
      <c r="E278" s="46" t="s">
        <v>564</v>
      </c>
      <c r="F278" s="48" t="s">
        <v>116</v>
      </c>
      <c r="G278" s="9">
        <v>9</v>
      </c>
      <c r="H278" s="12">
        <f>'Engineering Cost'!H278*'Engineering Assumptions'!$B$6</f>
        <v>137520</v>
      </c>
      <c r="I278" s="12">
        <f>IF('Engineering Cost'!I278=0,0,MAX('Engineering Cost'!I278*'Engineering Assumptions'!$B$6,'Engineering Assumptions'!$B$9))</f>
        <v>78000</v>
      </c>
      <c r="J278" s="12">
        <f>'Engineering Cost'!J278*'Engineering Assumptions'!$B$6</f>
        <v>12000</v>
      </c>
      <c r="K278" s="12">
        <f>'Engineering Cost'!K278*'Engineering Assumptions'!$B$6</f>
        <v>9000</v>
      </c>
      <c r="L278" s="13">
        <f t="shared" si="13"/>
        <v>236520</v>
      </c>
      <c r="M278" s="13">
        <f>L278*(1+'Engineering Assumptions'!$B$10)</f>
        <v>271998</v>
      </c>
    </row>
    <row r="279" spans="1:13" ht="15" customHeight="1" x14ac:dyDescent="0.3">
      <c r="A279" s="9">
        <v>257</v>
      </c>
      <c r="B279" s="46" t="s">
        <v>555</v>
      </c>
      <c r="C279" s="46" t="s">
        <v>556</v>
      </c>
      <c r="D279" s="46" t="s">
        <v>565</v>
      </c>
      <c r="E279" s="46" t="s">
        <v>566</v>
      </c>
      <c r="F279" s="48" t="s">
        <v>49</v>
      </c>
      <c r="G279" s="9">
        <v>10</v>
      </c>
      <c r="H279" s="12">
        <f>'Engineering Cost'!H279*'Engineering Assumptions'!$B$6</f>
        <v>137520</v>
      </c>
      <c r="I279" s="12">
        <f>IF('Engineering Cost'!I279=0,0,MAX('Engineering Cost'!I279*'Engineering Assumptions'!$B$6,'Engineering Assumptions'!$B$9))</f>
        <v>78000</v>
      </c>
      <c r="J279" s="12">
        <f>'Engineering Cost'!J279*'Engineering Assumptions'!$B$6</f>
        <v>12000</v>
      </c>
      <c r="K279" s="12">
        <f>'Engineering Cost'!K279*'Engineering Assumptions'!$B$6</f>
        <v>9000</v>
      </c>
      <c r="L279" s="13">
        <f t="shared" si="13"/>
        <v>236520</v>
      </c>
      <c r="M279" s="13">
        <f>L279*(1+'Engineering Assumptions'!$B$10)</f>
        <v>271998</v>
      </c>
    </row>
    <row r="280" spans="1:13" ht="15" customHeight="1" x14ac:dyDescent="0.3">
      <c r="A280" s="9">
        <v>258</v>
      </c>
      <c r="B280" s="46" t="s">
        <v>555</v>
      </c>
      <c r="C280" s="46" t="s">
        <v>556</v>
      </c>
      <c r="D280" s="46" t="s">
        <v>567</v>
      </c>
      <c r="E280" s="46" t="s">
        <v>568</v>
      </c>
      <c r="F280" s="48" t="s">
        <v>49</v>
      </c>
      <c r="G280" s="9">
        <v>10</v>
      </c>
      <c r="H280" s="12">
        <f>'Engineering Cost'!H280*'Engineering Assumptions'!$B$6</f>
        <v>137520</v>
      </c>
      <c r="I280" s="12">
        <f>IF('Engineering Cost'!I280=0,0,MAX('Engineering Cost'!I280*'Engineering Assumptions'!$B$6,'Engineering Assumptions'!$B$9))</f>
        <v>78000</v>
      </c>
      <c r="J280" s="12">
        <f>'Engineering Cost'!J280*'Engineering Assumptions'!$B$6</f>
        <v>12000</v>
      </c>
      <c r="K280" s="12">
        <f>'Engineering Cost'!K280*'Engineering Assumptions'!$B$6</f>
        <v>9000</v>
      </c>
      <c r="L280" s="13">
        <f t="shared" si="13"/>
        <v>236520</v>
      </c>
      <c r="M280" s="13">
        <f>L280*(1+'Engineering Assumptions'!$B$10)</f>
        <v>271998</v>
      </c>
    </row>
    <row r="281" spans="1:13" ht="15" customHeight="1" x14ac:dyDescent="0.3">
      <c r="A281" s="9">
        <v>259</v>
      </c>
      <c r="B281" s="46" t="s">
        <v>555</v>
      </c>
      <c r="C281" s="46" t="s">
        <v>556</v>
      </c>
      <c r="D281" s="46" t="s">
        <v>569</v>
      </c>
      <c r="E281" s="46" t="s">
        <v>570</v>
      </c>
      <c r="F281" s="48" t="s">
        <v>49</v>
      </c>
      <c r="G281" s="9">
        <v>10</v>
      </c>
      <c r="H281" s="12">
        <f>'Engineering Cost'!H281*'Engineering Assumptions'!$B$6</f>
        <v>137520</v>
      </c>
      <c r="I281" s="12">
        <f>IF('Engineering Cost'!I281=0,0,MAX('Engineering Cost'!I281*'Engineering Assumptions'!$B$6,'Engineering Assumptions'!$B$9))</f>
        <v>78000</v>
      </c>
      <c r="J281" s="12">
        <f>'Engineering Cost'!J281*'Engineering Assumptions'!$B$6</f>
        <v>12000</v>
      </c>
      <c r="K281" s="12">
        <f>'Engineering Cost'!K281*'Engineering Assumptions'!$B$6</f>
        <v>9000</v>
      </c>
      <c r="L281" s="13">
        <f t="shared" si="13"/>
        <v>236520</v>
      </c>
      <c r="M281" s="13">
        <f>L281*(1+'Engineering Assumptions'!$B$10)</f>
        <v>271998</v>
      </c>
    </row>
    <row r="282" spans="1:13" ht="15" customHeight="1" x14ac:dyDescent="0.3">
      <c r="A282" s="9">
        <v>260</v>
      </c>
      <c r="B282" s="46" t="s">
        <v>555</v>
      </c>
      <c r="C282" s="46" t="s">
        <v>571</v>
      </c>
      <c r="D282" s="46" t="s">
        <v>572</v>
      </c>
      <c r="E282" s="46" t="s">
        <v>573</v>
      </c>
      <c r="F282" s="48" t="s">
        <v>143</v>
      </c>
      <c r="G282" s="9">
        <v>26</v>
      </c>
      <c r="H282" s="12">
        <f>'Engineering Cost'!H282*'Engineering Assumptions'!$B$6</f>
        <v>137520</v>
      </c>
      <c r="I282" s="12">
        <f>IF('Engineering Cost'!I282=0,0,MAX('Engineering Cost'!I282*'Engineering Assumptions'!$B$6,'Engineering Assumptions'!$B$9))</f>
        <v>78000</v>
      </c>
      <c r="J282" s="12">
        <f>'Engineering Cost'!J282*'Engineering Assumptions'!$B$6</f>
        <v>23040</v>
      </c>
      <c r="K282" s="12">
        <f>'Engineering Cost'!K282*'Engineering Assumptions'!$B$6</f>
        <v>36000</v>
      </c>
      <c r="L282" s="13">
        <f t="shared" si="13"/>
        <v>274560</v>
      </c>
      <c r="M282" s="13">
        <f>L282*(1+'Engineering Assumptions'!$B$10)</f>
        <v>315744</v>
      </c>
    </row>
    <row r="283" spans="1:13" ht="15" customHeight="1" x14ac:dyDescent="0.3">
      <c r="A283" s="9">
        <v>261</v>
      </c>
      <c r="B283" s="46" t="s">
        <v>555</v>
      </c>
      <c r="C283" s="46" t="s">
        <v>574</v>
      </c>
      <c r="D283" s="46" t="s">
        <v>575</v>
      </c>
      <c r="E283" s="46" t="s">
        <v>576</v>
      </c>
      <c r="F283" s="48" t="s">
        <v>537</v>
      </c>
      <c r="G283" s="9">
        <v>29</v>
      </c>
      <c r="H283" s="12">
        <f>'Engineering Cost'!H283*'Engineering Assumptions'!$B$6</f>
        <v>137520</v>
      </c>
      <c r="I283" s="12">
        <f>IF('Engineering Cost'!I283=0,0,MAX('Engineering Cost'!I283*'Engineering Assumptions'!$B$6,'Engineering Assumptions'!$B$9))</f>
        <v>78000</v>
      </c>
      <c r="J283" s="12">
        <f>'Engineering Cost'!J283*'Engineering Assumptions'!$B$6</f>
        <v>23040</v>
      </c>
      <c r="K283" s="12">
        <f>'Engineering Cost'!K283*'Engineering Assumptions'!$B$6</f>
        <v>36000</v>
      </c>
      <c r="L283" s="13">
        <f t="shared" si="13"/>
        <v>274560</v>
      </c>
      <c r="M283" s="13">
        <f>L283*(1+'Engineering Assumptions'!$B$10)</f>
        <v>315744</v>
      </c>
    </row>
    <row r="284" spans="1:13" ht="15" customHeight="1" x14ac:dyDescent="0.3">
      <c r="A284" s="9">
        <v>262</v>
      </c>
      <c r="B284" s="46" t="s">
        <v>555</v>
      </c>
      <c r="C284" s="46" t="s">
        <v>577</v>
      </c>
      <c r="D284" s="46" t="s">
        <v>578</v>
      </c>
      <c r="E284" s="46" t="s">
        <v>579</v>
      </c>
      <c r="F284" s="48" t="s">
        <v>537</v>
      </c>
      <c r="G284" s="9">
        <v>29</v>
      </c>
      <c r="H284" s="12">
        <f>'Engineering Cost'!H284*'Engineering Assumptions'!$B$6</f>
        <v>137520</v>
      </c>
      <c r="I284" s="12">
        <f>IF('Engineering Cost'!I284=0,0,MAX('Engineering Cost'!I284*'Engineering Assumptions'!$B$6,'Engineering Assumptions'!$B$9))</f>
        <v>78000</v>
      </c>
      <c r="J284" s="12">
        <f>'Engineering Cost'!J284*'Engineering Assumptions'!$B$6</f>
        <v>23040</v>
      </c>
      <c r="K284" s="12">
        <f>'Engineering Cost'!K284*'Engineering Assumptions'!$B$6</f>
        <v>36000</v>
      </c>
      <c r="L284" s="13">
        <f t="shared" si="13"/>
        <v>274560</v>
      </c>
      <c r="M284" s="13">
        <f>L284*(1+'Engineering Assumptions'!$B$10)</f>
        <v>315744</v>
      </c>
    </row>
    <row r="285" spans="1:13" ht="15" customHeight="1" x14ac:dyDescent="0.3">
      <c r="A285" s="9">
        <v>263</v>
      </c>
      <c r="B285" s="46" t="s">
        <v>555</v>
      </c>
      <c r="C285" s="46" t="s">
        <v>580</v>
      </c>
      <c r="D285" s="46" t="s">
        <v>581</v>
      </c>
      <c r="E285" s="46" t="s">
        <v>582</v>
      </c>
      <c r="F285" s="48" t="s">
        <v>583</v>
      </c>
      <c r="G285" s="9">
        <v>42</v>
      </c>
      <c r="H285" s="12">
        <f>'Engineering Cost'!H285*'Engineering Assumptions'!$B$6</f>
        <v>137520</v>
      </c>
      <c r="I285" s="12">
        <f>IF('Engineering Cost'!I285=0,0,MAX('Engineering Cost'!I285*'Engineering Assumptions'!$B$6,'Engineering Assumptions'!$B$9))</f>
        <v>78000</v>
      </c>
      <c r="J285" s="12">
        <f>'Engineering Cost'!J285*'Engineering Assumptions'!$B$6</f>
        <v>23040</v>
      </c>
      <c r="K285" s="12">
        <f>'Engineering Cost'!K285*'Engineering Assumptions'!$B$6</f>
        <v>36000</v>
      </c>
      <c r="L285" s="13">
        <f t="shared" si="13"/>
        <v>274560</v>
      </c>
      <c r="M285" s="13">
        <f>L285*(1+'Engineering Assumptions'!$B$10)</f>
        <v>315744</v>
      </c>
    </row>
    <row r="286" spans="1:13" ht="15" customHeight="1" x14ac:dyDescent="0.3">
      <c r="A286" s="9">
        <v>264</v>
      </c>
      <c r="B286" s="46" t="s">
        <v>555</v>
      </c>
      <c r="C286" s="46" t="s">
        <v>584</v>
      </c>
      <c r="D286" s="46" t="s">
        <v>585</v>
      </c>
      <c r="E286" s="46" t="s">
        <v>586</v>
      </c>
      <c r="F286" s="48" t="s">
        <v>587</v>
      </c>
      <c r="G286" s="9">
        <v>53</v>
      </c>
      <c r="H286" s="12">
        <f>'Engineering Cost'!H286*'Engineering Assumptions'!$B$6</f>
        <v>137520</v>
      </c>
      <c r="I286" s="12">
        <f>IF('Engineering Cost'!I286=0,0,MAX('Engineering Cost'!I286*'Engineering Assumptions'!$B$6,'Engineering Assumptions'!$B$9))</f>
        <v>78000</v>
      </c>
      <c r="J286" s="12">
        <f>'Engineering Cost'!J286*'Engineering Assumptions'!$B$6</f>
        <v>23040</v>
      </c>
      <c r="K286" s="12">
        <f>'Engineering Cost'!K286*'Engineering Assumptions'!$B$6</f>
        <v>36000</v>
      </c>
      <c r="L286" s="13">
        <f t="shared" si="13"/>
        <v>274560</v>
      </c>
      <c r="M286" s="13">
        <f>L286*(1+'Engineering Assumptions'!$B$10)</f>
        <v>315744</v>
      </c>
    </row>
    <row r="287" spans="1:13" ht="15" customHeight="1" x14ac:dyDescent="0.3">
      <c r="A287" s="199" t="s">
        <v>588</v>
      </c>
      <c r="B287" s="200"/>
      <c r="C287" s="200"/>
      <c r="D287" s="200"/>
      <c r="E287" s="200"/>
      <c r="F287" s="200"/>
      <c r="G287" s="200"/>
      <c r="H287" s="200"/>
      <c r="I287" s="200"/>
      <c r="J287" s="200"/>
      <c r="K287" s="200"/>
      <c r="L287" s="200"/>
      <c r="M287" s="200"/>
    </row>
    <row r="288" spans="1:13" ht="15" customHeight="1" x14ac:dyDescent="0.3">
      <c r="A288" s="9">
        <v>265</v>
      </c>
      <c r="B288" s="46" t="s">
        <v>589</v>
      </c>
      <c r="C288" s="46" t="s">
        <v>590</v>
      </c>
      <c r="D288" s="46" t="s">
        <v>591</v>
      </c>
      <c r="E288" s="46" t="s">
        <v>592</v>
      </c>
      <c r="F288" s="48" t="s">
        <v>45</v>
      </c>
      <c r="G288" s="9">
        <v>7</v>
      </c>
      <c r="H288" s="12">
        <f>'Engineering Cost'!H288*'Engineering Assumptions'!$B$6</f>
        <v>114600</v>
      </c>
      <c r="I288" s="12">
        <f>IF('Engineering Cost'!I288=0,0,MAX('Engineering Cost'!I288*'Engineering Assumptions'!$B$6,'Engineering Assumptions'!$B$9))</f>
        <v>78000</v>
      </c>
      <c r="J288" s="12">
        <f>'Engineering Cost'!J288*'Engineering Assumptions'!$B$6</f>
        <v>10500</v>
      </c>
      <c r="K288" s="12">
        <f>'Engineering Cost'!K288*'Engineering Assumptions'!$B$6</f>
        <v>8100</v>
      </c>
      <c r="L288" s="13">
        <f t="shared" ref="L288:L300" si="14">SUM(H288:K288)</f>
        <v>211200</v>
      </c>
      <c r="M288" s="13">
        <f>L288*(1+'Engineering Assumptions'!$B$10)</f>
        <v>242879.99999999997</v>
      </c>
    </row>
    <row r="289" spans="1:13" ht="15" customHeight="1" x14ac:dyDescent="0.3">
      <c r="A289" s="9">
        <v>266</v>
      </c>
      <c r="B289" s="46" t="s">
        <v>589</v>
      </c>
      <c r="C289" s="46" t="s">
        <v>590</v>
      </c>
      <c r="D289" s="46" t="s">
        <v>593</v>
      </c>
      <c r="E289" s="46" t="s">
        <v>594</v>
      </c>
      <c r="F289" s="48" t="s">
        <v>45</v>
      </c>
      <c r="G289" s="9">
        <v>7</v>
      </c>
      <c r="H289" s="12">
        <f>'Engineering Cost'!H289*'Engineering Assumptions'!$B$6</f>
        <v>114600</v>
      </c>
      <c r="I289" s="12">
        <f>IF('Engineering Cost'!I289=0,0,MAX('Engineering Cost'!I289*'Engineering Assumptions'!$B$6,'Engineering Assumptions'!$B$9))</f>
        <v>78000</v>
      </c>
      <c r="J289" s="12">
        <f>'Engineering Cost'!J289*'Engineering Assumptions'!$B$6</f>
        <v>10500</v>
      </c>
      <c r="K289" s="12">
        <f>'Engineering Cost'!K289*'Engineering Assumptions'!$B$6</f>
        <v>8100</v>
      </c>
      <c r="L289" s="13">
        <f t="shared" si="14"/>
        <v>211200</v>
      </c>
      <c r="M289" s="13">
        <f>L289*(1+'Engineering Assumptions'!$B$10)</f>
        <v>242879.99999999997</v>
      </c>
    </row>
    <row r="290" spans="1:13" ht="15" customHeight="1" x14ac:dyDescent="0.3">
      <c r="A290" s="9">
        <v>267</v>
      </c>
      <c r="B290" s="46" t="s">
        <v>589</v>
      </c>
      <c r="C290" s="46" t="s">
        <v>590</v>
      </c>
      <c r="D290" s="46" t="s">
        <v>595</v>
      </c>
      <c r="E290" s="46" t="s">
        <v>596</v>
      </c>
      <c r="F290" s="48" t="s">
        <v>45</v>
      </c>
      <c r="G290" s="9">
        <v>7</v>
      </c>
      <c r="H290" s="12">
        <f>'Engineering Cost'!H290*'Engineering Assumptions'!$B$6</f>
        <v>114600</v>
      </c>
      <c r="I290" s="12">
        <f>IF('Engineering Cost'!I290=0,0,MAX('Engineering Cost'!I290*'Engineering Assumptions'!$B$6,'Engineering Assumptions'!$B$9))</f>
        <v>78000</v>
      </c>
      <c r="J290" s="12">
        <f>'Engineering Cost'!J290*'Engineering Assumptions'!$B$6</f>
        <v>10500</v>
      </c>
      <c r="K290" s="12">
        <f>'Engineering Cost'!K290*'Engineering Assumptions'!$B$6</f>
        <v>8100</v>
      </c>
      <c r="L290" s="13">
        <f t="shared" si="14"/>
        <v>211200</v>
      </c>
      <c r="M290" s="13">
        <f>L290*(1+'Engineering Assumptions'!$B$10)</f>
        <v>242879.99999999997</v>
      </c>
    </row>
    <row r="291" spans="1:13" ht="15" customHeight="1" x14ac:dyDescent="0.3">
      <c r="A291" s="9">
        <v>268</v>
      </c>
      <c r="B291" s="46" t="s">
        <v>589</v>
      </c>
      <c r="C291" s="46" t="s">
        <v>590</v>
      </c>
      <c r="D291" s="46" t="s">
        <v>597</v>
      </c>
      <c r="E291" s="46" t="s">
        <v>598</v>
      </c>
      <c r="F291" s="48" t="s">
        <v>45</v>
      </c>
      <c r="G291" s="9">
        <v>7</v>
      </c>
      <c r="H291" s="12">
        <f>'Engineering Cost'!H291*'Engineering Assumptions'!$B$6</f>
        <v>114600</v>
      </c>
      <c r="I291" s="12">
        <f>IF('Engineering Cost'!I291=0,0,MAX('Engineering Cost'!I291*'Engineering Assumptions'!$B$6,'Engineering Assumptions'!$B$9))</f>
        <v>78000</v>
      </c>
      <c r="J291" s="12">
        <f>'Engineering Cost'!J291*'Engineering Assumptions'!$B$6</f>
        <v>10500</v>
      </c>
      <c r="K291" s="12">
        <f>'Engineering Cost'!K291*'Engineering Assumptions'!$B$6</f>
        <v>8100</v>
      </c>
      <c r="L291" s="13">
        <f t="shared" si="14"/>
        <v>211200</v>
      </c>
      <c r="M291" s="13">
        <f>L291*(1+'Engineering Assumptions'!$B$10)</f>
        <v>242879.99999999997</v>
      </c>
    </row>
    <row r="292" spans="1:13" ht="15" customHeight="1" x14ac:dyDescent="0.3">
      <c r="A292" s="9">
        <v>269</v>
      </c>
      <c r="B292" s="46" t="s">
        <v>589</v>
      </c>
      <c r="C292" s="46" t="s">
        <v>599</v>
      </c>
      <c r="D292" s="46" t="s">
        <v>600</v>
      </c>
      <c r="E292" s="46" t="s">
        <v>601</v>
      </c>
      <c r="F292" s="48" t="s">
        <v>45</v>
      </c>
      <c r="G292" s="9">
        <v>7</v>
      </c>
      <c r="H292" s="12">
        <f>'Engineering Cost'!H292*'Engineering Assumptions'!$B$6</f>
        <v>114600</v>
      </c>
      <c r="I292" s="12">
        <f>IF('Engineering Cost'!I292=0,0,MAX('Engineering Cost'!I292*'Engineering Assumptions'!$B$6,'Engineering Assumptions'!$B$9))</f>
        <v>78000</v>
      </c>
      <c r="J292" s="12">
        <f>'Engineering Cost'!J292*'Engineering Assumptions'!$B$6</f>
        <v>10500</v>
      </c>
      <c r="K292" s="12">
        <f>'Engineering Cost'!K292*'Engineering Assumptions'!$B$6</f>
        <v>8100</v>
      </c>
      <c r="L292" s="13">
        <f t="shared" si="14"/>
        <v>211200</v>
      </c>
      <c r="M292" s="13">
        <f>L292*(1+'Engineering Assumptions'!$B$10)</f>
        <v>242879.99999999997</v>
      </c>
    </row>
    <row r="293" spans="1:13" ht="15" customHeight="1" x14ac:dyDescent="0.3">
      <c r="A293" s="9">
        <v>270</v>
      </c>
      <c r="B293" s="46" t="s">
        <v>589</v>
      </c>
      <c r="C293" s="46" t="s">
        <v>602</v>
      </c>
      <c r="D293" s="46" t="s">
        <v>603</v>
      </c>
      <c r="E293" s="46" t="s">
        <v>604</v>
      </c>
      <c r="F293" s="48" t="s">
        <v>94</v>
      </c>
      <c r="G293" s="9">
        <v>12</v>
      </c>
      <c r="H293" s="12">
        <f>'Engineering Cost'!H293*'Engineering Assumptions'!$B$6</f>
        <v>114600</v>
      </c>
      <c r="I293" s="12">
        <f>IF('Engineering Cost'!I293=0,0,MAX('Engineering Cost'!I293*'Engineering Assumptions'!$B$6,'Engineering Assumptions'!$B$9))</f>
        <v>78000</v>
      </c>
      <c r="J293" s="12">
        <f>'Engineering Cost'!J293*'Engineering Assumptions'!$B$6</f>
        <v>13020</v>
      </c>
      <c r="K293" s="12">
        <f>'Engineering Cost'!K293*'Engineering Assumptions'!$B$6</f>
        <v>14580.000000000002</v>
      </c>
      <c r="L293" s="13">
        <f t="shared" si="14"/>
        <v>220200</v>
      </c>
      <c r="M293" s="13">
        <f>L293*(1+'Engineering Assumptions'!$B$10)</f>
        <v>253229.99999999997</v>
      </c>
    </row>
    <row r="294" spans="1:13" ht="15" customHeight="1" x14ac:dyDescent="0.3">
      <c r="A294" s="9">
        <v>271</v>
      </c>
      <c r="B294" s="46" t="s">
        <v>589</v>
      </c>
      <c r="C294" s="46" t="s">
        <v>605</v>
      </c>
      <c r="D294" s="46" t="s">
        <v>606</v>
      </c>
      <c r="E294" s="46" t="s">
        <v>607</v>
      </c>
      <c r="F294" s="48" t="s">
        <v>99</v>
      </c>
      <c r="G294" s="9">
        <v>13</v>
      </c>
      <c r="H294" s="12">
        <f>'Engineering Cost'!H294*'Engineering Assumptions'!$B$6</f>
        <v>114600</v>
      </c>
      <c r="I294" s="12">
        <f>IF('Engineering Cost'!I294=0,0,MAX('Engineering Cost'!I294*'Engineering Assumptions'!$B$6,'Engineering Assumptions'!$B$9))</f>
        <v>78000</v>
      </c>
      <c r="J294" s="12">
        <f>'Engineering Cost'!J294*'Engineering Assumptions'!$B$6</f>
        <v>13020</v>
      </c>
      <c r="K294" s="12">
        <f>'Engineering Cost'!K294*'Engineering Assumptions'!$B$6</f>
        <v>14580.000000000002</v>
      </c>
      <c r="L294" s="13">
        <f t="shared" si="14"/>
        <v>220200</v>
      </c>
      <c r="M294" s="13">
        <f>L294*(1+'Engineering Assumptions'!$B$10)</f>
        <v>253229.99999999997</v>
      </c>
    </row>
    <row r="295" spans="1:13" ht="15" customHeight="1" x14ac:dyDescent="0.3">
      <c r="A295" s="9">
        <v>272</v>
      </c>
      <c r="B295" s="46" t="s">
        <v>589</v>
      </c>
      <c r="C295" s="46" t="s">
        <v>608</v>
      </c>
      <c r="D295" s="46" t="s">
        <v>609</v>
      </c>
      <c r="E295" s="46" t="s">
        <v>610</v>
      </c>
      <c r="F295" s="48" t="s">
        <v>66</v>
      </c>
      <c r="G295" s="9">
        <v>14</v>
      </c>
      <c r="H295" s="12">
        <f>'Engineering Cost'!H295*'Engineering Assumptions'!$B$6</f>
        <v>114600</v>
      </c>
      <c r="I295" s="12">
        <f>IF('Engineering Cost'!I295=0,0,MAX('Engineering Cost'!I295*'Engineering Assumptions'!$B$6,'Engineering Assumptions'!$B$9))</f>
        <v>78000</v>
      </c>
      <c r="J295" s="12">
        <f>'Engineering Cost'!J295*'Engineering Assumptions'!$B$6</f>
        <v>13020</v>
      </c>
      <c r="K295" s="12">
        <f>'Engineering Cost'!K295*'Engineering Assumptions'!$B$6</f>
        <v>14580.000000000002</v>
      </c>
      <c r="L295" s="13">
        <f t="shared" si="14"/>
        <v>220200</v>
      </c>
      <c r="M295" s="13">
        <f>L295*(1+'Engineering Assumptions'!$B$10)</f>
        <v>253229.99999999997</v>
      </c>
    </row>
    <row r="296" spans="1:13" ht="15" customHeight="1" x14ac:dyDescent="0.3">
      <c r="A296" s="9">
        <v>273</v>
      </c>
      <c r="B296" s="46" t="s">
        <v>589</v>
      </c>
      <c r="C296" s="46" t="s">
        <v>608</v>
      </c>
      <c r="D296" s="46" t="s">
        <v>611</v>
      </c>
      <c r="E296" s="46" t="s">
        <v>612</v>
      </c>
      <c r="F296" s="48" t="s">
        <v>66</v>
      </c>
      <c r="G296" s="9">
        <v>14</v>
      </c>
      <c r="H296" s="12">
        <f>'Engineering Cost'!H296*'Engineering Assumptions'!$B$6</f>
        <v>114600</v>
      </c>
      <c r="I296" s="12">
        <f>IF('Engineering Cost'!I296=0,0,MAX('Engineering Cost'!I296*'Engineering Assumptions'!$B$6,'Engineering Assumptions'!$B$9))</f>
        <v>78000</v>
      </c>
      <c r="J296" s="12">
        <f>'Engineering Cost'!J296*'Engineering Assumptions'!$B$6</f>
        <v>13020</v>
      </c>
      <c r="K296" s="12">
        <f>'Engineering Cost'!K296*'Engineering Assumptions'!$B$6</f>
        <v>14580.000000000002</v>
      </c>
      <c r="L296" s="13">
        <f t="shared" si="14"/>
        <v>220200</v>
      </c>
      <c r="M296" s="13">
        <f>L296*(1+'Engineering Assumptions'!$B$10)</f>
        <v>253229.99999999997</v>
      </c>
    </row>
    <row r="297" spans="1:13" ht="15" customHeight="1" x14ac:dyDescent="0.3">
      <c r="A297" s="9">
        <v>274</v>
      </c>
      <c r="B297" s="46" t="s">
        <v>589</v>
      </c>
      <c r="C297" s="46" t="s">
        <v>613</v>
      </c>
      <c r="D297" s="46" t="s">
        <v>614</v>
      </c>
      <c r="E297" s="46" t="s">
        <v>615</v>
      </c>
      <c r="F297" s="48" t="s">
        <v>458</v>
      </c>
      <c r="G297" s="9">
        <v>15</v>
      </c>
      <c r="H297" s="12">
        <f>'Engineering Cost'!H297*'Engineering Assumptions'!$B$6</f>
        <v>114600</v>
      </c>
      <c r="I297" s="12">
        <f>IF('Engineering Cost'!I297=0,0,MAX('Engineering Cost'!I297*'Engineering Assumptions'!$B$6,'Engineering Assumptions'!$B$9))</f>
        <v>78000</v>
      </c>
      <c r="J297" s="12">
        <f>'Engineering Cost'!J297*'Engineering Assumptions'!$B$6</f>
        <v>13020</v>
      </c>
      <c r="K297" s="12">
        <f>'Engineering Cost'!K297*'Engineering Assumptions'!$B$6</f>
        <v>14580.000000000002</v>
      </c>
      <c r="L297" s="13">
        <f t="shared" si="14"/>
        <v>220200</v>
      </c>
      <c r="M297" s="13">
        <f>L297*(1+'Engineering Assumptions'!$B$10)</f>
        <v>253229.99999999997</v>
      </c>
    </row>
    <row r="298" spans="1:13" ht="15" customHeight="1" x14ac:dyDescent="0.3">
      <c r="A298" s="9">
        <v>275</v>
      </c>
      <c r="B298" s="46" t="s">
        <v>589</v>
      </c>
      <c r="C298" s="46" t="s">
        <v>613</v>
      </c>
      <c r="D298" s="46" t="s">
        <v>616</v>
      </c>
      <c r="E298" s="46" t="s">
        <v>617</v>
      </c>
      <c r="F298" s="48" t="s">
        <v>458</v>
      </c>
      <c r="G298" s="9">
        <v>15</v>
      </c>
      <c r="H298" s="12">
        <f>'Engineering Cost'!H298*'Engineering Assumptions'!$B$6</f>
        <v>114600</v>
      </c>
      <c r="I298" s="12">
        <f>IF('Engineering Cost'!I298=0,0,MAX('Engineering Cost'!I298*'Engineering Assumptions'!$B$6,'Engineering Assumptions'!$B$9))</f>
        <v>78000</v>
      </c>
      <c r="J298" s="12">
        <f>'Engineering Cost'!J298*'Engineering Assumptions'!$B$6</f>
        <v>13020</v>
      </c>
      <c r="K298" s="12">
        <f>'Engineering Cost'!K298*'Engineering Assumptions'!$B$6</f>
        <v>14580.000000000002</v>
      </c>
      <c r="L298" s="13">
        <f t="shared" si="14"/>
        <v>220200</v>
      </c>
      <c r="M298" s="13">
        <f>L298*(1+'Engineering Assumptions'!$B$10)</f>
        <v>253229.99999999997</v>
      </c>
    </row>
    <row r="299" spans="1:13" ht="15" customHeight="1" x14ac:dyDescent="0.3">
      <c r="A299" s="9">
        <v>276</v>
      </c>
      <c r="B299" s="46" t="s">
        <v>589</v>
      </c>
      <c r="C299" s="46" t="s">
        <v>618</v>
      </c>
      <c r="D299" s="46" t="s">
        <v>619</v>
      </c>
      <c r="E299" s="46" t="s">
        <v>620</v>
      </c>
      <c r="F299" s="48" t="s">
        <v>73</v>
      </c>
      <c r="G299" s="9">
        <v>20</v>
      </c>
      <c r="H299" s="12">
        <f>'Engineering Cost'!H299*'Engineering Assumptions'!$B$6</f>
        <v>114600</v>
      </c>
      <c r="I299" s="12">
        <f>IF('Engineering Cost'!I299=0,0,MAX('Engineering Cost'!I299*'Engineering Assumptions'!$B$6,'Engineering Assumptions'!$B$9))</f>
        <v>78000</v>
      </c>
      <c r="J299" s="12">
        <f>'Engineering Cost'!J299*'Engineering Assumptions'!$B$6</f>
        <v>16380</v>
      </c>
      <c r="K299" s="12">
        <f>'Engineering Cost'!K299*'Engineering Assumptions'!$B$6</f>
        <v>22680</v>
      </c>
      <c r="L299" s="13">
        <f t="shared" si="14"/>
        <v>231660</v>
      </c>
      <c r="M299" s="13">
        <f>L299*(1+'Engineering Assumptions'!$B$10)</f>
        <v>266409</v>
      </c>
    </row>
    <row r="300" spans="1:13" ht="15" customHeight="1" x14ac:dyDescent="0.3">
      <c r="A300" s="9">
        <v>277</v>
      </c>
      <c r="B300" s="46" t="s">
        <v>589</v>
      </c>
      <c r="C300" s="46" t="s">
        <v>621</v>
      </c>
      <c r="D300" s="46" t="s">
        <v>622</v>
      </c>
      <c r="E300" s="46" t="s">
        <v>623</v>
      </c>
      <c r="F300" s="48" t="s">
        <v>195</v>
      </c>
      <c r="G300" s="9">
        <v>30</v>
      </c>
      <c r="H300" s="12">
        <f>'Engineering Cost'!H300*'Engineering Assumptions'!$B$6</f>
        <v>114600</v>
      </c>
      <c r="I300" s="12">
        <f>IF('Engineering Cost'!I300=0,0,MAX('Engineering Cost'!I300*'Engineering Assumptions'!$B$6,'Engineering Assumptions'!$B$9))</f>
        <v>78000</v>
      </c>
      <c r="J300" s="12">
        <f>'Engineering Cost'!J300*'Engineering Assumptions'!$B$6</f>
        <v>20160</v>
      </c>
      <c r="K300" s="12">
        <f>'Engineering Cost'!K300*'Engineering Assumptions'!$B$6</f>
        <v>32400</v>
      </c>
      <c r="L300" s="13">
        <f t="shared" si="14"/>
        <v>245160</v>
      </c>
      <c r="M300" s="13">
        <f>L300*(1+'Engineering Assumptions'!$B$10)</f>
        <v>281934</v>
      </c>
    </row>
    <row r="301" spans="1:13" ht="15" customHeight="1" x14ac:dyDescent="0.3">
      <c r="A301" s="199" t="s">
        <v>624</v>
      </c>
      <c r="B301" s="200"/>
      <c r="C301" s="200"/>
      <c r="D301" s="200"/>
      <c r="E301" s="200"/>
      <c r="F301" s="200"/>
      <c r="G301" s="200"/>
      <c r="H301" s="200"/>
      <c r="I301" s="200"/>
      <c r="J301" s="200"/>
      <c r="K301" s="200"/>
      <c r="L301" s="200"/>
      <c r="M301" s="200"/>
    </row>
    <row r="302" spans="1:13" ht="15" customHeight="1" x14ac:dyDescent="0.3">
      <c r="A302" s="9">
        <v>278</v>
      </c>
      <c r="B302" s="46" t="s">
        <v>625</v>
      </c>
      <c r="C302" s="46" t="s">
        <v>626</v>
      </c>
      <c r="D302" s="46" t="s">
        <v>627</v>
      </c>
      <c r="E302" s="46" t="s">
        <v>628</v>
      </c>
      <c r="F302" s="48" t="s">
        <v>23</v>
      </c>
      <c r="G302" s="9">
        <v>5</v>
      </c>
      <c r="H302" s="12">
        <f>'Engineering Cost'!H302*'Engineering Assumptions'!$B$6</f>
        <v>343800</v>
      </c>
      <c r="I302" s="12">
        <f>IF('Engineering Cost'!I302=0,0,MAX('Engineering Cost'!I302*'Engineering Assumptions'!$B$6,'Engineering Assumptions'!$B$9))</f>
        <v>78000</v>
      </c>
      <c r="J302" s="12">
        <f>'Engineering Cost'!J302*'Engineering Assumptions'!$B$6</f>
        <v>27600</v>
      </c>
      <c r="K302" s="12">
        <f>'Engineering Cost'!K302*'Engineering Assumptions'!$B$6</f>
        <v>11160</v>
      </c>
      <c r="L302" s="13">
        <f t="shared" ref="L302:L333" si="15">SUM(H302:K302)</f>
        <v>460560</v>
      </c>
      <c r="M302" s="13">
        <f>L302*(1+'Engineering Assumptions'!$B$10)</f>
        <v>529644</v>
      </c>
    </row>
    <row r="303" spans="1:13" ht="15" customHeight="1" x14ac:dyDescent="0.3">
      <c r="A303" s="9">
        <v>279</v>
      </c>
      <c r="B303" s="46" t="s">
        <v>625</v>
      </c>
      <c r="C303" s="46" t="s">
        <v>626</v>
      </c>
      <c r="D303" s="46" t="s">
        <v>629</v>
      </c>
      <c r="E303" s="46" t="s">
        <v>630</v>
      </c>
      <c r="F303" s="48" t="s">
        <v>23</v>
      </c>
      <c r="G303" s="9">
        <v>5</v>
      </c>
      <c r="H303" s="12">
        <f>'Engineering Cost'!H303*'Engineering Assumptions'!$B$6</f>
        <v>343800</v>
      </c>
      <c r="I303" s="12">
        <f>IF('Engineering Cost'!I303=0,0,MAX('Engineering Cost'!I303*'Engineering Assumptions'!$B$6,'Engineering Assumptions'!$B$9))</f>
        <v>78000</v>
      </c>
      <c r="J303" s="12">
        <f>'Engineering Cost'!J303*'Engineering Assumptions'!$B$6</f>
        <v>27600</v>
      </c>
      <c r="K303" s="12">
        <f>'Engineering Cost'!K303*'Engineering Assumptions'!$B$6</f>
        <v>11160</v>
      </c>
      <c r="L303" s="13">
        <f t="shared" si="15"/>
        <v>460560</v>
      </c>
      <c r="M303" s="13">
        <f>L303*(1+'Engineering Assumptions'!$B$10)</f>
        <v>529644</v>
      </c>
    </row>
    <row r="304" spans="1:13" ht="15" customHeight="1" x14ac:dyDescent="0.3">
      <c r="A304" s="9">
        <v>280</v>
      </c>
      <c r="B304" s="46" t="s">
        <v>625</v>
      </c>
      <c r="C304" s="46" t="s">
        <v>626</v>
      </c>
      <c r="D304" s="46" t="s">
        <v>631</v>
      </c>
      <c r="E304" s="46" t="s">
        <v>632</v>
      </c>
      <c r="F304" s="48" t="s">
        <v>23</v>
      </c>
      <c r="G304" s="9">
        <v>5</v>
      </c>
      <c r="H304" s="12">
        <f>'Engineering Cost'!H304*'Engineering Assumptions'!$B$6</f>
        <v>343800</v>
      </c>
      <c r="I304" s="12">
        <f>IF('Engineering Cost'!I304=0,0,MAX('Engineering Cost'!I304*'Engineering Assumptions'!$B$6,'Engineering Assumptions'!$B$9))</f>
        <v>78000</v>
      </c>
      <c r="J304" s="12">
        <f>'Engineering Cost'!J304*'Engineering Assumptions'!$B$6</f>
        <v>27600</v>
      </c>
      <c r="K304" s="12">
        <f>'Engineering Cost'!K304*'Engineering Assumptions'!$B$6</f>
        <v>11160</v>
      </c>
      <c r="L304" s="13">
        <f t="shared" si="15"/>
        <v>460560</v>
      </c>
      <c r="M304" s="13">
        <f>L304*(1+'Engineering Assumptions'!$B$10)</f>
        <v>529644</v>
      </c>
    </row>
    <row r="305" spans="1:13" ht="15" customHeight="1" x14ac:dyDescent="0.3">
      <c r="A305" s="9">
        <v>281</v>
      </c>
      <c r="B305" s="46" t="s">
        <v>625</v>
      </c>
      <c r="C305" s="46" t="s">
        <v>626</v>
      </c>
      <c r="D305" s="46" t="s">
        <v>633</v>
      </c>
      <c r="E305" s="46" t="s">
        <v>634</v>
      </c>
      <c r="F305" s="48" t="s">
        <v>23</v>
      </c>
      <c r="G305" s="9">
        <v>5</v>
      </c>
      <c r="H305" s="12">
        <f>'Engineering Cost'!H305*'Engineering Assumptions'!$B$6</f>
        <v>343800</v>
      </c>
      <c r="I305" s="12">
        <f>IF('Engineering Cost'!I305=0,0,MAX('Engineering Cost'!I305*'Engineering Assumptions'!$B$6,'Engineering Assumptions'!$B$9))</f>
        <v>78000</v>
      </c>
      <c r="J305" s="12">
        <f>'Engineering Cost'!J305*'Engineering Assumptions'!$B$6</f>
        <v>27600</v>
      </c>
      <c r="K305" s="12">
        <f>'Engineering Cost'!K305*'Engineering Assumptions'!$B$6</f>
        <v>11160</v>
      </c>
      <c r="L305" s="13">
        <f t="shared" si="15"/>
        <v>460560</v>
      </c>
      <c r="M305" s="13">
        <f>L305*(1+'Engineering Assumptions'!$B$10)</f>
        <v>529644</v>
      </c>
    </row>
    <row r="306" spans="1:13" ht="15" customHeight="1" x14ac:dyDescent="0.3">
      <c r="A306" s="9">
        <v>282</v>
      </c>
      <c r="B306" s="46" t="s">
        <v>625</v>
      </c>
      <c r="C306" s="46" t="s">
        <v>626</v>
      </c>
      <c r="D306" s="46" t="s">
        <v>635</v>
      </c>
      <c r="E306" s="46" t="s">
        <v>636</v>
      </c>
      <c r="F306" s="48" t="s">
        <v>23</v>
      </c>
      <c r="G306" s="9">
        <v>5</v>
      </c>
      <c r="H306" s="12">
        <f>'Engineering Cost'!H306*'Engineering Assumptions'!$B$6</f>
        <v>343800</v>
      </c>
      <c r="I306" s="12">
        <f>IF('Engineering Cost'!I306=0,0,MAX('Engineering Cost'!I306*'Engineering Assumptions'!$B$6,'Engineering Assumptions'!$B$9))</f>
        <v>78000</v>
      </c>
      <c r="J306" s="12">
        <f>'Engineering Cost'!J306*'Engineering Assumptions'!$B$6</f>
        <v>27600</v>
      </c>
      <c r="K306" s="12">
        <f>'Engineering Cost'!K306*'Engineering Assumptions'!$B$6</f>
        <v>11160</v>
      </c>
      <c r="L306" s="13">
        <f t="shared" si="15"/>
        <v>460560</v>
      </c>
      <c r="M306" s="13">
        <f>L306*(1+'Engineering Assumptions'!$B$10)</f>
        <v>529644</v>
      </c>
    </row>
    <row r="307" spans="1:13" ht="15" customHeight="1" x14ac:dyDescent="0.3">
      <c r="A307" s="9">
        <v>283</v>
      </c>
      <c r="B307" s="46" t="s">
        <v>625</v>
      </c>
      <c r="C307" s="46" t="s">
        <v>626</v>
      </c>
      <c r="D307" s="46" t="s">
        <v>637</v>
      </c>
      <c r="E307" s="46" t="s">
        <v>638</v>
      </c>
      <c r="F307" s="48" t="s">
        <v>23</v>
      </c>
      <c r="G307" s="9">
        <v>5</v>
      </c>
      <c r="H307" s="12">
        <f>'Engineering Cost'!H307*'Engineering Assumptions'!$B$6</f>
        <v>343800</v>
      </c>
      <c r="I307" s="12">
        <f>IF('Engineering Cost'!I307=0,0,MAX('Engineering Cost'!I307*'Engineering Assumptions'!$B$6,'Engineering Assumptions'!$B$9))</f>
        <v>78000</v>
      </c>
      <c r="J307" s="12">
        <f>'Engineering Cost'!J307*'Engineering Assumptions'!$B$6</f>
        <v>27600</v>
      </c>
      <c r="K307" s="12">
        <f>'Engineering Cost'!K307*'Engineering Assumptions'!$B$6</f>
        <v>11160</v>
      </c>
      <c r="L307" s="13">
        <f t="shared" si="15"/>
        <v>460560</v>
      </c>
      <c r="M307" s="13">
        <f>L307*(1+'Engineering Assumptions'!$B$10)</f>
        <v>529644</v>
      </c>
    </row>
    <row r="308" spans="1:13" ht="15" customHeight="1" x14ac:dyDescent="0.3">
      <c r="A308" s="9">
        <v>284</v>
      </c>
      <c r="B308" s="46" t="s">
        <v>625</v>
      </c>
      <c r="C308" s="46" t="s">
        <v>626</v>
      </c>
      <c r="D308" s="46" t="s">
        <v>639</v>
      </c>
      <c r="E308" s="46" t="s">
        <v>640</v>
      </c>
      <c r="F308" s="48" t="s">
        <v>23</v>
      </c>
      <c r="G308" s="9">
        <v>5</v>
      </c>
      <c r="H308" s="12">
        <f>'Engineering Cost'!H308*'Engineering Assumptions'!$B$6</f>
        <v>343800</v>
      </c>
      <c r="I308" s="12">
        <f>IF('Engineering Cost'!I308=0,0,MAX('Engineering Cost'!I308*'Engineering Assumptions'!$B$6,'Engineering Assumptions'!$B$9))</f>
        <v>78000</v>
      </c>
      <c r="J308" s="12">
        <f>'Engineering Cost'!J308*'Engineering Assumptions'!$B$6</f>
        <v>27600</v>
      </c>
      <c r="K308" s="12">
        <f>'Engineering Cost'!K308*'Engineering Assumptions'!$B$6</f>
        <v>11160</v>
      </c>
      <c r="L308" s="13">
        <f t="shared" si="15"/>
        <v>460560</v>
      </c>
      <c r="M308" s="13">
        <f>L308*(1+'Engineering Assumptions'!$B$10)</f>
        <v>529644</v>
      </c>
    </row>
    <row r="309" spans="1:13" ht="15" customHeight="1" x14ac:dyDescent="0.3">
      <c r="A309" s="9">
        <v>285</v>
      </c>
      <c r="B309" s="46" t="s">
        <v>625</v>
      </c>
      <c r="C309" s="46" t="s">
        <v>626</v>
      </c>
      <c r="D309" s="46" t="s">
        <v>641</v>
      </c>
      <c r="E309" s="46" t="s">
        <v>642</v>
      </c>
      <c r="F309" s="48" t="s">
        <v>23</v>
      </c>
      <c r="G309" s="9">
        <v>5</v>
      </c>
      <c r="H309" s="12">
        <f>'Engineering Cost'!H309*'Engineering Assumptions'!$B$6</f>
        <v>343800</v>
      </c>
      <c r="I309" s="12">
        <f>IF('Engineering Cost'!I309=0,0,MAX('Engineering Cost'!I309*'Engineering Assumptions'!$B$6,'Engineering Assumptions'!$B$9))</f>
        <v>78000</v>
      </c>
      <c r="J309" s="12">
        <f>'Engineering Cost'!J309*'Engineering Assumptions'!$B$6</f>
        <v>27600</v>
      </c>
      <c r="K309" s="12">
        <f>'Engineering Cost'!K309*'Engineering Assumptions'!$B$6</f>
        <v>11160</v>
      </c>
      <c r="L309" s="13">
        <f t="shared" si="15"/>
        <v>460560</v>
      </c>
      <c r="M309" s="13">
        <f>L309*(1+'Engineering Assumptions'!$B$10)</f>
        <v>529644</v>
      </c>
    </row>
    <row r="310" spans="1:13" ht="15" customHeight="1" x14ac:dyDescent="0.3">
      <c r="A310" s="9">
        <v>286</v>
      </c>
      <c r="B310" s="46" t="s">
        <v>625</v>
      </c>
      <c r="C310" s="46" t="s">
        <v>626</v>
      </c>
      <c r="D310" s="46" t="s">
        <v>643</v>
      </c>
      <c r="E310" s="46" t="s">
        <v>644</v>
      </c>
      <c r="F310" s="48" t="s">
        <v>23</v>
      </c>
      <c r="G310" s="9">
        <v>5</v>
      </c>
      <c r="H310" s="12">
        <f>'Engineering Cost'!H310*'Engineering Assumptions'!$B$6</f>
        <v>343800</v>
      </c>
      <c r="I310" s="12">
        <f>IF('Engineering Cost'!I310=0,0,MAX('Engineering Cost'!I310*'Engineering Assumptions'!$B$6,'Engineering Assumptions'!$B$9))</f>
        <v>78000</v>
      </c>
      <c r="J310" s="12">
        <f>'Engineering Cost'!J310*'Engineering Assumptions'!$B$6</f>
        <v>27600</v>
      </c>
      <c r="K310" s="12">
        <f>'Engineering Cost'!K310*'Engineering Assumptions'!$B$6</f>
        <v>11160</v>
      </c>
      <c r="L310" s="13">
        <f t="shared" si="15"/>
        <v>460560</v>
      </c>
      <c r="M310" s="13">
        <f>L310*(1+'Engineering Assumptions'!$B$10)</f>
        <v>529644</v>
      </c>
    </row>
    <row r="311" spans="1:13" ht="15" customHeight="1" x14ac:dyDescent="0.3">
      <c r="A311" s="9">
        <v>287</v>
      </c>
      <c r="B311" s="46" t="s">
        <v>625</v>
      </c>
      <c r="C311" s="46" t="s">
        <v>626</v>
      </c>
      <c r="D311" s="46" t="s">
        <v>645</v>
      </c>
      <c r="E311" s="46" t="s">
        <v>646</v>
      </c>
      <c r="F311" s="48" t="s">
        <v>23</v>
      </c>
      <c r="G311" s="9">
        <v>5</v>
      </c>
      <c r="H311" s="12">
        <f>'Engineering Cost'!H311*'Engineering Assumptions'!$B$6</f>
        <v>343800</v>
      </c>
      <c r="I311" s="12">
        <f>IF('Engineering Cost'!I311=0,0,MAX('Engineering Cost'!I311*'Engineering Assumptions'!$B$6,'Engineering Assumptions'!$B$9))</f>
        <v>78000</v>
      </c>
      <c r="J311" s="12">
        <f>'Engineering Cost'!J311*'Engineering Assumptions'!$B$6</f>
        <v>27600</v>
      </c>
      <c r="K311" s="12">
        <f>'Engineering Cost'!K311*'Engineering Assumptions'!$B$6</f>
        <v>11160</v>
      </c>
      <c r="L311" s="13">
        <f t="shared" si="15"/>
        <v>460560</v>
      </c>
      <c r="M311" s="13">
        <f>L311*(1+'Engineering Assumptions'!$B$10)</f>
        <v>529644</v>
      </c>
    </row>
    <row r="312" spans="1:13" ht="15" customHeight="1" x14ac:dyDescent="0.3">
      <c r="A312" s="9">
        <v>288</v>
      </c>
      <c r="B312" s="46" t="s">
        <v>625</v>
      </c>
      <c r="C312" s="46" t="s">
        <v>626</v>
      </c>
      <c r="D312" s="46" t="s">
        <v>647</v>
      </c>
      <c r="E312" s="46" t="s">
        <v>648</v>
      </c>
      <c r="F312" s="48" t="s">
        <v>23</v>
      </c>
      <c r="G312" s="9">
        <v>5</v>
      </c>
      <c r="H312" s="12">
        <f>'Engineering Cost'!H312*'Engineering Assumptions'!$B$6</f>
        <v>343800</v>
      </c>
      <c r="I312" s="12">
        <f>IF('Engineering Cost'!I312=0,0,MAX('Engineering Cost'!I312*'Engineering Assumptions'!$B$6,'Engineering Assumptions'!$B$9))</f>
        <v>78000</v>
      </c>
      <c r="J312" s="12">
        <f>'Engineering Cost'!J312*'Engineering Assumptions'!$B$6</f>
        <v>27600</v>
      </c>
      <c r="K312" s="12">
        <f>'Engineering Cost'!K312*'Engineering Assumptions'!$B$6</f>
        <v>11160</v>
      </c>
      <c r="L312" s="13">
        <f t="shared" si="15"/>
        <v>460560</v>
      </c>
      <c r="M312" s="13">
        <f>L312*(1+'Engineering Assumptions'!$B$10)</f>
        <v>529644</v>
      </c>
    </row>
    <row r="313" spans="1:13" ht="15" customHeight="1" x14ac:dyDescent="0.3">
      <c r="A313" s="9">
        <v>289</v>
      </c>
      <c r="B313" s="46" t="s">
        <v>625</v>
      </c>
      <c r="C313" s="46" t="s">
        <v>626</v>
      </c>
      <c r="D313" s="46" t="s">
        <v>649</v>
      </c>
      <c r="E313" s="46" t="s">
        <v>650</v>
      </c>
      <c r="F313" s="48" t="s">
        <v>23</v>
      </c>
      <c r="G313" s="9">
        <v>5</v>
      </c>
      <c r="H313" s="12">
        <f>'Engineering Cost'!H313*'Engineering Assumptions'!$B$6</f>
        <v>343800</v>
      </c>
      <c r="I313" s="12">
        <f>IF('Engineering Cost'!I313=0,0,MAX('Engineering Cost'!I313*'Engineering Assumptions'!$B$6,'Engineering Assumptions'!$B$9))</f>
        <v>78000</v>
      </c>
      <c r="J313" s="12">
        <f>'Engineering Cost'!J313*'Engineering Assumptions'!$B$6</f>
        <v>27600</v>
      </c>
      <c r="K313" s="12">
        <f>'Engineering Cost'!K313*'Engineering Assumptions'!$B$6</f>
        <v>11160</v>
      </c>
      <c r="L313" s="13">
        <f t="shared" si="15"/>
        <v>460560</v>
      </c>
      <c r="M313" s="13">
        <f>L313*(1+'Engineering Assumptions'!$B$10)</f>
        <v>529644</v>
      </c>
    </row>
    <row r="314" spans="1:13" ht="15" customHeight="1" x14ac:dyDescent="0.3">
      <c r="A314" s="9">
        <v>290</v>
      </c>
      <c r="B314" s="46" t="s">
        <v>625</v>
      </c>
      <c r="C314" s="46" t="s">
        <v>626</v>
      </c>
      <c r="D314" s="46" t="s">
        <v>651</v>
      </c>
      <c r="E314" s="46" t="s">
        <v>652</v>
      </c>
      <c r="F314" s="48" t="s">
        <v>23</v>
      </c>
      <c r="G314" s="9">
        <v>5</v>
      </c>
      <c r="H314" s="12">
        <f>'Engineering Cost'!H314*'Engineering Assumptions'!$B$6</f>
        <v>343800</v>
      </c>
      <c r="I314" s="12">
        <f>IF('Engineering Cost'!I314=0,0,MAX('Engineering Cost'!I314*'Engineering Assumptions'!$B$6,'Engineering Assumptions'!$B$9))</f>
        <v>78000</v>
      </c>
      <c r="J314" s="12">
        <f>'Engineering Cost'!J314*'Engineering Assumptions'!$B$6</f>
        <v>27600</v>
      </c>
      <c r="K314" s="12">
        <f>'Engineering Cost'!K314*'Engineering Assumptions'!$B$6</f>
        <v>11160</v>
      </c>
      <c r="L314" s="13">
        <f t="shared" si="15"/>
        <v>460560</v>
      </c>
      <c r="M314" s="13">
        <f>L314*(1+'Engineering Assumptions'!$B$10)</f>
        <v>529644</v>
      </c>
    </row>
    <row r="315" spans="1:13" ht="15" customHeight="1" x14ac:dyDescent="0.3">
      <c r="A315" s="9">
        <v>291</v>
      </c>
      <c r="B315" s="46" t="s">
        <v>625</v>
      </c>
      <c r="C315" s="46" t="s">
        <v>626</v>
      </c>
      <c r="D315" s="46" t="s">
        <v>653</v>
      </c>
      <c r="E315" s="46" t="s">
        <v>654</v>
      </c>
      <c r="F315" s="48" t="s">
        <v>23</v>
      </c>
      <c r="G315" s="9">
        <v>5</v>
      </c>
      <c r="H315" s="12">
        <f>'Engineering Cost'!H315*'Engineering Assumptions'!$B$6</f>
        <v>343800</v>
      </c>
      <c r="I315" s="12">
        <f>IF('Engineering Cost'!I315=0,0,MAX('Engineering Cost'!I315*'Engineering Assumptions'!$B$6,'Engineering Assumptions'!$B$9))</f>
        <v>78000</v>
      </c>
      <c r="J315" s="12">
        <f>'Engineering Cost'!J315*'Engineering Assumptions'!$B$6</f>
        <v>27600</v>
      </c>
      <c r="K315" s="12">
        <f>'Engineering Cost'!K315*'Engineering Assumptions'!$B$6</f>
        <v>11160</v>
      </c>
      <c r="L315" s="13">
        <f t="shared" si="15"/>
        <v>460560</v>
      </c>
      <c r="M315" s="13">
        <f>L315*(1+'Engineering Assumptions'!$B$10)</f>
        <v>529644</v>
      </c>
    </row>
    <row r="316" spans="1:13" ht="15" customHeight="1" x14ac:dyDescent="0.3">
      <c r="A316" s="9">
        <v>292</v>
      </c>
      <c r="B316" s="46" t="s">
        <v>625</v>
      </c>
      <c r="C316" s="46" t="s">
        <v>626</v>
      </c>
      <c r="D316" s="46" t="s">
        <v>655</v>
      </c>
      <c r="E316" s="46" t="s">
        <v>656</v>
      </c>
      <c r="F316" s="48" t="s">
        <v>23</v>
      </c>
      <c r="G316" s="9">
        <v>5</v>
      </c>
      <c r="H316" s="12">
        <f>'Engineering Cost'!H316*'Engineering Assumptions'!$B$6</f>
        <v>343800</v>
      </c>
      <c r="I316" s="12">
        <f>IF('Engineering Cost'!I316=0,0,MAX('Engineering Cost'!I316*'Engineering Assumptions'!$B$6,'Engineering Assumptions'!$B$9))</f>
        <v>78000</v>
      </c>
      <c r="J316" s="12">
        <f>'Engineering Cost'!J316*'Engineering Assumptions'!$B$6</f>
        <v>27600</v>
      </c>
      <c r="K316" s="12">
        <f>'Engineering Cost'!K316*'Engineering Assumptions'!$B$6</f>
        <v>11160</v>
      </c>
      <c r="L316" s="13">
        <f t="shared" si="15"/>
        <v>460560</v>
      </c>
      <c r="M316" s="13">
        <f>L316*(1+'Engineering Assumptions'!$B$10)</f>
        <v>529644</v>
      </c>
    </row>
    <row r="317" spans="1:13" ht="15" customHeight="1" x14ac:dyDescent="0.3">
      <c r="A317" s="9">
        <v>293</v>
      </c>
      <c r="B317" s="46" t="s">
        <v>625</v>
      </c>
      <c r="C317" s="46" t="s">
        <v>626</v>
      </c>
      <c r="D317" s="46" t="s">
        <v>657</v>
      </c>
      <c r="E317" s="46" t="s">
        <v>658</v>
      </c>
      <c r="F317" s="48" t="s">
        <v>23</v>
      </c>
      <c r="G317" s="9">
        <v>5</v>
      </c>
      <c r="H317" s="12">
        <f>'Engineering Cost'!H317*'Engineering Assumptions'!$B$6</f>
        <v>343800</v>
      </c>
      <c r="I317" s="12">
        <f>IF('Engineering Cost'!I317=0,0,MAX('Engineering Cost'!I317*'Engineering Assumptions'!$B$6,'Engineering Assumptions'!$B$9))</f>
        <v>78000</v>
      </c>
      <c r="J317" s="12">
        <f>'Engineering Cost'!J317*'Engineering Assumptions'!$B$6</f>
        <v>27600</v>
      </c>
      <c r="K317" s="12">
        <f>'Engineering Cost'!K317*'Engineering Assumptions'!$B$6</f>
        <v>11160</v>
      </c>
      <c r="L317" s="13">
        <f t="shared" si="15"/>
        <v>460560</v>
      </c>
      <c r="M317" s="13">
        <f>L317*(1+'Engineering Assumptions'!$B$10)</f>
        <v>529644</v>
      </c>
    </row>
    <row r="318" spans="1:13" ht="15" customHeight="1" x14ac:dyDescent="0.3">
      <c r="A318" s="9">
        <v>294</v>
      </c>
      <c r="B318" s="46" t="s">
        <v>625</v>
      </c>
      <c r="C318" s="46" t="s">
        <v>626</v>
      </c>
      <c r="D318" s="46" t="s">
        <v>659</v>
      </c>
      <c r="E318" s="46" t="s">
        <v>660</v>
      </c>
      <c r="F318" s="48" t="s">
        <v>23</v>
      </c>
      <c r="G318" s="9">
        <v>5</v>
      </c>
      <c r="H318" s="12">
        <f>'Engineering Cost'!H318*'Engineering Assumptions'!$B$6</f>
        <v>343800</v>
      </c>
      <c r="I318" s="12">
        <f>IF('Engineering Cost'!I318=0,0,MAX('Engineering Cost'!I318*'Engineering Assumptions'!$B$6,'Engineering Assumptions'!$B$9))</f>
        <v>78000</v>
      </c>
      <c r="J318" s="12">
        <f>'Engineering Cost'!J318*'Engineering Assumptions'!$B$6</f>
        <v>27600</v>
      </c>
      <c r="K318" s="12">
        <f>'Engineering Cost'!K318*'Engineering Assumptions'!$B$6</f>
        <v>11160</v>
      </c>
      <c r="L318" s="13">
        <f t="shared" si="15"/>
        <v>460560</v>
      </c>
      <c r="M318" s="13">
        <f>L318*(1+'Engineering Assumptions'!$B$10)</f>
        <v>529644</v>
      </c>
    </row>
    <row r="319" spans="1:13" ht="15" customHeight="1" x14ac:dyDescent="0.3">
      <c r="A319" s="9">
        <v>295</v>
      </c>
      <c r="B319" s="46" t="s">
        <v>625</v>
      </c>
      <c r="C319" s="46" t="s">
        <v>626</v>
      </c>
      <c r="D319" s="46" t="s">
        <v>661</v>
      </c>
      <c r="E319" s="46" t="s">
        <v>662</v>
      </c>
      <c r="F319" s="48" t="s">
        <v>23</v>
      </c>
      <c r="G319" s="9">
        <v>5</v>
      </c>
      <c r="H319" s="12">
        <f>'Engineering Cost'!H319*'Engineering Assumptions'!$B$6</f>
        <v>343800</v>
      </c>
      <c r="I319" s="12">
        <f>IF('Engineering Cost'!I319=0,0,MAX('Engineering Cost'!I319*'Engineering Assumptions'!$B$6,'Engineering Assumptions'!$B$9))</f>
        <v>78000</v>
      </c>
      <c r="J319" s="12">
        <f>'Engineering Cost'!J319*'Engineering Assumptions'!$B$6</f>
        <v>27600</v>
      </c>
      <c r="K319" s="12">
        <f>'Engineering Cost'!K319*'Engineering Assumptions'!$B$6</f>
        <v>11160</v>
      </c>
      <c r="L319" s="13">
        <f t="shared" si="15"/>
        <v>460560</v>
      </c>
      <c r="M319" s="13">
        <f>L319*(1+'Engineering Assumptions'!$B$10)</f>
        <v>529644</v>
      </c>
    </row>
    <row r="320" spans="1:13" ht="15" customHeight="1" x14ac:dyDescent="0.3">
      <c r="A320" s="9">
        <v>296</v>
      </c>
      <c r="B320" s="46" t="s">
        <v>625</v>
      </c>
      <c r="C320" s="46" t="s">
        <v>626</v>
      </c>
      <c r="D320" s="46" t="s">
        <v>663</v>
      </c>
      <c r="E320" s="46" t="s">
        <v>664</v>
      </c>
      <c r="F320" s="48" t="s">
        <v>23</v>
      </c>
      <c r="G320" s="9">
        <v>5</v>
      </c>
      <c r="H320" s="12">
        <f>'Engineering Cost'!H320*'Engineering Assumptions'!$B$6</f>
        <v>343800</v>
      </c>
      <c r="I320" s="12">
        <f>IF('Engineering Cost'!I320=0,0,MAX('Engineering Cost'!I320*'Engineering Assumptions'!$B$6,'Engineering Assumptions'!$B$9))</f>
        <v>78000</v>
      </c>
      <c r="J320" s="12">
        <f>'Engineering Cost'!J320*'Engineering Assumptions'!$B$6</f>
        <v>27600</v>
      </c>
      <c r="K320" s="12">
        <f>'Engineering Cost'!K320*'Engineering Assumptions'!$B$6</f>
        <v>11160</v>
      </c>
      <c r="L320" s="13">
        <f t="shared" si="15"/>
        <v>460560</v>
      </c>
      <c r="M320" s="13">
        <f>L320*(1+'Engineering Assumptions'!$B$10)</f>
        <v>529644</v>
      </c>
    </row>
    <row r="321" spans="1:13" ht="15" customHeight="1" x14ac:dyDescent="0.3">
      <c r="A321" s="9">
        <v>297</v>
      </c>
      <c r="B321" s="46" t="s">
        <v>625</v>
      </c>
      <c r="C321" s="46" t="s">
        <v>626</v>
      </c>
      <c r="D321" s="46" t="s">
        <v>665</v>
      </c>
      <c r="E321" s="46" t="s">
        <v>666</v>
      </c>
      <c r="F321" s="48" t="s">
        <v>23</v>
      </c>
      <c r="G321" s="9">
        <v>5</v>
      </c>
      <c r="H321" s="12">
        <f>'Engineering Cost'!H321*'Engineering Assumptions'!$B$6</f>
        <v>343800</v>
      </c>
      <c r="I321" s="12">
        <f>IF('Engineering Cost'!I321=0,0,MAX('Engineering Cost'!I321*'Engineering Assumptions'!$B$6,'Engineering Assumptions'!$B$9))</f>
        <v>78000</v>
      </c>
      <c r="J321" s="12">
        <f>'Engineering Cost'!J321*'Engineering Assumptions'!$B$6</f>
        <v>27600</v>
      </c>
      <c r="K321" s="12">
        <f>'Engineering Cost'!K321*'Engineering Assumptions'!$B$6</f>
        <v>11160</v>
      </c>
      <c r="L321" s="13">
        <f t="shared" si="15"/>
        <v>460560</v>
      </c>
      <c r="M321" s="13">
        <f>L321*(1+'Engineering Assumptions'!$B$10)</f>
        <v>529644</v>
      </c>
    </row>
    <row r="322" spans="1:13" ht="15" customHeight="1" x14ac:dyDescent="0.3">
      <c r="A322" s="9">
        <v>298</v>
      </c>
      <c r="B322" s="46" t="s">
        <v>625</v>
      </c>
      <c r="C322" s="46" t="s">
        <v>626</v>
      </c>
      <c r="D322" s="46" t="s">
        <v>667</v>
      </c>
      <c r="E322" s="46" t="s">
        <v>668</v>
      </c>
      <c r="F322" s="48" t="s">
        <v>23</v>
      </c>
      <c r="G322" s="9">
        <v>5</v>
      </c>
      <c r="H322" s="12">
        <f>'Engineering Cost'!H322*'Engineering Assumptions'!$B$6</f>
        <v>343800</v>
      </c>
      <c r="I322" s="12">
        <f>IF('Engineering Cost'!I322=0,0,MAX('Engineering Cost'!I322*'Engineering Assumptions'!$B$6,'Engineering Assumptions'!$B$9))</f>
        <v>78000</v>
      </c>
      <c r="J322" s="12">
        <f>'Engineering Cost'!J322*'Engineering Assumptions'!$B$6</f>
        <v>27600</v>
      </c>
      <c r="K322" s="12">
        <f>'Engineering Cost'!K322*'Engineering Assumptions'!$B$6</f>
        <v>11160</v>
      </c>
      <c r="L322" s="13">
        <f t="shared" si="15"/>
        <v>460560</v>
      </c>
      <c r="M322" s="13">
        <f>L322*(1+'Engineering Assumptions'!$B$10)</f>
        <v>529644</v>
      </c>
    </row>
    <row r="323" spans="1:13" ht="15" customHeight="1" x14ac:dyDescent="0.3">
      <c r="A323" s="9">
        <v>299</v>
      </c>
      <c r="B323" s="46" t="s">
        <v>625</v>
      </c>
      <c r="C323" s="46" t="s">
        <v>626</v>
      </c>
      <c r="D323" s="46" t="s">
        <v>669</v>
      </c>
      <c r="E323" s="46" t="s">
        <v>670</v>
      </c>
      <c r="F323" s="48" t="s">
        <v>23</v>
      </c>
      <c r="G323" s="9">
        <v>5</v>
      </c>
      <c r="H323" s="12">
        <f>'Engineering Cost'!H323*'Engineering Assumptions'!$B$6</f>
        <v>343800</v>
      </c>
      <c r="I323" s="12">
        <f>IF('Engineering Cost'!I323=0,0,MAX('Engineering Cost'!I323*'Engineering Assumptions'!$B$6,'Engineering Assumptions'!$B$9))</f>
        <v>78000</v>
      </c>
      <c r="J323" s="12">
        <f>'Engineering Cost'!J323*'Engineering Assumptions'!$B$6</f>
        <v>27600</v>
      </c>
      <c r="K323" s="12">
        <f>'Engineering Cost'!K323*'Engineering Assumptions'!$B$6</f>
        <v>11160</v>
      </c>
      <c r="L323" s="13">
        <f t="shared" si="15"/>
        <v>460560</v>
      </c>
      <c r="M323" s="13">
        <f>L323*(1+'Engineering Assumptions'!$B$10)</f>
        <v>529644</v>
      </c>
    </row>
    <row r="324" spans="1:13" ht="15" customHeight="1" x14ac:dyDescent="0.3">
      <c r="A324" s="9">
        <v>300</v>
      </c>
      <c r="B324" s="46" t="s">
        <v>625</v>
      </c>
      <c r="C324" s="46" t="s">
        <v>626</v>
      </c>
      <c r="D324" s="46" t="s">
        <v>671</v>
      </c>
      <c r="E324" s="46" t="s">
        <v>672</v>
      </c>
      <c r="F324" s="48" t="s">
        <v>23</v>
      </c>
      <c r="G324" s="9">
        <v>5</v>
      </c>
      <c r="H324" s="12">
        <f>'Engineering Cost'!H324*'Engineering Assumptions'!$B$6</f>
        <v>343800</v>
      </c>
      <c r="I324" s="12">
        <f>IF('Engineering Cost'!I324=0,0,MAX('Engineering Cost'!I324*'Engineering Assumptions'!$B$6,'Engineering Assumptions'!$B$9))</f>
        <v>78000</v>
      </c>
      <c r="J324" s="12">
        <f>'Engineering Cost'!J324*'Engineering Assumptions'!$B$6</f>
        <v>27600</v>
      </c>
      <c r="K324" s="12">
        <f>'Engineering Cost'!K324*'Engineering Assumptions'!$B$6</f>
        <v>11160</v>
      </c>
      <c r="L324" s="13">
        <f t="shared" si="15"/>
        <v>460560</v>
      </c>
      <c r="M324" s="13">
        <f>L324*(1+'Engineering Assumptions'!$B$10)</f>
        <v>529644</v>
      </c>
    </row>
    <row r="325" spans="1:13" ht="15" customHeight="1" x14ac:dyDescent="0.3">
      <c r="A325" s="9">
        <v>301</v>
      </c>
      <c r="B325" s="46" t="s">
        <v>625</v>
      </c>
      <c r="C325" s="46" t="s">
        <v>626</v>
      </c>
      <c r="D325" s="46" t="s">
        <v>673</v>
      </c>
      <c r="E325" s="46" t="s">
        <v>674</v>
      </c>
      <c r="F325" s="48" t="s">
        <v>23</v>
      </c>
      <c r="G325" s="9">
        <v>5</v>
      </c>
      <c r="H325" s="12">
        <f>'Engineering Cost'!H325*'Engineering Assumptions'!$B$6</f>
        <v>343800</v>
      </c>
      <c r="I325" s="12">
        <f>IF('Engineering Cost'!I325=0,0,MAX('Engineering Cost'!I325*'Engineering Assumptions'!$B$6,'Engineering Assumptions'!$B$9))</f>
        <v>78000</v>
      </c>
      <c r="J325" s="12">
        <f>'Engineering Cost'!J325*'Engineering Assumptions'!$B$6</f>
        <v>27600</v>
      </c>
      <c r="K325" s="12">
        <f>'Engineering Cost'!K325*'Engineering Assumptions'!$B$6</f>
        <v>11160</v>
      </c>
      <c r="L325" s="13">
        <f t="shared" si="15"/>
        <v>460560</v>
      </c>
      <c r="M325" s="13">
        <f>L325*(1+'Engineering Assumptions'!$B$10)</f>
        <v>529644</v>
      </c>
    </row>
    <row r="326" spans="1:13" ht="15" customHeight="1" x14ac:dyDescent="0.3">
      <c r="A326" s="9">
        <v>302</v>
      </c>
      <c r="B326" s="46" t="s">
        <v>625</v>
      </c>
      <c r="C326" s="46" t="s">
        <v>626</v>
      </c>
      <c r="D326" s="46" t="s">
        <v>675</v>
      </c>
      <c r="E326" s="46" t="s">
        <v>676</v>
      </c>
      <c r="F326" s="48" t="s">
        <v>23</v>
      </c>
      <c r="G326" s="9">
        <v>5</v>
      </c>
      <c r="H326" s="12">
        <f>'Engineering Cost'!H326*'Engineering Assumptions'!$B$6</f>
        <v>343800</v>
      </c>
      <c r="I326" s="12">
        <f>IF('Engineering Cost'!I326=0,0,MAX('Engineering Cost'!I326*'Engineering Assumptions'!$B$6,'Engineering Assumptions'!$B$9))</f>
        <v>78000</v>
      </c>
      <c r="J326" s="12">
        <f>'Engineering Cost'!J326*'Engineering Assumptions'!$B$6</f>
        <v>27600</v>
      </c>
      <c r="K326" s="12">
        <f>'Engineering Cost'!K326*'Engineering Assumptions'!$B$6</f>
        <v>11160</v>
      </c>
      <c r="L326" s="13">
        <f t="shared" si="15"/>
        <v>460560</v>
      </c>
      <c r="M326" s="13">
        <f>L326*(1+'Engineering Assumptions'!$B$10)</f>
        <v>529644</v>
      </c>
    </row>
    <row r="327" spans="1:13" ht="15" customHeight="1" x14ac:dyDescent="0.3">
      <c r="A327" s="9">
        <v>303</v>
      </c>
      <c r="B327" s="46" t="s">
        <v>625</v>
      </c>
      <c r="C327" s="46" t="s">
        <v>626</v>
      </c>
      <c r="D327" s="46" t="s">
        <v>677</v>
      </c>
      <c r="E327" s="46" t="s">
        <v>678</v>
      </c>
      <c r="F327" s="48" t="s">
        <v>23</v>
      </c>
      <c r="G327" s="9">
        <v>5</v>
      </c>
      <c r="H327" s="12">
        <f>'Engineering Cost'!H327*'Engineering Assumptions'!$B$6</f>
        <v>343800</v>
      </c>
      <c r="I327" s="12">
        <f>IF('Engineering Cost'!I327=0,0,MAX('Engineering Cost'!I327*'Engineering Assumptions'!$B$6,'Engineering Assumptions'!$B$9))</f>
        <v>78000</v>
      </c>
      <c r="J327" s="12">
        <f>'Engineering Cost'!J327*'Engineering Assumptions'!$B$6</f>
        <v>27600</v>
      </c>
      <c r="K327" s="12">
        <f>'Engineering Cost'!K327*'Engineering Assumptions'!$B$6</f>
        <v>11160</v>
      </c>
      <c r="L327" s="13">
        <f t="shared" si="15"/>
        <v>460560</v>
      </c>
      <c r="M327" s="13">
        <f>L327*(1+'Engineering Assumptions'!$B$10)</f>
        <v>529644</v>
      </c>
    </row>
    <row r="328" spans="1:13" ht="15" customHeight="1" x14ac:dyDescent="0.3">
      <c r="A328" s="9">
        <v>304</v>
      </c>
      <c r="B328" s="46" t="s">
        <v>625</v>
      </c>
      <c r="C328" s="46" t="s">
        <v>626</v>
      </c>
      <c r="D328" s="46" t="s">
        <v>679</v>
      </c>
      <c r="E328" s="46" t="s">
        <v>680</v>
      </c>
      <c r="F328" s="48" t="s">
        <v>23</v>
      </c>
      <c r="G328" s="9">
        <v>5</v>
      </c>
      <c r="H328" s="12">
        <f>'Engineering Cost'!H328*'Engineering Assumptions'!$B$6</f>
        <v>343800</v>
      </c>
      <c r="I328" s="12">
        <f>IF('Engineering Cost'!I328=0,0,MAX('Engineering Cost'!I328*'Engineering Assumptions'!$B$6,'Engineering Assumptions'!$B$9))</f>
        <v>78000</v>
      </c>
      <c r="J328" s="12">
        <f>'Engineering Cost'!J328*'Engineering Assumptions'!$B$6</f>
        <v>27600</v>
      </c>
      <c r="K328" s="12">
        <f>'Engineering Cost'!K328*'Engineering Assumptions'!$B$6</f>
        <v>11160</v>
      </c>
      <c r="L328" s="13">
        <f t="shared" si="15"/>
        <v>460560</v>
      </c>
      <c r="M328" s="13">
        <f>L328*(1+'Engineering Assumptions'!$B$10)</f>
        <v>529644</v>
      </c>
    </row>
    <row r="329" spans="1:13" ht="15" customHeight="1" x14ac:dyDescent="0.3">
      <c r="A329" s="9">
        <v>305</v>
      </c>
      <c r="B329" s="46" t="s">
        <v>625</v>
      </c>
      <c r="C329" s="46" t="s">
        <v>626</v>
      </c>
      <c r="D329" s="46" t="s">
        <v>681</v>
      </c>
      <c r="E329" s="46" t="s">
        <v>682</v>
      </c>
      <c r="F329" s="48" t="s">
        <v>23</v>
      </c>
      <c r="G329" s="9">
        <v>5</v>
      </c>
      <c r="H329" s="12">
        <f>'Engineering Cost'!H329*'Engineering Assumptions'!$B$6</f>
        <v>343800</v>
      </c>
      <c r="I329" s="12">
        <f>IF('Engineering Cost'!I329=0,0,MAX('Engineering Cost'!I329*'Engineering Assumptions'!$B$6,'Engineering Assumptions'!$B$9))</f>
        <v>78000</v>
      </c>
      <c r="J329" s="12">
        <f>'Engineering Cost'!J329*'Engineering Assumptions'!$B$6</f>
        <v>27600</v>
      </c>
      <c r="K329" s="12">
        <f>'Engineering Cost'!K329*'Engineering Assumptions'!$B$6</f>
        <v>11160</v>
      </c>
      <c r="L329" s="13">
        <f t="shared" si="15"/>
        <v>460560</v>
      </c>
      <c r="M329" s="13">
        <f>L329*(1+'Engineering Assumptions'!$B$10)</f>
        <v>529644</v>
      </c>
    </row>
    <row r="330" spans="1:13" ht="15" customHeight="1" x14ac:dyDescent="0.3">
      <c r="A330" s="9">
        <v>306</v>
      </c>
      <c r="B330" s="46" t="s">
        <v>625</v>
      </c>
      <c r="C330" s="46" t="s">
        <v>113</v>
      </c>
      <c r="D330" s="46" t="s">
        <v>683</v>
      </c>
      <c r="E330" s="46" t="s">
        <v>684</v>
      </c>
      <c r="F330" s="48" t="s">
        <v>165</v>
      </c>
      <c r="G330" s="9">
        <v>8</v>
      </c>
      <c r="H330" s="12">
        <f>'Engineering Cost'!H330*'Engineering Assumptions'!$B$6</f>
        <v>343800</v>
      </c>
      <c r="I330" s="12">
        <f>IF('Engineering Cost'!I330=0,0,MAX('Engineering Cost'!I330*'Engineering Assumptions'!$B$6,'Engineering Assumptions'!$B$9))</f>
        <v>78000</v>
      </c>
      <c r="J330" s="12">
        <f>'Engineering Cost'!J330*'Engineering Assumptions'!$B$6</f>
        <v>34500</v>
      </c>
      <c r="K330" s="12">
        <f>'Engineering Cost'!K330*'Engineering Assumptions'!$B$6</f>
        <v>27900</v>
      </c>
      <c r="L330" s="13">
        <f t="shared" si="15"/>
        <v>484200</v>
      </c>
      <c r="M330" s="13">
        <f>L330*(1+'Engineering Assumptions'!$B$10)</f>
        <v>556830</v>
      </c>
    </row>
    <row r="331" spans="1:13" ht="15" customHeight="1" x14ac:dyDescent="0.3">
      <c r="A331" s="9">
        <v>307</v>
      </c>
      <c r="B331" s="46" t="s">
        <v>625</v>
      </c>
      <c r="C331" s="46" t="s">
        <v>113</v>
      </c>
      <c r="D331" s="46" t="s">
        <v>685</v>
      </c>
      <c r="E331" s="46" t="s">
        <v>686</v>
      </c>
      <c r="F331" s="48" t="s">
        <v>165</v>
      </c>
      <c r="G331" s="9">
        <v>8</v>
      </c>
      <c r="H331" s="12">
        <f>'Engineering Cost'!H331*'Engineering Assumptions'!$B$6</f>
        <v>343800</v>
      </c>
      <c r="I331" s="12">
        <f>IF('Engineering Cost'!I331=0,0,MAX('Engineering Cost'!I331*'Engineering Assumptions'!$B$6,'Engineering Assumptions'!$B$9))</f>
        <v>78000</v>
      </c>
      <c r="J331" s="12">
        <f>'Engineering Cost'!J331*'Engineering Assumptions'!$B$6</f>
        <v>34500</v>
      </c>
      <c r="K331" s="12">
        <f>'Engineering Cost'!K331*'Engineering Assumptions'!$B$6</f>
        <v>27900</v>
      </c>
      <c r="L331" s="13">
        <f t="shared" si="15"/>
        <v>484200</v>
      </c>
      <c r="M331" s="13">
        <f>L331*(1+'Engineering Assumptions'!$B$10)</f>
        <v>556830</v>
      </c>
    </row>
    <row r="332" spans="1:13" ht="15" customHeight="1" x14ac:dyDescent="0.3">
      <c r="A332" s="9">
        <v>308</v>
      </c>
      <c r="B332" s="46" t="s">
        <v>625</v>
      </c>
      <c r="C332" s="46" t="s">
        <v>113</v>
      </c>
      <c r="D332" s="46" t="s">
        <v>687</v>
      </c>
      <c r="E332" s="46" t="s">
        <v>688</v>
      </c>
      <c r="F332" s="48" t="s">
        <v>165</v>
      </c>
      <c r="G332" s="9">
        <v>8</v>
      </c>
      <c r="H332" s="12">
        <f>'Engineering Cost'!H332*'Engineering Assumptions'!$B$6</f>
        <v>343800</v>
      </c>
      <c r="I332" s="12">
        <f>IF('Engineering Cost'!I332=0,0,MAX('Engineering Cost'!I332*'Engineering Assumptions'!$B$6,'Engineering Assumptions'!$B$9))</f>
        <v>78000</v>
      </c>
      <c r="J332" s="12">
        <f>'Engineering Cost'!J332*'Engineering Assumptions'!$B$6</f>
        <v>34500</v>
      </c>
      <c r="K332" s="12">
        <f>'Engineering Cost'!K332*'Engineering Assumptions'!$B$6</f>
        <v>27900</v>
      </c>
      <c r="L332" s="13">
        <f t="shared" si="15"/>
        <v>484200</v>
      </c>
      <c r="M332" s="13">
        <f>L332*(1+'Engineering Assumptions'!$B$10)</f>
        <v>556830</v>
      </c>
    </row>
    <row r="333" spans="1:13" ht="15" customHeight="1" x14ac:dyDescent="0.3">
      <c r="A333" s="9">
        <v>309</v>
      </c>
      <c r="B333" s="46" t="s">
        <v>625</v>
      </c>
      <c r="C333" s="46" t="s">
        <v>113</v>
      </c>
      <c r="D333" s="46" t="s">
        <v>689</v>
      </c>
      <c r="E333" s="46" t="s">
        <v>690</v>
      </c>
      <c r="F333" s="48" t="s">
        <v>165</v>
      </c>
      <c r="G333" s="9">
        <v>8</v>
      </c>
      <c r="H333" s="12">
        <f>'Engineering Cost'!H333*'Engineering Assumptions'!$B$6</f>
        <v>343800</v>
      </c>
      <c r="I333" s="12">
        <f>IF('Engineering Cost'!I333=0,0,MAX('Engineering Cost'!I333*'Engineering Assumptions'!$B$6,'Engineering Assumptions'!$B$9))</f>
        <v>78000</v>
      </c>
      <c r="J333" s="12">
        <f>'Engineering Cost'!J333*'Engineering Assumptions'!$B$6</f>
        <v>34500</v>
      </c>
      <c r="K333" s="12">
        <f>'Engineering Cost'!K333*'Engineering Assumptions'!$B$6</f>
        <v>27900</v>
      </c>
      <c r="L333" s="13">
        <f t="shared" si="15"/>
        <v>484200</v>
      </c>
      <c r="M333" s="13">
        <f>L333*(1+'Engineering Assumptions'!$B$10)</f>
        <v>556830</v>
      </c>
    </row>
    <row r="334" spans="1:13" ht="15" customHeight="1" x14ac:dyDescent="0.3">
      <c r="A334" s="9">
        <v>310</v>
      </c>
      <c r="B334" s="46" t="s">
        <v>625</v>
      </c>
      <c r="C334" s="46" t="s">
        <v>626</v>
      </c>
      <c r="D334" s="46" t="s">
        <v>691</v>
      </c>
      <c r="E334" s="46" t="s">
        <v>692</v>
      </c>
      <c r="F334" s="48" t="s">
        <v>165</v>
      </c>
      <c r="G334" s="9">
        <v>8</v>
      </c>
      <c r="H334" s="12">
        <f>'Engineering Cost'!H334*'Engineering Assumptions'!$B$6</f>
        <v>343800</v>
      </c>
      <c r="I334" s="12">
        <f>IF('Engineering Cost'!I334=0,0,MAX('Engineering Cost'!I334*'Engineering Assumptions'!$B$6,'Engineering Assumptions'!$B$9))</f>
        <v>78000</v>
      </c>
      <c r="J334" s="12">
        <f>'Engineering Cost'!J334*'Engineering Assumptions'!$B$6</f>
        <v>34500</v>
      </c>
      <c r="K334" s="12">
        <f>'Engineering Cost'!K334*'Engineering Assumptions'!$B$6</f>
        <v>27900</v>
      </c>
      <c r="L334" s="13">
        <f t="shared" ref="L334:L365" si="16">SUM(H334:K334)</f>
        <v>484200</v>
      </c>
      <c r="M334" s="13">
        <f>L334*(1+'Engineering Assumptions'!$B$10)</f>
        <v>556830</v>
      </c>
    </row>
    <row r="335" spans="1:13" ht="15" customHeight="1" x14ac:dyDescent="0.3">
      <c r="A335" s="9">
        <v>311</v>
      </c>
      <c r="B335" s="46" t="s">
        <v>625</v>
      </c>
      <c r="C335" s="46" t="s">
        <v>693</v>
      </c>
      <c r="D335" s="46" t="s">
        <v>694</v>
      </c>
      <c r="E335" s="46" t="s">
        <v>695</v>
      </c>
      <c r="F335" s="48" t="s">
        <v>165</v>
      </c>
      <c r="G335" s="9">
        <v>8</v>
      </c>
      <c r="H335" s="12">
        <f>'Engineering Cost'!H335*'Engineering Assumptions'!$B$6</f>
        <v>343800</v>
      </c>
      <c r="I335" s="12">
        <f>IF('Engineering Cost'!I335=0,0,MAX('Engineering Cost'!I335*'Engineering Assumptions'!$B$6,'Engineering Assumptions'!$B$9))</f>
        <v>78000</v>
      </c>
      <c r="J335" s="12">
        <f>'Engineering Cost'!J335*'Engineering Assumptions'!$B$6</f>
        <v>34500</v>
      </c>
      <c r="K335" s="12">
        <f>'Engineering Cost'!K335*'Engineering Assumptions'!$B$6</f>
        <v>27900</v>
      </c>
      <c r="L335" s="13">
        <f t="shared" si="16"/>
        <v>484200</v>
      </c>
      <c r="M335" s="13">
        <f>L335*(1+'Engineering Assumptions'!$B$10)</f>
        <v>556830</v>
      </c>
    </row>
    <row r="336" spans="1:13" ht="15" customHeight="1" x14ac:dyDescent="0.3">
      <c r="A336" s="9">
        <v>312</v>
      </c>
      <c r="B336" s="46" t="s">
        <v>625</v>
      </c>
      <c r="C336" s="46" t="s">
        <v>693</v>
      </c>
      <c r="D336" s="46" t="s">
        <v>696</v>
      </c>
      <c r="E336" s="46" t="s">
        <v>697</v>
      </c>
      <c r="F336" s="48" t="s">
        <v>165</v>
      </c>
      <c r="G336" s="9">
        <v>8</v>
      </c>
      <c r="H336" s="12">
        <f>'Engineering Cost'!H336*'Engineering Assumptions'!$B$6</f>
        <v>343800</v>
      </c>
      <c r="I336" s="12">
        <f>IF('Engineering Cost'!I336=0,0,MAX('Engineering Cost'!I336*'Engineering Assumptions'!$B$6,'Engineering Assumptions'!$B$9))</f>
        <v>78000</v>
      </c>
      <c r="J336" s="12">
        <f>'Engineering Cost'!J336*'Engineering Assumptions'!$B$6</f>
        <v>34500</v>
      </c>
      <c r="K336" s="12">
        <f>'Engineering Cost'!K336*'Engineering Assumptions'!$B$6</f>
        <v>27900</v>
      </c>
      <c r="L336" s="13">
        <f t="shared" si="16"/>
        <v>484200</v>
      </c>
      <c r="M336" s="13">
        <f>L336*(1+'Engineering Assumptions'!$B$10)</f>
        <v>556830</v>
      </c>
    </row>
    <row r="337" spans="1:13" ht="15" customHeight="1" x14ac:dyDescent="0.3">
      <c r="A337" s="9">
        <v>313</v>
      </c>
      <c r="B337" s="46" t="s">
        <v>625</v>
      </c>
      <c r="C337" s="46" t="s">
        <v>693</v>
      </c>
      <c r="D337" s="46" t="s">
        <v>698</v>
      </c>
      <c r="E337" s="46" t="s">
        <v>699</v>
      </c>
      <c r="F337" s="48" t="s">
        <v>165</v>
      </c>
      <c r="G337" s="9">
        <v>8</v>
      </c>
      <c r="H337" s="12">
        <f>'Engineering Cost'!H337*'Engineering Assumptions'!$B$6</f>
        <v>343800</v>
      </c>
      <c r="I337" s="12">
        <f>IF('Engineering Cost'!I337=0,0,MAX('Engineering Cost'!I337*'Engineering Assumptions'!$B$6,'Engineering Assumptions'!$B$9))</f>
        <v>78000</v>
      </c>
      <c r="J337" s="12">
        <f>'Engineering Cost'!J337*'Engineering Assumptions'!$B$6</f>
        <v>34500</v>
      </c>
      <c r="K337" s="12">
        <f>'Engineering Cost'!K337*'Engineering Assumptions'!$B$6</f>
        <v>27900</v>
      </c>
      <c r="L337" s="13">
        <f t="shared" si="16"/>
        <v>484200</v>
      </c>
      <c r="M337" s="13">
        <f>L337*(1+'Engineering Assumptions'!$B$10)</f>
        <v>556830</v>
      </c>
    </row>
    <row r="338" spans="1:13" ht="15" customHeight="1" x14ac:dyDescent="0.3">
      <c r="A338" s="9">
        <v>314</v>
      </c>
      <c r="B338" s="46" t="s">
        <v>625</v>
      </c>
      <c r="C338" s="46" t="s">
        <v>693</v>
      </c>
      <c r="D338" s="46" t="s">
        <v>700</v>
      </c>
      <c r="E338" s="46" t="s">
        <v>701</v>
      </c>
      <c r="F338" s="48" t="s">
        <v>165</v>
      </c>
      <c r="G338" s="9">
        <v>8</v>
      </c>
      <c r="H338" s="12">
        <f>'Engineering Cost'!H338*'Engineering Assumptions'!$B$6</f>
        <v>343800</v>
      </c>
      <c r="I338" s="12">
        <f>IF('Engineering Cost'!I338=0,0,MAX('Engineering Cost'!I338*'Engineering Assumptions'!$B$6,'Engineering Assumptions'!$B$9))</f>
        <v>78000</v>
      </c>
      <c r="J338" s="12">
        <f>'Engineering Cost'!J338*'Engineering Assumptions'!$B$6</f>
        <v>34500</v>
      </c>
      <c r="K338" s="12">
        <f>'Engineering Cost'!K338*'Engineering Assumptions'!$B$6</f>
        <v>27900</v>
      </c>
      <c r="L338" s="13">
        <f t="shared" si="16"/>
        <v>484200</v>
      </c>
      <c r="M338" s="13">
        <f>L338*(1+'Engineering Assumptions'!$B$10)</f>
        <v>556830</v>
      </c>
    </row>
    <row r="339" spans="1:13" ht="15" customHeight="1" x14ac:dyDescent="0.3">
      <c r="A339" s="9">
        <v>315</v>
      </c>
      <c r="B339" s="46" t="s">
        <v>625</v>
      </c>
      <c r="C339" s="46" t="s">
        <v>693</v>
      </c>
      <c r="D339" s="46" t="s">
        <v>702</v>
      </c>
      <c r="E339" s="46" t="s">
        <v>703</v>
      </c>
      <c r="F339" s="48" t="s">
        <v>165</v>
      </c>
      <c r="G339" s="9">
        <v>8</v>
      </c>
      <c r="H339" s="12">
        <f>'Engineering Cost'!H339*'Engineering Assumptions'!$B$6</f>
        <v>343800</v>
      </c>
      <c r="I339" s="12">
        <f>IF('Engineering Cost'!I339=0,0,MAX('Engineering Cost'!I339*'Engineering Assumptions'!$B$6,'Engineering Assumptions'!$B$9))</f>
        <v>78000</v>
      </c>
      <c r="J339" s="12">
        <f>'Engineering Cost'!J339*'Engineering Assumptions'!$B$6</f>
        <v>34500</v>
      </c>
      <c r="K339" s="12">
        <f>'Engineering Cost'!K339*'Engineering Assumptions'!$B$6</f>
        <v>27900</v>
      </c>
      <c r="L339" s="13">
        <f t="shared" si="16"/>
        <v>484200</v>
      </c>
      <c r="M339" s="13">
        <f>L339*(1+'Engineering Assumptions'!$B$10)</f>
        <v>556830</v>
      </c>
    </row>
    <row r="340" spans="1:13" ht="15" customHeight="1" x14ac:dyDescent="0.3">
      <c r="A340" s="9">
        <v>316</v>
      </c>
      <c r="B340" s="46" t="s">
        <v>625</v>
      </c>
      <c r="C340" s="46" t="s">
        <v>693</v>
      </c>
      <c r="D340" s="46" t="s">
        <v>704</v>
      </c>
      <c r="E340" s="46" t="s">
        <v>705</v>
      </c>
      <c r="F340" s="48" t="s">
        <v>165</v>
      </c>
      <c r="G340" s="9">
        <v>8</v>
      </c>
      <c r="H340" s="12">
        <f>'Engineering Cost'!H340*'Engineering Assumptions'!$B$6</f>
        <v>343800</v>
      </c>
      <c r="I340" s="12">
        <f>IF('Engineering Cost'!I340=0,0,MAX('Engineering Cost'!I340*'Engineering Assumptions'!$B$6,'Engineering Assumptions'!$B$9))</f>
        <v>78000</v>
      </c>
      <c r="J340" s="12">
        <f>'Engineering Cost'!J340*'Engineering Assumptions'!$B$6</f>
        <v>34500</v>
      </c>
      <c r="K340" s="12">
        <f>'Engineering Cost'!K340*'Engineering Assumptions'!$B$6</f>
        <v>27900</v>
      </c>
      <c r="L340" s="13">
        <f t="shared" si="16"/>
        <v>484200</v>
      </c>
      <c r="M340" s="13">
        <f>L340*(1+'Engineering Assumptions'!$B$10)</f>
        <v>556830</v>
      </c>
    </row>
    <row r="341" spans="1:13" ht="15" customHeight="1" x14ac:dyDescent="0.3">
      <c r="A341" s="9">
        <v>317</v>
      </c>
      <c r="B341" s="46" t="s">
        <v>625</v>
      </c>
      <c r="C341" s="46" t="s">
        <v>693</v>
      </c>
      <c r="D341" s="46" t="s">
        <v>706</v>
      </c>
      <c r="E341" s="46" t="s">
        <v>707</v>
      </c>
      <c r="F341" s="48" t="s">
        <v>165</v>
      </c>
      <c r="G341" s="9">
        <v>8</v>
      </c>
      <c r="H341" s="12">
        <f>'Engineering Cost'!H341*'Engineering Assumptions'!$B$6</f>
        <v>343800</v>
      </c>
      <c r="I341" s="12">
        <f>IF('Engineering Cost'!I341=0,0,MAX('Engineering Cost'!I341*'Engineering Assumptions'!$B$6,'Engineering Assumptions'!$B$9))</f>
        <v>78000</v>
      </c>
      <c r="J341" s="12">
        <f>'Engineering Cost'!J341*'Engineering Assumptions'!$B$6</f>
        <v>34500</v>
      </c>
      <c r="K341" s="12">
        <f>'Engineering Cost'!K341*'Engineering Assumptions'!$B$6</f>
        <v>27900</v>
      </c>
      <c r="L341" s="13">
        <f t="shared" si="16"/>
        <v>484200</v>
      </c>
      <c r="M341" s="13">
        <f>L341*(1+'Engineering Assumptions'!$B$10)</f>
        <v>556830</v>
      </c>
    </row>
    <row r="342" spans="1:13" ht="15" customHeight="1" x14ac:dyDescent="0.3">
      <c r="A342" s="9">
        <v>318</v>
      </c>
      <c r="B342" s="46" t="s">
        <v>625</v>
      </c>
      <c r="C342" s="46" t="s">
        <v>693</v>
      </c>
      <c r="D342" s="46" t="s">
        <v>708</v>
      </c>
      <c r="E342" s="46" t="s">
        <v>709</v>
      </c>
      <c r="F342" s="48" t="s">
        <v>165</v>
      </c>
      <c r="G342" s="9">
        <v>8</v>
      </c>
      <c r="H342" s="12">
        <f>'Engineering Cost'!H342*'Engineering Assumptions'!$B$6</f>
        <v>343800</v>
      </c>
      <c r="I342" s="12">
        <f>IF('Engineering Cost'!I342=0,0,MAX('Engineering Cost'!I342*'Engineering Assumptions'!$B$6,'Engineering Assumptions'!$B$9))</f>
        <v>78000</v>
      </c>
      <c r="J342" s="12">
        <f>'Engineering Cost'!J342*'Engineering Assumptions'!$B$6</f>
        <v>34500</v>
      </c>
      <c r="K342" s="12">
        <f>'Engineering Cost'!K342*'Engineering Assumptions'!$B$6</f>
        <v>27900</v>
      </c>
      <c r="L342" s="13">
        <f t="shared" si="16"/>
        <v>484200</v>
      </c>
      <c r="M342" s="13">
        <f>L342*(1+'Engineering Assumptions'!$B$10)</f>
        <v>556830</v>
      </c>
    </row>
    <row r="343" spans="1:13" ht="15" customHeight="1" x14ac:dyDescent="0.3">
      <c r="A343" s="9">
        <v>319</v>
      </c>
      <c r="B343" s="46" t="s">
        <v>625</v>
      </c>
      <c r="C343" s="46" t="s">
        <v>693</v>
      </c>
      <c r="D343" s="46" t="s">
        <v>710</v>
      </c>
      <c r="E343" s="46" t="s">
        <v>711</v>
      </c>
      <c r="F343" s="48" t="s">
        <v>165</v>
      </c>
      <c r="G343" s="9">
        <v>8</v>
      </c>
      <c r="H343" s="12">
        <f>'Engineering Cost'!H343*'Engineering Assumptions'!$B$6</f>
        <v>343800</v>
      </c>
      <c r="I343" s="12">
        <f>IF('Engineering Cost'!I343=0,0,MAX('Engineering Cost'!I343*'Engineering Assumptions'!$B$6,'Engineering Assumptions'!$B$9))</f>
        <v>78000</v>
      </c>
      <c r="J343" s="12">
        <f>'Engineering Cost'!J343*'Engineering Assumptions'!$B$6</f>
        <v>34500</v>
      </c>
      <c r="K343" s="12">
        <f>'Engineering Cost'!K343*'Engineering Assumptions'!$B$6</f>
        <v>27900</v>
      </c>
      <c r="L343" s="13">
        <f t="shared" si="16"/>
        <v>484200</v>
      </c>
      <c r="M343" s="13">
        <f>L343*(1+'Engineering Assumptions'!$B$10)</f>
        <v>556830</v>
      </c>
    </row>
    <row r="344" spans="1:13" ht="15" customHeight="1" x14ac:dyDescent="0.3">
      <c r="A344" s="9">
        <v>320</v>
      </c>
      <c r="B344" s="46" t="s">
        <v>625</v>
      </c>
      <c r="C344" s="46" t="s">
        <v>693</v>
      </c>
      <c r="D344" s="46" t="s">
        <v>712</v>
      </c>
      <c r="E344" s="46" t="s">
        <v>713</v>
      </c>
      <c r="F344" s="48" t="s">
        <v>165</v>
      </c>
      <c r="G344" s="9">
        <v>8</v>
      </c>
      <c r="H344" s="12">
        <f>'Engineering Cost'!H344*'Engineering Assumptions'!$B$6</f>
        <v>343800</v>
      </c>
      <c r="I344" s="12">
        <f>IF('Engineering Cost'!I344=0,0,MAX('Engineering Cost'!I344*'Engineering Assumptions'!$B$6,'Engineering Assumptions'!$B$9))</f>
        <v>78000</v>
      </c>
      <c r="J344" s="12">
        <f>'Engineering Cost'!J344*'Engineering Assumptions'!$B$6</f>
        <v>34500</v>
      </c>
      <c r="K344" s="12">
        <f>'Engineering Cost'!K344*'Engineering Assumptions'!$B$6</f>
        <v>27900</v>
      </c>
      <c r="L344" s="13">
        <f t="shared" si="16"/>
        <v>484200</v>
      </c>
      <c r="M344" s="13">
        <f>L344*(1+'Engineering Assumptions'!$B$10)</f>
        <v>556830</v>
      </c>
    </row>
    <row r="345" spans="1:13" ht="15" customHeight="1" x14ac:dyDescent="0.3">
      <c r="A345" s="9">
        <v>321</v>
      </c>
      <c r="B345" s="46" t="s">
        <v>625</v>
      </c>
      <c r="C345" s="46" t="s">
        <v>693</v>
      </c>
      <c r="D345" s="46" t="s">
        <v>714</v>
      </c>
      <c r="E345" s="46" t="s">
        <v>715</v>
      </c>
      <c r="F345" s="48" t="s">
        <v>165</v>
      </c>
      <c r="G345" s="9">
        <v>8</v>
      </c>
      <c r="H345" s="12">
        <f>'Engineering Cost'!H345*'Engineering Assumptions'!$B$6</f>
        <v>343800</v>
      </c>
      <c r="I345" s="12">
        <f>IF('Engineering Cost'!I345=0,0,MAX('Engineering Cost'!I345*'Engineering Assumptions'!$B$6,'Engineering Assumptions'!$B$9))</f>
        <v>78000</v>
      </c>
      <c r="J345" s="12">
        <f>'Engineering Cost'!J345*'Engineering Assumptions'!$B$6</f>
        <v>34500</v>
      </c>
      <c r="K345" s="12">
        <f>'Engineering Cost'!K345*'Engineering Assumptions'!$B$6</f>
        <v>27900</v>
      </c>
      <c r="L345" s="13">
        <f t="shared" si="16"/>
        <v>484200</v>
      </c>
      <c r="M345" s="13">
        <f>L345*(1+'Engineering Assumptions'!$B$10)</f>
        <v>556830</v>
      </c>
    </row>
    <row r="346" spans="1:13" ht="15" customHeight="1" x14ac:dyDescent="0.3">
      <c r="A346" s="9">
        <v>322</v>
      </c>
      <c r="B346" s="46" t="s">
        <v>625</v>
      </c>
      <c r="C346" s="46" t="s">
        <v>716</v>
      </c>
      <c r="D346" s="46" t="s">
        <v>717</v>
      </c>
      <c r="E346" s="46" t="s">
        <v>718</v>
      </c>
      <c r="F346" s="48" t="s">
        <v>116</v>
      </c>
      <c r="G346" s="9">
        <v>9</v>
      </c>
      <c r="H346" s="12">
        <f>'Engineering Cost'!H346*'Engineering Assumptions'!$B$6</f>
        <v>343800</v>
      </c>
      <c r="I346" s="12">
        <f>IF('Engineering Cost'!I346=0,0,MAX('Engineering Cost'!I346*'Engineering Assumptions'!$B$6,'Engineering Assumptions'!$B$9))</f>
        <v>78000</v>
      </c>
      <c r="J346" s="12">
        <f>'Engineering Cost'!J346*'Engineering Assumptions'!$B$6</f>
        <v>34500</v>
      </c>
      <c r="K346" s="12">
        <f>'Engineering Cost'!K346*'Engineering Assumptions'!$B$6</f>
        <v>27900</v>
      </c>
      <c r="L346" s="13">
        <f t="shared" si="16"/>
        <v>484200</v>
      </c>
      <c r="M346" s="13">
        <f>L346*(1+'Engineering Assumptions'!$B$10)</f>
        <v>556830</v>
      </c>
    </row>
    <row r="347" spans="1:13" ht="15" customHeight="1" x14ac:dyDescent="0.3">
      <c r="A347" s="9">
        <v>323</v>
      </c>
      <c r="B347" s="46" t="s">
        <v>625</v>
      </c>
      <c r="C347" s="46" t="s">
        <v>719</v>
      </c>
      <c r="D347" s="46" t="s">
        <v>720</v>
      </c>
      <c r="E347" s="46" t="s">
        <v>721</v>
      </c>
      <c r="F347" s="48" t="s">
        <v>49</v>
      </c>
      <c r="G347" s="9">
        <v>10</v>
      </c>
      <c r="H347" s="12">
        <f>'Engineering Cost'!H347*'Engineering Assumptions'!$B$6</f>
        <v>343800</v>
      </c>
      <c r="I347" s="12">
        <f>IF('Engineering Cost'!I347=0,0,MAX('Engineering Cost'!I347*'Engineering Assumptions'!$B$6,'Engineering Assumptions'!$B$9))</f>
        <v>78000</v>
      </c>
      <c r="J347" s="12">
        <f>'Engineering Cost'!J347*'Engineering Assumptions'!$B$6</f>
        <v>34500</v>
      </c>
      <c r="K347" s="12">
        <f>'Engineering Cost'!K347*'Engineering Assumptions'!$B$6</f>
        <v>27900</v>
      </c>
      <c r="L347" s="13">
        <f t="shared" si="16"/>
        <v>484200</v>
      </c>
      <c r="M347" s="13">
        <f>L347*(1+'Engineering Assumptions'!$B$10)</f>
        <v>556830</v>
      </c>
    </row>
    <row r="348" spans="1:13" ht="15" customHeight="1" x14ac:dyDescent="0.3">
      <c r="A348" s="9">
        <v>324</v>
      </c>
      <c r="B348" s="46" t="s">
        <v>625</v>
      </c>
      <c r="C348" s="46" t="s">
        <v>719</v>
      </c>
      <c r="D348" s="46" t="s">
        <v>722</v>
      </c>
      <c r="E348" s="46" t="s">
        <v>723</v>
      </c>
      <c r="F348" s="48" t="s">
        <v>49</v>
      </c>
      <c r="G348" s="9">
        <v>10</v>
      </c>
      <c r="H348" s="12">
        <f>'Engineering Cost'!H348*'Engineering Assumptions'!$B$6</f>
        <v>343800</v>
      </c>
      <c r="I348" s="12">
        <f>IF('Engineering Cost'!I348=0,0,MAX('Engineering Cost'!I348*'Engineering Assumptions'!$B$6,'Engineering Assumptions'!$B$9))</f>
        <v>78000</v>
      </c>
      <c r="J348" s="12">
        <f>'Engineering Cost'!J348*'Engineering Assumptions'!$B$6</f>
        <v>34500</v>
      </c>
      <c r="K348" s="12">
        <f>'Engineering Cost'!K348*'Engineering Assumptions'!$B$6</f>
        <v>27900</v>
      </c>
      <c r="L348" s="13">
        <f t="shared" si="16"/>
        <v>484200</v>
      </c>
      <c r="M348" s="13">
        <f>L348*(1+'Engineering Assumptions'!$B$10)</f>
        <v>556830</v>
      </c>
    </row>
    <row r="349" spans="1:13" ht="15" customHeight="1" x14ac:dyDescent="0.3">
      <c r="A349" s="9">
        <v>325</v>
      </c>
      <c r="B349" s="46" t="s">
        <v>625</v>
      </c>
      <c r="C349" s="46" t="s">
        <v>719</v>
      </c>
      <c r="D349" s="46" t="s">
        <v>724</v>
      </c>
      <c r="E349" s="46" t="s">
        <v>725</v>
      </c>
      <c r="F349" s="48" t="s">
        <v>49</v>
      </c>
      <c r="G349" s="9">
        <v>10</v>
      </c>
      <c r="H349" s="12">
        <f>'Engineering Cost'!H349*'Engineering Assumptions'!$B$6</f>
        <v>343800</v>
      </c>
      <c r="I349" s="12">
        <f>IF('Engineering Cost'!I349=0,0,MAX('Engineering Cost'!I349*'Engineering Assumptions'!$B$6,'Engineering Assumptions'!$B$9))</f>
        <v>78000</v>
      </c>
      <c r="J349" s="12">
        <f>'Engineering Cost'!J349*'Engineering Assumptions'!$B$6</f>
        <v>34500</v>
      </c>
      <c r="K349" s="12">
        <f>'Engineering Cost'!K349*'Engineering Assumptions'!$B$6</f>
        <v>27900</v>
      </c>
      <c r="L349" s="13">
        <f t="shared" si="16"/>
        <v>484200</v>
      </c>
      <c r="M349" s="13">
        <f>L349*(1+'Engineering Assumptions'!$B$10)</f>
        <v>556830</v>
      </c>
    </row>
    <row r="350" spans="1:13" ht="15" customHeight="1" x14ac:dyDescent="0.3">
      <c r="A350" s="9">
        <v>326</v>
      </c>
      <c r="B350" s="46" t="s">
        <v>625</v>
      </c>
      <c r="C350" s="46" t="s">
        <v>719</v>
      </c>
      <c r="D350" s="46" t="s">
        <v>726</v>
      </c>
      <c r="E350" s="46" t="s">
        <v>727</v>
      </c>
      <c r="F350" s="48" t="s">
        <v>49</v>
      </c>
      <c r="G350" s="9">
        <v>10</v>
      </c>
      <c r="H350" s="12">
        <f>'Engineering Cost'!H350*'Engineering Assumptions'!$B$6</f>
        <v>343800</v>
      </c>
      <c r="I350" s="12">
        <f>IF('Engineering Cost'!I350=0,0,MAX('Engineering Cost'!I350*'Engineering Assumptions'!$B$6,'Engineering Assumptions'!$B$9))</f>
        <v>78000</v>
      </c>
      <c r="J350" s="12">
        <f>'Engineering Cost'!J350*'Engineering Assumptions'!$B$6</f>
        <v>34500</v>
      </c>
      <c r="K350" s="12">
        <f>'Engineering Cost'!K350*'Engineering Assumptions'!$B$6</f>
        <v>27900</v>
      </c>
      <c r="L350" s="13">
        <f t="shared" si="16"/>
        <v>484200</v>
      </c>
      <c r="M350" s="13">
        <f>L350*(1+'Engineering Assumptions'!$B$10)</f>
        <v>556830</v>
      </c>
    </row>
    <row r="351" spans="1:13" ht="15" customHeight="1" x14ac:dyDescent="0.3">
      <c r="A351" s="9">
        <v>327</v>
      </c>
      <c r="B351" s="46" t="s">
        <v>625</v>
      </c>
      <c r="C351" s="46" t="s">
        <v>719</v>
      </c>
      <c r="D351" s="46" t="s">
        <v>728</v>
      </c>
      <c r="E351" s="46" t="s">
        <v>729</v>
      </c>
      <c r="F351" s="48" t="s">
        <v>49</v>
      </c>
      <c r="G351" s="9">
        <v>10</v>
      </c>
      <c r="H351" s="12">
        <f>'Engineering Cost'!H351*'Engineering Assumptions'!$B$6</f>
        <v>343800</v>
      </c>
      <c r="I351" s="12">
        <f>IF('Engineering Cost'!I351=0,0,MAX('Engineering Cost'!I351*'Engineering Assumptions'!$B$6,'Engineering Assumptions'!$B$9))</f>
        <v>78000</v>
      </c>
      <c r="J351" s="12">
        <f>'Engineering Cost'!J351*'Engineering Assumptions'!$B$6</f>
        <v>34500</v>
      </c>
      <c r="K351" s="12">
        <f>'Engineering Cost'!K351*'Engineering Assumptions'!$B$6</f>
        <v>27900</v>
      </c>
      <c r="L351" s="13">
        <f t="shared" si="16"/>
        <v>484200</v>
      </c>
      <c r="M351" s="13">
        <f>L351*(1+'Engineering Assumptions'!$B$10)</f>
        <v>556830</v>
      </c>
    </row>
    <row r="352" spans="1:13" ht="15" customHeight="1" x14ac:dyDescent="0.3">
      <c r="A352" s="9">
        <v>328</v>
      </c>
      <c r="B352" s="46" t="s">
        <v>625</v>
      </c>
      <c r="C352" s="46" t="s">
        <v>719</v>
      </c>
      <c r="D352" s="46" t="s">
        <v>730</v>
      </c>
      <c r="E352" s="46" t="s">
        <v>731</v>
      </c>
      <c r="F352" s="48" t="s">
        <v>49</v>
      </c>
      <c r="G352" s="9">
        <v>10</v>
      </c>
      <c r="H352" s="12">
        <f>'Engineering Cost'!H352*'Engineering Assumptions'!$B$6</f>
        <v>343800</v>
      </c>
      <c r="I352" s="12">
        <f>IF('Engineering Cost'!I352=0,0,MAX('Engineering Cost'!I352*'Engineering Assumptions'!$B$6,'Engineering Assumptions'!$B$9))</f>
        <v>78000</v>
      </c>
      <c r="J352" s="12">
        <f>'Engineering Cost'!J352*'Engineering Assumptions'!$B$6</f>
        <v>34500</v>
      </c>
      <c r="K352" s="12">
        <f>'Engineering Cost'!K352*'Engineering Assumptions'!$B$6</f>
        <v>27900</v>
      </c>
      <c r="L352" s="13">
        <f t="shared" si="16"/>
        <v>484200</v>
      </c>
      <c r="M352" s="13">
        <f>L352*(1+'Engineering Assumptions'!$B$10)</f>
        <v>556830</v>
      </c>
    </row>
    <row r="353" spans="1:13" ht="15" customHeight="1" x14ac:dyDescent="0.3">
      <c r="A353" s="9">
        <v>329</v>
      </c>
      <c r="B353" s="46" t="s">
        <v>625</v>
      </c>
      <c r="C353" s="46" t="s">
        <v>719</v>
      </c>
      <c r="D353" s="46" t="s">
        <v>732</v>
      </c>
      <c r="E353" s="46" t="s">
        <v>733</v>
      </c>
      <c r="F353" s="48" t="s">
        <v>49</v>
      </c>
      <c r="G353" s="9">
        <v>10</v>
      </c>
      <c r="H353" s="12">
        <f>'Engineering Cost'!H353*'Engineering Assumptions'!$B$6</f>
        <v>343800</v>
      </c>
      <c r="I353" s="12">
        <f>IF('Engineering Cost'!I353=0,0,MAX('Engineering Cost'!I353*'Engineering Assumptions'!$B$6,'Engineering Assumptions'!$B$9))</f>
        <v>78000</v>
      </c>
      <c r="J353" s="12">
        <f>'Engineering Cost'!J353*'Engineering Assumptions'!$B$6</f>
        <v>34500</v>
      </c>
      <c r="K353" s="12">
        <f>'Engineering Cost'!K353*'Engineering Assumptions'!$B$6</f>
        <v>27900</v>
      </c>
      <c r="L353" s="13">
        <f t="shared" si="16"/>
        <v>484200</v>
      </c>
      <c r="M353" s="13">
        <f>L353*(1+'Engineering Assumptions'!$B$10)</f>
        <v>556830</v>
      </c>
    </row>
    <row r="354" spans="1:13" ht="15" customHeight="1" x14ac:dyDescent="0.3">
      <c r="A354" s="9">
        <v>330</v>
      </c>
      <c r="B354" s="46" t="s">
        <v>625</v>
      </c>
      <c r="C354" s="46" t="s">
        <v>719</v>
      </c>
      <c r="D354" s="46" t="s">
        <v>734</v>
      </c>
      <c r="E354" s="46" t="s">
        <v>735</v>
      </c>
      <c r="F354" s="48" t="s">
        <v>49</v>
      </c>
      <c r="G354" s="9">
        <v>10</v>
      </c>
      <c r="H354" s="12">
        <f>'Engineering Cost'!H354*'Engineering Assumptions'!$B$6</f>
        <v>343800</v>
      </c>
      <c r="I354" s="12">
        <f>IF('Engineering Cost'!I354=0,0,MAX('Engineering Cost'!I354*'Engineering Assumptions'!$B$6,'Engineering Assumptions'!$B$9))</f>
        <v>78000</v>
      </c>
      <c r="J354" s="12">
        <f>'Engineering Cost'!J354*'Engineering Assumptions'!$B$6</f>
        <v>34500</v>
      </c>
      <c r="K354" s="12">
        <f>'Engineering Cost'!K354*'Engineering Assumptions'!$B$6</f>
        <v>27900</v>
      </c>
      <c r="L354" s="13">
        <f t="shared" si="16"/>
        <v>484200</v>
      </c>
      <c r="M354" s="13">
        <f>L354*(1+'Engineering Assumptions'!$B$10)</f>
        <v>556830</v>
      </c>
    </row>
    <row r="355" spans="1:13" ht="15" customHeight="1" x14ac:dyDescent="0.3">
      <c r="A355" s="9">
        <v>331</v>
      </c>
      <c r="B355" s="46" t="s">
        <v>625</v>
      </c>
      <c r="C355" s="46" t="s">
        <v>719</v>
      </c>
      <c r="D355" s="46" t="s">
        <v>736</v>
      </c>
      <c r="E355" s="46" t="s">
        <v>737</v>
      </c>
      <c r="F355" s="48" t="s">
        <v>49</v>
      </c>
      <c r="G355" s="9">
        <v>10</v>
      </c>
      <c r="H355" s="12">
        <f>'Engineering Cost'!H355*'Engineering Assumptions'!$B$6</f>
        <v>343800</v>
      </c>
      <c r="I355" s="12">
        <f>IF('Engineering Cost'!I355=0,0,MAX('Engineering Cost'!I355*'Engineering Assumptions'!$B$6,'Engineering Assumptions'!$B$9))</f>
        <v>78000</v>
      </c>
      <c r="J355" s="12">
        <f>'Engineering Cost'!J355*'Engineering Assumptions'!$B$6</f>
        <v>34500</v>
      </c>
      <c r="K355" s="12">
        <f>'Engineering Cost'!K355*'Engineering Assumptions'!$B$6</f>
        <v>27900</v>
      </c>
      <c r="L355" s="13">
        <f t="shared" si="16"/>
        <v>484200</v>
      </c>
      <c r="M355" s="13">
        <f>L355*(1+'Engineering Assumptions'!$B$10)</f>
        <v>556830</v>
      </c>
    </row>
    <row r="356" spans="1:13" ht="15" customHeight="1" x14ac:dyDescent="0.3">
      <c r="A356" s="9">
        <v>332</v>
      </c>
      <c r="B356" s="46" t="s">
        <v>625</v>
      </c>
      <c r="C356" s="46" t="s">
        <v>719</v>
      </c>
      <c r="D356" s="46" t="s">
        <v>738</v>
      </c>
      <c r="E356" s="46" t="s">
        <v>739</v>
      </c>
      <c r="F356" s="48" t="s">
        <v>49</v>
      </c>
      <c r="G356" s="9">
        <v>10</v>
      </c>
      <c r="H356" s="12">
        <f>'Engineering Cost'!H356*'Engineering Assumptions'!$B$6</f>
        <v>343800</v>
      </c>
      <c r="I356" s="12">
        <f>IF('Engineering Cost'!I356=0,0,MAX('Engineering Cost'!I356*'Engineering Assumptions'!$B$6,'Engineering Assumptions'!$B$9))</f>
        <v>78000</v>
      </c>
      <c r="J356" s="12">
        <f>'Engineering Cost'!J356*'Engineering Assumptions'!$B$6</f>
        <v>34500</v>
      </c>
      <c r="K356" s="12">
        <f>'Engineering Cost'!K356*'Engineering Assumptions'!$B$6</f>
        <v>27900</v>
      </c>
      <c r="L356" s="13">
        <f t="shared" si="16"/>
        <v>484200</v>
      </c>
      <c r="M356" s="13">
        <f>L356*(1+'Engineering Assumptions'!$B$10)</f>
        <v>556830</v>
      </c>
    </row>
    <row r="357" spans="1:13" ht="15" customHeight="1" x14ac:dyDescent="0.3">
      <c r="A357" s="9">
        <v>333</v>
      </c>
      <c r="B357" s="46" t="s">
        <v>625</v>
      </c>
      <c r="C357" s="46" t="s">
        <v>693</v>
      </c>
      <c r="D357" s="46" t="s">
        <v>740</v>
      </c>
      <c r="E357" s="46" t="s">
        <v>741</v>
      </c>
      <c r="F357" s="48" t="s">
        <v>49</v>
      </c>
      <c r="G357" s="9">
        <v>10</v>
      </c>
      <c r="H357" s="12">
        <f>'Engineering Cost'!H357*'Engineering Assumptions'!$B$6</f>
        <v>343800</v>
      </c>
      <c r="I357" s="12">
        <f>IF('Engineering Cost'!I357=0,0,MAX('Engineering Cost'!I357*'Engineering Assumptions'!$B$6,'Engineering Assumptions'!$B$9))</f>
        <v>78000</v>
      </c>
      <c r="J357" s="12">
        <f>'Engineering Cost'!J357*'Engineering Assumptions'!$B$6</f>
        <v>34500</v>
      </c>
      <c r="K357" s="12">
        <f>'Engineering Cost'!K357*'Engineering Assumptions'!$B$6</f>
        <v>27900</v>
      </c>
      <c r="L357" s="13">
        <f t="shared" si="16"/>
        <v>484200</v>
      </c>
      <c r="M357" s="13">
        <f>L357*(1+'Engineering Assumptions'!$B$10)</f>
        <v>556830</v>
      </c>
    </row>
    <row r="358" spans="1:13" ht="15" customHeight="1" x14ac:dyDescent="0.3">
      <c r="A358" s="9">
        <v>334</v>
      </c>
      <c r="B358" s="46" t="s">
        <v>625</v>
      </c>
      <c r="C358" s="46" t="s">
        <v>693</v>
      </c>
      <c r="D358" s="46" t="s">
        <v>742</v>
      </c>
      <c r="E358" s="46" t="s">
        <v>743</v>
      </c>
      <c r="F358" s="48" t="s">
        <v>49</v>
      </c>
      <c r="G358" s="9">
        <v>10</v>
      </c>
      <c r="H358" s="12">
        <f>'Engineering Cost'!H358*'Engineering Assumptions'!$B$6</f>
        <v>343800</v>
      </c>
      <c r="I358" s="12">
        <f>IF('Engineering Cost'!I358=0,0,MAX('Engineering Cost'!I358*'Engineering Assumptions'!$B$6,'Engineering Assumptions'!$B$9))</f>
        <v>78000</v>
      </c>
      <c r="J358" s="12">
        <f>'Engineering Cost'!J358*'Engineering Assumptions'!$B$6</f>
        <v>34500</v>
      </c>
      <c r="K358" s="12">
        <f>'Engineering Cost'!K358*'Engineering Assumptions'!$B$6</f>
        <v>27900</v>
      </c>
      <c r="L358" s="13">
        <f t="shared" si="16"/>
        <v>484200</v>
      </c>
      <c r="M358" s="13">
        <f>L358*(1+'Engineering Assumptions'!$B$10)</f>
        <v>556830</v>
      </c>
    </row>
    <row r="359" spans="1:13" ht="15" customHeight="1" x14ac:dyDescent="0.3">
      <c r="A359" s="9">
        <v>335</v>
      </c>
      <c r="B359" s="46" t="s">
        <v>625</v>
      </c>
      <c r="C359" s="46" t="s">
        <v>693</v>
      </c>
      <c r="D359" s="46" t="s">
        <v>744</v>
      </c>
      <c r="E359" s="46" t="s">
        <v>745</v>
      </c>
      <c r="F359" s="48" t="s">
        <v>49</v>
      </c>
      <c r="G359" s="9">
        <v>10</v>
      </c>
      <c r="H359" s="12">
        <f>'Engineering Cost'!H359*'Engineering Assumptions'!$B$6</f>
        <v>343800</v>
      </c>
      <c r="I359" s="12">
        <f>IF('Engineering Cost'!I359=0,0,MAX('Engineering Cost'!I359*'Engineering Assumptions'!$B$6,'Engineering Assumptions'!$B$9))</f>
        <v>78000</v>
      </c>
      <c r="J359" s="12">
        <f>'Engineering Cost'!J359*'Engineering Assumptions'!$B$6</f>
        <v>34500</v>
      </c>
      <c r="K359" s="12">
        <f>'Engineering Cost'!K359*'Engineering Assumptions'!$B$6</f>
        <v>27900</v>
      </c>
      <c r="L359" s="13">
        <f t="shared" si="16"/>
        <v>484200</v>
      </c>
      <c r="M359" s="13">
        <f>L359*(1+'Engineering Assumptions'!$B$10)</f>
        <v>556830</v>
      </c>
    </row>
    <row r="360" spans="1:13" ht="15" customHeight="1" x14ac:dyDescent="0.3">
      <c r="A360" s="9">
        <v>336</v>
      </c>
      <c r="B360" s="46" t="s">
        <v>625</v>
      </c>
      <c r="C360" s="46" t="s">
        <v>746</v>
      </c>
      <c r="D360" s="46" t="s">
        <v>747</v>
      </c>
      <c r="E360" s="46" t="s">
        <v>748</v>
      </c>
      <c r="F360" s="48" t="s">
        <v>99</v>
      </c>
      <c r="G360" s="9">
        <v>13</v>
      </c>
      <c r="H360" s="12">
        <f>'Engineering Cost'!H360*'Engineering Assumptions'!$B$6</f>
        <v>343800</v>
      </c>
      <c r="I360" s="12">
        <f>IF('Engineering Cost'!I360=0,0,MAX('Engineering Cost'!I360*'Engineering Assumptions'!$B$6,'Engineering Assumptions'!$B$9))</f>
        <v>78000</v>
      </c>
      <c r="J360" s="12">
        <f>'Engineering Cost'!J360*'Engineering Assumptions'!$B$6</f>
        <v>42780</v>
      </c>
      <c r="K360" s="12">
        <f>'Engineering Cost'!K360*'Engineering Assumptions'!$B$6</f>
        <v>50220</v>
      </c>
      <c r="L360" s="13">
        <f t="shared" si="16"/>
        <v>514800</v>
      </c>
      <c r="M360" s="13">
        <f>L360*(1+'Engineering Assumptions'!$B$10)</f>
        <v>592020</v>
      </c>
    </row>
    <row r="361" spans="1:13" ht="15" customHeight="1" x14ac:dyDescent="0.3">
      <c r="A361" s="9">
        <v>337</v>
      </c>
      <c r="B361" s="46" t="s">
        <v>625</v>
      </c>
      <c r="C361" s="46" t="s">
        <v>749</v>
      </c>
      <c r="D361" s="46" t="s">
        <v>750</v>
      </c>
      <c r="E361" s="46" t="s">
        <v>751</v>
      </c>
      <c r="F361" s="48" t="s">
        <v>99</v>
      </c>
      <c r="G361" s="9">
        <v>13</v>
      </c>
      <c r="H361" s="12">
        <f>'Engineering Cost'!H361*'Engineering Assumptions'!$B$6</f>
        <v>343800</v>
      </c>
      <c r="I361" s="12">
        <f>IF('Engineering Cost'!I361=0,0,MAX('Engineering Cost'!I361*'Engineering Assumptions'!$B$6,'Engineering Assumptions'!$B$9))</f>
        <v>78000</v>
      </c>
      <c r="J361" s="12">
        <f>'Engineering Cost'!J361*'Engineering Assumptions'!$B$6</f>
        <v>42780</v>
      </c>
      <c r="K361" s="12">
        <f>'Engineering Cost'!K361*'Engineering Assumptions'!$B$6</f>
        <v>50220</v>
      </c>
      <c r="L361" s="13">
        <f t="shared" si="16"/>
        <v>514800</v>
      </c>
      <c r="M361" s="13">
        <f>L361*(1+'Engineering Assumptions'!$B$10)</f>
        <v>592020</v>
      </c>
    </row>
    <row r="362" spans="1:13" ht="27.75" customHeight="1" x14ac:dyDescent="0.3">
      <c r="A362" s="9">
        <v>338</v>
      </c>
      <c r="B362" s="46" t="s">
        <v>625</v>
      </c>
      <c r="C362" s="46" t="s">
        <v>752</v>
      </c>
      <c r="D362" s="46" t="s">
        <v>753</v>
      </c>
      <c r="E362" s="46" t="s">
        <v>754</v>
      </c>
      <c r="F362" s="48" t="s">
        <v>66</v>
      </c>
      <c r="G362" s="9">
        <v>14</v>
      </c>
      <c r="H362" s="12">
        <f>'Engineering Cost'!H362*'Engineering Assumptions'!$B$6</f>
        <v>343800</v>
      </c>
      <c r="I362" s="12">
        <f>IF('Engineering Cost'!I362=0,0,MAX('Engineering Cost'!I362*'Engineering Assumptions'!$B$6,'Engineering Assumptions'!$B$9))</f>
        <v>78000</v>
      </c>
      <c r="J362" s="12">
        <f>'Engineering Cost'!J362*'Engineering Assumptions'!$B$6</f>
        <v>42780</v>
      </c>
      <c r="K362" s="12">
        <f>'Engineering Cost'!K362*'Engineering Assumptions'!$B$6</f>
        <v>50220</v>
      </c>
      <c r="L362" s="13">
        <f t="shared" si="16"/>
        <v>514800</v>
      </c>
      <c r="M362" s="13">
        <f>L362*(1+'Engineering Assumptions'!$B$10)</f>
        <v>592020</v>
      </c>
    </row>
    <row r="363" spans="1:13" ht="27.75" customHeight="1" x14ac:dyDescent="0.3">
      <c r="A363" s="9">
        <v>339</v>
      </c>
      <c r="B363" s="46" t="s">
        <v>625</v>
      </c>
      <c r="C363" s="46" t="s">
        <v>752</v>
      </c>
      <c r="D363" s="46" t="s">
        <v>755</v>
      </c>
      <c r="E363" s="46" t="s">
        <v>756</v>
      </c>
      <c r="F363" s="48" t="s">
        <v>66</v>
      </c>
      <c r="G363" s="9">
        <v>14</v>
      </c>
      <c r="H363" s="12">
        <f>'Engineering Cost'!H363*'Engineering Assumptions'!$B$6</f>
        <v>343800</v>
      </c>
      <c r="I363" s="12">
        <f>IF('Engineering Cost'!I363=0,0,MAX('Engineering Cost'!I363*'Engineering Assumptions'!$B$6,'Engineering Assumptions'!$B$9))</f>
        <v>78000</v>
      </c>
      <c r="J363" s="12">
        <f>'Engineering Cost'!J363*'Engineering Assumptions'!$B$6</f>
        <v>42780</v>
      </c>
      <c r="K363" s="12">
        <f>'Engineering Cost'!K363*'Engineering Assumptions'!$B$6</f>
        <v>50220</v>
      </c>
      <c r="L363" s="13">
        <f t="shared" si="16"/>
        <v>514800</v>
      </c>
      <c r="M363" s="13">
        <f>L363*(1+'Engineering Assumptions'!$B$10)</f>
        <v>592020</v>
      </c>
    </row>
    <row r="364" spans="1:13" ht="27.75" customHeight="1" x14ac:dyDescent="0.3">
      <c r="A364" s="9">
        <v>340</v>
      </c>
      <c r="B364" s="46" t="s">
        <v>625</v>
      </c>
      <c r="C364" s="46" t="s">
        <v>752</v>
      </c>
      <c r="D364" s="46" t="s">
        <v>757</v>
      </c>
      <c r="E364" s="46" t="s">
        <v>758</v>
      </c>
      <c r="F364" s="48" t="s">
        <v>66</v>
      </c>
      <c r="G364" s="9">
        <v>14</v>
      </c>
      <c r="H364" s="12">
        <f>'Engineering Cost'!H364*'Engineering Assumptions'!$B$6</f>
        <v>343800</v>
      </c>
      <c r="I364" s="12">
        <f>IF('Engineering Cost'!I364=0,0,MAX('Engineering Cost'!I364*'Engineering Assumptions'!$B$6,'Engineering Assumptions'!$B$9))</f>
        <v>78000</v>
      </c>
      <c r="J364" s="12">
        <f>'Engineering Cost'!J364*'Engineering Assumptions'!$B$6</f>
        <v>42780</v>
      </c>
      <c r="K364" s="12">
        <f>'Engineering Cost'!K364*'Engineering Assumptions'!$B$6</f>
        <v>50220</v>
      </c>
      <c r="L364" s="13">
        <f t="shared" si="16"/>
        <v>514800</v>
      </c>
      <c r="M364" s="13">
        <f>L364*(1+'Engineering Assumptions'!$B$10)</f>
        <v>592020</v>
      </c>
    </row>
    <row r="365" spans="1:13" ht="15" customHeight="1" x14ac:dyDescent="0.3">
      <c r="A365" s="9">
        <v>341</v>
      </c>
      <c r="B365" s="46" t="s">
        <v>625</v>
      </c>
      <c r="C365" s="46" t="s">
        <v>759</v>
      </c>
      <c r="D365" s="46" t="s">
        <v>760</v>
      </c>
      <c r="E365" s="46" t="s">
        <v>761</v>
      </c>
      <c r="F365" s="48" t="s">
        <v>66</v>
      </c>
      <c r="G365" s="9">
        <v>14</v>
      </c>
      <c r="H365" s="12">
        <f>'Engineering Cost'!H365*'Engineering Assumptions'!$B$6</f>
        <v>343800</v>
      </c>
      <c r="I365" s="12">
        <f>IF('Engineering Cost'!I365=0,0,MAX('Engineering Cost'!I365*'Engineering Assumptions'!$B$6,'Engineering Assumptions'!$B$9))</f>
        <v>78000</v>
      </c>
      <c r="J365" s="12">
        <f>'Engineering Cost'!J365*'Engineering Assumptions'!$B$6</f>
        <v>42780</v>
      </c>
      <c r="K365" s="12">
        <f>'Engineering Cost'!K365*'Engineering Assumptions'!$B$6</f>
        <v>50220</v>
      </c>
      <c r="L365" s="13">
        <f t="shared" si="16"/>
        <v>514800</v>
      </c>
      <c r="M365" s="13">
        <f>L365*(1+'Engineering Assumptions'!$B$10)</f>
        <v>592020</v>
      </c>
    </row>
    <row r="366" spans="1:13" ht="15" customHeight="1" x14ac:dyDescent="0.3">
      <c r="A366" s="9">
        <v>342</v>
      </c>
      <c r="B366" s="46" t="s">
        <v>625</v>
      </c>
      <c r="C366" s="46" t="s">
        <v>759</v>
      </c>
      <c r="D366" s="46" t="s">
        <v>762</v>
      </c>
      <c r="E366" s="46" t="s">
        <v>763</v>
      </c>
      <c r="F366" s="48" t="s">
        <v>66</v>
      </c>
      <c r="G366" s="9">
        <v>14</v>
      </c>
      <c r="H366" s="12">
        <f>'Engineering Cost'!H366*'Engineering Assumptions'!$B$6</f>
        <v>343800</v>
      </c>
      <c r="I366" s="12">
        <f>IF('Engineering Cost'!I366=0,0,MAX('Engineering Cost'!I366*'Engineering Assumptions'!$B$6,'Engineering Assumptions'!$B$9))</f>
        <v>78000</v>
      </c>
      <c r="J366" s="12">
        <f>'Engineering Cost'!J366*'Engineering Assumptions'!$B$6</f>
        <v>42780</v>
      </c>
      <c r="K366" s="12">
        <f>'Engineering Cost'!K366*'Engineering Assumptions'!$B$6</f>
        <v>50220</v>
      </c>
      <c r="L366" s="13">
        <f t="shared" ref="L366:L389" si="17">SUM(H366:K366)</f>
        <v>514800</v>
      </c>
      <c r="M366" s="13">
        <f>L366*(1+'Engineering Assumptions'!$B$10)</f>
        <v>592020</v>
      </c>
    </row>
    <row r="367" spans="1:13" ht="15" customHeight="1" x14ac:dyDescent="0.3">
      <c r="A367" s="9">
        <v>343</v>
      </c>
      <c r="B367" s="46" t="s">
        <v>625</v>
      </c>
      <c r="C367" s="46" t="s">
        <v>749</v>
      </c>
      <c r="D367" s="46" t="s">
        <v>764</v>
      </c>
      <c r="E367" s="46" t="s">
        <v>765</v>
      </c>
      <c r="F367" s="48" t="s">
        <v>66</v>
      </c>
      <c r="G367" s="9">
        <v>14</v>
      </c>
      <c r="H367" s="12">
        <f>'Engineering Cost'!H367*'Engineering Assumptions'!$B$6</f>
        <v>343800</v>
      </c>
      <c r="I367" s="12">
        <f>IF('Engineering Cost'!I367=0,0,MAX('Engineering Cost'!I367*'Engineering Assumptions'!$B$6,'Engineering Assumptions'!$B$9))</f>
        <v>78000</v>
      </c>
      <c r="J367" s="12">
        <f>'Engineering Cost'!J367*'Engineering Assumptions'!$B$6</f>
        <v>42780</v>
      </c>
      <c r="K367" s="12">
        <f>'Engineering Cost'!K367*'Engineering Assumptions'!$B$6</f>
        <v>50220</v>
      </c>
      <c r="L367" s="13">
        <f t="shared" si="17"/>
        <v>514800</v>
      </c>
      <c r="M367" s="13">
        <f>L367*(1+'Engineering Assumptions'!$B$10)</f>
        <v>592020</v>
      </c>
    </row>
    <row r="368" spans="1:13" ht="15" customHeight="1" x14ac:dyDescent="0.3">
      <c r="A368" s="9">
        <v>344</v>
      </c>
      <c r="B368" s="46" t="s">
        <v>625</v>
      </c>
      <c r="C368" s="46" t="s">
        <v>749</v>
      </c>
      <c r="D368" s="46" t="s">
        <v>766</v>
      </c>
      <c r="E368" s="46" t="s">
        <v>767</v>
      </c>
      <c r="F368" s="48" t="s">
        <v>66</v>
      </c>
      <c r="G368" s="9">
        <v>14</v>
      </c>
      <c r="H368" s="12">
        <f>'Engineering Cost'!H368*'Engineering Assumptions'!$B$6</f>
        <v>343800</v>
      </c>
      <c r="I368" s="12">
        <f>IF('Engineering Cost'!I368=0,0,MAX('Engineering Cost'!I368*'Engineering Assumptions'!$B$6,'Engineering Assumptions'!$B$9))</f>
        <v>78000</v>
      </c>
      <c r="J368" s="12">
        <f>'Engineering Cost'!J368*'Engineering Assumptions'!$B$6</f>
        <v>42780</v>
      </c>
      <c r="K368" s="12">
        <f>'Engineering Cost'!K368*'Engineering Assumptions'!$B$6</f>
        <v>50220</v>
      </c>
      <c r="L368" s="13">
        <f t="shared" si="17"/>
        <v>514800</v>
      </c>
      <c r="M368" s="13">
        <f>L368*(1+'Engineering Assumptions'!$B$10)</f>
        <v>592020</v>
      </c>
    </row>
    <row r="369" spans="1:13" ht="15" customHeight="1" x14ac:dyDescent="0.3">
      <c r="A369" s="9">
        <v>345</v>
      </c>
      <c r="B369" s="46" t="s">
        <v>625</v>
      </c>
      <c r="C369" s="46" t="s">
        <v>768</v>
      </c>
      <c r="D369" s="46" t="s">
        <v>769</v>
      </c>
      <c r="E369" s="46" t="s">
        <v>770</v>
      </c>
      <c r="F369" s="48" t="s">
        <v>66</v>
      </c>
      <c r="G369" s="9">
        <v>14</v>
      </c>
      <c r="H369" s="12">
        <f>'Engineering Cost'!H369*'Engineering Assumptions'!$B$6</f>
        <v>343800</v>
      </c>
      <c r="I369" s="12">
        <f>IF('Engineering Cost'!I369=0,0,MAX('Engineering Cost'!I369*'Engineering Assumptions'!$B$6,'Engineering Assumptions'!$B$9))</f>
        <v>78000</v>
      </c>
      <c r="J369" s="12">
        <f>'Engineering Cost'!J369*'Engineering Assumptions'!$B$6</f>
        <v>42780</v>
      </c>
      <c r="K369" s="12">
        <f>'Engineering Cost'!K369*'Engineering Assumptions'!$B$6</f>
        <v>50220</v>
      </c>
      <c r="L369" s="13">
        <f t="shared" si="17"/>
        <v>514800</v>
      </c>
      <c r="M369" s="13">
        <f>L369*(1+'Engineering Assumptions'!$B$10)</f>
        <v>592020</v>
      </c>
    </row>
    <row r="370" spans="1:13" ht="15" customHeight="1" x14ac:dyDescent="0.3">
      <c r="A370" s="9">
        <v>346</v>
      </c>
      <c r="B370" s="46" t="s">
        <v>625</v>
      </c>
      <c r="C370" s="46" t="s">
        <v>768</v>
      </c>
      <c r="D370" s="46" t="s">
        <v>771</v>
      </c>
      <c r="E370" s="46" t="s">
        <v>772</v>
      </c>
      <c r="F370" s="48" t="s">
        <v>66</v>
      </c>
      <c r="G370" s="9">
        <v>14</v>
      </c>
      <c r="H370" s="12">
        <f>'Engineering Cost'!H370*'Engineering Assumptions'!$B$6</f>
        <v>343800</v>
      </c>
      <c r="I370" s="12">
        <f>IF('Engineering Cost'!I370=0,0,MAX('Engineering Cost'!I370*'Engineering Assumptions'!$B$6,'Engineering Assumptions'!$B$9))</f>
        <v>78000</v>
      </c>
      <c r="J370" s="12">
        <f>'Engineering Cost'!J370*'Engineering Assumptions'!$B$6</f>
        <v>42780</v>
      </c>
      <c r="K370" s="12">
        <f>'Engineering Cost'!K370*'Engineering Assumptions'!$B$6</f>
        <v>50220</v>
      </c>
      <c r="L370" s="13">
        <f t="shared" si="17"/>
        <v>514800</v>
      </c>
      <c r="M370" s="13">
        <f>L370*(1+'Engineering Assumptions'!$B$10)</f>
        <v>592020</v>
      </c>
    </row>
    <row r="371" spans="1:13" ht="15" customHeight="1" x14ac:dyDescent="0.3">
      <c r="A371" s="9">
        <v>347</v>
      </c>
      <c r="B371" s="46" t="s">
        <v>625</v>
      </c>
      <c r="C371" s="46" t="s">
        <v>719</v>
      </c>
      <c r="D371" s="46" t="s">
        <v>773</v>
      </c>
      <c r="E371" s="46" t="s">
        <v>774</v>
      </c>
      <c r="F371" s="48" t="s">
        <v>66</v>
      </c>
      <c r="G371" s="9">
        <v>14</v>
      </c>
      <c r="H371" s="12">
        <f>'Engineering Cost'!H371*'Engineering Assumptions'!$B$6</f>
        <v>343800</v>
      </c>
      <c r="I371" s="12">
        <f>IF('Engineering Cost'!I371=0,0,MAX('Engineering Cost'!I371*'Engineering Assumptions'!$B$6,'Engineering Assumptions'!$B$9))</f>
        <v>78000</v>
      </c>
      <c r="J371" s="12">
        <f>'Engineering Cost'!J371*'Engineering Assumptions'!$B$6</f>
        <v>42780</v>
      </c>
      <c r="K371" s="12">
        <f>'Engineering Cost'!K371*'Engineering Assumptions'!$B$6</f>
        <v>50220</v>
      </c>
      <c r="L371" s="13">
        <f t="shared" si="17"/>
        <v>514800</v>
      </c>
      <c r="M371" s="13">
        <f>L371*(1+'Engineering Assumptions'!$B$10)</f>
        <v>592020</v>
      </c>
    </row>
    <row r="372" spans="1:13" ht="15" customHeight="1" x14ac:dyDescent="0.3">
      <c r="A372" s="9">
        <v>348</v>
      </c>
      <c r="B372" s="46" t="s">
        <v>625</v>
      </c>
      <c r="C372" s="46" t="s">
        <v>719</v>
      </c>
      <c r="D372" s="46" t="s">
        <v>775</v>
      </c>
      <c r="E372" s="46" t="s">
        <v>776</v>
      </c>
      <c r="F372" s="48" t="s">
        <v>66</v>
      </c>
      <c r="G372" s="9">
        <v>14</v>
      </c>
      <c r="H372" s="12">
        <f>'Engineering Cost'!H372*'Engineering Assumptions'!$B$6</f>
        <v>343800</v>
      </c>
      <c r="I372" s="12">
        <f>IF('Engineering Cost'!I372=0,0,MAX('Engineering Cost'!I372*'Engineering Assumptions'!$B$6,'Engineering Assumptions'!$B$9))</f>
        <v>78000</v>
      </c>
      <c r="J372" s="12">
        <f>'Engineering Cost'!J372*'Engineering Assumptions'!$B$6</f>
        <v>42780</v>
      </c>
      <c r="K372" s="12">
        <f>'Engineering Cost'!K372*'Engineering Assumptions'!$B$6</f>
        <v>50220</v>
      </c>
      <c r="L372" s="13">
        <f t="shared" si="17"/>
        <v>514800</v>
      </c>
      <c r="M372" s="13">
        <f>L372*(1+'Engineering Assumptions'!$B$10)</f>
        <v>592020</v>
      </c>
    </row>
    <row r="373" spans="1:13" ht="15" customHeight="1" x14ac:dyDescent="0.3">
      <c r="A373" s="9">
        <v>349</v>
      </c>
      <c r="B373" s="46" t="s">
        <v>625</v>
      </c>
      <c r="C373" s="46" t="s">
        <v>759</v>
      </c>
      <c r="D373" s="46" t="s">
        <v>777</v>
      </c>
      <c r="E373" s="46" t="s">
        <v>778</v>
      </c>
      <c r="F373" s="48" t="s">
        <v>458</v>
      </c>
      <c r="G373" s="9">
        <v>15</v>
      </c>
      <c r="H373" s="12">
        <f>'Engineering Cost'!H373*'Engineering Assumptions'!$B$6</f>
        <v>343800</v>
      </c>
      <c r="I373" s="12">
        <f>IF('Engineering Cost'!I373=0,0,MAX('Engineering Cost'!I373*'Engineering Assumptions'!$B$6,'Engineering Assumptions'!$B$9))</f>
        <v>78000</v>
      </c>
      <c r="J373" s="12">
        <f>'Engineering Cost'!J373*'Engineering Assumptions'!$B$6</f>
        <v>42780</v>
      </c>
      <c r="K373" s="12">
        <f>'Engineering Cost'!K373*'Engineering Assumptions'!$B$6</f>
        <v>50220</v>
      </c>
      <c r="L373" s="13">
        <f t="shared" si="17"/>
        <v>514800</v>
      </c>
      <c r="M373" s="13">
        <f>L373*(1+'Engineering Assumptions'!$B$10)</f>
        <v>592020</v>
      </c>
    </row>
    <row r="374" spans="1:13" ht="15" customHeight="1" x14ac:dyDescent="0.3">
      <c r="A374" s="9">
        <v>350</v>
      </c>
      <c r="B374" s="46" t="s">
        <v>625</v>
      </c>
      <c r="C374" s="46" t="s">
        <v>779</v>
      </c>
      <c r="D374" s="46" t="s">
        <v>780</v>
      </c>
      <c r="E374" s="46" t="s">
        <v>781</v>
      </c>
      <c r="F374" s="48" t="s">
        <v>458</v>
      </c>
      <c r="G374" s="9">
        <v>15</v>
      </c>
      <c r="H374" s="12">
        <f>'Engineering Cost'!H374*'Engineering Assumptions'!$B$6</f>
        <v>343800</v>
      </c>
      <c r="I374" s="12">
        <f>IF('Engineering Cost'!I374=0,0,MAX('Engineering Cost'!I374*'Engineering Assumptions'!$B$6,'Engineering Assumptions'!$B$9))</f>
        <v>78000</v>
      </c>
      <c r="J374" s="12">
        <f>'Engineering Cost'!J374*'Engineering Assumptions'!$B$6</f>
        <v>42780</v>
      </c>
      <c r="K374" s="12">
        <f>'Engineering Cost'!K374*'Engineering Assumptions'!$B$6</f>
        <v>50220</v>
      </c>
      <c r="L374" s="13">
        <f t="shared" si="17"/>
        <v>514800</v>
      </c>
      <c r="M374" s="13">
        <f>L374*(1+'Engineering Assumptions'!$B$10)</f>
        <v>592020</v>
      </c>
    </row>
    <row r="375" spans="1:13" ht="15" customHeight="1" x14ac:dyDescent="0.3">
      <c r="A375" s="9">
        <v>351</v>
      </c>
      <c r="B375" s="46" t="s">
        <v>625</v>
      </c>
      <c r="C375" s="46" t="s">
        <v>779</v>
      </c>
      <c r="D375" s="46" t="s">
        <v>782</v>
      </c>
      <c r="E375" s="46" t="s">
        <v>783</v>
      </c>
      <c r="F375" s="48" t="s">
        <v>458</v>
      </c>
      <c r="G375" s="9">
        <v>15</v>
      </c>
      <c r="H375" s="12">
        <f>'Engineering Cost'!H375*'Engineering Assumptions'!$B$6</f>
        <v>343800</v>
      </c>
      <c r="I375" s="12">
        <f>IF('Engineering Cost'!I375=0,0,MAX('Engineering Cost'!I375*'Engineering Assumptions'!$B$6,'Engineering Assumptions'!$B$9))</f>
        <v>78000</v>
      </c>
      <c r="J375" s="12">
        <f>'Engineering Cost'!J375*'Engineering Assumptions'!$B$6</f>
        <v>42780</v>
      </c>
      <c r="K375" s="12">
        <f>'Engineering Cost'!K375*'Engineering Assumptions'!$B$6</f>
        <v>50220</v>
      </c>
      <c r="L375" s="13">
        <f t="shared" si="17"/>
        <v>514800</v>
      </c>
      <c r="M375" s="13">
        <f>L375*(1+'Engineering Assumptions'!$B$10)</f>
        <v>592020</v>
      </c>
    </row>
    <row r="376" spans="1:13" ht="15" customHeight="1" x14ac:dyDescent="0.3">
      <c r="A376" s="9">
        <v>352</v>
      </c>
      <c r="B376" s="46" t="s">
        <v>625</v>
      </c>
      <c r="C376" s="46" t="s">
        <v>779</v>
      </c>
      <c r="D376" s="46" t="s">
        <v>784</v>
      </c>
      <c r="E376" s="46" t="s">
        <v>785</v>
      </c>
      <c r="F376" s="48" t="s">
        <v>458</v>
      </c>
      <c r="G376" s="9">
        <v>15</v>
      </c>
      <c r="H376" s="12">
        <f>'Engineering Cost'!H376*'Engineering Assumptions'!$B$6</f>
        <v>343800</v>
      </c>
      <c r="I376" s="12">
        <f>IF('Engineering Cost'!I376=0,0,MAX('Engineering Cost'!I376*'Engineering Assumptions'!$B$6,'Engineering Assumptions'!$B$9))</f>
        <v>78000</v>
      </c>
      <c r="J376" s="12">
        <f>'Engineering Cost'!J376*'Engineering Assumptions'!$B$6</f>
        <v>42780</v>
      </c>
      <c r="K376" s="12">
        <f>'Engineering Cost'!K376*'Engineering Assumptions'!$B$6</f>
        <v>50220</v>
      </c>
      <c r="L376" s="13">
        <f t="shared" si="17"/>
        <v>514800</v>
      </c>
      <c r="M376" s="13">
        <f>L376*(1+'Engineering Assumptions'!$B$10)</f>
        <v>592020</v>
      </c>
    </row>
    <row r="377" spans="1:13" ht="15" customHeight="1" x14ac:dyDescent="0.3">
      <c r="A377" s="9">
        <v>353</v>
      </c>
      <c r="B377" s="46" t="s">
        <v>625</v>
      </c>
      <c r="C377" s="46" t="s">
        <v>779</v>
      </c>
      <c r="D377" s="46" t="s">
        <v>786</v>
      </c>
      <c r="E377" s="46" t="s">
        <v>787</v>
      </c>
      <c r="F377" s="48" t="s">
        <v>458</v>
      </c>
      <c r="G377" s="9">
        <v>15</v>
      </c>
      <c r="H377" s="12">
        <f>'Engineering Cost'!H377*'Engineering Assumptions'!$B$6</f>
        <v>343800</v>
      </c>
      <c r="I377" s="12">
        <f>IF('Engineering Cost'!I377=0,0,MAX('Engineering Cost'!I377*'Engineering Assumptions'!$B$6,'Engineering Assumptions'!$B$9))</f>
        <v>78000</v>
      </c>
      <c r="J377" s="12">
        <f>'Engineering Cost'!J377*'Engineering Assumptions'!$B$6</f>
        <v>42780</v>
      </c>
      <c r="K377" s="12">
        <f>'Engineering Cost'!K377*'Engineering Assumptions'!$B$6</f>
        <v>50220</v>
      </c>
      <c r="L377" s="13">
        <f t="shared" si="17"/>
        <v>514800</v>
      </c>
      <c r="M377" s="13">
        <f>L377*(1+'Engineering Assumptions'!$B$10)</f>
        <v>592020</v>
      </c>
    </row>
    <row r="378" spans="1:13" ht="15" customHeight="1" x14ac:dyDescent="0.3">
      <c r="A378" s="9">
        <v>354</v>
      </c>
      <c r="B378" s="46" t="s">
        <v>625</v>
      </c>
      <c r="C378" s="46" t="s">
        <v>719</v>
      </c>
      <c r="D378" s="46" t="s">
        <v>788</v>
      </c>
      <c r="E378" s="46" t="s">
        <v>789</v>
      </c>
      <c r="F378" s="48" t="s">
        <v>458</v>
      </c>
      <c r="G378" s="9">
        <v>15</v>
      </c>
      <c r="H378" s="12">
        <f>'Engineering Cost'!H378*'Engineering Assumptions'!$B$6</f>
        <v>343800</v>
      </c>
      <c r="I378" s="12">
        <f>IF('Engineering Cost'!I378=0,0,MAX('Engineering Cost'!I378*'Engineering Assumptions'!$B$6,'Engineering Assumptions'!$B$9))</f>
        <v>78000</v>
      </c>
      <c r="J378" s="12">
        <f>'Engineering Cost'!J378*'Engineering Assumptions'!$B$6</f>
        <v>42780</v>
      </c>
      <c r="K378" s="12">
        <f>'Engineering Cost'!K378*'Engineering Assumptions'!$B$6</f>
        <v>50220</v>
      </c>
      <c r="L378" s="13">
        <f t="shared" si="17"/>
        <v>514800</v>
      </c>
      <c r="M378" s="13">
        <f>L378*(1+'Engineering Assumptions'!$B$10)</f>
        <v>592020</v>
      </c>
    </row>
    <row r="379" spans="1:13" ht="15" customHeight="1" x14ac:dyDescent="0.3">
      <c r="A379" s="9">
        <v>355</v>
      </c>
      <c r="B379" s="46" t="s">
        <v>625</v>
      </c>
      <c r="C379" s="46" t="s">
        <v>719</v>
      </c>
      <c r="D379" s="46"/>
      <c r="E379" s="46"/>
      <c r="F379" s="48" t="s">
        <v>458</v>
      </c>
      <c r="G379" s="9">
        <v>15</v>
      </c>
      <c r="H379" s="12">
        <f>'Engineering Cost'!H379*'Engineering Assumptions'!$B$6</f>
        <v>343800</v>
      </c>
      <c r="I379" s="12">
        <f>IF('Engineering Cost'!I379=0,0,MAX('Engineering Cost'!I379*'Engineering Assumptions'!$B$6,'Engineering Assumptions'!$B$9))</f>
        <v>78000</v>
      </c>
      <c r="J379" s="12">
        <f>'Engineering Cost'!J379*'Engineering Assumptions'!$B$6</f>
        <v>42780</v>
      </c>
      <c r="K379" s="12">
        <f>'Engineering Cost'!K379*'Engineering Assumptions'!$B$6</f>
        <v>50220</v>
      </c>
      <c r="L379" s="13">
        <f t="shared" si="17"/>
        <v>514800</v>
      </c>
      <c r="M379" s="13">
        <f>L379*(1+'Engineering Assumptions'!$B$10)</f>
        <v>592020</v>
      </c>
    </row>
    <row r="380" spans="1:13" ht="15" customHeight="1" x14ac:dyDescent="0.3">
      <c r="A380" s="9">
        <v>356</v>
      </c>
      <c r="B380" s="46" t="s">
        <v>625</v>
      </c>
      <c r="C380" s="46" t="s">
        <v>719</v>
      </c>
      <c r="D380" s="46"/>
      <c r="E380" s="46"/>
      <c r="F380" s="48" t="s">
        <v>458</v>
      </c>
      <c r="G380" s="9">
        <v>15</v>
      </c>
      <c r="H380" s="12">
        <f>'Engineering Cost'!H380*'Engineering Assumptions'!$B$6</f>
        <v>343800</v>
      </c>
      <c r="I380" s="12">
        <f>IF('Engineering Cost'!I380=0,0,MAX('Engineering Cost'!I380*'Engineering Assumptions'!$B$6,'Engineering Assumptions'!$B$9))</f>
        <v>78000</v>
      </c>
      <c r="J380" s="12">
        <f>'Engineering Cost'!J380*'Engineering Assumptions'!$B$6</f>
        <v>42780</v>
      </c>
      <c r="K380" s="12">
        <f>'Engineering Cost'!K380*'Engineering Assumptions'!$B$6</f>
        <v>50220</v>
      </c>
      <c r="L380" s="13">
        <f t="shared" si="17"/>
        <v>514800</v>
      </c>
      <c r="M380" s="13">
        <f>L380*(1+'Engineering Assumptions'!$B$10)</f>
        <v>592020</v>
      </c>
    </row>
    <row r="381" spans="1:13" ht="15" customHeight="1" x14ac:dyDescent="0.3">
      <c r="A381" s="9">
        <v>357</v>
      </c>
      <c r="B381" s="46" t="s">
        <v>625</v>
      </c>
      <c r="C381" s="46" t="s">
        <v>719</v>
      </c>
      <c r="D381" s="46"/>
      <c r="E381" s="46"/>
      <c r="F381" s="48" t="s">
        <v>458</v>
      </c>
      <c r="G381" s="9">
        <v>15</v>
      </c>
      <c r="H381" s="12">
        <f>'Engineering Cost'!H381*'Engineering Assumptions'!$B$6</f>
        <v>343800</v>
      </c>
      <c r="I381" s="12">
        <f>IF('Engineering Cost'!I381=0,0,MAX('Engineering Cost'!I381*'Engineering Assumptions'!$B$6,'Engineering Assumptions'!$B$9))</f>
        <v>78000</v>
      </c>
      <c r="J381" s="12">
        <f>'Engineering Cost'!J381*'Engineering Assumptions'!$B$6</f>
        <v>42780</v>
      </c>
      <c r="K381" s="12">
        <f>'Engineering Cost'!K381*'Engineering Assumptions'!$B$6</f>
        <v>50220</v>
      </c>
      <c r="L381" s="13">
        <f t="shared" si="17"/>
        <v>514800</v>
      </c>
      <c r="M381" s="13">
        <f>L381*(1+'Engineering Assumptions'!$B$10)</f>
        <v>592020</v>
      </c>
    </row>
    <row r="382" spans="1:13" ht="15" customHeight="1" x14ac:dyDescent="0.3">
      <c r="A382" s="9">
        <v>358</v>
      </c>
      <c r="B382" s="46" t="s">
        <v>625</v>
      </c>
      <c r="C382" s="46" t="s">
        <v>790</v>
      </c>
      <c r="D382" s="46" t="s">
        <v>791</v>
      </c>
      <c r="E382" s="46" t="s">
        <v>792</v>
      </c>
      <c r="F382" s="48" t="s">
        <v>107</v>
      </c>
      <c r="G382" s="9">
        <v>16</v>
      </c>
      <c r="H382" s="12">
        <f>'Engineering Cost'!H382*'Engineering Assumptions'!$B$6</f>
        <v>343800</v>
      </c>
      <c r="I382" s="12">
        <f>IF('Engineering Cost'!I382=0,0,MAX('Engineering Cost'!I382*'Engineering Assumptions'!$B$6,'Engineering Assumptions'!$B$9))</f>
        <v>78000</v>
      </c>
      <c r="J382" s="12">
        <f>'Engineering Cost'!J382*'Engineering Assumptions'!$B$6</f>
        <v>53820</v>
      </c>
      <c r="K382" s="12">
        <f>'Engineering Cost'!K382*'Engineering Assumptions'!$B$6</f>
        <v>78120</v>
      </c>
      <c r="L382" s="13">
        <f t="shared" si="17"/>
        <v>553740</v>
      </c>
      <c r="M382" s="13">
        <f>L382*(1+'Engineering Assumptions'!$B$10)</f>
        <v>636801</v>
      </c>
    </row>
    <row r="383" spans="1:13" ht="15" customHeight="1" x14ac:dyDescent="0.3">
      <c r="A383" s="9">
        <v>359</v>
      </c>
      <c r="B383" s="46" t="s">
        <v>625</v>
      </c>
      <c r="C383" s="46" t="s">
        <v>759</v>
      </c>
      <c r="D383" s="46" t="s">
        <v>793</v>
      </c>
      <c r="E383" s="46" t="s">
        <v>794</v>
      </c>
      <c r="F383" s="48" t="s">
        <v>107</v>
      </c>
      <c r="G383" s="9">
        <v>16</v>
      </c>
      <c r="H383" s="12">
        <f>'Engineering Cost'!H383*'Engineering Assumptions'!$B$6</f>
        <v>343800</v>
      </c>
      <c r="I383" s="12">
        <f>IF('Engineering Cost'!I383=0,0,MAX('Engineering Cost'!I383*'Engineering Assumptions'!$B$6,'Engineering Assumptions'!$B$9))</f>
        <v>78000</v>
      </c>
      <c r="J383" s="12">
        <f>'Engineering Cost'!J383*'Engineering Assumptions'!$B$6</f>
        <v>53820</v>
      </c>
      <c r="K383" s="12">
        <f>'Engineering Cost'!K383*'Engineering Assumptions'!$B$6</f>
        <v>78120</v>
      </c>
      <c r="L383" s="13">
        <f t="shared" si="17"/>
        <v>553740</v>
      </c>
      <c r="M383" s="13">
        <f>L383*(1+'Engineering Assumptions'!$B$10)</f>
        <v>636801</v>
      </c>
    </row>
    <row r="384" spans="1:13" ht="15" customHeight="1" x14ac:dyDescent="0.3">
      <c r="A384" s="9">
        <v>360</v>
      </c>
      <c r="B384" s="46" t="s">
        <v>625</v>
      </c>
      <c r="C384" s="46" t="s">
        <v>795</v>
      </c>
      <c r="D384" s="46" t="s">
        <v>796</v>
      </c>
      <c r="E384" s="46" t="s">
        <v>797</v>
      </c>
      <c r="F384" s="48" t="s">
        <v>518</v>
      </c>
      <c r="G384" s="9">
        <v>19</v>
      </c>
      <c r="H384" s="12">
        <f>'Engineering Cost'!H384*'Engineering Assumptions'!$B$6</f>
        <v>343800</v>
      </c>
      <c r="I384" s="12">
        <f>IF('Engineering Cost'!I384=0,0,MAX('Engineering Cost'!I384*'Engineering Assumptions'!$B$6,'Engineering Assumptions'!$B$9))</f>
        <v>78000</v>
      </c>
      <c r="J384" s="12">
        <f>'Engineering Cost'!J384*'Engineering Assumptions'!$B$6</f>
        <v>53820</v>
      </c>
      <c r="K384" s="12">
        <f>'Engineering Cost'!K384*'Engineering Assumptions'!$B$6</f>
        <v>78120</v>
      </c>
      <c r="L384" s="13">
        <f t="shared" si="17"/>
        <v>553740</v>
      </c>
      <c r="M384" s="13">
        <f>L384*(1+'Engineering Assumptions'!$B$10)</f>
        <v>636801</v>
      </c>
    </row>
    <row r="385" spans="1:13" ht="15" customHeight="1" x14ac:dyDescent="0.3">
      <c r="A385" s="9">
        <v>361</v>
      </c>
      <c r="B385" s="46" t="s">
        <v>625</v>
      </c>
      <c r="C385" s="46" t="s">
        <v>798</v>
      </c>
      <c r="D385" s="46" t="s">
        <v>799</v>
      </c>
      <c r="E385" s="46" t="s">
        <v>800</v>
      </c>
      <c r="F385" s="48" t="s">
        <v>73</v>
      </c>
      <c r="G385" s="9">
        <v>20</v>
      </c>
      <c r="H385" s="12">
        <f>'Engineering Cost'!H385*'Engineering Assumptions'!$B$6</f>
        <v>343800</v>
      </c>
      <c r="I385" s="12">
        <f>IF('Engineering Cost'!I385=0,0,MAX('Engineering Cost'!I385*'Engineering Assumptions'!$B$6,'Engineering Assumptions'!$B$9))</f>
        <v>78000</v>
      </c>
      <c r="J385" s="12">
        <f>'Engineering Cost'!J385*'Engineering Assumptions'!$B$6</f>
        <v>53820</v>
      </c>
      <c r="K385" s="12">
        <f>'Engineering Cost'!K385*'Engineering Assumptions'!$B$6</f>
        <v>78120</v>
      </c>
      <c r="L385" s="13">
        <f t="shared" si="17"/>
        <v>553740</v>
      </c>
      <c r="M385" s="13">
        <f>L385*(1+'Engineering Assumptions'!$B$10)</f>
        <v>636801</v>
      </c>
    </row>
    <row r="386" spans="1:13" ht="15" customHeight="1" x14ac:dyDescent="0.3">
      <c r="A386" s="9">
        <v>362</v>
      </c>
      <c r="B386" s="46" t="s">
        <v>625</v>
      </c>
      <c r="C386" s="46" t="s">
        <v>801</v>
      </c>
      <c r="D386" s="46"/>
      <c r="E386" s="46"/>
      <c r="F386" s="48" t="s">
        <v>440</v>
      </c>
      <c r="G386" s="9">
        <v>21</v>
      </c>
      <c r="H386" s="12">
        <f>'Engineering Cost'!H386*'Engineering Assumptions'!$B$6</f>
        <v>343800</v>
      </c>
      <c r="I386" s="12">
        <f>IF('Engineering Cost'!I386=0,0,MAX('Engineering Cost'!I386*'Engineering Assumptions'!$B$6,'Engineering Assumptions'!$B$9))</f>
        <v>78000</v>
      </c>
      <c r="J386" s="12">
        <f>'Engineering Cost'!J386*'Engineering Assumptions'!$B$6</f>
        <v>66240</v>
      </c>
      <c r="K386" s="12">
        <f>'Engineering Cost'!K386*'Engineering Assumptions'!$B$6</f>
        <v>111600</v>
      </c>
      <c r="L386" s="13">
        <f t="shared" si="17"/>
        <v>599640</v>
      </c>
      <c r="M386" s="13">
        <f>L386*(1+'Engineering Assumptions'!$B$10)</f>
        <v>689586</v>
      </c>
    </row>
    <row r="387" spans="1:13" ht="15" customHeight="1" x14ac:dyDescent="0.3">
      <c r="A387" s="9">
        <v>363</v>
      </c>
      <c r="B387" s="46" t="s">
        <v>625</v>
      </c>
      <c r="C387" s="46" t="s">
        <v>798</v>
      </c>
      <c r="D387" s="46" t="s">
        <v>802</v>
      </c>
      <c r="E387" s="46" t="s">
        <v>803</v>
      </c>
      <c r="F387" s="48" t="s">
        <v>139</v>
      </c>
      <c r="G387" s="9">
        <v>23</v>
      </c>
      <c r="H387" s="12">
        <f>'Engineering Cost'!H387*'Engineering Assumptions'!$B$6</f>
        <v>343800</v>
      </c>
      <c r="I387" s="12">
        <f>IF('Engineering Cost'!I387=0,0,MAX('Engineering Cost'!I387*'Engineering Assumptions'!$B$6,'Engineering Assumptions'!$B$9))</f>
        <v>78000</v>
      </c>
      <c r="J387" s="12">
        <f>'Engineering Cost'!J387*'Engineering Assumptions'!$B$6</f>
        <v>66240</v>
      </c>
      <c r="K387" s="12">
        <f>'Engineering Cost'!K387*'Engineering Assumptions'!$B$6</f>
        <v>111600</v>
      </c>
      <c r="L387" s="13">
        <f t="shared" si="17"/>
        <v>599640</v>
      </c>
      <c r="M387" s="13">
        <f>L387*(1+'Engineering Assumptions'!$B$10)</f>
        <v>689586</v>
      </c>
    </row>
    <row r="388" spans="1:13" ht="15" customHeight="1" x14ac:dyDescent="0.3">
      <c r="A388" s="9">
        <v>364</v>
      </c>
      <c r="B388" s="46" t="s">
        <v>625</v>
      </c>
      <c r="C388" s="46" t="s">
        <v>798</v>
      </c>
      <c r="D388" s="46" t="s">
        <v>804</v>
      </c>
      <c r="E388" s="46" t="s">
        <v>805</v>
      </c>
      <c r="F388" s="48" t="s">
        <v>139</v>
      </c>
      <c r="G388" s="9">
        <v>23</v>
      </c>
      <c r="H388" s="12">
        <f>'Engineering Cost'!H388*'Engineering Assumptions'!$B$6</f>
        <v>343800</v>
      </c>
      <c r="I388" s="12">
        <f>IF('Engineering Cost'!I388=0,0,MAX('Engineering Cost'!I388*'Engineering Assumptions'!$B$6,'Engineering Assumptions'!$B$9))</f>
        <v>78000</v>
      </c>
      <c r="J388" s="12">
        <f>'Engineering Cost'!J388*'Engineering Assumptions'!$B$6</f>
        <v>66240</v>
      </c>
      <c r="K388" s="12">
        <f>'Engineering Cost'!K388*'Engineering Assumptions'!$B$6</f>
        <v>111600</v>
      </c>
      <c r="L388" s="13">
        <f t="shared" si="17"/>
        <v>599640</v>
      </c>
      <c r="M388" s="13">
        <f>L388*(1+'Engineering Assumptions'!$B$10)</f>
        <v>689586</v>
      </c>
    </row>
    <row r="389" spans="1:13" ht="27.75" customHeight="1" x14ac:dyDescent="0.3">
      <c r="A389" s="9">
        <v>365</v>
      </c>
      <c r="B389" s="46" t="s">
        <v>625</v>
      </c>
      <c r="C389" s="46" t="s">
        <v>752</v>
      </c>
      <c r="D389" s="46" t="s">
        <v>806</v>
      </c>
      <c r="E389" s="46" t="s">
        <v>807</v>
      </c>
      <c r="F389" s="48" t="s">
        <v>139</v>
      </c>
      <c r="G389" s="9">
        <v>23</v>
      </c>
      <c r="H389" s="12">
        <f>'Engineering Cost'!H389*'Engineering Assumptions'!$B$6</f>
        <v>343800</v>
      </c>
      <c r="I389" s="12">
        <f>IF('Engineering Cost'!I389=0,0,MAX('Engineering Cost'!I389*'Engineering Assumptions'!$B$6,'Engineering Assumptions'!$B$9))</f>
        <v>78000</v>
      </c>
      <c r="J389" s="12">
        <f>'Engineering Cost'!J389*'Engineering Assumptions'!$B$6</f>
        <v>66240</v>
      </c>
      <c r="K389" s="12">
        <f>'Engineering Cost'!K389*'Engineering Assumptions'!$B$6</f>
        <v>111600</v>
      </c>
      <c r="L389" s="13">
        <f t="shared" si="17"/>
        <v>599640</v>
      </c>
      <c r="M389" s="13">
        <f>L389*(1+'Engineering Assumptions'!$B$10)</f>
        <v>689586</v>
      </c>
    </row>
    <row r="390" spans="1:13" ht="15" customHeight="1" x14ac:dyDescent="0.3">
      <c r="A390" s="199" t="s">
        <v>808</v>
      </c>
      <c r="B390" s="200"/>
      <c r="C390" s="200"/>
      <c r="D390" s="200"/>
      <c r="E390" s="200"/>
      <c r="F390" s="200"/>
      <c r="G390" s="200"/>
      <c r="H390" s="200"/>
      <c r="I390" s="200"/>
      <c r="J390" s="200"/>
      <c r="K390" s="200"/>
      <c r="L390" s="200"/>
      <c r="M390" s="200"/>
    </row>
    <row r="391" spans="1:13" ht="15" customHeight="1" x14ac:dyDescent="0.3">
      <c r="A391" s="9">
        <v>366</v>
      </c>
      <c r="B391" s="46" t="s">
        <v>809</v>
      </c>
      <c r="C391" s="46" t="s">
        <v>810</v>
      </c>
      <c r="D391" s="46"/>
      <c r="E391" s="46"/>
      <c r="F391" s="48" t="s">
        <v>116</v>
      </c>
      <c r="G391" s="9">
        <v>9</v>
      </c>
      <c r="H391" s="12">
        <f>'Engineering Cost'!H391*'Engineering Assumptions'!$B$6</f>
        <v>0</v>
      </c>
      <c r="I391" s="12">
        <f>IF('Engineering Cost'!I391=0,0,MAX('Engineering Cost'!I391*'Engineering Assumptions'!$B$6,'Engineering Assumptions'!$B$9))</f>
        <v>0</v>
      </c>
      <c r="J391" s="12">
        <f>'Engineering Cost'!J391*'Engineering Assumptions'!$B$6</f>
        <v>7500</v>
      </c>
      <c r="K391" s="12">
        <f>'Engineering Cost'!K391*'Engineering Assumptions'!$B$6</f>
        <v>6300</v>
      </c>
      <c r="L391" s="13">
        <f t="shared" ref="L391:L396" si="18">SUM(H391:K391)</f>
        <v>13800</v>
      </c>
      <c r="M391" s="13">
        <f>L391*(1+'Engineering Assumptions'!$B$10)</f>
        <v>15869.999999999998</v>
      </c>
    </row>
    <row r="392" spans="1:13" ht="15" customHeight="1" x14ac:dyDescent="0.3">
      <c r="A392" s="9">
        <v>367</v>
      </c>
      <c r="B392" s="46" t="s">
        <v>809</v>
      </c>
      <c r="C392" s="46" t="s">
        <v>811</v>
      </c>
      <c r="D392" s="46"/>
      <c r="E392" s="46"/>
      <c r="F392" s="48" t="s">
        <v>116</v>
      </c>
      <c r="G392" s="9">
        <v>9</v>
      </c>
      <c r="H392" s="12">
        <f>'Engineering Cost'!H392*'Engineering Assumptions'!$B$6</f>
        <v>0</v>
      </c>
      <c r="I392" s="12">
        <f>IF('Engineering Cost'!I392=0,0,MAX('Engineering Cost'!I392*'Engineering Assumptions'!$B$6,'Engineering Assumptions'!$B$9))</f>
        <v>0</v>
      </c>
      <c r="J392" s="12">
        <f>'Engineering Cost'!J392*'Engineering Assumptions'!$B$6</f>
        <v>7500</v>
      </c>
      <c r="K392" s="12">
        <f>'Engineering Cost'!K392*'Engineering Assumptions'!$B$6</f>
        <v>6300</v>
      </c>
      <c r="L392" s="13">
        <f t="shared" si="18"/>
        <v>13800</v>
      </c>
      <c r="M392" s="13">
        <f>L392*(1+'Engineering Assumptions'!$B$10)</f>
        <v>15869.999999999998</v>
      </c>
    </row>
    <row r="393" spans="1:13" ht="15" customHeight="1" x14ac:dyDescent="0.3">
      <c r="A393" s="9">
        <v>368</v>
      </c>
      <c r="B393" s="46" t="s">
        <v>809</v>
      </c>
      <c r="C393" s="46" t="s">
        <v>811</v>
      </c>
      <c r="D393" s="46"/>
      <c r="E393" s="46"/>
      <c r="F393" s="48" t="s">
        <v>116</v>
      </c>
      <c r="G393" s="9">
        <v>9</v>
      </c>
      <c r="H393" s="12">
        <f>'Engineering Cost'!H393*'Engineering Assumptions'!$B$6</f>
        <v>0</v>
      </c>
      <c r="I393" s="12">
        <f>IF('Engineering Cost'!I393=0,0,MAX('Engineering Cost'!I393*'Engineering Assumptions'!$B$6,'Engineering Assumptions'!$B$9))</f>
        <v>0</v>
      </c>
      <c r="J393" s="12">
        <f>'Engineering Cost'!J393*'Engineering Assumptions'!$B$6</f>
        <v>7500</v>
      </c>
      <c r="K393" s="12">
        <f>'Engineering Cost'!K393*'Engineering Assumptions'!$B$6</f>
        <v>6300</v>
      </c>
      <c r="L393" s="13">
        <f t="shared" si="18"/>
        <v>13800</v>
      </c>
      <c r="M393" s="13">
        <f>L393*(1+'Engineering Assumptions'!$B$10)</f>
        <v>15869.999999999998</v>
      </c>
    </row>
    <row r="394" spans="1:13" ht="15" customHeight="1" x14ac:dyDescent="0.3">
      <c r="A394" s="9">
        <v>369</v>
      </c>
      <c r="B394" s="46" t="s">
        <v>809</v>
      </c>
      <c r="C394" s="46" t="s">
        <v>812</v>
      </c>
      <c r="D394" s="46"/>
      <c r="E394" s="46"/>
      <c r="F394" s="48" t="s">
        <v>116</v>
      </c>
      <c r="G394" s="9">
        <v>9</v>
      </c>
      <c r="H394" s="12">
        <f>'Engineering Cost'!H394*'Engineering Assumptions'!$B$6</f>
        <v>0</v>
      </c>
      <c r="I394" s="12">
        <f>IF('Engineering Cost'!I394=0,0,MAX('Engineering Cost'!I394*'Engineering Assumptions'!$B$6,'Engineering Assumptions'!$B$9))</f>
        <v>0</v>
      </c>
      <c r="J394" s="12">
        <f>'Engineering Cost'!J394*'Engineering Assumptions'!$B$6</f>
        <v>7500</v>
      </c>
      <c r="K394" s="12">
        <f>'Engineering Cost'!K394*'Engineering Assumptions'!$B$6</f>
        <v>6300</v>
      </c>
      <c r="L394" s="13">
        <f t="shared" si="18"/>
        <v>13800</v>
      </c>
      <c r="M394" s="13">
        <f>L394*(1+'Engineering Assumptions'!$B$10)</f>
        <v>15869.999999999998</v>
      </c>
    </row>
    <row r="395" spans="1:13" ht="15" customHeight="1" x14ac:dyDescent="0.3">
      <c r="A395" s="9">
        <v>370</v>
      </c>
      <c r="B395" s="46" t="s">
        <v>809</v>
      </c>
      <c r="C395" s="46" t="s">
        <v>810</v>
      </c>
      <c r="D395" s="46"/>
      <c r="E395" s="46"/>
      <c r="F395" s="48" t="s">
        <v>73</v>
      </c>
      <c r="G395" s="9">
        <v>20</v>
      </c>
      <c r="H395" s="12">
        <f>'Engineering Cost'!H395*'Engineering Assumptions'!$B$6</f>
        <v>0</v>
      </c>
      <c r="I395" s="12">
        <f>IF('Engineering Cost'!I395=0,0,MAX('Engineering Cost'!I395*'Engineering Assumptions'!$B$6,'Engineering Assumptions'!$B$9))</f>
        <v>0</v>
      </c>
      <c r="J395" s="12">
        <f>'Engineering Cost'!J395*'Engineering Assumptions'!$B$6</f>
        <v>11700</v>
      </c>
      <c r="K395" s="12">
        <f>'Engineering Cost'!K395*'Engineering Assumptions'!$B$6</f>
        <v>17640</v>
      </c>
      <c r="L395" s="13">
        <f t="shared" si="18"/>
        <v>29340</v>
      </c>
      <c r="M395" s="13">
        <f>L395*(1+'Engineering Assumptions'!$B$10)</f>
        <v>33741</v>
      </c>
    </row>
    <row r="396" spans="1:13" ht="15" customHeight="1" x14ac:dyDescent="0.3">
      <c r="A396" s="9">
        <v>371</v>
      </c>
      <c r="B396" s="46" t="s">
        <v>809</v>
      </c>
      <c r="C396" s="46" t="s">
        <v>810</v>
      </c>
      <c r="D396" s="46"/>
      <c r="E396" s="46"/>
      <c r="F396" s="48" t="s">
        <v>73</v>
      </c>
      <c r="G396" s="9">
        <v>20</v>
      </c>
      <c r="H396" s="12">
        <f>'Engineering Cost'!H396*'Engineering Assumptions'!$B$6</f>
        <v>0</v>
      </c>
      <c r="I396" s="12">
        <f>IF('Engineering Cost'!I396=0,0,MAX('Engineering Cost'!I396*'Engineering Assumptions'!$B$6,'Engineering Assumptions'!$B$9))</f>
        <v>0</v>
      </c>
      <c r="J396" s="12">
        <f>'Engineering Cost'!J396*'Engineering Assumptions'!$B$6</f>
        <v>11700</v>
      </c>
      <c r="K396" s="12">
        <f>'Engineering Cost'!K396*'Engineering Assumptions'!$B$6</f>
        <v>17640</v>
      </c>
      <c r="L396" s="13">
        <f t="shared" si="18"/>
        <v>29340</v>
      </c>
      <c r="M396" s="13">
        <f>L396*(1+'Engineering Assumptions'!$B$10)</f>
        <v>33741</v>
      </c>
    </row>
    <row r="397" spans="1:13" ht="15" customHeight="1" x14ac:dyDescent="0.3">
      <c r="A397" s="199" t="s">
        <v>813</v>
      </c>
      <c r="B397" s="200"/>
      <c r="C397" s="200"/>
      <c r="D397" s="200"/>
      <c r="E397" s="200"/>
      <c r="F397" s="200"/>
      <c r="G397" s="200"/>
      <c r="H397" s="200"/>
      <c r="I397" s="200"/>
      <c r="J397" s="200"/>
      <c r="K397" s="200"/>
      <c r="L397" s="200"/>
      <c r="M397" s="200"/>
    </row>
    <row r="398" spans="1:13" ht="15" customHeight="1" x14ac:dyDescent="0.3">
      <c r="A398" s="9">
        <v>372</v>
      </c>
      <c r="B398" s="46" t="s">
        <v>814</v>
      </c>
      <c r="C398" s="46" t="s">
        <v>815</v>
      </c>
      <c r="D398" s="46"/>
      <c r="E398" s="46"/>
      <c r="F398" s="48" t="s">
        <v>458</v>
      </c>
      <c r="G398" s="9">
        <v>15</v>
      </c>
      <c r="H398" s="12">
        <f>'Engineering Cost'!H398*'Engineering Assumptions'!$B$6</f>
        <v>0</v>
      </c>
      <c r="I398" s="12">
        <f>IF('Engineering Cost'!I398=0,0,MAX('Engineering Cost'!I398*'Engineering Assumptions'!$B$6,'Engineering Assumptions'!$B$9))</f>
        <v>0</v>
      </c>
      <c r="J398" s="12">
        <f>'Engineering Cost'!J398*'Engineering Assumptions'!$B$6</f>
        <v>11160</v>
      </c>
      <c r="K398" s="12">
        <f>'Engineering Cost'!K398*'Engineering Assumptions'!$B$6</f>
        <v>12960</v>
      </c>
      <c r="L398" s="13">
        <f>SUM(H398:K398)</f>
        <v>24120</v>
      </c>
      <c r="M398" s="13">
        <f>L398*(1+'Engineering Assumptions'!$B$10)</f>
        <v>27737.999999999996</v>
      </c>
    </row>
    <row r="399" spans="1:13" ht="15" customHeight="1" x14ac:dyDescent="0.3">
      <c r="A399" s="9">
        <v>373</v>
      </c>
      <c r="B399" s="46" t="s">
        <v>814</v>
      </c>
      <c r="C399" s="46" t="s">
        <v>816</v>
      </c>
      <c r="D399" s="46"/>
      <c r="E399" s="46"/>
      <c r="F399" s="48" t="s">
        <v>139</v>
      </c>
      <c r="G399" s="9">
        <v>23</v>
      </c>
      <c r="H399" s="12">
        <f>'Engineering Cost'!H399*'Engineering Assumptions'!$B$6</f>
        <v>0</v>
      </c>
      <c r="I399" s="12">
        <f>IF('Engineering Cost'!I399=0,0,MAX('Engineering Cost'!I399*'Engineering Assumptions'!$B$6,'Engineering Assumptions'!$B$9))</f>
        <v>0</v>
      </c>
      <c r="J399" s="12">
        <f>'Engineering Cost'!J399*'Engineering Assumptions'!$B$6</f>
        <v>17280</v>
      </c>
      <c r="K399" s="12">
        <f>'Engineering Cost'!K399*'Engineering Assumptions'!$B$6</f>
        <v>28800</v>
      </c>
      <c r="L399" s="13">
        <f>SUM(H399:K399)</f>
        <v>46080</v>
      </c>
      <c r="M399" s="13">
        <f>L399*(1+'Engineering Assumptions'!$B$10)</f>
        <v>52991.999999999993</v>
      </c>
    </row>
    <row r="400" spans="1:13" ht="15" customHeight="1" x14ac:dyDescent="0.3">
      <c r="A400" s="9">
        <v>374</v>
      </c>
      <c r="B400" s="46" t="s">
        <v>814</v>
      </c>
      <c r="C400" s="46" t="s">
        <v>188</v>
      </c>
      <c r="D400" s="46"/>
      <c r="E400" s="46"/>
      <c r="F400" s="48" t="s">
        <v>195</v>
      </c>
      <c r="G400" s="9">
        <v>30</v>
      </c>
      <c r="H400" s="12">
        <f>'Engineering Cost'!H400*'Engineering Assumptions'!$B$6</f>
        <v>0</v>
      </c>
      <c r="I400" s="12">
        <f>IF('Engineering Cost'!I400=0,0,MAX('Engineering Cost'!I400*'Engineering Assumptions'!$B$6,'Engineering Assumptions'!$B$9))</f>
        <v>0</v>
      </c>
      <c r="J400" s="12">
        <f>'Engineering Cost'!J400*'Engineering Assumptions'!$B$6</f>
        <v>17280</v>
      </c>
      <c r="K400" s="12">
        <f>'Engineering Cost'!K400*'Engineering Assumptions'!$B$6</f>
        <v>28800</v>
      </c>
      <c r="L400" s="13">
        <f>SUM(H400:K400)</f>
        <v>46080</v>
      </c>
      <c r="M400" s="13">
        <f>L400*(1+'Engineering Assumptions'!$B$10)</f>
        <v>52991.999999999993</v>
      </c>
    </row>
    <row r="401" spans="1:13" ht="15" customHeight="1" x14ac:dyDescent="0.3">
      <c r="A401" s="199" t="s">
        <v>817</v>
      </c>
      <c r="B401" s="200"/>
      <c r="C401" s="200"/>
      <c r="D401" s="200"/>
      <c r="E401" s="200"/>
      <c r="F401" s="200"/>
      <c r="G401" s="200"/>
      <c r="H401" s="200"/>
      <c r="I401" s="200"/>
      <c r="J401" s="200"/>
      <c r="K401" s="200"/>
      <c r="L401" s="200"/>
      <c r="M401" s="200"/>
    </row>
    <row r="402" spans="1:13" ht="15" customHeight="1" x14ac:dyDescent="0.3">
      <c r="A402" s="9">
        <v>375</v>
      </c>
      <c r="B402" s="46" t="s">
        <v>818</v>
      </c>
      <c r="C402" s="46" t="s">
        <v>819</v>
      </c>
      <c r="D402" s="46" t="s">
        <v>820</v>
      </c>
      <c r="E402" s="46" t="s">
        <v>821</v>
      </c>
      <c r="F402" s="48" t="s">
        <v>440</v>
      </c>
      <c r="G402" s="9">
        <v>21</v>
      </c>
      <c r="H402" s="12">
        <f>'Engineering Cost'!H402*'Engineering Assumptions'!$B$6</f>
        <v>160440</v>
      </c>
      <c r="I402" s="12">
        <f>IF('Engineering Cost'!I402=0,0,MAX('Engineering Cost'!I402*'Engineering Assumptions'!$B$6,'Engineering Assumptions'!$B$9))</f>
        <v>78000</v>
      </c>
      <c r="J402" s="12">
        <f>'Engineering Cost'!J402*'Engineering Assumptions'!$B$6</f>
        <v>31680</v>
      </c>
      <c r="K402" s="12">
        <f>'Engineering Cost'!K402*'Engineering Assumptions'!$B$6</f>
        <v>50400</v>
      </c>
      <c r="L402" s="13">
        <f t="shared" ref="L402:L407" si="19">SUM(H402:K402)</f>
        <v>320520</v>
      </c>
      <c r="M402" s="13">
        <f>L402*(1+'Engineering Assumptions'!$B$10)</f>
        <v>368598</v>
      </c>
    </row>
    <row r="403" spans="1:13" ht="15" customHeight="1" x14ac:dyDescent="0.3">
      <c r="A403" s="9">
        <v>376</v>
      </c>
      <c r="B403" s="46" t="s">
        <v>818</v>
      </c>
      <c r="C403" s="46" t="s">
        <v>618</v>
      </c>
      <c r="D403" s="46" t="s">
        <v>822</v>
      </c>
      <c r="E403" s="46" t="s">
        <v>823</v>
      </c>
      <c r="F403" s="48" t="s">
        <v>440</v>
      </c>
      <c r="G403" s="9">
        <v>21</v>
      </c>
      <c r="H403" s="12">
        <f>'Engineering Cost'!H403*'Engineering Assumptions'!$B$6</f>
        <v>160440</v>
      </c>
      <c r="I403" s="12">
        <f>IF('Engineering Cost'!I403=0,0,MAX('Engineering Cost'!I403*'Engineering Assumptions'!$B$6,'Engineering Assumptions'!$B$9))</f>
        <v>78000</v>
      </c>
      <c r="J403" s="12">
        <f>'Engineering Cost'!J403*'Engineering Assumptions'!$B$6</f>
        <v>31680</v>
      </c>
      <c r="K403" s="12">
        <f>'Engineering Cost'!K403*'Engineering Assumptions'!$B$6</f>
        <v>50400</v>
      </c>
      <c r="L403" s="13">
        <f t="shared" si="19"/>
        <v>320520</v>
      </c>
      <c r="M403" s="13">
        <f>L403*(1+'Engineering Assumptions'!$B$10)</f>
        <v>368598</v>
      </c>
    </row>
    <row r="404" spans="1:13" ht="15" customHeight="1" x14ac:dyDescent="0.3">
      <c r="A404" s="9">
        <v>377</v>
      </c>
      <c r="B404" s="46" t="s">
        <v>818</v>
      </c>
      <c r="C404" s="46" t="s">
        <v>819</v>
      </c>
      <c r="D404" s="46" t="s">
        <v>824</v>
      </c>
      <c r="E404" s="46" t="s">
        <v>825</v>
      </c>
      <c r="F404" s="48" t="s">
        <v>314</v>
      </c>
      <c r="G404" s="9">
        <v>36</v>
      </c>
      <c r="H404" s="12">
        <f>'Engineering Cost'!H404*'Engineering Assumptions'!$B$6</f>
        <v>160440</v>
      </c>
      <c r="I404" s="12">
        <f>IF('Engineering Cost'!I404=0,0,MAX('Engineering Cost'!I404*'Engineering Assumptions'!$B$6,'Engineering Assumptions'!$B$9))</f>
        <v>78000</v>
      </c>
      <c r="J404" s="12">
        <f>'Engineering Cost'!J404*'Engineering Assumptions'!$B$6</f>
        <v>31680</v>
      </c>
      <c r="K404" s="12">
        <f>'Engineering Cost'!K404*'Engineering Assumptions'!$B$6</f>
        <v>50400</v>
      </c>
      <c r="L404" s="13">
        <f t="shared" si="19"/>
        <v>320520</v>
      </c>
      <c r="M404" s="13">
        <f>L404*(1+'Engineering Assumptions'!$B$10)</f>
        <v>368598</v>
      </c>
    </row>
    <row r="405" spans="1:13" ht="15" customHeight="1" x14ac:dyDescent="0.3">
      <c r="A405" s="9">
        <v>378</v>
      </c>
      <c r="B405" s="46" t="s">
        <v>818</v>
      </c>
      <c r="C405" s="46" t="s">
        <v>826</v>
      </c>
      <c r="D405" s="46"/>
      <c r="E405" s="46"/>
      <c r="F405" s="48" t="s">
        <v>314</v>
      </c>
      <c r="G405" s="9">
        <v>36</v>
      </c>
      <c r="H405" s="12">
        <f>'Engineering Cost'!H405*'Engineering Assumptions'!$B$6</f>
        <v>160440</v>
      </c>
      <c r="I405" s="12">
        <f>IF('Engineering Cost'!I405=0,0,MAX('Engineering Cost'!I405*'Engineering Assumptions'!$B$6,'Engineering Assumptions'!$B$9))</f>
        <v>78000</v>
      </c>
      <c r="J405" s="12">
        <f>'Engineering Cost'!J405*'Engineering Assumptions'!$B$6</f>
        <v>31680</v>
      </c>
      <c r="K405" s="12">
        <f>'Engineering Cost'!K405*'Engineering Assumptions'!$B$6</f>
        <v>50400</v>
      </c>
      <c r="L405" s="13">
        <f t="shared" si="19"/>
        <v>320520</v>
      </c>
      <c r="M405" s="13">
        <f>L405*(1+'Engineering Assumptions'!$B$10)</f>
        <v>368598</v>
      </c>
    </row>
    <row r="406" spans="1:13" ht="15" customHeight="1" x14ac:dyDescent="0.3">
      <c r="A406" s="9">
        <v>379</v>
      </c>
      <c r="B406" s="46" t="s">
        <v>818</v>
      </c>
      <c r="C406" s="46" t="s">
        <v>827</v>
      </c>
      <c r="D406" s="46" t="s">
        <v>828</v>
      </c>
      <c r="E406" s="46" t="s">
        <v>829</v>
      </c>
      <c r="F406" s="48" t="s">
        <v>195</v>
      </c>
      <c r="G406" s="9">
        <v>30</v>
      </c>
      <c r="H406" s="12">
        <f>'Engineering Cost'!H406*'Engineering Assumptions'!$B$6</f>
        <v>160440</v>
      </c>
      <c r="I406" s="12">
        <f>IF('Engineering Cost'!I406=0,0,MAX('Engineering Cost'!I406*'Engineering Assumptions'!$B$6,'Engineering Assumptions'!$B$9))</f>
        <v>78000</v>
      </c>
      <c r="J406" s="12">
        <f>'Engineering Cost'!J406*'Engineering Assumptions'!$B$6</f>
        <v>31680</v>
      </c>
      <c r="K406" s="12">
        <f>'Engineering Cost'!K406*'Engineering Assumptions'!$B$6</f>
        <v>50400</v>
      </c>
      <c r="L406" s="13">
        <f t="shared" si="19"/>
        <v>320520</v>
      </c>
      <c r="M406" s="13">
        <f>L406*(1+'Engineering Assumptions'!$B$10)</f>
        <v>368598</v>
      </c>
    </row>
    <row r="407" spans="1:13" ht="15" customHeight="1" x14ac:dyDescent="0.3">
      <c r="A407" s="9">
        <v>380</v>
      </c>
      <c r="B407" s="46" t="s">
        <v>818</v>
      </c>
      <c r="C407" s="46" t="s">
        <v>830</v>
      </c>
      <c r="D407" s="46" t="s">
        <v>831</v>
      </c>
      <c r="E407" s="46" t="s">
        <v>832</v>
      </c>
      <c r="F407" s="48" t="s">
        <v>195</v>
      </c>
      <c r="G407" s="9">
        <v>30</v>
      </c>
      <c r="H407" s="12">
        <f>'Engineering Cost'!H407*'Engineering Assumptions'!$B$6</f>
        <v>160440</v>
      </c>
      <c r="I407" s="12">
        <f>IF('Engineering Cost'!I407=0,0,MAX('Engineering Cost'!I407*'Engineering Assumptions'!$B$6,'Engineering Assumptions'!$B$9))</f>
        <v>78000</v>
      </c>
      <c r="J407" s="12">
        <f>'Engineering Cost'!J407*'Engineering Assumptions'!$B$6</f>
        <v>31680</v>
      </c>
      <c r="K407" s="12">
        <f>'Engineering Cost'!K407*'Engineering Assumptions'!$B$6</f>
        <v>50400</v>
      </c>
      <c r="L407" s="13">
        <f t="shared" si="19"/>
        <v>320520</v>
      </c>
      <c r="M407" s="13">
        <f>L407*(1+'Engineering Assumptions'!$B$10)</f>
        <v>368598</v>
      </c>
    </row>
    <row r="408" spans="1:13" ht="15" customHeight="1" x14ac:dyDescent="0.3">
      <c r="A408" s="199" t="s">
        <v>833</v>
      </c>
      <c r="B408" s="200"/>
      <c r="C408" s="200"/>
      <c r="D408" s="200"/>
      <c r="E408" s="200"/>
      <c r="F408" s="200"/>
      <c r="G408" s="200"/>
      <c r="H408" s="200"/>
      <c r="I408" s="200"/>
      <c r="J408" s="200"/>
      <c r="K408" s="200"/>
      <c r="L408" s="200"/>
      <c r="M408" s="200"/>
    </row>
    <row r="409" spans="1:13" ht="15" customHeight="1" x14ac:dyDescent="0.3">
      <c r="A409" s="9">
        <v>381</v>
      </c>
      <c r="B409" s="46" t="s">
        <v>834</v>
      </c>
      <c r="C409" s="46" t="s">
        <v>835</v>
      </c>
      <c r="D409" s="46" t="s">
        <v>836</v>
      </c>
      <c r="E409" s="46"/>
      <c r="F409" s="48" t="s">
        <v>23</v>
      </c>
      <c r="G409" s="9">
        <v>5</v>
      </c>
      <c r="H409" s="12">
        <f>'Engineering Cost'!H409*'Engineering Assumptions'!$B$6</f>
        <v>756360.00000000012</v>
      </c>
      <c r="I409" s="12">
        <f>IF('Engineering Cost'!I409=0,0,MAX('Engineering Cost'!I409*'Engineering Assumptions'!$B$6,'Engineering Assumptions'!$B$9))</f>
        <v>78000</v>
      </c>
      <c r="J409" s="12">
        <f>'Engineering Cost'!J409*'Engineering Assumptions'!$B$6</f>
        <v>50160.000000000007</v>
      </c>
      <c r="K409" s="12">
        <f>'Engineering Cost'!K409*'Engineering Assumptions'!$B$6</f>
        <v>20592.000000000004</v>
      </c>
      <c r="L409" s="13">
        <f t="shared" ref="L409:L449" si="20">SUM(H409:K409)</f>
        <v>905112.00000000012</v>
      </c>
      <c r="M409" s="13">
        <f>L409*(1+'Engineering Assumptions'!$B$10)</f>
        <v>1040878.8</v>
      </c>
    </row>
    <row r="410" spans="1:13" ht="15" customHeight="1" x14ac:dyDescent="0.3">
      <c r="A410" s="9">
        <v>382</v>
      </c>
      <c r="B410" s="46" t="s">
        <v>834</v>
      </c>
      <c r="C410" s="46" t="s">
        <v>835</v>
      </c>
      <c r="D410" s="46" t="s">
        <v>837</v>
      </c>
      <c r="E410" s="46"/>
      <c r="F410" s="48" t="s">
        <v>23</v>
      </c>
      <c r="G410" s="9">
        <v>5</v>
      </c>
      <c r="H410" s="12">
        <f>'Engineering Cost'!H410*'Engineering Assumptions'!$B$6</f>
        <v>756360.00000000012</v>
      </c>
      <c r="I410" s="12">
        <f>IF('Engineering Cost'!I410=0,0,MAX('Engineering Cost'!I410*'Engineering Assumptions'!$B$6,'Engineering Assumptions'!$B$9))</f>
        <v>78000</v>
      </c>
      <c r="J410" s="12">
        <f>'Engineering Cost'!J410*'Engineering Assumptions'!$B$6</f>
        <v>50160.000000000007</v>
      </c>
      <c r="K410" s="12">
        <f>'Engineering Cost'!K410*'Engineering Assumptions'!$B$6</f>
        <v>20592.000000000004</v>
      </c>
      <c r="L410" s="13">
        <f t="shared" si="20"/>
        <v>905112.00000000012</v>
      </c>
      <c r="M410" s="13">
        <f>L410*(1+'Engineering Assumptions'!$B$10)</f>
        <v>1040878.8</v>
      </c>
    </row>
    <row r="411" spans="1:13" ht="15" customHeight="1" x14ac:dyDescent="0.3">
      <c r="A411" s="9">
        <v>383</v>
      </c>
      <c r="B411" s="46" t="s">
        <v>834</v>
      </c>
      <c r="C411" s="46" t="s">
        <v>835</v>
      </c>
      <c r="D411" s="46" t="s">
        <v>838</v>
      </c>
      <c r="E411" s="46"/>
      <c r="F411" s="48" t="s">
        <v>23</v>
      </c>
      <c r="G411" s="9">
        <v>5</v>
      </c>
      <c r="H411" s="12">
        <f>'Engineering Cost'!H411*'Engineering Assumptions'!$B$6</f>
        <v>756360.00000000012</v>
      </c>
      <c r="I411" s="12">
        <f>IF('Engineering Cost'!I411=0,0,MAX('Engineering Cost'!I411*'Engineering Assumptions'!$B$6,'Engineering Assumptions'!$B$9))</f>
        <v>78000</v>
      </c>
      <c r="J411" s="12">
        <f>'Engineering Cost'!J411*'Engineering Assumptions'!$B$6</f>
        <v>50160.000000000007</v>
      </c>
      <c r="K411" s="12">
        <f>'Engineering Cost'!K411*'Engineering Assumptions'!$B$6</f>
        <v>20592.000000000004</v>
      </c>
      <c r="L411" s="13">
        <f t="shared" si="20"/>
        <v>905112.00000000012</v>
      </c>
      <c r="M411" s="13">
        <f>L411*(1+'Engineering Assumptions'!$B$10)</f>
        <v>1040878.8</v>
      </c>
    </row>
    <row r="412" spans="1:13" ht="15" customHeight="1" x14ac:dyDescent="0.3">
      <c r="A412" s="9">
        <v>384</v>
      </c>
      <c r="B412" s="46" t="s">
        <v>834</v>
      </c>
      <c r="C412" s="46" t="s">
        <v>835</v>
      </c>
      <c r="D412" s="46" t="s">
        <v>839</v>
      </c>
      <c r="E412" s="46"/>
      <c r="F412" s="48" t="s">
        <v>23</v>
      </c>
      <c r="G412" s="9">
        <v>5</v>
      </c>
      <c r="H412" s="12">
        <f>'Engineering Cost'!H412*'Engineering Assumptions'!$B$6</f>
        <v>756360.00000000012</v>
      </c>
      <c r="I412" s="12">
        <f>IF('Engineering Cost'!I412=0,0,MAX('Engineering Cost'!I412*'Engineering Assumptions'!$B$6,'Engineering Assumptions'!$B$9))</f>
        <v>78000</v>
      </c>
      <c r="J412" s="12">
        <f>'Engineering Cost'!J412*'Engineering Assumptions'!$B$6</f>
        <v>50160.000000000007</v>
      </c>
      <c r="K412" s="12">
        <f>'Engineering Cost'!K412*'Engineering Assumptions'!$B$6</f>
        <v>20592.000000000004</v>
      </c>
      <c r="L412" s="13">
        <f t="shared" si="20"/>
        <v>905112.00000000012</v>
      </c>
      <c r="M412" s="13">
        <f>L412*(1+'Engineering Assumptions'!$B$10)</f>
        <v>1040878.8</v>
      </c>
    </row>
    <row r="413" spans="1:13" ht="15" customHeight="1" x14ac:dyDescent="0.3">
      <c r="A413" s="9">
        <v>385</v>
      </c>
      <c r="B413" s="46" t="s">
        <v>834</v>
      </c>
      <c r="C413" s="46" t="s">
        <v>840</v>
      </c>
      <c r="D413" s="46" t="s">
        <v>841</v>
      </c>
      <c r="E413" s="46"/>
      <c r="F413" s="48" t="s">
        <v>165</v>
      </c>
      <c r="G413" s="9">
        <v>8</v>
      </c>
      <c r="H413" s="12">
        <f>'Engineering Cost'!H413*'Engineering Assumptions'!$B$6</f>
        <v>446940</v>
      </c>
      <c r="I413" s="12">
        <f>IF('Engineering Cost'!I413=0,0,MAX('Engineering Cost'!I413*'Engineering Assumptions'!$B$6,'Engineering Assumptions'!$B$9))</f>
        <v>78000</v>
      </c>
      <c r="J413" s="12">
        <f>'Engineering Cost'!J413*'Engineering Assumptions'!$B$6</f>
        <v>37050</v>
      </c>
      <c r="K413" s="12">
        <f>'Engineering Cost'!K413*'Engineering Assumptions'!$B$6</f>
        <v>30420</v>
      </c>
      <c r="L413" s="13">
        <f t="shared" si="20"/>
        <v>592410</v>
      </c>
      <c r="M413" s="13">
        <f>L413*(1+'Engineering Assumptions'!$B$10)</f>
        <v>681271.5</v>
      </c>
    </row>
    <row r="414" spans="1:13" ht="15" customHeight="1" x14ac:dyDescent="0.3">
      <c r="A414" s="9">
        <v>386</v>
      </c>
      <c r="B414" s="46" t="s">
        <v>834</v>
      </c>
      <c r="C414" s="46" t="s">
        <v>842</v>
      </c>
      <c r="D414" s="46" t="s">
        <v>843</v>
      </c>
      <c r="E414" s="46">
        <v>14160</v>
      </c>
      <c r="F414" s="48" t="s">
        <v>116</v>
      </c>
      <c r="G414" s="9">
        <v>9</v>
      </c>
      <c r="H414" s="12">
        <f>'Engineering Cost'!H414*'Engineering Assumptions'!$B$6</f>
        <v>790739.99999999988</v>
      </c>
      <c r="I414" s="12">
        <f>IF('Engineering Cost'!I414=0,0,MAX('Engineering Cost'!I414*'Engineering Assumptions'!$B$6,'Engineering Assumptions'!$B$9))</f>
        <v>78000</v>
      </c>
      <c r="J414" s="12">
        <f>'Engineering Cost'!J414*'Engineering Assumptions'!$B$6</f>
        <v>65550</v>
      </c>
      <c r="K414" s="12">
        <f>'Engineering Cost'!K414*'Engineering Assumptions'!$B$6</f>
        <v>53819.999999999993</v>
      </c>
      <c r="L414" s="13">
        <f t="shared" si="20"/>
        <v>988109.99999999988</v>
      </c>
      <c r="M414" s="13">
        <f>L414*(1+'Engineering Assumptions'!$B$10)</f>
        <v>1136326.4999999998</v>
      </c>
    </row>
    <row r="415" spans="1:13" ht="15" customHeight="1" x14ac:dyDescent="0.3">
      <c r="A415" s="9">
        <v>387</v>
      </c>
      <c r="B415" s="46" t="s">
        <v>834</v>
      </c>
      <c r="C415" s="46" t="s">
        <v>842</v>
      </c>
      <c r="D415" s="46" t="s">
        <v>844</v>
      </c>
      <c r="E415" s="46"/>
      <c r="F415" s="48" t="s">
        <v>116</v>
      </c>
      <c r="G415" s="9">
        <v>9</v>
      </c>
      <c r="H415" s="12">
        <f>'Engineering Cost'!H415*'Engineering Assumptions'!$B$6</f>
        <v>790739.99999999988</v>
      </c>
      <c r="I415" s="12">
        <f>IF('Engineering Cost'!I415=0,0,MAX('Engineering Cost'!I415*'Engineering Assumptions'!$B$6,'Engineering Assumptions'!$B$9))</f>
        <v>78000</v>
      </c>
      <c r="J415" s="12">
        <f>'Engineering Cost'!J415*'Engineering Assumptions'!$B$6</f>
        <v>65550</v>
      </c>
      <c r="K415" s="12">
        <f>'Engineering Cost'!K415*'Engineering Assumptions'!$B$6</f>
        <v>53819.999999999993</v>
      </c>
      <c r="L415" s="13">
        <f t="shared" si="20"/>
        <v>988109.99999999988</v>
      </c>
      <c r="M415" s="13">
        <f>L415*(1+'Engineering Assumptions'!$B$10)</f>
        <v>1136326.4999999998</v>
      </c>
    </row>
    <row r="416" spans="1:13" ht="15" customHeight="1" x14ac:dyDescent="0.3">
      <c r="A416" s="9">
        <v>388</v>
      </c>
      <c r="B416" s="46" t="s">
        <v>834</v>
      </c>
      <c r="C416" s="46" t="s">
        <v>842</v>
      </c>
      <c r="D416" s="46" t="s">
        <v>845</v>
      </c>
      <c r="E416" s="46"/>
      <c r="F416" s="48" t="s">
        <v>116</v>
      </c>
      <c r="G416" s="9">
        <v>9</v>
      </c>
      <c r="H416" s="12">
        <f>'Engineering Cost'!H416*'Engineering Assumptions'!$B$6</f>
        <v>790739.99999999988</v>
      </c>
      <c r="I416" s="12">
        <f>IF('Engineering Cost'!I416=0,0,MAX('Engineering Cost'!I416*'Engineering Assumptions'!$B$6,'Engineering Assumptions'!$B$9))</f>
        <v>78000</v>
      </c>
      <c r="J416" s="12">
        <f>'Engineering Cost'!J416*'Engineering Assumptions'!$B$6</f>
        <v>65550</v>
      </c>
      <c r="K416" s="12">
        <f>'Engineering Cost'!K416*'Engineering Assumptions'!$B$6</f>
        <v>53819.999999999993</v>
      </c>
      <c r="L416" s="13">
        <f t="shared" si="20"/>
        <v>988109.99999999988</v>
      </c>
      <c r="M416" s="13">
        <f>L416*(1+'Engineering Assumptions'!$B$10)</f>
        <v>1136326.4999999998</v>
      </c>
    </row>
    <row r="417" spans="1:13" ht="15" customHeight="1" x14ac:dyDescent="0.3">
      <c r="A417" s="9">
        <v>389</v>
      </c>
      <c r="B417" s="46" t="s">
        <v>834</v>
      </c>
      <c r="C417" s="46" t="s">
        <v>842</v>
      </c>
      <c r="D417" s="46" t="s">
        <v>846</v>
      </c>
      <c r="E417" s="46">
        <v>14160</v>
      </c>
      <c r="F417" s="48" t="s">
        <v>116</v>
      </c>
      <c r="G417" s="9">
        <v>9</v>
      </c>
      <c r="H417" s="12">
        <f>'Engineering Cost'!H417*'Engineering Assumptions'!$B$6</f>
        <v>790739.99999999988</v>
      </c>
      <c r="I417" s="12">
        <f>IF('Engineering Cost'!I417=0,0,MAX('Engineering Cost'!I417*'Engineering Assumptions'!$B$6,'Engineering Assumptions'!$B$9))</f>
        <v>78000</v>
      </c>
      <c r="J417" s="12">
        <f>'Engineering Cost'!J417*'Engineering Assumptions'!$B$6</f>
        <v>65550</v>
      </c>
      <c r="K417" s="12">
        <f>'Engineering Cost'!K417*'Engineering Assumptions'!$B$6</f>
        <v>53819.999999999993</v>
      </c>
      <c r="L417" s="13">
        <f t="shared" si="20"/>
        <v>988109.99999999988</v>
      </c>
      <c r="M417" s="13">
        <f>L417*(1+'Engineering Assumptions'!$B$10)</f>
        <v>1136326.4999999998</v>
      </c>
    </row>
    <row r="418" spans="1:13" ht="15" customHeight="1" x14ac:dyDescent="0.3">
      <c r="A418" s="9">
        <v>390</v>
      </c>
      <c r="B418" s="46" t="s">
        <v>834</v>
      </c>
      <c r="C418" s="46" t="s">
        <v>842</v>
      </c>
      <c r="D418" s="46" t="s">
        <v>847</v>
      </c>
      <c r="E418" s="46">
        <v>14160</v>
      </c>
      <c r="F418" s="48" t="s">
        <v>116</v>
      </c>
      <c r="G418" s="9">
        <v>9</v>
      </c>
      <c r="H418" s="12">
        <f>'Engineering Cost'!H418*'Engineering Assumptions'!$B$6</f>
        <v>790739.99999999988</v>
      </c>
      <c r="I418" s="12">
        <f>IF('Engineering Cost'!I418=0,0,MAX('Engineering Cost'!I418*'Engineering Assumptions'!$B$6,'Engineering Assumptions'!$B$9))</f>
        <v>78000</v>
      </c>
      <c r="J418" s="12">
        <f>'Engineering Cost'!J418*'Engineering Assumptions'!$B$6</f>
        <v>65550</v>
      </c>
      <c r="K418" s="12">
        <f>'Engineering Cost'!K418*'Engineering Assumptions'!$B$6</f>
        <v>53819.999999999993</v>
      </c>
      <c r="L418" s="13">
        <f t="shared" si="20"/>
        <v>988109.99999999988</v>
      </c>
      <c r="M418" s="13">
        <f>L418*(1+'Engineering Assumptions'!$B$10)</f>
        <v>1136326.4999999998</v>
      </c>
    </row>
    <row r="419" spans="1:13" ht="15" customHeight="1" x14ac:dyDescent="0.3">
      <c r="A419" s="9">
        <v>391</v>
      </c>
      <c r="B419" s="46" t="s">
        <v>834</v>
      </c>
      <c r="C419" s="46" t="s">
        <v>848</v>
      </c>
      <c r="D419" s="46" t="s">
        <v>849</v>
      </c>
      <c r="E419" s="46"/>
      <c r="F419" s="48" t="s">
        <v>116</v>
      </c>
      <c r="G419" s="9">
        <v>9</v>
      </c>
      <c r="H419" s="12">
        <f>'Engineering Cost'!H419*'Engineering Assumptions'!$B$6</f>
        <v>756360.00000000012</v>
      </c>
      <c r="I419" s="12">
        <f>IF('Engineering Cost'!I419=0,0,MAX('Engineering Cost'!I419*'Engineering Assumptions'!$B$6,'Engineering Assumptions'!$B$9))</f>
        <v>78000</v>
      </c>
      <c r="J419" s="12">
        <f>'Engineering Cost'!J419*'Engineering Assumptions'!$B$6</f>
        <v>62700</v>
      </c>
      <c r="K419" s="12">
        <f>'Engineering Cost'!K419*'Engineering Assumptions'!$B$6</f>
        <v>51480.000000000007</v>
      </c>
      <c r="L419" s="13">
        <f t="shared" si="20"/>
        <v>948540.00000000012</v>
      </c>
      <c r="M419" s="13">
        <f>L419*(1+'Engineering Assumptions'!$B$10)</f>
        <v>1090821</v>
      </c>
    </row>
    <row r="420" spans="1:13" ht="15" customHeight="1" x14ac:dyDescent="0.3">
      <c r="A420" s="9">
        <v>392</v>
      </c>
      <c r="B420" s="46" t="s">
        <v>834</v>
      </c>
      <c r="C420" s="46" t="s">
        <v>848</v>
      </c>
      <c r="D420" s="46" t="s">
        <v>850</v>
      </c>
      <c r="E420" s="46">
        <v>14160</v>
      </c>
      <c r="F420" s="48" t="s">
        <v>116</v>
      </c>
      <c r="G420" s="9">
        <v>9</v>
      </c>
      <c r="H420" s="12">
        <f>'Engineering Cost'!H420*'Engineering Assumptions'!$B$6</f>
        <v>756360.00000000012</v>
      </c>
      <c r="I420" s="12">
        <f>IF('Engineering Cost'!I420=0,0,MAX('Engineering Cost'!I420*'Engineering Assumptions'!$B$6,'Engineering Assumptions'!$B$9))</f>
        <v>78000</v>
      </c>
      <c r="J420" s="12">
        <f>'Engineering Cost'!J420*'Engineering Assumptions'!$B$6</f>
        <v>62700</v>
      </c>
      <c r="K420" s="12">
        <f>'Engineering Cost'!K420*'Engineering Assumptions'!$B$6</f>
        <v>51480.000000000007</v>
      </c>
      <c r="L420" s="13">
        <f t="shared" si="20"/>
        <v>948540.00000000012</v>
      </c>
      <c r="M420" s="13">
        <f>L420*(1+'Engineering Assumptions'!$B$10)</f>
        <v>1090821</v>
      </c>
    </row>
    <row r="421" spans="1:13" ht="15" customHeight="1" x14ac:dyDescent="0.3">
      <c r="A421" s="9">
        <v>393</v>
      </c>
      <c r="B421" s="46" t="s">
        <v>834</v>
      </c>
      <c r="C421" s="46" t="s">
        <v>851</v>
      </c>
      <c r="D421" s="46" t="s">
        <v>852</v>
      </c>
      <c r="E421" s="46"/>
      <c r="F421" s="48" t="s">
        <v>61</v>
      </c>
      <c r="G421" s="9">
        <v>11</v>
      </c>
      <c r="H421" s="12">
        <f>'Engineering Cost'!H421*'Engineering Assumptions'!$B$6</f>
        <v>687600</v>
      </c>
      <c r="I421" s="12">
        <f>IF('Engineering Cost'!I421=0,0,MAX('Engineering Cost'!I421*'Engineering Assumptions'!$B$6,'Engineering Assumptions'!$B$9))</f>
        <v>78000</v>
      </c>
      <c r="J421" s="12">
        <f>'Engineering Cost'!J421*'Engineering Assumptions'!$B$6</f>
        <v>70680</v>
      </c>
      <c r="K421" s="12">
        <f>'Engineering Cost'!K421*'Engineering Assumptions'!$B$6</f>
        <v>84240</v>
      </c>
      <c r="L421" s="13">
        <f t="shared" si="20"/>
        <v>920520</v>
      </c>
      <c r="M421" s="13">
        <f>L421*(1+'Engineering Assumptions'!$B$10)</f>
        <v>1058598</v>
      </c>
    </row>
    <row r="422" spans="1:13" ht="15" customHeight="1" x14ac:dyDescent="0.3">
      <c r="A422" s="9">
        <v>394</v>
      </c>
      <c r="B422" s="46" t="s">
        <v>834</v>
      </c>
      <c r="C422" s="46" t="s">
        <v>853</v>
      </c>
      <c r="D422" s="46" t="s">
        <v>854</v>
      </c>
      <c r="E422" s="46"/>
      <c r="F422" s="48" t="s">
        <v>94</v>
      </c>
      <c r="G422" s="9">
        <v>12</v>
      </c>
      <c r="H422" s="12">
        <f>'Engineering Cost'!H422*'Engineering Assumptions'!$B$6</f>
        <v>378180.00000000006</v>
      </c>
      <c r="I422" s="12">
        <f>IF('Engineering Cost'!I422=0,0,MAX('Engineering Cost'!I422*'Engineering Assumptions'!$B$6,'Engineering Assumptions'!$B$9))</f>
        <v>78000</v>
      </c>
      <c r="J422" s="12">
        <f>'Engineering Cost'!J422*'Engineering Assumptions'!$B$6</f>
        <v>38874.000000000007</v>
      </c>
      <c r="K422" s="12">
        <f>'Engineering Cost'!K422*'Engineering Assumptions'!$B$6</f>
        <v>46332</v>
      </c>
      <c r="L422" s="13">
        <f t="shared" si="20"/>
        <v>541386</v>
      </c>
      <c r="M422" s="13">
        <f>L422*(1+'Engineering Assumptions'!$B$10)</f>
        <v>622593.89999999991</v>
      </c>
    </row>
    <row r="423" spans="1:13" ht="15" customHeight="1" x14ac:dyDescent="0.3">
      <c r="A423" s="9">
        <v>395</v>
      </c>
      <c r="B423" s="46" t="s">
        <v>834</v>
      </c>
      <c r="C423" s="46" t="s">
        <v>855</v>
      </c>
      <c r="D423" s="46" t="s">
        <v>856</v>
      </c>
      <c r="E423" s="46"/>
      <c r="F423" s="48" t="s">
        <v>94</v>
      </c>
      <c r="G423" s="9">
        <v>12</v>
      </c>
      <c r="H423" s="12">
        <f>'Engineering Cost'!H423*'Engineering Assumptions'!$B$6</f>
        <v>653220</v>
      </c>
      <c r="I423" s="12">
        <f>IF('Engineering Cost'!I423=0,0,MAX('Engineering Cost'!I423*'Engineering Assumptions'!$B$6,'Engineering Assumptions'!$B$9))</f>
        <v>78000</v>
      </c>
      <c r="J423" s="12">
        <f>'Engineering Cost'!J423*'Engineering Assumptions'!$B$6</f>
        <v>67146</v>
      </c>
      <c r="K423" s="12">
        <f>'Engineering Cost'!K423*'Engineering Assumptions'!$B$6</f>
        <v>80028</v>
      </c>
      <c r="L423" s="13">
        <f t="shared" si="20"/>
        <v>878394</v>
      </c>
      <c r="M423" s="13">
        <f>L423*(1+'Engineering Assumptions'!$B$10)</f>
        <v>1010153.1</v>
      </c>
    </row>
    <row r="424" spans="1:13" ht="15" customHeight="1" x14ac:dyDescent="0.3">
      <c r="A424" s="9">
        <v>396</v>
      </c>
      <c r="B424" s="46" t="s">
        <v>834</v>
      </c>
      <c r="C424" s="46" t="s">
        <v>857</v>
      </c>
      <c r="D424" s="46" t="s">
        <v>858</v>
      </c>
      <c r="E424" s="46"/>
      <c r="F424" s="48" t="s">
        <v>94</v>
      </c>
      <c r="G424" s="9">
        <v>12</v>
      </c>
      <c r="H424" s="12">
        <f>'Engineering Cost'!H424*'Engineering Assumptions'!$B$6</f>
        <v>481319.99999999994</v>
      </c>
      <c r="I424" s="12">
        <f>IF('Engineering Cost'!I424=0,0,MAX('Engineering Cost'!I424*'Engineering Assumptions'!$B$6,'Engineering Assumptions'!$B$9))</f>
        <v>78000</v>
      </c>
      <c r="J424" s="12">
        <f>'Engineering Cost'!J424*'Engineering Assumptions'!$B$6</f>
        <v>49475.999999999993</v>
      </c>
      <c r="K424" s="12">
        <f>'Engineering Cost'!K424*'Engineering Assumptions'!$B$6</f>
        <v>58968</v>
      </c>
      <c r="L424" s="13">
        <f t="shared" si="20"/>
        <v>667764</v>
      </c>
      <c r="M424" s="13">
        <f>L424*(1+'Engineering Assumptions'!$B$10)</f>
        <v>767928.6</v>
      </c>
    </row>
    <row r="425" spans="1:13" ht="15" customHeight="1" x14ac:dyDescent="0.3">
      <c r="A425" s="9">
        <v>397</v>
      </c>
      <c r="B425" s="46" t="s">
        <v>834</v>
      </c>
      <c r="C425" s="46" t="s">
        <v>859</v>
      </c>
      <c r="D425" s="46" t="s">
        <v>860</v>
      </c>
      <c r="E425" s="46"/>
      <c r="F425" s="48" t="s">
        <v>94</v>
      </c>
      <c r="G425" s="9">
        <v>12</v>
      </c>
      <c r="H425" s="12">
        <f>'Engineering Cost'!H425*'Engineering Assumptions'!$B$6</f>
        <v>687600</v>
      </c>
      <c r="I425" s="12">
        <f>IF('Engineering Cost'!I425=0,0,MAX('Engineering Cost'!I425*'Engineering Assumptions'!$B$6,'Engineering Assumptions'!$B$9))</f>
        <v>78000</v>
      </c>
      <c r="J425" s="12">
        <f>'Engineering Cost'!J425*'Engineering Assumptions'!$B$6</f>
        <v>70680</v>
      </c>
      <c r="K425" s="12">
        <f>'Engineering Cost'!K425*'Engineering Assumptions'!$B$6</f>
        <v>84240</v>
      </c>
      <c r="L425" s="13">
        <f t="shared" si="20"/>
        <v>920520</v>
      </c>
      <c r="M425" s="13">
        <f>L425*(1+'Engineering Assumptions'!$B$10)</f>
        <v>1058598</v>
      </c>
    </row>
    <row r="426" spans="1:13" ht="15" customHeight="1" x14ac:dyDescent="0.3">
      <c r="A426" s="9">
        <v>398</v>
      </c>
      <c r="B426" s="46" t="s">
        <v>834</v>
      </c>
      <c r="C426" s="46" t="s">
        <v>861</v>
      </c>
      <c r="D426" s="46" t="s">
        <v>862</v>
      </c>
      <c r="E426" s="46"/>
      <c r="F426" s="48" t="s">
        <v>94</v>
      </c>
      <c r="G426" s="9">
        <v>12</v>
      </c>
      <c r="H426" s="12">
        <f>'Engineering Cost'!H426*'Engineering Assumptions'!$B$6</f>
        <v>378180.00000000006</v>
      </c>
      <c r="I426" s="12">
        <f>IF('Engineering Cost'!I426=0,0,MAX('Engineering Cost'!I426*'Engineering Assumptions'!$B$6,'Engineering Assumptions'!$B$9))</f>
        <v>78000</v>
      </c>
      <c r="J426" s="12">
        <f>'Engineering Cost'!J426*'Engineering Assumptions'!$B$6</f>
        <v>38874.000000000007</v>
      </c>
      <c r="K426" s="12">
        <f>'Engineering Cost'!K426*'Engineering Assumptions'!$B$6</f>
        <v>46332</v>
      </c>
      <c r="L426" s="13">
        <f t="shared" si="20"/>
        <v>541386</v>
      </c>
      <c r="M426" s="13">
        <f>L426*(1+'Engineering Assumptions'!$B$10)</f>
        <v>622593.89999999991</v>
      </c>
    </row>
    <row r="427" spans="1:13" ht="15" customHeight="1" x14ac:dyDescent="0.3">
      <c r="A427" s="9">
        <v>399</v>
      </c>
      <c r="B427" s="46" t="s">
        <v>834</v>
      </c>
      <c r="C427" s="46" t="s">
        <v>863</v>
      </c>
      <c r="D427" s="46" t="s">
        <v>864</v>
      </c>
      <c r="E427" s="46"/>
      <c r="F427" s="48" t="s">
        <v>99</v>
      </c>
      <c r="G427" s="9">
        <v>13</v>
      </c>
      <c r="H427" s="12">
        <f>'Engineering Cost'!H427*'Engineering Assumptions'!$B$6</f>
        <v>584460</v>
      </c>
      <c r="I427" s="12">
        <f>IF('Engineering Cost'!I427=0,0,MAX('Engineering Cost'!I427*'Engineering Assumptions'!$B$6,'Engineering Assumptions'!$B$9))</f>
        <v>78000</v>
      </c>
      <c r="J427" s="12">
        <f>'Engineering Cost'!J427*'Engineering Assumptions'!$B$6</f>
        <v>60078</v>
      </c>
      <c r="K427" s="12">
        <f>'Engineering Cost'!K427*'Engineering Assumptions'!$B$6</f>
        <v>71603.999999999985</v>
      </c>
      <c r="L427" s="13">
        <f t="shared" si="20"/>
        <v>794142</v>
      </c>
      <c r="M427" s="13">
        <f>L427*(1+'Engineering Assumptions'!$B$10)</f>
        <v>913263.29999999993</v>
      </c>
    </row>
    <row r="428" spans="1:13" ht="15" customHeight="1" x14ac:dyDescent="0.3">
      <c r="A428" s="9">
        <v>400</v>
      </c>
      <c r="B428" s="46" t="s">
        <v>834</v>
      </c>
      <c r="C428" s="46" t="s">
        <v>865</v>
      </c>
      <c r="D428" s="46" t="s">
        <v>866</v>
      </c>
      <c r="E428" s="46"/>
      <c r="F428" s="48" t="s">
        <v>99</v>
      </c>
      <c r="G428" s="9">
        <v>13</v>
      </c>
      <c r="H428" s="12">
        <f>'Engineering Cost'!H428*'Engineering Assumptions'!$B$6</f>
        <v>378180.00000000006</v>
      </c>
      <c r="I428" s="12">
        <f>IF('Engineering Cost'!I428=0,0,MAX('Engineering Cost'!I428*'Engineering Assumptions'!$B$6,'Engineering Assumptions'!$B$9))</f>
        <v>78000</v>
      </c>
      <c r="J428" s="12">
        <f>'Engineering Cost'!J428*'Engineering Assumptions'!$B$6</f>
        <v>38874.000000000007</v>
      </c>
      <c r="K428" s="12">
        <f>'Engineering Cost'!K428*'Engineering Assumptions'!$B$6</f>
        <v>46332</v>
      </c>
      <c r="L428" s="13">
        <f t="shared" si="20"/>
        <v>541386</v>
      </c>
      <c r="M428" s="13">
        <f>L428*(1+'Engineering Assumptions'!$B$10)</f>
        <v>622593.89999999991</v>
      </c>
    </row>
    <row r="429" spans="1:13" ht="15" customHeight="1" x14ac:dyDescent="0.3">
      <c r="A429" s="9">
        <v>401</v>
      </c>
      <c r="B429" s="46" t="s">
        <v>834</v>
      </c>
      <c r="C429" s="46" t="s">
        <v>867</v>
      </c>
      <c r="D429" s="46" t="s">
        <v>868</v>
      </c>
      <c r="E429" s="46"/>
      <c r="F429" s="48" t="s">
        <v>99</v>
      </c>
      <c r="G429" s="9">
        <v>13</v>
      </c>
      <c r="H429" s="12">
        <f>'Engineering Cost'!H429*'Engineering Assumptions'!$B$6</f>
        <v>721980</v>
      </c>
      <c r="I429" s="12">
        <f>IF('Engineering Cost'!I429=0,0,MAX('Engineering Cost'!I429*'Engineering Assumptions'!$B$6,'Engineering Assumptions'!$B$9))</f>
        <v>78000</v>
      </c>
      <c r="J429" s="12">
        <f>'Engineering Cost'!J429*'Engineering Assumptions'!$B$6</f>
        <v>74214</v>
      </c>
      <c r="K429" s="12">
        <f>'Engineering Cost'!K429*'Engineering Assumptions'!$B$6</f>
        <v>88452</v>
      </c>
      <c r="L429" s="13">
        <f t="shared" si="20"/>
        <v>962646</v>
      </c>
      <c r="M429" s="13">
        <f>L429*(1+'Engineering Assumptions'!$B$10)</f>
        <v>1107042.8999999999</v>
      </c>
    </row>
    <row r="430" spans="1:13" ht="15" customHeight="1" x14ac:dyDescent="0.3">
      <c r="A430" s="9">
        <v>402</v>
      </c>
      <c r="B430" s="46" t="s">
        <v>834</v>
      </c>
      <c r="C430" s="46" t="s">
        <v>869</v>
      </c>
      <c r="D430" s="46" t="s">
        <v>870</v>
      </c>
      <c r="E430" s="46"/>
      <c r="F430" s="48" t="s">
        <v>66</v>
      </c>
      <c r="G430" s="9">
        <v>14</v>
      </c>
      <c r="H430" s="12">
        <f>'Engineering Cost'!H430*'Engineering Assumptions'!$B$6</f>
        <v>584460</v>
      </c>
      <c r="I430" s="12">
        <f>IF('Engineering Cost'!I430=0,0,MAX('Engineering Cost'!I430*'Engineering Assumptions'!$B$6,'Engineering Assumptions'!$B$9))</f>
        <v>78000</v>
      </c>
      <c r="J430" s="12">
        <f>'Engineering Cost'!J430*'Engineering Assumptions'!$B$6</f>
        <v>60078</v>
      </c>
      <c r="K430" s="12">
        <f>'Engineering Cost'!K430*'Engineering Assumptions'!$B$6</f>
        <v>71603.999999999985</v>
      </c>
      <c r="L430" s="13">
        <f t="shared" si="20"/>
        <v>794142</v>
      </c>
      <c r="M430" s="13">
        <f>L430*(1+'Engineering Assumptions'!$B$10)</f>
        <v>913263.29999999993</v>
      </c>
    </row>
    <row r="431" spans="1:13" ht="15" customHeight="1" x14ac:dyDescent="0.3">
      <c r="A431" s="9">
        <v>403</v>
      </c>
      <c r="B431" s="46" t="s">
        <v>834</v>
      </c>
      <c r="C431" s="46" t="s">
        <v>871</v>
      </c>
      <c r="D431" s="46" t="s">
        <v>872</v>
      </c>
      <c r="E431" s="46"/>
      <c r="F431" s="48" t="s">
        <v>66</v>
      </c>
      <c r="G431" s="9">
        <v>14</v>
      </c>
      <c r="H431" s="12">
        <f>'Engineering Cost'!H431*'Engineering Assumptions'!$B$6</f>
        <v>378180.00000000006</v>
      </c>
      <c r="I431" s="12">
        <f>IF('Engineering Cost'!I431=0,0,MAX('Engineering Cost'!I431*'Engineering Assumptions'!$B$6,'Engineering Assumptions'!$B$9))</f>
        <v>78000</v>
      </c>
      <c r="J431" s="12">
        <f>'Engineering Cost'!J431*'Engineering Assumptions'!$B$6</f>
        <v>38874.000000000007</v>
      </c>
      <c r="K431" s="12">
        <f>'Engineering Cost'!K431*'Engineering Assumptions'!$B$6</f>
        <v>46332</v>
      </c>
      <c r="L431" s="13">
        <f t="shared" si="20"/>
        <v>541386</v>
      </c>
      <c r="M431" s="13">
        <f>L431*(1+'Engineering Assumptions'!$B$10)</f>
        <v>622593.89999999991</v>
      </c>
    </row>
    <row r="432" spans="1:13" ht="15" customHeight="1" x14ac:dyDescent="0.3">
      <c r="A432" s="9">
        <v>404</v>
      </c>
      <c r="B432" s="46" t="s">
        <v>834</v>
      </c>
      <c r="C432" s="46" t="s">
        <v>873</v>
      </c>
      <c r="D432" s="46" t="s">
        <v>874</v>
      </c>
      <c r="E432" s="46"/>
      <c r="F432" s="48" t="s">
        <v>66</v>
      </c>
      <c r="G432" s="9">
        <v>14</v>
      </c>
      <c r="H432" s="12">
        <f>'Engineering Cost'!H432*'Engineering Assumptions'!$B$6</f>
        <v>481319.99999999994</v>
      </c>
      <c r="I432" s="12">
        <f>IF('Engineering Cost'!I432=0,0,MAX('Engineering Cost'!I432*'Engineering Assumptions'!$B$6,'Engineering Assumptions'!$B$9))</f>
        <v>78000</v>
      </c>
      <c r="J432" s="12">
        <f>'Engineering Cost'!J432*'Engineering Assumptions'!$B$6</f>
        <v>49475.999999999993</v>
      </c>
      <c r="K432" s="12">
        <f>'Engineering Cost'!K432*'Engineering Assumptions'!$B$6</f>
        <v>58968</v>
      </c>
      <c r="L432" s="13">
        <f t="shared" si="20"/>
        <v>667764</v>
      </c>
      <c r="M432" s="13">
        <f>L432*(1+'Engineering Assumptions'!$B$10)</f>
        <v>767928.6</v>
      </c>
    </row>
    <row r="433" spans="1:13" ht="15" customHeight="1" x14ac:dyDescent="0.3">
      <c r="A433" s="9">
        <v>405</v>
      </c>
      <c r="B433" s="46" t="s">
        <v>834</v>
      </c>
      <c r="C433" s="46" t="s">
        <v>875</v>
      </c>
      <c r="D433" s="46" t="s">
        <v>876</v>
      </c>
      <c r="E433" s="46"/>
      <c r="F433" s="48" t="s">
        <v>458</v>
      </c>
      <c r="G433" s="9">
        <v>15</v>
      </c>
      <c r="H433" s="12">
        <f>'Engineering Cost'!H433*'Engineering Assumptions'!$B$6</f>
        <v>584460</v>
      </c>
      <c r="I433" s="12">
        <f>IF('Engineering Cost'!I433=0,0,MAX('Engineering Cost'!I433*'Engineering Assumptions'!$B$6,'Engineering Assumptions'!$B$9))</f>
        <v>78000</v>
      </c>
      <c r="J433" s="12">
        <f>'Engineering Cost'!J433*'Engineering Assumptions'!$B$6</f>
        <v>60078</v>
      </c>
      <c r="K433" s="12">
        <f>'Engineering Cost'!K433*'Engineering Assumptions'!$B$6</f>
        <v>71603.999999999985</v>
      </c>
      <c r="L433" s="13">
        <f t="shared" si="20"/>
        <v>794142</v>
      </c>
      <c r="M433" s="13">
        <f>L433*(1+'Engineering Assumptions'!$B$10)</f>
        <v>913263.29999999993</v>
      </c>
    </row>
    <row r="434" spans="1:13" ht="15" customHeight="1" x14ac:dyDescent="0.3">
      <c r="A434" s="9">
        <v>406</v>
      </c>
      <c r="B434" s="46" t="s">
        <v>834</v>
      </c>
      <c r="C434" s="46" t="s">
        <v>877</v>
      </c>
      <c r="D434" s="46" t="s">
        <v>878</v>
      </c>
      <c r="E434" s="46"/>
      <c r="F434" s="48" t="s">
        <v>107</v>
      </c>
      <c r="G434" s="9">
        <v>16</v>
      </c>
      <c r="H434" s="12">
        <f>'Engineering Cost'!H434*'Engineering Assumptions'!$B$6</f>
        <v>687600</v>
      </c>
      <c r="I434" s="12">
        <f>IF('Engineering Cost'!I434=0,0,MAX('Engineering Cost'!I434*'Engineering Assumptions'!$B$6,'Engineering Assumptions'!$B$9))</f>
        <v>78000</v>
      </c>
      <c r="J434" s="12">
        <f>'Engineering Cost'!J434*'Engineering Assumptions'!$B$6</f>
        <v>88920</v>
      </c>
      <c r="K434" s="12">
        <f>'Engineering Cost'!K434*'Engineering Assumptions'!$B$6</f>
        <v>131040</v>
      </c>
      <c r="L434" s="13">
        <f t="shared" si="20"/>
        <v>985560</v>
      </c>
      <c r="M434" s="13">
        <f>L434*(1+'Engineering Assumptions'!$B$10)</f>
        <v>1133394</v>
      </c>
    </row>
    <row r="435" spans="1:13" ht="15" customHeight="1" x14ac:dyDescent="0.3">
      <c r="A435" s="9">
        <v>407</v>
      </c>
      <c r="B435" s="46" t="s">
        <v>834</v>
      </c>
      <c r="C435" s="46" t="s">
        <v>875</v>
      </c>
      <c r="D435" s="46" t="s">
        <v>879</v>
      </c>
      <c r="E435" s="46"/>
      <c r="F435" s="48" t="s">
        <v>107</v>
      </c>
      <c r="G435" s="9">
        <v>16</v>
      </c>
      <c r="H435" s="12">
        <f>'Engineering Cost'!H435*'Engineering Assumptions'!$B$6</f>
        <v>584460</v>
      </c>
      <c r="I435" s="12">
        <f>IF('Engineering Cost'!I435=0,0,MAX('Engineering Cost'!I435*'Engineering Assumptions'!$B$6,'Engineering Assumptions'!$B$9))</f>
        <v>78000</v>
      </c>
      <c r="J435" s="12">
        <f>'Engineering Cost'!J435*'Engineering Assumptions'!$B$6</f>
        <v>75582</v>
      </c>
      <c r="K435" s="12">
        <f>'Engineering Cost'!K435*'Engineering Assumptions'!$B$6</f>
        <v>111383.99999999999</v>
      </c>
      <c r="L435" s="13">
        <f t="shared" si="20"/>
        <v>849426</v>
      </c>
      <c r="M435" s="13">
        <f>L435*(1+'Engineering Assumptions'!$B$10)</f>
        <v>976839.89999999991</v>
      </c>
    </row>
    <row r="436" spans="1:13" ht="15" customHeight="1" x14ac:dyDescent="0.3">
      <c r="A436" s="9">
        <v>408</v>
      </c>
      <c r="B436" s="46" t="s">
        <v>834</v>
      </c>
      <c r="C436" s="46" t="s">
        <v>880</v>
      </c>
      <c r="D436" s="46" t="s">
        <v>881</v>
      </c>
      <c r="E436" s="46"/>
      <c r="F436" s="48" t="s">
        <v>107</v>
      </c>
      <c r="G436" s="9">
        <v>16</v>
      </c>
      <c r="H436" s="12">
        <f>'Engineering Cost'!H436*'Engineering Assumptions'!$B$6</f>
        <v>378180.00000000006</v>
      </c>
      <c r="I436" s="12">
        <f>IF('Engineering Cost'!I436=0,0,MAX('Engineering Cost'!I436*'Engineering Assumptions'!$B$6,'Engineering Assumptions'!$B$9))</f>
        <v>78000</v>
      </c>
      <c r="J436" s="12">
        <f>'Engineering Cost'!J436*'Engineering Assumptions'!$B$6</f>
        <v>48906</v>
      </c>
      <c r="K436" s="12">
        <f>'Engineering Cost'!K436*'Engineering Assumptions'!$B$6</f>
        <v>72072</v>
      </c>
      <c r="L436" s="13">
        <f t="shared" si="20"/>
        <v>577158</v>
      </c>
      <c r="M436" s="13">
        <f>L436*(1+'Engineering Assumptions'!$B$10)</f>
        <v>663731.69999999995</v>
      </c>
    </row>
    <row r="437" spans="1:13" ht="15" customHeight="1" x14ac:dyDescent="0.3">
      <c r="A437" s="9">
        <v>409</v>
      </c>
      <c r="B437" s="46" t="s">
        <v>834</v>
      </c>
      <c r="C437" s="46" t="s">
        <v>882</v>
      </c>
      <c r="D437" s="46" t="s">
        <v>883</v>
      </c>
      <c r="E437" s="46"/>
      <c r="F437" s="48" t="s">
        <v>110</v>
      </c>
      <c r="G437" s="9">
        <v>17</v>
      </c>
      <c r="H437" s="12">
        <f>'Engineering Cost'!H437*'Engineering Assumptions'!$B$6</f>
        <v>481319.99999999994</v>
      </c>
      <c r="I437" s="12">
        <f>IF('Engineering Cost'!I437=0,0,MAX('Engineering Cost'!I437*'Engineering Assumptions'!$B$6,'Engineering Assumptions'!$B$9))</f>
        <v>78000</v>
      </c>
      <c r="J437" s="12">
        <f>'Engineering Cost'!J437*'Engineering Assumptions'!$B$6</f>
        <v>62243.999999999993</v>
      </c>
      <c r="K437" s="12">
        <f>'Engineering Cost'!K437*'Engineering Assumptions'!$B$6</f>
        <v>91728</v>
      </c>
      <c r="L437" s="13">
        <f t="shared" si="20"/>
        <v>713292</v>
      </c>
      <c r="M437" s="13">
        <f>L437*(1+'Engineering Assumptions'!$B$10)</f>
        <v>820285.79999999993</v>
      </c>
    </row>
    <row r="438" spans="1:13" ht="15" customHeight="1" x14ac:dyDescent="0.3">
      <c r="A438" s="9">
        <v>410</v>
      </c>
      <c r="B438" s="46" t="s">
        <v>834</v>
      </c>
      <c r="C438" s="46" t="s">
        <v>884</v>
      </c>
      <c r="D438" s="46" t="s">
        <v>885</v>
      </c>
      <c r="E438" s="46"/>
      <c r="F438" s="48" t="s">
        <v>110</v>
      </c>
      <c r="G438" s="9">
        <v>17</v>
      </c>
      <c r="H438" s="12">
        <f>'Engineering Cost'!H438*'Engineering Assumptions'!$B$6</f>
        <v>378180.00000000006</v>
      </c>
      <c r="I438" s="12">
        <f>IF('Engineering Cost'!I438=0,0,MAX('Engineering Cost'!I438*'Engineering Assumptions'!$B$6,'Engineering Assumptions'!$B$9))</f>
        <v>78000</v>
      </c>
      <c r="J438" s="12">
        <f>'Engineering Cost'!J438*'Engineering Assumptions'!$B$6</f>
        <v>48906</v>
      </c>
      <c r="K438" s="12">
        <f>'Engineering Cost'!K438*'Engineering Assumptions'!$B$6</f>
        <v>72072</v>
      </c>
      <c r="L438" s="13">
        <f t="shared" si="20"/>
        <v>577158</v>
      </c>
      <c r="M438" s="13">
        <f>L438*(1+'Engineering Assumptions'!$B$10)</f>
        <v>663731.69999999995</v>
      </c>
    </row>
    <row r="439" spans="1:13" ht="15" customHeight="1" x14ac:dyDescent="0.3">
      <c r="A439" s="9">
        <v>411</v>
      </c>
      <c r="B439" s="46" t="s">
        <v>834</v>
      </c>
      <c r="C439" s="46" t="s">
        <v>886</v>
      </c>
      <c r="D439" s="46" t="s">
        <v>887</v>
      </c>
      <c r="E439" s="46"/>
      <c r="F439" s="48" t="s">
        <v>110</v>
      </c>
      <c r="G439" s="9">
        <v>17</v>
      </c>
      <c r="H439" s="12">
        <f>'Engineering Cost'!H439*'Engineering Assumptions'!$B$6</f>
        <v>378180.00000000006</v>
      </c>
      <c r="I439" s="12">
        <f>IF('Engineering Cost'!I439=0,0,MAX('Engineering Cost'!I439*'Engineering Assumptions'!$B$6,'Engineering Assumptions'!$B$9))</f>
        <v>78000</v>
      </c>
      <c r="J439" s="12">
        <f>'Engineering Cost'!J439*'Engineering Assumptions'!$B$6</f>
        <v>48906</v>
      </c>
      <c r="K439" s="12">
        <f>'Engineering Cost'!K439*'Engineering Assumptions'!$B$6</f>
        <v>72072</v>
      </c>
      <c r="L439" s="13">
        <f t="shared" si="20"/>
        <v>577158</v>
      </c>
      <c r="M439" s="13">
        <f>L439*(1+'Engineering Assumptions'!$B$10)</f>
        <v>663731.69999999995</v>
      </c>
    </row>
    <row r="440" spans="1:13" ht="15" customHeight="1" x14ac:dyDescent="0.3">
      <c r="A440" s="9">
        <v>412</v>
      </c>
      <c r="B440" s="46" t="s">
        <v>834</v>
      </c>
      <c r="C440" s="46" t="s">
        <v>888</v>
      </c>
      <c r="D440" s="46" t="s">
        <v>889</v>
      </c>
      <c r="E440" s="46"/>
      <c r="F440" s="48" t="s">
        <v>110</v>
      </c>
      <c r="G440" s="9">
        <v>17</v>
      </c>
      <c r="H440" s="12">
        <f>'Engineering Cost'!H440*'Engineering Assumptions'!$B$6</f>
        <v>687600</v>
      </c>
      <c r="I440" s="12">
        <f>IF('Engineering Cost'!I440=0,0,MAX('Engineering Cost'!I440*'Engineering Assumptions'!$B$6,'Engineering Assumptions'!$B$9))</f>
        <v>78000</v>
      </c>
      <c r="J440" s="12">
        <f>'Engineering Cost'!J440*'Engineering Assumptions'!$B$6</f>
        <v>88920</v>
      </c>
      <c r="K440" s="12">
        <f>'Engineering Cost'!K440*'Engineering Assumptions'!$B$6</f>
        <v>131040</v>
      </c>
      <c r="L440" s="13">
        <f t="shared" si="20"/>
        <v>985560</v>
      </c>
      <c r="M440" s="13">
        <f>L440*(1+'Engineering Assumptions'!$B$10)</f>
        <v>1133394</v>
      </c>
    </row>
    <row r="441" spans="1:13" ht="15" customHeight="1" x14ac:dyDescent="0.3">
      <c r="A441" s="9">
        <v>413</v>
      </c>
      <c r="B441" s="46" t="s">
        <v>834</v>
      </c>
      <c r="C441" s="46" t="s">
        <v>890</v>
      </c>
      <c r="D441" s="46" t="s">
        <v>891</v>
      </c>
      <c r="E441" s="46"/>
      <c r="F441" s="48" t="s">
        <v>110</v>
      </c>
      <c r="G441" s="9">
        <v>17</v>
      </c>
      <c r="H441" s="12">
        <f>'Engineering Cost'!H441*'Engineering Assumptions'!$B$6</f>
        <v>378180.00000000006</v>
      </c>
      <c r="I441" s="12">
        <f>IF('Engineering Cost'!I441=0,0,MAX('Engineering Cost'!I441*'Engineering Assumptions'!$B$6,'Engineering Assumptions'!$B$9))</f>
        <v>78000</v>
      </c>
      <c r="J441" s="12">
        <f>'Engineering Cost'!J441*'Engineering Assumptions'!$B$6</f>
        <v>48906</v>
      </c>
      <c r="K441" s="12">
        <f>'Engineering Cost'!K441*'Engineering Assumptions'!$B$6</f>
        <v>72072</v>
      </c>
      <c r="L441" s="13">
        <f t="shared" si="20"/>
        <v>577158</v>
      </c>
      <c r="M441" s="13">
        <f>L441*(1+'Engineering Assumptions'!$B$10)</f>
        <v>663731.69999999995</v>
      </c>
    </row>
    <row r="442" spans="1:13" ht="15" customHeight="1" x14ac:dyDescent="0.3">
      <c r="A442" s="9">
        <v>414</v>
      </c>
      <c r="B442" s="46" t="s">
        <v>834</v>
      </c>
      <c r="C442" s="46" t="s">
        <v>188</v>
      </c>
      <c r="D442" s="46" t="s">
        <v>892</v>
      </c>
      <c r="E442" s="46"/>
      <c r="F442" s="48" t="s">
        <v>195</v>
      </c>
      <c r="G442" s="9">
        <v>30</v>
      </c>
      <c r="H442" s="12">
        <f>'Engineering Cost'!H442*'Engineering Assumptions'!$B$6</f>
        <v>687600</v>
      </c>
      <c r="I442" s="12">
        <f>IF('Engineering Cost'!I442=0,0,MAX('Engineering Cost'!I442*'Engineering Assumptions'!$B$6,'Engineering Assumptions'!$B$9))</f>
        <v>78000</v>
      </c>
      <c r="J442" s="12">
        <f>'Engineering Cost'!J442*'Engineering Assumptions'!$B$6</f>
        <v>109440</v>
      </c>
      <c r="K442" s="12">
        <f>'Engineering Cost'!K442*'Engineering Assumptions'!$B$6</f>
        <v>187200</v>
      </c>
      <c r="L442" s="13">
        <f t="shared" si="20"/>
        <v>1062240</v>
      </c>
      <c r="M442" s="13">
        <f>L442*(1+'Engineering Assumptions'!$B$10)</f>
        <v>1221576</v>
      </c>
    </row>
    <row r="443" spans="1:13" ht="15" customHeight="1" x14ac:dyDescent="0.3">
      <c r="A443" s="9">
        <v>415</v>
      </c>
      <c r="B443" s="46" t="s">
        <v>834</v>
      </c>
      <c r="C443" s="46" t="s">
        <v>893</v>
      </c>
      <c r="D443" s="46" t="s">
        <v>894</v>
      </c>
      <c r="E443" s="46">
        <v>14160</v>
      </c>
      <c r="F443" s="48" t="s">
        <v>195</v>
      </c>
      <c r="G443" s="9">
        <v>30</v>
      </c>
      <c r="H443" s="12">
        <f>'Engineering Cost'!H443*'Engineering Assumptions'!$B$6</f>
        <v>893880</v>
      </c>
      <c r="I443" s="12">
        <f>IF('Engineering Cost'!I443=0,0,MAX('Engineering Cost'!I443*'Engineering Assumptions'!$B$6,'Engineering Assumptions'!$B$9))</f>
        <v>78000</v>
      </c>
      <c r="J443" s="12">
        <f>'Engineering Cost'!J443*'Engineering Assumptions'!$B$6</f>
        <v>142272.00000000003</v>
      </c>
      <c r="K443" s="12">
        <f>'Engineering Cost'!K443*'Engineering Assumptions'!$B$6</f>
        <v>243360</v>
      </c>
      <c r="L443" s="13">
        <f t="shared" si="20"/>
        <v>1357512</v>
      </c>
      <c r="M443" s="13">
        <f>L443*(1+'Engineering Assumptions'!$B$10)</f>
        <v>1561138.7999999998</v>
      </c>
    </row>
    <row r="444" spans="1:13" ht="15" customHeight="1" x14ac:dyDescent="0.3">
      <c r="A444" s="9">
        <v>416</v>
      </c>
      <c r="B444" s="46" t="s">
        <v>834</v>
      </c>
      <c r="C444" s="46" t="s">
        <v>895</v>
      </c>
      <c r="D444" s="46" t="s">
        <v>896</v>
      </c>
      <c r="E444" s="46"/>
      <c r="F444" s="48" t="s">
        <v>195</v>
      </c>
      <c r="G444" s="9">
        <v>30</v>
      </c>
      <c r="H444" s="12">
        <f>'Engineering Cost'!H444*'Engineering Assumptions'!$B$6</f>
        <v>446940</v>
      </c>
      <c r="I444" s="12">
        <f>IF('Engineering Cost'!I444=0,0,MAX('Engineering Cost'!I444*'Engineering Assumptions'!$B$6,'Engineering Assumptions'!$B$9))</f>
        <v>78000</v>
      </c>
      <c r="J444" s="12">
        <f>'Engineering Cost'!J444*'Engineering Assumptions'!$B$6</f>
        <v>71136.000000000015</v>
      </c>
      <c r="K444" s="12">
        <f>'Engineering Cost'!K444*'Engineering Assumptions'!$B$6</f>
        <v>121680</v>
      </c>
      <c r="L444" s="13">
        <f t="shared" si="20"/>
        <v>717756</v>
      </c>
      <c r="M444" s="13">
        <f>L444*(1+'Engineering Assumptions'!$B$10)</f>
        <v>825419.39999999991</v>
      </c>
    </row>
    <row r="445" spans="1:13" ht="15" customHeight="1" x14ac:dyDescent="0.3">
      <c r="A445" s="9">
        <v>417</v>
      </c>
      <c r="B445" s="46" t="s">
        <v>834</v>
      </c>
      <c r="C445" s="46" t="s">
        <v>897</v>
      </c>
      <c r="D445" s="46" t="s">
        <v>898</v>
      </c>
      <c r="E445" s="46"/>
      <c r="F445" s="48" t="s">
        <v>195</v>
      </c>
      <c r="G445" s="9">
        <v>30</v>
      </c>
      <c r="H445" s="12">
        <f>'Engineering Cost'!H445*'Engineering Assumptions'!$B$6</f>
        <v>756360.00000000012</v>
      </c>
      <c r="I445" s="12">
        <f>IF('Engineering Cost'!I445=0,0,MAX('Engineering Cost'!I445*'Engineering Assumptions'!$B$6,'Engineering Assumptions'!$B$9))</f>
        <v>78000</v>
      </c>
      <c r="J445" s="12">
        <f>'Engineering Cost'!J445*'Engineering Assumptions'!$B$6</f>
        <v>120384</v>
      </c>
      <c r="K445" s="12">
        <f>'Engineering Cost'!K445*'Engineering Assumptions'!$B$6</f>
        <v>205920.00000000003</v>
      </c>
      <c r="L445" s="13">
        <f t="shared" si="20"/>
        <v>1160664.0000000002</v>
      </c>
      <c r="M445" s="13">
        <f>L445*(1+'Engineering Assumptions'!$B$10)</f>
        <v>1334763.6000000001</v>
      </c>
    </row>
    <row r="446" spans="1:13" ht="15" customHeight="1" x14ac:dyDescent="0.3">
      <c r="A446" s="9">
        <v>418</v>
      </c>
      <c r="B446" s="46" t="s">
        <v>834</v>
      </c>
      <c r="C446" s="46" t="s">
        <v>899</v>
      </c>
      <c r="D446" s="46" t="s">
        <v>900</v>
      </c>
      <c r="E446" s="46"/>
      <c r="F446" s="48" t="s">
        <v>195</v>
      </c>
      <c r="G446" s="9">
        <v>30</v>
      </c>
      <c r="H446" s="12">
        <f>'Engineering Cost'!H446*'Engineering Assumptions'!$B$6</f>
        <v>893880</v>
      </c>
      <c r="I446" s="12">
        <f>IF('Engineering Cost'!I446=0,0,MAX('Engineering Cost'!I446*'Engineering Assumptions'!$B$6,'Engineering Assumptions'!$B$9))</f>
        <v>78000</v>
      </c>
      <c r="J446" s="12">
        <f>'Engineering Cost'!J446*'Engineering Assumptions'!$B$6</f>
        <v>142272.00000000003</v>
      </c>
      <c r="K446" s="12">
        <f>'Engineering Cost'!K446*'Engineering Assumptions'!$B$6</f>
        <v>243360</v>
      </c>
      <c r="L446" s="13">
        <f t="shared" si="20"/>
        <v>1357512</v>
      </c>
      <c r="M446" s="13">
        <f>L446*(1+'Engineering Assumptions'!$B$10)</f>
        <v>1561138.7999999998</v>
      </c>
    </row>
    <row r="447" spans="1:13" ht="15" customHeight="1" x14ac:dyDescent="0.3">
      <c r="A447" s="9">
        <v>419</v>
      </c>
      <c r="B447" s="46" t="s">
        <v>834</v>
      </c>
      <c r="C447" s="46" t="s">
        <v>901</v>
      </c>
      <c r="D447" s="46" t="s">
        <v>902</v>
      </c>
      <c r="E447" s="46"/>
      <c r="F447" s="48" t="s">
        <v>195</v>
      </c>
      <c r="G447" s="9">
        <v>30</v>
      </c>
      <c r="H447" s="12">
        <f>'Engineering Cost'!H447*'Engineering Assumptions'!$B$6</f>
        <v>756360.00000000012</v>
      </c>
      <c r="I447" s="12">
        <f>IF('Engineering Cost'!I447=0,0,MAX('Engineering Cost'!I447*'Engineering Assumptions'!$B$6,'Engineering Assumptions'!$B$9))</f>
        <v>78000</v>
      </c>
      <c r="J447" s="12">
        <f>'Engineering Cost'!J447*'Engineering Assumptions'!$B$6</f>
        <v>120384</v>
      </c>
      <c r="K447" s="12">
        <f>'Engineering Cost'!K447*'Engineering Assumptions'!$B$6</f>
        <v>205920.00000000003</v>
      </c>
      <c r="L447" s="13">
        <f t="shared" si="20"/>
        <v>1160664.0000000002</v>
      </c>
      <c r="M447" s="13">
        <f>L447*(1+'Engineering Assumptions'!$B$10)</f>
        <v>1334763.6000000001</v>
      </c>
    </row>
    <row r="448" spans="1:13" ht="15" customHeight="1" x14ac:dyDescent="0.3">
      <c r="A448" s="9">
        <v>420</v>
      </c>
      <c r="B448" s="46" t="s">
        <v>834</v>
      </c>
      <c r="C448" s="46" t="s">
        <v>903</v>
      </c>
      <c r="D448" s="46" t="s">
        <v>904</v>
      </c>
      <c r="E448" s="46"/>
      <c r="F448" s="48" t="s">
        <v>195</v>
      </c>
      <c r="G448" s="9">
        <v>30</v>
      </c>
      <c r="H448" s="12">
        <f>'Engineering Cost'!H448*'Engineering Assumptions'!$B$6</f>
        <v>584460</v>
      </c>
      <c r="I448" s="12">
        <f>IF('Engineering Cost'!I448=0,0,MAX('Engineering Cost'!I448*'Engineering Assumptions'!$B$6,'Engineering Assumptions'!$B$9))</f>
        <v>78000</v>
      </c>
      <c r="J448" s="12">
        <f>'Engineering Cost'!J448*'Engineering Assumptions'!$B$6</f>
        <v>93023.999999999985</v>
      </c>
      <c r="K448" s="12">
        <f>'Engineering Cost'!K448*'Engineering Assumptions'!$B$6</f>
        <v>159120</v>
      </c>
      <c r="L448" s="13">
        <f t="shared" si="20"/>
        <v>914604</v>
      </c>
      <c r="M448" s="13">
        <f>L448*(1+'Engineering Assumptions'!$B$10)</f>
        <v>1051794.5999999999</v>
      </c>
    </row>
    <row r="449" spans="1:13" ht="15" customHeight="1" x14ac:dyDescent="0.3">
      <c r="A449" s="9">
        <v>421</v>
      </c>
      <c r="B449" s="46" t="s">
        <v>834</v>
      </c>
      <c r="C449" s="46" t="s">
        <v>905</v>
      </c>
      <c r="D449" s="46" t="s">
        <v>906</v>
      </c>
      <c r="E449" s="46"/>
      <c r="F449" s="48" t="s">
        <v>195</v>
      </c>
      <c r="G449" s="9">
        <v>30</v>
      </c>
      <c r="H449" s="12">
        <f>'Engineering Cost'!H449*'Engineering Assumptions'!$B$6</f>
        <v>721980</v>
      </c>
      <c r="I449" s="12">
        <f>IF('Engineering Cost'!I449=0,0,MAX('Engineering Cost'!I449*'Engineering Assumptions'!$B$6,'Engineering Assumptions'!$B$9))</f>
        <v>78000</v>
      </c>
      <c r="J449" s="12">
        <f>'Engineering Cost'!J449*'Engineering Assumptions'!$B$6</f>
        <v>114912</v>
      </c>
      <c r="K449" s="12">
        <f>'Engineering Cost'!K449*'Engineering Assumptions'!$B$6</f>
        <v>196560</v>
      </c>
      <c r="L449" s="13">
        <f t="shared" si="20"/>
        <v>1111452</v>
      </c>
      <c r="M449" s="13">
        <f>L449*(1+'Engineering Assumptions'!$B$10)</f>
        <v>1278169.7999999998</v>
      </c>
    </row>
    <row r="450" spans="1:13" ht="15" customHeight="1" x14ac:dyDescent="0.3">
      <c r="A450" s="199" t="s">
        <v>907</v>
      </c>
      <c r="B450" s="200"/>
      <c r="C450" s="200"/>
      <c r="D450" s="200"/>
      <c r="E450" s="200"/>
      <c r="F450" s="200"/>
      <c r="G450" s="200"/>
      <c r="H450" s="200"/>
      <c r="I450" s="200"/>
      <c r="J450" s="200"/>
      <c r="K450" s="200"/>
      <c r="L450" s="200"/>
      <c r="M450" s="200"/>
    </row>
    <row r="451" spans="1:13" ht="15" customHeight="1" x14ac:dyDescent="0.3">
      <c r="A451" s="9">
        <v>422</v>
      </c>
      <c r="B451" s="46" t="s">
        <v>908</v>
      </c>
      <c r="C451" s="46" t="s">
        <v>909</v>
      </c>
      <c r="D451" s="46" t="s">
        <v>910</v>
      </c>
      <c r="E451" s="46" t="s">
        <v>911</v>
      </c>
      <c r="F451" s="48" t="s">
        <v>165</v>
      </c>
      <c r="G451" s="9">
        <v>8</v>
      </c>
      <c r="H451" s="12">
        <f>'Engineering Cost'!H451*'Engineering Assumptions'!$B$6</f>
        <v>160440</v>
      </c>
      <c r="I451" s="12">
        <f>IF('Engineering Cost'!I451=0,0,MAX('Engineering Cost'!I451*'Engineering Assumptions'!$B$6,'Engineering Assumptions'!$B$9))</f>
        <v>78000</v>
      </c>
      <c r="J451" s="12">
        <f>'Engineering Cost'!J451*'Engineering Assumptions'!$B$6</f>
        <v>18000</v>
      </c>
      <c r="K451" s="12">
        <f>'Engineering Cost'!K451*'Engineering Assumptions'!$B$6</f>
        <v>13500</v>
      </c>
      <c r="L451" s="13">
        <f t="shared" ref="L451:L469" si="21">SUM(H451:K451)</f>
        <v>269940</v>
      </c>
      <c r="M451" s="13">
        <f>L451*(1+'Engineering Assumptions'!$B$10)</f>
        <v>310431</v>
      </c>
    </row>
    <row r="452" spans="1:13" ht="15" customHeight="1" x14ac:dyDescent="0.3">
      <c r="A452" s="9">
        <v>423</v>
      </c>
      <c r="B452" s="46" t="s">
        <v>908</v>
      </c>
      <c r="C452" s="46" t="s">
        <v>779</v>
      </c>
      <c r="D452" s="46" t="s">
        <v>912</v>
      </c>
      <c r="E452" s="46" t="s">
        <v>913</v>
      </c>
      <c r="F452" s="48" t="s">
        <v>458</v>
      </c>
      <c r="G452" s="9">
        <v>15</v>
      </c>
      <c r="H452" s="12">
        <f>'Engineering Cost'!H452*'Engineering Assumptions'!$B$6</f>
        <v>160440</v>
      </c>
      <c r="I452" s="12">
        <f>IF('Engineering Cost'!I452=0,0,MAX('Engineering Cost'!I452*'Engineering Assumptions'!$B$6,'Engineering Assumptions'!$B$9))</f>
        <v>78000</v>
      </c>
      <c r="J452" s="12">
        <f>'Engineering Cost'!J452*'Engineering Assumptions'!$B$6</f>
        <v>22320</v>
      </c>
      <c r="K452" s="12">
        <f>'Engineering Cost'!K452*'Engineering Assumptions'!$B$6</f>
        <v>24300</v>
      </c>
      <c r="L452" s="13">
        <f t="shared" si="21"/>
        <v>285060</v>
      </c>
      <c r="M452" s="13">
        <f>L452*(1+'Engineering Assumptions'!$B$10)</f>
        <v>327819</v>
      </c>
    </row>
    <row r="453" spans="1:13" ht="15" customHeight="1" x14ac:dyDescent="0.3">
      <c r="A453" s="9">
        <v>424</v>
      </c>
      <c r="B453" s="46" t="s">
        <v>908</v>
      </c>
      <c r="C453" s="46" t="s">
        <v>914</v>
      </c>
      <c r="D453" s="46" t="s">
        <v>915</v>
      </c>
      <c r="E453" s="46" t="s">
        <v>789</v>
      </c>
      <c r="F453" s="48" t="s">
        <v>440</v>
      </c>
      <c r="G453" s="9">
        <v>21</v>
      </c>
      <c r="H453" s="12">
        <f>'Engineering Cost'!H453*'Engineering Assumptions'!$B$6</f>
        <v>160440</v>
      </c>
      <c r="I453" s="12">
        <f>IF('Engineering Cost'!I453=0,0,MAX('Engineering Cost'!I453*'Engineering Assumptions'!$B$6,'Engineering Assumptions'!$B$9))</f>
        <v>78000</v>
      </c>
      <c r="J453" s="12">
        <f>'Engineering Cost'!J453*'Engineering Assumptions'!$B$6</f>
        <v>34560</v>
      </c>
      <c r="K453" s="12">
        <f>'Engineering Cost'!K453*'Engineering Assumptions'!$B$6</f>
        <v>54000</v>
      </c>
      <c r="L453" s="13">
        <f t="shared" si="21"/>
        <v>327000</v>
      </c>
      <c r="M453" s="13">
        <f>L453*(1+'Engineering Assumptions'!$B$10)</f>
        <v>376050</v>
      </c>
    </row>
    <row r="454" spans="1:13" ht="15" customHeight="1" x14ac:dyDescent="0.3">
      <c r="A454" s="9">
        <v>425</v>
      </c>
      <c r="B454" s="46" t="s">
        <v>908</v>
      </c>
      <c r="C454" s="46" t="s">
        <v>914</v>
      </c>
      <c r="D454" s="46" t="s">
        <v>916</v>
      </c>
      <c r="E454" s="46" t="s">
        <v>807</v>
      </c>
      <c r="F454" s="48" t="s">
        <v>139</v>
      </c>
      <c r="G454" s="9">
        <v>23</v>
      </c>
      <c r="H454" s="12">
        <f>'Engineering Cost'!H454*'Engineering Assumptions'!$B$6</f>
        <v>160440</v>
      </c>
      <c r="I454" s="12">
        <f>IF('Engineering Cost'!I454=0,0,MAX('Engineering Cost'!I454*'Engineering Assumptions'!$B$6,'Engineering Assumptions'!$B$9))</f>
        <v>78000</v>
      </c>
      <c r="J454" s="12">
        <f>'Engineering Cost'!J454*'Engineering Assumptions'!$B$6</f>
        <v>34560</v>
      </c>
      <c r="K454" s="12">
        <f>'Engineering Cost'!K454*'Engineering Assumptions'!$B$6</f>
        <v>54000</v>
      </c>
      <c r="L454" s="13">
        <f t="shared" si="21"/>
        <v>327000</v>
      </c>
      <c r="M454" s="13">
        <f>L454*(1+'Engineering Assumptions'!$B$10)</f>
        <v>376050</v>
      </c>
    </row>
    <row r="455" spans="1:13" ht="15" customHeight="1" x14ac:dyDescent="0.3">
      <c r="A455" s="9">
        <v>426</v>
      </c>
      <c r="B455" s="46" t="s">
        <v>908</v>
      </c>
      <c r="C455" s="46" t="s">
        <v>917</v>
      </c>
      <c r="D455" s="46" t="s">
        <v>918</v>
      </c>
      <c r="E455" s="46" t="s">
        <v>919</v>
      </c>
      <c r="F455" s="48" t="s">
        <v>143</v>
      </c>
      <c r="G455" s="9">
        <v>26</v>
      </c>
      <c r="H455" s="12">
        <f>'Engineering Cost'!H455*'Engineering Assumptions'!$B$6</f>
        <v>160440</v>
      </c>
      <c r="I455" s="12">
        <f>IF('Engineering Cost'!I455=0,0,MAX('Engineering Cost'!I455*'Engineering Assumptions'!$B$6,'Engineering Assumptions'!$B$9))</f>
        <v>78000</v>
      </c>
      <c r="J455" s="12">
        <f>'Engineering Cost'!J455*'Engineering Assumptions'!$B$6</f>
        <v>34560</v>
      </c>
      <c r="K455" s="12">
        <f>'Engineering Cost'!K455*'Engineering Assumptions'!$B$6</f>
        <v>54000</v>
      </c>
      <c r="L455" s="13">
        <f t="shared" si="21"/>
        <v>327000</v>
      </c>
      <c r="M455" s="13">
        <f>L455*(1+'Engineering Assumptions'!$B$10)</f>
        <v>376050</v>
      </c>
    </row>
    <row r="456" spans="1:13" ht="15" customHeight="1" x14ac:dyDescent="0.3">
      <c r="A456" s="9">
        <v>427</v>
      </c>
      <c r="B456" s="46" t="s">
        <v>908</v>
      </c>
      <c r="C456" s="46" t="s">
        <v>920</v>
      </c>
      <c r="D456" s="46" t="s">
        <v>921</v>
      </c>
      <c r="E456" s="46" t="s">
        <v>922</v>
      </c>
      <c r="F456" s="48" t="s">
        <v>537</v>
      </c>
      <c r="G456" s="9">
        <v>29</v>
      </c>
      <c r="H456" s="12">
        <f>'Engineering Cost'!H456*'Engineering Assumptions'!$B$6</f>
        <v>160440</v>
      </c>
      <c r="I456" s="12">
        <f>IF('Engineering Cost'!I456=0,0,MAX('Engineering Cost'!I456*'Engineering Assumptions'!$B$6,'Engineering Assumptions'!$B$9))</f>
        <v>78000</v>
      </c>
      <c r="J456" s="12">
        <f>'Engineering Cost'!J456*'Engineering Assumptions'!$B$6</f>
        <v>34560</v>
      </c>
      <c r="K456" s="12">
        <f>'Engineering Cost'!K456*'Engineering Assumptions'!$B$6</f>
        <v>54000</v>
      </c>
      <c r="L456" s="13">
        <f t="shared" si="21"/>
        <v>327000</v>
      </c>
      <c r="M456" s="13">
        <f>L456*(1+'Engineering Assumptions'!$B$10)</f>
        <v>376050</v>
      </c>
    </row>
    <row r="457" spans="1:13" ht="15" customHeight="1" x14ac:dyDescent="0.3">
      <c r="A457" s="9">
        <v>428</v>
      </c>
      <c r="B457" s="46" t="s">
        <v>908</v>
      </c>
      <c r="C457" s="46" t="s">
        <v>923</v>
      </c>
      <c r="D457" s="46" t="s">
        <v>924</v>
      </c>
      <c r="E457" s="46" t="s">
        <v>925</v>
      </c>
      <c r="F457" s="48" t="s">
        <v>159</v>
      </c>
      <c r="G457" s="9">
        <v>35</v>
      </c>
      <c r="H457" s="12">
        <f>'Engineering Cost'!H457*'Engineering Assumptions'!$B$6</f>
        <v>160440</v>
      </c>
      <c r="I457" s="12">
        <f>IF('Engineering Cost'!I457=0,0,MAX('Engineering Cost'!I457*'Engineering Assumptions'!$B$6,'Engineering Assumptions'!$B$9))</f>
        <v>78000</v>
      </c>
      <c r="J457" s="12">
        <f>'Engineering Cost'!J457*'Engineering Assumptions'!$B$6</f>
        <v>34560</v>
      </c>
      <c r="K457" s="12">
        <f>'Engineering Cost'!K457*'Engineering Assumptions'!$B$6</f>
        <v>54000</v>
      </c>
      <c r="L457" s="13">
        <f t="shared" si="21"/>
        <v>327000</v>
      </c>
      <c r="M457" s="13">
        <f>L457*(1+'Engineering Assumptions'!$B$10)</f>
        <v>376050</v>
      </c>
    </row>
    <row r="458" spans="1:13" ht="15" customHeight="1" x14ac:dyDescent="0.3">
      <c r="A458" s="9">
        <v>429</v>
      </c>
      <c r="B458" s="46" t="s">
        <v>908</v>
      </c>
      <c r="C458" s="46" t="s">
        <v>188</v>
      </c>
      <c r="D458" s="46" t="s">
        <v>926</v>
      </c>
      <c r="E458" s="46"/>
      <c r="F458" s="48" t="s">
        <v>195</v>
      </c>
      <c r="G458" s="9">
        <v>30</v>
      </c>
      <c r="H458" s="12">
        <f>'Engineering Cost'!H458*'Engineering Assumptions'!$B$6</f>
        <v>160440</v>
      </c>
      <c r="I458" s="12">
        <f>IF('Engineering Cost'!I458=0,0,MAX('Engineering Cost'!I458*'Engineering Assumptions'!$B$6,'Engineering Assumptions'!$B$9))</f>
        <v>78000</v>
      </c>
      <c r="J458" s="12">
        <f>'Engineering Cost'!J458*'Engineering Assumptions'!$B$6</f>
        <v>34560</v>
      </c>
      <c r="K458" s="12">
        <f>'Engineering Cost'!K458*'Engineering Assumptions'!$B$6</f>
        <v>54000</v>
      </c>
      <c r="L458" s="13">
        <f t="shared" si="21"/>
        <v>327000</v>
      </c>
      <c r="M458" s="13">
        <f>L458*(1+'Engineering Assumptions'!$B$10)</f>
        <v>376050</v>
      </c>
    </row>
    <row r="459" spans="1:13" ht="15" customHeight="1" x14ac:dyDescent="0.3">
      <c r="A459" s="9">
        <v>430</v>
      </c>
      <c r="B459" s="46" t="s">
        <v>908</v>
      </c>
      <c r="C459" s="46" t="s">
        <v>188</v>
      </c>
      <c r="D459" s="46" t="s">
        <v>927</v>
      </c>
      <c r="E459" s="46" t="s">
        <v>928</v>
      </c>
      <c r="F459" s="48" t="s">
        <v>195</v>
      </c>
      <c r="G459" s="9">
        <v>30</v>
      </c>
      <c r="H459" s="12">
        <f>'Engineering Cost'!H459*'Engineering Assumptions'!$B$6</f>
        <v>160440</v>
      </c>
      <c r="I459" s="12">
        <f>IF('Engineering Cost'!I459=0,0,MAX('Engineering Cost'!I459*'Engineering Assumptions'!$B$6,'Engineering Assumptions'!$B$9))</f>
        <v>78000</v>
      </c>
      <c r="J459" s="12">
        <f>'Engineering Cost'!J459*'Engineering Assumptions'!$B$6</f>
        <v>34560</v>
      </c>
      <c r="K459" s="12">
        <f>'Engineering Cost'!K459*'Engineering Assumptions'!$B$6</f>
        <v>54000</v>
      </c>
      <c r="L459" s="13">
        <f t="shared" si="21"/>
        <v>327000</v>
      </c>
      <c r="M459" s="13">
        <f>L459*(1+'Engineering Assumptions'!$B$10)</f>
        <v>376050</v>
      </c>
    </row>
    <row r="460" spans="1:13" ht="15" customHeight="1" x14ac:dyDescent="0.3">
      <c r="A460" s="9">
        <v>431</v>
      </c>
      <c r="B460" s="46" t="s">
        <v>908</v>
      </c>
      <c r="C460" s="46" t="s">
        <v>188</v>
      </c>
      <c r="D460" s="46" t="s">
        <v>929</v>
      </c>
      <c r="E460" s="46" t="s">
        <v>930</v>
      </c>
      <c r="F460" s="48" t="s">
        <v>195</v>
      </c>
      <c r="G460" s="9">
        <v>30</v>
      </c>
      <c r="H460" s="12">
        <f>'Engineering Cost'!H460*'Engineering Assumptions'!$B$6</f>
        <v>160440</v>
      </c>
      <c r="I460" s="12">
        <f>IF('Engineering Cost'!I460=0,0,MAX('Engineering Cost'!I460*'Engineering Assumptions'!$B$6,'Engineering Assumptions'!$B$9))</f>
        <v>78000</v>
      </c>
      <c r="J460" s="12">
        <f>'Engineering Cost'!J460*'Engineering Assumptions'!$B$6</f>
        <v>34560</v>
      </c>
      <c r="K460" s="12">
        <f>'Engineering Cost'!K460*'Engineering Assumptions'!$B$6</f>
        <v>54000</v>
      </c>
      <c r="L460" s="13">
        <f t="shared" si="21"/>
        <v>327000</v>
      </c>
      <c r="M460" s="13">
        <f>L460*(1+'Engineering Assumptions'!$B$10)</f>
        <v>376050</v>
      </c>
    </row>
    <row r="461" spans="1:13" ht="15" customHeight="1" x14ac:dyDescent="0.3">
      <c r="A461" s="9">
        <v>432</v>
      </c>
      <c r="B461" s="46" t="s">
        <v>908</v>
      </c>
      <c r="C461" s="46" t="s">
        <v>188</v>
      </c>
      <c r="D461" s="46" t="s">
        <v>931</v>
      </c>
      <c r="E461" s="46" t="s">
        <v>932</v>
      </c>
      <c r="F461" s="48" t="s">
        <v>195</v>
      </c>
      <c r="G461" s="9">
        <v>30</v>
      </c>
      <c r="H461" s="12">
        <f>'Engineering Cost'!H461*'Engineering Assumptions'!$B$6</f>
        <v>160440</v>
      </c>
      <c r="I461" s="12">
        <f>IF('Engineering Cost'!I461=0,0,MAX('Engineering Cost'!I461*'Engineering Assumptions'!$B$6,'Engineering Assumptions'!$B$9))</f>
        <v>78000</v>
      </c>
      <c r="J461" s="12">
        <f>'Engineering Cost'!J461*'Engineering Assumptions'!$B$6</f>
        <v>34560</v>
      </c>
      <c r="K461" s="12">
        <f>'Engineering Cost'!K461*'Engineering Assumptions'!$B$6</f>
        <v>54000</v>
      </c>
      <c r="L461" s="13">
        <f t="shared" si="21"/>
        <v>327000</v>
      </c>
      <c r="M461" s="13">
        <f>L461*(1+'Engineering Assumptions'!$B$10)</f>
        <v>376050</v>
      </c>
    </row>
    <row r="462" spans="1:13" ht="15" customHeight="1" x14ac:dyDescent="0.3">
      <c r="A462" s="9">
        <v>433</v>
      </c>
      <c r="B462" s="46" t="s">
        <v>908</v>
      </c>
      <c r="C462" s="46" t="s">
        <v>188</v>
      </c>
      <c r="D462" s="46" t="s">
        <v>933</v>
      </c>
      <c r="E462" s="46" t="s">
        <v>934</v>
      </c>
      <c r="F462" s="48" t="s">
        <v>195</v>
      </c>
      <c r="G462" s="9">
        <v>30</v>
      </c>
      <c r="H462" s="12">
        <f>'Engineering Cost'!H462*'Engineering Assumptions'!$B$6</f>
        <v>160440</v>
      </c>
      <c r="I462" s="12">
        <f>IF('Engineering Cost'!I462=0,0,MAX('Engineering Cost'!I462*'Engineering Assumptions'!$B$6,'Engineering Assumptions'!$B$9))</f>
        <v>78000</v>
      </c>
      <c r="J462" s="12">
        <f>'Engineering Cost'!J462*'Engineering Assumptions'!$B$6</f>
        <v>34560</v>
      </c>
      <c r="K462" s="12">
        <f>'Engineering Cost'!K462*'Engineering Assumptions'!$B$6</f>
        <v>54000</v>
      </c>
      <c r="L462" s="13">
        <f t="shared" si="21"/>
        <v>327000</v>
      </c>
      <c r="M462" s="13">
        <f>L462*(1+'Engineering Assumptions'!$B$10)</f>
        <v>376050</v>
      </c>
    </row>
    <row r="463" spans="1:13" ht="15" customHeight="1" x14ac:dyDescent="0.3">
      <c r="A463" s="9">
        <v>434</v>
      </c>
      <c r="B463" s="46" t="s">
        <v>908</v>
      </c>
      <c r="C463" s="46" t="s">
        <v>188</v>
      </c>
      <c r="D463" s="46" t="s">
        <v>935</v>
      </c>
      <c r="E463" s="46"/>
      <c r="F463" s="48" t="s">
        <v>195</v>
      </c>
      <c r="G463" s="9">
        <v>30</v>
      </c>
      <c r="H463" s="12">
        <f>'Engineering Cost'!H463*'Engineering Assumptions'!$B$6</f>
        <v>160440</v>
      </c>
      <c r="I463" s="12">
        <f>IF('Engineering Cost'!I463=0,0,MAX('Engineering Cost'!I463*'Engineering Assumptions'!$B$6,'Engineering Assumptions'!$B$9))</f>
        <v>78000</v>
      </c>
      <c r="J463" s="12">
        <f>'Engineering Cost'!J463*'Engineering Assumptions'!$B$6</f>
        <v>34560</v>
      </c>
      <c r="K463" s="12">
        <f>'Engineering Cost'!K463*'Engineering Assumptions'!$B$6</f>
        <v>54000</v>
      </c>
      <c r="L463" s="13">
        <f t="shared" si="21"/>
        <v>327000</v>
      </c>
      <c r="M463" s="13">
        <f>L463*(1+'Engineering Assumptions'!$B$10)</f>
        <v>376050</v>
      </c>
    </row>
    <row r="464" spans="1:13" ht="15" customHeight="1" x14ac:dyDescent="0.3">
      <c r="A464" s="9">
        <v>435</v>
      </c>
      <c r="B464" s="46" t="s">
        <v>908</v>
      </c>
      <c r="C464" s="46" t="s">
        <v>188</v>
      </c>
      <c r="D464" s="46" t="s">
        <v>936</v>
      </c>
      <c r="E464" s="46"/>
      <c r="F464" s="48" t="s">
        <v>195</v>
      </c>
      <c r="G464" s="9">
        <v>30</v>
      </c>
      <c r="H464" s="12">
        <f>'Engineering Cost'!H464*'Engineering Assumptions'!$B$6</f>
        <v>160440</v>
      </c>
      <c r="I464" s="12">
        <f>IF('Engineering Cost'!I464=0,0,MAX('Engineering Cost'!I464*'Engineering Assumptions'!$B$6,'Engineering Assumptions'!$B$9))</f>
        <v>78000</v>
      </c>
      <c r="J464" s="12">
        <f>'Engineering Cost'!J464*'Engineering Assumptions'!$B$6</f>
        <v>34560</v>
      </c>
      <c r="K464" s="12">
        <f>'Engineering Cost'!K464*'Engineering Assumptions'!$B$6</f>
        <v>54000</v>
      </c>
      <c r="L464" s="13">
        <f t="shared" si="21"/>
        <v>327000</v>
      </c>
      <c r="M464" s="13">
        <f>L464*(1+'Engineering Assumptions'!$B$10)</f>
        <v>376050</v>
      </c>
    </row>
    <row r="465" spans="1:13" ht="15" customHeight="1" x14ac:dyDescent="0.3">
      <c r="A465" s="9">
        <v>436</v>
      </c>
      <c r="B465" s="46" t="s">
        <v>908</v>
      </c>
      <c r="C465" s="46" t="s">
        <v>188</v>
      </c>
      <c r="D465" s="46" t="s">
        <v>937</v>
      </c>
      <c r="E465" s="46" t="s">
        <v>938</v>
      </c>
      <c r="F465" s="48" t="s">
        <v>195</v>
      </c>
      <c r="G465" s="9">
        <v>30</v>
      </c>
      <c r="H465" s="12">
        <f>'Engineering Cost'!H465*'Engineering Assumptions'!$B$6</f>
        <v>160440</v>
      </c>
      <c r="I465" s="12">
        <f>IF('Engineering Cost'!I465=0,0,MAX('Engineering Cost'!I465*'Engineering Assumptions'!$B$6,'Engineering Assumptions'!$B$9))</f>
        <v>78000</v>
      </c>
      <c r="J465" s="12">
        <f>'Engineering Cost'!J465*'Engineering Assumptions'!$B$6</f>
        <v>34560</v>
      </c>
      <c r="K465" s="12">
        <f>'Engineering Cost'!K465*'Engineering Assumptions'!$B$6</f>
        <v>54000</v>
      </c>
      <c r="L465" s="13">
        <f t="shared" si="21"/>
        <v>327000</v>
      </c>
      <c r="M465" s="13">
        <f>L465*(1+'Engineering Assumptions'!$B$10)</f>
        <v>376050</v>
      </c>
    </row>
    <row r="466" spans="1:13" ht="15" customHeight="1" x14ac:dyDescent="0.3">
      <c r="A466" s="9">
        <v>437</v>
      </c>
      <c r="B466" s="46" t="s">
        <v>908</v>
      </c>
      <c r="C466" s="46" t="s">
        <v>188</v>
      </c>
      <c r="D466" s="46" t="s">
        <v>939</v>
      </c>
      <c r="E466" s="46"/>
      <c r="F466" s="48" t="s">
        <v>195</v>
      </c>
      <c r="G466" s="9">
        <v>30</v>
      </c>
      <c r="H466" s="12">
        <f>'Engineering Cost'!H466*'Engineering Assumptions'!$B$6</f>
        <v>160440</v>
      </c>
      <c r="I466" s="12">
        <f>IF('Engineering Cost'!I466=0,0,MAX('Engineering Cost'!I466*'Engineering Assumptions'!$B$6,'Engineering Assumptions'!$B$9))</f>
        <v>78000</v>
      </c>
      <c r="J466" s="12">
        <f>'Engineering Cost'!J466*'Engineering Assumptions'!$B$6</f>
        <v>34560</v>
      </c>
      <c r="K466" s="12">
        <f>'Engineering Cost'!K466*'Engineering Assumptions'!$B$6</f>
        <v>54000</v>
      </c>
      <c r="L466" s="13">
        <f t="shared" si="21"/>
        <v>327000</v>
      </c>
      <c r="M466" s="13">
        <f>L466*(1+'Engineering Assumptions'!$B$10)</f>
        <v>376050</v>
      </c>
    </row>
    <row r="467" spans="1:13" ht="15" customHeight="1" x14ac:dyDescent="0.3">
      <c r="A467" s="9">
        <v>438</v>
      </c>
      <c r="B467" s="46" t="s">
        <v>908</v>
      </c>
      <c r="C467" s="46" t="s">
        <v>188</v>
      </c>
      <c r="D467" s="46" t="s">
        <v>940</v>
      </c>
      <c r="E467" s="46"/>
      <c r="F467" s="48" t="s">
        <v>195</v>
      </c>
      <c r="G467" s="9">
        <v>30</v>
      </c>
      <c r="H467" s="12">
        <f>'Engineering Cost'!H467*'Engineering Assumptions'!$B$6</f>
        <v>160440</v>
      </c>
      <c r="I467" s="12">
        <f>IF('Engineering Cost'!I467=0,0,MAX('Engineering Cost'!I467*'Engineering Assumptions'!$B$6,'Engineering Assumptions'!$B$9))</f>
        <v>78000</v>
      </c>
      <c r="J467" s="12">
        <f>'Engineering Cost'!J467*'Engineering Assumptions'!$B$6</f>
        <v>34560</v>
      </c>
      <c r="K467" s="12">
        <f>'Engineering Cost'!K467*'Engineering Assumptions'!$B$6</f>
        <v>54000</v>
      </c>
      <c r="L467" s="13">
        <f t="shared" si="21"/>
        <v>327000</v>
      </c>
      <c r="M467" s="13">
        <f>L467*(1+'Engineering Assumptions'!$B$10)</f>
        <v>376050</v>
      </c>
    </row>
    <row r="468" spans="1:13" ht="15" customHeight="1" x14ac:dyDescent="0.3">
      <c r="A468" s="9">
        <v>439</v>
      </c>
      <c r="B468" s="46" t="s">
        <v>908</v>
      </c>
      <c r="C468" s="46" t="s">
        <v>188</v>
      </c>
      <c r="D468" s="46" t="s">
        <v>941</v>
      </c>
      <c r="E468" s="46"/>
      <c r="F468" s="48" t="s">
        <v>195</v>
      </c>
      <c r="G468" s="9">
        <v>30</v>
      </c>
      <c r="H468" s="12">
        <f>'Engineering Cost'!H468*'Engineering Assumptions'!$B$6</f>
        <v>160440</v>
      </c>
      <c r="I468" s="12">
        <f>IF('Engineering Cost'!I468=0,0,MAX('Engineering Cost'!I468*'Engineering Assumptions'!$B$6,'Engineering Assumptions'!$B$9))</f>
        <v>78000</v>
      </c>
      <c r="J468" s="12">
        <f>'Engineering Cost'!J468*'Engineering Assumptions'!$B$6</f>
        <v>34560</v>
      </c>
      <c r="K468" s="12">
        <f>'Engineering Cost'!K468*'Engineering Assumptions'!$B$6</f>
        <v>54000</v>
      </c>
      <c r="L468" s="13">
        <f t="shared" si="21"/>
        <v>327000</v>
      </c>
      <c r="M468" s="13">
        <f>L468*(1+'Engineering Assumptions'!$B$10)</f>
        <v>376050</v>
      </c>
    </row>
    <row r="469" spans="1:13" ht="15" customHeight="1" x14ac:dyDescent="0.3">
      <c r="A469" s="9">
        <v>440</v>
      </c>
      <c r="B469" s="46" t="s">
        <v>908</v>
      </c>
      <c r="C469" s="46" t="s">
        <v>188</v>
      </c>
      <c r="D469" s="46" t="s">
        <v>942</v>
      </c>
      <c r="E469" s="46" t="s">
        <v>943</v>
      </c>
      <c r="F469" s="48" t="s">
        <v>195</v>
      </c>
      <c r="G469" s="9">
        <v>30</v>
      </c>
      <c r="H469" s="12">
        <f>'Engineering Cost'!H469*'Engineering Assumptions'!$B$6</f>
        <v>160440</v>
      </c>
      <c r="I469" s="12">
        <f>IF('Engineering Cost'!I469=0,0,MAX('Engineering Cost'!I469*'Engineering Assumptions'!$B$6,'Engineering Assumptions'!$B$9))</f>
        <v>78000</v>
      </c>
      <c r="J469" s="12">
        <f>'Engineering Cost'!J469*'Engineering Assumptions'!$B$6</f>
        <v>34560</v>
      </c>
      <c r="K469" s="12">
        <f>'Engineering Cost'!K469*'Engineering Assumptions'!$B$6</f>
        <v>54000</v>
      </c>
      <c r="L469" s="13">
        <f t="shared" si="21"/>
        <v>327000</v>
      </c>
      <c r="M469" s="13">
        <f>L469*(1+'Engineering Assumptions'!$B$10)</f>
        <v>376050</v>
      </c>
    </row>
    <row r="470" spans="1:13" ht="15" customHeight="1" x14ac:dyDescent="0.3">
      <c r="A470" s="199" t="s">
        <v>944</v>
      </c>
      <c r="B470" s="200"/>
      <c r="C470" s="200"/>
      <c r="D470" s="200"/>
      <c r="E470" s="200"/>
      <c r="F470" s="200"/>
      <c r="G470" s="200"/>
      <c r="H470" s="200"/>
      <c r="I470" s="200"/>
      <c r="J470" s="200"/>
      <c r="K470" s="200"/>
      <c r="L470" s="200"/>
      <c r="M470" s="200"/>
    </row>
    <row r="471" spans="1:13" ht="15" customHeight="1" x14ac:dyDescent="0.3">
      <c r="A471" s="9">
        <v>441</v>
      </c>
      <c r="B471" s="46" t="s">
        <v>945</v>
      </c>
      <c r="C471" s="46" t="s">
        <v>946</v>
      </c>
      <c r="D471" s="46" t="s">
        <v>947</v>
      </c>
      <c r="E471" s="46" t="s">
        <v>948</v>
      </c>
      <c r="F471" s="48" t="s">
        <v>66</v>
      </c>
      <c r="G471" s="9">
        <v>14</v>
      </c>
      <c r="H471" s="12">
        <f>'Engineering Cost'!H471*'Engineering Assumptions'!$B$6</f>
        <v>183360</v>
      </c>
      <c r="I471" s="12">
        <f>IF('Engineering Cost'!I471=0,0,MAX('Engineering Cost'!I471*'Engineering Assumptions'!$B$6,'Engineering Assumptions'!$B$9))</f>
        <v>78000</v>
      </c>
      <c r="J471" s="12">
        <f>'Engineering Cost'!J471*'Engineering Assumptions'!$B$6</f>
        <v>20460</v>
      </c>
      <c r="K471" s="12">
        <f>'Engineering Cost'!K471*'Engineering Assumptions'!$B$6</f>
        <v>22680</v>
      </c>
      <c r="L471" s="13">
        <f t="shared" ref="L471:L482" si="22">SUM(H471:K471)</f>
        <v>304500</v>
      </c>
      <c r="M471" s="13">
        <f>L471*(1+'Engineering Assumptions'!$B$10)</f>
        <v>350175</v>
      </c>
    </row>
    <row r="472" spans="1:13" ht="15" customHeight="1" x14ac:dyDescent="0.3">
      <c r="A472" s="9">
        <v>442</v>
      </c>
      <c r="B472" s="46" t="s">
        <v>945</v>
      </c>
      <c r="C472" s="46" t="s">
        <v>946</v>
      </c>
      <c r="D472" s="46" t="s">
        <v>949</v>
      </c>
      <c r="E472" s="46" t="s">
        <v>950</v>
      </c>
      <c r="F472" s="48" t="s">
        <v>66</v>
      </c>
      <c r="G472" s="9">
        <v>14</v>
      </c>
      <c r="H472" s="12">
        <f>'Engineering Cost'!H472*'Engineering Assumptions'!$B$6</f>
        <v>183360</v>
      </c>
      <c r="I472" s="12">
        <f>IF('Engineering Cost'!I472=0,0,MAX('Engineering Cost'!I472*'Engineering Assumptions'!$B$6,'Engineering Assumptions'!$B$9))</f>
        <v>78000</v>
      </c>
      <c r="J472" s="12">
        <f>'Engineering Cost'!J472*'Engineering Assumptions'!$B$6</f>
        <v>20460</v>
      </c>
      <c r="K472" s="12">
        <f>'Engineering Cost'!K472*'Engineering Assumptions'!$B$6</f>
        <v>22680</v>
      </c>
      <c r="L472" s="13">
        <f t="shared" si="22"/>
        <v>304500</v>
      </c>
      <c r="M472" s="13">
        <f>L472*(1+'Engineering Assumptions'!$B$10)</f>
        <v>350175</v>
      </c>
    </row>
    <row r="473" spans="1:13" ht="15" customHeight="1" x14ac:dyDescent="0.3">
      <c r="A473" s="9">
        <v>443</v>
      </c>
      <c r="B473" s="46" t="s">
        <v>945</v>
      </c>
      <c r="C473" s="46" t="s">
        <v>951</v>
      </c>
      <c r="D473" s="46" t="s">
        <v>952</v>
      </c>
      <c r="E473" s="46" t="s">
        <v>953</v>
      </c>
      <c r="F473" s="48" t="s">
        <v>66</v>
      </c>
      <c r="G473" s="9">
        <v>14</v>
      </c>
      <c r="H473" s="12">
        <f>'Engineering Cost'!H473*'Engineering Assumptions'!$B$6</f>
        <v>183360</v>
      </c>
      <c r="I473" s="12">
        <f>IF('Engineering Cost'!I473=0,0,MAX('Engineering Cost'!I473*'Engineering Assumptions'!$B$6,'Engineering Assumptions'!$B$9))</f>
        <v>78000</v>
      </c>
      <c r="J473" s="12">
        <f>'Engineering Cost'!J473*'Engineering Assumptions'!$B$6</f>
        <v>20460</v>
      </c>
      <c r="K473" s="12">
        <f>'Engineering Cost'!K473*'Engineering Assumptions'!$B$6</f>
        <v>22680</v>
      </c>
      <c r="L473" s="13">
        <f t="shared" si="22"/>
        <v>304500</v>
      </c>
      <c r="M473" s="13">
        <f>L473*(1+'Engineering Assumptions'!$B$10)</f>
        <v>350175</v>
      </c>
    </row>
    <row r="474" spans="1:13" ht="15" customHeight="1" x14ac:dyDescent="0.3">
      <c r="A474" s="9">
        <v>444</v>
      </c>
      <c r="B474" s="46" t="s">
        <v>945</v>
      </c>
      <c r="C474" s="46" t="s">
        <v>954</v>
      </c>
      <c r="D474" s="46" t="s">
        <v>955</v>
      </c>
      <c r="E474" s="46" t="s">
        <v>956</v>
      </c>
      <c r="F474" s="48" t="s">
        <v>66</v>
      </c>
      <c r="G474" s="9">
        <v>14</v>
      </c>
      <c r="H474" s="12">
        <f>'Engineering Cost'!H474*'Engineering Assumptions'!$B$6</f>
        <v>183360</v>
      </c>
      <c r="I474" s="12">
        <f>IF('Engineering Cost'!I474=0,0,MAX('Engineering Cost'!I474*'Engineering Assumptions'!$B$6,'Engineering Assumptions'!$B$9))</f>
        <v>78000</v>
      </c>
      <c r="J474" s="12">
        <f>'Engineering Cost'!J474*'Engineering Assumptions'!$B$6</f>
        <v>20460</v>
      </c>
      <c r="K474" s="12">
        <f>'Engineering Cost'!K474*'Engineering Assumptions'!$B$6</f>
        <v>22680</v>
      </c>
      <c r="L474" s="13">
        <f t="shared" si="22"/>
        <v>304500</v>
      </c>
      <c r="M474" s="13">
        <f>L474*(1+'Engineering Assumptions'!$B$10)</f>
        <v>350175</v>
      </c>
    </row>
    <row r="475" spans="1:13" ht="15" customHeight="1" x14ac:dyDescent="0.3">
      <c r="A475" s="9">
        <v>445</v>
      </c>
      <c r="B475" s="46" t="s">
        <v>945</v>
      </c>
      <c r="C475" s="46" t="s">
        <v>957</v>
      </c>
      <c r="D475" s="46" t="s">
        <v>958</v>
      </c>
      <c r="E475" s="46" t="s">
        <v>959</v>
      </c>
      <c r="F475" s="48" t="s">
        <v>335</v>
      </c>
      <c r="G475" s="9">
        <v>18</v>
      </c>
      <c r="H475" s="12">
        <f>'Engineering Cost'!H475*'Engineering Assumptions'!$B$6</f>
        <v>183360</v>
      </c>
      <c r="I475" s="12">
        <f>IF('Engineering Cost'!I475=0,0,MAX('Engineering Cost'!I475*'Engineering Assumptions'!$B$6,'Engineering Assumptions'!$B$9))</f>
        <v>78000</v>
      </c>
      <c r="J475" s="12">
        <f>'Engineering Cost'!J475*'Engineering Assumptions'!$B$6</f>
        <v>25740</v>
      </c>
      <c r="K475" s="12">
        <f>'Engineering Cost'!K475*'Engineering Assumptions'!$B$6</f>
        <v>35280</v>
      </c>
      <c r="L475" s="13">
        <f t="shared" si="22"/>
        <v>322380</v>
      </c>
      <c r="M475" s="13">
        <f>L475*(1+'Engineering Assumptions'!$B$10)</f>
        <v>370737</v>
      </c>
    </row>
    <row r="476" spans="1:13" ht="15" customHeight="1" x14ac:dyDescent="0.3">
      <c r="A476" s="9">
        <v>446</v>
      </c>
      <c r="B476" s="46" t="s">
        <v>945</v>
      </c>
      <c r="C476" s="46" t="s">
        <v>954</v>
      </c>
      <c r="D476" s="46" t="s">
        <v>960</v>
      </c>
      <c r="E476" s="46" t="s">
        <v>961</v>
      </c>
      <c r="F476" s="48" t="s">
        <v>440</v>
      </c>
      <c r="G476" s="9">
        <v>21</v>
      </c>
      <c r="H476" s="12">
        <f>'Engineering Cost'!H476*'Engineering Assumptions'!$B$6</f>
        <v>183360</v>
      </c>
      <c r="I476" s="12">
        <f>IF('Engineering Cost'!I476=0,0,MAX('Engineering Cost'!I476*'Engineering Assumptions'!$B$6,'Engineering Assumptions'!$B$9))</f>
        <v>78000</v>
      </c>
      <c r="J476" s="12">
        <f>'Engineering Cost'!J476*'Engineering Assumptions'!$B$6</f>
        <v>31680</v>
      </c>
      <c r="K476" s="12">
        <f>'Engineering Cost'!K476*'Engineering Assumptions'!$B$6</f>
        <v>50400</v>
      </c>
      <c r="L476" s="13">
        <f t="shared" si="22"/>
        <v>343440</v>
      </c>
      <c r="M476" s="13">
        <f>L476*(1+'Engineering Assumptions'!$B$10)</f>
        <v>394955.99999999994</v>
      </c>
    </row>
    <row r="477" spans="1:13" ht="15" customHeight="1" x14ac:dyDescent="0.3">
      <c r="A477" s="9">
        <v>447</v>
      </c>
      <c r="B477" s="46" t="s">
        <v>945</v>
      </c>
      <c r="C477" s="46" t="s">
        <v>954</v>
      </c>
      <c r="D477" s="46" t="s">
        <v>962</v>
      </c>
      <c r="E477" s="46" t="s">
        <v>963</v>
      </c>
      <c r="F477" s="48" t="s">
        <v>440</v>
      </c>
      <c r="G477" s="9">
        <v>21</v>
      </c>
      <c r="H477" s="12">
        <f>'Engineering Cost'!H477*'Engineering Assumptions'!$B$6</f>
        <v>183360</v>
      </c>
      <c r="I477" s="12">
        <f>IF('Engineering Cost'!I477=0,0,MAX('Engineering Cost'!I477*'Engineering Assumptions'!$B$6,'Engineering Assumptions'!$B$9))</f>
        <v>78000</v>
      </c>
      <c r="J477" s="12">
        <f>'Engineering Cost'!J477*'Engineering Assumptions'!$B$6</f>
        <v>31680</v>
      </c>
      <c r="K477" s="12">
        <f>'Engineering Cost'!K477*'Engineering Assumptions'!$B$6</f>
        <v>50400</v>
      </c>
      <c r="L477" s="13">
        <f t="shared" si="22"/>
        <v>343440</v>
      </c>
      <c r="M477" s="13">
        <f>L477*(1+'Engineering Assumptions'!$B$10)</f>
        <v>394955.99999999994</v>
      </c>
    </row>
    <row r="478" spans="1:13" ht="15" customHeight="1" x14ac:dyDescent="0.3">
      <c r="A478" s="9">
        <v>448</v>
      </c>
      <c r="B478" s="46" t="s">
        <v>945</v>
      </c>
      <c r="C478" s="46" t="s">
        <v>964</v>
      </c>
      <c r="D478" s="46" t="s">
        <v>965</v>
      </c>
      <c r="E478" s="46" t="s">
        <v>966</v>
      </c>
      <c r="F478" s="48" t="s">
        <v>967</v>
      </c>
      <c r="G478" s="9">
        <v>46</v>
      </c>
      <c r="H478" s="12">
        <f>'Engineering Cost'!H478*'Engineering Assumptions'!$B$6</f>
        <v>183360</v>
      </c>
      <c r="I478" s="12">
        <f>IF('Engineering Cost'!I478=0,0,MAX('Engineering Cost'!I478*'Engineering Assumptions'!$B$6,'Engineering Assumptions'!$B$9))</f>
        <v>78000</v>
      </c>
      <c r="J478" s="12">
        <f>'Engineering Cost'!J478*'Engineering Assumptions'!$B$6</f>
        <v>31680</v>
      </c>
      <c r="K478" s="12">
        <f>'Engineering Cost'!K478*'Engineering Assumptions'!$B$6</f>
        <v>50400</v>
      </c>
      <c r="L478" s="13">
        <f t="shared" si="22"/>
        <v>343440</v>
      </c>
      <c r="M478" s="13">
        <f>L478*(1+'Engineering Assumptions'!$B$10)</f>
        <v>394955.99999999994</v>
      </c>
    </row>
    <row r="479" spans="1:13" ht="15" customHeight="1" x14ac:dyDescent="0.3">
      <c r="A479" s="9">
        <v>449</v>
      </c>
      <c r="B479" s="46" t="s">
        <v>945</v>
      </c>
      <c r="C479" s="46" t="s">
        <v>968</v>
      </c>
      <c r="D479" s="46" t="s">
        <v>969</v>
      </c>
      <c r="E479" s="46" t="s">
        <v>970</v>
      </c>
      <c r="F479" s="48" t="s">
        <v>971</v>
      </c>
      <c r="G479" s="9">
        <v>52</v>
      </c>
      <c r="H479" s="12">
        <f>'Engineering Cost'!H479*'Engineering Assumptions'!$B$6</f>
        <v>183360</v>
      </c>
      <c r="I479" s="12">
        <f>IF('Engineering Cost'!I479=0,0,MAX('Engineering Cost'!I479*'Engineering Assumptions'!$B$6,'Engineering Assumptions'!$B$9))</f>
        <v>78000</v>
      </c>
      <c r="J479" s="12">
        <f>'Engineering Cost'!J479*'Engineering Assumptions'!$B$6</f>
        <v>31680</v>
      </c>
      <c r="K479" s="12">
        <f>'Engineering Cost'!K479*'Engineering Assumptions'!$B$6</f>
        <v>50400</v>
      </c>
      <c r="L479" s="13">
        <f t="shared" si="22"/>
        <v>343440</v>
      </c>
      <c r="M479" s="13">
        <f>L479*(1+'Engineering Assumptions'!$B$10)</f>
        <v>394955.99999999994</v>
      </c>
    </row>
    <row r="480" spans="1:13" ht="15" customHeight="1" x14ac:dyDescent="0.3">
      <c r="A480" s="9">
        <v>450</v>
      </c>
      <c r="B480" s="46" t="s">
        <v>945</v>
      </c>
      <c r="C480" s="46" t="s">
        <v>188</v>
      </c>
      <c r="D480" s="46" t="s">
        <v>972</v>
      </c>
      <c r="E480" s="46" t="s">
        <v>959</v>
      </c>
      <c r="F480" s="48" t="s">
        <v>195</v>
      </c>
      <c r="G480" s="9">
        <v>30</v>
      </c>
      <c r="H480" s="12">
        <f>'Engineering Cost'!H480*'Engineering Assumptions'!$B$6</f>
        <v>183360</v>
      </c>
      <c r="I480" s="12">
        <f>IF('Engineering Cost'!I480=0,0,MAX('Engineering Cost'!I480*'Engineering Assumptions'!$B$6,'Engineering Assumptions'!$B$9))</f>
        <v>78000</v>
      </c>
      <c r="J480" s="12">
        <f>'Engineering Cost'!J480*'Engineering Assumptions'!$B$6</f>
        <v>31680</v>
      </c>
      <c r="K480" s="12">
        <f>'Engineering Cost'!K480*'Engineering Assumptions'!$B$6</f>
        <v>50400</v>
      </c>
      <c r="L480" s="13">
        <f t="shared" si="22"/>
        <v>343440</v>
      </c>
      <c r="M480" s="13">
        <f>L480*(1+'Engineering Assumptions'!$B$10)</f>
        <v>394955.99999999994</v>
      </c>
    </row>
    <row r="481" spans="1:13" ht="15" customHeight="1" x14ac:dyDescent="0.3">
      <c r="A481" s="9">
        <v>451</v>
      </c>
      <c r="B481" s="46" t="s">
        <v>945</v>
      </c>
      <c r="C481" s="46" t="s">
        <v>188</v>
      </c>
      <c r="D481" s="46"/>
      <c r="E481" s="46"/>
      <c r="F481" s="48" t="s">
        <v>195</v>
      </c>
      <c r="G481" s="9">
        <v>30</v>
      </c>
      <c r="H481" s="12">
        <f>'Engineering Cost'!H481*'Engineering Assumptions'!$B$6</f>
        <v>183360</v>
      </c>
      <c r="I481" s="12">
        <f>IF('Engineering Cost'!I481=0,0,MAX('Engineering Cost'!I481*'Engineering Assumptions'!$B$6,'Engineering Assumptions'!$B$9))</f>
        <v>78000</v>
      </c>
      <c r="J481" s="12">
        <f>'Engineering Cost'!J481*'Engineering Assumptions'!$B$6</f>
        <v>31680</v>
      </c>
      <c r="K481" s="12">
        <f>'Engineering Cost'!K481*'Engineering Assumptions'!$B$6</f>
        <v>50400</v>
      </c>
      <c r="L481" s="13">
        <f t="shared" si="22"/>
        <v>343440</v>
      </c>
      <c r="M481" s="13">
        <f>L481*(1+'Engineering Assumptions'!$B$10)</f>
        <v>394955.99999999994</v>
      </c>
    </row>
    <row r="482" spans="1:13" ht="15" customHeight="1" x14ac:dyDescent="0.3">
      <c r="A482" s="9">
        <v>452</v>
      </c>
      <c r="B482" s="46" t="s">
        <v>945</v>
      </c>
      <c r="C482" s="46" t="s">
        <v>957</v>
      </c>
      <c r="D482" s="46"/>
      <c r="E482" s="46"/>
      <c r="F482" s="48" t="s">
        <v>195</v>
      </c>
      <c r="G482" s="9">
        <v>30</v>
      </c>
      <c r="H482" s="12">
        <f>'Engineering Cost'!H482*'Engineering Assumptions'!$B$6</f>
        <v>183360</v>
      </c>
      <c r="I482" s="12">
        <f>IF('Engineering Cost'!I482=0,0,MAX('Engineering Cost'!I482*'Engineering Assumptions'!$B$6,'Engineering Assumptions'!$B$9))</f>
        <v>78000</v>
      </c>
      <c r="J482" s="12">
        <f>'Engineering Cost'!J482*'Engineering Assumptions'!$B$6</f>
        <v>31680</v>
      </c>
      <c r="K482" s="12">
        <f>'Engineering Cost'!K482*'Engineering Assumptions'!$B$6</f>
        <v>50400</v>
      </c>
      <c r="L482" s="13">
        <f t="shared" si="22"/>
        <v>343440</v>
      </c>
      <c r="M482" s="13">
        <f>L482*(1+'Engineering Assumptions'!$B$10)</f>
        <v>394955.99999999994</v>
      </c>
    </row>
    <row r="483" spans="1:13" ht="15" customHeight="1" x14ac:dyDescent="0.3">
      <c r="A483" s="199" t="s">
        <v>973</v>
      </c>
      <c r="B483" s="200"/>
      <c r="C483" s="200"/>
      <c r="D483" s="200"/>
      <c r="E483" s="200"/>
      <c r="F483" s="200"/>
      <c r="G483" s="200"/>
      <c r="H483" s="200"/>
      <c r="I483" s="200"/>
      <c r="J483" s="200"/>
      <c r="K483" s="200"/>
      <c r="L483" s="200"/>
      <c r="M483" s="200"/>
    </row>
    <row r="484" spans="1:13" ht="15" customHeight="1" x14ac:dyDescent="0.3">
      <c r="A484" s="9">
        <v>453</v>
      </c>
      <c r="B484" s="46" t="s">
        <v>974</v>
      </c>
      <c r="C484" s="46" t="s">
        <v>975</v>
      </c>
      <c r="D484" s="46" t="s">
        <v>976</v>
      </c>
      <c r="E484" s="46" t="s">
        <v>977</v>
      </c>
      <c r="F484" s="48" t="s">
        <v>116</v>
      </c>
      <c r="G484" s="9">
        <v>9</v>
      </c>
      <c r="H484" s="12">
        <f>'Engineering Cost'!H484*'Engineering Assumptions'!$B$6</f>
        <v>55008</v>
      </c>
      <c r="I484" s="12">
        <f>IF('Engineering Cost'!I484=0,0,MAX('Engineering Cost'!I484*'Engineering Assumptions'!$B$6,'Engineering Assumptions'!$B$9))</f>
        <v>0</v>
      </c>
      <c r="J484" s="12">
        <f>'Engineering Cost'!J484*'Engineering Assumptions'!$B$6</f>
        <v>3750</v>
      </c>
      <c r="K484" s="12">
        <f>'Engineering Cost'!K484*'Engineering Assumptions'!$B$6</f>
        <v>3150</v>
      </c>
      <c r="L484" s="13">
        <f t="shared" ref="L484:L515" si="23">SUM(H484:K484)</f>
        <v>61908</v>
      </c>
      <c r="M484" s="13">
        <f>L484*(1+'Engineering Assumptions'!$B$10)</f>
        <v>71194.2</v>
      </c>
    </row>
    <row r="485" spans="1:13" ht="15" customHeight="1" x14ac:dyDescent="0.3">
      <c r="A485" s="9">
        <v>454</v>
      </c>
      <c r="B485" s="46" t="s">
        <v>974</v>
      </c>
      <c r="C485" s="46" t="s">
        <v>975</v>
      </c>
      <c r="D485" s="46" t="s">
        <v>978</v>
      </c>
      <c r="E485" s="46" t="s">
        <v>979</v>
      </c>
      <c r="F485" s="48" t="s">
        <v>116</v>
      </c>
      <c r="G485" s="9">
        <v>9</v>
      </c>
      <c r="H485" s="12">
        <f>'Engineering Cost'!H485*'Engineering Assumptions'!$B$6</f>
        <v>55008</v>
      </c>
      <c r="I485" s="12">
        <f>IF('Engineering Cost'!I485=0,0,MAX('Engineering Cost'!I485*'Engineering Assumptions'!$B$6,'Engineering Assumptions'!$B$9))</f>
        <v>0</v>
      </c>
      <c r="J485" s="12">
        <f>'Engineering Cost'!J485*'Engineering Assumptions'!$B$6</f>
        <v>3750</v>
      </c>
      <c r="K485" s="12">
        <f>'Engineering Cost'!K485*'Engineering Assumptions'!$B$6</f>
        <v>3150</v>
      </c>
      <c r="L485" s="13">
        <f t="shared" si="23"/>
        <v>61908</v>
      </c>
      <c r="M485" s="13">
        <f>L485*(1+'Engineering Assumptions'!$B$10)</f>
        <v>71194.2</v>
      </c>
    </row>
    <row r="486" spans="1:13" ht="15" customHeight="1" x14ac:dyDescent="0.3">
      <c r="A486" s="9">
        <v>455</v>
      </c>
      <c r="B486" s="46" t="s">
        <v>974</v>
      </c>
      <c r="C486" s="46" t="s">
        <v>980</v>
      </c>
      <c r="D486" s="46" t="s">
        <v>981</v>
      </c>
      <c r="E486" s="46" t="s">
        <v>982</v>
      </c>
      <c r="F486" s="48" t="s">
        <v>116</v>
      </c>
      <c r="G486" s="9">
        <v>9</v>
      </c>
      <c r="H486" s="12">
        <f>'Engineering Cost'!H486*'Engineering Assumptions'!$B$6</f>
        <v>55008</v>
      </c>
      <c r="I486" s="12">
        <f>IF('Engineering Cost'!I486=0,0,MAX('Engineering Cost'!I486*'Engineering Assumptions'!$B$6,'Engineering Assumptions'!$B$9))</f>
        <v>0</v>
      </c>
      <c r="J486" s="12">
        <f>'Engineering Cost'!J486*'Engineering Assumptions'!$B$6</f>
        <v>3750</v>
      </c>
      <c r="K486" s="12">
        <f>'Engineering Cost'!K486*'Engineering Assumptions'!$B$6</f>
        <v>3150</v>
      </c>
      <c r="L486" s="13">
        <f t="shared" si="23"/>
        <v>61908</v>
      </c>
      <c r="M486" s="13">
        <f>L486*(1+'Engineering Assumptions'!$B$10)</f>
        <v>71194.2</v>
      </c>
    </row>
    <row r="487" spans="1:13" ht="15" customHeight="1" x14ac:dyDescent="0.3">
      <c r="A487" s="9">
        <v>456</v>
      </c>
      <c r="B487" s="46" t="s">
        <v>974</v>
      </c>
      <c r="C487" s="46" t="s">
        <v>983</v>
      </c>
      <c r="D487" s="46" t="s">
        <v>984</v>
      </c>
      <c r="E487" s="46" t="s">
        <v>985</v>
      </c>
      <c r="F487" s="48" t="s">
        <v>116</v>
      </c>
      <c r="G487" s="9">
        <v>9</v>
      </c>
      <c r="H487" s="12">
        <f>'Engineering Cost'!H487*'Engineering Assumptions'!$B$6</f>
        <v>55008</v>
      </c>
      <c r="I487" s="12">
        <f>IF('Engineering Cost'!I487=0,0,MAX('Engineering Cost'!I487*'Engineering Assumptions'!$B$6,'Engineering Assumptions'!$B$9))</f>
        <v>0</v>
      </c>
      <c r="J487" s="12">
        <f>'Engineering Cost'!J487*'Engineering Assumptions'!$B$6</f>
        <v>3750</v>
      </c>
      <c r="K487" s="12">
        <f>'Engineering Cost'!K487*'Engineering Assumptions'!$B$6</f>
        <v>3150</v>
      </c>
      <c r="L487" s="13">
        <f t="shared" si="23"/>
        <v>61908</v>
      </c>
      <c r="M487" s="13">
        <f>L487*(1+'Engineering Assumptions'!$B$10)</f>
        <v>71194.2</v>
      </c>
    </row>
    <row r="488" spans="1:13" ht="15" customHeight="1" x14ac:dyDescent="0.3">
      <c r="A488" s="9">
        <v>457</v>
      </c>
      <c r="B488" s="46" t="s">
        <v>974</v>
      </c>
      <c r="C488" s="46" t="s">
        <v>983</v>
      </c>
      <c r="D488" s="46" t="s">
        <v>986</v>
      </c>
      <c r="E488" s="46" t="s">
        <v>987</v>
      </c>
      <c r="F488" s="48" t="s">
        <v>116</v>
      </c>
      <c r="G488" s="9">
        <v>9</v>
      </c>
      <c r="H488" s="12">
        <f>'Engineering Cost'!H488*'Engineering Assumptions'!$B$6</f>
        <v>55008</v>
      </c>
      <c r="I488" s="12">
        <f>IF('Engineering Cost'!I488=0,0,MAX('Engineering Cost'!I488*'Engineering Assumptions'!$B$6,'Engineering Assumptions'!$B$9))</f>
        <v>0</v>
      </c>
      <c r="J488" s="12">
        <f>'Engineering Cost'!J488*'Engineering Assumptions'!$B$6</f>
        <v>3750</v>
      </c>
      <c r="K488" s="12">
        <f>'Engineering Cost'!K488*'Engineering Assumptions'!$B$6</f>
        <v>3150</v>
      </c>
      <c r="L488" s="13">
        <f t="shared" si="23"/>
        <v>61908</v>
      </c>
      <c r="M488" s="13">
        <f>L488*(1+'Engineering Assumptions'!$B$10)</f>
        <v>71194.2</v>
      </c>
    </row>
    <row r="489" spans="1:13" ht="15" customHeight="1" x14ac:dyDescent="0.3">
      <c r="A489" s="9">
        <v>458</v>
      </c>
      <c r="B489" s="46" t="s">
        <v>974</v>
      </c>
      <c r="C489" s="46" t="s">
        <v>988</v>
      </c>
      <c r="D489" s="46" t="s">
        <v>989</v>
      </c>
      <c r="E489" s="46" t="s">
        <v>990</v>
      </c>
      <c r="F489" s="48" t="s">
        <v>49</v>
      </c>
      <c r="G489" s="9">
        <v>10</v>
      </c>
      <c r="H489" s="12">
        <f>'Engineering Cost'!H489*'Engineering Assumptions'!$B$6</f>
        <v>55008</v>
      </c>
      <c r="I489" s="12">
        <f>IF('Engineering Cost'!I489=0,0,MAX('Engineering Cost'!I489*'Engineering Assumptions'!$B$6,'Engineering Assumptions'!$B$9))</f>
        <v>0</v>
      </c>
      <c r="J489" s="12">
        <f>'Engineering Cost'!J489*'Engineering Assumptions'!$B$6</f>
        <v>3750</v>
      </c>
      <c r="K489" s="12">
        <f>'Engineering Cost'!K489*'Engineering Assumptions'!$B$6</f>
        <v>3150</v>
      </c>
      <c r="L489" s="13">
        <f t="shared" si="23"/>
        <v>61908</v>
      </c>
      <c r="M489" s="13">
        <f>L489*(1+'Engineering Assumptions'!$B$10)</f>
        <v>71194.2</v>
      </c>
    </row>
    <row r="490" spans="1:13" ht="15" customHeight="1" x14ac:dyDescent="0.3">
      <c r="A490" s="9">
        <v>459</v>
      </c>
      <c r="B490" s="46" t="s">
        <v>974</v>
      </c>
      <c r="C490" s="46" t="s">
        <v>975</v>
      </c>
      <c r="D490" s="46" t="s">
        <v>991</v>
      </c>
      <c r="E490" s="46" t="s">
        <v>992</v>
      </c>
      <c r="F490" s="48" t="s">
        <v>49</v>
      </c>
      <c r="G490" s="9">
        <v>10</v>
      </c>
      <c r="H490" s="12">
        <f>'Engineering Cost'!H490*'Engineering Assumptions'!$B$6</f>
        <v>55008</v>
      </c>
      <c r="I490" s="12">
        <f>IF('Engineering Cost'!I490=0,0,MAX('Engineering Cost'!I490*'Engineering Assumptions'!$B$6,'Engineering Assumptions'!$B$9))</f>
        <v>0</v>
      </c>
      <c r="J490" s="12">
        <f>'Engineering Cost'!J490*'Engineering Assumptions'!$B$6</f>
        <v>3750</v>
      </c>
      <c r="K490" s="12">
        <f>'Engineering Cost'!K490*'Engineering Assumptions'!$B$6</f>
        <v>3150</v>
      </c>
      <c r="L490" s="13">
        <f t="shared" si="23"/>
        <v>61908</v>
      </c>
      <c r="M490" s="13">
        <f>L490*(1+'Engineering Assumptions'!$B$10)</f>
        <v>71194.2</v>
      </c>
    </row>
    <row r="491" spans="1:13" ht="15" customHeight="1" x14ac:dyDescent="0.3">
      <c r="A491" s="9">
        <v>460</v>
      </c>
      <c r="B491" s="46" t="s">
        <v>974</v>
      </c>
      <c r="C491" s="46" t="s">
        <v>975</v>
      </c>
      <c r="D491" s="46" t="s">
        <v>993</v>
      </c>
      <c r="E491" s="46" t="s">
        <v>994</v>
      </c>
      <c r="F491" s="48" t="s">
        <v>49</v>
      </c>
      <c r="G491" s="9">
        <v>10</v>
      </c>
      <c r="H491" s="12">
        <f>'Engineering Cost'!H491*'Engineering Assumptions'!$B$6</f>
        <v>55008</v>
      </c>
      <c r="I491" s="12">
        <f>IF('Engineering Cost'!I491=0,0,MAX('Engineering Cost'!I491*'Engineering Assumptions'!$B$6,'Engineering Assumptions'!$B$9))</f>
        <v>0</v>
      </c>
      <c r="J491" s="12">
        <f>'Engineering Cost'!J491*'Engineering Assumptions'!$B$6</f>
        <v>3750</v>
      </c>
      <c r="K491" s="12">
        <f>'Engineering Cost'!K491*'Engineering Assumptions'!$B$6</f>
        <v>3150</v>
      </c>
      <c r="L491" s="13">
        <f t="shared" si="23"/>
        <v>61908</v>
      </c>
      <c r="M491" s="13">
        <f>L491*(1+'Engineering Assumptions'!$B$10)</f>
        <v>71194.2</v>
      </c>
    </row>
    <row r="492" spans="1:13" ht="15" customHeight="1" x14ac:dyDescent="0.3">
      <c r="A492" s="9">
        <v>461</v>
      </c>
      <c r="B492" s="46" t="s">
        <v>974</v>
      </c>
      <c r="C492" s="46" t="s">
        <v>975</v>
      </c>
      <c r="D492" s="46" t="s">
        <v>995</v>
      </c>
      <c r="E492" s="46" t="s">
        <v>996</v>
      </c>
      <c r="F492" s="48" t="s">
        <v>49</v>
      </c>
      <c r="G492" s="9">
        <v>10</v>
      </c>
      <c r="H492" s="12">
        <f>'Engineering Cost'!H492*'Engineering Assumptions'!$B$6</f>
        <v>55008</v>
      </c>
      <c r="I492" s="12">
        <f>IF('Engineering Cost'!I492=0,0,MAX('Engineering Cost'!I492*'Engineering Assumptions'!$B$6,'Engineering Assumptions'!$B$9))</f>
        <v>0</v>
      </c>
      <c r="J492" s="12">
        <f>'Engineering Cost'!J492*'Engineering Assumptions'!$B$6</f>
        <v>3750</v>
      </c>
      <c r="K492" s="12">
        <f>'Engineering Cost'!K492*'Engineering Assumptions'!$B$6</f>
        <v>3150</v>
      </c>
      <c r="L492" s="13">
        <f t="shared" si="23"/>
        <v>61908</v>
      </c>
      <c r="M492" s="13">
        <f>L492*(1+'Engineering Assumptions'!$B$10)</f>
        <v>71194.2</v>
      </c>
    </row>
    <row r="493" spans="1:13" ht="15" customHeight="1" x14ac:dyDescent="0.3">
      <c r="A493" s="9">
        <v>462</v>
      </c>
      <c r="B493" s="46" t="s">
        <v>974</v>
      </c>
      <c r="C493" s="46" t="s">
        <v>983</v>
      </c>
      <c r="D493" s="46"/>
      <c r="E493" s="46"/>
      <c r="F493" s="48" t="s">
        <v>49</v>
      </c>
      <c r="G493" s="9">
        <v>10</v>
      </c>
      <c r="H493" s="12">
        <f>'Engineering Cost'!H493*'Engineering Assumptions'!$B$6</f>
        <v>55008</v>
      </c>
      <c r="I493" s="12">
        <f>IF('Engineering Cost'!I493=0,0,MAX('Engineering Cost'!I493*'Engineering Assumptions'!$B$6,'Engineering Assumptions'!$B$9))</f>
        <v>0</v>
      </c>
      <c r="J493" s="12">
        <f>'Engineering Cost'!J493*'Engineering Assumptions'!$B$6</f>
        <v>3750</v>
      </c>
      <c r="K493" s="12">
        <f>'Engineering Cost'!K493*'Engineering Assumptions'!$B$6</f>
        <v>3150</v>
      </c>
      <c r="L493" s="13">
        <f t="shared" si="23"/>
        <v>61908</v>
      </c>
      <c r="M493" s="13">
        <f>L493*(1+'Engineering Assumptions'!$B$10)</f>
        <v>71194.2</v>
      </c>
    </row>
    <row r="494" spans="1:13" ht="15" customHeight="1" x14ac:dyDescent="0.3">
      <c r="A494" s="9">
        <v>463</v>
      </c>
      <c r="B494" s="46" t="s">
        <v>974</v>
      </c>
      <c r="C494" s="46" t="s">
        <v>975</v>
      </c>
      <c r="D494" s="46" t="s">
        <v>997</v>
      </c>
      <c r="E494" s="46" t="s">
        <v>998</v>
      </c>
      <c r="F494" s="48" t="s">
        <v>61</v>
      </c>
      <c r="G494" s="9">
        <v>11</v>
      </c>
      <c r="H494" s="12">
        <f>'Engineering Cost'!H494*'Engineering Assumptions'!$B$6</f>
        <v>55008</v>
      </c>
      <c r="I494" s="12">
        <f>IF('Engineering Cost'!I494=0,0,MAX('Engineering Cost'!I494*'Engineering Assumptions'!$B$6,'Engineering Assumptions'!$B$9))</f>
        <v>0</v>
      </c>
      <c r="J494" s="12">
        <f>'Engineering Cost'!J494*'Engineering Assumptions'!$B$6</f>
        <v>4650</v>
      </c>
      <c r="K494" s="12">
        <f>'Engineering Cost'!K494*'Engineering Assumptions'!$B$6</f>
        <v>5670</v>
      </c>
      <c r="L494" s="13">
        <f t="shared" si="23"/>
        <v>65328</v>
      </c>
      <c r="M494" s="13">
        <f>L494*(1+'Engineering Assumptions'!$B$10)</f>
        <v>75127.199999999997</v>
      </c>
    </row>
    <row r="495" spans="1:13" ht="15" customHeight="1" x14ac:dyDescent="0.3">
      <c r="A495" s="9">
        <v>464</v>
      </c>
      <c r="B495" s="46" t="s">
        <v>974</v>
      </c>
      <c r="C495" s="46" t="s">
        <v>975</v>
      </c>
      <c r="D495" s="46" t="s">
        <v>999</v>
      </c>
      <c r="E495" s="46" t="s">
        <v>1000</v>
      </c>
      <c r="F495" s="48" t="s">
        <v>61</v>
      </c>
      <c r="G495" s="9">
        <v>11</v>
      </c>
      <c r="H495" s="12">
        <f>'Engineering Cost'!H495*'Engineering Assumptions'!$B$6</f>
        <v>55008</v>
      </c>
      <c r="I495" s="12">
        <f>IF('Engineering Cost'!I495=0,0,MAX('Engineering Cost'!I495*'Engineering Assumptions'!$B$6,'Engineering Assumptions'!$B$9))</f>
        <v>0</v>
      </c>
      <c r="J495" s="12">
        <f>'Engineering Cost'!J495*'Engineering Assumptions'!$B$6</f>
        <v>4650</v>
      </c>
      <c r="K495" s="12">
        <f>'Engineering Cost'!K495*'Engineering Assumptions'!$B$6</f>
        <v>5670</v>
      </c>
      <c r="L495" s="13">
        <f t="shared" si="23"/>
        <v>65328</v>
      </c>
      <c r="M495" s="13">
        <f>L495*(1+'Engineering Assumptions'!$B$10)</f>
        <v>75127.199999999997</v>
      </c>
    </row>
    <row r="496" spans="1:13" ht="15" customHeight="1" x14ac:dyDescent="0.3">
      <c r="A496" s="9">
        <v>465</v>
      </c>
      <c r="B496" s="46" t="s">
        <v>974</v>
      </c>
      <c r="C496" s="46" t="s">
        <v>1001</v>
      </c>
      <c r="D496" s="46" t="s">
        <v>1002</v>
      </c>
      <c r="E496" s="46" t="s">
        <v>1003</v>
      </c>
      <c r="F496" s="48" t="s">
        <v>61</v>
      </c>
      <c r="G496" s="9">
        <v>11</v>
      </c>
      <c r="H496" s="12">
        <f>'Engineering Cost'!H496*'Engineering Assumptions'!$B$6</f>
        <v>55008</v>
      </c>
      <c r="I496" s="12">
        <f>IF('Engineering Cost'!I496=0,0,MAX('Engineering Cost'!I496*'Engineering Assumptions'!$B$6,'Engineering Assumptions'!$B$9))</f>
        <v>0</v>
      </c>
      <c r="J496" s="12">
        <f>'Engineering Cost'!J496*'Engineering Assumptions'!$B$6</f>
        <v>4650</v>
      </c>
      <c r="K496" s="12">
        <f>'Engineering Cost'!K496*'Engineering Assumptions'!$B$6</f>
        <v>5670</v>
      </c>
      <c r="L496" s="13">
        <f t="shared" si="23"/>
        <v>65328</v>
      </c>
      <c r="M496" s="13">
        <f>L496*(1+'Engineering Assumptions'!$B$10)</f>
        <v>75127.199999999997</v>
      </c>
    </row>
    <row r="497" spans="1:13" ht="15" customHeight="1" x14ac:dyDescent="0.3">
      <c r="A497" s="9">
        <v>466</v>
      </c>
      <c r="B497" s="46" t="s">
        <v>974</v>
      </c>
      <c r="C497" s="46" t="s">
        <v>1001</v>
      </c>
      <c r="D497" s="46" t="s">
        <v>1004</v>
      </c>
      <c r="E497" s="46" t="s">
        <v>1005</v>
      </c>
      <c r="F497" s="48" t="s">
        <v>61</v>
      </c>
      <c r="G497" s="9">
        <v>11</v>
      </c>
      <c r="H497" s="12">
        <f>'Engineering Cost'!H497*'Engineering Assumptions'!$B$6</f>
        <v>55008</v>
      </c>
      <c r="I497" s="12">
        <f>IF('Engineering Cost'!I497=0,0,MAX('Engineering Cost'!I497*'Engineering Assumptions'!$B$6,'Engineering Assumptions'!$B$9))</f>
        <v>0</v>
      </c>
      <c r="J497" s="12">
        <f>'Engineering Cost'!J497*'Engineering Assumptions'!$B$6</f>
        <v>4650</v>
      </c>
      <c r="K497" s="12">
        <f>'Engineering Cost'!K497*'Engineering Assumptions'!$B$6</f>
        <v>5670</v>
      </c>
      <c r="L497" s="13">
        <f t="shared" si="23"/>
        <v>65328</v>
      </c>
      <c r="M497" s="13">
        <f>L497*(1+'Engineering Assumptions'!$B$10)</f>
        <v>75127.199999999997</v>
      </c>
    </row>
    <row r="498" spans="1:13" ht="15" customHeight="1" x14ac:dyDescent="0.3">
      <c r="A498" s="9">
        <v>467</v>
      </c>
      <c r="B498" s="46" t="s">
        <v>974</v>
      </c>
      <c r="C498" s="46" t="s">
        <v>1006</v>
      </c>
      <c r="D498" s="46" t="s">
        <v>1007</v>
      </c>
      <c r="E498" s="46" t="s">
        <v>1008</v>
      </c>
      <c r="F498" s="48" t="s">
        <v>99</v>
      </c>
      <c r="G498" s="9">
        <v>13</v>
      </c>
      <c r="H498" s="12">
        <f>'Engineering Cost'!H498*'Engineering Assumptions'!$B$6</f>
        <v>55008</v>
      </c>
      <c r="I498" s="12">
        <f>IF('Engineering Cost'!I498=0,0,MAX('Engineering Cost'!I498*'Engineering Assumptions'!$B$6,'Engineering Assumptions'!$B$9))</f>
        <v>0</v>
      </c>
      <c r="J498" s="12">
        <f>'Engineering Cost'!J498*'Engineering Assumptions'!$B$6</f>
        <v>4650</v>
      </c>
      <c r="K498" s="12">
        <f>'Engineering Cost'!K498*'Engineering Assumptions'!$B$6</f>
        <v>5670</v>
      </c>
      <c r="L498" s="13">
        <f t="shared" si="23"/>
        <v>65328</v>
      </c>
      <c r="M498" s="13">
        <f>L498*(1+'Engineering Assumptions'!$B$10)</f>
        <v>75127.199999999997</v>
      </c>
    </row>
    <row r="499" spans="1:13" ht="15" customHeight="1" x14ac:dyDescent="0.3">
      <c r="A499" s="9">
        <v>468</v>
      </c>
      <c r="B499" s="46" t="s">
        <v>974</v>
      </c>
      <c r="C499" s="46" t="s">
        <v>1006</v>
      </c>
      <c r="D499" s="46" t="s">
        <v>1009</v>
      </c>
      <c r="E499" s="46" t="s">
        <v>1010</v>
      </c>
      <c r="F499" s="48" t="s">
        <v>99</v>
      </c>
      <c r="G499" s="9">
        <v>13</v>
      </c>
      <c r="H499" s="12">
        <f>'Engineering Cost'!H499*'Engineering Assumptions'!$B$6</f>
        <v>55008</v>
      </c>
      <c r="I499" s="12">
        <f>IF('Engineering Cost'!I499=0,0,MAX('Engineering Cost'!I499*'Engineering Assumptions'!$B$6,'Engineering Assumptions'!$B$9))</f>
        <v>0</v>
      </c>
      <c r="J499" s="12">
        <f>'Engineering Cost'!J499*'Engineering Assumptions'!$B$6</f>
        <v>4650</v>
      </c>
      <c r="K499" s="12">
        <f>'Engineering Cost'!K499*'Engineering Assumptions'!$B$6</f>
        <v>5670</v>
      </c>
      <c r="L499" s="13">
        <f t="shared" si="23"/>
        <v>65328</v>
      </c>
      <c r="M499" s="13">
        <f>L499*(1+'Engineering Assumptions'!$B$10)</f>
        <v>75127.199999999997</v>
      </c>
    </row>
    <row r="500" spans="1:13" ht="15" customHeight="1" x14ac:dyDescent="0.3">
      <c r="A500" s="9">
        <v>469</v>
      </c>
      <c r="B500" s="46" t="s">
        <v>974</v>
      </c>
      <c r="C500" s="46" t="s">
        <v>975</v>
      </c>
      <c r="D500" s="46" t="s">
        <v>1011</v>
      </c>
      <c r="E500" s="46" t="s">
        <v>1012</v>
      </c>
      <c r="F500" s="48" t="s">
        <v>66</v>
      </c>
      <c r="G500" s="9">
        <v>14</v>
      </c>
      <c r="H500" s="12">
        <f>'Engineering Cost'!H500*'Engineering Assumptions'!$B$6</f>
        <v>55008</v>
      </c>
      <c r="I500" s="12">
        <f>IF('Engineering Cost'!I500=0,0,MAX('Engineering Cost'!I500*'Engineering Assumptions'!$B$6,'Engineering Assumptions'!$B$9))</f>
        <v>0</v>
      </c>
      <c r="J500" s="12">
        <f>'Engineering Cost'!J500*'Engineering Assumptions'!$B$6</f>
        <v>4650</v>
      </c>
      <c r="K500" s="12">
        <f>'Engineering Cost'!K500*'Engineering Assumptions'!$B$6</f>
        <v>5670</v>
      </c>
      <c r="L500" s="13">
        <f t="shared" si="23"/>
        <v>65328</v>
      </c>
      <c r="M500" s="13">
        <f>L500*(1+'Engineering Assumptions'!$B$10)</f>
        <v>75127.199999999997</v>
      </c>
    </row>
    <row r="501" spans="1:13" ht="15" customHeight="1" x14ac:dyDescent="0.3">
      <c r="A501" s="9">
        <v>470</v>
      </c>
      <c r="B501" s="46" t="s">
        <v>974</v>
      </c>
      <c r="C501" s="46" t="s">
        <v>975</v>
      </c>
      <c r="D501" s="46" t="s">
        <v>1013</v>
      </c>
      <c r="E501" s="46" t="s">
        <v>1014</v>
      </c>
      <c r="F501" s="48" t="s">
        <v>66</v>
      </c>
      <c r="G501" s="9">
        <v>14</v>
      </c>
      <c r="H501" s="12">
        <f>'Engineering Cost'!H501*'Engineering Assumptions'!$B$6</f>
        <v>55008</v>
      </c>
      <c r="I501" s="12">
        <f>IF('Engineering Cost'!I501=0,0,MAX('Engineering Cost'!I501*'Engineering Assumptions'!$B$6,'Engineering Assumptions'!$B$9))</f>
        <v>0</v>
      </c>
      <c r="J501" s="12">
        <f>'Engineering Cost'!J501*'Engineering Assumptions'!$B$6</f>
        <v>4650</v>
      </c>
      <c r="K501" s="12">
        <f>'Engineering Cost'!K501*'Engineering Assumptions'!$B$6</f>
        <v>5670</v>
      </c>
      <c r="L501" s="13">
        <f t="shared" si="23"/>
        <v>65328</v>
      </c>
      <c r="M501" s="13">
        <f>L501*(1+'Engineering Assumptions'!$B$10)</f>
        <v>75127.199999999997</v>
      </c>
    </row>
    <row r="502" spans="1:13" ht="15" customHeight="1" x14ac:dyDescent="0.3">
      <c r="A502" s="9">
        <v>471</v>
      </c>
      <c r="B502" s="46" t="s">
        <v>974</v>
      </c>
      <c r="C502" s="46" t="s">
        <v>975</v>
      </c>
      <c r="D502" s="46" t="s">
        <v>1015</v>
      </c>
      <c r="E502" s="46" t="s">
        <v>1016</v>
      </c>
      <c r="F502" s="48" t="s">
        <v>66</v>
      </c>
      <c r="G502" s="9">
        <v>14</v>
      </c>
      <c r="H502" s="12">
        <f>'Engineering Cost'!H502*'Engineering Assumptions'!$B$6</f>
        <v>55008</v>
      </c>
      <c r="I502" s="12">
        <f>IF('Engineering Cost'!I502=0,0,MAX('Engineering Cost'!I502*'Engineering Assumptions'!$B$6,'Engineering Assumptions'!$B$9))</f>
        <v>0</v>
      </c>
      <c r="J502" s="12">
        <f>'Engineering Cost'!J502*'Engineering Assumptions'!$B$6</f>
        <v>4650</v>
      </c>
      <c r="K502" s="12">
        <f>'Engineering Cost'!K502*'Engineering Assumptions'!$B$6</f>
        <v>5670</v>
      </c>
      <c r="L502" s="13">
        <f t="shared" si="23"/>
        <v>65328</v>
      </c>
      <c r="M502" s="13">
        <f>L502*(1+'Engineering Assumptions'!$B$10)</f>
        <v>75127.199999999997</v>
      </c>
    </row>
    <row r="503" spans="1:13" ht="15" customHeight="1" x14ac:dyDescent="0.3">
      <c r="A503" s="9">
        <v>472</v>
      </c>
      <c r="B503" s="46" t="s">
        <v>974</v>
      </c>
      <c r="C503" s="46" t="s">
        <v>1006</v>
      </c>
      <c r="D503" s="46" t="s">
        <v>1017</v>
      </c>
      <c r="E503" s="46" t="s">
        <v>1018</v>
      </c>
      <c r="F503" s="48" t="s">
        <v>66</v>
      </c>
      <c r="G503" s="9">
        <v>14</v>
      </c>
      <c r="H503" s="12">
        <f>'Engineering Cost'!H503*'Engineering Assumptions'!$B$6</f>
        <v>55008</v>
      </c>
      <c r="I503" s="12">
        <f>IF('Engineering Cost'!I503=0,0,MAX('Engineering Cost'!I503*'Engineering Assumptions'!$B$6,'Engineering Assumptions'!$B$9))</f>
        <v>0</v>
      </c>
      <c r="J503" s="12">
        <f>'Engineering Cost'!J503*'Engineering Assumptions'!$B$6</f>
        <v>4650</v>
      </c>
      <c r="K503" s="12">
        <f>'Engineering Cost'!K503*'Engineering Assumptions'!$B$6</f>
        <v>5670</v>
      </c>
      <c r="L503" s="13">
        <f t="shared" si="23"/>
        <v>65328</v>
      </c>
      <c r="M503" s="13">
        <f>L503*(1+'Engineering Assumptions'!$B$10)</f>
        <v>75127.199999999997</v>
      </c>
    </row>
    <row r="504" spans="1:13" ht="15" customHeight="1" x14ac:dyDescent="0.3">
      <c r="A504" s="9">
        <v>473</v>
      </c>
      <c r="B504" s="46" t="s">
        <v>974</v>
      </c>
      <c r="C504" s="46" t="s">
        <v>1006</v>
      </c>
      <c r="D504" s="46" t="s">
        <v>1019</v>
      </c>
      <c r="E504" s="46" t="s">
        <v>1020</v>
      </c>
      <c r="F504" s="48" t="s">
        <v>66</v>
      </c>
      <c r="G504" s="9">
        <v>14</v>
      </c>
      <c r="H504" s="12">
        <f>'Engineering Cost'!H504*'Engineering Assumptions'!$B$6</f>
        <v>55008</v>
      </c>
      <c r="I504" s="12">
        <f>IF('Engineering Cost'!I504=0,0,MAX('Engineering Cost'!I504*'Engineering Assumptions'!$B$6,'Engineering Assumptions'!$B$9))</f>
        <v>0</v>
      </c>
      <c r="J504" s="12">
        <f>'Engineering Cost'!J504*'Engineering Assumptions'!$B$6</f>
        <v>4650</v>
      </c>
      <c r="K504" s="12">
        <f>'Engineering Cost'!K504*'Engineering Assumptions'!$B$6</f>
        <v>5670</v>
      </c>
      <c r="L504" s="13">
        <f t="shared" si="23"/>
        <v>65328</v>
      </c>
      <c r="M504" s="13">
        <f>L504*(1+'Engineering Assumptions'!$B$10)</f>
        <v>75127.199999999997</v>
      </c>
    </row>
    <row r="505" spans="1:13" ht="15" customHeight="1" x14ac:dyDescent="0.3">
      <c r="A505" s="9">
        <v>474</v>
      </c>
      <c r="B505" s="46" t="s">
        <v>974</v>
      </c>
      <c r="C505" s="46" t="s">
        <v>1006</v>
      </c>
      <c r="D505" s="46" t="s">
        <v>1021</v>
      </c>
      <c r="E505" s="46" t="s">
        <v>1022</v>
      </c>
      <c r="F505" s="48" t="s">
        <v>66</v>
      </c>
      <c r="G505" s="9">
        <v>14</v>
      </c>
      <c r="H505" s="12">
        <f>'Engineering Cost'!H505*'Engineering Assumptions'!$B$6</f>
        <v>55008</v>
      </c>
      <c r="I505" s="12">
        <f>IF('Engineering Cost'!I505=0,0,MAX('Engineering Cost'!I505*'Engineering Assumptions'!$B$6,'Engineering Assumptions'!$B$9))</f>
        <v>0</v>
      </c>
      <c r="J505" s="12">
        <f>'Engineering Cost'!J505*'Engineering Assumptions'!$B$6</f>
        <v>4650</v>
      </c>
      <c r="K505" s="12">
        <f>'Engineering Cost'!K505*'Engineering Assumptions'!$B$6</f>
        <v>5670</v>
      </c>
      <c r="L505" s="13">
        <f t="shared" si="23"/>
        <v>65328</v>
      </c>
      <c r="M505" s="13">
        <f>L505*(1+'Engineering Assumptions'!$B$10)</f>
        <v>75127.199999999997</v>
      </c>
    </row>
    <row r="506" spans="1:13" ht="15" customHeight="1" x14ac:dyDescent="0.3">
      <c r="A506" s="9">
        <v>475</v>
      </c>
      <c r="B506" s="46" t="s">
        <v>974</v>
      </c>
      <c r="C506" s="46" t="s">
        <v>1006</v>
      </c>
      <c r="D506" s="46" t="s">
        <v>1023</v>
      </c>
      <c r="E506" s="46" t="s">
        <v>1024</v>
      </c>
      <c r="F506" s="48" t="s">
        <v>458</v>
      </c>
      <c r="G506" s="9">
        <v>15</v>
      </c>
      <c r="H506" s="12">
        <f>'Engineering Cost'!H506*'Engineering Assumptions'!$B$6</f>
        <v>55008</v>
      </c>
      <c r="I506" s="12">
        <f>IF('Engineering Cost'!I506=0,0,MAX('Engineering Cost'!I506*'Engineering Assumptions'!$B$6,'Engineering Assumptions'!$B$9))</f>
        <v>0</v>
      </c>
      <c r="J506" s="12">
        <f>'Engineering Cost'!J506*'Engineering Assumptions'!$B$6</f>
        <v>4650</v>
      </c>
      <c r="K506" s="12">
        <f>'Engineering Cost'!K506*'Engineering Assumptions'!$B$6</f>
        <v>5670</v>
      </c>
      <c r="L506" s="13">
        <f t="shared" si="23"/>
        <v>65328</v>
      </c>
      <c r="M506" s="13">
        <f>L506*(1+'Engineering Assumptions'!$B$10)</f>
        <v>75127.199999999997</v>
      </c>
    </row>
    <row r="507" spans="1:13" ht="15" customHeight="1" x14ac:dyDescent="0.3">
      <c r="A507" s="9">
        <v>476</v>
      </c>
      <c r="B507" s="46" t="s">
        <v>974</v>
      </c>
      <c r="C507" s="46" t="s">
        <v>1006</v>
      </c>
      <c r="D507" s="46" t="s">
        <v>1025</v>
      </c>
      <c r="E507" s="46" t="s">
        <v>1026</v>
      </c>
      <c r="F507" s="48" t="s">
        <v>458</v>
      </c>
      <c r="G507" s="9">
        <v>15</v>
      </c>
      <c r="H507" s="12">
        <f>'Engineering Cost'!H507*'Engineering Assumptions'!$B$6</f>
        <v>55008</v>
      </c>
      <c r="I507" s="12">
        <f>IF('Engineering Cost'!I507=0,0,MAX('Engineering Cost'!I507*'Engineering Assumptions'!$B$6,'Engineering Assumptions'!$B$9))</f>
        <v>0</v>
      </c>
      <c r="J507" s="12">
        <f>'Engineering Cost'!J507*'Engineering Assumptions'!$B$6</f>
        <v>4650</v>
      </c>
      <c r="K507" s="12">
        <f>'Engineering Cost'!K507*'Engineering Assumptions'!$B$6</f>
        <v>5670</v>
      </c>
      <c r="L507" s="13">
        <f t="shared" si="23"/>
        <v>65328</v>
      </c>
      <c r="M507" s="13">
        <f>L507*(1+'Engineering Assumptions'!$B$10)</f>
        <v>75127.199999999997</v>
      </c>
    </row>
    <row r="508" spans="1:13" ht="15" customHeight="1" x14ac:dyDescent="0.3">
      <c r="A508" s="9">
        <v>477</v>
      </c>
      <c r="B508" s="46" t="s">
        <v>974</v>
      </c>
      <c r="C508" s="46" t="s">
        <v>1006</v>
      </c>
      <c r="D508" s="46" t="s">
        <v>1027</v>
      </c>
      <c r="E508" s="46" t="s">
        <v>1028</v>
      </c>
      <c r="F508" s="48" t="s">
        <v>458</v>
      </c>
      <c r="G508" s="9">
        <v>15</v>
      </c>
      <c r="H508" s="12">
        <f>'Engineering Cost'!H508*'Engineering Assumptions'!$B$6</f>
        <v>55008</v>
      </c>
      <c r="I508" s="12">
        <f>IF('Engineering Cost'!I508=0,0,MAX('Engineering Cost'!I508*'Engineering Assumptions'!$B$6,'Engineering Assumptions'!$B$9))</f>
        <v>0</v>
      </c>
      <c r="J508" s="12">
        <f>'Engineering Cost'!J508*'Engineering Assumptions'!$B$6</f>
        <v>4650</v>
      </c>
      <c r="K508" s="12">
        <f>'Engineering Cost'!K508*'Engineering Assumptions'!$B$6</f>
        <v>5670</v>
      </c>
      <c r="L508" s="13">
        <f t="shared" si="23"/>
        <v>65328</v>
      </c>
      <c r="M508" s="13">
        <f>L508*(1+'Engineering Assumptions'!$B$10)</f>
        <v>75127.199999999997</v>
      </c>
    </row>
    <row r="509" spans="1:13" ht="15" customHeight="1" x14ac:dyDescent="0.3">
      <c r="A509" s="9">
        <v>478</v>
      </c>
      <c r="B509" s="46" t="s">
        <v>974</v>
      </c>
      <c r="C509" s="46" t="s">
        <v>1029</v>
      </c>
      <c r="D509" s="46" t="s">
        <v>1030</v>
      </c>
      <c r="E509" s="46" t="s">
        <v>1031</v>
      </c>
      <c r="F509" s="48" t="s">
        <v>518</v>
      </c>
      <c r="G509" s="9">
        <v>19</v>
      </c>
      <c r="H509" s="12">
        <f>'Engineering Cost'!H509*'Engineering Assumptions'!$B$6</f>
        <v>55008</v>
      </c>
      <c r="I509" s="12">
        <f>IF('Engineering Cost'!I509=0,0,MAX('Engineering Cost'!I509*'Engineering Assumptions'!$B$6,'Engineering Assumptions'!$B$9))</f>
        <v>0</v>
      </c>
      <c r="J509" s="12">
        <f>'Engineering Cost'!J509*'Engineering Assumptions'!$B$6</f>
        <v>5850</v>
      </c>
      <c r="K509" s="12">
        <f>'Engineering Cost'!K509*'Engineering Assumptions'!$B$6</f>
        <v>8820</v>
      </c>
      <c r="L509" s="13">
        <f t="shared" si="23"/>
        <v>69678</v>
      </c>
      <c r="M509" s="13">
        <f>L509*(1+'Engineering Assumptions'!$B$10)</f>
        <v>80129.7</v>
      </c>
    </row>
    <row r="510" spans="1:13" ht="15" customHeight="1" x14ac:dyDescent="0.3">
      <c r="A510" s="9">
        <v>479</v>
      </c>
      <c r="B510" s="46" t="s">
        <v>974</v>
      </c>
      <c r="C510" s="46" t="s">
        <v>1032</v>
      </c>
      <c r="D510" s="46" t="s">
        <v>1033</v>
      </c>
      <c r="E510" s="46" t="s">
        <v>1034</v>
      </c>
      <c r="F510" s="48" t="s">
        <v>73</v>
      </c>
      <c r="G510" s="9">
        <v>20</v>
      </c>
      <c r="H510" s="12">
        <f>'Engineering Cost'!H510*'Engineering Assumptions'!$B$6</f>
        <v>55008</v>
      </c>
      <c r="I510" s="12">
        <f>IF('Engineering Cost'!I510=0,0,MAX('Engineering Cost'!I510*'Engineering Assumptions'!$B$6,'Engineering Assumptions'!$B$9))</f>
        <v>0</v>
      </c>
      <c r="J510" s="12">
        <f>'Engineering Cost'!J510*'Engineering Assumptions'!$B$6</f>
        <v>5850</v>
      </c>
      <c r="K510" s="12">
        <f>'Engineering Cost'!K510*'Engineering Assumptions'!$B$6</f>
        <v>8820</v>
      </c>
      <c r="L510" s="13">
        <f t="shared" si="23"/>
        <v>69678</v>
      </c>
      <c r="M510" s="13">
        <f>L510*(1+'Engineering Assumptions'!$B$10)</f>
        <v>80129.7</v>
      </c>
    </row>
    <row r="511" spans="1:13" ht="15" customHeight="1" x14ac:dyDescent="0.3">
      <c r="A511" s="9">
        <v>480</v>
      </c>
      <c r="B511" s="46" t="s">
        <v>974</v>
      </c>
      <c r="C511" s="46" t="s">
        <v>1032</v>
      </c>
      <c r="D511" s="46" t="s">
        <v>1035</v>
      </c>
      <c r="E511" s="46" t="s">
        <v>1036</v>
      </c>
      <c r="F511" s="48" t="s">
        <v>73</v>
      </c>
      <c r="G511" s="9">
        <v>20</v>
      </c>
      <c r="H511" s="12">
        <f>'Engineering Cost'!H511*'Engineering Assumptions'!$B$6</f>
        <v>55008</v>
      </c>
      <c r="I511" s="12">
        <f>IF('Engineering Cost'!I511=0,0,MAX('Engineering Cost'!I511*'Engineering Assumptions'!$B$6,'Engineering Assumptions'!$B$9))</f>
        <v>0</v>
      </c>
      <c r="J511" s="12">
        <f>'Engineering Cost'!J511*'Engineering Assumptions'!$B$6</f>
        <v>5850</v>
      </c>
      <c r="K511" s="12">
        <f>'Engineering Cost'!K511*'Engineering Assumptions'!$B$6</f>
        <v>8820</v>
      </c>
      <c r="L511" s="13">
        <f t="shared" si="23"/>
        <v>69678</v>
      </c>
      <c r="M511" s="13">
        <f>L511*(1+'Engineering Assumptions'!$B$10)</f>
        <v>80129.7</v>
      </c>
    </row>
    <row r="512" spans="1:13" ht="15" customHeight="1" x14ac:dyDescent="0.3">
      <c r="A512" s="9">
        <v>481</v>
      </c>
      <c r="B512" s="46" t="s">
        <v>974</v>
      </c>
      <c r="C512" s="46" t="s">
        <v>1037</v>
      </c>
      <c r="D512" s="46" t="s">
        <v>1038</v>
      </c>
      <c r="E512" s="46" t="s">
        <v>1039</v>
      </c>
      <c r="F512" s="48" t="s">
        <v>73</v>
      </c>
      <c r="G512" s="9">
        <v>20</v>
      </c>
      <c r="H512" s="12">
        <f>'Engineering Cost'!H512*'Engineering Assumptions'!$B$6</f>
        <v>55008</v>
      </c>
      <c r="I512" s="12">
        <f>IF('Engineering Cost'!I512=0,0,MAX('Engineering Cost'!I512*'Engineering Assumptions'!$B$6,'Engineering Assumptions'!$B$9))</f>
        <v>0</v>
      </c>
      <c r="J512" s="12">
        <f>'Engineering Cost'!J512*'Engineering Assumptions'!$B$6</f>
        <v>5850</v>
      </c>
      <c r="K512" s="12">
        <f>'Engineering Cost'!K512*'Engineering Assumptions'!$B$6</f>
        <v>8820</v>
      </c>
      <c r="L512" s="13">
        <f t="shared" si="23"/>
        <v>69678</v>
      </c>
      <c r="M512" s="13">
        <f>L512*(1+'Engineering Assumptions'!$B$10)</f>
        <v>80129.7</v>
      </c>
    </row>
    <row r="513" spans="1:13" ht="15" customHeight="1" x14ac:dyDescent="0.3">
      <c r="A513" s="9">
        <v>482</v>
      </c>
      <c r="B513" s="46" t="s">
        <v>974</v>
      </c>
      <c r="C513" s="46" t="s">
        <v>1040</v>
      </c>
      <c r="D513" s="46"/>
      <c r="E513" s="46"/>
      <c r="F513" s="48" t="s">
        <v>77</v>
      </c>
      <c r="G513" s="9">
        <v>22</v>
      </c>
      <c r="H513" s="12">
        <f>'Engineering Cost'!H513*'Engineering Assumptions'!$B$6</f>
        <v>55008</v>
      </c>
      <c r="I513" s="12">
        <f>IF('Engineering Cost'!I513=0,0,MAX('Engineering Cost'!I513*'Engineering Assumptions'!$B$6,'Engineering Assumptions'!$B$9))</f>
        <v>0</v>
      </c>
      <c r="J513" s="12">
        <f>'Engineering Cost'!J513*'Engineering Assumptions'!$B$6</f>
        <v>7200</v>
      </c>
      <c r="K513" s="12">
        <f>'Engineering Cost'!K513*'Engineering Assumptions'!$B$6</f>
        <v>12600</v>
      </c>
      <c r="L513" s="13">
        <f t="shared" si="23"/>
        <v>74808</v>
      </c>
      <c r="M513" s="13">
        <f>L513*(1+'Engineering Assumptions'!$B$10)</f>
        <v>86029.2</v>
      </c>
    </row>
    <row r="514" spans="1:13" ht="15" customHeight="1" x14ac:dyDescent="0.3">
      <c r="A514" s="9">
        <v>483</v>
      </c>
      <c r="B514" s="46" t="s">
        <v>974</v>
      </c>
      <c r="C514" s="46" t="s">
        <v>1041</v>
      </c>
      <c r="D514" s="46" t="s">
        <v>1042</v>
      </c>
      <c r="E514" s="46" t="s">
        <v>1043</v>
      </c>
      <c r="F514" s="48" t="s">
        <v>139</v>
      </c>
      <c r="G514" s="9">
        <v>23</v>
      </c>
      <c r="H514" s="12">
        <f>'Engineering Cost'!H514*'Engineering Assumptions'!$B$6</f>
        <v>55008</v>
      </c>
      <c r="I514" s="12">
        <f>IF('Engineering Cost'!I514=0,0,MAX('Engineering Cost'!I514*'Engineering Assumptions'!$B$6,'Engineering Assumptions'!$B$9))</f>
        <v>0</v>
      </c>
      <c r="J514" s="12">
        <f>'Engineering Cost'!J514*'Engineering Assumptions'!$B$6</f>
        <v>7200</v>
      </c>
      <c r="K514" s="12">
        <f>'Engineering Cost'!K514*'Engineering Assumptions'!$B$6</f>
        <v>12600</v>
      </c>
      <c r="L514" s="13">
        <f t="shared" si="23"/>
        <v>74808</v>
      </c>
      <c r="M514" s="13">
        <f>L514*(1+'Engineering Assumptions'!$B$10)</f>
        <v>86029.2</v>
      </c>
    </row>
    <row r="515" spans="1:13" ht="15" customHeight="1" x14ac:dyDescent="0.3">
      <c r="A515" s="9">
        <v>484</v>
      </c>
      <c r="B515" s="46" t="s">
        <v>974</v>
      </c>
      <c r="C515" s="46" t="s">
        <v>188</v>
      </c>
      <c r="D515" s="46" t="s">
        <v>1044</v>
      </c>
      <c r="E515" s="46" t="s">
        <v>1045</v>
      </c>
      <c r="F515" s="48" t="s">
        <v>195</v>
      </c>
      <c r="G515" s="9">
        <v>30</v>
      </c>
      <c r="H515" s="12">
        <f>'Engineering Cost'!H515*'Engineering Assumptions'!$B$6</f>
        <v>55008</v>
      </c>
      <c r="I515" s="12">
        <f>IF('Engineering Cost'!I515=0,0,MAX('Engineering Cost'!I515*'Engineering Assumptions'!$B$6,'Engineering Assumptions'!$B$9))</f>
        <v>0</v>
      </c>
      <c r="J515" s="12">
        <f>'Engineering Cost'!J515*'Engineering Assumptions'!$B$6</f>
        <v>7200</v>
      </c>
      <c r="K515" s="12">
        <f>'Engineering Cost'!K515*'Engineering Assumptions'!$B$6</f>
        <v>12600</v>
      </c>
      <c r="L515" s="13">
        <f t="shared" si="23"/>
        <v>74808</v>
      </c>
      <c r="M515" s="13">
        <f>L515*(1+'Engineering Assumptions'!$B$10)</f>
        <v>86029.2</v>
      </c>
    </row>
    <row r="516" spans="1:13" ht="15" customHeight="1" x14ac:dyDescent="0.3">
      <c r="A516" s="9">
        <v>485</v>
      </c>
      <c r="B516" s="46" t="s">
        <v>974</v>
      </c>
      <c r="C516" s="46" t="s">
        <v>188</v>
      </c>
      <c r="D516" s="46"/>
      <c r="E516" s="46"/>
      <c r="F516" s="48" t="s">
        <v>195</v>
      </c>
      <c r="G516" s="9">
        <v>30</v>
      </c>
      <c r="H516" s="12">
        <f>'Engineering Cost'!H516*'Engineering Assumptions'!$B$6</f>
        <v>55008</v>
      </c>
      <c r="I516" s="12">
        <f>IF('Engineering Cost'!I516=0,0,MAX('Engineering Cost'!I516*'Engineering Assumptions'!$B$6,'Engineering Assumptions'!$B$9))</f>
        <v>0</v>
      </c>
      <c r="J516" s="12">
        <f>'Engineering Cost'!J516*'Engineering Assumptions'!$B$6</f>
        <v>7200</v>
      </c>
      <c r="K516" s="12">
        <f>'Engineering Cost'!K516*'Engineering Assumptions'!$B$6</f>
        <v>12600</v>
      </c>
      <c r="L516" s="13">
        <f t="shared" ref="L516:L536" si="24">SUM(H516:K516)</f>
        <v>74808</v>
      </c>
      <c r="M516" s="13">
        <f>L516*(1+'Engineering Assumptions'!$B$10)</f>
        <v>86029.2</v>
      </c>
    </row>
    <row r="517" spans="1:13" ht="15" customHeight="1" x14ac:dyDescent="0.3">
      <c r="A517" s="9">
        <v>486</v>
      </c>
      <c r="B517" s="46" t="s">
        <v>974</v>
      </c>
      <c r="C517" s="46" t="s">
        <v>188</v>
      </c>
      <c r="D517" s="46"/>
      <c r="E517" s="46"/>
      <c r="F517" s="48" t="s">
        <v>195</v>
      </c>
      <c r="G517" s="9">
        <v>30</v>
      </c>
      <c r="H517" s="12">
        <f>'Engineering Cost'!H517*'Engineering Assumptions'!$B$6</f>
        <v>55008</v>
      </c>
      <c r="I517" s="12">
        <f>IF('Engineering Cost'!I517=0,0,MAX('Engineering Cost'!I517*'Engineering Assumptions'!$B$6,'Engineering Assumptions'!$B$9))</f>
        <v>0</v>
      </c>
      <c r="J517" s="12">
        <f>'Engineering Cost'!J517*'Engineering Assumptions'!$B$6</f>
        <v>7200</v>
      </c>
      <c r="K517" s="12">
        <f>'Engineering Cost'!K517*'Engineering Assumptions'!$B$6</f>
        <v>12600</v>
      </c>
      <c r="L517" s="13">
        <f t="shared" si="24"/>
        <v>74808</v>
      </c>
      <c r="M517" s="13">
        <f>L517*(1+'Engineering Assumptions'!$B$10)</f>
        <v>86029.2</v>
      </c>
    </row>
    <row r="518" spans="1:13" ht="15" customHeight="1" x14ac:dyDescent="0.3">
      <c r="A518" s="9">
        <v>487</v>
      </c>
      <c r="B518" s="46" t="s">
        <v>974</v>
      </c>
      <c r="C518" s="46" t="s">
        <v>188</v>
      </c>
      <c r="D518" s="46"/>
      <c r="E518" s="46"/>
      <c r="F518" s="48" t="s">
        <v>195</v>
      </c>
      <c r="G518" s="9">
        <v>30</v>
      </c>
      <c r="H518" s="12">
        <f>'Engineering Cost'!H518*'Engineering Assumptions'!$B$6</f>
        <v>55008</v>
      </c>
      <c r="I518" s="12">
        <f>IF('Engineering Cost'!I518=0,0,MAX('Engineering Cost'!I518*'Engineering Assumptions'!$B$6,'Engineering Assumptions'!$B$9))</f>
        <v>0</v>
      </c>
      <c r="J518" s="12">
        <f>'Engineering Cost'!J518*'Engineering Assumptions'!$B$6</f>
        <v>7200</v>
      </c>
      <c r="K518" s="12">
        <f>'Engineering Cost'!K518*'Engineering Assumptions'!$B$6</f>
        <v>12600</v>
      </c>
      <c r="L518" s="13">
        <f t="shared" si="24"/>
        <v>74808</v>
      </c>
      <c r="M518" s="13">
        <f>L518*(1+'Engineering Assumptions'!$B$10)</f>
        <v>86029.2</v>
      </c>
    </row>
    <row r="519" spans="1:13" ht="41.25" customHeight="1" x14ac:dyDescent="0.3">
      <c r="A519" s="9">
        <v>488</v>
      </c>
      <c r="B519" s="46" t="s">
        <v>974</v>
      </c>
      <c r="C519" s="46" t="s">
        <v>188</v>
      </c>
      <c r="D519" s="46"/>
      <c r="E519" s="46"/>
      <c r="F519" s="48" t="s">
        <v>1046</v>
      </c>
      <c r="G519" s="9">
        <v>30</v>
      </c>
      <c r="H519" s="12">
        <f>'Engineering Cost'!H519*'Engineering Assumptions'!$B$6</f>
        <v>55008</v>
      </c>
      <c r="I519" s="12">
        <f>IF('Engineering Cost'!I519=0,0,MAX('Engineering Cost'!I519*'Engineering Assumptions'!$B$6,'Engineering Assumptions'!$B$9))</f>
        <v>0</v>
      </c>
      <c r="J519" s="12">
        <f>'Engineering Cost'!J519*'Engineering Assumptions'!$B$6</f>
        <v>7200</v>
      </c>
      <c r="K519" s="12">
        <f>'Engineering Cost'!K519*'Engineering Assumptions'!$B$6</f>
        <v>12600</v>
      </c>
      <c r="L519" s="13">
        <f t="shared" si="24"/>
        <v>74808</v>
      </c>
      <c r="M519" s="13">
        <f>L519*(1+'Engineering Assumptions'!$B$10)</f>
        <v>86029.2</v>
      </c>
    </row>
    <row r="520" spans="1:13" ht="41.25" customHeight="1" x14ac:dyDescent="0.3">
      <c r="A520" s="9">
        <v>489</v>
      </c>
      <c r="B520" s="46" t="s">
        <v>974</v>
      </c>
      <c r="C520" s="46" t="s">
        <v>188</v>
      </c>
      <c r="D520" s="46"/>
      <c r="E520" s="46"/>
      <c r="F520" s="48" t="s">
        <v>1047</v>
      </c>
      <c r="G520" s="9">
        <v>30</v>
      </c>
      <c r="H520" s="12">
        <f>'Engineering Cost'!H520*'Engineering Assumptions'!$B$6</f>
        <v>55008</v>
      </c>
      <c r="I520" s="12">
        <f>IF('Engineering Cost'!I520=0,0,MAX('Engineering Cost'!I520*'Engineering Assumptions'!$B$6,'Engineering Assumptions'!$B$9))</f>
        <v>0</v>
      </c>
      <c r="J520" s="12">
        <f>'Engineering Cost'!J520*'Engineering Assumptions'!$B$6</f>
        <v>7200</v>
      </c>
      <c r="K520" s="12">
        <f>'Engineering Cost'!K520*'Engineering Assumptions'!$B$6</f>
        <v>12600</v>
      </c>
      <c r="L520" s="13">
        <f t="shared" si="24"/>
        <v>74808</v>
      </c>
      <c r="M520" s="13">
        <f>L520*(1+'Engineering Assumptions'!$B$10)</f>
        <v>86029.2</v>
      </c>
    </row>
    <row r="521" spans="1:13" ht="41.25" customHeight="1" x14ac:dyDescent="0.3">
      <c r="A521" s="9">
        <v>490</v>
      </c>
      <c r="B521" s="46" t="s">
        <v>974</v>
      </c>
      <c r="C521" s="46" t="s">
        <v>188</v>
      </c>
      <c r="D521" s="46"/>
      <c r="E521" s="46"/>
      <c r="F521" s="48" t="s">
        <v>1048</v>
      </c>
      <c r="G521" s="9">
        <v>30</v>
      </c>
      <c r="H521" s="12">
        <f>'Engineering Cost'!H521*'Engineering Assumptions'!$B$6</f>
        <v>55008</v>
      </c>
      <c r="I521" s="12">
        <f>IF('Engineering Cost'!I521=0,0,MAX('Engineering Cost'!I521*'Engineering Assumptions'!$B$6,'Engineering Assumptions'!$B$9))</f>
        <v>0</v>
      </c>
      <c r="J521" s="12">
        <f>'Engineering Cost'!J521*'Engineering Assumptions'!$B$6</f>
        <v>7200</v>
      </c>
      <c r="K521" s="12">
        <f>'Engineering Cost'!K521*'Engineering Assumptions'!$B$6</f>
        <v>12600</v>
      </c>
      <c r="L521" s="13">
        <f t="shared" si="24"/>
        <v>74808</v>
      </c>
      <c r="M521" s="13">
        <f>L521*(1+'Engineering Assumptions'!$B$10)</f>
        <v>86029.2</v>
      </c>
    </row>
    <row r="522" spans="1:13" ht="54.75" customHeight="1" x14ac:dyDescent="0.3">
      <c r="A522" s="9">
        <v>491</v>
      </c>
      <c r="B522" s="46" t="s">
        <v>974</v>
      </c>
      <c r="C522" s="46" t="s">
        <v>188</v>
      </c>
      <c r="D522" s="46"/>
      <c r="E522" s="46"/>
      <c r="F522" s="48" t="s">
        <v>1049</v>
      </c>
      <c r="G522" s="9">
        <v>30</v>
      </c>
      <c r="H522" s="12">
        <f>'Engineering Cost'!H522*'Engineering Assumptions'!$B$6</f>
        <v>55008</v>
      </c>
      <c r="I522" s="12">
        <f>IF('Engineering Cost'!I522=0,0,MAX('Engineering Cost'!I522*'Engineering Assumptions'!$B$6,'Engineering Assumptions'!$B$9))</f>
        <v>0</v>
      </c>
      <c r="J522" s="12">
        <f>'Engineering Cost'!J522*'Engineering Assumptions'!$B$6</f>
        <v>7200</v>
      </c>
      <c r="K522" s="12">
        <f>'Engineering Cost'!K522*'Engineering Assumptions'!$B$6</f>
        <v>12600</v>
      </c>
      <c r="L522" s="13">
        <f t="shared" si="24"/>
        <v>74808</v>
      </c>
      <c r="M522" s="13">
        <f>L522*(1+'Engineering Assumptions'!$B$10)</f>
        <v>86029.2</v>
      </c>
    </row>
    <row r="523" spans="1:13" ht="15" customHeight="1" x14ac:dyDescent="0.3">
      <c r="A523" s="9">
        <v>492</v>
      </c>
      <c r="B523" s="46" t="s">
        <v>974</v>
      </c>
      <c r="C523" s="46" t="s">
        <v>188</v>
      </c>
      <c r="D523" s="46"/>
      <c r="E523" s="46"/>
      <c r="F523" s="48" t="s">
        <v>195</v>
      </c>
      <c r="G523" s="9">
        <v>30</v>
      </c>
      <c r="H523" s="12">
        <f>'Engineering Cost'!H523*'Engineering Assumptions'!$B$6</f>
        <v>55008</v>
      </c>
      <c r="I523" s="12">
        <f>IF('Engineering Cost'!I523=0,0,MAX('Engineering Cost'!I523*'Engineering Assumptions'!$B$6,'Engineering Assumptions'!$B$9))</f>
        <v>0</v>
      </c>
      <c r="J523" s="12">
        <f>'Engineering Cost'!J523*'Engineering Assumptions'!$B$6</f>
        <v>7200</v>
      </c>
      <c r="K523" s="12">
        <f>'Engineering Cost'!K523*'Engineering Assumptions'!$B$6</f>
        <v>12600</v>
      </c>
      <c r="L523" s="13">
        <f t="shared" si="24"/>
        <v>74808</v>
      </c>
      <c r="M523" s="13">
        <f>L523*(1+'Engineering Assumptions'!$B$10)</f>
        <v>86029.2</v>
      </c>
    </row>
    <row r="524" spans="1:13" ht="41.25" customHeight="1" x14ac:dyDescent="0.3">
      <c r="A524" s="9">
        <v>493</v>
      </c>
      <c r="B524" s="46" t="s">
        <v>974</v>
      </c>
      <c r="C524" s="46" t="s">
        <v>188</v>
      </c>
      <c r="D524" s="46"/>
      <c r="E524" s="46"/>
      <c r="F524" s="48" t="s">
        <v>1050</v>
      </c>
      <c r="G524" s="9">
        <v>30</v>
      </c>
      <c r="H524" s="12">
        <f>'Engineering Cost'!H524*'Engineering Assumptions'!$B$6</f>
        <v>55008</v>
      </c>
      <c r="I524" s="12">
        <f>IF('Engineering Cost'!I524=0,0,MAX('Engineering Cost'!I524*'Engineering Assumptions'!$B$6,'Engineering Assumptions'!$B$9))</f>
        <v>0</v>
      </c>
      <c r="J524" s="12">
        <f>'Engineering Cost'!J524*'Engineering Assumptions'!$B$6</f>
        <v>7200</v>
      </c>
      <c r="K524" s="12">
        <f>'Engineering Cost'!K524*'Engineering Assumptions'!$B$6</f>
        <v>12600</v>
      </c>
      <c r="L524" s="13">
        <f t="shared" si="24"/>
        <v>74808</v>
      </c>
      <c r="M524" s="13">
        <f>L524*(1+'Engineering Assumptions'!$B$10)</f>
        <v>86029.2</v>
      </c>
    </row>
    <row r="525" spans="1:13" ht="41.25" customHeight="1" x14ac:dyDescent="0.3">
      <c r="A525" s="9">
        <v>494</v>
      </c>
      <c r="B525" s="46" t="s">
        <v>974</v>
      </c>
      <c r="C525" s="46" t="s">
        <v>188</v>
      </c>
      <c r="D525" s="46"/>
      <c r="E525" s="46"/>
      <c r="F525" s="48" t="s">
        <v>1051</v>
      </c>
      <c r="G525" s="9">
        <v>30</v>
      </c>
      <c r="H525" s="12">
        <f>'Engineering Cost'!H525*'Engineering Assumptions'!$B$6</f>
        <v>55008</v>
      </c>
      <c r="I525" s="12">
        <f>IF('Engineering Cost'!I525=0,0,MAX('Engineering Cost'!I525*'Engineering Assumptions'!$B$6,'Engineering Assumptions'!$B$9))</f>
        <v>0</v>
      </c>
      <c r="J525" s="12">
        <f>'Engineering Cost'!J525*'Engineering Assumptions'!$B$6</f>
        <v>7200</v>
      </c>
      <c r="K525" s="12">
        <f>'Engineering Cost'!K525*'Engineering Assumptions'!$B$6</f>
        <v>12600</v>
      </c>
      <c r="L525" s="13">
        <f t="shared" si="24"/>
        <v>74808</v>
      </c>
      <c r="M525" s="13">
        <f>L525*(1+'Engineering Assumptions'!$B$10)</f>
        <v>86029.2</v>
      </c>
    </row>
    <row r="526" spans="1:13" ht="54.75" customHeight="1" x14ac:dyDescent="0.3">
      <c r="A526" s="9">
        <v>495</v>
      </c>
      <c r="B526" s="46" t="s">
        <v>974</v>
      </c>
      <c r="C526" s="46" t="s">
        <v>188</v>
      </c>
      <c r="D526" s="46"/>
      <c r="E526" s="46"/>
      <c r="F526" s="48" t="s">
        <v>1052</v>
      </c>
      <c r="G526" s="9">
        <v>30</v>
      </c>
      <c r="H526" s="12">
        <f>'Engineering Cost'!H526*'Engineering Assumptions'!$B$6</f>
        <v>55008</v>
      </c>
      <c r="I526" s="12">
        <f>IF('Engineering Cost'!I526=0,0,MAX('Engineering Cost'!I526*'Engineering Assumptions'!$B$6,'Engineering Assumptions'!$B$9))</f>
        <v>0</v>
      </c>
      <c r="J526" s="12">
        <f>'Engineering Cost'!J526*'Engineering Assumptions'!$B$6</f>
        <v>7200</v>
      </c>
      <c r="K526" s="12">
        <f>'Engineering Cost'!K526*'Engineering Assumptions'!$B$6</f>
        <v>12600</v>
      </c>
      <c r="L526" s="13">
        <f t="shared" si="24"/>
        <v>74808</v>
      </c>
      <c r="M526" s="13">
        <f>L526*(1+'Engineering Assumptions'!$B$10)</f>
        <v>86029.2</v>
      </c>
    </row>
    <row r="527" spans="1:13" ht="54.75" customHeight="1" x14ac:dyDescent="0.3">
      <c r="A527" s="9">
        <v>496</v>
      </c>
      <c r="B527" s="46" t="s">
        <v>974</v>
      </c>
      <c r="C527" s="46" t="s">
        <v>188</v>
      </c>
      <c r="D527" s="46"/>
      <c r="E527" s="46"/>
      <c r="F527" s="48" t="s">
        <v>1053</v>
      </c>
      <c r="G527" s="9">
        <v>30</v>
      </c>
      <c r="H527" s="12">
        <f>'Engineering Cost'!H527*'Engineering Assumptions'!$B$6</f>
        <v>55008</v>
      </c>
      <c r="I527" s="12">
        <f>IF('Engineering Cost'!I527=0,0,MAX('Engineering Cost'!I527*'Engineering Assumptions'!$B$6,'Engineering Assumptions'!$B$9))</f>
        <v>0</v>
      </c>
      <c r="J527" s="12">
        <f>'Engineering Cost'!J527*'Engineering Assumptions'!$B$6</f>
        <v>7200</v>
      </c>
      <c r="K527" s="12">
        <f>'Engineering Cost'!K527*'Engineering Assumptions'!$B$6</f>
        <v>12600</v>
      </c>
      <c r="L527" s="13">
        <f t="shared" si="24"/>
        <v>74808</v>
      </c>
      <c r="M527" s="13">
        <f>L527*(1+'Engineering Assumptions'!$B$10)</f>
        <v>86029.2</v>
      </c>
    </row>
    <row r="528" spans="1:13" ht="54.75" customHeight="1" x14ac:dyDescent="0.3">
      <c r="A528" s="9">
        <v>497</v>
      </c>
      <c r="B528" s="46" t="s">
        <v>974</v>
      </c>
      <c r="C528" s="46" t="s">
        <v>188</v>
      </c>
      <c r="D528" s="46"/>
      <c r="E528" s="46"/>
      <c r="F528" s="48" t="s">
        <v>1054</v>
      </c>
      <c r="G528" s="9">
        <v>30</v>
      </c>
      <c r="H528" s="12">
        <f>'Engineering Cost'!H528*'Engineering Assumptions'!$B$6</f>
        <v>55008</v>
      </c>
      <c r="I528" s="12">
        <f>IF('Engineering Cost'!I528=0,0,MAX('Engineering Cost'!I528*'Engineering Assumptions'!$B$6,'Engineering Assumptions'!$B$9))</f>
        <v>0</v>
      </c>
      <c r="J528" s="12">
        <f>'Engineering Cost'!J528*'Engineering Assumptions'!$B$6</f>
        <v>7200</v>
      </c>
      <c r="K528" s="12">
        <f>'Engineering Cost'!K528*'Engineering Assumptions'!$B$6</f>
        <v>12600</v>
      </c>
      <c r="L528" s="13">
        <f t="shared" si="24"/>
        <v>74808</v>
      </c>
      <c r="M528" s="13">
        <f>L528*(1+'Engineering Assumptions'!$B$10)</f>
        <v>86029.2</v>
      </c>
    </row>
    <row r="529" spans="1:13" ht="15" customHeight="1" x14ac:dyDescent="0.3">
      <c r="A529" s="9">
        <v>498</v>
      </c>
      <c r="B529" s="46" t="s">
        <v>974</v>
      </c>
      <c r="C529" s="46" t="s">
        <v>188</v>
      </c>
      <c r="D529" s="46"/>
      <c r="E529" s="46"/>
      <c r="F529" s="48" t="s">
        <v>195</v>
      </c>
      <c r="G529" s="9">
        <v>30</v>
      </c>
      <c r="H529" s="12">
        <f>'Engineering Cost'!H529*'Engineering Assumptions'!$B$6</f>
        <v>55008</v>
      </c>
      <c r="I529" s="12">
        <f>IF('Engineering Cost'!I529=0,0,MAX('Engineering Cost'!I529*'Engineering Assumptions'!$B$6,'Engineering Assumptions'!$B$9))</f>
        <v>0</v>
      </c>
      <c r="J529" s="12">
        <f>'Engineering Cost'!J529*'Engineering Assumptions'!$B$6</f>
        <v>7200</v>
      </c>
      <c r="K529" s="12">
        <f>'Engineering Cost'!K529*'Engineering Assumptions'!$B$6</f>
        <v>12600</v>
      </c>
      <c r="L529" s="13">
        <f t="shared" si="24"/>
        <v>74808</v>
      </c>
      <c r="M529" s="13">
        <f>L529*(1+'Engineering Assumptions'!$B$10)</f>
        <v>86029.2</v>
      </c>
    </row>
    <row r="530" spans="1:13" ht="15" customHeight="1" x14ac:dyDescent="0.3">
      <c r="A530" s="9">
        <v>499</v>
      </c>
      <c r="B530" s="46" t="s">
        <v>974</v>
      </c>
      <c r="C530" s="46" t="s">
        <v>188</v>
      </c>
      <c r="D530" s="46"/>
      <c r="E530" s="46"/>
      <c r="F530" s="48" t="s">
        <v>195</v>
      </c>
      <c r="G530" s="9">
        <v>30</v>
      </c>
      <c r="H530" s="12">
        <f>'Engineering Cost'!H530*'Engineering Assumptions'!$B$6</f>
        <v>55008</v>
      </c>
      <c r="I530" s="12">
        <f>IF('Engineering Cost'!I530=0,0,MAX('Engineering Cost'!I530*'Engineering Assumptions'!$B$6,'Engineering Assumptions'!$B$9))</f>
        <v>0</v>
      </c>
      <c r="J530" s="12">
        <f>'Engineering Cost'!J530*'Engineering Assumptions'!$B$6</f>
        <v>7200</v>
      </c>
      <c r="K530" s="12">
        <f>'Engineering Cost'!K530*'Engineering Assumptions'!$B$6</f>
        <v>12600</v>
      </c>
      <c r="L530" s="13">
        <f t="shared" si="24"/>
        <v>74808</v>
      </c>
      <c r="M530" s="13">
        <f>L530*(1+'Engineering Assumptions'!$B$10)</f>
        <v>86029.2</v>
      </c>
    </row>
    <row r="531" spans="1:13" ht="15" customHeight="1" x14ac:dyDescent="0.3">
      <c r="A531" s="9">
        <v>500</v>
      </c>
      <c r="B531" s="46" t="s">
        <v>974</v>
      </c>
      <c r="C531" s="46" t="s">
        <v>188</v>
      </c>
      <c r="D531" s="46"/>
      <c r="E531" s="46"/>
      <c r="F531" s="48" t="s">
        <v>195</v>
      </c>
      <c r="G531" s="9">
        <v>30</v>
      </c>
      <c r="H531" s="12">
        <f>'Engineering Cost'!H531*'Engineering Assumptions'!$B$6</f>
        <v>55008</v>
      </c>
      <c r="I531" s="12">
        <f>IF('Engineering Cost'!I531=0,0,MAX('Engineering Cost'!I531*'Engineering Assumptions'!$B$6,'Engineering Assumptions'!$B$9))</f>
        <v>0</v>
      </c>
      <c r="J531" s="12">
        <f>'Engineering Cost'!J531*'Engineering Assumptions'!$B$6</f>
        <v>7200</v>
      </c>
      <c r="K531" s="12">
        <f>'Engineering Cost'!K531*'Engineering Assumptions'!$B$6</f>
        <v>12600</v>
      </c>
      <c r="L531" s="13">
        <f t="shared" si="24"/>
        <v>74808</v>
      </c>
      <c r="M531" s="13">
        <f>L531*(1+'Engineering Assumptions'!$B$10)</f>
        <v>86029.2</v>
      </c>
    </row>
    <row r="532" spans="1:13" ht="15" customHeight="1" x14ac:dyDescent="0.3">
      <c r="A532" s="9">
        <v>501</v>
      </c>
      <c r="B532" s="46" t="s">
        <v>974</v>
      </c>
      <c r="C532" s="46" t="s">
        <v>188</v>
      </c>
      <c r="D532" s="46"/>
      <c r="E532" s="46"/>
      <c r="F532" s="48" t="s">
        <v>195</v>
      </c>
      <c r="G532" s="9">
        <v>30</v>
      </c>
      <c r="H532" s="12">
        <f>'Engineering Cost'!H532*'Engineering Assumptions'!$B$6</f>
        <v>55008</v>
      </c>
      <c r="I532" s="12">
        <f>IF('Engineering Cost'!I532=0,0,MAX('Engineering Cost'!I532*'Engineering Assumptions'!$B$6,'Engineering Assumptions'!$B$9))</f>
        <v>0</v>
      </c>
      <c r="J532" s="12">
        <f>'Engineering Cost'!J532*'Engineering Assumptions'!$B$6</f>
        <v>7200</v>
      </c>
      <c r="K532" s="12">
        <f>'Engineering Cost'!K532*'Engineering Assumptions'!$B$6</f>
        <v>12600</v>
      </c>
      <c r="L532" s="13">
        <f t="shared" si="24"/>
        <v>74808</v>
      </c>
      <c r="M532" s="13">
        <f>L532*(1+'Engineering Assumptions'!$B$10)</f>
        <v>86029.2</v>
      </c>
    </row>
    <row r="533" spans="1:13" ht="41.25" customHeight="1" x14ac:dyDescent="0.3">
      <c r="A533" s="9">
        <v>502</v>
      </c>
      <c r="B533" s="46" t="s">
        <v>974</v>
      </c>
      <c r="C533" s="46" t="s">
        <v>188</v>
      </c>
      <c r="D533" s="46"/>
      <c r="E533" s="46"/>
      <c r="F533" s="48" t="s">
        <v>1055</v>
      </c>
      <c r="G533" s="9">
        <v>30</v>
      </c>
      <c r="H533" s="12">
        <f>'Engineering Cost'!H533*'Engineering Assumptions'!$B$6</f>
        <v>55008</v>
      </c>
      <c r="I533" s="12">
        <f>IF('Engineering Cost'!I533=0,0,MAX('Engineering Cost'!I533*'Engineering Assumptions'!$B$6,'Engineering Assumptions'!$B$9))</f>
        <v>0</v>
      </c>
      <c r="J533" s="12">
        <f>'Engineering Cost'!J533*'Engineering Assumptions'!$B$6</f>
        <v>7200</v>
      </c>
      <c r="K533" s="12">
        <f>'Engineering Cost'!K533*'Engineering Assumptions'!$B$6</f>
        <v>12600</v>
      </c>
      <c r="L533" s="13">
        <f t="shared" si="24"/>
        <v>74808</v>
      </c>
      <c r="M533" s="13">
        <f>L533*(1+'Engineering Assumptions'!$B$10)</f>
        <v>86029.2</v>
      </c>
    </row>
    <row r="534" spans="1:13" ht="54.75" customHeight="1" x14ac:dyDescent="0.3">
      <c r="A534" s="9">
        <v>503</v>
      </c>
      <c r="B534" s="46" t="s">
        <v>974</v>
      </c>
      <c r="C534" s="46" t="s">
        <v>188</v>
      </c>
      <c r="D534" s="46"/>
      <c r="E534" s="46"/>
      <c r="F534" s="48" t="s">
        <v>1056</v>
      </c>
      <c r="G534" s="9">
        <v>30</v>
      </c>
      <c r="H534" s="12">
        <f>'Engineering Cost'!H534*'Engineering Assumptions'!$B$6</f>
        <v>55008</v>
      </c>
      <c r="I534" s="12">
        <f>IF('Engineering Cost'!I534=0,0,MAX('Engineering Cost'!I534*'Engineering Assumptions'!$B$6,'Engineering Assumptions'!$B$9))</f>
        <v>0</v>
      </c>
      <c r="J534" s="12">
        <f>'Engineering Cost'!J534*'Engineering Assumptions'!$B$6</f>
        <v>7200</v>
      </c>
      <c r="K534" s="12">
        <f>'Engineering Cost'!K534*'Engineering Assumptions'!$B$6</f>
        <v>12600</v>
      </c>
      <c r="L534" s="13">
        <f t="shared" si="24"/>
        <v>74808</v>
      </c>
      <c r="M534" s="13">
        <f>L534*(1+'Engineering Assumptions'!$B$10)</f>
        <v>86029.2</v>
      </c>
    </row>
    <row r="535" spans="1:13" ht="15" customHeight="1" x14ac:dyDescent="0.3">
      <c r="A535" s="9">
        <v>504</v>
      </c>
      <c r="B535" s="46" t="s">
        <v>974</v>
      </c>
      <c r="C535" s="46" t="s">
        <v>1057</v>
      </c>
      <c r="D535" s="46"/>
      <c r="E535" s="46"/>
      <c r="F535" s="48" t="s">
        <v>195</v>
      </c>
      <c r="G535" s="9">
        <v>30</v>
      </c>
      <c r="H535" s="12">
        <f>'Engineering Cost'!H535*'Engineering Assumptions'!$B$6</f>
        <v>55008</v>
      </c>
      <c r="I535" s="12">
        <f>IF('Engineering Cost'!I535=0,0,MAX('Engineering Cost'!I535*'Engineering Assumptions'!$B$6,'Engineering Assumptions'!$B$9))</f>
        <v>0</v>
      </c>
      <c r="J535" s="12">
        <f>'Engineering Cost'!J535*'Engineering Assumptions'!$B$6</f>
        <v>7200</v>
      </c>
      <c r="K535" s="12">
        <f>'Engineering Cost'!K535*'Engineering Assumptions'!$B$6</f>
        <v>12600</v>
      </c>
      <c r="L535" s="13">
        <f t="shared" si="24"/>
        <v>74808</v>
      </c>
      <c r="M535" s="13">
        <f>L535*(1+'Engineering Assumptions'!$B$10)</f>
        <v>86029.2</v>
      </c>
    </row>
    <row r="536" spans="1:13" ht="41.25" customHeight="1" x14ac:dyDescent="0.3">
      <c r="A536" s="9">
        <v>505</v>
      </c>
      <c r="B536" s="46" t="s">
        <v>974</v>
      </c>
      <c r="C536" s="46" t="s">
        <v>1058</v>
      </c>
      <c r="D536" s="46"/>
      <c r="E536" s="46"/>
      <c r="F536" s="48" t="s">
        <v>1059</v>
      </c>
      <c r="G536" s="9">
        <v>30</v>
      </c>
      <c r="H536" s="12">
        <f>'Engineering Cost'!H536*'Engineering Assumptions'!$B$6</f>
        <v>55008</v>
      </c>
      <c r="I536" s="12">
        <f>IF('Engineering Cost'!I536=0,0,MAX('Engineering Cost'!I536*'Engineering Assumptions'!$B$6,'Engineering Assumptions'!$B$9))</f>
        <v>0</v>
      </c>
      <c r="J536" s="12">
        <f>'Engineering Cost'!J536*'Engineering Assumptions'!$B$6</f>
        <v>7200</v>
      </c>
      <c r="K536" s="12">
        <f>'Engineering Cost'!K536*'Engineering Assumptions'!$B$6</f>
        <v>12600</v>
      </c>
      <c r="L536" s="13">
        <f t="shared" si="24"/>
        <v>74808</v>
      </c>
      <c r="M536" s="13">
        <f>L536*(1+'Engineering Assumptions'!$B$10)</f>
        <v>86029.2</v>
      </c>
    </row>
    <row r="537" spans="1:13" ht="15" customHeight="1" x14ac:dyDescent="0.3">
      <c r="A537" s="199" t="s">
        <v>1060</v>
      </c>
      <c r="B537" s="200"/>
      <c r="C537" s="200"/>
      <c r="D537" s="200"/>
      <c r="E537" s="200"/>
      <c r="F537" s="200"/>
      <c r="G537" s="200"/>
      <c r="H537" s="200"/>
      <c r="I537" s="200"/>
      <c r="J537" s="200"/>
      <c r="K537" s="200"/>
      <c r="L537" s="200"/>
      <c r="M537" s="200"/>
    </row>
    <row r="538" spans="1:13" ht="27.75" customHeight="1" x14ac:dyDescent="0.3">
      <c r="A538" s="9">
        <v>506</v>
      </c>
      <c r="B538" s="46" t="s">
        <v>1061</v>
      </c>
      <c r="C538" s="46" t="s">
        <v>1062</v>
      </c>
      <c r="D538" s="46" t="s">
        <v>1063</v>
      </c>
      <c r="E538" s="46" t="s">
        <v>932</v>
      </c>
      <c r="F538" s="48" t="s">
        <v>116</v>
      </c>
      <c r="G538" s="9">
        <v>9</v>
      </c>
      <c r="H538" s="12">
        <f>'Engineering Cost'!H538*'Engineering Assumptions'!$B$6</f>
        <v>206280</v>
      </c>
      <c r="I538" s="12">
        <f>IF('Engineering Cost'!I538=0,0,MAX('Engineering Cost'!I538*'Engineering Assumptions'!$B$6,'Engineering Assumptions'!$B$9))</f>
        <v>78000</v>
      </c>
      <c r="J538" s="12">
        <f>'Engineering Cost'!J538*'Engineering Assumptions'!$B$6</f>
        <v>16500</v>
      </c>
      <c r="K538" s="12">
        <f>'Engineering Cost'!K538*'Engineering Assumptions'!$B$6</f>
        <v>12600</v>
      </c>
      <c r="L538" s="13">
        <f t="shared" ref="L538:L547" si="25">SUM(H538:K538)</f>
        <v>313380</v>
      </c>
      <c r="M538" s="13">
        <f>L538*(1+'Engineering Assumptions'!$B$10)</f>
        <v>360387</v>
      </c>
    </row>
    <row r="539" spans="1:13" ht="27.75" customHeight="1" x14ac:dyDescent="0.3">
      <c r="A539" s="9">
        <v>507</v>
      </c>
      <c r="B539" s="46" t="s">
        <v>1061</v>
      </c>
      <c r="C539" s="46" t="s">
        <v>1062</v>
      </c>
      <c r="D539" s="46" t="s">
        <v>1064</v>
      </c>
      <c r="E539" s="46" t="s">
        <v>930</v>
      </c>
      <c r="F539" s="48" t="s">
        <v>116</v>
      </c>
      <c r="G539" s="9">
        <v>9</v>
      </c>
      <c r="H539" s="12">
        <f>'Engineering Cost'!H539*'Engineering Assumptions'!$B$6</f>
        <v>206280</v>
      </c>
      <c r="I539" s="12">
        <f>IF('Engineering Cost'!I539=0,0,MAX('Engineering Cost'!I539*'Engineering Assumptions'!$B$6,'Engineering Assumptions'!$B$9))</f>
        <v>78000</v>
      </c>
      <c r="J539" s="12">
        <f>'Engineering Cost'!J539*'Engineering Assumptions'!$B$6</f>
        <v>16500</v>
      </c>
      <c r="K539" s="12">
        <f>'Engineering Cost'!K539*'Engineering Assumptions'!$B$6</f>
        <v>12600</v>
      </c>
      <c r="L539" s="13">
        <f t="shared" si="25"/>
        <v>313380</v>
      </c>
      <c r="M539" s="13">
        <f>L539*(1+'Engineering Assumptions'!$B$10)</f>
        <v>360387</v>
      </c>
    </row>
    <row r="540" spans="1:13" ht="15" customHeight="1" x14ac:dyDescent="0.3">
      <c r="A540" s="9">
        <v>508</v>
      </c>
      <c r="B540" s="46" t="s">
        <v>1061</v>
      </c>
      <c r="C540" s="46" t="s">
        <v>1065</v>
      </c>
      <c r="D540" s="46" t="s">
        <v>1066</v>
      </c>
      <c r="E540" s="46"/>
      <c r="F540" s="48" t="s">
        <v>116</v>
      </c>
      <c r="G540" s="9">
        <v>9</v>
      </c>
      <c r="H540" s="12">
        <f>'Engineering Cost'!H540*'Engineering Assumptions'!$B$6</f>
        <v>206280</v>
      </c>
      <c r="I540" s="12">
        <f>IF('Engineering Cost'!I540=0,0,MAX('Engineering Cost'!I540*'Engineering Assumptions'!$B$6,'Engineering Assumptions'!$B$9))</f>
        <v>78000</v>
      </c>
      <c r="J540" s="12">
        <f>'Engineering Cost'!J540*'Engineering Assumptions'!$B$6</f>
        <v>16500</v>
      </c>
      <c r="K540" s="12">
        <f>'Engineering Cost'!K540*'Engineering Assumptions'!$B$6</f>
        <v>12600</v>
      </c>
      <c r="L540" s="13">
        <f t="shared" si="25"/>
        <v>313380</v>
      </c>
      <c r="M540" s="13">
        <f>L540*(1+'Engineering Assumptions'!$B$10)</f>
        <v>360387</v>
      </c>
    </row>
    <row r="541" spans="1:13" ht="27.75" customHeight="1" x14ac:dyDescent="0.3">
      <c r="A541" s="9">
        <v>509</v>
      </c>
      <c r="B541" s="46" t="s">
        <v>1061</v>
      </c>
      <c r="C541" s="46" t="s">
        <v>1067</v>
      </c>
      <c r="D541" s="46" t="s">
        <v>1068</v>
      </c>
      <c r="E541" s="46" t="s">
        <v>928</v>
      </c>
      <c r="F541" s="48" t="s">
        <v>116</v>
      </c>
      <c r="G541" s="9">
        <v>9</v>
      </c>
      <c r="H541" s="12">
        <f>'Engineering Cost'!H541*'Engineering Assumptions'!$B$6</f>
        <v>206280</v>
      </c>
      <c r="I541" s="12">
        <f>IF('Engineering Cost'!I541=0,0,MAX('Engineering Cost'!I541*'Engineering Assumptions'!$B$6,'Engineering Assumptions'!$B$9))</f>
        <v>78000</v>
      </c>
      <c r="J541" s="12">
        <f>'Engineering Cost'!J541*'Engineering Assumptions'!$B$6</f>
        <v>16500</v>
      </c>
      <c r="K541" s="12">
        <f>'Engineering Cost'!K541*'Engineering Assumptions'!$B$6</f>
        <v>12600</v>
      </c>
      <c r="L541" s="13">
        <f t="shared" si="25"/>
        <v>313380</v>
      </c>
      <c r="M541" s="13">
        <f>L541*(1+'Engineering Assumptions'!$B$10)</f>
        <v>360387</v>
      </c>
    </row>
    <row r="542" spans="1:13" ht="27.75" customHeight="1" x14ac:dyDescent="0.3">
      <c r="A542" s="9">
        <v>510</v>
      </c>
      <c r="B542" s="46" t="s">
        <v>1061</v>
      </c>
      <c r="C542" s="46" t="s">
        <v>1067</v>
      </c>
      <c r="D542" s="46" t="s">
        <v>1069</v>
      </c>
      <c r="E542" s="46"/>
      <c r="F542" s="48" t="s">
        <v>195</v>
      </c>
      <c r="G542" s="9">
        <v>30</v>
      </c>
      <c r="H542" s="12">
        <f>'Engineering Cost'!H542*'Engineering Assumptions'!$B$6</f>
        <v>206280</v>
      </c>
      <c r="I542" s="12">
        <f>IF('Engineering Cost'!I542=0,0,MAX('Engineering Cost'!I542*'Engineering Assumptions'!$B$6,'Engineering Assumptions'!$B$9))</f>
        <v>78000</v>
      </c>
      <c r="J542" s="12">
        <f>'Engineering Cost'!J542*'Engineering Assumptions'!$B$6</f>
        <v>31680</v>
      </c>
      <c r="K542" s="12">
        <f>'Engineering Cost'!K542*'Engineering Assumptions'!$B$6</f>
        <v>50400</v>
      </c>
      <c r="L542" s="13">
        <f t="shared" si="25"/>
        <v>366360</v>
      </c>
      <c r="M542" s="13">
        <f>L542*(1+'Engineering Assumptions'!$B$10)</f>
        <v>421313.99999999994</v>
      </c>
    </row>
    <row r="543" spans="1:13" ht="27.75" customHeight="1" x14ac:dyDescent="0.3">
      <c r="A543" s="9">
        <v>511</v>
      </c>
      <c r="B543" s="46" t="s">
        <v>1061</v>
      </c>
      <c r="C543" s="46" t="s">
        <v>1067</v>
      </c>
      <c r="D543" s="46" t="s">
        <v>1070</v>
      </c>
      <c r="E543" s="46"/>
      <c r="F543" s="48" t="s">
        <v>195</v>
      </c>
      <c r="G543" s="9">
        <v>30</v>
      </c>
      <c r="H543" s="12">
        <f>'Engineering Cost'!H543*'Engineering Assumptions'!$B$6</f>
        <v>206280</v>
      </c>
      <c r="I543" s="12">
        <f>IF('Engineering Cost'!I543=0,0,MAX('Engineering Cost'!I543*'Engineering Assumptions'!$B$6,'Engineering Assumptions'!$B$9))</f>
        <v>78000</v>
      </c>
      <c r="J543" s="12">
        <f>'Engineering Cost'!J543*'Engineering Assumptions'!$B$6</f>
        <v>31680</v>
      </c>
      <c r="K543" s="12">
        <f>'Engineering Cost'!K543*'Engineering Assumptions'!$B$6</f>
        <v>50400</v>
      </c>
      <c r="L543" s="13">
        <f t="shared" si="25"/>
        <v>366360</v>
      </c>
      <c r="M543" s="13">
        <f>L543*(1+'Engineering Assumptions'!$B$10)</f>
        <v>421313.99999999994</v>
      </c>
    </row>
    <row r="544" spans="1:13" ht="27.75" customHeight="1" x14ac:dyDescent="0.3">
      <c r="A544" s="9">
        <v>512</v>
      </c>
      <c r="B544" s="46" t="s">
        <v>1061</v>
      </c>
      <c r="C544" s="46" t="s">
        <v>1067</v>
      </c>
      <c r="D544" s="46" t="s">
        <v>1071</v>
      </c>
      <c r="E544" s="46"/>
      <c r="F544" s="48" t="s">
        <v>195</v>
      </c>
      <c r="G544" s="9">
        <v>30</v>
      </c>
      <c r="H544" s="12">
        <f>'Engineering Cost'!H544*'Engineering Assumptions'!$B$6</f>
        <v>206280</v>
      </c>
      <c r="I544" s="12">
        <f>IF('Engineering Cost'!I544=0,0,MAX('Engineering Cost'!I544*'Engineering Assumptions'!$B$6,'Engineering Assumptions'!$B$9))</f>
        <v>78000</v>
      </c>
      <c r="J544" s="12">
        <f>'Engineering Cost'!J544*'Engineering Assumptions'!$B$6</f>
        <v>31680</v>
      </c>
      <c r="K544" s="12">
        <f>'Engineering Cost'!K544*'Engineering Assumptions'!$B$6</f>
        <v>50400</v>
      </c>
      <c r="L544" s="13">
        <f t="shared" si="25"/>
        <v>366360</v>
      </c>
      <c r="M544" s="13">
        <f>L544*(1+'Engineering Assumptions'!$B$10)</f>
        <v>421313.99999999994</v>
      </c>
    </row>
    <row r="545" spans="1:13" ht="27.75" customHeight="1" x14ac:dyDescent="0.3">
      <c r="A545" s="9">
        <v>513</v>
      </c>
      <c r="B545" s="46" t="s">
        <v>1061</v>
      </c>
      <c r="C545" s="46" t="s">
        <v>1067</v>
      </c>
      <c r="D545" s="46" t="s">
        <v>1072</v>
      </c>
      <c r="E545" s="46"/>
      <c r="F545" s="48" t="s">
        <v>195</v>
      </c>
      <c r="G545" s="9">
        <v>30</v>
      </c>
      <c r="H545" s="12">
        <f>'Engineering Cost'!H545*'Engineering Assumptions'!$B$6</f>
        <v>206280</v>
      </c>
      <c r="I545" s="12">
        <f>IF('Engineering Cost'!I545=0,0,MAX('Engineering Cost'!I545*'Engineering Assumptions'!$B$6,'Engineering Assumptions'!$B$9))</f>
        <v>78000</v>
      </c>
      <c r="J545" s="12">
        <f>'Engineering Cost'!J545*'Engineering Assumptions'!$B$6</f>
        <v>31680</v>
      </c>
      <c r="K545" s="12">
        <f>'Engineering Cost'!K545*'Engineering Assumptions'!$B$6</f>
        <v>50400</v>
      </c>
      <c r="L545" s="13">
        <f t="shared" si="25"/>
        <v>366360</v>
      </c>
      <c r="M545" s="13">
        <f>L545*(1+'Engineering Assumptions'!$B$10)</f>
        <v>421313.99999999994</v>
      </c>
    </row>
    <row r="546" spans="1:13" ht="27.75" customHeight="1" x14ac:dyDescent="0.3">
      <c r="A546" s="9">
        <v>514</v>
      </c>
      <c r="B546" s="46" t="s">
        <v>1061</v>
      </c>
      <c r="C546" s="46" t="s">
        <v>1067</v>
      </c>
      <c r="D546" s="46" t="s">
        <v>1073</v>
      </c>
      <c r="E546" s="46"/>
      <c r="F546" s="48" t="s">
        <v>195</v>
      </c>
      <c r="G546" s="9">
        <v>30</v>
      </c>
      <c r="H546" s="12">
        <f>'Engineering Cost'!H546*'Engineering Assumptions'!$B$6</f>
        <v>206280</v>
      </c>
      <c r="I546" s="12">
        <f>IF('Engineering Cost'!I546=0,0,MAX('Engineering Cost'!I546*'Engineering Assumptions'!$B$6,'Engineering Assumptions'!$B$9))</f>
        <v>78000</v>
      </c>
      <c r="J546" s="12">
        <f>'Engineering Cost'!J546*'Engineering Assumptions'!$B$6</f>
        <v>31680</v>
      </c>
      <c r="K546" s="12">
        <f>'Engineering Cost'!K546*'Engineering Assumptions'!$B$6</f>
        <v>50400</v>
      </c>
      <c r="L546" s="13">
        <f t="shared" si="25"/>
        <v>366360</v>
      </c>
      <c r="M546" s="13">
        <f>L546*(1+'Engineering Assumptions'!$B$10)</f>
        <v>421313.99999999994</v>
      </c>
    </row>
    <row r="547" spans="1:13" ht="27.75" customHeight="1" x14ac:dyDescent="0.3">
      <c r="A547" s="9">
        <v>515</v>
      </c>
      <c r="B547" s="46" t="s">
        <v>1061</v>
      </c>
      <c r="C547" s="46" t="s">
        <v>1067</v>
      </c>
      <c r="D547" s="46" t="s">
        <v>1074</v>
      </c>
      <c r="E547" s="46"/>
      <c r="F547" s="48" t="s">
        <v>195</v>
      </c>
      <c r="G547" s="9">
        <v>30</v>
      </c>
      <c r="H547" s="12">
        <f>'Engineering Cost'!H547*'Engineering Assumptions'!$B$6</f>
        <v>206280</v>
      </c>
      <c r="I547" s="12">
        <f>IF('Engineering Cost'!I547=0,0,MAX('Engineering Cost'!I547*'Engineering Assumptions'!$B$6,'Engineering Assumptions'!$B$9))</f>
        <v>78000</v>
      </c>
      <c r="J547" s="12">
        <f>'Engineering Cost'!J547*'Engineering Assumptions'!$B$6</f>
        <v>31680</v>
      </c>
      <c r="K547" s="12">
        <f>'Engineering Cost'!K547*'Engineering Assumptions'!$B$6</f>
        <v>50400</v>
      </c>
      <c r="L547" s="13">
        <f t="shared" si="25"/>
        <v>366360</v>
      </c>
      <c r="M547" s="13">
        <f>L547*(1+'Engineering Assumptions'!$B$10)</f>
        <v>421313.99999999994</v>
      </c>
    </row>
    <row r="548" spans="1:13" ht="15" customHeight="1" x14ac:dyDescent="0.3">
      <c r="A548" s="199" t="s">
        <v>1075</v>
      </c>
      <c r="B548" s="200"/>
      <c r="C548" s="200"/>
      <c r="D548" s="200"/>
      <c r="E548" s="200"/>
      <c r="F548" s="200"/>
      <c r="G548" s="200"/>
      <c r="H548" s="200"/>
      <c r="I548" s="200"/>
      <c r="J548" s="200"/>
      <c r="K548" s="200"/>
      <c r="L548" s="200"/>
      <c r="M548" s="200"/>
    </row>
    <row r="549" spans="1:13" ht="15" customHeight="1" x14ac:dyDescent="0.3">
      <c r="A549" s="9">
        <v>516</v>
      </c>
      <c r="B549" s="46" t="s">
        <v>1076</v>
      </c>
      <c r="C549" s="46" t="s">
        <v>1077</v>
      </c>
      <c r="D549" s="46" t="s">
        <v>1078</v>
      </c>
      <c r="E549" s="46"/>
      <c r="F549" s="48" t="s">
        <v>195</v>
      </c>
      <c r="G549" s="9">
        <v>30</v>
      </c>
      <c r="H549" s="12">
        <f>'Engineering Cost'!H549*'Engineering Assumptions'!$B$6</f>
        <v>160440</v>
      </c>
      <c r="I549" s="12">
        <f>IF('Engineering Cost'!I549=0,0,MAX('Engineering Cost'!I549*'Engineering Assumptions'!$B$6,'Engineering Assumptions'!$B$9))</f>
        <v>78000</v>
      </c>
      <c r="J549" s="12">
        <f>'Engineering Cost'!J549*'Engineering Assumptions'!$B$6</f>
        <v>46080</v>
      </c>
      <c r="K549" s="12">
        <f>'Engineering Cost'!K549*'Engineering Assumptions'!$B$6</f>
        <v>75600</v>
      </c>
      <c r="L549" s="13">
        <f>SUM(H549:K549)</f>
        <v>360120</v>
      </c>
      <c r="M549" s="13">
        <f>L549*(1+'Engineering Assumptions'!$B$10)</f>
        <v>414137.99999999994</v>
      </c>
    </row>
    <row r="550" spans="1:13" ht="15" customHeight="1" x14ac:dyDescent="0.3">
      <c r="A550" s="9">
        <v>517</v>
      </c>
      <c r="B550" s="46" t="s">
        <v>1076</v>
      </c>
      <c r="C550" s="46" t="s">
        <v>1079</v>
      </c>
      <c r="D550" s="46" t="s">
        <v>1080</v>
      </c>
      <c r="E550" s="46"/>
      <c r="F550" s="48" t="s">
        <v>195</v>
      </c>
      <c r="G550" s="9">
        <v>30</v>
      </c>
      <c r="H550" s="12">
        <f>'Engineering Cost'!H550*'Engineering Assumptions'!$B$6</f>
        <v>160440</v>
      </c>
      <c r="I550" s="12">
        <f>IF('Engineering Cost'!I550=0,0,MAX('Engineering Cost'!I550*'Engineering Assumptions'!$B$6,'Engineering Assumptions'!$B$9))</f>
        <v>78000</v>
      </c>
      <c r="J550" s="12">
        <f>'Engineering Cost'!J550*'Engineering Assumptions'!$B$6</f>
        <v>46080</v>
      </c>
      <c r="K550" s="12">
        <f>'Engineering Cost'!K550*'Engineering Assumptions'!$B$6</f>
        <v>75600</v>
      </c>
      <c r="L550" s="13">
        <f>SUM(H550:K550)</f>
        <v>360120</v>
      </c>
      <c r="M550" s="13">
        <f>L550*(1+'Engineering Assumptions'!$B$10)</f>
        <v>414137.99999999994</v>
      </c>
    </row>
    <row r="551" spans="1:13" ht="15" customHeight="1" x14ac:dyDescent="0.3">
      <c r="A551" s="9">
        <v>518</v>
      </c>
      <c r="B551" s="46" t="s">
        <v>1076</v>
      </c>
      <c r="C551" s="46" t="s">
        <v>1079</v>
      </c>
      <c r="D551" s="46" t="s">
        <v>1081</v>
      </c>
      <c r="E551" s="46"/>
      <c r="F551" s="48" t="s">
        <v>195</v>
      </c>
      <c r="G551" s="9">
        <v>30</v>
      </c>
      <c r="H551" s="12">
        <f>'Engineering Cost'!H551*'Engineering Assumptions'!$B$6</f>
        <v>160440</v>
      </c>
      <c r="I551" s="12">
        <f>IF('Engineering Cost'!I551=0,0,MAX('Engineering Cost'!I551*'Engineering Assumptions'!$B$6,'Engineering Assumptions'!$B$9))</f>
        <v>78000</v>
      </c>
      <c r="J551" s="12">
        <f>'Engineering Cost'!J551*'Engineering Assumptions'!$B$6</f>
        <v>46080</v>
      </c>
      <c r="K551" s="12">
        <f>'Engineering Cost'!K551*'Engineering Assumptions'!$B$6</f>
        <v>75600</v>
      </c>
      <c r="L551" s="13">
        <f>SUM(H551:K551)</f>
        <v>360120</v>
      </c>
      <c r="M551" s="13">
        <f>L551*(1+'Engineering Assumptions'!$B$10)</f>
        <v>414137.99999999994</v>
      </c>
    </row>
  </sheetData>
  <mergeCells count="31">
    <mergeCell ref="A1:M1"/>
    <mergeCell ref="A287:M287"/>
    <mergeCell ref="A61:M61"/>
    <mergeCell ref="A408:M408"/>
    <mergeCell ref="A228:M228"/>
    <mergeCell ref="A5:M5"/>
    <mergeCell ref="A165:M165"/>
    <mergeCell ref="A81:M81"/>
    <mergeCell ref="A401:M401"/>
    <mergeCell ref="A220:M220"/>
    <mergeCell ref="A40:M40"/>
    <mergeCell ref="A245:M245"/>
    <mergeCell ref="A30:M30"/>
    <mergeCell ref="A275:M275"/>
    <mergeCell ref="A182:M182"/>
    <mergeCell ref="A225:M225"/>
    <mergeCell ref="A548:M548"/>
    <mergeCell ref="A271:M271"/>
    <mergeCell ref="A2:M2"/>
    <mergeCell ref="A208:M208"/>
    <mergeCell ref="A397:M397"/>
    <mergeCell ref="A233:M233"/>
    <mergeCell ref="A537:M537"/>
    <mergeCell ref="A154:M154"/>
    <mergeCell ref="A301:M301"/>
    <mergeCell ref="A390:M390"/>
    <mergeCell ref="A57:M57"/>
    <mergeCell ref="A242:M242"/>
    <mergeCell ref="A483:M483"/>
    <mergeCell ref="A470:M470"/>
    <mergeCell ref="A450:M450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551"/>
  <sheetViews>
    <sheetView zoomScaleNormal="100" workbookViewId="0">
      <pane ySplit="4" topLeftCell="A88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22" customWidth="1"/>
    <col min="3" max="5" width="28" customWidth="1"/>
    <col min="6" max="6" width="7" customWidth="1"/>
    <col min="7" max="7" width="6" customWidth="1"/>
    <col min="8" max="8" width="14" customWidth="1"/>
    <col min="9" max="11" width="16" customWidth="1"/>
    <col min="12" max="13" width="10" customWidth="1"/>
    <col min="14" max="14" width="12" customWidth="1"/>
    <col min="15" max="15" width="32" customWidth="1"/>
    <col min="16" max="16" width="40" customWidth="1"/>
  </cols>
  <sheetData>
    <row r="1" spans="1:16" ht="24" customHeight="1" x14ac:dyDescent="0.4">
      <c r="A1" s="193" t="s">
        <v>0</v>
      </c>
      <c r="B1" s="186"/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6"/>
      <c r="O1" s="186"/>
      <c r="P1" s="186"/>
    </row>
    <row r="2" spans="1:16" ht="15" customHeight="1" x14ac:dyDescent="0.3">
      <c r="A2" s="197" t="s">
        <v>1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</row>
    <row r="4" spans="1:16" ht="55.5" customHeight="1" x14ac:dyDescent="0.3">
      <c r="A4" s="8" t="s">
        <v>2</v>
      </c>
      <c r="B4" s="8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8" t="s">
        <v>14</v>
      </c>
      <c r="N4" s="8" t="s">
        <v>15</v>
      </c>
      <c r="O4" s="8" t="s">
        <v>16</v>
      </c>
      <c r="P4" s="8" t="s">
        <v>17</v>
      </c>
    </row>
    <row r="5" spans="1:16" ht="15" customHeight="1" x14ac:dyDescent="0.3">
      <c r="A5" s="199" t="s">
        <v>18</v>
      </c>
      <c r="B5" s="200"/>
      <c r="C5" s="200"/>
      <c r="D5" s="200"/>
      <c r="E5" s="200"/>
      <c r="F5" s="200"/>
      <c r="G5" s="200"/>
      <c r="H5" s="200"/>
      <c r="I5" s="200"/>
      <c r="J5" s="200"/>
      <c r="K5" s="200"/>
      <c r="L5" s="200"/>
      <c r="M5" s="200"/>
      <c r="N5" s="200"/>
      <c r="O5" s="200"/>
      <c r="P5" s="200"/>
    </row>
    <row r="6" spans="1:16" ht="15" customHeight="1" x14ac:dyDescent="0.3">
      <c r="A6" s="9">
        <v>1</v>
      </c>
      <c r="B6" s="157" t="s">
        <v>19</v>
      </c>
      <c r="C6" s="157" t="s">
        <v>20</v>
      </c>
      <c r="D6" s="157" t="s">
        <v>21</v>
      </c>
      <c r="E6" s="157" t="s">
        <v>22</v>
      </c>
      <c r="F6" s="48" t="s">
        <v>23</v>
      </c>
      <c r="G6" s="9">
        <v>5</v>
      </c>
      <c r="H6" s="158">
        <f>'Engineering Assumptions'!$F$18*0.5*1</f>
        <v>9.25</v>
      </c>
      <c r="I6" s="158">
        <f>'Engineering Assumptions'!$F$18*1</f>
        <v>18.5</v>
      </c>
      <c r="J6" s="12">
        <f>'Fleet Pricing'!L6</f>
        <v>423500</v>
      </c>
      <c r="K6" s="12">
        <f>'Maintenance &amp; Repair'!J6+'Maintenance &amp; Repair'!K6</f>
        <v>29520</v>
      </c>
      <c r="L6" s="159">
        <f t="shared" ref="L6:L29" si="0">IFERROR(K6/J6,0)</f>
        <v>6.9704840613931521E-2</v>
      </c>
      <c r="M6" s="9">
        <f>MAX(0,'Engineering Assumptions'!$G$18-G6)</f>
        <v>7</v>
      </c>
      <c r="N6" s="160" t="str">
        <f t="shared" ref="N6:N29" si="1">IF(G6&gt;=20,"REPLACE",IF(L6&gt;0.6,"REPLACE",IF(G6&gt;=15,"REPLACE",IF(OR(G6&gt;=11,L6&gt;0.4),"MONITOR","KEEP"))))</f>
        <v>KEEP</v>
      </c>
      <c r="O6" s="161" t="str">
        <f t="shared" ref="O6:O29" si="2">IF(G6&gt;=20,"End of life (age &gt; 20)",IF(L6&gt;0.6,"Repairs exceed 60% of revenue",IF(G6&gt;=15,"Age 15+ → replace",IF(OR(G6&gt;=11,L6&gt;0.4),"Watch costs; plan replacement","Healthy — continue operating"))))</f>
        <v>Healthy — continue operating</v>
      </c>
      <c r="P6" s="161" t="str">
        <f>'Engineering Assumptions'!H18</f>
        <v>JCB 3DX Plus new ~Rs. 15–18M; strong resale</v>
      </c>
    </row>
    <row r="7" spans="1:16" ht="15" customHeight="1" x14ac:dyDescent="0.3">
      <c r="A7" s="9">
        <v>2</v>
      </c>
      <c r="B7" s="157" t="s">
        <v>19</v>
      </c>
      <c r="C7" s="157" t="s">
        <v>20</v>
      </c>
      <c r="D7" s="157" t="s">
        <v>24</v>
      </c>
      <c r="E7" s="157" t="s">
        <v>25</v>
      </c>
      <c r="F7" s="48" t="s">
        <v>23</v>
      </c>
      <c r="G7" s="9">
        <v>5</v>
      </c>
      <c r="H7" s="158">
        <f>'Engineering Assumptions'!$F$18*0.5*1</f>
        <v>9.25</v>
      </c>
      <c r="I7" s="158">
        <f>'Engineering Assumptions'!$F$18*1</f>
        <v>18.5</v>
      </c>
      <c r="J7" s="12">
        <f>'Fleet Pricing'!L7</f>
        <v>423500</v>
      </c>
      <c r="K7" s="12">
        <f>'Maintenance &amp; Repair'!J7+'Maintenance &amp; Repair'!K7</f>
        <v>29520</v>
      </c>
      <c r="L7" s="159">
        <f t="shared" si="0"/>
        <v>6.9704840613931521E-2</v>
      </c>
      <c r="M7" s="9">
        <f>MAX(0,'Engineering Assumptions'!$G$18-G7)</f>
        <v>7</v>
      </c>
      <c r="N7" s="160" t="str">
        <f t="shared" si="1"/>
        <v>KEEP</v>
      </c>
      <c r="O7" s="161" t="str">
        <f t="shared" si="2"/>
        <v>Healthy — continue operating</v>
      </c>
      <c r="P7" s="161" t="str">
        <f>'Engineering Assumptions'!H18</f>
        <v>JCB 3DX Plus new ~Rs. 15–18M; strong resale</v>
      </c>
    </row>
    <row r="8" spans="1:16" ht="15" customHeight="1" x14ac:dyDescent="0.3">
      <c r="A8" s="9">
        <v>3</v>
      </c>
      <c r="B8" s="157" t="s">
        <v>19</v>
      </c>
      <c r="C8" s="157" t="s">
        <v>20</v>
      </c>
      <c r="D8" s="157" t="s">
        <v>26</v>
      </c>
      <c r="E8" s="157" t="s">
        <v>27</v>
      </c>
      <c r="F8" s="48" t="s">
        <v>23</v>
      </c>
      <c r="G8" s="9">
        <v>5</v>
      </c>
      <c r="H8" s="158">
        <f>'Engineering Assumptions'!$F$18*0.5*1</f>
        <v>9.25</v>
      </c>
      <c r="I8" s="158">
        <f>'Engineering Assumptions'!$F$18*1</f>
        <v>18.5</v>
      </c>
      <c r="J8" s="12">
        <f>'Fleet Pricing'!L8</f>
        <v>423500</v>
      </c>
      <c r="K8" s="12">
        <f>'Maintenance &amp; Repair'!J8+'Maintenance &amp; Repair'!K8</f>
        <v>29520</v>
      </c>
      <c r="L8" s="159">
        <f t="shared" si="0"/>
        <v>6.9704840613931521E-2</v>
      </c>
      <c r="M8" s="9">
        <f>MAX(0,'Engineering Assumptions'!$G$18-G8)</f>
        <v>7</v>
      </c>
      <c r="N8" s="160" t="str">
        <f t="shared" si="1"/>
        <v>KEEP</v>
      </c>
      <c r="O8" s="161" t="str">
        <f t="shared" si="2"/>
        <v>Healthy — continue operating</v>
      </c>
      <c r="P8" s="161" t="str">
        <f>'Engineering Assumptions'!H18</f>
        <v>JCB 3DX Plus new ~Rs. 15–18M; strong resale</v>
      </c>
    </row>
    <row r="9" spans="1:16" ht="15" customHeight="1" x14ac:dyDescent="0.3">
      <c r="A9" s="9">
        <v>4</v>
      </c>
      <c r="B9" s="157" t="s">
        <v>19</v>
      </c>
      <c r="C9" s="157" t="s">
        <v>28</v>
      </c>
      <c r="D9" s="157" t="s">
        <v>29</v>
      </c>
      <c r="E9" s="157" t="s">
        <v>30</v>
      </c>
      <c r="F9" s="48" t="s">
        <v>31</v>
      </c>
      <c r="G9" s="9">
        <v>6</v>
      </c>
      <c r="H9" s="158">
        <f>'Engineering Assumptions'!$F$18*0.35*1</f>
        <v>6.4749999999999996</v>
      </c>
      <c r="I9" s="158">
        <f>'Engineering Assumptions'!$F$18*1</f>
        <v>18.5</v>
      </c>
      <c r="J9" s="12">
        <f>'Fleet Pricing'!L9</f>
        <v>423500</v>
      </c>
      <c r="K9" s="12">
        <f>'Maintenance &amp; Repair'!J9+'Maintenance &amp; Repair'!K9</f>
        <v>46800</v>
      </c>
      <c r="L9" s="159">
        <f t="shared" si="0"/>
        <v>0.11050767414403778</v>
      </c>
      <c r="M9" s="9">
        <f>MAX(0,'Engineering Assumptions'!$G$18-G9)</f>
        <v>6</v>
      </c>
      <c r="N9" s="160" t="str">
        <f t="shared" si="1"/>
        <v>KEEP</v>
      </c>
      <c r="O9" s="161" t="str">
        <f t="shared" si="2"/>
        <v>Healthy — continue operating</v>
      </c>
      <c r="P9" s="161" t="str">
        <f>'Engineering Assumptions'!H18</f>
        <v>JCB 3DX Plus new ~Rs. 15–18M; strong resale</v>
      </c>
    </row>
    <row r="10" spans="1:16" ht="15" customHeight="1" x14ac:dyDescent="0.3">
      <c r="A10" s="9">
        <v>5</v>
      </c>
      <c r="B10" s="157" t="s">
        <v>19</v>
      </c>
      <c r="C10" s="157" t="s">
        <v>28</v>
      </c>
      <c r="D10" s="157" t="s">
        <v>32</v>
      </c>
      <c r="E10" s="157" t="s">
        <v>33</v>
      </c>
      <c r="F10" s="48" t="s">
        <v>31</v>
      </c>
      <c r="G10" s="9">
        <v>6</v>
      </c>
      <c r="H10" s="158">
        <f>'Engineering Assumptions'!$F$18*0.35*1</f>
        <v>6.4749999999999996</v>
      </c>
      <c r="I10" s="158">
        <f>'Engineering Assumptions'!$F$18*1</f>
        <v>18.5</v>
      </c>
      <c r="J10" s="12">
        <f>'Fleet Pricing'!L10</f>
        <v>423500</v>
      </c>
      <c r="K10" s="12">
        <f>'Maintenance &amp; Repair'!J10+'Maintenance &amp; Repair'!K10</f>
        <v>46800</v>
      </c>
      <c r="L10" s="159">
        <f t="shared" si="0"/>
        <v>0.11050767414403778</v>
      </c>
      <c r="M10" s="9">
        <f>MAX(0,'Engineering Assumptions'!$G$18-G10)</f>
        <v>6</v>
      </c>
      <c r="N10" s="160" t="str">
        <f t="shared" si="1"/>
        <v>KEEP</v>
      </c>
      <c r="O10" s="161" t="str">
        <f t="shared" si="2"/>
        <v>Healthy — continue operating</v>
      </c>
      <c r="P10" s="161" t="str">
        <f>'Engineering Assumptions'!H18</f>
        <v>JCB 3DX Plus new ~Rs. 15–18M; strong resale</v>
      </c>
    </row>
    <row r="11" spans="1:16" ht="15" customHeight="1" x14ac:dyDescent="0.3">
      <c r="A11" s="9">
        <v>6</v>
      </c>
      <c r="B11" s="157" t="s">
        <v>19</v>
      </c>
      <c r="C11" s="157" t="s">
        <v>28</v>
      </c>
      <c r="D11" s="157" t="s">
        <v>34</v>
      </c>
      <c r="E11" s="157" t="s">
        <v>35</v>
      </c>
      <c r="F11" s="48" t="s">
        <v>31</v>
      </c>
      <c r="G11" s="9">
        <v>6</v>
      </c>
      <c r="H11" s="158">
        <f>'Engineering Assumptions'!$F$18*0.35*1</f>
        <v>6.4749999999999996</v>
      </c>
      <c r="I11" s="158">
        <f>'Engineering Assumptions'!$F$18*1</f>
        <v>18.5</v>
      </c>
      <c r="J11" s="12">
        <f>'Fleet Pricing'!L11</f>
        <v>423500</v>
      </c>
      <c r="K11" s="12">
        <f>'Maintenance &amp; Repair'!J11+'Maintenance &amp; Repair'!K11</f>
        <v>46800</v>
      </c>
      <c r="L11" s="159">
        <f t="shared" si="0"/>
        <v>0.11050767414403778</v>
      </c>
      <c r="M11" s="9">
        <f>MAX(0,'Engineering Assumptions'!$G$18-G11)</f>
        <v>6</v>
      </c>
      <c r="N11" s="160" t="str">
        <f t="shared" si="1"/>
        <v>KEEP</v>
      </c>
      <c r="O11" s="161" t="str">
        <f t="shared" si="2"/>
        <v>Healthy — continue operating</v>
      </c>
      <c r="P11" s="161" t="str">
        <f>'Engineering Assumptions'!H18</f>
        <v>JCB 3DX Plus new ~Rs. 15–18M; strong resale</v>
      </c>
    </row>
    <row r="12" spans="1:16" ht="15" customHeight="1" x14ac:dyDescent="0.3">
      <c r="A12" s="9">
        <v>7</v>
      </c>
      <c r="B12" s="157" t="s">
        <v>19</v>
      </c>
      <c r="C12" s="157" t="s">
        <v>28</v>
      </c>
      <c r="D12" s="157" t="s">
        <v>36</v>
      </c>
      <c r="E12" s="157" t="s">
        <v>37</v>
      </c>
      <c r="F12" s="48" t="s">
        <v>31</v>
      </c>
      <c r="G12" s="9">
        <v>6</v>
      </c>
      <c r="H12" s="158">
        <f>'Engineering Assumptions'!$F$18*0.35*1</f>
        <v>6.4749999999999996</v>
      </c>
      <c r="I12" s="158">
        <f>'Engineering Assumptions'!$F$18*1</f>
        <v>18.5</v>
      </c>
      <c r="J12" s="12">
        <f>'Fleet Pricing'!L12</f>
        <v>423500</v>
      </c>
      <c r="K12" s="12">
        <f>'Maintenance &amp; Repair'!J12+'Maintenance &amp; Repair'!K12</f>
        <v>46800</v>
      </c>
      <c r="L12" s="159">
        <f t="shared" si="0"/>
        <v>0.11050767414403778</v>
      </c>
      <c r="M12" s="9">
        <f>MAX(0,'Engineering Assumptions'!$G$18-G12)</f>
        <v>6</v>
      </c>
      <c r="N12" s="160" t="str">
        <f t="shared" si="1"/>
        <v>KEEP</v>
      </c>
      <c r="O12" s="161" t="str">
        <f t="shared" si="2"/>
        <v>Healthy — continue operating</v>
      </c>
      <c r="P12" s="161" t="str">
        <f>'Engineering Assumptions'!H18</f>
        <v>JCB 3DX Plus new ~Rs. 15–18M; strong resale</v>
      </c>
    </row>
    <row r="13" spans="1:16" ht="15" customHeight="1" x14ac:dyDescent="0.3">
      <c r="A13" s="9">
        <v>8</v>
      </c>
      <c r="B13" s="157" t="s">
        <v>19</v>
      </c>
      <c r="C13" s="157" t="s">
        <v>28</v>
      </c>
      <c r="D13" s="157" t="s">
        <v>38</v>
      </c>
      <c r="E13" s="157" t="s">
        <v>39</v>
      </c>
      <c r="F13" s="48" t="s">
        <v>31</v>
      </c>
      <c r="G13" s="9">
        <v>6</v>
      </c>
      <c r="H13" s="158">
        <f>'Engineering Assumptions'!$F$18*0.35*1</f>
        <v>6.4749999999999996</v>
      </c>
      <c r="I13" s="158">
        <f>'Engineering Assumptions'!$F$18*1</f>
        <v>18.5</v>
      </c>
      <c r="J13" s="12">
        <f>'Fleet Pricing'!L13</f>
        <v>423500</v>
      </c>
      <c r="K13" s="12">
        <f>'Maintenance &amp; Repair'!J13+'Maintenance &amp; Repair'!K13</f>
        <v>46800</v>
      </c>
      <c r="L13" s="159">
        <f t="shared" si="0"/>
        <v>0.11050767414403778</v>
      </c>
      <c r="M13" s="9">
        <f>MAX(0,'Engineering Assumptions'!$G$18-G13)</f>
        <v>6</v>
      </c>
      <c r="N13" s="160" t="str">
        <f t="shared" si="1"/>
        <v>KEEP</v>
      </c>
      <c r="O13" s="161" t="str">
        <f t="shared" si="2"/>
        <v>Healthy — continue operating</v>
      </c>
      <c r="P13" s="161" t="str">
        <f>'Engineering Assumptions'!H18</f>
        <v>JCB 3DX Plus new ~Rs. 15–18M; strong resale</v>
      </c>
    </row>
    <row r="14" spans="1:16" ht="15" customHeight="1" x14ac:dyDescent="0.3">
      <c r="A14" s="9">
        <v>9</v>
      </c>
      <c r="B14" s="157" t="s">
        <v>19</v>
      </c>
      <c r="C14" s="157" t="s">
        <v>28</v>
      </c>
      <c r="D14" s="157" t="s">
        <v>40</v>
      </c>
      <c r="E14" s="157" t="s">
        <v>41</v>
      </c>
      <c r="F14" s="48" t="s">
        <v>31</v>
      </c>
      <c r="G14" s="9">
        <v>6</v>
      </c>
      <c r="H14" s="158">
        <f>'Engineering Assumptions'!$F$18*0.35*1</f>
        <v>6.4749999999999996</v>
      </c>
      <c r="I14" s="158">
        <f>'Engineering Assumptions'!$F$18*1</f>
        <v>18.5</v>
      </c>
      <c r="J14" s="12">
        <f>'Fleet Pricing'!L14</f>
        <v>423500</v>
      </c>
      <c r="K14" s="12">
        <f>'Maintenance &amp; Repair'!J14+'Maintenance &amp; Repair'!K14</f>
        <v>46800</v>
      </c>
      <c r="L14" s="159">
        <f t="shared" si="0"/>
        <v>0.11050767414403778</v>
      </c>
      <c r="M14" s="9">
        <f>MAX(0,'Engineering Assumptions'!$G$18-G14)</f>
        <v>6</v>
      </c>
      <c r="N14" s="160" t="str">
        <f t="shared" si="1"/>
        <v>KEEP</v>
      </c>
      <c r="O14" s="161" t="str">
        <f t="shared" si="2"/>
        <v>Healthy — continue operating</v>
      </c>
      <c r="P14" s="161" t="str">
        <f>'Engineering Assumptions'!H18</f>
        <v>JCB 3DX Plus new ~Rs. 15–18M; strong resale</v>
      </c>
    </row>
    <row r="15" spans="1:16" ht="15" customHeight="1" x14ac:dyDescent="0.3">
      <c r="A15" s="9">
        <v>10</v>
      </c>
      <c r="B15" s="157" t="s">
        <v>19</v>
      </c>
      <c r="C15" s="157" t="s">
        <v>42</v>
      </c>
      <c r="D15" s="157" t="s">
        <v>43</v>
      </c>
      <c r="E15" s="157" t="s">
        <v>44</v>
      </c>
      <c r="F15" s="48" t="s">
        <v>45</v>
      </c>
      <c r="G15" s="9">
        <v>7</v>
      </c>
      <c r="H15" s="158">
        <f>'Engineering Assumptions'!$F$18*0.35*1</f>
        <v>6.4749999999999996</v>
      </c>
      <c r="I15" s="158">
        <f>'Engineering Assumptions'!$F$18*1</f>
        <v>18.5</v>
      </c>
      <c r="J15" s="12">
        <f>'Fleet Pricing'!L15</f>
        <v>389500</v>
      </c>
      <c r="K15" s="12">
        <f>'Maintenance &amp; Repair'!J15+'Maintenance &amp; Repair'!K15</f>
        <v>46800</v>
      </c>
      <c r="L15" s="159">
        <f t="shared" si="0"/>
        <v>0.12015404364569962</v>
      </c>
      <c r="M15" s="9">
        <f>MAX(0,'Engineering Assumptions'!$G$18-G15)</f>
        <v>5</v>
      </c>
      <c r="N15" s="160" t="str">
        <f t="shared" si="1"/>
        <v>KEEP</v>
      </c>
      <c r="O15" s="161" t="str">
        <f t="shared" si="2"/>
        <v>Healthy — continue operating</v>
      </c>
      <c r="P15" s="161" t="str">
        <f>'Engineering Assumptions'!H18</f>
        <v>JCB 3DX Plus new ~Rs. 15–18M; strong resale</v>
      </c>
    </row>
    <row r="16" spans="1:16" ht="15" customHeight="1" x14ac:dyDescent="0.3">
      <c r="A16" s="9">
        <v>11</v>
      </c>
      <c r="B16" s="157" t="s">
        <v>19</v>
      </c>
      <c r="C16" s="157" t="s">
        <v>46</v>
      </c>
      <c r="D16" s="157" t="s">
        <v>47</v>
      </c>
      <c r="E16" s="157" t="s">
        <v>48</v>
      </c>
      <c r="F16" s="48" t="s">
        <v>49</v>
      </c>
      <c r="G16" s="9">
        <v>10</v>
      </c>
      <c r="H16" s="158">
        <f>'Engineering Assumptions'!$F$18*0.22*1</f>
        <v>4.07</v>
      </c>
      <c r="I16" s="158">
        <f>'Engineering Assumptions'!$F$18*1</f>
        <v>18.5</v>
      </c>
      <c r="J16" s="12">
        <f>'Fleet Pricing'!L16</f>
        <v>389500</v>
      </c>
      <c r="K16" s="12">
        <f>'Maintenance &amp; Repair'!J16+'Maintenance &amp; Repair'!K16</f>
        <v>46800</v>
      </c>
      <c r="L16" s="159">
        <f t="shared" si="0"/>
        <v>0.12015404364569962</v>
      </c>
      <c r="M16" s="9">
        <f>MAX(0,'Engineering Assumptions'!$G$18-G16)</f>
        <v>2</v>
      </c>
      <c r="N16" s="160" t="str">
        <f t="shared" si="1"/>
        <v>KEEP</v>
      </c>
      <c r="O16" s="161" t="str">
        <f t="shared" si="2"/>
        <v>Healthy — continue operating</v>
      </c>
      <c r="P16" s="161" t="str">
        <f>'Engineering Assumptions'!H18</f>
        <v>JCB 3DX Plus new ~Rs. 15–18M; strong resale</v>
      </c>
    </row>
    <row r="17" spans="1:16" ht="15" customHeight="1" x14ac:dyDescent="0.3">
      <c r="A17" s="9">
        <v>12</v>
      </c>
      <c r="B17" s="157" t="s">
        <v>19</v>
      </c>
      <c r="C17" s="157" t="s">
        <v>46</v>
      </c>
      <c r="D17" s="157" t="s">
        <v>50</v>
      </c>
      <c r="E17" s="157" t="s">
        <v>51</v>
      </c>
      <c r="F17" s="48" t="s">
        <v>49</v>
      </c>
      <c r="G17" s="9">
        <v>10</v>
      </c>
      <c r="H17" s="158">
        <f>'Engineering Assumptions'!$F$18*0.22*1</f>
        <v>4.07</v>
      </c>
      <c r="I17" s="158">
        <f>'Engineering Assumptions'!$F$18*1</f>
        <v>18.5</v>
      </c>
      <c r="J17" s="12">
        <f>'Fleet Pricing'!L17</f>
        <v>389500</v>
      </c>
      <c r="K17" s="12">
        <f>'Maintenance &amp; Repair'!J17+'Maintenance &amp; Repair'!K17</f>
        <v>46800</v>
      </c>
      <c r="L17" s="159">
        <f t="shared" si="0"/>
        <v>0.12015404364569962</v>
      </c>
      <c r="M17" s="9">
        <f>MAX(0,'Engineering Assumptions'!$G$18-G17)</f>
        <v>2</v>
      </c>
      <c r="N17" s="160" t="str">
        <f t="shared" si="1"/>
        <v>KEEP</v>
      </c>
      <c r="O17" s="161" t="str">
        <f t="shared" si="2"/>
        <v>Healthy — continue operating</v>
      </c>
      <c r="P17" s="161" t="str">
        <f>'Engineering Assumptions'!H18</f>
        <v>JCB 3DX Plus new ~Rs. 15–18M; strong resale</v>
      </c>
    </row>
    <row r="18" spans="1:16" ht="15" customHeight="1" x14ac:dyDescent="0.3">
      <c r="A18" s="9">
        <v>13</v>
      </c>
      <c r="B18" s="157" t="s">
        <v>19</v>
      </c>
      <c r="C18" s="157" t="s">
        <v>52</v>
      </c>
      <c r="D18" s="157" t="s">
        <v>53</v>
      </c>
      <c r="E18" s="157" t="s">
        <v>54</v>
      </c>
      <c r="F18" s="48" t="s">
        <v>49</v>
      </c>
      <c r="G18" s="9">
        <v>10</v>
      </c>
      <c r="H18" s="158">
        <f>'Engineering Assumptions'!$F$18*0.22*1</f>
        <v>4.07</v>
      </c>
      <c r="I18" s="158">
        <f>'Engineering Assumptions'!$F$18*1</f>
        <v>18.5</v>
      </c>
      <c r="J18" s="12">
        <f>'Fleet Pricing'!L18</f>
        <v>389500</v>
      </c>
      <c r="K18" s="12">
        <f>'Maintenance &amp; Repair'!J18+'Maintenance &amp; Repair'!K18</f>
        <v>46800</v>
      </c>
      <c r="L18" s="159">
        <f t="shared" si="0"/>
        <v>0.12015404364569962</v>
      </c>
      <c r="M18" s="9">
        <f>MAX(0,'Engineering Assumptions'!$G$18-G18)</f>
        <v>2</v>
      </c>
      <c r="N18" s="160" t="str">
        <f t="shared" si="1"/>
        <v>KEEP</v>
      </c>
      <c r="O18" s="161" t="str">
        <f t="shared" si="2"/>
        <v>Healthy — continue operating</v>
      </c>
      <c r="P18" s="161" t="str">
        <f>'Engineering Assumptions'!H18</f>
        <v>JCB 3DX Plus new ~Rs. 15–18M; strong resale</v>
      </c>
    </row>
    <row r="19" spans="1:16" ht="15" customHeight="1" x14ac:dyDescent="0.3">
      <c r="A19" s="9">
        <v>14</v>
      </c>
      <c r="B19" s="157" t="s">
        <v>19</v>
      </c>
      <c r="C19" s="157" t="s">
        <v>52</v>
      </c>
      <c r="D19" s="157" t="s">
        <v>55</v>
      </c>
      <c r="E19" s="157" t="s">
        <v>56</v>
      </c>
      <c r="F19" s="48" t="s">
        <v>49</v>
      </c>
      <c r="G19" s="9">
        <v>10</v>
      </c>
      <c r="H19" s="158">
        <f>'Engineering Assumptions'!$F$18*0.22*1</f>
        <v>4.07</v>
      </c>
      <c r="I19" s="158">
        <f>'Engineering Assumptions'!$F$18*1</f>
        <v>18.5</v>
      </c>
      <c r="J19" s="12">
        <f>'Fleet Pricing'!L19</f>
        <v>389500</v>
      </c>
      <c r="K19" s="12">
        <f>'Maintenance &amp; Repair'!J19+'Maintenance &amp; Repair'!K19</f>
        <v>46800</v>
      </c>
      <c r="L19" s="159">
        <f t="shared" si="0"/>
        <v>0.12015404364569962</v>
      </c>
      <c r="M19" s="9">
        <f>MAX(0,'Engineering Assumptions'!$G$18-G19)</f>
        <v>2</v>
      </c>
      <c r="N19" s="160" t="str">
        <f t="shared" si="1"/>
        <v>KEEP</v>
      </c>
      <c r="O19" s="161" t="str">
        <f t="shared" si="2"/>
        <v>Healthy — continue operating</v>
      </c>
      <c r="P19" s="161" t="str">
        <f>'Engineering Assumptions'!H18</f>
        <v>JCB 3DX Plus new ~Rs. 15–18M; strong resale</v>
      </c>
    </row>
    <row r="20" spans="1:16" ht="15" customHeight="1" x14ac:dyDescent="0.3">
      <c r="A20" s="9">
        <v>15</v>
      </c>
      <c r="B20" s="157" t="s">
        <v>19</v>
      </c>
      <c r="C20" s="157" t="s">
        <v>52</v>
      </c>
      <c r="D20" s="157" t="s">
        <v>57</v>
      </c>
      <c r="E20" s="157" t="s">
        <v>58</v>
      </c>
      <c r="F20" s="48" t="s">
        <v>49</v>
      </c>
      <c r="G20" s="9">
        <v>10</v>
      </c>
      <c r="H20" s="158">
        <f>'Engineering Assumptions'!$F$18*0.22*1</f>
        <v>4.07</v>
      </c>
      <c r="I20" s="158">
        <f>'Engineering Assumptions'!$F$18*1</f>
        <v>18.5</v>
      </c>
      <c r="J20" s="12">
        <f>'Fleet Pricing'!L20</f>
        <v>389500</v>
      </c>
      <c r="K20" s="12">
        <f>'Maintenance &amp; Repair'!J20+'Maintenance &amp; Repair'!K20</f>
        <v>46800</v>
      </c>
      <c r="L20" s="159">
        <f t="shared" si="0"/>
        <v>0.12015404364569962</v>
      </c>
      <c r="M20" s="9">
        <f>MAX(0,'Engineering Assumptions'!$G$18-G20)</f>
        <v>2</v>
      </c>
      <c r="N20" s="160" t="str">
        <f t="shared" si="1"/>
        <v>KEEP</v>
      </c>
      <c r="O20" s="161" t="str">
        <f t="shared" si="2"/>
        <v>Healthy — continue operating</v>
      </c>
      <c r="P20" s="161" t="str">
        <f>'Engineering Assumptions'!H18</f>
        <v>JCB 3DX Plus new ~Rs. 15–18M; strong resale</v>
      </c>
    </row>
    <row r="21" spans="1:16" ht="15" customHeight="1" x14ac:dyDescent="0.3">
      <c r="A21" s="9">
        <v>16</v>
      </c>
      <c r="B21" s="157" t="s">
        <v>19</v>
      </c>
      <c r="C21" s="157" t="s">
        <v>46</v>
      </c>
      <c r="D21" s="157" t="s">
        <v>59</v>
      </c>
      <c r="E21" s="157" t="s">
        <v>60</v>
      </c>
      <c r="F21" s="48" t="s">
        <v>61</v>
      </c>
      <c r="G21" s="9">
        <v>11</v>
      </c>
      <c r="H21" s="158">
        <f>'Engineering Assumptions'!$F$18*0.22*1</f>
        <v>4.07</v>
      </c>
      <c r="I21" s="158">
        <f>'Engineering Assumptions'!$F$18*1</f>
        <v>18.5</v>
      </c>
      <c r="J21" s="12">
        <f>'Fleet Pricing'!L21</f>
        <v>389500</v>
      </c>
      <c r="K21" s="12">
        <f>'Maintenance &amp; Repair'!J21+'Maintenance &amp; Repair'!K21</f>
        <v>69120</v>
      </c>
      <c r="L21" s="159">
        <f t="shared" si="0"/>
        <v>0.17745827984595636</v>
      </c>
      <c r="M21" s="9">
        <f>MAX(0,'Engineering Assumptions'!$G$18-G21)</f>
        <v>1</v>
      </c>
      <c r="N21" s="160" t="str">
        <f t="shared" si="1"/>
        <v>MONITOR</v>
      </c>
      <c r="O21" s="161" t="str">
        <f t="shared" si="2"/>
        <v>Watch costs; plan replacement</v>
      </c>
      <c r="P21" s="161" t="str">
        <f>'Engineering Assumptions'!H18</f>
        <v>JCB 3DX Plus new ~Rs. 15–18M; strong resale</v>
      </c>
    </row>
    <row r="22" spans="1:16" ht="15" customHeight="1" x14ac:dyDescent="0.3">
      <c r="A22" s="9">
        <v>17</v>
      </c>
      <c r="B22" s="157" t="s">
        <v>19</v>
      </c>
      <c r="C22" s="157" t="s">
        <v>46</v>
      </c>
      <c r="D22" s="157" t="s">
        <v>62</v>
      </c>
      <c r="E22" s="157" t="s">
        <v>63</v>
      </c>
      <c r="F22" s="48" t="s">
        <v>61</v>
      </c>
      <c r="G22" s="9">
        <v>11</v>
      </c>
      <c r="H22" s="158">
        <f>'Engineering Assumptions'!$F$18*0.22*1</f>
        <v>4.07</v>
      </c>
      <c r="I22" s="158">
        <f>'Engineering Assumptions'!$F$18*1</f>
        <v>18.5</v>
      </c>
      <c r="J22" s="12">
        <f>'Fleet Pricing'!L22</f>
        <v>389500</v>
      </c>
      <c r="K22" s="12">
        <f>'Maintenance &amp; Repair'!J22+'Maintenance &amp; Repair'!K22</f>
        <v>69120</v>
      </c>
      <c r="L22" s="159">
        <f t="shared" si="0"/>
        <v>0.17745827984595636</v>
      </c>
      <c r="M22" s="9">
        <f>MAX(0,'Engineering Assumptions'!$G$18-G22)</f>
        <v>1</v>
      </c>
      <c r="N22" s="160" t="str">
        <f t="shared" si="1"/>
        <v>MONITOR</v>
      </c>
      <c r="O22" s="161" t="str">
        <f t="shared" si="2"/>
        <v>Watch costs; plan replacement</v>
      </c>
      <c r="P22" s="161" t="str">
        <f>'Engineering Assumptions'!H18</f>
        <v>JCB 3DX Plus new ~Rs. 15–18M; strong resale</v>
      </c>
    </row>
    <row r="23" spans="1:16" ht="15" customHeight="1" x14ac:dyDescent="0.3">
      <c r="A23" s="9">
        <v>18</v>
      </c>
      <c r="B23" s="157" t="s">
        <v>19</v>
      </c>
      <c r="C23" s="157" t="s">
        <v>52</v>
      </c>
      <c r="D23" s="157" t="s">
        <v>64</v>
      </c>
      <c r="E23" s="157" t="s">
        <v>65</v>
      </c>
      <c r="F23" s="48" t="s">
        <v>66</v>
      </c>
      <c r="G23" s="9">
        <v>14</v>
      </c>
      <c r="H23" s="158">
        <f>'Engineering Assumptions'!$F$18*0.12*1</f>
        <v>2.2199999999999998</v>
      </c>
      <c r="I23" s="158">
        <f>'Engineering Assumptions'!$F$18*1</f>
        <v>18.5</v>
      </c>
      <c r="J23" s="12">
        <f>'Fleet Pricing'!L23</f>
        <v>347000</v>
      </c>
      <c r="K23" s="12">
        <f>'Maintenance &amp; Repair'!J23+'Maintenance &amp; Repair'!K23</f>
        <v>69120</v>
      </c>
      <c r="L23" s="159">
        <f t="shared" si="0"/>
        <v>0.19919308357348703</v>
      </c>
      <c r="M23" s="9">
        <f>MAX(0,'Engineering Assumptions'!$G$18-G23)</f>
        <v>0</v>
      </c>
      <c r="N23" s="160" t="str">
        <f t="shared" si="1"/>
        <v>MONITOR</v>
      </c>
      <c r="O23" s="161" t="str">
        <f t="shared" si="2"/>
        <v>Watch costs; plan replacement</v>
      </c>
      <c r="P23" s="161" t="str">
        <f>'Engineering Assumptions'!H18</f>
        <v>JCB 3DX Plus new ~Rs. 15–18M; strong resale</v>
      </c>
    </row>
    <row r="24" spans="1:16" ht="15" customHeight="1" x14ac:dyDescent="0.3">
      <c r="A24" s="9">
        <v>19</v>
      </c>
      <c r="B24" s="157" t="s">
        <v>19</v>
      </c>
      <c r="C24" s="157" t="s">
        <v>52</v>
      </c>
      <c r="D24" s="157" t="s">
        <v>67</v>
      </c>
      <c r="E24" s="157" t="s">
        <v>68</v>
      </c>
      <c r="F24" s="48" t="s">
        <v>66</v>
      </c>
      <c r="G24" s="9">
        <v>14</v>
      </c>
      <c r="H24" s="158">
        <f>'Engineering Assumptions'!$F$18*0.12*1</f>
        <v>2.2199999999999998</v>
      </c>
      <c r="I24" s="158">
        <f>'Engineering Assumptions'!$F$18*1</f>
        <v>18.5</v>
      </c>
      <c r="J24" s="12">
        <f>'Fleet Pricing'!L24</f>
        <v>347000</v>
      </c>
      <c r="K24" s="12">
        <f>'Maintenance &amp; Repair'!J24+'Maintenance &amp; Repair'!K24</f>
        <v>69120</v>
      </c>
      <c r="L24" s="159">
        <f t="shared" si="0"/>
        <v>0.19919308357348703</v>
      </c>
      <c r="M24" s="9">
        <f>MAX(0,'Engineering Assumptions'!$G$18-G24)</f>
        <v>0</v>
      </c>
      <c r="N24" s="160" t="str">
        <f t="shared" si="1"/>
        <v>MONITOR</v>
      </c>
      <c r="O24" s="161" t="str">
        <f t="shared" si="2"/>
        <v>Watch costs; plan replacement</v>
      </c>
      <c r="P24" s="161" t="str">
        <f>'Engineering Assumptions'!H18</f>
        <v>JCB 3DX Plus new ~Rs. 15–18M; strong resale</v>
      </c>
    </row>
    <row r="25" spans="1:16" ht="15" customHeight="1" x14ac:dyDescent="0.3">
      <c r="A25" s="9">
        <v>20</v>
      </c>
      <c r="B25" s="157" t="s">
        <v>19</v>
      </c>
      <c r="C25" s="157" t="s">
        <v>52</v>
      </c>
      <c r="D25" s="157" t="s">
        <v>69</v>
      </c>
      <c r="E25" s="157" t="s">
        <v>70</v>
      </c>
      <c r="F25" s="48" t="s">
        <v>66</v>
      </c>
      <c r="G25" s="9">
        <v>14</v>
      </c>
      <c r="H25" s="158">
        <f>'Engineering Assumptions'!$F$18*0.12*1</f>
        <v>2.2199999999999998</v>
      </c>
      <c r="I25" s="158">
        <f>'Engineering Assumptions'!$F$18*1</f>
        <v>18.5</v>
      </c>
      <c r="J25" s="12">
        <f>'Fleet Pricing'!L25</f>
        <v>347000</v>
      </c>
      <c r="K25" s="12">
        <f>'Maintenance &amp; Repair'!J25+'Maintenance &amp; Repair'!K25</f>
        <v>69120</v>
      </c>
      <c r="L25" s="159">
        <f t="shared" si="0"/>
        <v>0.19919308357348703</v>
      </c>
      <c r="M25" s="9">
        <f>MAX(0,'Engineering Assumptions'!$G$18-G25)</f>
        <v>0</v>
      </c>
      <c r="N25" s="160" t="str">
        <f t="shared" si="1"/>
        <v>MONITOR</v>
      </c>
      <c r="O25" s="161" t="str">
        <f t="shared" si="2"/>
        <v>Watch costs; plan replacement</v>
      </c>
      <c r="P25" s="161" t="str">
        <f>'Engineering Assumptions'!H18</f>
        <v>JCB 3DX Plus new ~Rs. 15–18M; strong resale</v>
      </c>
    </row>
    <row r="26" spans="1:16" ht="15" customHeight="1" x14ac:dyDescent="0.3">
      <c r="A26" s="9">
        <v>21</v>
      </c>
      <c r="B26" s="157" t="s">
        <v>19</v>
      </c>
      <c r="C26" s="157" t="s">
        <v>52</v>
      </c>
      <c r="D26" s="157" t="s">
        <v>71</v>
      </c>
      <c r="E26" s="157" t="s">
        <v>72</v>
      </c>
      <c r="F26" s="48" t="s">
        <v>73</v>
      </c>
      <c r="G26" s="9">
        <v>20</v>
      </c>
      <c r="H26" s="158">
        <f>'Engineering Assumptions'!$F$18*0.06*1</f>
        <v>1.1099999999999999</v>
      </c>
      <c r="I26" s="158">
        <f>'Engineering Assumptions'!$F$18*1</f>
        <v>18.5</v>
      </c>
      <c r="J26" s="12">
        <f>'Fleet Pricing'!L26</f>
        <v>305000</v>
      </c>
      <c r="K26" s="12">
        <f>'Maintenance &amp; Repair'!J26+'Maintenance &amp; Repair'!K26</f>
        <v>97560</v>
      </c>
      <c r="L26" s="159">
        <f t="shared" si="0"/>
        <v>0.31986885245901642</v>
      </c>
      <c r="M26" s="9">
        <f>MAX(0,'Engineering Assumptions'!$G$18-G26)</f>
        <v>0</v>
      </c>
      <c r="N26" s="160" t="str">
        <f t="shared" si="1"/>
        <v>REPLACE</v>
      </c>
      <c r="O26" s="161" t="str">
        <f t="shared" si="2"/>
        <v>End of life (age &gt; 20)</v>
      </c>
      <c r="P26" s="161" t="str">
        <f>'Engineering Assumptions'!H18</f>
        <v>JCB 3DX Plus new ~Rs. 15–18M; strong resale</v>
      </c>
    </row>
    <row r="27" spans="1:16" ht="15" customHeight="1" x14ac:dyDescent="0.3">
      <c r="A27" s="9">
        <v>22</v>
      </c>
      <c r="B27" s="157" t="s">
        <v>19</v>
      </c>
      <c r="C27" s="157" t="s">
        <v>74</v>
      </c>
      <c r="D27" s="157" t="s">
        <v>75</v>
      </c>
      <c r="E27" s="157" t="s">
        <v>76</v>
      </c>
      <c r="F27" s="48" t="s">
        <v>77</v>
      </c>
      <c r="G27" s="9">
        <v>22</v>
      </c>
      <c r="H27" s="158">
        <f>'Engineering Assumptions'!$F$18*0.06*1</f>
        <v>1.1099999999999999</v>
      </c>
      <c r="I27" s="158">
        <f>'Engineering Assumptions'!$F$18*1</f>
        <v>18.5</v>
      </c>
      <c r="J27" s="12">
        <f>'Fleet Pricing'!L27</f>
        <v>275500</v>
      </c>
      <c r="K27" s="12">
        <f>'Maintenance &amp; Repair'!J27+'Maintenance &amp; Repair'!K27</f>
        <v>131040</v>
      </c>
      <c r="L27" s="159">
        <f t="shared" si="0"/>
        <v>0.47564428312159712</v>
      </c>
      <c r="M27" s="9">
        <f>MAX(0,'Engineering Assumptions'!$G$18-G27)</f>
        <v>0</v>
      </c>
      <c r="N27" s="160" t="str">
        <f t="shared" si="1"/>
        <v>REPLACE</v>
      </c>
      <c r="O27" s="161" t="str">
        <f t="shared" si="2"/>
        <v>End of life (age &gt; 20)</v>
      </c>
      <c r="P27" s="161" t="str">
        <f>'Engineering Assumptions'!H18</f>
        <v>JCB 3DX Plus new ~Rs. 15–18M; strong resale</v>
      </c>
    </row>
    <row r="28" spans="1:16" ht="15" customHeight="1" x14ac:dyDescent="0.3">
      <c r="A28" s="9">
        <v>23</v>
      </c>
      <c r="B28" s="157" t="s">
        <v>19</v>
      </c>
      <c r="C28" s="157" t="s">
        <v>78</v>
      </c>
      <c r="D28" s="157" t="s">
        <v>79</v>
      </c>
      <c r="E28" s="157" t="s">
        <v>80</v>
      </c>
      <c r="F28" s="48" t="s">
        <v>81</v>
      </c>
      <c r="G28" s="9">
        <v>24</v>
      </c>
      <c r="H28" s="158">
        <f>'Engineering Assumptions'!$F$18*0.06*1</f>
        <v>1.1099999999999999</v>
      </c>
      <c r="I28" s="158">
        <f>'Engineering Assumptions'!$F$18*1</f>
        <v>18.5</v>
      </c>
      <c r="J28" s="12">
        <f>'Fleet Pricing'!L28</f>
        <v>275500</v>
      </c>
      <c r="K28" s="12">
        <f>'Maintenance &amp; Repair'!J28+'Maintenance &amp; Repair'!K28</f>
        <v>131040</v>
      </c>
      <c r="L28" s="159">
        <f t="shared" si="0"/>
        <v>0.47564428312159712</v>
      </c>
      <c r="M28" s="9">
        <f>MAX(0,'Engineering Assumptions'!$G$18-G28)</f>
        <v>0</v>
      </c>
      <c r="N28" s="160" t="str">
        <f t="shared" si="1"/>
        <v>REPLACE</v>
      </c>
      <c r="O28" s="161" t="str">
        <f t="shared" si="2"/>
        <v>End of life (age &gt; 20)</v>
      </c>
      <c r="P28" s="161" t="str">
        <f>'Engineering Assumptions'!H18</f>
        <v>JCB 3DX Plus new ~Rs. 15–18M; strong resale</v>
      </c>
    </row>
    <row r="29" spans="1:16" ht="15" customHeight="1" x14ac:dyDescent="0.3">
      <c r="A29" s="9">
        <v>24</v>
      </c>
      <c r="B29" s="157" t="s">
        <v>19</v>
      </c>
      <c r="C29" s="157" t="s">
        <v>82</v>
      </c>
      <c r="D29" s="157" t="s">
        <v>83</v>
      </c>
      <c r="E29" s="157" t="s">
        <v>84</v>
      </c>
      <c r="F29" s="48" t="s">
        <v>85</v>
      </c>
      <c r="G29" s="9">
        <v>27</v>
      </c>
      <c r="H29" s="158">
        <f>'Engineering Assumptions'!$F$18*0.03*1</f>
        <v>0.55499999999999994</v>
      </c>
      <c r="I29" s="158">
        <f>'Engineering Assumptions'!$F$18*1</f>
        <v>18.5</v>
      </c>
      <c r="J29" s="12">
        <f>'Fleet Pricing'!L29</f>
        <v>246000</v>
      </c>
      <c r="K29" s="12">
        <f>'Maintenance &amp; Repair'!J29+'Maintenance &amp; Repair'!K29</f>
        <v>131040</v>
      </c>
      <c r="L29" s="159">
        <f t="shared" si="0"/>
        <v>0.53268292682926832</v>
      </c>
      <c r="M29" s="9">
        <f>MAX(0,'Engineering Assumptions'!$G$18-G29)</f>
        <v>0</v>
      </c>
      <c r="N29" s="160" t="str">
        <f t="shared" si="1"/>
        <v>REPLACE</v>
      </c>
      <c r="O29" s="161" t="str">
        <f t="shared" si="2"/>
        <v>End of life (age &gt; 20)</v>
      </c>
      <c r="P29" s="161" t="str">
        <f>'Engineering Assumptions'!H18</f>
        <v>JCB 3DX Plus new ~Rs. 15–18M; strong resale</v>
      </c>
    </row>
    <row r="30" spans="1:16" ht="15" customHeight="1" x14ac:dyDescent="0.3">
      <c r="A30" s="199" t="s">
        <v>86</v>
      </c>
      <c r="B30" s="200"/>
      <c r="C30" s="200"/>
      <c r="D30" s="200"/>
      <c r="E30" s="200"/>
      <c r="F30" s="200"/>
      <c r="G30" s="200"/>
      <c r="H30" s="200"/>
      <c r="I30" s="200"/>
      <c r="J30" s="200"/>
      <c r="K30" s="200"/>
      <c r="L30" s="200"/>
      <c r="M30" s="200"/>
      <c r="N30" s="200"/>
      <c r="O30" s="200"/>
      <c r="P30" s="200"/>
    </row>
    <row r="31" spans="1:16" ht="15" customHeight="1" x14ac:dyDescent="0.3">
      <c r="A31" s="9">
        <v>25</v>
      </c>
      <c r="B31" s="157" t="s">
        <v>87</v>
      </c>
      <c r="C31" s="157" t="s">
        <v>88</v>
      </c>
      <c r="D31" s="157" t="s">
        <v>89</v>
      </c>
      <c r="E31" s="157"/>
      <c r="F31" s="48" t="s">
        <v>31</v>
      </c>
      <c r="G31" s="9">
        <v>6</v>
      </c>
      <c r="H31" s="158">
        <f>'Engineering Assumptions'!$F$19*0.35*1</f>
        <v>14.7</v>
      </c>
      <c r="I31" s="158">
        <f>'Engineering Assumptions'!$F$19*1</f>
        <v>42</v>
      </c>
      <c r="J31" s="12">
        <f>'Fleet Pricing'!L31</f>
        <v>862000</v>
      </c>
      <c r="K31" s="12">
        <f>'Maintenance &amp; Repair'!J31+'Maintenance &amp; Repair'!K31</f>
        <v>95700</v>
      </c>
      <c r="L31" s="159">
        <f t="shared" ref="L31:L39" si="3">IFERROR(K31/J31,0)</f>
        <v>0.11102088167053364</v>
      </c>
      <c r="M31" s="9">
        <f>MAX(0,'Engineering Assumptions'!$G$19-G31)</f>
        <v>9</v>
      </c>
      <c r="N31" s="160" t="str">
        <f t="shared" ref="N31:N39" si="4">IF(G31&gt;=20,"REPLACE",IF(L31&gt;0.6,"REPLACE",IF(G31&gt;=15,"REPLACE",IF(OR(G31&gt;=11,L31&gt;0.4),"MONITOR","KEEP"))))</f>
        <v>KEEP</v>
      </c>
      <c r="O31" s="161" t="str">
        <f t="shared" ref="O31:O39" si="5">IF(G31&gt;=20,"End of life (age &gt; 20)",IF(L31&gt;0.6,"Repairs exceed 60% of revenue",IF(G31&gt;=15,"Age 15+ → replace",IF(OR(G31&gt;=11,L31&gt;0.4),"Watch costs; plan replacement","Healthy — continue operating"))))</f>
        <v>Healthy — continue operating</v>
      </c>
      <c r="P31" s="161" t="str">
        <f>'Engineering Assumptions'!H19</f>
        <v>SHANTUI SL50W / CAT 910E ~Rs. 35–55M</v>
      </c>
    </row>
    <row r="32" spans="1:16" ht="15" customHeight="1" x14ac:dyDescent="0.3">
      <c r="A32" s="9">
        <v>26</v>
      </c>
      <c r="B32" s="157" t="s">
        <v>87</v>
      </c>
      <c r="C32" s="157" t="s">
        <v>90</v>
      </c>
      <c r="D32" s="157" t="s">
        <v>91</v>
      </c>
      <c r="E32" s="157"/>
      <c r="F32" s="48" t="s">
        <v>61</v>
      </c>
      <c r="G32" s="9">
        <v>11</v>
      </c>
      <c r="H32" s="158">
        <f>'Engineering Assumptions'!$F$19*0.22*1</f>
        <v>9.24</v>
      </c>
      <c r="I32" s="158">
        <f>'Engineering Assumptions'!$F$19*1</f>
        <v>42</v>
      </c>
      <c r="J32" s="12">
        <f>'Fleet Pricing'!L32</f>
        <v>792500</v>
      </c>
      <c r="K32" s="12">
        <f>'Maintenance &amp; Repair'!J32+'Maintenance &amp; Repair'!K32</f>
        <v>142860</v>
      </c>
      <c r="L32" s="159">
        <f t="shared" si="3"/>
        <v>0.18026498422712933</v>
      </c>
      <c r="M32" s="9">
        <f>MAX(0,'Engineering Assumptions'!$G$19-G32)</f>
        <v>4</v>
      </c>
      <c r="N32" s="160" t="str">
        <f t="shared" si="4"/>
        <v>MONITOR</v>
      </c>
      <c r="O32" s="161" t="str">
        <f t="shared" si="5"/>
        <v>Watch costs; plan replacement</v>
      </c>
      <c r="P32" s="161" t="str">
        <f>'Engineering Assumptions'!H19</f>
        <v>SHANTUI SL50W / CAT 910E ~Rs. 35–55M</v>
      </c>
    </row>
    <row r="33" spans="1:16" ht="15" customHeight="1" x14ac:dyDescent="0.3">
      <c r="A33" s="9">
        <v>27</v>
      </c>
      <c r="B33" s="157" t="s">
        <v>87</v>
      </c>
      <c r="C33" s="157" t="s">
        <v>92</v>
      </c>
      <c r="D33" s="157" t="s">
        <v>93</v>
      </c>
      <c r="E33" s="157"/>
      <c r="F33" s="48" t="s">
        <v>94</v>
      </c>
      <c r="G33" s="9">
        <v>12</v>
      </c>
      <c r="H33" s="158">
        <f>'Engineering Assumptions'!$F$19*0.22*1</f>
        <v>9.24</v>
      </c>
      <c r="I33" s="158">
        <f>'Engineering Assumptions'!$F$19*1</f>
        <v>42</v>
      </c>
      <c r="J33" s="12">
        <f>'Fleet Pricing'!L33</f>
        <v>707000</v>
      </c>
      <c r="K33" s="12">
        <f>'Maintenance &amp; Repair'!J33+'Maintenance &amp; Repair'!K33</f>
        <v>142860</v>
      </c>
      <c r="L33" s="159">
        <f t="shared" si="3"/>
        <v>0.20206506364922205</v>
      </c>
      <c r="M33" s="9">
        <f>MAX(0,'Engineering Assumptions'!$G$19-G33)</f>
        <v>3</v>
      </c>
      <c r="N33" s="160" t="str">
        <f t="shared" si="4"/>
        <v>MONITOR</v>
      </c>
      <c r="O33" s="161" t="str">
        <f t="shared" si="5"/>
        <v>Watch costs; plan replacement</v>
      </c>
      <c r="P33" s="161" t="str">
        <f>'Engineering Assumptions'!H19</f>
        <v>SHANTUI SL50W / CAT 910E ~Rs. 35–55M</v>
      </c>
    </row>
    <row r="34" spans="1:16" ht="15" customHeight="1" x14ac:dyDescent="0.3">
      <c r="A34" s="9">
        <v>28</v>
      </c>
      <c r="B34" s="157" t="s">
        <v>87</v>
      </c>
      <c r="C34" s="157" t="s">
        <v>95</v>
      </c>
      <c r="D34" s="157" t="s">
        <v>96</v>
      </c>
      <c r="E34" s="157"/>
      <c r="F34" s="48" t="s">
        <v>94</v>
      </c>
      <c r="G34" s="9">
        <v>12</v>
      </c>
      <c r="H34" s="158">
        <f>'Engineering Assumptions'!$F$19*0.22*1</f>
        <v>9.24</v>
      </c>
      <c r="I34" s="158">
        <f>'Engineering Assumptions'!$F$19*1</f>
        <v>42</v>
      </c>
      <c r="J34" s="12">
        <f>'Fleet Pricing'!L34</f>
        <v>707000</v>
      </c>
      <c r="K34" s="12">
        <f>'Maintenance &amp; Repair'!J34+'Maintenance &amp; Repair'!K34</f>
        <v>142860</v>
      </c>
      <c r="L34" s="159">
        <f t="shared" si="3"/>
        <v>0.20206506364922205</v>
      </c>
      <c r="M34" s="9">
        <f>MAX(0,'Engineering Assumptions'!$G$19-G34)</f>
        <v>3</v>
      </c>
      <c r="N34" s="160" t="str">
        <f t="shared" si="4"/>
        <v>MONITOR</v>
      </c>
      <c r="O34" s="161" t="str">
        <f t="shared" si="5"/>
        <v>Watch costs; plan replacement</v>
      </c>
      <c r="P34" s="161" t="str">
        <f>'Engineering Assumptions'!H19</f>
        <v>SHANTUI SL50W / CAT 910E ~Rs. 35–55M</v>
      </c>
    </row>
    <row r="35" spans="1:16" ht="15" customHeight="1" x14ac:dyDescent="0.3">
      <c r="A35" s="9">
        <v>29</v>
      </c>
      <c r="B35" s="157" t="s">
        <v>87</v>
      </c>
      <c r="C35" s="157" t="s">
        <v>97</v>
      </c>
      <c r="D35" s="157" t="s">
        <v>98</v>
      </c>
      <c r="E35" s="157"/>
      <c r="F35" s="48" t="s">
        <v>99</v>
      </c>
      <c r="G35" s="9">
        <v>13</v>
      </c>
      <c r="H35" s="158">
        <f>'Engineering Assumptions'!$F$19*0.12*1</f>
        <v>5.04</v>
      </c>
      <c r="I35" s="158">
        <f>'Engineering Assumptions'!$F$19*1</f>
        <v>42</v>
      </c>
      <c r="J35" s="12">
        <f>'Fleet Pricing'!L35</f>
        <v>707000</v>
      </c>
      <c r="K35" s="12">
        <f>'Maintenance &amp; Repair'!J35+'Maintenance &amp; Repair'!K35</f>
        <v>142860</v>
      </c>
      <c r="L35" s="159">
        <f t="shared" si="3"/>
        <v>0.20206506364922205</v>
      </c>
      <c r="M35" s="9">
        <f>MAX(0,'Engineering Assumptions'!$G$19-G35)</f>
        <v>2</v>
      </c>
      <c r="N35" s="160" t="str">
        <f t="shared" si="4"/>
        <v>MONITOR</v>
      </c>
      <c r="O35" s="161" t="str">
        <f t="shared" si="5"/>
        <v>Watch costs; plan replacement</v>
      </c>
      <c r="P35" s="161" t="str">
        <f>'Engineering Assumptions'!H19</f>
        <v>SHANTUI SL50W / CAT 910E ~Rs. 35–55M</v>
      </c>
    </row>
    <row r="36" spans="1:16" ht="15" customHeight="1" x14ac:dyDescent="0.3">
      <c r="A36" s="9">
        <v>30</v>
      </c>
      <c r="B36" s="157" t="s">
        <v>87</v>
      </c>
      <c r="C36" s="157" t="s">
        <v>100</v>
      </c>
      <c r="D36" s="157" t="s">
        <v>101</v>
      </c>
      <c r="E36" s="157" t="s">
        <v>102</v>
      </c>
      <c r="F36" s="48" t="s">
        <v>99</v>
      </c>
      <c r="G36" s="9">
        <v>13</v>
      </c>
      <c r="H36" s="158">
        <f>'Engineering Assumptions'!$F$19*0.12*1</f>
        <v>5.04</v>
      </c>
      <c r="I36" s="158">
        <f>'Engineering Assumptions'!$F$19*1</f>
        <v>42</v>
      </c>
      <c r="J36" s="12">
        <f>'Fleet Pricing'!L36</f>
        <v>707000</v>
      </c>
      <c r="K36" s="12">
        <f>'Maintenance &amp; Repair'!J36+'Maintenance &amp; Repair'!K36</f>
        <v>142860</v>
      </c>
      <c r="L36" s="159">
        <f t="shared" si="3"/>
        <v>0.20206506364922205</v>
      </c>
      <c r="M36" s="9">
        <f>MAX(0,'Engineering Assumptions'!$G$19-G36)</f>
        <v>2</v>
      </c>
      <c r="N36" s="160" t="str">
        <f t="shared" si="4"/>
        <v>MONITOR</v>
      </c>
      <c r="O36" s="161" t="str">
        <f t="shared" si="5"/>
        <v>Watch costs; plan replacement</v>
      </c>
      <c r="P36" s="161" t="str">
        <f>'Engineering Assumptions'!H19</f>
        <v>SHANTUI SL50W / CAT 910E ~Rs. 35–55M</v>
      </c>
    </row>
    <row r="37" spans="1:16" ht="15" customHeight="1" x14ac:dyDescent="0.3">
      <c r="A37" s="9">
        <v>31</v>
      </c>
      <c r="B37" s="157" t="s">
        <v>87</v>
      </c>
      <c r="C37" s="157" t="s">
        <v>103</v>
      </c>
      <c r="D37" s="157" t="s">
        <v>104</v>
      </c>
      <c r="E37" s="157"/>
      <c r="F37" s="48" t="s">
        <v>66</v>
      </c>
      <c r="G37" s="9">
        <v>14</v>
      </c>
      <c r="H37" s="158">
        <f>'Engineering Assumptions'!$F$19*0.12*1</f>
        <v>5.04</v>
      </c>
      <c r="I37" s="158">
        <f>'Engineering Assumptions'!$F$19*1</f>
        <v>42</v>
      </c>
      <c r="J37" s="12">
        <f>'Fleet Pricing'!L37</f>
        <v>707000</v>
      </c>
      <c r="K37" s="12">
        <f>'Maintenance &amp; Repair'!J37+'Maintenance &amp; Repair'!K37</f>
        <v>142860</v>
      </c>
      <c r="L37" s="159">
        <f t="shared" si="3"/>
        <v>0.20206506364922205</v>
      </c>
      <c r="M37" s="9">
        <f>MAX(0,'Engineering Assumptions'!$G$19-G37)</f>
        <v>1</v>
      </c>
      <c r="N37" s="160" t="str">
        <f t="shared" si="4"/>
        <v>MONITOR</v>
      </c>
      <c r="O37" s="161" t="str">
        <f t="shared" si="5"/>
        <v>Watch costs; plan replacement</v>
      </c>
      <c r="P37" s="161" t="str">
        <f>'Engineering Assumptions'!H19</f>
        <v>SHANTUI SL50W / CAT 910E ~Rs. 35–55M</v>
      </c>
    </row>
    <row r="38" spans="1:16" ht="15" customHeight="1" x14ac:dyDescent="0.3">
      <c r="A38" s="9">
        <v>32</v>
      </c>
      <c r="B38" s="157" t="s">
        <v>87</v>
      </c>
      <c r="C38" s="157" t="s">
        <v>105</v>
      </c>
      <c r="D38" s="157" t="s">
        <v>106</v>
      </c>
      <c r="E38" s="157"/>
      <c r="F38" s="48" t="s">
        <v>107</v>
      </c>
      <c r="G38" s="9">
        <v>16</v>
      </c>
      <c r="H38" s="158">
        <f>'Engineering Assumptions'!$F$19*0.12*1</f>
        <v>5.04</v>
      </c>
      <c r="I38" s="158">
        <f>'Engineering Assumptions'!$F$19*1</f>
        <v>42</v>
      </c>
      <c r="J38" s="12">
        <f>'Fleet Pricing'!L38</f>
        <v>707000</v>
      </c>
      <c r="K38" s="12">
        <f>'Maintenance &amp; Repair'!J38+'Maintenance &amp; Repair'!K38</f>
        <v>202860</v>
      </c>
      <c r="L38" s="159">
        <f t="shared" si="3"/>
        <v>0.28693069306930691</v>
      </c>
      <c r="M38" s="9">
        <f>MAX(0,'Engineering Assumptions'!$G$19-G38)</f>
        <v>0</v>
      </c>
      <c r="N38" s="160" t="str">
        <f t="shared" si="4"/>
        <v>REPLACE</v>
      </c>
      <c r="O38" s="161" t="str">
        <f t="shared" si="5"/>
        <v>Age 15+ → replace</v>
      </c>
      <c r="P38" s="161" t="str">
        <f>'Engineering Assumptions'!H19</f>
        <v>SHANTUI SL50W / CAT 910E ~Rs. 35–55M</v>
      </c>
    </row>
    <row r="39" spans="1:16" ht="15" customHeight="1" x14ac:dyDescent="0.3">
      <c r="A39" s="9">
        <v>33</v>
      </c>
      <c r="B39" s="157" t="s">
        <v>87</v>
      </c>
      <c r="C39" s="157" t="s">
        <v>108</v>
      </c>
      <c r="D39" s="157" t="s">
        <v>109</v>
      </c>
      <c r="E39" s="157"/>
      <c r="F39" s="48" t="s">
        <v>110</v>
      </c>
      <c r="G39" s="9">
        <v>17</v>
      </c>
      <c r="H39" s="158">
        <f>'Engineering Assumptions'!$F$19*0.12*1</f>
        <v>5.04</v>
      </c>
      <c r="I39" s="158">
        <f>'Engineering Assumptions'!$F$19*1</f>
        <v>42</v>
      </c>
      <c r="J39" s="12">
        <f>'Fleet Pricing'!L39</f>
        <v>620000</v>
      </c>
      <c r="K39" s="12">
        <f>'Maintenance &amp; Repair'!J39+'Maintenance &amp; Repair'!K39</f>
        <v>202860</v>
      </c>
      <c r="L39" s="159">
        <f t="shared" si="3"/>
        <v>0.3271935483870968</v>
      </c>
      <c r="M39" s="9">
        <f>MAX(0,'Engineering Assumptions'!$G$19-G39)</f>
        <v>0</v>
      </c>
      <c r="N39" s="160" t="str">
        <f t="shared" si="4"/>
        <v>REPLACE</v>
      </c>
      <c r="O39" s="161" t="str">
        <f t="shared" si="5"/>
        <v>Age 15+ → replace</v>
      </c>
      <c r="P39" s="161" t="str">
        <f>'Engineering Assumptions'!H19</f>
        <v>SHANTUI SL50W / CAT 910E ~Rs. 35–55M</v>
      </c>
    </row>
    <row r="40" spans="1:16" ht="15" customHeight="1" x14ac:dyDescent="0.3">
      <c r="A40" s="199" t="s">
        <v>111</v>
      </c>
      <c r="B40" s="200"/>
      <c r="C40" s="200"/>
      <c r="D40" s="200"/>
      <c r="E40" s="200"/>
      <c r="F40" s="200"/>
      <c r="G40" s="200"/>
      <c r="H40" s="200"/>
      <c r="I40" s="200"/>
      <c r="J40" s="200"/>
      <c r="K40" s="200"/>
      <c r="L40" s="200"/>
      <c r="M40" s="200"/>
      <c r="N40" s="200"/>
      <c r="O40" s="200"/>
      <c r="P40" s="200"/>
    </row>
    <row r="41" spans="1:16" ht="15" customHeight="1" x14ac:dyDescent="0.3">
      <c r="A41" s="9">
        <v>34</v>
      </c>
      <c r="B41" s="157" t="s">
        <v>112</v>
      </c>
      <c r="C41" s="157" t="s">
        <v>113</v>
      </c>
      <c r="D41" s="157" t="s">
        <v>114</v>
      </c>
      <c r="E41" s="157" t="s">
        <v>115</v>
      </c>
      <c r="F41" s="48" t="s">
        <v>116</v>
      </c>
      <c r="G41" s="9">
        <v>9</v>
      </c>
      <c r="H41" s="158">
        <f>'Engineering Assumptions'!$F$20*0.22*1</f>
        <v>4.84</v>
      </c>
      <c r="I41" s="158">
        <f>'Engineering Assumptions'!$F$20*1</f>
        <v>22</v>
      </c>
      <c r="J41" s="12">
        <f>'Fleet Pricing'!L41</f>
        <v>455000</v>
      </c>
      <c r="K41" s="12">
        <f>'Maintenance &amp; Repair'!J41+'Maintenance &amp; Repair'!K41</f>
        <v>58200</v>
      </c>
      <c r="L41" s="159">
        <f t="shared" ref="L41:L56" si="6">IFERROR(K41/J41,0)</f>
        <v>0.12791208791208791</v>
      </c>
      <c r="M41" s="9">
        <f>MAX(0,'Engineering Assumptions'!$G$20-G41)</f>
        <v>3</v>
      </c>
      <c r="N41" s="160" t="str">
        <f t="shared" ref="N41:N56" si="7">IF(G41&gt;=20,"REPLACE",IF(L41&gt;0.6,"REPLACE",IF(G41&gt;=15,"REPLACE",IF(OR(G41&gt;=11,L41&gt;0.4),"MONITOR","KEEP"))))</f>
        <v>KEEP</v>
      </c>
      <c r="O41" s="161" t="str">
        <f t="shared" ref="O41:O56" si="8">IF(G41&gt;=20,"End of life (age &gt; 20)",IF(L41&gt;0.6,"Repairs exceed 60% of revenue",IF(G41&gt;=15,"Age 15+ → replace",IF(OR(G41&gt;=11,L41&gt;0.4),"Watch costs; plan replacement","Healthy — continue operating"))))</f>
        <v>Healthy — continue operating</v>
      </c>
      <c r="P41" s="161" t="str">
        <f>'Engineering Assumptions'!H20</f>
        <v>TATA LPK2518 + mixer ~Rs. 20–25M</v>
      </c>
    </row>
    <row r="42" spans="1:16" ht="15" customHeight="1" x14ac:dyDescent="0.3">
      <c r="A42" s="9">
        <v>35</v>
      </c>
      <c r="B42" s="157" t="s">
        <v>112</v>
      </c>
      <c r="C42" s="157" t="s">
        <v>117</v>
      </c>
      <c r="D42" s="157" t="s">
        <v>118</v>
      </c>
      <c r="E42" s="157" t="s">
        <v>119</v>
      </c>
      <c r="F42" s="48" t="s">
        <v>116</v>
      </c>
      <c r="G42" s="9">
        <v>9</v>
      </c>
      <c r="H42" s="158">
        <f>'Engineering Assumptions'!$F$20*0.22*1</f>
        <v>4.84</v>
      </c>
      <c r="I42" s="158">
        <f>'Engineering Assumptions'!$F$20*1</f>
        <v>22</v>
      </c>
      <c r="J42" s="12">
        <f>'Fleet Pricing'!L42</f>
        <v>455000</v>
      </c>
      <c r="K42" s="12">
        <f>'Maintenance &amp; Repair'!J42+'Maintenance &amp; Repair'!K42</f>
        <v>58200</v>
      </c>
      <c r="L42" s="159">
        <f t="shared" si="6"/>
        <v>0.12791208791208791</v>
      </c>
      <c r="M42" s="9">
        <f>MAX(0,'Engineering Assumptions'!$G$20-G42)</f>
        <v>3</v>
      </c>
      <c r="N42" s="160" t="str">
        <f t="shared" si="7"/>
        <v>KEEP</v>
      </c>
      <c r="O42" s="161" t="str">
        <f t="shared" si="8"/>
        <v>Healthy — continue operating</v>
      </c>
      <c r="P42" s="161" t="str">
        <f>'Engineering Assumptions'!H20</f>
        <v>TATA LPK2518 + mixer ~Rs. 20–25M</v>
      </c>
    </row>
    <row r="43" spans="1:16" ht="15" customHeight="1" x14ac:dyDescent="0.3">
      <c r="A43" s="9">
        <v>36</v>
      </c>
      <c r="B43" s="157" t="s">
        <v>112</v>
      </c>
      <c r="C43" s="157" t="s">
        <v>113</v>
      </c>
      <c r="D43" s="157" t="s">
        <v>120</v>
      </c>
      <c r="E43" s="157" t="s">
        <v>121</v>
      </c>
      <c r="F43" s="48" t="s">
        <v>116</v>
      </c>
      <c r="G43" s="9">
        <v>9</v>
      </c>
      <c r="H43" s="158">
        <f>'Engineering Assumptions'!$F$20*0.22*1</f>
        <v>4.84</v>
      </c>
      <c r="I43" s="158">
        <f>'Engineering Assumptions'!$F$20*1</f>
        <v>22</v>
      </c>
      <c r="J43" s="12">
        <f>'Fleet Pricing'!L43</f>
        <v>455000</v>
      </c>
      <c r="K43" s="12">
        <f>'Maintenance &amp; Repair'!J43+'Maintenance &amp; Repair'!K43</f>
        <v>58200</v>
      </c>
      <c r="L43" s="159">
        <f t="shared" si="6"/>
        <v>0.12791208791208791</v>
      </c>
      <c r="M43" s="9">
        <f>MAX(0,'Engineering Assumptions'!$G$20-G43)</f>
        <v>3</v>
      </c>
      <c r="N43" s="160" t="str">
        <f t="shared" si="7"/>
        <v>KEEP</v>
      </c>
      <c r="O43" s="161" t="str">
        <f t="shared" si="8"/>
        <v>Healthy — continue operating</v>
      </c>
      <c r="P43" s="161" t="str">
        <f>'Engineering Assumptions'!H20</f>
        <v>TATA LPK2518 + mixer ~Rs. 20–25M</v>
      </c>
    </row>
    <row r="44" spans="1:16" ht="15" customHeight="1" x14ac:dyDescent="0.3">
      <c r="A44" s="9">
        <v>37</v>
      </c>
      <c r="B44" s="157" t="s">
        <v>112</v>
      </c>
      <c r="C44" s="157" t="s">
        <v>122</v>
      </c>
      <c r="D44" s="157" t="s">
        <v>123</v>
      </c>
      <c r="E44" s="157" t="s">
        <v>124</v>
      </c>
      <c r="F44" s="48" t="s">
        <v>49</v>
      </c>
      <c r="G44" s="9">
        <v>10</v>
      </c>
      <c r="H44" s="158">
        <f>'Engineering Assumptions'!$F$20*0.22*1</f>
        <v>4.84</v>
      </c>
      <c r="I44" s="158">
        <f>'Engineering Assumptions'!$F$20*1</f>
        <v>22</v>
      </c>
      <c r="J44" s="12">
        <f>'Fleet Pricing'!L44</f>
        <v>455000</v>
      </c>
      <c r="K44" s="12">
        <f>'Maintenance &amp; Repair'!J44+'Maintenance &amp; Repair'!K44</f>
        <v>58200</v>
      </c>
      <c r="L44" s="159">
        <f t="shared" si="6"/>
        <v>0.12791208791208791</v>
      </c>
      <c r="M44" s="9">
        <f>MAX(0,'Engineering Assumptions'!$G$20-G44)</f>
        <v>2</v>
      </c>
      <c r="N44" s="160" t="str">
        <f t="shared" si="7"/>
        <v>KEEP</v>
      </c>
      <c r="O44" s="161" t="str">
        <f t="shared" si="8"/>
        <v>Healthy — continue operating</v>
      </c>
      <c r="P44" s="161" t="str">
        <f>'Engineering Assumptions'!H20</f>
        <v>TATA LPK2518 + mixer ~Rs. 20–25M</v>
      </c>
    </row>
    <row r="45" spans="1:16" ht="15" customHeight="1" x14ac:dyDescent="0.3">
      <c r="A45" s="9">
        <v>38</v>
      </c>
      <c r="B45" s="157" t="s">
        <v>112</v>
      </c>
      <c r="C45" s="157" t="s">
        <v>122</v>
      </c>
      <c r="D45" s="157" t="s">
        <v>125</v>
      </c>
      <c r="E45" s="157" t="s">
        <v>126</v>
      </c>
      <c r="F45" s="48" t="s">
        <v>49</v>
      </c>
      <c r="G45" s="9">
        <v>10</v>
      </c>
      <c r="H45" s="158">
        <f>'Engineering Assumptions'!$F$20*0.22*1</f>
        <v>4.84</v>
      </c>
      <c r="I45" s="158">
        <f>'Engineering Assumptions'!$F$20*1</f>
        <v>22</v>
      </c>
      <c r="J45" s="12">
        <f>'Fleet Pricing'!L45</f>
        <v>455000</v>
      </c>
      <c r="K45" s="12">
        <f>'Maintenance &amp; Repair'!J45+'Maintenance &amp; Repair'!K45</f>
        <v>58200</v>
      </c>
      <c r="L45" s="159">
        <f t="shared" si="6"/>
        <v>0.12791208791208791</v>
      </c>
      <c r="M45" s="9">
        <f>MAX(0,'Engineering Assumptions'!$G$20-G45)</f>
        <v>2</v>
      </c>
      <c r="N45" s="160" t="str">
        <f t="shared" si="7"/>
        <v>KEEP</v>
      </c>
      <c r="O45" s="161" t="str">
        <f t="shared" si="8"/>
        <v>Healthy — continue operating</v>
      </c>
      <c r="P45" s="161" t="str">
        <f>'Engineering Assumptions'!H20</f>
        <v>TATA LPK2518 + mixer ~Rs. 20–25M</v>
      </c>
    </row>
    <row r="46" spans="1:16" ht="15" customHeight="1" x14ac:dyDescent="0.3">
      <c r="A46" s="9">
        <v>39</v>
      </c>
      <c r="B46" s="157" t="s">
        <v>112</v>
      </c>
      <c r="C46" s="157" t="s">
        <v>117</v>
      </c>
      <c r="D46" s="157" t="s">
        <v>127</v>
      </c>
      <c r="E46" s="157" t="s">
        <v>128</v>
      </c>
      <c r="F46" s="48" t="s">
        <v>49</v>
      </c>
      <c r="G46" s="9">
        <v>10</v>
      </c>
      <c r="H46" s="158">
        <f>'Engineering Assumptions'!$F$20*0.22*1</f>
        <v>4.84</v>
      </c>
      <c r="I46" s="158">
        <f>'Engineering Assumptions'!$F$20*1</f>
        <v>22</v>
      </c>
      <c r="J46" s="12">
        <f>'Fleet Pricing'!L46</f>
        <v>455000</v>
      </c>
      <c r="K46" s="12">
        <f>'Maintenance &amp; Repair'!J46+'Maintenance &amp; Repair'!K46</f>
        <v>58200</v>
      </c>
      <c r="L46" s="159">
        <f t="shared" si="6"/>
        <v>0.12791208791208791</v>
      </c>
      <c r="M46" s="9">
        <f>MAX(0,'Engineering Assumptions'!$G$20-G46)</f>
        <v>2</v>
      </c>
      <c r="N46" s="160" t="str">
        <f t="shared" si="7"/>
        <v>KEEP</v>
      </c>
      <c r="O46" s="161" t="str">
        <f t="shared" si="8"/>
        <v>Healthy — continue operating</v>
      </c>
      <c r="P46" s="161" t="str">
        <f>'Engineering Assumptions'!H20</f>
        <v>TATA LPK2518 + mixer ~Rs. 20–25M</v>
      </c>
    </row>
    <row r="47" spans="1:16" ht="15" customHeight="1" x14ac:dyDescent="0.3">
      <c r="A47" s="9">
        <v>40</v>
      </c>
      <c r="B47" s="157" t="s">
        <v>112</v>
      </c>
      <c r="C47" s="157" t="s">
        <v>117</v>
      </c>
      <c r="D47" s="157" t="s">
        <v>129</v>
      </c>
      <c r="E47" s="157" t="s">
        <v>130</v>
      </c>
      <c r="F47" s="48" t="s">
        <v>49</v>
      </c>
      <c r="G47" s="9">
        <v>10</v>
      </c>
      <c r="H47" s="158">
        <f>'Engineering Assumptions'!$F$20*0.22*1</f>
        <v>4.84</v>
      </c>
      <c r="I47" s="158">
        <f>'Engineering Assumptions'!$F$20*1</f>
        <v>22</v>
      </c>
      <c r="J47" s="12">
        <f>'Fleet Pricing'!L47</f>
        <v>455000</v>
      </c>
      <c r="K47" s="12">
        <f>'Maintenance &amp; Repair'!J47+'Maintenance &amp; Repair'!K47</f>
        <v>58200</v>
      </c>
      <c r="L47" s="159">
        <f t="shared" si="6"/>
        <v>0.12791208791208791</v>
      </c>
      <c r="M47" s="9">
        <f>MAX(0,'Engineering Assumptions'!$G$20-G47)</f>
        <v>2</v>
      </c>
      <c r="N47" s="160" t="str">
        <f t="shared" si="7"/>
        <v>KEEP</v>
      </c>
      <c r="O47" s="161" t="str">
        <f t="shared" si="8"/>
        <v>Healthy — continue operating</v>
      </c>
      <c r="P47" s="161" t="str">
        <f>'Engineering Assumptions'!H20</f>
        <v>TATA LPK2518 + mixer ~Rs. 20–25M</v>
      </c>
    </row>
    <row r="48" spans="1:16" ht="15" customHeight="1" x14ac:dyDescent="0.3">
      <c r="A48" s="9">
        <v>41</v>
      </c>
      <c r="B48" s="157" t="s">
        <v>112</v>
      </c>
      <c r="C48" s="157" t="s">
        <v>117</v>
      </c>
      <c r="D48" s="157" t="s">
        <v>131</v>
      </c>
      <c r="E48" s="157" t="s">
        <v>132</v>
      </c>
      <c r="F48" s="48" t="s">
        <v>49</v>
      </c>
      <c r="G48" s="9">
        <v>10</v>
      </c>
      <c r="H48" s="158">
        <f>'Engineering Assumptions'!$F$20*0.22*1</f>
        <v>4.84</v>
      </c>
      <c r="I48" s="158">
        <f>'Engineering Assumptions'!$F$20*1</f>
        <v>22</v>
      </c>
      <c r="J48" s="12">
        <f>'Fleet Pricing'!L48</f>
        <v>455000</v>
      </c>
      <c r="K48" s="12">
        <f>'Maintenance &amp; Repair'!J48+'Maintenance &amp; Repair'!K48</f>
        <v>58200</v>
      </c>
      <c r="L48" s="159">
        <f t="shared" si="6"/>
        <v>0.12791208791208791</v>
      </c>
      <c r="M48" s="9">
        <f>MAX(0,'Engineering Assumptions'!$G$20-G48)</f>
        <v>2</v>
      </c>
      <c r="N48" s="160" t="str">
        <f t="shared" si="7"/>
        <v>KEEP</v>
      </c>
      <c r="O48" s="161" t="str">
        <f t="shared" si="8"/>
        <v>Healthy — continue operating</v>
      </c>
      <c r="P48" s="161" t="str">
        <f>'Engineering Assumptions'!H20</f>
        <v>TATA LPK2518 + mixer ~Rs. 20–25M</v>
      </c>
    </row>
    <row r="49" spans="1:16" ht="15" customHeight="1" x14ac:dyDescent="0.3">
      <c r="A49" s="9">
        <v>42</v>
      </c>
      <c r="B49" s="157" t="s">
        <v>112</v>
      </c>
      <c r="C49" s="157" t="s">
        <v>133</v>
      </c>
      <c r="D49" s="157" t="s">
        <v>134</v>
      </c>
      <c r="E49" s="157" t="s">
        <v>135</v>
      </c>
      <c r="F49" s="48" t="s">
        <v>61</v>
      </c>
      <c r="G49" s="9">
        <v>11</v>
      </c>
      <c r="H49" s="158">
        <f>'Engineering Assumptions'!$F$20*0.22*1</f>
        <v>4.84</v>
      </c>
      <c r="I49" s="158">
        <f>'Engineering Assumptions'!$F$20*1</f>
        <v>22</v>
      </c>
      <c r="J49" s="12">
        <f>'Fleet Pricing'!L49</f>
        <v>455000</v>
      </c>
      <c r="K49" s="12">
        <f>'Maintenance &amp; Repair'!J49+'Maintenance &amp; Repair'!K49</f>
        <v>86280</v>
      </c>
      <c r="L49" s="159">
        <f t="shared" si="6"/>
        <v>0.18962637362637363</v>
      </c>
      <c r="M49" s="9">
        <f>MAX(0,'Engineering Assumptions'!$G$20-G49)</f>
        <v>1</v>
      </c>
      <c r="N49" s="160" t="str">
        <f t="shared" si="7"/>
        <v>MONITOR</v>
      </c>
      <c r="O49" s="161" t="str">
        <f t="shared" si="8"/>
        <v>Watch costs; plan replacement</v>
      </c>
      <c r="P49" s="161" t="str">
        <f>'Engineering Assumptions'!H20</f>
        <v>TATA LPK2518 + mixer ~Rs. 20–25M</v>
      </c>
    </row>
    <row r="50" spans="1:16" ht="15" customHeight="1" x14ac:dyDescent="0.3">
      <c r="A50" s="9">
        <v>43</v>
      </c>
      <c r="B50" s="157" t="s">
        <v>112</v>
      </c>
      <c r="C50" s="157" t="s">
        <v>136</v>
      </c>
      <c r="D50" s="157" t="s">
        <v>137</v>
      </c>
      <c r="E50" s="157" t="s">
        <v>138</v>
      </c>
      <c r="F50" s="48" t="s">
        <v>139</v>
      </c>
      <c r="G50" s="9">
        <v>23</v>
      </c>
      <c r="H50" s="158">
        <f>'Engineering Assumptions'!$F$20*0.06*1</f>
        <v>1.3199999999999998</v>
      </c>
      <c r="I50" s="158">
        <f>'Engineering Assumptions'!$F$20*1</f>
        <v>22</v>
      </c>
      <c r="J50" s="12">
        <f>'Fleet Pricing'!L50</f>
        <v>321500</v>
      </c>
      <c r="K50" s="12">
        <f>'Maintenance &amp; Repair'!J50+'Maintenance &amp; Repair'!K50</f>
        <v>164160</v>
      </c>
      <c r="L50" s="159">
        <f t="shared" si="6"/>
        <v>0.51060653188180405</v>
      </c>
      <c r="M50" s="9">
        <f>MAX(0,'Engineering Assumptions'!$G$20-G50)</f>
        <v>0</v>
      </c>
      <c r="N50" s="160" t="str">
        <f t="shared" si="7"/>
        <v>REPLACE</v>
      </c>
      <c r="O50" s="161" t="str">
        <f t="shared" si="8"/>
        <v>End of life (age &gt; 20)</v>
      </c>
      <c r="P50" s="161" t="str">
        <f>'Engineering Assumptions'!H20</f>
        <v>TATA LPK2518 + mixer ~Rs. 20–25M</v>
      </c>
    </row>
    <row r="51" spans="1:16" ht="15" customHeight="1" x14ac:dyDescent="0.3">
      <c r="A51" s="9">
        <v>44</v>
      </c>
      <c r="B51" s="157" t="s">
        <v>112</v>
      </c>
      <c r="C51" s="157" t="s">
        <v>140</v>
      </c>
      <c r="D51" s="157" t="s">
        <v>141</v>
      </c>
      <c r="E51" s="157" t="s">
        <v>142</v>
      </c>
      <c r="F51" s="48" t="s">
        <v>143</v>
      </c>
      <c r="G51" s="9">
        <v>26</v>
      </c>
      <c r="H51" s="158">
        <f>'Engineering Assumptions'!$F$20*0.03*1</f>
        <v>0.65999999999999992</v>
      </c>
      <c r="I51" s="158">
        <f>'Engineering Assumptions'!$F$20*1</f>
        <v>22</v>
      </c>
      <c r="J51" s="12">
        <f>'Fleet Pricing'!L51</f>
        <v>321500</v>
      </c>
      <c r="K51" s="12">
        <f>'Maintenance &amp; Repair'!J51+'Maintenance &amp; Repair'!K51</f>
        <v>164160</v>
      </c>
      <c r="L51" s="159">
        <f t="shared" si="6"/>
        <v>0.51060653188180405</v>
      </c>
      <c r="M51" s="9">
        <f>MAX(0,'Engineering Assumptions'!$G$20-G51)</f>
        <v>0</v>
      </c>
      <c r="N51" s="160" t="str">
        <f t="shared" si="7"/>
        <v>REPLACE</v>
      </c>
      <c r="O51" s="161" t="str">
        <f t="shared" si="8"/>
        <v>End of life (age &gt; 20)</v>
      </c>
      <c r="P51" s="161" t="str">
        <f>'Engineering Assumptions'!H20</f>
        <v>TATA LPK2518 + mixer ~Rs. 20–25M</v>
      </c>
    </row>
    <row r="52" spans="1:16" ht="15" customHeight="1" x14ac:dyDescent="0.3">
      <c r="A52" s="9">
        <v>45</v>
      </c>
      <c r="B52" s="157" t="s">
        <v>112</v>
      </c>
      <c r="C52" s="157" t="s">
        <v>144</v>
      </c>
      <c r="D52" s="157" t="s">
        <v>145</v>
      </c>
      <c r="E52" s="157" t="s">
        <v>146</v>
      </c>
      <c r="F52" s="48" t="s">
        <v>147</v>
      </c>
      <c r="G52" s="9">
        <v>30</v>
      </c>
      <c r="H52" s="158">
        <f>'Engineering Assumptions'!$F$20*0.03*1</f>
        <v>0.65999999999999992</v>
      </c>
      <c r="I52" s="158">
        <f>'Engineering Assumptions'!$F$20*1</f>
        <v>22</v>
      </c>
      <c r="J52" s="12">
        <f>'Fleet Pricing'!L52</f>
        <v>286500</v>
      </c>
      <c r="K52" s="12">
        <f>'Maintenance &amp; Repair'!J52+'Maintenance &amp; Repair'!K52</f>
        <v>164160</v>
      </c>
      <c r="L52" s="159">
        <f t="shared" si="6"/>
        <v>0.57298429319371724</v>
      </c>
      <c r="M52" s="9">
        <f>MAX(0,'Engineering Assumptions'!$G$20-G52)</f>
        <v>0</v>
      </c>
      <c r="N52" s="160" t="str">
        <f t="shared" si="7"/>
        <v>REPLACE</v>
      </c>
      <c r="O52" s="161" t="str">
        <f t="shared" si="8"/>
        <v>End of life (age &gt; 20)</v>
      </c>
      <c r="P52" s="161" t="str">
        <f>'Engineering Assumptions'!H20</f>
        <v>TATA LPK2518 + mixer ~Rs. 20–25M</v>
      </c>
    </row>
    <row r="53" spans="1:16" ht="15" customHeight="1" x14ac:dyDescent="0.3">
      <c r="A53" s="9">
        <v>46</v>
      </c>
      <c r="B53" s="157" t="s">
        <v>112</v>
      </c>
      <c r="C53" s="157" t="s">
        <v>144</v>
      </c>
      <c r="D53" s="157" t="s">
        <v>148</v>
      </c>
      <c r="E53" s="157" t="s">
        <v>149</v>
      </c>
      <c r="F53" s="48" t="s">
        <v>147</v>
      </c>
      <c r="G53" s="9">
        <v>30</v>
      </c>
      <c r="H53" s="158">
        <f>'Engineering Assumptions'!$F$20*0.03*1</f>
        <v>0.65999999999999992</v>
      </c>
      <c r="I53" s="158">
        <f>'Engineering Assumptions'!$F$20*1</f>
        <v>22</v>
      </c>
      <c r="J53" s="12">
        <f>'Fleet Pricing'!L53</f>
        <v>286500</v>
      </c>
      <c r="K53" s="12">
        <f>'Maintenance &amp; Repair'!J53+'Maintenance &amp; Repair'!K53</f>
        <v>164160</v>
      </c>
      <c r="L53" s="159">
        <f t="shared" si="6"/>
        <v>0.57298429319371724</v>
      </c>
      <c r="M53" s="9">
        <f>MAX(0,'Engineering Assumptions'!$G$20-G53)</f>
        <v>0</v>
      </c>
      <c r="N53" s="160" t="str">
        <f t="shared" si="7"/>
        <v>REPLACE</v>
      </c>
      <c r="O53" s="161" t="str">
        <f t="shared" si="8"/>
        <v>End of life (age &gt; 20)</v>
      </c>
      <c r="P53" s="161" t="str">
        <f>'Engineering Assumptions'!H20</f>
        <v>TATA LPK2518 + mixer ~Rs. 20–25M</v>
      </c>
    </row>
    <row r="54" spans="1:16" ht="15" customHeight="1" x14ac:dyDescent="0.3">
      <c r="A54" s="9">
        <v>47</v>
      </c>
      <c r="B54" s="157" t="s">
        <v>112</v>
      </c>
      <c r="C54" s="157" t="s">
        <v>150</v>
      </c>
      <c r="D54" s="157" t="s">
        <v>151</v>
      </c>
      <c r="E54" s="157" t="s">
        <v>152</v>
      </c>
      <c r="F54" s="48" t="s">
        <v>147</v>
      </c>
      <c r="G54" s="9">
        <v>30</v>
      </c>
      <c r="H54" s="158">
        <f>'Engineering Assumptions'!$F$20*0.03*1</f>
        <v>0.65999999999999992</v>
      </c>
      <c r="I54" s="158">
        <f>'Engineering Assumptions'!$F$20*1</f>
        <v>22</v>
      </c>
      <c r="J54" s="12">
        <f>'Fleet Pricing'!L54</f>
        <v>286500</v>
      </c>
      <c r="K54" s="12">
        <f>'Maintenance &amp; Repair'!J54+'Maintenance &amp; Repair'!K54</f>
        <v>164160</v>
      </c>
      <c r="L54" s="159">
        <f t="shared" si="6"/>
        <v>0.57298429319371724</v>
      </c>
      <c r="M54" s="9">
        <f>MAX(0,'Engineering Assumptions'!$G$20-G54)</f>
        <v>0</v>
      </c>
      <c r="N54" s="160" t="str">
        <f t="shared" si="7"/>
        <v>REPLACE</v>
      </c>
      <c r="O54" s="161" t="str">
        <f t="shared" si="8"/>
        <v>End of life (age &gt; 20)</v>
      </c>
      <c r="P54" s="161" t="str">
        <f>'Engineering Assumptions'!H20</f>
        <v>TATA LPK2518 + mixer ~Rs. 20–25M</v>
      </c>
    </row>
    <row r="55" spans="1:16" ht="15" customHeight="1" x14ac:dyDescent="0.3">
      <c r="A55" s="9">
        <v>48</v>
      </c>
      <c r="B55" s="157" t="s">
        <v>112</v>
      </c>
      <c r="C55" s="157" t="s">
        <v>153</v>
      </c>
      <c r="D55" s="157" t="s">
        <v>154</v>
      </c>
      <c r="E55" s="157" t="s">
        <v>155</v>
      </c>
      <c r="F55" s="48" t="s">
        <v>147</v>
      </c>
      <c r="G55" s="9">
        <v>30</v>
      </c>
      <c r="H55" s="158">
        <f>'Engineering Assumptions'!$F$20*0.03*1</f>
        <v>0.65999999999999992</v>
      </c>
      <c r="I55" s="158">
        <f>'Engineering Assumptions'!$F$20*1</f>
        <v>22</v>
      </c>
      <c r="J55" s="12">
        <f>'Fleet Pricing'!L55</f>
        <v>286500</v>
      </c>
      <c r="K55" s="12">
        <f>'Maintenance &amp; Repair'!J55+'Maintenance &amp; Repair'!K55</f>
        <v>164160</v>
      </c>
      <c r="L55" s="159">
        <f t="shared" si="6"/>
        <v>0.57298429319371724</v>
      </c>
      <c r="M55" s="9">
        <f>MAX(0,'Engineering Assumptions'!$G$20-G55)</f>
        <v>0</v>
      </c>
      <c r="N55" s="160" t="str">
        <f t="shared" si="7"/>
        <v>REPLACE</v>
      </c>
      <c r="O55" s="161" t="str">
        <f t="shared" si="8"/>
        <v>End of life (age &gt; 20)</v>
      </c>
      <c r="P55" s="161" t="str">
        <f>'Engineering Assumptions'!H20</f>
        <v>TATA LPK2518 + mixer ~Rs. 20–25M</v>
      </c>
    </row>
    <row r="56" spans="1:16" ht="15" customHeight="1" x14ac:dyDescent="0.3">
      <c r="A56" s="9">
        <v>49</v>
      </c>
      <c r="B56" s="157" t="s">
        <v>112</v>
      </c>
      <c r="C56" s="157" t="s">
        <v>156</v>
      </c>
      <c r="D56" s="157" t="s">
        <v>157</v>
      </c>
      <c r="E56" s="157" t="s">
        <v>158</v>
      </c>
      <c r="F56" s="48" t="s">
        <v>159</v>
      </c>
      <c r="G56" s="9">
        <v>35</v>
      </c>
      <c r="H56" s="158">
        <f>'Engineering Assumptions'!$F$20*0.03*1</f>
        <v>0.65999999999999992</v>
      </c>
      <c r="I56" s="158">
        <f>'Engineering Assumptions'!$F$20*1</f>
        <v>22</v>
      </c>
      <c r="J56" s="12">
        <f>'Fleet Pricing'!L56</f>
        <v>286500</v>
      </c>
      <c r="K56" s="12">
        <f>'Maintenance &amp; Repair'!J56+'Maintenance &amp; Repair'!K56</f>
        <v>164160</v>
      </c>
      <c r="L56" s="159">
        <f t="shared" si="6"/>
        <v>0.57298429319371724</v>
      </c>
      <c r="M56" s="9">
        <f>MAX(0,'Engineering Assumptions'!$G$20-G56)</f>
        <v>0</v>
      </c>
      <c r="N56" s="160" t="str">
        <f t="shared" si="7"/>
        <v>REPLACE</v>
      </c>
      <c r="O56" s="161" t="str">
        <f t="shared" si="8"/>
        <v>End of life (age &gt; 20)</v>
      </c>
      <c r="P56" s="161" t="str">
        <f>'Engineering Assumptions'!H20</f>
        <v>TATA LPK2518 + mixer ~Rs. 20–25M</v>
      </c>
    </row>
    <row r="57" spans="1:16" ht="15" customHeight="1" x14ac:dyDescent="0.3">
      <c r="A57" s="199" t="s">
        <v>160</v>
      </c>
      <c r="B57" s="200"/>
      <c r="C57" s="200"/>
      <c r="D57" s="200"/>
      <c r="E57" s="200"/>
      <c r="F57" s="200"/>
      <c r="G57" s="200"/>
      <c r="H57" s="200"/>
      <c r="I57" s="200"/>
      <c r="J57" s="200"/>
      <c r="K57" s="200"/>
      <c r="L57" s="200"/>
      <c r="M57" s="200"/>
      <c r="N57" s="200"/>
      <c r="O57" s="200"/>
      <c r="P57" s="200"/>
    </row>
    <row r="58" spans="1:16" ht="15" customHeight="1" x14ac:dyDescent="0.3">
      <c r="A58" s="9">
        <v>50</v>
      </c>
      <c r="B58" s="157" t="s">
        <v>161</v>
      </c>
      <c r="C58" s="157" t="s">
        <v>162</v>
      </c>
      <c r="D58" s="157" t="s">
        <v>163</v>
      </c>
      <c r="E58" s="157" t="s">
        <v>164</v>
      </c>
      <c r="F58" s="48" t="s">
        <v>165</v>
      </c>
      <c r="G58" s="9">
        <v>8</v>
      </c>
      <c r="H58" s="158">
        <f>'Engineering Assumptions'!$F$21*0.35*1</f>
        <v>9.7999999999999989</v>
      </c>
      <c r="I58" s="158">
        <f>'Engineering Assumptions'!$F$21*1</f>
        <v>28</v>
      </c>
      <c r="J58" s="12">
        <f>'Fleet Pricing'!L58</f>
        <v>498000</v>
      </c>
      <c r="K58" s="12">
        <f>'Maintenance &amp; Repair'!J58+'Maintenance &amp; Repair'!K58</f>
        <v>67800</v>
      </c>
      <c r="L58" s="159">
        <f>IFERROR(K58/J58,0)</f>
        <v>0.13614457831325302</v>
      </c>
      <c r="M58" s="9">
        <f>MAX(0,'Engineering Assumptions'!$G$21-G58)</f>
        <v>2</v>
      </c>
      <c r="N58" s="160" t="str">
        <f>IF(G58&gt;=20,"REPLACE",IF(L58&gt;0.6,"REPLACE",IF(G58&gt;=15,"REPLACE",IF(OR(G58&gt;=11,L58&gt;0.4),"MONITOR","KEEP"))))</f>
        <v>KEEP</v>
      </c>
      <c r="O58" s="161" t="str">
        <f>IF(G58&gt;=20,"End of life (age &gt; 20)",IF(L58&gt;0.6,"Repairs exceed 60% of revenue",IF(G58&gt;=15,"Age 15+ → replace",IF(OR(G58&gt;=11,L58&gt;0.4),"Watch costs; plan replacement","Healthy — continue operating"))))</f>
        <v>Healthy — continue operating</v>
      </c>
      <c r="P58" s="161" t="str">
        <f>'Engineering Assumptions'!H21</f>
        <v>FIORI DB350 new ~Rs. 26–30M, niche machine</v>
      </c>
    </row>
    <row r="59" spans="1:16" ht="15" customHeight="1" x14ac:dyDescent="0.3">
      <c r="A59" s="9">
        <v>51</v>
      </c>
      <c r="B59" s="157" t="s">
        <v>161</v>
      </c>
      <c r="C59" s="157" t="s">
        <v>166</v>
      </c>
      <c r="D59" s="157" t="s">
        <v>167</v>
      </c>
      <c r="E59" s="157" t="s">
        <v>164</v>
      </c>
      <c r="F59" s="48" t="s">
        <v>116</v>
      </c>
      <c r="G59" s="9">
        <v>9</v>
      </c>
      <c r="H59" s="158">
        <f>'Engineering Assumptions'!$F$21*0.22*1</f>
        <v>6.16</v>
      </c>
      <c r="I59" s="158">
        <f>'Engineering Assumptions'!$F$21*1</f>
        <v>28</v>
      </c>
      <c r="J59" s="12">
        <f>'Fleet Pricing'!L59</f>
        <v>498000</v>
      </c>
      <c r="K59" s="12">
        <f>'Maintenance &amp; Repair'!J59+'Maintenance &amp; Repair'!K59</f>
        <v>67800</v>
      </c>
      <c r="L59" s="159">
        <f>IFERROR(K59/J59,0)</f>
        <v>0.13614457831325302</v>
      </c>
      <c r="M59" s="9">
        <f>MAX(0,'Engineering Assumptions'!$G$21-G59)</f>
        <v>1</v>
      </c>
      <c r="N59" s="160" t="str">
        <f>IF(G59&gt;=20,"REPLACE",IF(L59&gt;0.6,"REPLACE",IF(G59&gt;=15,"REPLACE",IF(OR(G59&gt;=11,L59&gt;0.4),"MONITOR","KEEP"))))</f>
        <v>KEEP</v>
      </c>
      <c r="O59" s="161" t="str">
        <f>IF(G59&gt;=20,"End of life (age &gt; 20)",IF(L59&gt;0.6,"Repairs exceed 60% of revenue",IF(G59&gt;=15,"Age 15+ → replace",IF(OR(G59&gt;=11,L59&gt;0.4),"Watch costs; plan replacement","Healthy — continue operating"))))</f>
        <v>Healthy — continue operating</v>
      </c>
      <c r="P59" s="161" t="str">
        <f>'Engineering Assumptions'!H21</f>
        <v>FIORI DB350 new ~Rs. 26–30M, niche machine</v>
      </c>
    </row>
    <row r="60" spans="1:16" ht="15" customHeight="1" x14ac:dyDescent="0.3">
      <c r="A60" s="9">
        <v>52</v>
      </c>
      <c r="B60" s="157" t="s">
        <v>161</v>
      </c>
      <c r="C60" s="157" t="s">
        <v>168</v>
      </c>
      <c r="D60" s="157" t="s">
        <v>169</v>
      </c>
      <c r="E60" s="157" t="s">
        <v>164</v>
      </c>
      <c r="F60" s="48" t="s">
        <v>116</v>
      </c>
      <c r="G60" s="9">
        <v>9</v>
      </c>
      <c r="H60" s="158">
        <f>'Engineering Assumptions'!$F$21*0.22*1</f>
        <v>6.16</v>
      </c>
      <c r="I60" s="158">
        <f>'Engineering Assumptions'!$F$21*1</f>
        <v>28</v>
      </c>
      <c r="J60" s="12">
        <f>'Fleet Pricing'!L60</f>
        <v>498000</v>
      </c>
      <c r="K60" s="12">
        <f>'Maintenance &amp; Repair'!J60+'Maintenance &amp; Repair'!K60</f>
        <v>67800</v>
      </c>
      <c r="L60" s="159">
        <f>IFERROR(K60/J60,0)</f>
        <v>0.13614457831325302</v>
      </c>
      <c r="M60" s="9">
        <f>MAX(0,'Engineering Assumptions'!$G$21-G60)</f>
        <v>1</v>
      </c>
      <c r="N60" s="160" t="str">
        <f>IF(G60&gt;=20,"REPLACE",IF(L60&gt;0.6,"REPLACE",IF(G60&gt;=15,"REPLACE",IF(OR(G60&gt;=11,L60&gt;0.4),"MONITOR","KEEP"))))</f>
        <v>KEEP</v>
      </c>
      <c r="O60" s="161" t="str">
        <f>IF(G60&gt;=20,"End of life (age &gt; 20)",IF(L60&gt;0.6,"Repairs exceed 60% of revenue",IF(G60&gt;=15,"Age 15+ → replace",IF(OR(G60&gt;=11,L60&gt;0.4),"Watch costs; plan replacement","Healthy — continue operating"))))</f>
        <v>Healthy — continue operating</v>
      </c>
      <c r="P60" s="161" t="str">
        <f>'Engineering Assumptions'!H21</f>
        <v>FIORI DB350 new ~Rs. 26–30M, niche machine</v>
      </c>
    </row>
    <row r="61" spans="1:16" ht="15" customHeight="1" x14ac:dyDescent="0.3">
      <c r="A61" s="199" t="s">
        <v>170</v>
      </c>
      <c r="B61" s="200"/>
      <c r="C61" s="200"/>
      <c r="D61" s="200"/>
      <c r="E61" s="200"/>
      <c r="F61" s="200"/>
      <c r="G61" s="200"/>
      <c r="H61" s="200"/>
      <c r="I61" s="200"/>
      <c r="J61" s="200"/>
      <c r="K61" s="200"/>
      <c r="L61" s="200"/>
      <c r="M61" s="200"/>
      <c r="N61" s="200"/>
      <c r="O61" s="200"/>
      <c r="P61" s="200"/>
    </row>
    <row r="62" spans="1:16" ht="15" customHeight="1" x14ac:dyDescent="0.3">
      <c r="A62" s="9">
        <v>53</v>
      </c>
      <c r="B62" s="157" t="s">
        <v>171</v>
      </c>
      <c r="C62" s="157" t="s">
        <v>172</v>
      </c>
      <c r="D62" s="157" t="s">
        <v>173</v>
      </c>
      <c r="E62" s="157"/>
      <c r="F62" s="48" t="s">
        <v>23</v>
      </c>
      <c r="G62" s="9">
        <v>5</v>
      </c>
      <c r="H62" s="158">
        <f>'Engineering Assumptions'!$F$22*0.5*1</f>
        <v>11</v>
      </c>
      <c r="I62" s="158">
        <f>'Engineering Assumptions'!$F$22*1</f>
        <v>22</v>
      </c>
      <c r="J62" s="12">
        <f>'Fleet Pricing'!L62</f>
        <v>469000</v>
      </c>
      <c r="K62" s="12">
        <f>'Maintenance &amp; Repair'!J62+'Maintenance &amp; Repair'!K62</f>
        <v>38760</v>
      </c>
      <c r="L62" s="159">
        <f t="shared" ref="L62:L80" si="9">IFERROR(K62/J62,0)</f>
        <v>8.2643923240938166E-2</v>
      </c>
      <c r="M62" s="9">
        <f>MAX(0,'Engineering Assumptions'!$G$22-G62)</f>
        <v>10</v>
      </c>
      <c r="N62" s="160" t="str">
        <f t="shared" ref="N62:N80" si="10">IF(G62&gt;=20,"REPLACE",IF(L62&gt;0.6,"REPLACE",IF(G62&gt;=15,"REPLACE",IF(OR(G62&gt;=11,L62&gt;0.4),"MONITOR","KEEP"))))</f>
        <v>KEEP</v>
      </c>
      <c r="O62" s="161" t="str">
        <f t="shared" ref="O62:O80" si="11">IF(G62&gt;=20,"End of life (age &gt; 20)",IF(L62&gt;0.6,"Repairs exceed 60% of revenue",IF(G62&gt;=15,"Age 15+ → replace",IF(OR(G62&gt;=11,L62&gt;0.4),"Watch costs; plan replacement","Healthy — continue operating"))))</f>
        <v>Healthy — continue operating</v>
      </c>
      <c r="P62" s="161" t="str">
        <f>'Engineering Assumptions'!H22</f>
        <v>HAMM 311D / SAKAI SW-900 ~Rs. 20–28M</v>
      </c>
    </row>
    <row r="63" spans="1:16" ht="15" customHeight="1" x14ac:dyDescent="0.3">
      <c r="A63" s="9">
        <v>54</v>
      </c>
      <c r="B63" s="157" t="s">
        <v>171</v>
      </c>
      <c r="C63" s="157" t="s">
        <v>174</v>
      </c>
      <c r="D63" s="157" t="s">
        <v>175</v>
      </c>
      <c r="E63" s="157"/>
      <c r="F63" s="48" t="s">
        <v>23</v>
      </c>
      <c r="G63" s="9">
        <v>5</v>
      </c>
      <c r="H63" s="158">
        <f>'Engineering Assumptions'!$F$22*0.5*1</f>
        <v>11</v>
      </c>
      <c r="I63" s="158">
        <f>'Engineering Assumptions'!$F$22*1</f>
        <v>22</v>
      </c>
      <c r="J63" s="12">
        <f>'Fleet Pricing'!L63</f>
        <v>469000</v>
      </c>
      <c r="K63" s="12">
        <f>'Maintenance &amp; Repair'!J63+'Maintenance &amp; Repair'!K63</f>
        <v>38760</v>
      </c>
      <c r="L63" s="159">
        <f t="shared" si="9"/>
        <v>8.2643923240938166E-2</v>
      </c>
      <c r="M63" s="9">
        <f>MAX(0,'Engineering Assumptions'!$G$22-G63)</f>
        <v>10</v>
      </c>
      <c r="N63" s="160" t="str">
        <f t="shared" si="10"/>
        <v>KEEP</v>
      </c>
      <c r="O63" s="161" t="str">
        <f t="shared" si="11"/>
        <v>Healthy — continue operating</v>
      </c>
      <c r="P63" s="161" t="str">
        <f>'Engineering Assumptions'!H22</f>
        <v>HAMM 311D / SAKAI SW-900 ~Rs. 20–28M</v>
      </c>
    </row>
    <row r="64" spans="1:16" ht="15" customHeight="1" x14ac:dyDescent="0.3">
      <c r="A64" s="9">
        <v>55</v>
      </c>
      <c r="B64" s="157" t="s">
        <v>171</v>
      </c>
      <c r="C64" s="157" t="s">
        <v>174</v>
      </c>
      <c r="D64" s="157" t="s">
        <v>176</v>
      </c>
      <c r="E64" s="157"/>
      <c r="F64" s="48" t="s">
        <v>23</v>
      </c>
      <c r="G64" s="9">
        <v>5</v>
      </c>
      <c r="H64" s="158">
        <f>'Engineering Assumptions'!$F$22*0.5*1</f>
        <v>11</v>
      </c>
      <c r="I64" s="158">
        <f>'Engineering Assumptions'!$F$22*1</f>
        <v>22</v>
      </c>
      <c r="J64" s="12">
        <f>'Fleet Pricing'!L64</f>
        <v>469000</v>
      </c>
      <c r="K64" s="12">
        <f>'Maintenance &amp; Repair'!J64+'Maintenance &amp; Repair'!K64</f>
        <v>38760</v>
      </c>
      <c r="L64" s="159">
        <f t="shared" si="9"/>
        <v>8.2643923240938166E-2</v>
      </c>
      <c r="M64" s="9">
        <f>MAX(0,'Engineering Assumptions'!$G$22-G64)</f>
        <v>10</v>
      </c>
      <c r="N64" s="160" t="str">
        <f t="shared" si="10"/>
        <v>KEEP</v>
      </c>
      <c r="O64" s="161" t="str">
        <f t="shared" si="11"/>
        <v>Healthy — continue operating</v>
      </c>
      <c r="P64" s="161" t="str">
        <f>'Engineering Assumptions'!H22</f>
        <v>HAMM 311D / SAKAI SW-900 ~Rs. 20–28M</v>
      </c>
    </row>
    <row r="65" spans="1:16" ht="15" customHeight="1" x14ac:dyDescent="0.3">
      <c r="A65" s="9">
        <v>56</v>
      </c>
      <c r="B65" s="157" t="s">
        <v>171</v>
      </c>
      <c r="C65" s="157" t="s">
        <v>177</v>
      </c>
      <c r="D65" s="157" t="s">
        <v>178</v>
      </c>
      <c r="E65" s="157"/>
      <c r="F65" s="48" t="s">
        <v>116</v>
      </c>
      <c r="G65" s="9">
        <v>9</v>
      </c>
      <c r="H65" s="158">
        <f>'Engineering Assumptions'!$F$22*0.22*1</f>
        <v>4.84</v>
      </c>
      <c r="I65" s="158">
        <f>'Engineering Assumptions'!$F$22*1</f>
        <v>22</v>
      </c>
      <c r="J65" s="12">
        <f>'Fleet Pricing'!L65</f>
        <v>431500</v>
      </c>
      <c r="K65" s="12">
        <f>'Maintenance &amp; Repair'!J65+'Maintenance &amp; Repair'!K65</f>
        <v>62400</v>
      </c>
      <c r="L65" s="159">
        <f t="shared" si="9"/>
        <v>0.14461181923522595</v>
      </c>
      <c r="M65" s="9">
        <f>MAX(0,'Engineering Assumptions'!$G$22-G65)</f>
        <v>6</v>
      </c>
      <c r="N65" s="160" t="str">
        <f t="shared" si="10"/>
        <v>KEEP</v>
      </c>
      <c r="O65" s="161" t="str">
        <f t="shared" si="11"/>
        <v>Healthy — continue operating</v>
      </c>
      <c r="P65" s="161" t="str">
        <f>'Engineering Assumptions'!H22</f>
        <v>HAMM 311D / SAKAI SW-900 ~Rs. 20–28M</v>
      </c>
    </row>
    <row r="66" spans="1:16" ht="15" customHeight="1" x14ac:dyDescent="0.3">
      <c r="A66" s="9">
        <v>57</v>
      </c>
      <c r="B66" s="157" t="s">
        <v>171</v>
      </c>
      <c r="C66" s="157" t="s">
        <v>177</v>
      </c>
      <c r="D66" s="157" t="s">
        <v>179</v>
      </c>
      <c r="E66" s="157"/>
      <c r="F66" s="48" t="s">
        <v>116</v>
      </c>
      <c r="G66" s="9">
        <v>9</v>
      </c>
      <c r="H66" s="158">
        <f>'Engineering Assumptions'!$F$22*0.22*1</f>
        <v>4.84</v>
      </c>
      <c r="I66" s="158">
        <f>'Engineering Assumptions'!$F$22*1</f>
        <v>22</v>
      </c>
      <c r="J66" s="12">
        <f>'Fleet Pricing'!L66</f>
        <v>431500</v>
      </c>
      <c r="K66" s="12">
        <f>'Maintenance &amp; Repair'!J66+'Maintenance &amp; Repair'!K66</f>
        <v>62400</v>
      </c>
      <c r="L66" s="159">
        <f t="shared" si="9"/>
        <v>0.14461181923522595</v>
      </c>
      <c r="M66" s="9">
        <f>MAX(0,'Engineering Assumptions'!$G$22-G66)</f>
        <v>6</v>
      </c>
      <c r="N66" s="160" t="str">
        <f t="shared" si="10"/>
        <v>KEEP</v>
      </c>
      <c r="O66" s="161" t="str">
        <f t="shared" si="11"/>
        <v>Healthy — continue operating</v>
      </c>
      <c r="P66" s="161" t="str">
        <f>'Engineering Assumptions'!H22</f>
        <v>HAMM 311D / SAKAI SW-900 ~Rs. 20–28M</v>
      </c>
    </row>
    <row r="67" spans="1:16" ht="15" customHeight="1" x14ac:dyDescent="0.3">
      <c r="A67" s="9">
        <v>58</v>
      </c>
      <c r="B67" s="157" t="s">
        <v>171</v>
      </c>
      <c r="C67" s="157" t="s">
        <v>180</v>
      </c>
      <c r="D67" s="157" t="s">
        <v>181</v>
      </c>
      <c r="E67" s="157"/>
      <c r="F67" s="48" t="s">
        <v>49</v>
      </c>
      <c r="G67" s="9">
        <v>10</v>
      </c>
      <c r="H67" s="158">
        <f>'Engineering Assumptions'!$F$22*0.22*1</f>
        <v>4.84</v>
      </c>
      <c r="I67" s="158">
        <f>'Engineering Assumptions'!$F$22*1</f>
        <v>22</v>
      </c>
      <c r="J67" s="12">
        <f>'Fleet Pricing'!L67</f>
        <v>431500</v>
      </c>
      <c r="K67" s="12">
        <f>'Maintenance &amp; Repair'!J67+'Maintenance &amp; Repair'!K67</f>
        <v>62400</v>
      </c>
      <c r="L67" s="159">
        <f t="shared" si="9"/>
        <v>0.14461181923522595</v>
      </c>
      <c r="M67" s="9">
        <f>MAX(0,'Engineering Assumptions'!$G$22-G67)</f>
        <v>5</v>
      </c>
      <c r="N67" s="160" t="str">
        <f t="shared" si="10"/>
        <v>KEEP</v>
      </c>
      <c r="O67" s="161" t="str">
        <f t="shared" si="11"/>
        <v>Healthy — continue operating</v>
      </c>
      <c r="P67" s="161" t="str">
        <f>'Engineering Assumptions'!H22</f>
        <v>HAMM 311D / SAKAI SW-900 ~Rs. 20–28M</v>
      </c>
    </row>
    <row r="68" spans="1:16" ht="15" customHeight="1" x14ac:dyDescent="0.3">
      <c r="A68" s="9">
        <v>59</v>
      </c>
      <c r="B68" s="157" t="s">
        <v>171</v>
      </c>
      <c r="C68" s="157" t="s">
        <v>182</v>
      </c>
      <c r="D68" s="157" t="s">
        <v>183</v>
      </c>
      <c r="E68" s="157"/>
      <c r="F68" s="48" t="s">
        <v>94</v>
      </c>
      <c r="G68" s="9">
        <v>12</v>
      </c>
      <c r="H68" s="158">
        <f>'Engineering Assumptions'!$F$22*0.22*1</f>
        <v>4.84</v>
      </c>
      <c r="I68" s="158">
        <f>'Engineering Assumptions'!$F$22*1</f>
        <v>22</v>
      </c>
      <c r="J68" s="12">
        <f>'Fleet Pricing'!L68</f>
        <v>384500</v>
      </c>
      <c r="K68" s="12">
        <f>'Maintenance &amp; Repair'!J68+'Maintenance &amp; Repair'!K68</f>
        <v>93000</v>
      </c>
      <c r="L68" s="159">
        <f t="shared" si="9"/>
        <v>0.24187256176853056</v>
      </c>
      <c r="M68" s="9">
        <f>MAX(0,'Engineering Assumptions'!$G$22-G68)</f>
        <v>3</v>
      </c>
      <c r="N68" s="160" t="str">
        <f t="shared" si="10"/>
        <v>MONITOR</v>
      </c>
      <c r="O68" s="161" t="str">
        <f t="shared" si="11"/>
        <v>Watch costs; plan replacement</v>
      </c>
      <c r="P68" s="161" t="str">
        <f>'Engineering Assumptions'!H22</f>
        <v>HAMM 311D / SAKAI SW-900 ~Rs. 20–28M</v>
      </c>
    </row>
    <row r="69" spans="1:16" ht="15" customHeight="1" x14ac:dyDescent="0.3">
      <c r="A69" s="9">
        <v>60</v>
      </c>
      <c r="B69" s="157" t="s">
        <v>171</v>
      </c>
      <c r="C69" s="157" t="s">
        <v>184</v>
      </c>
      <c r="D69" s="157" t="s">
        <v>185</v>
      </c>
      <c r="E69" s="157"/>
      <c r="F69" s="48" t="s">
        <v>94</v>
      </c>
      <c r="G69" s="9">
        <v>12</v>
      </c>
      <c r="H69" s="158">
        <f>'Engineering Assumptions'!$F$22*0.22*1</f>
        <v>4.84</v>
      </c>
      <c r="I69" s="158">
        <f>'Engineering Assumptions'!$F$22*1</f>
        <v>22</v>
      </c>
      <c r="J69" s="12">
        <f>'Fleet Pricing'!L69</f>
        <v>384500</v>
      </c>
      <c r="K69" s="12">
        <f>'Maintenance &amp; Repair'!J69+'Maintenance &amp; Repair'!K69</f>
        <v>93000</v>
      </c>
      <c r="L69" s="159">
        <f t="shared" si="9"/>
        <v>0.24187256176853056</v>
      </c>
      <c r="M69" s="9">
        <f>MAX(0,'Engineering Assumptions'!$G$22-G69)</f>
        <v>3</v>
      </c>
      <c r="N69" s="160" t="str">
        <f t="shared" si="10"/>
        <v>MONITOR</v>
      </c>
      <c r="O69" s="161" t="str">
        <f t="shared" si="11"/>
        <v>Watch costs; plan replacement</v>
      </c>
      <c r="P69" s="161" t="str">
        <f>'Engineering Assumptions'!H22</f>
        <v>HAMM 311D / SAKAI SW-900 ~Rs. 20–28M</v>
      </c>
    </row>
    <row r="70" spans="1:16" ht="15" customHeight="1" x14ac:dyDescent="0.3">
      <c r="A70" s="9">
        <v>61</v>
      </c>
      <c r="B70" s="157" t="s">
        <v>171</v>
      </c>
      <c r="C70" s="157" t="s">
        <v>186</v>
      </c>
      <c r="D70" s="157" t="s">
        <v>187</v>
      </c>
      <c r="E70" s="157"/>
      <c r="F70" s="48" t="s">
        <v>99</v>
      </c>
      <c r="G70" s="9">
        <v>13</v>
      </c>
      <c r="H70" s="158">
        <f>'Engineering Assumptions'!$F$22*0.12*1</f>
        <v>2.6399999999999997</v>
      </c>
      <c r="I70" s="158">
        <f>'Engineering Assumptions'!$F$22*1</f>
        <v>22</v>
      </c>
      <c r="J70" s="12">
        <f>'Fleet Pricing'!L70</f>
        <v>384500</v>
      </c>
      <c r="K70" s="12">
        <f>'Maintenance &amp; Repair'!J70+'Maintenance &amp; Repair'!K70</f>
        <v>93000</v>
      </c>
      <c r="L70" s="159">
        <f t="shared" si="9"/>
        <v>0.24187256176853056</v>
      </c>
      <c r="M70" s="9">
        <f>MAX(0,'Engineering Assumptions'!$G$22-G70)</f>
        <v>2</v>
      </c>
      <c r="N70" s="160" t="str">
        <f t="shared" si="10"/>
        <v>MONITOR</v>
      </c>
      <c r="O70" s="161" t="str">
        <f t="shared" si="11"/>
        <v>Watch costs; plan replacement</v>
      </c>
      <c r="P70" s="161" t="str">
        <f>'Engineering Assumptions'!H22</f>
        <v>HAMM 311D / SAKAI SW-900 ~Rs. 20–28M</v>
      </c>
    </row>
    <row r="71" spans="1:16" ht="15" customHeight="1" x14ac:dyDescent="0.3">
      <c r="A71" s="9">
        <v>62</v>
      </c>
      <c r="B71" s="157" t="s">
        <v>171</v>
      </c>
      <c r="C71" s="157" t="s">
        <v>188</v>
      </c>
      <c r="D71" s="157" t="s">
        <v>189</v>
      </c>
      <c r="E71" s="157"/>
      <c r="F71" s="48" t="s">
        <v>66</v>
      </c>
      <c r="G71" s="9">
        <v>14</v>
      </c>
      <c r="H71" s="158">
        <f>'Engineering Assumptions'!$F$22*0.12*1</f>
        <v>2.6399999999999997</v>
      </c>
      <c r="I71" s="158">
        <f>'Engineering Assumptions'!$F$22*1</f>
        <v>22</v>
      </c>
      <c r="J71" s="12">
        <f>'Fleet Pricing'!L71</f>
        <v>384500</v>
      </c>
      <c r="K71" s="12">
        <f>'Maintenance &amp; Repair'!J71+'Maintenance &amp; Repair'!K71</f>
        <v>93000</v>
      </c>
      <c r="L71" s="159">
        <f t="shared" si="9"/>
        <v>0.24187256176853056</v>
      </c>
      <c r="M71" s="9">
        <f>MAX(0,'Engineering Assumptions'!$G$22-G71)</f>
        <v>1</v>
      </c>
      <c r="N71" s="160" t="str">
        <f t="shared" si="10"/>
        <v>MONITOR</v>
      </c>
      <c r="O71" s="161" t="str">
        <f t="shared" si="11"/>
        <v>Watch costs; plan replacement</v>
      </c>
      <c r="P71" s="161" t="str">
        <f>'Engineering Assumptions'!H22</f>
        <v>HAMM 311D / SAKAI SW-900 ~Rs. 20–28M</v>
      </c>
    </row>
    <row r="72" spans="1:16" ht="15" customHeight="1" x14ac:dyDescent="0.3">
      <c r="A72" s="9">
        <v>63</v>
      </c>
      <c r="B72" s="157" t="s">
        <v>171</v>
      </c>
      <c r="C72" s="157" t="s">
        <v>188</v>
      </c>
      <c r="D72" s="157" t="s">
        <v>190</v>
      </c>
      <c r="E72" s="157"/>
      <c r="F72" s="48" t="s">
        <v>66</v>
      </c>
      <c r="G72" s="9">
        <v>14</v>
      </c>
      <c r="H72" s="158">
        <f>'Engineering Assumptions'!$F$22*0.12*1</f>
        <v>2.6399999999999997</v>
      </c>
      <c r="I72" s="158">
        <f>'Engineering Assumptions'!$F$22*1</f>
        <v>22</v>
      </c>
      <c r="J72" s="12">
        <f>'Fleet Pricing'!L72</f>
        <v>384500</v>
      </c>
      <c r="K72" s="12">
        <f>'Maintenance &amp; Repair'!J72+'Maintenance &amp; Repair'!K72</f>
        <v>93000</v>
      </c>
      <c r="L72" s="159">
        <f t="shared" si="9"/>
        <v>0.24187256176853056</v>
      </c>
      <c r="M72" s="9">
        <f>MAX(0,'Engineering Assumptions'!$G$22-G72)</f>
        <v>1</v>
      </c>
      <c r="N72" s="160" t="str">
        <f t="shared" si="10"/>
        <v>MONITOR</v>
      </c>
      <c r="O72" s="161" t="str">
        <f t="shared" si="11"/>
        <v>Watch costs; plan replacement</v>
      </c>
      <c r="P72" s="161" t="str">
        <f>'Engineering Assumptions'!H22</f>
        <v>HAMM 311D / SAKAI SW-900 ~Rs. 20–28M</v>
      </c>
    </row>
    <row r="73" spans="1:16" ht="15" customHeight="1" x14ac:dyDescent="0.3">
      <c r="A73" s="9">
        <v>64</v>
      </c>
      <c r="B73" s="157" t="s">
        <v>171</v>
      </c>
      <c r="C73" s="157" t="s">
        <v>191</v>
      </c>
      <c r="D73" s="157" t="s">
        <v>192</v>
      </c>
      <c r="E73" s="157"/>
      <c r="F73" s="48" t="s">
        <v>107</v>
      </c>
      <c r="G73" s="9">
        <v>16</v>
      </c>
      <c r="H73" s="158">
        <f>'Engineering Assumptions'!$F$22*0.12*1</f>
        <v>2.6399999999999997</v>
      </c>
      <c r="I73" s="158">
        <f>'Engineering Assumptions'!$F$22*1</f>
        <v>22</v>
      </c>
      <c r="J73" s="12">
        <f>'Fleet Pricing'!L73</f>
        <v>384500</v>
      </c>
      <c r="K73" s="12">
        <f>'Maintenance &amp; Repair'!J73+'Maintenance &amp; Repair'!K73</f>
        <v>131940</v>
      </c>
      <c r="L73" s="159">
        <f t="shared" si="9"/>
        <v>0.34314694408322499</v>
      </c>
      <c r="M73" s="9">
        <f>MAX(0,'Engineering Assumptions'!$G$22-G73)</f>
        <v>0</v>
      </c>
      <c r="N73" s="160" t="str">
        <f t="shared" si="10"/>
        <v>REPLACE</v>
      </c>
      <c r="O73" s="161" t="str">
        <f t="shared" si="11"/>
        <v>Age 15+ → replace</v>
      </c>
      <c r="P73" s="161" t="str">
        <f>'Engineering Assumptions'!H22</f>
        <v>HAMM 311D / SAKAI SW-900 ~Rs. 20–28M</v>
      </c>
    </row>
    <row r="74" spans="1:16" ht="15" customHeight="1" x14ac:dyDescent="0.3">
      <c r="A74" s="9">
        <v>65</v>
      </c>
      <c r="B74" s="157" t="s">
        <v>171</v>
      </c>
      <c r="C74" s="157" t="s">
        <v>188</v>
      </c>
      <c r="D74" s="157" t="s">
        <v>193</v>
      </c>
      <c r="E74" s="157"/>
      <c r="F74" s="48" t="s">
        <v>110</v>
      </c>
      <c r="G74" s="9">
        <v>17</v>
      </c>
      <c r="H74" s="158">
        <f>'Engineering Assumptions'!$F$22*0.12*1</f>
        <v>2.6399999999999997</v>
      </c>
      <c r="I74" s="158">
        <f>'Engineering Assumptions'!$F$22*1</f>
        <v>22</v>
      </c>
      <c r="J74" s="12">
        <f>'Fleet Pricing'!L74</f>
        <v>337500</v>
      </c>
      <c r="K74" s="12">
        <f>'Maintenance &amp; Repair'!J74+'Maintenance &amp; Repair'!K74</f>
        <v>131940</v>
      </c>
      <c r="L74" s="159">
        <f t="shared" si="9"/>
        <v>0.39093333333333335</v>
      </c>
      <c r="M74" s="9">
        <f>MAX(0,'Engineering Assumptions'!$G$22-G74)</f>
        <v>0</v>
      </c>
      <c r="N74" s="160" t="str">
        <f t="shared" si="10"/>
        <v>REPLACE</v>
      </c>
      <c r="O74" s="161" t="str">
        <f t="shared" si="11"/>
        <v>Age 15+ → replace</v>
      </c>
      <c r="P74" s="161" t="str">
        <f>'Engineering Assumptions'!H22</f>
        <v>HAMM 311D / SAKAI SW-900 ~Rs. 20–28M</v>
      </c>
    </row>
    <row r="75" spans="1:16" ht="15" customHeight="1" x14ac:dyDescent="0.3">
      <c r="A75" s="9">
        <v>66</v>
      </c>
      <c r="B75" s="157" t="s">
        <v>171</v>
      </c>
      <c r="C75" s="157" t="s">
        <v>188</v>
      </c>
      <c r="D75" s="157" t="s">
        <v>194</v>
      </c>
      <c r="E75" s="157"/>
      <c r="F75" s="48" t="s">
        <v>195</v>
      </c>
      <c r="G75" s="9">
        <v>30</v>
      </c>
      <c r="H75" s="158">
        <f>'Engineering Assumptions'!$F$22*0.03*1</f>
        <v>0.65999999999999992</v>
      </c>
      <c r="I75" s="158">
        <f>'Engineering Assumptions'!$F$22*1</f>
        <v>22</v>
      </c>
      <c r="J75" s="12">
        <f>'Fleet Pricing'!L75</f>
        <v>272500</v>
      </c>
      <c r="K75" s="12">
        <f>'Maintenance &amp; Repair'!J75+'Maintenance &amp; Repair'!K75</f>
        <v>177840</v>
      </c>
      <c r="L75" s="159">
        <f t="shared" si="9"/>
        <v>0.65262385321100913</v>
      </c>
      <c r="M75" s="9">
        <f>MAX(0,'Engineering Assumptions'!$G$22-G75)</f>
        <v>0</v>
      </c>
      <c r="N75" s="160" t="str">
        <f t="shared" si="10"/>
        <v>REPLACE</v>
      </c>
      <c r="O75" s="161" t="str">
        <f t="shared" si="11"/>
        <v>End of life (age &gt; 20)</v>
      </c>
      <c r="P75" s="161" t="str">
        <f>'Engineering Assumptions'!H22</f>
        <v>HAMM 311D / SAKAI SW-900 ~Rs. 20–28M</v>
      </c>
    </row>
    <row r="76" spans="1:16" ht="15" customHeight="1" x14ac:dyDescent="0.3">
      <c r="A76" s="9">
        <v>67</v>
      </c>
      <c r="B76" s="157" t="s">
        <v>171</v>
      </c>
      <c r="C76" s="157" t="s">
        <v>196</v>
      </c>
      <c r="D76" s="157" t="s">
        <v>197</v>
      </c>
      <c r="E76" s="157"/>
      <c r="F76" s="48" t="s">
        <v>195</v>
      </c>
      <c r="G76" s="9">
        <v>30</v>
      </c>
      <c r="H76" s="158">
        <f>'Engineering Assumptions'!$F$22*0.03*1</f>
        <v>0.65999999999999992</v>
      </c>
      <c r="I76" s="158">
        <f>'Engineering Assumptions'!$F$22*1</f>
        <v>22</v>
      </c>
      <c r="J76" s="12">
        <f>'Fleet Pricing'!L76</f>
        <v>272500</v>
      </c>
      <c r="K76" s="12">
        <f>'Maintenance &amp; Repair'!J76+'Maintenance &amp; Repair'!K76</f>
        <v>177840</v>
      </c>
      <c r="L76" s="159">
        <f t="shared" si="9"/>
        <v>0.65262385321100913</v>
      </c>
      <c r="M76" s="9">
        <f>MAX(0,'Engineering Assumptions'!$G$22-G76)</f>
        <v>0</v>
      </c>
      <c r="N76" s="160" t="str">
        <f t="shared" si="10"/>
        <v>REPLACE</v>
      </c>
      <c r="O76" s="161" t="str">
        <f t="shared" si="11"/>
        <v>End of life (age &gt; 20)</v>
      </c>
      <c r="P76" s="161" t="str">
        <f>'Engineering Assumptions'!H22</f>
        <v>HAMM 311D / SAKAI SW-900 ~Rs. 20–28M</v>
      </c>
    </row>
    <row r="77" spans="1:16" ht="15" customHeight="1" x14ac:dyDescent="0.3">
      <c r="A77" s="9">
        <v>68</v>
      </c>
      <c r="B77" s="157" t="s">
        <v>171</v>
      </c>
      <c r="C77" s="157" t="s">
        <v>174</v>
      </c>
      <c r="D77" s="157" t="s">
        <v>198</v>
      </c>
      <c r="E77" s="157"/>
      <c r="F77" s="48" t="s">
        <v>195</v>
      </c>
      <c r="G77" s="9">
        <v>30</v>
      </c>
      <c r="H77" s="158">
        <f>'Engineering Assumptions'!$F$22*0.03*1</f>
        <v>0.65999999999999992</v>
      </c>
      <c r="I77" s="158">
        <f>'Engineering Assumptions'!$F$22*1</f>
        <v>22</v>
      </c>
      <c r="J77" s="12">
        <f>'Fleet Pricing'!L77</f>
        <v>272500</v>
      </c>
      <c r="K77" s="12">
        <f>'Maintenance &amp; Repair'!J77+'Maintenance &amp; Repair'!K77</f>
        <v>177840</v>
      </c>
      <c r="L77" s="159">
        <f t="shared" si="9"/>
        <v>0.65262385321100913</v>
      </c>
      <c r="M77" s="9">
        <f>MAX(0,'Engineering Assumptions'!$G$22-G77)</f>
        <v>0</v>
      </c>
      <c r="N77" s="160" t="str">
        <f t="shared" si="10"/>
        <v>REPLACE</v>
      </c>
      <c r="O77" s="161" t="str">
        <f t="shared" si="11"/>
        <v>End of life (age &gt; 20)</v>
      </c>
      <c r="P77" s="161" t="str">
        <f>'Engineering Assumptions'!H22</f>
        <v>HAMM 311D / SAKAI SW-900 ~Rs. 20–28M</v>
      </c>
    </row>
    <row r="78" spans="1:16" ht="15" customHeight="1" x14ac:dyDescent="0.3">
      <c r="A78" s="9">
        <v>69</v>
      </c>
      <c r="B78" s="157" t="s">
        <v>171</v>
      </c>
      <c r="C78" s="157" t="s">
        <v>180</v>
      </c>
      <c r="D78" s="157" t="s">
        <v>199</v>
      </c>
      <c r="E78" s="157"/>
      <c r="F78" s="48" t="s">
        <v>195</v>
      </c>
      <c r="G78" s="9">
        <v>30</v>
      </c>
      <c r="H78" s="158">
        <f>'Engineering Assumptions'!$F$22*0.03*1</f>
        <v>0.65999999999999992</v>
      </c>
      <c r="I78" s="158">
        <f>'Engineering Assumptions'!$F$22*1</f>
        <v>22</v>
      </c>
      <c r="J78" s="12">
        <f>'Fleet Pricing'!L78</f>
        <v>272500</v>
      </c>
      <c r="K78" s="12">
        <f>'Maintenance &amp; Repair'!J78+'Maintenance &amp; Repair'!K78</f>
        <v>177840</v>
      </c>
      <c r="L78" s="159">
        <f t="shared" si="9"/>
        <v>0.65262385321100913</v>
      </c>
      <c r="M78" s="9">
        <f>MAX(0,'Engineering Assumptions'!$G$22-G78)</f>
        <v>0</v>
      </c>
      <c r="N78" s="160" t="str">
        <f t="shared" si="10"/>
        <v>REPLACE</v>
      </c>
      <c r="O78" s="161" t="str">
        <f t="shared" si="11"/>
        <v>End of life (age &gt; 20)</v>
      </c>
      <c r="P78" s="161" t="str">
        <f>'Engineering Assumptions'!H22</f>
        <v>HAMM 311D / SAKAI SW-900 ~Rs. 20–28M</v>
      </c>
    </row>
    <row r="79" spans="1:16" ht="15" customHeight="1" x14ac:dyDescent="0.3">
      <c r="A79" s="9">
        <v>70</v>
      </c>
      <c r="B79" s="157" t="s">
        <v>171</v>
      </c>
      <c r="C79" s="157" t="s">
        <v>200</v>
      </c>
      <c r="D79" s="157" t="s">
        <v>201</v>
      </c>
      <c r="E79" s="157"/>
      <c r="F79" s="48" t="s">
        <v>195</v>
      </c>
      <c r="G79" s="9">
        <v>30</v>
      </c>
      <c r="H79" s="158">
        <f>'Engineering Assumptions'!$F$22*0.03*1</f>
        <v>0.65999999999999992</v>
      </c>
      <c r="I79" s="158">
        <f>'Engineering Assumptions'!$F$22*1</f>
        <v>22</v>
      </c>
      <c r="J79" s="12">
        <f>'Fleet Pricing'!L79</f>
        <v>272500</v>
      </c>
      <c r="K79" s="12">
        <f>'Maintenance &amp; Repair'!J79+'Maintenance &amp; Repair'!K79</f>
        <v>177840</v>
      </c>
      <c r="L79" s="159">
        <f t="shared" si="9"/>
        <v>0.65262385321100913</v>
      </c>
      <c r="M79" s="9">
        <f>MAX(0,'Engineering Assumptions'!$G$22-G79)</f>
        <v>0</v>
      </c>
      <c r="N79" s="160" t="str">
        <f t="shared" si="10"/>
        <v>REPLACE</v>
      </c>
      <c r="O79" s="161" t="str">
        <f t="shared" si="11"/>
        <v>End of life (age &gt; 20)</v>
      </c>
      <c r="P79" s="161" t="str">
        <f>'Engineering Assumptions'!H22</f>
        <v>HAMM 311D / SAKAI SW-900 ~Rs. 20–28M</v>
      </c>
    </row>
    <row r="80" spans="1:16" ht="15" customHeight="1" x14ac:dyDescent="0.3">
      <c r="A80" s="9">
        <v>71</v>
      </c>
      <c r="B80" s="157" t="s">
        <v>171</v>
      </c>
      <c r="C80" s="157" t="s">
        <v>202</v>
      </c>
      <c r="D80" s="157" t="s">
        <v>203</v>
      </c>
      <c r="E80" s="157"/>
      <c r="F80" s="48" t="s">
        <v>195</v>
      </c>
      <c r="G80" s="9">
        <v>30</v>
      </c>
      <c r="H80" s="158">
        <f>'Engineering Assumptions'!$F$22*0.03*1</f>
        <v>0.65999999999999992</v>
      </c>
      <c r="I80" s="158">
        <f>'Engineering Assumptions'!$F$22*1</f>
        <v>22</v>
      </c>
      <c r="J80" s="12">
        <f>'Fleet Pricing'!L80</f>
        <v>272500</v>
      </c>
      <c r="K80" s="12">
        <f>'Maintenance &amp; Repair'!J80+'Maintenance &amp; Repair'!K80</f>
        <v>177840</v>
      </c>
      <c r="L80" s="159">
        <f t="shared" si="9"/>
        <v>0.65262385321100913</v>
      </c>
      <c r="M80" s="9">
        <f>MAX(0,'Engineering Assumptions'!$G$22-G80)</f>
        <v>0</v>
      </c>
      <c r="N80" s="160" t="str">
        <f t="shared" si="10"/>
        <v>REPLACE</v>
      </c>
      <c r="O80" s="161" t="str">
        <f t="shared" si="11"/>
        <v>End of life (age &gt; 20)</v>
      </c>
      <c r="P80" s="161" t="str">
        <f>'Engineering Assumptions'!H22</f>
        <v>HAMM 311D / SAKAI SW-900 ~Rs. 20–28M</v>
      </c>
    </row>
    <row r="81" spans="1:16" ht="15" customHeight="1" x14ac:dyDescent="0.3">
      <c r="A81" s="199" t="s">
        <v>204</v>
      </c>
      <c r="B81" s="200"/>
      <c r="C81" s="200"/>
      <c r="D81" s="200"/>
      <c r="E81" s="200"/>
      <c r="F81" s="200"/>
      <c r="G81" s="200"/>
      <c r="H81" s="200"/>
      <c r="I81" s="200"/>
      <c r="J81" s="200"/>
      <c r="K81" s="200"/>
      <c r="L81" s="200"/>
      <c r="M81" s="200"/>
      <c r="N81" s="200"/>
      <c r="O81" s="200"/>
      <c r="P81" s="200"/>
    </row>
    <row r="82" spans="1:16" ht="15" customHeight="1" x14ac:dyDescent="0.3">
      <c r="A82" s="9">
        <v>72</v>
      </c>
      <c r="B82" s="157" t="s">
        <v>205</v>
      </c>
      <c r="C82" s="157" t="s">
        <v>188</v>
      </c>
      <c r="D82" s="157" t="s">
        <v>206</v>
      </c>
      <c r="E82" s="157"/>
      <c r="F82" s="48" t="s">
        <v>116</v>
      </c>
      <c r="G82" s="9">
        <v>9</v>
      </c>
      <c r="H82" s="158">
        <f>'Engineering Assumptions'!$F$23*0.22*1</f>
        <v>3.08</v>
      </c>
      <c r="I82" s="158">
        <f>'Engineering Assumptions'!$F$23*1</f>
        <v>14</v>
      </c>
      <c r="J82" s="12">
        <f>'Fleet Pricing'!L82</f>
        <v>366000</v>
      </c>
      <c r="K82" s="12">
        <f>'Maintenance &amp; Repair'!J82+'Maintenance &amp; Repair'!K82</f>
        <v>48600</v>
      </c>
      <c r="L82" s="159">
        <f t="shared" ref="L82:L113" si="12">IFERROR(K82/J82,0)</f>
        <v>0.13278688524590163</v>
      </c>
      <c r="M82" s="9">
        <f>MAX(0,'Engineering Assumptions'!$G$23-G82)</f>
        <v>3</v>
      </c>
      <c r="N82" s="160" t="str">
        <f t="shared" ref="N82:N113" si="13">IF(G82&gt;=20,"REPLACE",IF(L82&gt;0.6,"REPLACE",IF(G82&gt;=15,"REPLACE",IF(OR(G82&gt;=11,L82&gt;0.4),"MONITOR","KEEP"))))</f>
        <v>KEEP</v>
      </c>
      <c r="O82" s="161" t="str">
        <f t="shared" ref="O82:O113" si="14">IF(G82&gt;=20,"End of life (age &gt; 20)",IF(L82&gt;0.6,"Repairs exceed 60% of revenue",IF(G82&gt;=15,"Age 15+ → replace",IF(OR(G82&gt;=11,L82&gt;0.4),"Watch costs; plan replacement","Healthy — continue operating"))))</f>
        <v>Healthy — continue operating</v>
      </c>
      <c r="P82" s="161" t="str">
        <f>'Engineering Assumptions'!H23</f>
        <v>BOMAG BW138/Dynapac CC1300 ~Rs. 12–18M</v>
      </c>
    </row>
    <row r="83" spans="1:16" ht="15" customHeight="1" x14ac:dyDescent="0.3">
      <c r="A83" s="9">
        <v>73</v>
      </c>
      <c r="B83" s="157" t="s">
        <v>205</v>
      </c>
      <c r="C83" s="157" t="s">
        <v>207</v>
      </c>
      <c r="D83" s="157" t="s">
        <v>208</v>
      </c>
      <c r="E83" s="157"/>
      <c r="F83" s="48" t="s">
        <v>116</v>
      </c>
      <c r="G83" s="9">
        <v>9</v>
      </c>
      <c r="H83" s="158">
        <f>'Engineering Assumptions'!$F$23*0.22*1</f>
        <v>3.08</v>
      </c>
      <c r="I83" s="158">
        <f>'Engineering Assumptions'!$F$23*1</f>
        <v>14</v>
      </c>
      <c r="J83" s="12">
        <f>'Fleet Pricing'!L83</f>
        <v>366000</v>
      </c>
      <c r="K83" s="12">
        <f>'Maintenance &amp; Repair'!J83+'Maintenance &amp; Repair'!K83</f>
        <v>48600</v>
      </c>
      <c r="L83" s="159">
        <f t="shared" si="12"/>
        <v>0.13278688524590163</v>
      </c>
      <c r="M83" s="9">
        <f>MAX(0,'Engineering Assumptions'!$G$23-G83)</f>
        <v>3</v>
      </c>
      <c r="N83" s="160" t="str">
        <f t="shared" si="13"/>
        <v>KEEP</v>
      </c>
      <c r="O83" s="161" t="str">
        <f t="shared" si="14"/>
        <v>Healthy — continue operating</v>
      </c>
      <c r="P83" s="161" t="str">
        <f>'Engineering Assumptions'!H23</f>
        <v>BOMAG BW138/Dynapac CC1300 ~Rs. 12–18M</v>
      </c>
    </row>
    <row r="84" spans="1:16" ht="15" customHeight="1" x14ac:dyDescent="0.3">
      <c r="A84" s="9">
        <v>74</v>
      </c>
      <c r="B84" s="157" t="s">
        <v>205</v>
      </c>
      <c r="C84" s="157" t="s">
        <v>188</v>
      </c>
      <c r="D84" s="157" t="s">
        <v>209</v>
      </c>
      <c r="E84" s="157"/>
      <c r="F84" s="48" t="s">
        <v>49</v>
      </c>
      <c r="G84" s="9">
        <v>10</v>
      </c>
      <c r="H84" s="158">
        <f>'Engineering Assumptions'!$F$23*0.22*1</f>
        <v>3.08</v>
      </c>
      <c r="I84" s="158">
        <f>'Engineering Assumptions'!$F$23*1</f>
        <v>14</v>
      </c>
      <c r="J84" s="12">
        <f>'Fleet Pricing'!L84</f>
        <v>366000</v>
      </c>
      <c r="K84" s="12">
        <f>'Maintenance &amp; Repair'!J84+'Maintenance &amp; Repair'!K84</f>
        <v>48600</v>
      </c>
      <c r="L84" s="159">
        <f t="shared" si="12"/>
        <v>0.13278688524590163</v>
      </c>
      <c r="M84" s="9">
        <f>MAX(0,'Engineering Assumptions'!$G$23-G84)</f>
        <v>2</v>
      </c>
      <c r="N84" s="160" t="str">
        <f t="shared" si="13"/>
        <v>KEEP</v>
      </c>
      <c r="O84" s="161" t="str">
        <f t="shared" si="14"/>
        <v>Healthy — continue operating</v>
      </c>
      <c r="P84" s="161" t="str">
        <f>'Engineering Assumptions'!H23</f>
        <v>BOMAG BW138/Dynapac CC1300 ~Rs. 12–18M</v>
      </c>
    </row>
    <row r="85" spans="1:16" ht="15" customHeight="1" x14ac:dyDescent="0.3">
      <c r="A85" s="9">
        <v>75</v>
      </c>
      <c r="B85" s="157" t="s">
        <v>205</v>
      </c>
      <c r="C85" s="157" t="s">
        <v>210</v>
      </c>
      <c r="D85" s="157" t="s">
        <v>211</v>
      </c>
      <c r="E85" s="157"/>
      <c r="F85" s="48" t="s">
        <v>49</v>
      </c>
      <c r="G85" s="9">
        <v>10</v>
      </c>
      <c r="H85" s="158">
        <f>'Engineering Assumptions'!$F$23*0.22*1</f>
        <v>3.08</v>
      </c>
      <c r="I85" s="158">
        <f>'Engineering Assumptions'!$F$23*1</f>
        <v>14</v>
      </c>
      <c r="J85" s="12">
        <f>'Fleet Pricing'!L85</f>
        <v>366000</v>
      </c>
      <c r="K85" s="12">
        <f>'Maintenance &amp; Repair'!J85+'Maintenance &amp; Repair'!K85</f>
        <v>48600</v>
      </c>
      <c r="L85" s="159">
        <f t="shared" si="12"/>
        <v>0.13278688524590163</v>
      </c>
      <c r="M85" s="9">
        <f>MAX(0,'Engineering Assumptions'!$G$23-G85)</f>
        <v>2</v>
      </c>
      <c r="N85" s="160" t="str">
        <f t="shared" si="13"/>
        <v>KEEP</v>
      </c>
      <c r="O85" s="161" t="str">
        <f t="shared" si="14"/>
        <v>Healthy — continue operating</v>
      </c>
      <c r="P85" s="161" t="str">
        <f>'Engineering Assumptions'!H23</f>
        <v>BOMAG BW138/Dynapac CC1300 ~Rs. 12–18M</v>
      </c>
    </row>
    <row r="86" spans="1:16" ht="15" customHeight="1" x14ac:dyDescent="0.3">
      <c r="A86" s="9">
        <v>76</v>
      </c>
      <c r="B86" s="157" t="s">
        <v>205</v>
      </c>
      <c r="C86" s="157" t="s">
        <v>212</v>
      </c>
      <c r="D86" s="157" t="s">
        <v>213</v>
      </c>
      <c r="E86" s="157"/>
      <c r="F86" s="48" t="s">
        <v>49</v>
      </c>
      <c r="G86" s="9">
        <v>10</v>
      </c>
      <c r="H86" s="158">
        <f>'Engineering Assumptions'!$F$23*0.22*1</f>
        <v>3.08</v>
      </c>
      <c r="I86" s="158">
        <f>'Engineering Assumptions'!$F$23*1</f>
        <v>14</v>
      </c>
      <c r="J86" s="12">
        <f>'Fleet Pricing'!L86</f>
        <v>366000</v>
      </c>
      <c r="K86" s="12">
        <f>'Maintenance &amp; Repair'!J86+'Maintenance &amp; Repair'!K86</f>
        <v>48600</v>
      </c>
      <c r="L86" s="159">
        <f t="shared" si="12"/>
        <v>0.13278688524590163</v>
      </c>
      <c r="M86" s="9">
        <f>MAX(0,'Engineering Assumptions'!$G$23-G86)</f>
        <v>2</v>
      </c>
      <c r="N86" s="160" t="str">
        <f t="shared" si="13"/>
        <v>KEEP</v>
      </c>
      <c r="O86" s="161" t="str">
        <f t="shared" si="14"/>
        <v>Healthy — continue operating</v>
      </c>
      <c r="P86" s="161" t="str">
        <f>'Engineering Assumptions'!H23</f>
        <v>BOMAG BW138/Dynapac CC1300 ~Rs. 12–18M</v>
      </c>
    </row>
    <row r="87" spans="1:16" ht="15" customHeight="1" x14ac:dyDescent="0.3">
      <c r="A87" s="9">
        <v>77</v>
      </c>
      <c r="B87" s="157" t="s">
        <v>205</v>
      </c>
      <c r="C87" s="157" t="s">
        <v>214</v>
      </c>
      <c r="D87" s="157" t="s">
        <v>215</v>
      </c>
      <c r="E87" s="157"/>
      <c r="F87" s="48" t="s">
        <v>49</v>
      </c>
      <c r="G87" s="9">
        <v>10</v>
      </c>
      <c r="H87" s="158">
        <f>'Engineering Assumptions'!$F$23*0.22*1</f>
        <v>3.08</v>
      </c>
      <c r="I87" s="158">
        <f>'Engineering Assumptions'!$F$23*1</f>
        <v>14</v>
      </c>
      <c r="J87" s="12">
        <f>'Fleet Pricing'!L87</f>
        <v>366000</v>
      </c>
      <c r="K87" s="12">
        <f>'Maintenance &amp; Repair'!J87+'Maintenance &amp; Repair'!K87</f>
        <v>48600</v>
      </c>
      <c r="L87" s="159">
        <f t="shared" si="12"/>
        <v>0.13278688524590163</v>
      </c>
      <c r="M87" s="9">
        <f>MAX(0,'Engineering Assumptions'!$G$23-G87)</f>
        <v>2</v>
      </c>
      <c r="N87" s="160" t="str">
        <f t="shared" si="13"/>
        <v>KEEP</v>
      </c>
      <c r="O87" s="161" t="str">
        <f t="shared" si="14"/>
        <v>Healthy — continue operating</v>
      </c>
      <c r="P87" s="161" t="str">
        <f>'Engineering Assumptions'!H23</f>
        <v>BOMAG BW138/Dynapac CC1300 ~Rs. 12–18M</v>
      </c>
    </row>
    <row r="88" spans="1:16" ht="15" customHeight="1" x14ac:dyDescent="0.3">
      <c r="A88" s="9">
        <v>78</v>
      </c>
      <c r="B88" s="157" t="s">
        <v>205</v>
      </c>
      <c r="C88" s="157" t="s">
        <v>216</v>
      </c>
      <c r="D88" s="157" t="s">
        <v>217</v>
      </c>
      <c r="E88" s="157"/>
      <c r="F88" s="48" t="s">
        <v>49</v>
      </c>
      <c r="G88" s="9">
        <v>10</v>
      </c>
      <c r="H88" s="158">
        <f>'Engineering Assumptions'!$F$23*0.22*1</f>
        <v>3.08</v>
      </c>
      <c r="I88" s="158">
        <f>'Engineering Assumptions'!$F$23*1</f>
        <v>14</v>
      </c>
      <c r="J88" s="12">
        <f>'Fleet Pricing'!L88</f>
        <v>366000</v>
      </c>
      <c r="K88" s="12">
        <f>'Maintenance &amp; Repair'!J88+'Maintenance &amp; Repair'!K88</f>
        <v>48600</v>
      </c>
      <c r="L88" s="159">
        <f t="shared" si="12"/>
        <v>0.13278688524590163</v>
      </c>
      <c r="M88" s="9">
        <f>MAX(0,'Engineering Assumptions'!$G$23-G88)</f>
        <v>2</v>
      </c>
      <c r="N88" s="160" t="str">
        <f t="shared" si="13"/>
        <v>KEEP</v>
      </c>
      <c r="O88" s="161" t="str">
        <f t="shared" si="14"/>
        <v>Healthy — continue operating</v>
      </c>
      <c r="P88" s="161" t="str">
        <f>'Engineering Assumptions'!H23</f>
        <v>BOMAG BW138/Dynapac CC1300 ~Rs. 12–18M</v>
      </c>
    </row>
    <row r="89" spans="1:16" ht="15" customHeight="1" x14ac:dyDescent="0.3">
      <c r="A89" s="9">
        <v>79</v>
      </c>
      <c r="B89" s="157" t="s">
        <v>205</v>
      </c>
      <c r="C89" s="157" t="s">
        <v>218</v>
      </c>
      <c r="D89" s="157" t="s">
        <v>219</v>
      </c>
      <c r="E89" s="157"/>
      <c r="F89" s="48" t="s">
        <v>49</v>
      </c>
      <c r="G89" s="9">
        <v>10</v>
      </c>
      <c r="H89" s="158">
        <f>'Engineering Assumptions'!$F$23*0.22*1</f>
        <v>3.08</v>
      </c>
      <c r="I89" s="158">
        <f>'Engineering Assumptions'!$F$23*1</f>
        <v>14</v>
      </c>
      <c r="J89" s="12">
        <f>'Fleet Pricing'!L89</f>
        <v>366000</v>
      </c>
      <c r="K89" s="12">
        <f>'Maintenance &amp; Repair'!J89+'Maintenance &amp; Repair'!K89</f>
        <v>48600</v>
      </c>
      <c r="L89" s="159">
        <f t="shared" si="12"/>
        <v>0.13278688524590163</v>
      </c>
      <c r="M89" s="9">
        <f>MAX(0,'Engineering Assumptions'!$G$23-G89)</f>
        <v>2</v>
      </c>
      <c r="N89" s="160" t="str">
        <f t="shared" si="13"/>
        <v>KEEP</v>
      </c>
      <c r="O89" s="161" t="str">
        <f t="shared" si="14"/>
        <v>Healthy — continue operating</v>
      </c>
      <c r="P89" s="161" t="str">
        <f>'Engineering Assumptions'!H23</f>
        <v>BOMAG BW138/Dynapac CC1300 ~Rs. 12–18M</v>
      </c>
    </row>
    <row r="90" spans="1:16" ht="15" customHeight="1" x14ac:dyDescent="0.3">
      <c r="A90" s="9">
        <v>80</v>
      </c>
      <c r="B90" s="157" t="s">
        <v>205</v>
      </c>
      <c r="C90" s="157" t="s">
        <v>218</v>
      </c>
      <c r="D90" s="157" t="s">
        <v>220</v>
      </c>
      <c r="E90" s="157"/>
      <c r="F90" s="48" t="s">
        <v>49</v>
      </c>
      <c r="G90" s="9">
        <v>10</v>
      </c>
      <c r="H90" s="158">
        <f>'Engineering Assumptions'!$F$23*0.22*1</f>
        <v>3.08</v>
      </c>
      <c r="I90" s="158">
        <f>'Engineering Assumptions'!$F$23*1</f>
        <v>14</v>
      </c>
      <c r="J90" s="12">
        <f>'Fleet Pricing'!L90</f>
        <v>366000</v>
      </c>
      <c r="K90" s="12">
        <f>'Maintenance &amp; Repair'!J90+'Maintenance &amp; Repair'!K90</f>
        <v>48600</v>
      </c>
      <c r="L90" s="159">
        <f t="shared" si="12"/>
        <v>0.13278688524590163</v>
      </c>
      <c r="M90" s="9">
        <f>MAX(0,'Engineering Assumptions'!$G$23-G90)</f>
        <v>2</v>
      </c>
      <c r="N90" s="160" t="str">
        <f t="shared" si="13"/>
        <v>KEEP</v>
      </c>
      <c r="O90" s="161" t="str">
        <f t="shared" si="14"/>
        <v>Healthy — continue operating</v>
      </c>
      <c r="P90" s="161" t="str">
        <f>'Engineering Assumptions'!H23</f>
        <v>BOMAG BW138/Dynapac CC1300 ~Rs. 12–18M</v>
      </c>
    </row>
    <row r="91" spans="1:16" ht="15" customHeight="1" x14ac:dyDescent="0.3">
      <c r="A91" s="9">
        <v>81</v>
      </c>
      <c r="B91" s="157" t="s">
        <v>205</v>
      </c>
      <c r="C91" s="157" t="s">
        <v>188</v>
      </c>
      <c r="D91" s="157" t="s">
        <v>221</v>
      </c>
      <c r="E91" s="157"/>
      <c r="F91" s="48" t="s">
        <v>61</v>
      </c>
      <c r="G91" s="9">
        <v>11</v>
      </c>
      <c r="H91" s="158">
        <f>'Engineering Assumptions'!$F$23*0.22*1</f>
        <v>3.08</v>
      </c>
      <c r="I91" s="158">
        <f>'Engineering Assumptions'!$F$23*1</f>
        <v>14</v>
      </c>
      <c r="J91" s="12">
        <f>'Fleet Pricing'!L91</f>
        <v>366000</v>
      </c>
      <c r="K91" s="12">
        <f>'Maintenance &amp; Repair'!J91+'Maintenance &amp; Repair'!K91</f>
        <v>72360</v>
      </c>
      <c r="L91" s="159">
        <f t="shared" si="12"/>
        <v>0.19770491803278689</v>
      </c>
      <c r="M91" s="9">
        <f>MAX(0,'Engineering Assumptions'!$G$23-G91)</f>
        <v>1</v>
      </c>
      <c r="N91" s="160" t="str">
        <f t="shared" si="13"/>
        <v>MONITOR</v>
      </c>
      <c r="O91" s="161" t="str">
        <f t="shared" si="14"/>
        <v>Watch costs; plan replacement</v>
      </c>
      <c r="P91" s="161" t="str">
        <f>'Engineering Assumptions'!H23</f>
        <v>BOMAG BW138/Dynapac CC1300 ~Rs. 12–18M</v>
      </c>
    </row>
    <row r="92" spans="1:16" ht="15" customHeight="1" x14ac:dyDescent="0.3">
      <c r="A92" s="9">
        <v>82</v>
      </c>
      <c r="B92" s="157" t="s">
        <v>205</v>
      </c>
      <c r="C92" s="157" t="s">
        <v>214</v>
      </c>
      <c r="D92" s="157" t="s">
        <v>222</v>
      </c>
      <c r="E92" s="157"/>
      <c r="F92" s="48" t="s">
        <v>61</v>
      </c>
      <c r="G92" s="9">
        <v>11</v>
      </c>
      <c r="H92" s="158">
        <f>'Engineering Assumptions'!$F$23*0.22*1</f>
        <v>3.08</v>
      </c>
      <c r="I92" s="158">
        <f>'Engineering Assumptions'!$F$23*1</f>
        <v>14</v>
      </c>
      <c r="J92" s="12">
        <f>'Fleet Pricing'!L92</f>
        <v>366000</v>
      </c>
      <c r="K92" s="12">
        <f>'Maintenance &amp; Repair'!J92+'Maintenance &amp; Repair'!K92</f>
        <v>72360</v>
      </c>
      <c r="L92" s="159">
        <f t="shared" si="12"/>
        <v>0.19770491803278689</v>
      </c>
      <c r="M92" s="9">
        <f>MAX(0,'Engineering Assumptions'!$G$23-G92)</f>
        <v>1</v>
      </c>
      <c r="N92" s="160" t="str">
        <f t="shared" si="13"/>
        <v>MONITOR</v>
      </c>
      <c r="O92" s="161" t="str">
        <f t="shared" si="14"/>
        <v>Watch costs; plan replacement</v>
      </c>
      <c r="P92" s="161" t="str">
        <f>'Engineering Assumptions'!H23</f>
        <v>BOMAG BW138/Dynapac CC1300 ~Rs. 12–18M</v>
      </c>
    </row>
    <row r="93" spans="1:16" ht="15" customHeight="1" x14ac:dyDescent="0.3">
      <c r="A93" s="9">
        <v>83</v>
      </c>
      <c r="B93" s="157" t="s">
        <v>205</v>
      </c>
      <c r="C93" s="157" t="s">
        <v>216</v>
      </c>
      <c r="D93" s="157" t="s">
        <v>223</v>
      </c>
      <c r="E93" s="157"/>
      <c r="F93" s="48" t="s">
        <v>61</v>
      </c>
      <c r="G93" s="9">
        <v>11</v>
      </c>
      <c r="H93" s="158">
        <f>'Engineering Assumptions'!$F$23*0.22*1</f>
        <v>3.08</v>
      </c>
      <c r="I93" s="158">
        <f>'Engineering Assumptions'!$F$23*1</f>
        <v>14</v>
      </c>
      <c r="J93" s="12">
        <f>'Fleet Pricing'!L93</f>
        <v>366000</v>
      </c>
      <c r="K93" s="12">
        <f>'Maintenance &amp; Repair'!J93+'Maintenance &amp; Repair'!K93</f>
        <v>72360</v>
      </c>
      <c r="L93" s="159">
        <f t="shared" si="12"/>
        <v>0.19770491803278689</v>
      </c>
      <c r="M93" s="9">
        <f>MAX(0,'Engineering Assumptions'!$G$23-G93)</f>
        <v>1</v>
      </c>
      <c r="N93" s="160" t="str">
        <f t="shared" si="13"/>
        <v>MONITOR</v>
      </c>
      <c r="O93" s="161" t="str">
        <f t="shared" si="14"/>
        <v>Watch costs; plan replacement</v>
      </c>
      <c r="P93" s="161" t="str">
        <f>'Engineering Assumptions'!H23</f>
        <v>BOMAG BW138/Dynapac CC1300 ~Rs. 12–18M</v>
      </c>
    </row>
    <row r="94" spans="1:16" ht="15" customHeight="1" x14ac:dyDescent="0.3">
      <c r="A94" s="9">
        <v>84</v>
      </c>
      <c r="B94" s="157" t="s">
        <v>205</v>
      </c>
      <c r="C94" s="157" t="s">
        <v>214</v>
      </c>
      <c r="D94" s="157" t="s">
        <v>224</v>
      </c>
      <c r="E94" s="157"/>
      <c r="F94" s="48" t="s">
        <v>94</v>
      </c>
      <c r="G94" s="9">
        <v>12</v>
      </c>
      <c r="H94" s="158">
        <f>'Engineering Assumptions'!$F$23*0.22*1</f>
        <v>3.08</v>
      </c>
      <c r="I94" s="158">
        <f>'Engineering Assumptions'!$F$23*1</f>
        <v>14</v>
      </c>
      <c r="J94" s="12">
        <f>'Fleet Pricing'!L94</f>
        <v>326500</v>
      </c>
      <c r="K94" s="12">
        <f>'Maintenance &amp; Repair'!J94+'Maintenance &amp; Repair'!K94</f>
        <v>72360</v>
      </c>
      <c r="L94" s="159">
        <f t="shared" si="12"/>
        <v>0.22162327718223584</v>
      </c>
      <c r="M94" s="9">
        <f>MAX(0,'Engineering Assumptions'!$G$23-G94)</f>
        <v>0</v>
      </c>
      <c r="N94" s="160" t="str">
        <f t="shared" si="13"/>
        <v>MONITOR</v>
      </c>
      <c r="O94" s="161" t="str">
        <f t="shared" si="14"/>
        <v>Watch costs; plan replacement</v>
      </c>
      <c r="P94" s="161" t="str">
        <f>'Engineering Assumptions'!H23</f>
        <v>BOMAG BW138/Dynapac CC1300 ~Rs. 12–18M</v>
      </c>
    </row>
    <row r="95" spans="1:16" ht="15" customHeight="1" x14ac:dyDescent="0.3">
      <c r="A95" s="9">
        <v>85</v>
      </c>
      <c r="B95" s="157" t="s">
        <v>205</v>
      </c>
      <c r="C95" s="157" t="s">
        <v>216</v>
      </c>
      <c r="D95" s="157" t="s">
        <v>225</v>
      </c>
      <c r="E95" s="157"/>
      <c r="F95" s="48" t="s">
        <v>94</v>
      </c>
      <c r="G95" s="9">
        <v>12</v>
      </c>
      <c r="H95" s="158">
        <f>'Engineering Assumptions'!$F$23*0.22*1</f>
        <v>3.08</v>
      </c>
      <c r="I95" s="158">
        <f>'Engineering Assumptions'!$F$23*1</f>
        <v>14</v>
      </c>
      <c r="J95" s="12">
        <f>'Fleet Pricing'!L95</f>
        <v>326500</v>
      </c>
      <c r="K95" s="12">
        <f>'Maintenance &amp; Repair'!J95+'Maintenance &amp; Repair'!K95</f>
        <v>72360</v>
      </c>
      <c r="L95" s="159">
        <f t="shared" si="12"/>
        <v>0.22162327718223584</v>
      </c>
      <c r="M95" s="9">
        <f>MAX(0,'Engineering Assumptions'!$G$23-G95)</f>
        <v>0</v>
      </c>
      <c r="N95" s="160" t="str">
        <f t="shared" si="13"/>
        <v>MONITOR</v>
      </c>
      <c r="O95" s="161" t="str">
        <f t="shared" si="14"/>
        <v>Watch costs; plan replacement</v>
      </c>
      <c r="P95" s="161" t="str">
        <f>'Engineering Assumptions'!H23</f>
        <v>BOMAG BW138/Dynapac CC1300 ~Rs. 12–18M</v>
      </c>
    </row>
    <row r="96" spans="1:16" ht="15" customHeight="1" x14ac:dyDescent="0.3">
      <c r="A96" s="9">
        <v>86</v>
      </c>
      <c r="B96" s="157" t="s">
        <v>205</v>
      </c>
      <c r="C96" s="157" t="s">
        <v>188</v>
      </c>
      <c r="D96" s="157" t="s">
        <v>226</v>
      </c>
      <c r="E96" s="157"/>
      <c r="F96" s="48" t="s">
        <v>99</v>
      </c>
      <c r="G96" s="9">
        <v>13</v>
      </c>
      <c r="H96" s="158">
        <f>'Engineering Assumptions'!$F$23*0.12*1</f>
        <v>1.68</v>
      </c>
      <c r="I96" s="158">
        <f>'Engineering Assumptions'!$F$23*1</f>
        <v>14</v>
      </c>
      <c r="J96" s="12">
        <f>'Fleet Pricing'!L96</f>
        <v>326500</v>
      </c>
      <c r="K96" s="12">
        <f>'Maintenance &amp; Repair'!J96+'Maintenance &amp; Repair'!K96</f>
        <v>72360</v>
      </c>
      <c r="L96" s="159">
        <f t="shared" si="12"/>
        <v>0.22162327718223584</v>
      </c>
      <c r="M96" s="9">
        <f>MAX(0,'Engineering Assumptions'!$G$23-G96)</f>
        <v>0</v>
      </c>
      <c r="N96" s="160" t="str">
        <f t="shared" si="13"/>
        <v>MONITOR</v>
      </c>
      <c r="O96" s="161" t="str">
        <f t="shared" si="14"/>
        <v>Watch costs; plan replacement</v>
      </c>
      <c r="P96" s="161" t="str">
        <f>'Engineering Assumptions'!H23</f>
        <v>BOMAG BW138/Dynapac CC1300 ~Rs. 12–18M</v>
      </c>
    </row>
    <row r="97" spans="1:16" ht="15" customHeight="1" x14ac:dyDescent="0.3">
      <c r="A97" s="9">
        <v>87</v>
      </c>
      <c r="B97" s="157" t="s">
        <v>205</v>
      </c>
      <c r="C97" s="157" t="s">
        <v>227</v>
      </c>
      <c r="D97" s="157" t="s">
        <v>228</v>
      </c>
      <c r="E97" s="157"/>
      <c r="F97" s="48" t="s">
        <v>99</v>
      </c>
      <c r="G97" s="9">
        <v>13</v>
      </c>
      <c r="H97" s="158">
        <f>'Engineering Assumptions'!$F$23*0.12*1</f>
        <v>1.68</v>
      </c>
      <c r="I97" s="158">
        <f>'Engineering Assumptions'!$F$23*1</f>
        <v>14</v>
      </c>
      <c r="J97" s="12">
        <f>'Fleet Pricing'!L97</f>
        <v>326500</v>
      </c>
      <c r="K97" s="12">
        <f>'Maintenance &amp; Repair'!J97+'Maintenance &amp; Repair'!K97</f>
        <v>72360</v>
      </c>
      <c r="L97" s="159">
        <f t="shared" si="12"/>
        <v>0.22162327718223584</v>
      </c>
      <c r="M97" s="9">
        <f>MAX(0,'Engineering Assumptions'!$G$23-G97)</f>
        <v>0</v>
      </c>
      <c r="N97" s="160" t="str">
        <f t="shared" si="13"/>
        <v>MONITOR</v>
      </c>
      <c r="O97" s="161" t="str">
        <f t="shared" si="14"/>
        <v>Watch costs; plan replacement</v>
      </c>
      <c r="P97" s="161" t="str">
        <f>'Engineering Assumptions'!H23</f>
        <v>BOMAG BW138/Dynapac CC1300 ~Rs. 12–18M</v>
      </c>
    </row>
    <row r="98" spans="1:16" ht="15" customHeight="1" x14ac:dyDescent="0.3">
      <c r="A98" s="9">
        <v>88</v>
      </c>
      <c r="B98" s="157" t="s">
        <v>205</v>
      </c>
      <c r="C98" s="157" t="s">
        <v>229</v>
      </c>
      <c r="D98" s="157" t="s">
        <v>230</v>
      </c>
      <c r="E98" s="157"/>
      <c r="F98" s="48" t="s">
        <v>99</v>
      </c>
      <c r="G98" s="9">
        <v>13</v>
      </c>
      <c r="H98" s="158">
        <f>'Engineering Assumptions'!$F$23*0.12*1</f>
        <v>1.68</v>
      </c>
      <c r="I98" s="158">
        <f>'Engineering Assumptions'!$F$23*1</f>
        <v>14</v>
      </c>
      <c r="J98" s="12">
        <f>'Fleet Pricing'!L98</f>
        <v>326500</v>
      </c>
      <c r="K98" s="12">
        <f>'Maintenance &amp; Repair'!J98+'Maintenance &amp; Repair'!K98</f>
        <v>72360</v>
      </c>
      <c r="L98" s="159">
        <f t="shared" si="12"/>
        <v>0.22162327718223584</v>
      </c>
      <c r="M98" s="9">
        <f>MAX(0,'Engineering Assumptions'!$G$23-G98)</f>
        <v>0</v>
      </c>
      <c r="N98" s="160" t="str">
        <f t="shared" si="13"/>
        <v>MONITOR</v>
      </c>
      <c r="O98" s="161" t="str">
        <f t="shared" si="14"/>
        <v>Watch costs; plan replacement</v>
      </c>
      <c r="P98" s="161" t="str">
        <f>'Engineering Assumptions'!H23</f>
        <v>BOMAG BW138/Dynapac CC1300 ~Rs. 12–18M</v>
      </c>
    </row>
    <row r="99" spans="1:16" ht="15" customHeight="1" x14ac:dyDescent="0.3">
      <c r="A99" s="9">
        <v>89</v>
      </c>
      <c r="B99" s="157" t="s">
        <v>205</v>
      </c>
      <c r="C99" s="157" t="s">
        <v>229</v>
      </c>
      <c r="D99" s="157" t="s">
        <v>231</v>
      </c>
      <c r="E99" s="157"/>
      <c r="F99" s="48" t="s">
        <v>99</v>
      </c>
      <c r="G99" s="9">
        <v>13</v>
      </c>
      <c r="H99" s="158">
        <f>'Engineering Assumptions'!$F$23*0.12*1</f>
        <v>1.68</v>
      </c>
      <c r="I99" s="158">
        <f>'Engineering Assumptions'!$F$23*1</f>
        <v>14</v>
      </c>
      <c r="J99" s="12">
        <f>'Fleet Pricing'!L99</f>
        <v>326500</v>
      </c>
      <c r="K99" s="12">
        <f>'Maintenance &amp; Repair'!J99+'Maintenance &amp; Repair'!K99</f>
        <v>72360</v>
      </c>
      <c r="L99" s="159">
        <f t="shared" si="12"/>
        <v>0.22162327718223584</v>
      </c>
      <c r="M99" s="9">
        <f>MAX(0,'Engineering Assumptions'!$G$23-G99)</f>
        <v>0</v>
      </c>
      <c r="N99" s="160" t="str">
        <f t="shared" si="13"/>
        <v>MONITOR</v>
      </c>
      <c r="O99" s="161" t="str">
        <f t="shared" si="14"/>
        <v>Watch costs; plan replacement</v>
      </c>
      <c r="P99" s="161" t="str">
        <f>'Engineering Assumptions'!H23</f>
        <v>BOMAG BW138/Dynapac CC1300 ~Rs. 12–18M</v>
      </c>
    </row>
    <row r="100" spans="1:16" ht="15" customHeight="1" x14ac:dyDescent="0.3">
      <c r="A100" s="9">
        <v>90</v>
      </c>
      <c r="B100" s="157" t="s">
        <v>205</v>
      </c>
      <c r="C100" s="157" t="s">
        <v>214</v>
      </c>
      <c r="D100" s="157" t="s">
        <v>232</v>
      </c>
      <c r="E100" s="157"/>
      <c r="F100" s="48" t="s">
        <v>99</v>
      </c>
      <c r="G100" s="9">
        <v>13</v>
      </c>
      <c r="H100" s="158">
        <f>'Engineering Assumptions'!$F$23*0.12*1</f>
        <v>1.68</v>
      </c>
      <c r="I100" s="158">
        <f>'Engineering Assumptions'!$F$23*1</f>
        <v>14</v>
      </c>
      <c r="J100" s="12">
        <f>'Fleet Pricing'!L100</f>
        <v>326500</v>
      </c>
      <c r="K100" s="12">
        <f>'Maintenance &amp; Repair'!J100+'Maintenance &amp; Repair'!K100</f>
        <v>72360</v>
      </c>
      <c r="L100" s="159">
        <f t="shared" si="12"/>
        <v>0.22162327718223584</v>
      </c>
      <c r="M100" s="9">
        <f>MAX(0,'Engineering Assumptions'!$G$23-G100)</f>
        <v>0</v>
      </c>
      <c r="N100" s="160" t="str">
        <f t="shared" si="13"/>
        <v>MONITOR</v>
      </c>
      <c r="O100" s="161" t="str">
        <f t="shared" si="14"/>
        <v>Watch costs; plan replacement</v>
      </c>
      <c r="P100" s="161" t="str">
        <f>'Engineering Assumptions'!H23</f>
        <v>BOMAG BW138/Dynapac CC1300 ~Rs. 12–18M</v>
      </c>
    </row>
    <row r="101" spans="1:16" ht="15" customHeight="1" x14ac:dyDescent="0.3">
      <c r="A101" s="9">
        <v>91</v>
      </c>
      <c r="B101" s="157" t="s">
        <v>205</v>
      </c>
      <c r="C101" s="157" t="s">
        <v>214</v>
      </c>
      <c r="D101" s="157" t="s">
        <v>233</v>
      </c>
      <c r="E101" s="157"/>
      <c r="F101" s="48" t="s">
        <v>99</v>
      </c>
      <c r="G101" s="9">
        <v>13</v>
      </c>
      <c r="H101" s="158">
        <f>'Engineering Assumptions'!$F$23*0.12*1</f>
        <v>1.68</v>
      </c>
      <c r="I101" s="158">
        <f>'Engineering Assumptions'!$F$23*1</f>
        <v>14</v>
      </c>
      <c r="J101" s="12">
        <f>'Fleet Pricing'!L101</f>
        <v>326500</v>
      </c>
      <c r="K101" s="12">
        <f>'Maintenance &amp; Repair'!J101+'Maintenance &amp; Repair'!K101</f>
        <v>72360</v>
      </c>
      <c r="L101" s="159">
        <f t="shared" si="12"/>
        <v>0.22162327718223584</v>
      </c>
      <c r="M101" s="9">
        <f>MAX(0,'Engineering Assumptions'!$G$23-G101)</f>
        <v>0</v>
      </c>
      <c r="N101" s="160" t="str">
        <f t="shared" si="13"/>
        <v>MONITOR</v>
      </c>
      <c r="O101" s="161" t="str">
        <f t="shared" si="14"/>
        <v>Watch costs; plan replacement</v>
      </c>
      <c r="P101" s="161" t="str">
        <f>'Engineering Assumptions'!H23</f>
        <v>BOMAG BW138/Dynapac CC1300 ~Rs. 12–18M</v>
      </c>
    </row>
    <row r="102" spans="1:16" ht="15" customHeight="1" x14ac:dyDescent="0.3">
      <c r="A102" s="9">
        <v>92</v>
      </c>
      <c r="B102" s="157" t="s">
        <v>205</v>
      </c>
      <c r="C102" s="157" t="s">
        <v>234</v>
      </c>
      <c r="D102" s="157" t="s">
        <v>235</v>
      </c>
      <c r="E102" s="157"/>
      <c r="F102" s="48" t="s">
        <v>99</v>
      </c>
      <c r="G102" s="9">
        <v>13</v>
      </c>
      <c r="H102" s="158">
        <f>'Engineering Assumptions'!$F$23*0.12*1</f>
        <v>1.68</v>
      </c>
      <c r="I102" s="158">
        <f>'Engineering Assumptions'!$F$23*1</f>
        <v>14</v>
      </c>
      <c r="J102" s="12">
        <f>'Fleet Pricing'!L102</f>
        <v>326500</v>
      </c>
      <c r="K102" s="12">
        <f>'Maintenance &amp; Repair'!J102+'Maintenance &amp; Repair'!K102</f>
        <v>72360</v>
      </c>
      <c r="L102" s="159">
        <f t="shared" si="12"/>
        <v>0.22162327718223584</v>
      </c>
      <c r="M102" s="9">
        <f>MAX(0,'Engineering Assumptions'!$G$23-G102)</f>
        <v>0</v>
      </c>
      <c r="N102" s="160" t="str">
        <f t="shared" si="13"/>
        <v>MONITOR</v>
      </c>
      <c r="O102" s="161" t="str">
        <f t="shared" si="14"/>
        <v>Watch costs; plan replacement</v>
      </c>
      <c r="P102" s="161" t="str">
        <f>'Engineering Assumptions'!H23</f>
        <v>BOMAG BW138/Dynapac CC1300 ~Rs. 12–18M</v>
      </c>
    </row>
    <row r="103" spans="1:16" ht="15" customHeight="1" x14ac:dyDescent="0.3">
      <c r="A103" s="9">
        <v>93</v>
      </c>
      <c r="B103" s="157" t="s">
        <v>205</v>
      </c>
      <c r="C103" s="157" t="s">
        <v>236</v>
      </c>
      <c r="D103" s="157" t="s">
        <v>237</v>
      </c>
      <c r="E103" s="157"/>
      <c r="F103" s="48" t="s">
        <v>99</v>
      </c>
      <c r="G103" s="9">
        <v>13</v>
      </c>
      <c r="H103" s="158">
        <f>'Engineering Assumptions'!$F$23*0.12*1</f>
        <v>1.68</v>
      </c>
      <c r="I103" s="158">
        <f>'Engineering Assumptions'!$F$23*1</f>
        <v>14</v>
      </c>
      <c r="J103" s="12">
        <f>'Fleet Pricing'!L103</f>
        <v>326500</v>
      </c>
      <c r="K103" s="12">
        <f>'Maintenance &amp; Repair'!J103+'Maintenance &amp; Repair'!K103</f>
        <v>72360</v>
      </c>
      <c r="L103" s="159">
        <f t="shared" si="12"/>
        <v>0.22162327718223584</v>
      </c>
      <c r="M103" s="9">
        <f>MAX(0,'Engineering Assumptions'!$G$23-G103)</f>
        <v>0</v>
      </c>
      <c r="N103" s="160" t="str">
        <f t="shared" si="13"/>
        <v>MONITOR</v>
      </c>
      <c r="O103" s="161" t="str">
        <f t="shared" si="14"/>
        <v>Watch costs; plan replacement</v>
      </c>
      <c r="P103" s="161" t="str">
        <f>'Engineering Assumptions'!H23</f>
        <v>BOMAG BW138/Dynapac CC1300 ~Rs. 12–18M</v>
      </c>
    </row>
    <row r="104" spans="1:16" ht="15" customHeight="1" x14ac:dyDescent="0.3">
      <c r="A104" s="9">
        <v>94</v>
      </c>
      <c r="B104" s="157" t="s">
        <v>205</v>
      </c>
      <c r="C104" s="157" t="s">
        <v>238</v>
      </c>
      <c r="D104" s="157" t="s">
        <v>239</v>
      </c>
      <c r="E104" s="157"/>
      <c r="F104" s="48" t="s">
        <v>99</v>
      </c>
      <c r="G104" s="9">
        <v>13</v>
      </c>
      <c r="H104" s="158">
        <f>'Engineering Assumptions'!$F$23*0.12*1</f>
        <v>1.68</v>
      </c>
      <c r="I104" s="158">
        <f>'Engineering Assumptions'!$F$23*1</f>
        <v>14</v>
      </c>
      <c r="J104" s="12">
        <f>'Fleet Pricing'!L104</f>
        <v>326500</v>
      </c>
      <c r="K104" s="12">
        <f>'Maintenance &amp; Repair'!J104+'Maintenance &amp; Repair'!K104</f>
        <v>72360</v>
      </c>
      <c r="L104" s="159">
        <f t="shared" si="12"/>
        <v>0.22162327718223584</v>
      </c>
      <c r="M104" s="9">
        <f>MAX(0,'Engineering Assumptions'!$G$23-G104)</f>
        <v>0</v>
      </c>
      <c r="N104" s="160" t="str">
        <f t="shared" si="13"/>
        <v>MONITOR</v>
      </c>
      <c r="O104" s="161" t="str">
        <f t="shared" si="14"/>
        <v>Watch costs; plan replacement</v>
      </c>
      <c r="P104" s="161" t="str">
        <f>'Engineering Assumptions'!H23</f>
        <v>BOMAG BW138/Dynapac CC1300 ~Rs. 12–18M</v>
      </c>
    </row>
    <row r="105" spans="1:16" ht="15" customHeight="1" x14ac:dyDescent="0.3">
      <c r="A105" s="9">
        <v>95</v>
      </c>
      <c r="B105" s="157" t="s">
        <v>205</v>
      </c>
      <c r="C105" s="157" t="s">
        <v>240</v>
      </c>
      <c r="D105" s="157" t="s">
        <v>241</v>
      </c>
      <c r="E105" s="157"/>
      <c r="F105" s="48" t="s">
        <v>99</v>
      </c>
      <c r="G105" s="9">
        <v>13</v>
      </c>
      <c r="H105" s="158">
        <f>'Engineering Assumptions'!$F$23*0.12*1</f>
        <v>1.68</v>
      </c>
      <c r="I105" s="158">
        <f>'Engineering Assumptions'!$F$23*1</f>
        <v>14</v>
      </c>
      <c r="J105" s="12">
        <f>'Fleet Pricing'!L105</f>
        <v>326500</v>
      </c>
      <c r="K105" s="12">
        <f>'Maintenance &amp; Repair'!J105+'Maintenance &amp; Repair'!K105</f>
        <v>72360</v>
      </c>
      <c r="L105" s="159">
        <f t="shared" si="12"/>
        <v>0.22162327718223584</v>
      </c>
      <c r="M105" s="9">
        <f>MAX(0,'Engineering Assumptions'!$G$23-G105)</f>
        <v>0</v>
      </c>
      <c r="N105" s="160" t="str">
        <f t="shared" si="13"/>
        <v>MONITOR</v>
      </c>
      <c r="O105" s="161" t="str">
        <f t="shared" si="14"/>
        <v>Watch costs; plan replacement</v>
      </c>
      <c r="P105" s="161" t="str">
        <f>'Engineering Assumptions'!H23</f>
        <v>BOMAG BW138/Dynapac CC1300 ~Rs. 12–18M</v>
      </c>
    </row>
    <row r="106" spans="1:16" ht="15" customHeight="1" x14ac:dyDescent="0.3">
      <c r="A106" s="9">
        <v>96</v>
      </c>
      <c r="B106" s="157" t="s">
        <v>205</v>
      </c>
      <c r="C106" s="157" t="s">
        <v>188</v>
      </c>
      <c r="D106" s="157" t="s">
        <v>242</v>
      </c>
      <c r="E106" s="157"/>
      <c r="F106" s="48" t="s">
        <v>66</v>
      </c>
      <c r="G106" s="9">
        <v>14</v>
      </c>
      <c r="H106" s="158">
        <f>'Engineering Assumptions'!$F$23*0.12*1</f>
        <v>1.68</v>
      </c>
      <c r="I106" s="158">
        <f>'Engineering Assumptions'!$F$23*1</f>
        <v>14</v>
      </c>
      <c r="J106" s="12">
        <f>'Fleet Pricing'!L106</f>
        <v>326500</v>
      </c>
      <c r="K106" s="12">
        <f>'Maintenance &amp; Repair'!J106+'Maintenance &amp; Repair'!K106</f>
        <v>72360</v>
      </c>
      <c r="L106" s="159">
        <f t="shared" si="12"/>
        <v>0.22162327718223584</v>
      </c>
      <c r="M106" s="9">
        <f>MAX(0,'Engineering Assumptions'!$G$23-G106)</f>
        <v>0</v>
      </c>
      <c r="N106" s="160" t="str">
        <f t="shared" si="13"/>
        <v>MONITOR</v>
      </c>
      <c r="O106" s="161" t="str">
        <f t="shared" si="14"/>
        <v>Watch costs; plan replacement</v>
      </c>
      <c r="P106" s="161" t="str">
        <f>'Engineering Assumptions'!H23</f>
        <v>BOMAG BW138/Dynapac CC1300 ~Rs. 12–18M</v>
      </c>
    </row>
    <row r="107" spans="1:16" ht="15" customHeight="1" x14ac:dyDescent="0.3">
      <c r="A107" s="9">
        <v>97</v>
      </c>
      <c r="B107" s="157" t="s">
        <v>205</v>
      </c>
      <c r="C107" s="157" t="s">
        <v>188</v>
      </c>
      <c r="D107" s="157" t="s">
        <v>243</v>
      </c>
      <c r="E107" s="157"/>
      <c r="F107" s="48" t="s">
        <v>66</v>
      </c>
      <c r="G107" s="9">
        <v>14</v>
      </c>
      <c r="H107" s="158">
        <f>'Engineering Assumptions'!$F$23*0.12*1</f>
        <v>1.68</v>
      </c>
      <c r="I107" s="158">
        <f>'Engineering Assumptions'!$F$23*1</f>
        <v>14</v>
      </c>
      <c r="J107" s="12">
        <f>'Fleet Pricing'!L107</f>
        <v>326500</v>
      </c>
      <c r="K107" s="12">
        <f>'Maintenance &amp; Repair'!J107+'Maintenance &amp; Repair'!K107</f>
        <v>72360</v>
      </c>
      <c r="L107" s="159">
        <f t="shared" si="12"/>
        <v>0.22162327718223584</v>
      </c>
      <c r="M107" s="9">
        <f>MAX(0,'Engineering Assumptions'!$G$23-G107)</f>
        <v>0</v>
      </c>
      <c r="N107" s="160" t="str">
        <f t="shared" si="13"/>
        <v>MONITOR</v>
      </c>
      <c r="O107" s="161" t="str">
        <f t="shared" si="14"/>
        <v>Watch costs; plan replacement</v>
      </c>
      <c r="P107" s="161" t="str">
        <f>'Engineering Assumptions'!H23</f>
        <v>BOMAG BW138/Dynapac CC1300 ~Rs. 12–18M</v>
      </c>
    </row>
    <row r="108" spans="1:16" ht="15" customHeight="1" x14ac:dyDescent="0.3">
      <c r="A108" s="9">
        <v>98</v>
      </c>
      <c r="B108" s="157" t="s">
        <v>205</v>
      </c>
      <c r="C108" s="157" t="s">
        <v>244</v>
      </c>
      <c r="D108" s="157" t="s">
        <v>245</v>
      </c>
      <c r="E108" s="157"/>
      <c r="F108" s="48" t="s">
        <v>66</v>
      </c>
      <c r="G108" s="9">
        <v>14</v>
      </c>
      <c r="H108" s="158">
        <f>'Engineering Assumptions'!$F$23*0.12*1</f>
        <v>1.68</v>
      </c>
      <c r="I108" s="158">
        <f>'Engineering Assumptions'!$F$23*1</f>
        <v>14</v>
      </c>
      <c r="J108" s="12">
        <f>'Fleet Pricing'!L108</f>
        <v>326500</v>
      </c>
      <c r="K108" s="12">
        <f>'Maintenance &amp; Repair'!J108+'Maintenance &amp; Repair'!K108</f>
        <v>72360</v>
      </c>
      <c r="L108" s="159">
        <f t="shared" si="12"/>
        <v>0.22162327718223584</v>
      </c>
      <c r="M108" s="9">
        <f>MAX(0,'Engineering Assumptions'!$G$23-G108)</f>
        <v>0</v>
      </c>
      <c r="N108" s="160" t="str">
        <f t="shared" si="13"/>
        <v>MONITOR</v>
      </c>
      <c r="O108" s="161" t="str">
        <f t="shared" si="14"/>
        <v>Watch costs; plan replacement</v>
      </c>
      <c r="P108" s="161" t="str">
        <f>'Engineering Assumptions'!H23</f>
        <v>BOMAG BW138/Dynapac CC1300 ~Rs. 12–18M</v>
      </c>
    </row>
    <row r="109" spans="1:16" ht="15" customHeight="1" x14ac:dyDescent="0.3">
      <c r="A109" s="9">
        <v>99</v>
      </c>
      <c r="B109" s="157" t="s">
        <v>205</v>
      </c>
      <c r="C109" s="157" t="s">
        <v>246</v>
      </c>
      <c r="D109" s="157" t="s">
        <v>247</v>
      </c>
      <c r="E109" s="157"/>
      <c r="F109" s="48" t="s">
        <v>66</v>
      </c>
      <c r="G109" s="9">
        <v>14</v>
      </c>
      <c r="H109" s="158">
        <f>'Engineering Assumptions'!$F$23*0.12*1</f>
        <v>1.68</v>
      </c>
      <c r="I109" s="158">
        <f>'Engineering Assumptions'!$F$23*1</f>
        <v>14</v>
      </c>
      <c r="J109" s="12">
        <f>'Fleet Pricing'!L109</f>
        <v>326500</v>
      </c>
      <c r="K109" s="12">
        <f>'Maintenance &amp; Repair'!J109+'Maintenance &amp; Repair'!K109</f>
        <v>72360</v>
      </c>
      <c r="L109" s="159">
        <f t="shared" si="12"/>
        <v>0.22162327718223584</v>
      </c>
      <c r="M109" s="9">
        <f>MAX(0,'Engineering Assumptions'!$G$23-G109)</f>
        <v>0</v>
      </c>
      <c r="N109" s="160" t="str">
        <f t="shared" si="13"/>
        <v>MONITOR</v>
      </c>
      <c r="O109" s="161" t="str">
        <f t="shared" si="14"/>
        <v>Watch costs; plan replacement</v>
      </c>
      <c r="P109" s="161" t="str">
        <f>'Engineering Assumptions'!H23</f>
        <v>BOMAG BW138/Dynapac CC1300 ~Rs. 12–18M</v>
      </c>
    </row>
    <row r="110" spans="1:16" ht="15" customHeight="1" x14ac:dyDescent="0.3">
      <c r="A110" s="9">
        <v>100</v>
      </c>
      <c r="B110" s="157" t="s">
        <v>205</v>
      </c>
      <c r="C110" s="157" t="s">
        <v>188</v>
      </c>
      <c r="D110" s="157" t="s">
        <v>248</v>
      </c>
      <c r="E110" s="157"/>
      <c r="F110" s="48" t="s">
        <v>107</v>
      </c>
      <c r="G110" s="9">
        <v>16</v>
      </c>
      <c r="H110" s="158">
        <f>'Engineering Assumptions'!$F$23*0.12*1</f>
        <v>1.68</v>
      </c>
      <c r="I110" s="158">
        <f>'Engineering Assumptions'!$F$23*1</f>
        <v>14</v>
      </c>
      <c r="J110" s="12">
        <f>'Fleet Pricing'!L110</f>
        <v>326500</v>
      </c>
      <c r="K110" s="12">
        <f>'Maintenance &amp; Repair'!J110+'Maintenance &amp; Repair'!K110</f>
        <v>102600</v>
      </c>
      <c r="L110" s="159">
        <f t="shared" si="12"/>
        <v>0.31424196018376721</v>
      </c>
      <c r="M110" s="9">
        <f>MAX(0,'Engineering Assumptions'!$G$23-G110)</f>
        <v>0</v>
      </c>
      <c r="N110" s="160" t="str">
        <f t="shared" si="13"/>
        <v>REPLACE</v>
      </c>
      <c r="O110" s="161" t="str">
        <f t="shared" si="14"/>
        <v>Age 15+ → replace</v>
      </c>
      <c r="P110" s="161" t="str">
        <f>'Engineering Assumptions'!H23</f>
        <v>BOMAG BW138/Dynapac CC1300 ~Rs. 12–18M</v>
      </c>
    </row>
    <row r="111" spans="1:16" ht="15" customHeight="1" x14ac:dyDescent="0.3">
      <c r="A111" s="9">
        <v>101</v>
      </c>
      <c r="B111" s="157" t="s">
        <v>205</v>
      </c>
      <c r="C111" s="157" t="s">
        <v>188</v>
      </c>
      <c r="D111" s="157" t="s">
        <v>249</v>
      </c>
      <c r="E111" s="157"/>
      <c r="F111" s="48" t="s">
        <v>107</v>
      </c>
      <c r="G111" s="9">
        <v>16</v>
      </c>
      <c r="H111" s="158">
        <f>'Engineering Assumptions'!$F$23*0.12*1</f>
        <v>1.68</v>
      </c>
      <c r="I111" s="158">
        <f>'Engineering Assumptions'!$F$23*1</f>
        <v>14</v>
      </c>
      <c r="J111" s="12">
        <f>'Fleet Pricing'!L111</f>
        <v>326500</v>
      </c>
      <c r="K111" s="12">
        <f>'Maintenance &amp; Repair'!J111+'Maintenance &amp; Repair'!K111</f>
        <v>102600</v>
      </c>
      <c r="L111" s="159">
        <f t="shared" si="12"/>
        <v>0.31424196018376721</v>
      </c>
      <c r="M111" s="9">
        <f>MAX(0,'Engineering Assumptions'!$G$23-G111)</f>
        <v>0</v>
      </c>
      <c r="N111" s="160" t="str">
        <f t="shared" si="13"/>
        <v>REPLACE</v>
      </c>
      <c r="O111" s="161" t="str">
        <f t="shared" si="14"/>
        <v>Age 15+ → replace</v>
      </c>
      <c r="P111" s="161" t="str">
        <f>'Engineering Assumptions'!H23</f>
        <v>BOMAG BW138/Dynapac CC1300 ~Rs. 12–18M</v>
      </c>
    </row>
    <row r="112" spans="1:16" ht="15" customHeight="1" x14ac:dyDescent="0.3">
      <c r="A112" s="9">
        <v>102</v>
      </c>
      <c r="B112" s="157" t="s">
        <v>205</v>
      </c>
      <c r="C112" s="157" t="s">
        <v>188</v>
      </c>
      <c r="D112" s="157" t="s">
        <v>250</v>
      </c>
      <c r="E112" s="157"/>
      <c r="F112" s="48" t="s">
        <v>195</v>
      </c>
      <c r="G112" s="9">
        <v>30</v>
      </c>
      <c r="H112" s="158">
        <f>'Engineering Assumptions'!$F$23*0.03*1</f>
        <v>0.42</v>
      </c>
      <c r="I112" s="158">
        <f>'Engineering Assumptions'!$F$23*1</f>
        <v>14</v>
      </c>
      <c r="J112" s="12">
        <f>'Fleet Pricing'!L112</f>
        <v>230500</v>
      </c>
      <c r="K112" s="12">
        <f>'Maintenance &amp; Repair'!J112+'Maintenance &amp; Repair'!K112</f>
        <v>138240</v>
      </c>
      <c r="L112" s="159">
        <f t="shared" si="12"/>
        <v>0.59973969631236446</v>
      </c>
      <c r="M112" s="9">
        <f>MAX(0,'Engineering Assumptions'!$G$23-G112)</f>
        <v>0</v>
      </c>
      <c r="N112" s="160" t="str">
        <f t="shared" si="13"/>
        <v>REPLACE</v>
      </c>
      <c r="O112" s="161" t="str">
        <f t="shared" si="14"/>
        <v>End of life (age &gt; 20)</v>
      </c>
      <c r="P112" s="161" t="str">
        <f>'Engineering Assumptions'!H23</f>
        <v>BOMAG BW138/Dynapac CC1300 ~Rs. 12–18M</v>
      </c>
    </row>
    <row r="113" spans="1:16" ht="15" customHeight="1" x14ac:dyDescent="0.3">
      <c r="A113" s="9">
        <v>103</v>
      </c>
      <c r="B113" s="157" t="s">
        <v>205</v>
      </c>
      <c r="C113" s="157" t="s">
        <v>188</v>
      </c>
      <c r="D113" s="157" t="s">
        <v>251</v>
      </c>
      <c r="E113" s="157"/>
      <c r="F113" s="48" t="s">
        <v>195</v>
      </c>
      <c r="G113" s="9">
        <v>30</v>
      </c>
      <c r="H113" s="158">
        <f>'Engineering Assumptions'!$F$23*0.03*1</f>
        <v>0.42</v>
      </c>
      <c r="I113" s="158">
        <f>'Engineering Assumptions'!$F$23*1</f>
        <v>14</v>
      </c>
      <c r="J113" s="12">
        <f>'Fleet Pricing'!L113</f>
        <v>230500</v>
      </c>
      <c r="K113" s="12">
        <f>'Maintenance &amp; Repair'!J113+'Maintenance &amp; Repair'!K113</f>
        <v>138240</v>
      </c>
      <c r="L113" s="159">
        <f t="shared" si="12"/>
        <v>0.59973969631236446</v>
      </c>
      <c r="M113" s="9">
        <f>MAX(0,'Engineering Assumptions'!$G$23-G113)</f>
        <v>0</v>
      </c>
      <c r="N113" s="160" t="str">
        <f t="shared" si="13"/>
        <v>REPLACE</v>
      </c>
      <c r="O113" s="161" t="str">
        <f t="shared" si="14"/>
        <v>End of life (age &gt; 20)</v>
      </c>
      <c r="P113" s="161" t="str">
        <f>'Engineering Assumptions'!H23</f>
        <v>BOMAG BW138/Dynapac CC1300 ~Rs. 12–18M</v>
      </c>
    </row>
    <row r="114" spans="1:16" ht="15" customHeight="1" x14ac:dyDescent="0.3">
      <c r="A114" s="9">
        <v>104</v>
      </c>
      <c r="B114" s="157" t="s">
        <v>205</v>
      </c>
      <c r="C114" s="157" t="s">
        <v>188</v>
      </c>
      <c r="D114" s="157" t="s">
        <v>252</v>
      </c>
      <c r="E114" s="157"/>
      <c r="F114" s="48" t="s">
        <v>195</v>
      </c>
      <c r="G114" s="9">
        <v>30</v>
      </c>
      <c r="H114" s="158">
        <f>'Engineering Assumptions'!$F$23*0.03*1</f>
        <v>0.42</v>
      </c>
      <c r="I114" s="158">
        <f>'Engineering Assumptions'!$F$23*1</f>
        <v>14</v>
      </c>
      <c r="J114" s="12">
        <f>'Fleet Pricing'!L114</f>
        <v>230500</v>
      </c>
      <c r="K114" s="12">
        <f>'Maintenance &amp; Repair'!J114+'Maintenance &amp; Repair'!K114</f>
        <v>138240</v>
      </c>
      <c r="L114" s="159">
        <f t="shared" ref="L114:L145" si="15">IFERROR(K114/J114,0)</f>
        <v>0.59973969631236446</v>
      </c>
      <c r="M114" s="9">
        <f>MAX(0,'Engineering Assumptions'!$G$23-G114)</f>
        <v>0</v>
      </c>
      <c r="N114" s="160" t="str">
        <f t="shared" ref="N114:N145" si="16">IF(G114&gt;=20,"REPLACE",IF(L114&gt;0.6,"REPLACE",IF(G114&gt;=15,"REPLACE",IF(OR(G114&gt;=11,L114&gt;0.4),"MONITOR","KEEP"))))</f>
        <v>REPLACE</v>
      </c>
      <c r="O114" s="161" t="str">
        <f t="shared" ref="O114:O145" si="17">IF(G114&gt;=20,"End of life (age &gt; 20)",IF(L114&gt;0.6,"Repairs exceed 60% of revenue",IF(G114&gt;=15,"Age 15+ → replace",IF(OR(G114&gt;=11,L114&gt;0.4),"Watch costs; plan replacement","Healthy — continue operating"))))</f>
        <v>End of life (age &gt; 20)</v>
      </c>
      <c r="P114" s="161" t="str">
        <f>'Engineering Assumptions'!H23</f>
        <v>BOMAG BW138/Dynapac CC1300 ~Rs. 12–18M</v>
      </c>
    </row>
    <row r="115" spans="1:16" ht="15" customHeight="1" x14ac:dyDescent="0.3">
      <c r="A115" s="9">
        <v>105</v>
      </c>
      <c r="B115" s="157" t="s">
        <v>205</v>
      </c>
      <c r="C115" s="157" t="s">
        <v>188</v>
      </c>
      <c r="D115" s="157" t="s">
        <v>253</v>
      </c>
      <c r="E115" s="157"/>
      <c r="F115" s="48" t="s">
        <v>195</v>
      </c>
      <c r="G115" s="9">
        <v>30</v>
      </c>
      <c r="H115" s="158">
        <f>'Engineering Assumptions'!$F$23*0.03*1</f>
        <v>0.42</v>
      </c>
      <c r="I115" s="158">
        <f>'Engineering Assumptions'!$F$23*1</f>
        <v>14</v>
      </c>
      <c r="J115" s="12">
        <f>'Fleet Pricing'!L115</f>
        <v>230500</v>
      </c>
      <c r="K115" s="12">
        <f>'Maintenance &amp; Repair'!J115+'Maintenance &amp; Repair'!K115</f>
        <v>138240</v>
      </c>
      <c r="L115" s="159">
        <f t="shared" si="15"/>
        <v>0.59973969631236446</v>
      </c>
      <c r="M115" s="9">
        <f>MAX(0,'Engineering Assumptions'!$G$23-G115)</f>
        <v>0</v>
      </c>
      <c r="N115" s="160" t="str">
        <f t="shared" si="16"/>
        <v>REPLACE</v>
      </c>
      <c r="O115" s="161" t="str">
        <f t="shared" si="17"/>
        <v>End of life (age &gt; 20)</v>
      </c>
      <c r="P115" s="161" t="str">
        <f>'Engineering Assumptions'!H23</f>
        <v>BOMAG BW138/Dynapac CC1300 ~Rs. 12–18M</v>
      </c>
    </row>
    <row r="116" spans="1:16" ht="15" customHeight="1" x14ac:dyDescent="0.3">
      <c r="A116" s="9">
        <v>106</v>
      </c>
      <c r="B116" s="157" t="s">
        <v>205</v>
      </c>
      <c r="C116" s="157" t="s">
        <v>188</v>
      </c>
      <c r="D116" s="157" t="s">
        <v>254</v>
      </c>
      <c r="E116" s="157"/>
      <c r="F116" s="48" t="s">
        <v>195</v>
      </c>
      <c r="G116" s="9">
        <v>30</v>
      </c>
      <c r="H116" s="158">
        <f>'Engineering Assumptions'!$F$23*0.03*1</f>
        <v>0.42</v>
      </c>
      <c r="I116" s="158">
        <f>'Engineering Assumptions'!$F$23*1</f>
        <v>14</v>
      </c>
      <c r="J116" s="12">
        <f>'Fleet Pricing'!L116</f>
        <v>230500</v>
      </c>
      <c r="K116" s="12">
        <f>'Maintenance &amp; Repair'!J116+'Maintenance &amp; Repair'!K116</f>
        <v>138240</v>
      </c>
      <c r="L116" s="159">
        <f t="shared" si="15"/>
        <v>0.59973969631236446</v>
      </c>
      <c r="M116" s="9">
        <f>MAX(0,'Engineering Assumptions'!$G$23-G116)</f>
        <v>0</v>
      </c>
      <c r="N116" s="160" t="str">
        <f t="shared" si="16"/>
        <v>REPLACE</v>
      </c>
      <c r="O116" s="161" t="str">
        <f t="shared" si="17"/>
        <v>End of life (age &gt; 20)</v>
      </c>
      <c r="P116" s="161" t="str">
        <f>'Engineering Assumptions'!H23</f>
        <v>BOMAG BW138/Dynapac CC1300 ~Rs. 12–18M</v>
      </c>
    </row>
    <row r="117" spans="1:16" ht="15" customHeight="1" x14ac:dyDescent="0.3">
      <c r="A117" s="9">
        <v>107</v>
      </c>
      <c r="B117" s="157" t="s">
        <v>205</v>
      </c>
      <c r="C117" s="157" t="s">
        <v>188</v>
      </c>
      <c r="D117" s="157" t="s">
        <v>255</v>
      </c>
      <c r="E117" s="157"/>
      <c r="F117" s="48" t="s">
        <v>195</v>
      </c>
      <c r="G117" s="9">
        <v>30</v>
      </c>
      <c r="H117" s="158">
        <f>'Engineering Assumptions'!$F$23*0.03*1</f>
        <v>0.42</v>
      </c>
      <c r="I117" s="158">
        <f>'Engineering Assumptions'!$F$23*1</f>
        <v>14</v>
      </c>
      <c r="J117" s="12">
        <f>'Fleet Pricing'!L117</f>
        <v>230500</v>
      </c>
      <c r="K117" s="12">
        <f>'Maintenance &amp; Repair'!J117+'Maintenance &amp; Repair'!K117</f>
        <v>138240</v>
      </c>
      <c r="L117" s="159">
        <f t="shared" si="15"/>
        <v>0.59973969631236446</v>
      </c>
      <c r="M117" s="9">
        <f>MAX(0,'Engineering Assumptions'!$G$23-G117)</f>
        <v>0</v>
      </c>
      <c r="N117" s="160" t="str">
        <f t="shared" si="16"/>
        <v>REPLACE</v>
      </c>
      <c r="O117" s="161" t="str">
        <f t="shared" si="17"/>
        <v>End of life (age &gt; 20)</v>
      </c>
      <c r="P117" s="161" t="str">
        <f>'Engineering Assumptions'!H23</f>
        <v>BOMAG BW138/Dynapac CC1300 ~Rs. 12–18M</v>
      </c>
    </row>
    <row r="118" spans="1:16" ht="15" customHeight="1" x14ac:dyDescent="0.3">
      <c r="A118" s="9">
        <v>108</v>
      </c>
      <c r="B118" s="157" t="s">
        <v>205</v>
      </c>
      <c r="C118" s="157" t="s">
        <v>188</v>
      </c>
      <c r="D118" s="157" t="s">
        <v>256</v>
      </c>
      <c r="E118" s="157"/>
      <c r="F118" s="48" t="s">
        <v>195</v>
      </c>
      <c r="G118" s="9">
        <v>30</v>
      </c>
      <c r="H118" s="158">
        <f>'Engineering Assumptions'!$F$23*0.03*1</f>
        <v>0.42</v>
      </c>
      <c r="I118" s="158">
        <f>'Engineering Assumptions'!$F$23*1</f>
        <v>14</v>
      </c>
      <c r="J118" s="12">
        <f>'Fleet Pricing'!L118</f>
        <v>230500</v>
      </c>
      <c r="K118" s="12">
        <f>'Maintenance &amp; Repair'!J118+'Maintenance &amp; Repair'!K118</f>
        <v>138240</v>
      </c>
      <c r="L118" s="159">
        <f t="shared" si="15"/>
        <v>0.59973969631236446</v>
      </c>
      <c r="M118" s="9">
        <f>MAX(0,'Engineering Assumptions'!$G$23-G118)</f>
        <v>0</v>
      </c>
      <c r="N118" s="160" t="str">
        <f t="shared" si="16"/>
        <v>REPLACE</v>
      </c>
      <c r="O118" s="161" t="str">
        <f t="shared" si="17"/>
        <v>End of life (age &gt; 20)</v>
      </c>
      <c r="P118" s="161" t="str">
        <f>'Engineering Assumptions'!H23</f>
        <v>BOMAG BW138/Dynapac CC1300 ~Rs. 12–18M</v>
      </c>
    </row>
    <row r="119" spans="1:16" ht="15" customHeight="1" x14ac:dyDescent="0.3">
      <c r="A119" s="9">
        <v>109</v>
      </c>
      <c r="B119" s="157" t="s">
        <v>205</v>
      </c>
      <c r="C119" s="157" t="s">
        <v>188</v>
      </c>
      <c r="D119" s="157" t="s">
        <v>257</v>
      </c>
      <c r="E119" s="157"/>
      <c r="F119" s="48" t="s">
        <v>195</v>
      </c>
      <c r="G119" s="9">
        <v>30</v>
      </c>
      <c r="H119" s="158">
        <f>'Engineering Assumptions'!$F$23*0.03*1</f>
        <v>0.42</v>
      </c>
      <c r="I119" s="158">
        <f>'Engineering Assumptions'!$F$23*1</f>
        <v>14</v>
      </c>
      <c r="J119" s="12">
        <f>'Fleet Pricing'!L119</f>
        <v>230500</v>
      </c>
      <c r="K119" s="12">
        <f>'Maintenance &amp; Repair'!J119+'Maintenance &amp; Repair'!K119</f>
        <v>138240</v>
      </c>
      <c r="L119" s="159">
        <f t="shared" si="15"/>
        <v>0.59973969631236446</v>
      </c>
      <c r="M119" s="9">
        <f>MAX(0,'Engineering Assumptions'!$G$23-G119)</f>
        <v>0</v>
      </c>
      <c r="N119" s="160" t="str">
        <f t="shared" si="16"/>
        <v>REPLACE</v>
      </c>
      <c r="O119" s="161" t="str">
        <f t="shared" si="17"/>
        <v>End of life (age &gt; 20)</v>
      </c>
      <c r="P119" s="161" t="str">
        <f>'Engineering Assumptions'!H23</f>
        <v>BOMAG BW138/Dynapac CC1300 ~Rs. 12–18M</v>
      </c>
    </row>
    <row r="120" spans="1:16" ht="15" customHeight="1" x14ac:dyDescent="0.3">
      <c r="A120" s="9">
        <v>110</v>
      </c>
      <c r="B120" s="157" t="s">
        <v>205</v>
      </c>
      <c r="C120" s="157" t="s">
        <v>188</v>
      </c>
      <c r="D120" s="157" t="s">
        <v>258</v>
      </c>
      <c r="E120" s="157"/>
      <c r="F120" s="48" t="s">
        <v>195</v>
      </c>
      <c r="G120" s="9">
        <v>30</v>
      </c>
      <c r="H120" s="158">
        <f>'Engineering Assumptions'!$F$23*0.03*1</f>
        <v>0.42</v>
      </c>
      <c r="I120" s="158">
        <f>'Engineering Assumptions'!$F$23*1</f>
        <v>14</v>
      </c>
      <c r="J120" s="12">
        <f>'Fleet Pricing'!L120</f>
        <v>230500</v>
      </c>
      <c r="K120" s="12">
        <f>'Maintenance &amp; Repair'!J120+'Maintenance &amp; Repair'!K120</f>
        <v>138240</v>
      </c>
      <c r="L120" s="159">
        <f t="shared" si="15"/>
        <v>0.59973969631236446</v>
      </c>
      <c r="M120" s="9">
        <f>MAX(0,'Engineering Assumptions'!$G$23-G120)</f>
        <v>0</v>
      </c>
      <c r="N120" s="160" t="str">
        <f t="shared" si="16"/>
        <v>REPLACE</v>
      </c>
      <c r="O120" s="161" t="str">
        <f t="shared" si="17"/>
        <v>End of life (age &gt; 20)</v>
      </c>
      <c r="P120" s="161" t="str">
        <f>'Engineering Assumptions'!H23</f>
        <v>BOMAG BW138/Dynapac CC1300 ~Rs. 12–18M</v>
      </c>
    </row>
    <row r="121" spans="1:16" ht="15" customHeight="1" x14ac:dyDescent="0.3">
      <c r="A121" s="9">
        <v>111</v>
      </c>
      <c r="B121" s="157" t="s">
        <v>205</v>
      </c>
      <c r="C121" s="157" t="s">
        <v>188</v>
      </c>
      <c r="D121" s="157" t="s">
        <v>259</v>
      </c>
      <c r="E121" s="157"/>
      <c r="F121" s="48" t="s">
        <v>195</v>
      </c>
      <c r="G121" s="9">
        <v>30</v>
      </c>
      <c r="H121" s="158">
        <f>'Engineering Assumptions'!$F$23*0.03*1</f>
        <v>0.42</v>
      </c>
      <c r="I121" s="158">
        <f>'Engineering Assumptions'!$F$23*1</f>
        <v>14</v>
      </c>
      <c r="J121" s="12">
        <f>'Fleet Pricing'!L121</f>
        <v>230500</v>
      </c>
      <c r="K121" s="12">
        <f>'Maintenance &amp; Repair'!J121+'Maintenance &amp; Repair'!K121</f>
        <v>138240</v>
      </c>
      <c r="L121" s="159">
        <f t="shared" si="15"/>
        <v>0.59973969631236446</v>
      </c>
      <c r="M121" s="9">
        <f>MAX(0,'Engineering Assumptions'!$G$23-G121)</f>
        <v>0</v>
      </c>
      <c r="N121" s="160" t="str">
        <f t="shared" si="16"/>
        <v>REPLACE</v>
      </c>
      <c r="O121" s="161" t="str">
        <f t="shared" si="17"/>
        <v>End of life (age &gt; 20)</v>
      </c>
      <c r="P121" s="161" t="str">
        <f>'Engineering Assumptions'!H23</f>
        <v>BOMAG BW138/Dynapac CC1300 ~Rs. 12–18M</v>
      </c>
    </row>
    <row r="122" spans="1:16" ht="15" customHeight="1" x14ac:dyDescent="0.3">
      <c r="A122" s="9">
        <v>112</v>
      </c>
      <c r="B122" s="157" t="s">
        <v>205</v>
      </c>
      <c r="C122" s="157" t="s">
        <v>188</v>
      </c>
      <c r="D122" s="157" t="s">
        <v>260</v>
      </c>
      <c r="E122" s="157"/>
      <c r="F122" s="48" t="s">
        <v>195</v>
      </c>
      <c r="G122" s="9">
        <v>30</v>
      </c>
      <c r="H122" s="158">
        <f>'Engineering Assumptions'!$F$23*0.03*1</f>
        <v>0.42</v>
      </c>
      <c r="I122" s="158">
        <f>'Engineering Assumptions'!$F$23*1</f>
        <v>14</v>
      </c>
      <c r="J122" s="12">
        <f>'Fleet Pricing'!L122</f>
        <v>230500</v>
      </c>
      <c r="K122" s="12">
        <f>'Maintenance &amp; Repair'!J122+'Maintenance &amp; Repair'!K122</f>
        <v>138240</v>
      </c>
      <c r="L122" s="159">
        <f t="shared" si="15"/>
        <v>0.59973969631236446</v>
      </c>
      <c r="M122" s="9">
        <f>MAX(0,'Engineering Assumptions'!$G$23-G122)</f>
        <v>0</v>
      </c>
      <c r="N122" s="160" t="str">
        <f t="shared" si="16"/>
        <v>REPLACE</v>
      </c>
      <c r="O122" s="161" t="str">
        <f t="shared" si="17"/>
        <v>End of life (age &gt; 20)</v>
      </c>
      <c r="P122" s="161" t="str">
        <f>'Engineering Assumptions'!H23</f>
        <v>BOMAG BW138/Dynapac CC1300 ~Rs. 12–18M</v>
      </c>
    </row>
    <row r="123" spans="1:16" ht="15" customHeight="1" x14ac:dyDescent="0.3">
      <c r="A123" s="9">
        <v>113</v>
      </c>
      <c r="B123" s="157" t="s">
        <v>205</v>
      </c>
      <c r="C123" s="157" t="s">
        <v>188</v>
      </c>
      <c r="D123" s="157" t="s">
        <v>261</v>
      </c>
      <c r="E123" s="157"/>
      <c r="F123" s="48" t="s">
        <v>195</v>
      </c>
      <c r="G123" s="9">
        <v>30</v>
      </c>
      <c r="H123" s="158">
        <f>'Engineering Assumptions'!$F$23*0.03*1</f>
        <v>0.42</v>
      </c>
      <c r="I123" s="158">
        <f>'Engineering Assumptions'!$F$23*1</f>
        <v>14</v>
      </c>
      <c r="J123" s="12">
        <f>'Fleet Pricing'!L123</f>
        <v>230500</v>
      </c>
      <c r="K123" s="12">
        <f>'Maintenance &amp; Repair'!J123+'Maintenance &amp; Repair'!K123</f>
        <v>138240</v>
      </c>
      <c r="L123" s="159">
        <f t="shared" si="15"/>
        <v>0.59973969631236446</v>
      </c>
      <c r="M123" s="9">
        <f>MAX(0,'Engineering Assumptions'!$G$23-G123)</f>
        <v>0</v>
      </c>
      <c r="N123" s="160" t="str">
        <f t="shared" si="16"/>
        <v>REPLACE</v>
      </c>
      <c r="O123" s="161" t="str">
        <f t="shared" si="17"/>
        <v>End of life (age &gt; 20)</v>
      </c>
      <c r="P123" s="161" t="str">
        <f>'Engineering Assumptions'!H23</f>
        <v>BOMAG BW138/Dynapac CC1300 ~Rs. 12–18M</v>
      </c>
    </row>
    <row r="124" spans="1:16" ht="15" customHeight="1" x14ac:dyDescent="0.3">
      <c r="A124" s="9">
        <v>114</v>
      </c>
      <c r="B124" s="157" t="s">
        <v>205</v>
      </c>
      <c r="C124" s="157" t="s">
        <v>188</v>
      </c>
      <c r="D124" s="157" t="s">
        <v>262</v>
      </c>
      <c r="E124" s="157"/>
      <c r="F124" s="48" t="s">
        <v>195</v>
      </c>
      <c r="G124" s="9">
        <v>30</v>
      </c>
      <c r="H124" s="158">
        <f>'Engineering Assumptions'!$F$23*0.03*1</f>
        <v>0.42</v>
      </c>
      <c r="I124" s="158">
        <f>'Engineering Assumptions'!$F$23*1</f>
        <v>14</v>
      </c>
      <c r="J124" s="12">
        <f>'Fleet Pricing'!L124</f>
        <v>230500</v>
      </c>
      <c r="K124" s="12">
        <f>'Maintenance &amp; Repair'!J124+'Maintenance &amp; Repair'!K124</f>
        <v>138240</v>
      </c>
      <c r="L124" s="159">
        <f t="shared" si="15"/>
        <v>0.59973969631236446</v>
      </c>
      <c r="M124" s="9">
        <f>MAX(0,'Engineering Assumptions'!$G$23-G124)</f>
        <v>0</v>
      </c>
      <c r="N124" s="160" t="str">
        <f t="shared" si="16"/>
        <v>REPLACE</v>
      </c>
      <c r="O124" s="161" t="str">
        <f t="shared" si="17"/>
        <v>End of life (age &gt; 20)</v>
      </c>
      <c r="P124" s="161" t="str">
        <f>'Engineering Assumptions'!H23</f>
        <v>BOMAG BW138/Dynapac CC1300 ~Rs. 12–18M</v>
      </c>
    </row>
    <row r="125" spans="1:16" ht="15" customHeight="1" x14ac:dyDescent="0.3">
      <c r="A125" s="9">
        <v>115</v>
      </c>
      <c r="B125" s="157" t="s">
        <v>205</v>
      </c>
      <c r="C125" s="157" t="s">
        <v>188</v>
      </c>
      <c r="D125" s="157" t="s">
        <v>263</v>
      </c>
      <c r="E125" s="157"/>
      <c r="F125" s="48" t="s">
        <v>195</v>
      </c>
      <c r="G125" s="9">
        <v>30</v>
      </c>
      <c r="H125" s="158">
        <f>'Engineering Assumptions'!$F$23*0.03*1</f>
        <v>0.42</v>
      </c>
      <c r="I125" s="158">
        <f>'Engineering Assumptions'!$F$23*1</f>
        <v>14</v>
      </c>
      <c r="J125" s="12">
        <f>'Fleet Pricing'!L125</f>
        <v>230500</v>
      </c>
      <c r="K125" s="12">
        <f>'Maintenance &amp; Repair'!J125+'Maintenance &amp; Repair'!K125</f>
        <v>138240</v>
      </c>
      <c r="L125" s="159">
        <f t="shared" si="15"/>
        <v>0.59973969631236446</v>
      </c>
      <c r="M125" s="9">
        <f>MAX(0,'Engineering Assumptions'!$G$23-G125)</f>
        <v>0</v>
      </c>
      <c r="N125" s="160" t="str">
        <f t="shared" si="16"/>
        <v>REPLACE</v>
      </c>
      <c r="O125" s="161" t="str">
        <f t="shared" si="17"/>
        <v>End of life (age &gt; 20)</v>
      </c>
      <c r="P125" s="161" t="str">
        <f>'Engineering Assumptions'!H23</f>
        <v>BOMAG BW138/Dynapac CC1300 ~Rs. 12–18M</v>
      </c>
    </row>
    <row r="126" spans="1:16" ht="15" customHeight="1" x14ac:dyDescent="0.3">
      <c r="A126" s="9">
        <v>116</v>
      </c>
      <c r="B126" s="157" t="s">
        <v>205</v>
      </c>
      <c r="C126" s="157" t="s">
        <v>188</v>
      </c>
      <c r="D126" s="157" t="s">
        <v>264</v>
      </c>
      <c r="E126" s="157"/>
      <c r="F126" s="48" t="s">
        <v>195</v>
      </c>
      <c r="G126" s="9">
        <v>30</v>
      </c>
      <c r="H126" s="158">
        <f>'Engineering Assumptions'!$F$23*0.03*1</f>
        <v>0.42</v>
      </c>
      <c r="I126" s="158">
        <f>'Engineering Assumptions'!$F$23*1</f>
        <v>14</v>
      </c>
      <c r="J126" s="12">
        <f>'Fleet Pricing'!L126</f>
        <v>230500</v>
      </c>
      <c r="K126" s="12">
        <f>'Maintenance &amp; Repair'!J126+'Maintenance &amp; Repair'!K126</f>
        <v>138240</v>
      </c>
      <c r="L126" s="159">
        <f t="shared" si="15"/>
        <v>0.59973969631236446</v>
      </c>
      <c r="M126" s="9">
        <f>MAX(0,'Engineering Assumptions'!$G$23-G126)</f>
        <v>0</v>
      </c>
      <c r="N126" s="160" t="str">
        <f t="shared" si="16"/>
        <v>REPLACE</v>
      </c>
      <c r="O126" s="161" t="str">
        <f t="shared" si="17"/>
        <v>End of life (age &gt; 20)</v>
      </c>
      <c r="P126" s="161" t="str">
        <f>'Engineering Assumptions'!H23</f>
        <v>BOMAG BW138/Dynapac CC1300 ~Rs. 12–18M</v>
      </c>
    </row>
    <row r="127" spans="1:16" ht="15" customHeight="1" x14ac:dyDescent="0.3">
      <c r="A127" s="9">
        <v>117</v>
      </c>
      <c r="B127" s="157" t="s">
        <v>205</v>
      </c>
      <c r="C127" s="157" t="s">
        <v>188</v>
      </c>
      <c r="D127" s="157" t="s">
        <v>265</v>
      </c>
      <c r="E127" s="157"/>
      <c r="F127" s="48" t="s">
        <v>195</v>
      </c>
      <c r="G127" s="9">
        <v>30</v>
      </c>
      <c r="H127" s="158">
        <f>'Engineering Assumptions'!$F$23*0.03*1</f>
        <v>0.42</v>
      </c>
      <c r="I127" s="158">
        <f>'Engineering Assumptions'!$F$23*1</f>
        <v>14</v>
      </c>
      <c r="J127" s="12">
        <f>'Fleet Pricing'!L127</f>
        <v>230500</v>
      </c>
      <c r="K127" s="12">
        <f>'Maintenance &amp; Repair'!J127+'Maintenance &amp; Repair'!K127</f>
        <v>138240</v>
      </c>
      <c r="L127" s="159">
        <f t="shared" si="15"/>
        <v>0.59973969631236446</v>
      </c>
      <c r="M127" s="9">
        <f>MAX(0,'Engineering Assumptions'!$G$23-G127)</f>
        <v>0</v>
      </c>
      <c r="N127" s="160" t="str">
        <f t="shared" si="16"/>
        <v>REPLACE</v>
      </c>
      <c r="O127" s="161" t="str">
        <f t="shared" si="17"/>
        <v>End of life (age &gt; 20)</v>
      </c>
      <c r="P127" s="161" t="str">
        <f>'Engineering Assumptions'!H23</f>
        <v>BOMAG BW138/Dynapac CC1300 ~Rs. 12–18M</v>
      </c>
    </row>
    <row r="128" spans="1:16" ht="15" customHeight="1" x14ac:dyDescent="0.3">
      <c r="A128" s="9">
        <v>118</v>
      </c>
      <c r="B128" s="157" t="s">
        <v>205</v>
      </c>
      <c r="C128" s="157" t="s">
        <v>188</v>
      </c>
      <c r="D128" s="157" t="s">
        <v>266</v>
      </c>
      <c r="E128" s="157"/>
      <c r="F128" s="48" t="s">
        <v>195</v>
      </c>
      <c r="G128" s="9">
        <v>30</v>
      </c>
      <c r="H128" s="158">
        <f>'Engineering Assumptions'!$F$23*0.03*1</f>
        <v>0.42</v>
      </c>
      <c r="I128" s="158">
        <f>'Engineering Assumptions'!$F$23*1</f>
        <v>14</v>
      </c>
      <c r="J128" s="12">
        <f>'Fleet Pricing'!L128</f>
        <v>230500</v>
      </c>
      <c r="K128" s="12">
        <f>'Maintenance &amp; Repair'!J128+'Maintenance &amp; Repair'!K128</f>
        <v>138240</v>
      </c>
      <c r="L128" s="159">
        <f t="shared" si="15"/>
        <v>0.59973969631236446</v>
      </c>
      <c r="M128" s="9">
        <f>MAX(0,'Engineering Assumptions'!$G$23-G128)</f>
        <v>0</v>
      </c>
      <c r="N128" s="160" t="str">
        <f t="shared" si="16"/>
        <v>REPLACE</v>
      </c>
      <c r="O128" s="161" t="str">
        <f t="shared" si="17"/>
        <v>End of life (age &gt; 20)</v>
      </c>
      <c r="P128" s="161" t="str">
        <f>'Engineering Assumptions'!H23</f>
        <v>BOMAG BW138/Dynapac CC1300 ~Rs. 12–18M</v>
      </c>
    </row>
    <row r="129" spans="1:16" ht="15" customHeight="1" x14ac:dyDescent="0.3">
      <c r="A129" s="9">
        <v>119</v>
      </c>
      <c r="B129" s="157" t="s">
        <v>205</v>
      </c>
      <c r="C129" s="157" t="s">
        <v>188</v>
      </c>
      <c r="D129" s="157" t="s">
        <v>267</v>
      </c>
      <c r="E129" s="157"/>
      <c r="F129" s="48" t="s">
        <v>195</v>
      </c>
      <c r="G129" s="9">
        <v>30</v>
      </c>
      <c r="H129" s="158">
        <f>'Engineering Assumptions'!$F$23*0.03*1</f>
        <v>0.42</v>
      </c>
      <c r="I129" s="158">
        <f>'Engineering Assumptions'!$F$23*1</f>
        <v>14</v>
      </c>
      <c r="J129" s="12">
        <f>'Fleet Pricing'!L129</f>
        <v>230500</v>
      </c>
      <c r="K129" s="12">
        <f>'Maintenance &amp; Repair'!J129+'Maintenance &amp; Repair'!K129</f>
        <v>138240</v>
      </c>
      <c r="L129" s="159">
        <f t="shared" si="15"/>
        <v>0.59973969631236446</v>
      </c>
      <c r="M129" s="9">
        <f>MAX(0,'Engineering Assumptions'!$G$23-G129)</f>
        <v>0</v>
      </c>
      <c r="N129" s="160" t="str">
        <f t="shared" si="16"/>
        <v>REPLACE</v>
      </c>
      <c r="O129" s="161" t="str">
        <f t="shared" si="17"/>
        <v>End of life (age &gt; 20)</v>
      </c>
      <c r="P129" s="161" t="str">
        <f>'Engineering Assumptions'!H23</f>
        <v>BOMAG BW138/Dynapac CC1300 ~Rs. 12–18M</v>
      </c>
    </row>
    <row r="130" spans="1:16" ht="15" customHeight="1" x14ac:dyDescent="0.3">
      <c r="A130" s="9">
        <v>120</v>
      </c>
      <c r="B130" s="157" t="s">
        <v>205</v>
      </c>
      <c r="C130" s="157" t="s">
        <v>188</v>
      </c>
      <c r="D130" s="157" t="s">
        <v>268</v>
      </c>
      <c r="E130" s="157"/>
      <c r="F130" s="48" t="s">
        <v>195</v>
      </c>
      <c r="G130" s="9">
        <v>30</v>
      </c>
      <c r="H130" s="158">
        <f>'Engineering Assumptions'!$F$23*0.03*1</f>
        <v>0.42</v>
      </c>
      <c r="I130" s="158">
        <f>'Engineering Assumptions'!$F$23*1</f>
        <v>14</v>
      </c>
      <c r="J130" s="12">
        <f>'Fleet Pricing'!L130</f>
        <v>230500</v>
      </c>
      <c r="K130" s="12">
        <f>'Maintenance &amp; Repair'!J130+'Maintenance &amp; Repair'!K130</f>
        <v>138240</v>
      </c>
      <c r="L130" s="159">
        <f t="shared" si="15"/>
        <v>0.59973969631236446</v>
      </c>
      <c r="M130" s="9">
        <f>MAX(0,'Engineering Assumptions'!$G$23-G130)</f>
        <v>0</v>
      </c>
      <c r="N130" s="160" t="str">
        <f t="shared" si="16"/>
        <v>REPLACE</v>
      </c>
      <c r="O130" s="161" t="str">
        <f t="shared" si="17"/>
        <v>End of life (age &gt; 20)</v>
      </c>
      <c r="P130" s="161" t="str">
        <f>'Engineering Assumptions'!H23</f>
        <v>BOMAG BW138/Dynapac CC1300 ~Rs. 12–18M</v>
      </c>
    </row>
    <row r="131" spans="1:16" ht="15" customHeight="1" x14ac:dyDescent="0.3">
      <c r="A131" s="9">
        <v>121</v>
      </c>
      <c r="B131" s="157" t="s">
        <v>205</v>
      </c>
      <c r="C131" s="157" t="s">
        <v>188</v>
      </c>
      <c r="D131" s="157" t="s">
        <v>269</v>
      </c>
      <c r="E131" s="157"/>
      <c r="F131" s="48" t="s">
        <v>195</v>
      </c>
      <c r="G131" s="9">
        <v>30</v>
      </c>
      <c r="H131" s="158">
        <f>'Engineering Assumptions'!$F$23*0.03*1</f>
        <v>0.42</v>
      </c>
      <c r="I131" s="158">
        <f>'Engineering Assumptions'!$F$23*1</f>
        <v>14</v>
      </c>
      <c r="J131" s="12">
        <f>'Fleet Pricing'!L131</f>
        <v>230500</v>
      </c>
      <c r="K131" s="12">
        <f>'Maintenance &amp; Repair'!J131+'Maintenance &amp; Repair'!K131</f>
        <v>138240</v>
      </c>
      <c r="L131" s="159">
        <f t="shared" si="15"/>
        <v>0.59973969631236446</v>
      </c>
      <c r="M131" s="9">
        <f>MAX(0,'Engineering Assumptions'!$G$23-G131)</f>
        <v>0</v>
      </c>
      <c r="N131" s="160" t="str">
        <f t="shared" si="16"/>
        <v>REPLACE</v>
      </c>
      <c r="O131" s="161" t="str">
        <f t="shared" si="17"/>
        <v>End of life (age &gt; 20)</v>
      </c>
      <c r="P131" s="161" t="str">
        <f>'Engineering Assumptions'!H23</f>
        <v>BOMAG BW138/Dynapac CC1300 ~Rs. 12–18M</v>
      </c>
    </row>
    <row r="132" spans="1:16" ht="15" customHeight="1" x14ac:dyDescent="0.3">
      <c r="A132" s="9">
        <v>122</v>
      </c>
      <c r="B132" s="157" t="s">
        <v>205</v>
      </c>
      <c r="C132" s="157" t="s">
        <v>188</v>
      </c>
      <c r="D132" s="157" t="s">
        <v>270</v>
      </c>
      <c r="E132" s="157"/>
      <c r="F132" s="48" t="s">
        <v>195</v>
      </c>
      <c r="G132" s="9">
        <v>30</v>
      </c>
      <c r="H132" s="158">
        <f>'Engineering Assumptions'!$F$23*0.03*1</f>
        <v>0.42</v>
      </c>
      <c r="I132" s="158">
        <f>'Engineering Assumptions'!$F$23*1</f>
        <v>14</v>
      </c>
      <c r="J132" s="12">
        <f>'Fleet Pricing'!L132</f>
        <v>230500</v>
      </c>
      <c r="K132" s="12">
        <f>'Maintenance &amp; Repair'!J132+'Maintenance &amp; Repair'!K132</f>
        <v>138240</v>
      </c>
      <c r="L132" s="159">
        <f t="shared" si="15"/>
        <v>0.59973969631236446</v>
      </c>
      <c r="M132" s="9">
        <f>MAX(0,'Engineering Assumptions'!$G$23-G132)</f>
        <v>0</v>
      </c>
      <c r="N132" s="160" t="str">
        <f t="shared" si="16"/>
        <v>REPLACE</v>
      </c>
      <c r="O132" s="161" t="str">
        <f t="shared" si="17"/>
        <v>End of life (age &gt; 20)</v>
      </c>
      <c r="P132" s="161" t="str">
        <f>'Engineering Assumptions'!H23</f>
        <v>BOMAG BW138/Dynapac CC1300 ~Rs. 12–18M</v>
      </c>
    </row>
    <row r="133" spans="1:16" ht="15" customHeight="1" x14ac:dyDescent="0.3">
      <c r="A133" s="9">
        <v>123</v>
      </c>
      <c r="B133" s="157" t="s">
        <v>205</v>
      </c>
      <c r="C133" s="157" t="s">
        <v>188</v>
      </c>
      <c r="D133" s="157" t="s">
        <v>271</v>
      </c>
      <c r="E133" s="157"/>
      <c r="F133" s="48" t="s">
        <v>195</v>
      </c>
      <c r="G133" s="9">
        <v>30</v>
      </c>
      <c r="H133" s="158">
        <f>'Engineering Assumptions'!$F$23*0.03*1</f>
        <v>0.42</v>
      </c>
      <c r="I133" s="158">
        <f>'Engineering Assumptions'!$F$23*1</f>
        <v>14</v>
      </c>
      <c r="J133" s="12">
        <f>'Fleet Pricing'!L133</f>
        <v>230500</v>
      </c>
      <c r="K133" s="12">
        <f>'Maintenance &amp; Repair'!J133+'Maintenance &amp; Repair'!K133</f>
        <v>138240</v>
      </c>
      <c r="L133" s="159">
        <f t="shared" si="15"/>
        <v>0.59973969631236446</v>
      </c>
      <c r="M133" s="9">
        <f>MAX(0,'Engineering Assumptions'!$G$23-G133)</f>
        <v>0</v>
      </c>
      <c r="N133" s="160" t="str">
        <f t="shared" si="16"/>
        <v>REPLACE</v>
      </c>
      <c r="O133" s="161" t="str">
        <f t="shared" si="17"/>
        <v>End of life (age &gt; 20)</v>
      </c>
      <c r="P133" s="161" t="str">
        <f>'Engineering Assumptions'!H23</f>
        <v>BOMAG BW138/Dynapac CC1300 ~Rs. 12–18M</v>
      </c>
    </row>
    <row r="134" spans="1:16" ht="15" customHeight="1" x14ac:dyDescent="0.3">
      <c r="A134" s="9">
        <v>124</v>
      </c>
      <c r="B134" s="157" t="s">
        <v>205</v>
      </c>
      <c r="C134" s="157" t="s">
        <v>188</v>
      </c>
      <c r="D134" s="157" t="s">
        <v>272</v>
      </c>
      <c r="E134" s="157"/>
      <c r="F134" s="48" t="s">
        <v>195</v>
      </c>
      <c r="G134" s="9">
        <v>30</v>
      </c>
      <c r="H134" s="158">
        <f>'Engineering Assumptions'!$F$23*0.03*1</f>
        <v>0.42</v>
      </c>
      <c r="I134" s="158">
        <f>'Engineering Assumptions'!$F$23*1</f>
        <v>14</v>
      </c>
      <c r="J134" s="12">
        <f>'Fleet Pricing'!L134</f>
        <v>230500</v>
      </c>
      <c r="K134" s="12">
        <f>'Maintenance &amp; Repair'!J134+'Maintenance &amp; Repair'!K134</f>
        <v>138240</v>
      </c>
      <c r="L134" s="159">
        <f t="shared" si="15"/>
        <v>0.59973969631236446</v>
      </c>
      <c r="M134" s="9">
        <f>MAX(0,'Engineering Assumptions'!$G$23-G134)</f>
        <v>0</v>
      </c>
      <c r="N134" s="160" t="str">
        <f t="shared" si="16"/>
        <v>REPLACE</v>
      </c>
      <c r="O134" s="161" t="str">
        <f t="shared" si="17"/>
        <v>End of life (age &gt; 20)</v>
      </c>
      <c r="P134" s="161" t="str">
        <f>'Engineering Assumptions'!H23</f>
        <v>BOMAG BW138/Dynapac CC1300 ~Rs. 12–18M</v>
      </c>
    </row>
    <row r="135" spans="1:16" ht="15" customHeight="1" x14ac:dyDescent="0.3">
      <c r="A135" s="9">
        <v>125</v>
      </c>
      <c r="B135" s="157" t="s">
        <v>205</v>
      </c>
      <c r="C135" s="157" t="s">
        <v>188</v>
      </c>
      <c r="D135" s="157" t="s">
        <v>273</v>
      </c>
      <c r="E135" s="157"/>
      <c r="F135" s="48" t="s">
        <v>195</v>
      </c>
      <c r="G135" s="9">
        <v>30</v>
      </c>
      <c r="H135" s="158">
        <f>'Engineering Assumptions'!$F$23*0.03*1</f>
        <v>0.42</v>
      </c>
      <c r="I135" s="158">
        <f>'Engineering Assumptions'!$F$23*1</f>
        <v>14</v>
      </c>
      <c r="J135" s="12">
        <f>'Fleet Pricing'!L135</f>
        <v>230500</v>
      </c>
      <c r="K135" s="12">
        <f>'Maintenance &amp; Repair'!J135+'Maintenance &amp; Repair'!K135</f>
        <v>138240</v>
      </c>
      <c r="L135" s="159">
        <f t="shared" si="15"/>
        <v>0.59973969631236446</v>
      </c>
      <c r="M135" s="9">
        <f>MAX(0,'Engineering Assumptions'!$G$23-G135)</f>
        <v>0</v>
      </c>
      <c r="N135" s="160" t="str">
        <f t="shared" si="16"/>
        <v>REPLACE</v>
      </c>
      <c r="O135" s="161" t="str">
        <f t="shared" si="17"/>
        <v>End of life (age &gt; 20)</v>
      </c>
      <c r="P135" s="161" t="str">
        <f>'Engineering Assumptions'!H23</f>
        <v>BOMAG BW138/Dynapac CC1300 ~Rs. 12–18M</v>
      </c>
    </row>
    <row r="136" spans="1:16" ht="15" customHeight="1" x14ac:dyDescent="0.3">
      <c r="A136" s="9">
        <v>126</v>
      </c>
      <c r="B136" s="157" t="s">
        <v>205</v>
      </c>
      <c r="C136" s="157" t="s">
        <v>188</v>
      </c>
      <c r="D136" s="157" t="s">
        <v>274</v>
      </c>
      <c r="E136" s="157"/>
      <c r="F136" s="48" t="s">
        <v>195</v>
      </c>
      <c r="G136" s="9">
        <v>30</v>
      </c>
      <c r="H136" s="158">
        <f>'Engineering Assumptions'!$F$23*0.03*1</f>
        <v>0.42</v>
      </c>
      <c r="I136" s="158">
        <f>'Engineering Assumptions'!$F$23*1</f>
        <v>14</v>
      </c>
      <c r="J136" s="12">
        <f>'Fleet Pricing'!L136</f>
        <v>230500</v>
      </c>
      <c r="K136" s="12">
        <f>'Maintenance &amp; Repair'!J136+'Maintenance &amp; Repair'!K136</f>
        <v>138240</v>
      </c>
      <c r="L136" s="159">
        <f t="shared" si="15"/>
        <v>0.59973969631236446</v>
      </c>
      <c r="M136" s="9">
        <f>MAX(0,'Engineering Assumptions'!$G$23-G136)</f>
        <v>0</v>
      </c>
      <c r="N136" s="160" t="str">
        <f t="shared" si="16"/>
        <v>REPLACE</v>
      </c>
      <c r="O136" s="161" t="str">
        <f t="shared" si="17"/>
        <v>End of life (age &gt; 20)</v>
      </c>
      <c r="P136" s="161" t="str">
        <f>'Engineering Assumptions'!H23</f>
        <v>BOMAG BW138/Dynapac CC1300 ~Rs. 12–18M</v>
      </c>
    </row>
    <row r="137" spans="1:16" ht="15" customHeight="1" x14ac:dyDescent="0.3">
      <c r="A137" s="9">
        <v>127</v>
      </c>
      <c r="B137" s="157" t="s">
        <v>205</v>
      </c>
      <c r="C137" s="157" t="s">
        <v>188</v>
      </c>
      <c r="D137" s="157" t="s">
        <v>275</v>
      </c>
      <c r="E137" s="157"/>
      <c r="F137" s="48" t="s">
        <v>195</v>
      </c>
      <c r="G137" s="9">
        <v>30</v>
      </c>
      <c r="H137" s="158">
        <f>'Engineering Assumptions'!$F$23*0.03*1</f>
        <v>0.42</v>
      </c>
      <c r="I137" s="158">
        <f>'Engineering Assumptions'!$F$23*1</f>
        <v>14</v>
      </c>
      <c r="J137" s="12">
        <f>'Fleet Pricing'!L137</f>
        <v>230500</v>
      </c>
      <c r="K137" s="12">
        <f>'Maintenance &amp; Repair'!J137+'Maintenance &amp; Repair'!K137</f>
        <v>138240</v>
      </c>
      <c r="L137" s="159">
        <f t="shared" si="15"/>
        <v>0.59973969631236446</v>
      </c>
      <c r="M137" s="9">
        <f>MAX(0,'Engineering Assumptions'!$G$23-G137)</f>
        <v>0</v>
      </c>
      <c r="N137" s="160" t="str">
        <f t="shared" si="16"/>
        <v>REPLACE</v>
      </c>
      <c r="O137" s="161" t="str">
        <f t="shared" si="17"/>
        <v>End of life (age &gt; 20)</v>
      </c>
      <c r="P137" s="161" t="str">
        <f>'Engineering Assumptions'!H23</f>
        <v>BOMAG BW138/Dynapac CC1300 ~Rs. 12–18M</v>
      </c>
    </row>
    <row r="138" spans="1:16" ht="15" customHeight="1" x14ac:dyDescent="0.3">
      <c r="A138" s="9">
        <v>128</v>
      </c>
      <c r="B138" s="157" t="s">
        <v>205</v>
      </c>
      <c r="C138" s="157" t="s">
        <v>276</v>
      </c>
      <c r="D138" s="157" t="s">
        <v>277</v>
      </c>
      <c r="E138" s="157"/>
      <c r="F138" s="48" t="s">
        <v>195</v>
      </c>
      <c r="G138" s="9">
        <v>30</v>
      </c>
      <c r="H138" s="158">
        <f>'Engineering Assumptions'!$F$23*0.03*1</f>
        <v>0.42</v>
      </c>
      <c r="I138" s="158">
        <f>'Engineering Assumptions'!$F$23*1</f>
        <v>14</v>
      </c>
      <c r="J138" s="12">
        <f>'Fleet Pricing'!L138</f>
        <v>230500</v>
      </c>
      <c r="K138" s="12">
        <f>'Maintenance &amp; Repair'!J138+'Maintenance &amp; Repair'!K138</f>
        <v>138240</v>
      </c>
      <c r="L138" s="159">
        <f t="shared" si="15"/>
        <v>0.59973969631236446</v>
      </c>
      <c r="M138" s="9">
        <f>MAX(0,'Engineering Assumptions'!$G$23-G138)</f>
        <v>0</v>
      </c>
      <c r="N138" s="160" t="str">
        <f t="shared" si="16"/>
        <v>REPLACE</v>
      </c>
      <c r="O138" s="161" t="str">
        <f t="shared" si="17"/>
        <v>End of life (age &gt; 20)</v>
      </c>
      <c r="P138" s="161" t="str">
        <f>'Engineering Assumptions'!H23</f>
        <v>BOMAG BW138/Dynapac CC1300 ~Rs. 12–18M</v>
      </c>
    </row>
    <row r="139" spans="1:16" ht="15" customHeight="1" x14ac:dyDescent="0.3">
      <c r="A139" s="9">
        <v>129</v>
      </c>
      <c r="B139" s="157" t="s">
        <v>205</v>
      </c>
      <c r="C139" s="157" t="s">
        <v>276</v>
      </c>
      <c r="D139" s="157" t="s">
        <v>278</v>
      </c>
      <c r="E139" s="157"/>
      <c r="F139" s="48" t="s">
        <v>195</v>
      </c>
      <c r="G139" s="9">
        <v>30</v>
      </c>
      <c r="H139" s="158">
        <f>'Engineering Assumptions'!$F$23*0.03*1</f>
        <v>0.42</v>
      </c>
      <c r="I139" s="158">
        <f>'Engineering Assumptions'!$F$23*1</f>
        <v>14</v>
      </c>
      <c r="J139" s="12">
        <f>'Fleet Pricing'!L139</f>
        <v>230500</v>
      </c>
      <c r="K139" s="12">
        <f>'Maintenance &amp; Repair'!J139+'Maintenance &amp; Repair'!K139</f>
        <v>138240</v>
      </c>
      <c r="L139" s="159">
        <f t="shared" si="15"/>
        <v>0.59973969631236446</v>
      </c>
      <c r="M139" s="9">
        <f>MAX(0,'Engineering Assumptions'!$G$23-G139)</f>
        <v>0</v>
      </c>
      <c r="N139" s="160" t="str">
        <f t="shared" si="16"/>
        <v>REPLACE</v>
      </c>
      <c r="O139" s="161" t="str">
        <f t="shared" si="17"/>
        <v>End of life (age &gt; 20)</v>
      </c>
      <c r="P139" s="161" t="str">
        <f>'Engineering Assumptions'!H23</f>
        <v>BOMAG BW138/Dynapac CC1300 ~Rs. 12–18M</v>
      </c>
    </row>
    <row r="140" spans="1:16" ht="15" customHeight="1" x14ac:dyDescent="0.3">
      <c r="A140" s="9">
        <v>130</v>
      </c>
      <c r="B140" s="157" t="s">
        <v>205</v>
      </c>
      <c r="C140" s="157" t="s">
        <v>276</v>
      </c>
      <c r="D140" s="157" t="s">
        <v>279</v>
      </c>
      <c r="E140" s="157"/>
      <c r="F140" s="48" t="s">
        <v>195</v>
      </c>
      <c r="G140" s="9">
        <v>30</v>
      </c>
      <c r="H140" s="158">
        <f>'Engineering Assumptions'!$F$23*0.03*1</f>
        <v>0.42</v>
      </c>
      <c r="I140" s="158">
        <f>'Engineering Assumptions'!$F$23*1</f>
        <v>14</v>
      </c>
      <c r="J140" s="12">
        <f>'Fleet Pricing'!L140</f>
        <v>230500</v>
      </c>
      <c r="K140" s="12">
        <f>'Maintenance &amp; Repair'!J140+'Maintenance &amp; Repair'!K140</f>
        <v>138240</v>
      </c>
      <c r="L140" s="159">
        <f t="shared" si="15"/>
        <v>0.59973969631236446</v>
      </c>
      <c r="M140" s="9">
        <f>MAX(0,'Engineering Assumptions'!$G$23-G140)</f>
        <v>0</v>
      </c>
      <c r="N140" s="160" t="str">
        <f t="shared" si="16"/>
        <v>REPLACE</v>
      </c>
      <c r="O140" s="161" t="str">
        <f t="shared" si="17"/>
        <v>End of life (age &gt; 20)</v>
      </c>
      <c r="P140" s="161" t="str">
        <f>'Engineering Assumptions'!H23</f>
        <v>BOMAG BW138/Dynapac CC1300 ~Rs. 12–18M</v>
      </c>
    </row>
    <row r="141" spans="1:16" ht="15" customHeight="1" x14ac:dyDescent="0.3">
      <c r="A141" s="9">
        <v>131</v>
      </c>
      <c r="B141" s="157" t="s">
        <v>205</v>
      </c>
      <c r="C141" s="157" t="s">
        <v>276</v>
      </c>
      <c r="D141" s="157" t="s">
        <v>280</v>
      </c>
      <c r="E141" s="157"/>
      <c r="F141" s="48" t="s">
        <v>195</v>
      </c>
      <c r="G141" s="9">
        <v>30</v>
      </c>
      <c r="H141" s="158">
        <f>'Engineering Assumptions'!$F$23*0.03*1</f>
        <v>0.42</v>
      </c>
      <c r="I141" s="158">
        <f>'Engineering Assumptions'!$F$23*1</f>
        <v>14</v>
      </c>
      <c r="J141" s="12">
        <f>'Fleet Pricing'!L141</f>
        <v>230500</v>
      </c>
      <c r="K141" s="12">
        <f>'Maintenance &amp; Repair'!J141+'Maintenance &amp; Repair'!K141</f>
        <v>138240</v>
      </c>
      <c r="L141" s="159">
        <f t="shared" si="15"/>
        <v>0.59973969631236446</v>
      </c>
      <c r="M141" s="9">
        <f>MAX(0,'Engineering Assumptions'!$G$23-G141)</f>
        <v>0</v>
      </c>
      <c r="N141" s="160" t="str">
        <f t="shared" si="16"/>
        <v>REPLACE</v>
      </c>
      <c r="O141" s="161" t="str">
        <f t="shared" si="17"/>
        <v>End of life (age &gt; 20)</v>
      </c>
      <c r="P141" s="161" t="str">
        <f>'Engineering Assumptions'!H23</f>
        <v>BOMAG BW138/Dynapac CC1300 ~Rs. 12–18M</v>
      </c>
    </row>
    <row r="142" spans="1:16" ht="15" customHeight="1" x14ac:dyDescent="0.3">
      <c r="A142" s="9">
        <v>132</v>
      </c>
      <c r="B142" s="157" t="s">
        <v>205</v>
      </c>
      <c r="C142" s="157" t="s">
        <v>276</v>
      </c>
      <c r="D142" s="157" t="s">
        <v>281</v>
      </c>
      <c r="E142" s="157"/>
      <c r="F142" s="48" t="s">
        <v>195</v>
      </c>
      <c r="G142" s="9">
        <v>30</v>
      </c>
      <c r="H142" s="158">
        <f>'Engineering Assumptions'!$F$23*0.03*1</f>
        <v>0.42</v>
      </c>
      <c r="I142" s="158">
        <f>'Engineering Assumptions'!$F$23*1</f>
        <v>14</v>
      </c>
      <c r="J142" s="12">
        <f>'Fleet Pricing'!L142</f>
        <v>230500</v>
      </c>
      <c r="K142" s="12">
        <f>'Maintenance &amp; Repair'!J142+'Maintenance &amp; Repair'!K142</f>
        <v>138240</v>
      </c>
      <c r="L142" s="159">
        <f t="shared" si="15"/>
        <v>0.59973969631236446</v>
      </c>
      <c r="M142" s="9">
        <f>MAX(0,'Engineering Assumptions'!$G$23-G142)</f>
        <v>0</v>
      </c>
      <c r="N142" s="160" t="str">
        <f t="shared" si="16"/>
        <v>REPLACE</v>
      </c>
      <c r="O142" s="161" t="str">
        <f t="shared" si="17"/>
        <v>End of life (age &gt; 20)</v>
      </c>
      <c r="P142" s="161" t="str">
        <f>'Engineering Assumptions'!H23</f>
        <v>BOMAG BW138/Dynapac CC1300 ~Rs. 12–18M</v>
      </c>
    </row>
    <row r="143" spans="1:16" ht="15" customHeight="1" x14ac:dyDescent="0.3">
      <c r="A143" s="9">
        <v>133</v>
      </c>
      <c r="B143" s="157" t="s">
        <v>205</v>
      </c>
      <c r="C143" s="157" t="s">
        <v>276</v>
      </c>
      <c r="D143" s="157" t="s">
        <v>282</v>
      </c>
      <c r="E143" s="157"/>
      <c r="F143" s="48" t="s">
        <v>195</v>
      </c>
      <c r="G143" s="9">
        <v>30</v>
      </c>
      <c r="H143" s="158">
        <f>'Engineering Assumptions'!$F$23*0.03*1</f>
        <v>0.42</v>
      </c>
      <c r="I143" s="158">
        <f>'Engineering Assumptions'!$F$23*1</f>
        <v>14</v>
      </c>
      <c r="J143" s="12">
        <f>'Fleet Pricing'!L143</f>
        <v>230500</v>
      </c>
      <c r="K143" s="12">
        <f>'Maintenance &amp; Repair'!J143+'Maintenance &amp; Repair'!K143</f>
        <v>138240</v>
      </c>
      <c r="L143" s="159">
        <f t="shared" si="15"/>
        <v>0.59973969631236446</v>
      </c>
      <c r="M143" s="9">
        <f>MAX(0,'Engineering Assumptions'!$G$23-G143)</f>
        <v>0</v>
      </c>
      <c r="N143" s="160" t="str">
        <f t="shared" si="16"/>
        <v>REPLACE</v>
      </c>
      <c r="O143" s="161" t="str">
        <f t="shared" si="17"/>
        <v>End of life (age &gt; 20)</v>
      </c>
      <c r="P143" s="161" t="str">
        <f>'Engineering Assumptions'!H23</f>
        <v>BOMAG BW138/Dynapac CC1300 ~Rs. 12–18M</v>
      </c>
    </row>
    <row r="144" spans="1:16" ht="15" customHeight="1" x14ac:dyDescent="0.3">
      <c r="A144" s="9">
        <v>134</v>
      </c>
      <c r="B144" s="157" t="s">
        <v>205</v>
      </c>
      <c r="C144" s="157" t="s">
        <v>276</v>
      </c>
      <c r="D144" s="157" t="s">
        <v>283</v>
      </c>
      <c r="E144" s="157"/>
      <c r="F144" s="48" t="s">
        <v>195</v>
      </c>
      <c r="G144" s="9">
        <v>30</v>
      </c>
      <c r="H144" s="158">
        <f>'Engineering Assumptions'!$F$23*0.03*1</f>
        <v>0.42</v>
      </c>
      <c r="I144" s="158">
        <f>'Engineering Assumptions'!$F$23*1</f>
        <v>14</v>
      </c>
      <c r="J144" s="12">
        <f>'Fleet Pricing'!L144</f>
        <v>230500</v>
      </c>
      <c r="K144" s="12">
        <f>'Maintenance &amp; Repair'!J144+'Maintenance &amp; Repair'!K144</f>
        <v>138240</v>
      </c>
      <c r="L144" s="159">
        <f t="shared" si="15"/>
        <v>0.59973969631236446</v>
      </c>
      <c r="M144" s="9">
        <f>MAX(0,'Engineering Assumptions'!$G$23-G144)</f>
        <v>0</v>
      </c>
      <c r="N144" s="160" t="str">
        <f t="shared" si="16"/>
        <v>REPLACE</v>
      </c>
      <c r="O144" s="161" t="str">
        <f t="shared" si="17"/>
        <v>End of life (age &gt; 20)</v>
      </c>
      <c r="P144" s="161" t="str">
        <f>'Engineering Assumptions'!H23</f>
        <v>BOMAG BW138/Dynapac CC1300 ~Rs. 12–18M</v>
      </c>
    </row>
    <row r="145" spans="1:16" ht="15" customHeight="1" x14ac:dyDescent="0.3">
      <c r="A145" s="9">
        <v>135</v>
      </c>
      <c r="B145" s="157" t="s">
        <v>205</v>
      </c>
      <c r="C145" s="157" t="s">
        <v>276</v>
      </c>
      <c r="D145" s="157" t="s">
        <v>284</v>
      </c>
      <c r="E145" s="157"/>
      <c r="F145" s="48" t="s">
        <v>195</v>
      </c>
      <c r="G145" s="9">
        <v>30</v>
      </c>
      <c r="H145" s="158">
        <f>'Engineering Assumptions'!$F$23*0.03*1</f>
        <v>0.42</v>
      </c>
      <c r="I145" s="158">
        <f>'Engineering Assumptions'!$F$23*1</f>
        <v>14</v>
      </c>
      <c r="J145" s="12">
        <f>'Fleet Pricing'!L145</f>
        <v>230500</v>
      </c>
      <c r="K145" s="12">
        <f>'Maintenance &amp; Repair'!J145+'Maintenance &amp; Repair'!K145</f>
        <v>138240</v>
      </c>
      <c r="L145" s="159">
        <f t="shared" si="15"/>
        <v>0.59973969631236446</v>
      </c>
      <c r="M145" s="9">
        <f>MAX(0,'Engineering Assumptions'!$G$23-G145)</f>
        <v>0</v>
      </c>
      <c r="N145" s="160" t="str">
        <f t="shared" si="16"/>
        <v>REPLACE</v>
      </c>
      <c r="O145" s="161" t="str">
        <f t="shared" si="17"/>
        <v>End of life (age &gt; 20)</v>
      </c>
      <c r="P145" s="161" t="str">
        <f>'Engineering Assumptions'!H23</f>
        <v>BOMAG BW138/Dynapac CC1300 ~Rs. 12–18M</v>
      </c>
    </row>
    <row r="146" spans="1:16" ht="15" customHeight="1" x14ac:dyDescent="0.3">
      <c r="A146" s="9">
        <v>136</v>
      </c>
      <c r="B146" s="157" t="s">
        <v>205</v>
      </c>
      <c r="C146" s="157" t="s">
        <v>276</v>
      </c>
      <c r="D146" s="157" t="s">
        <v>285</v>
      </c>
      <c r="E146" s="157"/>
      <c r="F146" s="48" t="s">
        <v>195</v>
      </c>
      <c r="G146" s="9">
        <v>30</v>
      </c>
      <c r="H146" s="158">
        <f>'Engineering Assumptions'!$F$23*0.03*1</f>
        <v>0.42</v>
      </c>
      <c r="I146" s="158">
        <f>'Engineering Assumptions'!$F$23*1</f>
        <v>14</v>
      </c>
      <c r="J146" s="12">
        <f>'Fleet Pricing'!L146</f>
        <v>230500</v>
      </c>
      <c r="K146" s="12">
        <f>'Maintenance &amp; Repair'!J146+'Maintenance &amp; Repair'!K146</f>
        <v>138240</v>
      </c>
      <c r="L146" s="159">
        <f t="shared" ref="L146:L153" si="18">IFERROR(K146/J146,0)</f>
        <v>0.59973969631236446</v>
      </c>
      <c r="M146" s="9">
        <f>MAX(0,'Engineering Assumptions'!$G$23-G146)</f>
        <v>0</v>
      </c>
      <c r="N146" s="160" t="str">
        <f t="shared" ref="N146:N153" si="19">IF(G146&gt;=20,"REPLACE",IF(L146&gt;0.6,"REPLACE",IF(G146&gt;=15,"REPLACE",IF(OR(G146&gt;=11,L146&gt;0.4),"MONITOR","KEEP"))))</f>
        <v>REPLACE</v>
      </c>
      <c r="O146" s="161" t="str">
        <f t="shared" ref="O146:O153" si="20">IF(G146&gt;=20,"End of life (age &gt; 20)",IF(L146&gt;0.6,"Repairs exceed 60% of revenue",IF(G146&gt;=15,"Age 15+ → replace",IF(OR(G146&gt;=11,L146&gt;0.4),"Watch costs; plan replacement","Healthy — continue operating"))))</f>
        <v>End of life (age &gt; 20)</v>
      </c>
      <c r="P146" s="161" t="str">
        <f>'Engineering Assumptions'!H23</f>
        <v>BOMAG BW138/Dynapac CC1300 ~Rs. 12–18M</v>
      </c>
    </row>
    <row r="147" spans="1:16" ht="15" customHeight="1" x14ac:dyDescent="0.3">
      <c r="A147" s="9">
        <v>137</v>
      </c>
      <c r="B147" s="157" t="s">
        <v>205</v>
      </c>
      <c r="C147" s="157" t="s">
        <v>276</v>
      </c>
      <c r="D147" s="157" t="s">
        <v>286</v>
      </c>
      <c r="E147" s="157"/>
      <c r="F147" s="48" t="s">
        <v>195</v>
      </c>
      <c r="G147" s="9">
        <v>30</v>
      </c>
      <c r="H147" s="158">
        <f>'Engineering Assumptions'!$F$23*0.03*1</f>
        <v>0.42</v>
      </c>
      <c r="I147" s="158">
        <f>'Engineering Assumptions'!$F$23*1</f>
        <v>14</v>
      </c>
      <c r="J147" s="12">
        <f>'Fleet Pricing'!L147</f>
        <v>230500</v>
      </c>
      <c r="K147" s="12">
        <f>'Maintenance &amp; Repair'!J147+'Maintenance &amp; Repair'!K147</f>
        <v>138240</v>
      </c>
      <c r="L147" s="159">
        <f t="shared" si="18"/>
        <v>0.59973969631236446</v>
      </c>
      <c r="M147" s="9">
        <f>MAX(0,'Engineering Assumptions'!$G$23-G147)</f>
        <v>0</v>
      </c>
      <c r="N147" s="160" t="str">
        <f t="shared" si="19"/>
        <v>REPLACE</v>
      </c>
      <c r="O147" s="161" t="str">
        <f t="shared" si="20"/>
        <v>End of life (age &gt; 20)</v>
      </c>
      <c r="P147" s="161" t="str">
        <f>'Engineering Assumptions'!H23</f>
        <v>BOMAG BW138/Dynapac CC1300 ~Rs. 12–18M</v>
      </c>
    </row>
    <row r="148" spans="1:16" ht="15" customHeight="1" x14ac:dyDescent="0.3">
      <c r="A148" s="9">
        <v>138</v>
      </c>
      <c r="B148" s="157" t="s">
        <v>205</v>
      </c>
      <c r="C148" s="157" t="s">
        <v>276</v>
      </c>
      <c r="D148" s="157" t="s">
        <v>287</v>
      </c>
      <c r="E148" s="157"/>
      <c r="F148" s="48" t="s">
        <v>195</v>
      </c>
      <c r="G148" s="9">
        <v>30</v>
      </c>
      <c r="H148" s="158">
        <f>'Engineering Assumptions'!$F$23*0.03*1</f>
        <v>0.42</v>
      </c>
      <c r="I148" s="158">
        <f>'Engineering Assumptions'!$F$23*1</f>
        <v>14</v>
      </c>
      <c r="J148" s="12">
        <f>'Fleet Pricing'!L148</f>
        <v>230500</v>
      </c>
      <c r="K148" s="12">
        <f>'Maintenance &amp; Repair'!J148+'Maintenance &amp; Repair'!K148</f>
        <v>138240</v>
      </c>
      <c r="L148" s="159">
        <f t="shared" si="18"/>
        <v>0.59973969631236446</v>
      </c>
      <c r="M148" s="9">
        <f>MAX(0,'Engineering Assumptions'!$G$23-G148)</f>
        <v>0</v>
      </c>
      <c r="N148" s="160" t="str">
        <f t="shared" si="19"/>
        <v>REPLACE</v>
      </c>
      <c r="O148" s="161" t="str">
        <f t="shared" si="20"/>
        <v>End of life (age &gt; 20)</v>
      </c>
      <c r="P148" s="161" t="str">
        <f>'Engineering Assumptions'!H23</f>
        <v>BOMAG BW138/Dynapac CC1300 ~Rs. 12–18M</v>
      </c>
    </row>
    <row r="149" spans="1:16" ht="15" customHeight="1" x14ac:dyDescent="0.3">
      <c r="A149" s="9">
        <v>139</v>
      </c>
      <c r="B149" s="157" t="s">
        <v>205</v>
      </c>
      <c r="C149" s="157" t="s">
        <v>288</v>
      </c>
      <c r="D149" s="157"/>
      <c r="E149" s="157"/>
      <c r="F149" s="48" t="s">
        <v>195</v>
      </c>
      <c r="G149" s="9">
        <v>30</v>
      </c>
      <c r="H149" s="158">
        <f>'Engineering Assumptions'!$F$23*0.03*1</f>
        <v>0.42</v>
      </c>
      <c r="I149" s="158">
        <f>'Engineering Assumptions'!$F$23*1</f>
        <v>14</v>
      </c>
      <c r="J149" s="12">
        <f>'Fleet Pricing'!L149</f>
        <v>230500</v>
      </c>
      <c r="K149" s="12">
        <f>'Maintenance &amp; Repair'!J149+'Maintenance &amp; Repair'!K149</f>
        <v>138240</v>
      </c>
      <c r="L149" s="159">
        <f t="shared" si="18"/>
        <v>0.59973969631236446</v>
      </c>
      <c r="M149" s="9">
        <f>MAX(0,'Engineering Assumptions'!$G$23-G149)</f>
        <v>0</v>
      </c>
      <c r="N149" s="160" t="str">
        <f t="shared" si="19"/>
        <v>REPLACE</v>
      </c>
      <c r="O149" s="161" t="str">
        <f t="shared" si="20"/>
        <v>End of life (age &gt; 20)</v>
      </c>
      <c r="P149" s="161" t="str">
        <f>'Engineering Assumptions'!H23</f>
        <v>BOMAG BW138/Dynapac CC1300 ~Rs. 12–18M</v>
      </c>
    </row>
    <row r="150" spans="1:16" ht="15" customHeight="1" x14ac:dyDescent="0.3">
      <c r="A150" s="9">
        <v>140</v>
      </c>
      <c r="B150" s="157" t="s">
        <v>205</v>
      </c>
      <c r="C150" s="157" t="s">
        <v>289</v>
      </c>
      <c r="D150" s="157" t="s">
        <v>290</v>
      </c>
      <c r="E150" s="157"/>
      <c r="F150" s="48" t="s">
        <v>195</v>
      </c>
      <c r="G150" s="9">
        <v>30</v>
      </c>
      <c r="H150" s="158">
        <f>'Engineering Assumptions'!$F$23*0.03*1</f>
        <v>0.42</v>
      </c>
      <c r="I150" s="158">
        <f>'Engineering Assumptions'!$F$23*1</f>
        <v>14</v>
      </c>
      <c r="J150" s="12">
        <f>'Fleet Pricing'!L150</f>
        <v>230500</v>
      </c>
      <c r="K150" s="12">
        <f>'Maintenance &amp; Repair'!J150+'Maintenance &amp; Repair'!K150</f>
        <v>138240</v>
      </c>
      <c r="L150" s="159">
        <f t="shared" si="18"/>
        <v>0.59973969631236446</v>
      </c>
      <c r="M150" s="9">
        <f>MAX(0,'Engineering Assumptions'!$G$23-G150)</f>
        <v>0</v>
      </c>
      <c r="N150" s="160" t="str">
        <f t="shared" si="19"/>
        <v>REPLACE</v>
      </c>
      <c r="O150" s="161" t="str">
        <f t="shared" si="20"/>
        <v>End of life (age &gt; 20)</v>
      </c>
      <c r="P150" s="161" t="str">
        <f>'Engineering Assumptions'!H23</f>
        <v>BOMAG BW138/Dynapac CC1300 ~Rs. 12–18M</v>
      </c>
    </row>
    <row r="151" spans="1:16" ht="15" customHeight="1" x14ac:dyDescent="0.3">
      <c r="A151" s="9">
        <v>141</v>
      </c>
      <c r="B151" s="157" t="s">
        <v>205</v>
      </c>
      <c r="C151" s="157" t="s">
        <v>240</v>
      </c>
      <c r="D151" s="157" t="s">
        <v>291</v>
      </c>
      <c r="E151" s="157"/>
      <c r="F151" s="48" t="s">
        <v>195</v>
      </c>
      <c r="G151" s="9">
        <v>30</v>
      </c>
      <c r="H151" s="158">
        <f>'Engineering Assumptions'!$F$23*0.03*1</f>
        <v>0.42</v>
      </c>
      <c r="I151" s="158">
        <f>'Engineering Assumptions'!$F$23*1</f>
        <v>14</v>
      </c>
      <c r="J151" s="12">
        <f>'Fleet Pricing'!L151</f>
        <v>230500</v>
      </c>
      <c r="K151" s="12">
        <f>'Maintenance &amp; Repair'!J151+'Maintenance &amp; Repair'!K151</f>
        <v>138240</v>
      </c>
      <c r="L151" s="159">
        <f t="shared" si="18"/>
        <v>0.59973969631236446</v>
      </c>
      <c r="M151" s="9">
        <f>MAX(0,'Engineering Assumptions'!$G$23-G151)</f>
        <v>0</v>
      </c>
      <c r="N151" s="160" t="str">
        <f t="shared" si="19"/>
        <v>REPLACE</v>
      </c>
      <c r="O151" s="161" t="str">
        <f t="shared" si="20"/>
        <v>End of life (age &gt; 20)</v>
      </c>
      <c r="P151" s="161" t="str">
        <f>'Engineering Assumptions'!H23</f>
        <v>BOMAG BW138/Dynapac CC1300 ~Rs. 12–18M</v>
      </c>
    </row>
    <row r="152" spans="1:16" ht="15" customHeight="1" x14ac:dyDescent="0.3">
      <c r="A152" s="9">
        <v>142</v>
      </c>
      <c r="B152" s="157" t="s">
        <v>205</v>
      </c>
      <c r="C152" s="157" t="s">
        <v>292</v>
      </c>
      <c r="D152" s="157" t="s">
        <v>293</v>
      </c>
      <c r="E152" s="157"/>
      <c r="F152" s="48" t="s">
        <v>195</v>
      </c>
      <c r="G152" s="9">
        <v>30</v>
      </c>
      <c r="H152" s="158">
        <f>'Engineering Assumptions'!$F$23*0.03*1</f>
        <v>0.42</v>
      </c>
      <c r="I152" s="158">
        <f>'Engineering Assumptions'!$F$23*1</f>
        <v>14</v>
      </c>
      <c r="J152" s="12">
        <f>'Fleet Pricing'!L152</f>
        <v>230500</v>
      </c>
      <c r="K152" s="12">
        <f>'Maintenance &amp; Repair'!J152+'Maintenance &amp; Repair'!K152</f>
        <v>138240</v>
      </c>
      <c r="L152" s="159">
        <f t="shared" si="18"/>
        <v>0.59973969631236446</v>
      </c>
      <c r="M152" s="9">
        <f>MAX(0,'Engineering Assumptions'!$G$23-G152)</f>
        <v>0</v>
      </c>
      <c r="N152" s="160" t="str">
        <f t="shared" si="19"/>
        <v>REPLACE</v>
      </c>
      <c r="O152" s="161" t="str">
        <f t="shared" si="20"/>
        <v>End of life (age &gt; 20)</v>
      </c>
      <c r="P152" s="161" t="str">
        <f>'Engineering Assumptions'!H23</f>
        <v>BOMAG BW138/Dynapac CC1300 ~Rs. 12–18M</v>
      </c>
    </row>
    <row r="153" spans="1:16" ht="15" customHeight="1" x14ac:dyDescent="0.3">
      <c r="A153" s="9">
        <v>143</v>
      </c>
      <c r="B153" s="157" t="s">
        <v>205</v>
      </c>
      <c r="C153" s="157" t="s">
        <v>294</v>
      </c>
      <c r="D153" s="157" t="s">
        <v>295</v>
      </c>
      <c r="E153" s="157"/>
      <c r="F153" s="48" t="s">
        <v>195</v>
      </c>
      <c r="G153" s="9">
        <v>30</v>
      </c>
      <c r="H153" s="158">
        <f>'Engineering Assumptions'!$F$23*0.03*1</f>
        <v>0.42</v>
      </c>
      <c r="I153" s="158">
        <f>'Engineering Assumptions'!$F$23*1</f>
        <v>14</v>
      </c>
      <c r="J153" s="12">
        <f>'Fleet Pricing'!L153</f>
        <v>230500</v>
      </c>
      <c r="K153" s="12">
        <f>'Maintenance &amp; Repair'!J153+'Maintenance &amp; Repair'!K153</f>
        <v>138240</v>
      </c>
      <c r="L153" s="159">
        <f t="shared" si="18"/>
        <v>0.59973969631236446</v>
      </c>
      <c r="M153" s="9">
        <f>MAX(0,'Engineering Assumptions'!$G$23-G153)</f>
        <v>0</v>
      </c>
      <c r="N153" s="160" t="str">
        <f t="shared" si="19"/>
        <v>REPLACE</v>
      </c>
      <c r="O153" s="161" t="str">
        <f t="shared" si="20"/>
        <v>End of life (age &gt; 20)</v>
      </c>
      <c r="P153" s="161" t="str">
        <f>'Engineering Assumptions'!H23</f>
        <v>BOMAG BW138/Dynapac CC1300 ~Rs. 12–18M</v>
      </c>
    </row>
    <row r="154" spans="1:16" ht="15" customHeight="1" x14ac:dyDescent="0.3">
      <c r="A154" s="199" t="s">
        <v>296</v>
      </c>
      <c r="B154" s="200"/>
      <c r="C154" s="200"/>
      <c r="D154" s="200"/>
      <c r="E154" s="200"/>
      <c r="F154" s="200"/>
      <c r="G154" s="200"/>
      <c r="H154" s="200"/>
      <c r="I154" s="200"/>
      <c r="J154" s="200"/>
      <c r="K154" s="200"/>
      <c r="L154" s="200"/>
      <c r="M154" s="200"/>
      <c r="N154" s="200"/>
      <c r="O154" s="200"/>
      <c r="P154" s="200"/>
    </row>
    <row r="155" spans="1:16" ht="15" customHeight="1" x14ac:dyDescent="0.3">
      <c r="A155" s="9">
        <v>144</v>
      </c>
      <c r="B155" s="157" t="s">
        <v>297</v>
      </c>
      <c r="C155" s="157" t="s">
        <v>188</v>
      </c>
      <c r="D155" s="157" t="s">
        <v>298</v>
      </c>
      <c r="E155" s="157"/>
      <c r="F155" s="48" t="s">
        <v>66</v>
      </c>
      <c r="G155" s="9">
        <v>14</v>
      </c>
      <c r="H155" s="158">
        <f>'Engineering Assumptions'!$F$24*0.12*1</f>
        <v>2.2799999999999998</v>
      </c>
      <c r="I155" s="158">
        <f>'Engineering Assumptions'!$F$24*1</f>
        <v>19</v>
      </c>
      <c r="J155" s="12">
        <f>'Fleet Pricing'!L155</f>
        <v>330500</v>
      </c>
      <c r="K155" s="12">
        <f>'Maintenance &amp; Repair'!J155+'Maintenance &amp; Repair'!K155</f>
        <v>80940</v>
      </c>
      <c r="L155" s="159">
        <f t="shared" ref="L155:L164" si="21">IFERROR(K155/J155,0)</f>
        <v>0.24490166414523448</v>
      </c>
      <c r="M155" s="9">
        <f>MAX(0,'Engineering Assumptions'!$G$24-G155)</f>
        <v>1</v>
      </c>
      <c r="N155" s="160" t="str">
        <f t="shared" ref="N155:N164" si="22">IF(G155&gt;=20,"REPLACE",IF(L155&gt;0.6,"REPLACE",IF(G155&gt;=15,"REPLACE",IF(OR(G155&gt;=11,L155&gt;0.4),"MONITOR","KEEP"))))</f>
        <v>MONITOR</v>
      </c>
      <c r="O155" s="161" t="str">
        <f t="shared" ref="O155:O164" si="23">IF(G155&gt;=20,"End of life (age &gt; 20)",IF(L155&gt;0.6,"Repairs exceed 60% of revenue",IF(G155&gt;=15,"Age 15+ → replace",IF(OR(G155&gt;=11,L155&gt;0.4),"Watch costs; plan replacement","Healthy — continue operating"))))</f>
        <v>Watch costs; plan replacement</v>
      </c>
      <c r="P155" s="161" t="str">
        <f>'Engineering Assumptions'!H24</f>
        <v>Dynapac CP201 / SAKAI ~Rs. 18–22M</v>
      </c>
    </row>
    <row r="156" spans="1:16" ht="15" customHeight="1" x14ac:dyDescent="0.3">
      <c r="A156" s="9">
        <v>145</v>
      </c>
      <c r="B156" s="157" t="s">
        <v>297</v>
      </c>
      <c r="C156" s="157" t="s">
        <v>299</v>
      </c>
      <c r="D156" s="157" t="s">
        <v>300</v>
      </c>
      <c r="E156" s="157"/>
      <c r="F156" s="48" t="s">
        <v>66</v>
      </c>
      <c r="G156" s="9">
        <v>14</v>
      </c>
      <c r="H156" s="158">
        <f>'Engineering Assumptions'!$F$24*0.12*1</f>
        <v>2.2799999999999998</v>
      </c>
      <c r="I156" s="158">
        <f>'Engineering Assumptions'!$F$24*1</f>
        <v>19</v>
      </c>
      <c r="J156" s="12">
        <f>'Fleet Pricing'!L156</f>
        <v>330500</v>
      </c>
      <c r="K156" s="12">
        <f>'Maintenance &amp; Repair'!J156+'Maintenance &amp; Repair'!K156</f>
        <v>80940</v>
      </c>
      <c r="L156" s="159">
        <f t="shared" si="21"/>
        <v>0.24490166414523448</v>
      </c>
      <c r="M156" s="9">
        <f>MAX(0,'Engineering Assumptions'!$G$24-G156)</f>
        <v>1</v>
      </c>
      <c r="N156" s="160" t="str">
        <f t="shared" si="22"/>
        <v>MONITOR</v>
      </c>
      <c r="O156" s="161" t="str">
        <f t="shared" si="23"/>
        <v>Watch costs; plan replacement</v>
      </c>
      <c r="P156" s="161" t="str">
        <f>'Engineering Assumptions'!H24</f>
        <v>Dynapac CP201 / SAKAI ~Rs. 18–22M</v>
      </c>
    </row>
    <row r="157" spans="1:16" ht="15" customHeight="1" x14ac:dyDescent="0.3">
      <c r="A157" s="9">
        <v>146</v>
      </c>
      <c r="B157" s="157" t="s">
        <v>297</v>
      </c>
      <c r="C157" s="157" t="s">
        <v>299</v>
      </c>
      <c r="D157" s="157" t="s">
        <v>301</v>
      </c>
      <c r="E157" s="157"/>
      <c r="F157" s="48" t="s">
        <v>66</v>
      </c>
      <c r="G157" s="9">
        <v>14</v>
      </c>
      <c r="H157" s="158">
        <f>'Engineering Assumptions'!$F$24*0.12*1</f>
        <v>2.2799999999999998</v>
      </c>
      <c r="I157" s="158">
        <f>'Engineering Assumptions'!$F$24*1</f>
        <v>19</v>
      </c>
      <c r="J157" s="12">
        <f>'Fleet Pricing'!L157</f>
        <v>330500</v>
      </c>
      <c r="K157" s="12">
        <f>'Maintenance &amp; Repair'!J157+'Maintenance &amp; Repair'!K157</f>
        <v>80940</v>
      </c>
      <c r="L157" s="159">
        <f t="shared" si="21"/>
        <v>0.24490166414523448</v>
      </c>
      <c r="M157" s="9">
        <f>MAX(0,'Engineering Assumptions'!$G$24-G157)</f>
        <v>1</v>
      </c>
      <c r="N157" s="160" t="str">
        <f t="shared" si="22"/>
        <v>MONITOR</v>
      </c>
      <c r="O157" s="161" t="str">
        <f t="shared" si="23"/>
        <v>Watch costs; plan replacement</v>
      </c>
      <c r="P157" s="161" t="str">
        <f>'Engineering Assumptions'!H24</f>
        <v>Dynapac CP201 / SAKAI ~Rs. 18–22M</v>
      </c>
    </row>
    <row r="158" spans="1:16" ht="15" customHeight="1" x14ac:dyDescent="0.3">
      <c r="A158" s="9">
        <v>147</v>
      </c>
      <c r="B158" s="157" t="s">
        <v>297</v>
      </c>
      <c r="C158" s="157" t="s">
        <v>302</v>
      </c>
      <c r="D158" s="157" t="s">
        <v>303</v>
      </c>
      <c r="E158" s="157"/>
      <c r="F158" s="48" t="s">
        <v>66</v>
      </c>
      <c r="G158" s="9">
        <v>14</v>
      </c>
      <c r="H158" s="158">
        <f>'Engineering Assumptions'!$F$24*0.12*1</f>
        <v>2.2799999999999998</v>
      </c>
      <c r="I158" s="158">
        <f>'Engineering Assumptions'!$F$24*1</f>
        <v>19</v>
      </c>
      <c r="J158" s="12">
        <f>'Fleet Pricing'!L158</f>
        <v>330500</v>
      </c>
      <c r="K158" s="12">
        <f>'Maintenance &amp; Repair'!J158+'Maintenance &amp; Repair'!K158</f>
        <v>80940</v>
      </c>
      <c r="L158" s="159">
        <f t="shared" si="21"/>
        <v>0.24490166414523448</v>
      </c>
      <c r="M158" s="9">
        <f>MAX(0,'Engineering Assumptions'!$G$24-G158)</f>
        <v>1</v>
      </c>
      <c r="N158" s="160" t="str">
        <f t="shared" si="22"/>
        <v>MONITOR</v>
      </c>
      <c r="O158" s="161" t="str">
        <f t="shared" si="23"/>
        <v>Watch costs; plan replacement</v>
      </c>
      <c r="P158" s="161" t="str">
        <f>'Engineering Assumptions'!H24</f>
        <v>Dynapac CP201 / SAKAI ~Rs. 18–22M</v>
      </c>
    </row>
    <row r="159" spans="1:16" ht="15" customHeight="1" x14ac:dyDescent="0.3">
      <c r="A159" s="9">
        <v>148</v>
      </c>
      <c r="B159" s="157" t="s">
        <v>297</v>
      </c>
      <c r="C159" s="157" t="s">
        <v>304</v>
      </c>
      <c r="D159" s="157" t="s">
        <v>305</v>
      </c>
      <c r="E159" s="157"/>
      <c r="F159" s="48" t="s">
        <v>66</v>
      </c>
      <c r="G159" s="9">
        <v>14</v>
      </c>
      <c r="H159" s="158">
        <f>'Engineering Assumptions'!$F$24*0.12*1</f>
        <v>2.2799999999999998</v>
      </c>
      <c r="I159" s="158">
        <f>'Engineering Assumptions'!$F$24*1</f>
        <v>19</v>
      </c>
      <c r="J159" s="12">
        <f>'Fleet Pricing'!L159</f>
        <v>330500</v>
      </c>
      <c r="K159" s="12">
        <f>'Maintenance &amp; Repair'!J159+'Maintenance &amp; Repair'!K159</f>
        <v>80940</v>
      </c>
      <c r="L159" s="159">
        <f t="shared" si="21"/>
        <v>0.24490166414523448</v>
      </c>
      <c r="M159" s="9">
        <f>MAX(0,'Engineering Assumptions'!$G$24-G159)</f>
        <v>1</v>
      </c>
      <c r="N159" s="160" t="str">
        <f t="shared" si="22"/>
        <v>MONITOR</v>
      </c>
      <c r="O159" s="161" t="str">
        <f t="shared" si="23"/>
        <v>Watch costs; plan replacement</v>
      </c>
      <c r="P159" s="161" t="str">
        <f>'Engineering Assumptions'!H24</f>
        <v>Dynapac CP201 / SAKAI ~Rs. 18–22M</v>
      </c>
    </row>
    <row r="160" spans="1:16" ht="15" customHeight="1" x14ac:dyDescent="0.3">
      <c r="A160" s="9">
        <v>149</v>
      </c>
      <c r="B160" s="157" t="s">
        <v>297</v>
      </c>
      <c r="C160" s="157" t="s">
        <v>306</v>
      </c>
      <c r="D160" s="157" t="s">
        <v>307</v>
      </c>
      <c r="E160" s="157"/>
      <c r="F160" s="48" t="s">
        <v>66</v>
      </c>
      <c r="G160" s="9">
        <v>14</v>
      </c>
      <c r="H160" s="158">
        <f>'Engineering Assumptions'!$F$24*0.12*1</f>
        <v>2.2799999999999998</v>
      </c>
      <c r="I160" s="158">
        <f>'Engineering Assumptions'!$F$24*1</f>
        <v>19</v>
      </c>
      <c r="J160" s="12">
        <f>'Fleet Pricing'!L160</f>
        <v>330500</v>
      </c>
      <c r="K160" s="12">
        <f>'Maintenance &amp; Repair'!J160+'Maintenance &amp; Repair'!K160</f>
        <v>80940</v>
      </c>
      <c r="L160" s="159">
        <f t="shared" si="21"/>
        <v>0.24490166414523448</v>
      </c>
      <c r="M160" s="9">
        <f>MAX(0,'Engineering Assumptions'!$G$24-G160)</f>
        <v>1</v>
      </c>
      <c r="N160" s="160" t="str">
        <f t="shared" si="22"/>
        <v>MONITOR</v>
      </c>
      <c r="O160" s="161" t="str">
        <f t="shared" si="23"/>
        <v>Watch costs; plan replacement</v>
      </c>
      <c r="P160" s="161" t="str">
        <f>'Engineering Assumptions'!H24</f>
        <v>Dynapac CP201 / SAKAI ~Rs. 18–22M</v>
      </c>
    </row>
    <row r="161" spans="1:16" ht="15" customHeight="1" x14ac:dyDescent="0.3">
      <c r="A161" s="9">
        <v>150</v>
      </c>
      <c r="B161" s="157" t="s">
        <v>297</v>
      </c>
      <c r="C161" s="157" t="s">
        <v>308</v>
      </c>
      <c r="D161" s="157" t="s">
        <v>309</v>
      </c>
      <c r="E161" s="157"/>
      <c r="F161" s="48" t="s">
        <v>66</v>
      </c>
      <c r="G161" s="9">
        <v>14</v>
      </c>
      <c r="H161" s="158">
        <f>'Engineering Assumptions'!$F$24*0.12*1</f>
        <v>2.2799999999999998</v>
      </c>
      <c r="I161" s="158">
        <f>'Engineering Assumptions'!$F$24*1</f>
        <v>19</v>
      </c>
      <c r="J161" s="12">
        <f>'Fleet Pricing'!L161</f>
        <v>330500</v>
      </c>
      <c r="K161" s="12">
        <f>'Maintenance &amp; Repair'!J161+'Maintenance &amp; Repair'!K161</f>
        <v>80940</v>
      </c>
      <c r="L161" s="159">
        <f t="shared" si="21"/>
        <v>0.24490166414523448</v>
      </c>
      <c r="M161" s="9">
        <f>MAX(0,'Engineering Assumptions'!$G$24-G161)</f>
        <v>1</v>
      </c>
      <c r="N161" s="160" t="str">
        <f t="shared" si="22"/>
        <v>MONITOR</v>
      </c>
      <c r="O161" s="161" t="str">
        <f t="shared" si="23"/>
        <v>Watch costs; plan replacement</v>
      </c>
      <c r="P161" s="161" t="str">
        <f>'Engineering Assumptions'!H24</f>
        <v>Dynapac CP201 / SAKAI ~Rs. 18–22M</v>
      </c>
    </row>
    <row r="162" spans="1:16" ht="15" customHeight="1" x14ac:dyDescent="0.3">
      <c r="A162" s="9">
        <v>151</v>
      </c>
      <c r="B162" s="157" t="s">
        <v>297</v>
      </c>
      <c r="C162" s="157" t="s">
        <v>310</v>
      </c>
      <c r="D162" s="157" t="s">
        <v>311</v>
      </c>
      <c r="E162" s="157"/>
      <c r="F162" s="48" t="s">
        <v>143</v>
      </c>
      <c r="G162" s="9">
        <v>26</v>
      </c>
      <c r="H162" s="158">
        <f>'Engineering Assumptions'!$F$24*0.03*1</f>
        <v>0.56999999999999995</v>
      </c>
      <c r="I162" s="158">
        <f>'Engineering Assumptions'!$F$24*1</f>
        <v>19</v>
      </c>
      <c r="J162" s="12">
        <f>'Fleet Pricing'!L162</f>
        <v>262000</v>
      </c>
      <c r="K162" s="12">
        <f>'Maintenance &amp; Repair'!J162+'Maintenance &amp; Repair'!K162</f>
        <v>154800</v>
      </c>
      <c r="L162" s="159">
        <f t="shared" si="21"/>
        <v>0.59083969465648856</v>
      </c>
      <c r="M162" s="9">
        <f>MAX(0,'Engineering Assumptions'!$G$24-G162)</f>
        <v>0</v>
      </c>
      <c r="N162" s="160" t="str">
        <f t="shared" si="22"/>
        <v>REPLACE</v>
      </c>
      <c r="O162" s="161" t="str">
        <f t="shared" si="23"/>
        <v>End of life (age &gt; 20)</v>
      </c>
      <c r="P162" s="161" t="str">
        <f>'Engineering Assumptions'!H24</f>
        <v>Dynapac CP201 / SAKAI ~Rs. 18–22M</v>
      </c>
    </row>
    <row r="163" spans="1:16" ht="15" customHeight="1" x14ac:dyDescent="0.3">
      <c r="A163" s="9">
        <v>152</v>
      </c>
      <c r="B163" s="157" t="s">
        <v>297</v>
      </c>
      <c r="C163" s="157" t="s">
        <v>312</v>
      </c>
      <c r="D163" s="157" t="s">
        <v>313</v>
      </c>
      <c r="E163" s="157"/>
      <c r="F163" s="48" t="s">
        <v>314</v>
      </c>
      <c r="G163" s="9">
        <v>36</v>
      </c>
      <c r="H163" s="158">
        <f>'Engineering Assumptions'!$F$24*0.03*1</f>
        <v>0.56999999999999995</v>
      </c>
      <c r="I163" s="158">
        <f>'Engineering Assumptions'!$F$24*1</f>
        <v>19</v>
      </c>
      <c r="J163" s="12">
        <f>'Fleet Pricing'!L163</f>
        <v>233500</v>
      </c>
      <c r="K163" s="12">
        <f>'Maintenance &amp; Repair'!J163+'Maintenance &amp; Repair'!K163</f>
        <v>154800</v>
      </c>
      <c r="L163" s="159">
        <f t="shared" si="21"/>
        <v>0.66295503211991436</v>
      </c>
      <c r="M163" s="9">
        <f>MAX(0,'Engineering Assumptions'!$G$24-G163)</f>
        <v>0</v>
      </c>
      <c r="N163" s="160" t="str">
        <f t="shared" si="22"/>
        <v>REPLACE</v>
      </c>
      <c r="O163" s="161" t="str">
        <f t="shared" si="23"/>
        <v>End of life (age &gt; 20)</v>
      </c>
      <c r="P163" s="161" t="str">
        <f>'Engineering Assumptions'!H24</f>
        <v>Dynapac CP201 / SAKAI ~Rs. 18–22M</v>
      </c>
    </row>
    <row r="164" spans="1:16" ht="15" customHeight="1" x14ac:dyDescent="0.3">
      <c r="A164" s="9">
        <v>153</v>
      </c>
      <c r="B164" s="157" t="s">
        <v>297</v>
      </c>
      <c r="C164" s="157" t="s">
        <v>315</v>
      </c>
      <c r="D164" s="157" t="s">
        <v>316</v>
      </c>
      <c r="E164" s="157"/>
      <c r="F164" s="48" t="s">
        <v>195</v>
      </c>
      <c r="G164" s="9">
        <v>30</v>
      </c>
      <c r="H164" s="158">
        <f>'Engineering Assumptions'!$F$24*0.03*1</f>
        <v>0.56999999999999995</v>
      </c>
      <c r="I164" s="158">
        <f>'Engineering Assumptions'!$F$24*1</f>
        <v>19</v>
      </c>
      <c r="J164" s="12">
        <f>'Fleet Pricing'!L164</f>
        <v>233500</v>
      </c>
      <c r="K164" s="12">
        <f>'Maintenance &amp; Repair'!J164+'Maintenance &amp; Repair'!K164</f>
        <v>154800</v>
      </c>
      <c r="L164" s="159">
        <f t="shared" si="21"/>
        <v>0.66295503211991436</v>
      </c>
      <c r="M164" s="9">
        <f>MAX(0,'Engineering Assumptions'!$G$24-G164)</f>
        <v>0</v>
      </c>
      <c r="N164" s="160" t="str">
        <f t="shared" si="22"/>
        <v>REPLACE</v>
      </c>
      <c r="O164" s="161" t="str">
        <f t="shared" si="23"/>
        <v>End of life (age &gt; 20)</v>
      </c>
      <c r="P164" s="161" t="str">
        <f>'Engineering Assumptions'!H24</f>
        <v>Dynapac CP201 / SAKAI ~Rs. 18–22M</v>
      </c>
    </row>
    <row r="165" spans="1:16" ht="15" customHeight="1" x14ac:dyDescent="0.3">
      <c r="A165" s="199" t="s">
        <v>317</v>
      </c>
      <c r="B165" s="200"/>
      <c r="C165" s="200"/>
      <c r="D165" s="200"/>
      <c r="E165" s="200"/>
      <c r="F165" s="200"/>
      <c r="G165" s="200"/>
      <c r="H165" s="200"/>
      <c r="I165" s="200"/>
      <c r="J165" s="200"/>
      <c r="K165" s="200"/>
      <c r="L165" s="200"/>
      <c r="M165" s="200"/>
      <c r="N165" s="200"/>
      <c r="O165" s="200"/>
      <c r="P165" s="200"/>
    </row>
    <row r="166" spans="1:16" ht="15" customHeight="1" x14ac:dyDescent="0.3">
      <c r="A166" s="9">
        <v>154</v>
      </c>
      <c r="B166" s="157" t="s">
        <v>318</v>
      </c>
      <c r="C166" s="157" t="s">
        <v>319</v>
      </c>
      <c r="D166" s="157" t="s">
        <v>320</v>
      </c>
      <c r="E166" s="157" t="s">
        <v>321</v>
      </c>
      <c r="F166" s="48" t="s">
        <v>23</v>
      </c>
      <c r="G166" s="9">
        <v>5</v>
      </c>
      <c r="H166" s="158">
        <f>'Engineering Assumptions'!$F$25*0.5*1</f>
        <v>27.5</v>
      </c>
      <c r="I166" s="158">
        <f>'Engineering Assumptions'!$F$25*1</f>
        <v>55</v>
      </c>
      <c r="J166" s="12">
        <f>'Fleet Pricing'!L166</f>
        <v>984500</v>
      </c>
      <c r="K166" s="12">
        <f>'Maintenance &amp; Repair'!J166+'Maintenance &amp; Repair'!K166</f>
        <v>72000</v>
      </c>
      <c r="L166" s="159">
        <f t="shared" ref="L166:L181" si="24">IFERROR(K166/J166,0)</f>
        <v>7.3133570340274248E-2</v>
      </c>
      <c r="M166" s="9">
        <f>MAX(0,'Engineering Assumptions'!$G$25-G166)</f>
        <v>13</v>
      </c>
      <c r="N166" s="160" t="str">
        <f t="shared" ref="N166:N181" si="25">IF(G166&gt;=20,"REPLACE",IF(L166&gt;0.6,"REPLACE",IF(G166&gt;=15,"REPLACE",IF(OR(G166&gt;=11,L166&gt;0.4),"MONITOR","KEEP"))))</f>
        <v>KEEP</v>
      </c>
      <c r="O166" s="161" t="str">
        <f t="shared" ref="O166:O181" si="26">IF(G166&gt;=20,"End of life (age &gt; 20)",IF(L166&gt;0.6,"Repairs exceed 60% of revenue",IF(G166&gt;=15,"Age 15+ → replace",IF(OR(G166&gt;=11,L166&gt;0.4),"Watch costs; plan replacement","Healthy — continue operating"))))</f>
        <v>Healthy — continue operating</v>
      </c>
      <c r="P166" s="161" t="str">
        <f>'Engineering Assumptions'!H25</f>
        <v>SANY STG170 / CAT 140 new ~Rs. 45–65M</v>
      </c>
    </row>
    <row r="167" spans="1:16" ht="15" customHeight="1" x14ac:dyDescent="0.3">
      <c r="A167" s="9">
        <v>155</v>
      </c>
      <c r="B167" s="157" t="s">
        <v>318</v>
      </c>
      <c r="C167" s="157" t="s">
        <v>322</v>
      </c>
      <c r="D167" s="157" t="s">
        <v>323</v>
      </c>
      <c r="E167" s="157" t="s">
        <v>324</v>
      </c>
      <c r="F167" s="48" t="s">
        <v>23</v>
      </c>
      <c r="G167" s="9">
        <v>5</v>
      </c>
      <c r="H167" s="158">
        <f>'Engineering Assumptions'!$F$25*0.5*1</f>
        <v>27.5</v>
      </c>
      <c r="I167" s="158">
        <f>'Engineering Assumptions'!$F$25*1</f>
        <v>55</v>
      </c>
      <c r="J167" s="12">
        <f>'Fleet Pricing'!L167</f>
        <v>984500</v>
      </c>
      <c r="K167" s="12">
        <f>'Maintenance &amp; Repair'!J167+'Maintenance &amp; Repair'!K167</f>
        <v>72000</v>
      </c>
      <c r="L167" s="159">
        <f t="shared" si="24"/>
        <v>7.3133570340274248E-2</v>
      </c>
      <c r="M167" s="9">
        <f>MAX(0,'Engineering Assumptions'!$G$25-G167)</f>
        <v>13</v>
      </c>
      <c r="N167" s="160" t="str">
        <f t="shared" si="25"/>
        <v>KEEP</v>
      </c>
      <c r="O167" s="161" t="str">
        <f t="shared" si="26"/>
        <v>Healthy — continue operating</v>
      </c>
      <c r="P167" s="161" t="str">
        <f>'Engineering Assumptions'!H25</f>
        <v>SANY STG170 / CAT 140 new ~Rs. 45–65M</v>
      </c>
    </row>
    <row r="168" spans="1:16" ht="15" customHeight="1" x14ac:dyDescent="0.3">
      <c r="A168" s="9">
        <v>156</v>
      </c>
      <c r="B168" s="157" t="s">
        <v>318</v>
      </c>
      <c r="C168" s="157" t="s">
        <v>319</v>
      </c>
      <c r="D168" s="157" t="s">
        <v>325</v>
      </c>
      <c r="E168" s="157" t="s">
        <v>326</v>
      </c>
      <c r="F168" s="48" t="s">
        <v>31</v>
      </c>
      <c r="G168" s="9">
        <v>6</v>
      </c>
      <c r="H168" s="158">
        <f>'Engineering Assumptions'!$F$25*0.35*1</f>
        <v>19.25</v>
      </c>
      <c r="I168" s="158">
        <f>'Engineering Assumptions'!$F$25*1</f>
        <v>55</v>
      </c>
      <c r="J168" s="12">
        <f>'Fleet Pricing'!L168</f>
        <v>984500</v>
      </c>
      <c r="K168" s="12">
        <f>'Maintenance &amp; Repair'!J168+'Maintenance &amp; Repair'!K168</f>
        <v>117000</v>
      </c>
      <c r="L168" s="159">
        <f t="shared" si="24"/>
        <v>0.11884205180294566</v>
      </c>
      <c r="M168" s="9">
        <f>MAX(0,'Engineering Assumptions'!$G$25-G168)</f>
        <v>12</v>
      </c>
      <c r="N168" s="160" t="str">
        <f t="shared" si="25"/>
        <v>KEEP</v>
      </c>
      <c r="O168" s="161" t="str">
        <f t="shared" si="26"/>
        <v>Healthy — continue operating</v>
      </c>
      <c r="P168" s="161" t="str">
        <f>'Engineering Assumptions'!H25</f>
        <v>SANY STG170 / CAT 140 new ~Rs. 45–65M</v>
      </c>
    </row>
    <row r="169" spans="1:16" ht="15" customHeight="1" x14ac:dyDescent="0.3">
      <c r="A169" s="9">
        <v>157</v>
      </c>
      <c r="B169" s="157" t="s">
        <v>318</v>
      </c>
      <c r="C169" s="157" t="s">
        <v>319</v>
      </c>
      <c r="D169" s="157" t="s">
        <v>327</v>
      </c>
      <c r="E169" s="157" t="s">
        <v>328</v>
      </c>
      <c r="F169" s="48" t="s">
        <v>31</v>
      </c>
      <c r="G169" s="9">
        <v>6</v>
      </c>
      <c r="H169" s="158">
        <f>'Engineering Assumptions'!$F$25*0.35*1</f>
        <v>19.25</v>
      </c>
      <c r="I169" s="158">
        <f>'Engineering Assumptions'!$F$25*1</f>
        <v>55</v>
      </c>
      <c r="J169" s="12">
        <f>'Fleet Pricing'!L169</f>
        <v>984500</v>
      </c>
      <c r="K169" s="12">
        <f>'Maintenance &amp; Repair'!J169+'Maintenance &amp; Repair'!K169</f>
        <v>117000</v>
      </c>
      <c r="L169" s="159">
        <f t="shared" si="24"/>
        <v>0.11884205180294566</v>
      </c>
      <c r="M169" s="9">
        <f>MAX(0,'Engineering Assumptions'!$G$25-G169)</f>
        <v>12</v>
      </c>
      <c r="N169" s="160" t="str">
        <f t="shared" si="25"/>
        <v>KEEP</v>
      </c>
      <c r="O169" s="161" t="str">
        <f t="shared" si="26"/>
        <v>Healthy — continue operating</v>
      </c>
      <c r="P169" s="161" t="str">
        <f>'Engineering Assumptions'!H25</f>
        <v>SANY STG170 / CAT 140 new ~Rs. 45–65M</v>
      </c>
    </row>
    <row r="170" spans="1:16" ht="15" customHeight="1" x14ac:dyDescent="0.3">
      <c r="A170" s="9">
        <v>158</v>
      </c>
      <c r="B170" s="157" t="s">
        <v>318</v>
      </c>
      <c r="C170" s="157" t="s">
        <v>319</v>
      </c>
      <c r="D170" s="157" t="s">
        <v>329</v>
      </c>
      <c r="E170" s="157" t="s">
        <v>330</v>
      </c>
      <c r="F170" s="48" t="s">
        <v>31</v>
      </c>
      <c r="G170" s="9">
        <v>6</v>
      </c>
      <c r="H170" s="158">
        <f>'Engineering Assumptions'!$F$25*0.35*1</f>
        <v>19.25</v>
      </c>
      <c r="I170" s="158">
        <f>'Engineering Assumptions'!$F$25*1</f>
        <v>55</v>
      </c>
      <c r="J170" s="12">
        <f>'Fleet Pricing'!L170</f>
        <v>984500</v>
      </c>
      <c r="K170" s="12">
        <f>'Maintenance &amp; Repair'!J170+'Maintenance &amp; Repair'!K170</f>
        <v>117000</v>
      </c>
      <c r="L170" s="159">
        <f t="shared" si="24"/>
        <v>0.11884205180294566</v>
      </c>
      <c r="M170" s="9">
        <f>MAX(0,'Engineering Assumptions'!$G$25-G170)</f>
        <v>12</v>
      </c>
      <c r="N170" s="160" t="str">
        <f t="shared" si="25"/>
        <v>KEEP</v>
      </c>
      <c r="O170" s="161" t="str">
        <f t="shared" si="26"/>
        <v>Healthy — continue operating</v>
      </c>
      <c r="P170" s="161" t="str">
        <f>'Engineering Assumptions'!H25</f>
        <v>SANY STG170 / CAT 140 new ~Rs. 45–65M</v>
      </c>
    </row>
    <row r="171" spans="1:16" ht="15" customHeight="1" x14ac:dyDescent="0.3">
      <c r="A171" s="9">
        <v>159</v>
      </c>
      <c r="B171" s="157" t="s">
        <v>318</v>
      </c>
      <c r="C171" s="157" t="s">
        <v>331</v>
      </c>
      <c r="D171" s="157" t="s">
        <v>332</v>
      </c>
      <c r="E171" s="157"/>
      <c r="F171" s="48" t="s">
        <v>94</v>
      </c>
      <c r="G171" s="9">
        <v>12</v>
      </c>
      <c r="H171" s="158">
        <f>'Engineering Assumptions'!$F$25*0.22*1</f>
        <v>12.1</v>
      </c>
      <c r="I171" s="158">
        <f>'Engineering Assumptions'!$F$25*1</f>
        <v>55</v>
      </c>
      <c r="J171" s="12">
        <f>'Fleet Pricing'!L171</f>
        <v>807000</v>
      </c>
      <c r="K171" s="12">
        <f>'Maintenance &amp; Repair'!J171+'Maintenance &amp; Repair'!K171</f>
        <v>175320</v>
      </c>
      <c r="L171" s="159">
        <f t="shared" si="24"/>
        <v>0.21724907063197027</v>
      </c>
      <c r="M171" s="9">
        <f>MAX(0,'Engineering Assumptions'!$G$25-G171)</f>
        <v>6</v>
      </c>
      <c r="N171" s="160" t="str">
        <f t="shared" si="25"/>
        <v>MONITOR</v>
      </c>
      <c r="O171" s="161" t="str">
        <f t="shared" si="26"/>
        <v>Watch costs; plan replacement</v>
      </c>
      <c r="P171" s="161" t="str">
        <f>'Engineering Assumptions'!H25</f>
        <v>SANY STG170 / CAT 140 new ~Rs. 45–65M</v>
      </c>
    </row>
    <row r="172" spans="1:16" ht="15" customHeight="1" x14ac:dyDescent="0.3">
      <c r="A172" s="9">
        <v>160</v>
      </c>
      <c r="B172" s="157" t="s">
        <v>318</v>
      </c>
      <c r="C172" s="157" t="s">
        <v>333</v>
      </c>
      <c r="D172" s="157" t="s">
        <v>334</v>
      </c>
      <c r="E172" s="157"/>
      <c r="F172" s="48" t="s">
        <v>335</v>
      </c>
      <c r="G172" s="9">
        <v>18</v>
      </c>
      <c r="H172" s="158">
        <f>'Engineering Assumptions'!$F$25*0.12*1</f>
        <v>6.6</v>
      </c>
      <c r="I172" s="158">
        <f>'Engineering Assumptions'!$F$25*1</f>
        <v>55</v>
      </c>
      <c r="J172" s="12">
        <f>'Fleet Pricing'!L172</f>
        <v>709000</v>
      </c>
      <c r="K172" s="12">
        <f>'Maintenance &amp; Repair'!J172+'Maintenance &amp; Repair'!K172</f>
        <v>249480</v>
      </c>
      <c r="L172" s="159">
        <f t="shared" si="24"/>
        <v>0.3518758815232722</v>
      </c>
      <c r="M172" s="9">
        <f>MAX(0,'Engineering Assumptions'!$G$25-G172)</f>
        <v>0</v>
      </c>
      <c r="N172" s="160" t="str">
        <f t="shared" si="25"/>
        <v>REPLACE</v>
      </c>
      <c r="O172" s="161" t="str">
        <f t="shared" si="26"/>
        <v>Age 15+ → replace</v>
      </c>
      <c r="P172" s="161" t="str">
        <f>'Engineering Assumptions'!H25</f>
        <v>SANY STG170 / CAT 140 new ~Rs. 45–65M</v>
      </c>
    </row>
    <row r="173" spans="1:16" ht="15" customHeight="1" x14ac:dyDescent="0.3">
      <c r="A173" s="9">
        <v>161</v>
      </c>
      <c r="B173" s="157" t="s">
        <v>318</v>
      </c>
      <c r="C173" s="157" t="s">
        <v>188</v>
      </c>
      <c r="D173" s="157" t="s">
        <v>336</v>
      </c>
      <c r="E173" s="157"/>
      <c r="F173" s="48" t="s">
        <v>195</v>
      </c>
      <c r="G173" s="9">
        <v>30</v>
      </c>
      <c r="H173" s="158">
        <f>'Engineering Assumptions'!$F$25*0.03*1</f>
        <v>1.65</v>
      </c>
      <c r="I173" s="158">
        <f>'Engineering Assumptions'!$F$25*1</f>
        <v>55</v>
      </c>
      <c r="J173" s="12">
        <f>'Fleet Pricing'!L173</f>
        <v>571000</v>
      </c>
      <c r="K173" s="12">
        <f>'Maintenance &amp; Repair'!J173+'Maintenance &amp; Repair'!K173</f>
        <v>336960</v>
      </c>
      <c r="L173" s="159">
        <f t="shared" si="24"/>
        <v>0.590122591943958</v>
      </c>
      <c r="M173" s="9">
        <f>MAX(0,'Engineering Assumptions'!$G$25-G173)</f>
        <v>0</v>
      </c>
      <c r="N173" s="160" t="str">
        <f t="shared" si="25"/>
        <v>REPLACE</v>
      </c>
      <c r="O173" s="161" t="str">
        <f t="shared" si="26"/>
        <v>End of life (age &gt; 20)</v>
      </c>
      <c r="P173" s="161" t="str">
        <f>'Engineering Assumptions'!H25</f>
        <v>SANY STG170 / CAT 140 new ~Rs. 45–65M</v>
      </c>
    </row>
    <row r="174" spans="1:16" ht="15" customHeight="1" x14ac:dyDescent="0.3">
      <c r="A174" s="9">
        <v>162</v>
      </c>
      <c r="B174" s="157" t="s">
        <v>318</v>
      </c>
      <c r="C174" s="157" t="s">
        <v>188</v>
      </c>
      <c r="D174" s="157" t="s">
        <v>337</v>
      </c>
      <c r="E174" s="157"/>
      <c r="F174" s="48" t="s">
        <v>195</v>
      </c>
      <c r="G174" s="9">
        <v>30</v>
      </c>
      <c r="H174" s="158">
        <f>'Engineering Assumptions'!$F$25*0.03*1</f>
        <v>1.65</v>
      </c>
      <c r="I174" s="158">
        <f>'Engineering Assumptions'!$F$25*1</f>
        <v>55</v>
      </c>
      <c r="J174" s="12">
        <f>'Fleet Pricing'!L174</f>
        <v>571000</v>
      </c>
      <c r="K174" s="12">
        <f>'Maintenance &amp; Repair'!J174+'Maintenance &amp; Repair'!K174</f>
        <v>336960</v>
      </c>
      <c r="L174" s="159">
        <f t="shared" si="24"/>
        <v>0.590122591943958</v>
      </c>
      <c r="M174" s="9">
        <f>MAX(0,'Engineering Assumptions'!$G$25-G174)</f>
        <v>0</v>
      </c>
      <c r="N174" s="160" t="str">
        <f t="shared" si="25"/>
        <v>REPLACE</v>
      </c>
      <c r="O174" s="161" t="str">
        <f t="shared" si="26"/>
        <v>End of life (age &gt; 20)</v>
      </c>
      <c r="P174" s="161" t="str">
        <f>'Engineering Assumptions'!H25</f>
        <v>SANY STG170 / CAT 140 new ~Rs. 45–65M</v>
      </c>
    </row>
    <row r="175" spans="1:16" ht="15" customHeight="1" x14ac:dyDescent="0.3">
      <c r="A175" s="9">
        <v>163</v>
      </c>
      <c r="B175" s="157" t="s">
        <v>318</v>
      </c>
      <c r="C175" s="157" t="s">
        <v>338</v>
      </c>
      <c r="D175" s="157" t="s">
        <v>339</v>
      </c>
      <c r="E175" s="157"/>
      <c r="F175" s="48" t="s">
        <v>195</v>
      </c>
      <c r="G175" s="9">
        <v>30</v>
      </c>
      <c r="H175" s="158">
        <f>'Engineering Assumptions'!$F$25*0.03*1</f>
        <v>1.65</v>
      </c>
      <c r="I175" s="158">
        <f>'Engineering Assumptions'!$F$25*1</f>
        <v>55</v>
      </c>
      <c r="J175" s="12">
        <f>'Fleet Pricing'!L175</f>
        <v>571000</v>
      </c>
      <c r="K175" s="12">
        <f>'Maintenance &amp; Repair'!J175+'Maintenance &amp; Repair'!K175</f>
        <v>336960</v>
      </c>
      <c r="L175" s="159">
        <f t="shared" si="24"/>
        <v>0.590122591943958</v>
      </c>
      <c r="M175" s="9">
        <f>MAX(0,'Engineering Assumptions'!$G$25-G175)</f>
        <v>0</v>
      </c>
      <c r="N175" s="160" t="str">
        <f t="shared" si="25"/>
        <v>REPLACE</v>
      </c>
      <c r="O175" s="161" t="str">
        <f t="shared" si="26"/>
        <v>End of life (age &gt; 20)</v>
      </c>
      <c r="P175" s="161" t="str">
        <f>'Engineering Assumptions'!H25</f>
        <v>SANY STG170 / CAT 140 new ~Rs. 45–65M</v>
      </c>
    </row>
    <row r="176" spans="1:16" ht="15" customHeight="1" x14ac:dyDescent="0.3">
      <c r="A176" s="9">
        <v>164</v>
      </c>
      <c r="B176" s="157" t="s">
        <v>318</v>
      </c>
      <c r="C176" s="157" t="s">
        <v>246</v>
      </c>
      <c r="D176" s="157" t="s">
        <v>340</v>
      </c>
      <c r="E176" s="157"/>
      <c r="F176" s="48" t="s">
        <v>195</v>
      </c>
      <c r="G176" s="9">
        <v>30</v>
      </c>
      <c r="H176" s="158">
        <f>'Engineering Assumptions'!$F$25*0.03*1</f>
        <v>1.65</v>
      </c>
      <c r="I176" s="158">
        <f>'Engineering Assumptions'!$F$25*1</f>
        <v>55</v>
      </c>
      <c r="J176" s="12">
        <f>'Fleet Pricing'!L176</f>
        <v>571000</v>
      </c>
      <c r="K176" s="12">
        <f>'Maintenance &amp; Repair'!J176+'Maintenance &amp; Repair'!K176</f>
        <v>336960</v>
      </c>
      <c r="L176" s="159">
        <f t="shared" si="24"/>
        <v>0.590122591943958</v>
      </c>
      <c r="M176" s="9">
        <f>MAX(0,'Engineering Assumptions'!$G$25-G176)</f>
        <v>0</v>
      </c>
      <c r="N176" s="160" t="str">
        <f t="shared" si="25"/>
        <v>REPLACE</v>
      </c>
      <c r="O176" s="161" t="str">
        <f t="shared" si="26"/>
        <v>End of life (age &gt; 20)</v>
      </c>
      <c r="P176" s="161" t="str">
        <f>'Engineering Assumptions'!H25</f>
        <v>SANY STG170 / CAT 140 new ~Rs. 45–65M</v>
      </c>
    </row>
    <row r="177" spans="1:16" ht="15" customHeight="1" x14ac:dyDescent="0.3">
      <c r="A177" s="9">
        <v>165</v>
      </c>
      <c r="B177" s="157" t="s">
        <v>318</v>
      </c>
      <c r="C177" s="157" t="s">
        <v>341</v>
      </c>
      <c r="D177" s="157" t="s">
        <v>342</v>
      </c>
      <c r="E177" s="157"/>
      <c r="F177" s="48" t="s">
        <v>195</v>
      </c>
      <c r="G177" s="9">
        <v>30</v>
      </c>
      <c r="H177" s="158">
        <f>'Engineering Assumptions'!$F$25*0.03*1</f>
        <v>1.65</v>
      </c>
      <c r="I177" s="158">
        <f>'Engineering Assumptions'!$F$25*1</f>
        <v>55</v>
      </c>
      <c r="J177" s="12">
        <f>'Fleet Pricing'!L177</f>
        <v>571000</v>
      </c>
      <c r="K177" s="12">
        <f>'Maintenance &amp; Repair'!J177+'Maintenance &amp; Repair'!K177</f>
        <v>336960</v>
      </c>
      <c r="L177" s="159">
        <f t="shared" si="24"/>
        <v>0.590122591943958</v>
      </c>
      <c r="M177" s="9">
        <f>MAX(0,'Engineering Assumptions'!$G$25-G177)</f>
        <v>0</v>
      </c>
      <c r="N177" s="160" t="str">
        <f t="shared" si="25"/>
        <v>REPLACE</v>
      </c>
      <c r="O177" s="161" t="str">
        <f t="shared" si="26"/>
        <v>End of life (age &gt; 20)</v>
      </c>
      <c r="P177" s="161" t="str">
        <f>'Engineering Assumptions'!H25</f>
        <v>SANY STG170 / CAT 140 new ~Rs. 45–65M</v>
      </c>
    </row>
    <row r="178" spans="1:16" ht="15" customHeight="1" x14ac:dyDescent="0.3">
      <c r="A178" s="9">
        <v>166</v>
      </c>
      <c r="B178" s="157" t="s">
        <v>318</v>
      </c>
      <c r="C178" s="157" t="s">
        <v>246</v>
      </c>
      <c r="D178" s="157" t="s">
        <v>343</v>
      </c>
      <c r="E178" s="157" t="s">
        <v>344</v>
      </c>
      <c r="F178" s="48" t="s">
        <v>195</v>
      </c>
      <c r="G178" s="9">
        <v>30</v>
      </c>
      <c r="H178" s="158">
        <f>'Engineering Assumptions'!$F$25*0.03*1</f>
        <v>1.65</v>
      </c>
      <c r="I178" s="158">
        <f>'Engineering Assumptions'!$F$25*1</f>
        <v>55</v>
      </c>
      <c r="J178" s="12">
        <f>'Fleet Pricing'!L178</f>
        <v>571000</v>
      </c>
      <c r="K178" s="12">
        <f>'Maintenance &amp; Repair'!J178+'Maintenance &amp; Repair'!K178</f>
        <v>336960</v>
      </c>
      <c r="L178" s="159">
        <f t="shared" si="24"/>
        <v>0.590122591943958</v>
      </c>
      <c r="M178" s="9">
        <f>MAX(0,'Engineering Assumptions'!$G$25-G178)</f>
        <v>0</v>
      </c>
      <c r="N178" s="160" t="str">
        <f t="shared" si="25"/>
        <v>REPLACE</v>
      </c>
      <c r="O178" s="161" t="str">
        <f t="shared" si="26"/>
        <v>End of life (age &gt; 20)</v>
      </c>
      <c r="P178" s="161" t="str">
        <f>'Engineering Assumptions'!H25</f>
        <v>SANY STG170 / CAT 140 new ~Rs. 45–65M</v>
      </c>
    </row>
    <row r="179" spans="1:16" ht="15" customHeight="1" x14ac:dyDescent="0.3">
      <c r="A179" s="9">
        <v>167</v>
      </c>
      <c r="B179" s="157" t="s">
        <v>318</v>
      </c>
      <c r="C179" s="157" t="s">
        <v>345</v>
      </c>
      <c r="D179" s="157" t="s">
        <v>346</v>
      </c>
      <c r="E179" s="157"/>
      <c r="F179" s="48" t="s">
        <v>195</v>
      </c>
      <c r="G179" s="9">
        <v>30</v>
      </c>
      <c r="H179" s="158">
        <f>'Engineering Assumptions'!$F$25*0.03*1</f>
        <v>1.65</v>
      </c>
      <c r="I179" s="158">
        <f>'Engineering Assumptions'!$F$25*1</f>
        <v>55</v>
      </c>
      <c r="J179" s="12">
        <f>'Fleet Pricing'!L179</f>
        <v>571000</v>
      </c>
      <c r="K179" s="12">
        <f>'Maintenance &amp; Repair'!J179+'Maintenance &amp; Repair'!K179</f>
        <v>336960</v>
      </c>
      <c r="L179" s="159">
        <f t="shared" si="24"/>
        <v>0.590122591943958</v>
      </c>
      <c r="M179" s="9">
        <f>MAX(0,'Engineering Assumptions'!$G$25-G179)</f>
        <v>0</v>
      </c>
      <c r="N179" s="160" t="str">
        <f t="shared" si="25"/>
        <v>REPLACE</v>
      </c>
      <c r="O179" s="161" t="str">
        <f t="shared" si="26"/>
        <v>End of life (age &gt; 20)</v>
      </c>
      <c r="P179" s="161" t="str">
        <f>'Engineering Assumptions'!H25</f>
        <v>SANY STG170 / CAT 140 new ~Rs. 45–65M</v>
      </c>
    </row>
    <row r="180" spans="1:16" ht="15" customHeight="1" x14ac:dyDescent="0.3">
      <c r="A180" s="9">
        <v>168</v>
      </c>
      <c r="B180" s="157" t="s">
        <v>318</v>
      </c>
      <c r="C180" s="157" t="s">
        <v>347</v>
      </c>
      <c r="D180" s="157" t="s">
        <v>348</v>
      </c>
      <c r="E180" s="157"/>
      <c r="F180" s="48" t="s">
        <v>195</v>
      </c>
      <c r="G180" s="9">
        <v>30</v>
      </c>
      <c r="H180" s="158">
        <f>'Engineering Assumptions'!$F$25*0.03*1</f>
        <v>1.65</v>
      </c>
      <c r="I180" s="158">
        <f>'Engineering Assumptions'!$F$25*1</f>
        <v>55</v>
      </c>
      <c r="J180" s="12">
        <f>'Fleet Pricing'!L180</f>
        <v>571000</v>
      </c>
      <c r="K180" s="12">
        <f>'Maintenance &amp; Repair'!J180+'Maintenance &amp; Repair'!K180</f>
        <v>336960</v>
      </c>
      <c r="L180" s="159">
        <f t="shared" si="24"/>
        <v>0.590122591943958</v>
      </c>
      <c r="M180" s="9">
        <f>MAX(0,'Engineering Assumptions'!$G$25-G180)</f>
        <v>0</v>
      </c>
      <c r="N180" s="160" t="str">
        <f t="shared" si="25"/>
        <v>REPLACE</v>
      </c>
      <c r="O180" s="161" t="str">
        <f t="shared" si="26"/>
        <v>End of life (age &gt; 20)</v>
      </c>
      <c r="P180" s="161" t="str">
        <f>'Engineering Assumptions'!H25</f>
        <v>SANY STG170 / CAT 140 new ~Rs. 45–65M</v>
      </c>
    </row>
    <row r="181" spans="1:16" ht="15" customHeight="1" x14ac:dyDescent="0.3">
      <c r="A181" s="9">
        <v>169</v>
      </c>
      <c r="B181" s="157" t="s">
        <v>318</v>
      </c>
      <c r="C181" s="157" t="s">
        <v>349</v>
      </c>
      <c r="D181" s="157" t="s">
        <v>350</v>
      </c>
      <c r="E181" s="157"/>
      <c r="F181" s="48" t="s">
        <v>195</v>
      </c>
      <c r="G181" s="9">
        <v>30</v>
      </c>
      <c r="H181" s="158">
        <f>'Engineering Assumptions'!$F$25*0.03*1</f>
        <v>1.65</v>
      </c>
      <c r="I181" s="158">
        <f>'Engineering Assumptions'!$F$25*1</f>
        <v>55</v>
      </c>
      <c r="J181" s="12">
        <f>'Fleet Pricing'!L181</f>
        <v>571000</v>
      </c>
      <c r="K181" s="12">
        <f>'Maintenance &amp; Repair'!J181+'Maintenance &amp; Repair'!K181</f>
        <v>336960</v>
      </c>
      <c r="L181" s="159">
        <f t="shared" si="24"/>
        <v>0.590122591943958</v>
      </c>
      <c r="M181" s="9">
        <f>MAX(0,'Engineering Assumptions'!$G$25-G181)</f>
        <v>0</v>
      </c>
      <c r="N181" s="160" t="str">
        <f t="shared" si="25"/>
        <v>REPLACE</v>
      </c>
      <c r="O181" s="161" t="str">
        <f t="shared" si="26"/>
        <v>End of life (age &gt; 20)</v>
      </c>
      <c r="P181" s="161" t="str">
        <f>'Engineering Assumptions'!H25</f>
        <v>SANY STG170 / CAT 140 new ~Rs. 45–65M</v>
      </c>
    </row>
    <row r="182" spans="1:16" ht="15" customHeight="1" x14ac:dyDescent="0.3">
      <c r="A182" s="199" t="s">
        <v>351</v>
      </c>
      <c r="B182" s="200"/>
      <c r="C182" s="200"/>
      <c r="D182" s="200"/>
      <c r="E182" s="200"/>
      <c r="F182" s="200"/>
      <c r="G182" s="200"/>
      <c r="H182" s="200"/>
      <c r="I182" s="200"/>
      <c r="J182" s="200"/>
      <c r="K182" s="200"/>
      <c r="L182" s="200"/>
      <c r="M182" s="200"/>
      <c r="N182" s="200"/>
      <c r="O182" s="200"/>
      <c r="P182" s="200"/>
    </row>
    <row r="183" spans="1:16" ht="15" customHeight="1" x14ac:dyDescent="0.3">
      <c r="A183" s="9">
        <v>170</v>
      </c>
      <c r="B183" s="157" t="s">
        <v>352</v>
      </c>
      <c r="C183" s="157" t="s">
        <v>353</v>
      </c>
      <c r="D183" s="157" t="s">
        <v>354</v>
      </c>
      <c r="E183" s="157"/>
      <c r="F183" s="48" t="s">
        <v>23</v>
      </c>
      <c r="G183" s="9">
        <v>5</v>
      </c>
      <c r="H183" s="158">
        <f>'Engineering Assumptions'!$F$26*0.5*1</f>
        <v>5.5</v>
      </c>
      <c r="I183" s="158">
        <f>'Engineering Assumptions'!$F$26*1</f>
        <v>11</v>
      </c>
      <c r="J183" s="12">
        <f>'Fleet Pricing'!L183</f>
        <v>275500</v>
      </c>
      <c r="K183" s="12">
        <f>'Maintenance &amp; Repair'!J183+'Maintenance &amp; Repair'!K183</f>
        <v>26400</v>
      </c>
      <c r="L183" s="159">
        <f t="shared" ref="L183:L207" si="27">IFERROR(K183/J183,0)</f>
        <v>9.582577132486389E-2</v>
      </c>
      <c r="M183" s="9">
        <f>MAX(0,'Engineering Assumptions'!$G$26-G183)</f>
        <v>5</v>
      </c>
      <c r="N183" s="160" t="str">
        <f t="shared" ref="N183:N207" si="28">IF(G183&gt;=20,"REPLACE",IF(L183&gt;0.6,"REPLACE",IF(G183&gt;=15,"REPLACE",IF(OR(G183&gt;=11,L183&gt;0.4),"MONITOR","KEEP"))))</f>
        <v>KEEP</v>
      </c>
      <c r="O183" s="161" t="str">
        <f t="shared" ref="O183:O207" si="29">IF(G183&gt;=20,"End of life (age &gt; 20)",IF(L183&gt;0.6,"Repairs exceed 60% of revenue",IF(G183&gt;=15,"Age 15+ → replace",IF(OR(G183&gt;=11,L183&gt;0.4),"Watch costs; plan replacement","Healthy — continue operating"))))</f>
        <v>Healthy — continue operating</v>
      </c>
      <c r="P183" s="161" t="str">
        <f>'Engineering Assumptions'!H26</f>
        <v>BOBCAT S450/S770 new ~Rs. 9–13M</v>
      </c>
    </row>
    <row r="184" spans="1:16" ht="15" customHeight="1" x14ac:dyDescent="0.3">
      <c r="A184" s="9">
        <v>171</v>
      </c>
      <c r="B184" s="157" t="s">
        <v>352</v>
      </c>
      <c r="C184" s="157" t="s">
        <v>353</v>
      </c>
      <c r="D184" s="157" t="s">
        <v>355</v>
      </c>
      <c r="E184" s="157"/>
      <c r="F184" s="48" t="s">
        <v>23</v>
      </c>
      <c r="G184" s="9">
        <v>5</v>
      </c>
      <c r="H184" s="158">
        <f>'Engineering Assumptions'!$F$26*0.5*1</f>
        <v>5.5</v>
      </c>
      <c r="I184" s="158">
        <f>'Engineering Assumptions'!$F$26*1</f>
        <v>11</v>
      </c>
      <c r="J184" s="12">
        <f>'Fleet Pricing'!L184</f>
        <v>275500</v>
      </c>
      <c r="K184" s="12">
        <f>'Maintenance &amp; Repair'!J184+'Maintenance &amp; Repair'!K184</f>
        <v>26400</v>
      </c>
      <c r="L184" s="159">
        <f t="shared" si="27"/>
        <v>9.582577132486389E-2</v>
      </c>
      <c r="M184" s="9">
        <f>MAX(0,'Engineering Assumptions'!$G$26-G184)</f>
        <v>5</v>
      </c>
      <c r="N184" s="160" t="str">
        <f t="shared" si="28"/>
        <v>KEEP</v>
      </c>
      <c r="O184" s="161" t="str">
        <f t="shared" si="29"/>
        <v>Healthy — continue operating</v>
      </c>
      <c r="P184" s="161" t="str">
        <f>'Engineering Assumptions'!H26</f>
        <v>BOBCAT S450/S770 new ~Rs. 9–13M</v>
      </c>
    </row>
    <row r="185" spans="1:16" ht="15" customHeight="1" x14ac:dyDescent="0.3">
      <c r="A185" s="9">
        <v>172</v>
      </c>
      <c r="B185" s="157" t="s">
        <v>352</v>
      </c>
      <c r="C185" s="157" t="s">
        <v>353</v>
      </c>
      <c r="D185" s="157" t="s">
        <v>356</v>
      </c>
      <c r="E185" s="157"/>
      <c r="F185" s="48" t="s">
        <v>23</v>
      </c>
      <c r="G185" s="9">
        <v>5</v>
      </c>
      <c r="H185" s="158">
        <f>'Engineering Assumptions'!$F$26*0.5*1</f>
        <v>5.5</v>
      </c>
      <c r="I185" s="158">
        <f>'Engineering Assumptions'!$F$26*1</f>
        <v>11</v>
      </c>
      <c r="J185" s="12">
        <f>'Fleet Pricing'!L185</f>
        <v>275500</v>
      </c>
      <c r="K185" s="12">
        <f>'Maintenance &amp; Repair'!J185+'Maintenance &amp; Repair'!K185</f>
        <v>26400</v>
      </c>
      <c r="L185" s="159">
        <f t="shared" si="27"/>
        <v>9.582577132486389E-2</v>
      </c>
      <c r="M185" s="9">
        <f>MAX(0,'Engineering Assumptions'!$G$26-G185)</f>
        <v>5</v>
      </c>
      <c r="N185" s="160" t="str">
        <f t="shared" si="28"/>
        <v>KEEP</v>
      </c>
      <c r="O185" s="161" t="str">
        <f t="shared" si="29"/>
        <v>Healthy — continue operating</v>
      </c>
      <c r="P185" s="161" t="str">
        <f>'Engineering Assumptions'!H26</f>
        <v>BOBCAT S450/S770 new ~Rs. 9–13M</v>
      </c>
    </row>
    <row r="186" spans="1:16" ht="15" customHeight="1" x14ac:dyDescent="0.3">
      <c r="A186" s="9">
        <v>173</v>
      </c>
      <c r="B186" s="157" t="s">
        <v>352</v>
      </c>
      <c r="C186" s="157" t="s">
        <v>357</v>
      </c>
      <c r="D186" s="157" t="s">
        <v>358</v>
      </c>
      <c r="E186" s="157"/>
      <c r="F186" s="48" t="s">
        <v>23</v>
      </c>
      <c r="G186" s="9">
        <v>5</v>
      </c>
      <c r="H186" s="158">
        <f>'Engineering Assumptions'!$F$26*0.5*1</f>
        <v>5.5</v>
      </c>
      <c r="I186" s="158">
        <f>'Engineering Assumptions'!$F$26*1</f>
        <v>11</v>
      </c>
      <c r="J186" s="12">
        <f>'Fleet Pricing'!L186</f>
        <v>275500</v>
      </c>
      <c r="K186" s="12">
        <f>'Maintenance &amp; Repair'!J186+'Maintenance &amp; Repair'!K186</f>
        <v>26400</v>
      </c>
      <c r="L186" s="159">
        <f t="shared" si="27"/>
        <v>9.582577132486389E-2</v>
      </c>
      <c r="M186" s="9">
        <f>MAX(0,'Engineering Assumptions'!$G$26-G186)</f>
        <v>5</v>
      </c>
      <c r="N186" s="160" t="str">
        <f t="shared" si="28"/>
        <v>KEEP</v>
      </c>
      <c r="O186" s="161" t="str">
        <f t="shared" si="29"/>
        <v>Healthy — continue operating</v>
      </c>
      <c r="P186" s="161" t="str">
        <f>'Engineering Assumptions'!H26</f>
        <v>BOBCAT S450/S770 new ~Rs. 9–13M</v>
      </c>
    </row>
    <row r="187" spans="1:16" ht="15" customHeight="1" x14ac:dyDescent="0.3">
      <c r="A187" s="9">
        <v>174</v>
      </c>
      <c r="B187" s="157" t="s">
        <v>352</v>
      </c>
      <c r="C187" s="157" t="s">
        <v>357</v>
      </c>
      <c r="D187" s="157" t="s">
        <v>359</v>
      </c>
      <c r="E187" s="157"/>
      <c r="F187" s="48" t="s">
        <v>23</v>
      </c>
      <c r="G187" s="9">
        <v>5</v>
      </c>
      <c r="H187" s="158">
        <f>'Engineering Assumptions'!$F$26*0.5*1</f>
        <v>5.5</v>
      </c>
      <c r="I187" s="158">
        <f>'Engineering Assumptions'!$F$26*1</f>
        <v>11</v>
      </c>
      <c r="J187" s="12">
        <f>'Fleet Pricing'!L187</f>
        <v>275500</v>
      </c>
      <c r="K187" s="12">
        <f>'Maintenance &amp; Repair'!J187+'Maintenance &amp; Repair'!K187</f>
        <v>26400</v>
      </c>
      <c r="L187" s="159">
        <f t="shared" si="27"/>
        <v>9.582577132486389E-2</v>
      </c>
      <c r="M187" s="9">
        <f>MAX(0,'Engineering Assumptions'!$G$26-G187)</f>
        <v>5</v>
      </c>
      <c r="N187" s="160" t="str">
        <f t="shared" si="28"/>
        <v>KEEP</v>
      </c>
      <c r="O187" s="161" t="str">
        <f t="shared" si="29"/>
        <v>Healthy — continue operating</v>
      </c>
      <c r="P187" s="161" t="str">
        <f>'Engineering Assumptions'!H26</f>
        <v>BOBCAT S450/S770 new ~Rs. 9–13M</v>
      </c>
    </row>
    <row r="188" spans="1:16" ht="15" customHeight="1" x14ac:dyDescent="0.3">
      <c r="A188" s="9">
        <v>175</v>
      </c>
      <c r="B188" s="157" t="s">
        <v>352</v>
      </c>
      <c r="C188" s="157" t="s">
        <v>353</v>
      </c>
      <c r="D188" s="157" t="s">
        <v>360</v>
      </c>
      <c r="E188" s="157"/>
      <c r="F188" s="48" t="s">
        <v>31</v>
      </c>
      <c r="G188" s="9">
        <v>6</v>
      </c>
      <c r="H188" s="158">
        <f>'Engineering Assumptions'!$F$26*0.35*1</f>
        <v>3.8499999999999996</v>
      </c>
      <c r="I188" s="158">
        <f>'Engineering Assumptions'!$F$26*1</f>
        <v>11</v>
      </c>
      <c r="J188" s="12">
        <f>'Fleet Pricing'!L188</f>
        <v>275500</v>
      </c>
      <c r="K188" s="12">
        <f>'Maintenance &amp; Repair'!J188+'Maintenance &amp; Repair'!K188</f>
        <v>42000</v>
      </c>
      <c r="L188" s="159">
        <f t="shared" si="27"/>
        <v>0.15245009074410162</v>
      </c>
      <c r="M188" s="9">
        <f>MAX(0,'Engineering Assumptions'!$G$26-G188)</f>
        <v>4</v>
      </c>
      <c r="N188" s="160" t="str">
        <f t="shared" si="28"/>
        <v>KEEP</v>
      </c>
      <c r="O188" s="161" t="str">
        <f t="shared" si="29"/>
        <v>Healthy — continue operating</v>
      </c>
      <c r="P188" s="161" t="str">
        <f>'Engineering Assumptions'!H26</f>
        <v>BOBCAT S450/S770 new ~Rs. 9–13M</v>
      </c>
    </row>
    <row r="189" spans="1:16" ht="15" customHeight="1" x14ac:dyDescent="0.3">
      <c r="A189" s="9">
        <v>176</v>
      </c>
      <c r="B189" s="157" t="s">
        <v>352</v>
      </c>
      <c r="C189" s="157" t="s">
        <v>361</v>
      </c>
      <c r="D189" s="157" t="s">
        <v>362</v>
      </c>
      <c r="E189" s="157"/>
      <c r="F189" s="48" t="s">
        <v>116</v>
      </c>
      <c r="G189" s="9">
        <v>9</v>
      </c>
      <c r="H189" s="158">
        <f>'Engineering Assumptions'!$F$26*0.22*1</f>
        <v>2.42</v>
      </c>
      <c r="I189" s="158">
        <f>'Engineering Assumptions'!$F$26*1</f>
        <v>11</v>
      </c>
      <c r="J189" s="12">
        <f>'Fleet Pricing'!L189</f>
        <v>253000</v>
      </c>
      <c r="K189" s="12">
        <f>'Maintenance &amp; Repair'!J189+'Maintenance &amp; Repair'!K189</f>
        <v>42000</v>
      </c>
      <c r="L189" s="159">
        <f t="shared" si="27"/>
        <v>0.16600790513833993</v>
      </c>
      <c r="M189" s="9">
        <f>MAX(0,'Engineering Assumptions'!$G$26-G189)</f>
        <v>1</v>
      </c>
      <c r="N189" s="160" t="str">
        <f t="shared" si="28"/>
        <v>KEEP</v>
      </c>
      <c r="O189" s="161" t="str">
        <f t="shared" si="29"/>
        <v>Healthy — continue operating</v>
      </c>
      <c r="P189" s="161" t="str">
        <f>'Engineering Assumptions'!H26</f>
        <v>BOBCAT S450/S770 new ~Rs. 9–13M</v>
      </c>
    </row>
    <row r="190" spans="1:16" ht="15" customHeight="1" x14ac:dyDescent="0.3">
      <c r="A190" s="9">
        <v>177</v>
      </c>
      <c r="B190" s="157" t="s">
        <v>352</v>
      </c>
      <c r="C190" s="157" t="s">
        <v>361</v>
      </c>
      <c r="D190" s="157" t="s">
        <v>363</v>
      </c>
      <c r="E190" s="157"/>
      <c r="F190" s="48" t="s">
        <v>116</v>
      </c>
      <c r="G190" s="9">
        <v>9</v>
      </c>
      <c r="H190" s="158">
        <f>'Engineering Assumptions'!$F$26*0.22*1</f>
        <v>2.42</v>
      </c>
      <c r="I190" s="158">
        <f>'Engineering Assumptions'!$F$26*1</f>
        <v>11</v>
      </c>
      <c r="J190" s="12">
        <f>'Fleet Pricing'!L190</f>
        <v>253000</v>
      </c>
      <c r="K190" s="12">
        <f>'Maintenance &amp; Repair'!J190+'Maintenance &amp; Repair'!K190</f>
        <v>42000</v>
      </c>
      <c r="L190" s="159">
        <f t="shared" si="27"/>
        <v>0.16600790513833993</v>
      </c>
      <c r="M190" s="9">
        <f>MAX(0,'Engineering Assumptions'!$G$26-G190)</f>
        <v>1</v>
      </c>
      <c r="N190" s="160" t="str">
        <f t="shared" si="28"/>
        <v>KEEP</v>
      </c>
      <c r="O190" s="161" t="str">
        <f t="shared" si="29"/>
        <v>Healthy — continue operating</v>
      </c>
      <c r="P190" s="161" t="str">
        <f>'Engineering Assumptions'!H26</f>
        <v>BOBCAT S450/S770 new ~Rs. 9–13M</v>
      </c>
    </row>
    <row r="191" spans="1:16" ht="15" customHeight="1" x14ac:dyDescent="0.3">
      <c r="A191" s="9">
        <v>178</v>
      </c>
      <c r="B191" s="157" t="s">
        <v>352</v>
      </c>
      <c r="C191" s="157" t="s">
        <v>361</v>
      </c>
      <c r="D191" s="157" t="s">
        <v>364</v>
      </c>
      <c r="E191" s="157"/>
      <c r="F191" s="48" t="s">
        <v>116</v>
      </c>
      <c r="G191" s="9">
        <v>9</v>
      </c>
      <c r="H191" s="158">
        <f>'Engineering Assumptions'!$F$26*0.22*1</f>
        <v>2.42</v>
      </c>
      <c r="I191" s="158">
        <f>'Engineering Assumptions'!$F$26*1</f>
        <v>11</v>
      </c>
      <c r="J191" s="12">
        <f>'Fleet Pricing'!L191</f>
        <v>253000</v>
      </c>
      <c r="K191" s="12">
        <f>'Maintenance &amp; Repair'!J191+'Maintenance &amp; Repair'!K191</f>
        <v>42000</v>
      </c>
      <c r="L191" s="159">
        <f t="shared" si="27"/>
        <v>0.16600790513833993</v>
      </c>
      <c r="M191" s="9">
        <f>MAX(0,'Engineering Assumptions'!$G$26-G191)</f>
        <v>1</v>
      </c>
      <c r="N191" s="160" t="str">
        <f t="shared" si="28"/>
        <v>KEEP</v>
      </c>
      <c r="O191" s="161" t="str">
        <f t="shared" si="29"/>
        <v>Healthy — continue operating</v>
      </c>
      <c r="P191" s="161" t="str">
        <f>'Engineering Assumptions'!H26</f>
        <v>BOBCAT S450/S770 new ~Rs. 9–13M</v>
      </c>
    </row>
    <row r="192" spans="1:16" ht="15" customHeight="1" x14ac:dyDescent="0.3">
      <c r="A192" s="9">
        <v>179</v>
      </c>
      <c r="B192" s="157" t="s">
        <v>352</v>
      </c>
      <c r="C192" s="157" t="s">
        <v>361</v>
      </c>
      <c r="D192" s="157" t="s">
        <v>365</v>
      </c>
      <c r="E192" s="157"/>
      <c r="F192" s="48" t="s">
        <v>116</v>
      </c>
      <c r="G192" s="9">
        <v>9</v>
      </c>
      <c r="H192" s="158">
        <f>'Engineering Assumptions'!$F$26*0.22*1</f>
        <v>2.42</v>
      </c>
      <c r="I192" s="158">
        <f>'Engineering Assumptions'!$F$26*1</f>
        <v>11</v>
      </c>
      <c r="J192" s="12">
        <f>'Fleet Pricing'!L192</f>
        <v>253000</v>
      </c>
      <c r="K192" s="12">
        <f>'Maintenance &amp; Repair'!J192+'Maintenance &amp; Repair'!K192</f>
        <v>42000</v>
      </c>
      <c r="L192" s="159">
        <f t="shared" si="27"/>
        <v>0.16600790513833993</v>
      </c>
      <c r="M192" s="9">
        <f>MAX(0,'Engineering Assumptions'!$G$26-G192)</f>
        <v>1</v>
      </c>
      <c r="N192" s="160" t="str">
        <f t="shared" si="28"/>
        <v>KEEP</v>
      </c>
      <c r="O192" s="161" t="str">
        <f t="shared" si="29"/>
        <v>Healthy — continue operating</v>
      </c>
      <c r="P192" s="161" t="str">
        <f>'Engineering Assumptions'!H26</f>
        <v>BOBCAT S450/S770 new ~Rs. 9–13M</v>
      </c>
    </row>
    <row r="193" spans="1:16" ht="15" customHeight="1" x14ac:dyDescent="0.3">
      <c r="A193" s="9">
        <v>180</v>
      </c>
      <c r="B193" s="157" t="s">
        <v>352</v>
      </c>
      <c r="C193" s="157" t="s">
        <v>353</v>
      </c>
      <c r="D193" s="157" t="s">
        <v>366</v>
      </c>
      <c r="E193" s="157"/>
      <c r="F193" s="48" t="s">
        <v>116</v>
      </c>
      <c r="G193" s="9">
        <v>9</v>
      </c>
      <c r="H193" s="158">
        <f>'Engineering Assumptions'!$F$26*0.22*1</f>
        <v>2.42</v>
      </c>
      <c r="I193" s="158">
        <f>'Engineering Assumptions'!$F$26*1</f>
        <v>11</v>
      </c>
      <c r="J193" s="12">
        <f>'Fleet Pricing'!L193</f>
        <v>253000</v>
      </c>
      <c r="K193" s="12">
        <f>'Maintenance &amp; Repair'!J193+'Maintenance &amp; Repair'!K193</f>
        <v>42000</v>
      </c>
      <c r="L193" s="159">
        <f t="shared" si="27"/>
        <v>0.16600790513833993</v>
      </c>
      <c r="M193" s="9">
        <f>MAX(0,'Engineering Assumptions'!$G$26-G193)</f>
        <v>1</v>
      </c>
      <c r="N193" s="160" t="str">
        <f t="shared" si="28"/>
        <v>KEEP</v>
      </c>
      <c r="O193" s="161" t="str">
        <f t="shared" si="29"/>
        <v>Healthy — continue operating</v>
      </c>
      <c r="P193" s="161" t="str">
        <f>'Engineering Assumptions'!H26</f>
        <v>BOBCAT S450/S770 new ~Rs. 9–13M</v>
      </c>
    </row>
    <row r="194" spans="1:16" ht="15" customHeight="1" x14ac:dyDescent="0.3">
      <c r="A194" s="9">
        <v>181</v>
      </c>
      <c r="B194" s="157" t="s">
        <v>352</v>
      </c>
      <c r="C194" s="157" t="s">
        <v>353</v>
      </c>
      <c r="D194" s="157" t="s">
        <v>367</v>
      </c>
      <c r="E194" s="157"/>
      <c r="F194" s="48" t="s">
        <v>116</v>
      </c>
      <c r="G194" s="9">
        <v>9</v>
      </c>
      <c r="H194" s="158">
        <f>'Engineering Assumptions'!$F$26*0.22*1</f>
        <v>2.42</v>
      </c>
      <c r="I194" s="158">
        <f>'Engineering Assumptions'!$F$26*1</f>
        <v>11</v>
      </c>
      <c r="J194" s="12">
        <f>'Fleet Pricing'!L194</f>
        <v>253000</v>
      </c>
      <c r="K194" s="12">
        <f>'Maintenance &amp; Repair'!J194+'Maintenance &amp; Repair'!K194</f>
        <v>42000</v>
      </c>
      <c r="L194" s="159">
        <f t="shared" si="27"/>
        <v>0.16600790513833993</v>
      </c>
      <c r="M194" s="9">
        <f>MAX(0,'Engineering Assumptions'!$G$26-G194)</f>
        <v>1</v>
      </c>
      <c r="N194" s="160" t="str">
        <f t="shared" si="28"/>
        <v>KEEP</v>
      </c>
      <c r="O194" s="161" t="str">
        <f t="shared" si="29"/>
        <v>Healthy — continue operating</v>
      </c>
      <c r="P194" s="161" t="str">
        <f>'Engineering Assumptions'!H26</f>
        <v>BOBCAT S450/S770 new ~Rs. 9–13M</v>
      </c>
    </row>
    <row r="195" spans="1:16" ht="15" customHeight="1" x14ac:dyDescent="0.3">
      <c r="A195" s="9">
        <v>182</v>
      </c>
      <c r="B195" s="157" t="s">
        <v>352</v>
      </c>
      <c r="C195" s="157" t="s">
        <v>353</v>
      </c>
      <c r="D195" s="157" t="s">
        <v>368</v>
      </c>
      <c r="E195" s="157"/>
      <c r="F195" s="48" t="s">
        <v>116</v>
      </c>
      <c r="G195" s="9">
        <v>9</v>
      </c>
      <c r="H195" s="158">
        <f>'Engineering Assumptions'!$F$26*0.22*1</f>
        <v>2.42</v>
      </c>
      <c r="I195" s="158">
        <f>'Engineering Assumptions'!$F$26*1</f>
        <v>11</v>
      </c>
      <c r="J195" s="12">
        <f>'Fleet Pricing'!L195</f>
        <v>253000</v>
      </c>
      <c r="K195" s="12">
        <f>'Maintenance &amp; Repair'!J195+'Maintenance &amp; Repair'!K195</f>
        <v>42000</v>
      </c>
      <c r="L195" s="159">
        <f t="shared" si="27"/>
        <v>0.16600790513833993</v>
      </c>
      <c r="M195" s="9">
        <f>MAX(0,'Engineering Assumptions'!$G$26-G195)</f>
        <v>1</v>
      </c>
      <c r="N195" s="160" t="str">
        <f t="shared" si="28"/>
        <v>KEEP</v>
      </c>
      <c r="O195" s="161" t="str">
        <f t="shared" si="29"/>
        <v>Healthy — continue operating</v>
      </c>
      <c r="P195" s="161" t="str">
        <f>'Engineering Assumptions'!H26</f>
        <v>BOBCAT S450/S770 new ~Rs. 9–13M</v>
      </c>
    </row>
    <row r="196" spans="1:16" ht="15" customHeight="1" x14ac:dyDescent="0.3">
      <c r="A196" s="9">
        <v>183</v>
      </c>
      <c r="B196" s="157" t="s">
        <v>352</v>
      </c>
      <c r="C196" s="157" t="s">
        <v>353</v>
      </c>
      <c r="D196" s="157" t="s">
        <v>369</v>
      </c>
      <c r="E196" s="157"/>
      <c r="F196" s="48" t="s">
        <v>116</v>
      </c>
      <c r="G196" s="9">
        <v>9</v>
      </c>
      <c r="H196" s="158">
        <f>'Engineering Assumptions'!$F$26*0.22*1</f>
        <v>2.42</v>
      </c>
      <c r="I196" s="158">
        <f>'Engineering Assumptions'!$F$26*1</f>
        <v>11</v>
      </c>
      <c r="J196" s="12">
        <f>'Fleet Pricing'!L196</f>
        <v>253000</v>
      </c>
      <c r="K196" s="12">
        <f>'Maintenance &amp; Repair'!J196+'Maintenance &amp; Repair'!K196</f>
        <v>42000</v>
      </c>
      <c r="L196" s="159">
        <f t="shared" si="27"/>
        <v>0.16600790513833993</v>
      </c>
      <c r="M196" s="9">
        <f>MAX(0,'Engineering Assumptions'!$G$26-G196)</f>
        <v>1</v>
      </c>
      <c r="N196" s="160" t="str">
        <f t="shared" si="28"/>
        <v>KEEP</v>
      </c>
      <c r="O196" s="161" t="str">
        <f t="shared" si="29"/>
        <v>Healthy — continue operating</v>
      </c>
      <c r="P196" s="161" t="str">
        <f>'Engineering Assumptions'!H26</f>
        <v>BOBCAT S450/S770 new ~Rs. 9–13M</v>
      </c>
    </row>
    <row r="197" spans="1:16" ht="15" customHeight="1" x14ac:dyDescent="0.3">
      <c r="A197" s="9">
        <v>184</v>
      </c>
      <c r="B197" s="157" t="s">
        <v>352</v>
      </c>
      <c r="C197" s="157" t="s">
        <v>370</v>
      </c>
      <c r="D197" s="157" t="s">
        <v>371</v>
      </c>
      <c r="E197" s="157"/>
      <c r="F197" s="48" t="s">
        <v>116</v>
      </c>
      <c r="G197" s="9">
        <v>9</v>
      </c>
      <c r="H197" s="158">
        <f>'Engineering Assumptions'!$F$26*0.22*1</f>
        <v>2.42</v>
      </c>
      <c r="I197" s="158">
        <f>'Engineering Assumptions'!$F$26*1</f>
        <v>11</v>
      </c>
      <c r="J197" s="12">
        <f>'Fleet Pricing'!L197</f>
        <v>253000</v>
      </c>
      <c r="K197" s="12">
        <f>'Maintenance &amp; Repair'!J197+'Maintenance &amp; Repair'!K197</f>
        <v>42000</v>
      </c>
      <c r="L197" s="159">
        <f t="shared" si="27"/>
        <v>0.16600790513833993</v>
      </c>
      <c r="M197" s="9">
        <f>MAX(0,'Engineering Assumptions'!$G$26-G197)</f>
        <v>1</v>
      </c>
      <c r="N197" s="160" t="str">
        <f t="shared" si="28"/>
        <v>KEEP</v>
      </c>
      <c r="O197" s="161" t="str">
        <f t="shared" si="29"/>
        <v>Healthy — continue operating</v>
      </c>
      <c r="P197" s="161" t="str">
        <f>'Engineering Assumptions'!H26</f>
        <v>BOBCAT S450/S770 new ~Rs. 9–13M</v>
      </c>
    </row>
    <row r="198" spans="1:16" ht="15" customHeight="1" x14ac:dyDescent="0.3">
      <c r="A198" s="9">
        <v>185</v>
      </c>
      <c r="B198" s="157" t="s">
        <v>352</v>
      </c>
      <c r="C198" s="157" t="s">
        <v>372</v>
      </c>
      <c r="D198" s="157" t="s">
        <v>373</v>
      </c>
      <c r="E198" s="157"/>
      <c r="F198" s="48" t="s">
        <v>116</v>
      </c>
      <c r="G198" s="9">
        <v>9</v>
      </c>
      <c r="H198" s="158">
        <f>'Engineering Assumptions'!$F$26*0.22*1</f>
        <v>2.42</v>
      </c>
      <c r="I198" s="158">
        <f>'Engineering Assumptions'!$F$26*1</f>
        <v>11</v>
      </c>
      <c r="J198" s="12">
        <f>'Fleet Pricing'!L198</f>
        <v>253000</v>
      </c>
      <c r="K198" s="12">
        <f>'Maintenance &amp; Repair'!J198+'Maintenance &amp; Repair'!K198</f>
        <v>42000</v>
      </c>
      <c r="L198" s="159">
        <f t="shared" si="27"/>
        <v>0.16600790513833993</v>
      </c>
      <c r="M198" s="9">
        <f>MAX(0,'Engineering Assumptions'!$G$26-G198)</f>
        <v>1</v>
      </c>
      <c r="N198" s="160" t="str">
        <f t="shared" si="28"/>
        <v>KEEP</v>
      </c>
      <c r="O198" s="161" t="str">
        <f t="shared" si="29"/>
        <v>Healthy — continue operating</v>
      </c>
      <c r="P198" s="161" t="str">
        <f>'Engineering Assumptions'!H26</f>
        <v>BOBCAT S450/S770 new ~Rs. 9–13M</v>
      </c>
    </row>
    <row r="199" spans="1:16" ht="15" customHeight="1" x14ac:dyDescent="0.3">
      <c r="A199" s="9">
        <v>186</v>
      </c>
      <c r="B199" s="157" t="s">
        <v>352</v>
      </c>
      <c r="C199" s="157" t="s">
        <v>353</v>
      </c>
      <c r="D199" s="157" t="s">
        <v>374</v>
      </c>
      <c r="E199" s="157"/>
      <c r="F199" s="48" t="s">
        <v>49</v>
      </c>
      <c r="G199" s="9">
        <v>10</v>
      </c>
      <c r="H199" s="158">
        <f>'Engineering Assumptions'!$F$26*0.22*1</f>
        <v>2.42</v>
      </c>
      <c r="I199" s="158">
        <f>'Engineering Assumptions'!$F$26*1</f>
        <v>11</v>
      </c>
      <c r="J199" s="12">
        <f>'Fleet Pricing'!L199</f>
        <v>253000</v>
      </c>
      <c r="K199" s="12">
        <f>'Maintenance &amp; Repair'!J199+'Maintenance &amp; Repair'!K199</f>
        <v>42000</v>
      </c>
      <c r="L199" s="159">
        <f t="shared" si="27"/>
        <v>0.16600790513833993</v>
      </c>
      <c r="M199" s="9">
        <f>MAX(0,'Engineering Assumptions'!$G$26-G199)</f>
        <v>0</v>
      </c>
      <c r="N199" s="160" t="str">
        <f t="shared" si="28"/>
        <v>KEEP</v>
      </c>
      <c r="O199" s="161" t="str">
        <f t="shared" si="29"/>
        <v>Healthy — continue operating</v>
      </c>
      <c r="P199" s="161" t="str">
        <f>'Engineering Assumptions'!H26</f>
        <v>BOBCAT S450/S770 new ~Rs. 9–13M</v>
      </c>
    </row>
    <row r="200" spans="1:16" ht="15" customHeight="1" x14ac:dyDescent="0.3">
      <c r="A200" s="9">
        <v>187</v>
      </c>
      <c r="B200" s="157" t="s">
        <v>352</v>
      </c>
      <c r="C200" s="157" t="s">
        <v>353</v>
      </c>
      <c r="D200" s="157" t="s">
        <v>375</v>
      </c>
      <c r="E200" s="157"/>
      <c r="F200" s="48" t="s">
        <v>49</v>
      </c>
      <c r="G200" s="9">
        <v>10</v>
      </c>
      <c r="H200" s="158">
        <f>'Engineering Assumptions'!$F$26*0.22*1</f>
        <v>2.42</v>
      </c>
      <c r="I200" s="158">
        <f>'Engineering Assumptions'!$F$26*1</f>
        <v>11</v>
      </c>
      <c r="J200" s="12">
        <f>'Fleet Pricing'!L200</f>
        <v>253000</v>
      </c>
      <c r="K200" s="12">
        <f>'Maintenance &amp; Repair'!J200+'Maintenance &amp; Repair'!K200</f>
        <v>42000</v>
      </c>
      <c r="L200" s="159">
        <f t="shared" si="27"/>
        <v>0.16600790513833993</v>
      </c>
      <c r="M200" s="9">
        <f>MAX(0,'Engineering Assumptions'!$G$26-G200)</f>
        <v>0</v>
      </c>
      <c r="N200" s="160" t="str">
        <f t="shared" si="28"/>
        <v>KEEP</v>
      </c>
      <c r="O200" s="161" t="str">
        <f t="shared" si="29"/>
        <v>Healthy — continue operating</v>
      </c>
      <c r="P200" s="161" t="str">
        <f>'Engineering Assumptions'!H26</f>
        <v>BOBCAT S450/S770 new ~Rs. 9–13M</v>
      </c>
    </row>
    <row r="201" spans="1:16" ht="15" customHeight="1" x14ac:dyDescent="0.3">
      <c r="A201" s="9">
        <v>188</v>
      </c>
      <c r="B201" s="157" t="s">
        <v>352</v>
      </c>
      <c r="C201" s="157" t="s">
        <v>353</v>
      </c>
      <c r="D201" s="157" t="s">
        <v>376</v>
      </c>
      <c r="E201" s="157"/>
      <c r="F201" s="48" t="s">
        <v>49</v>
      </c>
      <c r="G201" s="9">
        <v>10</v>
      </c>
      <c r="H201" s="158">
        <f>'Engineering Assumptions'!$F$26*0.22*1</f>
        <v>2.42</v>
      </c>
      <c r="I201" s="158">
        <f>'Engineering Assumptions'!$F$26*1</f>
        <v>11</v>
      </c>
      <c r="J201" s="12">
        <f>'Fleet Pricing'!L201</f>
        <v>253000</v>
      </c>
      <c r="K201" s="12">
        <f>'Maintenance &amp; Repair'!J201+'Maintenance &amp; Repair'!K201</f>
        <v>42000</v>
      </c>
      <c r="L201" s="159">
        <f t="shared" si="27"/>
        <v>0.16600790513833993</v>
      </c>
      <c r="M201" s="9">
        <f>MAX(0,'Engineering Assumptions'!$G$26-G201)</f>
        <v>0</v>
      </c>
      <c r="N201" s="160" t="str">
        <f t="shared" si="28"/>
        <v>KEEP</v>
      </c>
      <c r="O201" s="161" t="str">
        <f t="shared" si="29"/>
        <v>Healthy — continue operating</v>
      </c>
      <c r="P201" s="161" t="str">
        <f>'Engineering Assumptions'!H26</f>
        <v>BOBCAT S450/S770 new ~Rs. 9–13M</v>
      </c>
    </row>
    <row r="202" spans="1:16" ht="15" customHeight="1" x14ac:dyDescent="0.3">
      <c r="A202" s="9">
        <v>189</v>
      </c>
      <c r="B202" s="157" t="s">
        <v>352</v>
      </c>
      <c r="C202" s="157" t="s">
        <v>353</v>
      </c>
      <c r="D202" s="157" t="s">
        <v>377</v>
      </c>
      <c r="E202" s="157"/>
      <c r="F202" s="48" t="s">
        <v>49</v>
      </c>
      <c r="G202" s="9">
        <v>10</v>
      </c>
      <c r="H202" s="158">
        <f>'Engineering Assumptions'!$F$26*0.22*1</f>
        <v>2.42</v>
      </c>
      <c r="I202" s="158">
        <f>'Engineering Assumptions'!$F$26*1</f>
        <v>11</v>
      </c>
      <c r="J202" s="12">
        <f>'Fleet Pricing'!L202</f>
        <v>253000</v>
      </c>
      <c r="K202" s="12">
        <f>'Maintenance &amp; Repair'!J202+'Maintenance &amp; Repair'!K202</f>
        <v>42000</v>
      </c>
      <c r="L202" s="159">
        <f t="shared" si="27"/>
        <v>0.16600790513833993</v>
      </c>
      <c r="M202" s="9">
        <f>MAX(0,'Engineering Assumptions'!$G$26-G202)</f>
        <v>0</v>
      </c>
      <c r="N202" s="160" t="str">
        <f t="shared" si="28"/>
        <v>KEEP</v>
      </c>
      <c r="O202" s="161" t="str">
        <f t="shared" si="29"/>
        <v>Healthy — continue operating</v>
      </c>
      <c r="P202" s="161" t="str">
        <f>'Engineering Assumptions'!H26</f>
        <v>BOBCAT S450/S770 new ~Rs. 9–13M</v>
      </c>
    </row>
    <row r="203" spans="1:16" ht="15" customHeight="1" x14ac:dyDescent="0.3">
      <c r="A203" s="9">
        <v>190</v>
      </c>
      <c r="B203" s="157" t="s">
        <v>352</v>
      </c>
      <c r="C203" s="157" t="s">
        <v>378</v>
      </c>
      <c r="D203" s="157" t="s">
        <v>379</v>
      </c>
      <c r="E203" s="157"/>
      <c r="F203" s="48" t="s">
        <v>49</v>
      </c>
      <c r="G203" s="9">
        <v>10</v>
      </c>
      <c r="H203" s="158">
        <f>'Engineering Assumptions'!$F$26*0.22*1</f>
        <v>2.42</v>
      </c>
      <c r="I203" s="158">
        <f>'Engineering Assumptions'!$F$26*1</f>
        <v>11</v>
      </c>
      <c r="J203" s="12">
        <f>'Fleet Pricing'!L203</f>
        <v>253000</v>
      </c>
      <c r="K203" s="12">
        <f>'Maintenance &amp; Repair'!J203+'Maintenance &amp; Repair'!K203</f>
        <v>42000</v>
      </c>
      <c r="L203" s="159">
        <f t="shared" si="27"/>
        <v>0.16600790513833993</v>
      </c>
      <c r="M203" s="9">
        <f>MAX(0,'Engineering Assumptions'!$G$26-G203)</f>
        <v>0</v>
      </c>
      <c r="N203" s="160" t="str">
        <f t="shared" si="28"/>
        <v>KEEP</v>
      </c>
      <c r="O203" s="161" t="str">
        <f t="shared" si="29"/>
        <v>Healthy — continue operating</v>
      </c>
      <c r="P203" s="161" t="str">
        <f>'Engineering Assumptions'!H26</f>
        <v>BOBCAT S450/S770 new ~Rs. 9–13M</v>
      </c>
    </row>
    <row r="204" spans="1:16" ht="15" customHeight="1" x14ac:dyDescent="0.3">
      <c r="A204" s="9">
        <v>191</v>
      </c>
      <c r="B204" s="157" t="s">
        <v>352</v>
      </c>
      <c r="C204" s="157" t="s">
        <v>361</v>
      </c>
      <c r="D204" s="157" t="s">
        <v>380</v>
      </c>
      <c r="E204" s="157"/>
      <c r="F204" s="48" t="s">
        <v>94</v>
      </c>
      <c r="G204" s="9">
        <v>12</v>
      </c>
      <c r="H204" s="158">
        <f>'Engineering Assumptions'!$F$26*0.22*1</f>
        <v>2.42</v>
      </c>
      <c r="I204" s="158">
        <f>'Engineering Assumptions'!$F$26*1</f>
        <v>11</v>
      </c>
      <c r="J204" s="12">
        <f>'Fleet Pricing'!L204</f>
        <v>225500</v>
      </c>
      <c r="K204" s="12">
        <f>'Maintenance &amp; Repair'!J204+'Maintenance &amp; Repair'!K204</f>
        <v>62160</v>
      </c>
      <c r="L204" s="159">
        <f t="shared" si="27"/>
        <v>0.27565410199556539</v>
      </c>
      <c r="M204" s="9">
        <f>MAX(0,'Engineering Assumptions'!$G$26-G204)</f>
        <v>0</v>
      </c>
      <c r="N204" s="160" t="str">
        <f t="shared" si="28"/>
        <v>MONITOR</v>
      </c>
      <c r="O204" s="161" t="str">
        <f t="shared" si="29"/>
        <v>Watch costs; plan replacement</v>
      </c>
      <c r="P204" s="161" t="str">
        <f>'Engineering Assumptions'!H26</f>
        <v>BOBCAT S450/S770 new ~Rs. 9–13M</v>
      </c>
    </row>
    <row r="205" spans="1:16" ht="15" customHeight="1" x14ac:dyDescent="0.3">
      <c r="A205" s="9">
        <v>192</v>
      </c>
      <c r="B205" s="157" t="s">
        <v>352</v>
      </c>
      <c r="C205" s="157" t="s">
        <v>381</v>
      </c>
      <c r="D205" s="157" t="s">
        <v>382</v>
      </c>
      <c r="E205" s="157"/>
      <c r="F205" s="48" t="s">
        <v>94</v>
      </c>
      <c r="G205" s="9">
        <v>12</v>
      </c>
      <c r="H205" s="158">
        <f>'Engineering Assumptions'!$F$26*0.22*1</f>
        <v>2.42</v>
      </c>
      <c r="I205" s="158">
        <f>'Engineering Assumptions'!$F$26*1</f>
        <v>11</v>
      </c>
      <c r="J205" s="12">
        <f>'Fleet Pricing'!L205</f>
        <v>225500</v>
      </c>
      <c r="K205" s="12">
        <f>'Maintenance &amp; Repair'!J205+'Maintenance &amp; Repair'!K205</f>
        <v>62160</v>
      </c>
      <c r="L205" s="159">
        <f t="shared" si="27"/>
        <v>0.27565410199556539</v>
      </c>
      <c r="M205" s="9">
        <f>MAX(0,'Engineering Assumptions'!$G$26-G205)</f>
        <v>0</v>
      </c>
      <c r="N205" s="160" t="str">
        <f t="shared" si="28"/>
        <v>MONITOR</v>
      </c>
      <c r="O205" s="161" t="str">
        <f t="shared" si="29"/>
        <v>Watch costs; plan replacement</v>
      </c>
      <c r="P205" s="161" t="str">
        <f>'Engineering Assumptions'!H26</f>
        <v>BOBCAT S450/S770 new ~Rs. 9–13M</v>
      </c>
    </row>
    <row r="206" spans="1:16" ht="15" customHeight="1" x14ac:dyDescent="0.3">
      <c r="A206" s="9">
        <v>193</v>
      </c>
      <c r="B206" s="157" t="s">
        <v>352</v>
      </c>
      <c r="C206" s="157" t="s">
        <v>381</v>
      </c>
      <c r="D206" s="157" t="s">
        <v>383</v>
      </c>
      <c r="E206" s="157"/>
      <c r="F206" s="48" t="s">
        <v>94</v>
      </c>
      <c r="G206" s="9">
        <v>12</v>
      </c>
      <c r="H206" s="158">
        <f>'Engineering Assumptions'!$F$26*0.22*1</f>
        <v>2.42</v>
      </c>
      <c r="I206" s="158">
        <f>'Engineering Assumptions'!$F$26*1</f>
        <v>11</v>
      </c>
      <c r="J206" s="12">
        <f>'Fleet Pricing'!L206</f>
        <v>225500</v>
      </c>
      <c r="K206" s="12">
        <f>'Maintenance &amp; Repair'!J206+'Maintenance &amp; Repair'!K206</f>
        <v>62160</v>
      </c>
      <c r="L206" s="159">
        <f t="shared" si="27"/>
        <v>0.27565410199556539</v>
      </c>
      <c r="M206" s="9">
        <f>MAX(0,'Engineering Assumptions'!$G$26-G206)</f>
        <v>0</v>
      </c>
      <c r="N206" s="160" t="str">
        <f t="shared" si="28"/>
        <v>MONITOR</v>
      </c>
      <c r="O206" s="161" t="str">
        <f t="shared" si="29"/>
        <v>Watch costs; plan replacement</v>
      </c>
      <c r="P206" s="161" t="str">
        <f>'Engineering Assumptions'!H26</f>
        <v>BOBCAT S450/S770 new ~Rs. 9–13M</v>
      </c>
    </row>
    <row r="207" spans="1:16" ht="15" customHeight="1" x14ac:dyDescent="0.3">
      <c r="A207" s="9">
        <v>194</v>
      </c>
      <c r="B207" s="157" t="s">
        <v>352</v>
      </c>
      <c r="C207" s="157" t="s">
        <v>361</v>
      </c>
      <c r="D207" s="157" t="s">
        <v>384</v>
      </c>
      <c r="E207" s="157"/>
      <c r="F207" s="48" t="s">
        <v>94</v>
      </c>
      <c r="G207" s="9">
        <v>12</v>
      </c>
      <c r="H207" s="158">
        <f>'Engineering Assumptions'!$F$26*0.22*1</f>
        <v>2.42</v>
      </c>
      <c r="I207" s="158">
        <f>'Engineering Assumptions'!$F$26*1</f>
        <v>11</v>
      </c>
      <c r="J207" s="12">
        <f>'Fleet Pricing'!L207</f>
        <v>225500</v>
      </c>
      <c r="K207" s="12">
        <f>'Maintenance &amp; Repair'!J207+'Maintenance &amp; Repair'!K207</f>
        <v>62160</v>
      </c>
      <c r="L207" s="159">
        <f t="shared" si="27"/>
        <v>0.27565410199556539</v>
      </c>
      <c r="M207" s="9">
        <f>MAX(0,'Engineering Assumptions'!$G$26-G207)</f>
        <v>0</v>
      </c>
      <c r="N207" s="160" t="str">
        <f t="shared" si="28"/>
        <v>MONITOR</v>
      </c>
      <c r="O207" s="161" t="str">
        <f t="shared" si="29"/>
        <v>Watch costs; plan replacement</v>
      </c>
      <c r="P207" s="161" t="str">
        <f>'Engineering Assumptions'!H26</f>
        <v>BOBCAT S450/S770 new ~Rs. 9–13M</v>
      </c>
    </row>
    <row r="208" spans="1:16" ht="15" customHeight="1" x14ac:dyDescent="0.3">
      <c r="A208" s="199" t="s">
        <v>385</v>
      </c>
      <c r="B208" s="200"/>
      <c r="C208" s="200"/>
      <c r="D208" s="200"/>
      <c r="E208" s="200"/>
      <c r="F208" s="200"/>
      <c r="G208" s="200"/>
      <c r="H208" s="200"/>
      <c r="I208" s="200"/>
      <c r="J208" s="200"/>
      <c r="K208" s="200"/>
      <c r="L208" s="200"/>
      <c r="M208" s="200"/>
      <c r="N208" s="200"/>
      <c r="O208" s="200"/>
      <c r="P208" s="200"/>
    </row>
    <row r="209" spans="1:16" ht="15" customHeight="1" x14ac:dyDescent="0.3">
      <c r="A209" s="9">
        <v>195</v>
      </c>
      <c r="B209" s="157" t="s">
        <v>386</v>
      </c>
      <c r="C209" s="157" t="s">
        <v>387</v>
      </c>
      <c r="D209" s="157" t="s">
        <v>388</v>
      </c>
      <c r="E209" s="157"/>
      <c r="F209" s="48" t="s">
        <v>31</v>
      </c>
      <c r="G209" s="9">
        <v>6</v>
      </c>
      <c r="H209" s="158">
        <f>'Engineering Assumptions'!$F$27*0.35*1</f>
        <v>16.799999999999997</v>
      </c>
      <c r="I209" s="158">
        <f>'Engineering Assumptions'!$F$27*1</f>
        <v>48</v>
      </c>
      <c r="J209" s="12">
        <f>'Fleet Pricing'!L209</f>
        <v>821000</v>
      </c>
      <c r="K209" s="12">
        <f>'Maintenance &amp; Repair'!J209+'Maintenance &amp; Repair'!K209</f>
        <v>113400</v>
      </c>
      <c r="L209" s="159">
        <f t="shared" ref="L209:L219" si="30">IFERROR(K209/J209,0)</f>
        <v>0.13812423873325214</v>
      </c>
      <c r="M209" s="9">
        <f>MAX(0,'Engineering Assumptions'!$G$27-G209)</f>
        <v>6</v>
      </c>
      <c r="N209" s="160" t="str">
        <f t="shared" ref="N209:N219" si="31">IF(G209&gt;=20,"REPLACE",IF(L209&gt;0.6,"REPLACE",IF(G209&gt;=15,"REPLACE",IF(OR(G209&gt;=11,L209&gt;0.4),"MONITOR","KEEP"))))</f>
        <v>KEEP</v>
      </c>
      <c r="O209" s="161" t="str">
        <f t="shared" ref="O209:O219" si="32">IF(G209&gt;=20,"End of life (age &gt; 20)",IF(L209&gt;0.6,"Repairs exceed 60% of revenue",IF(G209&gt;=15,"Age 15+ → replace",IF(OR(G209&gt;=11,L209&gt;0.4),"Watch costs; plan replacement","Healthy — continue operating"))))</f>
        <v>Healthy — continue operating</v>
      </c>
      <c r="P209" s="161" t="str">
        <f>'Engineering Assumptions'!H27</f>
        <v>VOLVO P6820 / SUMITOMO HA60 ~Rs. 40–55M</v>
      </c>
    </row>
    <row r="210" spans="1:16" ht="15" customHeight="1" x14ac:dyDescent="0.3">
      <c r="A210" s="9">
        <v>196</v>
      </c>
      <c r="B210" s="157" t="s">
        <v>386</v>
      </c>
      <c r="C210" s="157" t="s">
        <v>389</v>
      </c>
      <c r="D210" s="157" t="s">
        <v>390</v>
      </c>
      <c r="E210" s="157"/>
      <c r="F210" s="48" t="s">
        <v>45</v>
      </c>
      <c r="G210" s="9">
        <v>7</v>
      </c>
      <c r="H210" s="158">
        <f>'Engineering Assumptions'!$F$27*0.35*1</f>
        <v>16.799999999999997</v>
      </c>
      <c r="I210" s="158">
        <f>'Engineering Assumptions'!$F$27*1</f>
        <v>48</v>
      </c>
      <c r="J210" s="12">
        <f>'Fleet Pricing'!L210</f>
        <v>756000</v>
      </c>
      <c r="K210" s="12">
        <f>'Maintenance &amp; Repair'!J210+'Maintenance &amp; Repair'!K210</f>
        <v>113400</v>
      </c>
      <c r="L210" s="159">
        <f t="shared" si="30"/>
        <v>0.15</v>
      </c>
      <c r="M210" s="9">
        <f>MAX(0,'Engineering Assumptions'!$G$27-G210)</f>
        <v>5</v>
      </c>
      <c r="N210" s="160" t="str">
        <f t="shared" si="31"/>
        <v>KEEP</v>
      </c>
      <c r="O210" s="161" t="str">
        <f t="shared" si="32"/>
        <v>Healthy — continue operating</v>
      </c>
      <c r="P210" s="161" t="str">
        <f>'Engineering Assumptions'!H27</f>
        <v>VOLVO P6820 / SUMITOMO HA60 ~Rs. 40–55M</v>
      </c>
    </row>
    <row r="211" spans="1:16" ht="15" customHeight="1" x14ac:dyDescent="0.3">
      <c r="A211" s="9">
        <v>197</v>
      </c>
      <c r="B211" s="157" t="s">
        <v>386</v>
      </c>
      <c r="C211" s="157" t="s">
        <v>391</v>
      </c>
      <c r="D211" s="157" t="s">
        <v>392</v>
      </c>
      <c r="E211" s="157"/>
      <c r="F211" s="48" t="s">
        <v>94</v>
      </c>
      <c r="G211" s="9">
        <v>12</v>
      </c>
      <c r="H211" s="158">
        <f>'Engineering Assumptions'!$F$27*0.22*1</f>
        <v>10.56</v>
      </c>
      <c r="I211" s="158">
        <f>'Engineering Assumptions'!$F$27*1</f>
        <v>48</v>
      </c>
      <c r="J211" s="12">
        <f>'Fleet Pricing'!L211</f>
        <v>673000</v>
      </c>
      <c r="K211" s="12">
        <f>'Maintenance &amp; Repair'!J211+'Maintenance &amp; Repair'!K211</f>
        <v>168840</v>
      </c>
      <c r="L211" s="159">
        <f t="shared" si="30"/>
        <v>0.25087667161961369</v>
      </c>
      <c r="M211" s="9">
        <f>MAX(0,'Engineering Assumptions'!$G$27-G211)</f>
        <v>0</v>
      </c>
      <c r="N211" s="160" t="str">
        <f t="shared" si="31"/>
        <v>MONITOR</v>
      </c>
      <c r="O211" s="161" t="str">
        <f t="shared" si="32"/>
        <v>Watch costs; plan replacement</v>
      </c>
      <c r="P211" s="161" t="str">
        <f>'Engineering Assumptions'!H27</f>
        <v>VOLVO P6820 / SUMITOMO HA60 ~Rs. 40–55M</v>
      </c>
    </row>
    <row r="212" spans="1:16" ht="15" customHeight="1" x14ac:dyDescent="0.3">
      <c r="A212" s="9">
        <v>198</v>
      </c>
      <c r="B212" s="157" t="s">
        <v>386</v>
      </c>
      <c r="C212" s="157" t="s">
        <v>393</v>
      </c>
      <c r="D212" s="157" t="s">
        <v>394</v>
      </c>
      <c r="E212" s="157"/>
      <c r="F212" s="48" t="s">
        <v>94</v>
      </c>
      <c r="G212" s="9">
        <v>12</v>
      </c>
      <c r="H212" s="158">
        <f>'Engineering Assumptions'!$F$27*0.22*1</f>
        <v>10.56</v>
      </c>
      <c r="I212" s="158">
        <f>'Engineering Assumptions'!$F$27*1</f>
        <v>48</v>
      </c>
      <c r="J212" s="12">
        <f>'Fleet Pricing'!L212</f>
        <v>673000</v>
      </c>
      <c r="K212" s="12">
        <f>'Maintenance &amp; Repair'!J212+'Maintenance &amp; Repair'!K212</f>
        <v>168840</v>
      </c>
      <c r="L212" s="159">
        <f t="shared" si="30"/>
        <v>0.25087667161961369</v>
      </c>
      <c r="M212" s="9">
        <f>MAX(0,'Engineering Assumptions'!$G$27-G212)</f>
        <v>0</v>
      </c>
      <c r="N212" s="160" t="str">
        <f t="shared" si="31"/>
        <v>MONITOR</v>
      </c>
      <c r="O212" s="161" t="str">
        <f t="shared" si="32"/>
        <v>Watch costs; plan replacement</v>
      </c>
      <c r="P212" s="161" t="str">
        <f>'Engineering Assumptions'!H27</f>
        <v>VOLVO P6820 / SUMITOMO HA60 ~Rs. 40–55M</v>
      </c>
    </row>
    <row r="213" spans="1:16" ht="15" customHeight="1" x14ac:dyDescent="0.3">
      <c r="A213" s="9">
        <v>199</v>
      </c>
      <c r="B213" s="157" t="s">
        <v>386</v>
      </c>
      <c r="C213" s="157" t="s">
        <v>395</v>
      </c>
      <c r="D213" s="157" t="s">
        <v>396</v>
      </c>
      <c r="E213" s="157"/>
      <c r="F213" s="48" t="s">
        <v>99</v>
      </c>
      <c r="G213" s="9">
        <v>13</v>
      </c>
      <c r="H213" s="158">
        <f>'Engineering Assumptions'!$F$27*0.12*1</f>
        <v>5.76</v>
      </c>
      <c r="I213" s="158">
        <f>'Engineering Assumptions'!$F$27*1</f>
        <v>48</v>
      </c>
      <c r="J213" s="12">
        <f>'Fleet Pricing'!L213</f>
        <v>673000</v>
      </c>
      <c r="K213" s="12">
        <f>'Maintenance &amp; Repair'!J213+'Maintenance &amp; Repair'!K213</f>
        <v>168840</v>
      </c>
      <c r="L213" s="159">
        <f t="shared" si="30"/>
        <v>0.25087667161961369</v>
      </c>
      <c r="M213" s="9">
        <f>MAX(0,'Engineering Assumptions'!$G$27-G213)</f>
        <v>0</v>
      </c>
      <c r="N213" s="160" t="str">
        <f t="shared" si="31"/>
        <v>MONITOR</v>
      </c>
      <c r="O213" s="161" t="str">
        <f t="shared" si="32"/>
        <v>Watch costs; plan replacement</v>
      </c>
      <c r="P213" s="161" t="str">
        <f>'Engineering Assumptions'!H27</f>
        <v>VOLVO P6820 / SUMITOMO HA60 ~Rs. 40–55M</v>
      </c>
    </row>
    <row r="214" spans="1:16" ht="15" customHeight="1" x14ac:dyDescent="0.3">
      <c r="A214" s="9">
        <v>200</v>
      </c>
      <c r="B214" s="157" t="s">
        <v>386</v>
      </c>
      <c r="C214" s="157" t="s">
        <v>397</v>
      </c>
      <c r="D214" s="157" t="s">
        <v>398</v>
      </c>
      <c r="E214" s="157"/>
      <c r="F214" s="48" t="s">
        <v>66</v>
      </c>
      <c r="G214" s="9">
        <v>14</v>
      </c>
      <c r="H214" s="158">
        <f>'Engineering Assumptions'!$F$27*0.12*1</f>
        <v>5.76</v>
      </c>
      <c r="I214" s="158">
        <f>'Engineering Assumptions'!$F$27*1</f>
        <v>48</v>
      </c>
      <c r="J214" s="12">
        <f>'Fleet Pricing'!L214</f>
        <v>673000</v>
      </c>
      <c r="K214" s="12">
        <f>'Maintenance &amp; Repair'!J214+'Maintenance &amp; Repair'!K214</f>
        <v>168840</v>
      </c>
      <c r="L214" s="159">
        <f t="shared" si="30"/>
        <v>0.25087667161961369</v>
      </c>
      <c r="M214" s="9">
        <f>MAX(0,'Engineering Assumptions'!$G$27-G214)</f>
        <v>0</v>
      </c>
      <c r="N214" s="160" t="str">
        <f t="shared" si="31"/>
        <v>MONITOR</v>
      </c>
      <c r="O214" s="161" t="str">
        <f t="shared" si="32"/>
        <v>Watch costs; plan replacement</v>
      </c>
      <c r="P214" s="161" t="str">
        <f>'Engineering Assumptions'!H27</f>
        <v>VOLVO P6820 / SUMITOMO HA60 ~Rs. 40–55M</v>
      </c>
    </row>
    <row r="215" spans="1:16" ht="15" customHeight="1" x14ac:dyDescent="0.3">
      <c r="A215" s="9">
        <v>201</v>
      </c>
      <c r="B215" s="157" t="s">
        <v>386</v>
      </c>
      <c r="C215" s="157" t="s">
        <v>399</v>
      </c>
      <c r="D215" s="157" t="s">
        <v>400</v>
      </c>
      <c r="E215" s="157"/>
      <c r="F215" s="48" t="s">
        <v>66</v>
      </c>
      <c r="G215" s="9">
        <v>14</v>
      </c>
      <c r="H215" s="158">
        <f>'Engineering Assumptions'!$F$27*0.12*1</f>
        <v>5.76</v>
      </c>
      <c r="I215" s="158">
        <f>'Engineering Assumptions'!$F$27*1</f>
        <v>48</v>
      </c>
      <c r="J215" s="12">
        <f>'Fleet Pricing'!L215</f>
        <v>673000</v>
      </c>
      <c r="K215" s="12">
        <f>'Maintenance &amp; Repair'!J215+'Maintenance &amp; Repair'!K215</f>
        <v>168840</v>
      </c>
      <c r="L215" s="159">
        <f t="shared" si="30"/>
        <v>0.25087667161961369</v>
      </c>
      <c r="M215" s="9">
        <f>MAX(0,'Engineering Assumptions'!$G$27-G215)</f>
        <v>0</v>
      </c>
      <c r="N215" s="160" t="str">
        <f t="shared" si="31"/>
        <v>MONITOR</v>
      </c>
      <c r="O215" s="161" t="str">
        <f t="shared" si="32"/>
        <v>Watch costs; plan replacement</v>
      </c>
      <c r="P215" s="161" t="str">
        <f>'Engineering Assumptions'!H27</f>
        <v>VOLVO P6820 / SUMITOMO HA60 ~Rs. 40–55M</v>
      </c>
    </row>
    <row r="216" spans="1:16" ht="15" customHeight="1" x14ac:dyDescent="0.3">
      <c r="A216" s="9">
        <v>202</v>
      </c>
      <c r="B216" s="157" t="s">
        <v>386</v>
      </c>
      <c r="C216" s="157" t="s">
        <v>401</v>
      </c>
      <c r="D216" s="157" t="s">
        <v>402</v>
      </c>
      <c r="E216" s="157"/>
      <c r="F216" s="48" t="s">
        <v>66</v>
      </c>
      <c r="G216" s="9">
        <v>14</v>
      </c>
      <c r="H216" s="158">
        <f>'Engineering Assumptions'!$F$27*0.12*1</f>
        <v>5.76</v>
      </c>
      <c r="I216" s="158">
        <f>'Engineering Assumptions'!$F$27*1</f>
        <v>48</v>
      </c>
      <c r="J216" s="12">
        <f>'Fleet Pricing'!L216</f>
        <v>673000</v>
      </c>
      <c r="K216" s="12">
        <f>'Maintenance &amp; Repair'!J216+'Maintenance &amp; Repair'!K216</f>
        <v>168840</v>
      </c>
      <c r="L216" s="159">
        <f t="shared" si="30"/>
        <v>0.25087667161961369</v>
      </c>
      <c r="M216" s="9">
        <f>MAX(0,'Engineering Assumptions'!$G$27-G216)</f>
        <v>0</v>
      </c>
      <c r="N216" s="160" t="str">
        <f t="shared" si="31"/>
        <v>MONITOR</v>
      </c>
      <c r="O216" s="161" t="str">
        <f t="shared" si="32"/>
        <v>Watch costs; plan replacement</v>
      </c>
      <c r="P216" s="161" t="str">
        <f>'Engineering Assumptions'!H27</f>
        <v>VOLVO P6820 / SUMITOMO HA60 ~Rs. 40–55M</v>
      </c>
    </row>
    <row r="217" spans="1:16" ht="15" customHeight="1" x14ac:dyDescent="0.3">
      <c r="A217" s="9">
        <v>203</v>
      </c>
      <c r="B217" s="157" t="s">
        <v>386</v>
      </c>
      <c r="C217" s="157" t="s">
        <v>403</v>
      </c>
      <c r="D217" s="157" t="s">
        <v>404</v>
      </c>
      <c r="E217" s="157"/>
      <c r="F217" s="48" t="s">
        <v>73</v>
      </c>
      <c r="G217" s="9">
        <v>20</v>
      </c>
      <c r="H217" s="158">
        <f>'Engineering Assumptions'!$F$27*0.06*1</f>
        <v>2.88</v>
      </c>
      <c r="I217" s="158">
        <f>'Engineering Assumptions'!$F$27*1</f>
        <v>48</v>
      </c>
      <c r="J217" s="12">
        <f>'Fleet Pricing'!L217</f>
        <v>591500</v>
      </c>
      <c r="K217" s="12">
        <f>'Maintenance &amp; Repair'!J217+'Maintenance &amp; Repair'!K217</f>
        <v>239400</v>
      </c>
      <c r="L217" s="159">
        <f t="shared" si="30"/>
        <v>0.40473372781065087</v>
      </c>
      <c r="M217" s="9">
        <f>MAX(0,'Engineering Assumptions'!$G$27-G217)</f>
        <v>0</v>
      </c>
      <c r="N217" s="160" t="str">
        <f t="shared" si="31"/>
        <v>REPLACE</v>
      </c>
      <c r="O217" s="161" t="str">
        <f t="shared" si="32"/>
        <v>End of life (age &gt; 20)</v>
      </c>
      <c r="P217" s="161" t="str">
        <f>'Engineering Assumptions'!H27</f>
        <v>VOLVO P6820 / SUMITOMO HA60 ~Rs. 40–55M</v>
      </c>
    </row>
    <row r="218" spans="1:16" ht="15" customHeight="1" x14ac:dyDescent="0.3">
      <c r="A218" s="9">
        <v>204</v>
      </c>
      <c r="B218" s="157" t="s">
        <v>386</v>
      </c>
      <c r="C218" s="157" t="s">
        <v>188</v>
      </c>
      <c r="D218" s="157" t="s">
        <v>405</v>
      </c>
      <c r="E218" s="157"/>
      <c r="F218" s="48" t="s">
        <v>195</v>
      </c>
      <c r="G218" s="9">
        <v>30</v>
      </c>
      <c r="H218" s="158">
        <f>'Engineering Assumptions'!$F$27*0.03*1</f>
        <v>1.44</v>
      </c>
      <c r="I218" s="158">
        <f>'Engineering Assumptions'!$F$27*1</f>
        <v>48</v>
      </c>
      <c r="J218" s="12">
        <f>'Fleet Pricing'!L218</f>
        <v>476500</v>
      </c>
      <c r="K218" s="12">
        <f>'Maintenance &amp; Repair'!J218+'Maintenance &amp; Repair'!K218</f>
        <v>322560</v>
      </c>
      <c r="L218" s="159">
        <f t="shared" si="30"/>
        <v>0.67693599160545648</v>
      </c>
      <c r="M218" s="9">
        <f>MAX(0,'Engineering Assumptions'!$G$27-G218)</f>
        <v>0</v>
      </c>
      <c r="N218" s="160" t="str">
        <f t="shared" si="31"/>
        <v>REPLACE</v>
      </c>
      <c r="O218" s="161" t="str">
        <f t="shared" si="32"/>
        <v>End of life (age &gt; 20)</v>
      </c>
      <c r="P218" s="161" t="str">
        <f>'Engineering Assumptions'!H27</f>
        <v>VOLVO P6820 / SUMITOMO HA60 ~Rs. 40–55M</v>
      </c>
    </row>
    <row r="219" spans="1:16" ht="15" customHeight="1" x14ac:dyDescent="0.3">
      <c r="A219" s="9">
        <v>205</v>
      </c>
      <c r="B219" s="157" t="s">
        <v>386</v>
      </c>
      <c r="C219" s="157" t="s">
        <v>188</v>
      </c>
      <c r="D219" s="157" t="s">
        <v>406</v>
      </c>
      <c r="E219" s="157"/>
      <c r="F219" s="48" t="s">
        <v>195</v>
      </c>
      <c r="G219" s="9">
        <v>30</v>
      </c>
      <c r="H219" s="158">
        <f>'Engineering Assumptions'!$F$27*0.03*1</f>
        <v>1.44</v>
      </c>
      <c r="I219" s="158">
        <f>'Engineering Assumptions'!$F$27*1</f>
        <v>48</v>
      </c>
      <c r="J219" s="12">
        <f>'Fleet Pricing'!L219</f>
        <v>476500</v>
      </c>
      <c r="K219" s="12">
        <f>'Maintenance &amp; Repair'!J219+'Maintenance &amp; Repair'!K219</f>
        <v>322560</v>
      </c>
      <c r="L219" s="159">
        <f t="shared" si="30"/>
        <v>0.67693599160545648</v>
      </c>
      <c r="M219" s="9">
        <f>MAX(0,'Engineering Assumptions'!$G$27-G219)</f>
        <v>0</v>
      </c>
      <c r="N219" s="160" t="str">
        <f t="shared" si="31"/>
        <v>REPLACE</v>
      </c>
      <c r="O219" s="161" t="str">
        <f t="shared" si="32"/>
        <v>End of life (age &gt; 20)</v>
      </c>
      <c r="P219" s="161" t="str">
        <f>'Engineering Assumptions'!H27</f>
        <v>VOLVO P6820 / SUMITOMO HA60 ~Rs. 40–55M</v>
      </c>
    </row>
    <row r="220" spans="1:16" ht="15" customHeight="1" x14ac:dyDescent="0.3">
      <c r="A220" s="199" t="s">
        <v>407</v>
      </c>
      <c r="B220" s="200"/>
      <c r="C220" s="200"/>
      <c r="D220" s="200"/>
      <c r="E220" s="200"/>
      <c r="F220" s="200"/>
      <c r="G220" s="200"/>
      <c r="H220" s="200"/>
      <c r="I220" s="200"/>
      <c r="J220" s="200"/>
      <c r="K220" s="200"/>
      <c r="L220" s="200"/>
      <c r="M220" s="200"/>
      <c r="N220" s="200"/>
      <c r="O220" s="200"/>
      <c r="P220" s="200"/>
    </row>
    <row r="221" spans="1:16" ht="15" customHeight="1" x14ac:dyDescent="0.3">
      <c r="A221" s="9">
        <v>206</v>
      </c>
      <c r="B221" s="157" t="s">
        <v>408</v>
      </c>
      <c r="C221" s="157" t="s">
        <v>409</v>
      </c>
      <c r="D221" s="157" t="s">
        <v>410</v>
      </c>
      <c r="E221" s="157" t="s">
        <v>411</v>
      </c>
      <c r="F221" s="48" t="s">
        <v>45</v>
      </c>
      <c r="G221" s="9">
        <v>7</v>
      </c>
      <c r="H221" s="158">
        <f>'Engineering Assumptions'!$F$28*0.35*1</f>
        <v>4.8999999999999995</v>
      </c>
      <c r="I221" s="158">
        <f>'Engineering Assumptions'!$F$28*1</f>
        <v>14</v>
      </c>
      <c r="J221" s="12">
        <f>'Fleet Pricing'!L221</f>
        <v>328500</v>
      </c>
      <c r="K221" s="12">
        <f>'Maintenance &amp; Repair'!J221+'Maintenance &amp; Repair'!K221</f>
        <v>44400</v>
      </c>
      <c r="L221" s="159">
        <f>IFERROR(K221/J221,0)</f>
        <v>0.13515981735159818</v>
      </c>
      <c r="M221" s="9">
        <f>MAX(0,'Engineering Assumptions'!$G$28-G221)</f>
        <v>8</v>
      </c>
      <c r="N221" s="160" t="str">
        <f>IF(G221&gt;=20,"REPLACE",IF(L221&gt;0.6,"REPLACE",IF(G221&gt;=15,"REPLACE",IF(OR(G221&gt;=11,L221&gt;0.4),"MONITOR","KEEP"))))</f>
        <v>KEEP</v>
      </c>
      <c r="O221" s="161" t="str">
        <f>IF(G221&gt;=20,"End of life (age &gt; 20)",IF(L221&gt;0.6,"Repairs exceed 60% of revenue",IF(G221&gt;=15,"Age 15+ → replace",IF(OR(G221&gt;=11,L221&gt;0.4),"Watch costs; plan replacement","Healthy — continue operating"))))</f>
        <v>Healthy — continue operating</v>
      </c>
      <c r="P221" s="161" t="str">
        <f>'Engineering Assumptions'!H28</f>
        <v>DFAC/Foton chassis + insulated tank ~Rs. 12–16M</v>
      </c>
    </row>
    <row r="222" spans="1:16" ht="15" customHeight="1" x14ac:dyDescent="0.3">
      <c r="A222" s="9">
        <v>207</v>
      </c>
      <c r="B222" s="157" t="s">
        <v>408</v>
      </c>
      <c r="C222" s="157" t="s">
        <v>412</v>
      </c>
      <c r="D222" s="157" t="s">
        <v>413</v>
      </c>
      <c r="E222" s="157" t="s">
        <v>414</v>
      </c>
      <c r="F222" s="48" t="s">
        <v>99</v>
      </c>
      <c r="G222" s="9">
        <v>13</v>
      </c>
      <c r="H222" s="158">
        <f>'Engineering Assumptions'!$F$28*0.12*1</f>
        <v>1.68</v>
      </c>
      <c r="I222" s="158">
        <f>'Engineering Assumptions'!$F$28*1</f>
        <v>14</v>
      </c>
      <c r="J222" s="12">
        <f>'Fleet Pricing'!L222</f>
        <v>292500</v>
      </c>
      <c r="K222" s="12">
        <f>'Maintenance &amp; Repair'!J222+'Maintenance &amp; Repair'!K222</f>
        <v>65640</v>
      </c>
      <c r="L222" s="159">
        <f>IFERROR(K222/J222,0)</f>
        <v>0.22441025641025641</v>
      </c>
      <c r="M222" s="9">
        <f>MAX(0,'Engineering Assumptions'!$G$28-G222)</f>
        <v>2</v>
      </c>
      <c r="N222" s="160" t="str">
        <f>IF(G222&gt;=20,"REPLACE",IF(L222&gt;0.6,"REPLACE",IF(G222&gt;=15,"REPLACE",IF(OR(G222&gt;=11,L222&gt;0.4),"MONITOR","KEEP"))))</f>
        <v>MONITOR</v>
      </c>
      <c r="O222" s="161" t="str">
        <f>IF(G222&gt;=20,"End of life (age &gt; 20)",IF(L222&gt;0.6,"Repairs exceed 60% of revenue",IF(G222&gt;=15,"Age 15+ → replace",IF(OR(G222&gt;=11,L222&gt;0.4),"Watch costs; plan replacement","Healthy — continue operating"))))</f>
        <v>Watch costs; plan replacement</v>
      </c>
      <c r="P222" s="161" t="str">
        <f>'Engineering Assumptions'!H28</f>
        <v>DFAC/Foton chassis + insulated tank ~Rs. 12–16M</v>
      </c>
    </row>
    <row r="223" spans="1:16" ht="15" customHeight="1" x14ac:dyDescent="0.3">
      <c r="A223" s="9">
        <v>208</v>
      </c>
      <c r="B223" s="157" t="s">
        <v>408</v>
      </c>
      <c r="C223" s="157" t="s">
        <v>415</v>
      </c>
      <c r="D223" s="157" t="s">
        <v>416</v>
      </c>
      <c r="E223" s="157" t="s">
        <v>417</v>
      </c>
      <c r="F223" s="48" t="s">
        <v>66</v>
      </c>
      <c r="G223" s="9">
        <v>14</v>
      </c>
      <c r="H223" s="158">
        <f>'Engineering Assumptions'!$F$28*0.12*1</f>
        <v>1.68</v>
      </c>
      <c r="I223" s="158">
        <f>'Engineering Assumptions'!$F$28*1</f>
        <v>14</v>
      </c>
      <c r="J223" s="12">
        <f>'Fleet Pricing'!L223</f>
        <v>292500</v>
      </c>
      <c r="K223" s="12">
        <f>'Maintenance &amp; Repair'!J223+'Maintenance &amp; Repair'!K223</f>
        <v>65640</v>
      </c>
      <c r="L223" s="159">
        <f>IFERROR(K223/J223,0)</f>
        <v>0.22441025641025641</v>
      </c>
      <c r="M223" s="9">
        <f>MAX(0,'Engineering Assumptions'!$G$28-G223)</f>
        <v>1</v>
      </c>
      <c r="N223" s="160" t="str">
        <f>IF(G223&gt;=20,"REPLACE",IF(L223&gt;0.6,"REPLACE",IF(G223&gt;=15,"REPLACE",IF(OR(G223&gt;=11,L223&gt;0.4),"MONITOR","KEEP"))))</f>
        <v>MONITOR</v>
      </c>
      <c r="O223" s="161" t="str">
        <f>IF(G223&gt;=20,"End of life (age &gt; 20)",IF(L223&gt;0.6,"Repairs exceed 60% of revenue",IF(G223&gt;=15,"Age 15+ → replace",IF(OR(G223&gt;=11,L223&gt;0.4),"Watch costs; plan replacement","Healthy — continue operating"))))</f>
        <v>Watch costs; plan replacement</v>
      </c>
      <c r="P223" s="161" t="str">
        <f>'Engineering Assumptions'!H28</f>
        <v>DFAC/Foton chassis + insulated tank ~Rs. 12–16M</v>
      </c>
    </row>
    <row r="224" spans="1:16" ht="15" customHeight="1" x14ac:dyDescent="0.3">
      <c r="A224" s="9">
        <v>209</v>
      </c>
      <c r="B224" s="157" t="s">
        <v>408</v>
      </c>
      <c r="C224" s="157" t="s">
        <v>418</v>
      </c>
      <c r="D224" s="157" t="s">
        <v>419</v>
      </c>
      <c r="E224" s="157" t="s">
        <v>420</v>
      </c>
      <c r="F224" s="48" t="s">
        <v>421</v>
      </c>
      <c r="G224" s="9">
        <v>34</v>
      </c>
      <c r="H224" s="158">
        <f>'Engineering Assumptions'!$F$28*0.03*1</f>
        <v>0.42</v>
      </c>
      <c r="I224" s="158">
        <f>'Engineering Assumptions'!$F$28*1</f>
        <v>14</v>
      </c>
      <c r="J224" s="12">
        <f>'Fleet Pricing'!L224</f>
        <v>207000</v>
      </c>
      <c r="K224" s="12">
        <f>'Maintenance &amp; Repair'!J224+'Maintenance &amp; Repair'!K224</f>
        <v>124560</v>
      </c>
      <c r="L224" s="159">
        <f>IFERROR(K224/J224,0)</f>
        <v>0.60173913043478255</v>
      </c>
      <c r="M224" s="9">
        <f>MAX(0,'Engineering Assumptions'!$G$28-G224)</f>
        <v>0</v>
      </c>
      <c r="N224" s="160" t="str">
        <f>IF(G224&gt;=20,"REPLACE",IF(L224&gt;0.6,"REPLACE",IF(G224&gt;=15,"REPLACE",IF(OR(G224&gt;=11,L224&gt;0.4),"MONITOR","KEEP"))))</f>
        <v>REPLACE</v>
      </c>
      <c r="O224" s="161" t="str">
        <f>IF(G224&gt;=20,"End of life (age &gt; 20)",IF(L224&gt;0.6,"Repairs exceed 60% of revenue",IF(G224&gt;=15,"Age 15+ → replace",IF(OR(G224&gt;=11,L224&gt;0.4),"Watch costs; plan replacement","Healthy — continue operating"))))</f>
        <v>End of life (age &gt; 20)</v>
      </c>
      <c r="P224" s="161" t="str">
        <f>'Engineering Assumptions'!H28</f>
        <v>DFAC/Foton chassis + insulated tank ~Rs. 12–16M</v>
      </c>
    </row>
    <row r="225" spans="1:16" ht="15" customHeight="1" x14ac:dyDescent="0.3">
      <c r="A225" s="199" t="s">
        <v>422</v>
      </c>
      <c r="B225" s="200"/>
      <c r="C225" s="200"/>
      <c r="D225" s="200"/>
      <c r="E225" s="200"/>
      <c r="F225" s="200"/>
      <c r="G225" s="200"/>
      <c r="H225" s="200"/>
      <c r="I225" s="200"/>
      <c r="J225" s="200"/>
      <c r="K225" s="200"/>
      <c r="L225" s="200"/>
      <c r="M225" s="200"/>
      <c r="N225" s="200"/>
      <c r="O225" s="200"/>
      <c r="P225" s="200"/>
    </row>
    <row r="226" spans="1:16" ht="15" customHeight="1" x14ac:dyDescent="0.3">
      <c r="A226" s="9">
        <v>210</v>
      </c>
      <c r="B226" s="157" t="s">
        <v>423</v>
      </c>
      <c r="C226" s="157" t="s">
        <v>424</v>
      </c>
      <c r="D226" s="157" t="s">
        <v>425</v>
      </c>
      <c r="E226" s="157" t="s">
        <v>426</v>
      </c>
      <c r="F226" s="48" t="s">
        <v>427</v>
      </c>
      <c r="G226" s="9">
        <v>28</v>
      </c>
      <c r="H226" s="158">
        <f>'Engineering Assumptions'!$F$29*0.03*1</f>
        <v>1.44</v>
      </c>
      <c r="I226" s="158">
        <f>'Engineering Assumptions'!$F$29*1</f>
        <v>48</v>
      </c>
      <c r="J226" s="12">
        <f>'Fleet Pricing'!L226</f>
        <v>520000</v>
      </c>
      <c r="K226" s="12">
        <f>'Maintenance &amp; Repair'!J226+'Maintenance &amp; Repair'!K226</f>
        <v>270720</v>
      </c>
      <c r="L226" s="159">
        <f>IFERROR(K226/J226,0)</f>
        <v>0.52061538461538459</v>
      </c>
      <c r="M226" s="9">
        <f>MAX(0,'Engineering Assumptions'!$G$29-G226)</f>
        <v>0</v>
      </c>
      <c r="N226" s="160" t="str">
        <f>IF(G226&gt;=20,"REPLACE",IF(L226&gt;0.6,"REPLACE",IF(G226&gt;=15,"REPLACE",IF(OR(G226&gt;=11,L226&gt;0.4),"MONITOR","KEEP"))))</f>
        <v>REPLACE</v>
      </c>
      <c r="O226" s="161" t="str">
        <f>IF(G226&gt;=20,"End of life (age &gt; 20)",IF(L226&gt;0.6,"Repairs exceed 60% of revenue",IF(G226&gt;=15,"Age 15+ → replace",IF(OR(G226&gt;=11,L226&gt;0.4),"Watch costs; plan replacement","Healthy — continue operating"))))</f>
        <v>End of life (age &gt; 20)</v>
      </c>
      <c r="P226" s="161" t="str">
        <f>'Engineering Assumptions'!H29</f>
        <v>KOBELCO RK250 25T new ~Rs. 45–55M</v>
      </c>
    </row>
    <row r="227" spans="1:16" ht="15" customHeight="1" x14ac:dyDescent="0.3">
      <c r="A227" s="9">
        <v>211</v>
      </c>
      <c r="B227" s="157" t="s">
        <v>423</v>
      </c>
      <c r="C227" s="157" t="s">
        <v>428</v>
      </c>
      <c r="D227" s="157" t="s">
        <v>429</v>
      </c>
      <c r="E227" s="157" t="s">
        <v>430</v>
      </c>
      <c r="F227" s="48" t="s">
        <v>431</v>
      </c>
      <c r="G227" s="9">
        <v>31</v>
      </c>
      <c r="H227" s="158">
        <f>'Engineering Assumptions'!$F$29*0.03*1</f>
        <v>1.44</v>
      </c>
      <c r="I227" s="158">
        <f>'Engineering Assumptions'!$F$29*1</f>
        <v>48</v>
      </c>
      <c r="J227" s="12">
        <f>'Fleet Pricing'!L227</f>
        <v>520000</v>
      </c>
      <c r="K227" s="12">
        <f>'Maintenance &amp; Repair'!J227+'Maintenance &amp; Repair'!K227</f>
        <v>270720</v>
      </c>
      <c r="L227" s="159">
        <f>IFERROR(K227/J227,0)</f>
        <v>0.52061538461538459</v>
      </c>
      <c r="M227" s="9">
        <f>MAX(0,'Engineering Assumptions'!$G$29-G227)</f>
        <v>0</v>
      </c>
      <c r="N227" s="160" t="str">
        <f>IF(G227&gt;=20,"REPLACE",IF(L227&gt;0.6,"REPLACE",IF(G227&gt;=15,"REPLACE",IF(OR(G227&gt;=11,L227&gt;0.4),"MONITOR","KEEP"))))</f>
        <v>REPLACE</v>
      </c>
      <c r="O227" s="161" t="str">
        <f>IF(G227&gt;=20,"End of life (age &gt; 20)",IF(L227&gt;0.6,"Repairs exceed 60% of revenue",IF(G227&gt;=15,"Age 15+ → replace",IF(OR(G227&gt;=11,L227&gt;0.4),"Watch costs; plan replacement","Healthy — continue operating"))))</f>
        <v>End of life (age &gt; 20)</v>
      </c>
      <c r="P227" s="161" t="str">
        <f>'Engineering Assumptions'!H29</f>
        <v>KOBELCO RK250 25T new ~Rs. 45–55M</v>
      </c>
    </row>
    <row r="228" spans="1:16" ht="15" customHeight="1" x14ac:dyDescent="0.3">
      <c r="A228" s="199" t="s">
        <v>432</v>
      </c>
      <c r="B228" s="200"/>
      <c r="C228" s="200"/>
      <c r="D228" s="200"/>
      <c r="E228" s="200"/>
      <c r="F228" s="200"/>
      <c r="G228" s="200"/>
      <c r="H228" s="200"/>
      <c r="I228" s="200"/>
      <c r="J228" s="200"/>
      <c r="K228" s="200"/>
      <c r="L228" s="200"/>
      <c r="M228" s="200"/>
      <c r="N228" s="200"/>
      <c r="O228" s="200"/>
      <c r="P228" s="200"/>
    </row>
    <row r="229" spans="1:16" ht="15" customHeight="1" x14ac:dyDescent="0.3">
      <c r="A229" s="9">
        <v>212</v>
      </c>
      <c r="B229" s="157" t="s">
        <v>433</v>
      </c>
      <c r="C229" s="157" t="s">
        <v>434</v>
      </c>
      <c r="D229" s="157" t="s">
        <v>435</v>
      </c>
      <c r="E229" s="157" t="s">
        <v>436</v>
      </c>
      <c r="F229" s="48" t="s">
        <v>73</v>
      </c>
      <c r="G229" s="9">
        <v>20</v>
      </c>
      <c r="H229" s="158">
        <f>'Engineering Assumptions'!$F$30*0.06*1</f>
        <v>0.96</v>
      </c>
      <c r="I229" s="158">
        <f>'Engineering Assumptions'!$F$30*1</f>
        <v>16</v>
      </c>
      <c r="J229" s="12">
        <f>'Fleet Pricing'!L229</f>
        <v>367000</v>
      </c>
      <c r="K229" s="12">
        <f>'Maintenance &amp; Repair'!J229+'Maintenance &amp; Repair'!K229</f>
        <v>122040</v>
      </c>
      <c r="L229" s="159">
        <f>IFERROR(K229/J229,0)</f>
        <v>0.33253405994550411</v>
      </c>
      <c r="M229" s="9">
        <f>MAX(0,'Engineering Assumptions'!$G$30-G229)</f>
        <v>0</v>
      </c>
      <c r="N229" s="160" t="str">
        <f>IF(G229&gt;=20,"REPLACE",IF(L229&gt;0.6,"REPLACE",IF(G229&gt;=15,"REPLACE",IF(OR(G229&gt;=11,L229&gt;0.4),"MONITOR","KEEP"))))</f>
        <v>REPLACE</v>
      </c>
      <c r="O229" s="161" t="str">
        <f>IF(G229&gt;=20,"End of life (age &gt; 20)",IF(L229&gt;0.6,"Repairs exceed 60% of revenue",IF(G229&gt;=15,"Age 15+ → replace",IF(OR(G229&gt;=11,L229&gt;0.4),"Watch costs; plan replacement","Healthy — continue operating"))))</f>
        <v>End of life (age &gt; 20)</v>
      </c>
      <c r="P229" s="161" t="str">
        <f>'Engineering Assumptions'!H30</f>
        <v>TATA/ISUZU + 3T crane ~Rs. 14–18M</v>
      </c>
    </row>
    <row r="230" spans="1:16" ht="15" customHeight="1" x14ac:dyDescent="0.3">
      <c r="A230" s="9">
        <v>213</v>
      </c>
      <c r="B230" s="157" t="s">
        <v>433</v>
      </c>
      <c r="C230" s="157" t="s">
        <v>437</v>
      </c>
      <c r="D230" s="157" t="s">
        <v>438</v>
      </c>
      <c r="E230" s="157" t="s">
        <v>439</v>
      </c>
      <c r="F230" s="48" t="s">
        <v>440</v>
      </c>
      <c r="G230" s="9">
        <v>21</v>
      </c>
      <c r="H230" s="158">
        <f>'Engineering Assumptions'!$F$30*0.06*1</f>
        <v>0.96</v>
      </c>
      <c r="I230" s="158">
        <f>'Engineering Assumptions'!$F$30*1</f>
        <v>16</v>
      </c>
      <c r="J230" s="12">
        <f>'Fleet Pricing'!L230</f>
        <v>367000</v>
      </c>
      <c r="K230" s="12">
        <f>'Maintenance &amp; Repair'!J230+'Maintenance &amp; Repair'!K230</f>
        <v>164160</v>
      </c>
      <c r="L230" s="159">
        <f>IFERROR(K230/J230,0)</f>
        <v>0.44730245231607629</v>
      </c>
      <c r="M230" s="9">
        <f>MAX(0,'Engineering Assumptions'!$G$30-G230)</f>
        <v>0</v>
      </c>
      <c r="N230" s="160" t="str">
        <f>IF(G230&gt;=20,"REPLACE",IF(L230&gt;0.6,"REPLACE",IF(G230&gt;=15,"REPLACE",IF(OR(G230&gt;=11,L230&gt;0.4),"MONITOR","KEEP"))))</f>
        <v>REPLACE</v>
      </c>
      <c r="O230" s="161" t="str">
        <f>IF(G230&gt;=20,"End of life (age &gt; 20)",IF(L230&gt;0.6,"Repairs exceed 60% of revenue",IF(G230&gt;=15,"Age 15+ → replace",IF(OR(G230&gt;=11,L230&gt;0.4),"Watch costs; plan replacement","Healthy — continue operating"))))</f>
        <v>End of life (age &gt; 20)</v>
      </c>
      <c r="P230" s="161" t="str">
        <f>'Engineering Assumptions'!H30</f>
        <v>TATA/ISUZU + 3T crane ~Rs. 14–18M</v>
      </c>
    </row>
    <row r="231" spans="1:16" ht="15" customHeight="1" x14ac:dyDescent="0.3">
      <c r="A231" s="9">
        <v>214</v>
      </c>
      <c r="B231" s="157" t="s">
        <v>433</v>
      </c>
      <c r="C231" s="157" t="s">
        <v>441</v>
      </c>
      <c r="D231" s="157" t="s">
        <v>442</v>
      </c>
      <c r="E231" s="157" t="s">
        <v>443</v>
      </c>
      <c r="F231" s="48" t="s">
        <v>139</v>
      </c>
      <c r="G231" s="9">
        <v>23</v>
      </c>
      <c r="H231" s="158">
        <f>'Engineering Assumptions'!$F$30*0.06*1</f>
        <v>0.96</v>
      </c>
      <c r="I231" s="158">
        <f>'Engineering Assumptions'!$F$30*1</f>
        <v>16</v>
      </c>
      <c r="J231" s="12">
        <f>'Fleet Pricing'!L231</f>
        <v>331500</v>
      </c>
      <c r="K231" s="12">
        <f>'Maintenance &amp; Repair'!J231+'Maintenance &amp; Repair'!K231</f>
        <v>164160</v>
      </c>
      <c r="L231" s="159">
        <f>IFERROR(K231/J231,0)</f>
        <v>0.49520361990950224</v>
      </c>
      <c r="M231" s="9">
        <f>MAX(0,'Engineering Assumptions'!$G$30-G231)</f>
        <v>0</v>
      </c>
      <c r="N231" s="160" t="str">
        <f>IF(G231&gt;=20,"REPLACE",IF(L231&gt;0.6,"REPLACE",IF(G231&gt;=15,"REPLACE",IF(OR(G231&gt;=11,L231&gt;0.4),"MONITOR","KEEP"))))</f>
        <v>REPLACE</v>
      </c>
      <c r="O231" s="161" t="str">
        <f>IF(G231&gt;=20,"End of life (age &gt; 20)",IF(L231&gt;0.6,"Repairs exceed 60% of revenue",IF(G231&gt;=15,"Age 15+ → replace",IF(OR(G231&gt;=11,L231&gt;0.4),"Watch costs; plan replacement","Healthy — continue operating"))))</f>
        <v>End of life (age &gt; 20)</v>
      </c>
      <c r="P231" s="161" t="str">
        <f>'Engineering Assumptions'!H30</f>
        <v>TATA/ISUZU + 3T crane ~Rs. 14–18M</v>
      </c>
    </row>
    <row r="232" spans="1:16" ht="15" customHeight="1" x14ac:dyDescent="0.3">
      <c r="A232" s="9">
        <v>215</v>
      </c>
      <c r="B232" s="157" t="s">
        <v>433</v>
      </c>
      <c r="C232" s="157" t="s">
        <v>444</v>
      </c>
      <c r="D232" s="157" t="s">
        <v>445</v>
      </c>
      <c r="E232" s="157" t="s">
        <v>446</v>
      </c>
      <c r="F232" s="48" t="s">
        <v>147</v>
      </c>
      <c r="G232" s="9">
        <v>30</v>
      </c>
      <c r="H232" s="158">
        <f>'Engineering Assumptions'!$F$30*0.03*1</f>
        <v>0.48</v>
      </c>
      <c r="I232" s="158">
        <f>'Engineering Assumptions'!$F$30*1</f>
        <v>16</v>
      </c>
      <c r="J232" s="12">
        <f>'Fleet Pricing'!L232</f>
        <v>296000</v>
      </c>
      <c r="K232" s="12">
        <f>'Maintenance &amp; Repair'!J232+'Maintenance &amp; Repair'!K232</f>
        <v>164160</v>
      </c>
      <c r="L232" s="159">
        <f>IFERROR(K232/J232,0)</f>
        <v>0.55459459459459459</v>
      </c>
      <c r="M232" s="9">
        <f>MAX(0,'Engineering Assumptions'!$G$30-G232)</f>
        <v>0</v>
      </c>
      <c r="N232" s="160" t="str">
        <f>IF(G232&gt;=20,"REPLACE",IF(L232&gt;0.6,"REPLACE",IF(G232&gt;=15,"REPLACE",IF(OR(G232&gt;=11,L232&gt;0.4),"MONITOR","KEEP"))))</f>
        <v>REPLACE</v>
      </c>
      <c r="O232" s="161" t="str">
        <f>IF(G232&gt;=20,"End of life (age &gt; 20)",IF(L232&gt;0.6,"Repairs exceed 60% of revenue",IF(G232&gt;=15,"Age 15+ → replace",IF(OR(G232&gt;=11,L232&gt;0.4),"Watch costs; plan replacement","Healthy — continue operating"))))</f>
        <v>End of life (age &gt; 20)</v>
      </c>
      <c r="P232" s="161" t="str">
        <f>'Engineering Assumptions'!H30</f>
        <v>TATA/ISUZU + 3T crane ~Rs. 14–18M</v>
      </c>
    </row>
    <row r="233" spans="1:16" ht="15" customHeight="1" x14ac:dyDescent="0.3">
      <c r="A233" s="199" t="s">
        <v>447</v>
      </c>
      <c r="B233" s="200"/>
      <c r="C233" s="200"/>
      <c r="D233" s="200"/>
      <c r="E233" s="200"/>
      <c r="F233" s="200"/>
      <c r="G233" s="200"/>
      <c r="H233" s="200"/>
      <c r="I233" s="200"/>
      <c r="J233" s="200"/>
      <c r="K233" s="200"/>
      <c r="L233" s="200"/>
      <c r="M233" s="200"/>
      <c r="N233" s="200"/>
      <c r="O233" s="200"/>
      <c r="P233" s="200"/>
    </row>
    <row r="234" spans="1:16" ht="15" customHeight="1" x14ac:dyDescent="0.3">
      <c r="A234" s="9">
        <v>216</v>
      </c>
      <c r="B234" s="157" t="s">
        <v>448</v>
      </c>
      <c r="C234" s="157" t="s">
        <v>449</v>
      </c>
      <c r="D234" s="157" t="s">
        <v>450</v>
      </c>
      <c r="E234" s="157" t="s">
        <v>451</v>
      </c>
      <c r="F234" s="48" t="s">
        <v>49</v>
      </c>
      <c r="G234" s="9">
        <v>10</v>
      </c>
      <c r="H234" s="158">
        <f>'Engineering Assumptions'!$F$31*0.22*1</f>
        <v>4.84</v>
      </c>
      <c r="I234" s="158">
        <f>'Engineering Assumptions'!$F$31*1</f>
        <v>22</v>
      </c>
      <c r="J234" s="12">
        <f>'Fleet Pricing'!L234</f>
        <v>455000</v>
      </c>
      <c r="K234" s="12">
        <f>'Maintenance &amp; Repair'!J234+'Maintenance &amp; Repair'!K234</f>
        <v>70500</v>
      </c>
      <c r="L234" s="159">
        <f t="shared" ref="L234:L241" si="33">IFERROR(K234/J234,0)</f>
        <v>0.15494505494505495</v>
      </c>
      <c r="M234" s="9">
        <f>MAX(0,'Engineering Assumptions'!$G$31-G234)</f>
        <v>5</v>
      </c>
      <c r="N234" s="160" t="str">
        <f t="shared" ref="N234:N241" si="34">IF(G234&gt;=20,"REPLACE",IF(L234&gt;0.6,"REPLACE",IF(G234&gt;=15,"REPLACE",IF(OR(G234&gt;=11,L234&gt;0.4),"MONITOR","KEEP"))))</f>
        <v>KEEP</v>
      </c>
      <c r="O234" s="161" t="str">
        <f t="shared" ref="O234:O241" si="35">IF(G234&gt;=20,"End of life (age &gt; 20)",IF(L234&gt;0.6,"Repairs exceed 60% of revenue",IF(G234&gt;=15,"Age 15+ → replace",IF(OR(G234&gt;=11,L234&gt;0.4),"Watch costs; plan replacement","Healthy — continue operating"))))</f>
        <v>Healthy — continue operating</v>
      </c>
      <c r="P234" s="161" t="str">
        <f>'Engineering Assumptions'!H31</f>
        <v>HINO/TATA LPS4018 + bed ~Rs. 20–25M</v>
      </c>
    </row>
    <row r="235" spans="1:16" ht="15" customHeight="1" x14ac:dyDescent="0.3">
      <c r="A235" s="9">
        <v>217</v>
      </c>
      <c r="B235" s="157" t="s">
        <v>448</v>
      </c>
      <c r="C235" s="157" t="s">
        <v>452</v>
      </c>
      <c r="D235" s="157" t="s">
        <v>453</v>
      </c>
      <c r="E235" s="157" t="s">
        <v>454</v>
      </c>
      <c r="F235" s="48" t="s">
        <v>66</v>
      </c>
      <c r="G235" s="9">
        <v>14</v>
      </c>
      <c r="H235" s="158">
        <f>'Engineering Assumptions'!$F$31*0.12*1</f>
        <v>2.6399999999999997</v>
      </c>
      <c r="I235" s="158">
        <f>'Engineering Assumptions'!$F$31*1</f>
        <v>22</v>
      </c>
      <c r="J235" s="12">
        <f>'Fleet Pricing'!L235</f>
        <v>406000</v>
      </c>
      <c r="K235" s="12">
        <f>'Maintenance &amp; Repair'!J235+'Maintenance &amp; Repair'!K235</f>
        <v>105060</v>
      </c>
      <c r="L235" s="159">
        <f t="shared" si="33"/>
        <v>0.25876847290640392</v>
      </c>
      <c r="M235" s="9">
        <f>MAX(0,'Engineering Assumptions'!$G$31-G235)</f>
        <v>1</v>
      </c>
      <c r="N235" s="160" t="str">
        <f t="shared" si="34"/>
        <v>MONITOR</v>
      </c>
      <c r="O235" s="161" t="str">
        <f t="shared" si="35"/>
        <v>Watch costs; plan replacement</v>
      </c>
      <c r="P235" s="161" t="str">
        <f>'Engineering Assumptions'!H31</f>
        <v>HINO/TATA LPS4018 + bed ~Rs. 20–25M</v>
      </c>
    </row>
    <row r="236" spans="1:16" ht="15" customHeight="1" x14ac:dyDescent="0.3">
      <c r="A236" s="9">
        <v>218</v>
      </c>
      <c r="B236" s="157" t="s">
        <v>448</v>
      </c>
      <c r="C236" s="157" t="s">
        <v>455</v>
      </c>
      <c r="D236" s="157" t="s">
        <v>456</v>
      </c>
      <c r="E236" s="157" t="s">
        <v>457</v>
      </c>
      <c r="F236" s="48" t="s">
        <v>458</v>
      </c>
      <c r="G236" s="9">
        <v>15</v>
      </c>
      <c r="H236" s="158">
        <f>'Engineering Assumptions'!$F$31*0.12*1</f>
        <v>2.6399999999999997</v>
      </c>
      <c r="I236" s="158">
        <f>'Engineering Assumptions'!$F$31*1</f>
        <v>22</v>
      </c>
      <c r="J236" s="12">
        <f>'Fleet Pricing'!L236</f>
        <v>406000</v>
      </c>
      <c r="K236" s="12">
        <f>'Maintenance &amp; Repair'!J236+'Maintenance &amp; Repair'!K236</f>
        <v>105060</v>
      </c>
      <c r="L236" s="159">
        <f t="shared" si="33"/>
        <v>0.25876847290640392</v>
      </c>
      <c r="M236" s="9">
        <f>MAX(0,'Engineering Assumptions'!$G$31-G236)</f>
        <v>0</v>
      </c>
      <c r="N236" s="160" t="str">
        <f t="shared" si="34"/>
        <v>REPLACE</v>
      </c>
      <c r="O236" s="161" t="str">
        <f t="shared" si="35"/>
        <v>Age 15+ → replace</v>
      </c>
      <c r="P236" s="161" t="str">
        <f>'Engineering Assumptions'!H31</f>
        <v>HINO/TATA LPS4018 + bed ~Rs. 20–25M</v>
      </c>
    </row>
    <row r="237" spans="1:16" ht="15" customHeight="1" x14ac:dyDescent="0.3">
      <c r="A237" s="9">
        <v>219</v>
      </c>
      <c r="B237" s="157" t="s">
        <v>448</v>
      </c>
      <c r="C237" s="157" t="s">
        <v>459</v>
      </c>
      <c r="D237" s="157"/>
      <c r="E237" s="157"/>
      <c r="F237" s="48" t="s">
        <v>107</v>
      </c>
      <c r="G237" s="9">
        <v>16</v>
      </c>
      <c r="H237" s="158">
        <f>'Engineering Assumptions'!$F$31*0.12*1</f>
        <v>2.6399999999999997</v>
      </c>
      <c r="I237" s="158">
        <f>'Engineering Assumptions'!$F$31*1</f>
        <v>22</v>
      </c>
      <c r="J237" s="12">
        <f>'Fleet Pricing'!L237</f>
        <v>406000</v>
      </c>
      <c r="K237" s="12">
        <f>'Maintenance &amp; Repair'!J237+'Maintenance &amp; Repair'!K237</f>
        <v>149040</v>
      </c>
      <c r="L237" s="159">
        <f t="shared" si="33"/>
        <v>0.36709359605911329</v>
      </c>
      <c r="M237" s="9">
        <f>MAX(0,'Engineering Assumptions'!$G$31-G237)</f>
        <v>0</v>
      </c>
      <c r="N237" s="160" t="str">
        <f t="shared" si="34"/>
        <v>REPLACE</v>
      </c>
      <c r="O237" s="161" t="str">
        <f t="shared" si="35"/>
        <v>Age 15+ → replace</v>
      </c>
      <c r="P237" s="161" t="str">
        <f>'Engineering Assumptions'!H31</f>
        <v>HINO/TATA LPS4018 + bed ~Rs. 20–25M</v>
      </c>
    </row>
    <row r="238" spans="1:16" ht="15" customHeight="1" x14ac:dyDescent="0.3">
      <c r="A238" s="9">
        <v>220</v>
      </c>
      <c r="B238" s="157" t="s">
        <v>448</v>
      </c>
      <c r="C238" s="157" t="s">
        <v>460</v>
      </c>
      <c r="D238" s="157" t="s">
        <v>461</v>
      </c>
      <c r="E238" s="157" t="s">
        <v>462</v>
      </c>
      <c r="F238" s="48" t="s">
        <v>335</v>
      </c>
      <c r="G238" s="9">
        <v>18</v>
      </c>
      <c r="H238" s="158">
        <f>'Engineering Assumptions'!$F$31*0.12*1</f>
        <v>2.6399999999999997</v>
      </c>
      <c r="I238" s="158">
        <f>'Engineering Assumptions'!$F$31*1</f>
        <v>22</v>
      </c>
      <c r="J238" s="12">
        <f>'Fleet Pricing'!L238</f>
        <v>356000</v>
      </c>
      <c r="K238" s="12">
        <f>'Maintenance &amp; Repair'!J238+'Maintenance &amp; Repair'!K238</f>
        <v>149040</v>
      </c>
      <c r="L238" s="159">
        <f t="shared" si="33"/>
        <v>0.41865168539325842</v>
      </c>
      <c r="M238" s="9">
        <f>MAX(0,'Engineering Assumptions'!$G$31-G238)</f>
        <v>0</v>
      </c>
      <c r="N238" s="160" t="str">
        <f t="shared" si="34"/>
        <v>REPLACE</v>
      </c>
      <c r="O238" s="161" t="str">
        <f t="shared" si="35"/>
        <v>Age 15+ → replace</v>
      </c>
      <c r="P238" s="161" t="str">
        <f>'Engineering Assumptions'!H31</f>
        <v>HINO/TATA LPS4018 + bed ~Rs. 20–25M</v>
      </c>
    </row>
    <row r="239" spans="1:16" ht="15" customHeight="1" x14ac:dyDescent="0.3">
      <c r="A239" s="9">
        <v>221</v>
      </c>
      <c r="B239" s="157" t="s">
        <v>448</v>
      </c>
      <c r="C239" s="157" t="s">
        <v>463</v>
      </c>
      <c r="D239" s="157" t="s">
        <v>464</v>
      </c>
      <c r="E239" s="157" t="s">
        <v>465</v>
      </c>
      <c r="F239" s="48" t="s">
        <v>427</v>
      </c>
      <c r="G239" s="9">
        <v>28</v>
      </c>
      <c r="H239" s="158">
        <f>'Engineering Assumptions'!$F$31*0.03*1</f>
        <v>0.65999999999999992</v>
      </c>
      <c r="I239" s="158">
        <f>'Engineering Assumptions'!$F$31*1</f>
        <v>22</v>
      </c>
      <c r="J239" s="12">
        <f>'Fleet Pricing'!L239</f>
        <v>286500</v>
      </c>
      <c r="K239" s="12">
        <f>'Maintenance &amp; Repair'!J239+'Maintenance &amp; Repair'!K239</f>
        <v>200880</v>
      </c>
      <c r="L239" s="159">
        <f t="shared" si="33"/>
        <v>0.70115183246073298</v>
      </c>
      <c r="M239" s="9">
        <f>MAX(0,'Engineering Assumptions'!$G$31-G239)</f>
        <v>0</v>
      </c>
      <c r="N239" s="160" t="str">
        <f t="shared" si="34"/>
        <v>REPLACE</v>
      </c>
      <c r="O239" s="161" t="str">
        <f t="shared" si="35"/>
        <v>End of life (age &gt; 20)</v>
      </c>
      <c r="P239" s="161" t="str">
        <f>'Engineering Assumptions'!H31</f>
        <v>HINO/TATA LPS4018 + bed ~Rs. 20–25M</v>
      </c>
    </row>
    <row r="240" spans="1:16" ht="15" customHeight="1" x14ac:dyDescent="0.3">
      <c r="A240" s="9">
        <v>222</v>
      </c>
      <c r="B240" s="157" t="s">
        <v>448</v>
      </c>
      <c r="C240" s="157" t="s">
        <v>466</v>
      </c>
      <c r="D240" s="157" t="s">
        <v>467</v>
      </c>
      <c r="E240" s="157" t="s">
        <v>468</v>
      </c>
      <c r="F240" s="48" t="s">
        <v>147</v>
      </c>
      <c r="G240" s="9">
        <v>30</v>
      </c>
      <c r="H240" s="158">
        <f>'Engineering Assumptions'!$F$31*0.03*1</f>
        <v>0.65999999999999992</v>
      </c>
      <c r="I240" s="158">
        <f>'Engineering Assumptions'!$F$31*1</f>
        <v>22</v>
      </c>
      <c r="J240" s="12">
        <f>'Fleet Pricing'!L240</f>
        <v>286500</v>
      </c>
      <c r="K240" s="12">
        <f>'Maintenance &amp; Repair'!J240+'Maintenance &amp; Repair'!K240</f>
        <v>200880</v>
      </c>
      <c r="L240" s="159">
        <f t="shared" si="33"/>
        <v>0.70115183246073298</v>
      </c>
      <c r="M240" s="9">
        <f>MAX(0,'Engineering Assumptions'!$G$31-G240)</f>
        <v>0</v>
      </c>
      <c r="N240" s="160" t="str">
        <f t="shared" si="34"/>
        <v>REPLACE</v>
      </c>
      <c r="O240" s="161" t="str">
        <f t="shared" si="35"/>
        <v>End of life (age &gt; 20)</v>
      </c>
      <c r="P240" s="161" t="str">
        <f>'Engineering Assumptions'!H31</f>
        <v>HINO/TATA LPS4018 + bed ~Rs. 20–25M</v>
      </c>
    </row>
    <row r="241" spans="1:16" ht="15" customHeight="1" x14ac:dyDescent="0.3">
      <c r="A241" s="9">
        <v>223</v>
      </c>
      <c r="B241" s="157" t="s">
        <v>448</v>
      </c>
      <c r="C241" s="157" t="s">
        <v>469</v>
      </c>
      <c r="D241" s="157" t="s">
        <v>470</v>
      </c>
      <c r="E241" s="157" t="s">
        <v>471</v>
      </c>
      <c r="F241" s="48" t="s">
        <v>431</v>
      </c>
      <c r="G241" s="9">
        <v>31</v>
      </c>
      <c r="H241" s="158">
        <f>'Engineering Assumptions'!$F$31*0.03*1</f>
        <v>0.65999999999999992</v>
      </c>
      <c r="I241" s="158">
        <f>'Engineering Assumptions'!$F$31*1</f>
        <v>22</v>
      </c>
      <c r="J241" s="12">
        <f>'Fleet Pricing'!L241</f>
        <v>286500</v>
      </c>
      <c r="K241" s="12">
        <f>'Maintenance &amp; Repair'!J241+'Maintenance &amp; Repair'!K241</f>
        <v>200880</v>
      </c>
      <c r="L241" s="159">
        <f t="shared" si="33"/>
        <v>0.70115183246073298</v>
      </c>
      <c r="M241" s="9">
        <f>MAX(0,'Engineering Assumptions'!$G$31-G241)</f>
        <v>0</v>
      </c>
      <c r="N241" s="160" t="str">
        <f t="shared" si="34"/>
        <v>REPLACE</v>
      </c>
      <c r="O241" s="161" t="str">
        <f t="shared" si="35"/>
        <v>End of life (age &gt; 20)</v>
      </c>
      <c r="P241" s="161" t="str">
        <f>'Engineering Assumptions'!H31</f>
        <v>HINO/TATA LPS4018 + bed ~Rs. 20–25M</v>
      </c>
    </row>
    <row r="242" spans="1:16" ht="15" customHeight="1" x14ac:dyDescent="0.3">
      <c r="A242" s="199" t="s">
        <v>472</v>
      </c>
      <c r="B242" s="200"/>
      <c r="C242" s="200"/>
      <c r="D242" s="200"/>
      <c r="E242" s="200"/>
      <c r="F242" s="200"/>
      <c r="G242" s="200"/>
      <c r="H242" s="200"/>
      <c r="I242" s="200"/>
      <c r="J242" s="200"/>
      <c r="K242" s="200"/>
      <c r="L242" s="200"/>
      <c r="M242" s="200"/>
      <c r="N242" s="200"/>
      <c r="O242" s="200"/>
      <c r="P242" s="200"/>
    </row>
    <row r="243" spans="1:16" ht="15" customHeight="1" x14ac:dyDescent="0.3">
      <c r="A243" s="9">
        <v>224</v>
      </c>
      <c r="B243" s="157" t="s">
        <v>473</v>
      </c>
      <c r="C243" s="157" t="s">
        <v>474</v>
      </c>
      <c r="D243" s="157" t="s">
        <v>475</v>
      </c>
      <c r="E243" s="157" t="s">
        <v>476</v>
      </c>
      <c r="F243" s="48" t="s">
        <v>45</v>
      </c>
      <c r="G243" s="9">
        <v>7</v>
      </c>
      <c r="H243" s="158">
        <f>'Engineering Assumptions'!$F$32*0.35*1</f>
        <v>20.299999999999997</v>
      </c>
      <c r="I243" s="158">
        <f>'Engineering Assumptions'!$F$32*1</f>
        <v>58</v>
      </c>
      <c r="J243" s="12">
        <f>'Fleet Pricing'!L243</f>
        <v>877000</v>
      </c>
      <c r="K243" s="12">
        <f>'Maintenance &amp; Repair'!J243+'Maintenance &amp; Repair'!K243</f>
        <v>121800</v>
      </c>
      <c r="L243" s="159">
        <f>IFERROR(K243/J243,0)</f>
        <v>0.13888255416191561</v>
      </c>
      <c r="M243" s="9">
        <f>MAX(0,'Engineering Assumptions'!$G$32-G243)</f>
        <v>5</v>
      </c>
      <c r="N243" s="160" t="str">
        <f>IF(G243&gt;=20,"REPLACE",IF(L243&gt;0.6,"REPLACE",IF(G243&gt;=15,"REPLACE",IF(OR(G243&gt;=11,L243&gt;0.4),"MONITOR","KEEP"))))</f>
        <v>KEEP</v>
      </c>
      <c r="O243" s="161" t="str">
        <f>IF(G243&gt;=20,"End of life (age &gt; 20)",IF(L243&gt;0.6,"Repairs exceed 60% of revenue",IF(G243&gt;=15,"Age 15+ → replace",IF(OR(G243&gt;=11,L243&gt;0.4),"Watch costs; plan replacement","Healthy — continue operating"))))</f>
        <v>Healthy — continue operating</v>
      </c>
      <c r="P243" s="161" t="str">
        <f>'Engineering Assumptions'!H32</f>
        <v>SANY/HINO concrete pump ~Rs. 50–65M</v>
      </c>
    </row>
    <row r="244" spans="1:16" ht="15" customHeight="1" x14ac:dyDescent="0.3">
      <c r="A244" s="9">
        <v>225</v>
      </c>
      <c r="B244" s="157" t="s">
        <v>473</v>
      </c>
      <c r="C244" s="157" t="s">
        <v>477</v>
      </c>
      <c r="D244" s="157" t="s">
        <v>478</v>
      </c>
      <c r="E244" s="157" t="s">
        <v>479</v>
      </c>
      <c r="F244" s="48" t="s">
        <v>335</v>
      </c>
      <c r="G244" s="9">
        <v>18</v>
      </c>
      <c r="H244" s="158">
        <f>'Engineering Assumptions'!$F$32*0.12*1</f>
        <v>6.96</v>
      </c>
      <c r="I244" s="158">
        <f>'Engineering Assumptions'!$F$32*1</f>
        <v>58</v>
      </c>
      <c r="J244" s="12">
        <f>'Fleet Pricing'!L244</f>
        <v>686500</v>
      </c>
      <c r="K244" s="12">
        <f>'Maintenance &amp; Repair'!J244+'Maintenance &amp; Repair'!K244</f>
        <v>259200</v>
      </c>
      <c r="L244" s="159">
        <f>IFERROR(K244/J244,0)</f>
        <v>0.37756737072104879</v>
      </c>
      <c r="M244" s="9">
        <f>MAX(0,'Engineering Assumptions'!$G$32-G244)</f>
        <v>0</v>
      </c>
      <c r="N244" s="160" t="str">
        <f>IF(G244&gt;=20,"REPLACE",IF(L244&gt;0.6,"REPLACE",IF(G244&gt;=15,"REPLACE",IF(OR(G244&gt;=11,L244&gt;0.4),"MONITOR","KEEP"))))</f>
        <v>REPLACE</v>
      </c>
      <c r="O244" s="161" t="str">
        <f>IF(G244&gt;=20,"End of life (age &gt; 20)",IF(L244&gt;0.6,"Repairs exceed 60% of revenue",IF(G244&gt;=15,"Age 15+ → replace",IF(OR(G244&gt;=11,L244&gt;0.4),"Watch costs; plan replacement","Healthy — continue operating"))))</f>
        <v>Age 15+ → replace</v>
      </c>
      <c r="P244" s="161" t="str">
        <f>'Engineering Assumptions'!H32</f>
        <v>SANY/HINO concrete pump ~Rs. 50–65M</v>
      </c>
    </row>
    <row r="245" spans="1:16" ht="15" customHeight="1" x14ac:dyDescent="0.3">
      <c r="A245" s="199" t="s">
        <v>480</v>
      </c>
      <c r="B245" s="200"/>
      <c r="C245" s="200"/>
      <c r="D245" s="200"/>
      <c r="E245" s="200"/>
      <c r="F245" s="200"/>
      <c r="G245" s="200"/>
      <c r="H245" s="200"/>
      <c r="I245" s="200"/>
      <c r="J245" s="200"/>
      <c r="K245" s="200"/>
      <c r="L245" s="200"/>
      <c r="M245" s="200"/>
      <c r="N245" s="200"/>
      <c r="O245" s="200"/>
      <c r="P245" s="200"/>
    </row>
    <row r="246" spans="1:16" ht="15" customHeight="1" x14ac:dyDescent="0.3">
      <c r="A246" s="9">
        <v>226</v>
      </c>
      <c r="B246" s="157" t="s">
        <v>481</v>
      </c>
      <c r="C246" s="157" t="s">
        <v>482</v>
      </c>
      <c r="D246" s="157" t="s">
        <v>483</v>
      </c>
      <c r="E246" s="157" t="s">
        <v>484</v>
      </c>
      <c r="F246" s="48" t="s">
        <v>45</v>
      </c>
      <c r="G246" s="9">
        <v>7</v>
      </c>
      <c r="H246" s="158">
        <f>'Engineering Assumptions'!$F$33*0.35*1</f>
        <v>9.7999999999999989</v>
      </c>
      <c r="I246" s="158">
        <f>'Engineering Assumptions'!$F$33*1</f>
        <v>28</v>
      </c>
      <c r="J246" s="12">
        <f>'Fleet Pricing'!L246</f>
        <v>164000</v>
      </c>
      <c r="K246" s="12">
        <f>'Maintenance &amp; Repair'!J246+'Maintenance &amp; Repair'!K246</f>
        <v>23400</v>
      </c>
      <c r="L246" s="159">
        <f t="shared" ref="L246:L270" si="36">IFERROR(K246/J246,0)</f>
        <v>0.14268292682926828</v>
      </c>
      <c r="M246" s="9">
        <f>MAX(0,'Engineering Assumptions'!$G$33-G246)</f>
        <v>8</v>
      </c>
      <c r="N246" s="160" t="str">
        <f t="shared" ref="N246:N270" si="37">IF(G246&gt;=20,"REPLACE",IF(L246&gt;0.6,"REPLACE",IF(G246&gt;=15,"REPLACE",IF(OR(G246&gt;=11,L246&gt;0.4),"MONITOR","KEEP"))))</f>
        <v>KEEP</v>
      </c>
      <c r="O246" s="161" t="str">
        <f t="shared" ref="O246:O270" si="38">IF(G246&gt;=20,"End of life (age &gt; 20)",IF(L246&gt;0.6,"Repairs exceed 60% of revenue",IF(G246&gt;=15,"Age 15+ → replace",IF(OR(G246&gt;=11,L246&gt;0.4),"Watch costs; plan replacement","Healthy — continue operating"))))</f>
        <v>Healthy — continue operating</v>
      </c>
      <c r="P246" s="161" t="str">
        <f>'Engineering Assumptions'!H33</f>
        <v>TOYOTA HILUX 2026 ~Rs. 26–29M (strong resale)</v>
      </c>
    </row>
    <row r="247" spans="1:16" ht="15" customHeight="1" x14ac:dyDescent="0.3">
      <c r="A247" s="9">
        <v>227</v>
      </c>
      <c r="B247" s="157" t="s">
        <v>481</v>
      </c>
      <c r="C247" s="157" t="s">
        <v>482</v>
      </c>
      <c r="D247" s="157" t="s">
        <v>485</v>
      </c>
      <c r="E247" s="157" t="s">
        <v>486</v>
      </c>
      <c r="F247" s="48" t="s">
        <v>45</v>
      </c>
      <c r="G247" s="9">
        <v>7</v>
      </c>
      <c r="H247" s="158">
        <f>'Engineering Assumptions'!$F$33*0.35*1</f>
        <v>9.7999999999999989</v>
      </c>
      <c r="I247" s="158">
        <f>'Engineering Assumptions'!$F$33*1</f>
        <v>28</v>
      </c>
      <c r="J247" s="12">
        <f>'Fleet Pricing'!L247</f>
        <v>164000</v>
      </c>
      <c r="K247" s="12">
        <f>'Maintenance &amp; Repair'!J247+'Maintenance &amp; Repair'!K247</f>
        <v>23400</v>
      </c>
      <c r="L247" s="159">
        <f t="shared" si="36"/>
        <v>0.14268292682926828</v>
      </c>
      <c r="M247" s="9">
        <f>MAX(0,'Engineering Assumptions'!$G$33-G247)</f>
        <v>8</v>
      </c>
      <c r="N247" s="160" t="str">
        <f t="shared" si="37"/>
        <v>KEEP</v>
      </c>
      <c r="O247" s="161" t="str">
        <f t="shared" si="38"/>
        <v>Healthy — continue operating</v>
      </c>
      <c r="P247" s="161" t="str">
        <f>'Engineering Assumptions'!H33</f>
        <v>TOYOTA HILUX 2026 ~Rs. 26–29M (strong resale)</v>
      </c>
    </row>
    <row r="248" spans="1:16" ht="15" customHeight="1" x14ac:dyDescent="0.3">
      <c r="A248" s="9">
        <v>228</v>
      </c>
      <c r="B248" s="157" t="s">
        <v>481</v>
      </c>
      <c r="C248" s="157" t="s">
        <v>482</v>
      </c>
      <c r="D248" s="157" t="s">
        <v>487</v>
      </c>
      <c r="E248" s="157" t="s">
        <v>488</v>
      </c>
      <c r="F248" s="48" t="s">
        <v>45</v>
      </c>
      <c r="G248" s="9">
        <v>7</v>
      </c>
      <c r="H248" s="158">
        <f>'Engineering Assumptions'!$F$33*0.35*1</f>
        <v>9.7999999999999989</v>
      </c>
      <c r="I248" s="158">
        <f>'Engineering Assumptions'!$F$33*1</f>
        <v>28</v>
      </c>
      <c r="J248" s="12">
        <f>'Fleet Pricing'!L248</f>
        <v>164000</v>
      </c>
      <c r="K248" s="12">
        <f>'Maintenance &amp; Repair'!J248+'Maintenance &amp; Repair'!K248</f>
        <v>23400</v>
      </c>
      <c r="L248" s="159">
        <f t="shared" si="36"/>
        <v>0.14268292682926828</v>
      </c>
      <c r="M248" s="9">
        <f>MAX(0,'Engineering Assumptions'!$G$33-G248)</f>
        <v>8</v>
      </c>
      <c r="N248" s="160" t="str">
        <f t="shared" si="37"/>
        <v>KEEP</v>
      </c>
      <c r="O248" s="161" t="str">
        <f t="shared" si="38"/>
        <v>Healthy — continue operating</v>
      </c>
      <c r="P248" s="161" t="str">
        <f>'Engineering Assumptions'!H33</f>
        <v>TOYOTA HILUX 2026 ~Rs. 26–29M (strong resale)</v>
      </c>
    </row>
    <row r="249" spans="1:16" ht="15" customHeight="1" x14ac:dyDescent="0.3">
      <c r="A249" s="9">
        <v>229</v>
      </c>
      <c r="B249" s="157" t="s">
        <v>481</v>
      </c>
      <c r="C249" s="157" t="s">
        <v>482</v>
      </c>
      <c r="D249" s="157" t="s">
        <v>489</v>
      </c>
      <c r="E249" s="157" t="s">
        <v>490</v>
      </c>
      <c r="F249" s="48" t="s">
        <v>45</v>
      </c>
      <c r="G249" s="9">
        <v>7</v>
      </c>
      <c r="H249" s="158">
        <f>'Engineering Assumptions'!$F$33*0.35*1</f>
        <v>9.7999999999999989</v>
      </c>
      <c r="I249" s="158">
        <f>'Engineering Assumptions'!$F$33*1</f>
        <v>28</v>
      </c>
      <c r="J249" s="12">
        <f>'Fleet Pricing'!L249</f>
        <v>164000</v>
      </c>
      <c r="K249" s="12">
        <f>'Maintenance &amp; Repair'!J249+'Maintenance &amp; Repair'!K249</f>
        <v>23400</v>
      </c>
      <c r="L249" s="159">
        <f t="shared" si="36"/>
        <v>0.14268292682926828</v>
      </c>
      <c r="M249" s="9">
        <f>MAX(0,'Engineering Assumptions'!$G$33-G249)</f>
        <v>8</v>
      </c>
      <c r="N249" s="160" t="str">
        <f t="shared" si="37"/>
        <v>KEEP</v>
      </c>
      <c r="O249" s="161" t="str">
        <f t="shared" si="38"/>
        <v>Healthy — continue operating</v>
      </c>
      <c r="P249" s="161" t="str">
        <f>'Engineering Assumptions'!H33</f>
        <v>TOYOTA HILUX 2026 ~Rs. 26–29M (strong resale)</v>
      </c>
    </row>
    <row r="250" spans="1:16" ht="15" customHeight="1" x14ac:dyDescent="0.3">
      <c r="A250" s="9">
        <v>230</v>
      </c>
      <c r="B250" s="157" t="s">
        <v>481</v>
      </c>
      <c r="C250" s="157" t="s">
        <v>482</v>
      </c>
      <c r="D250" s="157" t="s">
        <v>491</v>
      </c>
      <c r="E250" s="157" t="s">
        <v>492</v>
      </c>
      <c r="F250" s="48" t="s">
        <v>45</v>
      </c>
      <c r="G250" s="9">
        <v>7</v>
      </c>
      <c r="H250" s="158">
        <f>'Engineering Assumptions'!$F$33*0.35*1</f>
        <v>9.7999999999999989</v>
      </c>
      <c r="I250" s="158">
        <f>'Engineering Assumptions'!$F$33*1</f>
        <v>28</v>
      </c>
      <c r="J250" s="12">
        <f>'Fleet Pricing'!L250</f>
        <v>164000</v>
      </c>
      <c r="K250" s="12">
        <f>'Maintenance &amp; Repair'!J250+'Maintenance &amp; Repair'!K250</f>
        <v>23400</v>
      </c>
      <c r="L250" s="159">
        <f t="shared" si="36"/>
        <v>0.14268292682926828</v>
      </c>
      <c r="M250" s="9">
        <f>MAX(0,'Engineering Assumptions'!$G$33-G250)</f>
        <v>8</v>
      </c>
      <c r="N250" s="160" t="str">
        <f t="shared" si="37"/>
        <v>KEEP</v>
      </c>
      <c r="O250" s="161" t="str">
        <f t="shared" si="38"/>
        <v>Healthy — continue operating</v>
      </c>
      <c r="P250" s="161" t="str">
        <f>'Engineering Assumptions'!H33</f>
        <v>TOYOTA HILUX 2026 ~Rs. 26–29M (strong resale)</v>
      </c>
    </row>
    <row r="251" spans="1:16" ht="15" customHeight="1" x14ac:dyDescent="0.3">
      <c r="A251" s="9">
        <v>231</v>
      </c>
      <c r="B251" s="157" t="s">
        <v>481</v>
      </c>
      <c r="C251" s="157" t="s">
        <v>482</v>
      </c>
      <c r="D251" s="157" t="s">
        <v>493</v>
      </c>
      <c r="E251" s="157" t="s">
        <v>494</v>
      </c>
      <c r="F251" s="48" t="s">
        <v>45</v>
      </c>
      <c r="G251" s="9">
        <v>7</v>
      </c>
      <c r="H251" s="158">
        <f>'Engineering Assumptions'!$F$33*0.35*1</f>
        <v>9.7999999999999989</v>
      </c>
      <c r="I251" s="158">
        <f>'Engineering Assumptions'!$F$33*1</f>
        <v>28</v>
      </c>
      <c r="J251" s="12">
        <f>'Fleet Pricing'!L251</f>
        <v>164000</v>
      </c>
      <c r="K251" s="12">
        <f>'Maintenance &amp; Repair'!J251+'Maintenance &amp; Repair'!K251</f>
        <v>23400</v>
      </c>
      <c r="L251" s="159">
        <f t="shared" si="36"/>
        <v>0.14268292682926828</v>
      </c>
      <c r="M251" s="9">
        <f>MAX(0,'Engineering Assumptions'!$G$33-G251)</f>
        <v>8</v>
      </c>
      <c r="N251" s="160" t="str">
        <f t="shared" si="37"/>
        <v>KEEP</v>
      </c>
      <c r="O251" s="161" t="str">
        <f t="shared" si="38"/>
        <v>Healthy — continue operating</v>
      </c>
      <c r="P251" s="161" t="str">
        <f>'Engineering Assumptions'!H33</f>
        <v>TOYOTA HILUX 2026 ~Rs. 26–29M (strong resale)</v>
      </c>
    </row>
    <row r="252" spans="1:16" ht="15" customHeight="1" x14ac:dyDescent="0.3">
      <c r="A252" s="9">
        <v>232</v>
      </c>
      <c r="B252" s="157" t="s">
        <v>481</v>
      </c>
      <c r="C252" s="157" t="s">
        <v>495</v>
      </c>
      <c r="D252" s="157" t="s">
        <v>496</v>
      </c>
      <c r="E252" s="157" t="s">
        <v>497</v>
      </c>
      <c r="F252" s="48" t="s">
        <v>116</v>
      </c>
      <c r="G252" s="9">
        <v>9</v>
      </c>
      <c r="H252" s="158">
        <f>'Engineering Assumptions'!$F$33*0.22*1</f>
        <v>6.16</v>
      </c>
      <c r="I252" s="158">
        <f>'Engineering Assumptions'!$F$33*1</f>
        <v>28</v>
      </c>
      <c r="J252" s="12">
        <f>'Fleet Pricing'!L252</f>
        <v>164000</v>
      </c>
      <c r="K252" s="12">
        <f>'Maintenance &amp; Repair'!J252+'Maintenance &amp; Repair'!K252</f>
        <v>23400</v>
      </c>
      <c r="L252" s="159">
        <f t="shared" si="36"/>
        <v>0.14268292682926828</v>
      </c>
      <c r="M252" s="9">
        <f>MAX(0,'Engineering Assumptions'!$G$33-G252)</f>
        <v>6</v>
      </c>
      <c r="N252" s="160" t="str">
        <f t="shared" si="37"/>
        <v>KEEP</v>
      </c>
      <c r="O252" s="161" t="str">
        <f t="shared" si="38"/>
        <v>Healthy — continue operating</v>
      </c>
      <c r="P252" s="161" t="str">
        <f>'Engineering Assumptions'!H33</f>
        <v>TOYOTA HILUX 2026 ~Rs. 26–29M (strong resale)</v>
      </c>
    </row>
    <row r="253" spans="1:16" ht="15" customHeight="1" x14ac:dyDescent="0.3">
      <c r="A253" s="9">
        <v>233</v>
      </c>
      <c r="B253" s="157" t="s">
        <v>481</v>
      </c>
      <c r="C253" s="157" t="s">
        <v>482</v>
      </c>
      <c r="D253" s="157" t="s">
        <v>498</v>
      </c>
      <c r="E253" s="157" t="s">
        <v>499</v>
      </c>
      <c r="F253" s="48" t="s">
        <v>116</v>
      </c>
      <c r="G253" s="9">
        <v>9</v>
      </c>
      <c r="H253" s="158">
        <f>'Engineering Assumptions'!$F$33*0.22*1</f>
        <v>6.16</v>
      </c>
      <c r="I253" s="158">
        <f>'Engineering Assumptions'!$F$33*1</f>
        <v>28</v>
      </c>
      <c r="J253" s="12">
        <f>'Fleet Pricing'!L253</f>
        <v>164000</v>
      </c>
      <c r="K253" s="12">
        <f>'Maintenance &amp; Repair'!J253+'Maintenance &amp; Repair'!K253</f>
        <v>23400</v>
      </c>
      <c r="L253" s="159">
        <f t="shared" si="36"/>
        <v>0.14268292682926828</v>
      </c>
      <c r="M253" s="9">
        <f>MAX(0,'Engineering Assumptions'!$G$33-G253)</f>
        <v>6</v>
      </c>
      <c r="N253" s="160" t="str">
        <f t="shared" si="37"/>
        <v>KEEP</v>
      </c>
      <c r="O253" s="161" t="str">
        <f t="shared" si="38"/>
        <v>Healthy — continue operating</v>
      </c>
      <c r="P253" s="161" t="str">
        <f>'Engineering Assumptions'!H33</f>
        <v>TOYOTA HILUX 2026 ~Rs. 26–29M (strong resale)</v>
      </c>
    </row>
    <row r="254" spans="1:16" ht="15" customHeight="1" x14ac:dyDescent="0.3">
      <c r="A254" s="9">
        <v>234</v>
      </c>
      <c r="B254" s="157" t="s">
        <v>481</v>
      </c>
      <c r="C254" s="157" t="s">
        <v>500</v>
      </c>
      <c r="D254" s="157" t="s">
        <v>501</v>
      </c>
      <c r="E254" s="157" t="s">
        <v>502</v>
      </c>
      <c r="F254" s="48" t="s">
        <v>49</v>
      </c>
      <c r="G254" s="9">
        <v>10</v>
      </c>
      <c r="H254" s="158">
        <f>'Engineering Assumptions'!$F$33*0.22*1</f>
        <v>6.16</v>
      </c>
      <c r="I254" s="158">
        <f>'Engineering Assumptions'!$F$33*1</f>
        <v>28</v>
      </c>
      <c r="J254" s="12">
        <f>'Fleet Pricing'!L254</f>
        <v>164000</v>
      </c>
      <c r="K254" s="12">
        <f>'Maintenance &amp; Repair'!J254+'Maintenance &amp; Repair'!K254</f>
        <v>23400</v>
      </c>
      <c r="L254" s="159">
        <f t="shared" si="36"/>
        <v>0.14268292682926828</v>
      </c>
      <c r="M254" s="9">
        <f>MAX(0,'Engineering Assumptions'!$G$33-G254)</f>
        <v>5</v>
      </c>
      <c r="N254" s="160" t="str">
        <f t="shared" si="37"/>
        <v>KEEP</v>
      </c>
      <c r="O254" s="161" t="str">
        <f t="shared" si="38"/>
        <v>Healthy — continue operating</v>
      </c>
      <c r="P254" s="161" t="str">
        <f>'Engineering Assumptions'!H33</f>
        <v>TOYOTA HILUX 2026 ~Rs. 26–29M (strong resale)</v>
      </c>
    </row>
    <row r="255" spans="1:16" ht="15" customHeight="1" x14ac:dyDescent="0.3">
      <c r="A255" s="9">
        <v>235</v>
      </c>
      <c r="B255" s="157" t="s">
        <v>481</v>
      </c>
      <c r="C255" s="157" t="s">
        <v>503</v>
      </c>
      <c r="D255" s="157" t="s">
        <v>504</v>
      </c>
      <c r="E255" s="157" t="s">
        <v>505</v>
      </c>
      <c r="F255" s="48" t="s">
        <v>61</v>
      </c>
      <c r="G255" s="9">
        <v>11</v>
      </c>
      <c r="H255" s="158">
        <f>'Engineering Assumptions'!$F$33*0.22*1</f>
        <v>6.16</v>
      </c>
      <c r="I255" s="158">
        <f>'Engineering Assumptions'!$F$33*1</f>
        <v>28</v>
      </c>
      <c r="J255" s="12">
        <f>'Fleet Pricing'!L255</f>
        <v>164000</v>
      </c>
      <c r="K255" s="12">
        <f>'Maintenance &amp; Repair'!J255+'Maintenance &amp; Repair'!K255</f>
        <v>34560</v>
      </c>
      <c r="L255" s="159">
        <f t="shared" si="36"/>
        <v>0.21073170731707316</v>
      </c>
      <c r="M255" s="9">
        <f>MAX(0,'Engineering Assumptions'!$G$33-G255)</f>
        <v>4</v>
      </c>
      <c r="N255" s="160" t="str">
        <f t="shared" si="37"/>
        <v>MONITOR</v>
      </c>
      <c r="O255" s="161" t="str">
        <f t="shared" si="38"/>
        <v>Watch costs; plan replacement</v>
      </c>
      <c r="P255" s="161" t="str">
        <f>'Engineering Assumptions'!H33</f>
        <v>TOYOTA HILUX 2026 ~Rs. 26–29M (strong resale)</v>
      </c>
    </row>
    <row r="256" spans="1:16" ht="15" customHeight="1" x14ac:dyDescent="0.3">
      <c r="A256" s="9">
        <v>236</v>
      </c>
      <c r="B256" s="157" t="s">
        <v>481</v>
      </c>
      <c r="C256" s="157" t="s">
        <v>482</v>
      </c>
      <c r="D256" s="157" t="s">
        <v>506</v>
      </c>
      <c r="E256" s="157" t="s">
        <v>507</v>
      </c>
      <c r="F256" s="48" t="s">
        <v>66</v>
      </c>
      <c r="G256" s="9">
        <v>14</v>
      </c>
      <c r="H256" s="158">
        <f>'Engineering Assumptions'!$F$33*0.12*1</f>
        <v>3.36</v>
      </c>
      <c r="I256" s="158">
        <f>'Engineering Assumptions'!$F$33*1</f>
        <v>28</v>
      </c>
      <c r="J256" s="12">
        <f>'Fleet Pricing'!L256</f>
        <v>147000</v>
      </c>
      <c r="K256" s="12">
        <f>'Maintenance &amp; Repair'!J256+'Maintenance &amp; Repair'!K256</f>
        <v>34560</v>
      </c>
      <c r="L256" s="159">
        <f t="shared" si="36"/>
        <v>0.23510204081632652</v>
      </c>
      <c r="M256" s="9">
        <f>MAX(0,'Engineering Assumptions'!$G$33-G256)</f>
        <v>1</v>
      </c>
      <c r="N256" s="160" t="str">
        <f t="shared" si="37"/>
        <v>MONITOR</v>
      </c>
      <c r="O256" s="161" t="str">
        <f t="shared" si="38"/>
        <v>Watch costs; plan replacement</v>
      </c>
      <c r="P256" s="161" t="str">
        <f>'Engineering Assumptions'!H33</f>
        <v>TOYOTA HILUX 2026 ~Rs. 26–29M (strong resale)</v>
      </c>
    </row>
    <row r="257" spans="1:16" ht="15" customHeight="1" x14ac:dyDescent="0.3">
      <c r="A257" s="9">
        <v>237</v>
      </c>
      <c r="B257" s="157" t="s">
        <v>481</v>
      </c>
      <c r="C257" s="157" t="s">
        <v>503</v>
      </c>
      <c r="D257" s="157" t="s">
        <v>508</v>
      </c>
      <c r="E257" s="157" t="s">
        <v>509</v>
      </c>
      <c r="F257" s="48" t="s">
        <v>458</v>
      </c>
      <c r="G257" s="9">
        <v>15</v>
      </c>
      <c r="H257" s="158">
        <f>'Engineering Assumptions'!$F$33*0.12*1</f>
        <v>3.36</v>
      </c>
      <c r="I257" s="158">
        <f>'Engineering Assumptions'!$F$33*1</f>
        <v>28</v>
      </c>
      <c r="J257" s="12">
        <f>'Fleet Pricing'!L257</f>
        <v>147000</v>
      </c>
      <c r="K257" s="12">
        <f>'Maintenance &amp; Repair'!J257+'Maintenance &amp; Repair'!K257</f>
        <v>34560</v>
      </c>
      <c r="L257" s="159">
        <f t="shared" si="36"/>
        <v>0.23510204081632652</v>
      </c>
      <c r="M257" s="9">
        <f>MAX(0,'Engineering Assumptions'!$G$33-G257)</f>
        <v>0</v>
      </c>
      <c r="N257" s="160" t="str">
        <f t="shared" si="37"/>
        <v>REPLACE</v>
      </c>
      <c r="O257" s="161" t="str">
        <f t="shared" si="38"/>
        <v>Age 15+ → replace</v>
      </c>
      <c r="P257" s="161" t="str">
        <f>'Engineering Assumptions'!H33</f>
        <v>TOYOTA HILUX 2026 ~Rs. 26–29M (strong resale)</v>
      </c>
    </row>
    <row r="258" spans="1:16" ht="15" customHeight="1" x14ac:dyDescent="0.3">
      <c r="A258" s="9">
        <v>238</v>
      </c>
      <c r="B258" s="157" t="s">
        <v>481</v>
      </c>
      <c r="C258" s="157" t="s">
        <v>510</v>
      </c>
      <c r="D258" s="157" t="s">
        <v>511</v>
      </c>
      <c r="E258" s="157" t="s">
        <v>512</v>
      </c>
      <c r="F258" s="48" t="s">
        <v>335</v>
      </c>
      <c r="G258" s="9">
        <v>18</v>
      </c>
      <c r="H258" s="158">
        <f>'Engineering Assumptions'!$F$33*0.12*1</f>
        <v>3.36</v>
      </c>
      <c r="I258" s="158">
        <f>'Engineering Assumptions'!$F$33*1</f>
        <v>28</v>
      </c>
      <c r="J258" s="12">
        <f>'Fleet Pricing'!L258</f>
        <v>128500</v>
      </c>
      <c r="K258" s="12">
        <f>'Maintenance &amp; Repair'!J258+'Maintenance &amp; Repair'!K258</f>
        <v>48780</v>
      </c>
      <c r="L258" s="159">
        <f t="shared" si="36"/>
        <v>0.37961089494163425</v>
      </c>
      <c r="M258" s="9">
        <f>MAX(0,'Engineering Assumptions'!$G$33-G258)</f>
        <v>0</v>
      </c>
      <c r="N258" s="160" t="str">
        <f t="shared" si="37"/>
        <v>REPLACE</v>
      </c>
      <c r="O258" s="161" t="str">
        <f t="shared" si="38"/>
        <v>Age 15+ → replace</v>
      </c>
      <c r="P258" s="161" t="str">
        <f>'Engineering Assumptions'!H33</f>
        <v>TOYOTA HILUX 2026 ~Rs. 26–29M (strong resale)</v>
      </c>
    </row>
    <row r="259" spans="1:16" ht="15" customHeight="1" x14ac:dyDescent="0.3">
      <c r="A259" s="9">
        <v>239</v>
      </c>
      <c r="B259" s="157" t="s">
        <v>481</v>
      </c>
      <c r="C259" s="157" t="s">
        <v>513</v>
      </c>
      <c r="D259" s="157" t="s">
        <v>514</v>
      </c>
      <c r="E259" s="157" t="s">
        <v>515</v>
      </c>
      <c r="F259" s="48" t="s">
        <v>335</v>
      </c>
      <c r="G259" s="9">
        <v>18</v>
      </c>
      <c r="H259" s="158">
        <f>'Engineering Assumptions'!$F$33*0.12*1</f>
        <v>3.36</v>
      </c>
      <c r="I259" s="158">
        <f>'Engineering Assumptions'!$F$33*1</f>
        <v>28</v>
      </c>
      <c r="J259" s="12">
        <f>'Fleet Pricing'!L259</f>
        <v>128500</v>
      </c>
      <c r="K259" s="12">
        <f>'Maintenance &amp; Repair'!J259+'Maintenance &amp; Repair'!K259</f>
        <v>48780</v>
      </c>
      <c r="L259" s="159">
        <f t="shared" si="36"/>
        <v>0.37961089494163425</v>
      </c>
      <c r="M259" s="9">
        <f>MAX(0,'Engineering Assumptions'!$G$33-G259)</f>
        <v>0</v>
      </c>
      <c r="N259" s="160" t="str">
        <f t="shared" si="37"/>
        <v>REPLACE</v>
      </c>
      <c r="O259" s="161" t="str">
        <f t="shared" si="38"/>
        <v>Age 15+ → replace</v>
      </c>
      <c r="P259" s="161" t="str">
        <f>'Engineering Assumptions'!H33</f>
        <v>TOYOTA HILUX 2026 ~Rs. 26–29M (strong resale)</v>
      </c>
    </row>
    <row r="260" spans="1:16" ht="15" customHeight="1" x14ac:dyDescent="0.3">
      <c r="A260" s="9">
        <v>240</v>
      </c>
      <c r="B260" s="157" t="s">
        <v>481</v>
      </c>
      <c r="C260" s="157" t="s">
        <v>513</v>
      </c>
      <c r="D260" s="157" t="s">
        <v>516</v>
      </c>
      <c r="E260" s="157" t="s">
        <v>517</v>
      </c>
      <c r="F260" s="48" t="s">
        <v>518</v>
      </c>
      <c r="G260" s="9">
        <v>19</v>
      </c>
      <c r="H260" s="158">
        <f>'Engineering Assumptions'!$F$33*0.06*1</f>
        <v>1.68</v>
      </c>
      <c r="I260" s="158">
        <f>'Engineering Assumptions'!$F$33*1</f>
        <v>28</v>
      </c>
      <c r="J260" s="12">
        <f>'Fleet Pricing'!L260</f>
        <v>128500</v>
      </c>
      <c r="K260" s="12">
        <f>'Maintenance &amp; Repair'!J260+'Maintenance &amp; Repair'!K260</f>
        <v>48780</v>
      </c>
      <c r="L260" s="159">
        <f t="shared" si="36"/>
        <v>0.37961089494163425</v>
      </c>
      <c r="M260" s="9">
        <f>MAX(0,'Engineering Assumptions'!$G$33-G260)</f>
        <v>0</v>
      </c>
      <c r="N260" s="160" t="str">
        <f t="shared" si="37"/>
        <v>REPLACE</v>
      </c>
      <c r="O260" s="161" t="str">
        <f t="shared" si="38"/>
        <v>Age 15+ → replace</v>
      </c>
      <c r="P260" s="161" t="str">
        <f>'Engineering Assumptions'!H33</f>
        <v>TOYOTA HILUX 2026 ~Rs. 26–29M (strong resale)</v>
      </c>
    </row>
    <row r="261" spans="1:16" ht="15" customHeight="1" x14ac:dyDescent="0.3">
      <c r="A261" s="9">
        <v>241</v>
      </c>
      <c r="B261" s="157" t="s">
        <v>481</v>
      </c>
      <c r="C261" s="157" t="s">
        <v>482</v>
      </c>
      <c r="D261" s="157" t="s">
        <v>519</v>
      </c>
      <c r="E261" s="157" t="s">
        <v>520</v>
      </c>
      <c r="F261" s="48" t="s">
        <v>518</v>
      </c>
      <c r="G261" s="9">
        <v>19</v>
      </c>
      <c r="H261" s="158">
        <f>'Engineering Assumptions'!$F$33*0.06*1</f>
        <v>1.68</v>
      </c>
      <c r="I261" s="158">
        <f>'Engineering Assumptions'!$F$33*1</f>
        <v>28</v>
      </c>
      <c r="J261" s="12">
        <f>'Fleet Pricing'!L261</f>
        <v>128500</v>
      </c>
      <c r="K261" s="12">
        <f>'Maintenance &amp; Repair'!J261+'Maintenance &amp; Repair'!K261</f>
        <v>48780</v>
      </c>
      <c r="L261" s="159">
        <f t="shared" si="36"/>
        <v>0.37961089494163425</v>
      </c>
      <c r="M261" s="9">
        <f>MAX(0,'Engineering Assumptions'!$G$33-G261)</f>
        <v>0</v>
      </c>
      <c r="N261" s="160" t="str">
        <f t="shared" si="37"/>
        <v>REPLACE</v>
      </c>
      <c r="O261" s="161" t="str">
        <f t="shared" si="38"/>
        <v>Age 15+ → replace</v>
      </c>
      <c r="P261" s="161" t="str">
        <f>'Engineering Assumptions'!H33</f>
        <v>TOYOTA HILUX 2026 ~Rs. 26–29M (strong resale)</v>
      </c>
    </row>
    <row r="262" spans="1:16" ht="15" customHeight="1" x14ac:dyDescent="0.3">
      <c r="A262" s="9">
        <v>242</v>
      </c>
      <c r="B262" s="157" t="s">
        <v>481</v>
      </c>
      <c r="C262" s="157" t="s">
        <v>521</v>
      </c>
      <c r="D262" s="157" t="s">
        <v>522</v>
      </c>
      <c r="E262" s="157" t="s">
        <v>523</v>
      </c>
      <c r="F262" s="48" t="s">
        <v>518</v>
      </c>
      <c r="G262" s="9">
        <v>19</v>
      </c>
      <c r="H262" s="158">
        <f>'Engineering Assumptions'!$F$33*0.06*1</f>
        <v>1.68</v>
      </c>
      <c r="I262" s="158">
        <f>'Engineering Assumptions'!$F$33*1</f>
        <v>28</v>
      </c>
      <c r="J262" s="12">
        <f>'Fleet Pricing'!L262</f>
        <v>128500</v>
      </c>
      <c r="K262" s="12">
        <f>'Maintenance &amp; Repair'!J262+'Maintenance &amp; Repair'!K262</f>
        <v>48780</v>
      </c>
      <c r="L262" s="159">
        <f t="shared" si="36"/>
        <v>0.37961089494163425</v>
      </c>
      <c r="M262" s="9">
        <f>MAX(0,'Engineering Assumptions'!$G$33-G262)</f>
        <v>0</v>
      </c>
      <c r="N262" s="160" t="str">
        <f t="shared" si="37"/>
        <v>REPLACE</v>
      </c>
      <c r="O262" s="161" t="str">
        <f t="shared" si="38"/>
        <v>Age 15+ → replace</v>
      </c>
      <c r="P262" s="161" t="str">
        <f>'Engineering Assumptions'!H33</f>
        <v>TOYOTA HILUX 2026 ~Rs. 26–29M (strong resale)</v>
      </c>
    </row>
    <row r="263" spans="1:16" ht="15" customHeight="1" x14ac:dyDescent="0.3">
      <c r="A263" s="9">
        <v>243</v>
      </c>
      <c r="B263" s="157" t="s">
        <v>481</v>
      </c>
      <c r="C263" s="157" t="s">
        <v>482</v>
      </c>
      <c r="D263" s="157" t="s">
        <v>524</v>
      </c>
      <c r="E263" s="157" t="s">
        <v>525</v>
      </c>
      <c r="F263" s="48" t="s">
        <v>440</v>
      </c>
      <c r="G263" s="9">
        <v>21</v>
      </c>
      <c r="H263" s="158">
        <f>'Engineering Assumptions'!$F$33*0.06*1</f>
        <v>1.68</v>
      </c>
      <c r="I263" s="158">
        <f>'Engineering Assumptions'!$F$33*1</f>
        <v>28</v>
      </c>
      <c r="J263" s="12">
        <f>'Fleet Pricing'!L263</f>
        <v>128500</v>
      </c>
      <c r="K263" s="12">
        <f>'Maintenance &amp; Repair'!J263+'Maintenance &amp; Repair'!K263</f>
        <v>65520</v>
      </c>
      <c r="L263" s="159">
        <f t="shared" si="36"/>
        <v>0.50988326848249033</v>
      </c>
      <c r="M263" s="9">
        <f>MAX(0,'Engineering Assumptions'!$G$33-G263)</f>
        <v>0</v>
      </c>
      <c r="N263" s="160" t="str">
        <f t="shared" si="37"/>
        <v>REPLACE</v>
      </c>
      <c r="O263" s="161" t="str">
        <f t="shared" si="38"/>
        <v>End of life (age &gt; 20)</v>
      </c>
      <c r="P263" s="161" t="str">
        <f>'Engineering Assumptions'!H33</f>
        <v>TOYOTA HILUX 2026 ~Rs. 26–29M (strong resale)</v>
      </c>
    </row>
    <row r="264" spans="1:16" ht="15" customHeight="1" x14ac:dyDescent="0.3">
      <c r="A264" s="9">
        <v>244</v>
      </c>
      <c r="B264" s="157" t="s">
        <v>481</v>
      </c>
      <c r="C264" s="157" t="s">
        <v>526</v>
      </c>
      <c r="D264" s="157" t="s">
        <v>527</v>
      </c>
      <c r="E264" s="157" t="s">
        <v>528</v>
      </c>
      <c r="F264" s="48" t="s">
        <v>440</v>
      </c>
      <c r="G264" s="9">
        <v>21</v>
      </c>
      <c r="H264" s="158">
        <f>'Engineering Assumptions'!$F$33*0.06*1</f>
        <v>1.68</v>
      </c>
      <c r="I264" s="158">
        <f>'Engineering Assumptions'!$F$33*1</f>
        <v>28</v>
      </c>
      <c r="J264" s="12">
        <f>'Fleet Pricing'!L264</f>
        <v>128500</v>
      </c>
      <c r="K264" s="12">
        <f>'Maintenance &amp; Repair'!J264+'Maintenance &amp; Repair'!K264</f>
        <v>65520</v>
      </c>
      <c r="L264" s="159">
        <f t="shared" si="36"/>
        <v>0.50988326848249033</v>
      </c>
      <c r="M264" s="9">
        <f>MAX(0,'Engineering Assumptions'!$G$33-G264)</f>
        <v>0</v>
      </c>
      <c r="N264" s="160" t="str">
        <f t="shared" si="37"/>
        <v>REPLACE</v>
      </c>
      <c r="O264" s="161" t="str">
        <f t="shared" si="38"/>
        <v>End of life (age &gt; 20)</v>
      </c>
      <c r="P264" s="161" t="str">
        <f>'Engineering Assumptions'!H33</f>
        <v>TOYOTA HILUX 2026 ~Rs. 26–29M (strong resale)</v>
      </c>
    </row>
    <row r="265" spans="1:16" ht="15" customHeight="1" x14ac:dyDescent="0.3">
      <c r="A265" s="9">
        <v>245</v>
      </c>
      <c r="B265" s="157" t="s">
        <v>481</v>
      </c>
      <c r="C265" s="157" t="s">
        <v>510</v>
      </c>
      <c r="D265" s="157" t="s">
        <v>529</v>
      </c>
      <c r="E265" s="157" t="s">
        <v>530</v>
      </c>
      <c r="F265" s="48" t="s">
        <v>139</v>
      </c>
      <c r="G265" s="9">
        <v>23</v>
      </c>
      <c r="H265" s="158">
        <f>'Engineering Assumptions'!$F$33*0.06*1</f>
        <v>1.68</v>
      </c>
      <c r="I265" s="158">
        <f>'Engineering Assumptions'!$F$33*1</f>
        <v>28</v>
      </c>
      <c r="J265" s="12">
        <f>'Fleet Pricing'!L265</f>
        <v>116500</v>
      </c>
      <c r="K265" s="12">
        <f>'Maintenance &amp; Repair'!J265+'Maintenance &amp; Repair'!K265</f>
        <v>65520</v>
      </c>
      <c r="L265" s="159">
        <f t="shared" si="36"/>
        <v>0.56240343347639488</v>
      </c>
      <c r="M265" s="9">
        <f>MAX(0,'Engineering Assumptions'!$G$33-G265)</f>
        <v>0</v>
      </c>
      <c r="N265" s="160" t="str">
        <f t="shared" si="37"/>
        <v>REPLACE</v>
      </c>
      <c r="O265" s="161" t="str">
        <f t="shared" si="38"/>
        <v>End of life (age &gt; 20)</v>
      </c>
      <c r="P265" s="161" t="str">
        <f>'Engineering Assumptions'!H33</f>
        <v>TOYOTA HILUX 2026 ~Rs. 26–29M (strong resale)</v>
      </c>
    </row>
    <row r="266" spans="1:16" ht="15" customHeight="1" x14ac:dyDescent="0.3">
      <c r="A266" s="9">
        <v>246</v>
      </c>
      <c r="B266" s="157" t="s">
        <v>481</v>
      </c>
      <c r="C266" s="157" t="s">
        <v>531</v>
      </c>
      <c r="D266" s="157" t="s">
        <v>532</v>
      </c>
      <c r="E266" s="157" t="s">
        <v>533</v>
      </c>
      <c r="F266" s="48" t="s">
        <v>85</v>
      </c>
      <c r="G266" s="9">
        <v>27</v>
      </c>
      <c r="H266" s="158">
        <f>'Engineering Assumptions'!$F$33*0.03*1</f>
        <v>0.84</v>
      </c>
      <c r="I266" s="158">
        <f>'Engineering Assumptions'!$F$33*1</f>
        <v>28</v>
      </c>
      <c r="J266" s="12">
        <f>'Fleet Pricing'!L266</f>
        <v>103000</v>
      </c>
      <c r="K266" s="12">
        <f>'Maintenance &amp; Repair'!J266+'Maintenance &amp; Repair'!K266</f>
        <v>65520</v>
      </c>
      <c r="L266" s="159">
        <f t="shared" si="36"/>
        <v>0.63611650485436888</v>
      </c>
      <c r="M266" s="9">
        <f>MAX(0,'Engineering Assumptions'!$G$33-G266)</f>
        <v>0</v>
      </c>
      <c r="N266" s="160" t="str">
        <f t="shared" si="37"/>
        <v>REPLACE</v>
      </c>
      <c r="O266" s="161" t="str">
        <f t="shared" si="38"/>
        <v>End of life (age &gt; 20)</v>
      </c>
      <c r="P266" s="161" t="str">
        <f>'Engineering Assumptions'!H33</f>
        <v>TOYOTA HILUX 2026 ~Rs. 26–29M (strong resale)</v>
      </c>
    </row>
    <row r="267" spans="1:16" ht="15" customHeight="1" x14ac:dyDescent="0.3">
      <c r="A267" s="9">
        <v>247</v>
      </c>
      <c r="B267" s="157" t="s">
        <v>481</v>
      </c>
      <c r="C267" s="157" t="s">
        <v>534</v>
      </c>
      <c r="D267" s="157" t="s">
        <v>535</v>
      </c>
      <c r="E267" s="157" t="s">
        <v>536</v>
      </c>
      <c r="F267" s="48" t="s">
        <v>537</v>
      </c>
      <c r="G267" s="9">
        <v>29</v>
      </c>
      <c r="H267" s="158">
        <f>'Engineering Assumptions'!$F$33*0.03*1</f>
        <v>0.84</v>
      </c>
      <c r="I267" s="158">
        <f>'Engineering Assumptions'!$F$33*1</f>
        <v>28</v>
      </c>
      <c r="J267" s="12">
        <f>'Fleet Pricing'!L267</f>
        <v>103000</v>
      </c>
      <c r="K267" s="12">
        <f>'Maintenance &amp; Repair'!J267+'Maintenance &amp; Repair'!K267</f>
        <v>65520</v>
      </c>
      <c r="L267" s="159">
        <f t="shared" si="36"/>
        <v>0.63611650485436888</v>
      </c>
      <c r="M267" s="9">
        <f>MAX(0,'Engineering Assumptions'!$G$33-G267)</f>
        <v>0</v>
      </c>
      <c r="N267" s="160" t="str">
        <f t="shared" si="37"/>
        <v>REPLACE</v>
      </c>
      <c r="O267" s="161" t="str">
        <f t="shared" si="38"/>
        <v>End of life (age &gt; 20)</v>
      </c>
      <c r="P267" s="161" t="str">
        <f>'Engineering Assumptions'!H33</f>
        <v>TOYOTA HILUX 2026 ~Rs. 26–29M (strong resale)</v>
      </c>
    </row>
    <row r="268" spans="1:16" ht="15" customHeight="1" x14ac:dyDescent="0.3">
      <c r="A268" s="9">
        <v>248</v>
      </c>
      <c r="B268" s="157" t="s">
        <v>481</v>
      </c>
      <c r="C268" s="157" t="s">
        <v>538</v>
      </c>
      <c r="D268" s="157" t="s">
        <v>539</v>
      </c>
      <c r="E268" s="157" t="s">
        <v>540</v>
      </c>
      <c r="F268" s="48" t="s">
        <v>541</v>
      </c>
      <c r="G268" s="9">
        <v>41</v>
      </c>
      <c r="H268" s="158">
        <f>'Engineering Assumptions'!$F$33*0.03*1</f>
        <v>0.84</v>
      </c>
      <c r="I268" s="158">
        <f>'Engineering Assumptions'!$F$33*1</f>
        <v>28</v>
      </c>
      <c r="J268" s="12">
        <f>'Fleet Pricing'!L268</f>
        <v>103000</v>
      </c>
      <c r="K268" s="12">
        <f>'Maintenance &amp; Repair'!J268+'Maintenance &amp; Repair'!K268</f>
        <v>65520</v>
      </c>
      <c r="L268" s="159">
        <f t="shared" si="36"/>
        <v>0.63611650485436888</v>
      </c>
      <c r="M268" s="9">
        <f>MAX(0,'Engineering Assumptions'!$G$33-G268)</f>
        <v>0</v>
      </c>
      <c r="N268" s="160" t="str">
        <f t="shared" si="37"/>
        <v>REPLACE</v>
      </c>
      <c r="O268" s="161" t="str">
        <f t="shared" si="38"/>
        <v>End of life (age &gt; 20)</v>
      </c>
      <c r="P268" s="161" t="str">
        <f>'Engineering Assumptions'!H33</f>
        <v>TOYOTA HILUX 2026 ~Rs. 26–29M (strong resale)</v>
      </c>
    </row>
    <row r="269" spans="1:16" ht="15" customHeight="1" x14ac:dyDescent="0.3">
      <c r="A269" s="9">
        <v>249</v>
      </c>
      <c r="B269" s="157" t="s">
        <v>481</v>
      </c>
      <c r="C269" s="157" t="s">
        <v>538</v>
      </c>
      <c r="D269" s="157" t="s">
        <v>542</v>
      </c>
      <c r="E269" s="157" t="s">
        <v>543</v>
      </c>
      <c r="F269" s="48" t="s">
        <v>195</v>
      </c>
      <c r="G269" s="9">
        <v>30</v>
      </c>
      <c r="H269" s="158">
        <f>'Engineering Assumptions'!$F$33*0.03*1</f>
        <v>0.84</v>
      </c>
      <c r="I269" s="158">
        <f>'Engineering Assumptions'!$F$33*1</f>
        <v>28</v>
      </c>
      <c r="J269" s="12">
        <f>'Fleet Pricing'!L269</f>
        <v>103000</v>
      </c>
      <c r="K269" s="12">
        <f>'Maintenance &amp; Repair'!J269+'Maintenance &amp; Repair'!K269</f>
        <v>65520</v>
      </c>
      <c r="L269" s="159">
        <f t="shared" si="36"/>
        <v>0.63611650485436888</v>
      </c>
      <c r="M269" s="9">
        <f>MAX(0,'Engineering Assumptions'!$G$33-G269)</f>
        <v>0</v>
      </c>
      <c r="N269" s="160" t="str">
        <f t="shared" si="37"/>
        <v>REPLACE</v>
      </c>
      <c r="O269" s="161" t="str">
        <f t="shared" si="38"/>
        <v>End of life (age &gt; 20)</v>
      </c>
      <c r="P269" s="161" t="str">
        <f>'Engineering Assumptions'!H33</f>
        <v>TOYOTA HILUX 2026 ~Rs. 26–29M (strong resale)</v>
      </c>
    </row>
    <row r="270" spans="1:16" ht="15" customHeight="1" x14ac:dyDescent="0.3">
      <c r="A270" s="9">
        <v>250</v>
      </c>
      <c r="B270" s="157" t="s">
        <v>481</v>
      </c>
      <c r="C270" s="157" t="s">
        <v>544</v>
      </c>
      <c r="D270" s="157"/>
      <c r="E270" s="157"/>
      <c r="F270" s="48" t="s">
        <v>195</v>
      </c>
      <c r="G270" s="9">
        <v>30</v>
      </c>
      <c r="H270" s="158">
        <f>'Engineering Assumptions'!$F$33*0.03*1</f>
        <v>0.84</v>
      </c>
      <c r="I270" s="158">
        <f>'Engineering Assumptions'!$F$33*1</f>
        <v>28</v>
      </c>
      <c r="J270" s="12">
        <f>'Fleet Pricing'!L270</f>
        <v>103000</v>
      </c>
      <c r="K270" s="12">
        <f>'Maintenance &amp; Repair'!J270+'Maintenance &amp; Repair'!K270</f>
        <v>65520</v>
      </c>
      <c r="L270" s="159">
        <f t="shared" si="36"/>
        <v>0.63611650485436888</v>
      </c>
      <c r="M270" s="9">
        <f>MAX(0,'Engineering Assumptions'!$G$33-G270)</f>
        <v>0</v>
      </c>
      <c r="N270" s="160" t="str">
        <f t="shared" si="37"/>
        <v>REPLACE</v>
      </c>
      <c r="O270" s="161" t="str">
        <f t="shared" si="38"/>
        <v>End of life (age &gt; 20)</v>
      </c>
      <c r="P270" s="161" t="str">
        <f>'Engineering Assumptions'!H33</f>
        <v>TOYOTA HILUX 2026 ~Rs. 26–29M (strong resale)</v>
      </c>
    </row>
    <row r="271" spans="1:16" ht="15" customHeight="1" x14ac:dyDescent="0.3">
      <c r="A271" s="199" t="s">
        <v>545</v>
      </c>
      <c r="B271" s="200"/>
      <c r="C271" s="200"/>
      <c r="D271" s="200"/>
      <c r="E271" s="200"/>
      <c r="F271" s="200"/>
      <c r="G271" s="200"/>
      <c r="H271" s="200"/>
      <c r="I271" s="200"/>
      <c r="J271" s="200"/>
      <c r="K271" s="200"/>
      <c r="L271" s="200"/>
      <c r="M271" s="200"/>
      <c r="N271" s="200"/>
      <c r="O271" s="200"/>
      <c r="P271" s="200"/>
    </row>
    <row r="272" spans="1:16" ht="15" customHeight="1" x14ac:dyDescent="0.3">
      <c r="A272" s="9">
        <v>251</v>
      </c>
      <c r="B272" s="157" t="s">
        <v>546</v>
      </c>
      <c r="C272" s="157" t="s">
        <v>547</v>
      </c>
      <c r="D272" s="157" t="s">
        <v>548</v>
      </c>
      <c r="E272" s="157" t="s">
        <v>549</v>
      </c>
      <c r="F272" s="48" t="s">
        <v>73</v>
      </c>
      <c r="G272" s="9">
        <v>20</v>
      </c>
      <c r="H272" s="158">
        <f>'Engineering Assumptions'!$F$34*0.06*1</f>
        <v>0.84</v>
      </c>
      <c r="I272" s="158">
        <f>'Engineering Assumptions'!$F$34*1</f>
        <v>14</v>
      </c>
      <c r="J272" s="12">
        <f>'Fleet Pricing'!L272</f>
        <v>117500</v>
      </c>
      <c r="K272" s="12">
        <f>'Maintenance &amp; Repair'!J272+'Maintenance &amp; Repair'!K272</f>
        <v>39060</v>
      </c>
      <c r="L272" s="159">
        <f>IFERROR(K272/J272,0)</f>
        <v>0.3324255319148936</v>
      </c>
      <c r="M272" s="9">
        <f>MAX(0,'Engineering Assumptions'!$G$34-G272)</f>
        <v>0</v>
      </c>
      <c r="N272" s="160" t="str">
        <f>IF(G272&gt;=20,"REPLACE",IF(L272&gt;0.6,"REPLACE",IF(G272&gt;=15,"REPLACE",IF(OR(G272&gt;=11,L272&gt;0.4),"MONITOR","KEEP"))))</f>
        <v>REPLACE</v>
      </c>
      <c r="O272" s="161" t="str">
        <f>IF(G272&gt;=20,"End of life (age &gt; 20)",IF(L272&gt;0.6,"Repairs exceed 60% of revenue",IF(G272&gt;=15,"Age 15+ → replace",IF(OR(G272&gt;=11,L272&gt;0.4),"Watch costs; plan replacement","Healthy — continue operating"))))</f>
        <v>End of life (age &gt; 20)</v>
      </c>
      <c r="P272" s="161" t="str">
        <f>'Engineering Assumptions'!H34</f>
        <v>TOYOTA KDH200V ~Rs. 12–16M (reconditioned)</v>
      </c>
    </row>
    <row r="273" spans="1:16" ht="15" customHeight="1" x14ac:dyDescent="0.3">
      <c r="A273" s="9">
        <v>252</v>
      </c>
      <c r="B273" s="157" t="s">
        <v>546</v>
      </c>
      <c r="C273" s="157" t="s">
        <v>550</v>
      </c>
      <c r="D273" s="157"/>
      <c r="E273" s="157"/>
      <c r="F273" s="48" t="s">
        <v>551</v>
      </c>
      <c r="G273" s="9">
        <v>37</v>
      </c>
      <c r="H273" s="158">
        <f>'Engineering Assumptions'!$F$34*0.03*1</f>
        <v>0.42</v>
      </c>
      <c r="I273" s="158">
        <f>'Engineering Assumptions'!$F$34*1</f>
        <v>14</v>
      </c>
      <c r="J273" s="12">
        <f>'Fleet Pricing'!L273</f>
        <v>95000</v>
      </c>
      <c r="K273" s="12">
        <f>'Maintenance &amp; Repair'!J273+'Maintenance &amp; Repair'!K273</f>
        <v>52560</v>
      </c>
      <c r="L273" s="159">
        <f>IFERROR(K273/J273,0)</f>
        <v>0.55326315789473679</v>
      </c>
      <c r="M273" s="9">
        <f>MAX(0,'Engineering Assumptions'!$G$34-G273)</f>
        <v>0</v>
      </c>
      <c r="N273" s="160" t="str">
        <f>IF(G273&gt;=20,"REPLACE",IF(L273&gt;0.6,"REPLACE",IF(G273&gt;=15,"REPLACE",IF(OR(G273&gt;=11,L273&gt;0.4),"MONITOR","KEEP"))))</f>
        <v>REPLACE</v>
      </c>
      <c r="O273" s="161" t="str">
        <f>IF(G273&gt;=20,"End of life (age &gt; 20)",IF(L273&gt;0.6,"Repairs exceed 60% of revenue",IF(G273&gt;=15,"Age 15+ → replace",IF(OR(G273&gt;=11,L273&gt;0.4),"Watch costs; plan replacement","Healthy — continue operating"))))</f>
        <v>End of life (age &gt; 20)</v>
      </c>
      <c r="P273" s="161" t="str">
        <f>'Engineering Assumptions'!H34</f>
        <v>TOYOTA KDH200V ~Rs. 12–16M (reconditioned)</v>
      </c>
    </row>
    <row r="274" spans="1:16" ht="15" customHeight="1" x14ac:dyDescent="0.3">
      <c r="A274" s="9">
        <v>253</v>
      </c>
      <c r="B274" s="157" t="s">
        <v>546</v>
      </c>
      <c r="C274" s="157" t="s">
        <v>552</v>
      </c>
      <c r="D274" s="157"/>
      <c r="E274" s="157"/>
      <c r="F274" s="48" t="s">
        <v>553</v>
      </c>
      <c r="G274" s="9">
        <v>39</v>
      </c>
      <c r="H274" s="158">
        <f>'Engineering Assumptions'!$F$34*0.03*1</f>
        <v>0.42</v>
      </c>
      <c r="I274" s="158">
        <f>'Engineering Assumptions'!$F$34*1</f>
        <v>14</v>
      </c>
      <c r="J274" s="12">
        <f>'Fleet Pricing'!L274</f>
        <v>95000</v>
      </c>
      <c r="K274" s="12">
        <f>'Maintenance &amp; Repair'!J274+'Maintenance &amp; Repair'!K274</f>
        <v>52560</v>
      </c>
      <c r="L274" s="159">
        <f>IFERROR(K274/J274,0)</f>
        <v>0.55326315789473679</v>
      </c>
      <c r="M274" s="9">
        <f>MAX(0,'Engineering Assumptions'!$G$34-G274)</f>
        <v>0</v>
      </c>
      <c r="N274" s="160" t="str">
        <f>IF(G274&gt;=20,"REPLACE",IF(L274&gt;0.6,"REPLACE",IF(G274&gt;=15,"REPLACE",IF(OR(G274&gt;=11,L274&gt;0.4),"MONITOR","KEEP"))))</f>
        <v>REPLACE</v>
      </c>
      <c r="O274" s="161" t="str">
        <f>IF(G274&gt;=20,"End of life (age &gt; 20)",IF(L274&gt;0.6,"Repairs exceed 60% of revenue",IF(G274&gt;=15,"Age 15+ → replace",IF(OR(G274&gt;=11,L274&gt;0.4),"Watch costs; plan replacement","Healthy — continue operating"))))</f>
        <v>End of life (age &gt; 20)</v>
      </c>
      <c r="P274" s="161" t="str">
        <f>'Engineering Assumptions'!H34</f>
        <v>TOYOTA KDH200V ~Rs. 12–16M (reconditioned)</v>
      </c>
    </row>
    <row r="275" spans="1:16" ht="15" customHeight="1" x14ac:dyDescent="0.3">
      <c r="A275" s="199" t="s">
        <v>554</v>
      </c>
      <c r="B275" s="200"/>
      <c r="C275" s="200"/>
      <c r="D275" s="200"/>
      <c r="E275" s="200"/>
      <c r="F275" s="200"/>
      <c r="G275" s="200"/>
      <c r="H275" s="200"/>
      <c r="I275" s="200"/>
      <c r="J275" s="200"/>
      <c r="K275" s="200"/>
      <c r="L275" s="200"/>
      <c r="M275" s="200"/>
      <c r="N275" s="200"/>
      <c r="O275" s="200"/>
      <c r="P275" s="200"/>
    </row>
    <row r="276" spans="1:16" ht="15" customHeight="1" x14ac:dyDescent="0.3">
      <c r="A276" s="9">
        <v>254</v>
      </c>
      <c r="B276" s="157" t="s">
        <v>555</v>
      </c>
      <c r="C276" s="157" t="s">
        <v>556</v>
      </c>
      <c r="D276" s="157" t="s">
        <v>557</v>
      </c>
      <c r="E276" s="157" t="s">
        <v>558</v>
      </c>
      <c r="F276" s="48" t="s">
        <v>45</v>
      </c>
      <c r="G276" s="9">
        <v>7</v>
      </c>
      <c r="H276" s="158">
        <f>'Engineering Assumptions'!$F$35*0.35*1</f>
        <v>3.8499999999999996</v>
      </c>
      <c r="I276" s="158">
        <f>'Engineering Assumptions'!$F$35*1</f>
        <v>11</v>
      </c>
      <c r="J276" s="12">
        <f>'Fleet Pricing'!L276</f>
        <v>131500</v>
      </c>
      <c r="K276" s="12">
        <f>'Maintenance &amp; Repair'!J276+'Maintenance &amp; Repair'!K276</f>
        <v>21000</v>
      </c>
      <c r="L276" s="159">
        <f t="shared" ref="L276:L286" si="39">IFERROR(K276/J276,0)</f>
        <v>0.1596958174904943</v>
      </c>
      <c r="M276" s="9">
        <f>MAX(0,'Engineering Assumptions'!$G$35-G276)</f>
        <v>8</v>
      </c>
      <c r="N276" s="160" t="str">
        <f t="shared" ref="N276:N286" si="40">IF(G276&gt;=20,"REPLACE",IF(L276&gt;0.6,"REPLACE",IF(G276&gt;=15,"REPLACE",IF(OR(G276&gt;=11,L276&gt;0.4),"MONITOR","KEEP"))))</f>
        <v>KEEP</v>
      </c>
      <c r="O276" s="161" t="str">
        <f t="shared" ref="O276:O286" si="41">IF(G276&gt;=20,"End of life (age &gt; 20)",IF(L276&gt;0.6,"Repairs exceed 60% of revenue",IF(G276&gt;=15,"Age 15+ → replace",IF(OR(G276&gt;=11,L276&gt;0.4),"Watch costs; plan replacement","Healthy — continue operating"))))</f>
        <v>Healthy — continue operating</v>
      </c>
      <c r="P276" s="161" t="str">
        <f>'Engineering Assumptions'!H35</f>
        <v>JMC/ISUZU crew cab ~Rs. 10–13M</v>
      </c>
    </row>
    <row r="277" spans="1:16" ht="15" customHeight="1" x14ac:dyDescent="0.3">
      <c r="A277" s="9">
        <v>255</v>
      </c>
      <c r="B277" s="157" t="s">
        <v>555</v>
      </c>
      <c r="C277" s="157" t="s">
        <v>559</v>
      </c>
      <c r="D277" s="157" t="s">
        <v>560</v>
      </c>
      <c r="E277" s="157" t="s">
        <v>561</v>
      </c>
      <c r="F277" s="48" t="s">
        <v>165</v>
      </c>
      <c r="G277" s="9">
        <v>8</v>
      </c>
      <c r="H277" s="158">
        <f>'Engineering Assumptions'!$F$35*0.35*1</f>
        <v>3.8499999999999996</v>
      </c>
      <c r="I277" s="158">
        <f>'Engineering Assumptions'!$F$35*1</f>
        <v>11</v>
      </c>
      <c r="J277" s="12">
        <f>'Fleet Pricing'!L277</f>
        <v>131500</v>
      </c>
      <c r="K277" s="12">
        <f>'Maintenance &amp; Repair'!J277+'Maintenance &amp; Repair'!K277</f>
        <v>21000</v>
      </c>
      <c r="L277" s="159">
        <f t="shared" si="39"/>
        <v>0.1596958174904943</v>
      </c>
      <c r="M277" s="9">
        <f>MAX(0,'Engineering Assumptions'!$G$35-G277)</f>
        <v>7</v>
      </c>
      <c r="N277" s="160" t="str">
        <f t="shared" si="40"/>
        <v>KEEP</v>
      </c>
      <c r="O277" s="161" t="str">
        <f t="shared" si="41"/>
        <v>Healthy — continue operating</v>
      </c>
      <c r="P277" s="161" t="str">
        <f>'Engineering Assumptions'!H35</f>
        <v>JMC/ISUZU crew cab ~Rs. 10–13M</v>
      </c>
    </row>
    <row r="278" spans="1:16" ht="15" customHeight="1" x14ac:dyDescent="0.3">
      <c r="A278" s="9">
        <v>256</v>
      </c>
      <c r="B278" s="157" t="s">
        <v>555</v>
      </c>
      <c r="C278" s="157" t="s">
        <v>562</v>
      </c>
      <c r="D278" s="157" t="s">
        <v>563</v>
      </c>
      <c r="E278" s="157" t="s">
        <v>564</v>
      </c>
      <c r="F278" s="48" t="s">
        <v>116</v>
      </c>
      <c r="G278" s="9">
        <v>9</v>
      </c>
      <c r="H278" s="158">
        <f>'Engineering Assumptions'!$F$35*0.22*1</f>
        <v>2.42</v>
      </c>
      <c r="I278" s="158">
        <f>'Engineering Assumptions'!$F$35*1</f>
        <v>11</v>
      </c>
      <c r="J278" s="12">
        <f>'Fleet Pricing'!L278</f>
        <v>131500</v>
      </c>
      <c r="K278" s="12">
        <f>'Maintenance &amp; Repair'!J278+'Maintenance &amp; Repair'!K278</f>
        <v>21000</v>
      </c>
      <c r="L278" s="159">
        <f t="shared" si="39"/>
        <v>0.1596958174904943</v>
      </c>
      <c r="M278" s="9">
        <f>MAX(0,'Engineering Assumptions'!$G$35-G278)</f>
        <v>6</v>
      </c>
      <c r="N278" s="160" t="str">
        <f t="shared" si="40"/>
        <v>KEEP</v>
      </c>
      <c r="O278" s="161" t="str">
        <f t="shared" si="41"/>
        <v>Healthy — continue operating</v>
      </c>
      <c r="P278" s="161" t="str">
        <f>'Engineering Assumptions'!H35</f>
        <v>JMC/ISUZU crew cab ~Rs. 10–13M</v>
      </c>
    </row>
    <row r="279" spans="1:16" ht="15" customHeight="1" x14ac:dyDescent="0.3">
      <c r="A279" s="9">
        <v>257</v>
      </c>
      <c r="B279" s="157" t="s">
        <v>555</v>
      </c>
      <c r="C279" s="157" t="s">
        <v>556</v>
      </c>
      <c r="D279" s="157" t="s">
        <v>565</v>
      </c>
      <c r="E279" s="157" t="s">
        <v>566</v>
      </c>
      <c r="F279" s="48" t="s">
        <v>49</v>
      </c>
      <c r="G279" s="9">
        <v>10</v>
      </c>
      <c r="H279" s="158">
        <f>'Engineering Assumptions'!$F$35*0.22*1</f>
        <v>2.42</v>
      </c>
      <c r="I279" s="158">
        <f>'Engineering Assumptions'!$F$35*1</f>
        <v>11</v>
      </c>
      <c r="J279" s="12">
        <f>'Fleet Pricing'!L279</f>
        <v>131500</v>
      </c>
      <c r="K279" s="12">
        <f>'Maintenance &amp; Repair'!J279+'Maintenance &amp; Repair'!K279</f>
        <v>21000</v>
      </c>
      <c r="L279" s="159">
        <f t="shared" si="39"/>
        <v>0.1596958174904943</v>
      </c>
      <c r="M279" s="9">
        <f>MAX(0,'Engineering Assumptions'!$G$35-G279)</f>
        <v>5</v>
      </c>
      <c r="N279" s="160" t="str">
        <f t="shared" si="40"/>
        <v>KEEP</v>
      </c>
      <c r="O279" s="161" t="str">
        <f t="shared" si="41"/>
        <v>Healthy — continue operating</v>
      </c>
      <c r="P279" s="161" t="str">
        <f>'Engineering Assumptions'!H35</f>
        <v>JMC/ISUZU crew cab ~Rs. 10–13M</v>
      </c>
    </row>
    <row r="280" spans="1:16" ht="15" customHeight="1" x14ac:dyDescent="0.3">
      <c r="A280" s="9">
        <v>258</v>
      </c>
      <c r="B280" s="157" t="s">
        <v>555</v>
      </c>
      <c r="C280" s="157" t="s">
        <v>556</v>
      </c>
      <c r="D280" s="157" t="s">
        <v>567</v>
      </c>
      <c r="E280" s="157" t="s">
        <v>568</v>
      </c>
      <c r="F280" s="48" t="s">
        <v>49</v>
      </c>
      <c r="G280" s="9">
        <v>10</v>
      </c>
      <c r="H280" s="158">
        <f>'Engineering Assumptions'!$F$35*0.22*1</f>
        <v>2.42</v>
      </c>
      <c r="I280" s="158">
        <f>'Engineering Assumptions'!$F$35*1</f>
        <v>11</v>
      </c>
      <c r="J280" s="12">
        <f>'Fleet Pricing'!L280</f>
        <v>131500</v>
      </c>
      <c r="K280" s="12">
        <f>'Maintenance &amp; Repair'!J280+'Maintenance &amp; Repair'!K280</f>
        <v>21000</v>
      </c>
      <c r="L280" s="159">
        <f t="shared" si="39"/>
        <v>0.1596958174904943</v>
      </c>
      <c r="M280" s="9">
        <f>MAX(0,'Engineering Assumptions'!$G$35-G280)</f>
        <v>5</v>
      </c>
      <c r="N280" s="160" t="str">
        <f t="shared" si="40"/>
        <v>KEEP</v>
      </c>
      <c r="O280" s="161" t="str">
        <f t="shared" si="41"/>
        <v>Healthy — continue operating</v>
      </c>
      <c r="P280" s="161" t="str">
        <f>'Engineering Assumptions'!H35</f>
        <v>JMC/ISUZU crew cab ~Rs. 10–13M</v>
      </c>
    </row>
    <row r="281" spans="1:16" ht="15" customHeight="1" x14ac:dyDescent="0.3">
      <c r="A281" s="9">
        <v>259</v>
      </c>
      <c r="B281" s="157" t="s">
        <v>555</v>
      </c>
      <c r="C281" s="157" t="s">
        <v>556</v>
      </c>
      <c r="D281" s="157" t="s">
        <v>569</v>
      </c>
      <c r="E281" s="157" t="s">
        <v>570</v>
      </c>
      <c r="F281" s="48" t="s">
        <v>49</v>
      </c>
      <c r="G281" s="9">
        <v>10</v>
      </c>
      <c r="H281" s="158">
        <f>'Engineering Assumptions'!$F$35*0.22*1</f>
        <v>2.42</v>
      </c>
      <c r="I281" s="158">
        <f>'Engineering Assumptions'!$F$35*1</f>
        <v>11</v>
      </c>
      <c r="J281" s="12">
        <f>'Fleet Pricing'!L281</f>
        <v>131500</v>
      </c>
      <c r="K281" s="12">
        <f>'Maintenance &amp; Repair'!J281+'Maintenance &amp; Repair'!K281</f>
        <v>21000</v>
      </c>
      <c r="L281" s="159">
        <f t="shared" si="39"/>
        <v>0.1596958174904943</v>
      </c>
      <c r="M281" s="9">
        <f>MAX(0,'Engineering Assumptions'!$G$35-G281)</f>
        <v>5</v>
      </c>
      <c r="N281" s="160" t="str">
        <f t="shared" si="40"/>
        <v>KEEP</v>
      </c>
      <c r="O281" s="161" t="str">
        <f t="shared" si="41"/>
        <v>Healthy — continue operating</v>
      </c>
      <c r="P281" s="161" t="str">
        <f>'Engineering Assumptions'!H35</f>
        <v>JMC/ISUZU crew cab ~Rs. 10–13M</v>
      </c>
    </row>
    <row r="282" spans="1:16" ht="15" customHeight="1" x14ac:dyDescent="0.3">
      <c r="A282" s="9">
        <v>260</v>
      </c>
      <c r="B282" s="157" t="s">
        <v>555</v>
      </c>
      <c r="C282" s="157" t="s">
        <v>571</v>
      </c>
      <c r="D282" s="157" t="s">
        <v>572</v>
      </c>
      <c r="E282" s="157" t="s">
        <v>573</v>
      </c>
      <c r="F282" s="48" t="s">
        <v>143</v>
      </c>
      <c r="G282" s="9">
        <v>26</v>
      </c>
      <c r="H282" s="158">
        <f>'Engineering Assumptions'!$F$35*0.03*1</f>
        <v>0.32999999999999996</v>
      </c>
      <c r="I282" s="158">
        <f>'Engineering Assumptions'!$F$35*1</f>
        <v>11</v>
      </c>
      <c r="J282" s="12">
        <f>'Fleet Pricing'!L282</f>
        <v>93000</v>
      </c>
      <c r="K282" s="12">
        <f>'Maintenance &amp; Repair'!J282+'Maintenance &amp; Repair'!K282</f>
        <v>59040</v>
      </c>
      <c r="L282" s="159">
        <f t="shared" si="39"/>
        <v>0.6348387096774194</v>
      </c>
      <c r="M282" s="9">
        <f>MAX(0,'Engineering Assumptions'!$G$35-G282)</f>
        <v>0</v>
      </c>
      <c r="N282" s="160" t="str">
        <f t="shared" si="40"/>
        <v>REPLACE</v>
      </c>
      <c r="O282" s="161" t="str">
        <f t="shared" si="41"/>
        <v>End of life (age &gt; 20)</v>
      </c>
      <c r="P282" s="161" t="str">
        <f>'Engineering Assumptions'!H35</f>
        <v>JMC/ISUZU crew cab ~Rs. 10–13M</v>
      </c>
    </row>
    <row r="283" spans="1:16" ht="15" customHeight="1" x14ac:dyDescent="0.3">
      <c r="A283" s="9">
        <v>261</v>
      </c>
      <c r="B283" s="157" t="s">
        <v>555</v>
      </c>
      <c r="C283" s="157" t="s">
        <v>574</v>
      </c>
      <c r="D283" s="157" t="s">
        <v>575</v>
      </c>
      <c r="E283" s="157" t="s">
        <v>576</v>
      </c>
      <c r="F283" s="48" t="s">
        <v>537</v>
      </c>
      <c r="G283" s="9">
        <v>29</v>
      </c>
      <c r="H283" s="158">
        <f>'Engineering Assumptions'!$F$35*0.03*1</f>
        <v>0.32999999999999996</v>
      </c>
      <c r="I283" s="158">
        <f>'Engineering Assumptions'!$F$35*1</f>
        <v>11</v>
      </c>
      <c r="J283" s="12">
        <f>'Fleet Pricing'!L283</f>
        <v>82500</v>
      </c>
      <c r="K283" s="12">
        <f>'Maintenance &amp; Repair'!J283+'Maintenance &amp; Repair'!K283</f>
        <v>59040</v>
      </c>
      <c r="L283" s="159">
        <f t="shared" si="39"/>
        <v>0.71563636363636363</v>
      </c>
      <c r="M283" s="9">
        <f>MAX(0,'Engineering Assumptions'!$G$35-G283)</f>
        <v>0</v>
      </c>
      <c r="N283" s="160" t="str">
        <f t="shared" si="40"/>
        <v>REPLACE</v>
      </c>
      <c r="O283" s="161" t="str">
        <f t="shared" si="41"/>
        <v>End of life (age &gt; 20)</v>
      </c>
      <c r="P283" s="161" t="str">
        <f>'Engineering Assumptions'!H35</f>
        <v>JMC/ISUZU crew cab ~Rs. 10–13M</v>
      </c>
    </row>
    <row r="284" spans="1:16" ht="15" customHeight="1" x14ac:dyDescent="0.3">
      <c r="A284" s="9">
        <v>262</v>
      </c>
      <c r="B284" s="157" t="s">
        <v>555</v>
      </c>
      <c r="C284" s="157" t="s">
        <v>577</v>
      </c>
      <c r="D284" s="157" t="s">
        <v>578</v>
      </c>
      <c r="E284" s="157" t="s">
        <v>579</v>
      </c>
      <c r="F284" s="48" t="s">
        <v>537</v>
      </c>
      <c r="G284" s="9">
        <v>29</v>
      </c>
      <c r="H284" s="158">
        <f>'Engineering Assumptions'!$F$35*0.03*1</f>
        <v>0.32999999999999996</v>
      </c>
      <c r="I284" s="158">
        <f>'Engineering Assumptions'!$F$35*1</f>
        <v>11</v>
      </c>
      <c r="J284" s="12">
        <f>'Fleet Pricing'!L284</f>
        <v>82500</v>
      </c>
      <c r="K284" s="12">
        <f>'Maintenance &amp; Repair'!J284+'Maintenance &amp; Repair'!K284</f>
        <v>59040</v>
      </c>
      <c r="L284" s="159">
        <f t="shared" si="39"/>
        <v>0.71563636363636363</v>
      </c>
      <c r="M284" s="9">
        <f>MAX(0,'Engineering Assumptions'!$G$35-G284)</f>
        <v>0</v>
      </c>
      <c r="N284" s="160" t="str">
        <f t="shared" si="40"/>
        <v>REPLACE</v>
      </c>
      <c r="O284" s="161" t="str">
        <f t="shared" si="41"/>
        <v>End of life (age &gt; 20)</v>
      </c>
      <c r="P284" s="161" t="str">
        <f>'Engineering Assumptions'!H35</f>
        <v>JMC/ISUZU crew cab ~Rs. 10–13M</v>
      </c>
    </row>
    <row r="285" spans="1:16" ht="15" customHeight="1" x14ac:dyDescent="0.3">
      <c r="A285" s="9">
        <v>263</v>
      </c>
      <c r="B285" s="157" t="s">
        <v>555</v>
      </c>
      <c r="C285" s="157" t="s">
        <v>580</v>
      </c>
      <c r="D285" s="157" t="s">
        <v>581</v>
      </c>
      <c r="E285" s="157" t="s">
        <v>582</v>
      </c>
      <c r="F285" s="48" t="s">
        <v>583</v>
      </c>
      <c r="G285" s="9">
        <v>42</v>
      </c>
      <c r="H285" s="158">
        <f>'Engineering Assumptions'!$F$35*0.03*1</f>
        <v>0.32999999999999996</v>
      </c>
      <c r="I285" s="158">
        <f>'Engineering Assumptions'!$F$35*1</f>
        <v>11</v>
      </c>
      <c r="J285" s="12">
        <f>'Fleet Pricing'!L285</f>
        <v>82500</v>
      </c>
      <c r="K285" s="12">
        <f>'Maintenance &amp; Repair'!J285+'Maintenance &amp; Repair'!K285</f>
        <v>59040</v>
      </c>
      <c r="L285" s="159">
        <f t="shared" si="39"/>
        <v>0.71563636363636363</v>
      </c>
      <c r="M285" s="9">
        <f>MAX(0,'Engineering Assumptions'!$G$35-G285)</f>
        <v>0</v>
      </c>
      <c r="N285" s="160" t="str">
        <f t="shared" si="40"/>
        <v>REPLACE</v>
      </c>
      <c r="O285" s="161" t="str">
        <f t="shared" si="41"/>
        <v>End of life (age &gt; 20)</v>
      </c>
      <c r="P285" s="161" t="str">
        <f>'Engineering Assumptions'!H35</f>
        <v>JMC/ISUZU crew cab ~Rs. 10–13M</v>
      </c>
    </row>
    <row r="286" spans="1:16" ht="15" customHeight="1" x14ac:dyDescent="0.3">
      <c r="A286" s="9">
        <v>264</v>
      </c>
      <c r="B286" s="157" t="s">
        <v>555</v>
      </c>
      <c r="C286" s="157" t="s">
        <v>584</v>
      </c>
      <c r="D286" s="157" t="s">
        <v>585</v>
      </c>
      <c r="E286" s="157" t="s">
        <v>586</v>
      </c>
      <c r="F286" s="48" t="s">
        <v>587</v>
      </c>
      <c r="G286" s="9">
        <v>53</v>
      </c>
      <c r="H286" s="158">
        <f>'Engineering Assumptions'!$F$35*0.03*1</f>
        <v>0.32999999999999996</v>
      </c>
      <c r="I286" s="158">
        <f>'Engineering Assumptions'!$F$35*1</f>
        <v>11</v>
      </c>
      <c r="J286" s="12">
        <f>'Fleet Pricing'!L286</f>
        <v>82500</v>
      </c>
      <c r="K286" s="12">
        <f>'Maintenance &amp; Repair'!J286+'Maintenance &amp; Repair'!K286</f>
        <v>59040</v>
      </c>
      <c r="L286" s="159">
        <f t="shared" si="39"/>
        <v>0.71563636363636363</v>
      </c>
      <c r="M286" s="9">
        <f>MAX(0,'Engineering Assumptions'!$G$35-G286)</f>
        <v>0</v>
      </c>
      <c r="N286" s="160" t="str">
        <f t="shared" si="40"/>
        <v>REPLACE</v>
      </c>
      <c r="O286" s="161" t="str">
        <f t="shared" si="41"/>
        <v>End of life (age &gt; 20)</v>
      </c>
      <c r="P286" s="161" t="str">
        <f>'Engineering Assumptions'!H35</f>
        <v>JMC/ISUZU crew cab ~Rs. 10–13M</v>
      </c>
    </row>
    <row r="287" spans="1:16" ht="15" customHeight="1" x14ac:dyDescent="0.3">
      <c r="A287" s="199" t="s">
        <v>588</v>
      </c>
      <c r="B287" s="200"/>
      <c r="C287" s="200"/>
      <c r="D287" s="200"/>
      <c r="E287" s="200"/>
      <c r="F287" s="200"/>
      <c r="G287" s="200"/>
      <c r="H287" s="200"/>
      <c r="I287" s="200"/>
      <c r="J287" s="200"/>
      <c r="K287" s="200"/>
      <c r="L287" s="200"/>
      <c r="M287" s="200"/>
      <c r="N287" s="200"/>
      <c r="O287" s="200"/>
      <c r="P287" s="200"/>
    </row>
    <row r="288" spans="1:16" ht="15" customHeight="1" x14ac:dyDescent="0.3">
      <c r="A288" s="9">
        <v>265</v>
      </c>
      <c r="B288" s="157" t="s">
        <v>589</v>
      </c>
      <c r="C288" s="157" t="s">
        <v>590</v>
      </c>
      <c r="D288" s="157" t="s">
        <v>591</v>
      </c>
      <c r="E288" s="157" t="s">
        <v>592</v>
      </c>
      <c r="F288" s="48" t="s">
        <v>45</v>
      </c>
      <c r="G288" s="9">
        <v>7</v>
      </c>
      <c r="H288" s="158">
        <f>'Engineering Assumptions'!$F$36*0.35*1</f>
        <v>2.2749999999999999</v>
      </c>
      <c r="I288" s="158">
        <f>'Engineering Assumptions'!$F$36*1</f>
        <v>6.5</v>
      </c>
      <c r="J288" s="12">
        <f>'Fleet Pricing'!L288</f>
        <v>108000</v>
      </c>
      <c r="K288" s="12">
        <f>'Maintenance &amp; Repair'!J288+'Maintenance &amp; Repair'!K288</f>
        <v>18600</v>
      </c>
      <c r="L288" s="159">
        <f t="shared" ref="L288:L300" si="42">IFERROR(K288/J288,0)</f>
        <v>0.17222222222222222</v>
      </c>
      <c r="M288" s="9">
        <f>MAX(0,'Engineering Assumptions'!$G$36-G288)</f>
        <v>8</v>
      </c>
      <c r="N288" s="160" t="str">
        <f t="shared" ref="N288:N300" si="43">IF(G288&gt;=20,"REPLACE",IF(L288&gt;0.6,"REPLACE",IF(G288&gt;=15,"REPLACE",IF(OR(G288&gt;=11,L288&gt;0.4),"MONITOR","KEEP"))))</f>
        <v>KEEP</v>
      </c>
      <c r="O288" s="161" t="str">
        <f t="shared" ref="O288:O300" si="44">IF(G288&gt;=20,"End of life (age &gt; 20)",IF(L288&gt;0.6,"Repairs exceed 60% of revenue",IF(G288&gt;=15,"Age 15+ → replace",IF(OR(G288&gt;=11,L288&gt;0.4),"Watch costs; plan replacement","Healthy — continue operating"))))</f>
        <v>Healthy — continue operating</v>
      </c>
      <c r="P288" s="161" t="str">
        <f>'Engineering Assumptions'!H36</f>
        <v>TATA YODHA / Mahindra BMT ~Rs. 5.5–7.5M</v>
      </c>
    </row>
    <row r="289" spans="1:16" ht="15" customHeight="1" x14ac:dyDescent="0.3">
      <c r="A289" s="9">
        <v>266</v>
      </c>
      <c r="B289" s="157" t="s">
        <v>589</v>
      </c>
      <c r="C289" s="157" t="s">
        <v>590</v>
      </c>
      <c r="D289" s="157" t="s">
        <v>593</v>
      </c>
      <c r="E289" s="157" t="s">
        <v>594</v>
      </c>
      <c r="F289" s="48" t="s">
        <v>45</v>
      </c>
      <c r="G289" s="9">
        <v>7</v>
      </c>
      <c r="H289" s="158">
        <f>'Engineering Assumptions'!$F$36*0.35*1</f>
        <v>2.2749999999999999</v>
      </c>
      <c r="I289" s="158">
        <f>'Engineering Assumptions'!$F$36*1</f>
        <v>6.5</v>
      </c>
      <c r="J289" s="12">
        <f>'Fleet Pricing'!L289</f>
        <v>108000</v>
      </c>
      <c r="K289" s="12">
        <f>'Maintenance &amp; Repair'!J289+'Maintenance &amp; Repair'!K289</f>
        <v>18600</v>
      </c>
      <c r="L289" s="159">
        <f t="shared" si="42"/>
        <v>0.17222222222222222</v>
      </c>
      <c r="M289" s="9">
        <f>MAX(0,'Engineering Assumptions'!$G$36-G289)</f>
        <v>8</v>
      </c>
      <c r="N289" s="160" t="str">
        <f t="shared" si="43"/>
        <v>KEEP</v>
      </c>
      <c r="O289" s="161" t="str">
        <f t="shared" si="44"/>
        <v>Healthy — continue operating</v>
      </c>
      <c r="P289" s="161" t="str">
        <f>'Engineering Assumptions'!H36</f>
        <v>TATA YODHA / Mahindra BMT ~Rs. 5.5–7.5M</v>
      </c>
    </row>
    <row r="290" spans="1:16" ht="15" customHeight="1" x14ac:dyDescent="0.3">
      <c r="A290" s="9">
        <v>267</v>
      </c>
      <c r="B290" s="157" t="s">
        <v>589</v>
      </c>
      <c r="C290" s="157" t="s">
        <v>590</v>
      </c>
      <c r="D290" s="157" t="s">
        <v>595</v>
      </c>
      <c r="E290" s="157" t="s">
        <v>596</v>
      </c>
      <c r="F290" s="48" t="s">
        <v>45</v>
      </c>
      <c r="G290" s="9">
        <v>7</v>
      </c>
      <c r="H290" s="158">
        <f>'Engineering Assumptions'!$F$36*0.35*1</f>
        <v>2.2749999999999999</v>
      </c>
      <c r="I290" s="158">
        <f>'Engineering Assumptions'!$F$36*1</f>
        <v>6.5</v>
      </c>
      <c r="J290" s="12">
        <f>'Fleet Pricing'!L290</f>
        <v>108000</v>
      </c>
      <c r="K290" s="12">
        <f>'Maintenance &amp; Repair'!J290+'Maintenance &amp; Repair'!K290</f>
        <v>18600</v>
      </c>
      <c r="L290" s="159">
        <f t="shared" si="42"/>
        <v>0.17222222222222222</v>
      </c>
      <c r="M290" s="9">
        <f>MAX(0,'Engineering Assumptions'!$G$36-G290)</f>
        <v>8</v>
      </c>
      <c r="N290" s="160" t="str">
        <f t="shared" si="43"/>
        <v>KEEP</v>
      </c>
      <c r="O290" s="161" t="str">
        <f t="shared" si="44"/>
        <v>Healthy — continue operating</v>
      </c>
      <c r="P290" s="161" t="str">
        <f>'Engineering Assumptions'!H36</f>
        <v>TATA YODHA / Mahindra BMT ~Rs. 5.5–7.5M</v>
      </c>
    </row>
    <row r="291" spans="1:16" ht="15" customHeight="1" x14ac:dyDescent="0.3">
      <c r="A291" s="9">
        <v>268</v>
      </c>
      <c r="B291" s="157" t="s">
        <v>589</v>
      </c>
      <c r="C291" s="157" t="s">
        <v>590</v>
      </c>
      <c r="D291" s="157" t="s">
        <v>597</v>
      </c>
      <c r="E291" s="157" t="s">
        <v>598</v>
      </c>
      <c r="F291" s="48" t="s">
        <v>45</v>
      </c>
      <c r="G291" s="9">
        <v>7</v>
      </c>
      <c r="H291" s="158">
        <f>'Engineering Assumptions'!$F$36*0.35*1</f>
        <v>2.2749999999999999</v>
      </c>
      <c r="I291" s="158">
        <f>'Engineering Assumptions'!$F$36*1</f>
        <v>6.5</v>
      </c>
      <c r="J291" s="12">
        <f>'Fleet Pricing'!L291</f>
        <v>108000</v>
      </c>
      <c r="K291" s="12">
        <f>'Maintenance &amp; Repair'!J291+'Maintenance &amp; Repair'!K291</f>
        <v>18600</v>
      </c>
      <c r="L291" s="159">
        <f t="shared" si="42"/>
        <v>0.17222222222222222</v>
      </c>
      <c r="M291" s="9">
        <f>MAX(0,'Engineering Assumptions'!$G$36-G291)</f>
        <v>8</v>
      </c>
      <c r="N291" s="160" t="str">
        <f t="shared" si="43"/>
        <v>KEEP</v>
      </c>
      <c r="O291" s="161" t="str">
        <f t="shared" si="44"/>
        <v>Healthy — continue operating</v>
      </c>
      <c r="P291" s="161" t="str">
        <f>'Engineering Assumptions'!H36</f>
        <v>TATA YODHA / Mahindra BMT ~Rs. 5.5–7.5M</v>
      </c>
    </row>
    <row r="292" spans="1:16" ht="15" customHeight="1" x14ac:dyDescent="0.3">
      <c r="A292" s="9">
        <v>269</v>
      </c>
      <c r="B292" s="157" t="s">
        <v>589</v>
      </c>
      <c r="C292" s="157" t="s">
        <v>599</v>
      </c>
      <c r="D292" s="157" t="s">
        <v>600</v>
      </c>
      <c r="E292" s="157" t="s">
        <v>601</v>
      </c>
      <c r="F292" s="48" t="s">
        <v>45</v>
      </c>
      <c r="G292" s="9">
        <v>7</v>
      </c>
      <c r="H292" s="158">
        <f>'Engineering Assumptions'!$F$36*0.35*1</f>
        <v>2.2749999999999999</v>
      </c>
      <c r="I292" s="158">
        <f>'Engineering Assumptions'!$F$36*1</f>
        <v>6.5</v>
      </c>
      <c r="J292" s="12">
        <f>'Fleet Pricing'!L292</f>
        <v>108000</v>
      </c>
      <c r="K292" s="12">
        <f>'Maintenance &amp; Repair'!J292+'Maintenance &amp; Repair'!K292</f>
        <v>18600</v>
      </c>
      <c r="L292" s="159">
        <f t="shared" si="42"/>
        <v>0.17222222222222222</v>
      </c>
      <c r="M292" s="9">
        <f>MAX(0,'Engineering Assumptions'!$G$36-G292)</f>
        <v>8</v>
      </c>
      <c r="N292" s="160" t="str">
        <f t="shared" si="43"/>
        <v>KEEP</v>
      </c>
      <c r="O292" s="161" t="str">
        <f t="shared" si="44"/>
        <v>Healthy — continue operating</v>
      </c>
      <c r="P292" s="161" t="str">
        <f>'Engineering Assumptions'!H36</f>
        <v>TATA YODHA / Mahindra BMT ~Rs. 5.5–7.5M</v>
      </c>
    </row>
    <row r="293" spans="1:16" ht="15" customHeight="1" x14ac:dyDescent="0.3">
      <c r="A293" s="9">
        <v>270</v>
      </c>
      <c r="B293" s="157" t="s">
        <v>589</v>
      </c>
      <c r="C293" s="157" t="s">
        <v>602</v>
      </c>
      <c r="D293" s="157" t="s">
        <v>603</v>
      </c>
      <c r="E293" s="157" t="s">
        <v>604</v>
      </c>
      <c r="F293" s="48" t="s">
        <v>94</v>
      </c>
      <c r="G293" s="9">
        <v>12</v>
      </c>
      <c r="H293" s="158">
        <f>'Engineering Assumptions'!$F$36*0.22*1</f>
        <v>1.43</v>
      </c>
      <c r="I293" s="158">
        <f>'Engineering Assumptions'!$F$36*1</f>
        <v>6.5</v>
      </c>
      <c r="J293" s="12">
        <f>'Fleet Pricing'!L293</f>
        <v>96000</v>
      </c>
      <c r="K293" s="12">
        <f>'Maintenance &amp; Repair'!J293+'Maintenance &amp; Repair'!K293</f>
        <v>27600</v>
      </c>
      <c r="L293" s="159">
        <f t="shared" si="42"/>
        <v>0.28749999999999998</v>
      </c>
      <c r="M293" s="9">
        <f>MAX(0,'Engineering Assumptions'!$G$36-G293)</f>
        <v>3</v>
      </c>
      <c r="N293" s="160" t="str">
        <f t="shared" si="43"/>
        <v>MONITOR</v>
      </c>
      <c r="O293" s="161" t="str">
        <f t="shared" si="44"/>
        <v>Watch costs; plan replacement</v>
      </c>
      <c r="P293" s="161" t="str">
        <f>'Engineering Assumptions'!H36</f>
        <v>TATA YODHA / Mahindra BMT ~Rs. 5.5–7.5M</v>
      </c>
    </row>
    <row r="294" spans="1:16" ht="15" customHeight="1" x14ac:dyDescent="0.3">
      <c r="A294" s="9">
        <v>271</v>
      </c>
      <c r="B294" s="157" t="s">
        <v>589</v>
      </c>
      <c r="C294" s="157" t="s">
        <v>605</v>
      </c>
      <c r="D294" s="157" t="s">
        <v>606</v>
      </c>
      <c r="E294" s="157" t="s">
        <v>607</v>
      </c>
      <c r="F294" s="48" t="s">
        <v>99</v>
      </c>
      <c r="G294" s="9">
        <v>13</v>
      </c>
      <c r="H294" s="158">
        <f>'Engineering Assumptions'!$F$36*0.12*1</f>
        <v>0.78</v>
      </c>
      <c r="I294" s="158">
        <f>'Engineering Assumptions'!$F$36*1</f>
        <v>6.5</v>
      </c>
      <c r="J294" s="12">
        <f>'Fleet Pricing'!L294</f>
        <v>96000</v>
      </c>
      <c r="K294" s="12">
        <f>'Maintenance &amp; Repair'!J294+'Maintenance &amp; Repair'!K294</f>
        <v>27600</v>
      </c>
      <c r="L294" s="159">
        <f t="shared" si="42"/>
        <v>0.28749999999999998</v>
      </c>
      <c r="M294" s="9">
        <f>MAX(0,'Engineering Assumptions'!$G$36-G294)</f>
        <v>2</v>
      </c>
      <c r="N294" s="160" t="str">
        <f t="shared" si="43"/>
        <v>MONITOR</v>
      </c>
      <c r="O294" s="161" t="str">
        <f t="shared" si="44"/>
        <v>Watch costs; plan replacement</v>
      </c>
      <c r="P294" s="161" t="str">
        <f>'Engineering Assumptions'!H36</f>
        <v>TATA YODHA / Mahindra BMT ~Rs. 5.5–7.5M</v>
      </c>
    </row>
    <row r="295" spans="1:16" ht="15" customHeight="1" x14ac:dyDescent="0.3">
      <c r="A295" s="9">
        <v>272</v>
      </c>
      <c r="B295" s="157" t="s">
        <v>589</v>
      </c>
      <c r="C295" s="157" t="s">
        <v>608</v>
      </c>
      <c r="D295" s="157" t="s">
        <v>609</v>
      </c>
      <c r="E295" s="157" t="s">
        <v>610</v>
      </c>
      <c r="F295" s="48" t="s">
        <v>66</v>
      </c>
      <c r="G295" s="9">
        <v>14</v>
      </c>
      <c r="H295" s="158">
        <f>'Engineering Assumptions'!$F$36*0.12*1</f>
        <v>0.78</v>
      </c>
      <c r="I295" s="158">
        <f>'Engineering Assumptions'!$F$36*1</f>
        <v>6.5</v>
      </c>
      <c r="J295" s="12">
        <f>'Fleet Pricing'!L295</f>
        <v>96000</v>
      </c>
      <c r="K295" s="12">
        <f>'Maintenance &amp; Repair'!J295+'Maintenance &amp; Repair'!K295</f>
        <v>27600</v>
      </c>
      <c r="L295" s="159">
        <f t="shared" si="42"/>
        <v>0.28749999999999998</v>
      </c>
      <c r="M295" s="9">
        <f>MAX(0,'Engineering Assumptions'!$G$36-G295)</f>
        <v>1</v>
      </c>
      <c r="N295" s="160" t="str">
        <f t="shared" si="43"/>
        <v>MONITOR</v>
      </c>
      <c r="O295" s="161" t="str">
        <f t="shared" si="44"/>
        <v>Watch costs; plan replacement</v>
      </c>
      <c r="P295" s="161" t="str">
        <f>'Engineering Assumptions'!H36</f>
        <v>TATA YODHA / Mahindra BMT ~Rs. 5.5–7.5M</v>
      </c>
    </row>
    <row r="296" spans="1:16" ht="15" customHeight="1" x14ac:dyDescent="0.3">
      <c r="A296" s="9">
        <v>273</v>
      </c>
      <c r="B296" s="157" t="s">
        <v>589</v>
      </c>
      <c r="C296" s="157" t="s">
        <v>608</v>
      </c>
      <c r="D296" s="157" t="s">
        <v>611</v>
      </c>
      <c r="E296" s="157" t="s">
        <v>612</v>
      </c>
      <c r="F296" s="48" t="s">
        <v>66</v>
      </c>
      <c r="G296" s="9">
        <v>14</v>
      </c>
      <c r="H296" s="158">
        <f>'Engineering Assumptions'!$F$36*0.12*1</f>
        <v>0.78</v>
      </c>
      <c r="I296" s="158">
        <f>'Engineering Assumptions'!$F$36*1</f>
        <v>6.5</v>
      </c>
      <c r="J296" s="12">
        <f>'Fleet Pricing'!L296</f>
        <v>96000</v>
      </c>
      <c r="K296" s="12">
        <f>'Maintenance &amp; Repair'!J296+'Maintenance &amp; Repair'!K296</f>
        <v>27600</v>
      </c>
      <c r="L296" s="159">
        <f t="shared" si="42"/>
        <v>0.28749999999999998</v>
      </c>
      <c r="M296" s="9">
        <f>MAX(0,'Engineering Assumptions'!$G$36-G296)</f>
        <v>1</v>
      </c>
      <c r="N296" s="160" t="str">
        <f t="shared" si="43"/>
        <v>MONITOR</v>
      </c>
      <c r="O296" s="161" t="str">
        <f t="shared" si="44"/>
        <v>Watch costs; plan replacement</v>
      </c>
      <c r="P296" s="161" t="str">
        <f>'Engineering Assumptions'!H36</f>
        <v>TATA YODHA / Mahindra BMT ~Rs. 5.5–7.5M</v>
      </c>
    </row>
    <row r="297" spans="1:16" ht="15" customHeight="1" x14ac:dyDescent="0.3">
      <c r="A297" s="9">
        <v>274</v>
      </c>
      <c r="B297" s="157" t="s">
        <v>589</v>
      </c>
      <c r="C297" s="157" t="s">
        <v>613</v>
      </c>
      <c r="D297" s="157" t="s">
        <v>614</v>
      </c>
      <c r="E297" s="157" t="s">
        <v>615</v>
      </c>
      <c r="F297" s="48" t="s">
        <v>458</v>
      </c>
      <c r="G297" s="9">
        <v>15</v>
      </c>
      <c r="H297" s="158">
        <f>'Engineering Assumptions'!$F$36*0.12*1</f>
        <v>0.78</v>
      </c>
      <c r="I297" s="158">
        <f>'Engineering Assumptions'!$F$36*1</f>
        <v>6.5</v>
      </c>
      <c r="J297" s="12">
        <f>'Fleet Pricing'!L297</f>
        <v>96000</v>
      </c>
      <c r="K297" s="12">
        <f>'Maintenance &amp; Repair'!J297+'Maintenance &amp; Repair'!K297</f>
        <v>27600</v>
      </c>
      <c r="L297" s="159">
        <f t="shared" si="42"/>
        <v>0.28749999999999998</v>
      </c>
      <c r="M297" s="9">
        <f>MAX(0,'Engineering Assumptions'!$G$36-G297)</f>
        <v>0</v>
      </c>
      <c r="N297" s="160" t="str">
        <f t="shared" si="43"/>
        <v>REPLACE</v>
      </c>
      <c r="O297" s="161" t="str">
        <f t="shared" si="44"/>
        <v>Age 15+ → replace</v>
      </c>
      <c r="P297" s="161" t="str">
        <f>'Engineering Assumptions'!H36</f>
        <v>TATA YODHA / Mahindra BMT ~Rs. 5.5–7.5M</v>
      </c>
    </row>
    <row r="298" spans="1:16" ht="15" customHeight="1" x14ac:dyDescent="0.3">
      <c r="A298" s="9">
        <v>275</v>
      </c>
      <c r="B298" s="157" t="s">
        <v>589</v>
      </c>
      <c r="C298" s="157" t="s">
        <v>613</v>
      </c>
      <c r="D298" s="157" t="s">
        <v>616</v>
      </c>
      <c r="E298" s="157" t="s">
        <v>617</v>
      </c>
      <c r="F298" s="48" t="s">
        <v>458</v>
      </c>
      <c r="G298" s="9">
        <v>15</v>
      </c>
      <c r="H298" s="158">
        <f>'Engineering Assumptions'!$F$36*0.12*1</f>
        <v>0.78</v>
      </c>
      <c r="I298" s="158">
        <f>'Engineering Assumptions'!$F$36*1</f>
        <v>6.5</v>
      </c>
      <c r="J298" s="12">
        <f>'Fleet Pricing'!L298</f>
        <v>96000</v>
      </c>
      <c r="K298" s="12">
        <f>'Maintenance &amp; Repair'!J298+'Maintenance &amp; Repair'!K298</f>
        <v>27600</v>
      </c>
      <c r="L298" s="159">
        <f t="shared" si="42"/>
        <v>0.28749999999999998</v>
      </c>
      <c r="M298" s="9">
        <f>MAX(0,'Engineering Assumptions'!$G$36-G298)</f>
        <v>0</v>
      </c>
      <c r="N298" s="160" t="str">
        <f t="shared" si="43"/>
        <v>REPLACE</v>
      </c>
      <c r="O298" s="161" t="str">
        <f t="shared" si="44"/>
        <v>Age 15+ → replace</v>
      </c>
      <c r="P298" s="161" t="str">
        <f>'Engineering Assumptions'!H36</f>
        <v>TATA YODHA / Mahindra BMT ~Rs. 5.5–7.5M</v>
      </c>
    </row>
    <row r="299" spans="1:16" ht="15" customHeight="1" x14ac:dyDescent="0.3">
      <c r="A299" s="9">
        <v>276</v>
      </c>
      <c r="B299" s="157" t="s">
        <v>589</v>
      </c>
      <c r="C299" s="157" t="s">
        <v>618</v>
      </c>
      <c r="D299" s="157" t="s">
        <v>619</v>
      </c>
      <c r="E299" s="157" t="s">
        <v>620</v>
      </c>
      <c r="F299" s="48" t="s">
        <v>73</v>
      </c>
      <c r="G299" s="9">
        <v>20</v>
      </c>
      <c r="H299" s="158">
        <f>'Engineering Assumptions'!$F$36*0.06*1</f>
        <v>0.39</v>
      </c>
      <c r="I299" s="158">
        <f>'Engineering Assumptions'!$F$36*1</f>
        <v>6.5</v>
      </c>
      <c r="J299" s="12">
        <f>'Fleet Pricing'!L299</f>
        <v>84500</v>
      </c>
      <c r="K299" s="12">
        <f>'Maintenance &amp; Repair'!J299+'Maintenance &amp; Repair'!K299</f>
        <v>39060</v>
      </c>
      <c r="L299" s="159">
        <f t="shared" si="42"/>
        <v>0.46224852071005917</v>
      </c>
      <c r="M299" s="9">
        <f>MAX(0,'Engineering Assumptions'!$G$36-G299)</f>
        <v>0</v>
      </c>
      <c r="N299" s="160" t="str">
        <f t="shared" si="43"/>
        <v>REPLACE</v>
      </c>
      <c r="O299" s="161" t="str">
        <f t="shared" si="44"/>
        <v>End of life (age &gt; 20)</v>
      </c>
      <c r="P299" s="161" t="str">
        <f>'Engineering Assumptions'!H36</f>
        <v>TATA YODHA / Mahindra BMT ~Rs. 5.5–7.5M</v>
      </c>
    </row>
    <row r="300" spans="1:16" ht="15" customHeight="1" x14ac:dyDescent="0.3">
      <c r="A300" s="9">
        <v>277</v>
      </c>
      <c r="B300" s="157" t="s">
        <v>589</v>
      </c>
      <c r="C300" s="157" t="s">
        <v>621</v>
      </c>
      <c r="D300" s="157" t="s">
        <v>622</v>
      </c>
      <c r="E300" s="157" t="s">
        <v>623</v>
      </c>
      <c r="F300" s="48" t="s">
        <v>195</v>
      </c>
      <c r="G300" s="9">
        <v>30</v>
      </c>
      <c r="H300" s="158">
        <f>'Engineering Assumptions'!$F$36*0.03*1</f>
        <v>0.19500000000000001</v>
      </c>
      <c r="I300" s="158">
        <f>'Engineering Assumptions'!$F$36*1</f>
        <v>6.5</v>
      </c>
      <c r="J300" s="12">
        <f>'Fleet Pricing'!L300</f>
        <v>68500</v>
      </c>
      <c r="K300" s="12">
        <f>'Maintenance &amp; Repair'!J300+'Maintenance &amp; Repair'!K300</f>
        <v>52560</v>
      </c>
      <c r="L300" s="159">
        <f t="shared" si="42"/>
        <v>0.7672992700729927</v>
      </c>
      <c r="M300" s="9">
        <f>MAX(0,'Engineering Assumptions'!$G$36-G300)</f>
        <v>0</v>
      </c>
      <c r="N300" s="160" t="str">
        <f t="shared" si="43"/>
        <v>REPLACE</v>
      </c>
      <c r="O300" s="161" t="str">
        <f t="shared" si="44"/>
        <v>End of life (age &gt; 20)</v>
      </c>
      <c r="P300" s="161" t="str">
        <f>'Engineering Assumptions'!H36</f>
        <v>TATA YODHA / Mahindra BMT ~Rs. 5.5–7.5M</v>
      </c>
    </row>
    <row r="301" spans="1:16" ht="15" customHeight="1" x14ac:dyDescent="0.3">
      <c r="A301" s="199" t="s">
        <v>624</v>
      </c>
      <c r="B301" s="200"/>
      <c r="C301" s="200"/>
      <c r="D301" s="200"/>
      <c r="E301" s="200"/>
      <c r="F301" s="200"/>
      <c r="G301" s="200"/>
      <c r="H301" s="200"/>
      <c r="I301" s="200"/>
      <c r="J301" s="200"/>
      <c r="K301" s="200"/>
      <c r="L301" s="200"/>
      <c r="M301" s="200"/>
      <c r="N301" s="200"/>
      <c r="O301" s="200"/>
      <c r="P301" s="200"/>
    </row>
    <row r="302" spans="1:16" ht="15" customHeight="1" x14ac:dyDescent="0.3">
      <c r="A302" s="9">
        <v>278</v>
      </c>
      <c r="B302" s="157" t="s">
        <v>625</v>
      </c>
      <c r="C302" s="157" t="s">
        <v>626</v>
      </c>
      <c r="D302" s="157" t="s">
        <v>627</v>
      </c>
      <c r="E302" s="157" t="s">
        <v>628</v>
      </c>
      <c r="F302" s="48" t="s">
        <v>23</v>
      </c>
      <c r="G302" s="9">
        <v>5</v>
      </c>
      <c r="H302" s="158">
        <f>'Engineering Assumptions'!$F$37*0.5*1</f>
        <v>8</v>
      </c>
      <c r="I302" s="158">
        <f>'Engineering Assumptions'!$F$37*1</f>
        <v>16</v>
      </c>
      <c r="J302" s="12">
        <f>'Fleet Pricing'!L302</f>
        <v>331500</v>
      </c>
      <c r="K302" s="12">
        <f>'Maintenance &amp; Repair'!J302+'Maintenance &amp; Repair'!K302</f>
        <v>38760</v>
      </c>
      <c r="L302" s="159">
        <f t="shared" ref="L302:L333" si="45">IFERROR(K302/J302,0)</f>
        <v>0.11692307692307692</v>
      </c>
      <c r="M302" s="9">
        <f>MAX(0,'Engineering Assumptions'!$G$37-G302)</f>
        <v>10</v>
      </c>
      <c r="N302" s="160" t="str">
        <f t="shared" ref="N302:N333" si="46">IF(G302&gt;=20,"REPLACE",IF(L302&gt;0.6,"REPLACE",IF(G302&gt;=15,"REPLACE",IF(OR(G302&gt;=11,L302&gt;0.4),"MONITOR","KEEP"))))</f>
        <v>KEEP</v>
      </c>
      <c r="O302" s="161" t="str">
        <f t="shared" ref="O302:O333" si="47">IF(G302&gt;=20,"End of life (age &gt; 20)",IF(L302&gt;0.6,"Repairs exceed 60% of revenue",IF(G302&gt;=15,"Age 15+ → replace",IF(OR(G302&gt;=11,L302&gt;0.4),"Watch costs; plan replacement","Healthy — continue operating"))))</f>
        <v>Healthy — continue operating</v>
      </c>
      <c r="P302" s="161" t="str">
        <f>'Engineering Assumptions'!H37</f>
        <v>TATA LPK1618 tipper ~Rs. 14–18M</v>
      </c>
    </row>
    <row r="303" spans="1:16" ht="15" customHeight="1" x14ac:dyDescent="0.3">
      <c r="A303" s="9">
        <v>279</v>
      </c>
      <c r="B303" s="157" t="s">
        <v>625</v>
      </c>
      <c r="C303" s="157" t="s">
        <v>626</v>
      </c>
      <c r="D303" s="157" t="s">
        <v>629</v>
      </c>
      <c r="E303" s="157" t="s">
        <v>630</v>
      </c>
      <c r="F303" s="48" t="s">
        <v>23</v>
      </c>
      <c r="G303" s="9">
        <v>5</v>
      </c>
      <c r="H303" s="158">
        <f>'Engineering Assumptions'!$F$37*0.5*1</f>
        <v>8</v>
      </c>
      <c r="I303" s="158">
        <f>'Engineering Assumptions'!$F$37*1</f>
        <v>16</v>
      </c>
      <c r="J303" s="12">
        <f>'Fleet Pricing'!L303</f>
        <v>331500</v>
      </c>
      <c r="K303" s="12">
        <f>'Maintenance &amp; Repair'!J303+'Maintenance &amp; Repair'!K303</f>
        <v>38760</v>
      </c>
      <c r="L303" s="159">
        <f t="shared" si="45"/>
        <v>0.11692307692307692</v>
      </c>
      <c r="M303" s="9">
        <f>MAX(0,'Engineering Assumptions'!$G$37-G303)</f>
        <v>10</v>
      </c>
      <c r="N303" s="160" t="str">
        <f t="shared" si="46"/>
        <v>KEEP</v>
      </c>
      <c r="O303" s="161" t="str">
        <f t="shared" si="47"/>
        <v>Healthy — continue operating</v>
      </c>
      <c r="P303" s="161" t="str">
        <f>'Engineering Assumptions'!H37</f>
        <v>TATA LPK1618 tipper ~Rs. 14–18M</v>
      </c>
    </row>
    <row r="304" spans="1:16" ht="15" customHeight="1" x14ac:dyDescent="0.3">
      <c r="A304" s="9">
        <v>280</v>
      </c>
      <c r="B304" s="157" t="s">
        <v>625</v>
      </c>
      <c r="C304" s="157" t="s">
        <v>626</v>
      </c>
      <c r="D304" s="157" t="s">
        <v>631</v>
      </c>
      <c r="E304" s="157" t="s">
        <v>632</v>
      </c>
      <c r="F304" s="48" t="s">
        <v>23</v>
      </c>
      <c r="G304" s="9">
        <v>5</v>
      </c>
      <c r="H304" s="158">
        <f>'Engineering Assumptions'!$F$37*0.5*1</f>
        <v>8</v>
      </c>
      <c r="I304" s="158">
        <f>'Engineering Assumptions'!$F$37*1</f>
        <v>16</v>
      </c>
      <c r="J304" s="12">
        <f>'Fleet Pricing'!L304</f>
        <v>331500</v>
      </c>
      <c r="K304" s="12">
        <f>'Maintenance &amp; Repair'!J304+'Maintenance &amp; Repair'!K304</f>
        <v>38760</v>
      </c>
      <c r="L304" s="159">
        <f t="shared" si="45"/>
        <v>0.11692307692307692</v>
      </c>
      <c r="M304" s="9">
        <f>MAX(0,'Engineering Assumptions'!$G$37-G304)</f>
        <v>10</v>
      </c>
      <c r="N304" s="160" t="str">
        <f t="shared" si="46"/>
        <v>KEEP</v>
      </c>
      <c r="O304" s="161" t="str">
        <f t="shared" si="47"/>
        <v>Healthy — continue operating</v>
      </c>
      <c r="P304" s="161" t="str">
        <f>'Engineering Assumptions'!H37</f>
        <v>TATA LPK1618 tipper ~Rs. 14–18M</v>
      </c>
    </row>
    <row r="305" spans="1:16" ht="15" customHeight="1" x14ac:dyDescent="0.3">
      <c r="A305" s="9">
        <v>281</v>
      </c>
      <c r="B305" s="157" t="s">
        <v>625</v>
      </c>
      <c r="C305" s="157" t="s">
        <v>626</v>
      </c>
      <c r="D305" s="157" t="s">
        <v>633</v>
      </c>
      <c r="E305" s="157" t="s">
        <v>634</v>
      </c>
      <c r="F305" s="48" t="s">
        <v>23</v>
      </c>
      <c r="G305" s="9">
        <v>5</v>
      </c>
      <c r="H305" s="158">
        <f>'Engineering Assumptions'!$F$37*0.5*1</f>
        <v>8</v>
      </c>
      <c r="I305" s="158">
        <f>'Engineering Assumptions'!$F$37*1</f>
        <v>16</v>
      </c>
      <c r="J305" s="12">
        <f>'Fleet Pricing'!L305</f>
        <v>331500</v>
      </c>
      <c r="K305" s="12">
        <f>'Maintenance &amp; Repair'!J305+'Maintenance &amp; Repair'!K305</f>
        <v>38760</v>
      </c>
      <c r="L305" s="159">
        <f t="shared" si="45"/>
        <v>0.11692307692307692</v>
      </c>
      <c r="M305" s="9">
        <f>MAX(0,'Engineering Assumptions'!$G$37-G305)</f>
        <v>10</v>
      </c>
      <c r="N305" s="160" t="str">
        <f t="shared" si="46"/>
        <v>KEEP</v>
      </c>
      <c r="O305" s="161" t="str">
        <f t="shared" si="47"/>
        <v>Healthy — continue operating</v>
      </c>
      <c r="P305" s="161" t="str">
        <f>'Engineering Assumptions'!H37</f>
        <v>TATA LPK1618 tipper ~Rs. 14–18M</v>
      </c>
    </row>
    <row r="306" spans="1:16" ht="15" customHeight="1" x14ac:dyDescent="0.3">
      <c r="A306" s="9">
        <v>282</v>
      </c>
      <c r="B306" s="157" t="s">
        <v>625</v>
      </c>
      <c r="C306" s="157" t="s">
        <v>626</v>
      </c>
      <c r="D306" s="157" t="s">
        <v>635</v>
      </c>
      <c r="E306" s="157" t="s">
        <v>636</v>
      </c>
      <c r="F306" s="48" t="s">
        <v>23</v>
      </c>
      <c r="G306" s="9">
        <v>5</v>
      </c>
      <c r="H306" s="158">
        <f>'Engineering Assumptions'!$F$37*0.5*1</f>
        <v>8</v>
      </c>
      <c r="I306" s="158">
        <f>'Engineering Assumptions'!$F$37*1</f>
        <v>16</v>
      </c>
      <c r="J306" s="12">
        <f>'Fleet Pricing'!L306</f>
        <v>331500</v>
      </c>
      <c r="K306" s="12">
        <f>'Maintenance &amp; Repair'!J306+'Maintenance &amp; Repair'!K306</f>
        <v>38760</v>
      </c>
      <c r="L306" s="159">
        <f t="shared" si="45"/>
        <v>0.11692307692307692</v>
      </c>
      <c r="M306" s="9">
        <f>MAX(0,'Engineering Assumptions'!$G$37-G306)</f>
        <v>10</v>
      </c>
      <c r="N306" s="160" t="str">
        <f t="shared" si="46"/>
        <v>KEEP</v>
      </c>
      <c r="O306" s="161" t="str">
        <f t="shared" si="47"/>
        <v>Healthy — continue operating</v>
      </c>
      <c r="P306" s="161" t="str">
        <f>'Engineering Assumptions'!H37</f>
        <v>TATA LPK1618 tipper ~Rs. 14–18M</v>
      </c>
    </row>
    <row r="307" spans="1:16" ht="15" customHeight="1" x14ac:dyDescent="0.3">
      <c r="A307" s="9">
        <v>283</v>
      </c>
      <c r="B307" s="157" t="s">
        <v>625</v>
      </c>
      <c r="C307" s="157" t="s">
        <v>626</v>
      </c>
      <c r="D307" s="157" t="s">
        <v>637</v>
      </c>
      <c r="E307" s="157" t="s">
        <v>638</v>
      </c>
      <c r="F307" s="48" t="s">
        <v>23</v>
      </c>
      <c r="G307" s="9">
        <v>5</v>
      </c>
      <c r="H307" s="158">
        <f>'Engineering Assumptions'!$F$37*0.5*1</f>
        <v>8</v>
      </c>
      <c r="I307" s="158">
        <f>'Engineering Assumptions'!$F$37*1</f>
        <v>16</v>
      </c>
      <c r="J307" s="12">
        <f>'Fleet Pricing'!L307</f>
        <v>331500</v>
      </c>
      <c r="K307" s="12">
        <f>'Maintenance &amp; Repair'!J307+'Maintenance &amp; Repair'!K307</f>
        <v>38760</v>
      </c>
      <c r="L307" s="159">
        <f t="shared" si="45"/>
        <v>0.11692307692307692</v>
      </c>
      <c r="M307" s="9">
        <f>MAX(0,'Engineering Assumptions'!$G$37-G307)</f>
        <v>10</v>
      </c>
      <c r="N307" s="160" t="str">
        <f t="shared" si="46"/>
        <v>KEEP</v>
      </c>
      <c r="O307" s="161" t="str">
        <f t="shared" si="47"/>
        <v>Healthy — continue operating</v>
      </c>
      <c r="P307" s="161" t="str">
        <f>'Engineering Assumptions'!H37</f>
        <v>TATA LPK1618 tipper ~Rs. 14–18M</v>
      </c>
    </row>
    <row r="308" spans="1:16" ht="15" customHeight="1" x14ac:dyDescent="0.3">
      <c r="A308" s="9">
        <v>284</v>
      </c>
      <c r="B308" s="157" t="s">
        <v>625</v>
      </c>
      <c r="C308" s="157" t="s">
        <v>626</v>
      </c>
      <c r="D308" s="157" t="s">
        <v>639</v>
      </c>
      <c r="E308" s="157" t="s">
        <v>640</v>
      </c>
      <c r="F308" s="48" t="s">
        <v>23</v>
      </c>
      <c r="G308" s="9">
        <v>5</v>
      </c>
      <c r="H308" s="158">
        <f>'Engineering Assumptions'!$F$37*0.5*1</f>
        <v>8</v>
      </c>
      <c r="I308" s="158">
        <f>'Engineering Assumptions'!$F$37*1</f>
        <v>16</v>
      </c>
      <c r="J308" s="12">
        <f>'Fleet Pricing'!L308</f>
        <v>331500</v>
      </c>
      <c r="K308" s="12">
        <f>'Maintenance &amp; Repair'!J308+'Maintenance &amp; Repair'!K308</f>
        <v>38760</v>
      </c>
      <c r="L308" s="159">
        <f t="shared" si="45"/>
        <v>0.11692307692307692</v>
      </c>
      <c r="M308" s="9">
        <f>MAX(0,'Engineering Assumptions'!$G$37-G308)</f>
        <v>10</v>
      </c>
      <c r="N308" s="160" t="str">
        <f t="shared" si="46"/>
        <v>KEEP</v>
      </c>
      <c r="O308" s="161" t="str">
        <f t="shared" si="47"/>
        <v>Healthy — continue operating</v>
      </c>
      <c r="P308" s="161" t="str">
        <f>'Engineering Assumptions'!H37</f>
        <v>TATA LPK1618 tipper ~Rs. 14–18M</v>
      </c>
    </row>
    <row r="309" spans="1:16" ht="15" customHeight="1" x14ac:dyDescent="0.3">
      <c r="A309" s="9">
        <v>285</v>
      </c>
      <c r="B309" s="157" t="s">
        <v>625</v>
      </c>
      <c r="C309" s="157" t="s">
        <v>626</v>
      </c>
      <c r="D309" s="157" t="s">
        <v>641</v>
      </c>
      <c r="E309" s="157" t="s">
        <v>642</v>
      </c>
      <c r="F309" s="48" t="s">
        <v>23</v>
      </c>
      <c r="G309" s="9">
        <v>5</v>
      </c>
      <c r="H309" s="158">
        <f>'Engineering Assumptions'!$F$37*0.5*1</f>
        <v>8</v>
      </c>
      <c r="I309" s="158">
        <f>'Engineering Assumptions'!$F$37*1</f>
        <v>16</v>
      </c>
      <c r="J309" s="12">
        <f>'Fleet Pricing'!L309</f>
        <v>331500</v>
      </c>
      <c r="K309" s="12">
        <f>'Maintenance &amp; Repair'!J309+'Maintenance &amp; Repair'!K309</f>
        <v>38760</v>
      </c>
      <c r="L309" s="159">
        <f t="shared" si="45"/>
        <v>0.11692307692307692</v>
      </c>
      <c r="M309" s="9">
        <f>MAX(0,'Engineering Assumptions'!$G$37-G309)</f>
        <v>10</v>
      </c>
      <c r="N309" s="160" t="str">
        <f t="shared" si="46"/>
        <v>KEEP</v>
      </c>
      <c r="O309" s="161" t="str">
        <f t="shared" si="47"/>
        <v>Healthy — continue operating</v>
      </c>
      <c r="P309" s="161" t="str">
        <f>'Engineering Assumptions'!H37</f>
        <v>TATA LPK1618 tipper ~Rs. 14–18M</v>
      </c>
    </row>
    <row r="310" spans="1:16" ht="15" customHeight="1" x14ac:dyDescent="0.3">
      <c r="A310" s="9">
        <v>286</v>
      </c>
      <c r="B310" s="157" t="s">
        <v>625</v>
      </c>
      <c r="C310" s="157" t="s">
        <v>626</v>
      </c>
      <c r="D310" s="157" t="s">
        <v>643</v>
      </c>
      <c r="E310" s="157" t="s">
        <v>644</v>
      </c>
      <c r="F310" s="48" t="s">
        <v>23</v>
      </c>
      <c r="G310" s="9">
        <v>5</v>
      </c>
      <c r="H310" s="158">
        <f>'Engineering Assumptions'!$F$37*0.5*1</f>
        <v>8</v>
      </c>
      <c r="I310" s="158">
        <f>'Engineering Assumptions'!$F$37*1</f>
        <v>16</v>
      </c>
      <c r="J310" s="12">
        <f>'Fleet Pricing'!L310</f>
        <v>331500</v>
      </c>
      <c r="K310" s="12">
        <f>'Maintenance &amp; Repair'!J310+'Maintenance &amp; Repair'!K310</f>
        <v>38760</v>
      </c>
      <c r="L310" s="159">
        <f t="shared" si="45"/>
        <v>0.11692307692307692</v>
      </c>
      <c r="M310" s="9">
        <f>MAX(0,'Engineering Assumptions'!$G$37-G310)</f>
        <v>10</v>
      </c>
      <c r="N310" s="160" t="str">
        <f t="shared" si="46"/>
        <v>KEEP</v>
      </c>
      <c r="O310" s="161" t="str">
        <f t="shared" si="47"/>
        <v>Healthy — continue operating</v>
      </c>
      <c r="P310" s="161" t="str">
        <f>'Engineering Assumptions'!H37</f>
        <v>TATA LPK1618 tipper ~Rs. 14–18M</v>
      </c>
    </row>
    <row r="311" spans="1:16" ht="15" customHeight="1" x14ac:dyDescent="0.3">
      <c r="A311" s="9">
        <v>287</v>
      </c>
      <c r="B311" s="157" t="s">
        <v>625</v>
      </c>
      <c r="C311" s="157" t="s">
        <v>626</v>
      </c>
      <c r="D311" s="157" t="s">
        <v>645</v>
      </c>
      <c r="E311" s="157" t="s">
        <v>646</v>
      </c>
      <c r="F311" s="48" t="s">
        <v>23</v>
      </c>
      <c r="G311" s="9">
        <v>5</v>
      </c>
      <c r="H311" s="158">
        <f>'Engineering Assumptions'!$F$37*0.5*1</f>
        <v>8</v>
      </c>
      <c r="I311" s="158">
        <f>'Engineering Assumptions'!$F$37*1</f>
        <v>16</v>
      </c>
      <c r="J311" s="12">
        <f>'Fleet Pricing'!L311</f>
        <v>331500</v>
      </c>
      <c r="K311" s="12">
        <f>'Maintenance &amp; Repair'!J311+'Maintenance &amp; Repair'!K311</f>
        <v>38760</v>
      </c>
      <c r="L311" s="159">
        <f t="shared" si="45"/>
        <v>0.11692307692307692</v>
      </c>
      <c r="M311" s="9">
        <f>MAX(0,'Engineering Assumptions'!$G$37-G311)</f>
        <v>10</v>
      </c>
      <c r="N311" s="160" t="str">
        <f t="shared" si="46"/>
        <v>KEEP</v>
      </c>
      <c r="O311" s="161" t="str">
        <f t="shared" si="47"/>
        <v>Healthy — continue operating</v>
      </c>
      <c r="P311" s="161" t="str">
        <f>'Engineering Assumptions'!H37</f>
        <v>TATA LPK1618 tipper ~Rs. 14–18M</v>
      </c>
    </row>
    <row r="312" spans="1:16" ht="15" customHeight="1" x14ac:dyDescent="0.3">
      <c r="A312" s="9">
        <v>288</v>
      </c>
      <c r="B312" s="157" t="s">
        <v>625</v>
      </c>
      <c r="C312" s="157" t="s">
        <v>626</v>
      </c>
      <c r="D312" s="157" t="s">
        <v>647</v>
      </c>
      <c r="E312" s="157" t="s">
        <v>648</v>
      </c>
      <c r="F312" s="48" t="s">
        <v>23</v>
      </c>
      <c r="G312" s="9">
        <v>5</v>
      </c>
      <c r="H312" s="158">
        <f>'Engineering Assumptions'!$F$37*0.5*1</f>
        <v>8</v>
      </c>
      <c r="I312" s="158">
        <f>'Engineering Assumptions'!$F$37*1</f>
        <v>16</v>
      </c>
      <c r="J312" s="12">
        <f>'Fleet Pricing'!L312</f>
        <v>331500</v>
      </c>
      <c r="K312" s="12">
        <f>'Maintenance &amp; Repair'!J312+'Maintenance &amp; Repair'!K312</f>
        <v>38760</v>
      </c>
      <c r="L312" s="159">
        <f t="shared" si="45"/>
        <v>0.11692307692307692</v>
      </c>
      <c r="M312" s="9">
        <f>MAX(0,'Engineering Assumptions'!$G$37-G312)</f>
        <v>10</v>
      </c>
      <c r="N312" s="160" t="str">
        <f t="shared" si="46"/>
        <v>KEEP</v>
      </c>
      <c r="O312" s="161" t="str">
        <f t="shared" si="47"/>
        <v>Healthy — continue operating</v>
      </c>
      <c r="P312" s="161" t="str">
        <f>'Engineering Assumptions'!H37</f>
        <v>TATA LPK1618 tipper ~Rs. 14–18M</v>
      </c>
    </row>
    <row r="313" spans="1:16" ht="15" customHeight="1" x14ac:dyDescent="0.3">
      <c r="A313" s="9">
        <v>289</v>
      </c>
      <c r="B313" s="157" t="s">
        <v>625</v>
      </c>
      <c r="C313" s="157" t="s">
        <v>626</v>
      </c>
      <c r="D313" s="157" t="s">
        <v>649</v>
      </c>
      <c r="E313" s="157" t="s">
        <v>650</v>
      </c>
      <c r="F313" s="48" t="s">
        <v>23</v>
      </c>
      <c r="G313" s="9">
        <v>5</v>
      </c>
      <c r="H313" s="158">
        <f>'Engineering Assumptions'!$F$37*0.5*1</f>
        <v>8</v>
      </c>
      <c r="I313" s="158">
        <f>'Engineering Assumptions'!$F$37*1</f>
        <v>16</v>
      </c>
      <c r="J313" s="12">
        <f>'Fleet Pricing'!L313</f>
        <v>331500</v>
      </c>
      <c r="K313" s="12">
        <f>'Maintenance &amp; Repair'!J313+'Maintenance &amp; Repair'!K313</f>
        <v>38760</v>
      </c>
      <c r="L313" s="159">
        <f t="shared" si="45"/>
        <v>0.11692307692307692</v>
      </c>
      <c r="M313" s="9">
        <f>MAX(0,'Engineering Assumptions'!$G$37-G313)</f>
        <v>10</v>
      </c>
      <c r="N313" s="160" t="str">
        <f t="shared" si="46"/>
        <v>KEEP</v>
      </c>
      <c r="O313" s="161" t="str">
        <f t="shared" si="47"/>
        <v>Healthy — continue operating</v>
      </c>
      <c r="P313" s="161" t="str">
        <f>'Engineering Assumptions'!H37</f>
        <v>TATA LPK1618 tipper ~Rs. 14–18M</v>
      </c>
    </row>
    <row r="314" spans="1:16" ht="15" customHeight="1" x14ac:dyDescent="0.3">
      <c r="A314" s="9">
        <v>290</v>
      </c>
      <c r="B314" s="157" t="s">
        <v>625</v>
      </c>
      <c r="C314" s="157" t="s">
        <v>626</v>
      </c>
      <c r="D314" s="157" t="s">
        <v>651</v>
      </c>
      <c r="E314" s="157" t="s">
        <v>652</v>
      </c>
      <c r="F314" s="48" t="s">
        <v>23</v>
      </c>
      <c r="G314" s="9">
        <v>5</v>
      </c>
      <c r="H314" s="158">
        <f>'Engineering Assumptions'!$F$37*0.5*1</f>
        <v>8</v>
      </c>
      <c r="I314" s="158">
        <f>'Engineering Assumptions'!$F$37*1</f>
        <v>16</v>
      </c>
      <c r="J314" s="12">
        <f>'Fleet Pricing'!L314</f>
        <v>331500</v>
      </c>
      <c r="K314" s="12">
        <f>'Maintenance &amp; Repair'!J314+'Maintenance &amp; Repair'!K314</f>
        <v>38760</v>
      </c>
      <c r="L314" s="159">
        <f t="shared" si="45"/>
        <v>0.11692307692307692</v>
      </c>
      <c r="M314" s="9">
        <f>MAX(0,'Engineering Assumptions'!$G$37-G314)</f>
        <v>10</v>
      </c>
      <c r="N314" s="160" t="str">
        <f t="shared" si="46"/>
        <v>KEEP</v>
      </c>
      <c r="O314" s="161" t="str">
        <f t="shared" si="47"/>
        <v>Healthy — continue operating</v>
      </c>
      <c r="P314" s="161" t="str">
        <f>'Engineering Assumptions'!H37</f>
        <v>TATA LPK1618 tipper ~Rs. 14–18M</v>
      </c>
    </row>
    <row r="315" spans="1:16" ht="15" customHeight="1" x14ac:dyDescent="0.3">
      <c r="A315" s="9">
        <v>291</v>
      </c>
      <c r="B315" s="157" t="s">
        <v>625</v>
      </c>
      <c r="C315" s="157" t="s">
        <v>626</v>
      </c>
      <c r="D315" s="157" t="s">
        <v>653</v>
      </c>
      <c r="E315" s="157" t="s">
        <v>654</v>
      </c>
      <c r="F315" s="48" t="s">
        <v>23</v>
      </c>
      <c r="G315" s="9">
        <v>5</v>
      </c>
      <c r="H315" s="158">
        <f>'Engineering Assumptions'!$F$37*0.5*1</f>
        <v>8</v>
      </c>
      <c r="I315" s="158">
        <f>'Engineering Assumptions'!$F$37*1</f>
        <v>16</v>
      </c>
      <c r="J315" s="12">
        <f>'Fleet Pricing'!L315</f>
        <v>331500</v>
      </c>
      <c r="K315" s="12">
        <f>'Maintenance &amp; Repair'!J315+'Maintenance &amp; Repair'!K315</f>
        <v>38760</v>
      </c>
      <c r="L315" s="159">
        <f t="shared" si="45"/>
        <v>0.11692307692307692</v>
      </c>
      <c r="M315" s="9">
        <f>MAX(0,'Engineering Assumptions'!$G$37-G315)</f>
        <v>10</v>
      </c>
      <c r="N315" s="160" t="str">
        <f t="shared" si="46"/>
        <v>KEEP</v>
      </c>
      <c r="O315" s="161" t="str">
        <f t="shared" si="47"/>
        <v>Healthy — continue operating</v>
      </c>
      <c r="P315" s="161" t="str">
        <f>'Engineering Assumptions'!H37</f>
        <v>TATA LPK1618 tipper ~Rs. 14–18M</v>
      </c>
    </row>
    <row r="316" spans="1:16" ht="15" customHeight="1" x14ac:dyDescent="0.3">
      <c r="A316" s="9">
        <v>292</v>
      </c>
      <c r="B316" s="157" t="s">
        <v>625</v>
      </c>
      <c r="C316" s="157" t="s">
        <v>626</v>
      </c>
      <c r="D316" s="157" t="s">
        <v>655</v>
      </c>
      <c r="E316" s="157" t="s">
        <v>656</v>
      </c>
      <c r="F316" s="48" t="s">
        <v>23</v>
      </c>
      <c r="G316" s="9">
        <v>5</v>
      </c>
      <c r="H316" s="158">
        <f>'Engineering Assumptions'!$F$37*0.5*1</f>
        <v>8</v>
      </c>
      <c r="I316" s="158">
        <f>'Engineering Assumptions'!$F$37*1</f>
        <v>16</v>
      </c>
      <c r="J316" s="12">
        <f>'Fleet Pricing'!L316</f>
        <v>331500</v>
      </c>
      <c r="K316" s="12">
        <f>'Maintenance &amp; Repair'!J316+'Maintenance &amp; Repair'!K316</f>
        <v>38760</v>
      </c>
      <c r="L316" s="159">
        <f t="shared" si="45"/>
        <v>0.11692307692307692</v>
      </c>
      <c r="M316" s="9">
        <f>MAX(0,'Engineering Assumptions'!$G$37-G316)</f>
        <v>10</v>
      </c>
      <c r="N316" s="160" t="str">
        <f t="shared" si="46"/>
        <v>KEEP</v>
      </c>
      <c r="O316" s="161" t="str">
        <f t="shared" si="47"/>
        <v>Healthy — continue operating</v>
      </c>
      <c r="P316" s="161" t="str">
        <f>'Engineering Assumptions'!H37</f>
        <v>TATA LPK1618 tipper ~Rs. 14–18M</v>
      </c>
    </row>
    <row r="317" spans="1:16" ht="15" customHeight="1" x14ac:dyDescent="0.3">
      <c r="A317" s="9">
        <v>293</v>
      </c>
      <c r="B317" s="157" t="s">
        <v>625</v>
      </c>
      <c r="C317" s="157" t="s">
        <v>626</v>
      </c>
      <c r="D317" s="157" t="s">
        <v>657</v>
      </c>
      <c r="E317" s="157" t="s">
        <v>658</v>
      </c>
      <c r="F317" s="48" t="s">
        <v>23</v>
      </c>
      <c r="G317" s="9">
        <v>5</v>
      </c>
      <c r="H317" s="158">
        <f>'Engineering Assumptions'!$F$37*0.5*1</f>
        <v>8</v>
      </c>
      <c r="I317" s="158">
        <f>'Engineering Assumptions'!$F$37*1</f>
        <v>16</v>
      </c>
      <c r="J317" s="12">
        <f>'Fleet Pricing'!L317</f>
        <v>331500</v>
      </c>
      <c r="K317" s="12">
        <f>'Maintenance &amp; Repair'!J317+'Maintenance &amp; Repair'!K317</f>
        <v>38760</v>
      </c>
      <c r="L317" s="159">
        <f t="shared" si="45"/>
        <v>0.11692307692307692</v>
      </c>
      <c r="M317" s="9">
        <f>MAX(0,'Engineering Assumptions'!$G$37-G317)</f>
        <v>10</v>
      </c>
      <c r="N317" s="160" t="str">
        <f t="shared" si="46"/>
        <v>KEEP</v>
      </c>
      <c r="O317" s="161" t="str">
        <f t="shared" si="47"/>
        <v>Healthy — continue operating</v>
      </c>
      <c r="P317" s="161" t="str">
        <f>'Engineering Assumptions'!H37</f>
        <v>TATA LPK1618 tipper ~Rs. 14–18M</v>
      </c>
    </row>
    <row r="318" spans="1:16" ht="15" customHeight="1" x14ac:dyDescent="0.3">
      <c r="A318" s="9">
        <v>294</v>
      </c>
      <c r="B318" s="157" t="s">
        <v>625</v>
      </c>
      <c r="C318" s="157" t="s">
        <v>626</v>
      </c>
      <c r="D318" s="157" t="s">
        <v>659</v>
      </c>
      <c r="E318" s="157" t="s">
        <v>660</v>
      </c>
      <c r="F318" s="48" t="s">
        <v>23</v>
      </c>
      <c r="G318" s="9">
        <v>5</v>
      </c>
      <c r="H318" s="158">
        <f>'Engineering Assumptions'!$F$37*0.5*1</f>
        <v>8</v>
      </c>
      <c r="I318" s="158">
        <f>'Engineering Assumptions'!$F$37*1</f>
        <v>16</v>
      </c>
      <c r="J318" s="12">
        <f>'Fleet Pricing'!L318</f>
        <v>331500</v>
      </c>
      <c r="K318" s="12">
        <f>'Maintenance &amp; Repair'!J318+'Maintenance &amp; Repair'!K318</f>
        <v>38760</v>
      </c>
      <c r="L318" s="159">
        <f t="shared" si="45"/>
        <v>0.11692307692307692</v>
      </c>
      <c r="M318" s="9">
        <f>MAX(0,'Engineering Assumptions'!$G$37-G318)</f>
        <v>10</v>
      </c>
      <c r="N318" s="160" t="str">
        <f t="shared" si="46"/>
        <v>KEEP</v>
      </c>
      <c r="O318" s="161" t="str">
        <f t="shared" si="47"/>
        <v>Healthy — continue operating</v>
      </c>
      <c r="P318" s="161" t="str">
        <f>'Engineering Assumptions'!H37</f>
        <v>TATA LPK1618 tipper ~Rs. 14–18M</v>
      </c>
    </row>
    <row r="319" spans="1:16" ht="15" customHeight="1" x14ac:dyDescent="0.3">
      <c r="A319" s="9">
        <v>295</v>
      </c>
      <c r="B319" s="157" t="s">
        <v>625</v>
      </c>
      <c r="C319" s="157" t="s">
        <v>626</v>
      </c>
      <c r="D319" s="157" t="s">
        <v>661</v>
      </c>
      <c r="E319" s="157" t="s">
        <v>662</v>
      </c>
      <c r="F319" s="48" t="s">
        <v>23</v>
      </c>
      <c r="G319" s="9">
        <v>5</v>
      </c>
      <c r="H319" s="158">
        <f>'Engineering Assumptions'!$F$37*0.5*1</f>
        <v>8</v>
      </c>
      <c r="I319" s="158">
        <f>'Engineering Assumptions'!$F$37*1</f>
        <v>16</v>
      </c>
      <c r="J319" s="12">
        <f>'Fleet Pricing'!L319</f>
        <v>331500</v>
      </c>
      <c r="K319" s="12">
        <f>'Maintenance &amp; Repair'!J319+'Maintenance &amp; Repair'!K319</f>
        <v>38760</v>
      </c>
      <c r="L319" s="159">
        <f t="shared" si="45"/>
        <v>0.11692307692307692</v>
      </c>
      <c r="M319" s="9">
        <f>MAX(0,'Engineering Assumptions'!$G$37-G319)</f>
        <v>10</v>
      </c>
      <c r="N319" s="160" t="str">
        <f t="shared" si="46"/>
        <v>KEEP</v>
      </c>
      <c r="O319" s="161" t="str">
        <f t="shared" si="47"/>
        <v>Healthy — continue operating</v>
      </c>
      <c r="P319" s="161" t="str">
        <f>'Engineering Assumptions'!H37</f>
        <v>TATA LPK1618 tipper ~Rs. 14–18M</v>
      </c>
    </row>
    <row r="320" spans="1:16" ht="15" customHeight="1" x14ac:dyDescent="0.3">
      <c r="A320" s="9">
        <v>296</v>
      </c>
      <c r="B320" s="157" t="s">
        <v>625</v>
      </c>
      <c r="C320" s="157" t="s">
        <v>626</v>
      </c>
      <c r="D320" s="157" t="s">
        <v>663</v>
      </c>
      <c r="E320" s="157" t="s">
        <v>664</v>
      </c>
      <c r="F320" s="48" t="s">
        <v>23</v>
      </c>
      <c r="G320" s="9">
        <v>5</v>
      </c>
      <c r="H320" s="158">
        <f>'Engineering Assumptions'!$F$37*0.5*1</f>
        <v>8</v>
      </c>
      <c r="I320" s="158">
        <f>'Engineering Assumptions'!$F$37*1</f>
        <v>16</v>
      </c>
      <c r="J320" s="12">
        <f>'Fleet Pricing'!L320</f>
        <v>331500</v>
      </c>
      <c r="K320" s="12">
        <f>'Maintenance &amp; Repair'!J320+'Maintenance &amp; Repair'!K320</f>
        <v>38760</v>
      </c>
      <c r="L320" s="159">
        <f t="shared" si="45"/>
        <v>0.11692307692307692</v>
      </c>
      <c r="M320" s="9">
        <f>MAX(0,'Engineering Assumptions'!$G$37-G320)</f>
        <v>10</v>
      </c>
      <c r="N320" s="160" t="str">
        <f t="shared" si="46"/>
        <v>KEEP</v>
      </c>
      <c r="O320" s="161" t="str">
        <f t="shared" si="47"/>
        <v>Healthy — continue operating</v>
      </c>
      <c r="P320" s="161" t="str">
        <f>'Engineering Assumptions'!H37</f>
        <v>TATA LPK1618 tipper ~Rs. 14–18M</v>
      </c>
    </row>
    <row r="321" spans="1:16" ht="15" customHeight="1" x14ac:dyDescent="0.3">
      <c r="A321" s="9">
        <v>297</v>
      </c>
      <c r="B321" s="157" t="s">
        <v>625</v>
      </c>
      <c r="C321" s="157" t="s">
        <v>626</v>
      </c>
      <c r="D321" s="157" t="s">
        <v>665</v>
      </c>
      <c r="E321" s="157" t="s">
        <v>666</v>
      </c>
      <c r="F321" s="48" t="s">
        <v>23</v>
      </c>
      <c r="G321" s="9">
        <v>5</v>
      </c>
      <c r="H321" s="158">
        <f>'Engineering Assumptions'!$F$37*0.5*1</f>
        <v>8</v>
      </c>
      <c r="I321" s="158">
        <f>'Engineering Assumptions'!$F$37*1</f>
        <v>16</v>
      </c>
      <c r="J321" s="12">
        <f>'Fleet Pricing'!L321</f>
        <v>331500</v>
      </c>
      <c r="K321" s="12">
        <f>'Maintenance &amp; Repair'!J321+'Maintenance &amp; Repair'!K321</f>
        <v>38760</v>
      </c>
      <c r="L321" s="159">
        <f t="shared" si="45"/>
        <v>0.11692307692307692</v>
      </c>
      <c r="M321" s="9">
        <f>MAX(0,'Engineering Assumptions'!$G$37-G321)</f>
        <v>10</v>
      </c>
      <c r="N321" s="160" t="str">
        <f t="shared" si="46"/>
        <v>KEEP</v>
      </c>
      <c r="O321" s="161" t="str">
        <f t="shared" si="47"/>
        <v>Healthy — continue operating</v>
      </c>
      <c r="P321" s="161" t="str">
        <f>'Engineering Assumptions'!H37</f>
        <v>TATA LPK1618 tipper ~Rs. 14–18M</v>
      </c>
    </row>
    <row r="322" spans="1:16" ht="15" customHeight="1" x14ac:dyDescent="0.3">
      <c r="A322" s="9">
        <v>298</v>
      </c>
      <c r="B322" s="157" t="s">
        <v>625</v>
      </c>
      <c r="C322" s="157" t="s">
        <v>626</v>
      </c>
      <c r="D322" s="157" t="s">
        <v>667</v>
      </c>
      <c r="E322" s="157" t="s">
        <v>668</v>
      </c>
      <c r="F322" s="48" t="s">
        <v>23</v>
      </c>
      <c r="G322" s="9">
        <v>5</v>
      </c>
      <c r="H322" s="158">
        <f>'Engineering Assumptions'!$F$37*0.5*1</f>
        <v>8</v>
      </c>
      <c r="I322" s="158">
        <f>'Engineering Assumptions'!$F$37*1</f>
        <v>16</v>
      </c>
      <c r="J322" s="12">
        <f>'Fleet Pricing'!L322</f>
        <v>331500</v>
      </c>
      <c r="K322" s="12">
        <f>'Maintenance &amp; Repair'!J322+'Maintenance &amp; Repair'!K322</f>
        <v>38760</v>
      </c>
      <c r="L322" s="159">
        <f t="shared" si="45"/>
        <v>0.11692307692307692</v>
      </c>
      <c r="M322" s="9">
        <f>MAX(0,'Engineering Assumptions'!$G$37-G322)</f>
        <v>10</v>
      </c>
      <c r="N322" s="160" t="str">
        <f t="shared" si="46"/>
        <v>KEEP</v>
      </c>
      <c r="O322" s="161" t="str">
        <f t="shared" si="47"/>
        <v>Healthy — continue operating</v>
      </c>
      <c r="P322" s="161" t="str">
        <f>'Engineering Assumptions'!H37</f>
        <v>TATA LPK1618 tipper ~Rs. 14–18M</v>
      </c>
    </row>
    <row r="323" spans="1:16" ht="15" customHeight="1" x14ac:dyDescent="0.3">
      <c r="A323" s="9">
        <v>299</v>
      </c>
      <c r="B323" s="157" t="s">
        <v>625</v>
      </c>
      <c r="C323" s="157" t="s">
        <v>626</v>
      </c>
      <c r="D323" s="157" t="s">
        <v>669</v>
      </c>
      <c r="E323" s="157" t="s">
        <v>670</v>
      </c>
      <c r="F323" s="48" t="s">
        <v>23</v>
      </c>
      <c r="G323" s="9">
        <v>5</v>
      </c>
      <c r="H323" s="158">
        <f>'Engineering Assumptions'!$F$37*0.5*1</f>
        <v>8</v>
      </c>
      <c r="I323" s="158">
        <f>'Engineering Assumptions'!$F$37*1</f>
        <v>16</v>
      </c>
      <c r="J323" s="12">
        <f>'Fleet Pricing'!L323</f>
        <v>331500</v>
      </c>
      <c r="K323" s="12">
        <f>'Maintenance &amp; Repair'!J323+'Maintenance &amp; Repair'!K323</f>
        <v>38760</v>
      </c>
      <c r="L323" s="159">
        <f t="shared" si="45"/>
        <v>0.11692307692307692</v>
      </c>
      <c r="M323" s="9">
        <f>MAX(0,'Engineering Assumptions'!$G$37-G323)</f>
        <v>10</v>
      </c>
      <c r="N323" s="160" t="str">
        <f t="shared" si="46"/>
        <v>KEEP</v>
      </c>
      <c r="O323" s="161" t="str">
        <f t="shared" si="47"/>
        <v>Healthy — continue operating</v>
      </c>
      <c r="P323" s="161" t="str">
        <f>'Engineering Assumptions'!H37</f>
        <v>TATA LPK1618 tipper ~Rs. 14–18M</v>
      </c>
    </row>
    <row r="324" spans="1:16" ht="15" customHeight="1" x14ac:dyDescent="0.3">
      <c r="A324" s="9">
        <v>300</v>
      </c>
      <c r="B324" s="157" t="s">
        <v>625</v>
      </c>
      <c r="C324" s="157" t="s">
        <v>626</v>
      </c>
      <c r="D324" s="157" t="s">
        <v>671</v>
      </c>
      <c r="E324" s="157" t="s">
        <v>672</v>
      </c>
      <c r="F324" s="48" t="s">
        <v>23</v>
      </c>
      <c r="G324" s="9">
        <v>5</v>
      </c>
      <c r="H324" s="158">
        <f>'Engineering Assumptions'!$F$37*0.5*1</f>
        <v>8</v>
      </c>
      <c r="I324" s="158">
        <f>'Engineering Assumptions'!$F$37*1</f>
        <v>16</v>
      </c>
      <c r="J324" s="12">
        <f>'Fleet Pricing'!L324</f>
        <v>331500</v>
      </c>
      <c r="K324" s="12">
        <f>'Maintenance &amp; Repair'!J324+'Maintenance &amp; Repair'!K324</f>
        <v>38760</v>
      </c>
      <c r="L324" s="159">
        <f t="shared" si="45"/>
        <v>0.11692307692307692</v>
      </c>
      <c r="M324" s="9">
        <f>MAX(0,'Engineering Assumptions'!$G$37-G324)</f>
        <v>10</v>
      </c>
      <c r="N324" s="160" t="str">
        <f t="shared" si="46"/>
        <v>KEEP</v>
      </c>
      <c r="O324" s="161" t="str">
        <f t="shared" si="47"/>
        <v>Healthy — continue operating</v>
      </c>
      <c r="P324" s="161" t="str">
        <f>'Engineering Assumptions'!H37</f>
        <v>TATA LPK1618 tipper ~Rs. 14–18M</v>
      </c>
    </row>
    <row r="325" spans="1:16" ht="15" customHeight="1" x14ac:dyDescent="0.3">
      <c r="A325" s="9">
        <v>301</v>
      </c>
      <c r="B325" s="157" t="s">
        <v>625</v>
      </c>
      <c r="C325" s="157" t="s">
        <v>626</v>
      </c>
      <c r="D325" s="157" t="s">
        <v>673</v>
      </c>
      <c r="E325" s="157" t="s">
        <v>674</v>
      </c>
      <c r="F325" s="48" t="s">
        <v>23</v>
      </c>
      <c r="G325" s="9">
        <v>5</v>
      </c>
      <c r="H325" s="158">
        <f>'Engineering Assumptions'!$F$37*0.5*1</f>
        <v>8</v>
      </c>
      <c r="I325" s="158">
        <f>'Engineering Assumptions'!$F$37*1</f>
        <v>16</v>
      </c>
      <c r="J325" s="12">
        <f>'Fleet Pricing'!L325</f>
        <v>331500</v>
      </c>
      <c r="K325" s="12">
        <f>'Maintenance &amp; Repair'!J325+'Maintenance &amp; Repair'!K325</f>
        <v>38760</v>
      </c>
      <c r="L325" s="159">
        <f t="shared" si="45"/>
        <v>0.11692307692307692</v>
      </c>
      <c r="M325" s="9">
        <f>MAX(0,'Engineering Assumptions'!$G$37-G325)</f>
        <v>10</v>
      </c>
      <c r="N325" s="160" t="str">
        <f t="shared" si="46"/>
        <v>KEEP</v>
      </c>
      <c r="O325" s="161" t="str">
        <f t="shared" si="47"/>
        <v>Healthy — continue operating</v>
      </c>
      <c r="P325" s="161" t="str">
        <f>'Engineering Assumptions'!H37</f>
        <v>TATA LPK1618 tipper ~Rs. 14–18M</v>
      </c>
    </row>
    <row r="326" spans="1:16" ht="15" customHeight="1" x14ac:dyDescent="0.3">
      <c r="A326" s="9">
        <v>302</v>
      </c>
      <c r="B326" s="157" t="s">
        <v>625</v>
      </c>
      <c r="C326" s="157" t="s">
        <v>626</v>
      </c>
      <c r="D326" s="157" t="s">
        <v>675</v>
      </c>
      <c r="E326" s="157" t="s">
        <v>676</v>
      </c>
      <c r="F326" s="48" t="s">
        <v>23</v>
      </c>
      <c r="G326" s="9">
        <v>5</v>
      </c>
      <c r="H326" s="158">
        <f>'Engineering Assumptions'!$F$37*0.5*1</f>
        <v>8</v>
      </c>
      <c r="I326" s="158">
        <f>'Engineering Assumptions'!$F$37*1</f>
        <v>16</v>
      </c>
      <c r="J326" s="12">
        <f>'Fleet Pricing'!L326</f>
        <v>331500</v>
      </c>
      <c r="K326" s="12">
        <f>'Maintenance &amp; Repair'!J326+'Maintenance &amp; Repair'!K326</f>
        <v>38760</v>
      </c>
      <c r="L326" s="159">
        <f t="shared" si="45"/>
        <v>0.11692307692307692</v>
      </c>
      <c r="M326" s="9">
        <f>MAX(0,'Engineering Assumptions'!$G$37-G326)</f>
        <v>10</v>
      </c>
      <c r="N326" s="160" t="str">
        <f t="shared" si="46"/>
        <v>KEEP</v>
      </c>
      <c r="O326" s="161" t="str">
        <f t="shared" si="47"/>
        <v>Healthy — continue operating</v>
      </c>
      <c r="P326" s="161" t="str">
        <f>'Engineering Assumptions'!H37</f>
        <v>TATA LPK1618 tipper ~Rs. 14–18M</v>
      </c>
    </row>
    <row r="327" spans="1:16" ht="15" customHeight="1" x14ac:dyDescent="0.3">
      <c r="A327" s="9">
        <v>303</v>
      </c>
      <c r="B327" s="157" t="s">
        <v>625</v>
      </c>
      <c r="C327" s="157" t="s">
        <v>626</v>
      </c>
      <c r="D327" s="157" t="s">
        <v>677</v>
      </c>
      <c r="E327" s="157" t="s">
        <v>678</v>
      </c>
      <c r="F327" s="48" t="s">
        <v>23</v>
      </c>
      <c r="G327" s="9">
        <v>5</v>
      </c>
      <c r="H327" s="158">
        <f>'Engineering Assumptions'!$F$37*0.5*1</f>
        <v>8</v>
      </c>
      <c r="I327" s="158">
        <f>'Engineering Assumptions'!$F$37*1</f>
        <v>16</v>
      </c>
      <c r="J327" s="12">
        <f>'Fleet Pricing'!L327</f>
        <v>331500</v>
      </c>
      <c r="K327" s="12">
        <f>'Maintenance &amp; Repair'!J327+'Maintenance &amp; Repair'!K327</f>
        <v>38760</v>
      </c>
      <c r="L327" s="159">
        <f t="shared" si="45"/>
        <v>0.11692307692307692</v>
      </c>
      <c r="M327" s="9">
        <f>MAX(0,'Engineering Assumptions'!$G$37-G327)</f>
        <v>10</v>
      </c>
      <c r="N327" s="160" t="str">
        <f t="shared" si="46"/>
        <v>KEEP</v>
      </c>
      <c r="O327" s="161" t="str">
        <f t="shared" si="47"/>
        <v>Healthy — continue operating</v>
      </c>
      <c r="P327" s="161" t="str">
        <f>'Engineering Assumptions'!H37</f>
        <v>TATA LPK1618 tipper ~Rs. 14–18M</v>
      </c>
    </row>
    <row r="328" spans="1:16" ht="15" customHeight="1" x14ac:dyDescent="0.3">
      <c r="A328" s="9">
        <v>304</v>
      </c>
      <c r="B328" s="157" t="s">
        <v>625</v>
      </c>
      <c r="C328" s="157" t="s">
        <v>626</v>
      </c>
      <c r="D328" s="157" t="s">
        <v>679</v>
      </c>
      <c r="E328" s="157" t="s">
        <v>680</v>
      </c>
      <c r="F328" s="48" t="s">
        <v>23</v>
      </c>
      <c r="G328" s="9">
        <v>5</v>
      </c>
      <c r="H328" s="158">
        <f>'Engineering Assumptions'!$F$37*0.5*1</f>
        <v>8</v>
      </c>
      <c r="I328" s="158">
        <f>'Engineering Assumptions'!$F$37*1</f>
        <v>16</v>
      </c>
      <c r="J328" s="12">
        <f>'Fleet Pricing'!L328</f>
        <v>331500</v>
      </c>
      <c r="K328" s="12">
        <f>'Maintenance &amp; Repair'!J328+'Maintenance &amp; Repair'!K328</f>
        <v>38760</v>
      </c>
      <c r="L328" s="159">
        <f t="shared" si="45"/>
        <v>0.11692307692307692</v>
      </c>
      <c r="M328" s="9">
        <f>MAX(0,'Engineering Assumptions'!$G$37-G328)</f>
        <v>10</v>
      </c>
      <c r="N328" s="160" t="str">
        <f t="shared" si="46"/>
        <v>KEEP</v>
      </c>
      <c r="O328" s="161" t="str">
        <f t="shared" si="47"/>
        <v>Healthy — continue operating</v>
      </c>
      <c r="P328" s="161" t="str">
        <f>'Engineering Assumptions'!H37</f>
        <v>TATA LPK1618 tipper ~Rs. 14–18M</v>
      </c>
    </row>
    <row r="329" spans="1:16" ht="15" customHeight="1" x14ac:dyDescent="0.3">
      <c r="A329" s="9">
        <v>305</v>
      </c>
      <c r="B329" s="157" t="s">
        <v>625</v>
      </c>
      <c r="C329" s="157" t="s">
        <v>626</v>
      </c>
      <c r="D329" s="157" t="s">
        <v>681</v>
      </c>
      <c r="E329" s="157" t="s">
        <v>682</v>
      </c>
      <c r="F329" s="48" t="s">
        <v>23</v>
      </c>
      <c r="G329" s="9">
        <v>5</v>
      </c>
      <c r="H329" s="158">
        <f>'Engineering Assumptions'!$F$37*0.5*1</f>
        <v>8</v>
      </c>
      <c r="I329" s="158">
        <f>'Engineering Assumptions'!$F$37*1</f>
        <v>16</v>
      </c>
      <c r="J329" s="12">
        <f>'Fleet Pricing'!L329</f>
        <v>331500</v>
      </c>
      <c r="K329" s="12">
        <f>'Maintenance &amp; Repair'!J329+'Maintenance &amp; Repair'!K329</f>
        <v>38760</v>
      </c>
      <c r="L329" s="159">
        <f t="shared" si="45"/>
        <v>0.11692307692307692</v>
      </c>
      <c r="M329" s="9">
        <f>MAX(0,'Engineering Assumptions'!$G$37-G329)</f>
        <v>10</v>
      </c>
      <c r="N329" s="160" t="str">
        <f t="shared" si="46"/>
        <v>KEEP</v>
      </c>
      <c r="O329" s="161" t="str">
        <f t="shared" si="47"/>
        <v>Healthy — continue operating</v>
      </c>
      <c r="P329" s="161" t="str">
        <f>'Engineering Assumptions'!H37</f>
        <v>TATA LPK1618 tipper ~Rs. 14–18M</v>
      </c>
    </row>
    <row r="330" spans="1:16" ht="15" customHeight="1" x14ac:dyDescent="0.3">
      <c r="A330" s="9">
        <v>306</v>
      </c>
      <c r="B330" s="157" t="s">
        <v>625</v>
      </c>
      <c r="C330" s="157" t="s">
        <v>113</v>
      </c>
      <c r="D330" s="157" t="s">
        <v>683</v>
      </c>
      <c r="E330" s="157" t="s">
        <v>684</v>
      </c>
      <c r="F330" s="48" t="s">
        <v>165</v>
      </c>
      <c r="G330" s="9">
        <v>8</v>
      </c>
      <c r="H330" s="158">
        <f>'Engineering Assumptions'!$F$37*0.35*1</f>
        <v>5.6</v>
      </c>
      <c r="I330" s="158">
        <f>'Engineering Assumptions'!$F$37*1</f>
        <v>16</v>
      </c>
      <c r="J330" s="12">
        <f>'Fleet Pricing'!L330</f>
        <v>305000</v>
      </c>
      <c r="K330" s="12">
        <f>'Maintenance &amp; Repair'!J330+'Maintenance &amp; Repair'!K330</f>
        <v>62400</v>
      </c>
      <c r="L330" s="159">
        <f t="shared" si="45"/>
        <v>0.20459016393442622</v>
      </c>
      <c r="M330" s="9">
        <f>MAX(0,'Engineering Assumptions'!$G$37-G330)</f>
        <v>7</v>
      </c>
      <c r="N330" s="160" t="str">
        <f t="shared" si="46"/>
        <v>KEEP</v>
      </c>
      <c r="O330" s="161" t="str">
        <f t="shared" si="47"/>
        <v>Healthy — continue operating</v>
      </c>
      <c r="P330" s="161" t="str">
        <f>'Engineering Assumptions'!H37</f>
        <v>TATA LPK1618 tipper ~Rs. 14–18M</v>
      </c>
    </row>
    <row r="331" spans="1:16" ht="15" customHeight="1" x14ac:dyDescent="0.3">
      <c r="A331" s="9">
        <v>307</v>
      </c>
      <c r="B331" s="157" t="s">
        <v>625</v>
      </c>
      <c r="C331" s="157" t="s">
        <v>113</v>
      </c>
      <c r="D331" s="157" t="s">
        <v>685</v>
      </c>
      <c r="E331" s="157" t="s">
        <v>686</v>
      </c>
      <c r="F331" s="48" t="s">
        <v>165</v>
      </c>
      <c r="G331" s="9">
        <v>8</v>
      </c>
      <c r="H331" s="158">
        <f>'Engineering Assumptions'!$F$37*0.35*1</f>
        <v>5.6</v>
      </c>
      <c r="I331" s="158">
        <f>'Engineering Assumptions'!$F$37*1</f>
        <v>16</v>
      </c>
      <c r="J331" s="12">
        <f>'Fleet Pricing'!L331</f>
        <v>305000</v>
      </c>
      <c r="K331" s="12">
        <f>'Maintenance &amp; Repair'!J331+'Maintenance &amp; Repair'!K331</f>
        <v>62400</v>
      </c>
      <c r="L331" s="159">
        <f t="shared" si="45"/>
        <v>0.20459016393442622</v>
      </c>
      <c r="M331" s="9">
        <f>MAX(0,'Engineering Assumptions'!$G$37-G331)</f>
        <v>7</v>
      </c>
      <c r="N331" s="160" t="str">
        <f t="shared" si="46"/>
        <v>KEEP</v>
      </c>
      <c r="O331" s="161" t="str">
        <f t="shared" si="47"/>
        <v>Healthy — continue operating</v>
      </c>
      <c r="P331" s="161" t="str">
        <f>'Engineering Assumptions'!H37</f>
        <v>TATA LPK1618 tipper ~Rs. 14–18M</v>
      </c>
    </row>
    <row r="332" spans="1:16" ht="15" customHeight="1" x14ac:dyDescent="0.3">
      <c r="A332" s="9">
        <v>308</v>
      </c>
      <c r="B332" s="157" t="s">
        <v>625</v>
      </c>
      <c r="C332" s="157" t="s">
        <v>113</v>
      </c>
      <c r="D332" s="157" t="s">
        <v>687</v>
      </c>
      <c r="E332" s="157" t="s">
        <v>688</v>
      </c>
      <c r="F332" s="48" t="s">
        <v>165</v>
      </c>
      <c r="G332" s="9">
        <v>8</v>
      </c>
      <c r="H332" s="158">
        <f>'Engineering Assumptions'!$F$37*0.35*1</f>
        <v>5.6</v>
      </c>
      <c r="I332" s="158">
        <f>'Engineering Assumptions'!$F$37*1</f>
        <v>16</v>
      </c>
      <c r="J332" s="12">
        <f>'Fleet Pricing'!L332</f>
        <v>305000</v>
      </c>
      <c r="K332" s="12">
        <f>'Maintenance &amp; Repair'!J332+'Maintenance &amp; Repair'!K332</f>
        <v>62400</v>
      </c>
      <c r="L332" s="159">
        <f t="shared" si="45"/>
        <v>0.20459016393442622</v>
      </c>
      <c r="M332" s="9">
        <f>MAX(0,'Engineering Assumptions'!$G$37-G332)</f>
        <v>7</v>
      </c>
      <c r="N332" s="160" t="str">
        <f t="shared" si="46"/>
        <v>KEEP</v>
      </c>
      <c r="O332" s="161" t="str">
        <f t="shared" si="47"/>
        <v>Healthy — continue operating</v>
      </c>
      <c r="P332" s="161" t="str">
        <f>'Engineering Assumptions'!H37</f>
        <v>TATA LPK1618 tipper ~Rs. 14–18M</v>
      </c>
    </row>
    <row r="333" spans="1:16" ht="15" customHeight="1" x14ac:dyDescent="0.3">
      <c r="A333" s="9">
        <v>309</v>
      </c>
      <c r="B333" s="157" t="s">
        <v>625</v>
      </c>
      <c r="C333" s="157" t="s">
        <v>113</v>
      </c>
      <c r="D333" s="157" t="s">
        <v>689</v>
      </c>
      <c r="E333" s="157" t="s">
        <v>690</v>
      </c>
      <c r="F333" s="48" t="s">
        <v>165</v>
      </c>
      <c r="G333" s="9">
        <v>8</v>
      </c>
      <c r="H333" s="158">
        <f>'Engineering Assumptions'!$F$37*0.35*1</f>
        <v>5.6</v>
      </c>
      <c r="I333" s="158">
        <f>'Engineering Assumptions'!$F$37*1</f>
        <v>16</v>
      </c>
      <c r="J333" s="12">
        <f>'Fleet Pricing'!L333</f>
        <v>305000</v>
      </c>
      <c r="K333" s="12">
        <f>'Maintenance &amp; Repair'!J333+'Maintenance &amp; Repair'!K333</f>
        <v>62400</v>
      </c>
      <c r="L333" s="159">
        <f t="shared" si="45"/>
        <v>0.20459016393442622</v>
      </c>
      <c r="M333" s="9">
        <f>MAX(0,'Engineering Assumptions'!$G$37-G333)</f>
        <v>7</v>
      </c>
      <c r="N333" s="160" t="str">
        <f t="shared" si="46"/>
        <v>KEEP</v>
      </c>
      <c r="O333" s="161" t="str">
        <f t="shared" si="47"/>
        <v>Healthy — continue operating</v>
      </c>
      <c r="P333" s="161" t="str">
        <f>'Engineering Assumptions'!H37</f>
        <v>TATA LPK1618 tipper ~Rs. 14–18M</v>
      </c>
    </row>
    <row r="334" spans="1:16" ht="15" customHeight="1" x14ac:dyDescent="0.3">
      <c r="A334" s="9">
        <v>310</v>
      </c>
      <c r="B334" s="157" t="s">
        <v>625</v>
      </c>
      <c r="C334" s="157" t="s">
        <v>626</v>
      </c>
      <c r="D334" s="157" t="s">
        <v>691</v>
      </c>
      <c r="E334" s="157" t="s">
        <v>692</v>
      </c>
      <c r="F334" s="48" t="s">
        <v>165</v>
      </c>
      <c r="G334" s="9">
        <v>8</v>
      </c>
      <c r="H334" s="158">
        <f>'Engineering Assumptions'!$F$37*0.35*1</f>
        <v>5.6</v>
      </c>
      <c r="I334" s="158">
        <f>'Engineering Assumptions'!$F$37*1</f>
        <v>16</v>
      </c>
      <c r="J334" s="12">
        <f>'Fleet Pricing'!L334</f>
        <v>305000</v>
      </c>
      <c r="K334" s="12">
        <f>'Maintenance &amp; Repair'!J334+'Maintenance &amp; Repair'!K334</f>
        <v>62400</v>
      </c>
      <c r="L334" s="159">
        <f t="shared" ref="L334:L365" si="48">IFERROR(K334/J334,0)</f>
        <v>0.20459016393442622</v>
      </c>
      <c r="M334" s="9">
        <f>MAX(0,'Engineering Assumptions'!$G$37-G334)</f>
        <v>7</v>
      </c>
      <c r="N334" s="160" t="str">
        <f t="shared" ref="N334:N365" si="49">IF(G334&gt;=20,"REPLACE",IF(L334&gt;0.6,"REPLACE",IF(G334&gt;=15,"REPLACE",IF(OR(G334&gt;=11,L334&gt;0.4),"MONITOR","KEEP"))))</f>
        <v>KEEP</v>
      </c>
      <c r="O334" s="161" t="str">
        <f t="shared" ref="O334:O365" si="50">IF(G334&gt;=20,"End of life (age &gt; 20)",IF(L334&gt;0.6,"Repairs exceed 60% of revenue",IF(G334&gt;=15,"Age 15+ → replace",IF(OR(G334&gt;=11,L334&gt;0.4),"Watch costs; plan replacement","Healthy — continue operating"))))</f>
        <v>Healthy — continue operating</v>
      </c>
      <c r="P334" s="161" t="str">
        <f>'Engineering Assumptions'!H37</f>
        <v>TATA LPK1618 tipper ~Rs. 14–18M</v>
      </c>
    </row>
    <row r="335" spans="1:16" ht="15" customHeight="1" x14ac:dyDescent="0.3">
      <c r="A335" s="9">
        <v>311</v>
      </c>
      <c r="B335" s="157" t="s">
        <v>625</v>
      </c>
      <c r="C335" s="157" t="s">
        <v>693</v>
      </c>
      <c r="D335" s="157" t="s">
        <v>694</v>
      </c>
      <c r="E335" s="157" t="s">
        <v>695</v>
      </c>
      <c r="F335" s="48" t="s">
        <v>165</v>
      </c>
      <c r="G335" s="9">
        <v>8</v>
      </c>
      <c r="H335" s="158">
        <f>'Engineering Assumptions'!$F$37*0.35*1</f>
        <v>5.6</v>
      </c>
      <c r="I335" s="158">
        <f>'Engineering Assumptions'!$F$37*1</f>
        <v>16</v>
      </c>
      <c r="J335" s="12">
        <f>'Fleet Pricing'!L335</f>
        <v>305000</v>
      </c>
      <c r="K335" s="12">
        <f>'Maintenance &amp; Repair'!J335+'Maintenance &amp; Repair'!K335</f>
        <v>62400</v>
      </c>
      <c r="L335" s="159">
        <f t="shared" si="48"/>
        <v>0.20459016393442622</v>
      </c>
      <c r="M335" s="9">
        <f>MAX(0,'Engineering Assumptions'!$G$37-G335)</f>
        <v>7</v>
      </c>
      <c r="N335" s="160" t="str">
        <f t="shared" si="49"/>
        <v>KEEP</v>
      </c>
      <c r="O335" s="161" t="str">
        <f t="shared" si="50"/>
        <v>Healthy — continue operating</v>
      </c>
      <c r="P335" s="161" t="str">
        <f>'Engineering Assumptions'!H37</f>
        <v>TATA LPK1618 tipper ~Rs. 14–18M</v>
      </c>
    </row>
    <row r="336" spans="1:16" ht="15" customHeight="1" x14ac:dyDescent="0.3">
      <c r="A336" s="9">
        <v>312</v>
      </c>
      <c r="B336" s="157" t="s">
        <v>625</v>
      </c>
      <c r="C336" s="157" t="s">
        <v>693</v>
      </c>
      <c r="D336" s="157" t="s">
        <v>696</v>
      </c>
      <c r="E336" s="157" t="s">
        <v>697</v>
      </c>
      <c r="F336" s="48" t="s">
        <v>165</v>
      </c>
      <c r="G336" s="9">
        <v>8</v>
      </c>
      <c r="H336" s="158">
        <f>'Engineering Assumptions'!$F$37*0.35*1</f>
        <v>5.6</v>
      </c>
      <c r="I336" s="158">
        <f>'Engineering Assumptions'!$F$37*1</f>
        <v>16</v>
      </c>
      <c r="J336" s="12">
        <f>'Fleet Pricing'!L336</f>
        <v>305000</v>
      </c>
      <c r="K336" s="12">
        <f>'Maintenance &amp; Repair'!J336+'Maintenance &amp; Repair'!K336</f>
        <v>62400</v>
      </c>
      <c r="L336" s="159">
        <f t="shared" si="48"/>
        <v>0.20459016393442622</v>
      </c>
      <c r="M336" s="9">
        <f>MAX(0,'Engineering Assumptions'!$G$37-G336)</f>
        <v>7</v>
      </c>
      <c r="N336" s="160" t="str">
        <f t="shared" si="49"/>
        <v>KEEP</v>
      </c>
      <c r="O336" s="161" t="str">
        <f t="shared" si="50"/>
        <v>Healthy — continue operating</v>
      </c>
      <c r="P336" s="161" t="str">
        <f>'Engineering Assumptions'!H37</f>
        <v>TATA LPK1618 tipper ~Rs. 14–18M</v>
      </c>
    </row>
    <row r="337" spans="1:16" ht="15" customHeight="1" x14ac:dyDescent="0.3">
      <c r="A337" s="9">
        <v>313</v>
      </c>
      <c r="B337" s="157" t="s">
        <v>625</v>
      </c>
      <c r="C337" s="157" t="s">
        <v>693</v>
      </c>
      <c r="D337" s="157" t="s">
        <v>698</v>
      </c>
      <c r="E337" s="157" t="s">
        <v>699</v>
      </c>
      <c r="F337" s="48" t="s">
        <v>165</v>
      </c>
      <c r="G337" s="9">
        <v>8</v>
      </c>
      <c r="H337" s="158">
        <f>'Engineering Assumptions'!$F$37*0.35*1</f>
        <v>5.6</v>
      </c>
      <c r="I337" s="158">
        <f>'Engineering Assumptions'!$F$37*1</f>
        <v>16</v>
      </c>
      <c r="J337" s="12">
        <f>'Fleet Pricing'!L337</f>
        <v>305000</v>
      </c>
      <c r="K337" s="12">
        <f>'Maintenance &amp; Repair'!J337+'Maintenance &amp; Repair'!K337</f>
        <v>62400</v>
      </c>
      <c r="L337" s="159">
        <f t="shared" si="48"/>
        <v>0.20459016393442622</v>
      </c>
      <c r="M337" s="9">
        <f>MAX(0,'Engineering Assumptions'!$G$37-G337)</f>
        <v>7</v>
      </c>
      <c r="N337" s="160" t="str">
        <f t="shared" si="49"/>
        <v>KEEP</v>
      </c>
      <c r="O337" s="161" t="str">
        <f t="shared" si="50"/>
        <v>Healthy — continue operating</v>
      </c>
      <c r="P337" s="161" t="str">
        <f>'Engineering Assumptions'!H37</f>
        <v>TATA LPK1618 tipper ~Rs. 14–18M</v>
      </c>
    </row>
    <row r="338" spans="1:16" ht="15" customHeight="1" x14ac:dyDescent="0.3">
      <c r="A338" s="9">
        <v>314</v>
      </c>
      <c r="B338" s="157" t="s">
        <v>625</v>
      </c>
      <c r="C338" s="157" t="s">
        <v>693</v>
      </c>
      <c r="D338" s="157" t="s">
        <v>700</v>
      </c>
      <c r="E338" s="157" t="s">
        <v>701</v>
      </c>
      <c r="F338" s="48" t="s">
        <v>165</v>
      </c>
      <c r="G338" s="9">
        <v>8</v>
      </c>
      <c r="H338" s="158">
        <f>'Engineering Assumptions'!$F$37*0.35*1</f>
        <v>5.6</v>
      </c>
      <c r="I338" s="158">
        <f>'Engineering Assumptions'!$F$37*1</f>
        <v>16</v>
      </c>
      <c r="J338" s="12">
        <f>'Fleet Pricing'!L338</f>
        <v>305000</v>
      </c>
      <c r="K338" s="12">
        <f>'Maintenance &amp; Repair'!J338+'Maintenance &amp; Repair'!K338</f>
        <v>62400</v>
      </c>
      <c r="L338" s="159">
        <f t="shared" si="48"/>
        <v>0.20459016393442622</v>
      </c>
      <c r="M338" s="9">
        <f>MAX(0,'Engineering Assumptions'!$G$37-G338)</f>
        <v>7</v>
      </c>
      <c r="N338" s="160" t="str">
        <f t="shared" si="49"/>
        <v>KEEP</v>
      </c>
      <c r="O338" s="161" t="str">
        <f t="shared" si="50"/>
        <v>Healthy — continue operating</v>
      </c>
      <c r="P338" s="161" t="str">
        <f>'Engineering Assumptions'!H37</f>
        <v>TATA LPK1618 tipper ~Rs. 14–18M</v>
      </c>
    </row>
    <row r="339" spans="1:16" ht="15" customHeight="1" x14ac:dyDescent="0.3">
      <c r="A339" s="9">
        <v>315</v>
      </c>
      <c r="B339" s="157" t="s">
        <v>625</v>
      </c>
      <c r="C339" s="157" t="s">
        <v>693</v>
      </c>
      <c r="D339" s="157" t="s">
        <v>702</v>
      </c>
      <c r="E339" s="157" t="s">
        <v>703</v>
      </c>
      <c r="F339" s="48" t="s">
        <v>165</v>
      </c>
      <c r="G339" s="9">
        <v>8</v>
      </c>
      <c r="H339" s="158">
        <f>'Engineering Assumptions'!$F$37*0.35*1</f>
        <v>5.6</v>
      </c>
      <c r="I339" s="158">
        <f>'Engineering Assumptions'!$F$37*1</f>
        <v>16</v>
      </c>
      <c r="J339" s="12">
        <f>'Fleet Pricing'!L339</f>
        <v>305000</v>
      </c>
      <c r="K339" s="12">
        <f>'Maintenance &amp; Repair'!J339+'Maintenance &amp; Repair'!K339</f>
        <v>62400</v>
      </c>
      <c r="L339" s="159">
        <f t="shared" si="48"/>
        <v>0.20459016393442622</v>
      </c>
      <c r="M339" s="9">
        <f>MAX(0,'Engineering Assumptions'!$G$37-G339)</f>
        <v>7</v>
      </c>
      <c r="N339" s="160" t="str">
        <f t="shared" si="49"/>
        <v>KEEP</v>
      </c>
      <c r="O339" s="161" t="str">
        <f t="shared" si="50"/>
        <v>Healthy — continue operating</v>
      </c>
      <c r="P339" s="161" t="str">
        <f>'Engineering Assumptions'!H37</f>
        <v>TATA LPK1618 tipper ~Rs. 14–18M</v>
      </c>
    </row>
    <row r="340" spans="1:16" ht="15" customHeight="1" x14ac:dyDescent="0.3">
      <c r="A340" s="9">
        <v>316</v>
      </c>
      <c r="B340" s="157" t="s">
        <v>625</v>
      </c>
      <c r="C340" s="157" t="s">
        <v>693</v>
      </c>
      <c r="D340" s="157" t="s">
        <v>704</v>
      </c>
      <c r="E340" s="157" t="s">
        <v>705</v>
      </c>
      <c r="F340" s="48" t="s">
        <v>165</v>
      </c>
      <c r="G340" s="9">
        <v>8</v>
      </c>
      <c r="H340" s="158">
        <f>'Engineering Assumptions'!$F$37*0.35*1</f>
        <v>5.6</v>
      </c>
      <c r="I340" s="158">
        <f>'Engineering Assumptions'!$F$37*1</f>
        <v>16</v>
      </c>
      <c r="J340" s="12">
        <f>'Fleet Pricing'!L340</f>
        <v>305000</v>
      </c>
      <c r="K340" s="12">
        <f>'Maintenance &amp; Repair'!J340+'Maintenance &amp; Repair'!K340</f>
        <v>62400</v>
      </c>
      <c r="L340" s="159">
        <f t="shared" si="48"/>
        <v>0.20459016393442622</v>
      </c>
      <c r="M340" s="9">
        <f>MAX(0,'Engineering Assumptions'!$G$37-G340)</f>
        <v>7</v>
      </c>
      <c r="N340" s="160" t="str">
        <f t="shared" si="49"/>
        <v>KEEP</v>
      </c>
      <c r="O340" s="161" t="str">
        <f t="shared" si="50"/>
        <v>Healthy — continue operating</v>
      </c>
      <c r="P340" s="161" t="str">
        <f>'Engineering Assumptions'!H37</f>
        <v>TATA LPK1618 tipper ~Rs. 14–18M</v>
      </c>
    </row>
    <row r="341" spans="1:16" ht="15" customHeight="1" x14ac:dyDescent="0.3">
      <c r="A341" s="9">
        <v>317</v>
      </c>
      <c r="B341" s="157" t="s">
        <v>625</v>
      </c>
      <c r="C341" s="157" t="s">
        <v>693</v>
      </c>
      <c r="D341" s="157" t="s">
        <v>706</v>
      </c>
      <c r="E341" s="157" t="s">
        <v>707</v>
      </c>
      <c r="F341" s="48" t="s">
        <v>165</v>
      </c>
      <c r="G341" s="9">
        <v>8</v>
      </c>
      <c r="H341" s="158">
        <f>'Engineering Assumptions'!$F$37*0.35*1</f>
        <v>5.6</v>
      </c>
      <c r="I341" s="158">
        <f>'Engineering Assumptions'!$F$37*1</f>
        <v>16</v>
      </c>
      <c r="J341" s="12">
        <f>'Fleet Pricing'!L341</f>
        <v>305000</v>
      </c>
      <c r="K341" s="12">
        <f>'Maintenance &amp; Repair'!J341+'Maintenance &amp; Repair'!K341</f>
        <v>62400</v>
      </c>
      <c r="L341" s="159">
        <f t="shared" si="48"/>
        <v>0.20459016393442622</v>
      </c>
      <c r="M341" s="9">
        <f>MAX(0,'Engineering Assumptions'!$G$37-G341)</f>
        <v>7</v>
      </c>
      <c r="N341" s="160" t="str">
        <f t="shared" si="49"/>
        <v>KEEP</v>
      </c>
      <c r="O341" s="161" t="str">
        <f t="shared" si="50"/>
        <v>Healthy — continue operating</v>
      </c>
      <c r="P341" s="161" t="str">
        <f>'Engineering Assumptions'!H37</f>
        <v>TATA LPK1618 tipper ~Rs. 14–18M</v>
      </c>
    </row>
    <row r="342" spans="1:16" ht="15" customHeight="1" x14ac:dyDescent="0.3">
      <c r="A342" s="9">
        <v>318</v>
      </c>
      <c r="B342" s="157" t="s">
        <v>625</v>
      </c>
      <c r="C342" s="157" t="s">
        <v>693</v>
      </c>
      <c r="D342" s="157" t="s">
        <v>708</v>
      </c>
      <c r="E342" s="157" t="s">
        <v>709</v>
      </c>
      <c r="F342" s="48" t="s">
        <v>165</v>
      </c>
      <c r="G342" s="9">
        <v>8</v>
      </c>
      <c r="H342" s="158">
        <f>'Engineering Assumptions'!$F$37*0.35*1</f>
        <v>5.6</v>
      </c>
      <c r="I342" s="158">
        <f>'Engineering Assumptions'!$F$37*1</f>
        <v>16</v>
      </c>
      <c r="J342" s="12">
        <f>'Fleet Pricing'!L342</f>
        <v>305000</v>
      </c>
      <c r="K342" s="12">
        <f>'Maintenance &amp; Repair'!J342+'Maintenance &amp; Repair'!K342</f>
        <v>62400</v>
      </c>
      <c r="L342" s="159">
        <f t="shared" si="48"/>
        <v>0.20459016393442622</v>
      </c>
      <c r="M342" s="9">
        <f>MAX(0,'Engineering Assumptions'!$G$37-G342)</f>
        <v>7</v>
      </c>
      <c r="N342" s="160" t="str">
        <f t="shared" si="49"/>
        <v>KEEP</v>
      </c>
      <c r="O342" s="161" t="str">
        <f t="shared" si="50"/>
        <v>Healthy — continue operating</v>
      </c>
      <c r="P342" s="161" t="str">
        <f>'Engineering Assumptions'!H37</f>
        <v>TATA LPK1618 tipper ~Rs. 14–18M</v>
      </c>
    </row>
    <row r="343" spans="1:16" ht="15" customHeight="1" x14ac:dyDescent="0.3">
      <c r="A343" s="9">
        <v>319</v>
      </c>
      <c r="B343" s="157" t="s">
        <v>625</v>
      </c>
      <c r="C343" s="157" t="s">
        <v>693</v>
      </c>
      <c r="D343" s="157" t="s">
        <v>710</v>
      </c>
      <c r="E343" s="157" t="s">
        <v>711</v>
      </c>
      <c r="F343" s="48" t="s">
        <v>165</v>
      </c>
      <c r="G343" s="9">
        <v>8</v>
      </c>
      <c r="H343" s="158">
        <f>'Engineering Assumptions'!$F$37*0.35*1</f>
        <v>5.6</v>
      </c>
      <c r="I343" s="158">
        <f>'Engineering Assumptions'!$F$37*1</f>
        <v>16</v>
      </c>
      <c r="J343" s="12">
        <f>'Fleet Pricing'!L343</f>
        <v>305000</v>
      </c>
      <c r="K343" s="12">
        <f>'Maintenance &amp; Repair'!J343+'Maintenance &amp; Repair'!K343</f>
        <v>62400</v>
      </c>
      <c r="L343" s="159">
        <f t="shared" si="48"/>
        <v>0.20459016393442622</v>
      </c>
      <c r="M343" s="9">
        <f>MAX(0,'Engineering Assumptions'!$G$37-G343)</f>
        <v>7</v>
      </c>
      <c r="N343" s="160" t="str">
        <f t="shared" si="49"/>
        <v>KEEP</v>
      </c>
      <c r="O343" s="161" t="str">
        <f t="shared" si="50"/>
        <v>Healthy — continue operating</v>
      </c>
      <c r="P343" s="161" t="str">
        <f>'Engineering Assumptions'!H37</f>
        <v>TATA LPK1618 tipper ~Rs. 14–18M</v>
      </c>
    </row>
    <row r="344" spans="1:16" ht="15" customHeight="1" x14ac:dyDescent="0.3">
      <c r="A344" s="9">
        <v>320</v>
      </c>
      <c r="B344" s="157" t="s">
        <v>625</v>
      </c>
      <c r="C344" s="157" t="s">
        <v>693</v>
      </c>
      <c r="D344" s="157" t="s">
        <v>712</v>
      </c>
      <c r="E344" s="157" t="s">
        <v>713</v>
      </c>
      <c r="F344" s="48" t="s">
        <v>165</v>
      </c>
      <c r="G344" s="9">
        <v>8</v>
      </c>
      <c r="H344" s="158">
        <f>'Engineering Assumptions'!$F$37*0.35*1</f>
        <v>5.6</v>
      </c>
      <c r="I344" s="158">
        <f>'Engineering Assumptions'!$F$37*1</f>
        <v>16</v>
      </c>
      <c r="J344" s="12">
        <f>'Fleet Pricing'!L344</f>
        <v>305000</v>
      </c>
      <c r="K344" s="12">
        <f>'Maintenance &amp; Repair'!J344+'Maintenance &amp; Repair'!K344</f>
        <v>62400</v>
      </c>
      <c r="L344" s="159">
        <f t="shared" si="48"/>
        <v>0.20459016393442622</v>
      </c>
      <c r="M344" s="9">
        <f>MAX(0,'Engineering Assumptions'!$G$37-G344)</f>
        <v>7</v>
      </c>
      <c r="N344" s="160" t="str">
        <f t="shared" si="49"/>
        <v>KEEP</v>
      </c>
      <c r="O344" s="161" t="str">
        <f t="shared" si="50"/>
        <v>Healthy — continue operating</v>
      </c>
      <c r="P344" s="161" t="str">
        <f>'Engineering Assumptions'!H37</f>
        <v>TATA LPK1618 tipper ~Rs. 14–18M</v>
      </c>
    </row>
    <row r="345" spans="1:16" ht="15" customHeight="1" x14ac:dyDescent="0.3">
      <c r="A345" s="9">
        <v>321</v>
      </c>
      <c r="B345" s="157" t="s">
        <v>625</v>
      </c>
      <c r="C345" s="157" t="s">
        <v>693</v>
      </c>
      <c r="D345" s="157" t="s">
        <v>714</v>
      </c>
      <c r="E345" s="157" t="s">
        <v>715</v>
      </c>
      <c r="F345" s="48" t="s">
        <v>165</v>
      </c>
      <c r="G345" s="9">
        <v>8</v>
      </c>
      <c r="H345" s="158">
        <f>'Engineering Assumptions'!$F$37*0.35*1</f>
        <v>5.6</v>
      </c>
      <c r="I345" s="158">
        <f>'Engineering Assumptions'!$F$37*1</f>
        <v>16</v>
      </c>
      <c r="J345" s="12">
        <f>'Fleet Pricing'!L345</f>
        <v>305000</v>
      </c>
      <c r="K345" s="12">
        <f>'Maintenance &amp; Repair'!J345+'Maintenance &amp; Repair'!K345</f>
        <v>62400</v>
      </c>
      <c r="L345" s="159">
        <f t="shared" si="48"/>
        <v>0.20459016393442622</v>
      </c>
      <c r="M345" s="9">
        <f>MAX(0,'Engineering Assumptions'!$G$37-G345)</f>
        <v>7</v>
      </c>
      <c r="N345" s="160" t="str">
        <f t="shared" si="49"/>
        <v>KEEP</v>
      </c>
      <c r="O345" s="161" t="str">
        <f t="shared" si="50"/>
        <v>Healthy — continue operating</v>
      </c>
      <c r="P345" s="161" t="str">
        <f>'Engineering Assumptions'!H37</f>
        <v>TATA LPK1618 tipper ~Rs. 14–18M</v>
      </c>
    </row>
    <row r="346" spans="1:16" ht="15" customHeight="1" x14ac:dyDescent="0.3">
      <c r="A346" s="9">
        <v>322</v>
      </c>
      <c r="B346" s="157" t="s">
        <v>625</v>
      </c>
      <c r="C346" s="157" t="s">
        <v>716</v>
      </c>
      <c r="D346" s="157" t="s">
        <v>717</v>
      </c>
      <c r="E346" s="157" t="s">
        <v>718</v>
      </c>
      <c r="F346" s="48" t="s">
        <v>116</v>
      </c>
      <c r="G346" s="9">
        <v>9</v>
      </c>
      <c r="H346" s="158">
        <f>'Engineering Assumptions'!$F$37*0.22*1</f>
        <v>3.52</v>
      </c>
      <c r="I346" s="158">
        <f>'Engineering Assumptions'!$F$37*1</f>
        <v>16</v>
      </c>
      <c r="J346" s="12">
        <f>'Fleet Pricing'!L346</f>
        <v>305000</v>
      </c>
      <c r="K346" s="12">
        <f>'Maintenance &amp; Repair'!J346+'Maintenance &amp; Repair'!K346</f>
        <v>62400</v>
      </c>
      <c r="L346" s="159">
        <f t="shared" si="48"/>
        <v>0.20459016393442622</v>
      </c>
      <c r="M346" s="9">
        <f>MAX(0,'Engineering Assumptions'!$G$37-G346)</f>
        <v>6</v>
      </c>
      <c r="N346" s="160" t="str">
        <f t="shared" si="49"/>
        <v>KEEP</v>
      </c>
      <c r="O346" s="161" t="str">
        <f t="shared" si="50"/>
        <v>Healthy — continue operating</v>
      </c>
      <c r="P346" s="161" t="str">
        <f>'Engineering Assumptions'!H37</f>
        <v>TATA LPK1618 tipper ~Rs. 14–18M</v>
      </c>
    </row>
    <row r="347" spans="1:16" ht="15" customHeight="1" x14ac:dyDescent="0.3">
      <c r="A347" s="9">
        <v>323</v>
      </c>
      <c r="B347" s="157" t="s">
        <v>625</v>
      </c>
      <c r="C347" s="157" t="s">
        <v>719</v>
      </c>
      <c r="D347" s="157" t="s">
        <v>720</v>
      </c>
      <c r="E347" s="157" t="s">
        <v>721</v>
      </c>
      <c r="F347" s="48" t="s">
        <v>49</v>
      </c>
      <c r="G347" s="9">
        <v>10</v>
      </c>
      <c r="H347" s="158">
        <f>'Engineering Assumptions'!$F$37*0.22*1</f>
        <v>3.52</v>
      </c>
      <c r="I347" s="158">
        <f>'Engineering Assumptions'!$F$37*1</f>
        <v>16</v>
      </c>
      <c r="J347" s="12">
        <f>'Fleet Pricing'!L347</f>
        <v>305000</v>
      </c>
      <c r="K347" s="12">
        <f>'Maintenance &amp; Repair'!J347+'Maintenance &amp; Repair'!K347</f>
        <v>62400</v>
      </c>
      <c r="L347" s="159">
        <f t="shared" si="48"/>
        <v>0.20459016393442622</v>
      </c>
      <c r="M347" s="9">
        <f>MAX(0,'Engineering Assumptions'!$G$37-G347)</f>
        <v>5</v>
      </c>
      <c r="N347" s="160" t="str">
        <f t="shared" si="49"/>
        <v>KEEP</v>
      </c>
      <c r="O347" s="161" t="str">
        <f t="shared" si="50"/>
        <v>Healthy — continue operating</v>
      </c>
      <c r="P347" s="161" t="str">
        <f>'Engineering Assumptions'!H37</f>
        <v>TATA LPK1618 tipper ~Rs. 14–18M</v>
      </c>
    </row>
    <row r="348" spans="1:16" ht="15" customHeight="1" x14ac:dyDescent="0.3">
      <c r="A348" s="9">
        <v>324</v>
      </c>
      <c r="B348" s="157" t="s">
        <v>625</v>
      </c>
      <c r="C348" s="157" t="s">
        <v>719</v>
      </c>
      <c r="D348" s="157" t="s">
        <v>722</v>
      </c>
      <c r="E348" s="157" t="s">
        <v>723</v>
      </c>
      <c r="F348" s="48" t="s">
        <v>49</v>
      </c>
      <c r="G348" s="9">
        <v>10</v>
      </c>
      <c r="H348" s="158">
        <f>'Engineering Assumptions'!$F$37*0.22*1</f>
        <v>3.52</v>
      </c>
      <c r="I348" s="158">
        <f>'Engineering Assumptions'!$F$37*1</f>
        <v>16</v>
      </c>
      <c r="J348" s="12">
        <f>'Fleet Pricing'!L348</f>
        <v>305000</v>
      </c>
      <c r="K348" s="12">
        <f>'Maintenance &amp; Repair'!J348+'Maintenance &amp; Repair'!K348</f>
        <v>62400</v>
      </c>
      <c r="L348" s="159">
        <f t="shared" si="48"/>
        <v>0.20459016393442622</v>
      </c>
      <c r="M348" s="9">
        <f>MAX(0,'Engineering Assumptions'!$G$37-G348)</f>
        <v>5</v>
      </c>
      <c r="N348" s="160" t="str">
        <f t="shared" si="49"/>
        <v>KEEP</v>
      </c>
      <c r="O348" s="161" t="str">
        <f t="shared" si="50"/>
        <v>Healthy — continue operating</v>
      </c>
      <c r="P348" s="161" t="str">
        <f>'Engineering Assumptions'!H37</f>
        <v>TATA LPK1618 tipper ~Rs. 14–18M</v>
      </c>
    </row>
    <row r="349" spans="1:16" ht="15" customHeight="1" x14ac:dyDescent="0.3">
      <c r="A349" s="9">
        <v>325</v>
      </c>
      <c r="B349" s="157" t="s">
        <v>625</v>
      </c>
      <c r="C349" s="157" t="s">
        <v>719</v>
      </c>
      <c r="D349" s="157" t="s">
        <v>724</v>
      </c>
      <c r="E349" s="157" t="s">
        <v>725</v>
      </c>
      <c r="F349" s="48" t="s">
        <v>49</v>
      </c>
      <c r="G349" s="9">
        <v>10</v>
      </c>
      <c r="H349" s="158">
        <f>'Engineering Assumptions'!$F$37*0.22*1</f>
        <v>3.52</v>
      </c>
      <c r="I349" s="158">
        <f>'Engineering Assumptions'!$F$37*1</f>
        <v>16</v>
      </c>
      <c r="J349" s="12">
        <f>'Fleet Pricing'!L349</f>
        <v>305000</v>
      </c>
      <c r="K349" s="12">
        <f>'Maintenance &amp; Repair'!J349+'Maintenance &amp; Repair'!K349</f>
        <v>62400</v>
      </c>
      <c r="L349" s="159">
        <f t="shared" si="48"/>
        <v>0.20459016393442622</v>
      </c>
      <c r="M349" s="9">
        <f>MAX(0,'Engineering Assumptions'!$G$37-G349)</f>
        <v>5</v>
      </c>
      <c r="N349" s="160" t="str">
        <f t="shared" si="49"/>
        <v>KEEP</v>
      </c>
      <c r="O349" s="161" t="str">
        <f t="shared" si="50"/>
        <v>Healthy — continue operating</v>
      </c>
      <c r="P349" s="161" t="str">
        <f>'Engineering Assumptions'!H37</f>
        <v>TATA LPK1618 tipper ~Rs. 14–18M</v>
      </c>
    </row>
    <row r="350" spans="1:16" ht="15" customHeight="1" x14ac:dyDescent="0.3">
      <c r="A350" s="9">
        <v>326</v>
      </c>
      <c r="B350" s="157" t="s">
        <v>625</v>
      </c>
      <c r="C350" s="157" t="s">
        <v>719</v>
      </c>
      <c r="D350" s="157" t="s">
        <v>726</v>
      </c>
      <c r="E350" s="157" t="s">
        <v>727</v>
      </c>
      <c r="F350" s="48" t="s">
        <v>49</v>
      </c>
      <c r="G350" s="9">
        <v>10</v>
      </c>
      <c r="H350" s="158">
        <f>'Engineering Assumptions'!$F$37*0.22*1</f>
        <v>3.52</v>
      </c>
      <c r="I350" s="158">
        <f>'Engineering Assumptions'!$F$37*1</f>
        <v>16</v>
      </c>
      <c r="J350" s="12">
        <f>'Fleet Pricing'!L350</f>
        <v>305000</v>
      </c>
      <c r="K350" s="12">
        <f>'Maintenance &amp; Repair'!J350+'Maintenance &amp; Repair'!K350</f>
        <v>62400</v>
      </c>
      <c r="L350" s="159">
        <f t="shared" si="48"/>
        <v>0.20459016393442622</v>
      </c>
      <c r="M350" s="9">
        <f>MAX(0,'Engineering Assumptions'!$G$37-G350)</f>
        <v>5</v>
      </c>
      <c r="N350" s="160" t="str">
        <f t="shared" si="49"/>
        <v>KEEP</v>
      </c>
      <c r="O350" s="161" t="str">
        <f t="shared" si="50"/>
        <v>Healthy — continue operating</v>
      </c>
      <c r="P350" s="161" t="str">
        <f>'Engineering Assumptions'!H37</f>
        <v>TATA LPK1618 tipper ~Rs. 14–18M</v>
      </c>
    </row>
    <row r="351" spans="1:16" ht="15" customHeight="1" x14ac:dyDescent="0.3">
      <c r="A351" s="9">
        <v>327</v>
      </c>
      <c r="B351" s="157" t="s">
        <v>625</v>
      </c>
      <c r="C351" s="157" t="s">
        <v>719</v>
      </c>
      <c r="D351" s="157" t="s">
        <v>728</v>
      </c>
      <c r="E351" s="157" t="s">
        <v>729</v>
      </c>
      <c r="F351" s="48" t="s">
        <v>49</v>
      </c>
      <c r="G351" s="9">
        <v>10</v>
      </c>
      <c r="H351" s="158">
        <f>'Engineering Assumptions'!$F$37*0.22*1</f>
        <v>3.52</v>
      </c>
      <c r="I351" s="158">
        <f>'Engineering Assumptions'!$F$37*1</f>
        <v>16</v>
      </c>
      <c r="J351" s="12">
        <f>'Fleet Pricing'!L351</f>
        <v>305000</v>
      </c>
      <c r="K351" s="12">
        <f>'Maintenance &amp; Repair'!J351+'Maintenance &amp; Repair'!K351</f>
        <v>62400</v>
      </c>
      <c r="L351" s="159">
        <f t="shared" si="48"/>
        <v>0.20459016393442622</v>
      </c>
      <c r="M351" s="9">
        <f>MAX(0,'Engineering Assumptions'!$G$37-G351)</f>
        <v>5</v>
      </c>
      <c r="N351" s="160" t="str">
        <f t="shared" si="49"/>
        <v>KEEP</v>
      </c>
      <c r="O351" s="161" t="str">
        <f t="shared" si="50"/>
        <v>Healthy — continue operating</v>
      </c>
      <c r="P351" s="161" t="str">
        <f>'Engineering Assumptions'!H37</f>
        <v>TATA LPK1618 tipper ~Rs. 14–18M</v>
      </c>
    </row>
    <row r="352" spans="1:16" ht="15" customHeight="1" x14ac:dyDescent="0.3">
      <c r="A352" s="9">
        <v>328</v>
      </c>
      <c r="B352" s="157" t="s">
        <v>625</v>
      </c>
      <c r="C352" s="157" t="s">
        <v>719</v>
      </c>
      <c r="D352" s="157" t="s">
        <v>730</v>
      </c>
      <c r="E352" s="157" t="s">
        <v>731</v>
      </c>
      <c r="F352" s="48" t="s">
        <v>49</v>
      </c>
      <c r="G352" s="9">
        <v>10</v>
      </c>
      <c r="H352" s="158">
        <f>'Engineering Assumptions'!$F$37*0.22*1</f>
        <v>3.52</v>
      </c>
      <c r="I352" s="158">
        <f>'Engineering Assumptions'!$F$37*1</f>
        <v>16</v>
      </c>
      <c r="J352" s="12">
        <f>'Fleet Pricing'!L352</f>
        <v>305000</v>
      </c>
      <c r="K352" s="12">
        <f>'Maintenance &amp; Repair'!J352+'Maintenance &amp; Repair'!K352</f>
        <v>62400</v>
      </c>
      <c r="L352" s="159">
        <f t="shared" si="48"/>
        <v>0.20459016393442622</v>
      </c>
      <c r="M352" s="9">
        <f>MAX(0,'Engineering Assumptions'!$G$37-G352)</f>
        <v>5</v>
      </c>
      <c r="N352" s="160" t="str">
        <f t="shared" si="49"/>
        <v>KEEP</v>
      </c>
      <c r="O352" s="161" t="str">
        <f t="shared" si="50"/>
        <v>Healthy — continue operating</v>
      </c>
      <c r="P352" s="161" t="str">
        <f>'Engineering Assumptions'!H37</f>
        <v>TATA LPK1618 tipper ~Rs. 14–18M</v>
      </c>
    </row>
    <row r="353" spans="1:16" ht="15" customHeight="1" x14ac:dyDescent="0.3">
      <c r="A353" s="9">
        <v>329</v>
      </c>
      <c r="B353" s="157" t="s">
        <v>625</v>
      </c>
      <c r="C353" s="157" t="s">
        <v>719</v>
      </c>
      <c r="D353" s="157" t="s">
        <v>732</v>
      </c>
      <c r="E353" s="157" t="s">
        <v>733</v>
      </c>
      <c r="F353" s="48" t="s">
        <v>49</v>
      </c>
      <c r="G353" s="9">
        <v>10</v>
      </c>
      <c r="H353" s="158">
        <f>'Engineering Assumptions'!$F$37*0.22*1</f>
        <v>3.52</v>
      </c>
      <c r="I353" s="158">
        <f>'Engineering Assumptions'!$F$37*1</f>
        <v>16</v>
      </c>
      <c r="J353" s="12">
        <f>'Fleet Pricing'!L353</f>
        <v>305000</v>
      </c>
      <c r="K353" s="12">
        <f>'Maintenance &amp; Repair'!J353+'Maintenance &amp; Repair'!K353</f>
        <v>62400</v>
      </c>
      <c r="L353" s="159">
        <f t="shared" si="48"/>
        <v>0.20459016393442622</v>
      </c>
      <c r="M353" s="9">
        <f>MAX(0,'Engineering Assumptions'!$G$37-G353)</f>
        <v>5</v>
      </c>
      <c r="N353" s="160" t="str">
        <f t="shared" si="49"/>
        <v>KEEP</v>
      </c>
      <c r="O353" s="161" t="str">
        <f t="shared" si="50"/>
        <v>Healthy — continue operating</v>
      </c>
      <c r="P353" s="161" t="str">
        <f>'Engineering Assumptions'!H37</f>
        <v>TATA LPK1618 tipper ~Rs. 14–18M</v>
      </c>
    </row>
    <row r="354" spans="1:16" ht="15" customHeight="1" x14ac:dyDescent="0.3">
      <c r="A354" s="9">
        <v>330</v>
      </c>
      <c r="B354" s="157" t="s">
        <v>625</v>
      </c>
      <c r="C354" s="157" t="s">
        <v>719</v>
      </c>
      <c r="D354" s="157" t="s">
        <v>734</v>
      </c>
      <c r="E354" s="157" t="s">
        <v>735</v>
      </c>
      <c r="F354" s="48" t="s">
        <v>49</v>
      </c>
      <c r="G354" s="9">
        <v>10</v>
      </c>
      <c r="H354" s="158">
        <f>'Engineering Assumptions'!$F$37*0.22*1</f>
        <v>3.52</v>
      </c>
      <c r="I354" s="158">
        <f>'Engineering Assumptions'!$F$37*1</f>
        <v>16</v>
      </c>
      <c r="J354" s="12">
        <f>'Fleet Pricing'!L354</f>
        <v>305000</v>
      </c>
      <c r="K354" s="12">
        <f>'Maintenance &amp; Repair'!J354+'Maintenance &amp; Repair'!K354</f>
        <v>62400</v>
      </c>
      <c r="L354" s="159">
        <f t="shared" si="48"/>
        <v>0.20459016393442622</v>
      </c>
      <c r="M354" s="9">
        <f>MAX(0,'Engineering Assumptions'!$G$37-G354)</f>
        <v>5</v>
      </c>
      <c r="N354" s="160" t="str">
        <f t="shared" si="49"/>
        <v>KEEP</v>
      </c>
      <c r="O354" s="161" t="str">
        <f t="shared" si="50"/>
        <v>Healthy — continue operating</v>
      </c>
      <c r="P354" s="161" t="str">
        <f>'Engineering Assumptions'!H37</f>
        <v>TATA LPK1618 tipper ~Rs. 14–18M</v>
      </c>
    </row>
    <row r="355" spans="1:16" ht="15" customHeight="1" x14ac:dyDescent="0.3">
      <c r="A355" s="9">
        <v>331</v>
      </c>
      <c r="B355" s="157" t="s">
        <v>625</v>
      </c>
      <c r="C355" s="157" t="s">
        <v>719</v>
      </c>
      <c r="D355" s="157" t="s">
        <v>736</v>
      </c>
      <c r="E355" s="157" t="s">
        <v>737</v>
      </c>
      <c r="F355" s="48" t="s">
        <v>49</v>
      </c>
      <c r="G355" s="9">
        <v>10</v>
      </c>
      <c r="H355" s="158">
        <f>'Engineering Assumptions'!$F$37*0.22*1</f>
        <v>3.52</v>
      </c>
      <c r="I355" s="158">
        <f>'Engineering Assumptions'!$F$37*1</f>
        <v>16</v>
      </c>
      <c r="J355" s="12">
        <f>'Fleet Pricing'!L355</f>
        <v>305000</v>
      </c>
      <c r="K355" s="12">
        <f>'Maintenance &amp; Repair'!J355+'Maintenance &amp; Repair'!K355</f>
        <v>62400</v>
      </c>
      <c r="L355" s="159">
        <f t="shared" si="48"/>
        <v>0.20459016393442622</v>
      </c>
      <c r="M355" s="9">
        <f>MAX(0,'Engineering Assumptions'!$G$37-G355)</f>
        <v>5</v>
      </c>
      <c r="N355" s="160" t="str">
        <f t="shared" si="49"/>
        <v>KEEP</v>
      </c>
      <c r="O355" s="161" t="str">
        <f t="shared" si="50"/>
        <v>Healthy — continue operating</v>
      </c>
      <c r="P355" s="161" t="str">
        <f>'Engineering Assumptions'!H37</f>
        <v>TATA LPK1618 tipper ~Rs. 14–18M</v>
      </c>
    </row>
    <row r="356" spans="1:16" ht="15" customHeight="1" x14ac:dyDescent="0.3">
      <c r="A356" s="9">
        <v>332</v>
      </c>
      <c r="B356" s="157" t="s">
        <v>625</v>
      </c>
      <c r="C356" s="157" t="s">
        <v>719</v>
      </c>
      <c r="D356" s="157" t="s">
        <v>738</v>
      </c>
      <c r="E356" s="157" t="s">
        <v>739</v>
      </c>
      <c r="F356" s="48" t="s">
        <v>49</v>
      </c>
      <c r="G356" s="9">
        <v>10</v>
      </c>
      <c r="H356" s="158">
        <f>'Engineering Assumptions'!$F$37*0.22*1</f>
        <v>3.52</v>
      </c>
      <c r="I356" s="158">
        <f>'Engineering Assumptions'!$F$37*1</f>
        <v>16</v>
      </c>
      <c r="J356" s="12">
        <f>'Fleet Pricing'!L356</f>
        <v>305000</v>
      </c>
      <c r="K356" s="12">
        <f>'Maintenance &amp; Repair'!J356+'Maintenance &amp; Repair'!K356</f>
        <v>62400</v>
      </c>
      <c r="L356" s="159">
        <f t="shared" si="48"/>
        <v>0.20459016393442622</v>
      </c>
      <c r="M356" s="9">
        <f>MAX(0,'Engineering Assumptions'!$G$37-G356)</f>
        <v>5</v>
      </c>
      <c r="N356" s="160" t="str">
        <f t="shared" si="49"/>
        <v>KEEP</v>
      </c>
      <c r="O356" s="161" t="str">
        <f t="shared" si="50"/>
        <v>Healthy — continue operating</v>
      </c>
      <c r="P356" s="161" t="str">
        <f>'Engineering Assumptions'!H37</f>
        <v>TATA LPK1618 tipper ~Rs. 14–18M</v>
      </c>
    </row>
    <row r="357" spans="1:16" ht="15" customHeight="1" x14ac:dyDescent="0.3">
      <c r="A357" s="9">
        <v>333</v>
      </c>
      <c r="B357" s="157" t="s">
        <v>625</v>
      </c>
      <c r="C357" s="157" t="s">
        <v>693</v>
      </c>
      <c r="D357" s="157" t="s">
        <v>740</v>
      </c>
      <c r="E357" s="157" t="s">
        <v>741</v>
      </c>
      <c r="F357" s="48" t="s">
        <v>49</v>
      </c>
      <c r="G357" s="9">
        <v>10</v>
      </c>
      <c r="H357" s="158">
        <f>'Engineering Assumptions'!$F$37*0.22*1</f>
        <v>3.52</v>
      </c>
      <c r="I357" s="158">
        <f>'Engineering Assumptions'!$F$37*1</f>
        <v>16</v>
      </c>
      <c r="J357" s="12">
        <f>'Fleet Pricing'!L357</f>
        <v>305000</v>
      </c>
      <c r="K357" s="12">
        <f>'Maintenance &amp; Repair'!J357+'Maintenance &amp; Repair'!K357</f>
        <v>62400</v>
      </c>
      <c r="L357" s="159">
        <f t="shared" si="48"/>
        <v>0.20459016393442622</v>
      </c>
      <c r="M357" s="9">
        <f>MAX(0,'Engineering Assumptions'!$G$37-G357)</f>
        <v>5</v>
      </c>
      <c r="N357" s="160" t="str">
        <f t="shared" si="49"/>
        <v>KEEP</v>
      </c>
      <c r="O357" s="161" t="str">
        <f t="shared" si="50"/>
        <v>Healthy — continue operating</v>
      </c>
      <c r="P357" s="161" t="str">
        <f>'Engineering Assumptions'!H37</f>
        <v>TATA LPK1618 tipper ~Rs. 14–18M</v>
      </c>
    </row>
    <row r="358" spans="1:16" ht="15" customHeight="1" x14ac:dyDescent="0.3">
      <c r="A358" s="9">
        <v>334</v>
      </c>
      <c r="B358" s="157" t="s">
        <v>625</v>
      </c>
      <c r="C358" s="157" t="s">
        <v>693</v>
      </c>
      <c r="D358" s="157" t="s">
        <v>742</v>
      </c>
      <c r="E358" s="157" t="s">
        <v>743</v>
      </c>
      <c r="F358" s="48" t="s">
        <v>49</v>
      </c>
      <c r="G358" s="9">
        <v>10</v>
      </c>
      <c r="H358" s="158">
        <f>'Engineering Assumptions'!$F$37*0.22*1</f>
        <v>3.52</v>
      </c>
      <c r="I358" s="158">
        <f>'Engineering Assumptions'!$F$37*1</f>
        <v>16</v>
      </c>
      <c r="J358" s="12">
        <f>'Fleet Pricing'!L358</f>
        <v>305000</v>
      </c>
      <c r="K358" s="12">
        <f>'Maintenance &amp; Repair'!J358+'Maintenance &amp; Repair'!K358</f>
        <v>62400</v>
      </c>
      <c r="L358" s="159">
        <f t="shared" si="48"/>
        <v>0.20459016393442622</v>
      </c>
      <c r="M358" s="9">
        <f>MAX(0,'Engineering Assumptions'!$G$37-G358)</f>
        <v>5</v>
      </c>
      <c r="N358" s="160" t="str">
        <f t="shared" si="49"/>
        <v>KEEP</v>
      </c>
      <c r="O358" s="161" t="str">
        <f t="shared" si="50"/>
        <v>Healthy — continue operating</v>
      </c>
      <c r="P358" s="161" t="str">
        <f>'Engineering Assumptions'!H37</f>
        <v>TATA LPK1618 tipper ~Rs. 14–18M</v>
      </c>
    </row>
    <row r="359" spans="1:16" ht="15" customHeight="1" x14ac:dyDescent="0.3">
      <c r="A359" s="9">
        <v>335</v>
      </c>
      <c r="B359" s="157" t="s">
        <v>625</v>
      </c>
      <c r="C359" s="157" t="s">
        <v>693</v>
      </c>
      <c r="D359" s="157" t="s">
        <v>744</v>
      </c>
      <c r="E359" s="157" t="s">
        <v>745</v>
      </c>
      <c r="F359" s="48" t="s">
        <v>49</v>
      </c>
      <c r="G359" s="9">
        <v>10</v>
      </c>
      <c r="H359" s="158">
        <f>'Engineering Assumptions'!$F$37*0.22*1</f>
        <v>3.52</v>
      </c>
      <c r="I359" s="158">
        <f>'Engineering Assumptions'!$F$37*1</f>
        <v>16</v>
      </c>
      <c r="J359" s="12">
        <f>'Fleet Pricing'!L359</f>
        <v>305000</v>
      </c>
      <c r="K359" s="12">
        <f>'Maintenance &amp; Repair'!J359+'Maintenance &amp; Repair'!K359</f>
        <v>62400</v>
      </c>
      <c r="L359" s="159">
        <f t="shared" si="48"/>
        <v>0.20459016393442622</v>
      </c>
      <c r="M359" s="9">
        <f>MAX(0,'Engineering Assumptions'!$G$37-G359)</f>
        <v>5</v>
      </c>
      <c r="N359" s="160" t="str">
        <f t="shared" si="49"/>
        <v>KEEP</v>
      </c>
      <c r="O359" s="161" t="str">
        <f t="shared" si="50"/>
        <v>Healthy — continue operating</v>
      </c>
      <c r="P359" s="161" t="str">
        <f>'Engineering Assumptions'!H37</f>
        <v>TATA LPK1618 tipper ~Rs. 14–18M</v>
      </c>
    </row>
    <row r="360" spans="1:16" ht="15" customHeight="1" x14ac:dyDescent="0.3">
      <c r="A360" s="9">
        <v>336</v>
      </c>
      <c r="B360" s="157" t="s">
        <v>625</v>
      </c>
      <c r="C360" s="157" t="s">
        <v>746</v>
      </c>
      <c r="D360" s="157" t="s">
        <v>747</v>
      </c>
      <c r="E360" s="157" t="s">
        <v>748</v>
      </c>
      <c r="F360" s="48" t="s">
        <v>99</v>
      </c>
      <c r="G360" s="9">
        <v>13</v>
      </c>
      <c r="H360" s="158">
        <f>'Engineering Assumptions'!$F$37*0.12*1</f>
        <v>1.92</v>
      </c>
      <c r="I360" s="158">
        <f>'Engineering Assumptions'!$F$37*1</f>
        <v>16</v>
      </c>
      <c r="J360" s="12">
        <f>'Fleet Pricing'!L360</f>
        <v>272500</v>
      </c>
      <c r="K360" s="12">
        <f>'Maintenance &amp; Repair'!J360+'Maintenance &amp; Repair'!K360</f>
        <v>93000</v>
      </c>
      <c r="L360" s="159">
        <f t="shared" si="48"/>
        <v>0.34128440366972479</v>
      </c>
      <c r="M360" s="9">
        <f>MAX(0,'Engineering Assumptions'!$G$37-G360)</f>
        <v>2</v>
      </c>
      <c r="N360" s="160" t="str">
        <f t="shared" si="49"/>
        <v>MONITOR</v>
      </c>
      <c r="O360" s="161" t="str">
        <f t="shared" si="50"/>
        <v>Watch costs; plan replacement</v>
      </c>
      <c r="P360" s="161" t="str">
        <f>'Engineering Assumptions'!H37</f>
        <v>TATA LPK1618 tipper ~Rs. 14–18M</v>
      </c>
    </row>
    <row r="361" spans="1:16" ht="15" customHeight="1" x14ac:dyDescent="0.3">
      <c r="A361" s="9">
        <v>337</v>
      </c>
      <c r="B361" s="157" t="s">
        <v>625</v>
      </c>
      <c r="C361" s="157" t="s">
        <v>749</v>
      </c>
      <c r="D361" s="157" t="s">
        <v>750</v>
      </c>
      <c r="E361" s="157" t="s">
        <v>751</v>
      </c>
      <c r="F361" s="48" t="s">
        <v>99</v>
      </c>
      <c r="G361" s="9">
        <v>13</v>
      </c>
      <c r="H361" s="158">
        <f>'Engineering Assumptions'!$F$37*0.12*1</f>
        <v>1.92</v>
      </c>
      <c r="I361" s="158">
        <f>'Engineering Assumptions'!$F$37*1</f>
        <v>16</v>
      </c>
      <c r="J361" s="12">
        <f>'Fleet Pricing'!L361</f>
        <v>272500</v>
      </c>
      <c r="K361" s="12">
        <f>'Maintenance &amp; Repair'!J361+'Maintenance &amp; Repair'!K361</f>
        <v>93000</v>
      </c>
      <c r="L361" s="159">
        <f t="shared" si="48"/>
        <v>0.34128440366972479</v>
      </c>
      <c r="M361" s="9">
        <f>MAX(0,'Engineering Assumptions'!$G$37-G361)</f>
        <v>2</v>
      </c>
      <c r="N361" s="160" t="str">
        <f t="shared" si="49"/>
        <v>MONITOR</v>
      </c>
      <c r="O361" s="161" t="str">
        <f t="shared" si="50"/>
        <v>Watch costs; plan replacement</v>
      </c>
      <c r="P361" s="161" t="str">
        <f>'Engineering Assumptions'!H37</f>
        <v>TATA LPK1618 tipper ~Rs. 14–18M</v>
      </c>
    </row>
    <row r="362" spans="1:16" ht="15" customHeight="1" x14ac:dyDescent="0.3">
      <c r="A362" s="9">
        <v>338</v>
      </c>
      <c r="B362" s="157" t="s">
        <v>625</v>
      </c>
      <c r="C362" s="157" t="s">
        <v>752</v>
      </c>
      <c r="D362" s="157" t="s">
        <v>753</v>
      </c>
      <c r="E362" s="157" t="s">
        <v>754</v>
      </c>
      <c r="F362" s="48" t="s">
        <v>66</v>
      </c>
      <c r="G362" s="9">
        <v>14</v>
      </c>
      <c r="H362" s="158">
        <f>'Engineering Assumptions'!$F$37*0.12*1</f>
        <v>1.92</v>
      </c>
      <c r="I362" s="158">
        <f>'Engineering Assumptions'!$F$37*1</f>
        <v>16</v>
      </c>
      <c r="J362" s="12">
        <f>'Fleet Pricing'!L362</f>
        <v>272500</v>
      </c>
      <c r="K362" s="12">
        <f>'Maintenance &amp; Repair'!J362+'Maintenance &amp; Repair'!K362</f>
        <v>93000</v>
      </c>
      <c r="L362" s="159">
        <f t="shared" si="48"/>
        <v>0.34128440366972479</v>
      </c>
      <c r="M362" s="9">
        <f>MAX(0,'Engineering Assumptions'!$G$37-G362)</f>
        <v>1</v>
      </c>
      <c r="N362" s="160" t="str">
        <f t="shared" si="49"/>
        <v>MONITOR</v>
      </c>
      <c r="O362" s="161" t="str">
        <f t="shared" si="50"/>
        <v>Watch costs; plan replacement</v>
      </c>
      <c r="P362" s="161" t="str">
        <f>'Engineering Assumptions'!H37</f>
        <v>TATA LPK1618 tipper ~Rs. 14–18M</v>
      </c>
    </row>
    <row r="363" spans="1:16" ht="15" customHeight="1" x14ac:dyDescent="0.3">
      <c r="A363" s="9">
        <v>339</v>
      </c>
      <c r="B363" s="157" t="s">
        <v>625</v>
      </c>
      <c r="C363" s="157" t="s">
        <v>752</v>
      </c>
      <c r="D363" s="157" t="s">
        <v>755</v>
      </c>
      <c r="E363" s="157" t="s">
        <v>756</v>
      </c>
      <c r="F363" s="48" t="s">
        <v>66</v>
      </c>
      <c r="G363" s="9">
        <v>14</v>
      </c>
      <c r="H363" s="158">
        <f>'Engineering Assumptions'!$F$37*0.12*1</f>
        <v>1.92</v>
      </c>
      <c r="I363" s="158">
        <f>'Engineering Assumptions'!$F$37*1</f>
        <v>16</v>
      </c>
      <c r="J363" s="12">
        <f>'Fleet Pricing'!L363</f>
        <v>272500</v>
      </c>
      <c r="K363" s="12">
        <f>'Maintenance &amp; Repair'!J363+'Maintenance &amp; Repair'!K363</f>
        <v>93000</v>
      </c>
      <c r="L363" s="159">
        <f t="shared" si="48"/>
        <v>0.34128440366972479</v>
      </c>
      <c r="M363" s="9">
        <f>MAX(0,'Engineering Assumptions'!$G$37-G363)</f>
        <v>1</v>
      </c>
      <c r="N363" s="160" t="str">
        <f t="shared" si="49"/>
        <v>MONITOR</v>
      </c>
      <c r="O363" s="161" t="str">
        <f t="shared" si="50"/>
        <v>Watch costs; plan replacement</v>
      </c>
      <c r="P363" s="161" t="str">
        <f>'Engineering Assumptions'!H37</f>
        <v>TATA LPK1618 tipper ~Rs. 14–18M</v>
      </c>
    </row>
    <row r="364" spans="1:16" ht="15" customHeight="1" x14ac:dyDescent="0.3">
      <c r="A364" s="9">
        <v>340</v>
      </c>
      <c r="B364" s="157" t="s">
        <v>625</v>
      </c>
      <c r="C364" s="157" t="s">
        <v>752</v>
      </c>
      <c r="D364" s="157" t="s">
        <v>757</v>
      </c>
      <c r="E364" s="157" t="s">
        <v>758</v>
      </c>
      <c r="F364" s="48" t="s">
        <v>66</v>
      </c>
      <c r="G364" s="9">
        <v>14</v>
      </c>
      <c r="H364" s="158">
        <f>'Engineering Assumptions'!$F$37*0.12*1</f>
        <v>1.92</v>
      </c>
      <c r="I364" s="158">
        <f>'Engineering Assumptions'!$F$37*1</f>
        <v>16</v>
      </c>
      <c r="J364" s="12">
        <f>'Fleet Pricing'!L364</f>
        <v>272500</v>
      </c>
      <c r="K364" s="12">
        <f>'Maintenance &amp; Repair'!J364+'Maintenance &amp; Repair'!K364</f>
        <v>93000</v>
      </c>
      <c r="L364" s="159">
        <f t="shared" si="48"/>
        <v>0.34128440366972479</v>
      </c>
      <c r="M364" s="9">
        <f>MAX(0,'Engineering Assumptions'!$G$37-G364)</f>
        <v>1</v>
      </c>
      <c r="N364" s="160" t="str">
        <f t="shared" si="49"/>
        <v>MONITOR</v>
      </c>
      <c r="O364" s="161" t="str">
        <f t="shared" si="50"/>
        <v>Watch costs; plan replacement</v>
      </c>
      <c r="P364" s="161" t="str">
        <f>'Engineering Assumptions'!H37</f>
        <v>TATA LPK1618 tipper ~Rs. 14–18M</v>
      </c>
    </row>
    <row r="365" spans="1:16" ht="15" customHeight="1" x14ac:dyDescent="0.3">
      <c r="A365" s="9">
        <v>341</v>
      </c>
      <c r="B365" s="157" t="s">
        <v>625</v>
      </c>
      <c r="C365" s="157" t="s">
        <v>759</v>
      </c>
      <c r="D365" s="157" t="s">
        <v>760</v>
      </c>
      <c r="E365" s="157" t="s">
        <v>761</v>
      </c>
      <c r="F365" s="48" t="s">
        <v>66</v>
      </c>
      <c r="G365" s="9">
        <v>14</v>
      </c>
      <c r="H365" s="158">
        <f>'Engineering Assumptions'!$F$37*0.12*1</f>
        <v>1.92</v>
      </c>
      <c r="I365" s="158">
        <f>'Engineering Assumptions'!$F$37*1</f>
        <v>16</v>
      </c>
      <c r="J365" s="12">
        <f>'Fleet Pricing'!L365</f>
        <v>272500</v>
      </c>
      <c r="K365" s="12">
        <f>'Maintenance &amp; Repair'!J365+'Maintenance &amp; Repair'!K365</f>
        <v>93000</v>
      </c>
      <c r="L365" s="159">
        <f t="shared" si="48"/>
        <v>0.34128440366972479</v>
      </c>
      <c r="M365" s="9">
        <f>MAX(0,'Engineering Assumptions'!$G$37-G365)</f>
        <v>1</v>
      </c>
      <c r="N365" s="160" t="str">
        <f t="shared" si="49"/>
        <v>MONITOR</v>
      </c>
      <c r="O365" s="161" t="str">
        <f t="shared" si="50"/>
        <v>Watch costs; plan replacement</v>
      </c>
      <c r="P365" s="161" t="str">
        <f>'Engineering Assumptions'!H37</f>
        <v>TATA LPK1618 tipper ~Rs. 14–18M</v>
      </c>
    </row>
    <row r="366" spans="1:16" ht="15" customHeight="1" x14ac:dyDescent="0.3">
      <c r="A366" s="9">
        <v>342</v>
      </c>
      <c r="B366" s="157" t="s">
        <v>625</v>
      </c>
      <c r="C366" s="157" t="s">
        <v>759</v>
      </c>
      <c r="D366" s="157" t="s">
        <v>762</v>
      </c>
      <c r="E366" s="157" t="s">
        <v>763</v>
      </c>
      <c r="F366" s="48" t="s">
        <v>66</v>
      </c>
      <c r="G366" s="9">
        <v>14</v>
      </c>
      <c r="H366" s="158">
        <f>'Engineering Assumptions'!$F$37*0.12*1</f>
        <v>1.92</v>
      </c>
      <c r="I366" s="158">
        <f>'Engineering Assumptions'!$F$37*1</f>
        <v>16</v>
      </c>
      <c r="J366" s="12">
        <f>'Fleet Pricing'!L366</f>
        <v>272500</v>
      </c>
      <c r="K366" s="12">
        <f>'Maintenance &amp; Repair'!J366+'Maintenance &amp; Repair'!K366</f>
        <v>93000</v>
      </c>
      <c r="L366" s="159">
        <f t="shared" ref="L366:L389" si="51">IFERROR(K366/J366,0)</f>
        <v>0.34128440366972479</v>
      </c>
      <c r="M366" s="9">
        <f>MAX(0,'Engineering Assumptions'!$G$37-G366)</f>
        <v>1</v>
      </c>
      <c r="N366" s="160" t="str">
        <f t="shared" ref="N366:N389" si="52">IF(G366&gt;=20,"REPLACE",IF(L366&gt;0.6,"REPLACE",IF(G366&gt;=15,"REPLACE",IF(OR(G366&gt;=11,L366&gt;0.4),"MONITOR","KEEP"))))</f>
        <v>MONITOR</v>
      </c>
      <c r="O366" s="161" t="str">
        <f t="shared" ref="O366:O389" si="53">IF(G366&gt;=20,"End of life (age &gt; 20)",IF(L366&gt;0.6,"Repairs exceed 60% of revenue",IF(G366&gt;=15,"Age 15+ → replace",IF(OR(G366&gt;=11,L366&gt;0.4),"Watch costs; plan replacement","Healthy — continue operating"))))</f>
        <v>Watch costs; plan replacement</v>
      </c>
      <c r="P366" s="161" t="str">
        <f>'Engineering Assumptions'!H37</f>
        <v>TATA LPK1618 tipper ~Rs. 14–18M</v>
      </c>
    </row>
    <row r="367" spans="1:16" ht="15" customHeight="1" x14ac:dyDescent="0.3">
      <c r="A367" s="9">
        <v>343</v>
      </c>
      <c r="B367" s="157" t="s">
        <v>625</v>
      </c>
      <c r="C367" s="157" t="s">
        <v>749</v>
      </c>
      <c r="D367" s="157" t="s">
        <v>764</v>
      </c>
      <c r="E367" s="157" t="s">
        <v>765</v>
      </c>
      <c r="F367" s="48" t="s">
        <v>66</v>
      </c>
      <c r="G367" s="9">
        <v>14</v>
      </c>
      <c r="H367" s="158">
        <f>'Engineering Assumptions'!$F$37*0.12*1</f>
        <v>1.92</v>
      </c>
      <c r="I367" s="158">
        <f>'Engineering Assumptions'!$F$37*1</f>
        <v>16</v>
      </c>
      <c r="J367" s="12">
        <f>'Fleet Pricing'!L367</f>
        <v>272500</v>
      </c>
      <c r="K367" s="12">
        <f>'Maintenance &amp; Repair'!J367+'Maintenance &amp; Repair'!K367</f>
        <v>93000</v>
      </c>
      <c r="L367" s="159">
        <f t="shared" si="51"/>
        <v>0.34128440366972479</v>
      </c>
      <c r="M367" s="9">
        <f>MAX(0,'Engineering Assumptions'!$G$37-G367)</f>
        <v>1</v>
      </c>
      <c r="N367" s="160" t="str">
        <f t="shared" si="52"/>
        <v>MONITOR</v>
      </c>
      <c r="O367" s="161" t="str">
        <f t="shared" si="53"/>
        <v>Watch costs; plan replacement</v>
      </c>
      <c r="P367" s="161" t="str">
        <f>'Engineering Assumptions'!H37</f>
        <v>TATA LPK1618 tipper ~Rs. 14–18M</v>
      </c>
    </row>
    <row r="368" spans="1:16" ht="15" customHeight="1" x14ac:dyDescent="0.3">
      <c r="A368" s="9">
        <v>344</v>
      </c>
      <c r="B368" s="157" t="s">
        <v>625</v>
      </c>
      <c r="C368" s="157" t="s">
        <v>749</v>
      </c>
      <c r="D368" s="157" t="s">
        <v>766</v>
      </c>
      <c r="E368" s="157" t="s">
        <v>767</v>
      </c>
      <c r="F368" s="48" t="s">
        <v>66</v>
      </c>
      <c r="G368" s="9">
        <v>14</v>
      </c>
      <c r="H368" s="158">
        <f>'Engineering Assumptions'!$F$37*0.12*1</f>
        <v>1.92</v>
      </c>
      <c r="I368" s="158">
        <f>'Engineering Assumptions'!$F$37*1</f>
        <v>16</v>
      </c>
      <c r="J368" s="12">
        <f>'Fleet Pricing'!L368</f>
        <v>272500</v>
      </c>
      <c r="K368" s="12">
        <f>'Maintenance &amp; Repair'!J368+'Maintenance &amp; Repair'!K368</f>
        <v>93000</v>
      </c>
      <c r="L368" s="159">
        <f t="shared" si="51"/>
        <v>0.34128440366972479</v>
      </c>
      <c r="M368" s="9">
        <f>MAX(0,'Engineering Assumptions'!$G$37-G368)</f>
        <v>1</v>
      </c>
      <c r="N368" s="160" t="str">
        <f t="shared" si="52"/>
        <v>MONITOR</v>
      </c>
      <c r="O368" s="161" t="str">
        <f t="shared" si="53"/>
        <v>Watch costs; plan replacement</v>
      </c>
      <c r="P368" s="161" t="str">
        <f>'Engineering Assumptions'!H37</f>
        <v>TATA LPK1618 tipper ~Rs. 14–18M</v>
      </c>
    </row>
    <row r="369" spans="1:16" ht="15" customHeight="1" x14ac:dyDescent="0.3">
      <c r="A369" s="9">
        <v>345</v>
      </c>
      <c r="B369" s="157" t="s">
        <v>625</v>
      </c>
      <c r="C369" s="157" t="s">
        <v>768</v>
      </c>
      <c r="D369" s="157" t="s">
        <v>769</v>
      </c>
      <c r="E369" s="157" t="s">
        <v>770</v>
      </c>
      <c r="F369" s="48" t="s">
        <v>66</v>
      </c>
      <c r="G369" s="9">
        <v>14</v>
      </c>
      <c r="H369" s="158">
        <f>'Engineering Assumptions'!$F$37*0.12*1</f>
        <v>1.92</v>
      </c>
      <c r="I369" s="158">
        <f>'Engineering Assumptions'!$F$37*1</f>
        <v>16</v>
      </c>
      <c r="J369" s="12">
        <f>'Fleet Pricing'!L369</f>
        <v>272500</v>
      </c>
      <c r="K369" s="12">
        <f>'Maintenance &amp; Repair'!J369+'Maintenance &amp; Repair'!K369</f>
        <v>93000</v>
      </c>
      <c r="L369" s="159">
        <f t="shared" si="51"/>
        <v>0.34128440366972479</v>
      </c>
      <c r="M369" s="9">
        <f>MAX(0,'Engineering Assumptions'!$G$37-G369)</f>
        <v>1</v>
      </c>
      <c r="N369" s="160" t="str">
        <f t="shared" si="52"/>
        <v>MONITOR</v>
      </c>
      <c r="O369" s="161" t="str">
        <f t="shared" si="53"/>
        <v>Watch costs; plan replacement</v>
      </c>
      <c r="P369" s="161" t="str">
        <f>'Engineering Assumptions'!H37</f>
        <v>TATA LPK1618 tipper ~Rs. 14–18M</v>
      </c>
    </row>
    <row r="370" spans="1:16" ht="15" customHeight="1" x14ac:dyDescent="0.3">
      <c r="A370" s="9">
        <v>346</v>
      </c>
      <c r="B370" s="157" t="s">
        <v>625</v>
      </c>
      <c r="C370" s="157" t="s">
        <v>768</v>
      </c>
      <c r="D370" s="157" t="s">
        <v>771</v>
      </c>
      <c r="E370" s="157" t="s">
        <v>772</v>
      </c>
      <c r="F370" s="48" t="s">
        <v>66</v>
      </c>
      <c r="G370" s="9">
        <v>14</v>
      </c>
      <c r="H370" s="158">
        <f>'Engineering Assumptions'!$F$37*0.12*1</f>
        <v>1.92</v>
      </c>
      <c r="I370" s="158">
        <f>'Engineering Assumptions'!$F$37*1</f>
        <v>16</v>
      </c>
      <c r="J370" s="12">
        <f>'Fleet Pricing'!L370</f>
        <v>272500</v>
      </c>
      <c r="K370" s="12">
        <f>'Maintenance &amp; Repair'!J370+'Maintenance &amp; Repair'!K370</f>
        <v>93000</v>
      </c>
      <c r="L370" s="159">
        <f t="shared" si="51"/>
        <v>0.34128440366972479</v>
      </c>
      <c r="M370" s="9">
        <f>MAX(0,'Engineering Assumptions'!$G$37-G370)</f>
        <v>1</v>
      </c>
      <c r="N370" s="160" t="str">
        <f t="shared" si="52"/>
        <v>MONITOR</v>
      </c>
      <c r="O370" s="161" t="str">
        <f t="shared" si="53"/>
        <v>Watch costs; plan replacement</v>
      </c>
      <c r="P370" s="161" t="str">
        <f>'Engineering Assumptions'!H37</f>
        <v>TATA LPK1618 tipper ~Rs. 14–18M</v>
      </c>
    </row>
    <row r="371" spans="1:16" ht="15" customHeight="1" x14ac:dyDescent="0.3">
      <c r="A371" s="9">
        <v>347</v>
      </c>
      <c r="B371" s="157" t="s">
        <v>625</v>
      </c>
      <c r="C371" s="157" t="s">
        <v>719</v>
      </c>
      <c r="D371" s="157" t="s">
        <v>773</v>
      </c>
      <c r="E371" s="157" t="s">
        <v>774</v>
      </c>
      <c r="F371" s="48" t="s">
        <v>66</v>
      </c>
      <c r="G371" s="9">
        <v>14</v>
      </c>
      <c r="H371" s="158">
        <f>'Engineering Assumptions'!$F$37*0.12*1</f>
        <v>1.92</v>
      </c>
      <c r="I371" s="158">
        <f>'Engineering Assumptions'!$F$37*1</f>
        <v>16</v>
      </c>
      <c r="J371" s="12">
        <f>'Fleet Pricing'!L371</f>
        <v>272500</v>
      </c>
      <c r="K371" s="12">
        <f>'Maintenance &amp; Repair'!J371+'Maintenance &amp; Repair'!K371</f>
        <v>93000</v>
      </c>
      <c r="L371" s="159">
        <f t="shared" si="51"/>
        <v>0.34128440366972479</v>
      </c>
      <c r="M371" s="9">
        <f>MAX(0,'Engineering Assumptions'!$G$37-G371)</f>
        <v>1</v>
      </c>
      <c r="N371" s="160" t="str">
        <f t="shared" si="52"/>
        <v>MONITOR</v>
      </c>
      <c r="O371" s="161" t="str">
        <f t="shared" si="53"/>
        <v>Watch costs; plan replacement</v>
      </c>
      <c r="P371" s="161" t="str">
        <f>'Engineering Assumptions'!H37</f>
        <v>TATA LPK1618 tipper ~Rs. 14–18M</v>
      </c>
    </row>
    <row r="372" spans="1:16" ht="15" customHeight="1" x14ac:dyDescent="0.3">
      <c r="A372" s="9">
        <v>348</v>
      </c>
      <c r="B372" s="157" t="s">
        <v>625</v>
      </c>
      <c r="C372" s="157" t="s">
        <v>719</v>
      </c>
      <c r="D372" s="157" t="s">
        <v>775</v>
      </c>
      <c r="E372" s="157" t="s">
        <v>776</v>
      </c>
      <c r="F372" s="48" t="s">
        <v>66</v>
      </c>
      <c r="G372" s="9">
        <v>14</v>
      </c>
      <c r="H372" s="158">
        <f>'Engineering Assumptions'!$F$37*0.12*1</f>
        <v>1.92</v>
      </c>
      <c r="I372" s="158">
        <f>'Engineering Assumptions'!$F$37*1</f>
        <v>16</v>
      </c>
      <c r="J372" s="12">
        <f>'Fleet Pricing'!L372</f>
        <v>272500</v>
      </c>
      <c r="K372" s="12">
        <f>'Maintenance &amp; Repair'!J372+'Maintenance &amp; Repair'!K372</f>
        <v>93000</v>
      </c>
      <c r="L372" s="159">
        <f t="shared" si="51"/>
        <v>0.34128440366972479</v>
      </c>
      <c r="M372" s="9">
        <f>MAX(0,'Engineering Assumptions'!$G$37-G372)</f>
        <v>1</v>
      </c>
      <c r="N372" s="160" t="str">
        <f t="shared" si="52"/>
        <v>MONITOR</v>
      </c>
      <c r="O372" s="161" t="str">
        <f t="shared" si="53"/>
        <v>Watch costs; plan replacement</v>
      </c>
      <c r="P372" s="161" t="str">
        <f>'Engineering Assumptions'!H37</f>
        <v>TATA LPK1618 tipper ~Rs. 14–18M</v>
      </c>
    </row>
    <row r="373" spans="1:16" ht="15" customHeight="1" x14ac:dyDescent="0.3">
      <c r="A373" s="9">
        <v>349</v>
      </c>
      <c r="B373" s="157" t="s">
        <v>625</v>
      </c>
      <c r="C373" s="157" t="s">
        <v>759</v>
      </c>
      <c r="D373" s="157" t="s">
        <v>777</v>
      </c>
      <c r="E373" s="157" t="s">
        <v>778</v>
      </c>
      <c r="F373" s="48" t="s">
        <v>458</v>
      </c>
      <c r="G373" s="9">
        <v>15</v>
      </c>
      <c r="H373" s="158">
        <f>'Engineering Assumptions'!$F$37*0.12*1</f>
        <v>1.92</v>
      </c>
      <c r="I373" s="158">
        <f>'Engineering Assumptions'!$F$37*1</f>
        <v>16</v>
      </c>
      <c r="J373" s="12">
        <f>'Fleet Pricing'!L373</f>
        <v>272500</v>
      </c>
      <c r="K373" s="12">
        <f>'Maintenance &amp; Repair'!J373+'Maintenance &amp; Repair'!K373</f>
        <v>93000</v>
      </c>
      <c r="L373" s="159">
        <f t="shared" si="51"/>
        <v>0.34128440366972479</v>
      </c>
      <c r="M373" s="9">
        <f>MAX(0,'Engineering Assumptions'!$G$37-G373)</f>
        <v>0</v>
      </c>
      <c r="N373" s="160" t="str">
        <f t="shared" si="52"/>
        <v>REPLACE</v>
      </c>
      <c r="O373" s="161" t="str">
        <f t="shared" si="53"/>
        <v>Age 15+ → replace</v>
      </c>
      <c r="P373" s="161" t="str">
        <f>'Engineering Assumptions'!H37</f>
        <v>TATA LPK1618 tipper ~Rs. 14–18M</v>
      </c>
    </row>
    <row r="374" spans="1:16" ht="15" customHeight="1" x14ac:dyDescent="0.3">
      <c r="A374" s="9">
        <v>350</v>
      </c>
      <c r="B374" s="157" t="s">
        <v>625</v>
      </c>
      <c r="C374" s="157" t="s">
        <v>779</v>
      </c>
      <c r="D374" s="157" t="s">
        <v>780</v>
      </c>
      <c r="E374" s="157" t="s">
        <v>781</v>
      </c>
      <c r="F374" s="48" t="s">
        <v>458</v>
      </c>
      <c r="G374" s="9">
        <v>15</v>
      </c>
      <c r="H374" s="158">
        <f>'Engineering Assumptions'!$F$37*0.12*1</f>
        <v>1.92</v>
      </c>
      <c r="I374" s="158">
        <f>'Engineering Assumptions'!$F$37*1</f>
        <v>16</v>
      </c>
      <c r="J374" s="12">
        <f>'Fleet Pricing'!L374</f>
        <v>272500</v>
      </c>
      <c r="K374" s="12">
        <f>'Maintenance &amp; Repair'!J374+'Maintenance &amp; Repair'!K374</f>
        <v>93000</v>
      </c>
      <c r="L374" s="159">
        <f t="shared" si="51"/>
        <v>0.34128440366972479</v>
      </c>
      <c r="M374" s="9">
        <f>MAX(0,'Engineering Assumptions'!$G$37-G374)</f>
        <v>0</v>
      </c>
      <c r="N374" s="160" t="str">
        <f t="shared" si="52"/>
        <v>REPLACE</v>
      </c>
      <c r="O374" s="161" t="str">
        <f t="shared" si="53"/>
        <v>Age 15+ → replace</v>
      </c>
      <c r="P374" s="161" t="str">
        <f>'Engineering Assumptions'!H37</f>
        <v>TATA LPK1618 tipper ~Rs. 14–18M</v>
      </c>
    </row>
    <row r="375" spans="1:16" ht="15" customHeight="1" x14ac:dyDescent="0.3">
      <c r="A375" s="9">
        <v>351</v>
      </c>
      <c r="B375" s="157" t="s">
        <v>625</v>
      </c>
      <c r="C375" s="157" t="s">
        <v>779</v>
      </c>
      <c r="D375" s="157" t="s">
        <v>782</v>
      </c>
      <c r="E375" s="157" t="s">
        <v>783</v>
      </c>
      <c r="F375" s="48" t="s">
        <v>458</v>
      </c>
      <c r="G375" s="9">
        <v>15</v>
      </c>
      <c r="H375" s="158">
        <f>'Engineering Assumptions'!$F$37*0.12*1</f>
        <v>1.92</v>
      </c>
      <c r="I375" s="158">
        <f>'Engineering Assumptions'!$F$37*1</f>
        <v>16</v>
      </c>
      <c r="J375" s="12">
        <f>'Fleet Pricing'!L375</f>
        <v>272500</v>
      </c>
      <c r="K375" s="12">
        <f>'Maintenance &amp; Repair'!J375+'Maintenance &amp; Repair'!K375</f>
        <v>93000</v>
      </c>
      <c r="L375" s="159">
        <f t="shared" si="51"/>
        <v>0.34128440366972479</v>
      </c>
      <c r="M375" s="9">
        <f>MAX(0,'Engineering Assumptions'!$G$37-G375)</f>
        <v>0</v>
      </c>
      <c r="N375" s="160" t="str">
        <f t="shared" si="52"/>
        <v>REPLACE</v>
      </c>
      <c r="O375" s="161" t="str">
        <f t="shared" si="53"/>
        <v>Age 15+ → replace</v>
      </c>
      <c r="P375" s="161" t="str">
        <f>'Engineering Assumptions'!H37</f>
        <v>TATA LPK1618 tipper ~Rs. 14–18M</v>
      </c>
    </row>
    <row r="376" spans="1:16" ht="15" customHeight="1" x14ac:dyDescent="0.3">
      <c r="A376" s="9">
        <v>352</v>
      </c>
      <c r="B376" s="157" t="s">
        <v>625</v>
      </c>
      <c r="C376" s="157" t="s">
        <v>779</v>
      </c>
      <c r="D376" s="157" t="s">
        <v>784</v>
      </c>
      <c r="E376" s="157" t="s">
        <v>785</v>
      </c>
      <c r="F376" s="48" t="s">
        <v>458</v>
      </c>
      <c r="G376" s="9">
        <v>15</v>
      </c>
      <c r="H376" s="158">
        <f>'Engineering Assumptions'!$F$37*0.12*1</f>
        <v>1.92</v>
      </c>
      <c r="I376" s="158">
        <f>'Engineering Assumptions'!$F$37*1</f>
        <v>16</v>
      </c>
      <c r="J376" s="12">
        <f>'Fleet Pricing'!L376</f>
        <v>272500</v>
      </c>
      <c r="K376" s="12">
        <f>'Maintenance &amp; Repair'!J376+'Maintenance &amp; Repair'!K376</f>
        <v>93000</v>
      </c>
      <c r="L376" s="159">
        <f t="shared" si="51"/>
        <v>0.34128440366972479</v>
      </c>
      <c r="M376" s="9">
        <f>MAX(0,'Engineering Assumptions'!$G$37-G376)</f>
        <v>0</v>
      </c>
      <c r="N376" s="160" t="str">
        <f t="shared" si="52"/>
        <v>REPLACE</v>
      </c>
      <c r="O376" s="161" t="str">
        <f t="shared" si="53"/>
        <v>Age 15+ → replace</v>
      </c>
      <c r="P376" s="161" t="str">
        <f>'Engineering Assumptions'!H37</f>
        <v>TATA LPK1618 tipper ~Rs. 14–18M</v>
      </c>
    </row>
    <row r="377" spans="1:16" ht="15" customHeight="1" x14ac:dyDescent="0.3">
      <c r="A377" s="9">
        <v>353</v>
      </c>
      <c r="B377" s="157" t="s">
        <v>625</v>
      </c>
      <c r="C377" s="157" t="s">
        <v>779</v>
      </c>
      <c r="D377" s="157" t="s">
        <v>786</v>
      </c>
      <c r="E377" s="157" t="s">
        <v>787</v>
      </c>
      <c r="F377" s="48" t="s">
        <v>458</v>
      </c>
      <c r="G377" s="9">
        <v>15</v>
      </c>
      <c r="H377" s="158">
        <f>'Engineering Assumptions'!$F$37*0.12*1</f>
        <v>1.92</v>
      </c>
      <c r="I377" s="158">
        <f>'Engineering Assumptions'!$F$37*1</f>
        <v>16</v>
      </c>
      <c r="J377" s="12">
        <f>'Fleet Pricing'!L377</f>
        <v>272500</v>
      </c>
      <c r="K377" s="12">
        <f>'Maintenance &amp; Repair'!J377+'Maintenance &amp; Repair'!K377</f>
        <v>93000</v>
      </c>
      <c r="L377" s="159">
        <f t="shared" si="51"/>
        <v>0.34128440366972479</v>
      </c>
      <c r="M377" s="9">
        <f>MAX(0,'Engineering Assumptions'!$G$37-G377)</f>
        <v>0</v>
      </c>
      <c r="N377" s="160" t="str">
        <f t="shared" si="52"/>
        <v>REPLACE</v>
      </c>
      <c r="O377" s="161" t="str">
        <f t="shared" si="53"/>
        <v>Age 15+ → replace</v>
      </c>
      <c r="P377" s="161" t="str">
        <f>'Engineering Assumptions'!H37</f>
        <v>TATA LPK1618 tipper ~Rs. 14–18M</v>
      </c>
    </row>
    <row r="378" spans="1:16" ht="15" customHeight="1" x14ac:dyDescent="0.3">
      <c r="A378" s="9">
        <v>354</v>
      </c>
      <c r="B378" s="157" t="s">
        <v>625</v>
      </c>
      <c r="C378" s="157" t="s">
        <v>719</v>
      </c>
      <c r="D378" s="157" t="s">
        <v>788</v>
      </c>
      <c r="E378" s="157" t="s">
        <v>789</v>
      </c>
      <c r="F378" s="48" t="s">
        <v>458</v>
      </c>
      <c r="G378" s="9">
        <v>15</v>
      </c>
      <c r="H378" s="158">
        <f>'Engineering Assumptions'!$F$37*0.12*1</f>
        <v>1.92</v>
      </c>
      <c r="I378" s="158">
        <f>'Engineering Assumptions'!$F$37*1</f>
        <v>16</v>
      </c>
      <c r="J378" s="12">
        <f>'Fleet Pricing'!L378</f>
        <v>272500</v>
      </c>
      <c r="K378" s="12">
        <f>'Maintenance &amp; Repair'!J378+'Maintenance &amp; Repair'!K378</f>
        <v>93000</v>
      </c>
      <c r="L378" s="159">
        <f t="shared" si="51"/>
        <v>0.34128440366972479</v>
      </c>
      <c r="M378" s="9">
        <f>MAX(0,'Engineering Assumptions'!$G$37-G378)</f>
        <v>0</v>
      </c>
      <c r="N378" s="160" t="str">
        <f t="shared" si="52"/>
        <v>REPLACE</v>
      </c>
      <c r="O378" s="161" t="str">
        <f t="shared" si="53"/>
        <v>Age 15+ → replace</v>
      </c>
      <c r="P378" s="161" t="str">
        <f>'Engineering Assumptions'!H37</f>
        <v>TATA LPK1618 tipper ~Rs. 14–18M</v>
      </c>
    </row>
    <row r="379" spans="1:16" ht="15" customHeight="1" x14ac:dyDescent="0.3">
      <c r="A379" s="9">
        <v>355</v>
      </c>
      <c r="B379" s="157" t="s">
        <v>625</v>
      </c>
      <c r="C379" s="157" t="s">
        <v>719</v>
      </c>
      <c r="D379" s="157"/>
      <c r="E379" s="157"/>
      <c r="F379" s="48" t="s">
        <v>458</v>
      </c>
      <c r="G379" s="9">
        <v>15</v>
      </c>
      <c r="H379" s="158">
        <f>'Engineering Assumptions'!$F$37*0.12*1</f>
        <v>1.92</v>
      </c>
      <c r="I379" s="158">
        <f>'Engineering Assumptions'!$F$37*1</f>
        <v>16</v>
      </c>
      <c r="J379" s="12">
        <f>'Fleet Pricing'!L379</f>
        <v>272500</v>
      </c>
      <c r="K379" s="12">
        <f>'Maintenance &amp; Repair'!J379+'Maintenance &amp; Repair'!K379</f>
        <v>93000</v>
      </c>
      <c r="L379" s="159">
        <f t="shared" si="51"/>
        <v>0.34128440366972479</v>
      </c>
      <c r="M379" s="9">
        <f>MAX(0,'Engineering Assumptions'!$G$37-G379)</f>
        <v>0</v>
      </c>
      <c r="N379" s="160" t="str">
        <f t="shared" si="52"/>
        <v>REPLACE</v>
      </c>
      <c r="O379" s="161" t="str">
        <f t="shared" si="53"/>
        <v>Age 15+ → replace</v>
      </c>
      <c r="P379" s="161" t="str">
        <f>'Engineering Assumptions'!H37</f>
        <v>TATA LPK1618 tipper ~Rs. 14–18M</v>
      </c>
    </row>
    <row r="380" spans="1:16" ht="15" customHeight="1" x14ac:dyDescent="0.3">
      <c r="A380" s="9">
        <v>356</v>
      </c>
      <c r="B380" s="157" t="s">
        <v>625</v>
      </c>
      <c r="C380" s="157" t="s">
        <v>719</v>
      </c>
      <c r="D380" s="157"/>
      <c r="E380" s="157"/>
      <c r="F380" s="48" t="s">
        <v>458</v>
      </c>
      <c r="G380" s="9">
        <v>15</v>
      </c>
      <c r="H380" s="158">
        <f>'Engineering Assumptions'!$F$37*0.12*1</f>
        <v>1.92</v>
      </c>
      <c r="I380" s="158">
        <f>'Engineering Assumptions'!$F$37*1</f>
        <v>16</v>
      </c>
      <c r="J380" s="12">
        <f>'Fleet Pricing'!L380</f>
        <v>272500</v>
      </c>
      <c r="K380" s="12">
        <f>'Maintenance &amp; Repair'!J380+'Maintenance &amp; Repair'!K380</f>
        <v>93000</v>
      </c>
      <c r="L380" s="159">
        <f t="shared" si="51"/>
        <v>0.34128440366972479</v>
      </c>
      <c r="M380" s="9">
        <f>MAX(0,'Engineering Assumptions'!$G$37-G380)</f>
        <v>0</v>
      </c>
      <c r="N380" s="160" t="str">
        <f t="shared" si="52"/>
        <v>REPLACE</v>
      </c>
      <c r="O380" s="161" t="str">
        <f t="shared" si="53"/>
        <v>Age 15+ → replace</v>
      </c>
      <c r="P380" s="161" t="str">
        <f>'Engineering Assumptions'!H37</f>
        <v>TATA LPK1618 tipper ~Rs. 14–18M</v>
      </c>
    </row>
    <row r="381" spans="1:16" ht="15" customHeight="1" x14ac:dyDescent="0.3">
      <c r="A381" s="9">
        <v>357</v>
      </c>
      <c r="B381" s="157" t="s">
        <v>625</v>
      </c>
      <c r="C381" s="157" t="s">
        <v>719</v>
      </c>
      <c r="D381" s="157"/>
      <c r="E381" s="157"/>
      <c r="F381" s="48" t="s">
        <v>458</v>
      </c>
      <c r="G381" s="9">
        <v>15</v>
      </c>
      <c r="H381" s="158">
        <f>'Engineering Assumptions'!$F$37*0.12*1</f>
        <v>1.92</v>
      </c>
      <c r="I381" s="158">
        <f>'Engineering Assumptions'!$F$37*1</f>
        <v>16</v>
      </c>
      <c r="J381" s="12">
        <f>'Fleet Pricing'!L381</f>
        <v>272500</v>
      </c>
      <c r="K381" s="12">
        <f>'Maintenance &amp; Repair'!J381+'Maintenance &amp; Repair'!K381</f>
        <v>93000</v>
      </c>
      <c r="L381" s="159">
        <f t="shared" si="51"/>
        <v>0.34128440366972479</v>
      </c>
      <c r="M381" s="9">
        <f>MAX(0,'Engineering Assumptions'!$G$37-G381)</f>
        <v>0</v>
      </c>
      <c r="N381" s="160" t="str">
        <f t="shared" si="52"/>
        <v>REPLACE</v>
      </c>
      <c r="O381" s="161" t="str">
        <f t="shared" si="53"/>
        <v>Age 15+ → replace</v>
      </c>
      <c r="P381" s="161" t="str">
        <f>'Engineering Assumptions'!H37</f>
        <v>TATA LPK1618 tipper ~Rs. 14–18M</v>
      </c>
    </row>
    <row r="382" spans="1:16" ht="15" customHeight="1" x14ac:dyDescent="0.3">
      <c r="A382" s="9">
        <v>358</v>
      </c>
      <c r="B382" s="157" t="s">
        <v>625</v>
      </c>
      <c r="C382" s="157" t="s">
        <v>790</v>
      </c>
      <c r="D382" s="157" t="s">
        <v>791</v>
      </c>
      <c r="E382" s="157" t="s">
        <v>792</v>
      </c>
      <c r="F382" s="48" t="s">
        <v>107</v>
      </c>
      <c r="G382" s="9">
        <v>16</v>
      </c>
      <c r="H382" s="158">
        <f>'Engineering Assumptions'!$F$37*0.12*1</f>
        <v>1.92</v>
      </c>
      <c r="I382" s="158">
        <f>'Engineering Assumptions'!$F$37*1</f>
        <v>16</v>
      </c>
      <c r="J382" s="12">
        <f>'Fleet Pricing'!L382</f>
        <v>272500</v>
      </c>
      <c r="K382" s="12">
        <f>'Maintenance &amp; Repair'!J382+'Maintenance &amp; Repair'!K382</f>
        <v>131940</v>
      </c>
      <c r="L382" s="159">
        <f t="shared" si="51"/>
        <v>0.48418348623853213</v>
      </c>
      <c r="M382" s="9">
        <f>MAX(0,'Engineering Assumptions'!$G$37-G382)</f>
        <v>0</v>
      </c>
      <c r="N382" s="160" t="str">
        <f t="shared" si="52"/>
        <v>REPLACE</v>
      </c>
      <c r="O382" s="161" t="str">
        <f t="shared" si="53"/>
        <v>Age 15+ → replace</v>
      </c>
      <c r="P382" s="161" t="str">
        <f>'Engineering Assumptions'!H37</f>
        <v>TATA LPK1618 tipper ~Rs. 14–18M</v>
      </c>
    </row>
    <row r="383" spans="1:16" ht="15" customHeight="1" x14ac:dyDescent="0.3">
      <c r="A383" s="9">
        <v>359</v>
      </c>
      <c r="B383" s="157" t="s">
        <v>625</v>
      </c>
      <c r="C383" s="157" t="s">
        <v>759</v>
      </c>
      <c r="D383" s="157" t="s">
        <v>793</v>
      </c>
      <c r="E383" s="157" t="s">
        <v>794</v>
      </c>
      <c r="F383" s="48" t="s">
        <v>107</v>
      </c>
      <c r="G383" s="9">
        <v>16</v>
      </c>
      <c r="H383" s="158">
        <f>'Engineering Assumptions'!$F$37*0.12*1</f>
        <v>1.92</v>
      </c>
      <c r="I383" s="158">
        <f>'Engineering Assumptions'!$F$37*1</f>
        <v>16</v>
      </c>
      <c r="J383" s="12">
        <f>'Fleet Pricing'!L383</f>
        <v>272500</v>
      </c>
      <c r="K383" s="12">
        <f>'Maintenance &amp; Repair'!J383+'Maintenance &amp; Repair'!K383</f>
        <v>131940</v>
      </c>
      <c r="L383" s="159">
        <f t="shared" si="51"/>
        <v>0.48418348623853213</v>
      </c>
      <c r="M383" s="9">
        <f>MAX(0,'Engineering Assumptions'!$G$37-G383)</f>
        <v>0</v>
      </c>
      <c r="N383" s="160" t="str">
        <f t="shared" si="52"/>
        <v>REPLACE</v>
      </c>
      <c r="O383" s="161" t="str">
        <f t="shared" si="53"/>
        <v>Age 15+ → replace</v>
      </c>
      <c r="P383" s="161" t="str">
        <f>'Engineering Assumptions'!H37</f>
        <v>TATA LPK1618 tipper ~Rs. 14–18M</v>
      </c>
    </row>
    <row r="384" spans="1:16" ht="15" customHeight="1" x14ac:dyDescent="0.3">
      <c r="A384" s="9">
        <v>360</v>
      </c>
      <c r="B384" s="157" t="s">
        <v>625</v>
      </c>
      <c r="C384" s="157" t="s">
        <v>795</v>
      </c>
      <c r="D384" s="157" t="s">
        <v>796</v>
      </c>
      <c r="E384" s="157" t="s">
        <v>797</v>
      </c>
      <c r="F384" s="48" t="s">
        <v>518</v>
      </c>
      <c r="G384" s="9">
        <v>19</v>
      </c>
      <c r="H384" s="158">
        <f>'Engineering Assumptions'!$F$37*0.06*1</f>
        <v>0.96</v>
      </c>
      <c r="I384" s="158">
        <f>'Engineering Assumptions'!$F$37*1</f>
        <v>16</v>
      </c>
      <c r="J384" s="12">
        <f>'Fleet Pricing'!L384</f>
        <v>238500</v>
      </c>
      <c r="K384" s="12">
        <f>'Maintenance &amp; Repair'!J384+'Maintenance &amp; Repair'!K384</f>
        <v>131940</v>
      </c>
      <c r="L384" s="159">
        <f t="shared" si="51"/>
        <v>0.55320754716981135</v>
      </c>
      <c r="M384" s="9">
        <f>MAX(0,'Engineering Assumptions'!$G$37-G384)</f>
        <v>0</v>
      </c>
      <c r="N384" s="160" t="str">
        <f t="shared" si="52"/>
        <v>REPLACE</v>
      </c>
      <c r="O384" s="161" t="str">
        <f t="shared" si="53"/>
        <v>Age 15+ → replace</v>
      </c>
      <c r="P384" s="161" t="str">
        <f>'Engineering Assumptions'!H37</f>
        <v>TATA LPK1618 tipper ~Rs. 14–18M</v>
      </c>
    </row>
    <row r="385" spans="1:16" ht="15" customHeight="1" x14ac:dyDescent="0.3">
      <c r="A385" s="9">
        <v>361</v>
      </c>
      <c r="B385" s="157" t="s">
        <v>625</v>
      </c>
      <c r="C385" s="157" t="s">
        <v>798</v>
      </c>
      <c r="D385" s="157" t="s">
        <v>799</v>
      </c>
      <c r="E385" s="157" t="s">
        <v>800</v>
      </c>
      <c r="F385" s="48" t="s">
        <v>73</v>
      </c>
      <c r="G385" s="9">
        <v>20</v>
      </c>
      <c r="H385" s="158">
        <f>'Engineering Assumptions'!$F$37*0.06*1</f>
        <v>0.96</v>
      </c>
      <c r="I385" s="158">
        <f>'Engineering Assumptions'!$F$37*1</f>
        <v>16</v>
      </c>
      <c r="J385" s="12">
        <f>'Fleet Pricing'!L385</f>
        <v>238500</v>
      </c>
      <c r="K385" s="12">
        <f>'Maintenance &amp; Repair'!J385+'Maintenance &amp; Repair'!K385</f>
        <v>131940</v>
      </c>
      <c r="L385" s="159">
        <f t="shared" si="51"/>
        <v>0.55320754716981135</v>
      </c>
      <c r="M385" s="9">
        <f>MAX(0,'Engineering Assumptions'!$G$37-G385)</f>
        <v>0</v>
      </c>
      <c r="N385" s="160" t="str">
        <f t="shared" si="52"/>
        <v>REPLACE</v>
      </c>
      <c r="O385" s="161" t="str">
        <f t="shared" si="53"/>
        <v>End of life (age &gt; 20)</v>
      </c>
      <c r="P385" s="161" t="str">
        <f>'Engineering Assumptions'!H37</f>
        <v>TATA LPK1618 tipper ~Rs. 14–18M</v>
      </c>
    </row>
    <row r="386" spans="1:16" ht="15" customHeight="1" x14ac:dyDescent="0.3">
      <c r="A386" s="9">
        <v>362</v>
      </c>
      <c r="B386" s="157" t="s">
        <v>625</v>
      </c>
      <c r="C386" s="157" t="s">
        <v>801</v>
      </c>
      <c r="D386" s="157"/>
      <c r="E386" s="157"/>
      <c r="F386" s="48" t="s">
        <v>440</v>
      </c>
      <c r="G386" s="9">
        <v>21</v>
      </c>
      <c r="H386" s="158">
        <f>'Engineering Assumptions'!$F$37*0.06*1</f>
        <v>0.96</v>
      </c>
      <c r="I386" s="158">
        <f>'Engineering Assumptions'!$F$37*1</f>
        <v>16</v>
      </c>
      <c r="J386" s="12">
        <f>'Fleet Pricing'!L386</f>
        <v>238500</v>
      </c>
      <c r="K386" s="12">
        <f>'Maintenance &amp; Repair'!J386+'Maintenance &amp; Repair'!K386</f>
        <v>177840</v>
      </c>
      <c r="L386" s="159">
        <f t="shared" si="51"/>
        <v>0.74566037735849056</v>
      </c>
      <c r="M386" s="9">
        <f>MAX(0,'Engineering Assumptions'!$G$37-G386)</f>
        <v>0</v>
      </c>
      <c r="N386" s="160" t="str">
        <f t="shared" si="52"/>
        <v>REPLACE</v>
      </c>
      <c r="O386" s="161" t="str">
        <f t="shared" si="53"/>
        <v>End of life (age &gt; 20)</v>
      </c>
      <c r="P386" s="161" t="str">
        <f>'Engineering Assumptions'!H37</f>
        <v>TATA LPK1618 tipper ~Rs. 14–18M</v>
      </c>
    </row>
    <row r="387" spans="1:16" ht="15" customHeight="1" x14ac:dyDescent="0.3">
      <c r="A387" s="9">
        <v>363</v>
      </c>
      <c r="B387" s="157" t="s">
        <v>625</v>
      </c>
      <c r="C387" s="157" t="s">
        <v>798</v>
      </c>
      <c r="D387" s="157" t="s">
        <v>802</v>
      </c>
      <c r="E387" s="157" t="s">
        <v>803</v>
      </c>
      <c r="F387" s="48" t="s">
        <v>139</v>
      </c>
      <c r="G387" s="9">
        <v>23</v>
      </c>
      <c r="H387" s="158">
        <f>'Engineering Assumptions'!$F$37*0.06*1</f>
        <v>0.96</v>
      </c>
      <c r="I387" s="158">
        <f>'Engineering Assumptions'!$F$37*1</f>
        <v>16</v>
      </c>
      <c r="J387" s="12">
        <f>'Fleet Pricing'!L387</f>
        <v>215000</v>
      </c>
      <c r="K387" s="12">
        <f>'Maintenance &amp; Repair'!J387+'Maintenance &amp; Repair'!K387</f>
        <v>177840</v>
      </c>
      <c r="L387" s="159">
        <f t="shared" si="51"/>
        <v>0.8271627906976744</v>
      </c>
      <c r="M387" s="9">
        <f>MAX(0,'Engineering Assumptions'!$G$37-G387)</f>
        <v>0</v>
      </c>
      <c r="N387" s="160" t="str">
        <f t="shared" si="52"/>
        <v>REPLACE</v>
      </c>
      <c r="O387" s="161" t="str">
        <f t="shared" si="53"/>
        <v>End of life (age &gt; 20)</v>
      </c>
      <c r="P387" s="161" t="str">
        <f>'Engineering Assumptions'!H37</f>
        <v>TATA LPK1618 tipper ~Rs. 14–18M</v>
      </c>
    </row>
    <row r="388" spans="1:16" ht="15" customHeight="1" x14ac:dyDescent="0.3">
      <c r="A388" s="9">
        <v>364</v>
      </c>
      <c r="B388" s="157" t="s">
        <v>625</v>
      </c>
      <c r="C388" s="157" t="s">
        <v>798</v>
      </c>
      <c r="D388" s="157" t="s">
        <v>804</v>
      </c>
      <c r="E388" s="157" t="s">
        <v>805</v>
      </c>
      <c r="F388" s="48" t="s">
        <v>139</v>
      </c>
      <c r="G388" s="9">
        <v>23</v>
      </c>
      <c r="H388" s="158">
        <f>'Engineering Assumptions'!$F$37*0.06*1</f>
        <v>0.96</v>
      </c>
      <c r="I388" s="158">
        <f>'Engineering Assumptions'!$F$37*1</f>
        <v>16</v>
      </c>
      <c r="J388" s="12">
        <f>'Fleet Pricing'!L388</f>
        <v>215000</v>
      </c>
      <c r="K388" s="12">
        <f>'Maintenance &amp; Repair'!J388+'Maintenance &amp; Repair'!K388</f>
        <v>177840</v>
      </c>
      <c r="L388" s="159">
        <f t="shared" si="51"/>
        <v>0.8271627906976744</v>
      </c>
      <c r="M388" s="9">
        <f>MAX(0,'Engineering Assumptions'!$G$37-G388)</f>
        <v>0</v>
      </c>
      <c r="N388" s="160" t="str">
        <f t="shared" si="52"/>
        <v>REPLACE</v>
      </c>
      <c r="O388" s="161" t="str">
        <f t="shared" si="53"/>
        <v>End of life (age &gt; 20)</v>
      </c>
      <c r="P388" s="161" t="str">
        <f>'Engineering Assumptions'!H37</f>
        <v>TATA LPK1618 tipper ~Rs. 14–18M</v>
      </c>
    </row>
    <row r="389" spans="1:16" ht="15" customHeight="1" x14ac:dyDescent="0.3">
      <c r="A389" s="9">
        <v>365</v>
      </c>
      <c r="B389" s="157" t="s">
        <v>625</v>
      </c>
      <c r="C389" s="157" t="s">
        <v>752</v>
      </c>
      <c r="D389" s="157" t="s">
        <v>806</v>
      </c>
      <c r="E389" s="157" t="s">
        <v>807</v>
      </c>
      <c r="F389" s="48" t="s">
        <v>139</v>
      </c>
      <c r="G389" s="9">
        <v>23</v>
      </c>
      <c r="H389" s="158">
        <f>'Engineering Assumptions'!$F$37*0.06*1</f>
        <v>0.96</v>
      </c>
      <c r="I389" s="158">
        <f>'Engineering Assumptions'!$F$37*1</f>
        <v>16</v>
      </c>
      <c r="J389" s="12">
        <f>'Fleet Pricing'!L389</f>
        <v>215000</v>
      </c>
      <c r="K389" s="12">
        <f>'Maintenance &amp; Repair'!J389+'Maintenance &amp; Repair'!K389</f>
        <v>177840</v>
      </c>
      <c r="L389" s="159">
        <f t="shared" si="51"/>
        <v>0.8271627906976744</v>
      </c>
      <c r="M389" s="9">
        <f>MAX(0,'Engineering Assumptions'!$G$37-G389)</f>
        <v>0</v>
      </c>
      <c r="N389" s="160" t="str">
        <f t="shared" si="52"/>
        <v>REPLACE</v>
      </c>
      <c r="O389" s="161" t="str">
        <f t="shared" si="53"/>
        <v>End of life (age &gt; 20)</v>
      </c>
      <c r="P389" s="161" t="str">
        <f>'Engineering Assumptions'!H37</f>
        <v>TATA LPK1618 tipper ~Rs. 14–18M</v>
      </c>
    </row>
    <row r="390" spans="1:16" ht="15" customHeight="1" x14ac:dyDescent="0.3">
      <c r="A390" s="199" t="s">
        <v>808</v>
      </c>
      <c r="B390" s="200"/>
      <c r="C390" s="200"/>
      <c r="D390" s="200"/>
      <c r="E390" s="200"/>
      <c r="F390" s="200"/>
      <c r="G390" s="200"/>
      <c r="H390" s="200"/>
      <c r="I390" s="200"/>
      <c r="J390" s="200"/>
      <c r="K390" s="200"/>
      <c r="L390" s="200"/>
      <c r="M390" s="200"/>
      <c r="N390" s="200"/>
      <c r="O390" s="200"/>
      <c r="P390" s="200"/>
    </row>
    <row r="391" spans="1:16" ht="15" customHeight="1" x14ac:dyDescent="0.3">
      <c r="A391" s="9">
        <v>366</v>
      </c>
      <c r="B391" s="157" t="s">
        <v>809</v>
      </c>
      <c r="C391" s="157" t="s">
        <v>810</v>
      </c>
      <c r="D391" s="157"/>
      <c r="E391" s="157"/>
      <c r="F391" s="48" t="s">
        <v>116</v>
      </c>
      <c r="G391" s="9">
        <v>9</v>
      </c>
      <c r="H391" s="158">
        <f>'Engineering Assumptions'!$F$38*0.22*1</f>
        <v>0.55000000000000004</v>
      </c>
      <c r="I391" s="158">
        <f>'Engineering Assumptions'!$F$38*1</f>
        <v>2.5</v>
      </c>
      <c r="J391" s="12">
        <f>'Fleet Pricing'!L391</f>
        <v>122500</v>
      </c>
      <c r="K391" s="12">
        <f>'Maintenance &amp; Repair'!J391+'Maintenance &amp; Repair'!K391</f>
        <v>13800</v>
      </c>
      <c r="L391" s="159">
        <f t="shared" ref="L391:L396" si="54">IFERROR(K391/J391,0)</f>
        <v>0.1126530612244898</v>
      </c>
      <c r="M391" s="9">
        <f>MAX(0,'Engineering Assumptions'!$G$38-G391)</f>
        <v>11</v>
      </c>
      <c r="N391" s="160" t="str">
        <f t="shared" ref="N391:N396" si="55">IF(G391&gt;=20,"REPLACE",IF(L391&gt;0.6,"REPLACE",IF(G391&gt;=15,"REPLACE",IF(OR(G391&gt;=11,L391&gt;0.4),"MONITOR","KEEP"))))</f>
        <v>KEEP</v>
      </c>
      <c r="O391" s="161" t="str">
        <f t="shared" ref="O391:O396" si="56">IF(G391&gt;=20,"End of life (age &gt; 20)",IF(L391&gt;0.6,"Repairs exceed 60% of revenue",IF(G391&gt;=15,"Age 15+ → replace",IF(OR(G391&gt;=11,L391&gt;0.4),"Watch costs; plan replacement","Healthy — continue operating"))))</f>
        <v>Healthy — continue operating</v>
      </c>
      <c r="P391" s="161" t="str">
        <f>'Engineering Assumptions'!H38</f>
        <v>Locally built/Wimalaoro trailer ~Rs. 2–3M (no engine)</v>
      </c>
    </row>
    <row r="392" spans="1:16" ht="15" customHeight="1" x14ac:dyDescent="0.3">
      <c r="A392" s="9">
        <v>367</v>
      </c>
      <c r="B392" s="157" t="s">
        <v>809</v>
      </c>
      <c r="C392" s="157" t="s">
        <v>811</v>
      </c>
      <c r="D392" s="157"/>
      <c r="E392" s="157"/>
      <c r="F392" s="48" t="s">
        <v>116</v>
      </c>
      <c r="G392" s="9">
        <v>9</v>
      </c>
      <c r="H392" s="158">
        <f>'Engineering Assumptions'!$F$38*0.22*1</f>
        <v>0.55000000000000004</v>
      </c>
      <c r="I392" s="158">
        <f>'Engineering Assumptions'!$F$38*1</f>
        <v>2.5</v>
      </c>
      <c r="J392" s="12">
        <f>'Fleet Pricing'!L392</f>
        <v>122500</v>
      </c>
      <c r="K392" s="12">
        <f>'Maintenance &amp; Repair'!J392+'Maintenance &amp; Repair'!K392</f>
        <v>13800</v>
      </c>
      <c r="L392" s="159">
        <f t="shared" si="54"/>
        <v>0.1126530612244898</v>
      </c>
      <c r="M392" s="9">
        <f>MAX(0,'Engineering Assumptions'!$G$38-G392)</f>
        <v>11</v>
      </c>
      <c r="N392" s="160" t="str">
        <f t="shared" si="55"/>
        <v>KEEP</v>
      </c>
      <c r="O392" s="161" t="str">
        <f t="shared" si="56"/>
        <v>Healthy — continue operating</v>
      </c>
      <c r="P392" s="161" t="str">
        <f>'Engineering Assumptions'!H38</f>
        <v>Locally built/Wimalaoro trailer ~Rs. 2–3M (no engine)</v>
      </c>
    </row>
    <row r="393" spans="1:16" ht="15" customHeight="1" x14ac:dyDescent="0.3">
      <c r="A393" s="9">
        <v>368</v>
      </c>
      <c r="B393" s="157" t="s">
        <v>809</v>
      </c>
      <c r="C393" s="157" t="s">
        <v>811</v>
      </c>
      <c r="D393" s="157"/>
      <c r="E393" s="157"/>
      <c r="F393" s="48" t="s">
        <v>116</v>
      </c>
      <c r="G393" s="9">
        <v>9</v>
      </c>
      <c r="H393" s="158">
        <f>'Engineering Assumptions'!$F$38*0.22*1</f>
        <v>0.55000000000000004</v>
      </c>
      <c r="I393" s="158">
        <f>'Engineering Assumptions'!$F$38*1</f>
        <v>2.5</v>
      </c>
      <c r="J393" s="12">
        <f>'Fleet Pricing'!L393</f>
        <v>122500</v>
      </c>
      <c r="K393" s="12">
        <f>'Maintenance &amp; Repair'!J393+'Maintenance &amp; Repair'!K393</f>
        <v>13800</v>
      </c>
      <c r="L393" s="159">
        <f t="shared" si="54"/>
        <v>0.1126530612244898</v>
      </c>
      <c r="M393" s="9">
        <f>MAX(0,'Engineering Assumptions'!$G$38-G393)</f>
        <v>11</v>
      </c>
      <c r="N393" s="160" t="str">
        <f t="shared" si="55"/>
        <v>KEEP</v>
      </c>
      <c r="O393" s="161" t="str">
        <f t="shared" si="56"/>
        <v>Healthy — continue operating</v>
      </c>
      <c r="P393" s="161" t="str">
        <f>'Engineering Assumptions'!H38</f>
        <v>Locally built/Wimalaoro trailer ~Rs. 2–3M (no engine)</v>
      </c>
    </row>
    <row r="394" spans="1:16" ht="15" customHeight="1" x14ac:dyDescent="0.3">
      <c r="A394" s="9">
        <v>369</v>
      </c>
      <c r="B394" s="157" t="s">
        <v>809</v>
      </c>
      <c r="C394" s="157" t="s">
        <v>812</v>
      </c>
      <c r="D394" s="157"/>
      <c r="E394" s="157"/>
      <c r="F394" s="48" t="s">
        <v>116</v>
      </c>
      <c r="G394" s="9">
        <v>9</v>
      </c>
      <c r="H394" s="158">
        <f>'Engineering Assumptions'!$F$38*0.22*1</f>
        <v>0.55000000000000004</v>
      </c>
      <c r="I394" s="158">
        <f>'Engineering Assumptions'!$F$38*1</f>
        <v>2.5</v>
      </c>
      <c r="J394" s="12">
        <f>'Fleet Pricing'!L394</f>
        <v>122500</v>
      </c>
      <c r="K394" s="12">
        <f>'Maintenance &amp; Repair'!J394+'Maintenance &amp; Repair'!K394</f>
        <v>13800</v>
      </c>
      <c r="L394" s="159">
        <f t="shared" si="54"/>
        <v>0.1126530612244898</v>
      </c>
      <c r="M394" s="9">
        <f>MAX(0,'Engineering Assumptions'!$G$38-G394)</f>
        <v>11</v>
      </c>
      <c r="N394" s="160" t="str">
        <f t="shared" si="55"/>
        <v>KEEP</v>
      </c>
      <c r="O394" s="161" t="str">
        <f t="shared" si="56"/>
        <v>Healthy — continue operating</v>
      </c>
      <c r="P394" s="161" t="str">
        <f>'Engineering Assumptions'!H38</f>
        <v>Locally built/Wimalaoro trailer ~Rs. 2–3M (no engine)</v>
      </c>
    </row>
    <row r="395" spans="1:16" ht="15" customHeight="1" x14ac:dyDescent="0.3">
      <c r="A395" s="9">
        <v>370</v>
      </c>
      <c r="B395" s="157" t="s">
        <v>809</v>
      </c>
      <c r="C395" s="157" t="s">
        <v>810</v>
      </c>
      <c r="D395" s="157"/>
      <c r="E395" s="157"/>
      <c r="F395" s="48" t="s">
        <v>73</v>
      </c>
      <c r="G395" s="9">
        <v>20</v>
      </c>
      <c r="H395" s="158">
        <f>'Engineering Assumptions'!$F$38*0.06*1</f>
        <v>0.15</v>
      </c>
      <c r="I395" s="158">
        <f>'Engineering Assumptions'!$F$38*1</f>
        <v>2.5</v>
      </c>
      <c r="J395" s="12">
        <f>'Fleet Pricing'!L395</f>
        <v>96000</v>
      </c>
      <c r="K395" s="12">
        <f>'Maintenance &amp; Repair'!J395+'Maintenance &amp; Repair'!K395</f>
        <v>29340</v>
      </c>
      <c r="L395" s="159">
        <f t="shared" si="54"/>
        <v>0.30562499999999998</v>
      </c>
      <c r="M395" s="9">
        <f>MAX(0,'Engineering Assumptions'!$G$38-G395)</f>
        <v>0</v>
      </c>
      <c r="N395" s="160" t="str">
        <f t="shared" si="55"/>
        <v>REPLACE</v>
      </c>
      <c r="O395" s="161" t="str">
        <f t="shared" si="56"/>
        <v>End of life (age &gt; 20)</v>
      </c>
      <c r="P395" s="161" t="str">
        <f>'Engineering Assumptions'!H38</f>
        <v>Locally built/Wimalaoro trailer ~Rs. 2–3M (no engine)</v>
      </c>
    </row>
    <row r="396" spans="1:16" ht="15" customHeight="1" x14ac:dyDescent="0.3">
      <c r="A396" s="9">
        <v>371</v>
      </c>
      <c r="B396" s="157" t="s">
        <v>809</v>
      </c>
      <c r="C396" s="157" t="s">
        <v>810</v>
      </c>
      <c r="D396" s="157"/>
      <c r="E396" s="157"/>
      <c r="F396" s="48" t="s">
        <v>73</v>
      </c>
      <c r="G396" s="9">
        <v>20</v>
      </c>
      <c r="H396" s="158">
        <f>'Engineering Assumptions'!$F$38*0.06*1</f>
        <v>0.15</v>
      </c>
      <c r="I396" s="158">
        <f>'Engineering Assumptions'!$F$38*1</f>
        <v>2.5</v>
      </c>
      <c r="J396" s="12">
        <f>'Fleet Pricing'!L396</f>
        <v>96000</v>
      </c>
      <c r="K396" s="12">
        <f>'Maintenance &amp; Repair'!J396+'Maintenance &amp; Repair'!K396</f>
        <v>29340</v>
      </c>
      <c r="L396" s="159">
        <f t="shared" si="54"/>
        <v>0.30562499999999998</v>
      </c>
      <c r="M396" s="9">
        <f>MAX(0,'Engineering Assumptions'!$G$38-G396)</f>
        <v>0</v>
      </c>
      <c r="N396" s="160" t="str">
        <f t="shared" si="55"/>
        <v>REPLACE</v>
      </c>
      <c r="O396" s="161" t="str">
        <f t="shared" si="56"/>
        <v>End of life (age &gt; 20)</v>
      </c>
      <c r="P396" s="161" t="str">
        <f>'Engineering Assumptions'!H38</f>
        <v>Locally built/Wimalaoro trailer ~Rs. 2–3M (no engine)</v>
      </c>
    </row>
    <row r="397" spans="1:16" ht="15" customHeight="1" x14ac:dyDescent="0.3">
      <c r="A397" s="199" t="s">
        <v>813</v>
      </c>
      <c r="B397" s="200"/>
      <c r="C397" s="200"/>
      <c r="D397" s="200"/>
      <c r="E397" s="200"/>
      <c r="F397" s="200"/>
      <c r="G397" s="200"/>
      <c r="H397" s="200"/>
      <c r="I397" s="200"/>
      <c r="J397" s="200"/>
      <c r="K397" s="200"/>
      <c r="L397" s="200"/>
      <c r="M397" s="200"/>
      <c r="N397" s="200"/>
      <c r="O397" s="200"/>
      <c r="P397" s="200"/>
    </row>
    <row r="398" spans="1:16" ht="15" customHeight="1" x14ac:dyDescent="0.3">
      <c r="A398" s="9">
        <v>372</v>
      </c>
      <c r="B398" s="157" t="s">
        <v>814</v>
      </c>
      <c r="C398" s="157" t="s">
        <v>815</v>
      </c>
      <c r="D398" s="157"/>
      <c r="E398" s="157"/>
      <c r="F398" s="48" t="s">
        <v>458</v>
      </c>
      <c r="G398" s="9">
        <v>15</v>
      </c>
      <c r="H398" s="158">
        <f>'Engineering Assumptions'!$F$39*0.12*1</f>
        <v>0.54</v>
      </c>
      <c r="I398" s="158">
        <f>'Engineering Assumptions'!$F$39*1</f>
        <v>4.5</v>
      </c>
      <c r="J398" s="12">
        <f>'Fleet Pricing'!L398</f>
        <v>183500</v>
      </c>
      <c r="K398" s="12">
        <f>'Maintenance &amp; Repair'!J398+'Maintenance &amp; Repair'!K398</f>
        <v>24120</v>
      </c>
      <c r="L398" s="159">
        <f>IFERROR(K398/J398,0)</f>
        <v>0.1314441416893733</v>
      </c>
      <c r="M398" s="9">
        <f>MAX(0,'Engineering Assumptions'!$G$39-G398)</f>
        <v>5</v>
      </c>
      <c r="N398" s="160" t="str">
        <f>IF(G398&gt;=20,"REPLACE",IF(L398&gt;0.6,"REPLACE",IF(G398&gt;=15,"REPLACE",IF(OR(G398&gt;=11,L398&gt;0.4),"MONITOR","KEEP"))))</f>
        <v>REPLACE</v>
      </c>
      <c r="O398" s="161" t="str">
        <f>IF(G398&gt;=20,"End of life (age &gt; 20)",IF(L398&gt;0.6,"Repairs exceed 60% of revenue",IF(G398&gt;=15,"Age 15+ → replace",IF(OR(G398&gt;=11,L398&gt;0.4),"Watch costs; plan replacement","Healthy — continue operating"))))</f>
        <v>Age 15+ → replace</v>
      </c>
      <c r="P398" s="161" t="str">
        <f>'Engineering Assumptions'!H39</f>
        <v>Tantri TFB40 ~Rs. 4–5M (no engine)</v>
      </c>
    </row>
    <row r="399" spans="1:16" ht="15" customHeight="1" x14ac:dyDescent="0.3">
      <c r="A399" s="9">
        <v>373</v>
      </c>
      <c r="B399" s="157" t="s">
        <v>814</v>
      </c>
      <c r="C399" s="157" t="s">
        <v>816</v>
      </c>
      <c r="D399" s="157"/>
      <c r="E399" s="157"/>
      <c r="F399" s="48" t="s">
        <v>139</v>
      </c>
      <c r="G399" s="9">
        <v>23</v>
      </c>
      <c r="H399" s="158">
        <f>'Engineering Assumptions'!$F$39*0.06*1</f>
        <v>0.27</v>
      </c>
      <c r="I399" s="158">
        <f>'Engineering Assumptions'!$F$39*1</f>
        <v>4.5</v>
      </c>
      <c r="J399" s="12">
        <f>'Fleet Pricing'!L399</f>
        <v>146000</v>
      </c>
      <c r="K399" s="12">
        <f>'Maintenance &amp; Repair'!J399+'Maintenance &amp; Repair'!K399</f>
        <v>46080</v>
      </c>
      <c r="L399" s="159">
        <f>IFERROR(K399/J399,0)</f>
        <v>0.31561643835616437</v>
      </c>
      <c r="M399" s="9">
        <f>MAX(0,'Engineering Assumptions'!$G$39-G399)</f>
        <v>0</v>
      </c>
      <c r="N399" s="160" t="str">
        <f>IF(G399&gt;=20,"REPLACE",IF(L399&gt;0.6,"REPLACE",IF(G399&gt;=15,"REPLACE",IF(OR(G399&gt;=11,L399&gt;0.4),"MONITOR","KEEP"))))</f>
        <v>REPLACE</v>
      </c>
      <c r="O399" s="161" t="str">
        <f>IF(G399&gt;=20,"End of life (age &gt; 20)",IF(L399&gt;0.6,"Repairs exceed 60% of revenue",IF(G399&gt;=15,"Age 15+ → replace",IF(OR(G399&gt;=11,L399&gt;0.4),"Watch costs; plan replacement","Healthy — continue operating"))))</f>
        <v>End of life (age &gt; 20)</v>
      </c>
      <c r="P399" s="161" t="str">
        <f>'Engineering Assumptions'!H39</f>
        <v>Tantri TFB40 ~Rs. 4–5M (no engine)</v>
      </c>
    </row>
    <row r="400" spans="1:16" ht="15" customHeight="1" x14ac:dyDescent="0.3">
      <c r="A400" s="9">
        <v>374</v>
      </c>
      <c r="B400" s="157" t="s">
        <v>814</v>
      </c>
      <c r="C400" s="157" t="s">
        <v>188</v>
      </c>
      <c r="D400" s="157"/>
      <c r="E400" s="157"/>
      <c r="F400" s="48" t="s">
        <v>195</v>
      </c>
      <c r="G400" s="9">
        <v>30</v>
      </c>
      <c r="H400" s="158">
        <f>'Engineering Assumptions'!$F$39*0.03*1</f>
        <v>0.13500000000000001</v>
      </c>
      <c r="I400" s="158">
        <f>'Engineering Assumptions'!$F$39*1</f>
        <v>4.5</v>
      </c>
      <c r="J400" s="12">
        <f>'Fleet Pricing'!L400</f>
        <v>130500</v>
      </c>
      <c r="K400" s="12">
        <f>'Maintenance &amp; Repair'!J400+'Maintenance &amp; Repair'!K400</f>
        <v>46080</v>
      </c>
      <c r="L400" s="159">
        <f>IFERROR(K400/J400,0)</f>
        <v>0.35310344827586204</v>
      </c>
      <c r="M400" s="9">
        <f>MAX(0,'Engineering Assumptions'!$G$39-G400)</f>
        <v>0</v>
      </c>
      <c r="N400" s="160" t="str">
        <f>IF(G400&gt;=20,"REPLACE",IF(L400&gt;0.6,"REPLACE",IF(G400&gt;=15,"REPLACE",IF(OR(G400&gt;=11,L400&gt;0.4),"MONITOR","KEEP"))))</f>
        <v>REPLACE</v>
      </c>
      <c r="O400" s="161" t="str">
        <f>IF(G400&gt;=20,"End of life (age &gt; 20)",IF(L400&gt;0.6,"Repairs exceed 60% of revenue",IF(G400&gt;=15,"Age 15+ → replace",IF(OR(G400&gt;=11,L400&gt;0.4),"Watch costs; plan replacement","Healthy — continue operating"))))</f>
        <v>End of life (age &gt; 20)</v>
      </c>
      <c r="P400" s="161" t="str">
        <f>'Engineering Assumptions'!H39</f>
        <v>Tantri TFB40 ~Rs. 4–5M (no engine)</v>
      </c>
    </row>
    <row r="401" spans="1:16" ht="15" customHeight="1" x14ac:dyDescent="0.3">
      <c r="A401" s="199" t="s">
        <v>817</v>
      </c>
      <c r="B401" s="200"/>
      <c r="C401" s="200"/>
      <c r="D401" s="200"/>
      <c r="E401" s="200"/>
      <c r="F401" s="200"/>
      <c r="G401" s="200"/>
      <c r="H401" s="200"/>
      <c r="I401" s="200"/>
      <c r="J401" s="200"/>
      <c r="K401" s="200"/>
      <c r="L401" s="200"/>
      <c r="M401" s="200"/>
      <c r="N401" s="200"/>
      <c r="O401" s="200"/>
      <c r="P401" s="200"/>
    </row>
    <row r="402" spans="1:16" ht="15" customHeight="1" x14ac:dyDescent="0.3">
      <c r="A402" s="9">
        <v>375</v>
      </c>
      <c r="B402" s="157" t="s">
        <v>818</v>
      </c>
      <c r="C402" s="157" t="s">
        <v>819</v>
      </c>
      <c r="D402" s="157" t="s">
        <v>820</v>
      </c>
      <c r="E402" s="157" t="s">
        <v>821</v>
      </c>
      <c r="F402" s="48" t="s">
        <v>440</v>
      </c>
      <c r="G402" s="9">
        <v>21</v>
      </c>
      <c r="H402" s="158">
        <f>'Engineering Assumptions'!$F$40*0.06*1</f>
        <v>0.54</v>
      </c>
      <c r="I402" s="158">
        <f>'Engineering Assumptions'!$F$40*1</f>
        <v>9</v>
      </c>
      <c r="J402" s="12">
        <f>'Fleet Pricing'!L402</f>
        <v>179500</v>
      </c>
      <c r="K402" s="12">
        <f>'Maintenance &amp; Repair'!J402+'Maintenance &amp; Repair'!K402</f>
        <v>82080</v>
      </c>
      <c r="L402" s="159">
        <f t="shared" ref="L402:L407" si="57">IFERROR(K402/J402,0)</f>
        <v>0.45727019498607241</v>
      </c>
      <c r="M402" s="9">
        <f>MAX(0,'Engineering Assumptions'!$G$40-G402)</f>
        <v>0</v>
      </c>
      <c r="N402" s="160" t="str">
        <f t="shared" ref="N402:N407" si="58">IF(G402&gt;=20,"REPLACE",IF(L402&gt;0.6,"REPLACE",IF(G402&gt;=15,"REPLACE",IF(OR(G402&gt;=11,L402&gt;0.4),"MONITOR","KEEP"))))</f>
        <v>REPLACE</v>
      </c>
      <c r="O402" s="161" t="str">
        <f t="shared" ref="O402:O407" si="59">IF(G402&gt;=20,"End of life (age &gt; 20)",IF(L402&gt;0.6,"Repairs exceed 60% of revenue",IF(G402&gt;=15,"Age 15+ → replace",IF(OR(G402&gt;=11,L402&gt;0.4),"Watch costs; plan replacement","Healthy — continue operating"))))</f>
        <v>End of life (age &gt; 20)</v>
      </c>
      <c r="P402" s="161" t="str">
        <f>'Engineering Assumptions'!H40</f>
        <v>TATA 207 + bowser ~Rs. 8–10M</v>
      </c>
    </row>
    <row r="403" spans="1:16" ht="15" customHeight="1" x14ac:dyDescent="0.3">
      <c r="A403" s="9">
        <v>376</v>
      </c>
      <c r="B403" s="157" t="s">
        <v>818</v>
      </c>
      <c r="C403" s="157" t="s">
        <v>618</v>
      </c>
      <c r="D403" s="157" t="s">
        <v>822</v>
      </c>
      <c r="E403" s="157" t="s">
        <v>823</v>
      </c>
      <c r="F403" s="48" t="s">
        <v>440</v>
      </c>
      <c r="G403" s="9">
        <v>21</v>
      </c>
      <c r="H403" s="158">
        <f>'Engineering Assumptions'!$F$40*0.06*1</f>
        <v>0.54</v>
      </c>
      <c r="I403" s="158">
        <f>'Engineering Assumptions'!$F$40*1</f>
        <v>9</v>
      </c>
      <c r="J403" s="12">
        <f>'Fleet Pricing'!L403</f>
        <v>179500</v>
      </c>
      <c r="K403" s="12">
        <f>'Maintenance &amp; Repair'!J403+'Maintenance &amp; Repair'!K403</f>
        <v>82080</v>
      </c>
      <c r="L403" s="159">
        <f t="shared" si="57"/>
        <v>0.45727019498607241</v>
      </c>
      <c r="M403" s="9">
        <f>MAX(0,'Engineering Assumptions'!$G$40-G403)</f>
        <v>0</v>
      </c>
      <c r="N403" s="160" t="str">
        <f t="shared" si="58"/>
        <v>REPLACE</v>
      </c>
      <c r="O403" s="161" t="str">
        <f t="shared" si="59"/>
        <v>End of life (age &gt; 20)</v>
      </c>
      <c r="P403" s="161" t="str">
        <f>'Engineering Assumptions'!H40</f>
        <v>TATA 207 + bowser ~Rs. 8–10M</v>
      </c>
    </row>
    <row r="404" spans="1:16" ht="15" customHeight="1" x14ac:dyDescent="0.3">
      <c r="A404" s="9">
        <v>377</v>
      </c>
      <c r="B404" s="157" t="s">
        <v>818</v>
      </c>
      <c r="C404" s="157" t="s">
        <v>819</v>
      </c>
      <c r="D404" s="157" t="s">
        <v>824</v>
      </c>
      <c r="E404" s="157" t="s">
        <v>825</v>
      </c>
      <c r="F404" s="48" t="s">
        <v>314</v>
      </c>
      <c r="G404" s="9">
        <v>36</v>
      </c>
      <c r="H404" s="158">
        <f>'Engineering Assumptions'!$F$40*0.03*1</f>
        <v>0.27</v>
      </c>
      <c r="I404" s="158">
        <f>'Engineering Assumptions'!$F$40*1</f>
        <v>9</v>
      </c>
      <c r="J404" s="12">
        <f>'Fleet Pricing'!L404</f>
        <v>145000</v>
      </c>
      <c r="K404" s="12">
        <f>'Maintenance &amp; Repair'!J404+'Maintenance &amp; Repair'!K404</f>
        <v>82080</v>
      </c>
      <c r="L404" s="159">
        <f t="shared" si="57"/>
        <v>0.5660689655172414</v>
      </c>
      <c r="M404" s="9">
        <f>MAX(0,'Engineering Assumptions'!$G$40-G404)</f>
        <v>0</v>
      </c>
      <c r="N404" s="160" t="str">
        <f t="shared" si="58"/>
        <v>REPLACE</v>
      </c>
      <c r="O404" s="161" t="str">
        <f t="shared" si="59"/>
        <v>End of life (age &gt; 20)</v>
      </c>
      <c r="P404" s="161" t="str">
        <f>'Engineering Assumptions'!H40</f>
        <v>TATA 207 + bowser ~Rs. 8–10M</v>
      </c>
    </row>
    <row r="405" spans="1:16" ht="15" customHeight="1" x14ac:dyDescent="0.3">
      <c r="A405" s="9">
        <v>378</v>
      </c>
      <c r="B405" s="157" t="s">
        <v>818</v>
      </c>
      <c r="C405" s="157" t="s">
        <v>826</v>
      </c>
      <c r="D405" s="157"/>
      <c r="E405" s="157"/>
      <c r="F405" s="48" t="s">
        <v>314</v>
      </c>
      <c r="G405" s="9">
        <v>36</v>
      </c>
      <c r="H405" s="158">
        <f>'Engineering Assumptions'!$F$40*0.03*1</f>
        <v>0.27</v>
      </c>
      <c r="I405" s="158">
        <f>'Engineering Assumptions'!$F$40*1</f>
        <v>9</v>
      </c>
      <c r="J405" s="12">
        <f>'Fleet Pricing'!L405</f>
        <v>145000</v>
      </c>
      <c r="K405" s="12">
        <f>'Maintenance &amp; Repair'!J405+'Maintenance &amp; Repair'!K405</f>
        <v>82080</v>
      </c>
      <c r="L405" s="159">
        <f t="shared" si="57"/>
        <v>0.5660689655172414</v>
      </c>
      <c r="M405" s="9">
        <f>MAX(0,'Engineering Assumptions'!$G$40-G405)</f>
        <v>0</v>
      </c>
      <c r="N405" s="160" t="str">
        <f t="shared" si="58"/>
        <v>REPLACE</v>
      </c>
      <c r="O405" s="161" t="str">
        <f t="shared" si="59"/>
        <v>End of life (age &gt; 20)</v>
      </c>
      <c r="P405" s="161" t="str">
        <f>'Engineering Assumptions'!H40</f>
        <v>TATA 207 + bowser ~Rs. 8–10M</v>
      </c>
    </row>
    <row r="406" spans="1:16" ht="15" customHeight="1" x14ac:dyDescent="0.3">
      <c r="A406" s="9">
        <v>379</v>
      </c>
      <c r="B406" s="157" t="s">
        <v>818</v>
      </c>
      <c r="C406" s="157" t="s">
        <v>827</v>
      </c>
      <c r="D406" s="157" t="s">
        <v>828</v>
      </c>
      <c r="E406" s="157" t="s">
        <v>829</v>
      </c>
      <c r="F406" s="48" t="s">
        <v>195</v>
      </c>
      <c r="G406" s="9">
        <v>30</v>
      </c>
      <c r="H406" s="158">
        <f>'Engineering Assumptions'!$F$40*0.03*1</f>
        <v>0.27</v>
      </c>
      <c r="I406" s="158">
        <f>'Engineering Assumptions'!$F$40*1</f>
        <v>9</v>
      </c>
      <c r="J406" s="12">
        <f>'Fleet Pricing'!L406</f>
        <v>145000</v>
      </c>
      <c r="K406" s="12">
        <f>'Maintenance &amp; Repair'!J406+'Maintenance &amp; Repair'!K406</f>
        <v>82080</v>
      </c>
      <c r="L406" s="159">
        <f t="shared" si="57"/>
        <v>0.5660689655172414</v>
      </c>
      <c r="M406" s="9">
        <f>MAX(0,'Engineering Assumptions'!$G$40-G406)</f>
        <v>0</v>
      </c>
      <c r="N406" s="160" t="str">
        <f t="shared" si="58"/>
        <v>REPLACE</v>
      </c>
      <c r="O406" s="161" t="str">
        <f t="shared" si="59"/>
        <v>End of life (age &gt; 20)</v>
      </c>
      <c r="P406" s="161" t="str">
        <f>'Engineering Assumptions'!H40</f>
        <v>TATA 207 + bowser ~Rs. 8–10M</v>
      </c>
    </row>
    <row r="407" spans="1:16" ht="15" customHeight="1" x14ac:dyDescent="0.3">
      <c r="A407" s="9">
        <v>380</v>
      </c>
      <c r="B407" s="157" t="s">
        <v>818</v>
      </c>
      <c r="C407" s="157" t="s">
        <v>830</v>
      </c>
      <c r="D407" s="157" t="s">
        <v>831</v>
      </c>
      <c r="E407" s="157" t="s">
        <v>832</v>
      </c>
      <c r="F407" s="48" t="s">
        <v>195</v>
      </c>
      <c r="G407" s="9">
        <v>30</v>
      </c>
      <c r="H407" s="158">
        <f>'Engineering Assumptions'!$F$40*0.03*1</f>
        <v>0.27</v>
      </c>
      <c r="I407" s="158">
        <f>'Engineering Assumptions'!$F$40*1</f>
        <v>9</v>
      </c>
      <c r="J407" s="12">
        <f>'Fleet Pricing'!L407</f>
        <v>145000</v>
      </c>
      <c r="K407" s="12">
        <f>'Maintenance &amp; Repair'!J407+'Maintenance &amp; Repair'!K407</f>
        <v>82080</v>
      </c>
      <c r="L407" s="159">
        <f t="shared" si="57"/>
        <v>0.5660689655172414</v>
      </c>
      <c r="M407" s="9">
        <f>MAX(0,'Engineering Assumptions'!$G$40-G407)</f>
        <v>0</v>
      </c>
      <c r="N407" s="160" t="str">
        <f t="shared" si="58"/>
        <v>REPLACE</v>
      </c>
      <c r="O407" s="161" t="str">
        <f t="shared" si="59"/>
        <v>End of life (age &gt; 20)</v>
      </c>
      <c r="P407" s="161" t="str">
        <f>'Engineering Assumptions'!H40</f>
        <v>TATA 207 + bowser ~Rs. 8–10M</v>
      </c>
    </row>
    <row r="408" spans="1:16" ht="15" customHeight="1" x14ac:dyDescent="0.3">
      <c r="A408" s="199" t="s">
        <v>833</v>
      </c>
      <c r="B408" s="200"/>
      <c r="C408" s="200"/>
      <c r="D408" s="200"/>
      <c r="E408" s="200"/>
      <c r="F408" s="200"/>
      <c r="G408" s="200"/>
      <c r="H408" s="200"/>
      <c r="I408" s="200"/>
      <c r="J408" s="200"/>
      <c r="K408" s="200"/>
      <c r="L408" s="200"/>
      <c r="M408" s="200"/>
      <c r="N408" s="200"/>
      <c r="O408" s="200"/>
      <c r="P408" s="200"/>
    </row>
    <row r="409" spans="1:16" ht="15" customHeight="1" x14ac:dyDescent="0.3">
      <c r="A409" s="9">
        <v>381</v>
      </c>
      <c r="B409" s="157" t="s">
        <v>834</v>
      </c>
      <c r="C409" s="157" t="s">
        <v>835</v>
      </c>
      <c r="D409" s="157" t="s">
        <v>836</v>
      </c>
      <c r="E409" s="157"/>
      <c r="F409" s="48" t="s">
        <v>23</v>
      </c>
      <c r="G409" s="9">
        <v>5</v>
      </c>
      <c r="H409" s="158">
        <f>'Engineering Assumptions'!$F$41*0.5*1.1</f>
        <v>23.1</v>
      </c>
      <c r="I409" s="158">
        <f>'Engineering Assumptions'!$F$41*1.1</f>
        <v>46.2</v>
      </c>
      <c r="J409" s="12">
        <f>'Fleet Pricing'!L409</f>
        <v>1072000</v>
      </c>
      <c r="K409" s="12">
        <f>'Maintenance &amp; Repair'!J409+'Maintenance &amp; Repair'!K409</f>
        <v>70752.000000000015</v>
      </c>
      <c r="L409" s="159">
        <f t="shared" ref="L409:L449" si="60">IFERROR(K409/J409,0)</f>
        <v>6.6000000000000017E-2</v>
      </c>
      <c r="M409" s="9">
        <f>MAX(0,'Engineering Assumptions'!$G$41-G409)</f>
        <v>10</v>
      </c>
      <c r="N409" s="160" t="str">
        <f t="shared" ref="N409:N449" si="61">IF(G409&gt;=20,"REPLACE",IF(L409&gt;0.6,"REPLACE",IF(G409&gt;=15,"REPLACE",IF(OR(G409&gt;=11,L409&gt;0.4),"MONITOR","KEEP"))))</f>
        <v>KEEP</v>
      </c>
      <c r="O409" s="161" t="str">
        <f t="shared" ref="O409:O449" si="62">IF(G409&gt;=20,"End of life (age &gt; 20)",IF(L409&gt;0.6,"Repairs exceed 60% of revenue",IF(G409&gt;=15,"Age 15+ → replace",IF(OR(G409&gt;=11,L409&gt;0.4),"Watch costs; plan replacement","Healthy — continue operating"))))</f>
        <v>Healthy — continue operating</v>
      </c>
      <c r="P409" s="161" t="str">
        <f>'Engineering Assumptions'!H41</f>
        <v>20T class HYUNDAI R220 / CAT 320 ~Rs. 38–48M</v>
      </c>
    </row>
    <row r="410" spans="1:16" ht="15" customHeight="1" x14ac:dyDescent="0.3">
      <c r="A410" s="9">
        <v>382</v>
      </c>
      <c r="B410" s="157" t="s">
        <v>834</v>
      </c>
      <c r="C410" s="157" t="s">
        <v>835</v>
      </c>
      <c r="D410" s="157" t="s">
        <v>837</v>
      </c>
      <c r="E410" s="157"/>
      <c r="F410" s="48" t="s">
        <v>23</v>
      </c>
      <c r="G410" s="9">
        <v>5</v>
      </c>
      <c r="H410" s="158">
        <f>'Engineering Assumptions'!$F$41*0.5*1.1</f>
        <v>23.1</v>
      </c>
      <c r="I410" s="158">
        <f>'Engineering Assumptions'!$F$41*1.1</f>
        <v>46.2</v>
      </c>
      <c r="J410" s="12">
        <f>'Fleet Pricing'!L410</f>
        <v>1072000</v>
      </c>
      <c r="K410" s="12">
        <f>'Maintenance &amp; Repair'!J410+'Maintenance &amp; Repair'!K410</f>
        <v>70752.000000000015</v>
      </c>
      <c r="L410" s="159">
        <f t="shared" si="60"/>
        <v>6.6000000000000017E-2</v>
      </c>
      <c r="M410" s="9">
        <f>MAX(0,'Engineering Assumptions'!$G$41-G410)</f>
        <v>10</v>
      </c>
      <c r="N410" s="160" t="str">
        <f t="shared" si="61"/>
        <v>KEEP</v>
      </c>
      <c r="O410" s="161" t="str">
        <f t="shared" si="62"/>
        <v>Healthy — continue operating</v>
      </c>
      <c r="P410" s="161" t="str">
        <f>'Engineering Assumptions'!H41</f>
        <v>20T class HYUNDAI R220 / CAT 320 ~Rs. 38–48M</v>
      </c>
    </row>
    <row r="411" spans="1:16" ht="15" customHeight="1" x14ac:dyDescent="0.3">
      <c r="A411" s="9">
        <v>383</v>
      </c>
      <c r="B411" s="157" t="s">
        <v>834</v>
      </c>
      <c r="C411" s="157" t="s">
        <v>835</v>
      </c>
      <c r="D411" s="157" t="s">
        <v>838</v>
      </c>
      <c r="E411" s="157"/>
      <c r="F411" s="48" t="s">
        <v>23</v>
      </c>
      <c r="G411" s="9">
        <v>5</v>
      </c>
      <c r="H411" s="158">
        <f>'Engineering Assumptions'!$F$41*0.5*1.1</f>
        <v>23.1</v>
      </c>
      <c r="I411" s="158">
        <f>'Engineering Assumptions'!$F$41*1.1</f>
        <v>46.2</v>
      </c>
      <c r="J411" s="12">
        <f>'Fleet Pricing'!L411</f>
        <v>1072000</v>
      </c>
      <c r="K411" s="12">
        <f>'Maintenance &amp; Repair'!J411+'Maintenance &amp; Repair'!K411</f>
        <v>70752.000000000015</v>
      </c>
      <c r="L411" s="159">
        <f t="shared" si="60"/>
        <v>6.6000000000000017E-2</v>
      </c>
      <c r="M411" s="9">
        <f>MAX(0,'Engineering Assumptions'!$G$41-G411)</f>
        <v>10</v>
      </c>
      <c r="N411" s="160" t="str">
        <f t="shared" si="61"/>
        <v>KEEP</v>
      </c>
      <c r="O411" s="161" t="str">
        <f t="shared" si="62"/>
        <v>Healthy — continue operating</v>
      </c>
      <c r="P411" s="161" t="str">
        <f>'Engineering Assumptions'!H41</f>
        <v>20T class HYUNDAI R220 / CAT 320 ~Rs. 38–48M</v>
      </c>
    </row>
    <row r="412" spans="1:16" ht="15" customHeight="1" x14ac:dyDescent="0.3">
      <c r="A412" s="9">
        <v>384</v>
      </c>
      <c r="B412" s="157" t="s">
        <v>834</v>
      </c>
      <c r="C412" s="157" t="s">
        <v>835</v>
      </c>
      <c r="D412" s="157" t="s">
        <v>839</v>
      </c>
      <c r="E412" s="157"/>
      <c r="F412" s="48" t="s">
        <v>23</v>
      </c>
      <c r="G412" s="9">
        <v>5</v>
      </c>
      <c r="H412" s="158">
        <f>'Engineering Assumptions'!$F$41*0.5*1.1</f>
        <v>23.1</v>
      </c>
      <c r="I412" s="158">
        <f>'Engineering Assumptions'!$F$41*1.1</f>
        <v>46.2</v>
      </c>
      <c r="J412" s="12">
        <f>'Fleet Pricing'!L412</f>
        <v>1072000</v>
      </c>
      <c r="K412" s="12">
        <f>'Maintenance &amp; Repair'!J412+'Maintenance &amp; Repair'!K412</f>
        <v>70752.000000000015</v>
      </c>
      <c r="L412" s="159">
        <f t="shared" si="60"/>
        <v>6.6000000000000017E-2</v>
      </c>
      <c r="M412" s="9">
        <f>MAX(0,'Engineering Assumptions'!$G$41-G412)</f>
        <v>10</v>
      </c>
      <c r="N412" s="160" t="str">
        <f t="shared" si="61"/>
        <v>KEEP</v>
      </c>
      <c r="O412" s="161" t="str">
        <f t="shared" si="62"/>
        <v>Healthy — continue operating</v>
      </c>
      <c r="P412" s="161" t="str">
        <f>'Engineering Assumptions'!H41</f>
        <v>20T class HYUNDAI R220 / CAT 320 ~Rs. 38–48M</v>
      </c>
    </row>
    <row r="413" spans="1:16" ht="15" customHeight="1" x14ac:dyDescent="0.3">
      <c r="A413" s="9">
        <v>385</v>
      </c>
      <c r="B413" s="157" t="s">
        <v>834</v>
      </c>
      <c r="C413" s="157" t="s">
        <v>840</v>
      </c>
      <c r="D413" s="157" t="s">
        <v>841</v>
      </c>
      <c r="E413" s="157"/>
      <c r="F413" s="48" t="s">
        <v>165</v>
      </c>
      <c r="G413" s="9">
        <v>8</v>
      </c>
      <c r="H413" s="158">
        <f>'Engineering Assumptions'!$F$41*0.35*0.65</f>
        <v>9.5549999999999997</v>
      </c>
      <c r="I413" s="158">
        <f>'Engineering Assumptions'!$F$41*0.65</f>
        <v>27.3</v>
      </c>
      <c r="J413" s="12">
        <f>'Fleet Pricing'!L413</f>
        <v>582500</v>
      </c>
      <c r="K413" s="12">
        <f>'Maintenance &amp; Repair'!J413+'Maintenance &amp; Repair'!K413</f>
        <v>67470</v>
      </c>
      <c r="L413" s="159">
        <f t="shared" si="60"/>
        <v>0.11582832618025751</v>
      </c>
      <c r="M413" s="9">
        <f>MAX(0,'Engineering Assumptions'!$G$41-G413)</f>
        <v>7</v>
      </c>
      <c r="N413" s="160" t="str">
        <f t="shared" si="61"/>
        <v>KEEP</v>
      </c>
      <c r="O413" s="161" t="str">
        <f t="shared" si="62"/>
        <v>Healthy — continue operating</v>
      </c>
      <c r="P413" s="161" t="str">
        <f>'Engineering Assumptions'!H41</f>
        <v>20T class HYUNDAI R220 / CAT 320 ~Rs. 38–48M</v>
      </c>
    </row>
    <row r="414" spans="1:16" ht="15" customHeight="1" x14ac:dyDescent="0.3">
      <c r="A414" s="9">
        <v>386</v>
      </c>
      <c r="B414" s="157" t="s">
        <v>834</v>
      </c>
      <c r="C414" s="157" t="s">
        <v>842</v>
      </c>
      <c r="D414" s="157" t="s">
        <v>843</v>
      </c>
      <c r="E414" s="157">
        <v>14160</v>
      </c>
      <c r="F414" s="48" t="s">
        <v>116</v>
      </c>
      <c r="G414" s="9">
        <v>9</v>
      </c>
      <c r="H414" s="158">
        <f>'Engineering Assumptions'!$F$41*0.22*1.15</f>
        <v>10.625999999999999</v>
      </c>
      <c r="I414" s="158">
        <f>'Engineering Assumptions'!$F$41*1.15</f>
        <v>48.3</v>
      </c>
      <c r="J414" s="12">
        <f>'Fleet Pricing'!L414</f>
        <v>1030000</v>
      </c>
      <c r="K414" s="12">
        <f>'Maintenance &amp; Repair'!J414+'Maintenance &amp; Repair'!K414</f>
        <v>119370</v>
      </c>
      <c r="L414" s="159">
        <f t="shared" si="60"/>
        <v>0.11589320388349515</v>
      </c>
      <c r="M414" s="9">
        <f>MAX(0,'Engineering Assumptions'!$G$41-G414)</f>
        <v>6</v>
      </c>
      <c r="N414" s="160" t="str">
        <f t="shared" si="61"/>
        <v>KEEP</v>
      </c>
      <c r="O414" s="161" t="str">
        <f t="shared" si="62"/>
        <v>Healthy — continue operating</v>
      </c>
      <c r="P414" s="161" t="str">
        <f>'Engineering Assumptions'!H41</f>
        <v>20T class HYUNDAI R220 / CAT 320 ~Rs. 38–48M</v>
      </c>
    </row>
    <row r="415" spans="1:16" ht="15" customHeight="1" x14ac:dyDescent="0.3">
      <c r="A415" s="9">
        <v>387</v>
      </c>
      <c r="B415" s="157" t="s">
        <v>834</v>
      </c>
      <c r="C415" s="157" t="s">
        <v>842</v>
      </c>
      <c r="D415" s="157" t="s">
        <v>844</v>
      </c>
      <c r="E415" s="157"/>
      <c r="F415" s="48" t="s">
        <v>116</v>
      </c>
      <c r="G415" s="9">
        <v>9</v>
      </c>
      <c r="H415" s="158">
        <f>'Engineering Assumptions'!$F$41*0.22*1.15</f>
        <v>10.625999999999999</v>
      </c>
      <c r="I415" s="158">
        <f>'Engineering Assumptions'!$F$41*1.15</f>
        <v>48.3</v>
      </c>
      <c r="J415" s="12">
        <f>'Fleet Pricing'!L415</f>
        <v>1030000</v>
      </c>
      <c r="K415" s="12">
        <f>'Maintenance &amp; Repair'!J415+'Maintenance &amp; Repair'!K415</f>
        <v>119370</v>
      </c>
      <c r="L415" s="159">
        <f t="shared" si="60"/>
        <v>0.11589320388349515</v>
      </c>
      <c r="M415" s="9">
        <f>MAX(0,'Engineering Assumptions'!$G$41-G415)</f>
        <v>6</v>
      </c>
      <c r="N415" s="160" t="str">
        <f t="shared" si="61"/>
        <v>KEEP</v>
      </c>
      <c r="O415" s="161" t="str">
        <f t="shared" si="62"/>
        <v>Healthy — continue operating</v>
      </c>
      <c r="P415" s="161" t="str">
        <f>'Engineering Assumptions'!H41</f>
        <v>20T class HYUNDAI R220 / CAT 320 ~Rs. 38–48M</v>
      </c>
    </row>
    <row r="416" spans="1:16" ht="15" customHeight="1" x14ac:dyDescent="0.3">
      <c r="A416" s="9">
        <v>388</v>
      </c>
      <c r="B416" s="157" t="s">
        <v>834</v>
      </c>
      <c r="C416" s="157" t="s">
        <v>842</v>
      </c>
      <c r="D416" s="157" t="s">
        <v>845</v>
      </c>
      <c r="E416" s="157"/>
      <c r="F416" s="48" t="s">
        <v>116</v>
      </c>
      <c r="G416" s="9">
        <v>9</v>
      </c>
      <c r="H416" s="158">
        <f>'Engineering Assumptions'!$F$41*0.22*1.15</f>
        <v>10.625999999999999</v>
      </c>
      <c r="I416" s="158">
        <f>'Engineering Assumptions'!$F$41*1.15</f>
        <v>48.3</v>
      </c>
      <c r="J416" s="12">
        <f>'Fleet Pricing'!L416</f>
        <v>1030000</v>
      </c>
      <c r="K416" s="12">
        <f>'Maintenance &amp; Repair'!J416+'Maintenance &amp; Repair'!K416</f>
        <v>119370</v>
      </c>
      <c r="L416" s="159">
        <f t="shared" si="60"/>
        <v>0.11589320388349515</v>
      </c>
      <c r="M416" s="9">
        <f>MAX(0,'Engineering Assumptions'!$G$41-G416)</f>
        <v>6</v>
      </c>
      <c r="N416" s="160" t="str">
        <f t="shared" si="61"/>
        <v>KEEP</v>
      </c>
      <c r="O416" s="161" t="str">
        <f t="shared" si="62"/>
        <v>Healthy — continue operating</v>
      </c>
      <c r="P416" s="161" t="str">
        <f>'Engineering Assumptions'!H41</f>
        <v>20T class HYUNDAI R220 / CAT 320 ~Rs. 38–48M</v>
      </c>
    </row>
    <row r="417" spans="1:16" ht="15" customHeight="1" x14ac:dyDescent="0.3">
      <c r="A417" s="9">
        <v>389</v>
      </c>
      <c r="B417" s="157" t="s">
        <v>834</v>
      </c>
      <c r="C417" s="157" t="s">
        <v>842</v>
      </c>
      <c r="D417" s="157" t="s">
        <v>846</v>
      </c>
      <c r="E417" s="157">
        <v>14160</v>
      </c>
      <c r="F417" s="48" t="s">
        <v>116</v>
      </c>
      <c r="G417" s="9">
        <v>9</v>
      </c>
      <c r="H417" s="158">
        <f>'Engineering Assumptions'!$F$41*0.22*1.15</f>
        <v>10.625999999999999</v>
      </c>
      <c r="I417" s="158">
        <f>'Engineering Assumptions'!$F$41*1.15</f>
        <v>48.3</v>
      </c>
      <c r="J417" s="12">
        <f>'Fleet Pricing'!L417</f>
        <v>1030000</v>
      </c>
      <c r="K417" s="12">
        <f>'Maintenance &amp; Repair'!J417+'Maintenance &amp; Repair'!K417</f>
        <v>119370</v>
      </c>
      <c r="L417" s="159">
        <f t="shared" si="60"/>
        <v>0.11589320388349515</v>
      </c>
      <c r="M417" s="9">
        <f>MAX(0,'Engineering Assumptions'!$G$41-G417)</f>
        <v>6</v>
      </c>
      <c r="N417" s="160" t="str">
        <f t="shared" si="61"/>
        <v>KEEP</v>
      </c>
      <c r="O417" s="161" t="str">
        <f t="shared" si="62"/>
        <v>Healthy — continue operating</v>
      </c>
      <c r="P417" s="161" t="str">
        <f>'Engineering Assumptions'!H41</f>
        <v>20T class HYUNDAI R220 / CAT 320 ~Rs. 38–48M</v>
      </c>
    </row>
    <row r="418" spans="1:16" ht="15" customHeight="1" x14ac:dyDescent="0.3">
      <c r="A418" s="9">
        <v>390</v>
      </c>
      <c r="B418" s="157" t="s">
        <v>834</v>
      </c>
      <c r="C418" s="157" t="s">
        <v>842</v>
      </c>
      <c r="D418" s="157" t="s">
        <v>847</v>
      </c>
      <c r="E418" s="157">
        <v>14160</v>
      </c>
      <c r="F418" s="48" t="s">
        <v>116</v>
      </c>
      <c r="G418" s="9">
        <v>9</v>
      </c>
      <c r="H418" s="158">
        <f>'Engineering Assumptions'!$F$41*0.22*1.15</f>
        <v>10.625999999999999</v>
      </c>
      <c r="I418" s="158">
        <f>'Engineering Assumptions'!$F$41*1.15</f>
        <v>48.3</v>
      </c>
      <c r="J418" s="12">
        <f>'Fleet Pricing'!L418</f>
        <v>1030000</v>
      </c>
      <c r="K418" s="12">
        <f>'Maintenance &amp; Repair'!J418+'Maintenance &amp; Repair'!K418</f>
        <v>119370</v>
      </c>
      <c r="L418" s="159">
        <f t="shared" si="60"/>
        <v>0.11589320388349515</v>
      </c>
      <c r="M418" s="9">
        <f>MAX(0,'Engineering Assumptions'!$G$41-G418)</f>
        <v>6</v>
      </c>
      <c r="N418" s="160" t="str">
        <f t="shared" si="61"/>
        <v>KEEP</v>
      </c>
      <c r="O418" s="161" t="str">
        <f t="shared" si="62"/>
        <v>Healthy — continue operating</v>
      </c>
      <c r="P418" s="161" t="str">
        <f>'Engineering Assumptions'!H41</f>
        <v>20T class HYUNDAI R220 / CAT 320 ~Rs. 38–48M</v>
      </c>
    </row>
    <row r="419" spans="1:16" ht="15" customHeight="1" x14ac:dyDescent="0.3">
      <c r="A419" s="9">
        <v>391</v>
      </c>
      <c r="B419" s="157" t="s">
        <v>834</v>
      </c>
      <c r="C419" s="157" t="s">
        <v>848</v>
      </c>
      <c r="D419" s="157" t="s">
        <v>849</v>
      </c>
      <c r="E419" s="157"/>
      <c r="F419" s="48" t="s">
        <v>116</v>
      </c>
      <c r="G419" s="9">
        <v>9</v>
      </c>
      <c r="H419" s="158">
        <f>'Engineering Assumptions'!$F$41*0.22*1.1</f>
        <v>10.164000000000001</v>
      </c>
      <c r="I419" s="158">
        <f>'Engineering Assumptions'!$F$41*1.1</f>
        <v>46.2</v>
      </c>
      <c r="J419" s="12">
        <f>'Fleet Pricing'!L419</f>
        <v>985500</v>
      </c>
      <c r="K419" s="12">
        <f>'Maintenance &amp; Repair'!J419+'Maintenance &amp; Repair'!K419</f>
        <v>114180</v>
      </c>
      <c r="L419" s="159">
        <f t="shared" si="60"/>
        <v>0.1158599695585997</v>
      </c>
      <c r="M419" s="9">
        <f>MAX(0,'Engineering Assumptions'!$G$41-G419)</f>
        <v>6</v>
      </c>
      <c r="N419" s="160" t="str">
        <f t="shared" si="61"/>
        <v>KEEP</v>
      </c>
      <c r="O419" s="161" t="str">
        <f t="shared" si="62"/>
        <v>Healthy — continue operating</v>
      </c>
      <c r="P419" s="161" t="str">
        <f>'Engineering Assumptions'!H41</f>
        <v>20T class HYUNDAI R220 / CAT 320 ~Rs. 38–48M</v>
      </c>
    </row>
    <row r="420" spans="1:16" ht="15" customHeight="1" x14ac:dyDescent="0.3">
      <c r="A420" s="9">
        <v>392</v>
      </c>
      <c r="B420" s="157" t="s">
        <v>834</v>
      </c>
      <c r="C420" s="157" t="s">
        <v>848</v>
      </c>
      <c r="D420" s="157" t="s">
        <v>850</v>
      </c>
      <c r="E420" s="157">
        <v>14160</v>
      </c>
      <c r="F420" s="48" t="s">
        <v>116</v>
      </c>
      <c r="G420" s="9">
        <v>9</v>
      </c>
      <c r="H420" s="158">
        <f>'Engineering Assumptions'!$F$41*0.22*1.1</f>
        <v>10.164000000000001</v>
      </c>
      <c r="I420" s="158">
        <f>'Engineering Assumptions'!$F$41*1.1</f>
        <v>46.2</v>
      </c>
      <c r="J420" s="12">
        <f>'Fleet Pricing'!L420</f>
        <v>985500</v>
      </c>
      <c r="K420" s="12">
        <f>'Maintenance &amp; Repair'!J420+'Maintenance &amp; Repair'!K420</f>
        <v>114180</v>
      </c>
      <c r="L420" s="159">
        <f t="shared" si="60"/>
        <v>0.1158599695585997</v>
      </c>
      <c r="M420" s="9">
        <f>MAX(0,'Engineering Assumptions'!$G$41-G420)</f>
        <v>6</v>
      </c>
      <c r="N420" s="160" t="str">
        <f t="shared" si="61"/>
        <v>KEEP</v>
      </c>
      <c r="O420" s="161" t="str">
        <f t="shared" si="62"/>
        <v>Healthy — continue operating</v>
      </c>
      <c r="P420" s="161" t="str">
        <f>'Engineering Assumptions'!H41</f>
        <v>20T class HYUNDAI R220 / CAT 320 ~Rs. 38–48M</v>
      </c>
    </row>
    <row r="421" spans="1:16" ht="15" customHeight="1" x14ac:dyDescent="0.3">
      <c r="A421" s="9">
        <v>393</v>
      </c>
      <c r="B421" s="157" t="s">
        <v>834</v>
      </c>
      <c r="C421" s="157" t="s">
        <v>851</v>
      </c>
      <c r="D421" s="157" t="s">
        <v>852</v>
      </c>
      <c r="E421" s="157"/>
      <c r="F421" s="48" t="s">
        <v>61</v>
      </c>
      <c r="G421" s="9">
        <v>11</v>
      </c>
      <c r="H421" s="158">
        <f>'Engineering Assumptions'!$F$41*0.22*1</f>
        <v>9.24</v>
      </c>
      <c r="I421" s="158">
        <f>'Engineering Assumptions'!$F$41*1</f>
        <v>42</v>
      </c>
      <c r="J421" s="12">
        <f>'Fleet Pricing'!L421</f>
        <v>896500</v>
      </c>
      <c r="K421" s="12">
        <f>'Maintenance &amp; Repair'!J421+'Maintenance &amp; Repair'!K421</f>
        <v>154920</v>
      </c>
      <c r="L421" s="159">
        <f t="shared" si="60"/>
        <v>0.17280535415504741</v>
      </c>
      <c r="M421" s="9">
        <f>MAX(0,'Engineering Assumptions'!$G$41-G421)</f>
        <v>4</v>
      </c>
      <c r="N421" s="160" t="str">
        <f t="shared" si="61"/>
        <v>MONITOR</v>
      </c>
      <c r="O421" s="161" t="str">
        <f t="shared" si="62"/>
        <v>Watch costs; plan replacement</v>
      </c>
      <c r="P421" s="161" t="str">
        <f>'Engineering Assumptions'!H41</f>
        <v>20T class HYUNDAI R220 / CAT 320 ~Rs. 38–48M</v>
      </c>
    </row>
    <row r="422" spans="1:16" ht="15" customHeight="1" x14ac:dyDescent="0.3">
      <c r="A422" s="9">
        <v>394</v>
      </c>
      <c r="B422" s="157" t="s">
        <v>834</v>
      </c>
      <c r="C422" s="157" t="s">
        <v>853</v>
      </c>
      <c r="D422" s="157" t="s">
        <v>854</v>
      </c>
      <c r="E422" s="157"/>
      <c r="F422" s="48" t="s">
        <v>94</v>
      </c>
      <c r="G422" s="9">
        <v>12</v>
      </c>
      <c r="H422" s="158">
        <f>'Engineering Assumptions'!$F$41*0.22*0.55</f>
        <v>5.0820000000000007</v>
      </c>
      <c r="I422" s="158">
        <f>'Engineering Assumptions'!$F$41*0.55</f>
        <v>23.1</v>
      </c>
      <c r="J422" s="12">
        <f>'Fleet Pricing'!L422</f>
        <v>439500</v>
      </c>
      <c r="K422" s="12">
        <f>'Maintenance &amp; Repair'!J422+'Maintenance &amp; Repair'!K422</f>
        <v>85206</v>
      </c>
      <c r="L422" s="159">
        <f t="shared" si="60"/>
        <v>0.19387030716723549</v>
      </c>
      <c r="M422" s="9">
        <f>MAX(0,'Engineering Assumptions'!$G$41-G422)</f>
        <v>3</v>
      </c>
      <c r="N422" s="160" t="str">
        <f t="shared" si="61"/>
        <v>MONITOR</v>
      </c>
      <c r="O422" s="161" t="str">
        <f t="shared" si="62"/>
        <v>Watch costs; plan replacement</v>
      </c>
      <c r="P422" s="161" t="str">
        <f>'Engineering Assumptions'!H41</f>
        <v>20T class HYUNDAI R220 / CAT 320 ~Rs. 38–48M</v>
      </c>
    </row>
    <row r="423" spans="1:16" ht="15" customHeight="1" x14ac:dyDescent="0.3">
      <c r="A423" s="9">
        <v>395</v>
      </c>
      <c r="B423" s="157" t="s">
        <v>834</v>
      </c>
      <c r="C423" s="157" t="s">
        <v>855</v>
      </c>
      <c r="D423" s="157" t="s">
        <v>856</v>
      </c>
      <c r="E423" s="157"/>
      <c r="F423" s="48" t="s">
        <v>94</v>
      </c>
      <c r="G423" s="9">
        <v>12</v>
      </c>
      <c r="H423" s="158">
        <f>'Engineering Assumptions'!$F$41*0.22*0.95</f>
        <v>8.7780000000000005</v>
      </c>
      <c r="I423" s="158">
        <f>'Engineering Assumptions'!$F$41*0.95</f>
        <v>39.9</v>
      </c>
      <c r="J423" s="12">
        <f>'Fleet Pricing'!L423</f>
        <v>759000</v>
      </c>
      <c r="K423" s="12">
        <f>'Maintenance &amp; Repair'!J423+'Maintenance &amp; Repair'!K423</f>
        <v>147174</v>
      </c>
      <c r="L423" s="159">
        <f t="shared" si="60"/>
        <v>0.19390513833992096</v>
      </c>
      <c r="M423" s="9">
        <f>MAX(0,'Engineering Assumptions'!$G$41-G423)</f>
        <v>3</v>
      </c>
      <c r="N423" s="160" t="str">
        <f t="shared" si="61"/>
        <v>MONITOR</v>
      </c>
      <c r="O423" s="161" t="str">
        <f t="shared" si="62"/>
        <v>Watch costs; plan replacement</v>
      </c>
      <c r="P423" s="161" t="str">
        <f>'Engineering Assumptions'!H41</f>
        <v>20T class HYUNDAI R220 / CAT 320 ~Rs. 38–48M</v>
      </c>
    </row>
    <row r="424" spans="1:16" ht="15" customHeight="1" x14ac:dyDescent="0.3">
      <c r="A424" s="9">
        <v>396</v>
      </c>
      <c r="B424" s="157" t="s">
        <v>834</v>
      </c>
      <c r="C424" s="157" t="s">
        <v>857</v>
      </c>
      <c r="D424" s="157" t="s">
        <v>858</v>
      </c>
      <c r="E424" s="157"/>
      <c r="F424" s="48" t="s">
        <v>94</v>
      </c>
      <c r="G424" s="9">
        <v>12</v>
      </c>
      <c r="H424" s="158">
        <f>'Engineering Assumptions'!$F$41*0.22*0.7</f>
        <v>6.468</v>
      </c>
      <c r="I424" s="158">
        <f>'Engineering Assumptions'!$F$41*0.7</f>
        <v>29.4</v>
      </c>
      <c r="J424" s="12">
        <f>'Fleet Pricing'!L424</f>
        <v>559000</v>
      </c>
      <c r="K424" s="12">
        <f>'Maintenance &amp; Repair'!J424+'Maintenance &amp; Repair'!K424</f>
        <v>108444</v>
      </c>
      <c r="L424" s="159">
        <f t="shared" si="60"/>
        <v>0.19399642218246868</v>
      </c>
      <c r="M424" s="9">
        <f>MAX(0,'Engineering Assumptions'!$G$41-G424)</f>
        <v>3</v>
      </c>
      <c r="N424" s="160" t="str">
        <f t="shared" si="61"/>
        <v>MONITOR</v>
      </c>
      <c r="O424" s="161" t="str">
        <f t="shared" si="62"/>
        <v>Watch costs; plan replacement</v>
      </c>
      <c r="P424" s="161" t="str">
        <f>'Engineering Assumptions'!H41</f>
        <v>20T class HYUNDAI R220 / CAT 320 ~Rs. 38–48M</v>
      </c>
    </row>
    <row r="425" spans="1:16" ht="15" customHeight="1" x14ac:dyDescent="0.3">
      <c r="A425" s="9">
        <v>397</v>
      </c>
      <c r="B425" s="157" t="s">
        <v>834</v>
      </c>
      <c r="C425" s="157" t="s">
        <v>859</v>
      </c>
      <c r="D425" s="157" t="s">
        <v>860</v>
      </c>
      <c r="E425" s="157"/>
      <c r="F425" s="48" t="s">
        <v>94</v>
      </c>
      <c r="G425" s="9">
        <v>12</v>
      </c>
      <c r="H425" s="158">
        <f>'Engineering Assumptions'!$F$41*0.22*1</f>
        <v>9.24</v>
      </c>
      <c r="I425" s="158">
        <f>'Engineering Assumptions'!$F$41*1</f>
        <v>42</v>
      </c>
      <c r="J425" s="12">
        <f>'Fleet Pricing'!L425</f>
        <v>798500</v>
      </c>
      <c r="K425" s="12">
        <f>'Maintenance &amp; Repair'!J425+'Maintenance &amp; Repair'!K425</f>
        <v>154920</v>
      </c>
      <c r="L425" s="159">
        <f t="shared" si="60"/>
        <v>0.19401377582968066</v>
      </c>
      <c r="M425" s="9">
        <f>MAX(0,'Engineering Assumptions'!$G$41-G425)</f>
        <v>3</v>
      </c>
      <c r="N425" s="160" t="str">
        <f t="shared" si="61"/>
        <v>MONITOR</v>
      </c>
      <c r="O425" s="161" t="str">
        <f t="shared" si="62"/>
        <v>Watch costs; plan replacement</v>
      </c>
      <c r="P425" s="161" t="str">
        <f>'Engineering Assumptions'!H41</f>
        <v>20T class HYUNDAI R220 / CAT 320 ~Rs. 38–48M</v>
      </c>
    </row>
    <row r="426" spans="1:16" ht="15" customHeight="1" x14ac:dyDescent="0.3">
      <c r="A426" s="9">
        <v>398</v>
      </c>
      <c r="B426" s="157" t="s">
        <v>834</v>
      </c>
      <c r="C426" s="157" t="s">
        <v>861</v>
      </c>
      <c r="D426" s="157" t="s">
        <v>862</v>
      </c>
      <c r="E426" s="157"/>
      <c r="F426" s="48" t="s">
        <v>94</v>
      </c>
      <c r="G426" s="9">
        <v>12</v>
      </c>
      <c r="H426" s="158">
        <f>'Engineering Assumptions'!$F$41*0.22*0.55</f>
        <v>5.0820000000000007</v>
      </c>
      <c r="I426" s="158">
        <f>'Engineering Assumptions'!$F$41*0.55</f>
        <v>23.1</v>
      </c>
      <c r="J426" s="12">
        <f>'Fleet Pricing'!L426</f>
        <v>439500</v>
      </c>
      <c r="K426" s="12">
        <f>'Maintenance &amp; Repair'!J426+'Maintenance &amp; Repair'!K426</f>
        <v>85206</v>
      </c>
      <c r="L426" s="159">
        <f t="shared" si="60"/>
        <v>0.19387030716723549</v>
      </c>
      <c r="M426" s="9">
        <f>MAX(0,'Engineering Assumptions'!$G$41-G426)</f>
        <v>3</v>
      </c>
      <c r="N426" s="160" t="str">
        <f t="shared" si="61"/>
        <v>MONITOR</v>
      </c>
      <c r="O426" s="161" t="str">
        <f t="shared" si="62"/>
        <v>Watch costs; plan replacement</v>
      </c>
      <c r="P426" s="161" t="str">
        <f>'Engineering Assumptions'!H41</f>
        <v>20T class HYUNDAI R220 / CAT 320 ~Rs. 38–48M</v>
      </c>
    </row>
    <row r="427" spans="1:16" ht="15" customHeight="1" x14ac:dyDescent="0.3">
      <c r="A427" s="9">
        <v>399</v>
      </c>
      <c r="B427" s="157" t="s">
        <v>834</v>
      </c>
      <c r="C427" s="157" t="s">
        <v>863</v>
      </c>
      <c r="D427" s="157" t="s">
        <v>864</v>
      </c>
      <c r="E427" s="157"/>
      <c r="F427" s="48" t="s">
        <v>99</v>
      </c>
      <c r="G427" s="9">
        <v>13</v>
      </c>
      <c r="H427" s="158">
        <f>'Engineering Assumptions'!$F$41*0.12*0.85</f>
        <v>4.2839999999999998</v>
      </c>
      <c r="I427" s="158">
        <f>'Engineering Assumptions'!$F$41*0.85</f>
        <v>35.699999999999996</v>
      </c>
      <c r="J427" s="12">
        <f>'Fleet Pricing'!L427</f>
        <v>679500</v>
      </c>
      <c r="K427" s="12">
        <f>'Maintenance &amp; Repair'!J427+'Maintenance &amp; Repair'!K427</f>
        <v>131682</v>
      </c>
      <c r="L427" s="159">
        <f t="shared" si="60"/>
        <v>0.1937924944812362</v>
      </c>
      <c r="M427" s="9">
        <f>MAX(0,'Engineering Assumptions'!$G$41-G427)</f>
        <v>2</v>
      </c>
      <c r="N427" s="160" t="str">
        <f t="shared" si="61"/>
        <v>MONITOR</v>
      </c>
      <c r="O427" s="161" t="str">
        <f t="shared" si="62"/>
        <v>Watch costs; plan replacement</v>
      </c>
      <c r="P427" s="161" t="str">
        <f>'Engineering Assumptions'!H41</f>
        <v>20T class HYUNDAI R220 / CAT 320 ~Rs. 38–48M</v>
      </c>
    </row>
    <row r="428" spans="1:16" ht="15" customHeight="1" x14ac:dyDescent="0.3">
      <c r="A428" s="9">
        <v>400</v>
      </c>
      <c r="B428" s="157" t="s">
        <v>834</v>
      </c>
      <c r="C428" s="157" t="s">
        <v>865</v>
      </c>
      <c r="D428" s="157" t="s">
        <v>866</v>
      </c>
      <c r="E428" s="157"/>
      <c r="F428" s="48" t="s">
        <v>99</v>
      </c>
      <c r="G428" s="9">
        <v>13</v>
      </c>
      <c r="H428" s="158">
        <f>'Engineering Assumptions'!$F$41*0.12*0.55</f>
        <v>2.7720000000000002</v>
      </c>
      <c r="I428" s="158">
        <f>'Engineering Assumptions'!$F$41*0.55</f>
        <v>23.1</v>
      </c>
      <c r="J428" s="12">
        <f>'Fleet Pricing'!L428</f>
        <v>439500</v>
      </c>
      <c r="K428" s="12">
        <f>'Maintenance &amp; Repair'!J428+'Maintenance &amp; Repair'!K428</f>
        <v>85206</v>
      </c>
      <c r="L428" s="159">
        <f t="shared" si="60"/>
        <v>0.19387030716723549</v>
      </c>
      <c r="M428" s="9">
        <f>MAX(0,'Engineering Assumptions'!$G$41-G428)</f>
        <v>2</v>
      </c>
      <c r="N428" s="160" t="str">
        <f t="shared" si="61"/>
        <v>MONITOR</v>
      </c>
      <c r="O428" s="161" t="str">
        <f t="shared" si="62"/>
        <v>Watch costs; plan replacement</v>
      </c>
      <c r="P428" s="161" t="str">
        <f>'Engineering Assumptions'!H41</f>
        <v>20T class HYUNDAI R220 / CAT 320 ~Rs. 38–48M</v>
      </c>
    </row>
    <row r="429" spans="1:16" ht="15" customHeight="1" x14ac:dyDescent="0.3">
      <c r="A429" s="9">
        <v>401</v>
      </c>
      <c r="B429" s="157" t="s">
        <v>834</v>
      </c>
      <c r="C429" s="157" t="s">
        <v>867</v>
      </c>
      <c r="D429" s="157" t="s">
        <v>868</v>
      </c>
      <c r="E429" s="157"/>
      <c r="F429" s="48" t="s">
        <v>99</v>
      </c>
      <c r="G429" s="9">
        <v>13</v>
      </c>
      <c r="H429" s="158">
        <f>'Engineering Assumptions'!$F$41*0.12*1.05</f>
        <v>5.2920000000000007</v>
      </c>
      <c r="I429" s="158">
        <f>'Engineering Assumptions'!$F$41*1.05</f>
        <v>44.1</v>
      </c>
      <c r="J429" s="12">
        <f>'Fleet Pricing'!L429</f>
        <v>838500</v>
      </c>
      <c r="K429" s="12">
        <f>'Maintenance &amp; Repair'!J429+'Maintenance &amp; Repair'!K429</f>
        <v>162666</v>
      </c>
      <c r="L429" s="159">
        <f t="shared" si="60"/>
        <v>0.19399642218246868</v>
      </c>
      <c r="M429" s="9">
        <f>MAX(0,'Engineering Assumptions'!$G$41-G429)</f>
        <v>2</v>
      </c>
      <c r="N429" s="160" t="str">
        <f t="shared" si="61"/>
        <v>MONITOR</v>
      </c>
      <c r="O429" s="161" t="str">
        <f t="shared" si="62"/>
        <v>Watch costs; plan replacement</v>
      </c>
      <c r="P429" s="161" t="str">
        <f>'Engineering Assumptions'!H41</f>
        <v>20T class HYUNDAI R220 / CAT 320 ~Rs. 38–48M</v>
      </c>
    </row>
    <row r="430" spans="1:16" ht="15" customHeight="1" x14ac:dyDescent="0.3">
      <c r="A430" s="9">
        <v>402</v>
      </c>
      <c r="B430" s="157" t="s">
        <v>834</v>
      </c>
      <c r="C430" s="157" t="s">
        <v>869</v>
      </c>
      <c r="D430" s="157" t="s">
        <v>870</v>
      </c>
      <c r="E430" s="157"/>
      <c r="F430" s="48" t="s">
        <v>66</v>
      </c>
      <c r="G430" s="9">
        <v>14</v>
      </c>
      <c r="H430" s="158">
        <f>'Engineering Assumptions'!$F$41*0.12*0.85</f>
        <v>4.2839999999999998</v>
      </c>
      <c r="I430" s="158">
        <f>'Engineering Assumptions'!$F$41*0.85</f>
        <v>35.699999999999996</v>
      </c>
      <c r="J430" s="12">
        <f>'Fleet Pricing'!L430</f>
        <v>679500</v>
      </c>
      <c r="K430" s="12">
        <f>'Maintenance &amp; Repair'!J430+'Maintenance &amp; Repair'!K430</f>
        <v>131682</v>
      </c>
      <c r="L430" s="159">
        <f t="shared" si="60"/>
        <v>0.1937924944812362</v>
      </c>
      <c r="M430" s="9">
        <f>MAX(0,'Engineering Assumptions'!$G$41-G430)</f>
        <v>1</v>
      </c>
      <c r="N430" s="160" t="str">
        <f t="shared" si="61"/>
        <v>MONITOR</v>
      </c>
      <c r="O430" s="161" t="str">
        <f t="shared" si="62"/>
        <v>Watch costs; plan replacement</v>
      </c>
      <c r="P430" s="161" t="str">
        <f>'Engineering Assumptions'!H41</f>
        <v>20T class HYUNDAI R220 / CAT 320 ~Rs. 38–48M</v>
      </c>
    </row>
    <row r="431" spans="1:16" ht="15" customHeight="1" x14ac:dyDescent="0.3">
      <c r="A431" s="9">
        <v>403</v>
      </c>
      <c r="B431" s="157" t="s">
        <v>834</v>
      </c>
      <c r="C431" s="157" t="s">
        <v>871</v>
      </c>
      <c r="D431" s="157" t="s">
        <v>872</v>
      </c>
      <c r="E431" s="157"/>
      <c r="F431" s="48" t="s">
        <v>66</v>
      </c>
      <c r="G431" s="9">
        <v>14</v>
      </c>
      <c r="H431" s="158">
        <f>'Engineering Assumptions'!$F$41*0.12*0.55</f>
        <v>2.7720000000000002</v>
      </c>
      <c r="I431" s="158">
        <f>'Engineering Assumptions'!$F$41*0.55</f>
        <v>23.1</v>
      </c>
      <c r="J431" s="12">
        <f>'Fleet Pricing'!L431</f>
        <v>439500</v>
      </c>
      <c r="K431" s="12">
        <f>'Maintenance &amp; Repair'!J431+'Maintenance &amp; Repair'!K431</f>
        <v>85206</v>
      </c>
      <c r="L431" s="159">
        <f t="shared" si="60"/>
        <v>0.19387030716723549</v>
      </c>
      <c r="M431" s="9">
        <f>MAX(0,'Engineering Assumptions'!$G$41-G431)</f>
        <v>1</v>
      </c>
      <c r="N431" s="160" t="str">
        <f t="shared" si="61"/>
        <v>MONITOR</v>
      </c>
      <c r="O431" s="161" t="str">
        <f t="shared" si="62"/>
        <v>Watch costs; plan replacement</v>
      </c>
      <c r="P431" s="161" t="str">
        <f>'Engineering Assumptions'!H41</f>
        <v>20T class HYUNDAI R220 / CAT 320 ~Rs. 38–48M</v>
      </c>
    </row>
    <row r="432" spans="1:16" ht="15" customHeight="1" x14ac:dyDescent="0.3">
      <c r="A432" s="9">
        <v>404</v>
      </c>
      <c r="B432" s="157" t="s">
        <v>834</v>
      </c>
      <c r="C432" s="157" t="s">
        <v>873</v>
      </c>
      <c r="D432" s="157" t="s">
        <v>874</v>
      </c>
      <c r="E432" s="157"/>
      <c r="F432" s="48" t="s">
        <v>66</v>
      </c>
      <c r="G432" s="9">
        <v>14</v>
      </c>
      <c r="H432" s="158">
        <f>'Engineering Assumptions'!$F$41*0.12*0.7</f>
        <v>3.5279999999999996</v>
      </c>
      <c r="I432" s="158">
        <f>'Engineering Assumptions'!$F$41*0.7</f>
        <v>29.4</v>
      </c>
      <c r="J432" s="12">
        <f>'Fleet Pricing'!L432</f>
        <v>559000</v>
      </c>
      <c r="K432" s="12">
        <f>'Maintenance &amp; Repair'!J432+'Maintenance &amp; Repair'!K432</f>
        <v>108444</v>
      </c>
      <c r="L432" s="159">
        <f t="shared" si="60"/>
        <v>0.19399642218246868</v>
      </c>
      <c r="M432" s="9">
        <f>MAX(0,'Engineering Assumptions'!$G$41-G432)</f>
        <v>1</v>
      </c>
      <c r="N432" s="160" t="str">
        <f t="shared" si="61"/>
        <v>MONITOR</v>
      </c>
      <c r="O432" s="161" t="str">
        <f t="shared" si="62"/>
        <v>Watch costs; plan replacement</v>
      </c>
      <c r="P432" s="161" t="str">
        <f>'Engineering Assumptions'!H41</f>
        <v>20T class HYUNDAI R220 / CAT 320 ~Rs. 38–48M</v>
      </c>
    </row>
    <row r="433" spans="1:16" ht="15" customHeight="1" x14ac:dyDescent="0.3">
      <c r="A433" s="9">
        <v>405</v>
      </c>
      <c r="B433" s="157" t="s">
        <v>834</v>
      </c>
      <c r="C433" s="157" t="s">
        <v>875</v>
      </c>
      <c r="D433" s="157" t="s">
        <v>876</v>
      </c>
      <c r="E433" s="157"/>
      <c r="F433" s="48" t="s">
        <v>458</v>
      </c>
      <c r="G433" s="9">
        <v>15</v>
      </c>
      <c r="H433" s="158">
        <f>'Engineering Assumptions'!$F$41*0.12*0.85</f>
        <v>4.2839999999999998</v>
      </c>
      <c r="I433" s="158">
        <f>'Engineering Assumptions'!$F$41*0.85</f>
        <v>35.699999999999996</v>
      </c>
      <c r="J433" s="12">
        <f>'Fleet Pricing'!L433</f>
        <v>679500</v>
      </c>
      <c r="K433" s="12">
        <f>'Maintenance &amp; Repair'!J433+'Maintenance &amp; Repair'!K433</f>
        <v>131682</v>
      </c>
      <c r="L433" s="159">
        <f t="shared" si="60"/>
        <v>0.1937924944812362</v>
      </c>
      <c r="M433" s="9">
        <f>MAX(0,'Engineering Assumptions'!$G$41-G433)</f>
        <v>0</v>
      </c>
      <c r="N433" s="160" t="str">
        <f t="shared" si="61"/>
        <v>REPLACE</v>
      </c>
      <c r="O433" s="161" t="str">
        <f t="shared" si="62"/>
        <v>Age 15+ → replace</v>
      </c>
      <c r="P433" s="161" t="str">
        <f>'Engineering Assumptions'!H41</f>
        <v>20T class HYUNDAI R220 / CAT 320 ~Rs. 38–48M</v>
      </c>
    </row>
    <row r="434" spans="1:16" ht="15" customHeight="1" x14ac:dyDescent="0.3">
      <c r="A434" s="9">
        <v>406</v>
      </c>
      <c r="B434" s="157" t="s">
        <v>834</v>
      </c>
      <c r="C434" s="157" t="s">
        <v>877</v>
      </c>
      <c r="D434" s="157" t="s">
        <v>878</v>
      </c>
      <c r="E434" s="157"/>
      <c r="F434" s="48" t="s">
        <v>107</v>
      </c>
      <c r="G434" s="9">
        <v>16</v>
      </c>
      <c r="H434" s="158">
        <f>'Engineering Assumptions'!$F$41*0.12*1</f>
        <v>5.04</v>
      </c>
      <c r="I434" s="158">
        <f>'Engineering Assumptions'!$F$41*1</f>
        <v>42</v>
      </c>
      <c r="J434" s="12">
        <f>'Fleet Pricing'!L434</f>
        <v>798500</v>
      </c>
      <c r="K434" s="12">
        <f>'Maintenance &amp; Repair'!J434+'Maintenance &amp; Repair'!K434</f>
        <v>219960</v>
      </c>
      <c r="L434" s="159">
        <f t="shared" si="60"/>
        <v>0.27546649968691295</v>
      </c>
      <c r="M434" s="9">
        <f>MAX(0,'Engineering Assumptions'!$G$41-G434)</f>
        <v>0</v>
      </c>
      <c r="N434" s="160" t="str">
        <f t="shared" si="61"/>
        <v>REPLACE</v>
      </c>
      <c r="O434" s="161" t="str">
        <f t="shared" si="62"/>
        <v>Age 15+ → replace</v>
      </c>
      <c r="P434" s="161" t="str">
        <f>'Engineering Assumptions'!H41</f>
        <v>20T class HYUNDAI R220 / CAT 320 ~Rs. 38–48M</v>
      </c>
    </row>
    <row r="435" spans="1:16" ht="15" customHeight="1" x14ac:dyDescent="0.3">
      <c r="A435" s="9">
        <v>407</v>
      </c>
      <c r="B435" s="157" t="s">
        <v>834</v>
      </c>
      <c r="C435" s="157" t="s">
        <v>875</v>
      </c>
      <c r="D435" s="157" t="s">
        <v>879</v>
      </c>
      <c r="E435" s="157"/>
      <c r="F435" s="48" t="s">
        <v>107</v>
      </c>
      <c r="G435" s="9">
        <v>16</v>
      </c>
      <c r="H435" s="158">
        <f>'Engineering Assumptions'!$F$41*0.12*0.85</f>
        <v>4.2839999999999998</v>
      </c>
      <c r="I435" s="158">
        <f>'Engineering Assumptions'!$F$41*0.85</f>
        <v>35.699999999999996</v>
      </c>
      <c r="J435" s="12">
        <f>'Fleet Pricing'!L435</f>
        <v>679500</v>
      </c>
      <c r="K435" s="12">
        <f>'Maintenance &amp; Repair'!J435+'Maintenance &amp; Repair'!K435</f>
        <v>186966</v>
      </c>
      <c r="L435" s="159">
        <f t="shared" si="60"/>
        <v>0.27515231788079469</v>
      </c>
      <c r="M435" s="9">
        <f>MAX(0,'Engineering Assumptions'!$G$41-G435)</f>
        <v>0</v>
      </c>
      <c r="N435" s="160" t="str">
        <f t="shared" si="61"/>
        <v>REPLACE</v>
      </c>
      <c r="O435" s="161" t="str">
        <f t="shared" si="62"/>
        <v>Age 15+ → replace</v>
      </c>
      <c r="P435" s="161" t="str">
        <f>'Engineering Assumptions'!H41</f>
        <v>20T class HYUNDAI R220 / CAT 320 ~Rs. 38–48M</v>
      </c>
    </row>
    <row r="436" spans="1:16" ht="15" customHeight="1" x14ac:dyDescent="0.3">
      <c r="A436" s="9">
        <v>408</v>
      </c>
      <c r="B436" s="157" t="s">
        <v>834</v>
      </c>
      <c r="C436" s="157" t="s">
        <v>880</v>
      </c>
      <c r="D436" s="157" t="s">
        <v>881</v>
      </c>
      <c r="E436" s="157"/>
      <c r="F436" s="48" t="s">
        <v>107</v>
      </c>
      <c r="G436" s="9">
        <v>16</v>
      </c>
      <c r="H436" s="158">
        <f>'Engineering Assumptions'!$F$41*0.12*0.55</f>
        <v>2.7720000000000002</v>
      </c>
      <c r="I436" s="158">
        <f>'Engineering Assumptions'!$F$41*0.55</f>
        <v>23.1</v>
      </c>
      <c r="J436" s="12">
        <f>'Fleet Pricing'!L436</f>
        <v>439500</v>
      </c>
      <c r="K436" s="12">
        <f>'Maintenance &amp; Repair'!J436+'Maintenance &amp; Repair'!K436</f>
        <v>120978</v>
      </c>
      <c r="L436" s="159">
        <f t="shared" si="60"/>
        <v>0.27526279863481229</v>
      </c>
      <c r="M436" s="9">
        <f>MAX(0,'Engineering Assumptions'!$G$41-G436)</f>
        <v>0</v>
      </c>
      <c r="N436" s="160" t="str">
        <f t="shared" si="61"/>
        <v>REPLACE</v>
      </c>
      <c r="O436" s="161" t="str">
        <f t="shared" si="62"/>
        <v>Age 15+ → replace</v>
      </c>
      <c r="P436" s="161" t="str">
        <f>'Engineering Assumptions'!H41</f>
        <v>20T class HYUNDAI R220 / CAT 320 ~Rs. 38–48M</v>
      </c>
    </row>
    <row r="437" spans="1:16" ht="15" customHeight="1" x14ac:dyDescent="0.3">
      <c r="A437" s="9">
        <v>409</v>
      </c>
      <c r="B437" s="157" t="s">
        <v>834</v>
      </c>
      <c r="C437" s="157" t="s">
        <v>882</v>
      </c>
      <c r="D437" s="157" t="s">
        <v>883</v>
      </c>
      <c r="E437" s="157"/>
      <c r="F437" s="48" t="s">
        <v>110</v>
      </c>
      <c r="G437" s="9">
        <v>17</v>
      </c>
      <c r="H437" s="158">
        <f>'Engineering Assumptions'!$F$41*0.12*0.7</f>
        <v>3.5279999999999996</v>
      </c>
      <c r="I437" s="158">
        <f>'Engineering Assumptions'!$F$41*0.7</f>
        <v>29.4</v>
      </c>
      <c r="J437" s="12">
        <f>'Fleet Pricing'!L437</f>
        <v>490500</v>
      </c>
      <c r="K437" s="12">
        <f>'Maintenance &amp; Repair'!J437+'Maintenance &amp; Repair'!K437</f>
        <v>153972</v>
      </c>
      <c r="L437" s="159">
        <f t="shared" si="60"/>
        <v>0.31390825688073393</v>
      </c>
      <c r="M437" s="9">
        <f>MAX(0,'Engineering Assumptions'!$G$41-G437)</f>
        <v>0</v>
      </c>
      <c r="N437" s="160" t="str">
        <f t="shared" si="61"/>
        <v>REPLACE</v>
      </c>
      <c r="O437" s="161" t="str">
        <f t="shared" si="62"/>
        <v>Age 15+ → replace</v>
      </c>
      <c r="P437" s="161" t="str">
        <f>'Engineering Assumptions'!H41</f>
        <v>20T class HYUNDAI R220 / CAT 320 ~Rs. 38–48M</v>
      </c>
    </row>
    <row r="438" spans="1:16" ht="15" customHeight="1" x14ac:dyDescent="0.3">
      <c r="A438" s="9">
        <v>410</v>
      </c>
      <c r="B438" s="157" t="s">
        <v>834</v>
      </c>
      <c r="C438" s="157" t="s">
        <v>884</v>
      </c>
      <c r="D438" s="157" t="s">
        <v>885</v>
      </c>
      <c r="E438" s="157"/>
      <c r="F438" s="48" t="s">
        <v>110</v>
      </c>
      <c r="G438" s="9">
        <v>17</v>
      </c>
      <c r="H438" s="158">
        <f>'Engineering Assumptions'!$F$41*0.12*0.55</f>
        <v>2.7720000000000002</v>
      </c>
      <c r="I438" s="158">
        <f>'Engineering Assumptions'!$F$41*0.55</f>
        <v>23.1</v>
      </c>
      <c r="J438" s="12">
        <f>'Fleet Pricing'!L438</f>
        <v>385500</v>
      </c>
      <c r="K438" s="12">
        <f>'Maintenance &amp; Repair'!J438+'Maintenance &amp; Repair'!K438</f>
        <v>120978</v>
      </c>
      <c r="L438" s="159">
        <f t="shared" si="60"/>
        <v>0.31382101167315174</v>
      </c>
      <c r="M438" s="9">
        <f>MAX(0,'Engineering Assumptions'!$G$41-G438)</f>
        <v>0</v>
      </c>
      <c r="N438" s="160" t="str">
        <f t="shared" si="61"/>
        <v>REPLACE</v>
      </c>
      <c r="O438" s="161" t="str">
        <f t="shared" si="62"/>
        <v>Age 15+ → replace</v>
      </c>
      <c r="P438" s="161" t="str">
        <f>'Engineering Assumptions'!H41</f>
        <v>20T class HYUNDAI R220 / CAT 320 ~Rs. 38–48M</v>
      </c>
    </row>
    <row r="439" spans="1:16" ht="15" customHeight="1" x14ac:dyDescent="0.3">
      <c r="A439" s="9">
        <v>411</v>
      </c>
      <c r="B439" s="157" t="s">
        <v>834</v>
      </c>
      <c r="C439" s="157" t="s">
        <v>886</v>
      </c>
      <c r="D439" s="157" t="s">
        <v>887</v>
      </c>
      <c r="E439" s="157"/>
      <c r="F439" s="48" t="s">
        <v>110</v>
      </c>
      <c r="G439" s="9">
        <v>17</v>
      </c>
      <c r="H439" s="158">
        <f>'Engineering Assumptions'!$F$41*0.12*0.55</f>
        <v>2.7720000000000002</v>
      </c>
      <c r="I439" s="158">
        <f>'Engineering Assumptions'!$F$41*0.55</f>
        <v>23.1</v>
      </c>
      <c r="J439" s="12">
        <f>'Fleet Pricing'!L439</f>
        <v>385500</v>
      </c>
      <c r="K439" s="12">
        <f>'Maintenance &amp; Repair'!J439+'Maintenance &amp; Repair'!K439</f>
        <v>120978</v>
      </c>
      <c r="L439" s="159">
        <f t="shared" si="60"/>
        <v>0.31382101167315174</v>
      </c>
      <c r="M439" s="9">
        <f>MAX(0,'Engineering Assumptions'!$G$41-G439)</f>
        <v>0</v>
      </c>
      <c r="N439" s="160" t="str">
        <f t="shared" si="61"/>
        <v>REPLACE</v>
      </c>
      <c r="O439" s="161" t="str">
        <f t="shared" si="62"/>
        <v>Age 15+ → replace</v>
      </c>
      <c r="P439" s="161" t="str">
        <f>'Engineering Assumptions'!H41</f>
        <v>20T class HYUNDAI R220 / CAT 320 ~Rs. 38–48M</v>
      </c>
    </row>
    <row r="440" spans="1:16" ht="15" customHeight="1" x14ac:dyDescent="0.3">
      <c r="A440" s="9">
        <v>412</v>
      </c>
      <c r="B440" s="157" t="s">
        <v>834</v>
      </c>
      <c r="C440" s="157" t="s">
        <v>888</v>
      </c>
      <c r="D440" s="157" t="s">
        <v>889</v>
      </c>
      <c r="E440" s="157"/>
      <c r="F440" s="48" t="s">
        <v>110</v>
      </c>
      <c r="G440" s="9">
        <v>17</v>
      </c>
      <c r="H440" s="158">
        <f>'Engineering Assumptions'!$F$41*0.12*1</f>
        <v>5.04</v>
      </c>
      <c r="I440" s="158">
        <f>'Engineering Assumptions'!$F$41*1</f>
        <v>42</v>
      </c>
      <c r="J440" s="12">
        <f>'Fleet Pricing'!L440</f>
        <v>702000</v>
      </c>
      <c r="K440" s="12">
        <f>'Maintenance &amp; Repair'!J440+'Maintenance &amp; Repair'!K440</f>
        <v>219960</v>
      </c>
      <c r="L440" s="159">
        <f t="shared" si="60"/>
        <v>0.31333333333333335</v>
      </c>
      <c r="M440" s="9">
        <f>MAX(0,'Engineering Assumptions'!$G$41-G440)</f>
        <v>0</v>
      </c>
      <c r="N440" s="160" t="str">
        <f t="shared" si="61"/>
        <v>REPLACE</v>
      </c>
      <c r="O440" s="161" t="str">
        <f t="shared" si="62"/>
        <v>Age 15+ → replace</v>
      </c>
      <c r="P440" s="161" t="str">
        <f>'Engineering Assumptions'!H41</f>
        <v>20T class HYUNDAI R220 / CAT 320 ~Rs. 38–48M</v>
      </c>
    </row>
    <row r="441" spans="1:16" ht="15" customHeight="1" x14ac:dyDescent="0.3">
      <c r="A441" s="9">
        <v>413</v>
      </c>
      <c r="B441" s="157" t="s">
        <v>834</v>
      </c>
      <c r="C441" s="157" t="s">
        <v>890</v>
      </c>
      <c r="D441" s="157" t="s">
        <v>891</v>
      </c>
      <c r="E441" s="157"/>
      <c r="F441" s="48" t="s">
        <v>110</v>
      </c>
      <c r="G441" s="9">
        <v>17</v>
      </c>
      <c r="H441" s="158">
        <f>'Engineering Assumptions'!$F$41*0.12*0.55</f>
        <v>2.7720000000000002</v>
      </c>
      <c r="I441" s="158">
        <f>'Engineering Assumptions'!$F$41*0.55</f>
        <v>23.1</v>
      </c>
      <c r="J441" s="12">
        <f>'Fleet Pricing'!L441</f>
        <v>385500</v>
      </c>
      <c r="K441" s="12">
        <f>'Maintenance &amp; Repair'!J441+'Maintenance &amp; Repair'!K441</f>
        <v>120978</v>
      </c>
      <c r="L441" s="159">
        <f t="shared" si="60"/>
        <v>0.31382101167315174</v>
      </c>
      <c r="M441" s="9">
        <f>MAX(0,'Engineering Assumptions'!$G$41-G441)</f>
        <v>0</v>
      </c>
      <c r="N441" s="160" t="str">
        <f t="shared" si="61"/>
        <v>REPLACE</v>
      </c>
      <c r="O441" s="161" t="str">
        <f t="shared" si="62"/>
        <v>Age 15+ → replace</v>
      </c>
      <c r="P441" s="161" t="str">
        <f>'Engineering Assumptions'!H41</f>
        <v>20T class HYUNDAI R220 / CAT 320 ~Rs. 38–48M</v>
      </c>
    </row>
    <row r="442" spans="1:16" ht="15" customHeight="1" x14ac:dyDescent="0.3">
      <c r="A442" s="9">
        <v>414</v>
      </c>
      <c r="B442" s="157" t="s">
        <v>834</v>
      </c>
      <c r="C442" s="157" t="s">
        <v>188</v>
      </c>
      <c r="D442" s="157" t="s">
        <v>892</v>
      </c>
      <c r="E442" s="157"/>
      <c r="F442" s="48" t="s">
        <v>195</v>
      </c>
      <c r="G442" s="9">
        <v>30</v>
      </c>
      <c r="H442" s="158">
        <f>'Engineering Assumptions'!$F$41*0.03*1</f>
        <v>1.26</v>
      </c>
      <c r="I442" s="158">
        <f>'Engineering Assumptions'!$F$41*1</f>
        <v>42</v>
      </c>
      <c r="J442" s="12">
        <f>'Fleet Pricing'!L442</f>
        <v>565000</v>
      </c>
      <c r="K442" s="12">
        <f>'Maintenance &amp; Repair'!J442+'Maintenance &amp; Repair'!K442</f>
        <v>296640</v>
      </c>
      <c r="L442" s="159">
        <f t="shared" si="60"/>
        <v>0.52502654867256637</v>
      </c>
      <c r="M442" s="9">
        <f>MAX(0,'Engineering Assumptions'!$G$41-G442)</f>
        <v>0</v>
      </c>
      <c r="N442" s="160" t="str">
        <f t="shared" si="61"/>
        <v>REPLACE</v>
      </c>
      <c r="O442" s="161" t="str">
        <f t="shared" si="62"/>
        <v>End of life (age &gt; 20)</v>
      </c>
      <c r="P442" s="161" t="str">
        <f>'Engineering Assumptions'!H41</f>
        <v>20T class HYUNDAI R220 / CAT 320 ~Rs. 38–48M</v>
      </c>
    </row>
    <row r="443" spans="1:16" ht="15" customHeight="1" x14ac:dyDescent="0.3">
      <c r="A443" s="9">
        <v>415</v>
      </c>
      <c r="B443" s="157" t="s">
        <v>834</v>
      </c>
      <c r="C443" s="157" t="s">
        <v>893</v>
      </c>
      <c r="D443" s="157" t="s">
        <v>894</v>
      </c>
      <c r="E443" s="157">
        <v>14160</v>
      </c>
      <c r="F443" s="48" t="s">
        <v>195</v>
      </c>
      <c r="G443" s="9">
        <v>30</v>
      </c>
      <c r="H443" s="158">
        <f>'Engineering Assumptions'!$F$41*0.03*1.3</f>
        <v>1.6380000000000001</v>
      </c>
      <c r="I443" s="158">
        <f>'Engineering Assumptions'!$F$41*1.3</f>
        <v>54.6</v>
      </c>
      <c r="J443" s="12">
        <f>'Fleet Pricing'!L443</f>
        <v>734500</v>
      </c>
      <c r="K443" s="12">
        <f>'Maintenance &amp; Repair'!J443+'Maintenance &amp; Repair'!K443</f>
        <v>385632</v>
      </c>
      <c r="L443" s="159">
        <f t="shared" si="60"/>
        <v>0.52502654867256637</v>
      </c>
      <c r="M443" s="9">
        <f>MAX(0,'Engineering Assumptions'!$G$41-G443)</f>
        <v>0</v>
      </c>
      <c r="N443" s="160" t="str">
        <f t="shared" si="61"/>
        <v>REPLACE</v>
      </c>
      <c r="O443" s="161" t="str">
        <f t="shared" si="62"/>
        <v>End of life (age &gt; 20)</v>
      </c>
      <c r="P443" s="161" t="str">
        <f>'Engineering Assumptions'!H41</f>
        <v>20T class HYUNDAI R220 / CAT 320 ~Rs. 38–48M</v>
      </c>
    </row>
    <row r="444" spans="1:16" ht="15" customHeight="1" x14ac:dyDescent="0.3">
      <c r="A444" s="9">
        <v>416</v>
      </c>
      <c r="B444" s="157" t="s">
        <v>834</v>
      </c>
      <c r="C444" s="157" t="s">
        <v>895</v>
      </c>
      <c r="D444" s="157" t="s">
        <v>896</v>
      </c>
      <c r="E444" s="157"/>
      <c r="F444" s="48" t="s">
        <v>195</v>
      </c>
      <c r="G444" s="9">
        <v>30</v>
      </c>
      <c r="H444" s="158">
        <f>'Engineering Assumptions'!$F$41*0.03*0.65</f>
        <v>0.81900000000000006</v>
      </c>
      <c r="I444" s="158">
        <f>'Engineering Assumptions'!$F$41*0.65</f>
        <v>27.3</v>
      </c>
      <c r="J444" s="12">
        <f>'Fleet Pricing'!L444</f>
        <v>367000</v>
      </c>
      <c r="K444" s="12">
        <f>'Maintenance &amp; Repair'!J444+'Maintenance &amp; Repair'!K444</f>
        <v>192816</v>
      </c>
      <c r="L444" s="159">
        <f t="shared" si="60"/>
        <v>0.52538419618528609</v>
      </c>
      <c r="M444" s="9">
        <f>MAX(0,'Engineering Assumptions'!$G$41-G444)</f>
        <v>0</v>
      </c>
      <c r="N444" s="160" t="str">
        <f t="shared" si="61"/>
        <v>REPLACE</v>
      </c>
      <c r="O444" s="161" t="str">
        <f t="shared" si="62"/>
        <v>End of life (age &gt; 20)</v>
      </c>
      <c r="P444" s="161" t="str">
        <f>'Engineering Assumptions'!H41</f>
        <v>20T class HYUNDAI R220 / CAT 320 ~Rs. 38–48M</v>
      </c>
    </row>
    <row r="445" spans="1:16" ht="15" customHeight="1" x14ac:dyDescent="0.3">
      <c r="A445" s="9">
        <v>417</v>
      </c>
      <c r="B445" s="157" t="s">
        <v>834</v>
      </c>
      <c r="C445" s="157" t="s">
        <v>897</v>
      </c>
      <c r="D445" s="157" t="s">
        <v>898</v>
      </c>
      <c r="E445" s="157"/>
      <c r="F445" s="48" t="s">
        <v>195</v>
      </c>
      <c r="G445" s="9">
        <v>30</v>
      </c>
      <c r="H445" s="158">
        <f>'Engineering Assumptions'!$F$41*0.03*1.1</f>
        <v>1.3860000000000001</v>
      </c>
      <c r="I445" s="158">
        <f>'Engineering Assumptions'!$F$41*1.1</f>
        <v>46.2</v>
      </c>
      <c r="J445" s="12">
        <f>'Fleet Pricing'!L445</f>
        <v>621000</v>
      </c>
      <c r="K445" s="12">
        <f>'Maintenance &amp; Repair'!J445+'Maintenance &amp; Repair'!K445</f>
        <v>326304</v>
      </c>
      <c r="L445" s="159">
        <f t="shared" si="60"/>
        <v>0.52544927536231889</v>
      </c>
      <c r="M445" s="9">
        <f>MAX(0,'Engineering Assumptions'!$G$41-G445)</f>
        <v>0</v>
      </c>
      <c r="N445" s="160" t="str">
        <f t="shared" si="61"/>
        <v>REPLACE</v>
      </c>
      <c r="O445" s="161" t="str">
        <f t="shared" si="62"/>
        <v>End of life (age &gt; 20)</v>
      </c>
      <c r="P445" s="161" t="str">
        <f>'Engineering Assumptions'!H41</f>
        <v>20T class HYUNDAI R220 / CAT 320 ~Rs. 38–48M</v>
      </c>
    </row>
    <row r="446" spans="1:16" ht="15" customHeight="1" x14ac:dyDescent="0.3">
      <c r="A446" s="9">
        <v>418</v>
      </c>
      <c r="B446" s="157" t="s">
        <v>834</v>
      </c>
      <c r="C446" s="157" t="s">
        <v>899</v>
      </c>
      <c r="D446" s="157" t="s">
        <v>900</v>
      </c>
      <c r="E446" s="157"/>
      <c r="F446" s="48" t="s">
        <v>195</v>
      </c>
      <c r="G446" s="9">
        <v>30</v>
      </c>
      <c r="H446" s="158">
        <f>'Engineering Assumptions'!$F$41*0.03*1.3</f>
        <v>1.6380000000000001</v>
      </c>
      <c r="I446" s="158">
        <f>'Engineering Assumptions'!$F$41*1.3</f>
        <v>54.6</v>
      </c>
      <c r="J446" s="12">
        <f>'Fleet Pricing'!L446</f>
        <v>734500</v>
      </c>
      <c r="K446" s="12">
        <f>'Maintenance &amp; Repair'!J446+'Maintenance &amp; Repair'!K446</f>
        <v>385632</v>
      </c>
      <c r="L446" s="159">
        <f t="shared" si="60"/>
        <v>0.52502654867256637</v>
      </c>
      <c r="M446" s="9">
        <f>MAX(0,'Engineering Assumptions'!$G$41-G446)</f>
        <v>0</v>
      </c>
      <c r="N446" s="160" t="str">
        <f t="shared" si="61"/>
        <v>REPLACE</v>
      </c>
      <c r="O446" s="161" t="str">
        <f t="shared" si="62"/>
        <v>End of life (age &gt; 20)</v>
      </c>
      <c r="P446" s="161" t="str">
        <f>'Engineering Assumptions'!H41</f>
        <v>20T class HYUNDAI R220 / CAT 320 ~Rs. 38–48M</v>
      </c>
    </row>
    <row r="447" spans="1:16" ht="15" customHeight="1" x14ac:dyDescent="0.3">
      <c r="A447" s="9">
        <v>419</v>
      </c>
      <c r="B447" s="157" t="s">
        <v>834</v>
      </c>
      <c r="C447" s="157" t="s">
        <v>901</v>
      </c>
      <c r="D447" s="157" t="s">
        <v>902</v>
      </c>
      <c r="E447" s="157"/>
      <c r="F447" s="48" t="s">
        <v>195</v>
      </c>
      <c r="G447" s="9">
        <v>30</v>
      </c>
      <c r="H447" s="158">
        <f>'Engineering Assumptions'!$F$41*0.03*1.1</f>
        <v>1.3860000000000001</v>
      </c>
      <c r="I447" s="158">
        <f>'Engineering Assumptions'!$F$41*1.1</f>
        <v>46.2</v>
      </c>
      <c r="J447" s="12">
        <f>'Fleet Pricing'!L447</f>
        <v>621000</v>
      </c>
      <c r="K447" s="12">
        <f>'Maintenance &amp; Repair'!J447+'Maintenance &amp; Repair'!K447</f>
        <v>326304</v>
      </c>
      <c r="L447" s="159">
        <f t="shared" si="60"/>
        <v>0.52544927536231889</v>
      </c>
      <c r="M447" s="9">
        <f>MAX(0,'Engineering Assumptions'!$G$41-G447)</f>
        <v>0</v>
      </c>
      <c r="N447" s="160" t="str">
        <f t="shared" si="61"/>
        <v>REPLACE</v>
      </c>
      <c r="O447" s="161" t="str">
        <f t="shared" si="62"/>
        <v>End of life (age &gt; 20)</v>
      </c>
      <c r="P447" s="161" t="str">
        <f>'Engineering Assumptions'!H41</f>
        <v>20T class HYUNDAI R220 / CAT 320 ~Rs. 38–48M</v>
      </c>
    </row>
    <row r="448" spans="1:16" ht="15" customHeight="1" x14ac:dyDescent="0.3">
      <c r="A448" s="9">
        <v>420</v>
      </c>
      <c r="B448" s="157" t="s">
        <v>834</v>
      </c>
      <c r="C448" s="157" t="s">
        <v>903</v>
      </c>
      <c r="D448" s="157" t="s">
        <v>904</v>
      </c>
      <c r="E448" s="157"/>
      <c r="F448" s="48" t="s">
        <v>195</v>
      </c>
      <c r="G448" s="9">
        <v>30</v>
      </c>
      <c r="H448" s="158">
        <f>'Engineering Assumptions'!$F$41*0.03*0.85</f>
        <v>1.071</v>
      </c>
      <c r="I448" s="158">
        <f>'Engineering Assumptions'!$F$41*0.85</f>
        <v>35.699999999999996</v>
      </c>
      <c r="J448" s="12">
        <f>'Fleet Pricing'!L448</f>
        <v>480500</v>
      </c>
      <c r="K448" s="12">
        <f>'Maintenance &amp; Repair'!J448+'Maintenance &amp; Repair'!K448</f>
        <v>252144</v>
      </c>
      <c r="L448" s="159">
        <f t="shared" si="60"/>
        <v>0.52475338189386056</v>
      </c>
      <c r="M448" s="9">
        <f>MAX(0,'Engineering Assumptions'!$G$41-G448)</f>
        <v>0</v>
      </c>
      <c r="N448" s="160" t="str">
        <f t="shared" si="61"/>
        <v>REPLACE</v>
      </c>
      <c r="O448" s="161" t="str">
        <f t="shared" si="62"/>
        <v>End of life (age &gt; 20)</v>
      </c>
      <c r="P448" s="161" t="str">
        <f>'Engineering Assumptions'!H41</f>
        <v>20T class HYUNDAI R220 / CAT 320 ~Rs. 38–48M</v>
      </c>
    </row>
    <row r="449" spans="1:16" ht="15" customHeight="1" x14ac:dyDescent="0.3">
      <c r="A449" s="9">
        <v>421</v>
      </c>
      <c r="B449" s="157" t="s">
        <v>834</v>
      </c>
      <c r="C449" s="157" t="s">
        <v>905</v>
      </c>
      <c r="D449" s="157" t="s">
        <v>906</v>
      </c>
      <c r="E449" s="157"/>
      <c r="F449" s="48" t="s">
        <v>195</v>
      </c>
      <c r="G449" s="9">
        <v>30</v>
      </c>
      <c r="H449" s="158">
        <f>'Engineering Assumptions'!$F$41*0.03*1.05</f>
        <v>1.3230000000000002</v>
      </c>
      <c r="I449" s="158">
        <f>'Engineering Assumptions'!$F$41*1.05</f>
        <v>44.1</v>
      </c>
      <c r="J449" s="12">
        <f>'Fleet Pricing'!L449</f>
        <v>593500</v>
      </c>
      <c r="K449" s="12">
        <f>'Maintenance &amp; Repair'!J449+'Maintenance &amp; Repair'!K449</f>
        <v>311472</v>
      </c>
      <c r="L449" s="159">
        <f t="shared" si="60"/>
        <v>0.52480539174389218</v>
      </c>
      <c r="M449" s="9">
        <f>MAX(0,'Engineering Assumptions'!$G$41-G449)</f>
        <v>0</v>
      </c>
      <c r="N449" s="160" t="str">
        <f t="shared" si="61"/>
        <v>REPLACE</v>
      </c>
      <c r="O449" s="161" t="str">
        <f t="shared" si="62"/>
        <v>End of life (age &gt; 20)</v>
      </c>
      <c r="P449" s="161" t="str">
        <f>'Engineering Assumptions'!H41</f>
        <v>20T class HYUNDAI R220 / CAT 320 ~Rs. 38–48M</v>
      </c>
    </row>
    <row r="450" spans="1:16" ht="15" customHeight="1" x14ac:dyDescent="0.3">
      <c r="A450" s="199" t="s">
        <v>907</v>
      </c>
      <c r="B450" s="200"/>
      <c r="C450" s="200"/>
      <c r="D450" s="200"/>
      <c r="E450" s="200"/>
      <c r="F450" s="200"/>
      <c r="G450" s="200"/>
      <c r="H450" s="200"/>
      <c r="I450" s="200"/>
      <c r="J450" s="200"/>
      <c r="K450" s="200"/>
      <c r="L450" s="200"/>
      <c r="M450" s="200"/>
      <c r="N450" s="200"/>
      <c r="O450" s="200"/>
      <c r="P450" s="200"/>
    </row>
    <row r="451" spans="1:16" ht="15" customHeight="1" x14ac:dyDescent="0.3">
      <c r="A451" s="9">
        <v>422</v>
      </c>
      <c r="B451" s="157" t="s">
        <v>908</v>
      </c>
      <c r="C451" s="157" t="s">
        <v>909</v>
      </c>
      <c r="D451" s="157" t="s">
        <v>910</v>
      </c>
      <c r="E451" s="157" t="s">
        <v>911</v>
      </c>
      <c r="F451" s="48" t="s">
        <v>165</v>
      </c>
      <c r="G451" s="9">
        <v>8</v>
      </c>
      <c r="H451" s="158">
        <f>'Engineering Assumptions'!$F$42*0.35*1</f>
        <v>4.1999999999999993</v>
      </c>
      <c r="I451" s="158">
        <f>'Engineering Assumptions'!$F$42*1</f>
        <v>12</v>
      </c>
      <c r="J451" s="12">
        <f>'Fleet Pricing'!L451</f>
        <v>276500</v>
      </c>
      <c r="K451" s="12">
        <f>'Maintenance &amp; Repair'!J451+'Maintenance &amp; Repair'!K451</f>
        <v>31500</v>
      </c>
      <c r="L451" s="159">
        <f t="shared" ref="L451:L469" si="63">IFERROR(K451/J451,0)</f>
        <v>0.11392405063291139</v>
      </c>
      <c r="M451" s="9">
        <f>MAX(0,'Engineering Assumptions'!$G$42-G451)</f>
        <v>7</v>
      </c>
      <c r="N451" s="160" t="str">
        <f t="shared" ref="N451:N469" si="64">IF(G451&gt;=20,"REPLACE",IF(L451&gt;0.6,"REPLACE",IF(G451&gt;=15,"REPLACE",IF(OR(G451&gt;=11,L451&gt;0.4),"MONITOR","KEEP"))))</f>
        <v>KEEP</v>
      </c>
      <c r="O451" s="161" t="str">
        <f t="shared" ref="O451:O469" si="65">IF(G451&gt;=20,"End of life (age &gt; 20)",IF(L451&gt;0.6,"Repairs exceed 60% of revenue",IF(G451&gt;=15,"Age 15+ → replace",IF(OR(G451&gt;=11,L451&gt;0.4),"Watch costs; plan replacement","Healthy — continue operating"))))</f>
        <v>Healthy — continue operating</v>
      </c>
      <c r="P451" s="161" t="str">
        <f>'Engineering Assumptions'!H42</f>
        <v>TATA/Ashok Leyland + tank ~Rs. 10–14M</v>
      </c>
    </row>
    <row r="452" spans="1:16" ht="15" customHeight="1" x14ac:dyDescent="0.3">
      <c r="A452" s="9">
        <v>423</v>
      </c>
      <c r="B452" s="157" t="s">
        <v>908</v>
      </c>
      <c r="C452" s="157" t="s">
        <v>779</v>
      </c>
      <c r="D452" s="157" t="s">
        <v>912</v>
      </c>
      <c r="E452" s="157" t="s">
        <v>913</v>
      </c>
      <c r="F452" s="48" t="s">
        <v>458</v>
      </c>
      <c r="G452" s="9">
        <v>15</v>
      </c>
      <c r="H452" s="158">
        <f>'Engineering Assumptions'!$F$42*0.12*1</f>
        <v>1.44</v>
      </c>
      <c r="I452" s="158">
        <f>'Engineering Assumptions'!$F$42*1</f>
        <v>12</v>
      </c>
      <c r="J452" s="12">
        <f>'Fleet Pricing'!L452</f>
        <v>247000</v>
      </c>
      <c r="K452" s="12">
        <f>'Maintenance &amp; Repair'!J452+'Maintenance &amp; Repair'!K452</f>
        <v>46620</v>
      </c>
      <c r="L452" s="159">
        <f t="shared" si="63"/>
        <v>0.18874493927125507</v>
      </c>
      <c r="M452" s="9">
        <f>MAX(0,'Engineering Assumptions'!$G$42-G452)</f>
        <v>0</v>
      </c>
      <c r="N452" s="160" t="str">
        <f t="shared" si="64"/>
        <v>REPLACE</v>
      </c>
      <c r="O452" s="161" t="str">
        <f t="shared" si="65"/>
        <v>Age 15+ → replace</v>
      </c>
      <c r="P452" s="161" t="str">
        <f>'Engineering Assumptions'!H42</f>
        <v>TATA/Ashok Leyland + tank ~Rs. 10–14M</v>
      </c>
    </row>
    <row r="453" spans="1:16" ht="15" customHeight="1" x14ac:dyDescent="0.3">
      <c r="A453" s="9">
        <v>424</v>
      </c>
      <c r="B453" s="157" t="s">
        <v>908</v>
      </c>
      <c r="C453" s="157" t="s">
        <v>914</v>
      </c>
      <c r="D453" s="157" t="s">
        <v>915</v>
      </c>
      <c r="E453" s="157" t="s">
        <v>789</v>
      </c>
      <c r="F453" s="48" t="s">
        <v>440</v>
      </c>
      <c r="G453" s="9">
        <v>21</v>
      </c>
      <c r="H453" s="158">
        <f>'Engineering Assumptions'!$F$42*0.06*1</f>
        <v>0.72</v>
      </c>
      <c r="I453" s="158">
        <f>'Engineering Assumptions'!$F$42*1</f>
        <v>12</v>
      </c>
      <c r="J453" s="12">
        <f>'Fleet Pricing'!L453</f>
        <v>216000</v>
      </c>
      <c r="K453" s="12">
        <f>'Maintenance &amp; Repair'!J453+'Maintenance &amp; Repair'!K453</f>
        <v>88560</v>
      </c>
      <c r="L453" s="159">
        <f t="shared" si="63"/>
        <v>0.41</v>
      </c>
      <c r="M453" s="9">
        <f>MAX(0,'Engineering Assumptions'!$G$42-G453)</f>
        <v>0</v>
      </c>
      <c r="N453" s="160" t="str">
        <f t="shared" si="64"/>
        <v>REPLACE</v>
      </c>
      <c r="O453" s="161" t="str">
        <f t="shared" si="65"/>
        <v>End of life (age &gt; 20)</v>
      </c>
      <c r="P453" s="161" t="str">
        <f>'Engineering Assumptions'!H42</f>
        <v>TATA/Ashok Leyland + tank ~Rs. 10–14M</v>
      </c>
    </row>
    <row r="454" spans="1:16" ht="15" customHeight="1" x14ac:dyDescent="0.3">
      <c r="A454" s="9">
        <v>425</v>
      </c>
      <c r="B454" s="157" t="s">
        <v>908</v>
      </c>
      <c r="C454" s="157" t="s">
        <v>914</v>
      </c>
      <c r="D454" s="157" t="s">
        <v>916</v>
      </c>
      <c r="E454" s="157" t="s">
        <v>807</v>
      </c>
      <c r="F454" s="48" t="s">
        <v>139</v>
      </c>
      <c r="G454" s="9">
        <v>23</v>
      </c>
      <c r="H454" s="158">
        <f>'Engineering Assumptions'!$F$42*0.06*1</f>
        <v>0.72</v>
      </c>
      <c r="I454" s="158">
        <f>'Engineering Assumptions'!$F$42*1</f>
        <v>12</v>
      </c>
      <c r="J454" s="12">
        <f>'Fleet Pricing'!L454</f>
        <v>196000</v>
      </c>
      <c r="K454" s="12">
        <f>'Maintenance &amp; Repair'!J454+'Maintenance &amp; Repair'!K454</f>
        <v>88560</v>
      </c>
      <c r="L454" s="159">
        <f t="shared" si="63"/>
        <v>0.45183673469387753</v>
      </c>
      <c r="M454" s="9">
        <f>MAX(0,'Engineering Assumptions'!$G$42-G454)</f>
        <v>0</v>
      </c>
      <c r="N454" s="160" t="str">
        <f t="shared" si="64"/>
        <v>REPLACE</v>
      </c>
      <c r="O454" s="161" t="str">
        <f t="shared" si="65"/>
        <v>End of life (age &gt; 20)</v>
      </c>
      <c r="P454" s="161" t="str">
        <f>'Engineering Assumptions'!H42</f>
        <v>TATA/Ashok Leyland + tank ~Rs. 10–14M</v>
      </c>
    </row>
    <row r="455" spans="1:16" ht="15" customHeight="1" x14ac:dyDescent="0.3">
      <c r="A455" s="9">
        <v>426</v>
      </c>
      <c r="B455" s="157" t="s">
        <v>908</v>
      </c>
      <c r="C455" s="157" t="s">
        <v>917</v>
      </c>
      <c r="D455" s="157" t="s">
        <v>918</v>
      </c>
      <c r="E455" s="157" t="s">
        <v>919</v>
      </c>
      <c r="F455" s="48" t="s">
        <v>143</v>
      </c>
      <c r="G455" s="9">
        <v>26</v>
      </c>
      <c r="H455" s="158">
        <f>'Engineering Assumptions'!$F$42*0.03*1</f>
        <v>0.36</v>
      </c>
      <c r="I455" s="158">
        <f>'Engineering Assumptions'!$F$42*1</f>
        <v>12</v>
      </c>
      <c r="J455" s="12">
        <f>'Fleet Pricing'!L455</f>
        <v>196000</v>
      </c>
      <c r="K455" s="12">
        <f>'Maintenance &amp; Repair'!J455+'Maintenance &amp; Repair'!K455</f>
        <v>88560</v>
      </c>
      <c r="L455" s="159">
        <f t="shared" si="63"/>
        <v>0.45183673469387753</v>
      </c>
      <c r="M455" s="9">
        <f>MAX(0,'Engineering Assumptions'!$G$42-G455)</f>
        <v>0</v>
      </c>
      <c r="N455" s="160" t="str">
        <f t="shared" si="64"/>
        <v>REPLACE</v>
      </c>
      <c r="O455" s="161" t="str">
        <f t="shared" si="65"/>
        <v>End of life (age &gt; 20)</v>
      </c>
      <c r="P455" s="161" t="str">
        <f>'Engineering Assumptions'!H42</f>
        <v>TATA/Ashok Leyland + tank ~Rs. 10–14M</v>
      </c>
    </row>
    <row r="456" spans="1:16" ht="15" customHeight="1" x14ac:dyDescent="0.3">
      <c r="A456" s="9">
        <v>427</v>
      </c>
      <c r="B456" s="157" t="s">
        <v>908</v>
      </c>
      <c r="C456" s="157" t="s">
        <v>920</v>
      </c>
      <c r="D456" s="157" t="s">
        <v>921</v>
      </c>
      <c r="E456" s="157" t="s">
        <v>922</v>
      </c>
      <c r="F456" s="48" t="s">
        <v>537</v>
      </c>
      <c r="G456" s="9">
        <v>29</v>
      </c>
      <c r="H456" s="158">
        <f>'Engineering Assumptions'!$F$42*0.03*1</f>
        <v>0.36</v>
      </c>
      <c r="I456" s="158">
        <f>'Engineering Assumptions'!$F$42*1</f>
        <v>12</v>
      </c>
      <c r="J456" s="12">
        <f>'Fleet Pricing'!L456</f>
        <v>174500</v>
      </c>
      <c r="K456" s="12">
        <f>'Maintenance &amp; Repair'!J456+'Maintenance &amp; Repair'!K456</f>
        <v>88560</v>
      </c>
      <c r="L456" s="159">
        <f t="shared" si="63"/>
        <v>0.50750716332378221</v>
      </c>
      <c r="M456" s="9">
        <f>MAX(0,'Engineering Assumptions'!$G$42-G456)</f>
        <v>0</v>
      </c>
      <c r="N456" s="160" t="str">
        <f t="shared" si="64"/>
        <v>REPLACE</v>
      </c>
      <c r="O456" s="161" t="str">
        <f t="shared" si="65"/>
        <v>End of life (age &gt; 20)</v>
      </c>
      <c r="P456" s="161" t="str">
        <f>'Engineering Assumptions'!H42</f>
        <v>TATA/Ashok Leyland + tank ~Rs. 10–14M</v>
      </c>
    </row>
    <row r="457" spans="1:16" ht="15" customHeight="1" x14ac:dyDescent="0.3">
      <c r="A457" s="9">
        <v>428</v>
      </c>
      <c r="B457" s="157" t="s">
        <v>908</v>
      </c>
      <c r="C457" s="157" t="s">
        <v>923</v>
      </c>
      <c r="D457" s="157" t="s">
        <v>924</v>
      </c>
      <c r="E457" s="157" t="s">
        <v>925</v>
      </c>
      <c r="F457" s="48" t="s">
        <v>159</v>
      </c>
      <c r="G457" s="9">
        <v>35</v>
      </c>
      <c r="H457" s="158">
        <f>'Engineering Assumptions'!$F$42*0.03*1</f>
        <v>0.36</v>
      </c>
      <c r="I457" s="158">
        <f>'Engineering Assumptions'!$F$42*1</f>
        <v>12</v>
      </c>
      <c r="J457" s="12">
        <f>'Fleet Pricing'!L457</f>
        <v>174500</v>
      </c>
      <c r="K457" s="12">
        <f>'Maintenance &amp; Repair'!J457+'Maintenance &amp; Repair'!K457</f>
        <v>88560</v>
      </c>
      <c r="L457" s="159">
        <f t="shared" si="63"/>
        <v>0.50750716332378221</v>
      </c>
      <c r="M457" s="9">
        <f>MAX(0,'Engineering Assumptions'!$G$42-G457)</f>
        <v>0</v>
      </c>
      <c r="N457" s="160" t="str">
        <f t="shared" si="64"/>
        <v>REPLACE</v>
      </c>
      <c r="O457" s="161" t="str">
        <f t="shared" si="65"/>
        <v>End of life (age &gt; 20)</v>
      </c>
      <c r="P457" s="161" t="str">
        <f>'Engineering Assumptions'!H42</f>
        <v>TATA/Ashok Leyland + tank ~Rs. 10–14M</v>
      </c>
    </row>
    <row r="458" spans="1:16" ht="15" customHeight="1" x14ac:dyDescent="0.3">
      <c r="A458" s="9">
        <v>429</v>
      </c>
      <c r="B458" s="157" t="s">
        <v>908</v>
      </c>
      <c r="C458" s="157" t="s">
        <v>188</v>
      </c>
      <c r="D458" s="157" t="s">
        <v>926</v>
      </c>
      <c r="E458" s="157"/>
      <c r="F458" s="48" t="s">
        <v>195</v>
      </c>
      <c r="G458" s="9">
        <v>30</v>
      </c>
      <c r="H458" s="158">
        <f>'Engineering Assumptions'!$F$42*0.03*1</f>
        <v>0.36</v>
      </c>
      <c r="I458" s="158">
        <f>'Engineering Assumptions'!$F$42*1</f>
        <v>12</v>
      </c>
      <c r="J458" s="12">
        <f>'Fleet Pricing'!L458</f>
        <v>174500</v>
      </c>
      <c r="K458" s="12">
        <f>'Maintenance &amp; Repair'!J458+'Maintenance &amp; Repair'!K458</f>
        <v>88560</v>
      </c>
      <c r="L458" s="159">
        <f t="shared" si="63"/>
        <v>0.50750716332378221</v>
      </c>
      <c r="M458" s="9">
        <f>MAX(0,'Engineering Assumptions'!$G$42-G458)</f>
        <v>0</v>
      </c>
      <c r="N458" s="160" t="str">
        <f t="shared" si="64"/>
        <v>REPLACE</v>
      </c>
      <c r="O458" s="161" t="str">
        <f t="shared" si="65"/>
        <v>End of life (age &gt; 20)</v>
      </c>
      <c r="P458" s="161" t="str">
        <f>'Engineering Assumptions'!H42</f>
        <v>TATA/Ashok Leyland + tank ~Rs. 10–14M</v>
      </c>
    </row>
    <row r="459" spans="1:16" ht="15" customHeight="1" x14ac:dyDescent="0.3">
      <c r="A459" s="9">
        <v>430</v>
      </c>
      <c r="B459" s="157" t="s">
        <v>908</v>
      </c>
      <c r="C459" s="157" t="s">
        <v>188</v>
      </c>
      <c r="D459" s="157" t="s">
        <v>927</v>
      </c>
      <c r="E459" s="157" t="s">
        <v>928</v>
      </c>
      <c r="F459" s="48" t="s">
        <v>195</v>
      </c>
      <c r="G459" s="9">
        <v>30</v>
      </c>
      <c r="H459" s="158">
        <f>'Engineering Assumptions'!$F$42*0.03*1</f>
        <v>0.36</v>
      </c>
      <c r="I459" s="158">
        <f>'Engineering Assumptions'!$F$42*1</f>
        <v>12</v>
      </c>
      <c r="J459" s="12">
        <f>'Fleet Pricing'!L459</f>
        <v>174500</v>
      </c>
      <c r="K459" s="12">
        <f>'Maintenance &amp; Repair'!J459+'Maintenance &amp; Repair'!K459</f>
        <v>88560</v>
      </c>
      <c r="L459" s="159">
        <f t="shared" si="63"/>
        <v>0.50750716332378221</v>
      </c>
      <c r="M459" s="9">
        <f>MAX(0,'Engineering Assumptions'!$G$42-G459)</f>
        <v>0</v>
      </c>
      <c r="N459" s="160" t="str">
        <f t="shared" si="64"/>
        <v>REPLACE</v>
      </c>
      <c r="O459" s="161" t="str">
        <f t="shared" si="65"/>
        <v>End of life (age &gt; 20)</v>
      </c>
      <c r="P459" s="161" t="str">
        <f>'Engineering Assumptions'!H42</f>
        <v>TATA/Ashok Leyland + tank ~Rs. 10–14M</v>
      </c>
    </row>
    <row r="460" spans="1:16" ht="15" customHeight="1" x14ac:dyDescent="0.3">
      <c r="A460" s="9">
        <v>431</v>
      </c>
      <c r="B460" s="157" t="s">
        <v>908</v>
      </c>
      <c r="C460" s="157" t="s">
        <v>188</v>
      </c>
      <c r="D460" s="157" t="s">
        <v>929</v>
      </c>
      <c r="E460" s="157" t="s">
        <v>930</v>
      </c>
      <c r="F460" s="48" t="s">
        <v>195</v>
      </c>
      <c r="G460" s="9">
        <v>30</v>
      </c>
      <c r="H460" s="158">
        <f>'Engineering Assumptions'!$F$42*0.03*1</f>
        <v>0.36</v>
      </c>
      <c r="I460" s="158">
        <f>'Engineering Assumptions'!$F$42*1</f>
        <v>12</v>
      </c>
      <c r="J460" s="12">
        <f>'Fleet Pricing'!L460</f>
        <v>174500</v>
      </c>
      <c r="K460" s="12">
        <f>'Maintenance &amp; Repair'!J460+'Maintenance &amp; Repair'!K460</f>
        <v>88560</v>
      </c>
      <c r="L460" s="159">
        <f t="shared" si="63"/>
        <v>0.50750716332378221</v>
      </c>
      <c r="M460" s="9">
        <f>MAX(0,'Engineering Assumptions'!$G$42-G460)</f>
        <v>0</v>
      </c>
      <c r="N460" s="160" t="str">
        <f t="shared" si="64"/>
        <v>REPLACE</v>
      </c>
      <c r="O460" s="161" t="str">
        <f t="shared" si="65"/>
        <v>End of life (age &gt; 20)</v>
      </c>
      <c r="P460" s="161" t="str">
        <f>'Engineering Assumptions'!H42</f>
        <v>TATA/Ashok Leyland + tank ~Rs. 10–14M</v>
      </c>
    </row>
    <row r="461" spans="1:16" ht="15" customHeight="1" x14ac:dyDescent="0.3">
      <c r="A461" s="9">
        <v>432</v>
      </c>
      <c r="B461" s="157" t="s">
        <v>908</v>
      </c>
      <c r="C461" s="157" t="s">
        <v>188</v>
      </c>
      <c r="D461" s="157" t="s">
        <v>931</v>
      </c>
      <c r="E461" s="157" t="s">
        <v>932</v>
      </c>
      <c r="F461" s="48" t="s">
        <v>195</v>
      </c>
      <c r="G461" s="9">
        <v>30</v>
      </c>
      <c r="H461" s="158">
        <f>'Engineering Assumptions'!$F$42*0.03*1</f>
        <v>0.36</v>
      </c>
      <c r="I461" s="158">
        <f>'Engineering Assumptions'!$F$42*1</f>
        <v>12</v>
      </c>
      <c r="J461" s="12">
        <f>'Fleet Pricing'!L461</f>
        <v>174500</v>
      </c>
      <c r="K461" s="12">
        <f>'Maintenance &amp; Repair'!J461+'Maintenance &amp; Repair'!K461</f>
        <v>88560</v>
      </c>
      <c r="L461" s="159">
        <f t="shared" si="63"/>
        <v>0.50750716332378221</v>
      </c>
      <c r="M461" s="9">
        <f>MAX(0,'Engineering Assumptions'!$G$42-G461)</f>
        <v>0</v>
      </c>
      <c r="N461" s="160" t="str">
        <f t="shared" si="64"/>
        <v>REPLACE</v>
      </c>
      <c r="O461" s="161" t="str">
        <f t="shared" si="65"/>
        <v>End of life (age &gt; 20)</v>
      </c>
      <c r="P461" s="161" t="str">
        <f>'Engineering Assumptions'!H42</f>
        <v>TATA/Ashok Leyland + tank ~Rs. 10–14M</v>
      </c>
    </row>
    <row r="462" spans="1:16" ht="15" customHeight="1" x14ac:dyDescent="0.3">
      <c r="A462" s="9">
        <v>433</v>
      </c>
      <c r="B462" s="157" t="s">
        <v>908</v>
      </c>
      <c r="C462" s="157" t="s">
        <v>188</v>
      </c>
      <c r="D462" s="157" t="s">
        <v>933</v>
      </c>
      <c r="E462" s="157" t="s">
        <v>934</v>
      </c>
      <c r="F462" s="48" t="s">
        <v>195</v>
      </c>
      <c r="G462" s="9">
        <v>30</v>
      </c>
      <c r="H462" s="158">
        <f>'Engineering Assumptions'!$F$42*0.03*1</f>
        <v>0.36</v>
      </c>
      <c r="I462" s="158">
        <f>'Engineering Assumptions'!$F$42*1</f>
        <v>12</v>
      </c>
      <c r="J462" s="12">
        <f>'Fleet Pricing'!L462</f>
        <v>174500</v>
      </c>
      <c r="K462" s="12">
        <f>'Maintenance &amp; Repair'!J462+'Maintenance &amp; Repair'!K462</f>
        <v>88560</v>
      </c>
      <c r="L462" s="159">
        <f t="shared" si="63"/>
        <v>0.50750716332378221</v>
      </c>
      <c r="M462" s="9">
        <f>MAX(0,'Engineering Assumptions'!$G$42-G462)</f>
        <v>0</v>
      </c>
      <c r="N462" s="160" t="str">
        <f t="shared" si="64"/>
        <v>REPLACE</v>
      </c>
      <c r="O462" s="161" t="str">
        <f t="shared" si="65"/>
        <v>End of life (age &gt; 20)</v>
      </c>
      <c r="P462" s="161" t="str">
        <f>'Engineering Assumptions'!H42</f>
        <v>TATA/Ashok Leyland + tank ~Rs. 10–14M</v>
      </c>
    </row>
    <row r="463" spans="1:16" ht="15" customHeight="1" x14ac:dyDescent="0.3">
      <c r="A463" s="9">
        <v>434</v>
      </c>
      <c r="B463" s="157" t="s">
        <v>908</v>
      </c>
      <c r="C463" s="157" t="s">
        <v>188</v>
      </c>
      <c r="D463" s="157" t="s">
        <v>935</v>
      </c>
      <c r="E463" s="157"/>
      <c r="F463" s="48" t="s">
        <v>195</v>
      </c>
      <c r="G463" s="9">
        <v>30</v>
      </c>
      <c r="H463" s="158">
        <f>'Engineering Assumptions'!$F$42*0.03*1</f>
        <v>0.36</v>
      </c>
      <c r="I463" s="158">
        <f>'Engineering Assumptions'!$F$42*1</f>
        <v>12</v>
      </c>
      <c r="J463" s="12">
        <f>'Fleet Pricing'!L463</f>
        <v>174500</v>
      </c>
      <c r="K463" s="12">
        <f>'Maintenance &amp; Repair'!J463+'Maintenance &amp; Repair'!K463</f>
        <v>88560</v>
      </c>
      <c r="L463" s="159">
        <f t="shared" si="63"/>
        <v>0.50750716332378221</v>
      </c>
      <c r="M463" s="9">
        <f>MAX(0,'Engineering Assumptions'!$G$42-G463)</f>
        <v>0</v>
      </c>
      <c r="N463" s="160" t="str">
        <f t="shared" si="64"/>
        <v>REPLACE</v>
      </c>
      <c r="O463" s="161" t="str">
        <f t="shared" si="65"/>
        <v>End of life (age &gt; 20)</v>
      </c>
      <c r="P463" s="161" t="str">
        <f>'Engineering Assumptions'!H42</f>
        <v>TATA/Ashok Leyland + tank ~Rs. 10–14M</v>
      </c>
    </row>
    <row r="464" spans="1:16" ht="15" customHeight="1" x14ac:dyDescent="0.3">
      <c r="A464" s="9">
        <v>435</v>
      </c>
      <c r="B464" s="157" t="s">
        <v>908</v>
      </c>
      <c r="C464" s="157" t="s">
        <v>188</v>
      </c>
      <c r="D464" s="157" t="s">
        <v>936</v>
      </c>
      <c r="E464" s="157"/>
      <c r="F464" s="48" t="s">
        <v>195</v>
      </c>
      <c r="G464" s="9">
        <v>30</v>
      </c>
      <c r="H464" s="158">
        <f>'Engineering Assumptions'!$F$42*0.03*1</f>
        <v>0.36</v>
      </c>
      <c r="I464" s="158">
        <f>'Engineering Assumptions'!$F$42*1</f>
        <v>12</v>
      </c>
      <c r="J464" s="12">
        <f>'Fleet Pricing'!L464</f>
        <v>174500</v>
      </c>
      <c r="K464" s="12">
        <f>'Maintenance &amp; Repair'!J464+'Maintenance &amp; Repair'!K464</f>
        <v>88560</v>
      </c>
      <c r="L464" s="159">
        <f t="shared" si="63"/>
        <v>0.50750716332378221</v>
      </c>
      <c r="M464" s="9">
        <f>MAX(0,'Engineering Assumptions'!$G$42-G464)</f>
        <v>0</v>
      </c>
      <c r="N464" s="160" t="str">
        <f t="shared" si="64"/>
        <v>REPLACE</v>
      </c>
      <c r="O464" s="161" t="str">
        <f t="shared" si="65"/>
        <v>End of life (age &gt; 20)</v>
      </c>
      <c r="P464" s="161" t="str">
        <f>'Engineering Assumptions'!H42</f>
        <v>TATA/Ashok Leyland + tank ~Rs. 10–14M</v>
      </c>
    </row>
    <row r="465" spans="1:16" ht="15" customHeight="1" x14ac:dyDescent="0.3">
      <c r="A465" s="9">
        <v>436</v>
      </c>
      <c r="B465" s="157" t="s">
        <v>908</v>
      </c>
      <c r="C465" s="157" t="s">
        <v>188</v>
      </c>
      <c r="D465" s="157" t="s">
        <v>937</v>
      </c>
      <c r="E465" s="157" t="s">
        <v>938</v>
      </c>
      <c r="F465" s="48" t="s">
        <v>195</v>
      </c>
      <c r="G465" s="9">
        <v>30</v>
      </c>
      <c r="H465" s="158">
        <f>'Engineering Assumptions'!$F$42*0.03*1</f>
        <v>0.36</v>
      </c>
      <c r="I465" s="158">
        <f>'Engineering Assumptions'!$F$42*1</f>
        <v>12</v>
      </c>
      <c r="J465" s="12">
        <f>'Fleet Pricing'!L465</f>
        <v>174500</v>
      </c>
      <c r="K465" s="12">
        <f>'Maintenance &amp; Repair'!J465+'Maintenance &amp; Repair'!K465</f>
        <v>88560</v>
      </c>
      <c r="L465" s="159">
        <f t="shared" si="63"/>
        <v>0.50750716332378221</v>
      </c>
      <c r="M465" s="9">
        <f>MAX(0,'Engineering Assumptions'!$G$42-G465)</f>
        <v>0</v>
      </c>
      <c r="N465" s="160" t="str">
        <f t="shared" si="64"/>
        <v>REPLACE</v>
      </c>
      <c r="O465" s="161" t="str">
        <f t="shared" si="65"/>
        <v>End of life (age &gt; 20)</v>
      </c>
      <c r="P465" s="161" t="str">
        <f>'Engineering Assumptions'!H42</f>
        <v>TATA/Ashok Leyland + tank ~Rs. 10–14M</v>
      </c>
    </row>
    <row r="466" spans="1:16" ht="15" customHeight="1" x14ac:dyDescent="0.3">
      <c r="A466" s="9">
        <v>437</v>
      </c>
      <c r="B466" s="157" t="s">
        <v>908</v>
      </c>
      <c r="C466" s="157" t="s">
        <v>188</v>
      </c>
      <c r="D466" s="157" t="s">
        <v>939</v>
      </c>
      <c r="E466" s="157"/>
      <c r="F466" s="48" t="s">
        <v>195</v>
      </c>
      <c r="G466" s="9">
        <v>30</v>
      </c>
      <c r="H466" s="158">
        <f>'Engineering Assumptions'!$F$42*0.03*1</f>
        <v>0.36</v>
      </c>
      <c r="I466" s="158">
        <f>'Engineering Assumptions'!$F$42*1</f>
        <v>12</v>
      </c>
      <c r="J466" s="12">
        <f>'Fleet Pricing'!L466</f>
        <v>174500</v>
      </c>
      <c r="K466" s="12">
        <f>'Maintenance &amp; Repair'!J466+'Maintenance &amp; Repair'!K466</f>
        <v>88560</v>
      </c>
      <c r="L466" s="159">
        <f t="shared" si="63"/>
        <v>0.50750716332378221</v>
      </c>
      <c r="M466" s="9">
        <f>MAX(0,'Engineering Assumptions'!$G$42-G466)</f>
        <v>0</v>
      </c>
      <c r="N466" s="160" t="str">
        <f t="shared" si="64"/>
        <v>REPLACE</v>
      </c>
      <c r="O466" s="161" t="str">
        <f t="shared" si="65"/>
        <v>End of life (age &gt; 20)</v>
      </c>
      <c r="P466" s="161" t="str">
        <f>'Engineering Assumptions'!H42</f>
        <v>TATA/Ashok Leyland + tank ~Rs. 10–14M</v>
      </c>
    </row>
    <row r="467" spans="1:16" ht="15" customHeight="1" x14ac:dyDescent="0.3">
      <c r="A467" s="9">
        <v>438</v>
      </c>
      <c r="B467" s="157" t="s">
        <v>908</v>
      </c>
      <c r="C467" s="157" t="s">
        <v>188</v>
      </c>
      <c r="D467" s="157" t="s">
        <v>940</v>
      </c>
      <c r="E467" s="157"/>
      <c r="F467" s="48" t="s">
        <v>195</v>
      </c>
      <c r="G467" s="9">
        <v>30</v>
      </c>
      <c r="H467" s="158">
        <f>'Engineering Assumptions'!$F$42*0.03*1</f>
        <v>0.36</v>
      </c>
      <c r="I467" s="158">
        <f>'Engineering Assumptions'!$F$42*1</f>
        <v>12</v>
      </c>
      <c r="J467" s="12">
        <f>'Fleet Pricing'!L467</f>
        <v>174500</v>
      </c>
      <c r="K467" s="12">
        <f>'Maintenance &amp; Repair'!J467+'Maintenance &amp; Repair'!K467</f>
        <v>88560</v>
      </c>
      <c r="L467" s="159">
        <f t="shared" si="63"/>
        <v>0.50750716332378221</v>
      </c>
      <c r="M467" s="9">
        <f>MAX(0,'Engineering Assumptions'!$G$42-G467)</f>
        <v>0</v>
      </c>
      <c r="N467" s="160" t="str">
        <f t="shared" si="64"/>
        <v>REPLACE</v>
      </c>
      <c r="O467" s="161" t="str">
        <f t="shared" si="65"/>
        <v>End of life (age &gt; 20)</v>
      </c>
      <c r="P467" s="161" t="str">
        <f>'Engineering Assumptions'!H42</f>
        <v>TATA/Ashok Leyland + tank ~Rs. 10–14M</v>
      </c>
    </row>
    <row r="468" spans="1:16" ht="15" customHeight="1" x14ac:dyDescent="0.3">
      <c r="A468" s="9">
        <v>439</v>
      </c>
      <c r="B468" s="157" t="s">
        <v>908</v>
      </c>
      <c r="C468" s="157" t="s">
        <v>188</v>
      </c>
      <c r="D468" s="157" t="s">
        <v>941</v>
      </c>
      <c r="E468" s="157"/>
      <c r="F468" s="48" t="s">
        <v>195</v>
      </c>
      <c r="G468" s="9">
        <v>30</v>
      </c>
      <c r="H468" s="158">
        <f>'Engineering Assumptions'!$F$42*0.03*1</f>
        <v>0.36</v>
      </c>
      <c r="I468" s="158">
        <f>'Engineering Assumptions'!$F$42*1</f>
        <v>12</v>
      </c>
      <c r="J468" s="12">
        <f>'Fleet Pricing'!L468</f>
        <v>174500</v>
      </c>
      <c r="K468" s="12">
        <f>'Maintenance &amp; Repair'!J468+'Maintenance &amp; Repair'!K468</f>
        <v>88560</v>
      </c>
      <c r="L468" s="159">
        <f t="shared" si="63"/>
        <v>0.50750716332378221</v>
      </c>
      <c r="M468" s="9">
        <f>MAX(0,'Engineering Assumptions'!$G$42-G468)</f>
        <v>0</v>
      </c>
      <c r="N468" s="160" t="str">
        <f t="shared" si="64"/>
        <v>REPLACE</v>
      </c>
      <c r="O468" s="161" t="str">
        <f t="shared" si="65"/>
        <v>End of life (age &gt; 20)</v>
      </c>
      <c r="P468" s="161" t="str">
        <f>'Engineering Assumptions'!H42</f>
        <v>TATA/Ashok Leyland + tank ~Rs. 10–14M</v>
      </c>
    </row>
    <row r="469" spans="1:16" ht="15" customHeight="1" x14ac:dyDescent="0.3">
      <c r="A469" s="9">
        <v>440</v>
      </c>
      <c r="B469" s="157" t="s">
        <v>908</v>
      </c>
      <c r="C469" s="157" t="s">
        <v>188</v>
      </c>
      <c r="D469" s="157" t="s">
        <v>942</v>
      </c>
      <c r="E469" s="157" t="s">
        <v>943</v>
      </c>
      <c r="F469" s="48" t="s">
        <v>195</v>
      </c>
      <c r="G469" s="9">
        <v>30</v>
      </c>
      <c r="H469" s="158">
        <f>'Engineering Assumptions'!$F$42*0.03*1</f>
        <v>0.36</v>
      </c>
      <c r="I469" s="158">
        <f>'Engineering Assumptions'!$F$42*1</f>
        <v>12</v>
      </c>
      <c r="J469" s="12">
        <f>'Fleet Pricing'!L469</f>
        <v>174500</v>
      </c>
      <c r="K469" s="12">
        <f>'Maintenance &amp; Repair'!J469+'Maintenance &amp; Repair'!K469</f>
        <v>88560</v>
      </c>
      <c r="L469" s="159">
        <f t="shared" si="63"/>
        <v>0.50750716332378221</v>
      </c>
      <c r="M469" s="9">
        <f>MAX(0,'Engineering Assumptions'!$G$42-G469)</f>
        <v>0</v>
      </c>
      <c r="N469" s="160" t="str">
        <f t="shared" si="64"/>
        <v>REPLACE</v>
      </c>
      <c r="O469" s="161" t="str">
        <f t="shared" si="65"/>
        <v>End of life (age &gt; 20)</v>
      </c>
      <c r="P469" s="161" t="str">
        <f>'Engineering Assumptions'!H42</f>
        <v>TATA/Ashok Leyland + tank ~Rs. 10–14M</v>
      </c>
    </row>
    <row r="470" spans="1:16" ht="15" customHeight="1" x14ac:dyDescent="0.3">
      <c r="A470" s="199" t="s">
        <v>944</v>
      </c>
      <c r="B470" s="200"/>
      <c r="C470" s="200"/>
      <c r="D470" s="200"/>
      <c r="E470" s="200"/>
      <c r="F470" s="200"/>
      <c r="G470" s="200"/>
      <c r="H470" s="200"/>
      <c r="I470" s="200"/>
      <c r="J470" s="200"/>
      <c r="K470" s="200"/>
      <c r="L470" s="200"/>
      <c r="M470" s="200"/>
      <c r="N470" s="200"/>
      <c r="O470" s="200"/>
      <c r="P470" s="200"/>
    </row>
    <row r="471" spans="1:16" ht="15" customHeight="1" x14ac:dyDescent="0.3">
      <c r="A471" s="9">
        <v>441</v>
      </c>
      <c r="B471" s="157" t="s">
        <v>945</v>
      </c>
      <c r="C471" s="157" t="s">
        <v>946</v>
      </c>
      <c r="D471" s="157" t="s">
        <v>947</v>
      </c>
      <c r="E471" s="157" t="s">
        <v>948</v>
      </c>
      <c r="F471" s="48" t="s">
        <v>66</v>
      </c>
      <c r="G471" s="9">
        <v>14</v>
      </c>
      <c r="H471" s="158">
        <f>'Engineering Assumptions'!$F$43*0.12*1</f>
        <v>0.65999999999999992</v>
      </c>
      <c r="I471" s="158">
        <f>'Engineering Assumptions'!$F$43*1</f>
        <v>5.5</v>
      </c>
      <c r="J471" s="12">
        <f>'Fleet Pricing'!L471</f>
        <v>175500</v>
      </c>
      <c r="K471" s="12">
        <f>'Maintenance &amp; Repair'!J471+'Maintenance &amp; Repair'!K471</f>
        <v>43140</v>
      </c>
      <c r="L471" s="159">
        <f t="shared" ref="L471:L482" si="66">IFERROR(K471/J471,0)</f>
        <v>0.24581196581196582</v>
      </c>
      <c r="M471" s="9">
        <f>MAX(0,'Engineering Assumptions'!$G$43-G471)</f>
        <v>1</v>
      </c>
      <c r="N471" s="160" t="str">
        <f t="shared" ref="N471:N482" si="67">IF(G471&gt;=20,"REPLACE",IF(L471&gt;0.6,"REPLACE",IF(G471&gt;=15,"REPLACE",IF(OR(G471&gt;=11,L471&gt;0.4),"MONITOR","KEEP"))))</f>
        <v>MONITOR</v>
      </c>
      <c r="O471" s="161" t="str">
        <f t="shared" ref="O471:O482" si="68">IF(G471&gt;=20,"End of life (age &gt; 20)",IF(L471&gt;0.6,"Repairs exceed 60% of revenue",IF(G471&gt;=15,"Age 15+ → replace",IF(OR(G471&gt;=11,L471&gt;0.4),"Watch costs; plan replacement","Healthy — continue operating"))))</f>
        <v>Watch costs; plan replacement</v>
      </c>
      <c r="P471" s="161" t="str">
        <f>'Engineering Assumptions'!H43</f>
        <v>MAHINDRA 575 / TAFE 45DI ~Rs. 4.5–6.5M</v>
      </c>
    </row>
    <row r="472" spans="1:16" ht="15" customHeight="1" x14ac:dyDescent="0.3">
      <c r="A472" s="9">
        <v>442</v>
      </c>
      <c r="B472" s="157" t="s">
        <v>945</v>
      </c>
      <c r="C472" s="157" t="s">
        <v>946</v>
      </c>
      <c r="D472" s="157" t="s">
        <v>949</v>
      </c>
      <c r="E472" s="157" t="s">
        <v>950</v>
      </c>
      <c r="F472" s="48" t="s">
        <v>66</v>
      </c>
      <c r="G472" s="9">
        <v>14</v>
      </c>
      <c r="H472" s="158">
        <f>'Engineering Assumptions'!$F$43*0.12*1</f>
        <v>0.65999999999999992</v>
      </c>
      <c r="I472" s="158">
        <f>'Engineering Assumptions'!$F$43*1</f>
        <v>5.5</v>
      </c>
      <c r="J472" s="12">
        <f>'Fleet Pricing'!L472</f>
        <v>175500</v>
      </c>
      <c r="K472" s="12">
        <f>'Maintenance &amp; Repair'!J472+'Maintenance &amp; Repair'!K472</f>
        <v>43140</v>
      </c>
      <c r="L472" s="159">
        <f t="shared" si="66"/>
        <v>0.24581196581196582</v>
      </c>
      <c r="M472" s="9">
        <f>MAX(0,'Engineering Assumptions'!$G$43-G472)</f>
        <v>1</v>
      </c>
      <c r="N472" s="160" t="str">
        <f t="shared" si="67"/>
        <v>MONITOR</v>
      </c>
      <c r="O472" s="161" t="str">
        <f t="shared" si="68"/>
        <v>Watch costs; plan replacement</v>
      </c>
      <c r="P472" s="161" t="str">
        <f>'Engineering Assumptions'!H43</f>
        <v>MAHINDRA 575 / TAFE 45DI ~Rs. 4.5–6.5M</v>
      </c>
    </row>
    <row r="473" spans="1:16" ht="15" customHeight="1" x14ac:dyDescent="0.3">
      <c r="A473" s="9">
        <v>443</v>
      </c>
      <c r="B473" s="157" t="s">
        <v>945</v>
      </c>
      <c r="C473" s="157" t="s">
        <v>951</v>
      </c>
      <c r="D473" s="157" t="s">
        <v>952</v>
      </c>
      <c r="E473" s="157" t="s">
        <v>953</v>
      </c>
      <c r="F473" s="48" t="s">
        <v>66</v>
      </c>
      <c r="G473" s="9">
        <v>14</v>
      </c>
      <c r="H473" s="158">
        <f>'Engineering Assumptions'!$F$43*0.12*1</f>
        <v>0.65999999999999992</v>
      </c>
      <c r="I473" s="158">
        <f>'Engineering Assumptions'!$F$43*1</f>
        <v>5.5</v>
      </c>
      <c r="J473" s="12">
        <f>'Fleet Pricing'!L473</f>
        <v>175500</v>
      </c>
      <c r="K473" s="12">
        <f>'Maintenance &amp; Repair'!J473+'Maintenance &amp; Repair'!K473</f>
        <v>43140</v>
      </c>
      <c r="L473" s="159">
        <f t="shared" si="66"/>
        <v>0.24581196581196582</v>
      </c>
      <c r="M473" s="9">
        <f>MAX(0,'Engineering Assumptions'!$G$43-G473)</f>
        <v>1</v>
      </c>
      <c r="N473" s="160" t="str">
        <f t="shared" si="67"/>
        <v>MONITOR</v>
      </c>
      <c r="O473" s="161" t="str">
        <f t="shared" si="68"/>
        <v>Watch costs; plan replacement</v>
      </c>
      <c r="P473" s="161" t="str">
        <f>'Engineering Assumptions'!H43</f>
        <v>MAHINDRA 575 / TAFE 45DI ~Rs. 4.5–6.5M</v>
      </c>
    </row>
    <row r="474" spans="1:16" ht="15" customHeight="1" x14ac:dyDescent="0.3">
      <c r="A474" s="9">
        <v>444</v>
      </c>
      <c r="B474" s="157" t="s">
        <v>945</v>
      </c>
      <c r="C474" s="157" t="s">
        <v>954</v>
      </c>
      <c r="D474" s="157" t="s">
        <v>955</v>
      </c>
      <c r="E474" s="157" t="s">
        <v>956</v>
      </c>
      <c r="F474" s="48" t="s">
        <v>66</v>
      </c>
      <c r="G474" s="9">
        <v>14</v>
      </c>
      <c r="H474" s="158">
        <f>'Engineering Assumptions'!$F$43*0.12*1</f>
        <v>0.65999999999999992</v>
      </c>
      <c r="I474" s="158">
        <f>'Engineering Assumptions'!$F$43*1</f>
        <v>5.5</v>
      </c>
      <c r="J474" s="12">
        <f>'Fleet Pricing'!L474</f>
        <v>175500</v>
      </c>
      <c r="K474" s="12">
        <f>'Maintenance &amp; Repair'!J474+'Maintenance &amp; Repair'!K474</f>
        <v>43140</v>
      </c>
      <c r="L474" s="159">
        <f t="shared" si="66"/>
        <v>0.24581196581196582</v>
      </c>
      <c r="M474" s="9">
        <f>MAX(0,'Engineering Assumptions'!$G$43-G474)</f>
        <v>1</v>
      </c>
      <c r="N474" s="160" t="str">
        <f t="shared" si="67"/>
        <v>MONITOR</v>
      </c>
      <c r="O474" s="161" t="str">
        <f t="shared" si="68"/>
        <v>Watch costs; plan replacement</v>
      </c>
      <c r="P474" s="161" t="str">
        <f>'Engineering Assumptions'!H43</f>
        <v>MAHINDRA 575 / TAFE 45DI ~Rs. 4.5–6.5M</v>
      </c>
    </row>
    <row r="475" spans="1:16" ht="15" customHeight="1" x14ac:dyDescent="0.3">
      <c r="A475" s="9">
        <v>445</v>
      </c>
      <c r="B475" s="157" t="s">
        <v>945</v>
      </c>
      <c r="C475" s="157" t="s">
        <v>957</v>
      </c>
      <c r="D475" s="157" t="s">
        <v>958</v>
      </c>
      <c r="E475" s="157" t="s">
        <v>959</v>
      </c>
      <c r="F475" s="48" t="s">
        <v>335</v>
      </c>
      <c r="G475" s="9">
        <v>18</v>
      </c>
      <c r="H475" s="158">
        <f>'Engineering Assumptions'!$F$43*0.12*1</f>
        <v>0.65999999999999992</v>
      </c>
      <c r="I475" s="158">
        <f>'Engineering Assumptions'!$F$43*1</f>
        <v>5.5</v>
      </c>
      <c r="J475" s="12">
        <f>'Fleet Pricing'!L475</f>
        <v>154000</v>
      </c>
      <c r="K475" s="12">
        <f>'Maintenance &amp; Repair'!J475+'Maintenance &amp; Repair'!K475</f>
        <v>61020</v>
      </c>
      <c r="L475" s="159">
        <f t="shared" si="66"/>
        <v>0.39623376623376622</v>
      </c>
      <c r="M475" s="9">
        <f>MAX(0,'Engineering Assumptions'!$G$43-G475)</f>
        <v>0</v>
      </c>
      <c r="N475" s="160" t="str">
        <f t="shared" si="67"/>
        <v>REPLACE</v>
      </c>
      <c r="O475" s="161" t="str">
        <f t="shared" si="68"/>
        <v>Age 15+ → replace</v>
      </c>
      <c r="P475" s="161" t="str">
        <f>'Engineering Assumptions'!H43</f>
        <v>MAHINDRA 575 / TAFE 45DI ~Rs. 4.5–6.5M</v>
      </c>
    </row>
    <row r="476" spans="1:16" ht="15" customHeight="1" x14ac:dyDescent="0.3">
      <c r="A476" s="9">
        <v>446</v>
      </c>
      <c r="B476" s="157" t="s">
        <v>945</v>
      </c>
      <c r="C476" s="157" t="s">
        <v>954</v>
      </c>
      <c r="D476" s="157" t="s">
        <v>960</v>
      </c>
      <c r="E476" s="157" t="s">
        <v>961</v>
      </c>
      <c r="F476" s="48" t="s">
        <v>440</v>
      </c>
      <c r="G476" s="9">
        <v>21</v>
      </c>
      <c r="H476" s="158">
        <f>'Engineering Assumptions'!$F$43*0.06*1</f>
        <v>0.32999999999999996</v>
      </c>
      <c r="I476" s="158">
        <f>'Engineering Assumptions'!$F$43*1</f>
        <v>5.5</v>
      </c>
      <c r="J476" s="12">
        <f>'Fleet Pricing'!L476</f>
        <v>154000</v>
      </c>
      <c r="K476" s="12">
        <f>'Maintenance &amp; Repair'!J476+'Maintenance &amp; Repair'!K476</f>
        <v>82080</v>
      </c>
      <c r="L476" s="159">
        <f t="shared" si="66"/>
        <v>0.53298701298701301</v>
      </c>
      <c r="M476" s="9">
        <f>MAX(0,'Engineering Assumptions'!$G$43-G476)</f>
        <v>0</v>
      </c>
      <c r="N476" s="160" t="str">
        <f t="shared" si="67"/>
        <v>REPLACE</v>
      </c>
      <c r="O476" s="161" t="str">
        <f t="shared" si="68"/>
        <v>End of life (age &gt; 20)</v>
      </c>
      <c r="P476" s="161" t="str">
        <f>'Engineering Assumptions'!H43</f>
        <v>MAHINDRA 575 / TAFE 45DI ~Rs. 4.5–6.5M</v>
      </c>
    </row>
    <row r="477" spans="1:16" ht="15" customHeight="1" x14ac:dyDescent="0.3">
      <c r="A477" s="9">
        <v>447</v>
      </c>
      <c r="B477" s="157" t="s">
        <v>945</v>
      </c>
      <c r="C477" s="157" t="s">
        <v>954</v>
      </c>
      <c r="D477" s="157" t="s">
        <v>962</v>
      </c>
      <c r="E477" s="157" t="s">
        <v>963</v>
      </c>
      <c r="F477" s="48" t="s">
        <v>440</v>
      </c>
      <c r="G477" s="9">
        <v>21</v>
      </c>
      <c r="H477" s="158">
        <f>'Engineering Assumptions'!$F$43*0.06*1</f>
        <v>0.32999999999999996</v>
      </c>
      <c r="I477" s="158">
        <f>'Engineering Assumptions'!$F$43*1</f>
        <v>5.5</v>
      </c>
      <c r="J477" s="12">
        <f>'Fleet Pricing'!L477</f>
        <v>154000</v>
      </c>
      <c r="K477" s="12">
        <f>'Maintenance &amp; Repair'!J477+'Maintenance &amp; Repair'!K477</f>
        <v>82080</v>
      </c>
      <c r="L477" s="159">
        <f t="shared" si="66"/>
        <v>0.53298701298701301</v>
      </c>
      <c r="M477" s="9">
        <f>MAX(0,'Engineering Assumptions'!$G$43-G477)</f>
        <v>0</v>
      </c>
      <c r="N477" s="160" t="str">
        <f t="shared" si="67"/>
        <v>REPLACE</v>
      </c>
      <c r="O477" s="161" t="str">
        <f t="shared" si="68"/>
        <v>End of life (age &gt; 20)</v>
      </c>
      <c r="P477" s="161" t="str">
        <f>'Engineering Assumptions'!H43</f>
        <v>MAHINDRA 575 / TAFE 45DI ~Rs. 4.5–6.5M</v>
      </c>
    </row>
    <row r="478" spans="1:16" ht="15" customHeight="1" x14ac:dyDescent="0.3">
      <c r="A478" s="9">
        <v>448</v>
      </c>
      <c r="B478" s="157" t="s">
        <v>945</v>
      </c>
      <c r="C478" s="157" t="s">
        <v>964</v>
      </c>
      <c r="D478" s="157" t="s">
        <v>965</v>
      </c>
      <c r="E478" s="157" t="s">
        <v>966</v>
      </c>
      <c r="F478" s="48" t="s">
        <v>967</v>
      </c>
      <c r="G478" s="9">
        <v>46</v>
      </c>
      <c r="H478" s="158">
        <f>'Engineering Assumptions'!$F$43*0.03*1</f>
        <v>0.16499999999999998</v>
      </c>
      <c r="I478" s="158">
        <f>'Engineering Assumptions'!$F$43*1</f>
        <v>5.5</v>
      </c>
      <c r="J478" s="12">
        <f>'Fleet Pricing'!L478</f>
        <v>124500</v>
      </c>
      <c r="K478" s="12">
        <f>'Maintenance &amp; Repair'!J478+'Maintenance &amp; Repair'!K478</f>
        <v>82080</v>
      </c>
      <c r="L478" s="159">
        <f t="shared" si="66"/>
        <v>0.65927710843373499</v>
      </c>
      <c r="M478" s="9">
        <f>MAX(0,'Engineering Assumptions'!$G$43-G478)</f>
        <v>0</v>
      </c>
      <c r="N478" s="160" t="str">
        <f t="shared" si="67"/>
        <v>REPLACE</v>
      </c>
      <c r="O478" s="161" t="str">
        <f t="shared" si="68"/>
        <v>End of life (age &gt; 20)</v>
      </c>
      <c r="P478" s="161" t="str">
        <f>'Engineering Assumptions'!H43</f>
        <v>MAHINDRA 575 / TAFE 45DI ~Rs. 4.5–6.5M</v>
      </c>
    </row>
    <row r="479" spans="1:16" ht="15" customHeight="1" x14ac:dyDescent="0.3">
      <c r="A479" s="9">
        <v>449</v>
      </c>
      <c r="B479" s="157" t="s">
        <v>945</v>
      </c>
      <c r="C479" s="157" t="s">
        <v>968</v>
      </c>
      <c r="D479" s="157" t="s">
        <v>969</v>
      </c>
      <c r="E479" s="157" t="s">
        <v>970</v>
      </c>
      <c r="F479" s="48" t="s">
        <v>971</v>
      </c>
      <c r="G479" s="9">
        <v>52</v>
      </c>
      <c r="H479" s="158">
        <f>'Engineering Assumptions'!$F$43*0.03*1</f>
        <v>0.16499999999999998</v>
      </c>
      <c r="I479" s="158">
        <f>'Engineering Assumptions'!$F$43*1</f>
        <v>5.5</v>
      </c>
      <c r="J479" s="12">
        <f>'Fleet Pricing'!L479</f>
        <v>124500</v>
      </c>
      <c r="K479" s="12">
        <f>'Maintenance &amp; Repair'!J479+'Maintenance &amp; Repair'!K479</f>
        <v>82080</v>
      </c>
      <c r="L479" s="159">
        <f t="shared" si="66"/>
        <v>0.65927710843373499</v>
      </c>
      <c r="M479" s="9">
        <f>MAX(0,'Engineering Assumptions'!$G$43-G479)</f>
        <v>0</v>
      </c>
      <c r="N479" s="160" t="str">
        <f t="shared" si="67"/>
        <v>REPLACE</v>
      </c>
      <c r="O479" s="161" t="str">
        <f t="shared" si="68"/>
        <v>End of life (age &gt; 20)</v>
      </c>
      <c r="P479" s="161" t="str">
        <f>'Engineering Assumptions'!H43</f>
        <v>MAHINDRA 575 / TAFE 45DI ~Rs. 4.5–6.5M</v>
      </c>
    </row>
    <row r="480" spans="1:16" ht="15" customHeight="1" x14ac:dyDescent="0.3">
      <c r="A480" s="9">
        <v>450</v>
      </c>
      <c r="B480" s="157" t="s">
        <v>945</v>
      </c>
      <c r="C480" s="157" t="s">
        <v>188</v>
      </c>
      <c r="D480" s="157" t="s">
        <v>972</v>
      </c>
      <c r="E480" s="157" t="s">
        <v>959</v>
      </c>
      <c r="F480" s="48" t="s">
        <v>195</v>
      </c>
      <c r="G480" s="9">
        <v>30</v>
      </c>
      <c r="H480" s="158">
        <f>'Engineering Assumptions'!$F$43*0.03*1</f>
        <v>0.16499999999999998</v>
      </c>
      <c r="I480" s="158">
        <f>'Engineering Assumptions'!$F$43*1</f>
        <v>5.5</v>
      </c>
      <c r="J480" s="12">
        <f>'Fleet Pricing'!L480</f>
        <v>124500</v>
      </c>
      <c r="K480" s="12">
        <f>'Maintenance &amp; Repair'!J480+'Maintenance &amp; Repair'!K480</f>
        <v>82080</v>
      </c>
      <c r="L480" s="159">
        <f t="shared" si="66"/>
        <v>0.65927710843373499</v>
      </c>
      <c r="M480" s="9">
        <f>MAX(0,'Engineering Assumptions'!$G$43-G480)</f>
        <v>0</v>
      </c>
      <c r="N480" s="160" t="str">
        <f t="shared" si="67"/>
        <v>REPLACE</v>
      </c>
      <c r="O480" s="161" t="str">
        <f t="shared" si="68"/>
        <v>End of life (age &gt; 20)</v>
      </c>
      <c r="P480" s="161" t="str">
        <f>'Engineering Assumptions'!H43</f>
        <v>MAHINDRA 575 / TAFE 45DI ~Rs. 4.5–6.5M</v>
      </c>
    </row>
    <row r="481" spans="1:16" ht="15" customHeight="1" x14ac:dyDescent="0.3">
      <c r="A481" s="9">
        <v>451</v>
      </c>
      <c r="B481" s="157" t="s">
        <v>945</v>
      </c>
      <c r="C481" s="157" t="s">
        <v>188</v>
      </c>
      <c r="D481" s="157"/>
      <c r="E481" s="157"/>
      <c r="F481" s="48" t="s">
        <v>195</v>
      </c>
      <c r="G481" s="9">
        <v>30</v>
      </c>
      <c r="H481" s="158">
        <f>'Engineering Assumptions'!$F$43*0.03*1</f>
        <v>0.16499999999999998</v>
      </c>
      <c r="I481" s="158">
        <f>'Engineering Assumptions'!$F$43*1</f>
        <v>5.5</v>
      </c>
      <c r="J481" s="12">
        <f>'Fleet Pricing'!L481</f>
        <v>124500</v>
      </c>
      <c r="K481" s="12">
        <f>'Maintenance &amp; Repair'!J481+'Maintenance &amp; Repair'!K481</f>
        <v>82080</v>
      </c>
      <c r="L481" s="159">
        <f t="shared" si="66"/>
        <v>0.65927710843373499</v>
      </c>
      <c r="M481" s="9">
        <f>MAX(0,'Engineering Assumptions'!$G$43-G481)</f>
        <v>0</v>
      </c>
      <c r="N481" s="160" t="str">
        <f t="shared" si="67"/>
        <v>REPLACE</v>
      </c>
      <c r="O481" s="161" t="str">
        <f t="shared" si="68"/>
        <v>End of life (age &gt; 20)</v>
      </c>
      <c r="P481" s="161" t="str">
        <f>'Engineering Assumptions'!H43</f>
        <v>MAHINDRA 575 / TAFE 45DI ~Rs. 4.5–6.5M</v>
      </c>
    </row>
    <row r="482" spans="1:16" ht="15" customHeight="1" x14ac:dyDescent="0.3">
      <c r="A482" s="9">
        <v>452</v>
      </c>
      <c r="B482" s="157" t="s">
        <v>945</v>
      </c>
      <c r="C482" s="157" t="s">
        <v>957</v>
      </c>
      <c r="D482" s="157"/>
      <c r="E482" s="157"/>
      <c r="F482" s="48" t="s">
        <v>195</v>
      </c>
      <c r="G482" s="9">
        <v>30</v>
      </c>
      <c r="H482" s="158">
        <f>'Engineering Assumptions'!$F$43*0.03*1</f>
        <v>0.16499999999999998</v>
      </c>
      <c r="I482" s="158">
        <f>'Engineering Assumptions'!$F$43*1</f>
        <v>5.5</v>
      </c>
      <c r="J482" s="12">
        <f>'Fleet Pricing'!L482</f>
        <v>124500</v>
      </c>
      <c r="K482" s="12">
        <f>'Maintenance &amp; Repair'!J482+'Maintenance &amp; Repair'!K482</f>
        <v>82080</v>
      </c>
      <c r="L482" s="159">
        <f t="shared" si="66"/>
        <v>0.65927710843373499</v>
      </c>
      <c r="M482" s="9">
        <f>MAX(0,'Engineering Assumptions'!$G$43-G482)</f>
        <v>0</v>
      </c>
      <c r="N482" s="160" t="str">
        <f t="shared" si="67"/>
        <v>REPLACE</v>
      </c>
      <c r="O482" s="161" t="str">
        <f t="shared" si="68"/>
        <v>End of life (age &gt; 20)</v>
      </c>
      <c r="P482" s="161" t="str">
        <f>'Engineering Assumptions'!H43</f>
        <v>MAHINDRA 575 / TAFE 45DI ~Rs. 4.5–6.5M</v>
      </c>
    </row>
    <row r="483" spans="1:16" ht="15" customHeight="1" x14ac:dyDescent="0.3">
      <c r="A483" s="199" t="s">
        <v>973</v>
      </c>
      <c r="B483" s="200"/>
      <c r="C483" s="200"/>
      <c r="D483" s="200"/>
      <c r="E483" s="200"/>
      <c r="F483" s="200"/>
      <c r="G483" s="200"/>
      <c r="H483" s="200"/>
      <c r="I483" s="200"/>
      <c r="J483" s="200"/>
      <c r="K483" s="200"/>
      <c r="L483" s="200"/>
      <c r="M483" s="200"/>
      <c r="N483" s="200"/>
      <c r="O483" s="200"/>
      <c r="P483" s="200"/>
    </row>
    <row r="484" spans="1:16" ht="15" customHeight="1" x14ac:dyDescent="0.3">
      <c r="A484" s="9">
        <v>453</v>
      </c>
      <c r="B484" s="157" t="s">
        <v>974</v>
      </c>
      <c r="C484" s="157" t="s">
        <v>975</v>
      </c>
      <c r="D484" s="157" t="s">
        <v>976</v>
      </c>
      <c r="E484" s="157" t="s">
        <v>977</v>
      </c>
      <c r="F484" s="48" t="s">
        <v>116</v>
      </c>
      <c r="G484" s="9">
        <v>9</v>
      </c>
      <c r="H484" s="158">
        <f>'Engineering Assumptions'!$F$44*0.22*1</f>
        <v>9.9000000000000005E-2</v>
      </c>
      <c r="I484" s="158">
        <f>'Engineering Assumptions'!$F$44*1</f>
        <v>0.45</v>
      </c>
      <c r="J484" s="12">
        <f>'Fleet Pricing'!L484</f>
        <v>47000</v>
      </c>
      <c r="K484" s="12">
        <f>'Maintenance &amp; Repair'!J484+'Maintenance &amp; Repair'!K484</f>
        <v>6900</v>
      </c>
      <c r="L484" s="159">
        <f t="shared" ref="L484:L515" si="69">IFERROR(K484/J484,0)</f>
        <v>0.14680851063829786</v>
      </c>
      <c r="M484" s="9">
        <f>MAX(0,'Engineering Assumptions'!$G$44-G484)</f>
        <v>0</v>
      </c>
      <c r="N484" s="160" t="str">
        <f t="shared" ref="N484:N515" si="70">IF(G484&gt;=20,"REPLACE",IF(L484&gt;0.6,"REPLACE",IF(G484&gt;=15,"REPLACE",IF(OR(G484&gt;=11,L484&gt;0.4),"MONITOR","KEEP"))))</f>
        <v>KEEP</v>
      </c>
      <c r="O484" s="161" t="str">
        <f t="shared" ref="O484:O515" si="71">IF(G484&gt;=20,"End of life (age &gt; 20)",IF(L484&gt;0.6,"Repairs exceed 60% of revenue",IF(G484&gt;=15,"Age 15+ → replace",IF(OR(G484&gt;=11,L484&gt;0.4),"Watch costs; plan replacement","Healthy — continue operating"))))</f>
        <v>Healthy — continue operating</v>
      </c>
      <c r="P484" s="161" t="str">
        <f>'Engineering Assumptions'!H44</f>
        <v>BAJAJ Platina / HONDA CD110 ~Rs. 400k–500k</v>
      </c>
    </row>
    <row r="485" spans="1:16" ht="15" customHeight="1" x14ac:dyDescent="0.3">
      <c r="A485" s="9">
        <v>454</v>
      </c>
      <c r="B485" s="157" t="s">
        <v>974</v>
      </c>
      <c r="C485" s="157" t="s">
        <v>975</v>
      </c>
      <c r="D485" s="157" t="s">
        <v>978</v>
      </c>
      <c r="E485" s="157" t="s">
        <v>979</v>
      </c>
      <c r="F485" s="48" t="s">
        <v>116</v>
      </c>
      <c r="G485" s="9">
        <v>9</v>
      </c>
      <c r="H485" s="158">
        <f>'Engineering Assumptions'!$F$44*0.22*1</f>
        <v>9.9000000000000005E-2</v>
      </c>
      <c r="I485" s="158">
        <f>'Engineering Assumptions'!$F$44*1</f>
        <v>0.45</v>
      </c>
      <c r="J485" s="12">
        <f>'Fleet Pricing'!L485</f>
        <v>47000</v>
      </c>
      <c r="K485" s="12">
        <f>'Maintenance &amp; Repair'!J485+'Maintenance &amp; Repair'!K485</f>
        <v>6900</v>
      </c>
      <c r="L485" s="159">
        <f t="shared" si="69"/>
        <v>0.14680851063829786</v>
      </c>
      <c r="M485" s="9">
        <f>MAX(0,'Engineering Assumptions'!$G$44-G485)</f>
        <v>0</v>
      </c>
      <c r="N485" s="160" t="str">
        <f t="shared" si="70"/>
        <v>KEEP</v>
      </c>
      <c r="O485" s="161" t="str">
        <f t="shared" si="71"/>
        <v>Healthy — continue operating</v>
      </c>
      <c r="P485" s="161" t="str">
        <f>'Engineering Assumptions'!H44</f>
        <v>BAJAJ Platina / HONDA CD110 ~Rs. 400k–500k</v>
      </c>
    </row>
    <row r="486" spans="1:16" ht="15" customHeight="1" x14ac:dyDescent="0.3">
      <c r="A486" s="9">
        <v>455</v>
      </c>
      <c r="B486" s="157" t="s">
        <v>974</v>
      </c>
      <c r="C486" s="157" t="s">
        <v>980</v>
      </c>
      <c r="D486" s="157" t="s">
        <v>981</v>
      </c>
      <c r="E486" s="157" t="s">
        <v>982</v>
      </c>
      <c r="F486" s="48" t="s">
        <v>116</v>
      </c>
      <c r="G486" s="9">
        <v>9</v>
      </c>
      <c r="H486" s="158">
        <f>'Engineering Assumptions'!$F$44*0.22*1</f>
        <v>9.9000000000000005E-2</v>
      </c>
      <c r="I486" s="158">
        <f>'Engineering Assumptions'!$F$44*1</f>
        <v>0.45</v>
      </c>
      <c r="J486" s="12">
        <f>'Fleet Pricing'!L486</f>
        <v>47000</v>
      </c>
      <c r="K486" s="12">
        <f>'Maintenance &amp; Repair'!J486+'Maintenance &amp; Repair'!K486</f>
        <v>6900</v>
      </c>
      <c r="L486" s="159">
        <f t="shared" si="69"/>
        <v>0.14680851063829786</v>
      </c>
      <c r="M486" s="9">
        <f>MAX(0,'Engineering Assumptions'!$G$44-G486)</f>
        <v>0</v>
      </c>
      <c r="N486" s="160" t="str">
        <f t="shared" si="70"/>
        <v>KEEP</v>
      </c>
      <c r="O486" s="161" t="str">
        <f t="shared" si="71"/>
        <v>Healthy — continue operating</v>
      </c>
      <c r="P486" s="161" t="str">
        <f>'Engineering Assumptions'!H44</f>
        <v>BAJAJ Platina / HONDA CD110 ~Rs. 400k–500k</v>
      </c>
    </row>
    <row r="487" spans="1:16" ht="15" customHeight="1" x14ac:dyDescent="0.3">
      <c r="A487" s="9">
        <v>456</v>
      </c>
      <c r="B487" s="157" t="s">
        <v>974</v>
      </c>
      <c r="C487" s="157" t="s">
        <v>983</v>
      </c>
      <c r="D487" s="157" t="s">
        <v>984</v>
      </c>
      <c r="E487" s="157" t="s">
        <v>985</v>
      </c>
      <c r="F487" s="48" t="s">
        <v>116</v>
      </c>
      <c r="G487" s="9">
        <v>9</v>
      </c>
      <c r="H487" s="158">
        <f>'Engineering Assumptions'!$F$44*0.22*1</f>
        <v>9.9000000000000005E-2</v>
      </c>
      <c r="I487" s="158">
        <f>'Engineering Assumptions'!$F$44*1</f>
        <v>0.45</v>
      </c>
      <c r="J487" s="12">
        <f>'Fleet Pricing'!L487</f>
        <v>47000</v>
      </c>
      <c r="K487" s="12">
        <f>'Maintenance &amp; Repair'!J487+'Maintenance &amp; Repair'!K487</f>
        <v>6900</v>
      </c>
      <c r="L487" s="159">
        <f t="shared" si="69"/>
        <v>0.14680851063829786</v>
      </c>
      <c r="M487" s="9">
        <f>MAX(0,'Engineering Assumptions'!$G$44-G487)</f>
        <v>0</v>
      </c>
      <c r="N487" s="160" t="str">
        <f t="shared" si="70"/>
        <v>KEEP</v>
      </c>
      <c r="O487" s="161" t="str">
        <f t="shared" si="71"/>
        <v>Healthy — continue operating</v>
      </c>
      <c r="P487" s="161" t="str">
        <f>'Engineering Assumptions'!H44</f>
        <v>BAJAJ Platina / HONDA CD110 ~Rs. 400k–500k</v>
      </c>
    </row>
    <row r="488" spans="1:16" ht="15" customHeight="1" x14ac:dyDescent="0.3">
      <c r="A488" s="9">
        <v>457</v>
      </c>
      <c r="B488" s="157" t="s">
        <v>974</v>
      </c>
      <c r="C488" s="157" t="s">
        <v>983</v>
      </c>
      <c r="D488" s="157" t="s">
        <v>986</v>
      </c>
      <c r="E488" s="157" t="s">
        <v>987</v>
      </c>
      <c r="F488" s="48" t="s">
        <v>116</v>
      </c>
      <c r="G488" s="9">
        <v>9</v>
      </c>
      <c r="H488" s="158">
        <f>'Engineering Assumptions'!$F$44*0.22*1</f>
        <v>9.9000000000000005E-2</v>
      </c>
      <c r="I488" s="158">
        <f>'Engineering Assumptions'!$F$44*1</f>
        <v>0.45</v>
      </c>
      <c r="J488" s="12">
        <f>'Fleet Pricing'!L488</f>
        <v>47000</v>
      </c>
      <c r="K488" s="12">
        <f>'Maintenance &amp; Repair'!J488+'Maintenance &amp; Repair'!K488</f>
        <v>6900</v>
      </c>
      <c r="L488" s="159">
        <f t="shared" si="69"/>
        <v>0.14680851063829786</v>
      </c>
      <c r="M488" s="9">
        <f>MAX(0,'Engineering Assumptions'!$G$44-G488)</f>
        <v>0</v>
      </c>
      <c r="N488" s="160" t="str">
        <f t="shared" si="70"/>
        <v>KEEP</v>
      </c>
      <c r="O488" s="161" t="str">
        <f t="shared" si="71"/>
        <v>Healthy — continue operating</v>
      </c>
      <c r="P488" s="161" t="str">
        <f>'Engineering Assumptions'!H44</f>
        <v>BAJAJ Platina / HONDA CD110 ~Rs. 400k–500k</v>
      </c>
    </row>
    <row r="489" spans="1:16" ht="15" customHeight="1" x14ac:dyDescent="0.3">
      <c r="A489" s="9">
        <v>458</v>
      </c>
      <c r="B489" s="157" t="s">
        <v>974</v>
      </c>
      <c r="C489" s="157" t="s">
        <v>988</v>
      </c>
      <c r="D489" s="157" t="s">
        <v>989</v>
      </c>
      <c r="E489" s="157" t="s">
        <v>990</v>
      </c>
      <c r="F489" s="48" t="s">
        <v>49</v>
      </c>
      <c r="G489" s="9">
        <v>10</v>
      </c>
      <c r="H489" s="158">
        <f>'Engineering Assumptions'!$F$44*0.22*1</f>
        <v>9.9000000000000005E-2</v>
      </c>
      <c r="I489" s="158">
        <f>'Engineering Assumptions'!$F$44*1</f>
        <v>0.45</v>
      </c>
      <c r="J489" s="12">
        <f>'Fleet Pricing'!L489</f>
        <v>47000</v>
      </c>
      <c r="K489" s="12">
        <f>'Maintenance &amp; Repair'!J489+'Maintenance &amp; Repair'!K489</f>
        <v>6900</v>
      </c>
      <c r="L489" s="159">
        <f t="shared" si="69"/>
        <v>0.14680851063829786</v>
      </c>
      <c r="M489" s="9">
        <f>MAX(0,'Engineering Assumptions'!$G$44-G489)</f>
        <v>0</v>
      </c>
      <c r="N489" s="160" t="str">
        <f t="shared" si="70"/>
        <v>KEEP</v>
      </c>
      <c r="O489" s="161" t="str">
        <f t="shared" si="71"/>
        <v>Healthy — continue operating</v>
      </c>
      <c r="P489" s="161" t="str">
        <f>'Engineering Assumptions'!H44</f>
        <v>BAJAJ Platina / HONDA CD110 ~Rs. 400k–500k</v>
      </c>
    </row>
    <row r="490" spans="1:16" ht="15" customHeight="1" x14ac:dyDescent="0.3">
      <c r="A490" s="9">
        <v>459</v>
      </c>
      <c r="B490" s="157" t="s">
        <v>974</v>
      </c>
      <c r="C490" s="157" t="s">
        <v>975</v>
      </c>
      <c r="D490" s="157" t="s">
        <v>991</v>
      </c>
      <c r="E490" s="157" t="s">
        <v>992</v>
      </c>
      <c r="F490" s="48" t="s">
        <v>49</v>
      </c>
      <c r="G490" s="9">
        <v>10</v>
      </c>
      <c r="H490" s="158">
        <f>'Engineering Assumptions'!$F$44*0.22*1</f>
        <v>9.9000000000000005E-2</v>
      </c>
      <c r="I490" s="158">
        <f>'Engineering Assumptions'!$F$44*1</f>
        <v>0.45</v>
      </c>
      <c r="J490" s="12">
        <f>'Fleet Pricing'!L490</f>
        <v>47000</v>
      </c>
      <c r="K490" s="12">
        <f>'Maintenance &amp; Repair'!J490+'Maintenance &amp; Repair'!K490</f>
        <v>6900</v>
      </c>
      <c r="L490" s="159">
        <f t="shared" si="69"/>
        <v>0.14680851063829786</v>
      </c>
      <c r="M490" s="9">
        <f>MAX(0,'Engineering Assumptions'!$G$44-G490)</f>
        <v>0</v>
      </c>
      <c r="N490" s="160" t="str">
        <f t="shared" si="70"/>
        <v>KEEP</v>
      </c>
      <c r="O490" s="161" t="str">
        <f t="shared" si="71"/>
        <v>Healthy — continue operating</v>
      </c>
      <c r="P490" s="161" t="str">
        <f>'Engineering Assumptions'!H44</f>
        <v>BAJAJ Platina / HONDA CD110 ~Rs. 400k–500k</v>
      </c>
    </row>
    <row r="491" spans="1:16" ht="15" customHeight="1" x14ac:dyDescent="0.3">
      <c r="A491" s="9">
        <v>460</v>
      </c>
      <c r="B491" s="157" t="s">
        <v>974</v>
      </c>
      <c r="C491" s="157" t="s">
        <v>975</v>
      </c>
      <c r="D491" s="157" t="s">
        <v>993</v>
      </c>
      <c r="E491" s="157" t="s">
        <v>994</v>
      </c>
      <c r="F491" s="48" t="s">
        <v>49</v>
      </c>
      <c r="G491" s="9">
        <v>10</v>
      </c>
      <c r="H491" s="158">
        <f>'Engineering Assumptions'!$F$44*0.22*1</f>
        <v>9.9000000000000005E-2</v>
      </c>
      <c r="I491" s="158">
        <f>'Engineering Assumptions'!$F$44*1</f>
        <v>0.45</v>
      </c>
      <c r="J491" s="12">
        <f>'Fleet Pricing'!L491</f>
        <v>47000</v>
      </c>
      <c r="K491" s="12">
        <f>'Maintenance &amp; Repair'!J491+'Maintenance &amp; Repair'!K491</f>
        <v>6900</v>
      </c>
      <c r="L491" s="159">
        <f t="shared" si="69"/>
        <v>0.14680851063829786</v>
      </c>
      <c r="M491" s="9">
        <f>MAX(0,'Engineering Assumptions'!$G$44-G491)</f>
        <v>0</v>
      </c>
      <c r="N491" s="160" t="str">
        <f t="shared" si="70"/>
        <v>KEEP</v>
      </c>
      <c r="O491" s="161" t="str">
        <f t="shared" si="71"/>
        <v>Healthy — continue operating</v>
      </c>
      <c r="P491" s="161" t="str">
        <f>'Engineering Assumptions'!H44</f>
        <v>BAJAJ Platina / HONDA CD110 ~Rs. 400k–500k</v>
      </c>
    </row>
    <row r="492" spans="1:16" ht="15" customHeight="1" x14ac:dyDescent="0.3">
      <c r="A492" s="9">
        <v>461</v>
      </c>
      <c r="B492" s="157" t="s">
        <v>974</v>
      </c>
      <c r="C492" s="157" t="s">
        <v>975</v>
      </c>
      <c r="D492" s="157" t="s">
        <v>995</v>
      </c>
      <c r="E492" s="157" t="s">
        <v>996</v>
      </c>
      <c r="F492" s="48" t="s">
        <v>49</v>
      </c>
      <c r="G492" s="9">
        <v>10</v>
      </c>
      <c r="H492" s="158">
        <f>'Engineering Assumptions'!$F$44*0.22*1</f>
        <v>9.9000000000000005E-2</v>
      </c>
      <c r="I492" s="158">
        <f>'Engineering Assumptions'!$F$44*1</f>
        <v>0.45</v>
      </c>
      <c r="J492" s="12">
        <f>'Fleet Pricing'!L492</f>
        <v>47000</v>
      </c>
      <c r="K492" s="12">
        <f>'Maintenance &amp; Repair'!J492+'Maintenance &amp; Repair'!K492</f>
        <v>6900</v>
      </c>
      <c r="L492" s="159">
        <f t="shared" si="69"/>
        <v>0.14680851063829786</v>
      </c>
      <c r="M492" s="9">
        <f>MAX(0,'Engineering Assumptions'!$G$44-G492)</f>
        <v>0</v>
      </c>
      <c r="N492" s="160" t="str">
        <f t="shared" si="70"/>
        <v>KEEP</v>
      </c>
      <c r="O492" s="161" t="str">
        <f t="shared" si="71"/>
        <v>Healthy — continue operating</v>
      </c>
      <c r="P492" s="161" t="str">
        <f>'Engineering Assumptions'!H44</f>
        <v>BAJAJ Platina / HONDA CD110 ~Rs. 400k–500k</v>
      </c>
    </row>
    <row r="493" spans="1:16" ht="15" customHeight="1" x14ac:dyDescent="0.3">
      <c r="A493" s="9">
        <v>462</v>
      </c>
      <c r="B493" s="157" t="s">
        <v>974</v>
      </c>
      <c r="C493" s="157" t="s">
        <v>983</v>
      </c>
      <c r="D493" s="157"/>
      <c r="E493" s="157"/>
      <c r="F493" s="48" t="s">
        <v>49</v>
      </c>
      <c r="G493" s="9">
        <v>10</v>
      </c>
      <c r="H493" s="158">
        <f>'Engineering Assumptions'!$F$44*0.22*1</f>
        <v>9.9000000000000005E-2</v>
      </c>
      <c r="I493" s="158">
        <f>'Engineering Assumptions'!$F$44*1</f>
        <v>0.45</v>
      </c>
      <c r="J493" s="12">
        <f>'Fleet Pricing'!L493</f>
        <v>47000</v>
      </c>
      <c r="K493" s="12">
        <f>'Maintenance &amp; Repair'!J493+'Maintenance &amp; Repair'!K493</f>
        <v>6900</v>
      </c>
      <c r="L493" s="159">
        <f t="shared" si="69"/>
        <v>0.14680851063829786</v>
      </c>
      <c r="M493" s="9">
        <f>MAX(0,'Engineering Assumptions'!$G$44-G493)</f>
        <v>0</v>
      </c>
      <c r="N493" s="160" t="str">
        <f t="shared" si="70"/>
        <v>KEEP</v>
      </c>
      <c r="O493" s="161" t="str">
        <f t="shared" si="71"/>
        <v>Healthy — continue operating</v>
      </c>
      <c r="P493" s="161" t="str">
        <f>'Engineering Assumptions'!H44</f>
        <v>BAJAJ Platina / HONDA CD110 ~Rs. 400k–500k</v>
      </c>
    </row>
    <row r="494" spans="1:16" ht="15" customHeight="1" x14ac:dyDescent="0.3">
      <c r="A494" s="9">
        <v>463</v>
      </c>
      <c r="B494" s="157" t="s">
        <v>974</v>
      </c>
      <c r="C494" s="157" t="s">
        <v>975</v>
      </c>
      <c r="D494" s="157" t="s">
        <v>997</v>
      </c>
      <c r="E494" s="157" t="s">
        <v>998</v>
      </c>
      <c r="F494" s="48" t="s">
        <v>61</v>
      </c>
      <c r="G494" s="9">
        <v>11</v>
      </c>
      <c r="H494" s="158">
        <f>'Engineering Assumptions'!$F$44*0.22*1</f>
        <v>9.9000000000000005E-2</v>
      </c>
      <c r="I494" s="158">
        <f>'Engineering Assumptions'!$F$44*1</f>
        <v>0.45</v>
      </c>
      <c r="J494" s="12">
        <f>'Fleet Pricing'!L494</f>
        <v>47000</v>
      </c>
      <c r="K494" s="12">
        <f>'Maintenance &amp; Repair'!J494+'Maintenance &amp; Repair'!K494</f>
        <v>10320</v>
      </c>
      <c r="L494" s="159">
        <f t="shared" si="69"/>
        <v>0.21957446808510639</v>
      </c>
      <c r="M494" s="9">
        <f>MAX(0,'Engineering Assumptions'!$G$44-G494)</f>
        <v>0</v>
      </c>
      <c r="N494" s="160" t="str">
        <f t="shared" si="70"/>
        <v>MONITOR</v>
      </c>
      <c r="O494" s="161" t="str">
        <f t="shared" si="71"/>
        <v>Watch costs; plan replacement</v>
      </c>
      <c r="P494" s="161" t="str">
        <f>'Engineering Assumptions'!H44</f>
        <v>BAJAJ Platina / HONDA CD110 ~Rs. 400k–500k</v>
      </c>
    </row>
    <row r="495" spans="1:16" ht="15" customHeight="1" x14ac:dyDescent="0.3">
      <c r="A495" s="9">
        <v>464</v>
      </c>
      <c r="B495" s="157" t="s">
        <v>974</v>
      </c>
      <c r="C495" s="157" t="s">
        <v>975</v>
      </c>
      <c r="D495" s="157" t="s">
        <v>999</v>
      </c>
      <c r="E495" s="157" t="s">
        <v>1000</v>
      </c>
      <c r="F495" s="48" t="s">
        <v>61</v>
      </c>
      <c r="G495" s="9">
        <v>11</v>
      </c>
      <c r="H495" s="158">
        <f>'Engineering Assumptions'!$F$44*0.22*1</f>
        <v>9.9000000000000005E-2</v>
      </c>
      <c r="I495" s="158">
        <f>'Engineering Assumptions'!$F$44*1</f>
        <v>0.45</v>
      </c>
      <c r="J495" s="12">
        <f>'Fleet Pricing'!L495</f>
        <v>47000</v>
      </c>
      <c r="K495" s="12">
        <f>'Maintenance &amp; Repair'!J495+'Maintenance &amp; Repair'!K495</f>
        <v>10320</v>
      </c>
      <c r="L495" s="159">
        <f t="shared" si="69"/>
        <v>0.21957446808510639</v>
      </c>
      <c r="M495" s="9">
        <f>MAX(0,'Engineering Assumptions'!$G$44-G495)</f>
        <v>0</v>
      </c>
      <c r="N495" s="160" t="str">
        <f t="shared" si="70"/>
        <v>MONITOR</v>
      </c>
      <c r="O495" s="161" t="str">
        <f t="shared" si="71"/>
        <v>Watch costs; plan replacement</v>
      </c>
      <c r="P495" s="161" t="str">
        <f>'Engineering Assumptions'!H44</f>
        <v>BAJAJ Platina / HONDA CD110 ~Rs. 400k–500k</v>
      </c>
    </row>
    <row r="496" spans="1:16" ht="15" customHeight="1" x14ac:dyDescent="0.3">
      <c r="A496" s="9">
        <v>465</v>
      </c>
      <c r="B496" s="157" t="s">
        <v>974</v>
      </c>
      <c r="C496" s="157" t="s">
        <v>1001</v>
      </c>
      <c r="D496" s="157" t="s">
        <v>1002</v>
      </c>
      <c r="E496" s="157" t="s">
        <v>1003</v>
      </c>
      <c r="F496" s="48" t="s">
        <v>61</v>
      </c>
      <c r="G496" s="9">
        <v>11</v>
      </c>
      <c r="H496" s="158">
        <f>'Engineering Assumptions'!$F$44*0.22*1</f>
        <v>9.9000000000000005E-2</v>
      </c>
      <c r="I496" s="158">
        <f>'Engineering Assumptions'!$F$44*1</f>
        <v>0.45</v>
      </c>
      <c r="J496" s="12">
        <f>'Fleet Pricing'!L496</f>
        <v>47000</v>
      </c>
      <c r="K496" s="12">
        <f>'Maintenance &amp; Repair'!J496+'Maintenance &amp; Repair'!K496</f>
        <v>10320</v>
      </c>
      <c r="L496" s="159">
        <f t="shared" si="69"/>
        <v>0.21957446808510639</v>
      </c>
      <c r="M496" s="9">
        <f>MAX(0,'Engineering Assumptions'!$G$44-G496)</f>
        <v>0</v>
      </c>
      <c r="N496" s="160" t="str">
        <f t="shared" si="70"/>
        <v>MONITOR</v>
      </c>
      <c r="O496" s="161" t="str">
        <f t="shared" si="71"/>
        <v>Watch costs; plan replacement</v>
      </c>
      <c r="P496" s="161" t="str">
        <f>'Engineering Assumptions'!H44</f>
        <v>BAJAJ Platina / HONDA CD110 ~Rs. 400k–500k</v>
      </c>
    </row>
    <row r="497" spans="1:16" ht="15" customHeight="1" x14ac:dyDescent="0.3">
      <c r="A497" s="9">
        <v>466</v>
      </c>
      <c r="B497" s="157" t="s">
        <v>974</v>
      </c>
      <c r="C497" s="157" t="s">
        <v>1001</v>
      </c>
      <c r="D497" s="157" t="s">
        <v>1004</v>
      </c>
      <c r="E497" s="157" t="s">
        <v>1005</v>
      </c>
      <c r="F497" s="48" t="s">
        <v>61</v>
      </c>
      <c r="G497" s="9">
        <v>11</v>
      </c>
      <c r="H497" s="158">
        <f>'Engineering Assumptions'!$F$44*0.22*1</f>
        <v>9.9000000000000005E-2</v>
      </c>
      <c r="I497" s="158">
        <f>'Engineering Assumptions'!$F$44*1</f>
        <v>0.45</v>
      </c>
      <c r="J497" s="12">
        <f>'Fleet Pricing'!L497</f>
        <v>47000</v>
      </c>
      <c r="K497" s="12">
        <f>'Maintenance &amp; Repair'!J497+'Maintenance &amp; Repair'!K497</f>
        <v>10320</v>
      </c>
      <c r="L497" s="159">
        <f t="shared" si="69"/>
        <v>0.21957446808510639</v>
      </c>
      <c r="M497" s="9">
        <f>MAX(0,'Engineering Assumptions'!$G$44-G497)</f>
        <v>0</v>
      </c>
      <c r="N497" s="160" t="str">
        <f t="shared" si="70"/>
        <v>MONITOR</v>
      </c>
      <c r="O497" s="161" t="str">
        <f t="shared" si="71"/>
        <v>Watch costs; plan replacement</v>
      </c>
      <c r="P497" s="161" t="str">
        <f>'Engineering Assumptions'!H44</f>
        <v>BAJAJ Platina / HONDA CD110 ~Rs. 400k–500k</v>
      </c>
    </row>
    <row r="498" spans="1:16" ht="15" customHeight="1" x14ac:dyDescent="0.3">
      <c r="A498" s="9">
        <v>467</v>
      </c>
      <c r="B498" s="157" t="s">
        <v>974</v>
      </c>
      <c r="C498" s="157" t="s">
        <v>1006</v>
      </c>
      <c r="D498" s="157" t="s">
        <v>1007</v>
      </c>
      <c r="E498" s="157" t="s">
        <v>1008</v>
      </c>
      <c r="F498" s="48" t="s">
        <v>99</v>
      </c>
      <c r="G498" s="9">
        <v>13</v>
      </c>
      <c r="H498" s="158">
        <f>'Engineering Assumptions'!$F$44*0.12*1</f>
        <v>5.3999999999999999E-2</v>
      </c>
      <c r="I498" s="158">
        <f>'Engineering Assumptions'!$F$44*1</f>
        <v>0.45</v>
      </c>
      <c r="J498" s="12">
        <f>'Fleet Pricing'!L498</f>
        <v>42000</v>
      </c>
      <c r="K498" s="12">
        <f>'Maintenance &amp; Repair'!J498+'Maintenance &amp; Repair'!K498</f>
        <v>10320</v>
      </c>
      <c r="L498" s="159">
        <f t="shared" si="69"/>
        <v>0.24571428571428572</v>
      </c>
      <c r="M498" s="9">
        <f>MAX(0,'Engineering Assumptions'!$G$44-G498)</f>
        <v>0</v>
      </c>
      <c r="N498" s="160" t="str">
        <f t="shared" si="70"/>
        <v>MONITOR</v>
      </c>
      <c r="O498" s="161" t="str">
        <f t="shared" si="71"/>
        <v>Watch costs; plan replacement</v>
      </c>
      <c r="P498" s="161" t="str">
        <f>'Engineering Assumptions'!H44</f>
        <v>BAJAJ Platina / HONDA CD110 ~Rs. 400k–500k</v>
      </c>
    </row>
    <row r="499" spans="1:16" ht="15" customHeight="1" x14ac:dyDescent="0.3">
      <c r="A499" s="9">
        <v>468</v>
      </c>
      <c r="B499" s="157" t="s">
        <v>974</v>
      </c>
      <c r="C499" s="157" t="s">
        <v>1006</v>
      </c>
      <c r="D499" s="157" t="s">
        <v>1009</v>
      </c>
      <c r="E499" s="157" t="s">
        <v>1010</v>
      </c>
      <c r="F499" s="48" t="s">
        <v>99</v>
      </c>
      <c r="G499" s="9">
        <v>13</v>
      </c>
      <c r="H499" s="158">
        <f>'Engineering Assumptions'!$F$44*0.12*1</f>
        <v>5.3999999999999999E-2</v>
      </c>
      <c r="I499" s="158">
        <f>'Engineering Assumptions'!$F$44*1</f>
        <v>0.45</v>
      </c>
      <c r="J499" s="12">
        <f>'Fleet Pricing'!L499</f>
        <v>42000</v>
      </c>
      <c r="K499" s="12">
        <f>'Maintenance &amp; Repair'!J499+'Maintenance &amp; Repair'!K499</f>
        <v>10320</v>
      </c>
      <c r="L499" s="159">
        <f t="shared" si="69"/>
        <v>0.24571428571428572</v>
      </c>
      <c r="M499" s="9">
        <f>MAX(0,'Engineering Assumptions'!$G$44-G499)</f>
        <v>0</v>
      </c>
      <c r="N499" s="160" t="str">
        <f t="shared" si="70"/>
        <v>MONITOR</v>
      </c>
      <c r="O499" s="161" t="str">
        <f t="shared" si="71"/>
        <v>Watch costs; plan replacement</v>
      </c>
      <c r="P499" s="161" t="str">
        <f>'Engineering Assumptions'!H44</f>
        <v>BAJAJ Platina / HONDA CD110 ~Rs. 400k–500k</v>
      </c>
    </row>
    <row r="500" spans="1:16" ht="15" customHeight="1" x14ac:dyDescent="0.3">
      <c r="A500" s="9">
        <v>469</v>
      </c>
      <c r="B500" s="157" t="s">
        <v>974</v>
      </c>
      <c r="C500" s="157" t="s">
        <v>975</v>
      </c>
      <c r="D500" s="157" t="s">
        <v>1011</v>
      </c>
      <c r="E500" s="157" t="s">
        <v>1012</v>
      </c>
      <c r="F500" s="48" t="s">
        <v>66</v>
      </c>
      <c r="G500" s="9">
        <v>14</v>
      </c>
      <c r="H500" s="158">
        <f>'Engineering Assumptions'!$F$44*0.12*1</f>
        <v>5.3999999999999999E-2</v>
      </c>
      <c r="I500" s="158">
        <f>'Engineering Assumptions'!$F$44*1</f>
        <v>0.45</v>
      </c>
      <c r="J500" s="12">
        <f>'Fleet Pricing'!L500</f>
        <v>42000</v>
      </c>
      <c r="K500" s="12">
        <f>'Maintenance &amp; Repair'!J500+'Maintenance &amp; Repair'!K500</f>
        <v>10320</v>
      </c>
      <c r="L500" s="159">
        <f t="shared" si="69"/>
        <v>0.24571428571428572</v>
      </c>
      <c r="M500" s="9">
        <f>MAX(0,'Engineering Assumptions'!$G$44-G500)</f>
        <v>0</v>
      </c>
      <c r="N500" s="160" t="str">
        <f t="shared" si="70"/>
        <v>MONITOR</v>
      </c>
      <c r="O500" s="161" t="str">
        <f t="shared" si="71"/>
        <v>Watch costs; plan replacement</v>
      </c>
      <c r="P500" s="161" t="str">
        <f>'Engineering Assumptions'!H44</f>
        <v>BAJAJ Platina / HONDA CD110 ~Rs. 400k–500k</v>
      </c>
    </row>
    <row r="501" spans="1:16" ht="15" customHeight="1" x14ac:dyDescent="0.3">
      <c r="A501" s="9">
        <v>470</v>
      </c>
      <c r="B501" s="157" t="s">
        <v>974</v>
      </c>
      <c r="C501" s="157" t="s">
        <v>975</v>
      </c>
      <c r="D501" s="157" t="s">
        <v>1013</v>
      </c>
      <c r="E501" s="157" t="s">
        <v>1014</v>
      </c>
      <c r="F501" s="48" t="s">
        <v>66</v>
      </c>
      <c r="G501" s="9">
        <v>14</v>
      </c>
      <c r="H501" s="158">
        <f>'Engineering Assumptions'!$F$44*0.12*1</f>
        <v>5.3999999999999999E-2</v>
      </c>
      <c r="I501" s="158">
        <f>'Engineering Assumptions'!$F$44*1</f>
        <v>0.45</v>
      </c>
      <c r="J501" s="12">
        <f>'Fleet Pricing'!L501</f>
        <v>42000</v>
      </c>
      <c r="K501" s="12">
        <f>'Maintenance &amp; Repair'!J501+'Maintenance &amp; Repair'!K501</f>
        <v>10320</v>
      </c>
      <c r="L501" s="159">
        <f t="shared" si="69"/>
        <v>0.24571428571428572</v>
      </c>
      <c r="M501" s="9">
        <f>MAX(0,'Engineering Assumptions'!$G$44-G501)</f>
        <v>0</v>
      </c>
      <c r="N501" s="160" t="str">
        <f t="shared" si="70"/>
        <v>MONITOR</v>
      </c>
      <c r="O501" s="161" t="str">
        <f t="shared" si="71"/>
        <v>Watch costs; plan replacement</v>
      </c>
      <c r="P501" s="161" t="str">
        <f>'Engineering Assumptions'!H44</f>
        <v>BAJAJ Platina / HONDA CD110 ~Rs. 400k–500k</v>
      </c>
    </row>
    <row r="502" spans="1:16" ht="15" customHeight="1" x14ac:dyDescent="0.3">
      <c r="A502" s="9">
        <v>471</v>
      </c>
      <c r="B502" s="157" t="s">
        <v>974</v>
      </c>
      <c r="C502" s="157" t="s">
        <v>975</v>
      </c>
      <c r="D502" s="157" t="s">
        <v>1015</v>
      </c>
      <c r="E502" s="157" t="s">
        <v>1016</v>
      </c>
      <c r="F502" s="48" t="s">
        <v>66</v>
      </c>
      <c r="G502" s="9">
        <v>14</v>
      </c>
      <c r="H502" s="158">
        <f>'Engineering Assumptions'!$F$44*0.12*1</f>
        <v>5.3999999999999999E-2</v>
      </c>
      <c r="I502" s="158">
        <f>'Engineering Assumptions'!$F$44*1</f>
        <v>0.45</v>
      </c>
      <c r="J502" s="12">
        <f>'Fleet Pricing'!L502</f>
        <v>42000</v>
      </c>
      <c r="K502" s="12">
        <f>'Maintenance &amp; Repair'!J502+'Maintenance &amp; Repair'!K502</f>
        <v>10320</v>
      </c>
      <c r="L502" s="159">
        <f t="shared" si="69"/>
        <v>0.24571428571428572</v>
      </c>
      <c r="M502" s="9">
        <f>MAX(0,'Engineering Assumptions'!$G$44-G502)</f>
        <v>0</v>
      </c>
      <c r="N502" s="160" t="str">
        <f t="shared" si="70"/>
        <v>MONITOR</v>
      </c>
      <c r="O502" s="161" t="str">
        <f t="shared" si="71"/>
        <v>Watch costs; plan replacement</v>
      </c>
      <c r="P502" s="161" t="str">
        <f>'Engineering Assumptions'!H44</f>
        <v>BAJAJ Platina / HONDA CD110 ~Rs. 400k–500k</v>
      </c>
    </row>
    <row r="503" spans="1:16" ht="15" customHeight="1" x14ac:dyDescent="0.3">
      <c r="A503" s="9">
        <v>472</v>
      </c>
      <c r="B503" s="157" t="s">
        <v>974</v>
      </c>
      <c r="C503" s="157" t="s">
        <v>1006</v>
      </c>
      <c r="D503" s="157" t="s">
        <v>1017</v>
      </c>
      <c r="E503" s="157" t="s">
        <v>1018</v>
      </c>
      <c r="F503" s="48" t="s">
        <v>66</v>
      </c>
      <c r="G503" s="9">
        <v>14</v>
      </c>
      <c r="H503" s="158">
        <f>'Engineering Assumptions'!$F$44*0.12*1</f>
        <v>5.3999999999999999E-2</v>
      </c>
      <c r="I503" s="158">
        <f>'Engineering Assumptions'!$F$44*1</f>
        <v>0.45</v>
      </c>
      <c r="J503" s="12">
        <f>'Fleet Pricing'!L503</f>
        <v>42000</v>
      </c>
      <c r="K503" s="12">
        <f>'Maintenance &amp; Repair'!J503+'Maintenance &amp; Repair'!K503</f>
        <v>10320</v>
      </c>
      <c r="L503" s="159">
        <f t="shared" si="69"/>
        <v>0.24571428571428572</v>
      </c>
      <c r="M503" s="9">
        <f>MAX(0,'Engineering Assumptions'!$G$44-G503)</f>
        <v>0</v>
      </c>
      <c r="N503" s="160" t="str">
        <f t="shared" si="70"/>
        <v>MONITOR</v>
      </c>
      <c r="O503" s="161" t="str">
        <f t="shared" si="71"/>
        <v>Watch costs; plan replacement</v>
      </c>
      <c r="P503" s="161" t="str">
        <f>'Engineering Assumptions'!H44</f>
        <v>BAJAJ Platina / HONDA CD110 ~Rs. 400k–500k</v>
      </c>
    </row>
    <row r="504" spans="1:16" ht="15" customHeight="1" x14ac:dyDescent="0.3">
      <c r="A504" s="9">
        <v>473</v>
      </c>
      <c r="B504" s="157" t="s">
        <v>974</v>
      </c>
      <c r="C504" s="157" t="s">
        <v>1006</v>
      </c>
      <c r="D504" s="157" t="s">
        <v>1019</v>
      </c>
      <c r="E504" s="157" t="s">
        <v>1020</v>
      </c>
      <c r="F504" s="48" t="s">
        <v>66</v>
      </c>
      <c r="G504" s="9">
        <v>14</v>
      </c>
      <c r="H504" s="158">
        <f>'Engineering Assumptions'!$F$44*0.12*1</f>
        <v>5.3999999999999999E-2</v>
      </c>
      <c r="I504" s="158">
        <f>'Engineering Assumptions'!$F$44*1</f>
        <v>0.45</v>
      </c>
      <c r="J504" s="12">
        <f>'Fleet Pricing'!L504</f>
        <v>42000</v>
      </c>
      <c r="K504" s="12">
        <f>'Maintenance &amp; Repair'!J504+'Maintenance &amp; Repair'!K504</f>
        <v>10320</v>
      </c>
      <c r="L504" s="159">
        <f t="shared" si="69"/>
        <v>0.24571428571428572</v>
      </c>
      <c r="M504" s="9">
        <f>MAX(0,'Engineering Assumptions'!$G$44-G504)</f>
        <v>0</v>
      </c>
      <c r="N504" s="160" t="str">
        <f t="shared" si="70"/>
        <v>MONITOR</v>
      </c>
      <c r="O504" s="161" t="str">
        <f t="shared" si="71"/>
        <v>Watch costs; plan replacement</v>
      </c>
      <c r="P504" s="161" t="str">
        <f>'Engineering Assumptions'!H44</f>
        <v>BAJAJ Platina / HONDA CD110 ~Rs. 400k–500k</v>
      </c>
    </row>
    <row r="505" spans="1:16" ht="15" customHeight="1" x14ac:dyDescent="0.3">
      <c r="A505" s="9">
        <v>474</v>
      </c>
      <c r="B505" s="157" t="s">
        <v>974</v>
      </c>
      <c r="C505" s="157" t="s">
        <v>1006</v>
      </c>
      <c r="D505" s="157" t="s">
        <v>1021</v>
      </c>
      <c r="E505" s="157" t="s">
        <v>1022</v>
      </c>
      <c r="F505" s="48" t="s">
        <v>66</v>
      </c>
      <c r="G505" s="9">
        <v>14</v>
      </c>
      <c r="H505" s="158">
        <f>'Engineering Assumptions'!$F$44*0.12*1</f>
        <v>5.3999999999999999E-2</v>
      </c>
      <c r="I505" s="158">
        <f>'Engineering Assumptions'!$F$44*1</f>
        <v>0.45</v>
      </c>
      <c r="J505" s="12">
        <f>'Fleet Pricing'!L505</f>
        <v>42000</v>
      </c>
      <c r="K505" s="12">
        <f>'Maintenance &amp; Repair'!J505+'Maintenance &amp; Repair'!K505</f>
        <v>10320</v>
      </c>
      <c r="L505" s="159">
        <f t="shared" si="69"/>
        <v>0.24571428571428572</v>
      </c>
      <c r="M505" s="9">
        <f>MAX(0,'Engineering Assumptions'!$G$44-G505)</f>
        <v>0</v>
      </c>
      <c r="N505" s="160" t="str">
        <f t="shared" si="70"/>
        <v>MONITOR</v>
      </c>
      <c r="O505" s="161" t="str">
        <f t="shared" si="71"/>
        <v>Watch costs; plan replacement</v>
      </c>
      <c r="P505" s="161" t="str">
        <f>'Engineering Assumptions'!H44</f>
        <v>BAJAJ Platina / HONDA CD110 ~Rs. 400k–500k</v>
      </c>
    </row>
    <row r="506" spans="1:16" ht="15" customHeight="1" x14ac:dyDescent="0.3">
      <c r="A506" s="9">
        <v>475</v>
      </c>
      <c r="B506" s="157" t="s">
        <v>974</v>
      </c>
      <c r="C506" s="157" t="s">
        <v>1006</v>
      </c>
      <c r="D506" s="157" t="s">
        <v>1023</v>
      </c>
      <c r="E506" s="157" t="s">
        <v>1024</v>
      </c>
      <c r="F506" s="48" t="s">
        <v>458</v>
      </c>
      <c r="G506" s="9">
        <v>15</v>
      </c>
      <c r="H506" s="158">
        <f>'Engineering Assumptions'!$F$44*0.12*1</f>
        <v>5.3999999999999999E-2</v>
      </c>
      <c r="I506" s="158">
        <f>'Engineering Assumptions'!$F$44*1</f>
        <v>0.45</v>
      </c>
      <c r="J506" s="12">
        <f>'Fleet Pricing'!L506</f>
        <v>42000</v>
      </c>
      <c r="K506" s="12">
        <f>'Maintenance &amp; Repair'!J506+'Maintenance &amp; Repair'!K506</f>
        <v>10320</v>
      </c>
      <c r="L506" s="159">
        <f t="shared" si="69"/>
        <v>0.24571428571428572</v>
      </c>
      <c r="M506" s="9">
        <f>MAX(0,'Engineering Assumptions'!$G$44-G506)</f>
        <v>0</v>
      </c>
      <c r="N506" s="160" t="str">
        <f t="shared" si="70"/>
        <v>REPLACE</v>
      </c>
      <c r="O506" s="161" t="str">
        <f t="shared" si="71"/>
        <v>Age 15+ → replace</v>
      </c>
      <c r="P506" s="161" t="str">
        <f>'Engineering Assumptions'!H44</f>
        <v>BAJAJ Platina / HONDA CD110 ~Rs. 400k–500k</v>
      </c>
    </row>
    <row r="507" spans="1:16" ht="15" customHeight="1" x14ac:dyDescent="0.3">
      <c r="A507" s="9">
        <v>476</v>
      </c>
      <c r="B507" s="157" t="s">
        <v>974</v>
      </c>
      <c r="C507" s="157" t="s">
        <v>1006</v>
      </c>
      <c r="D507" s="157" t="s">
        <v>1025</v>
      </c>
      <c r="E507" s="157" t="s">
        <v>1026</v>
      </c>
      <c r="F507" s="48" t="s">
        <v>458</v>
      </c>
      <c r="G507" s="9">
        <v>15</v>
      </c>
      <c r="H507" s="158">
        <f>'Engineering Assumptions'!$F$44*0.12*1</f>
        <v>5.3999999999999999E-2</v>
      </c>
      <c r="I507" s="158">
        <f>'Engineering Assumptions'!$F$44*1</f>
        <v>0.45</v>
      </c>
      <c r="J507" s="12">
        <f>'Fleet Pricing'!L507</f>
        <v>42000</v>
      </c>
      <c r="K507" s="12">
        <f>'Maintenance &amp; Repair'!J507+'Maintenance &amp; Repair'!K507</f>
        <v>10320</v>
      </c>
      <c r="L507" s="159">
        <f t="shared" si="69"/>
        <v>0.24571428571428572</v>
      </c>
      <c r="M507" s="9">
        <f>MAX(0,'Engineering Assumptions'!$G$44-G507)</f>
        <v>0</v>
      </c>
      <c r="N507" s="160" t="str">
        <f t="shared" si="70"/>
        <v>REPLACE</v>
      </c>
      <c r="O507" s="161" t="str">
        <f t="shared" si="71"/>
        <v>Age 15+ → replace</v>
      </c>
      <c r="P507" s="161" t="str">
        <f>'Engineering Assumptions'!H44</f>
        <v>BAJAJ Platina / HONDA CD110 ~Rs. 400k–500k</v>
      </c>
    </row>
    <row r="508" spans="1:16" ht="15" customHeight="1" x14ac:dyDescent="0.3">
      <c r="A508" s="9">
        <v>477</v>
      </c>
      <c r="B508" s="157" t="s">
        <v>974</v>
      </c>
      <c r="C508" s="157" t="s">
        <v>1006</v>
      </c>
      <c r="D508" s="157" t="s">
        <v>1027</v>
      </c>
      <c r="E508" s="157" t="s">
        <v>1028</v>
      </c>
      <c r="F508" s="48" t="s">
        <v>458</v>
      </c>
      <c r="G508" s="9">
        <v>15</v>
      </c>
      <c r="H508" s="158">
        <f>'Engineering Assumptions'!$F$44*0.12*1</f>
        <v>5.3999999999999999E-2</v>
      </c>
      <c r="I508" s="158">
        <f>'Engineering Assumptions'!$F$44*1</f>
        <v>0.45</v>
      </c>
      <c r="J508" s="12">
        <f>'Fleet Pricing'!L508</f>
        <v>42000</v>
      </c>
      <c r="K508" s="12">
        <f>'Maintenance &amp; Repair'!J508+'Maintenance &amp; Repair'!K508</f>
        <v>10320</v>
      </c>
      <c r="L508" s="159">
        <f t="shared" si="69"/>
        <v>0.24571428571428572</v>
      </c>
      <c r="M508" s="9">
        <f>MAX(0,'Engineering Assumptions'!$G$44-G508)</f>
        <v>0</v>
      </c>
      <c r="N508" s="160" t="str">
        <f t="shared" si="70"/>
        <v>REPLACE</v>
      </c>
      <c r="O508" s="161" t="str">
        <f t="shared" si="71"/>
        <v>Age 15+ → replace</v>
      </c>
      <c r="P508" s="161" t="str">
        <f>'Engineering Assumptions'!H44</f>
        <v>BAJAJ Platina / HONDA CD110 ~Rs. 400k–500k</v>
      </c>
    </row>
    <row r="509" spans="1:16" ht="15" customHeight="1" x14ac:dyDescent="0.3">
      <c r="A509" s="9">
        <v>478</v>
      </c>
      <c r="B509" s="157" t="s">
        <v>974</v>
      </c>
      <c r="C509" s="157" t="s">
        <v>1029</v>
      </c>
      <c r="D509" s="157" t="s">
        <v>1030</v>
      </c>
      <c r="E509" s="157" t="s">
        <v>1031</v>
      </c>
      <c r="F509" s="48" t="s">
        <v>518</v>
      </c>
      <c r="G509" s="9">
        <v>19</v>
      </c>
      <c r="H509" s="158">
        <f>'Engineering Assumptions'!$F$44*0.06*1</f>
        <v>2.7E-2</v>
      </c>
      <c r="I509" s="158">
        <f>'Engineering Assumptions'!$F$44*1</f>
        <v>0.45</v>
      </c>
      <c r="J509" s="12">
        <f>'Fleet Pricing'!L509</f>
        <v>36500</v>
      </c>
      <c r="K509" s="12">
        <f>'Maintenance &amp; Repair'!J509+'Maintenance &amp; Repair'!K509</f>
        <v>14670</v>
      </c>
      <c r="L509" s="159">
        <f t="shared" si="69"/>
        <v>0.40191780821917811</v>
      </c>
      <c r="M509" s="9">
        <f>MAX(0,'Engineering Assumptions'!$G$44-G509)</f>
        <v>0</v>
      </c>
      <c r="N509" s="160" t="str">
        <f t="shared" si="70"/>
        <v>REPLACE</v>
      </c>
      <c r="O509" s="161" t="str">
        <f t="shared" si="71"/>
        <v>Age 15+ → replace</v>
      </c>
      <c r="P509" s="161" t="str">
        <f>'Engineering Assumptions'!H44</f>
        <v>BAJAJ Platina / HONDA CD110 ~Rs. 400k–500k</v>
      </c>
    </row>
    <row r="510" spans="1:16" ht="15" customHeight="1" x14ac:dyDescent="0.3">
      <c r="A510" s="9">
        <v>479</v>
      </c>
      <c r="B510" s="157" t="s">
        <v>974</v>
      </c>
      <c r="C510" s="157" t="s">
        <v>1032</v>
      </c>
      <c r="D510" s="157" t="s">
        <v>1033</v>
      </c>
      <c r="E510" s="157" t="s">
        <v>1034</v>
      </c>
      <c r="F510" s="48" t="s">
        <v>73</v>
      </c>
      <c r="G510" s="9">
        <v>20</v>
      </c>
      <c r="H510" s="158">
        <f>'Engineering Assumptions'!$F$44*0.06*1</f>
        <v>2.7E-2</v>
      </c>
      <c r="I510" s="158">
        <f>'Engineering Assumptions'!$F$44*1</f>
        <v>0.45</v>
      </c>
      <c r="J510" s="12">
        <f>'Fleet Pricing'!L510</f>
        <v>36500</v>
      </c>
      <c r="K510" s="12">
        <f>'Maintenance &amp; Repair'!J510+'Maintenance &amp; Repair'!K510</f>
        <v>14670</v>
      </c>
      <c r="L510" s="159">
        <f t="shared" si="69"/>
        <v>0.40191780821917811</v>
      </c>
      <c r="M510" s="9">
        <f>MAX(0,'Engineering Assumptions'!$G$44-G510)</f>
        <v>0</v>
      </c>
      <c r="N510" s="160" t="str">
        <f t="shared" si="70"/>
        <v>REPLACE</v>
      </c>
      <c r="O510" s="161" t="str">
        <f t="shared" si="71"/>
        <v>End of life (age &gt; 20)</v>
      </c>
      <c r="P510" s="161" t="str">
        <f>'Engineering Assumptions'!H44</f>
        <v>BAJAJ Platina / HONDA CD110 ~Rs. 400k–500k</v>
      </c>
    </row>
    <row r="511" spans="1:16" ht="15" customHeight="1" x14ac:dyDescent="0.3">
      <c r="A511" s="9">
        <v>480</v>
      </c>
      <c r="B511" s="157" t="s">
        <v>974</v>
      </c>
      <c r="C511" s="157" t="s">
        <v>1032</v>
      </c>
      <c r="D511" s="157" t="s">
        <v>1035</v>
      </c>
      <c r="E511" s="157" t="s">
        <v>1036</v>
      </c>
      <c r="F511" s="48" t="s">
        <v>73</v>
      </c>
      <c r="G511" s="9">
        <v>20</v>
      </c>
      <c r="H511" s="158">
        <f>'Engineering Assumptions'!$F$44*0.06*1</f>
        <v>2.7E-2</v>
      </c>
      <c r="I511" s="158">
        <f>'Engineering Assumptions'!$F$44*1</f>
        <v>0.45</v>
      </c>
      <c r="J511" s="12">
        <f>'Fleet Pricing'!L511</f>
        <v>36500</v>
      </c>
      <c r="K511" s="12">
        <f>'Maintenance &amp; Repair'!J511+'Maintenance &amp; Repair'!K511</f>
        <v>14670</v>
      </c>
      <c r="L511" s="159">
        <f t="shared" si="69"/>
        <v>0.40191780821917811</v>
      </c>
      <c r="M511" s="9">
        <f>MAX(0,'Engineering Assumptions'!$G$44-G511)</f>
        <v>0</v>
      </c>
      <c r="N511" s="160" t="str">
        <f t="shared" si="70"/>
        <v>REPLACE</v>
      </c>
      <c r="O511" s="161" t="str">
        <f t="shared" si="71"/>
        <v>End of life (age &gt; 20)</v>
      </c>
      <c r="P511" s="161" t="str">
        <f>'Engineering Assumptions'!H44</f>
        <v>BAJAJ Platina / HONDA CD110 ~Rs. 400k–500k</v>
      </c>
    </row>
    <row r="512" spans="1:16" ht="15" customHeight="1" x14ac:dyDescent="0.3">
      <c r="A512" s="9">
        <v>481</v>
      </c>
      <c r="B512" s="157" t="s">
        <v>974</v>
      </c>
      <c r="C512" s="157" t="s">
        <v>1037</v>
      </c>
      <c r="D512" s="157" t="s">
        <v>1038</v>
      </c>
      <c r="E512" s="157" t="s">
        <v>1039</v>
      </c>
      <c r="F512" s="48" t="s">
        <v>73</v>
      </c>
      <c r="G512" s="9">
        <v>20</v>
      </c>
      <c r="H512" s="158">
        <f>'Engineering Assumptions'!$F$44*0.06*1</f>
        <v>2.7E-2</v>
      </c>
      <c r="I512" s="158">
        <f>'Engineering Assumptions'!$F$44*1</f>
        <v>0.45</v>
      </c>
      <c r="J512" s="12">
        <f>'Fleet Pricing'!L512</f>
        <v>36500</v>
      </c>
      <c r="K512" s="12">
        <f>'Maintenance &amp; Repair'!J512+'Maintenance &amp; Repair'!K512</f>
        <v>14670</v>
      </c>
      <c r="L512" s="159">
        <f t="shared" si="69"/>
        <v>0.40191780821917811</v>
      </c>
      <c r="M512" s="9">
        <f>MAX(0,'Engineering Assumptions'!$G$44-G512)</f>
        <v>0</v>
      </c>
      <c r="N512" s="160" t="str">
        <f t="shared" si="70"/>
        <v>REPLACE</v>
      </c>
      <c r="O512" s="161" t="str">
        <f t="shared" si="71"/>
        <v>End of life (age &gt; 20)</v>
      </c>
      <c r="P512" s="161" t="str">
        <f>'Engineering Assumptions'!H44</f>
        <v>BAJAJ Platina / HONDA CD110 ~Rs. 400k–500k</v>
      </c>
    </row>
    <row r="513" spans="1:16" ht="15" customHeight="1" x14ac:dyDescent="0.3">
      <c r="A513" s="9">
        <v>482</v>
      </c>
      <c r="B513" s="157" t="s">
        <v>974</v>
      </c>
      <c r="C513" s="157" t="s">
        <v>1040</v>
      </c>
      <c r="D513" s="157"/>
      <c r="E513" s="157"/>
      <c r="F513" s="48" t="s">
        <v>77</v>
      </c>
      <c r="G513" s="9">
        <v>22</v>
      </c>
      <c r="H513" s="158">
        <f>'Engineering Assumptions'!$F$44*0.06*1</f>
        <v>2.7E-2</v>
      </c>
      <c r="I513" s="158">
        <f>'Engineering Assumptions'!$F$44*1</f>
        <v>0.45</v>
      </c>
      <c r="J513" s="12">
        <f>'Fleet Pricing'!L513</f>
        <v>33500</v>
      </c>
      <c r="K513" s="12">
        <f>'Maintenance &amp; Repair'!J513+'Maintenance &amp; Repair'!K513</f>
        <v>19800</v>
      </c>
      <c r="L513" s="159">
        <f t="shared" si="69"/>
        <v>0.59104477611940298</v>
      </c>
      <c r="M513" s="9">
        <f>MAX(0,'Engineering Assumptions'!$G$44-G513)</f>
        <v>0</v>
      </c>
      <c r="N513" s="160" t="str">
        <f t="shared" si="70"/>
        <v>REPLACE</v>
      </c>
      <c r="O513" s="161" t="str">
        <f t="shared" si="71"/>
        <v>End of life (age &gt; 20)</v>
      </c>
      <c r="P513" s="161" t="str">
        <f>'Engineering Assumptions'!H44</f>
        <v>BAJAJ Platina / HONDA CD110 ~Rs. 400k–500k</v>
      </c>
    </row>
    <row r="514" spans="1:16" ht="15" customHeight="1" x14ac:dyDescent="0.3">
      <c r="A514" s="9">
        <v>483</v>
      </c>
      <c r="B514" s="157" t="s">
        <v>974</v>
      </c>
      <c r="C514" s="157" t="s">
        <v>1041</v>
      </c>
      <c r="D514" s="157" t="s">
        <v>1042</v>
      </c>
      <c r="E514" s="157" t="s">
        <v>1043</v>
      </c>
      <c r="F514" s="48" t="s">
        <v>139</v>
      </c>
      <c r="G514" s="9">
        <v>23</v>
      </c>
      <c r="H514" s="158">
        <f>'Engineering Assumptions'!$F$44*0.06*1</f>
        <v>2.7E-2</v>
      </c>
      <c r="I514" s="158">
        <f>'Engineering Assumptions'!$F$44*1</f>
        <v>0.45</v>
      </c>
      <c r="J514" s="12">
        <f>'Fleet Pricing'!L514</f>
        <v>33500</v>
      </c>
      <c r="K514" s="12">
        <f>'Maintenance &amp; Repair'!J514+'Maintenance &amp; Repair'!K514</f>
        <v>19800</v>
      </c>
      <c r="L514" s="159">
        <f t="shared" si="69"/>
        <v>0.59104477611940298</v>
      </c>
      <c r="M514" s="9">
        <f>MAX(0,'Engineering Assumptions'!$G$44-G514)</f>
        <v>0</v>
      </c>
      <c r="N514" s="160" t="str">
        <f t="shared" si="70"/>
        <v>REPLACE</v>
      </c>
      <c r="O514" s="161" t="str">
        <f t="shared" si="71"/>
        <v>End of life (age &gt; 20)</v>
      </c>
      <c r="P514" s="161" t="str">
        <f>'Engineering Assumptions'!H44</f>
        <v>BAJAJ Platina / HONDA CD110 ~Rs. 400k–500k</v>
      </c>
    </row>
    <row r="515" spans="1:16" ht="15" customHeight="1" x14ac:dyDescent="0.3">
      <c r="A515" s="9">
        <v>484</v>
      </c>
      <c r="B515" s="157" t="s">
        <v>974</v>
      </c>
      <c r="C515" s="157" t="s">
        <v>188</v>
      </c>
      <c r="D515" s="157" t="s">
        <v>1044</v>
      </c>
      <c r="E515" s="157" t="s">
        <v>1045</v>
      </c>
      <c r="F515" s="48" t="s">
        <v>195</v>
      </c>
      <c r="G515" s="9">
        <v>30</v>
      </c>
      <c r="H515" s="158">
        <f>'Engineering Assumptions'!$F$44*0.03*1</f>
        <v>1.35E-2</v>
      </c>
      <c r="I515" s="158">
        <f>'Engineering Assumptions'!$F$44*1</f>
        <v>0.45</v>
      </c>
      <c r="J515" s="12">
        <f>'Fleet Pricing'!L515</f>
        <v>29500</v>
      </c>
      <c r="K515" s="12">
        <f>'Maintenance &amp; Repair'!J515+'Maintenance &amp; Repair'!K515</f>
        <v>19800</v>
      </c>
      <c r="L515" s="159">
        <f t="shared" si="69"/>
        <v>0.67118644067796607</v>
      </c>
      <c r="M515" s="9">
        <f>MAX(0,'Engineering Assumptions'!$G$44-G515)</f>
        <v>0</v>
      </c>
      <c r="N515" s="160" t="str">
        <f t="shared" si="70"/>
        <v>REPLACE</v>
      </c>
      <c r="O515" s="161" t="str">
        <f t="shared" si="71"/>
        <v>End of life (age &gt; 20)</v>
      </c>
      <c r="P515" s="161" t="str">
        <f>'Engineering Assumptions'!H44</f>
        <v>BAJAJ Platina / HONDA CD110 ~Rs. 400k–500k</v>
      </c>
    </row>
    <row r="516" spans="1:16" ht="15" customHeight="1" x14ac:dyDescent="0.3">
      <c r="A516" s="9">
        <v>485</v>
      </c>
      <c r="B516" s="157" t="s">
        <v>974</v>
      </c>
      <c r="C516" s="157" t="s">
        <v>188</v>
      </c>
      <c r="D516" s="157"/>
      <c r="E516" s="157"/>
      <c r="F516" s="48" t="s">
        <v>195</v>
      </c>
      <c r="G516" s="9">
        <v>30</v>
      </c>
      <c r="H516" s="158">
        <f>'Engineering Assumptions'!$F$44*0.03*1</f>
        <v>1.35E-2</v>
      </c>
      <c r="I516" s="158">
        <f>'Engineering Assumptions'!$F$44*1</f>
        <v>0.45</v>
      </c>
      <c r="J516" s="12">
        <f>'Fleet Pricing'!L516</f>
        <v>29500</v>
      </c>
      <c r="K516" s="12">
        <f>'Maintenance &amp; Repair'!J516+'Maintenance &amp; Repair'!K516</f>
        <v>19800</v>
      </c>
      <c r="L516" s="159">
        <f t="shared" ref="L516:L536" si="72">IFERROR(K516/J516,0)</f>
        <v>0.67118644067796607</v>
      </c>
      <c r="M516" s="9">
        <f>MAX(0,'Engineering Assumptions'!$G$44-G516)</f>
        <v>0</v>
      </c>
      <c r="N516" s="160" t="str">
        <f t="shared" ref="N516:N536" si="73">IF(G516&gt;=20,"REPLACE",IF(L516&gt;0.6,"REPLACE",IF(G516&gt;=15,"REPLACE",IF(OR(G516&gt;=11,L516&gt;0.4),"MONITOR","KEEP"))))</f>
        <v>REPLACE</v>
      </c>
      <c r="O516" s="161" t="str">
        <f t="shared" ref="O516:O536" si="74">IF(G516&gt;=20,"End of life (age &gt; 20)",IF(L516&gt;0.6,"Repairs exceed 60% of revenue",IF(G516&gt;=15,"Age 15+ → replace",IF(OR(G516&gt;=11,L516&gt;0.4),"Watch costs; plan replacement","Healthy — continue operating"))))</f>
        <v>End of life (age &gt; 20)</v>
      </c>
      <c r="P516" s="161" t="str">
        <f>'Engineering Assumptions'!H44</f>
        <v>BAJAJ Platina / HONDA CD110 ~Rs. 400k–500k</v>
      </c>
    </row>
    <row r="517" spans="1:16" ht="15" customHeight="1" x14ac:dyDescent="0.3">
      <c r="A517" s="9">
        <v>486</v>
      </c>
      <c r="B517" s="157" t="s">
        <v>974</v>
      </c>
      <c r="C517" s="157" t="s">
        <v>188</v>
      </c>
      <c r="D517" s="157"/>
      <c r="E517" s="157"/>
      <c r="F517" s="48" t="s">
        <v>195</v>
      </c>
      <c r="G517" s="9">
        <v>30</v>
      </c>
      <c r="H517" s="158">
        <f>'Engineering Assumptions'!$F$44*0.03*1</f>
        <v>1.35E-2</v>
      </c>
      <c r="I517" s="158">
        <f>'Engineering Assumptions'!$F$44*1</f>
        <v>0.45</v>
      </c>
      <c r="J517" s="12">
        <f>'Fleet Pricing'!L517</f>
        <v>29500</v>
      </c>
      <c r="K517" s="12">
        <f>'Maintenance &amp; Repair'!J517+'Maintenance &amp; Repair'!K517</f>
        <v>19800</v>
      </c>
      <c r="L517" s="159">
        <f t="shared" si="72"/>
        <v>0.67118644067796607</v>
      </c>
      <c r="M517" s="9">
        <f>MAX(0,'Engineering Assumptions'!$G$44-G517)</f>
        <v>0</v>
      </c>
      <c r="N517" s="160" t="str">
        <f t="shared" si="73"/>
        <v>REPLACE</v>
      </c>
      <c r="O517" s="161" t="str">
        <f t="shared" si="74"/>
        <v>End of life (age &gt; 20)</v>
      </c>
      <c r="P517" s="161" t="str">
        <f>'Engineering Assumptions'!H44</f>
        <v>BAJAJ Platina / HONDA CD110 ~Rs. 400k–500k</v>
      </c>
    </row>
    <row r="518" spans="1:16" ht="15" customHeight="1" x14ac:dyDescent="0.3">
      <c r="A518" s="9">
        <v>487</v>
      </c>
      <c r="B518" s="157" t="s">
        <v>974</v>
      </c>
      <c r="C518" s="157" t="s">
        <v>188</v>
      </c>
      <c r="D518" s="157"/>
      <c r="E518" s="157"/>
      <c r="F518" s="48" t="s">
        <v>195</v>
      </c>
      <c r="G518" s="9">
        <v>30</v>
      </c>
      <c r="H518" s="158">
        <f>'Engineering Assumptions'!$F$44*0.03*1</f>
        <v>1.35E-2</v>
      </c>
      <c r="I518" s="158">
        <f>'Engineering Assumptions'!$F$44*1</f>
        <v>0.45</v>
      </c>
      <c r="J518" s="12">
        <f>'Fleet Pricing'!L518</f>
        <v>29500</v>
      </c>
      <c r="K518" s="12">
        <f>'Maintenance &amp; Repair'!J518+'Maintenance &amp; Repair'!K518</f>
        <v>19800</v>
      </c>
      <c r="L518" s="159">
        <f t="shared" si="72"/>
        <v>0.67118644067796607</v>
      </c>
      <c r="M518" s="9">
        <f>MAX(0,'Engineering Assumptions'!$G$44-G518)</f>
        <v>0</v>
      </c>
      <c r="N518" s="160" t="str">
        <f t="shared" si="73"/>
        <v>REPLACE</v>
      </c>
      <c r="O518" s="161" t="str">
        <f t="shared" si="74"/>
        <v>End of life (age &gt; 20)</v>
      </c>
      <c r="P518" s="161" t="str">
        <f>'Engineering Assumptions'!H44</f>
        <v>BAJAJ Platina / HONDA CD110 ~Rs. 400k–500k</v>
      </c>
    </row>
    <row r="519" spans="1:16" ht="41.25" customHeight="1" x14ac:dyDescent="0.3">
      <c r="A519" s="9">
        <v>488</v>
      </c>
      <c r="B519" s="157" t="s">
        <v>974</v>
      </c>
      <c r="C519" s="157" t="s">
        <v>188</v>
      </c>
      <c r="D519" s="157"/>
      <c r="E519" s="157"/>
      <c r="F519" s="48" t="s">
        <v>1046</v>
      </c>
      <c r="G519" s="9">
        <v>30</v>
      </c>
      <c r="H519" s="158">
        <f>'Engineering Assumptions'!$F$44*0.03*1</f>
        <v>1.35E-2</v>
      </c>
      <c r="I519" s="158">
        <f>'Engineering Assumptions'!$F$44*1</f>
        <v>0.45</v>
      </c>
      <c r="J519" s="12">
        <f>'Fleet Pricing'!L519</f>
        <v>29500</v>
      </c>
      <c r="K519" s="12">
        <f>'Maintenance &amp; Repair'!J519+'Maintenance &amp; Repair'!K519</f>
        <v>19800</v>
      </c>
      <c r="L519" s="159">
        <f t="shared" si="72"/>
        <v>0.67118644067796607</v>
      </c>
      <c r="M519" s="9">
        <f>MAX(0,'Engineering Assumptions'!$G$44-G519)</f>
        <v>0</v>
      </c>
      <c r="N519" s="160" t="str">
        <f t="shared" si="73"/>
        <v>REPLACE</v>
      </c>
      <c r="O519" s="161" t="str">
        <f t="shared" si="74"/>
        <v>End of life (age &gt; 20)</v>
      </c>
      <c r="P519" s="161" t="str">
        <f>'Engineering Assumptions'!H44</f>
        <v>BAJAJ Platina / HONDA CD110 ~Rs. 400k–500k</v>
      </c>
    </row>
    <row r="520" spans="1:16" ht="41.25" customHeight="1" x14ac:dyDescent="0.3">
      <c r="A520" s="9">
        <v>489</v>
      </c>
      <c r="B520" s="157" t="s">
        <v>974</v>
      </c>
      <c r="C520" s="157" t="s">
        <v>188</v>
      </c>
      <c r="D520" s="157"/>
      <c r="E520" s="157"/>
      <c r="F520" s="48" t="s">
        <v>1047</v>
      </c>
      <c r="G520" s="9">
        <v>30</v>
      </c>
      <c r="H520" s="158">
        <f>'Engineering Assumptions'!$F$44*0.03*1</f>
        <v>1.35E-2</v>
      </c>
      <c r="I520" s="158">
        <f>'Engineering Assumptions'!$F$44*1</f>
        <v>0.45</v>
      </c>
      <c r="J520" s="12">
        <f>'Fleet Pricing'!L520</f>
        <v>29500</v>
      </c>
      <c r="K520" s="12">
        <f>'Maintenance &amp; Repair'!J520+'Maintenance &amp; Repair'!K520</f>
        <v>19800</v>
      </c>
      <c r="L520" s="159">
        <f t="shared" si="72"/>
        <v>0.67118644067796607</v>
      </c>
      <c r="M520" s="9">
        <f>MAX(0,'Engineering Assumptions'!$G$44-G520)</f>
        <v>0</v>
      </c>
      <c r="N520" s="160" t="str">
        <f t="shared" si="73"/>
        <v>REPLACE</v>
      </c>
      <c r="O520" s="161" t="str">
        <f t="shared" si="74"/>
        <v>End of life (age &gt; 20)</v>
      </c>
      <c r="P520" s="161" t="str">
        <f>'Engineering Assumptions'!H44</f>
        <v>BAJAJ Platina / HONDA CD110 ~Rs. 400k–500k</v>
      </c>
    </row>
    <row r="521" spans="1:16" ht="41.25" customHeight="1" x14ac:dyDescent="0.3">
      <c r="A521" s="9">
        <v>490</v>
      </c>
      <c r="B521" s="157" t="s">
        <v>974</v>
      </c>
      <c r="C521" s="157" t="s">
        <v>188</v>
      </c>
      <c r="D521" s="157"/>
      <c r="E521" s="157"/>
      <c r="F521" s="48" t="s">
        <v>1048</v>
      </c>
      <c r="G521" s="9">
        <v>30</v>
      </c>
      <c r="H521" s="158">
        <f>'Engineering Assumptions'!$F$44*0.03*1</f>
        <v>1.35E-2</v>
      </c>
      <c r="I521" s="158">
        <f>'Engineering Assumptions'!$F$44*1</f>
        <v>0.45</v>
      </c>
      <c r="J521" s="12">
        <f>'Fleet Pricing'!L521</f>
        <v>29500</v>
      </c>
      <c r="K521" s="12">
        <f>'Maintenance &amp; Repair'!J521+'Maintenance &amp; Repair'!K521</f>
        <v>19800</v>
      </c>
      <c r="L521" s="159">
        <f t="shared" si="72"/>
        <v>0.67118644067796607</v>
      </c>
      <c r="M521" s="9">
        <f>MAX(0,'Engineering Assumptions'!$G$44-G521)</f>
        <v>0</v>
      </c>
      <c r="N521" s="160" t="str">
        <f t="shared" si="73"/>
        <v>REPLACE</v>
      </c>
      <c r="O521" s="161" t="str">
        <f t="shared" si="74"/>
        <v>End of life (age &gt; 20)</v>
      </c>
      <c r="P521" s="161" t="str">
        <f>'Engineering Assumptions'!H44</f>
        <v>BAJAJ Platina / HONDA CD110 ~Rs. 400k–500k</v>
      </c>
    </row>
    <row r="522" spans="1:16" ht="54.75" customHeight="1" x14ac:dyDescent="0.3">
      <c r="A522" s="9">
        <v>491</v>
      </c>
      <c r="B522" s="157" t="s">
        <v>974</v>
      </c>
      <c r="C522" s="157" t="s">
        <v>188</v>
      </c>
      <c r="D522" s="157"/>
      <c r="E522" s="157"/>
      <c r="F522" s="48" t="s">
        <v>1049</v>
      </c>
      <c r="G522" s="9">
        <v>30</v>
      </c>
      <c r="H522" s="158">
        <f>'Engineering Assumptions'!$F$44*0.03*1</f>
        <v>1.35E-2</v>
      </c>
      <c r="I522" s="158">
        <f>'Engineering Assumptions'!$F$44*1</f>
        <v>0.45</v>
      </c>
      <c r="J522" s="12">
        <f>'Fleet Pricing'!L522</f>
        <v>29500</v>
      </c>
      <c r="K522" s="12">
        <f>'Maintenance &amp; Repair'!J522+'Maintenance &amp; Repair'!K522</f>
        <v>19800</v>
      </c>
      <c r="L522" s="159">
        <f t="shared" si="72"/>
        <v>0.67118644067796607</v>
      </c>
      <c r="M522" s="9">
        <f>MAX(0,'Engineering Assumptions'!$G$44-G522)</f>
        <v>0</v>
      </c>
      <c r="N522" s="160" t="str">
        <f t="shared" si="73"/>
        <v>REPLACE</v>
      </c>
      <c r="O522" s="161" t="str">
        <f t="shared" si="74"/>
        <v>End of life (age &gt; 20)</v>
      </c>
      <c r="P522" s="161" t="str">
        <f>'Engineering Assumptions'!H44</f>
        <v>BAJAJ Platina / HONDA CD110 ~Rs. 400k–500k</v>
      </c>
    </row>
    <row r="523" spans="1:16" ht="15" customHeight="1" x14ac:dyDescent="0.3">
      <c r="A523" s="9">
        <v>492</v>
      </c>
      <c r="B523" s="157" t="s">
        <v>974</v>
      </c>
      <c r="C523" s="157" t="s">
        <v>188</v>
      </c>
      <c r="D523" s="157"/>
      <c r="E523" s="157"/>
      <c r="F523" s="48" t="s">
        <v>195</v>
      </c>
      <c r="G523" s="9">
        <v>30</v>
      </c>
      <c r="H523" s="158">
        <f>'Engineering Assumptions'!$F$44*0.03*1</f>
        <v>1.35E-2</v>
      </c>
      <c r="I523" s="158">
        <f>'Engineering Assumptions'!$F$44*1</f>
        <v>0.45</v>
      </c>
      <c r="J523" s="12">
        <f>'Fleet Pricing'!L523</f>
        <v>29500</v>
      </c>
      <c r="K523" s="12">
        <f>'Maintenance &amp; Repair'!J523+'Maintenance &amp; Repair'!K523</f>
        <v>19800</v>
      </c>
      <c r="L523" s="159">
        <f t="shared" si="72"/>
        <v>0.67118644067796607</v>
      </c>
      <c r="M523" s="9">
        <f>MAX(0,'Engineering Assumptions'!$G$44-G523)</f>
        <v>0</v>
      </c>
      <c r="N523" s="160" t="str">
        <f t="shared" si="73"/>
        <v>REPLACE</v>
      </c>
      <c r="O523" s="161" t="str">
        <f t="shared" si="74"/>
        <v>End of life (age &gt; 20)</v>
      </c>
      <c r="P523" s="161" t="str">
        <f>'Engineering Assumptions'!H44</f>
        <v>BAJAJ Platina / HONDA CD110 ~Rs. 400k–500k</v>
      </c>
    </row>
    <row r="524" spans="1:16" ht="41.25" customHeight="1" x14ac:dyDescent="0.3">
      <c r="A524" s="9">
        <v>493</v>
      </c>
      <c r="B524" s="157" t="s">
        <v>974</v>
      </c>
      <c r="C524" s="157" t="s">
        <v>188</v>
      </c>
      <c r="D524" s="157"/>
      <c r="E524" s="157"/>
      <c r="F524" s="48" t="s">
        <v>1050</v>
      </c>
      <c r="G524" s="9">
        <v>30</v>
      </c>
      <c r="H524" s="158">
        <f>'Engineering Assumptions'!$F$44*0.03*1</f>
        <v>1.35E-2</v>
      </c>
      <c r="I524" s="158">
        <f>'Engineering Assumptions'!$F$44*1</f>
        <v>0.45</v>
      </c>
      <c r="J524" s="12">
        <f>'Fleet Pricing'!L524</f>
        <v>29500</v>
      </c>
      <c r="K524" s="12">
        <f>'Maintenance &amp; Repair'!J524+'Maintenance &amp; Repair'!K524</f>
        <v>19800</v>
      </c>
      <c r="L524" s="159">
        <f t="shared" si="72"/>
        <v>0.67118644067796607</v>
      </c>
      <c r="M524" s="9">
        <f>MAX(0,'Engineering Assumptions'!$G$44-G524)</f>
        <v>0</v>
      </c>
      <c r="N524" s="160" t="str">
        <f t="shared" si="73"/>
        <v>REPLACE</v>
      </c>
      <c r="O524" s="161" t="str">
        <f t="shared" si="74"/>
        <v>End of life (age &gt; 20)</v>
      </c>
      <c r="P524" s="161" t="str">
        <f>'Engineering Assumptions'!H44</f>
        <v>BAJAJ Platina / HONDA CD110 ~Rs. 400k–500k</v>
      </c>
    </row>
    <row r="525" spans="1:16" ht="41.25" customHeight="1" x14ac:dyDescent="0.3">
      <c r="A525" s="9">
        <v>494</v>
      </c>
      <c r="B525" s="157" t="s">
        <v>974</v>
      </c>
      <c r="C525" s="157" t="s">
        <v>188</v>
      </c>
      <c r="D525" s="157"/>
      <c r="E525" s="157"/>
      <c r="F525" s="48" t="s">
        <v>1051</v>
      </c>
      <c r="G525" s="9">
        <v>30</v>
      </c>
      <c r="H525" s="158">
        <f>'Engineering Assumptions'!$F$44*0.03*1</f>
        <v>1.35E-2</v>
      </c>
      <c r="I525" s="158">
        <f>'Engineering Assumptions'!$F$44*1</f>
        <v>0.45</v>
      </c>
      <c r="J525" s="12">
        <f>'Fleet Pricing'!L525</f>
        <v>29500</v>
      </c>
      <c r="K525" s="12">
        <f>'Maintenance &amp; Repair'!J525+'Maintenance &amp; Repair'!K525</f>
        <v>19800</v>
      </c>
      <c r="L525" s="159">
        <f t="shared" si="72"/>
        <v>0.67118644067796607</v>
      </c>
      <c r="M525" s="9">
        <f>MAX(0,'Engineering Assumptions'!$G$44-G525)</f>
        <v>0</v>
      </c>
      <c r="N525" s="160" t="str">
        <f t="shared" si="73"/>
        <v>REPLACE</v>
      </c>
      <c r="O525" s="161" t="str">
        <f t="shared" si="74"/>
        <v>End of life (age &gt; 20)</v>
      </c>
      <c r="P525" s="161" t="str">
        <f>'Engineering Assumptions'!H44</f>
        <v>BAJAJ Platina / HONDA CD110 ~Rs. 400k–500k</v>
      </c>
    </row>
    <row r="526" spans="1:16" ht="54.75" customHeight="1" x14ac:dyDescent="0.3">
      <c r="A526" s="9">
        <v>495</v>
      </c>
      <c r="B526" s="157" t="s">
        <v>974</v>
      </c>
      <c r="C526" s="157" t="s">
        <v>188</v>
      </c>
      <c r="D526" s="157"/>
      <c r="E526" s="157"/>
      <c r="F526" s="48" t="s">
        <v>1052</v>
      </c>
      <c r="G526" s="9">
        <v>30</v>
      </c>
      <c r="H526" s="158">
        <f>'Engineering Assumptions'!$F$44*0.03*1</f>
        <v>1.35E-2</v>
      </c>
      <c r="I526" s="158">
        <f>'Engineering Assumptions'!$F$44*1</f>
        <v>0.45</v>
      </c>
      <c r="J526" s="12">
        <f>'Fleet Pricing'!L526</f>
        <v>29500</v>
      </c>
      <c r="K526" s="12">
        <f>'Maintenance &amp; Repair'!J526+'Maintenance &amp; Repair'!K526</f>
        <v>19800</v>
      </c>
      <c r="L526" s="159">
        <f t="shared" si="72"/>
        <v>0.67118644067796607</v>
      </c>
      <c r="M526" s="9">
        <f>MAX(0,'Engineering Assumptions'!$G$44-G526)</f>
        <v>0</v>
      </c>
      <c r="N526" s="160" t="str">
        <f t="shared" si="73"/>
        <v>REPLACE</v>
      </c>
      <c r="O526" s="161" t="str">
        <f t="shared" si="74"/>
        <v>End of life (age &gt; 20)</v>
      </c>
      <c r="P526" s="161" t="str">
        <f>'Engineering Assumptions'!H44</f>
        <v>BAJAJ Platina / HONDA CD110 ~Rs. 400k–500k</v>
      </c>
    </row>
    <row r="527" spans="1:16" ht="54.75" customHeight="1" x14ac:dyDescent="0.3">
      <c r="A527" s="9">
        <v>496</v>
      </c>
      <c r="B527" s="157" t="s">
        <v>974</v>
      </c>
      <c r="C527" s="157" t="s">
        <v>188</v>
      </c>
      <c r="D527" s="157"/>
      <c r="E527" s="157"/>
      <c r="F527" s="48" t="s">
        <v>1053</v>
      </c>
      <c r="G527" s="9">
        <v>30</v>
      </c>
      <c r="H527" s="158">
        <f>'Engineering Assumptions'!$F$44*0.03*1</f>
        <v>1.35E-2</v>
      </c>
      <c r="I527" s="158">
        <f>'Engineering Assumptions'!$F$44*1</f>
        <v>0.45</v>
      </c>
      <c r="J527" s="12">
        <f>'Fleet Pricing'!L527</f>
        <v>29500</v>
      </c>
      <c r="K527" s="12">
        <f>'Maintenance &amp; Repair'!J527+'Maintenance &amp; Repair'!K527</f>
        <v>19800</v>
      </c>
      <c r="L527" s="159">
        <f t="shared" si="72"/>
        <v>0.67118644067796607</v>
      </c>
      <c r="M527" s="9">
        <f>MAX(0,'Engineering Assumptions'!$G$44-G527)</f>
        <v>0</v>
      </c>
      <c r="N527" s="160" t="str">
        <f t="shared" si="73"/>
        <v>REPLACE</v>
      </c>
      <c r="O527" s="161" t="str">
        <f t="shared" si="74"/>
        <v>End of life (age &gt; 20)</v>
      </c>
      <c r="P527" s="161" t="str">
        <f>'Engineering Assumptions'!H44</f>
        <v>BAJAJ Platina / HONDA CD110 ~Rs. 400k–500k</v>
      </c>
    </row>
    <row r="528" spans="1:16" ht="54.75" customHeight="1" x14ac:dyDescent="0.3">
      <c r="A528" s="9">
        <v>497</v>
      </c>
      <c r="B528" s="157" t="s">
        <v>974</v>
      </c>
      <c r="C528" s="157" t="s">
        <v>188</v>
      </c>
      <c r="D528" s="157"/>
      <c r="E528" s="157"/>
      <c r="F528" s="48" t="s">
        <v>1054</v>
      </c>
      <c r="G528" s="9">
        <v>30</v>
      </c>
      <c r="H528" s="158">
        <f>'Engineering Assumptions'!$F$44*0.03*1</f>
        <v>1.35E-2</v>
      </c>
      <c r="I528" s="158">
        <f>'Engineering Assumptions'!$F$44*1</f>
        <v>0.45</v>
      </c>
      <c r="J528" s="12">
        <f>'Fleet Pricing'!L528</f>
        <v>29500</v>
      </c>
      <c r="K528" s="12">
        <f>'Maintenance &amp; Repair'!J528+'Maintenance &amp; Repair'!K528</f>
        <v>19800</v>
      </c>
      <c r="L528" s="159">
        <f t="shared" si="72"/>
        <v>0.67118644067796607</v>
      </c>
      <c r="M528" s="9">
        <f>MAX(0,'Engineering Assumptions'!$G$44-G528)</f>
        <v>0</v>
      </c>
      <c r="N528" s="160" t="str">
        <f t="shared" si="73"/>
        <v>REPLACE</v>
      </c>
      <c r="O528" s="161" t="str">
        <f t="shared" si="74"/>
        <v>End of life (age &gt; 20)</v>
      </c>
      <c r="P528" s="161" t="str">
        <f>'Engineering Assumptions'!H44</f>
        <v>BAJAJ Platina / HONDA CD110 ~Rs. 400k–500k</v>
      </c>
    </row>
    <row r="529" spans="1:16" ht="15" customHeight="1" x14ac:dyDescent="0.3">
      <c r="A529" s="9">
        <v>498</v>
      </c>
      <c r="B529" s="157" t="s">
        <v>974</v>
      </c>
      <c r="C529" s="157" t="s">
        <v>188</v>
      </c>
      <c r="D529" s="157"/>
      <c r="E529" s="157"/>
      <c r="F529" s="48" t="s">
        <v>195</v>
      </c>
      <c r="G529" s="9">
        <v>30</v>
      </c>
      <c r="H529" s="158">
        <f>'Engineering Assumptions'!$F$44*0.03*1</f>
        <v>1.35E-2</v>
      </c>
      <c r="I529" s="158">
        <f>'Engineering Assumptions'!$F$44*1</f>
        <v>0.45</v>
      </c>
      <c r="J529" s="12">
        <f>'Fleet Pricing'!L529</f>
        <v>29500</v>
      </c>
      <c r="K529" s="12">
        <f>'Maintenance &amp; Repair'!J529+'Maintenance &amp; Repair'!K529</f>
        <v>19800</v>
      </c>
      <c r="L529" s="159">
        <f t="shared" si="72"/>
        <v>0.67118644067796607</v>
      </c>
      <c r="M529" s="9">
        <f>MAX(0,'Engineering Assumptions'!$G$44-G529)</f>
        <v>0</v>
      </c>
      <c r="N529" s="160" t="str">
        <f t="shared" si="73"/>
        <v>REPLACE</v>
      </c>
      <c r="O529" s="161" t="str">
        <f t="shared" si="74"/>
        <v>End of life (age &gt; 20)</v>
      </c>
      <c r="P529" s="161" t="str">
        <f>'Engineering Assumptions'!H44</f>
        <v>BAJAJ Platina / HONDA CD110 ~Rs. 400k–500k</v>
      </c>
    </row>
    <row r="530" spans="1:16" ht="15" customHeight="1" x14ac:dyDescent="0.3">
      <c r="A530" s="9">
        <v>499</v>
      </c>
      <c r="B530" s="157" t="s">
        <v>974</v>
      </c>
      <c r="C530" s="157" t="s">
        <v>188</v>
      </c>
      <c r="D530" s="157"/>
      <c r="E530" s="157"/>
      <c r="F530" s="48" t="s">
        <v>195</v>
      </c>
      <c r="G530" s="9">
        <v>30</v>
      </c>
      <c r="H530" s="158">
        <f>'Engineering Assumptions'!$F$44*0.03*1</f>
        <v>1.35E-2</v>
      </c>
      <c r="I530" s="158">
        <f>'Engineering Assumptions'!$F$44*1</f>
        <v>0.45</v>
      </c>
      <c r="J530" s="12">
        <f>'Fleet Pricing'!L530</f>
        <v>29500</v>
      </c>
      <c r="K530" s="12">
        <f>'Maintenance &amp; Repair'!J530+'Maintenance &amp; Repair'!K530</f>
        <v>19800</v>
      </c>
      <c r="L530" s="159">
        <f t="shared" si="72"/>
        <v>0.67118644067796607</v>
      </c>
      <c r="M530" s="9">
        <f>MAX(0,'Engineering Assumptions'!$G$44-G530)</f>
        <v>0</v>
      </c>
      <c r="N530" s="160" t="str">
        <f t="shared" si="73"/>
        <v>REPLACE</v>
      </c>
      <c r="O530" s="161" t="str">
        <f t="shared" si="74"/>
        <v>End of life (age &gt; 20)</v>
      </c>
      <c r="P530" s="161" t="str">
        <f>'Engineering Assumptions'!H44</f>
        <v>BAJAJ Platina / HONDA CD110 ~Rs. 400k–500k</v>
      </c>
    </row>
    <row r="531" spans="1:16" ht="15" customHeight="1" x14ac:dyDescent="0.3">
      <c r="A531" s="9">
        <v>500</v>
      </c>
      <c r="B531" s="157" t="s">
        <v>974</v>
      </c>
      <c r="C531" s="157" t="s">
        <v>188</v>
      </c>
      <c r="D531" s="157"/>
      <c r="E531" s="157"/>
      <c r="F531" s="48" t="s">
        <v>195</v>
      </c>
      <c r="G531" s="9">
        <v>30</v>
      </c>
      <c r="H531" s="158">
        <f>'Engineering Assumptions'!$F$44*0.03*1</f>
        <v>1.35E-2</v>
      </c>
      <c r="I531" s="158">
        <f>'Engineering Assumptions'!$F$44*1</f>
        <v>0.45</v>
      </c>
      <c r="J531" s="12">
        <f>'Fleet Pricing'!L531</f>
        <v>29500</v>
      </c>
      <c r="K531" s="12">
        <f>'Maintenance &amp; Repair'!J531+'Maintenance &amp; Repair'!K531</f>
        <v>19800</v>
      </c>
      <c r="L531" s="159">
        <f t="shared" si="72"/>
        <v>0.67118644067796607</v>
      </c>
      <c r="M531" s="9">
        <f>MAX(0,'Engineering Assumptions'!$G$44-G531)</f>
        <v>0</v>
      </c>
      <c r="N531" s="160" t="str">
        <f t="shared" si="73"/>
        <v>REPLACE</v>
      </c>
      <c r="O531" s="161" t="str">
        <f t="shared" si="74"/>
        <v>End of life (age &gt; 20)</v>
      </c>
      <c r="P531" s="161" t="str">
        <f>'Engineering Assumptions'!H44</f>
        <v>BAJAJ Platina / HONDA CD110 ~Rs. 400k–500k</v>
      </c>
    </row>
    <row r="532" spans="1:16" ht="15" customHeight="1" x14ac:dyDescent="0.3">
      <c r="A532" s="9">
        <v>501</v>
      </c>
      <c r="B532" s="157" t="s">
        <v>974</v>
      </c>
      <c r="C532" s="157" t="s">
        <v>188</v>
      </c>
      <c r="D532" s="157"/>
      <c r="E532" s="157"/>
      <c r="F532" s="48" t="s">
        <v>195</v>
      </c>
      <c r="G532" s="9">
        <v>30</v>
      </c>
      <c r="H532" s="158">
        <f>'Engineering Assumptions'!$F$44*0.03*1</f>
        <v>1.35E-2</v>
      </c>
      <c r="I532" s="158">
        <f>'Engineering Assumptions'!$F$44*1</f>
        <v>0.45</v>
      </c>
      <c r="J532" s="12">
        <f>'Fleet Pricing'!L532</f>
        <v>29500</v>
      </c>
      <c r="K532" s="12">
        <f>'Maintenance &amp; Repair'!J532+'Maintenance &amp; Repair'!K532</f>
        <v>19800</v>
      </c>
      <c r="L532" s="159">
        <f t="shared" si="72"/>
        <v>0.67118644067796607</v>
      </c>
      <c r="M532" s="9">
        <f>MAX(0,'Engineering Assumptions'!$G$44-G532)</f>
        <v>0</v>
      </c>
      <c r="N532" s="160" t="str">
        <f t="shared" si="73"/>
        <v>REPLACE</v>
      </c>
      <c r="O532" s="161" t="str">
        <f t="shared" si="74"/>
        <v>End of life (age &gt; 20)</v>
      </c>
      <c r="P532" s="161" t="str">
        <f>'Engineering Assumptions'!H44</f>
        <v>BAJAJ Platina / HONDA CD110 ~Rs. 400k–500k</v>
      </c>
    </row>
    <row r="533" spans="1:16" ht="41.25" customHeight="1" x14ac:dyDescent="0.3">
      <c r="A533" s="9">
        <v>502</v>
      </c>
      <c r="B533" s="157" t="s">
        <v>974</v>
      </c>
      <c r="C533" s="157" t="s">
        <v>188</v>
      </c>
      <c r="D533" s="157"/>
      <c r="E533" s="157"/>
      <c r="F533" s="48" t="s">
        <v>1055</v>
      </c>
      <c r="G533" s="9">
        <v>30</v>
      </c>
      <c r="H533" s="158">
        <f>'Engineering Assumptions'!$F$44*0.03*1</f>
        <v>1.35E-2</v>
      </c>
      <c r="I533" s="158">
        <f>'Engineering Assumptions'!$F$44*1</f>
        <v>0.45</v>
      </c>
      <c r="J533" s="12">
        <f>'Fleet Pricing'!L533</f>
        <v>29500</v>
      </c>
      <c r="K533" s="12">
        <f>'Maintenance &amp; Repair'!J533+'Maintenance &amp; Repair'!K533</f>
        <v>19800</v>
      </c>
      <c r="L533" s="159">
        <f t="shared" si="72"/>
        <v>0.67118644067796607</v>
      </c>
      <c r="M533" s="9">
        <f>MAX(0,'Engineering Assumptions'!$G$44-G533)</f>
        <v>0</v>
      </c>
      <c r="N533" s="160" t="str">
        <f t="shared" si="73"/>
        <v>REPLACE</v>
      </c>
      <c r="O533" s="161" t="str">
        <f t="shared" si="74"/>
        <v>End of life (age &gt; 20)</v>
      </c>
      <c r="P533" s="161" t="str">
        <f>'Engineering Assumptions'!H44</f>
        <v>BAJAJ Platina / HONDA CD110 ~Rs. 400k–500k</v>
      </c>
    </row>
    <row r="534" spans="1:16" ht="54.75" customHeight="1" x14ac:dyDescent="0.3">
      <c r="A534" s="9">
        <v>503</v>
      </c>
      <c r="B534" s="157" t="s">
        <v>974</v>
      </c>
      <c r="C534" s="157" t="s">
        <v>188</v>
      </c>
      <c r="D534" s="157"/>
      <c r="E534" s="157"/>
      <c r="F534" s="48" t="s">
        <v>1056</v>
      </c>
      <c r="G534" s="9">
        <v>30</v>
      </c>
      <c r="H534" s="158">
        <f>'Engineering Assumptions'!$F$44*0.03*1</f>
        <v>1.35E-2</v>
      </c>
      <c r="I534" s="158">
        <f>'Engineering Assumptions'!$F$44*1</f>
        <v>0.45</v>
      </c>
      <c r="J534" s="12">
        <f>'Fleet Pricing'!L534</f>
        <v>29500</v>
      </c>
      <c r="K534" s="12">
        <f>'Maintenance &amp; Repair'!J534+'Maintenance &amp; Repair'!K534</f>
        <v>19800</v>
      </c>
      <c r="L534" s="159">
        <f t="shared" si="72"/>
        <v>0.67118644067796607</v>
      </c>
      <c r="M534" s="9">
        <f>MAX(0,'Engineering Assumptions'!$G$44-G534)</f>
        <v>0</v>
      </c>
      <c r="N534" s="160" t="str">
        <f t="shared" si="73"/>
        <v>REPLACE</v>
      </c>
      <c r="O534" s="161" t="str">
        <f t="shared" si="74"/>
        <v>End of life (age &gt; 20)</v>
      </c>
      <c r="P534" s="161" t="str">
        <f>'Engineering Assumptions'!H44</f>
        <v>BAJAJ Platina / HONDA CD110 ~Rs. 400k–500k</v>
      </c>
    </row>
    <row r="535" spans="1:16" ht="15" customHeight="1" x14ac:dyDescent="0.3">
      <c r="A535" s="9">
        <v>504</v>
      </c>
      <c r="B535" s="157" t="s">
        <v>974</v>
      </c>
      <c r="C535" s="157" t="s">
        <v>1057</v>
      </c>
      <c r="D535" s="157"/>
      <c r="E535" s="157"/>
      <c r="F535" s="48" t="s">
        <v>195</v>
      </c>
      <c r="G535" s="9">
        <v>30</v>
      </c>
      <c r="H535" s="158">
        <f>'Engineering Assumptions'!$F$44*0.03*1</f>
        <v>1.35E-2</v>
      </c>
      <c r="I535" s="158">
        <f>'Engineering Assumptions'!$F$44*1</f>
        <v>0.45</v>
      </c>
      <c r="J535" s="12">
        <f>'Fleet Pricing'!L535</f>
        <v>29500</v>
      </c>
      <c r="K535" s="12">
        <f>'Maintenance &amp; Repair'!J535+'Maintenance &amp; Repair'!K535</f>
        <v>19800</v>
      </c>
      <c r="L535" s="159">
        <f t="shared" si="72"/>
        <v>0.67118644067796607</v>
      </c>
      <c r="M535" s="9">
        <f>MAX(0,'Engineering Assumptions'!$G$44-G535)</f>
        <v>0</v>
      </c>
      <c r="N535" s="160" t="str">
        <f t="shared" si="73"/>
        <v>REPLACE</v>
      </c>
      <c r="O535" s="161" t="str">
        <f t="shared" si="74"/>
        <v>End of life (age &gt; 20)</v>
      </c>
      <c r="P535" s="161" t="str">
        <f>'Engineering Assumptions'!H44</f>
        <v>BAJAJ Platina / HONDA CD110 ~Rs. 400k–500k</v>
      </c>
    </row>
    <row r="536" spans="1:16" ht="41.25" customHeight="1" x14ac:dyDescent="0.3">
      <c r="A536" s="9">
        <v>505</v>
      </c>
      <c r="B536" s="157" t="s">
        <v>974</v>
      </c>
      <c r="C536" s="157" t="s">
        <v>1058</v>
      </c>
      <c r="D536" s="157"/>
      <c r="E536" s="157"/>
      <c r="F536" s="48" t="s">
        <v>1059</v>
      </c>
      <c r="G536" s="9">
        <v>30</v>
      </c>
      <c r="H536" s="158">
        <f>'Engineering Assumptions'!$F$44*0.03*1</f>
        <v>1.35E-2</v>
      </c>
      <c r="I536" s="158">
        <f>'Engineering Assumptions'!$F$44*1</f>
        <v>0.45</v>
      </c>
      <c r="J536" s="12">
        <f>'Fleet Pricing'!L536</f>
        <v>29500</v>
      </c>
      <c r="K536" s="12">
        <f>'Maintenance &amp; Repair'!J536+'Maintenance &amp; Repair'!K536</f>
        <v>19800</v>
      </c>
      <c r="L536" s="159">
        <f t="shared" si="72"/>
        <v>0.67118644067796607</v>
      </c>
      <c r="M536" s="9">
        <f>MAX(0,'Engineering Assumptions'!$G$44-G536)</f>
        <v>0</v>
      </c>
      <c r="N536" s="160" t="str">
        <f t="shared" si="73"/>
        <v>REPLACE</v>
      </c>
      <c r="O536" s="161" t="str">
        <f t="shared" si="74"/>
        <v>End of life (age &gt; 20)</v>
      </c>
      <c r="P536" s="161" t="str">
        <f>'Engineering Assumptions'!H44</f>
        <v>BAJAJ Platina / HONDA CD110 ~Rs. 400k–500k</v>
      </c>
    </row>
    <row r="537" spans="1:16" ht="15" customHeight="1" x14ac:dyDescent="0.3">
      <c r="A537" s="199" t="s">
        <v>1060</v>
      </c>
      <c r="B537" s="200"/>
      <c r="C537" s="200"/>
      <c r="D537" s="200"/>
      <c r="E537" s="200"/>
      <c r="F537" s="200"/>
      <c r="G537" s="200"/>
      <c r="H537" s="200"/>
      <c r="I537" s="200"/>
      <c r="J537" s="200"/>
      <c r="K537" s="200"/>
      <c r="L537" s="200"/>
      <c r="M537" s="200"/>
      <c r="N537" s="200"/>
      <c r="O537" s="200"/>
      <c r="P537" s="200"/>
    </row>
    <row r="538" spans="1:16" ht="15" customHeight="1" x14ac:dyDescent="0.3">
      <c r="A538" s="9">
        <v>506</v>
      </c>
      <c r="B538" s="157" t="s">
        <v>1061</v>
      </c>
      <c r="C538" s="157" t="s">
        <v>1062</v>
      </c>
      <c r="D538" s="157" t="s">
        <v>1063</v>
      </c>
      <c r="E538" s="157" t="s">
        <v>932</v>
      </c>
      <c r="F538" s="48" t="s">
        <v>116</v>
      </c>
      <c r="G538" s="9">
        <v>9</v>
      </c>
      <c r="H538" s="158">
        <f>'Engineering Assumptions'!$F$45*0.22*1</f>
        <v>1.43</v>
      </c>
      <c r="I538" s="158">
        <f>'Engineering Assumptions'!$F$45*1</f>
        <v>6.5</v>
      </c>
      <c r="J538" s="12">
        <f>'Fleet Pricing'!L538</f>
        <v>164000</v>
      </c>
      <c r="K538" s="12">
        <f>'Maintenance &amp; Repair'!J538+'Maintenance &amp; Repair'!K538</f>
        <v>29100</v>
      </c>
      <c r="L538" s="159">
        <f t="shared" ref="L538:L547" si="75">IFERROR(K538/J538,0)</f>
        <v>0.17743902439024389</v>
      </c>
      <c r="M538" s="9">
        <f>MAX(0,'Engineering Assumptions'!$G$45-G538)</f>
        <v>6</v>
      </c>
      <c r="N538" s="160" t="str">
        <f t="shared" ref="N538:N547" si="76">IF(G538&gt;=20,"REPLACE",IF(L538&gt;0.6,"REPLACE",IF(G538&gt;=15,"REPLACE",IF(OR(G538&gt;=11,L538&gt;0.4),"MONITOR","KEEP"))))</f>
        <v>KEEP</v>
      </c>
      <c r="O538" s="161" t="str">
        <f t="shared" ref="O538:O547" si="77">IF(G538&gt;=20,"End of life (age &gt; 20)",IF(L538&gt;0.6,"Repairs exceed 60% of revenue",IF(G538&gt;=15,"Age 15+ → replace",IF(OR(G538&gt;=11,L538&gt;0.4),"Watch costs; plan replacement","Healthy — continue operating"))))</f>
        <v>Healthy — continue operating</v>
      </c>
      <c r="P538" s="161" t="str">
        <f>'Engineering Assumptions'!H45</f>
        <v>Farm tractor + bowser combo ~Rs. 6–7M</v>
      </c>
    </row>
    <row r="539" spans="1:16" ht="15" customHeight="1" x14ac:dyDescent="0.3">
      <c r="A539" s="9">
        <v>507</v>
      </c>
      <c r="B539" s="157" t="s">
        <v>1061</v>
      </c>
      <c r="C539" s="157" t="s">
        <v>1062</v>
      </c>
      <c r="D539" s="157" t="s">
        <v>1064</v>
      </c>
      <c r="E539" s="157" t="s">
        <v>930</v>
      </c>
      <c r="F539" s="48" t="s">
        <v>116</v>
      </c>
      <c r="G539" s="9">
        <v>9</v>
      </c>
      <c r="H539" s="158">
        <f>'Engineering Assumptions'!$F$45*0.22*1</f>
        <v>1.43</v>
      </c>
      <c r="I539" s="158">
        <f>'Engineering Assumptions'!$F$45*1</f>
        <v>6.5</v>
      </c>
      <c r="J539" s="12">
        <f>'Fleet Pricing'!L539</f>
        <v>164000</v>
      </c>
      <c r="K539" s="12">
        <f>'Maintenance &amp; Repair'!J539+'Maintenance &amp; Repair'!K539</f>
        <v>29100</v>
      </c>
      <c r="L539" s="159">
        <f t="shared" si="75"/>
        <v>0.17743902439024389</v>
      </c>
      <c r="M539" s="9">
        <f>MAX(0,'Engineering Assumptions'!$G$45-G539)</f>
        <v>6</v>
      </c>
      <c r="N539" s="160" t="str">
        <f t="shared" si="76"/>
        <v>KEEP</v>
      </c>
      <c r="O539" s="161" t="str">
        <f t="shared" si="77"/>
        <v>Healthy — continue operating</v>
      </c>
      <c r="P539" s="161" t="str">
        <f>'Engineering Assumptions'!H45</f>
        <v>Farm tractor + bowser combo ~Rs. 6–7M</v>
      </c>
    </row>
    <row r="540" spans="1:16" ht="15" customHeight="1" x14ac:dyDescent="0.3">
      <c r="A540" s="9">
        <v>508</v>
      </c>
      <c r="B540" s="157" t="s">
        <v>1061</v>
      </c>
      <c r="C540" s="157" t="s">
        <v>1065</v>
      </c>
      <c r="D540" s="157" t="s">
        <v>1066</v>
      </c>
      <c r="E540" s="157"/>
      <c r="F540" s="48" t="s">
        <v>116</v>
      </c>
      <c r="G540" s="9">
        <v>9</v>
      </c>
      <c r="H540" s="158">
        <f>'Engineering Assumptions'!$F$45*0.22*1</f>
        <v>1.43</v>
      </c>
      <c r="I540" s="158">
        <f>'Engineering Assumptions'!$F$45*1</f>
        <v>6.5</v>
      </c>
      <c r="J540" s="12">
        <f>'Fleet Pricing'!L540</f>
        <v>164000</v>
      </c>
      <c r="K540" s="12">
        <f>'Maintenance &amp; Repair'!J540+'Maintenance &amp; Repair'!K540</f>
        <v>29100</v>
      </c>
      <c r="L540" s="159">
        <f t="shared" si="75"/>
        <v>0.17743902439024389</v>
      </c>
      <c r="M540" s="9">
        <f>MAX(0,'Engineering Assumptions'!$G$45-G540)</f>
        <v>6</v>
      </c>
      <c r="N540" s="160" t="str">
        <f t="shared" si="76"/>
        <v>KEEP</v>
      </c>
      <c r="O540" s="161" t="str">
        <f t="shared" si="77"/>
        <v>Healthy — continue operating</v>
      </c>
      <c r="P540" s="161" t="str">
        <f>'Engineering Assumptions'!H45</f>
        <v>Farm tractor + bowser combo ~Rs. 6–7M</v>
      </c>
    </row>
    <row r="541" spans="1:16" ht="15" customHeight="1" x14ac:dyDescent="0.3">
      <c r="A541" s="9">
        <v>509</v>
      </c>
      <c r="B541" s="157" t="s">
        <v>1061</v>
      </c>
      <c r="C541" s="157" t="s">
        <v>1067</v>
      </c>
      <c r="D541" s="157" t="s">
        <v>1068</v>
      </c>
      <c r="E541" s="157" t="s">
        <v>928</v>
      </c>
      <c r="F541" s="48" t="s">
        <v>116</v>
      </c>
      <c r="G541" s="9">
        <v>9</v>
      </c>
      <c r="H541" s="158">
        <f>'Engineering Assumptions'!$F$45*0.22*1</f>
        <v>1.43</v>
      </c>
      <c r="I541" s="158">
        <f>'Engineering Assumptions'!$F$45*1</f>
        <v>6.5</v>
      </c>
      <c r="J541" s="12">
        <f>'Fleet Pricing'!L541</f>
        <v>164000</v>
      </c>
      <c r="K541" s="12">
        <f>'Maintenance &amp; Repair'!J541+'Maintenance &amp; Repair'!K541</f>
        <v>29100</v>
      </c>
      <c r="L541" s="159">
        <f t="shared" si="75"/>
        <v>0.17743902439024389</v>
      </c>
      <c r="M541" s="9">
        <f>MAX(0,'Engineering Assumptions'!$G$45-G541)</f>
        <v>6</v>
      </c>
      <c r="N541" s="160" t="str">
        <f t="shared" si="76"/>
        <v>KEEP</v>
      </c>
      <c r="O541" s="161" t="str">
        <f t="shared" si="77"/>
        <v>Healthy — continue operating</v>
      </c>
      <c r="P541" s="161" t="str">
        <f>'Engineering Assumptions'!H45</f>
        <v>Farm tractor + bowser combo ~Rs. 6–7M</v>
      </c>
    </row>
    <row r="542" spans="1:16" ht="15" customHeight="1" x14ac:dyDescent="0.3">
      <c r="A542" s="9">
        <v>510</v>
      </c>
      <c r="B542" s="157" t="s">
        <v>1061</v>
      </c>
      <c r="C542" s="157" t="s">
        <v>1067</v>
      </c>
      <c r="D542" s="157" t="s">
        <v>1069</v>
      </c>
      <c r="E542" s="157"/>
      <c r="F542" s="48" t="s">
        <v>195</v>
      </c>
      <c r="G542" s="9">
        <v>30</v>
      </c>
      <c r="H542" s="158">
        <f>'Engineering Assumptions'!$F$45*0.03*1</f>
        <v>0.19500000000000001</v>
      </c>
      <c r="I542" s="158">
        <f>'Engineering Assumptions'!$F$45*1</f>
        <v>6.5</v>
      </c>
      <c r="J542" s="12">
        <f>'Fleet Pricing'!L542</f>
        <v>103000</v>
      </c>
      <c r="K542" s="12">
        <f>'Maintenance &amp; Repair'!J542+'Maintenance &amp; Repair'!K542</f>
        <v>82080</v>
      </c>
      <c r="L542" s="159">
        <f t="shared" si="75"/>
        <v>0.79689320388349516</v>
      </c>
      <c r="M542" s="9">
        <f>MAX(0,'Engineering Assumptions'!$G$45-G542)</f>
        <v>0</v>
      </c>
      <c r="N542" s="160" t="str">
        <f t="shared" si="76"/>
        <v>REPLACE</v>
      </c>
      <c r="O542" s="161" t="str">
        <f t="shared" si="77"/>
        <v>End of life (age &gt; 20)</v>
      </c>
      <c r="P542" s="161" t="str">
        <f>'Engineering Assumptions'!H45</f>
        <v>Farm tractor + bowser combo ~Rs. 6–7M</v>
      </c>
    </row>
    <row r="543" spans="1:16" ht="15" customHeight="1" x14ac:dyDescent="0.3">
      <c r="A543" s="9">
        <v>511</v>
      </c>
      <c r="B543" s="157" t="s">
        <v>1061</v>
      </c>
      <c r="C543" s="157" t="s">
        <v>1067</v>
      </c>
      <c r="D543" s="157" t="s">
        <v>1070</v>
      </c>
      <c r="E543" s="157"/>
      <c r="F543" s="48" t="s">
        <v>195</v>
      </c>
      <c r="G543" s="9">
        <v>30</v>
      </c>
      <c r="H543" s="158">
        <f>'Engineering Assumptions'!$F$45*0.03*1</f>
        <v>0.19500000000000001</v>
      </c>
      <c r="I543" s="158">
        <f>'Engineering Assumptions'!$F$45*1</f>
        <v>6.5</v>
      </c>
      <c r="J543" s="12">
        <f>'Fleet Pricing'!L543</f>
        <v>103000</v>
      </c>
      <c r="K543" s="12">
        <f>'Maintenance &amp; Repair'!J543+'Maintenance &amp; Repair'!K543</f>
        <v>82080</v>
      </c>
      <c r="L543" s="159">
        <f t="shared" si="75"/>
        <v>0.79689320388349516</v>
      </c>
      <c r="M543" s="9">
        <f>MAX(0,'Engineering Assumptions'!$G$45-G543)</f>
        <v>0</v>
      </c>
      <c r="N543" s="160" t="str">
        <f t="shared" si="76"/>
        <v>REPLACE</v>
      </c>
      <c r="O543" s="161" t="str">
        <f t="shared" si="77"/>
        <v>End of life (age &gt; 20)</v>
      </c>
      <c r="P543" s="161" t="str">
        <f>'Engineering Assumptions'!H45</f>
        <v>Farm tractor + bowser combo ~Rs. 6–7M</v>
      </c>
    </row>
    <row r="544" spans="1:16" ht="15" customHeight="1" x14ac:dyDescent="0.3">
      <c r="A544" s="9">
        <v>512</v>
      </c>
      <c r="B544" s="157" t="s">
        <v>1061</v>
      </c>
      <c r="C544" s="157" t="s">
        <v>1067</v>
      </c>
      <c r="D544" s="157" t="s">
        <v>1071</v>
      </c>
      <c r="E544" s="157"/>
      <c r="F544" s="48" t="s">
        <v>195</v>
      </c>
      <c r="G544" s="9">
        <v>30</v>
      </c>
      <c r="H544" s="158">
        <f>'Engineering Assumptions'!$F$45*0.03*1</f>
        <v>0.19500000000000001</v>
      </c>
      <c r="I544" s="158">
        <f>'Engineering Assumptions'!$F$45*1</f>
        <v>6.5</v>
      </c>
      <c r="J544" s="12">
        <f>'Fleet Pricing'!L544</f>
        <v>103000</v>
      </c>
      <c r="K544" s="12">
        <f>'Maintenance &amp; Repair'!J544+'Maintenance &amp; Repair'!K544</f>
        <v>82080</v>
      </c>
      <c r="L544" s="159">
        <f t="shared" si="75"/>
        <v>0.79689320388349516</v>
      </c>
      <c r="M544" s="9">
        <f>MAX(0,'Engineering Assumptions'!$G$45-G544)</f>
        <v>0</v>
      </c>
      <c r="N544" s="160" t="str">
        <f t="shared" si="76"/>
        <v>REPLACE</v>
      </c>
      <c r="O544" s="161" t="str">
        <f t="shared" si="77"/>
        <v>End of life (age &gt; 20)</v>
      </c>
      <c r="P544" s="161" t="str">
        <f>'Engineering Assumptions'!H45</f>
        <v>Farm tractor + bowser combo ~Rs. 6–7M</v>
      </c>
    </row>
    <row r="545" spans="1:16" ht="15" customHeight="1" x14ac:dyDescent="0.3">
      <c r="A545" s="9">
        <v>513</v>
      </c>
      <c r="B545" s="157" t="s">
        <v>1061</v>
      </c>
      <c r="C545" s="157" t="s">
        <v>1067</v>
      </c>
      <c r="D545" s="157" t="s">
        <v>1072</v>
      </c>
      <c r="E545" s="157"/>
      <c r="F545" s="48" t="s">
        <v>195</v>
      </c>
      <c r="G545" s="9">
        <v>30</v>
      </c>
      <c r="H545" s="158">
        <f>'Engineering Assumptions'!$F$45*0.03*1</f>
        <v>0.19500000000000001</v>
      </c>
      <c r="I545" s="158">
        <f>'Engineering Assumptions'!$F$45*1</f>
        <v>6.5</v>
      </c>
      <c r="J545" s="12">
        <f>'Fleet Pricing'!L545</f>
        <v>103000</v>
      </c>
      <c r="K545" s="12">
        <f>'Maintenance &amp; Repair'!J545+'Maintenance &amp; Repair'!K545</f>
        <v>82080</v>
      </c>
      <c r="L545" s="159">
        <f t="shared" si="75"/>
        <v>0.79689320388349516</v>
      </c>
      <c r="M545" s="9">
        <f>MAX(0,'Engineering Assumptions'!$G$45-G545)</f>
        <v>0</v>
      </c>
      <c r="N545" s="160" t="str">
        <f t="shared" si="76"/>
        <v>REPLACE</v>
      </c>
      <c r="O545" s="161" t="str">
        <f t="shared" si="77"/>
        <v>End of life (age &gt; 20)</v>
      </c>
      <c r="P545" s="161" t="str">
        <f>'Engineering Assumptions'!H45</f>
        <v>Farm tractor + bowser combo ~Rs. 6–7M</v>
      </c>
    </row>
    <row r="546" spans="1:16" ht="15" customHeight="1" x14ac:dyDescent="0.3">
      <c r="A546" s="9">
        <v>514</v>
      </c>
      <c r="B546" s="157" t="s">
        <v>1061</v>
      </c>
      <c r="C546" s="157" t="s">
        <v>1067</v>
      </c>
      <c r="D546" s="157" t="s">
        <v>1073</v>
      </c>
      <c r="E546" s="157"/>
      <c r="F546" s="48" t="s">
        <v>195</v>
      </c>
      <c r="G546" s="9">
        <v>30</v>
      </c>
      <c r="H546" s="158">
        <f>'Engineering Assumptions'!$F$45*0.03*1</f>
        <v>0.19500000000000001</v>
      </c>
      <c r="I546" s="158">
        <f>'Engineering Assumptions'!$F$45*1</f>
        <v>6.5</v>
      </c>
      <c r="J546" s="12">
        <f>'Fleet Pricing'!L546</f>
        <v>103000</v>
      </c>
      <c r="K546" s="12">
        <f>'Maintenance &amp; Repair'!J546+'Maintenance &amp; Repair'!K546</f>
        <v>82080</v>
      </c>
      <c r="L546" s="159">
        <f t="shared" si="75"/>
        <v>0.79689320388349516</v>
      </c>
      <c r="M546" s="9">
        <f>MAX(0,'Engineering Assumptions'!$G$45-G546)</f>
        <v>0</v>
      </c>
      <c r="N546" s="160" t="str">
        <f t="shared" si="76"/>
        <v>REPLACE</v>
      </c>
      <c r="O546" s="161" t="str">
        <f t="shared" si="77"/>
        <v>End of life (age &gt; 20)</v>
      </c>
      <c r="P546" s="161" t="str">
        <f>'Engineering Assumptions'!H45</f>
        <v>Farm tractor + bowser combo ~Rs. 6–7M</v>
      </c>
    </row>
    <row r="547" spans="1:16" ht="15" customHeight="1" x14ac:dyDescent="0.3">
      <c r="A547" s="9">
        <v>515</v>
      </c>
      <c r="B547" s="157" t="s">
        <v>1061</v>
      </c>
      <c r="C547" s="157" t="s">
        <v>1067</v>
      </c>
      <c r="D547" s="157" t="s">
        <v>1074</v>
      </c>
      <c r="E547" s="157"/>
      <c r="F547" s="48" t="s">
        <v>195</v>
      </c>
      <c r="G547" s="9">
        <v>30</v>
      </c>
      <c r="H547" s="158">
        <f>'Engineering Assumptions'!$F$45*0.03*1</f>
        <v>0.19500000000000001</v>
      </c>
      <c r="I547" s="158">
        <f>'Engineering Assumptions'!$F$45*1</f>
        <v>6.5</v>
      </c>
      <c r="J547" s="12">
        <f>'Fleet Pricing'!L547</f>
        <v>103000</v>
      </c>
      <c r="K547" s="12">
        <f>'Maintenance &amp; Repair'!J547+'Maintenance &amp; Repair'!K547</f>
        <v>82080</v>
      </c>
      <c r="L547" s="159">
        <f t="shared" si="75"/>
        <v>0.79689320388349516</v>
      </c>
      <c r="M547" s="9">
        <f>MAX(0,'Engineering Assumptions'!$G$45-G547)</f>
        <v>0</v>
      </c>
      <c r="N547" s="160" t="str">
        <f t="shared" si="76"/>
        <v>REPLACE</v>
      </c>
      <c r="O547" s="161" t="str">
        <f t="shared" si="77"/>
        <v>End of life (age &gt; 20)</v>
      </c>
      <c r="P547" s="161" t="str">
        <f>'Engineering Assumptions'!H45</f>
        <v>Farm tractor + bowser combo ~Rs. 6–7M</v>
      </c>
    </row>
    <row r="548" spans="1:16" ht="15" customHeight="1" x14ac:dyDescent="0.3">
      <c r="A548" s="199" t="s">
        <v>1075</v>
      </c>
      <c r="B548" s="200"/>
      <c r="C548" s="200"/>
      <c r="D548" s="200"/>
      <c r="E548" s="200"/>
      <c r="F548" s="200"/>
      <c r="G548" s="200"/>
      <c r="H548" s="200"/>
      <c r="I548" s="200"/>
      <c r="J548" s="200"/>
      <c r="K548" s="200"/>
      <c r="L548" s="200"/>
      <c r="M548" s="200"/>
      <c r="N548" s="200"/>
      <c r="O548" s="200"/>
      <c r="P548" s="200"/>
    </row>
    <row r="549" spans="1:16" ht="15" customHeight="1" x14ac:dyDescent="0.3">
      <c r="A549" s="9">
        <v>516</v>
      </c>
      <c r="B549" s="157" t="s">
        <v>1076</v>
      </c>
      <c r="C549" s="157" t="s">
        <v>1077</v>
      </c>
      <c r="D549" s="157" t="s">
        <v>1078</v>
      </c>
      <c r="E549" s="157"/>
      <c r="F549" s="48" t="s">
        <v>195</v>
      </c>
      <c r="G549" s="9">
        <v>30</v>
      </c>
      <c r="H549" s="158">
        <f>'Engineering Assumptions'!$F$46*0.03*1</f>
        <v>0.36</v>
      </c>
      <c r="I549" s="158">
        <f>'Engineering Assumptions'!$F$46*1</f>
        <v>12</v>
      </c>
      <c r="J549" s="12">
        <f>'Fleet Pricing'!L549</f>
        <v>180500</v>
      </c>
      <c r="K549" s="12">
        <f>'Maintenance &amp; Repair'!J549+'Maintenance &amp; Repair'!K549</f>
        <v>121680</v>
      </c>
      <c r="L549" s="159">
        <f>IFERROR(K549/J549,0)</f>
        <v>0.67412742382271473</v>
      </c>
      <c r="M549" s="9">
        <f>MAX(0,'Engineering Assumptions'!$G$46-G549)</f>
        <v>0</v>
      </c>
      <c r="N549" s="160" t="str">
        <f>IF(G549&gt;=20,"REPLACE",IF(L549&gt;0.6,"REPLACE",IF(G549&gt;=15,"REPLACE",IF(OR(G549&gt;=11,L549&gt;0.4),"MONITOR","KEEP"))))</f>
        <v>REPLACE</v>
      </c>
      <c r="O549" s="161" t="str">
        <f>IF(G549&gt;=20,"End of life (age &gt; 20)",IF(L549&gt;0.6,"Repairs exceed 60% of revenue",IF(G549&gt;=15,"Age 15+ → replace",IF(OR(G549&gt;=11,L549&gt;0.4),"Watch costs; plan replacement","Healthy — continue operating"))))</f>
        <v>End of life (age &gt; 20)</v>
      </c>
      <c r="P549" s="161" t="str">
        <f>'Engineering Assumptions'!H46</f>
        <v>3T diesel forklift ~Rs. 10–14M</v>
      </c>
    </row>
    <row r="550" spans="1:16" ht="15" customHeight="1" x14ac:dyDescent="0.3">
      <c r="A550" s="9">
        <v>517</v>
      </c>
      <c r="B550" s="157" t="s">
        <v>1076</v>
      </c>
      <c r="C550" s="157" t="s">
        <v>1079</v>
      </c>
      <c r="D550" s="157" t="s">
        <v>1080</v>
      </c>
      <c r="E550" s="157"/>
      <c r="F550" s="48" t="s">
        <v>195</v>
      </c>
      <c r="G550" s="9">
        <v>30</v>
      </c>
      <c r="H550" s="158">
        <f>'Engineering Assumptions'!$F$46*0.03*1</f>
        <v>0.36</v>
      </c>
      <c r="I550" s="158">
        <f>'Engineering Assumptions'!$F$46*1</f>
        <v>12</v>
      </c>
      <c r="J550" s="12">
        <f>'Fleet Pricing'!L550</f>
        <v>180500</v>
      </c>
      <c r="K550" s="12">
        <f>'Maintenance &amp; Repair'!J550+'Maintenance &amp; Repair'!K550</f>
        <v>121680</v>
      </c>
      <c r="L550" s="159">
        <f>IFERROR(K550/J550,0)</f>
        <v>0.67412742382271473</v>
      </c>
      <c r="M550" s="9">
        <f>MAX(0,'Engineering Assumptions'!$G$46-G550)</f>
        <v>0</v>
      </c>
      <c r="N550" s="160" t="str">
        <f>IF(G550&gt;=20,"REPLACE",IF(L550&gt;0.6,"REPLACE",IF(G550&gt;=15,"REPLACE",IF(OR(G550&gt;=11,L550&gt;0.4),"MONITOR","KEEP"))))</f>
        <v>REPLACE</v>
      </c>
      <c r="O550" s="161" t="str">
        <f>IF(G550&gt;=20,"End of life (age &gt; 20)",IF(L550&gt;0.6,"Repairs exceed 60% of revenue",IF(G550&gt;=15,"Age 15+ → replace",IF(OR(G550&gt;=11,L550&gt;0.4),"Watch costs; plan replacement","Healthy — continue operating"))))</f>
        <v>End of life (age &gt; 20)</v>
      </c>
      <c r="P550" s="161" t="str">
        <f>'Engineering Assumptions'!H46</f>
        <v>3T diesel forklift ~Rs. 10–14M</v>
      </c>
    </row>
    <row r="551" spans="1:16" ht="15" customHeight="1" x14ac:dyDescent="0.3">
      <c r="A551" s="9">
        <v>518</v>
      </c>
      <c r="B551" s="157" t="s">
        <v>1076</v>
      </c>
      <c r="C551" s="157" t="s">
        <v>1079</v>
      </c>
      <c r="D551" s="157" t="s">
        <v>1081</v>
      </c>
      <c r="E551" s="157"/>
      <c r="F551" s="48" t="s">
        <v>195</v>
      </c>
      <c r="G551" s="9">
        <v>30</v>
      </c>
      <c r="H551" s="158">
        <f>'Engineering Assumptions'!$F$46*0.03*1</f>
        <v>0.36</v>
      </c>
      <c r="I551" s="158">
        <f>'Engineering Assumptions'!$F$46*1</f>
        <v>12</v>
      </c>
      <c r="J551" s="12">
        <f>'Fleet Pricing'!L551</f>
        <v>180500</v>
      </c>
      <c r="K551" s="12">
        <f>'Maintenance &amp; Repair'!J551+'Maintenance &amp; Repair'!K551</f>
        <v>121680</v>
      </c>
      <c r="L551" s="159">
        <f>IFERROR(K551/J551,0)</f>
        <v>0.67412742382271473</v>
      </c>
      <c r="M551" s="9">
        <f>MAX(0,'Engineering Assumptions'!$G$46-G551)</f>
        <v>0</v>
      </c>
      <c r="N551" s="160" t="str">
        <f>IF(G551&gt;=20,"REPLACE",IF(L551&gt;0.6,"REPLACE",IF(G551&gt;=15,"REPLACE",IF(OR(G551&gt;=11,L551&gt;0.4),"MONITOR","KEEP"))))</f>
        <v>REPLACE</v>
      </c>
      <c r="O551" s="161" t="str">
        <f>IF(G551&gt;=20,"End of life (age &gt; 20)",IF(L551&gt;0.6,"Repairs exceed 60% of revenue",IF(G551&gt;=15,"Age 15+ → replace",IF(OR(G551&gt;=11,L551&gt;0.4),"Watch costs; plan replacement","Healthy — continue operating"))))</f>
        <v>End of life (age &gt; 20)</v>
      </c>
      <c r="P551" s="161" t="str">
        <f>'Engineering Assumptions'!H46</f>
        <v>3T diesel forklift ~Rs. 10–14M</v>
      </c>
    </row>
  </sheetData>
  <autoFilter ref="A4:P551" xr:uid="{00000000-0009-0000-0000-00000B000000}"/>
  <mergeCells count="31">
    <mergeCell ref="A548:P548"/>
    <mergeCell ref="A228:P228"/>
    <mergeCell ref="A242:P242"/>
    <mergeCell ref="A271:P271"/>
    <mergeCell ref="A208:P208"/>
    <mergeCell ref="A397:P397"/>
    <mergeCell ref="A537:P537"/>
    <mergeCell ref="A233:P233"/>
    <mergeCell ref="A390:P390"/>
    <mergeCell ref="A301:P301"/>
    <mergeCell ref="A483:P483"/>
    <mergeCell ref="A470:P470"/>
    <mergeCell ref="A450:P450"/>
    <mergeCell ref="A401:P401"/>
    <mergeCell ref="A245:P245"/>
    <mergeCell ref="A220:P220"/>
    <mergeCell ref="A2:P2"/>
    <mergeCell ref="A1:P1"/>
    <mergeCell ref="A287:P287"/>
    <mergeCell ref="A61:P61"/>
    <mergeCell ref="A408:P408"/>
    <mergeCell ref="A154:P154"/>
    <mergeCell ref="A57:P57"/>
    <mergeCell ref="A5:P5"/>
    <mergeCell ref="A165:P165"/>
    <mergeCell ref="A81:P81"/>
    <mergeCell ref="A40:P40"/>
    <mergeCell ref="A30:P30"/>
    <mergeCell ref="A275:P275"/>
    <mergeCell ref="A182:P182"/>
    <mergeCell ref="A225:P225"/>
  </mergeCells>
  <conditionalFormatting sqref="N5:N551">
    <cfRule type="expression" dxfId="5" priority="2">
      <formula>$N5="KEEP"</formula>
    </cfRule>
    <cfRule type="expression" dxfId="4" priority="3">
      <formula>$N5="MONITOR"</formula>
    </cfRule>
    <cfRule type="expression" dxfId="3" priority="4">
      <formula>$N5="REPLACE"</formula>
    </cfRule>
  </conditionalFormatting>
  <pageMargins left="0.75" right="0.75" top="1" bottom="1" header="0.511811023622047" footer="0.511811023622047"/>
  <pageSetup paperSize="9" scale="53" orientation="landscape" horizontalDpi="300" verticalDpi="300"/>
  <colBreaks count="1" manualBreakCount="1">
    <brk id="15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34"/>
  <sheetViews>
    <sheetView zoomScaleNormal="100" workbookViewId="0">
      <pane ySplit="4" topLeftCell="A19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26" customWidth="1"/>
    <col min="3" max="3" width="12" customWidth="1"/>
    <col min="4" max="4" width="10" customWidth="1"/>
    <col min="5" max="6" width="12" customWidth="1"/>
    <col min="7" max="7" width="32" customWidth="1"/>
    <col min="8" max="8" width="28" customWidth="1"/>
  </cols>
  <sheetData>
    <row r="1" spans="1:8" ht="24" customHeight="1" x14ac:dyDescent="0.4">
      <c r="A1" s="193" t="s">
        <v>2849</v>
      </c>
      <c r="B1" s="186"/>
      <c r="C1" s="186"/>
      <c r="D1" s="186"/>
      <c r="E1" s="186"/>
      <c r="F1" s="186"/>
      <c r="G1" s="186"/>
      <c r="H1" s="186"/>
    </row>
    <row r="2" spans="1:8" ht="15" customHeight="1" x14ac:dyDescent="0.3">
      <c r="A2" s="197" t="s">
        <v>2850</v>
      </c>
      <c r="B2" s="186"/>
      <c r="C2" s="186"/>
      <c r="D2" s="186"/>
      <c r="E2" s="186"/>
      <c r="F2" s="186"/>
      <c r="G2" s="186"/>
      <c r="H2" s="186"/>
    </row>
    <row r="4" spans="1:8" ht="42" customHeight="1" x14ac:dyDescent="0.3">
      <c r="A4" s="8" t="s">
        <v>2</v>
      </c>
      <c r="B4" s="8" t="s">
        <v>3</v>
      </c>
      <c r="C4" s="8" t="s">
        <v>2851</v>
      </c>
      <c r="D4" s="8" t="s">
        <v>2852</v>
      </c>
      <c r="E4" s="8" t="s">
        <v>2853</v>
      </c>
      <c r="F4" s="8" t="s">
        <v>2854</v>
      </c>
      <c r="G4" s="8" t="s">
        <v>2855</v>
      </c>
      <c r="H4" s="8" t="s">
        <v>2856</v>
      </c>
    </row>
    <row r="5" spans="1:8" ht="15" customHeight="1" x14ac:dyDescent="0.3">
      <c r="A5" s="9">
        <v>1</v>
      </c>
      <c r="B5" s="10" t="s">
        <v>19</v>
      </c>
      <c r="C5" s="9">
        <v>24</v>
      </c>
      <c r="D5" s="9">
        <f>COUNTIFS('Replacement Analysis'!B:B,B5,'Replacement Analysis'!N:N,"KEEP")</f>
        <v>15</v>
      </c>
      <c r="E5" s="9">
        <f>COUNTIFS('Replacement Analysis'!B:B,B5,'Replacement Analysis'!N:N,"MONITOR")</f>
        <v>5</v>
      </c>
      <c r="F5" s="9">
        <f>COUNTIFS('Replacement Analysis'!B:B,B5,'Replacement Analysis'!N:N,"REPLACE")</f>
        <v>4</v>
      </c>
      <c r="G5" s="158">
        <f>SUMIFS('Replacement Analysis'!H:H,'Replacement Analysis'!B:B,B5,'Replacement Analysis'!N:N,"REPLACE")</f>
        <v>3.8849999999999998</v>
      </c>
      <c r="H5" s="158">
        <f>SUMIFS('Replacement Analysis'!I:I,'Replacement Analysis'!B:B,B5,'Replacement Analysis'!N:N,"REPLACE")</f>
        <v>74</v>
      </c>
    </row>
    <row r="6" spans="1:8" ht="15" customHeight="1" x14ac:dyDescent="0.3">
      <c r="A6" s="9">
        <v>2</v>
      </c>
      <c r="B6" s="10" t="s">
        <v>87</v>
      </c>
      <c r="C6" s="9">
        <v>9</v>
      </c>
      <c r="D6" s="9">
        <f>COUNTIFS('Replacement Analysis'!B:B,B6,'Replacement Analysis'!N:N,"KEEP")</f>
        <v>1</v>
      </c>
      <c r="E6" s="9">
        <f>COUNTIFS('Replacement Analysis'!B:B,B6,'Replacement Analysis'!N:N,"MONITOR")</f>
        <v>6</v>
      </c>
      <c r="F6" s="9">
        <f>COUNTIFS('Replacement Analysis'!B:B,B6,'Replacement Analysis'!N:N,"REPLACE")</f>
        <v>2</v>
      </c>
      <c r="G6" s="158">
        <f>SUMIFS('Replacement Analysis'!H:H,'Replacement Analysis'!B:B,B6,'Replacement Analysis'!N:N,"REPLACE")</f>
        <v>10.08</v>
      </c>
      <c r="H6" s="158">
        <f>SUMIFS('Replacement Analysis'!I:I,'Replacement Analysis'!B:B,B6,'Replacement Analysis'!N:N,"REPLACE")</f>
        <v>84</v>
      </c>
    </row>
    <row r="7" spans="1:8" ht="15" customHeight="1" x14ac:dyDescent="0.3">
      <c r="A7" s="9">
        <v>3</v>
      </c>
      <c r="B7" s="10" t="s">
        <v>112</v>
      </c>
      <c r="C7" s="9">
        <v>16</v>
      </c>
      <c r="D7" s="9">
        <f>COUNTIFS('Replacement Analysis'!B:B,B7,'Replacement Analysis'!N:N,"KEEP")</f>
        <v>8</v>
      </c>
      <c r="E7" s="9">
        <f>COUNTIFS('Replacement Analysis'!B:B,B7,'Replacement Analysis'!N:N,"MONITOR")</f>
        <v>1</v>
      </c>
      <c r="F7" s="9">
        <f>COUNTIFS('Replacement Analysis'!B:B,B7,'Replacement Analysis'!N:N,"REPLACE")</f>
        <v>7</v>
      </c>
      <c r="G7" s="158">
        <f>SUMIFS('Replacement Analysis'!H:H,'Replacement Analysis'!B:B,B7,'Replacement Analysis'!N:N,"REPLACE")</f>
        <v>5.28</v>
      </c>
      <c r="H7" s="158">
        <f>SUMIFS('Replacement Analysis'!I:I,'Replacement Analysis'!B:B,B7,'Replacement Analysis'!N:N,"REPLACE")</f>
        <v>154</v>
      </c>
    </row>
    <row r="8" spans="1:8" ht="15" customHeight="1" x14ac:dyDescent="0.3">
      <c r="A8" s="9">
        <v>4</v>
      </c>
      <c r="B8" s="10" t="s">
        <v>161</v>
      </c>
      <c r="C8" s="9">
        <v>3</v>
      </c>
      <c r="D8" s="9">
        <f>COUNTIFS('Replacement Analysis'!B:B,B8,'Replacement Analysis'!N:N,"KEEP")</f>
        <v>3</v>
      </c>
      <c r="E8" s="9">
        <f>COUNTIFS('Replacement Analysis'!B:B,B8,'Replacement Analysis'!N:N,"MONITOR")</f>
        <v>0</v>
      </c>
      <c r="F8" s="9">
        <f>COUNTIFS('Replacement Analysis'!B:B,B8,'Replacement Analysis'!N:N,"REPLACE")</f>
        <v>0</v>
      </c>
      <c r="G8" s="158">
        <f>SUMIFS('Replacement Analysis'!H:H,'Replacement Analysis'!B:B,B8,'Replacement Analysis'!N:N,"REPLACE")</f>
        <v>0</v>
      </c>
      <c r="H8" s="158">
        <f>SUMIFS('Replacement Analysis'!I:I,'Replacement Analysis'!B:B,B8,'Replacement Analysis'!N:N,"REPLACE")</f>
        <v>0</v>
      </c>
    </row>
    <row r="9" spans="1:8" ht="15" customHeight="1" x14ac:dyDescent="0.3">
      <c r="A9" s="9">
        <v>5</v>
      </c>
      <c r="B9" s="10" t="s">
        <v>171</v>
      </c>
      <c r="C9" s="9">
        <v>19</v>
      </c>
      <c r="D9" s="9">
        <f>COUNTIFS('Replacement Analysis'!B:B,B9,'Replacement Analysis'!N:N,"KEEP")</f>
        <v>6</v>
      </c>
      <c r="E9" s="9">
        <f>COUNTIFS('Replacement Analysis'!B:B,B9,'Replacement Analysis'!N:N,"MONITOR")</f>
        <v>5</v>
      </c>
      <c r="F9" s="9">
        <f>COUNTIFS('Replacement Analysis'!B:B,B9,'Replacement Analysis'!N:N,"REPLACE")</f>
        <v>8</v>
      </c>
      <c r="G9" s="158">
        <f>SUMIFS('Replacement Analysis'!H:H,'Replacement Analysis'!B:B,B9,'Replacement Analysis'!N:N,"REPLACE")</f>
        <v>9.24</v>
      </c>
      <c r="H9" s="158">
        <f>SUMIFS('Replacement Analysis'!I:I,'Replacement Analysis'!B:B,B9,'Replacement Analysis'!N:N,"REPLACE")</f>
        <v>176</v>
      </c>
    </row>
    <row r="10" spans="1:8" ht="15" customHeight="1" x14ac:dyDescent="0.3">
      <c r="A10" s="9">
        <v>6</v>
      </c>
      <c r="B10" s="10" t="s">
        <v>205</v>
      </c>
      <c r="C10" s="9">
        <v>72</v>
      </c>
      <c r="D10" s="9">
        <f>COUNTIFS('Replacement Analysis'!B:B,B10,'Replacement Analysis'!N:N,"KEEP")</f>
        <v>9</v>
      </c>
      <c r="E10" s="9">
        <f>COUNTIFS('Replacement Analysis'!B:B,B10,'Replacement Analysis'!N:N,"MONITOR")</f>
        <v>19</v>
      </c>
      <c r="F10" s="9">
        <f>COUNTIFS('Replacement Analysis'!B:B,B10,'Replacement Analysis'!N:N,"REPLACE")</f>
        <v>44</v>
      </c>
      <c r="G10" s="158">
        <f>SUMIFS('Replacement Analysis'!H:H,'Replacement Analysis'!B:B,B10,'Replacement Analysis'!N:N,"REPLACE")</f>
        <v>21.000000000000018</v>
      </c>
      <c r="H10" s="158">
        <f>SUMIFS('Replacement Analysis'!I:I,'Replacement Analysis'!B:B,B10,'Replacement Analysis'!N:N,"REPLACE")</f>
        <v>616</v>
      </c>
    </row>
    <row r="11" spans="1:8" ht="15" customHeight="1" x14ac:dyDescent="0.3">
      <c r="A11" s="9">
        <v>7</v>
      </c>
      <c r="B11" s="10" t="s">
        <v>297</v>
      </c>
      <c r="C11" s="9">
        <v>10</v>
      </c>
      <c r="D11" s="9">
        <f>COUNTIFS('Replacement Analysis'!B:B,B11,'Replacement Analysis'!N:N,"KEEP")</f>
        <v>0</v>
      </c>
      <c r="E11" s="9">
        <f>COUNTIFS('Replacement Analysis'!B:B,B11,'Replacement Analysis'!N:N,"MONITOR")</f>
        <v>7</v>
      </c>
      <c r="F11" s="9">
        <f>COUNTIFS('Replacement Analysis'!B:B,B11,'Replacement Analysis'!N:N,"REPLACE")</f>
        <v>3</v>
      </c>
      <c r="G11" s="158">
        <f>SUMIFS('Replacement Analysis'!H:H,'Replacement Analysis'!B:B,B11,'Replacement Analysis'!N:N,"REPLACE")</f>
        <v>1.71</v>
      </c>
      <c r="H11" s="158">
        <f>SUMIFS('Replacement Analysis'!I:I,'Replacement Analysis'!B:B,B11,'Replacement Analysis'!N:N,"REPLACE")</f>
        <v>57</v>
      </c>
    </row>
    <row r="12" spans="1:8" ht="15" customHeight="1" x14ac:dyDescent="0.3">
      <c r="A12" s="9">
        <v>8</v>
      </c>
      <c r="B12" s="10" t="s">
        <v>318</v>
      </c>
      <c r="C12" s="9">
        <v>16</v>
      </c>
      <c r="D12" s="9">
        <f>COUNTIFS('Replacement Analysis'!B:B,B12,'Replacement Analysis'!N:N,"KEEP")</f>
        <v>5</v>
      </c>
      <c r="E12" s="9">
        <f>COUNTIFS('Replacement Analysis'!B:B,B12,'Replacement Analysis'!N:N,"MONITOR")</f>
        <v>1</v>
      </c>
      <c r="F12" s="9">
        <f>COUNTIFS('Replacement Analysis'!B:B,B12,'Replacement Analysis'!N:N,"REPLACE")</f>
        <v>10</v>
      </c>
      <c r="G12" s="158">
        <f>SUMIFS('Replacement Analysis'!H:H,'Replacement Analysis'!B:B,B12,'Replacement Analysis'!N:N,"REPLACE")</f>
        <v>21.449999999999996</v>
      </c>
      <c r="H12" s="158">
        <f>SUMIFS('Replacement Analysis'!I:I,'Replacement Analysis'!B:B,B12,'Replacement Analysis'!N:N,"REPLACE")</f>
        <v>550</v>
      </c>
    </row>
    <row r="13" spans="1:8" ht="15" customHeight="1" x14ac:dyDescent="0.3">
      <c r="A13" s="9">
        <v>9</v>
      </c>
      <c r="B13" s="10" t="s">
        <v>352</v>
      </c>
      <c r="C13" s="9">
        <v>25</v>
      </c>
      <c r="D13" s="9">
        <f>COUNTIFS('Replacement Analysis'!B:B,B13,'Replacement Analysis'!N:N,"KEEP")</f>
        <v>21</v>
      </c>
      <c r="E13" s="9">
        <f>COUNTIFS('Replacement Analysis'!B:B,B13,'Replacement Analysis'!N:N,"MONITOR")</f>
        <v>4</v>
      </c>
      <c r="F13" s="9">
        <f>COUNTIFS('Replacement Analysis'!B:B,B13,'Replacement Analysis'!N:N,"REPLACE")</f>
        <v>0</v>
      </c>
      <c r="G13" s="158">
        <f>SUMIFS('Replacement Analysis'!H:H,'Replacement Analysis'!B:B,B13,'Replacement Analysis'!N:N,"REPLACE")</f>
        <v>0</v>
      </c>
      <c r="H13" s="158">
        <f>SUMIFS('Replacement Analysis'!I:I,'Replacement Analysis'!B:B,B13,'Replacement Analysis'!N:N,"REPLACE")</f>
        <v>0</v>
      </c>
    </row>
    <row r="14" spans="1:8" ht="15" customHeight="1" x14ac:dyDescent="0.3">
      <c r="A14" s="9">
        <v>10</v>
      </c>
      <c r="B14" s="10" t="s">
        <v>386</v>
      </c>
      <c r="C14" s="9">
        <v>11</v>
      </c>
      <c r="D14" s="9">
        <f>COUNTIFS('Replacement Analysis'!B:B,B14,'Replacement Analysis'!N:N,"KEEP")</f>
        <v>2</v>
      </c>
      <c r="E14" s="9">
        <f>COUNTIFS('Replacement Analysis'!B:B,B14,'Replacement Analysis'!N:N,"MONITOR")</f>
        <v>6</v>
      </c>
      <c r="F14" s="9">
        <f>COUNTIFS('Replacement Analysis'!B:B,B14,'Replacement Analysis'!N:N,"REPLACE")</f>
        <v>3</v>
      </c>
      <c r="G14" s="158">
        <f>SUMIFS('Replacement Analysis'!H:H,'Replacement Analysis'!B:B,B14,'Replacement Analysis'!N:N,"REPLACE")</f>
        <v>5.76</v>
      </c>
      <c r="H14" s="158">
        <f>SUMIFS('Replacement Analysis'!I:I,'Replacement Analysis'!B:B,B14,'Replacement Analysis'!N:N,"REPLACE")</f>
        <v>144</v>
      </c>
    </row>
    <row r="15" spans="1:8" ht="15" customHeight="1" x14ac:dyDescent="0.3">
      <c r="A15" s="9">
        <v>11</v>
      </c>
      <c r="B15" s="10" t="s">
        <v>408</v>
      </c>
      <c r="C15" s="9">
        <v>4</v>
      </c>
      <c r="D15" s="9">
        <f>COUNTIFS('Replacement Analysis'!B:B,B15,'Replacement Analysis'!N:N,"KEEP")</f>
        <v>1</v>
      </c>
      <c r="E15" s="9">
        <f>COUNTIFS('Replacement Analysis'!B:B,B15,'Replacement Analysis'!N:N,"MONITOR")</f>
        <v>2</v>
      </c>
      <c r="F15" s="9">
        <f>COUNTIFS('Replacement Analysis'!B:B,B15,'Replacement Analysis'!N:N,"REPLACE")</f>
        <v>1</v>
      </c>
      <c r="G15" s="158">
        <f>SUMIFS('Replacement Analysis'!H:H,'Replacement Analysis'!B:B,B15,'Replacement Analysis'!N:N,"REPLACE")</f>
        <v>0.42</v>
      </c>
      <c r="H15" s="158">
        <f>SUMIFS('Replacement Analysis'!I:I,'Replacement Analysis'!B:B,B15,'Replacement Analysis'!N:N,"REPLACE")</f>
        <v>14</v>
      </c>
    </row>
    <row r="16" spans="1:8" ht="15" customHeight="1" x14ac:dyDescent="0.3">
      <c r="A16" s="9">
        <v>12</v>
      </c>
      <c r="B16" s="10" t="s">
        <v>423</v>
      </c>
      <c r="C16" s="9">
        <v>2</v>
      </c>
      <c r="D16" s="9">
        <f>COUNTIFS('Replacement Analysis'!B:B,B16,'Replacement Analysis'!N:N,"KEEP")</f>
        <v>0</v>
      </c>
      <c r="E16" s="9">
        <f>COUNTIFS('Replacement Analysis'!B:B,B16,'Replacement Analysis'!N:N,"MONITOR")</f>
        <v>0</v>
      </c>
      <c r="F16" s="9">
        <f>COUNTIFS('Replacement Analysis'!B:B,B16,'Replacement Analysis'!N:N,"REPLACE")</f>
        <v>2</v>
      </c>
      <c r="G16" s="158">
        <f>SUMIFS('Replacement Analysis'!H:H,'Replacement Analysis'!B:B,B16,'Replacement Analysis'!N:N,"REPLACE")</f>
        <v>2.88</v>
      </c>
      <c r="H16" s="158">
        <f>SUMIFS('Replacement Analysis'!I:I,'Replacement Analysis'!B:B,B16,'Replacement Analysis'!N:N,"REPLACE")</f>
        <v>96</v>
      </c>
    </row>
    <row r="17" spans="1:8" ht="15" customHeight="1" x14ac:dyDescent="0.3">
      <c r="A17" s="9">
        <v>13</v>
      </c>
      <c r="B17" s="10" t="s">
        <v>433</v>
      </c>
      <c r="C17" s="9">
        <v>4</v>
      </c>
      <c r="D17" s="9">
        <f>COUNTIFS('Replacement Analysis'!B:B,B17,'Replacement Analysis'!N:N,"KEEP")</f>
        <v>0</v>
      </c>
      <c r="E17" s="9">
        <f>COUNTIFS('Replacement Analysis'!B:B,B17,'Replacement Analysis'!N:N,"MONITOR")</f>
        <v>0</v>
      </c>
      <c r="F17" s="9">
        <f>COUNTIFS('Replacement Analysis'!B:B,B17,'Replacement Analysis'!N:N,"REPLACE")</f>
        <v>4</v>
      </c>
      <c r="G17" s="158">
        <f>SUMIFS('Replacement Analysis'!H:H,'Replacement Analysis'!B:B,B17,'Replacement Analysis'!N:N,"REPLACE")</f>
        <v>3.36</v>
      </c>
      <c r="H17" s="158">
        <f>SUMIFS('Replacement Analysis'!I:I,'Replacement Analysis'!B:B,B17,'Replacement Analysis'!N:N,"REPLACE")</f>
        <v>64</v>
      </c>
    </row>
    <row r="18" spans="1:8" ht="15" customHeight="1" x14ac:dyDescent="0.3">
      <c r="A18" s="9">
        <v>14</v>
      </c>
      <c r="B18" s="10" t="s">
        <v>448</v>
      </c>
      <c r="C18" s="9">
        <v>8</v>
      </c>
      <c r="D18" s="9">
        <f>COUNTIFS('Replacement Analysis'!B:B,B18,'Replacement Analysis'!N:N,"KEEP")</f>
        <v>1</v>
      </c>
      <c r="E18" s="9">
        <f>COUNTIFS('Replacement Analysis'!B:B,B18,'Replacement Analysis'!N:N,"MONITOR")</f>
        <v>1</v>
      </c>
      <c r="F18" s="9">
        <f>COUNTIFS('Replacement Analysis'!B:B,B18,'Replacement Analysis'!N:N,"REPLACE")</f>
        <v>6</v>
      </c>
      <c r="G18" s="158">
        <f>SUMIFS('Replacement Analysis'!H:H,'Replacement Analysis'!B:B,B18,'Replacement Analysis'!N:N,"REPLACE")</f>
        <v>9.8999999999999986</v>
      </c>
      <c r="H18" s="158">
        <f>SUMIFS('Replacement Analysis'!I:I,'Replacement Analysis'!B:B,B18,'Replacement Analysis'!N:N,"REPLACE")</f>
        <v>132</v>
      </c>
    </row>
    <row r="19" spans="1:8" ht="15" customHeight="1" x14ac:dyDescent="0.3">
      <c r="A19" s="9">
        <v>15</v>
      </c>
      <c r="B19" s="10" t="s">
        <v>473</v>
      </c>
      <c r="C19" s="9">
        <v>2</v>
      </c>
      <c r="D19" s="9">
        <f>COUNTIFS('Replacement Analysis'!B:B,B19,'Replacement Analysis'!N:N,"KEEP")</f>
        <v>1</v>
      </c>
      <c r="E19" s="9">
        <f>COUNTIFS('Replacement Analysis'!B:B,B19,'Replacement Analysis'!N:N,"MONITOR")</f>
        <v>0</v>
      </c>
      <c r="F19" s="9">
        <f>COUNTIFS('Replacement Analysis'!B:B,B19,'Replacement Analysis'!N:N,"REPLACE")</f>
        <v>1</v>
      </c>
      <c r="G19" s="158">
        <f>SUMIFS('Replacement Analysis'!H:H,'Replacement Analysis'!B:B,B19,'Replacement Analysis'!N:N,"REPLACE")</f>
        <v>6.96</v>
      </c>
      <c r="H19" s="158">
        <f>SUMIFS('Replacement Analysis'!I:I,'Replacement Analysis'!B:B,B19,'Replacement Analysis'!N:N,"REPLACE")</f>
        <v>58</v>
      </c>
    </row>
    <row r="20" spans="1:8" ht="15" customHeight="1" x14ac:dyDescent="0.3">
      <c r="A20" s="9">
        <v>16</v>
      </c>
      <c r="B20" s="10" t="s">
        <v>481</v>
      </c>
      <c r="C20" s="9">
        <v>25</v>
      </c>
      <c r="D20" s="9">
        <f>COUNTIFS('Replacement Analysis'!B:B,B20,'Replacement Analysis'!N:N,"KEEP")</f>
        <v>9</v>
      </c>
      <c r="E20" s="9">
        <f>COUNTIFS('Replacement Analysis'!B:B,B20,'Replacement Analysis'!N:N,"MONITOR")</f>
        <v>2</v>
      </c>
      <c r="F20" s="9">
        <f>COUNTIFS('Replacement Analysis'!B:B,B20,'Replacement Analysis'!N:N,"REPLACE")</f>
        <v>14</v>
      </c>
      <c r="G20" s="158">
        <f>SUMIFS('Replacement Analysis'!H:H,'Replacement Analysis'!B:B,B20,'Replacement Analysis'!N:N,"REPLACE")</f>
        <v>24.36</v>
      </c>
      <c r="H20" s="158">
        <f>SUMIFS('Replacement Analysis'!I:I,'Replacement Analysis'!B:B,B20,'Replacement Analysis'!N:N,"REPLACE")</f>
        <v>392</v>
      </c>
    </row>
    <row r="21" spans="1:8" ht="15" customHeight="1" x14ac:dyDescent="0.3">
      <c r="A21" s="9">
        <v>17</v>
      </c>
      <c r="B21" s="10" t="s">
        <v>546</v>
      </c>
      <c r="C21" s="9">
        <v>3</v>
      </c>
      <c r="D21" s="9">
        <f>COUNTIFS('Replacement Analysis'!B:B,B21,'Replacement Analysis'!N:N,"KEEP")</f>
        <v>0</v>
      </c>
      <c r="E21" s="9">
        <f>COUNTIFS('Replacement Analysis'!B:B,B21,'Replacement Analysis'!N:N,"MONITOR")</f>
        <v>0</v>
      </c>
      <c r="F21" s="9">
        <f>COUNTIFS('Replacement Analysis'!B:B,B21,'Replacement Analysis'!N:N,"REPLACE")</f>
        <v>3</v>
      </c>
      <c r="G21" s="158">
        <f>SUMIFS('Replacement Analysis'!H:H,'Replacement Analysis'!B:B,B21,'Replacement Analysis'!N:N,"REPLACE")</f>
        <v>1.68</v>
      </c>
      <c r="H21" s="158">
        <f>SUMIFS('Replacement Analysis'!I:I,'Replacement Analysis'!B:B,B21,'Replacement Analysis'!N:N,"REPLACE")</f>
        <v>42</v>
      </c>
    </row>
    <row r="22" spans="1:8" ht="15" customHeight="1" x14ac:dyDescent="0.3">
      <c r="A22" s="9">
        <v>18</v>
      </c>
      <c r="B22" s="10" t="s">
        <v>555</v>
      </c>
      <c r="C22" s="9">
        <v>11</v>
      </c>
      <c r="D22" s="9">
        <f>COUNTIFS('Replacement Analysis'!B:B,B22,'Replacement Analysis'!N:N,"KEEP")</f>
        <v>6</v>
      </c>
      <c r="E22" s="9">
        <f>COUNTIFS('Replacement Analysis'!B:B,B22,'Replacement Analysis'!N:N,"MONITOR")</f>
        <v>0</v>
      </c>
      <c r="F22" s="9">
        <f>COUNTIFS('Replacement Analysis'!B:B,B22,'Replacement Analysis'!N:N,"REPLACE")</f>
        <v>5</v>
      </c>
      <c r="G22" s="158">
        <f>SUMIFS('Replacement Analysis'!H:H,'Replacement Analysis'!B:B,B22,'Replacement Analysis'!N:N,"REPLACE")</f>
        <v>1.65</v>
      </c>
      <c r="H22" s="158">
        <f>SUMIFS('Replacement Analysis'!I:I,'Replacement Analysis'!B:B,B22,'Replacement Analysis'!N:N,"REPLACE")</f>
        <v>55</v>
      </c>
    </row>
    <row r="23" spans="1:8" ht="15" customHeight="1" x14ac:dyDescent="0.3">
      <c r="A23" s="9">
        <v>19</v>
      </c>
      <c r="B23" s="10" t="s">
        <v>589</v>
      </c>
      <c r="C23" s="9">
        <v>13</v>
      </c>
      <c r="D23" s="9">
        <f>COUNTIFS('Replacement Analysis'!B:B,B23,'Replacement Analysis'!N:N,"KEEP")</f>
        <v>5</v>
      </c>
      <c r="E23" s="9">
        <f>COUNTIFS('Replacement Analysis'!B:B,B23,'Replacement Analysis'!N:N,"MONITOR")</f>
        <v>4</v>
      </c>
      <c r="F23" s="9">
        <f>COUNTIFS('Replacement Analysis'!B:B,B23,'Replacement Analysis'!N:N,"REPLACE")</f>
        <v>4</v>
      </c>
      <c r="G23" s="158">
        <f>SUMIFS('Replacement Analysis'!H:H,'Replacement Analysis'!B:B,B23,'Replacement Analysis'!N:N,"REPLACE")</f>
        <v>2.145</v>
      </c>
      <c r="H23" s="158">
        <f>SUMIFS('Replacement Analysis'!I:I,'Replacement Analysis'!B:B,B23,'Replacement Analysis'!N:N,"REPLACE")</f>
        <v>26</v>
      </c>
    </row>
    <row r="24" spans="1:8" ht="15" customHeight="1" x14ac:dyDescent="0.3">
      <c r="A24" s="9">
        <v>20</v>
      </c>
      <c r="B24" s="10" t="s">
        <v>625</v>
      </c>
      <c r="C24" s="9">
        <v>88</v>
      </c>
      <c r="D24" s="9">
        <f>COUNTIFS('Replacement Analysis'!B:B,B24,'Replacement Analysis'!N:N,"KEEP")</f>
        <v>58</v>
      </c>
      <c r="E24" s="9">
        <f>COUNTIFS('Replacement Analysis'!B:B,B24,'Replacement Analysis'!N:N,"MONITOR")</f>
        <v>13</v>
      </c>
      <c r="F24" s="9">
        <f>COUNTIFS('Replacement Analysis'!B:B,B24,'Replacement Analysis'!N:N,"REPLACE")</f>
        <v>17</v>
      </c>
      <c r="G24" s="158">
        <f>SUMIFS('Replacement Analysis'!H:H,'Replacement Analysis'!B:B,B24,'Replacement Analysis'!N:N,"REPLACE")</f>
        <v>26.88000000000001</v>
      </c>
      <c r="H24" s="158">
        <f>SUMIFS('Replacement Analysis'!I:I,'Replacement Analysis'!B:B,B24,'Replacement Analysis'!N:N,"REPLACE")</f>
        <v>272</v>
      </c>
    </row>
    <row r="25" spans="1:8" ht="15" customHeight="1" x14ac:dyDescent="0.3">
      <c r="A25" s="9">
        <v>21</v>
      </c>
      <c r="B25" s="10" t="s">
        <v>809</v>
      </c>
      <c r="C25" s="9">
        <v>6</v>
      </c>
      <c r="D25" s="9">
        <f>COUNTIFS('Replacement Analysis'!B:B,B25,'Replacement Analysis'!N:N,"KEEP")</f>
        <v>4</v>
      </c>
      <c r="E25" s="9">
        <f>COUNTIFS('Replacement Analysis'!B:B,B25,'Replacement Analysis'!N:N,"MONITOR")</f>
        <v>0</v>
      </c>
      <c r="F25" s="9">
        <f>COUNTIFS('Replacement Analysis'!B:B,B25,'Replacement Analysis'!N:N,"REPLACE")</f>
        <v>2</v>
      </c>
      <c r="G25" s="158">
        <f>SUMIFS('Replacement Analysis'!H:H,'Replacement Analysis'!B:B,B25,'Replacement Analysis'!N:N,"REPLACE")</f>
        <v>0.3</v>
      </c>
      <c r="H25" s="158">
        <f>SUMIFS('Replacement Analysis'!I:I,'Replacement Analysis'!B:B,B25,'Replacement Analysis'!N:N,"REPLACE")</f>
        <v>5</v>
      </c>
    </row>
    <row r="26" spans="1:8" ht="15" customHeight="1" x14ac:dyDescent="0.3">
      <c r="A26" s="9">
        <v>22</v>
      </c>
      <c r="B26" s="10" t="s">
        <v>814</v>
      </c>
      <c r="C26" s="9">
        <v>3</v>
      </c>
      <c r="D26" s="9">
        <f>COUNTIFS('Replacement Analysis'!B:B,B26,'Replacement Analysis'!N:N,"KEEP")</f>
        <v>0</v>
      </c>
      <c r="E26" s="9">
        <f>COUNTIFS('Replacement Analysis'!B:B,B26,'Replacement Analysis'!N:N,"MONITOR")</f>
        <v>0</v>
      </c>
      <c r="F26" s="9">
        <f>COUNTIFS('Replacement Analysis'!B:B,B26,'Replacement Analysis'!N:N,"REPLACE")</f>
        <v>3</v>
      </c>
      <c r="G26" s="158">
        <f>SUMIFS('Replacement Analysis'!H:H,'Replacement Analysis'!B:B,B26,'Replacement Analysis'!N:N,"REPLACE")</f>
        <v>0.94500000000000006</v>
      </c>
      <c r="H26" s="158">
        <f>SUMIFS('Replacement Analysis'!I:I,'Replacement Analysis'!B:B,B26,'Replacement Analysis'!N:N,"REPLACE")</f>
        <v>13.5</v>
      </c>
    </row>
    <row r="27" spans="1:8" ht="15" customHeight="1" x14ac:dyDescent="0.3">
      <c r="A27" s="9">
        <v>23</v>
      </c>
      <c r="B27" s="10" t="s">
        <v>818</v>
      </c>
      <c r="C27" s="9">
        <v>6</v>
      </c>
      <c r="D27" s="9">
        <f>COUNTIFS('Replacement Analysis'!B:B,B27,'Replacement Analysis'!N:N,"KEEP")</f>
        <v>0</v>
      </c>
      <c r="E27" s="9">
        <f>COUNTIFS('Replacement Analysis'!B:B,B27,'Replacement Analysis'!N:N,"MONITOR")</f>
        <v>0</v>
      </c>
      <c r="F27" s="9">
        <f>COUNTIFS('Replacement Analysis'!B:B,B27,'Replacement Analysis'!N:N,"REPLACE")</f>
        <v>6</v>
      </c>
      <c r="G27" s="158">
        <f>SUMIFS('Replacement Analysis'!H:H,'Replacement Analysis'!B:B,B27,'Replacement Analysis'!N:N,"REPLACE")</f>
        <v>2.16</v>
      </c>
      <c r="H27" s="158">
        <f>SUMIFS('Replacement Analysis'!I:I,'Replacement Analysis'!B:B,B27,'Replacement Analysis'!N:N,"REPLACE")</f>
        <v>54</v>
      </c>
    </row>
    <row r="28" spans="1:8" ht="15" customHeight="1" x14ac:dyDescent="0.3">
      <c r="A28" s="9">
        <v>24</v>
      </c>
      <c r="B28" s="10" t="s">
        <v>834</v>
      </c>
      <c r="C28" s="9">
        <v>41</v>
      </c>
      <c r="D28" s="9">
        <f>COUNTIFS('Replacement Analysis'!B:B,B28,'Replacement Analysis'!N:N,"KEEP")</f>
        <v>12</v>
      </c>
      <c r="E28" s="9">
        <f>COUNTIFS('Replacement Analysis'!B:B,B28,'Replacement Analysis'!N:N,"MONITOR")</f>
        <v>12</v>
      </c>
      <c r="F28" s="9">
        <f>COUNTIFS('Replacement Analysis'!B:B,B28,'Replacement Analysis'!N:N,"REPLACE")</f>
        <v>17</v>
      </c>
      <c r="G28" s="158">
        <f>SUMIFS('Replacement Analysis'!H:H,'Replacement Analysis'!B:B,B28,'Replacement Analysis'!N:N,"REPLACE")</f>
        <v>43.784999999999997</v>
      </c>
      <c r="H28" s="158">
        <f>SUMIFS('Replacement Analysis'!I:I,'Replacement Analysis'!B:B,B28,'Replacement Analysis'!N:N,"REPLACE")</f>
        <v>627.90000000000009</v>
      </c>
    </row>
    <row r="29" spans="1:8" ht="15" customHeight="1" x14ac:dyDescent="0.3">
      <c r="A29" s="9">
        <v>25</v>
      </c>
      <c r="B29" s="10" t="s">
        <v>908</v>
      </c>
      <c r="C29" s="9">
        <v>19</v>
      </c>
      <c r="D29" s="9">
        <f>COUNTIFS('Replacement Analysis'!B:B,B29,'Replacement Analysis'!N:N,"KEEP")</f>
        <v>1</v>
      </c>
      <c r="E29" s="9">
        <f>COUNTIFS('Replacement Analysis'!B:B,B29,'Replacement Analysis'!N:N,"MONITOR")</f>
        <v>0</v>
      </c>
      <c r="F29" s="9">
        <f>COUNTIFS('Replacement Analysis'!B:B,B29,'Replacement Analysis'!N:N,"REPLACE")</f>
        <v>18</v>
      </c>
      <c r="G29" s="158">
        <f>SUMIFS('Replacement Analysis'!H:H,'Replacement Analysis'!B:B,B29,'Replacement Analysis'!N:N,"REPLACE")</f>
        <v>8.2800000000000029</v>
      </c>
      <c r="H29" s="158">
        <f>SUMIFS('Replacement Analysis'!I:I,'Replacement Analysis'!B:B,B29,'Replacement Analysis'!N:N,"REPLACE")</f>
        <v>216</v>
      </c>
    </row>
    <row r="30" spans="1:8" ht="15" customHeight="1" x14ac:dyDescent="0.3">
      <c r="A30" s="9">
        <v>26</v>
      </c>
      <c r="B30" s="10" t="s">
        <v>945</v>
      </c>
      <c r="C30" s="9">
        <v>12</v>
      </c>
      <c r="D30" s="9">
        <f>COUNTIFS('Replacement Analysis'!B:B,B30,'Replacement Analysis'!N:N,"KEEP")</f>
        <v>0</v>
      </c>
      <c r="E30" s="9">
        <f>COUNTIFS('Replacement Analysis'!B:B,B30,'Replacement Analysis'!N:N,"MONITOR")</f>
        <v>4</v>
      </c>
      <c r="F30" s="9">
        <f>COUNTIFS('Replacement Analysis'!B:B,B30,'Replacement Analysis'!N:N,"REPLACE")</f>
        <v>8</v>
      </c>
      <c r="G30" s="158">
        <f>SUMIFS('Replacement Analysis'!H:H,'Replacement Analysis'!B:B,B30,'Replacement Analysis'!N:N,"REPLACE")</f>
        <v>2.145</v>
      </c>
      <c r="H30" s="158">
        <f>SUMIFS('Replacement Analysis'!I:I,'Replacement Analysis'!B:B,B30,'Replacement Analysis'!N:N,"REPLACE")</f>
        <v>44</v>
      </c>
    </row>
    <row r="31" spans="1:8" ht="15" customHeight="1" x14ac:dyDescent="0.3">
      <c r="A31" s="9">
        <v>27</v>
      </c>
      <c r="B31" s="10" t="s">
        <v>974</v>
      </c>
      <c r="C31" s="9">
        <v>53</v>
      </c>
      <c r="D31" s="9">
        <f>COUNTIFS('Replacement Analysis'!B:B,B31,'Replacement Analysis'!N:N,"KEEP")</f>
        <v>10</v>
      </c>
      <c r="E31" s="9">
        <f>COUNTIFS('Replacement Analysis'!B:B,B31,'Replacement Analysis'!N:N,"MONITOR")</f>
        <v>12</v>
      </c>
      <c r="F31" s="9">
        <f>COUNTIFS('Replacement Analysis'!B:B,B31,'Replacement Analysis'!N:N,"REPLACE")</f>
        <v>31</v>
      </c>
      <c r="G31" s="158">
        <f>SUMIFS('Replacement Analysis'!H:H,'Replacement Analysis'!B:B,B31,'Replacement Analysis'!N:N,"REPLACE")</f>
        <v>0.62099999999999989</v>
      </c>
      <c r="H31" s="158">
        <f>SUMIFS('Replacement Analysis'!I:I,'Replacement Analysis'!B:B,B31,'Replacement Analysis'!N:N,"REPLACE")</f>
        <v>13.949999999999992</v>
      </c>
    </row>
    <row r="32" spans="1:8" ht="15" customHeight="1" x14ac:dyDescent="0.3">
      <c r="A32" s="9">
        <v>28</v>
      </c>
      <c r="B32" s="10" t="s">
        <v>1061</v>
      </c>
      <c r="C32" s="9">
        <v>10</v>
      </c>
      <c r="D32" s="9">
        <f>COUNTIFS('Replacement Analysis'!B:B,B32,'Replacement Analysis'!N:N,"KEEP")</f>
        <v>4</v>
      </c>
      <c r="E32" s="9">
        <f>COUNTIFS('Replacement Analysis'!B:B,B32,'Replacement Analysis'!N:N,"MONITOR")</f>
        <v>0</v>
      </c>
      <c r="F32" s="9">
        <f>COUNTIFS('Replacement Analysis'!B:B,B32,'Replacement Analysis'!N:N,"REPLACE")</f>
        <v>6</v>
      </c>
      <c r="G32" s="158">
        <f>SUMIFS('Replacement Analysis'!H:H,'Replacement Analysis'!B:B,B32,'Replacement Analysis'!N:N,"REPLACE")</f>
        <v>1.1700000000000002</v>
      </c>
      <c r="H32" s="158">
        <f>SUMIFS('Replacement Analysis'!I:I,'Replacement Analysis'!B:B,B32,'Replacement Analysis'!N:N,"REPLACE")</f>
        <v>39</v>
      </c>
    </row>
    <row r="33" spans="1:8" ht="15" customHeight="1" x14ac:dyDescent="0.3">
      <c r="A33" s="9">
        <v>29</v>
      </c>
      <c r="B33" s="10" t="s">
        <v>1076</v>
      </c>
      <c r="C33" s="9">
        <v>3</v>
      </c>
      <c r="D33" s="9">
        <f>COUNTIFS('Replacement Analysis'!B:B,B33,'Replacement Analysis'!N:N,"KEEP")</f>
        <v>0</v>
      </c>
      <c r="E33" s="9">
        <f>COUNTIFS('Replacement Analysis'!B:B,B33,'Replacement Analysis'!N:N,"MONITOR")</f>
        <v>0</v>
      </c>
      <c r="F33" s="9">
        <f>COUNTIFS('Replacement Analysis'!B:B,B33,'Replacement Analysis'!N:N,"REPLACE")</f>
        <v>3</v>
      </c>
      <c r="G33" s="158">
        <f>SUMIFS('Replacement Analysis'!H:H,'Replacement Analysis'!B:B,B33,'Replacement Analysis'!N:N,"REPLACE")</f>
        <v>1.08</v>
      </c>
      <c r="H33" s="158">
        <f>SUMIFS('Replacement Analysis'!I:I,'Replacement Analysis'!B:B,B33,'Replacement Analysis'!N:N,"REPLACE")</f>
        <v>36</v>
      </c>
    </row>
    <row r="34" spans="1:8" ht="15" customHeight="1" x14ac:dyDescent="0.3">
      <c r="A34" s="40"/>
      <c r="B34" s="41" t="s">
        <v>1674</v>
      </c>
      <c r="C34" s="8">
        <f t="shared" ref="C34:H34" si="0">SUM(C5:C33)</f>
        <v>518</v>
      </c>
      <c r="D34" s="8">
        <f t="shared" si="0"/>
        <v>182</v>
      </c>
      <c r="E34" s="8">
        <f t="shared" si="0"/>
        <v>104</v>
      </c>
      <c r="F34" s="8">
        <f t="shared" si="0"/>
        <v>232</v>
      </c>
      <c r="G34" s="162">
        <f t="shared" si="0"/>
        <v>219.12600000000006</v>
      </c>
      <c r="H34" s="162">
        <f t="shared" si="0"/>
        <v>4055.35</v>
      </c>
    </row>
  </sheetData>
  <mergeCells count="2">
    <mergeCell ref="A2:H2"/>
    <mergeCell ref="A1:H1"/>
  </mergeCells>
  <conditionalFormatting sqref="D5:D33">
    <cfRule type="expression" dxfId="2" priority="2">
      <formula>D5&gt;0</formula>
    </cfRule>
  </conditionalFormatting>
  <conditionalFormatting sqref="E5:E33">
    <cfRule type="expression" dxfId="1" priority="3">
      <formula>E5&gt;0</formula>
    </cfRule>
  </conditionalFormatting>
  <conditionalFormatting sqref="F5:F33">
    <cfRule type="expression" dxfId="0" priority="4">
      <formula>F5&gt;0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26"/>
  <sheetViews>
    <sheetView zoomScaleNormal="100" workbookViewId="0">
      <pane ySplit="5" topLeftCell="A12" activePane="bottomLeft" state="frozen"/>
      <selection pane="bottomLeft"/>
    </sheetView>
  </sheetViews>
  <sheetFormatPr defaultColWidth="8.6640625" defaultRowHeight="14.4" x14ac:dyDescent="0.3"/>
  <cols>
    <col min="1" max="1" width="5.5546875" customWidth="1"/>
    <col min="2" max="2" width="13.88671875" customWidth="1"/>
    <col min="3" max="3" width="13" customWidth="1"/>
    <col min="4" max="4" width="24.109375" customWidth="1"/>
    <col min="5" max="6" width="16.6640625" customWidth="1"/>
    <col min="7" max="7" width="9.21875" customWidth="1"/>
    <col min="8" max="8" width="16.6640625" customWidth="1"/>
    <col min="9" max="9" width="24.109375" customWidth="1"/>
    <col min="10" max="10" width="22.21875" customWidth="1"/>
    <col min="11" max="11" width="18.5546875" customWidth="1"/>
    <col min="12" max="12" width="7.44140625" customWidth="1"/>
    <col min="13" max="13" width="24.109375" hidden="1" customWidth="1"/>
    <col min="14" max="14" width="1.44140625" hidden="1" customWidth="1"/>
    <col min="15" max="15" width="20.33203125" hidden="1" customWidth="1"/>
    <col min="16" max="16" width="42.5546875" hidden="1" customWidth="1"/>
  </cols>
  <sheetData>
    <row r="1" spans="1:16" ht="30" customHeight="1" x14ac:dyDescent="0.4">
      <c r="A1" s="215" t="s">
        <v>2857</v>
      </c>
      <c r="B1" s="186"/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6"/>
      <c r="O1" s="186"/>
      <c r="P1" s="186"/>
    </row>
    <row r="2" spans="1:16" ht="24" customHeight="1" x14ac:dyDescent="0.35">
      <c r="A2" s="217" t="s">
        <v>2858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</row>
    <row r="3" spans="1:16" ht="18" customHeight="1" x14ac:dyDescent="0.3">
      <c r="A3" s="216"/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</row>
    <row r="4" spans="1:16" ht="7.5" customHeight="1" x14ac:dyDescent="0.3"/>
    <row r="5" spans="1:16" ht="21.75" customHeight="1" x14ac:dyDescent="0.3">
      <c r="A5" s="163" t="s">
        <v>2</v>
      </c>
      <c r="B5" s="163" t="s">
        <v>2859</v>
      </c>
      <c r="C5" s="163" t="s">
        <v>5</v>
      </c>
      <c r="D5" s="163" t="s">
        <v>3</v>
      </c>
      <c r="E5" s="163" t="s">
        <v>1677</v>
      </c>
      <c r="F5" s="163" t="s">
        <v>1344</v>
      </c>
      <c r="G5" s="163" t="s">
        <v>7</v>
      </c>
      <c r="H5" s="163" t="s">
        <v>1236</v>
      </c>
      <c r="I5" s="163" t="s">
        <v>2860</v>
      </c>
      <c r="J5" s="163" t="s">
        <v>2861</v>
      </c>
      <c r="K5" s="163" t="s">
        <v>2862</v>
      </c>
      <c r="L5" s="163" t="s">
        <v>2863</v>
      </c>
      <c r="M5" s="163" t="s">
        <v>2864</v>
      </c>
      <c r="O5" s="164" t="s">
        <v>2865</v>
      </c>
    </row>
    <row r="6" spans="1:16" ht="21.75" customHeight="1" x14ac:dyDescent="0.3">
      <c r="A6" s="165">
        <v>1</v>
      </c>
      <c r="B6" s="166" t="s">
        <v>80</v>
      </c>
      <c r="C6" s="167" t="s">
        <v>79</v>
      </c>
      <c r="D6" s="167" t="s">
        <v>19</v>
      </c>
      <c r="E6" s="167" t="s">
        <v>1691</v>
      </c>
      <c r="F6" s="167" t="s">
        <v>1695</v>
      </c>
      <c r="G6" s="165">
        <v>2002</v>
      </c>
      <c r="H6" s="165" t="s">
        <v>2154</v>
      </c>
      <c r="I6" s="167" t="s">
        <v>2164</v>
      </c>
      <c r="J6" s="165" t="s">
        <v>195</v>
      </c>
      <c r="K6" s="165" t="s">
        <v>195</v>
      </c>
      <c r="L6" s="165" t="s">
        <v>2139</v>
      </c>
      <c r="M6" s="168">
        <v>6300000</v>
      </c>
      <c r="O6" s="169"/>
    </row>
    <row r="7" spans="1:16" ht="21.75" customHeight="1" x14ac:dyDescent="0.3">
      <c r="A7" s="170">
        <v>2</v>
      </c>
      <c r="B7" s="171" t="s">
        <v>84</v>
      </c>
      <c r="C7" s="172" t="s">
        <v>83</v>
      </c>
      <c r="D7" s="172" t="s">
        <v>19</v>
      </c>
      <c r="E7" s="172" t="s">
        <v>1691</v>
      </c>
      <c r="F7" s="172" t="s">
        <v>1696</v>
      </c>
      <c r="G7" s="170">
        <v>1999</v>
      </c>
      <c r="H7" s="170" t="s">
        <v>2154</v>
      </c>
      <c r="I7" s="172" t="s">
        <v>2161</v>
      </c>
      <c r="J7" s="170" t="s">
        <v>195</v>
      </c>
      <c r="K7" s="170" t="s">
        <v>2162</v>
      </c>
      <c r="L7" s="170" t="s">
        <v>2139</v>
      </c>
      <c r="M7" s="173">
        <v>5200000</v>
      </c>
      <c r="O7" s="169"/>
    </row>
    <row r="8" spans="1:16" ht="21.75" customHeight="1" x14ac:dyDescent="0.3">
      <c r="A8" s="165">
        <v>3</v>
      </c>
      <c r="B8" s="166" t="s">
        <v>803</v>
      </c>
      <c r="C8" s="167" t="s">
        <v>802</v>
      </c>
      <c r="D8" s="167" t="s">
        <v>625</v>
      </c>
      <c r="E8" s="167" t="s">
        <v>1716</v>
      </c>
      <c r="F8" s="167" t="s">
        <v>1874</v>
      </c>
      <c r="G8" s="165">
        <v>2003</v>
      </c>
      <c r="H8" s="165" t="s">
        <v>2499</v>
      </c>
      <c r="I8" s="167" t="s">
        <v>195</v>
      </c>
      <c r="J8" s="165" t="s">
        <v>195</v>
      </c>
      <c r="K8" s="165" t="s">
        <v>195</v>
      </c>
      <c r="L8" s="165" t="s">
        <v>2139</v>
      </c>
      <c r="M8" s="168">
        <v>2800000</v>
      </c>
      <c r="O8" s="169"/>
    </row>
    <row r="9" spans="1:16" ht="21.75" customHeight="1" x14ac:dyDescent="0.3">
      <c r="A9" s="170">
        <v>4</v>
      </c>
      <c r="B9" s="171" t="s">
        <v>805</v>
      </c>
      <c r="C9" s="172" t="s">
        <v>804</v>
      </c>
      <c r="D9" s="172" t="s">
        <v>625</v>
      </c>
      <c r="E9" s="172" t="s">
        <v>1716</v>
      </c>
      <c r="F9" s="172" t="s">
        <v>1874</v>
      </c>
      <c r="G9" s="170">
        <v>2003</v>
      </c>
      <c r="H9" s="170" t="s">
        <v>2499</v>
      </c>
      <c r="I9" s="172" t="s">
        <v>195</v>
      </c>
      <c r="J9" s="170" t="s">
        <v>195</v>
      </c>
      <c r="K9" s="170" t="s">
        <v>195</v>
      </c>
      <c r="L9" s="170" t="s">
        <v>2139</v>
      </c>
      <c r="M9" s="173">
        <v>3200000</v>
      </c>
      <c r="O9" s="169"/>
    </row>
    <row r="10" spans="1:16" ht="21.75" customHeight="1" x14ac:dyDescent="0.3">
      <c r="A10" s="165">
        <v>5</v>
      </c>
      <c r="B10" s="166" t="s">
        <v>807</v>
      </c>
      <c r="C10" s="167" t="s">
        <v>2866</v>
      </c>
      <c r="D10" s="167" t="s">
        <v>2867</v>
      </c>
      <c r="E10" s="167" t="s">
        <v>1716</v>
      </c>
      <c r="F10" s="167" t="s">
        <v>1874</v>
      </c>
      <c r="G10" s="165">
        <v>2003</v>
      </c>
      <c r="H10" s="165" t="s">
        <v>2868</v>
      </c>
      <c r="I10" s="167" t="s">
        <v>195</v>
      </c>
      <c r="J10" s="165" t="s">
        <v>195</v>
      </c>
      <c r="K10" s="165" t="s">
        <v>195</v>
      </c>
      <c r="L10" s="165" t="s">
        <v>2139</v>
      </c>
      <c r="M10" s="168">
        <v>2800000</v>
      </c>
      <c r="O10" s="169"/>
    </row>
    <row r="11" spans="1:16" ht="21.75" customHeight="1" x14ac:dyDescent="0.3">
      <c r="A11" s="170">
        <v>6</v>
      </c>
      <c r="B11" s="171" t="s">
        <v>743</v>
      </c>
      <c r="C11" s="167" t="s">
        <v>742</v>
      </c>
      <c r="D11" s="172" t="s">
        <v>2498</v>
      </c>
      <c r="E11" s="172" t="s">
        <v>1711</v>
      </c>
      <c r="F11" s="172" t="s">
        <v>1866</v>
      </c>
      <c r="G11" s="170">
        <v>2011</v>
      </c>
      <c r="H11" s="170" t="s">
        <v>2499</v>
      </c>
      <c r="I11" s="172" t="s">
        <v>195</v>
      </c>
      <c r="J11" s="170" t="s">
        <v>195</v>
      </c>
      <c r="K11" s="170" t="s">
        <v>195</v>
      </c>
      <c r="L11" s="174" t="s">
        <v>2869</v>
      </c>
      <c r="M11" s="173">
        <v>4500000</v>
      </c>
      <c r="O11" s="169"/>
    </row>
    <row r="12" spans="1:16" ht="21.75" customHeight="1" x14ac:dyDescent="0.3">
      <c r="A12" s="165">
        <v>7</v>
      </c>
      <c r="B12" s="166" t="s">
        <v>783</v>
      </c>
      <c r="C12" s="167" t="s">
        <v>782</v>
      </c>
      <c r="D12" s="167" t="s">
        <v>2498</v>
      </c>
      <c r="E12" s="167" t="s">
        <v>2870</v>
      </c>
      <c r="F12" s="167" t="s">
        <v>1871</v>
      </c>
      <c r="G12" s="165">
        <v>2011</v>
      </c>
      <c r="H12" s="165" t="s">
        <v>2499</v>
      </c>
      <c r="I12" s="167" t="s">
        <v>195</v>
      </c>
      <c r="J12" s="165" t="s">
        <v>195</v>
      </c>
      <c r="K12" s="165" t="s">
        <v>195</v>
      </c>
      <c r="L12" s="175" t="s">
        <v>2869</v>
      </c>
      <c r="M12" s="168">
        <v>5500000</v>
      </c>
      <c r="O12" s="169"/>
    </row>
    <row r="13" spans="1:16" ht="21.75" customHeight="1" x14ac:dyDescent="0.3">
      <c r="A13" s="170">
        <v>8</v>
      </c>
      <c r="B13" s="171" t="s">
        <v>800</v>
      </c>
      <c r="C13" s="167" t="s">
        <v>799</v>
      </c>
      <c r="D13" s="172" t="s">
        <v>2498</v>
      </c>
      <c r="E13" s="172" t="s">
        <v>1716</v>
      </c>
      <c r="F13" s="172" t="s">
        <v>1874</v>
      </c>
      <c r="G13" s="170">
        <v>2006</v>
      </c>
      <c r="H13" s="170" t="s">
        <v>2499</v>
      </c>
      <c r="I13" s="172" t="s">
        <v>195</v>
      </c>
      <c r="J13" s="170" t="s">
        <v>195</v>
      </c>
      <c r="K13" s="170" t="s">
        <v>195</v>
      </c>
      <c r="L13" s="170" t="s">
        <v>2139</v>
      </c>
      <c r="M13" s="173">
        <v>1750000</v>
      </c>
      <c r="O13" s="169"/>
    </row>
    <row r="14" spans="1:16" ht="21.75" customHeight="1" x14ac:dyDescent="0.3">
      <c r="A14" s="165">
        <v>9</v>
      </c>
      <c r="B14" s="166" t="s">
        <v>797</v>
      </c>
      <c r="C14" s="167" t="s">
        <v>796</v>
      </c>
      <c r="D14" s="167" t="s">
        <v>2498</v>
      </c>
      <c r="E14" s="167" t="s">
        <v>2870</v>
      </c>
      <c r="F14" s="167">
        <v>20.16</v>
      </c>
      <c r="G14" s="165">
        <v>2007</v>
      </c>
      <c r="H14" s="165" t="s">
        <v>2499</v>
      </c>
      <c r="I14" s="167" t="s">
        <v>195</v>
      </c>
      <c r="J14" s="165" t="s">
        <v>195</v>
      </c>
      <c r="K14" s="165" t="s">
        <v>195</v>
      </c>
      <c r="L14" s="165" t="s">
        <v>2139</v>
      </c>
      <c r="M14" s="168">
        <v>3500000</v>
      </c>
      <c r="O14" s="176"/>
    </row>
    <row r="15" spans="1:16" ht="21.75" customHeight="1" x14ac:dyDescent="0.3">
      <c r="A15" s="177">
        <v>10</v>
      </c>
      <c r="B15" s="171" t="s">
        <v>794</v>
      </c>
      <c r="C15" s="178" t="s">
        <v>793</v>
      </c>
      <c r="D15" s="178" t="s">
        <v>2498</v>
      </c>
      <c r="E15" s="178" t="s">
        <v>1716</v>
      </c>
      <c r="F15" s="178" t="s">
        <v>1869</v>
      </c>
      <c r="G15" s="177">
        <v>2010</v>
      </c>
      <c r="H15" s="177" t="s">
        <v>2502</v>
      </c>
      <c r="I15" s="178" t="s">
        <v>195</v>
      </c>
      <c r="J15" s="177" t="s">
        <v>195</v>
      </c>
      <c r="K15" s="177" t="s">
        <v>195</v>
      </c>
      <c r="L15" s="177" t="s">
        <v>2139</v>
      </c>
      <c r="M15" s="179">
        <v>6550000</v>
      </c>
      <c r="N15" s="178"/>
      <c r="O15" s="180"/>
      <c r="P15" s="178"/>
    </row>
    <row r="16" spans="1:16" ht="21.75" customHeight="1" x14ac:dyDescent="0.3">
      <c r="A16" s="181">
        <v>11</v>
      </c>
      <c r="B16" s="166" t="s">
        <v>291</v>
      </c>
      <c r="C16" s="167" t="s">
        <v>291</v>
      </c>
      <c r="D16" s="167" t="s">
        <v>205</v>
      </c>
      <c r="E16" s="167" t="s">
        <v>1738</v>
      </c>
      <c r="F16" s="167" t="s">
        <v>1758</v>
      </c>
      <c r="G16" s="165" t="s">
        <v>195</v>
      </c>
      <c r="H16" s="165" t="s">
        <v>195</v>
      </c>
      <c r="I16" s="167" t="s">
        <v>195</v>
      </c>
      <c r="J16" s="165" t="s">
        <v>195</v>
      </c>
      <c r="K16" s="165" t="s">
        <v>195</v>
      </c>
      <c r="L16" s="165" t="s">
        <v>2139</v>
      </c>
      <c r="M16" s="168">
        <v>5500000</v>
      </c>
      <c r="O16" s="176"/>
    </row>
    <row r="17" spans="1:15" ht="21.75" customHeight="1" x14ac:dyDescent="0.3">
      <c r="A17" s="182">
        <v>12</v>
      </c>
      <c r="B17" s="166" t="s">
        <v>290</v>
      </c>
      <c r="C17" s="167" t="s">
        <v>290</v>
      </c>
      <c r="D17" s="167" t="s">
        <v>205</v>
      </c>
      <c r="E17" s="167" t="s">
        <v>1708</v>
      </c>
      <c r="F17" s="167" t="s">
        <v>1761</v>
      </c>
      <c r="G17" s="165" t="s">
        <v>195</v>
      </c>
      <c r="H17" s="165" t="s">
        <v>2306</v>
      </c>
      <c r="I17" s="167" t="s">
        <v>2307</v>
      </c>
      <c r="J17" s="165" t="s">
        <v>195</v>
      </c>
      <c r="K17" s="165" t="s">
        <v>195</v>
      </c>
      <c r="L17" s="165" t="s">
        <v>2139</v>
      </c>
      <c r="M17" s="168">
        <v>8500000</v>
      </c>
      <c r="O17" s="176"/>
    </row>
    <row r="18" spans="1:15" ht="21.75" customHeight="1" x14ac:dyDescent="0.3">
      <c r="A18" s="181">
        <v>13</v>
      </c>
      <c r="B18" s="166" t="s">
        <v>295</v>
      </c>
      <c r="C18" s="167" t="s">
        <v>295</v>
      </c>
      <c r="D18" s="167" t="s">
        <v>205</v>
      </c>
      <c r="E18" s="167" t="s">
        <v>1738</v>
      </c>
      <c r="F18" s="167" t="s">
        <v>1762</v>
      </c>
      <c r="G18" s="165" t="s">
        <v>195</v>
      </c>
      <c r="H18" s="165" t="s">
        <v>195</v>
      </c>
      <c r="I18" s="167" t="s">
        <v>2308</v>
      </c>
      <c r="J18" s="165" t="s">
        <v>195</v>
      </c>
      <c r="K18" s="165" t="s">
        <v>2871</v>
      </c>
      <c r="L18" s="165" t="s">
        <v>2139</v>
      </c>
      <c r="M18" s="168">
        <v>5500000</v>
      </c>
      <c r="O18" s="176"/>
    </row>
    <row r="19" spans="1:15" ht="21.75" customHeight="1" x14ac:dyDescent="0.3">
      <c r="A19" s="182">
        <v>14</v>
      </c>
      <c r="B19" s="166" t="s">
        <v>247</v>
      </c>
      <c r="C19" s="167" t="s">
        <v>247</v>
      </c>
      <c r="D19" s="167" t="s">
        <v>205</v>
      </c>
      <c r="E19" s="167" t="s">
        <v>1700</v>
      </c>
      <c r="F19" s="167" t="s">
        <v>195</v>
      </c>
      <c r="G19" s="170">
        <v>2012</v>
      </c>
      <c r="H19" s="165" t="s">
        <v>2872</v>
      </c>
      <c r="I19" s="167" t="s">
        <v>195</v>
      </c>
      <c r="J19" s="165" t="s">
        <v>195</v>
      </c>
      <c r="K19" s="165" t="s">
        <v>195</v>
      </c>
      <c r="L19" s="165" t="s">
        <v>2139</v>
      </c>
      <c r="M19" s="168">
        <v>3500000</v>
      </c>
      <c r="O19" s="176"/>
    </row>
    <row r="20" spans="1:15" ht="21.75" customHeight="1" x14ac:dyDescent="0.3">
      <c r="A20" s="181">
        <v>15</v>
      </c>
      <c r="B20" s="166" t="s">
        <v>226</v>
      </c>
      <c r="C20" s="167" t="s">
        <v>226</v>
      </c>
      <c r="D20" s="167" t="s">
        <v>205</v>
      </c>
      <c r="E20" s="167" t="s">
        <v>195</v>
      </c>
      <c r="F20" s="167" t="s">
        <v>195</v>
      </c>
      <c r="G20" s="165">
        <v>2013</v>
      </c>
      <c r="H20" s="165" t="s">
        <v>2872</v>
      </c>
      <c r="I20" s="167" t="s">
        <v>195</v>
      </c>
      <c r="J20" s="165" t="s">
        <v>195</v>
      </c>
      <c r="K20" s="165" t="s">
        <v>195</v>
      </c>
      <c r="L20" s="165" t="s">
        <v>2139</v>
      </c>
      <c r="M20" s="168">
        <v>3000000</v>
      </c>
      <c r="O20" s="176"/>
    </row>
    <row r="21" spans="1:15" ht="14.25" hidden="1" customHeight="1" x14ac:dyDescent="0.3">
      <c r="A21" s="178" t="s">
        <v>2873</v>
      </c>
    </row>
    <row r="22" spans="1:15" ht="14.25" hidden="1" customHeight="1" x14ac:dyDescent="0.3">
      <c r="A22" s="183" t="s">
        <v>2874</v>
      </c>
    </row>
    <row r="23" spans="1:15" ht="14.25" hidden="1" customHeight="1" x14ac:dyDescent="0.3">
      <c r="A23" s="183" t="s">
        <v>2875</v>
      </c>
    </row>
    <row r="24" spans="1:15" ht="14.25" hidden="1" customHeight="1" x14ac:dyDescent="0.3">
      <c r="A24" s="183" t="s">
        <v>2876</v>
      </c>
    </row>
    <row r="25" spans="1:15" ht="14.25" hidden="1" customHeight="1" x14ac:dyDescent="0.3">
      <c r="A25" s="184" t="s">
        <v>2877</v>
      </c>
    </row>
    <row r="26" spans="1:15" ht="14.25" hidden="1" customHeight="1" x14ac:dyDescent="0.3">
      <c r="A26" s="183" t="s">
        <v>2878</v>
      </c>
    </row>
  </sheetData>
  <mergeCells count="3">
    <mergeCell ref="A1:P1"/>
    <mergeCell ref="A3:P3"/>
    <mergeCell ref="A2:P2"/>
  </mergeCells>
  <printOptions horizontalCentered="1" verticalCentered="1"/>
  <pageMargins left="0" right="0" top="0" bottom="0" header="0.511811023622047" footer="0.511811023622047"/>
  <pageSetup paperSize="9" scale="75" orientation="landscape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</vt:i4>
      </vt:variant>
    </vt:vector>
  </HeadingPairs>
  <TitlesOfParts>
    <vt:vector size="16" baseType="lpstr">
      <vt:lpstr>README</vt:lpstr>
      <vt:lpstr>Rate Card</vt:lpstr>
      <vt:lpstr>Portable Equipment Rates</vt:lpstr>
      <vt:lpstr>Fuel Rates</vt:lpstr>
      <vt:lpstr>Summary</vt:lpstr>
      <vt:lpstr>Fleet Pricing</vt:lpstr>
      <vt:lpstr>Market Research</vt:lpstr>
      <vt:lpstr>Fleet</vt:lpstr>
      <vt:lpstr>Engineering Assumptions</vt:lpstr>
      <vt:lpstr>Engineering Cost</vt:lpstr>
      <vt:lpstr>Maintenance &amp; Repair</vt:lpstr>
      <vt:lpstr>Replacement Analysis</vt:lpstr>
      <vt:lpstr>Replacement Summary</vt:lpstr>
      <vt:lpstr>For Sale</vt:lpstr>
      <vt:lpstr>'Fuel Rates'!Print_Area</vt:lpstr>
      <vt:lpstr>'Replacement Analysis'!Print_Area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cp:revision>0</cp:revision>
  <cp:lastPrinted>2026-06-12T03:34:35Z</cp:lastPrinted>
  <dcterms:created xsi:type="dcterms:W3CDTF">2026-04-21T10:30:23Z</dcterms:created>
  <dcterms:modified xsi:type="dcterms:W3CDTF">2026-06-15T06:22:42Z</dcterms:modified>
  <dc:language>en-US</dc:language>
</cp:coreProperties>
</file>