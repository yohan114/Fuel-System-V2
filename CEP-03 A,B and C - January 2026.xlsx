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ntal Price referance Documents\CEP-03\"/>
    </mc:Choice>
  </mc:AlternateContent>
  <xr:revisionPtr revIDLastSave="0" documentId="13_ncr:1_{A577E5AA-016B-485A-BC27-A03AD2AC4A0A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Machinery " sheetId="1" r:id="rId1"/>
    <sheet name="Plant expenses" sheetId="5" r:id="rId2"/>
    <sheet name="Sheet2" sheetId="7" r:id="rId3"/>
    <sheet name="Sheet1" sheetId="6" r:id="rId4"/>
    <sheet name="Data" sheetId="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#REF!</definedName>
    <definedName name="\j">#REF!</definedName>
    <definedName name="\m" localSheetId="1">#REF!</definedName>
    <definedName name="\m">#REF!</definedName>
    <definedName name="\s" localSheetId="1">#REF!</definedName>
    <definedName name="\s">#REF!</definedName>
    <definedName name="______may1" localSheetId="0" hidden="1">{#N/A,#N/A,FALSE,"MARCH"}</definedName>
    <definedName name="______may1" localSheetId="1" hidden="1">{#N/A,#N/A,FALSE,"MARCH"}</definedName>
    <definedName name="______may1" hidden="1">{#N/A,#N/A,FALSE,"MARCH"}</definedName>
    <definedName name="_____1.2" localSheetId="1">[1]BOQ!#REF!</definedName>
    <definedName name="_____1.2">[1]BOQ!#REF!</definedName>
    <definedName name="_____1.3" localSheetId="1">[1]BOQ!#REF!</definedName>
    <definedName name="_____1.3">[1]BOQ!#REF!</definedName>
    <definedName name="_____1.4" localSheetId="1">[1]BOQ!#REF!</definedName>
    <definedName name="_____1.4">[1]BOQ!#REF!</definedName>
    <definedName name="_____5A.1" localSheetId="1">[1]BOQ!#REF!</definedName>
    <definedName name="_____5A.1">[1]BOQ!#REF!</definedName>
    <definedName name="_____5A.2" localSheetId="1">[1]BOQ!#REF!</definedName>
    <definedName name="_____5A.2">[1]BOQ!#REF!</definedName>
    <definedName name="_____5A.3" localSheetId="1">[1]BOQ!#REF!</definedName>
    <definedName name="_____5A.3">[1]BOQ!#REF!</definedName>
    <definedName name="_____5B.1" localSheetId="1">[1]BOQ!#REF!</definedName>
    <definedName name="_____5B.1">[1]BOQ!#REF!</definedName>
    <definedName name="_____5B.2" localSheetId="1">[1]BOQ!#REF!</definedName>
    <definedName name="_____5B.2">[1]BOQ!#REF!</definedName>
    <definedName name="_____5B.3" localSheetId="1">[1]BOQ!#REF!</definedName>
    <definedName name="_____5B.3">[1]BOQ!#REF!</definedName>
    <definedName name="_____5B.4" localSheetId="1">[1]BOQ!#REF!</definedName>
    <definedName name="_____5B.4">[1]BOQ!#REF!</definedName>
    <definedName name="_____6.2" localSheetId="1">[1]BOQ!#REF!</definedName>
    <definedName name="_____6.2">[1]BOQ!#REF!</definedName>
    <definedName name="_____6.3" localSheetId="1">[1]BOQ!#REF!</definedName>
    <definedName name="_____6.3">[1]BOQ!#REF!</definedName>
    <definedName name="_____6.4" localSheetId="1">[1]BOQ!#REF!</definedName>
    <definedName name="_____6.4">[1]BOQ!#REF!</definedName>
    <definedName name="_____may1" localSheetId="0" hidden="1">{#N/A,#N/A,FALSE,"MARCH"}</definedName>
    <definedName name="_____may1" localSheetId="1" hidden="1">{#N/A,#N/A,FALSE,"MARCH"}</definedName>
    <definedName name="_____may1" hidden="1">{#N/A,#N/A,FALSE,"MARCH"}</definedName>
    <definedName name="____1.2" localSheetId="1">[1]BOQ!#REF!</definedName>
    <definedName name="____1.2">[1]BOQ!#REF!</definedName>
    <definedName name="____1.3" localSheetId="1">[1]BOQ!#REF!</definedName>
    <definedName name="____1.3">[1]BOQ!#REF!</definedName>
    <definedName name="____1.4" localSheetId="1">[1]BOQ!#REF!</definedName>
    <definedName name="____1.4">[1]BOQ!#REF!</definedName>
    <definedName name="____5A.1" localSheetId="1">[1]BOQ!#REF!</definedName>
    <definedName name="____5A.1">[1]BOQ!#REF!</definedName>
    <definedName name="____5A.2" localSheetId="1">[1]BOQ!#REF!</definedName>
    <definedName name="____5A.2">[1]BOQ!#REF!</definedName>
    <definedName name="____5A.3" localSheetId="1">[1]BOQ!#REF!</definedName>
    <definedName name="____5A.3">[1]BOQ!#REF!</definedName>
    <definedName name="____5B.1" localSheetId="1">[1]BOQ!#REF!</definedName>
    <definedName name="____5B.1">[1]BOQ!#REF!</definedName>
    <definedName name="____5B.2" localSheetId="1">[1]BOQ!#REF!</definedName>
    <definedName name="____5B.2">[1]BOQ!#REF!</definedName>
    <definedName name="____5B.3" localSheetId="1">[1]BOQ!#REF!</definedName>
    <definedName name="____5B.3">[1]BOQ!#REF!</definedName>
    <definedName name="____5B.4" localSheetId="1">[1]BOQ!#REF!</definedName>
    <definedName name="____5B.4">[1]BOQ!#REF!</definedName>
    <definedName name="____6.2" localSheetId="1">[1]BOQ!#REF!</definedName>
    <definedName name="____6.2">[1]BOQ!#REF!</definedName>
    <definedName name="____6.3" localSheetId="1">[1]BOQ!#REF!</definedName>
    <definedName name="____6.3">[1]BOQ!#REF!</definedName>
    <definedName name="____6.4" localSheetId="1">[1]BOQ!#REF!</definedName>
    <definedName name="____6.4">[1]BOQ!#REF!</definedName>
    <definedName name="____may1" localSheetId="0" hidden="1">{#N/A,#N/A,FALSE,"MARCH"}</definedName>
    <definedName name="____may1" localSheetId="1" hidden="1">{#N/A,#N/A,FALSE,"MARCH"}</definedName>
    <definedName name="____may1" hidden="1">{#N/A,#N/A,FALSE,"MARCH"}</definedName>
    <definedName name="___Iw65536" localSheetId="1">#REF!</definedName>
    <definedName name="___Iw65536">#REF!</definedName>
    <definedName name="___may1" localSheetId="0" hidden="1">{#N/A,#N/A,FALSE,"MARCH"}</definedName>
    <definedName name="___may1" localSheetId="1" hidden="1">{#N/A,#N/A,FALSE,"MARCH"}</definedName>
    <definedName name="___may1" hidden="1">{#N/A,#N/A,FALSE,"MARCH"}</definedName>
    <definedName name="__1.2" localSheetId="1">[1]BOQ!#REF!</definedName>
    <definedName name="__1.2">[1]BOQ!#REF!</definedName>
    <definedName name="__1.3" localSheetId="1">[1]BOQ!#REF!</definedName>
    <definedName name="__1.3">[1]BOQ!#REF!</definedName>
    <definedName name="__1.4" localSheetId="1">[1]BOQ!#REF!</definedName>
    <definedName name="__1.4">[1]BOQ!#REF!</definedName>
    <definedName name="__123Graph_ACURRENT" localSheetId="1" hidden="1">[2]FitOutConfCentre!#REF!</definedName>
    <definedName name="__123Graph_ACURRENT" hidden="1">[2]FitOutConfCentre!#REF!</definedName>
    <definedName name="__5A.1" localSheetId="1">[1]BOQ!#REF!</definedName>
    <definedName name="__5A.1">[1]BOQ!#REF!</definedName>
    <definedName name="__5A.2" localSheetId="1">[1]BOQ!#REF!</definedName>
    <definedName name="__5A.2">[1]BOQ!#REF!</definedName>
    <definedName name="__5A.3" localSheetId="1">[1]BOQ!#REF!</definedName>
    <definedName name="__5A.3">[1]BOQ!#REF!</definedName>
    <definedName name="__5B.1" localSheetId="1">[1]BOQ!#REF!</definedName>
    <definedName name="__5B.1">[1]BOQ!#REF!</definedName>
    <definedName name="__5B.2" localSheetId="1">[1]BOQ!#REF!</definedName>
    <definedName name="__5B.2">[1]BOQ!#REF!</definedName>
    <definedName name="__5B.3" localSheetId="1">[1]BOQ!#REF!</definedName>
    <definedName name="__5B.3">[1]BOQ!#REF!</definedName>
    <definedName name="__5B.4" localSheetId="1">[1]BOQ!#REF!</definedName>
    <definedName name="__5B.4">[1]BOQ!#REF!</definedName>
    <definedName name="__6.2" localSheetId="1">[1]BOQ!#REF!</definedName>
    <definedName name="__6.2">[1]BOQ!#REF!</definedName>
    <definedName name="__6.3" localSheetId="1">[1]BOQ!#REF!</definedName>
    <definedName name="__6.3">[1]BOQ!#REF!</definedName>
    <definedName name="__6.4" localSheetId="1">[1]BOQ!#REF!</definedName>
    <definedName name="__6.4">[1]BOQ!#REF!</definedName>
    <definedName name="__New1" localSheetId="1">#REF!</definedName>
    <definedName name="__New1">#REF!</definedName>
    <definedName name="__No1" localSheetId="1">#REF!</definedName>
    <definedName name="__No1">#REF!</definedName>
    <definedName name="__No2" localSheetId="1">#REF!</definedName>
    <definedName name="__No2">#REF!</definedName>
    <definedName name="__No3" localSheetId="1">#REF!</definedName>
    <definedName name="__No3">#REF!</definedName>
    <definedName name="_1.2" localSheetId="1">[1]BOQ!#REF!</definedName>
    <definedName name="_1.2">[1]BOQ!#REF!</definedName>
    <definedName name="_1.3" localSheetId="1">[1]BOQ!#REF!</definedName>
    <definedName name="_1.3">[1]BOQ!#REF!</definedName>
    <definedName name="_1.4" localSheetId="1">[1]BOQ!#REF!</definedName>
    <definedName name="_1.4">[1]BOQ!#REF!</definedName>
    <definedName name="_10_1.2" localSheetId="1">[1]BOQ!#REF!</definedName>
    <definedName name="_10_1.2">[1]BOQ!#REF!</definedName>
    <definedName name="_100_5B.4" localSheetId="1">[1]BOQ!#REF!</definedName>
    <definedName name="_100_5B.4">[1]BOQ!#REF!</definedName>
    <definedName name="_110_6.2" localSheetId="1">[1]BOQ!#REF!</definedName>
    <definedName name="_110_6.2">[1]BOQ!#REF!</definedName>
    <definedName name="_120_6.3" localSheetId="1">[1]BOQ!#REF!</definedName>
    <definedName name="_120_6.3">[1]BOQ!#REF!</definedName>
    <definedName name="_130_6.4" localSheetId="1">[1]BOQ!#REF!</definedName>
    <definedName name="_130_6.4">[1]BOQ!#REF!</definedName>
    <definedName name="_20_1.3" localSheetId="1">[1]BOQ!#REF!</definedName>
    <definedName name="_20_1.3">[1]BOQ!#REF!</definedName>
    <definedName name="_30_1.4" localSheetId="1">[1]BOQ!#REF!</definedName>
    <definedName name="_30_1.4">[1]BOQ!#REF!</definedName>
    <definedName name="_40_5A.1" localSheetId="1">[1]BOQ!#REF!</definedName>
    <definedName name="_40_5A.1">[1]BOQ!#REF!</definedName>
    <definedName name="_50_5A.2" localSheetId="1">[1]BOQ!#REF!</definedName>
    <definedName name="_50_5A.2">[1]BOQ!#REF!</definedName>
    <definedName name="_5A.1" localSheetId="1">[1]BOQ!#REF!</definedName>
    <definedName name="_5A.1">[1]BOQ!#REF!</definedName>
    <definedName name="_5A.2" localSheetId="1">[1]BOQ!#REF!</definedName>
    <definedName name="_5A.2">[1]BOQ!#REF!</definedName>
    <definedName name="_5A.3" localSheetId="1">[1]BOQ!#REF!</definedName>
    <definedName name="_5A.3">[1]BOQ!#REF!</definedName>
    <definedName name="_5B.1" localSheetId="1">[1]BOQ!#REF!</definedName>
    <definedName name="_5B.1">[1]BOQ!#REF!</definedName>
    <definedName name="_5B.2" localSheetId="1">[1]BOQ!#REF!</definedName>
    <definedName name="_5B.2">[1]BOQ!#REF!</definedName>
    <definedName name="_5B.3" localSheetId="1">[1]BOQ!#REF!</definedName>
    <definedName name="_5B.3">[1]BOQ!#REF!</definedName>
    <definedName name="_5B.4" localSheetId="1">[1]BOQ!#REF!</definedName>
    <definedName name="_5B.4">[1]BOQ!#REF!</definedName>
    <definedName name="_6.2" localSheetId="1">[1]BOQ!#REF!</definedName>
    <definedName name="_6.2">[1]BOQ!#REF!</definedName>
    <definedName name="_6.3" localSheetId="1">[1]BOQ!#REF!</definedName>
    <definedName name="_6.3">[1]BOQ!#REF!</definedName>
    <definedName name="_6.4" localSheetId="1">[1]BOQ!#REF!</definedName>
    <definedName name="_6.4">[1]BOQ!#REF!</definedName>
    <definedName name="_60_5A.3" localSheetId="1">[1]BOQ!#REF!</definedName>
    <definedName name="_60_5A.3">[1]BOQ!#REF!</definedName>
    <definedName name="_70_5B.1" localSheetId="1">[1]BOQ!#REF!</definedName>
    <definedName name="_70_5B.1">[1]BOQ!#REF!</definedName>
    <definedName name="_80_5B.2" localSheetId="1">[1]BOQ!#REF!</definedName>
    <definedName name="_80_5B.2">[1]BOQ!#REF!</definedName>
    <definedName name="_90_5B.3" localSheetId="1">[1]BOQ!#REF!</definedName>
    <definedName name="_90_5B.3">[1]BOQ!#REF!</definedName>
    <definedName name="_cntr_val" localSheetId="1">#REF!</definedName>
    <definedName name="_cntr_val">#REF!</definedName>
    <definedName name="_Fill" localSheetId="0">#REF!</definedName>
    <definedName name="_Fill" localSheetId="1">#REF!</definedName>
    <definedName name="_Fill">#REF!</definedName>
    <definedName name="_xlnm._FilterDatabase" localSheetId="1" hidden="1">#REF!</definedName>
    <definedName name="_xlnm._FilterDatabase" hidden="1">#REF!</definedName>
    <definedName name="_Iw65536" localSheetId="1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1" hidden="1">{#N/A,#N/A,FALSE,"MARCH"}</definedName>
    <definedName name="_may1" hidden="1">{#N/A,#N/A,FALSE,"MARCH"}</definedName>
    <definedName name="_MON1" localSheetId="0">#REF!</definedName>
    <definedName name="_MON1" localSheetId="1">#REF!</definedName>
    <definedName name="_MON1">#REF!</definedName>
    <definedName name="_New1" localSheetId="0">#REF!</definedName>
    <definedName name="_New1" localSheetId="1">#REF!</definedName>
    <definedName name="_New1">#REF!</definedName>
    <definedName name="_No1" localSheetId="1">#REF!</definedName>
    <definedName name="_No1">#REF!</definedName>
    <definedName name="_No2" localSheetId="1">#REF!</definedName>
    <definedName name="_No2">#REF!</definedName>
    <definedName name="_No3" localSheetId="1">#REF!</definedName>
    <definedName name="_No3">#REF!</definedName>
    <definedName name="_package">[4]Notes!$C$6</definedName>
    <definedName name="_paf" localSheetId="1">#REF!</definedName>
    <definedName name="_paf">#REF!</definedName>
    <definedName name="_pkg_no" localSheetId="0">#REF!</definedName>
    <definedName name="_pkg_no" localSheetId="1">#REF!</definedName>
    <definedName name="_pkg_no">#REF!</definedName>
    <definedName name="_title">[4]Notes!$C$2</definedName>
    <definedName name="_title_2">[4]Notes!$C$3</definedName>
    <definedName name="_vo_date" localSheetId="1">#REF!</definedName>
    <definedName name="_vo_date">#REF!</definedName>
    <definedName name="_vo_no" localSheetId="0">#REF!</definedName>
    <definedName name="_vo_no" localSheetId="1">#REF!</definedName>
    <definedName name="_vo_no">#REF!</definedName>
    <definedName name="a" localSheetId="1">#REF!</definedName>
    <definedName name="a">#REF!</definedName>
    <definedName name="aa" localSheetId="1" hidden="1">#REF!</definedName>
    <definedName name="aa" hidden="1">#REF!</definedName>
    <definedName name="AAA" localSheetId="1">#REF!</definedName>
    <definedName name="AAA">#REF!</definedName>
    <definedName name="AB" localSheetId="1">#REF!</definedName>
    <definedName name="AB">#REF!</definedName>
    <definedName name="abc" localSheetId="1">#REF!</definedName>
    <definedName name="abc">#REF!</definedName>
    <definedName name="Abut_name" localSheetId="1">#REF!</definedName>
    <definedName name="Abut_name">#REF!</definedName>
    <definedName name="Abut_name1" localSheetId="1">#REF!</definedName>
    <definedName name="Abut_name1">#REF!</definedName>
    <definedName name="AD" localSheetId="1">#REF!</definedName>
    <definedName name="AD">#REF!</definedName>
    <definedName name="AggregateBaseCourse" localSheetId="1">#REF!</definedName>
    <definedName name="AggregateBaseCourse">#REF!</definedName>
    <definedName name="ajith">[5]BOQ2!$G$579</definedName>
    <definedName name="AS" localSheetId="1">#REF!</definedName>
    <definedName name="AS">#REF!</definedName>
    <definedName name="ASASA" localSheetId="0">#REF!</definedName>
    <definedName name="ASASA" localSheetId="1">#REF!</definedName>
    <definedName name="ASASA">#REF!</definedName>
    <definedName name="ASASAS" localSheetId="1" hidden="1">#REF!</definedName>
    <definedName name="ASASAS" hidden="1">#REF!</definedName>
    <definedName name="asd" localSheetId="1">#REF!</definedName>
    <definedName name="asd">#REF!</definedName>
    <definedName name="ASE" localSheetId="1">#REF!</definedName>
    <definedName name="ASE">#REF!</definedName>
    <definedName name="AsphalticBaseCourse" localSheetId="1">#REF!</definedName>
    <definedName name="AsphalticBaseCourse">#REF!</definedName>
    <definedName name="ass.vv" localSheetId="0" hidden="1">{#N/A,#N/A,FALSE,"Abutments &amp; Pier(s)"}</definedName>
    <definedName name="ass.vv" localSheetId="1" hidden="1">{#N/A,#N/A,FALSE,"Abutments &amp; Pier(s)"}</definedName>
    <definedName name="ass.vv" hidden="1">{#N/A,#N/A,FALSE,"Abutments &amp; Pier(s)"}</definedName>
    <definedName name="ASW" localSheetId="1">#REF!</definedName>
    <definedName name="ASW">#REF!</definedName>
    <definedName name="Attendance" localSheetId="0">#REF!</definedName>
    <definedName name="Attendance" localSheetId="1">#REF!</definedName>
    <definedName name="Attendance">#REF!</definedName>
    <definedName name="Attendance1">[6]select_month!$A$1:$I$38</definedName>
    <definedName name="awsd" localSheetId="1">#REF!</definedName>
    <definedName name="awsd">#REF!</definedName>
    <definedName name="B" localSheetId="1">#REF!</definedName>
    <definedName name="B">#REF!</definedName>
    <definedName name="Basic_Salary" localSheetId="1">#REF!</definedName>
    <definedName name="Basic_Salary">#REF!</definedName>
    <definedName name="BB" localSheetId="1">#REF!</definedName>
    <definedName name="BB">#REF!</definedName>
    <definedName name="bbb" localSheetId="1">#REF!</definedName>
    <definedName name="bbb">#REF!</definedName>
    <definedName name="bill" localSheetId="1">#REF!</definedName>
    <definedName name="bill">#REF!</definedName>
    <definedName name="BIN" localSheetId="1">#REF!</definedName>
    <definedName name="BIN">#REF!</definedName>
    <definedName name="Bitumen" localSheetId="1">#REF!</definedName>
    <definedName name="Bitumen">#REF!</definedName>
    <definedName name="BOQ" localSheetId="1">#REF!</definedName>
    <definedName name="BOQ">#REF!</definedName>
    <definedName name="BR_NO" localSheetId="1">#REF!</definedName>
    <definedName name="BR_NO">#REF!</definedName>
    <definedName name="Bsalary">[6]Labor_rate!$B:$B</definedName>
    <definedName name="Category" localSheetId="1">#REF!</definedName>
    <definedName name="Category">#REF!</definedName>
    <definedName name="Category2">[6]Labor_rate!$A:$A</definedName>
    <definedName name="CatEyes" localSheetId="1">#REF!</definedName>
    <definedName name="CatEyes">#REF!</definedName>
    <definedName name="CC" localSheetId="1">#REF!</definedName>
    <definedName name="CC">#REF!</definedName>
    <definedName name="ClearingAndGrubbing" localSheetId="1">#REF!</definedName>
    <definedName name="ClearingAndGrubbing">#REF!</definedName>
    <definedName name="Code" localSheetId="1">#REF!</definedName>
    <definedName name="Code">#REF!</definedName>
    <definedName name="Con_Value" localSheetId="1">#REF!</definedName>
    <definedName name="Con_Value">#REF!</definedName>
    <definedName name="concrete" localSheetId="1">#REF!</definedName>
    <definedName name="concrete">#REF!</definedName>
    <definedName name="ConcreteClassA" localSheetId="1">#REF!</definedName>
    <definedName name="ConcreteClassA">#REF!</definedName>
    <definedName name="_xlnm.Consolidate_Area">#N/A</definedName>
    <definedName name="Country" localSheetId="1">#REF!</definedName>
    <definedName name="Country">#REF!</definedName>
    <definedName name="cover1">'[7]Basic Rates'!$C$4</definedName>
    <definedName name="_xlnm.Criteria" localSheetId="1">[8]HeavyData!#REF!</definedName>
    <definedName name="_xlnm.Criteria">[8]HeavyData!#REF!</definedName>
    <definedName name="CumulativeFinancialProgress" localSheetId="1">#REF!</definedName>
    <definedName name="CumulativeFinancialProgress">#REF!</definedName>
    <definedName name="CumulativePercentCompletion" localSheetId="1">#REF!</definedName>
    <definedName name="CumulativePercentCompletion">#REF!</definedName>
    <definedName name="D" localSheetId="1">#REF!</definedName>
    <definedName name="D">#REF!</definedName>
    <definedName name="D_Name">"ドロップ 4"</definedName>
    <definedName name="DA" localSheetId="0">#REF!</definedName>
    <definedName name="DA" localSheetId="1">#REF!</definedName>
    <definedName name="DA">#REF!</definedName>
    <definedName name="_xlnm.Database" localSheetId="0">#REF!</definedName>
    <definedName name="_xlnm.Database" localSheetId="1">#REF!</definedName>
    <definedName name="_xlnm.Database">#REF!</definedName>
    <definedName name="Daywork1" localSheetId="0" hidden="1">{#N/A,#N/A,FALSE,"MARCH"}</definedName>
    <definedName name="Daywork1" localSheetId="1" hidden="1">{#N/A,#N/A,FALSE,"MARCH"}</definedName>
    <definedName name="Daywork1" hidden="1">{#N/A,#N/A,FALSE,"MARCH"}</definedName>
    <definedName name="dc" localSheetId="1">#REF!</definedName>
    <definedName name="dc">#REF!</definedName>
    <definedName name="dd" localSheetId="0">#REF!</definedName>
    <definedName name="dd" localSheetId="1">#REF!</definedName>
    <definedName name="dd">#REF!</definedName>
    <definedName name="ddd" localSheetId="1">#REF!</definedName>
    <definedName name="ddd">#REF!</definedName>
    <definedName name="ddddd" localSheetId="1" hidden="1">#REF!</definedName>
    <definedName name="ddddd" hidden="1">#REF!</definedName>
    <definedName name="dddddfjnjnjnjnjn" localSheetId="0" hidden="1">{#N/A,#N/A,FALSE,"MARCH"}</definedName>
    <definedName name="dddddfjnjnjnjnjn" localSheetId="1" hidden="1">{#N/A,#N/A,FALSE,"MARCH"}</definedName>
    <definedName name="dddddfjnjnjnjnjn" hidden="1">{#N/A,#N/A,FALSE,"MARCH"}</definedName>
    <definedName name="DEL_ERR" localSheetId="0">#REF!</definedName>
    <definedName name="DEL_ERR" localSheetId="1">#REF!</definedName>
    <definedName name="DEL_ERR">#REF!</definedName>
    <definedName name="DEL_ERR1" localSheetId="0">#REF!</definedName>
    <definedName name="DEL_ERR1" localSheetId="1">#REF!</definedName>
    <definedName name="DEL_ERR1">#REF!</definedName>
    <definedName name="DEL_ERR2" localSheetId="0">#REF!</definedName>
    <definedName name="DEL_ERR2" localSheetId="1">#REF!</definedName>
    <definedName name="DEL_ERR2">#REF!</definedName>
    <definedName name="DEL_ERR3" localSheetId="1">#REF!</definedName>
    <definedName name="DEL_ERR3">#REF!</definedName>
    <definedName name="DEL_ROW" localSheetId="1">#REF!</definedName>
    <definedName name="DEL_ROW">#REF!</definedName>
    <definedName name="DEL_ROW_S" localSheetId="1">#REF!</definedName>
    <definedName name="DEL_ROW_S">#REF!</definedName>
    <definedName name="DELData">[9]残数量確認用!$D$4:$G$2500</definedName>
    <definedName name="dfjgopjga" localSheetId="1">#REF!</definedName>
    <definedName name="dfjgopjga">#REF!</definedName>
    <definedName name="ds" localSheetId="0" hidden="1">{#N/A,#N/A,FALSE,"MARCH"}</definedName>
    <definedName name="ds" localSheetId="1" hidden="1">{#N/A,#N/A,FALSE,"MARCH"}</definedName>
    <definedName name="ds" hidden="1">{#N/A,#N/A,FALSE,"MARCH"}</definedName>
    <definedName name="DST" localSheetId="1">#REF!</definedName>
    <definedName name="DST">#REF!</definedName>
    <definedName name="Duration" localSheetId="1">#REF!</definedName>
    <definedName name="Duration">#REF!</definedName>
    <definedName name="E" localSheetId="1">#REF!</definedName>
    <definedName name="E">#REF!</definedName>
    <definedName name="EE" localSheetId="1">#REF!</definedName>
    <definedName name="EE">#REF!</definedName>
    <definedName name="Emb108a" localSheetId="1">#REF!</definedName>
    <definedName name="Emb108a">#REF!</definedName>
    <definedName name="Emb108c" localSheetId="1">#REF!</definedName>
    <definedName name="Emb108c">#REF!</definedName>
    <definedName name="End_Bal" localSheetId="1">#REF!</definedName>
    <definedName name="End_Bal">#REF!</definedName>
    <definedName name="Equipment" localSheetId="1">#REF!</definedName>
    <definedName name="Equipment">#REF!</definedName>
    <definedName name="ERR" localSheetId="1">#REF!</definedName>
    <definedName name="ERR">#REF!</definedName>
    <definedName name="Escalation" localSheetId="1">#REF!</definedName>
    <definedName name="Escalation">#REF!</definedName>
    <definedName name="F" localSheetId="1">#REF!</definedName>
    <definedName name="F">#REF!</definedName>
    <definedName name="Factor" localSheetId="1">#REF!</definedName>
    <definedName name="Factor">#REF!</definedName>
    <definedName name="fd" localSheetId="1" hidden="1">#REF!</definedName>
    <definedName name="fd" hidden="1">#REF!</definedName>
    <definedName name="fddgbfd" localSheetId="1">#REF!</definedName>
    <definedName name="fddgbfd">#REF!</definedName>
    <definedName name="FF" localSheetId="1">#REF!</definedName>
    <definedName name="FF">#REF!</definedName>
    <definedName name="FFF" localSheetId="0" hidden="1">{#N/A,#N/A,FALSE,"MARCH"}</definedName>
    <definedName name="FFF" localSheetId="1" hidden="1">{#N/A,#N/A,FALSE,"MARCH"}</definedName>
    <definedName name="FFF" hidden="1">{#N/A,#N/A,FALSE,"MARCH"}</definedName>
    <definedName name="FOUN" localSheetId="0">#REF!</definedName>
    <definedName name="FOUN" localSheetId="1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1" hidden="1">{#N/A,#N/A,FALSE,"MARCH"}</definedName>
    <definedName name="FReport5" hidden="1">{#N/A,#N/A,FALSE,"MARCH"}</definedName>
    <definedName name="Full_Print" localSheetId="1">#REF!</definedName>
    <definedName name="Full_Print">#REF!</definedName>
    <definedName name="G" localSheetId="1">#REF!</definedName>
    <definedName name="G">#REF!</definedName>
    <definedName name="G.Total" localSheetId="1">#REF!</definedName>
    <definedName name="G.Total">#REF!</definedName>
    <definedName name="G.TTL" localSheetId="1">#REF!</definedName>
    <definedName name="G.TTL">#REF!</definedName>
    <definedName name="G_Total" localSheetId="1">#REF!</definedName>
    <definedName name="G_Total">#REF!</definedName>
    <definedName name="G_W" localSheetId="1">#REF!</definedName>
    <definedName name="G_W">#REF!</definedName>
    <definedName name="gfdfhfdhfgjhfg" localSheetId="1" hidden="1">#REF!</definedName>
    <definedName name="gfdfhfdhfgjhfg" hidden="1">#REF!</definedName>
    <definedName name="gfhgfhgfhjgfjth" localSheetId="1">#REF!</definedName>
    <definedName name="gfhgfhgfhjgfjth">#REF!</definedName>
    <definedName name="gh" localSheetId="0" hidden="1">{#N/A,#N/A,FALSE,"MARCH"}</definedName>
    <definedName name="gh" localSheetId="1" hidden="1">{#N/A,#N/A,FALSE,"MARCH"}</definedName>
    <definedName name="gh" hidden="1">{#N/A,#N/A,FALSE,"MARCH"}</definedName>
    <definedName name="GroutedRiprap" localSheetId="1">#REF!</definedName>
    <definedName name="GroutedRiprap">#REF!</definedName>
    <definedName name="GSB" localSheetId="1">#REF!</definedName>
    <definedName name="GSB">#REF!</definedName>
    <definedName name="GST" localSheetId="1">#REF!</definedName>
    <definedName name="GST">#REF!</definedName>
    <definedName name="GUI" localSheetId="1">'[11]PLT-SUM'!#REF!</definedName>
    <definedName name="GUI">'[11]PLT-SUM'!#REF!</definedName>
    <definedName name="H" localSheetId="1">#REF!</definedName>
    <definedName name="H">#REF!</definedName>
    <definedName name="haulage">'[12]Haulage(G.C.)'!$B$5:$J$117</definedName>
    <definedName name="HEAD" localSheetId="1">#REF!</definedName>
    <definedName name="HEAD">#REF!</definedName>
    <definedName name="HeadWall" localSheetId="1">#REF!</definedName>
    <definedName name="HeadWall">#REF!</definedName>
    <definedName name="HeavyList" localSheetId="1">#REF!</definedName>
    <definedName name="HeavyList">#REF!</definedName>
    <definedName name="hgh" localSheetId="1" hidden="1">#REF!</definedName>
    <definedName name="hgh" hidden="1">#REF!</definedName>
    <definedName name="HH" localSheetId="1">#REF!</definedName>
    <definedName name="HH">#REF!</definedName>
    <definedName name="hjk" localSheetId="0" hidden="1">{#N/A,#N/A,FALSE,"MARCH"}</definedName>
    <definedName name="hjk" localSheetId="1" hidden="1">{#N/A,#N/A,FALSE,"MARCH"}</definedName>
    <definedName name="hjk" hidden="1">{#N/A,#N/A,FALSE,"MARCH"}</definedName>
    <definedName name="HOCList" localSheetId="1">#REF!</definedName>
    <definedName name="HOCList">#REF!</definedName>
    <definedName name="I.D." localSheetId="1">[13]HOC!#REF!</definedName>
    <definedName name="I.D.">[13]HOC!#REF!</definedName>
    <definedName name="ijn" localSheetId="0" hidden="1">{#N/A,#N/A,FALSE,"MARCH"}</definedName>
    <definedName name="ijn" localSheetId="1" hidden="1">{#N/A,#N/A,FALSE,"MARCH"}</definedName>
    <definedName name="ijn" hidden="1">{#N/A,#N/A,FALSE,"MARCH"}</definedName>
    <definedName name="Interest_Rate" localSheetId="1">#REF!</definedName>
    <definedName name="Interest_Rate">#REF!</definedName>
    <definedName name="IPCs" localSheetId="1">#REF!</definedName>
    <definedName name="IPCs">#REF!</definedName>
    <definedName name="j" localSheetId="1">#REF!</definedName>
    <definedName name="j">#REF!</definedName>
    <definedName name="jcb">'[14]Basic Rates'!$C$57</definedName>
    <definedName name="jcbm.">'[7]Basic Rates'!$C$57</definedName>
    <definedName name="jkhjhf" localSheetId="1">#REF!</definedName>
    <definedName name="jkhjhf">#REF!</definedName>
    <definedName name="jkl">[15]Notes!$C$7</definedName>
    <definedName name="July" localSheetId="1">#REF!</definedName>
    <definedName name="July">#REF!</definedName>
    <definedName name="July05" localSheetId="0">#REF!</definedName>
    <definedName name="July05" localSheetId="1">#REF!</definedName>
    <definedName name="July05">#REF!</definedName>
    <definedName name="June" localSheetId="1">#REF!</definedName>
    <definedName name="June">#REF!</definedName>
    <definedName name="K" localSheetId="1">#REF!</definedName>
    <definedName name="K">#REF!</definedName>
    <definedName name="kgj" localSheetId="0" hidden="1">{#N/A,#N/A,FALSE,"MARCH"}</definedName>
    <definedName name="kgj" localSheetId="1" hidden="1">{#N/A,#N/A,FALSE,"MARCH"}</definedName>
    <definedName name="kgj" hidden="1">{#N/A,#N/A,FALSE,"MARCH"}</definedName>
    <definedName name="khjjhhghjjg" localSheetId="1" hidden="1">#REF!</definedName>
    <definedName name="khjjhhghjjg" hidden="1">#REF!</definedName>
    <definedName name="kij" localSheetId="0" hidden="1">{#N/A,#N/A,FALSE,"MARCH"}</definedName>
    <definedName name="kij" localSheetId="1" hidden="1">{#N/A,#N/A,FALSE,"MARCH"}</definedName>
    <definedName name="kij" hidden="1">{#N/A,#N/A,FALSE,"MARCH"}</definedName>
    <definedName name="KurFarki" localSheetId="1">#REF!</definedName>
    <definedName name="KurFarki">#REF!</definedName>
    <definedName name="L" localSheetId="1">#REF!</definedName>
    <definedName name="L">#REF!</definedName>
    <definedName name="Last_Row">#N/A</definedName>
    <definedName name="lbr">'[14]Basic Rates'!$C$4</definedName>
    <definedName name="LeanConcrete" localSheetId="1">#REF!</definedName>
    <definedName name="LeanConcrete">#REF!</definedName>
    <definedName name="LL" localSheetId="1">#REF!</definedName>
    <definedName name="LL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ump_Sum">[16]HOC!$AE$12:$AE$118</definedName>
    <definedName name="M" localSheetId="1">#REF!</definedName>
    <definedName name="M">#REF!</definedName>
    <definedName name="m3_Total" localSheetId="1">#REF!</definedName>
    <definedName name="m3_Total">#REF!</definedName>
    <definedName name="m3_TTL">[16]HOC!$Y$12:$Y$160</definedName>
    <definedName name="m3_Unit">[16]HOC!$X$12:$X$160</definedName>
    <definedName name="MAGA" localSheetId="1">#REF!</definedName>
    <definedName name="MAGA">#REF!</definedName>
    <definedName name="MaterialToBeCrushed" localSheetId="0">#REF!</definedName>
    <definedName name="MaterialToBeCrushed" localSheetId="1">#REF!</definedName>
    <definedName name="MaterialToBeCrushed">#REF!</definedName>
    <definedName name="MaterialToBeScreened" localSheetId="1">#REF!</definedName>
    <definedName name="MaterialToBeScreened">#REF!</definedName>
    <definedName name="May" localSheetId="0" hidden="1">{#N/A,#N/A,FALSE,"MARCH"}</definedName>
    <definedName name="May" localSheetId="1" hidden="1">{#N/A,#N/A,FALSE,"MARCH"}</definedName>
    <definedName name="May" hidden="1">{#N/A,#N/A,FALSE,"MARCH"}</definedName>
    <definedName name="MC_" localSheetId="1">#REF!</definedName>
    <definedName name="MC_">#REF!</definedName>
    <definedName name="MECHANICALCONDITION" localSheetId="1">'[11]PLT-SUM'!#REF!</definedName>
    <definedName name="MECHANICALCONDITION">'[11]PLT-SUM'!#REF!</definedName>
    <definedName name="MEN" localSheetId="1">#REF!</definedName>
    <definedName name="MEN">#REF!</definedName>
    <definedName name="MISC" localSheetId="0">#REF!</definedName>
    <definedName name="MISC" localSheetId="1">#REF!</definedName>
    <definedName name="MISC">#REF!</definedName>
    <definedName name="misc.">[5]BOQ2!$G$579</definedName>
    <definedName name="MISC1">[10]BOQ2!$G$579</definedName>
    <definedName name="mm" localSheetId="1">#REF!</definedName>
    <definedName name="mm">#REF!</definedName>
    <definedName name="mmm" localSheetId="1">#REF!</definedName>
    <definedName name="mmm">#REF!</definedName>
    <definedName name="MON" localSheetId="1">#REF!</definedName>
    <definedName name="MON">#REF!</definedName>
    <definedName name="Month" localSheetId="1">#REF!</definedName>
    <definedName name="Month">#REF!</definedName>
    <definedName name="Month1" localSheetId="1">#REF!</definedName>
    <definedName name="Month1">#REF!</definedName>
    <definedName name="MontlyPercentCompletion" localSheetId="1">#REF!</definedName>
    <definedName name="MontlyPercentCompletion">#REF!</definedName>
    <definedName name="MS" localSheetId="1">#REF!</definedName>
    <definedName name="MS">#REF!</definedName>
    <definedName name="Multiplier" localSheetId="1">#REF!</definedName>
    <definedName name="Multiplier">#REF!</definedName>
    <definedName name="Multiplier1" localSheetId="1">#REF!</definedName>
    <definedName name="Multiplier1">#REF!</definedName>
    <definedName name="N" localSheetId="1">#REF!</definedName>
    <definedName name="N">#REF!</definedName>
    <definedName name="N.TTL" localSheetId="1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1" hidden="1">{#N/A,#N/A,FALSE,"MARCH"}</definedName>
    <definedName name="NEW" hidden="1">{#N/A,#N/A,FALSE,"MARCH"}</definedName>
    <definedName name="NGC" localSheetId="1">#REF!</definedName>
    <definedName name="NGC">#REF!</definedName>
    <definedName name="No." localSheetId="1">#REF!</definedName>
    <definedName name="No.">#REF!</definedName>
    <definedName name="No0" localSheetId="1">#REF!</definedName>
    <definedName name="No0">#REF!</definedName>
    <definedName name="Nozzle">[16]HOC!$O$12:$O$160</definedName>
    <definedName name="October" localSheetId="1">#REF!</definedName>
    <definedName name="October">#REF!</definedName>
    <definedName name="ofd">'[3]No-edit'!$E$2:$E$3</definedName>
    <definedName name="Offdays" localSheetId="1">#REF!</definedName>
    <definedName name="Offdays">#REF!</definedName>
    <definedName name="oh" localSheetId="1">#REF!</definedName>
    <definedName name="oh">#REF!</definedName>
    <definedName name="P" localSheetId="1">#REF!</definedName>
    <definedName name="P">#REF!</definedName>
    <definedName name="P_ce">[16]HOC!$S$12:$S$160</definedName>
    <definedName name="part5" localSheetId="1">#REF!</definedName>
    <definedName name="part5">#REF!</definedName>
    <definedName name="PavementMarking" localSheetId="1">#REF!</definedName>
    <definedName name="PavementMarking">#REF!</definedName>
    <definedName name="Pce">[16]HOC!$S$12</definedName>
    <definedName name="Pier" localSheetId="1">#REF!</definedName>
    <definedName name="Pier">#REF!</definedName>
    <definedName name="PipeCulverts" localSheetId="1">#REF!</definedName>
    <definedName name="PipeCulverts">#REF!</definedName>
    <definedName name="Plant" localSheetId="1">#REF!</definedName>
    <definedName name="Plant">#REF!</definedName>
    <definedName name="Port" localSheetId="1">#REF!</definedName>
    <definedName name="Port">#REF!</definedName>
    <definedName name="Port選択">[16]HOC!$AC$2</definedName>
    <definedName name="PQR" localSheetId="1">#REF!</definedName>
    <definedName name="PQR">#REF!</definedName>
    <definedName name="pre" localSheetId="1">[1]BOQ!#REF!</definedName>
    <definedName name="pre">[1]BOQ!#REF!</definedName>
    <definedName name="PrimeCoat" localSheetId="1">#REF!</definedName>
    <definedName name="PrimeCoat">#REF!</definedName>
    <definedName name="PRINT_AREA_MI" localSheetId="1">#REF!</definedName>
    <definedName name="PRINT_AREA_MI">#REF!</definedName>
    <definedName name="Print_area3" localSheetId="0">#REF!</definedName>
    <definedName name="Print_area3" localSheetId="1">#REF!</definedName>
    <definedName name="Print_area3">#REF!</definedName>
    <definedName name="Print_Titles_MI" localSheetId="1">#REF!</definedName>
    <definedName name="Print_Titles_MI">#REF!</definedName>
    <definedName name="ProjectSchedule">[17]Schdl!$B$5:$AF$19</definedName>
    <definedName name="Q" localSheetId="1">#REF!</definedName>
    <definedName name="Q">#REF!</definedName>
    <definedName name="qqews" localSheetId="1">#REF!</definedName>
    <definedName name="qqews">#REF!</definedName>
    <definedName name="QQQQQ" localSheetId="0" hidden="1">{#N/A,#N/A,FALSE,"Abutments &amp; Pier(s)"}</definedName>
    <definedName name="QQQQQ" localSheetId="1" hidden="1">{#N/A,#N/A,FALSE,"Abutments &amp; Pier(s)"}</definedName>
    <definedName name="QQQQQ" hidden="1">{#N/A,#N/A,FALSE,"Abutments &amp; Pier(s)"}</definedName>
    <definedName name="QTY" localSheetId="1">#REF!</definedName>
    <definedName name="QTY">#REF!</definedName>
    <definedName name="QWE" localSheetId="1">#REF!</definedName>
    <definedName name="QWE">#REF!</definedName>
    <definedName name="Rate" localSheetId="1">#REF!</definedName>
    <definedName name="Rate">#REF!</definedName>
    <definedName name="RB7.4" localSheetId="1" hidden="1">#REF!</definedName>
    <definedName name="RB7.4" hidden="1">#REF!</definedName>
    <definedName name="RC_" localSheetId="1">#REF!</definedName>
    <definedName name="RC_">#REF!</definedName>
    <definedName name="RE" localSheetId="1">#REF!</definedName>
    <definedName name="RE">#REF!</definedName>
    <definedName name="recover" localSheetId="1">#REF!</definedName>
    <definedName name="recover">#REF!</definedName>
    <definedName name="recovery2" localSheetId="1">#REF!</definedName>
    <definedName name="recovery2">#REF!</definedName>
    <definedName name="ReinforcementSteel" localSheetId="1">#REF!</definedName>
    <definedName name="ReinforcementSteel">#REF!</definedName>
    <definedName name="REMO" localSheetId="1">#REF!</definedName>
    <definedName name="REMO">#REF!</definedName>
    <definedName name="REMO1">[10]BOQ2!$G$573</definedName>
    <definedName name="Roun" localSheetId="1">#REF!</definedName>
    <definedName name="Roun">#REF!</definedName>
    <definedName name="S" localSheetId="1">#REF!</definedName>
    <definedName name="S">#REF!</definedName>
    <definedName name="Schedule" localSheetId="1">#REF!</definedName>
    <definedName name="Schedule">#REF!</definedName>
    <definedName name="Schedule2" localSheetId="1">#REF!</definedName>
    <definedName name="Schedule2">#REF!</definedName>
    <definedName name="sdddf" localSheetId="0" hidden="1">{#N/A,#N/A,FALSE,"MARCH"}</definedName>
    <definedName name="sdddf" localSheetId="1" hidden="1">{#N/A,#N/A,FALSE,"MARCH"}</definedName>
    <definedName name="sdddf" hidden="1">{#N/A,#N/A,FALSE,"MARCH"}</definedName>
    <definedName name="SDDS" localSheetId="1" hidden="1">#REF!</definedName>
    <definedName name="SDDS" hidden="1">#REF!</definedName>
    <definedName name="SDEE" localSheetId="0">#REF!</definedName>
    <definedName name="SDEE" localSheetId="1">#REF!</definedName>
    <definedName name="SDEE">#REF!</definedName>
    <definedName name="sfbjdf" localSheetId="1" hidden="1">#REF!</definedName>
    <definedName name="sfbjdf" hidden="1">#REF!</definedName>
    <definedName name="Sheet" localSheetId="1" hidden="1">#REF!</definedName>
    <definedName name="Sheet" hidden="1">#REF!</definedName>
    <definedName name="sheet3" localSheetId="1">#REF!</definedName>
    <definedName name="sheet3">#REF!</definedName>
    <definedName name="ShoulderEmb." localSheetId="1">#REF!</definedName>
    <definedName name="ShoulderEmb.">#REF!</definedName>
    <definedName name="ShoulderSubbase" localSheetId="1">#REF!</definedName>
    <definedName name="ShoulderSubbase">#REF!</definedName>
    <definedName name="Skirt" localSheetId="1">[13]HOC!#REF!</definedName>
    <definedName name="Skirt">[13]HOC!#REF!</definedName>
    <definedName name="SozlesmeRsYenParitesi" localSheetId="1">#REF!</definedName>
    <definedName name="SozlesmeRsYenParitesi">#REF!</definedName>
    <definedName name="SozlesmeYenUSDParitesi" localSheetId="1">#REF!</definedName>
    <definedName name="SozlesmeYenUSDParitesi">#REF!</definedName>
    <definedName name="SRC" localSheetId="1">#REF!</definedName>
    <definedName name="SRC">#REF!</definedName>
    <definedName name="SS" localSheetId="1">#REF!</definedName>
    <definedName name="SS">#REF!</definedName>
    <definedName name="SSR" localSheetId="1">#REF!</definedName>
    <definedName name="SSR">#REF!</definedName>
    <definedName name="SSS" localSheetId="1">#REF!</definedName>
    <definedName name="SSS">#REF!</definedName>
    <definedName name="ssss" localSheetId="1">#REF!</definedName>
    <definedName name="ssss">#REF!</definedName>
    <definedName name="Subbase" localSheetId="1">#REF!</definedName>
    <definedName name="Subbase">#REF!</definedName>
    <definedName name="Substructure" localSheetId="1">#REF!</definedName>
    <definedName name="Substructure">#REF!</definedName>
    <definedName name="sum" localSheetId="1">#REF!</definedName>
    <definedName name="sum">#REF!</definedName>
    <definedName name="SUMMA" localSheetId="1">#REF!</definedName>
    <definedName name="SUMMA">#REF!</definedName>
    <definedName name="summary" localSheetId="1">#REF!</definedName>
    <definedName name="summary">#REF!</definedName>
    <definedName name="summary2" localSheetId="1">#REF!</definedName>
    <definedName name="summary2">#REF!</definedName>
    <definedName name="SUP">[5]BOQ2!$G$577</definedName>
    <definedName name="SUPE" localSheetId="1">#REF!</definedName>
    <definedName name="SUPE">#REF!</definedName>
    <definedName name="SUPE1">[10]BOQ2!$G$577</definedName>
    <definedName name="T" localSheetId="1">#REF!</definedName>
    <definedName name="T">#REF!</definedName>
    <definedName name="T_T" localSheetId="1">[13]HOC!#REF!</definedName>
    <definedName name="T_T">[13]HOC!#REF!</definedName>
    <definedName name="TackCoat" localSheetId="1">#REF!</definedName>
    <definedName name="TackCoat">#REF!</definedName>
    <definedName name="TECGCTtFrt" localSheetId="1">#REF!</definedName>
    <definedName name="TECGCTtFrt">#REF!</definedName>
    <definedName name="TECGCTtlFrt" localSheetId="1">#REF!</definedName>
    <definedName name="TECGCTtlFrt">#REF!</definedName>
    <definedName name="TECGCTtlGross" localSheetId="1">#REF!</definedName>
    <definedName name="TECGCTtlGross">#REF!</definedName>
    <definedName name="TECGCTtlNet" localSheetId="1">#REF!</definedName>
    <definedName name="TECGCTtlNet">#REF!</definedName>
    <definedName name="TECHvyTtlFrt" localSheetId="1">#REF!</definedName>
    <definedName name="TECHvyTtlFrt">#REF!</definedName>
    <definedName name="TECHvyTtlNet" localSheetId="1">#REF!</definedName>
    <definedName name="TECHvyTtlNet">#REF!</definedName>
    <definedName name="TECTtlFrt" localSheetId="1">#REF!</definedName>
    <definedName name="TECTtlFrt">#REF!</definedName>
    <definedName name="TECTtlGross" localSheetId="1">#REF!</definedName>
    <definedName name="TECTtlGross">#REF!</definedName>
    <definedName name="TECTtlNet" localSheetId="1">#REF!</definedName>
    <definedName name="TECTtlNet">#REF!</definedName>
    <definedName name="tfgf" localSheetId="1" hidden="1">#REF!</definedName>
    <definedName name="tfgf" hidden="1">#REF!</definedName>
    <definedName name="TIME">[18]HOC!$X$12</definedName>
    <definedName name="Timesheet" localSheetId="1">#REF!</definedName>
    <definedName name="Timesheet">#REF!</definedName>
    <definedName name="tip">'[14]Basic Rates'!$C$59</definedName>
    <definedName name="TIPI">'[7]Basic Rates'!$C$59</definedName>
    <definedName name="TOTAL" localSheetId="1">#REF!</definedName>
    <definedName name="TOTAL">#REF!</definedName>
    <definedName name="TrafficSings" localSheetId="1">#REF!</definedName>
    <definedName name="TrafficSings">#REF!</definedName>
    <definedName name="ts">[6]Enter_Time!$A$1:$J$38</definedName>
    <definedName name="Turk" localSheetId="1">#REF!</definedName>
    <definedName name="Turk">#REF!</definedName>
    <definedName name="U" localSheetId="1">#REF!</definedName>
    <definedName name="U">#REF!</definedName>
    <definedName name="Unit" localSheetId="1">#REF!</definedName>
    <definedName name="Unit">#REF!</definedName>
    <definedName name="unpriced" localSheetId="1">#REF!</definedName>
    <definedName name="unpriced">#REF!</definedName>
    <definedName name="USDRs" localSheetId="1">#REF!</definedName>
    <definedName name="USDRs">#REF!</definedName>
    <definedName name="USDYen" localSheetId="1">#REF!</definedName>
    <definedName name="USDYen">#REF!</definedName>
    <definedName name="V" localSheetId="1">#REF!</definedName>
    <definedName name="V">#REF!</definedName>
    <definedName name="VNBV" localSheetId="0" hidden="1">{#N/A,#N/A,FALSE,"Abutments ONLY"}</definedName>
    <definedName name="VNBV" localSheetId="1" hidden="1">{#N/A,#N/A,FALSE,"Abutments ONLY"}</definedName>
    <definedName name="VNBV" hidden="1">{#N/A,#N/A,FALSE,"Abutments ONLY"}</definedName>
    <definedName name="W" localSheetId="1">#REF!</definedName>
    <definedName name="W">#REF!</definedName>
    <definedName name="WearingCourse" localSheetId="1">#REF!</definedName>
    <definedName name="WearingCourse">#REF!</definedName>
    <definedName name="WMM" localSheetId="1">[13]HOC!#REF!</definedName>
    <definedName name="WMM">[13]HOC!#REF!</definedName>
    <definedName name="wrn.Abut_only." localSheetId="0">#REF!</definedName>
    <definedName name="wrn.Abut_only." localSheetId="1">#REF!</definedName>
    <definedName name="wrn.Abut_only.">#REF!</definedName>
    <definedName name="wrn.Abut_pier." localSheetId="0">#REF!</definedName>
    <definedName name="wrn.Abut_pier." localSheetId="1">#REF!</definedName>
    <definedName name="wrn.Abut_pier.">#REF!</definedName>
    <definedName name="wrn.Cumulative._.Material._.Cost." localSheetId="0" hidden="1">{#N/A,#N/A,FALSE,"MARCH"}</definedName>
    <definedName name="wrn.Cumulative._.Material._.Cost." localSheetId="1" hidden="1">{#N/A,#N/A,FALSE,"MARCH"}</definedName>
    <definedName name="wrn.Cumulative._.Material._.Cost." hidden="1">{#N/A,#N/A,FALSE,"MARCH"}</definedName>
    <definedName name="ww" localSheetId="1">#REF!</definedName>
    <definedName name="ww">#REF!</definedName>
    <definedName name="www" localSheetId="0">#REF!</definedName>
    <definedName name="www" localSheetId="1">#REF!</definedName>
    <definedName name="www">#REF!</definedName>
    <definedName name="wwww" localSheetId="1">#REF!</definedName>
    <definedName name="wwww">#REF!</definedName>
    <definedName name="X" localSheetId="1">#REF!</definedName>
    <definedName name="X">#REF!</definedName>
    <definedName name="XXX" localSheetId="0" hidden="1">{#N/A,#N/A,FALSE,"MARCH"}</definedName>
    <definedName name="XXX" localSheetId="1" hidden="1">{#N/A,#N/A,FALSE,"MARCH"}</definedName>
    <definedName name="XXX" hidden="1">{#N/A,#N/A,FALSE,"MARCH"}</definedName>
    <definedName name="xxxxxxx" localSheetId="0" hidden="1">{#N/A,#N/A,FALSE,"MARCH"}</definedName>
    <definedName name="xxxxxxx" localSheetId="1" hidden="1">{#N/A,#N/A,FALSE,"MARCH"}</definedName>
    <definedName name="xxxxxxx" hidden="1">{#N/A,#N/A,FALSE,"MARCH"}</definedName>
    <definedName name="Y" localSheetId="1">#REF!</definedName>
    <definedName name="Y">#REF!</definedName>
    <definedName name="Z" localSheetId="1">#REF!</definedName>
    <definedName name="Z">#REF!</definedName>
    <definedName name="干支の概要" localSheetId="1">#REF!</definedName>
    <definedName name="干支の概要">#REF!</definedName>
    <definedName name="海上Hvyｺｽﾄ" localSheetId="1">#REF!</definedName>
    <definedName name="海上Hvyｺｽﾄ">#REF!</definedName>
    <definedName name="詳細">[19]PROSUM!$V$53:$AA$60,[19]PROSUM!$M$12:$AA$50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G11" i="5"/>
  <c r="J11" i="5" s="1"/>
  <c r="G10" i="5"/>
  <c r="J10" i="5" s="1"/>
  <c r="G9" i="5"/>
  <c r="J9" i="5" s="1"/>
  <c r="G8" i="5"/>
  <c r="J8" i="5" s="1"/>
  <c r="G7" i="5"/>
  <c r="J7" i="5" s="1"/>
  <c r="G6" i="5"/>
  <c r="J6" i="5" s="1"/>
  <c r="G5" i="5"/>
  <c r="J5" i="5" s="1"/>
  <c r="G4" i="5"/>
  <c r="J4" i="5" s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12" i="5"/>
  <c r="F11" i="5"/>
  <c r="F10" i="5"/>
  <c r="F9" i="5"/>
  <c r="F8" i="5"/>
  <c r="F7" i="5"/>
  <c r="F6" i="5"/>
  <c r="F5" i="5"/>
  <c r="F4" i="5"/>
  <c r="N27" i="7"/>
  <c r="M27" i="7"/>
  <c r="K27" i="7"/>
  <c r="I27" i="7"/>
  <c r="H27" i="7"/>
  <c r="N26" i="7"/>
  <c r="M26" i="7"/>
  <c r="K26" i="7"/>
  <c r="I26" i="7"/>
  <c r="H26" i="7"/>
  <c r="J26" i="7" s="1"/>
  <c r="N25" i="7"/>
  <c r="M25" i="7"/>
  <c r="K25" i="7"/>
  <c r="I25" i="7"/>
  <c r="H25" i="7"/>
  <c r="J25" i="7" s="1"/>
  <c r="N24" i="7"/>
  <c r="M24" i="7"/>
  <c r="I24" i="7"/>
  <c r="J24" i="7" s="1"/>
  <c r="H24" i="7"/>
  <c r="N23" i="7"/>
  <c r="M23" i="7"/>
  <c r="K23" i="7"/>
  <c r="I23" i="7"/>
  <c r="H23" i="7"/>
  <c r="N22" i="7"/>
  <c r="M22" i="7"/>
  <c r="I22" i="7"/>
  <c r="H22" i="7"/>
  <c r="J22" i="7" s="1"/>
  <c r="N21" i="7"/>
  <c r="M21" i="7"/>
  <c r="K21" i="7"/>
  <c r="I21" i="7"/>
  <c r="H21" i="7"/>
  <c r="J21" i="7" s="1"/>
  <c r="N20" i="7"/>
  <c r="M20" i="7"/>
  <c r="K20" i="7"/>
  <c r="I20" i="7"/>
  <c r="H20" i="7"/>
  <c r="J20" i="7" s="1"/>
  <c r="N19" i="7"/>
  <c r="M19" i="7"/>
  <c r="K19" i="7"/>
  <c r="I19" i="7"/>
  <c r="H19" i="7"/>
  <c r="J19" i="7" s="1"/>
  <c r="N18" i="7"/>
  <c r="M18" i="7"/>
  <c r="K18" i="7"/>
  <c r="I18" i="7"/>
  <c r="H18" i="7"/>
  <c r="J18" i="7" s="1"/>
  <c r="N17" i="7"/>
  <c r="M17" i="7"/>
  <c r="K17" i="7"/>
  <c r="I17" i="7"/>
  <c r="H17" i="7"/>
  <c r="J17" i="7" s="1"/>
  <c r="N16" i="7"/>
  <c r="M16" i="7"/>
  <c r="K16" i="7"/>
  <c r="I16" i="7"/>
  <c r="H16" i="7"/>
  <c r="J16" i="7" s="1"/>
  <c r="N15" i="7"/>
  <c r="M15" i="7"/>
  <c r="K15" i="7"/>
  <c r="I15" i="7"/>
  <c r="H15" i="7"/>
  <c r="J15" i="7" s="1"/>
  <c r="N14" i="7"/>
  <c r="M14" i="7"/>
  <c r="K14" i="7"/>
  <c r="I14" i="7"/>
  <c r="H14" i="7"/>
  <c r="J14" i="7" s="1"/>
  <c r="N13" i="7"/>
  <c r="M13" i="7"/>
  <c r="K13" i="7"/>
  <c r="I13" i="7"/>
  <c r="H13" i="7"/>
  <c r="J13" i="7" s="1"/>
  <c r="N12" i="7"/>
  <c r="M12" i="7"/>
  <c r="I12" i="7"/>
  <c r="H12" i="7"/>
  <c r="N11" i="7"/>
  <c r="M11" i="7"/>
  <c r="K11" i="7"/>
  <c r="I11" i="7"/>
  <c r="J11" i="7" s="1"/>
  <c r="H11" i="7"/>
  <c r="N10" i="7"/>
  <c r="M10" i="7"/>
  <c r="K10" i="7"/>
  <c r="I10" i="7"/>
  <c r="H10" i="7"/>
  <c r="N9" i="7"/>
  <c r="M9" i="7"/>
  <c r="K9" i="7"/>
  <c r="I9" i="7"/>
  <c r="H9" i="7"/>
  <c r="N8" i="7"/>
  <c r="M8" i="7"/>
  <c r="K8" i="7"/>
  <c r="I8" i="7"/>
  <c r="H8" i="7"/>
  <c r="J8" i="7" s="1"/>
  <c r="N7" i="7"/>
  <c r="M7" i="7"/>
  <c r="K7" i="7"/>
  <c r="I7" i="7"/>
  <c r="H7" i="7"/>
  <c r="N6" i="7"/>
  <c r="M6" i="7"/>
  <c r="I6" i="7"/>
  <c r="J6" i="7" s="1"/>
  <c r="H6" i="7"/>
  <c r="N5" i="7"/>
  <c r="M5" i="7"/>
  <c r="K5" i="7"/>
  <c r="I5" i="7"/>
  <c r="H5" i="7"/>
  <c r="N4" i="7"/>
  <c r="N29" i="7" s="1"/>
  <c r="M4" i="7"/>
  <c r="M29" i="7" s="1"/>
  <c r="K4" i="7"/>
  <c r="I4" i="7"/>
  <c r="H4" i="7"/>
  <c r="J4" i="7" s="1"/>
  <c r="J12" i="5" l="1"/>
  <c r="J7" i="7"/>
  <c r="J12" i="7"/>
  <c r="J23" i="7"/>
  <c r="J9" i="7"/>
  <c r="J27" i="7"/>
  <c r="J5" i="7"/>
  <c r="J10" i="7"/>
  <c r="K12" i="5"/>
  <c r="K11" i="5"/>
  <c r="K10" i="5"/>
  <c r="K9" i="5"/>
  <c r="K8" i="5"/>
  <c r="K7" i="5"/>
  <c r="K6" i="5"/>
  <c r="K5" i="5"/>
  <c r="K4" i="5"/>
  <c r="L32" i="1"/>
  <c r="H32" i="1"/>
  <c r="L31" i="1"/>
  <c r="H31" i="1"/>
  <c r="L30" i="1"/>
  <c r="H30" i="1"/>
  <c r="L29" i="1"/>
  <c r="H29" i="1"/>
  <c r="L28" i="1"/>
  <c r="H28" i="1"/>
  <c r="L27" i="1"/>
  <c r="H27" i="1"/>
  <c r="L26" i="1"/>
  <c r="H26" i="1"/>
  <c r="L25" i="1"/>
  <c r="H25" i="1"/>
  <c r="L24" i="1"/>
  <c r="H24" i="1"/>
  <c r="L23" i="1"/>
  <c r="H23" i="1"/>
  <c r="L22" i="1"/>
  <c r="H22" i="1"/>
  <c r="L21" i="1"/>
  <c r="H21" i="1"/>
  <c r="L20" i="1"/>
  <c r="H20" i="1"/>
  <c r="L19" i="1"/>
  <c r="H19" i="1"/>
  <c r="L18" i="1"/>
  <c r="H18" i="1"/>
  <c r="L17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L6" i="1"/>
  <c r="H6" i="1"/>
  <c r="L5" i="1"/>
  <c r="H5" i="1"/>
  <c r="L4" i="1"/>
  <c r="H4" i="1"/>
  <c r="R530" i="6" l="1"/>
  <c r="P530" i="6"/>
  <c r="N530" i="6"/>
  <c r="Q530" i="6" s="1"/>
  <c r="R529" i="6"/>
  <c r="P529" i="6"/>
  <c r="O529" i="6"/>
  <c r="N529" i="6"/>
  <c r="Q529" i="6" s="1"/>
  <c r="R528" i="6"/>
  <c r="P528" i="6"/>
  <c r="N528" i="6"/>
  <c r="Q528" i="6" s="1"/>
  <c r="R527" i="6"/>
  <c r="Q527" i="6"/>
  <c r="P527" i="6"/>
  <c r="O527" i="6"/>
  <c r="N527" i="6"/>
  <c r="R526" i="6"/>
  <c r="O526" i="6"/>
  <c r="N526" i="6"/>
  <c r="Q526" i="6" s="1"/>
  <c r="R525" i="6"/>
  <c r="Q525" i="6"/>
  <c r="O525" i="6"/>
  <c r="N525" i="6"/>
  <c r="P525" i="6" s="1"/>
  <c r="R524" i="6"/>
  <c r="Q524" i="6"/>
  <c r="N524" i="6"/>
  <c r="P524" i="6" s="1"/>
  <c r="R523" i="6"/>
  <c r="N523" i="6"/>
  <c r="R522" i="6"/>
  <c r="P522" i="6"/>
  <c r="N522" i="6"/>
  <c r="Q522" i="6" s="1"/>
  <c r="R521" i="6"/>
  <c r="P521" i="6"/>
  <c r="O521" i="6"/>
  <c r="N521" i="6"/>
  <c r="Q521" i="6" s="1"/>
  <c r="R520" i="6"/>
  <c r="P520" i="6"/>
  <c r="N520" i="6"/>
  <c r="Q520" i="6" s="1"/>
  <c r="R519" i="6"/>
  <c r="Q519" i="6"/>
  <c r="P519" i="6"/>
  <c r="O519" i="6"/>
  <c r="N519" i="6"/>
  <c r="R518" i="6"/>
  <c r="O518" i="6"/>
  <c r="N518" i="6"/>
  <c r="Q518" i="6" s="1"/>
  <c r="R517" i="6"/>
  <c r="Q517" i="6"/>
  <c r="P517" i="6"/>
  <c r="O517" i="6"/>
  <c r="N517" i="6"/>
  <c r="R516" i="6"/>
  <c r="Q516" i="6"/>
  <c r="N516" i="6"/>
  <c r="P516" i="6" s="1"/>
  <c r="R515" i="6"/>
  <c r="N515" i="6"/>
  <c r="R514" i="6"/>
  <c r="P514" i="6"/>
  <c r="N514" i="6"/>
  <c r="Q514" i="6" s="1"/>
  <c r="R513" i="6"/>
  <c r="P513" i="6"/>
  <c r="O513" i="6"/>
  <c r="N513" i="6"/>
  <c r="Q513" i="6" s="1"/>
  <c r="R512" i="6"/>
  <c r="Q512" i="6"/>
  <c r="P512" i="6"/>
  <c r="N512" i="6"/>
  <c r="O512" i="6" s="1"/>
  <c r="R511" i="6"/>
  <c r="Q511" i="6"/>
  <c r="P511" i="6"/>
  <c r="O511" i="6"/>
  <c r="N511" i="6"/>
  <c r="R510" i="6"/>
  <c r="O510" i="6"/>
  <c r="N510" i="6"/>
  <c r="Q510" i="6" s="1"/>
  <c r="R509" i="6"/>
  <c r="Q509" i="6"/>
  <c r="P509" i="6"/>
  <c r="O509" i="6"/>
  <c r="N509" i="6"/>
  <c r="R508" i="6"/>
  <c r="Q508" i="6"/>
  <c r="N508" i="6"/>
  <c r="P508" i="6" s="1"/>
  <c r="R507" i="6"/>
  <c r="N507" i="6"/>
  <c r="R506" i="6"/>
  <c r="P506" i="6"/>
  <c r="N506" i="6"/>
  <c r="Q506" i="6" s="1"/>
  <c r="R505" i="6"/>
  <c r="P505" i="6"/>
  <c r="O505" i="6"/>
  <c r="N505" i="6"/>
  <c r="Q505" i="6" s="1"/>
  <c r="R504" i="6"/>
  <c r="P504" i="6"/>
  <c r="N504" i="6"/>
  <c r="Q504" i="6" s="1"/>
  <c r="R503" i="6"/>
  <c r="Q503" i="6"/>
  <c r="P503" i="6"/>
  <c r="O503" i="6"/>
  <c r="N503" i="6"/>
  <c r="R502" i="6"/>
  <c r="O502" i="6"/>
  <c r="N502" i="6"/>
  <c r="Q502" i="6" s="1"/>
  <c r="R501" i="6"/>
  <c r="Q501" i="6"/>
  <c r="P501" i="6"/>
  <c r="O501" i="6"/>
  <c r="N501" i="6"/>
  <c r="R500" i="6"/>
  <c r="Q500" i="6"/>
  <c r="N500" i="6"/>
  <c r="P500" i="6" s="1"/>
  <c r="R499" i="6"/>
  <c r="N499" i="6"/>
  <c r="R498" i="6"/>
  <c r="Q498" i="6"/>
  <c r="P498" i="6"/>
  <c r="N498" i="6"/>
  <c r="O498" i="6" s="1"/>
  <c r="R497" i="6"/>
  <c r="P497" i="6"/>
  <c r="O497" i="6"/>
  <c r="N497" i="6"/>
  <c r="Q497" i="6" s="1"/>
  <c r="R496" i="6"/>
  <c r="Q496" i="6"/>
  <c r="P496" i="6"/>
  <c r="O496" i="6"/>
  <c r="N496" i="6"/>
  <c r="R495" i="6"/>
  <c r="Q495" i="6"/>
  <c r="P495" i="6"/>
  <c r="O495" i="6"/>
  <c r="N495" i="6"/>
  <c r="R494" i="6"/>
  <c r="O494" i="6"/>
  <c r="N494" i="6"/>
  <c r="Q494" i="6" s="1"/>
  <c r="R493" i="6"/>
  <c r="Q493" i="6"/>
  <c r="P493" i="6"/>
  <c r="O493" i="6"/>
  <c r="N493" i="6"/>
  <c r="R492" i="6"/>
  <c r="Q492" i="6"/>
  <c r="N492" i="6"/>
  <c r="P492" i="6" s="1"/>
  <c r="R491" i="6"/>
  <c r="N491" i="6"/>
  <c r="R490" i="6"/>
  <c r="Q490" i="6"/>
  <c r="P490" i="6"/>
  <c r="N490" i="6"/>
  <c r="O490" i="6" s="1"/>
  <c r="R489" i="6"/>
  <c r="P489" i="6"/>
  <c r="O489" i="6"/>
  <c r="N489" i="6"/>
  <c r="Q489" i="6" s="1"/>
  <c r="R488" i="6"/>
  <c r="Q488" i="6"/>
  <c r="P488" i="6"/>
  <c r="O488" i="6"/>
  <c r="N488" i="6"/>
  <c r="R487" i="6"/>
  <c r="Q487" i="6"/>
  <c r="P487" i="6"/>
  <c r="O487" i="6"/>
  <c r="N487" i="6"/>
  <c r="R486" i="6"/>
  <c r="O486" i="6"/>
  <c r="N486" i="6"/>
  <c r="Q486" i="6" s="1"/>
  <c r="R485" i="6"/>
  <c r="Q485" i="6"/>
  <c r="P485" i="6"/>
  <c r="O485" i="6"/>
  <c r="N485" i="6"/>
  <c r="R484" i="6"/>
  <c r="Q484" i="6"/>
  <c r="N484" i="6"/>
  <c r="P484" i="6" s="1"/>
  <c r="R483" i="6"/>
  <c r="N483" i="6"/>
  <c r="R482" i="6"/>
  <c r="Q482" i="6"/>
  <c r="P482" i="6"/>
  <c r="N482" i="6"/>
  <c r="O482" i="6" s="1"/>
  <c r="R481" i="6"/>
  <c r="P481" i="6"/>
  <c r="O481" i="6"/>
  <c r="N481" i="6"/>
  <c r="Q481" i="6" s="1"/>
  <c r="R480" i="6"/>
  <c r="Q480" i="6"/>
  <c r="P480" i="6"/>
  <c r="O480" i="6"/>
  <c r="N480" i="6"/>
  <c r="R479" i="6"/>
  <c r="Q479" i="6"/>
  <c r="P479" i="6"/>
  <c r="O479" i="6"/>
  <c r="N479" i="6"/>
  <c r="R478" i="6"/>
  <c r="O478" i="6"/>
  <c r="N478" i="6"/>
  <c r="Q478" i="6" s="1"/>
  <c r="R477" i="6"/>
  <c r="Q477" i="6"/>
  <c r="P477" i="6"/>
  <c r="O477" i="6"/>
  <c r="N477" i="6"/>
  <c r="R476" i="6"/>
  <c r="Q476" i="6"/>
  <c r="N476" i="6"/>
  <c r="P476" i="6" s="1"/>
  <c r="R475" i="6"/>
  <c r="N475" i="6"/>
  <c r="R474" i="6"/>
  <c r="Q474" i="6"/>
  <c r="P474" i="6"/>
  <c r="N474" i="6"/>
  <c r="O474" i="6" s="1"/>
  <c r="R473" i="6"/>
  <c r="P473" i="6"/>
  <c r="O473" i="6"/>
  <c r="N473" i="6"/>
  <c r="Q473" i="6" s="1"/>
  <c r="R472" i="6"/>
  <c r="Q472" i="6"/>
  <c r="P472" i="6"/>
  <c r="O472" i="6"/>
  <c r="N472" i="6"/>
  <c r="R471" i="6"/>
  <c r="Q471" i="6"/>
  <c r="P471" i="6"/>
  <c r="O471" i="6"/>
  <c r="N471" i="6"/>
  <c r="R470" i="6"/>
  <c r="O470" i="6"/>
  <c r="N470" i="6"/>
  <c r="Q470" i="6" s="1"/>
  <c r="R469" i="6"/>
  <c r="Q469" i="6"/>
  <c r="P469" i="6"/>
  <c r="O469" i="6"/>
  <c r="N469" i="6"/>
  <c r="R468" i="6"/>
  <c r="Q468" i="6"/>
  <c r="N468" i="6"/>
  <c r="P468" i="6" s="1"/>
  <c r="R467" i="6"/>
  <c r="N467" i="6"/>
  <c r="R466" i="6"/>
  <c r="Q466" i="6"/>
  <c r="P466" i="6"/>
  <c r="N466" i="6"/>
  <c r="O466" i="6" s="1"/>
  <c r="R465" i="6"/>
  <c r="P465" i="6"/>
  <c r="O465" i="6"/>
  <c r="N465" i="6"/>
  <c r="Q465" i="6" s="1"/>
  <c r="R464" i="6"/>
  <c r="Q464" i="6"/>
  <c r="P464" i="6"/>
  <c r="O464" i="6"/>
  <c r="N464" i="6"/>
  <c r="R463" i="6"/>
  <c r="Q463" i="6"/>
  <c r="P463" i="6"/>
  <c r="O463" i="6"/>
  <c r="N463" i="6"/>
  <c r="R462" i="6"/>
  <c r="O462" i="6"/>
  <c r="N462" i="6"/>
  <c r="Q462" i="6" s="1"/>
  <c r="R461" i="6"/>
  <c r="Q461" i="6"/>
  <c r="O461" i="6"/>
  <c r="N461" i="6"/>
  <c r="P461" i="6" s="1"/>
  <c r="R460" i="6"/>
  <c r="Q460" i="6"/>
  <c r="N460" i="6"/>
  <c r="P460" i="6" s="1"/>
  <c r="R459" i="6"/>
  <c r="N459" i="6"/>
  <c r="R458" i="6"/>
  <c r="P458" i="6"/>
  <c r="N458" i="6"/>
  <c r="Q458" i="6" s="1"/>
  <c r="R457" i="6"/>
  <c r="P457" i="6"/>
  <c r="O457" i="6"/>
  <c r="N457" i="6"/>
  <c r="Q457" i="6" s="1"/>
  <c r="R456" i="6"/>
  <c r="Q456" i="6"/>
  <c r="P456" i="6"/>
  <c r="O456" i="6"/>
  <c r="N456" i="6"/>
  <c r="R455" i="6"/>
  <c r="Q455" i="6"/>
  <c r="P455" i="6"/>
  <c r="O455" i="6"/>
  <c r="N455" i="6"/>
  <c r="R454" i="6"/>
  <c r="O454" i="6"/>
  <c r="N454" i="6"/>
  <c r="Q454" i="6" s="1"/>
  <c r="R453" i="6"/>
  <c r="Q453" i="6"/>
  <c r="O453" i="6"/>
  <c r="N453" i="6"/>
  <c r="P453" i="6" s="1"/>
  <c r="R452" i="6"/>
  <c r="Q452" i="6"/>
  <c r="N452" i="6"/>
  <c r="P452" i="6" s="1"/>
  <c r="R451" i="6"/>
  <c r="N451" i="6"/>
  <c r="R450" i="6"/>
  <c r="P450" i="6"/>
  <c r="N450" i="6"/>
  <c r="Q450" i="6" s="1"/>
  <c r="R449" i="6"/>
  <c r="P449" i="6"/>
  <c r="O449" i="6"/>
  <c r="N449" i="6"/>
  <c r="Q449" i="6" s="1"/>
  <c r="R448" i="6"/>
  <c r="P448" i="6"/>
  <c r="O448" i="6"/>
  <c r="N448" i="6"/>
  <c r="Q448" i="6" s="1"/>
  <c r="R447" i="6"/>
  <c r="Q447" i="6"/>
  <c r="P447" i="6"/>
  <c r="O447" i="6"/>
  <c r="N447" i="6"/>
  <c r="R446" i="6"/>
  <c r="O446" i="6"/>
  <c r="N446" i="6"/>
  <c r="Q446" i="6" s="1"/>
  <c r="R445" i="6"/>
  <c r="Q445" i="6"/>
  <c r="O445" i="6"/>
  <c r="N445" i="6"/>
  <c r="P445" i="6" s="1"/>
  <c r="R444" i="6"/>
  <c r="Q444" i="6"/>
  <c r="N444" i="6"/>
  <c r="P444" i="6" s="1"/>
  <c r="R443" i="6"/>
  <c r="N443" i="6"/>
  <c r="R442" i="6"/>
  <c r="P442" i="6"/>
  <c r="N442" i="6"/>
  <c r="Q442" i="6" s="1"/>
  <c r="R441" i="6"/>
  <c r="P441" i="6"/>
  <c r="O441" i="6"/>
  <c r="N441" i="6"/>
  <c r="Q441" i="6" s="1"/>
  <c r="R440" i="6"/>
  <c r="P440" i="6"/>
  <c r="O440" i="6"/>
  <c r="N440" i="6"/>
  <c r="Q440" i="6" s="1"/>
  <c r="R439" i="6"/>
  <c r="Q439" i="6"/>
  <c r="P439" i="6"/>
  <c r="O439" i="6"/>
  <c r="N439" i="6"/>
  <c r="R438" i="6"/>
  <c r="O438" i="6"/>
  <c r="N438" i="6"/>
  <c r="Q438" i="6" s="1"/>
  <c r="R437" i="6"/>
  <c r="Q437" i="6"/>
  <c r="O437" i="6"/>
  <c r="N437" i="6"/>
  <c r="P437" i="6" s="1"/>
  <c r="R436" i="6"/>
  <c r="N436" i="6"/>
  <c r="R435" i="6"/>
  <c r="N435" i="6"/>
  <c r="R434" i="6"/>
  <c r="P434" i="6"/>
  <c r="N434" i="6"/>
  <c r="Q434" i="6" s="1"/>
  <c r="R433" i="6"/>
  <c r="P433" i="6"/>
  <c r="O433" i="6"/>
  <c r="N433" i="6"/>
  <c r="Q433" i="6" s="1"/>
  <c r="R432" i="6"/>
  <c r="P432" i="6"/>
  <c r="O432" i="6"/>
  <c r="N432" i="6"/>
  <c r="Q432" i="6" s="1"/>
  <c r="R431" i="6"/>
  <c r="Q431" i="6"/>
  <c r="P431" i="6"/>
  <c r="O431" i="6"/>
  <c r="N431" i="6"/>
  <c r="R430" i="6"/>
  <c r="O430" i="6"/>
  <c r="N430" i="6"/>
  <c r="Q430" i="6" s="1"/>
  <c r="R429" i="6"/>
  <c r="Q429" i="6"/>
  <c r="O429" i="6"/>
  <c r="N429" i="6"/>
  <c r="P429" i="6" s="1"/>
  <c r="R428" i="6"/>
  <c r="Q428" i="6"/>
  <c r="N428" i="6"/>
  <c r="R427" i="6"/>
  <c r="N427" i="6"/>
  <c r="R426" i="6"/>
  <c r="P426" i="6"/>
  <c r="N426" i="6"/>
  <c r="Q426" i="6" s="1"/>
  <c r="R425" i="6"/>
  <c r="P425" i="6"/>
  <c r="O425" i="6"/>
  <c r="N425" i="6"/>
  <c r="Q425" i="6" s="1"/>
  <c r="R424" i="6"/>
  <c r="P424" i="6"/>
  <c r="O424" i="6"/>
  <c r="N424" i="6"/>
  <c r="Q424" i="6" s="1"/>
  <c r="R423" i="6"/>
  <c r="Q423" i="6"/>
  <c r="P423" i="6"/>
  <c r="O423" i="6"/>
  <c r="N423" i="6"/>
  <c r="R422" i="6"/>
  <c r="O422" i="6"/>
  <c r="N422" i="6"/>
  <c r="Q422" i="6" s="1"/>
  <c r="R421" i="6"/>
  <c r="Q421" i="6"/>
  <c r="O421" i="6"/>
  <c r="N421" i="6"/>
  <c r="P421" i="6" s="1"/>
  <c r="R420" i="6"/>
  <c r="N420" i="6"/>
  <c r="R419" i="6"/>
  <c r="N419" i="6"/>
  <c r="R418" i="6"/>
  <c r="P418" i="6"/>
  <c r="N418" i="6"/>
  <c r="Q418" i="6" s="1"/>
  <c r="R417" i="6"/>
  <c r="P417" i="6"/>
  <c r="O417" i="6"/>
  <c r="N417" i="6"/>
  <c r="Q417" i="6" s="1"/>
  <c r="R416" i="6"/>
  <c r="P416" i="6"/>
  <c r="O416" i="6"/>
  <c r="N416" i="6"/>
  <c r="Q416" i="6" s="1"/>
  <c r="R415" i="6"/>
  <c r="Q415" i="6"/>
  <c r="P415" i="6"/>
  <c r="O415" i="6"/>
  <c r="N415" i="6"/>
  <c r="R414" i="6"/>
  <c r="O414" i="6"/>
  <c r="N414" i="6"/>
  <c r="Q414" i="6" s="1"/>
  <c r="R413" i="6"/>
  <c r="Q413" i="6"/>
  <c r="O413" i="6"/>
  <c r="N413" i="6"/>
  <c r="P413" i="6" s="1"/>
  <c r="R412" i="6"/>
  <c r="Q412" i="6"/>
  <c r="N412" i="6"/>
  <c r="R411" i="6"/>
  <c r="Q411" i="6"/>
  <c r="P411" i="6"/>
  <c r="O411" i="6"/>
  <c r="N411" i="6"/>
  <c r="R410" i="6"/>
  <c r="Q410" i="6"/>
  <c r="P410" i="6"/>
  <c r="O410" i="6"/>
  <c r="N410" i="6"/>
  <c r="R409" i="6"/>
  <c r="Q409" i="6"/>
  <c r="P409" i="6"/>
  <c r="O409" i="6"/>
  <c r="N409" i="6"/>
  <c r="R408" i="6"/>
  <c r="Q408" i="6"/>
  <c r="P408" i="6"/>
  <c r="O408" i="6"/>
  <c r="N408" i="6"/>
  <c r="R407" i="6"/>
  <c r="Q407" i="6"/>
  <c r="P407" i="6"/>
  <c r="O407" i="6"/>
  <c r="N407" i="6"/>
  <c r="R406" i="6"/>
  <c r="Q406" i="6"/>
  <c r="P406" i="6"/>
  <c r="O406" i="6"/>
  <c r="N406" i="6"/>
  <c r="R405" i="6"/>
  <c r="Q405" i="6"/>
  <c r="O405" i="6"/>
  <c r="N405" i="6"/>
  <c r="P405" i="6" s="1"/>
  <c r="R404" i="6"/>
  <c r="N404" i="6"/>
  <c r="R403" i="6"/>
  <c r="N403" i="6"/>
  <c r="R402" i="6"/>
  <c r="P402" i="6"/>
  <c r="N402" i="6"/>
  <c r="Q402" i="6" s="1"/>
  <c r="R401" i="6"/>
  <c r="P401" i="6"/>
  <c r="O401" i="6"/>
  <c r="N401" i="6"/>
  <c r="Q401" i="6" s="1"/>
  <c r="R400" i="6"/>
  <c r="P400" i="6"/>
  <c r="O400" i="6"/>
  <c r="N400" i="6"/>
  <c r="Q400" i="6" s="1"/>
  <c r="R399" i="6"/>
  <c r="Q399" i="6"/>
  <c r="P399" i="6"/>
  <c r="O399" i="6"/>
  <c r="N399" i="6"/>
  <c r="R398" i="6"/>
  <c r="O398" i="6"/>
  <c r="N398" i="6"/>
  <c r="Q398" i="6" s="1"/>
  <c r="R397" i="6"/>
  <c r="Q397" i="6"/>
  <c r="O397" i="6"/>
  <c r="N397" i="6"/>
  <c r="P397" i="6" s="1"/>
  <c r="R396" i="6"/>
  <c r="Q396" i="6"/>
  <c r="N396" i="6"/>
  <c r="R395" i="6"/>
  <c r="N395" i="6"/>
  <c r="R394" i="6"/>
  <c r="P394" i="6"/>
  <c r="N394" i="6"/>
  <c r="Q394" i="6" s="1"/>
  <c r="R393" i="6"/>
  <c r="P393" i="6"/>
  <c r="O393" i="6"/>
  <c r="N393" i="6"/>
  <c r="Q393" i="6" s="1"/>
  <c r="R392" i="6"/>
  <c r="P392" i="6"/>
  <c r="O392" i="6"/>
  <c r="N392" i="6"/>
  <c r="Q392" i="6" s="1"/>
  <c r="R391" i="6"/>
  <c r="Q391" i="6"/>
  <c r="P391" i="6"/>
  <c r="O391" i="6"/>
  <c r="N391" i="6"/>
  <c r="R390" i="6"/>
  <c r="O390" i="6"/>
  <c r="N390" i="6"/>
  <c r="Q390" i="6" s="1"/>
  <c r="R389" i="6"/>
  <c r="Q389" i="6"/>
  <c r="O389" i="6"/>
  <c r="N389" i="6"/>
  <c r="P389" i="6" s="1"/>
  <c r="R388" i="6"/>
  <c r="N388" i="6"/>
  <c r="R387" i="6"/>
  <c r="N387" i="6"/>
  <c r="R386" i="6"/>
  <c r="P386" i="6"/>
  <c r="N386" i="6"/>
  <c r="Q386" i="6" s="1"/>
  <c r="R385" i="6"/>
  <c r="P385" i="6"/>
  <c r="O385" i="6"/>
  <c r="N385" i="6"/>
  <c r="Q385" i="6" s="1"/>
  <c r="R384" i="6"/>
  <c r="P384" i="6"/>
  <c r="O384" i="6"/>
  <c r="N384" i="6"/>
  <c r="Q384" i="6" s="1"/>
  <c r="R383" i="6"/>
  <c r="Q383" i="6"/>
  <c r="P383" i="6"/>
  <c r="O383" i="6"/>
  <c r="N383" i="6"/>
  <c r="R382" i="6"/>
  <c r="O382" i="6"/>
  <c r="N382" i="6"/>
  <c r="Q382" i="6" s="1"/>
  <c r="R381" i="6"/>
  <c r="Q381" i="6"/>
  <c r="O381" i="6"/>
  <c r="N381" i="6"/>
  <c r="P381" i="6" s="1"/>
  <c r="R380" i="6"/>
  <c r="Q380" i="6"/>
  <c r="N380" i="6"/>
  <c r="R379" i="6"/>
  <c r="N379" i="6"/>
  <c r="R378" i="6"/>
  <c r="P378" i="6"/>
  <c r="N378" i="6"/>
  <c r="Q378" i="6" s="1"/>
  <c r="R377" i="6"/>
  <c r="P377" i="6"/>
  <c r="O377" i="6"/>
  <c r="N377" i="6"/>
  <c r="Q377" i="6" s="1"/>
  <c r="R376" i="6"/>
  <c r="P376" i="6"/>
  <c r="O376" i="6"/>
  <c r="N376" i="6"/>
  <c r="Q376" i="6" s="1"/>
  <c r="R375" i="6"/>
  <c r="Q375" i="6"/>
  <c r="P375" i="6"/>
  <c r="O375" i="6"/>
  <c r="N375" i="6"/>
  <c r="R374" i="6"/>
  <c r="O374" i="6"/>
  <c r="N374" i="6"/>
  <c r="Q374" i="6" s="1"/>
  <c r="R373" i="6"/>
  <c r="Q373" i="6"/>
  <c r="O373" i="6"/>
  <c r="N373" i="6"/>
  <c r="P373" i="6" s="1"/>
  <c r="R372" i="6"/>
  <c r="N372" i="6"/>
  <c r="R371" i="6"/>
  <c r="N371" i="6"/>
  <c r="R370" i="6"/>
  <c r="P370" i="6"/>
  <c r="N370" i="6"/>
  <c r="Q370" i="6" s="1"/>
  <c r="R369" i="6"/>
  <c r="P369" i="6"/>
  <c r="O369" i="6"/>
  <c r="N369" i="6"/>
  <c r="Q369" i="6" s="1"/>
  <c r="R368" i="6"/>
  <c r="P368" i="6"/>
  <c r="O368" i="6"/>
  <c r="N368" i="6"/>
  <c r="Q368" i="6" s="1"/>
  <c r="R367" i="6"/>
  <c r="Q367" i="6"/>
  <c r="P367" i="6"/>
  <c r="O367" i="6"/>
  <c r="N367" i="6"/>
  <c r="R366" i="6"/>
  <c r="O366" i="6"/>
  <c r="N366" i="6"/>
  <c r="Q366" i="6" s="1"/>
  <c r="R365" i="6"/>
  <c r="Q365" i="6"/>
  <c r="N365" i="6"/>
  <c r="P365" i="6" s="1"/>
  <c r="R364" i="6"/>
  <c r="Q364" i="6"/>
  <c r="P364" i="6"/>
  <c r="N364" i="6"/>
  <c r="O364" i="6" s="1"/>
  <c r="R363" i="6"/>
  <c r="N363" i="6"/>
  <c r="R362" i="6"/>
  <c r="P362" i="6"/>
  <c r="N362" i="6"/>
  <c r="Q362" i="6" s="1"/>
  <c r="R361" i="6"/>
  <c r="P361" i="6"/>
  <c r="O361" i="6"/>
  <c r="N361" i="6"/>
  <c r="Q361" i="6" s="1"/>
  <c r="R360" i="6"/>
  <c r="P360" i="6"/>
  <c r="O360" i="6"/>
  <c r="N360" i="6"/>
  <c r="Q360" i="6" s="1"/>
  <c r="R359" i="6"/>
  <c r="Q359" i="6"/>
  <c r="P359" i="6"/>
  <c r="O359" i="6"/>
  <c r="N359" i="6"/>
  <c r="R358" i="6"/>
  <c r="O358" i="6"/>
  <c r="N358" i="6"/>
  <c r="R357" i="6"/>
  <c r="Q357" i="6"/>
  <c r="N357" i="6"/>
  <c r="P357" i="6" s="1"/>
  <c r="R356" i="6"/>
  <c r="N356" i="6"/>
  <c r="O356" i="6" s="1"/>
  <c r="R355" i="6"/>
  <c r="N355" i="6"/>
  <c r="R354" i="6"/>
  <c r="P354" i="6"/>
  <c r="N354" i="6"/>
  <c r="Q354" i="6" s="1"/>
  <c r="R353" i="6"/>
  <c r="P353" i="6"/>
  <c r="O353" i="6"/>
  <c r="N353" i="6"/>
  <c r="Q353" i="6" s="1"/>
  <c r="R352" i="6"/>
  <c r="P352" i="6"/>
  <c r="O352" i="6"/>
  <c r="N352" i="6"/>
  <c r="Q352" i="6" s="1"/>
  <c r="R351" i="6"/>
  <c r="Q351" i="6"/>
  <c r="P351" i="6"/>
  <c r="O351" i="6"/>
  <c r="N351" i="6"/>
  <c r="R350" i="6"/>
  <c r="N350" i="6"/>
  <c r="R349" i="6"/>
  <c r="Q349" i="6"/>
  <c r="N349" i="6"/>
  <c r="P349" i="6" s="1"/>
  <c r="R348" i="6"/>
  <c r="Q348" i="6"/>
  <c r="P348" i="6"/>
  <c r="N348" i="6"/>
  <c r="O348" i="6" s="1"/>
  <c r="R347" i="6"/>
  <c r="N347" i="6"/>
  <c r="R346" i="6"/>
  <c r="P346" i="6"/>
  <c r="N346" i="6"/>
  <c r="Q346" i="6" s="1"/>
  <c r="R345" i="6"/>
  <c r="P345" i="6"/>
  <c r="O345" i="6"/>
  <c r="N345" i="6"/>
  <c r="Q345" i="6" s="1"/>
  <c r="R344" i="6"/>
  <c r="P344" i="6"/>
  <c r="O344" i="6"/>
  <c r="N344" i="6"/>
  <c r="Q344" i="6" s="1"/>
  <c r="R343" i="6"/>
  <c r="Q343" i="6"/>
  <c r="P343" i="6"/>
  <c r="O343" i="6"/>
  <c r="N343" i="6"/>
  <c r="R342" i="6"/>
  <c r="O342" i="6"/>
  <c r="N342" i="6"/>
  <c r="R341" i="6"/>
  <c r="Q341" i="6"/>
  <c r="N341" i="6"/>
  <c r="P341" i="6" s="1"/>
  <c r="R340" i="6"/>
  <c r="N340" i="6"/>
  <c r="O340" i="6" s="1"/>
  <c r="R339" i="6"/>
  <c r="N339" i="6"/>
  <c r="R338" i="6"/>
  <c r="P338" i="6"/>
  <c r="N338" i="6"/>
  <c r="Q338" i="6" s="1"/>
  <c r="R337" i="6"/>
  <c r="P337" i="6"/>
  <c r="O337" i="6"/>
  <c r="N337" i="6"/>
  <c r="Q337" i="6" s="1"/>
  <c r="R336" i="6"/>
  <c r="P336" i="6"/>
  <c r="O336" i="6"/>
  <c r="N336" i="6"/>
  <c r="Q336" i="6" s="1"/>
  <c r="R335" i="6"/>
  <c r="Q335" i="6"/>
  <c r="P335" i="6"/>
  <c r="O335" i="6"/>
  <c r="N335" i="6"/>
  <c r="R334" i="6"/>
  <c r="N334" i="6"/>
  <c r="R333" i="6"/>
  <c r="Q333" i="6"/>
  <c r="N333" i="6"/>
  <c r="P333" i="6" s="1"/>
  <c r="R332" i="6"/>
  <c r="Q332" i="6"/>
  <c r="P332" i="6"/>
  <c r="N332" i="6"/>
  <c r="O332" i="6" s="1"/>
  <c r="R331" i="6"/>
  <c r="N331" i="6"/>
  <c r="R330" i="6"/>
  <c r="P330" i="6"/>
  <c r="N330" i="6"/>
  <c r="Q330" i="6" s="1"/>
  <c r="R329" i="6"/>
  <c r="P329" i="6"/>
  <c r="O329" i="6"/>
  <c r="N329" i="6"/>
  <c r="Q329" i="6" s="1"/>
  <c r="R328" i="6"/>
  <c r="P328" i="6"/>
  <c r="O328" i="6"/>
  <c r="N328" i="6"/>
  <c r="Q328" i="6" s="1"/>
  <c r="R327" i="6"/>
  <c r="Q327" i="6"/>
  <c r="P327" i="6"/>
  <c r="O327" i="6"/>
  <c r="N327" i="6"/>
  <c r="R326" i="6"/>
  <c r="O326" i="6"/>
  <c r="N326" i="6"/>
  <c r="R325" i="6"/>
  <c r="Q325" i="6"/>
  <c r="N325" i="6"/>
  <c r="P325" i="6" s="1"/>
  <c r="R324" i="6"/>
  <c r="N324" i="6"/>
  <c r="O324" i="6" s="1"/>
  <c r="R323" i="6"/>
  <c r="N323" i="6"/>
  <c r="R322" i="6"/>
  <c r="P322" i="6"/>
  <c r="N322" i="6"/>
  <c r="Q322" i="6" s="1"/>
  <c r="R321" i="6"/>
  <c r="P321" i="6"/>
  <c r="O321" i="6"/>
  <c r="N321" i="6"/>
  <c r="Q321" i="6" s="1"/>
  <c r="R320" i="6"/>
  <c r="P320" i="6"/>
  <c r="O320" i="6"/>
  <c r="N320" i="6"/>
  <c r="Q320" i="6" s="1"/>
  <c r="R319" i="6"/>
  <c r="Q319" i="6"/>
  <c r="P319" i="6"/>
  <c r="O319" i="6"/>
  <c r="N319" i="6"/>
  <c r="R318" i="6"/>
  <c r="N318" i="6"/>
  <c r="R317" i="6"/>
  <c r="Q317" i="6"/>
  <c r="N317" i="6"/>
  <c r="P317" i="6" s="1"/>
  <c r="R316" i="6"/>
  <c r="Q316" i="6"/>
  <c r="P316" i="6"/>
  <c r="N316" i="6"/>
  <c r="O316" i="6" s="1"/>
  <c r="R315" i="6"/>
  <c r="N315" i="6"/>
  <c r="R314" i="6"/>
  <c r="P314" i="6"/>
  <c r="N314" i="6"/>
  <c r="Q314" i="6" s="1"/>
  <c r="R313" i="6"/>
  <c r="P313" i="6"/>
  <c r="O313" i="6"/>
  <c r="N313" i="6"/>
  <c r="Q313" i="6" s="1"/>
  <c r="R312" i="6"/>
  <c r="P312" i="6"/>
  <c r="O312" i="6"/>
  <c r="N312" i="6"/>
  <c r="Q312" i="6" s="1"/>
  <c r="R311" i="6"/>
  <c r="Q311" i="6"/>
  <c r="P311" i="6"/>
  <c r="O311" i="6"/>
  <c r="N311" i="6"/>
  <c r="R310" i="6"/>
  <c r="O310" i="6"/>
  <c r="N310" i="6"/>
  <c r="R309" i="6"/>
  <c r="Q309" i="6"/>
  <c r="N309" i="6"/>
  <c r="P309" i="6" s="1"/>
  <c r="R308" i="6"/>
  <c r="N308" i="6"/>
  <c r="O308" i="6" s="1"/>
  <c r="R307" i="6"/>
  <c r="N307" i="6"/>
  <c r="R306" i="6"/>
  <c r="P306" i="6"/>
  <c r="N306" i="6"/>
  <c r="Q306" i="6" s="1"/>
  <c r="R305" i="6"/>
  <c r="P305" i="6"/>
  <c r="O305" i="6"/>
  <c r="N305" i="6"/>
  <c r="Q305" i="6" s="1"/>
  <c r="R304" i="6"/>
  <c r="Q304" i="6"/>
  <c r="P304" i="6"/>
  <c r="O304" i="6"/>
  <c r="N304" i="6"/>
  <c r="R303" i="6"/>
  <c r="Q303" i="6"/>
  <c r="P303" i="6"/>
  <c r="O303" i="6"/>
  <c r="N303" i="6"/>
  <c r="R302" i="6"/>
  <c r="Q302" i="6"/>
  <c r="N302" i="6"/>
  <c r="P302" i="6" s="1"/>
  <c r="R301" i="6"/>
  <c r="O301" i="6"/>
  <c r="N301" i="6"/>
  <c r="P301" i="6" s="1"/>
  <c r="R300" i="6"/>
  <c r="Q300" i="6"/>
  <c r="N300" i="6"/>
  <c r="O300" i="6" s="1"/>
  <c r="R299" i="6"/>
  <c r="P299" i="6"/>
  <c r="N299" i="6"/>
  <c r="O299" i="6" s="1"/>
  <c r="R298" i="6"/>
  <c r="Q298" i="6"/>
  <c r="N298" i="6"/>
  <c r="O298" i="6" s="1"/>
  <c r="R297" i="6"/>
  <c r="O297" i="6"/>
  <c r="N297" i="6"/>
  <c r="Q297" i="6" s="1"/>
  <c r="R296" i="6"/>
  <c r="P296" i="6"/>
  <c r="N296" i="6"/>
  <c r="Q296" i="6" s="1"/>
  <c r="R295" i="6"/>
  <c r="P295" i="6"/>
  <c r="O295" i="6"/>
  <c r="N295" i="6"/>
  <c r="Q295" i="6" s="1"/>
  <c r="R294" i="6"/>
  <c r="P294" i="6"/>
  <c r="O294" i="6"/>
  <c r="N294" i="6"/>
  <c r="Q294" i="6" s="1"/>
  <c r="R293" i="6"/>
  <c r="Q293" i="6"/>
  <c r="P293" i="6"/>
  <c r="O293" i="6"/>
  <c r="N293" i="6"/>
  <c r="R292" i="6"/>
  <c r="O292" i="6"/>
  <c r="N292" i="6"/>
  <c r="Q292" i="6" s="1"/>
  <c r="R291" i="6"/>
  <c r="Q291" i="6"/>
  <c r="N291" i="6"/>
  <c r="P291" i="6" s="1"/>
  <c r="R290" i="6"/>
  <c r="Q290" i="6"/>
  <c r="N290" i="6"/>
  <c r="P290" i="6" s="1"/>
  <c r="R289" i="6"/>
  <c r="N289" i="6"/>
  <c r="R288" i="6"/>
  <c r="Q288" i="6"/>
  <c r="P288" i="6"/>
  <c r="N288" i="6"/>
  <c r="O288" i="6" s="1"/>
  <c r="R287" i="6"/>
  <c r="P287" i="6"/>
  <c r="O287" i="6"/>
  <c r="N287" i="6"/>
  <c r="Q287" i="6" s="1"/>
  <c r="R286" i="6"/>
  <c r="P286" i="6"/>
  <c r="O286" i="6"/>
  <c r="N286" i="6"/>
  <c r="Q286" i="6" s="1"/>
  <c r="R285" i="6"/>
  <c r="Q285" i="6"/>
  <c r="P285" i="6"/>
  <c r="O285" i="6"/>
  <c r="N285" i="6"/>
  <c r="R284" i="6"/>
  <c r="O284" i="6"/>
  <c r="N284" i="6"/>
  <c r="Q284" i="6" s="1"/>
  <c r="R283" i="6"/>
  <c r="Q283" i="6"/>
  <c r="N283" i="6"/>
  <c r="P283" i="6" s="1"/>
  <c r="R282" i="6"/>
  <c r="Q282" i="6"/>
  <c r="N282" i="6"/>
  <c r="P282" i="6" s="1"/>
  <c r="R281" i="6"/>
  <c r="N281" i="6"/>
  <c r="R280" i="6"/>
  <c r="Q280" i="6"/>
  <c r="P280" i="6"/>
  <c r="N280" i="6"/>
  <c r="O280" i="6" s="1"/>
  <c r="R279" i="6"/>
  <c r="P279" i="6"/>
  <c r="O279" i="6"/>
  <c r="N279" i="6"/>
  <c r="Q279" i="6" s="1"/>
  <c r="R278" i="6"/>
  <c r="P278" i="6"/>
  <c r="O278" i="6"/>
  <c r="N278" i="6"/>
  <c r="Q278" i="6" s="1"/>
  <c r="R277" i="6"/>
  <c r="Q277" i="6"/>
  <c r="P277" i="6"/>
  <c r="O277" i="6"/>
  <c r="N277" i="6"/>
  <c r="R276" i="6"/>
  <c r="O276" i="6"/>
  <c r="N276" i="6"/>
  <c r="Q276" i="6" s="1"/>
  <c r="R275" i="6"/>
  <c r="Q275" i="6"/>
  <c r="N275" i="6"/>
  <c r="P275" i="6" s="1"/>
  <c r="R274" i="6"/>
  <c r="Q274" i="6"/>
  <c r="N274" i="6"/>
  <c r="P274" i="6" s="1"/>
  <c r="R273" i="6"/>
  <c r="N273" i="6"/>
  <c r="R272" i="6"/>
  <c r="Q272" i="6"/>
  <c r="P272" i="6"/>
  <c r="N272" i="6"/>
  <c r="O272" i="6" s="1"/>
  <c r="R271" i="6"/>
  <c r="P271" i="6"/>
  <c r="O271" i="6"/>
  <c r="N271" i="6"/>
  <c r="Q271" i="6" s="1"/>
  <c r="R270" i="6"/>
  <c r="P270" i="6"/>
  <c r="O270" i="6"/>
  <c r="N270" i="6"/>
  <c r="Q270" i="6" s="1"/>
  <c r="R269" i="6"/>
  <c r="Q269" i="6"/>
  <c r="P269" i="6"/>
  <c r="O269" i="6"/>
  <c r="N269" i="6"/>
  <c r="R268" i="6"/>
  <c r="O268" i="6"/>
  <c r="N268" i="6"/>
  <c r="Q268" i="6" s="1"/>
  <c r="R267" i="6"/>
  <c r="Q267" i="6"/>
  <c r="N267" i="6"/>
  <c r="P267" i="6" s="1"/>
  <c r="R266" i="6"/>
  <c r="Q266" i="6"/>
  <c r="N266" i="6"/>
  <c r="P266" i="6" s="1"/>
  <c r="R265" i="6"/>
  <c r="N265" i="6"/>
  <c r="R264" i="6"/>
  <c r="Q264" i="6"/>
  <c r="P264" i="6"/>
  <c r="N264" i="6"/>
  <c r="O264" i="6" s="1"/>
  <c r="R263" i="6"/>
  <c r="P263" i="6"/>
  <c r="O263" i="6"/>
  <c r="N263" i="6"/>
  <c r="Q263" i="6" s="1"/>
  <c r="R262" i="6"/>
  <c r="P262" i="6"/>
  <c r="O262" i="6"/>
  <c r="N262" i="6"/>
  <c r="Q262" i="6" s="1"/>
  <c r="R261" i="6"/>
  <c r="Q261" i="6"/>
  <c r="P261" i="6"/>
  <c r="O261" i="6"/>
  <c r="N261" i="6"/>
  <c r="R260" i="6"/>
  <c r="O260" i="6"/>
  <c r="N260" i="6"/>
  <c r="Q260" i="6" s="1"/>
  <c r="R259" i="6"/>
  <c r="Q259" i="6"/>
  <c r="N259" i="6"/>
  <c r="P259" i="6" s="1"/>
  <c r="R258" i="6"/>
  <c r="Q258" i="6"/>
  <c r="N258" i="6"/>
  <c r="P258" i="6" s="1"/>
  <c r="R257" i="6"/>
  <c r="N257" i="6"/>
  <c r="R256" i="6"/>
  <c r="Q256" i="6"/>
  <c r="P256" i="6"/>
  <c r="N256" i="6"/>
  <c r="O256" i="6" s="1"/>
  <c r="R255" i="6"/>
  <c r="P255" i="6"/>
  <c r="O255" i="6"/>
  <c r="N255" i="6"/>
  <c r="Q255" i="6" s="1"/>
  <c r="R254" i="6"/>
  <c r="P254" i="6"/>
  <c r="O254" i="6"/>
  <c r="N254" i="6"/>
  <c r="Q254" i="6" s="1"/>
  <c r="R253" i="6"/>
  <c r="Q253" i="6"/>
  <c r="P253" i="6"/>
  <c r="O253" i="6"/>
  <c r="N253" i="6"/>
  <c r="R252" i="6"/>
  <c r="O252" i="6"/>
  <c r="N252" i="6"/>
  <c r="Q252" i="6" s="1"/>
  <c r="R251" i="6"/>
  <c r="Q251" i="6"/>
  <c r="N251" i="6"/>
  <c r="P251" i="6" s="1"/>
  <c r="R250" i="6"/>
  <c r="Q250" i="6"/>
  <c r="N250" i="6"/>
  <c r="P250" i="6" s="1"/>
  <c r="R249" i="6"/>
  <c r="N249" i="6"/>
  <c r="R248" i="6"/>
  <c r="P248" i="6"/>
  <c r="N248" i="6"/>
  <c r="Q248" i="6" s="1"/>
  <c r="R247" i="6"/>
  <c r="P247" i="6"/>
  <c r="O247" i="6"/>
  <c r="N247" i="6"/>
  <c r="Q247" i="6" s="1"/>
  <c r="R246" i="6"/>
  <c r="P246" i="6"/>
  <c r="O246" i="6"/>
  <c r="N246" i="6"/>
  <c r="Q246" i="6" s="1"/>
  <c r="R245" i="6"/>
  <c r="Q245" i="6"/>
  <c r="P245" i="6"/>
  <c r="O245" i="6"/>
  <c r="N245" i="6"/>
  <c r="R244" i="6"/>
  <c r="Q244" i="6"/>
  <c r="P244" i="6"/>
  <c r="O244" i="6"/>
  <c r="N244" i="6"/>
  <c r="R243" i="6"/>
  <c r="Q243" i="6"/>
  <c r="P243" i="6"/>
  <c r="O243" i="6"/>
  <c r="N243" i="6"/>
  <c r="R242" i="6"/>
  <c r="Q242" i="6"/>
  <c r="P242" i="6"/>
  <c r="O242" i="6"/>
  <c r="N242" i="6"/>
  <c r="R241" i="6"/>
  <c r="N241" i="6"/>
  <c r="R240" i="6"/>
  <c r="Q240" i="6"/>
  <c r="P240" i="6"/>
  <c r="N240" i="6"/>
  <c r="O240" i="6" s="1"/>
  <c r="R239" i="6"/>
  <c r="P239" i="6"/>
  <c r="O239" i="6"/>
  <c r="N239" i="6"/>
  <c r="Q239" i="6" s="1"/>
  <c r="R238" i="6"/>
  <c r="P238" i="6"/>
  <c r="O238" i="6"/>
  <c r="N238" i="6"/>
  <c r="Q238" i="6" s="1"/>
  <c r="R237" i="6"/>
  <c r="Q237" i="6"/>
  <c r="P237" i="6"/>
  <c r="O237" i="6"/>
  <c r="N237" i="6"/>
  <c r="R236" i="6"/>
  <c r="O236" i="6"/>
  <c r="N236" i="6"/>
  <c r="Q236" i="6" s="1"/>
  <c r="R235" i="6"/>
  <c r="Q235" i="6"/>
  <c r="N235" i="6"/>
  <c r="P235" i="6" s="1"/>
  <c r="R234" i="6"/>
  <c r="Q234" i="6"/>
  <c r="N234" i="6"/>
  <c r="P234" i="6" s="1"/>
  <c r="R233" i="6"/>
  <c r="N233" i="6"/>
  <c r="R232" i="6"/>
  <c r="P232" i="6"/>
  <c r="N232" i="6"/>
  <c r="Q232" i="6" s="1"/>
  <c r="R231" i="6"/>
  <c r="P231" i="6"/>
  <c r="O231" i="6"/>
  <c r="N231" i="6"/>
  <c r="Q231" i="6" s="1"/>
  <c r="R230" i="6"/>
  <c r="P230" i="6"/>
  <c r="O230" i="6"/>
  <c r="N230" i="6"/>
  <c r="Q230" i="6" s="1"/>
  <c r="R229" i="6"/>
  <c r="Q229" i="6"/>
  <c r="P229" i="6"/>
  <c r="O229" i="6"/>
  <c r="N229" i="6"/>
  <c r="R228" i="6"/>
  <c r="O228" i="6"/>
  <c r="N228" i="6"/>
  <c r="Q228" i="6" s="1"/>
  <c r="R227" i="6"/>
  <c r="Q227" i="6"/>
  <c r="N227" i="6"/>
  <c r="P227" i="6" s="1"/>
  <c r="R226" i="6"/>
  <c r="Q226" i="6"/>
  <c r="N226" i="6"/>
  <c r="P226" i="6" s="1"/>
  <c r="R225" i="6"/>
  <c r="N225" i="6"/>
  <c r="R224" i="6"/>
  <c r="P224" i="6"/>
  <c r="N224" i="6"/>
  <c r="Q224" i="6" s="1"/>
  <c r="R223" i="6"/>
  <c r="P223" i="6"/>
  <c r="O223" i="6"/>
  <c r="N223" i="6"/>
  <c r="Q223" i="6" s="1"/>
  <c r="R222" i="6"/>
  <c r="P222" i="6"/>
  <c r="O222" i="6"/>
  <c r="N222" i="6"/>
  <c r="Q222" i="6" s="1"/>
  <c r="R221" i="6"/>
  <c r="Q221" i="6"/>
  <c r="P221" i="6"/>
  <c r="O221" i="6"/>
  <c r="N221" i="6"/>
  <c r="R220" i="6"/>
  <c r="O220" i="6"/>
  <c r="N220" i="6"/>
  <c r="Q220" i="6" s="1"/>
  <c r="R219" i="6"/>
  <c r="Q219" i="6"/>
  <c r="N219" i="6"/>
  <c r="P219" i="6" s="1"/>
  <c r="R218" i="6"/>
  <c r="Q218" i="6"/>
  <c r="N218" i="6"/>
  <c r="P218" i="6" s="1"/>
  <c r="R217" i="6"/>
  <c r="N217" i="6"/>
  <c r="R216" i="6"/>
  <c r="P216" i="6"/>
  <c r="N216" i="6"/>
  <c r="Q216" i="6" s="1"/>
  <c r="R215" i="6"/>
  <c r="P215" i="6"/>
  <c r="O215" i="6"/>
  <c r="N215" i="6"/>
  <c r="Q215" i="6" s="1"/>
  <c r="R214" i="6"/>
  <c r="P214" i="6"/>
  <c r="O214" i="6"/>
  <c r="N214" i="6"/>
  <c r="Q214" i="6" s="1"/>
  <c r="R213" i="6"/>
  <c r="Q213" i="6"/>
  <c r="P213" i="6"/>
  <c r="O213" i="6"/>
  <c r="N213" i="6"/>
  <c r="R212" i="6"/>
  <c r="Q212" i="6"/>
  <c r="O212" i="6"/>
  <c r="N212" i="6"/>
  <c r="P212" i="6" s="1"/>
  <c r="R211" i="6"/>
  <c r="N211" i="6"/>
  <c r="R210" i="6"/>
  <c r="Q210" i="6"/>
  <c r="N210" i="6"/>
  <c r="P210" i="6" s="1"/>
  <c r="R209" i="6"/>
  <c r="P209" i="6"/>
  <c r="N209" i="6"/>
  <c r="R208" i="6"/>
  <c r="P208" i="6"/>
  <c r="N208" i="6"/>
  <c r="Q208" i="6" s="1"/>
  <c r="R207" i="6"/>
  <c r="P207" i="6"/>
  <c r="O207" i="6"/>
  <c r="N207" i="6"/>
  <c r="Q207" i="6" s="1"/>
  <c r="R206" i="6"/>
  <c r="P206" i="6"/>
  <c r="O206" i="6"/>
  <c r="N206" i="6"/>
  <c r="Q206" i="6" s="1"/>
  <c r="R205" i="6"/>
  <c r="Q205" i="6"/>
  <c r="P205" i="6"/>
  <c r="O205" i="6"/>
  <c r="N205" i="6"/>
  <c r="R204" i="6"/>
  <c r="Q204" i="6"/>
  <c r="O204" i="6"/>
  <c r="N204" i="6"/>
  <c r="P204" i="6" s="1"/>
  <c r="R203" i="6"/>
  <c r="N203" i="6"/>
  <c r="R202" i="6"/>
  <c r="Q202" i="6"/>
  <c r="N202" i="6"/>
  <c r="P202" i="6" s="1"/>
  <c r="R201" i="6"/>
  <c r="P201" i="6"/>
  <c r="N201" i="6"/>
  <c r="R200" i="6"/>
  <c r="P200" i="6"/>
  <c r="N200" i="6"/>
  <c r="Q200" i="6" s="1"/>
  <c r="R199" i="6"/>
  <c r="P199" i="6"/>
  <c r="O199" i="6"/>
  <c r="N199" i="6"/>
  <c r="Q199" i="6" s="1"/>
  <c r="R198" i="6"/>
  <c r="P198" i="6"/>
  <c r="O198" i="6"/>
  <c r="N198" i="6"/>
  <c r="Q198" i="6" s="1"/>
  <c r="R197" i="6"/>
  <c r="Q197" i="6"/>
  <c r="P197" i="6"/>
  <c r="O197" i="6"/>
  <c r="N197" i="6"/>
  <c r="R196" i="6"/>
  <c r="Q196" i="6"/>
  <c r="O196" i="6"/>
  <c r="N196" i="6"/>
  <c r="P196" i="6" s="1"/>
  <c r="R195" i="6"/>
  <c r="N195" i="6"/>
  <c r="R194" i="6"/>
  <c r="Q194" i="6"/>
  <c r="N194" i="6"/>
  <c r="P194" i="6" s="1"/>
  <c r="R193" i="6"/>
  <c r="P193" i="6"/>
  <c r="N193" i="6"/>
  <c r="R192" i="6"/>
  <c r="P192" i="6"/>
  <c r="N192" i="6"/>
  <c r="Q192" i="6" s="1"/>
  <c r="R191" i="6"/>
  <c r="P191" i="6"/>
  <c r="O191" i="6"/>
  <c r="N191" i="6"/>
  <c r="Q191" i="6" s="1"/>
  <c r="R190" i="6"/>
  <c r="P190" i="6"/>
  <c r="O190" i="6"/>
  <c r="N190" i="6"/>
  <c r="Q190" i="6" s="1"/>
  <c r="R189" i="6"/>
  <c r="Q189" i="6"/>
  <c r="P189" i="6"/>
  <c r="O189" i="6"/>
  <c r="N189" i="6"/>
  <c r="R188" i="6"/>
  <c r="Q188" i="6"/>
  <c r="O188" i="6"/>
  <c r="N188" i="6"/>
  <c r="P188" i="6" s="1"/>
  <c r="R187" i="6"/>
  <c r="N187" i="6"/>
  <c r="R186" i="6"/>
  <c r="Q186" i="6"/>
  <c r="N186" i="6"/>
  <c r="P186" i="6" s="1"/>
  <c r="R185" i="6"/>
  <c r="P185" i="6"/>
  <c r="N185" i="6"/>
  <c r="R184" i="6"/>
  <c r="P184" i="6"/>
  <c r="N184" i="6"/>
  <c r="Q184" i="6" s="1"/>
  <c r="R183" i="6"/>
  <c r="P183" i="6"/>
  <c r="O183" i="6"/>
  <c r="N183" i="6"/>
  <c r="Q183" i="6" s="1"/>
  <c r="R182" i="6"/>
  <c r="P182" i="6"/>
  <c r="O182" i="6"/>
  <c r="N182" i="6"/>
  <c r="Q182" i="6" s="1"/>
  <c r="R181" i="6"/>
  <c r="Q181" i="6"/>
  <c r="P181" i="6"/>
  <c r="O181" i="6"/>
  <c r="N181" i="6"/>
  <c r="R180" i="6"/>
  <c r="Q180" i="6"/>
  <c r="O180" i="6"/>
  <c r="N180" i="6"/>
  <c r="P180" i="6" s="1"/>
  <c r="R179" i="6"/>
  <c r="N179" i="6"/>
  <c r="R178" i="6"/>
  <c r="Q178" i="6"/>
  <c r="N178" i="6"/>
  <c r="P178" i="6" s="1"/>
  <c r="R177" i="6"/>
  <c r="P177" i="6"/>
  <c r="N177" i="6"/>
  <c r="R176" i="6"/>
  <c r="P176" i="6"/>
  <c r="N176" i="6"/>
  <c r="Q176" i="6" s="1"/>
  <c r="R175" i="6"/>
  <c r="P175" i="6"/>
  <c r="O175" i="6"/>
  <c r="N175" i="6"/>
  <c r="Q175" i="6" s="1"/>
  <c r="R174" i="6"/>
  <c r="P174" i="6"/>
  <c r="O174" i="6"/>
  <c r="N174" i="6"/>
  <c r="Q174" i="6" s="1"/>
  <c r="R173" i="6"/>
  <c r="Q173" i="6"/>
  <c r="P173" i="6"/>
  <c r="O173" i="6"/>
  <c r="N173" i="6"/>
  <c r="R172" i="6"/>
  <c r="O172" i="6"/>
  <c r="N172" i="6"/>
  <c r="P172" i="6" s="1"/>
  <c r="R171" i="6"/>
  <c r="N171" i="6"/>
  <c r="Q171" i="6" s="1"/>
  <c r="R170" i="6"/>
  <c r="Q170" i="6"/>
  <c r="N170" i="6"/>
  <c r="O170" i="6" s="1"/>
  <c r="R169" i="6"/>
  <c r="N169" i="6"/>
  <c r="P169" i="6" s="1"/>
  <c r="R168" i="6"/>
  <c r="P168" i="6"/>
  <c r="N168" i="6"/>
  <c r="Q168" i="6" s="1"/>
  <c r="R167" i="6"/>
  <c r="P167" i="6"/>
  <c r="O167" i="6"/>
  <c r="N167" i="6"/>
  <c r="Q167" i="6" s="1"/>
  <c r="R166" i="6"/>
  <c r="P166" i="6"/>
  <c r="O166" i="6"/>
  <c r="N166" i="6"/>
  <c r="Q166" i="6" s="1"/>
  <c r="R165" i="6"/>
  <c r="Q165" i="6"/>
  <c r="P165" i="6"/>
  <c r="O165" i="6"/>
  <c r="N165" i="6"/>
  <c r="R164" i="6"/>
  <c r="Q164" i="6"/>
  <c r="O164" i="6"/>
  <c r="N164" i="6"/>
  <c r="P164" i="6" s="1"/>
  <c r="R163" i="6"/>
  <c r="N163" i="6"/>
  <c r="R162" i="6"/>
  <c r="Q162" i="6"/>
  <c r="N162" i="6"/>
  <c r="O162" i="6" s="1"/>
  <c r="R161" i="6"/>
  <c r="P161" i="6"/>
  <c r="N161" i="6"/>
  <c r="R160" i="6"/>
  <c r="P160" i="6"/>
  <c r="N160" i="6"/>
  <c r="Q160" i="6" s="1"/>
  <c r="R159" i="6"/>
  <c r="P159" i="6"/>
  <c r="O159" i="6"/>
  <c r="N159" i="6"/>
  <c r="Q159" i="6" s="1"/>
  <c r="R158" i="6"/>
  <c r="P158" i="6"/>
  <c r="O158" i="6"/>
  <c r="N158" i="6"/>
  <c r="Q158" i="6" s="1"/>
  <c r="R157" i="6"/>
  <c r="Q157" i="6"/>
  <c r="P157" i="6"/>
  <c r="O157" i="6"/>
  <c r="N157" i="6"/>
  <c r="R156" i="6"/>
  <c r="Q156" i="6"/>
  <c r="O156" i="6"/>
  <c r="N156" i="6"/>
  <c r="P156" i="6" s="1"/>
  <c r="R155" i="6"/>
  <c r="N155" i="6"/>
  <c r="R154" i="6"/>
  <c r="N154" i="6"/>
  <c r="O154" i="6" s="1"/>
  <c r="R153" i="6"/>
  <c r="P153" i="6"/>
  <c r="N153" i="6"/>
  <c r="R152" i="6"/>
  <c r="Q152" i="6"/>
  <c r="P152" i="6"/>
  <c r="N152" i="6"/>
  <c r="O152" i="6" s="1"/>
  <c r="R151" i="6"/>
  <c r="P151" i="6"/>
  <c r="O151" i="6"/>
  <c r="N151" i="6"/>
  <c r="Q151" i="6" s="1"/>
  <c r="R150" i="6"/>
  <c r="P150" i="6"/>
  <c r="O150" i="6"/>
  <c r="N150" i="6"/>
  <c r="Q150" i="6" s="1"/>
  <c r="R149" i="6"/>
  <c r="Q149" i="6"/>
  <c r="P149" i="6"/>
  <c r="O149" i="6"/>
  <c r="N149" i="6"/>
  <c r="R148" i="6"/>
  <c r="N148" i="6"/>
  <c r="P148" i="6" s="1"/>
  <c r="R147" i="6"/>
  <c r="Q147" i="6"/>
  <c r="N147" i="6"/>
  <c r="R146" i="6"/>
  <c r="N146" i="6"/>
  <c r="O146" i="6" s="1"/>
  <c r="R145" i="6"/>
  <c r="N145" i="6"/>
  <c r="R144" i="6"/>
  <c r="Q144" i="6"/>
  <c r="P144" i="6"/>
  <c r="N144" i="6"/>
  <c r="O144" i="6" s="1"/>
  <c r="R143" i="6"/>
  <c r="P143" i="6"/>
  <c r="O143" i="6"/>
  <c r="N143" i="6"/>
  <c r="Q143" i="6" s="1"/>
  <c r="R142" i="6"/>
  <c r="P142" i="6"/>
  <c r="O142" i="6"/>
  <c r="N142" i="6"/>
  <c r="Q142" i="6" s="1"/>
  <c r="R141" i="6"/>
  <c r="Q141" i="6"/>
  <c r="P141" i="6"/>
  <c r="O141" i="6"/>
  <c r="N141" i="6"/>
  <c r="R140" i="6"/>
  <c r="N140" i="6"/>
  <c r="P140" i="6" s="1"/>
  <c r="R139" i="6"/>
  <c r="N139" i="6"/>
  <c r="R138" i="6"/>
  <c r="Q138" i="6"/>
  <c r="N138" i="6"/>
  <c r="O138" i="6" s="1"/>
  <c r="R137" i="6"/>
  <c r="P137" i="6"/>
  <c r="N137" i="6"/>
  <c r="R136" i="6"/>
  <c r="Q136" i="6"/>
  <c r="P136" i="6"/>
  <c r="N136" i="6"/>
  <c r="O136" i="6" s="1"/>
  <c r="R135" i="6"/>
  <c r="P135" i="6"/>
  <c r="O135" i="6"/>
  <c r="N135" i="6"/>
  <c r="Q135" i="6" s="1"/>
  <c r="R134" i="6"/>
  <c r="P134" i="6"/>
  <c r="O134" i="6"/>
  <c r="N134" i="6"/>
  <c r="Q134" i="6" s="1"/>
  <c r="R133" i="6"/>
  <c r="Q133" i="6"/>
  <c r="P133" i="6"/>
  <c r="O133" i="6"/>
  <c r="N133" i="6"/>
  <c r="R132" i="6"/>
  <c r="Q132" i="6"/>
  <c r="N132" i="6"/>
  <c r="P132" i="6" s="1"/>
  <c r="R131" i="6"/>
  <c r="Q131" i="6"/>
  <c r="N131" i="6"/>
  <c r="R130" i="6"/>
  <c r="P130" i="6"/>
  <c r="N130" i="6"/>
  <c r="O130" i="6" s="1"/>
  <c r="R129" i="6"/>
  <c r="N129" i="6"/>
  <c r="R128" i="6"/>
  <c r="P128" i="6"/>
  <c r="N128" i="6"/>
  <c r="Q128" i="6" s="1"/>
  <c r="R127" i="6"/>
  <c r="P127" i="6"/>
  <c r="O127" i="6"/>
  <c r="N127" i="6"/>
  <c r="Q127" i="6" s="1"/>
  <c r="R126" i="6"/>
  <c r="O126" i="6"/>
  <c r="N126" i="6"/>
  <c r="Q126" i="6" s="1"/>
  <c r="R125" i="6"/>
  <c r="Q125" i="6"/>
  <c r="P125" i="6"/>
  <c r="O125" i="6"/>
  <c r="N125" i="6"/>
  <c r="R124" i="6"/>
  <c r="Q124" i="6"/>
  <c r="O124" i="6"/>
  <c r="N124" i="6"/>
  <c r="P124" i="6" s="1"/>
  <c r="R123" i="6"/>
  <c r="N123" i="6"/>
  <c r="R122" i="6"/>
  <c r="Q122" i="6"/>
  <c r="N122" i="6"/>
  <c r="O122" i="6" s="1"/>
  <c r="R121" i="6"/>
  <c r="P121" i="6"/>
  <c r="N121" i="6"/>
  <c r="R120" i="6"/>
  <c r="Q120" i="6"/>
  <c r="P120" i="6"/>
  <c r="N120" i="6"/>
  <c r="O120" i="6" s="1"/>
  <c r="R119" i="6"/>
  <c r="P119" i="6"/>
  <c r="O119" i="6"/>
  <c r="N119" i="6"/>
  <c r="Q119" i="6" s="1"/>
  <c r="R118" i="6"/>
  <c r="O118" i="6"/>
  <c r="N118" i="6"/>
  <c r="Q118" i="6" s="1"/>
  <c r="R117" i="6"/>
  <c r="Q117" i="6"/>
  <c r="P117" i="6"/>
  <c r="O117" i="6"/>
  <c r="N117" i="6"/>
  <c r="R116" i="6"/>
  <c r="Q116" i="6"/>
  <c r="O116" i="6"/>
  <c r="N116" i="6"/>
  <c r="P116" i="6" s="1"/>
  <c r="R115" i="6"/>
  <c r="N115" i="6"/>
  <c r="R114" i="6"/>
  <c r="N114" i="6"/>
  <c r="O114" i="6" s="1"/>
  <c r="R113" i="6"/>
  <c r="P113" i="6"/>
  <c r="N113" i="6"/>
  <c r="R112" i="6"/>
  <c r="Q112" i="6"/>
  <c r="P112" i="6"/>
  <c r="O112" i="6"/>
  <c r="N112" i="6"/>
  <c r="R111" i="6"/>
  <c r="P111" i="6"/>
  <c r="O111" i="6"/>
  <c r="N111" i="6"/>
  <c r="Q111" i="6" s="1"/>
  <c r="R110" i="6"/>
  <c r="O110" i="6"/>
  <c r="N110" i="6"/>
  <c r="Q110" i="6" s="1"/>
  <c r="R109" i="6"/>
  <c r="Q109" i="6"/>
  <c r="O109" i="6"/>
  <c r="N109" i="6"/>
  <c r="P109" i="6" s="1"/>
  <c r="R108" i="6"/>
  <c r="N108" i="6"/>
  <c r="P108" i="6" s="1"/>
  <c r="R107" i="6"/>
  <c r="N107" i="6"/>
  <c r="R106" i="6"/>
  <c r="Q106" i="6"/>
  <c r="N106" i="6"/>
  <c r="O106" i="6" s="1"/>
  <c r="R105" i="6"/>
  <c r="P105" i="6"/>
  <c r="N105" i="6"/>
  <c r="R104" i="6"/>
  <c r="Q104" i="6"/>
  <c r="P104" i="6"/>
  <c r="O104" i="6"/>
  <c r="N104" i="6"/>
  <c r="R103" i="6"/>
  <c r="P103" i="6"/>
  <c r="O103" i="6"/>
  <c r="N103" i="6"/>
  <c r="Q103" i="6" s="1"/>
  <c r="R102" i="6"/>
  <c r="O102" i="6"/>
  <c r="N102" i="6"/>
  <c r="Q102" i="6" s="1"/>
  <c r="R101" i="6"/>
  <c r="Q101" i="6"/>
  <c r="O101" i="6"/>
  <c r="N101" i="6"/>
  <c r="P101" i="6" s="1"/>
  <c r="R100" i="6"/>
  <c r="Q100" i="6"/>
  <c r="O100" i="6"/>
  <c r="N100" i="6"/>
  <c r="P100" i="6" s="1"/>
  <c r="R99" i="6"/>
  <c r="N99" i="6"/>
  <c r="R98" i="6"/>
  <c r="Q98" i="6"/>
  <c r="N98" i="6"/>
  <c r="O98" i="6" s="1"/>
  <c r="R97" i="6"/>
  <c r="N97" i="6"/>
  <c r="P97" i="6" s="1"/>
  <c r="R96" i="6"/>
  <c r="Q96" i="6"/>
  <c r="P96" i="6"/>
  <c r="O96" i="6"/>
  <c r="N96" i="6"/>
  <c r="R95" i="6"/>
  <c r="P95" i="6"/>
  <c r="O95" i="6"/>
  <c r="N95" i="6"/>
  <c r="Q95" i="6" s="1"/>
  <c r="R94" i="6"/>
  <c r="O94" i="6"/>
  <c r="N94" i="6"/>
  <c r="Q94" i="6" s="1"/>
  <c r="R93" i="6"/>
  <c r="N93" i="6"/>
  <c r="P93" i="6" s="1"/>
  <c r="R92" i="6"/>
  <c r="P92" i="6"/>
  <c r="N92" i="6"/>
  <c r="Q92" i="6" s="1"/>
  <c r="R91" i="6"/>
  <c r="Q91" i="6"/>
  <c r="P91" i="6"/>
  <c r="O91" i="6"/>
  <c r="N91" i="6"/>
  <c r="R90" i="6"/>
  <c r="P90" i="6"/>
  <c r="N90" i="6"/>
  <c r="Q90" i="6" s="1"/>
  <c r="R89" i="6"/>
  <c r="Q89" i="6"/>
  <c r="P89" i="6"/>
  <c r="O89" i="6"/>
  <c r="N89" i="6"/>
  <c r="R88" i="6"/>
  <c r="N88" i="6"/>
  <c r="O88" i="6" s="1"/>
  <c r="R87" i="6"/>
  <c r="Q87" i="6"/>
  <c r="P87" i="6"/>
  <c r="O87" i="6"/>
  <c r="N87" i="6"/>
  <c r="R86" i="6"/>
  <c r="Q86" i="6"/>
  <c r="P86" i="6"/>
  <c r="N86" i="6"/>
  <c r="O86" i="6" s="1"/>
  <c r="R85" i="6"/>
  <c r="N85" i="6"/>
  <c r="Q85" i="6" s="1"/>
  <c r="R84" i="6"/>
  <c r="P84" i="6"/>
  <c r="N84" i="6"/>
  <c r="Q84" i="6" s="1"/>
  <c r="R83" i="6"/>
  <c r="Q83" i="6"/>
  <c r="P83" i="6"/>
  <c r="O83" i="6"/>
  <c r="N83" i="6"/>
  <c r="R82" i="6"/>
  <c r="P82" i="6"/>
  <c r="N82" i="6"/>
  <c r="Q82" i="6" s="1"/>
  <c r="R81" i="6"/>
  <c r="Q81" i="6"/>
  <c r="P81" i="6"/>
  <c r="O81" i="6"/>
  <c r="N81" i="6"/>
  <c r="R80" i="6"/>
  <c r="N80" i="6"/>
  <c r="O80" i="6" s="1"/>
  <c r="R79" i="6"/>
  <c r="Q79" i="6"/>
  <c r="P79" i="6"/>
  <c r="O79" i="6"/>
  <c r="N79" i="6"/>
  <c r="R78" i="6"/>
  <c r="Q78" i="6"/>
  <c r="P78" i="6"/>
  <c r="N78" i="6"/>
  <c r="O78" i="6" s="1"/>
  <c r="R77" i="6"/>
  <c r="N77" i="6"/>
  <c r="Q77" i="6" s="1"/>
  <c r="R76" i="6"/>
  <c r="P76" i="6"/>
  <c r="N76" i="6"/>
  <c r="Q76" i="6" s="1"/>
  <c r="R75" i="6"/>
  <c r="Q75" i="6"/>
  <c r="P75" i="6"/>
  <c r="O75" i="6"/>
  <c r="N75" i="6"/>
  <c r="R74" i="6"/>
  <c r="P74" i="6"/>
  <c r="N74" i="6"/>
  <c r="Q74" i="6" s="1"/>
  <c r="R73" i="6"/>
  <c r="Q73" i="6"/>
  <c r="P73" i="6"/>
  <c r="O73" i="6"/>
  <c r="N73" i="6"/>
  <c r="R72" i="6"/>
  <c r="N72" i="6"/>
  <c r="Q72" i="6" s="1"/>
  <c r="R71" i="6"/>
  <c r="Q71" i="6"/>
  <c r="P71" i="6"/>
  <c r="O71" i="6"/>
  <c r="N71" i="6"/>
  <c r="R70" i="6"/>
  <c r="Q70" i="6"/>
  <c r="P70" i="6"/>
  <c r="N70" i="6"/>
  <c r="O70" i="6" s="1"/>
  <c r="R69" i="6"/>
  <c r="N69" i="6"/>
  <c r="Q69" i="6" s="1"/>
  <c r="R68" i="6"/>
  <c r="P68" i="6"/>
  <c r="N68" i="6"/>
  <c r="Q68" i="6" s="1"/>
  <c r="R67" i="6"/>
  <c r="Q67" i="6"/>
  <c r="P67" i="6"/>
  <c r="O67" i="6"/>
  <c r="N67" i="6"/>
  <c r="R66" i="6"/>
  <c r="P66" i="6"/>
  <c r="N66" i="6"/>
  <c r="Q66" i="6" s="1"/>
  <c r="R65" i="6"/>
  <c r="Q65" i="6"/>
  <c r="P65" i="6"/>
  <c r="O65" i="6"/>
  <c r="N65" i="6"/>
  <c r="R64" i="6"/>
  <c r="N64" i="6"/>
  <c r="O64" i="6" s="1"/>
  <c r="R63" i="6"/>
  <c r="Q63" i="6"/>
  <c r="P63" i="6"/>
  <c r="O63" i="6"/>
  <c r="N63" i="6"/>
  <c r="R62" i="6"/>
  <c r="Q62" i="6"/>
  <c r="P62" i="6"/>
  <c r="N62" i="6"/>
  <c r="O62" i="6" s="1"/>
  <c r="R61" i="6"/>
  <c r="N61" i="6"/>
  <c r="Q61" i="6" s="1"/>
  <c r="R60" i="6"/>
  <c r="P60" i="6"/>
  <c r="N60" i="6"/>
  <c r="Q60" i="6" s="1"/>
  <c r="R59" i="6"/>
  <c r="Q59" i="6"/>
  <c r="P59" i="6"/>
  <c r="O59" i="6"/>
  <c r="N59" i="6"/>
  <c r="R58" i="6"/>
  <c r="P58" i="6"/>
  <c r="N58" i="6"/>
  <c r="Q58" i="6" s="1"/>
  <c r="R57" i="6"/>
  <c r="Q57" i="6"/>
  <c r="P57" i="6"/>
  <c r="O57" i="6"/>
  <c r="N57" i="6"/>
  <c r="R56" i="6"/>
  <c r="N56" i="6"/>
  <c r="O56" i="6" s="1"/>
  <c r="R55" i="6"/>
  <c r="Q55" i="6"/>
  <c r="P55" i="6"/>
  <c r="O55" i="6"/>
  <c r="N55" i="6"/>
  <c r="R54" i="6"/>
  <c r="Q54" i="6"/>
  <c r="P54" i="6"/>
  <c r="N54" i="6"/>
  <c r="O54" i="6" s="1"/>
  <c r="R53" i="6"/>
  <c r="N53" i="6"/>
  <c r="Q53" i="6" s="1"/>
  <c r="R52" i="6"/>
  <c r="P52" i="6"/>
  <c r="N52" i="6"/>
  <c r="Q52" i="6" s="1"/>
  <c r="R51" i="6"/>
  <c r="Q51" i="6"/>
  <c r="P51" i="6"/>
  <c r="O51" i="6"/>
  <c r="N51" i="6"/>
  <c r="R50" i="6"/>
  <c r="P50" i="6"/>
  <c r="N50" i="6"/>
  <c r="Q50" i="6" s="1"/>
  <c r="R49" i="6"/>
  <c r="Q49" i="6"/>
  <c r="P49" i="6"/>
  <c r="O49" i="6"/>
  <c r="N49" i="6"/>
  <c r="R48" i="6"/>
  <c r="N48" i="6"/>
  <c r="O48" i="6" s="1"/>
  <c r="R47" i="6"/>
  <c r="Q47" i="6"/>
  <c r="P47" i="6"/>
  <c r="O47" i="6"/>
  <c r="N47" i="6"/>
  <c r="R46" i="6"/>
  <c r="Q46" i="6"/>
  <c r="P46" i="6"/>
  <c r="N46" i="6"/>
  <c r="O46" i="6" s="1"/>
  <c r="R45" i="6"/>
  <c r="N45" i="6"/>
  <c r="Q45" i="6" s="1"/>
  <c r="R44" i="6"/>
  <c r="P44" i="6"/>
  <c r="N44" i="6"/>
  <c r="Q44" i="6" s="1"/>
  <c r="R43" i="6"/>
  <c r="Q43" i="6"/>
  <c r="P43" i="6"/>
  <c r="O43" i="6"/>
  <c r="N43" i="6"/>
  <c r="R42" i="6"/>
  <c r="P42" i="6"/>
  <c r="N42" i="6"/>
  <c r="Q42" i="6" s="1"/>
  <c r="R41" i="6"/>
  <c r="Q41" i="6"/>
  <c r="P41" i="6"/>
  <c r="O41" i="6"/>
  <c r="N41" i="6"/>
  <c r="R40" i="6"/>
  <c r="N40" i="6"/>
  <c r="O40" i="6" s="1"/>
  <c r="R39" i="6"/>
  <c r="Q39" i="6"/>
  <c r="P39" i="6"/>
  <c r="O39" i="6"/>
  <c r="N39" i="6"/>
  <c r="R38" i="6"/>
  <c r="Q38" i="6"/>
  <c r="P38" i="6"/>
  <c r="N38" i="6"/>
  <c r="O38" i="6" s="1"/>
  <c r="R37" i="6"/>
  <c r="N37" i="6"/>
  <c r="Q37" i="6" s="1"/>
  <c r="R36" i="6"/>
  <c r="N36" i="6"/>
  <c r="Q36" i="6" s="1"/>
  <c r="R35" i="6"/>
  <c r="Q35" i="6"/>
  <c r="P35" i="6"/>
  <c r="O35" i="6"/>
  <c r="N35" i="6"/>
  <c r="R34" i="6"/>
  <c r="P34" i="6"/>
  <c r="N34" i="6"/>
  <c r="Q34" i="6" s="1"/>
  <c r="R33" i="6"/>
  <c r="Q33" i="6"/>
  <c r="P33" i="6"/>
  <c r="O33" i="6"/>
  <c r="N33" i="6"/>
  <c r="R32" i="6"/>
  <c r="N32" i="6"/>
  <c r="O32" i="6" s="1"/>
  <c r="R31" i="6"/>
  <c r="Q31" i="6"/>
  <c r="P31" i="6"/>
  <c r="O31" i="6"/>
  <c r="N31" i="6"/>
  <c r="R30" i="6"/>
  <c r="Q30" i="6"/>
  <c r="P30" i="6"/>
  <c r="N30" i="6"/>
  <c r="O30" i="6" s="1"/>
  <c r="R29" i="6"/>
  <c r="N29" i="6"/>
  <c r="Q29" i="6" s="1"/>
  <c r="R28" i="6"/>
  <c r="N28" i="6"/>
  <c r="Q28" i="6" s="1"/>
  <c r="R27" i="6"/>
  <c r="Q27" i="6"/>
  <c r="P27" i="6"/>
  <c r="O27" i="6"/>
  <c r="N27" i="6"/>
  <c r="R26" i="6"/>
  <c r="P26" i="6"/>
  <c r="N26" i="6"/>
  <c r="Q26" i="6" s="1"/>
  <c r="R25" i="6"/>
  <c r="Q25" i="6"/>
  <c r="P25" i="6"/>
  <c r="O25" i="6"/>
  <c r="N25" i="6"/>
  <c r="R24" i="6"/>
  <c r="N24" i="6"/>
  <c r="O24" i="6" s="1"/>
  <c r="R23" i="6"/>
  <c r="Q23" i="6"/>
  <c r="P23" i="6"/>
  <c r="O23" i="6"/>
  <c r="N23" i="6"/>
  <c r="R22" i="6"/>
  <c r="Q22" i="6"/>
  <c r="P22" i="6"/>
  <c r="N22" i="6"/>
  <c r="O22" i="6" s="1"/>
  <c r="R21" i="6"/>
  <c r="N21" i="6"/>
  <c r="Q21" i="6" s="1"/>
  <c r="R20" i="6"/>
  <c r="P20" i="6"/>
  <c r="N20" i="6"/>
  <c r="Q20" i="6" s="1"/>
  <c r="R19" i="6"/>
  <c r="Q19" i="6"/>
  <c r="P19" i="6"/>
  <c r="O19" i="6"/>
  <c r="N19" i="6"/>
  <c r="R18" i="6"/>
  <c r="P18" i="6"/>
  <c r="N18" i="6"/>
  <c r="Q18" i="6" s="1"/>
  <c r="R17" i="6"/>
  <c r="Q17" i="6"/>
  <c r="P17" i="6"/>
  <c r="O17" i="6"/>
  <c r="N17" i="6"/>
  <c r="R16" i="6"/>
  <c r="N16" i="6"/>
  <c r="Q16" i="6" s="1"/>
  <c r="R15" i="6"/>
  <c r="Q15" i="6"/>
  <c r="P15" i="6"/>
  <c r="O15" i="6"/>
  <c r="N15" i="6"/>
  <c r="R14" i="6"/>
  <c r="Q14" i="6"/>
  <c r="P14" i="6"/>
  <c r="N14" i="6"/>
  <c r="O14" i="6" s="1"/>
  <c r="R13" i="6"/>
  <c r="N13" i="6"/>
  <c r="Q13" i="6" s="1"/>
  <c r="M32" i="1"/>
  <c r="N19" i="1"/>
  <c r="M19" i="1"/>
  <c r="K25" i="1"/>
  <c r="N17" i="1"/>
  <c r="M17" i="1"/>
  <c r="K17" i="1"/>
  <c r="K4" i="1"/>
  <c r="K6" i="1"/>
  <c r="K7" i="1"/>
  <c r="K8" i="1"/>
  <c r="K9" i="1"/>
  <c r="K10" i="1"/>
  <c r="K11" i="1"/>
  <c r="K12" i="1"/>
  <c r="K14" i="1"/>
  <c r="K15" i="1"/>
  <c r="K16" i="1"/>
  <c r="K18" i="1"/>
  <c r="K21" i="1"/>
  <c r="K22" i="1"/>
  <c r="K23" i="1"/>
  <c r="K24" i="1"/>
  <c r="K26" i="1"/>
  <c r="K27" i="1"/>
  <c r="K28" i="1"/>
  <c r="K29" i="1"/>
  <c r="K30" i="1"/>
  <c r="K31" i="1"/>
  <c r="K32" i="1"/>
  <c r="P99" i="6" l="1"/>
  <c r="O99" i="6"/>
  <c r="O16" i="6"/>
  <c r="O72" i="6"/>
  <c r="Q203" i="6"/>
  <c r="P203" i="6"/>
  <c r="O203" i="6"/>
  <c r="O29" i="6"/>
  <c r="P32" i="6"/>
  <c r="O37" i="6"/>
  <c r="P40" i="6"/>
  <c r="O45" i="6"/>
  <c r="P48" i="6"/>
  <c r="O53" i="6"/>
  <c r="P56" i="6"/>
  <c r="O61" i="6"/>
  <c r="P64" i="6"/>
  <c r="O69" i="6"/>
  <c r="P72" i="6"/>
  <c r="O77" i="6"/>
  <c r="P80" i="6"/>
  <c r="O85" i="6"/>
  <c r="P88" i="6"/>
  <c r="O93" i="6"/>
  <c r="O108" i="6"/>
  <c r="Q114" i="6"/>
  <c r="P123" i="6"/>
  <c r="O123" i="6"/>
  <c r="O140" i="6"/>
  <c r="P146" i="6"/>
  <c r="Q148" i="6"/>
  <c r="Q154" i="6"/>
  <c r="P163" i="6"/>
  <c r="O163" i="6"/>
  <c r="Q257" i="6"/>
  <c r="P257" i="6"/>
  <c r="O257" i="6"/>
  <c r="Q273" i="6"/>
  <c r="P273" i="6"/>
  <c r="O273" i="6"/>
  <c r="Q289" i="6"/>
  <c r="P289" i="6"/>
  <c r="O289" i="6"/>
  <c r="Q339" i="6"/>
  <c r="P339" i="6"/>
  <c r="O339" i="6"/>
  <c r="Q97" i="6"/>
  <c r="O97" i="6"/>
  <c r="P154" i="6"/>
  <c r="Q187" i="6"/>
  <c r="P187" i="6"/>
  <c r="O187" i="6"/>
  <c r="O13" i="6"/>
  <c r="P16" i="6"/>
  <c r="O21" i="6"/>
  <c r="P24" i="6"/>
  <c r="P13" i="6"/>
  <c r="O18" i="6"/>
  <c r="P21" i="6"/>
  <c r="Q24" i="6"/>
  <c r="O26" i="6"/>
  <c r="P29" i="6"/>
  <c r="Q32" i="6"/>
  <c r="O34" i="6"/>
  <c r="P37" i="6"/>
  <c r="Q40" i="6"/>
  <c r="O42" i="6"/>
  <c r="P45" i="6"/>
  <c r="Q48" i="6"/>
  <c r="O50" i="6"/>
  <c r="P53" i="6"/>
  <c r="Q56" i="6"/>
  <c r="O58" i="6"/>
  <c r="P61" i="6"/>
  <c r="Q64" i="6"/>
  <c r="O66" i="6"/>
  <c r="P69" i="6"/>
  <c r="O74" i="6"/>
  <c r="P77" i="6"/>
  <c r="Q80" i="6"/>
  <c r="O82" i="6"/>
  <c r="P85" i="6"/>
  <c r="Q88" i="6"/>
  <c r="O90" i="6"/>
  <c r="Q93" i="6"/>
  <c r="P106" i="6"/>
  <c r="Q108" i="6"/>
  <c r="Q121" i="6"/>
  <c r="O121" i="6"/>
  <c r="Q123" i="6"/>
  <c r="O132" i="6"/>
  <c r="P138" i="6"/>
  <c r="Q140" i="6"/>
  <c r="Q146" i="6"/>
  <c r="Q161" i="6"/>
  <c r="O161" i="6"/>
  <c r="Q163" i="6"/>
  <c r="Q185" i="6"/>
  <c r="O185" i="6"/>
  <c r="Q201" i="6"/>
  <c r="O201" i="6"/>
  <c r="Q217" i="6"/>
  <c r="P217" i="6"/>
  <c r="O217" i="6"/>
  <c r="Q403" i="6"/>
  <c r="P403" i="6"/>
  <c r="O403" i="6"/>
  <c r="Q99" i="6"/>
  <c r="P114" i="6"/>
  <c r="Q169" i="6"/>
  <c r="O169" i="6"/>
  <c r="P115" i="6"/>
  <c r="O115" i="6"/>
  <c r="P155" i="6"/>
  <c r="O155" i="6"/>
  <c r="Q387" i="6"/>
  <c r="P387" i="6"/>
  <c r="O387" i="6"/>
  <c r="Q499" i="6"/>
  <c r="P499" i="6"/>
  <c r="O499" i="6"/>
  <c r="Q233" i="6"/>
  <c r="P233" i="6"/>
  <c r="O233" i="6"/>
  <c r="O20" i="6"/>
  <c r="O28" i="6"/>
  <c r="O36" i="6"/>
  <c r="O44" i="6"/>
  <c r="O52" i="6"/>
  <c r="O60" i="6"/>
  <c r="O68" i="6"/>
  <c r="O76" i="6"/>
  <c r="O84" i="6"/>
  <c r="O92" i="6"/>
  <c r="P98" i="6"/>
  <c r="Q113" i="6"/>
  <c r="O113" i="6"/>
  <c r="Q115" i="6"/>
  <c r="Q130" i="6"/>
  <c r="P147" i="6"/>
  <c r="O147" i="6"/>
  <c r="Q153" i="6"/>
  <c r="O153" i="6"/>
  <c r="Q155" i="6"/>
  <c r="P170" i="6"/>
  <c r="Q172" i="6"/>
  <c r="Q179" i="6"/>
  <c r="P179" i="6"/>
  <c r="O179" i="6"/>
  <c r="Q195" i="6"/>
  <c r="P195" i="6"/>
  <c r="O195" i="6"/>
  <c r="Q211" i="6"/>
  <c r="P211" i="6"/>
  <c r="O211" i="6"/>
  <c r="Q241" i="6"/>
  <c r="P241" i="6"/>
  <c r="O241" i="6"/>
  <c r="Q323" i="6"/>
  <c r="P323" i="6"/>
  <c r="O323" i="6"/>
  <c r="Q371" i="6"/>
  <c r="P371" i="6"/>
  <c r="O371" i="6"/>
  <c r="Q129" i="6"/>
  <c r="O129" i="6"/>
  <c r="P171" i="6"/>
  <c r="O171" i="6"/>
  <c r="Q307" i="6"/>
  <c r="P307" i="6"/>
  <c r="O307" i="6"/>
  <c r="P129" i="6"/>
  <c r="P107" i="6"/>
  <c r="O107" i="6"/>
  <c r="P139" i="6"/>
  <c r="O139" i="6"/>
  <c r="Q145" i="6"/>
  <c r="O145" i="6"/>
  <c r="Q225" i="6"/>
  <c r="P225" i="6"/>
  <c r="O225" i="6"/>
  <c r="Q249" i="6"/>
  <c r="P249" i="6"/>
  <c r="O249" i="6"/>
  <c r="Q265" i="6"/>
  <c r="P265" i="6"/>
  <c r="O265" i="6"/>
  <c r="Q281" i="6"/>
  <c r="P281" i="6"/>
  <c r="O281" i="6"/>
  <c r="O148" i="6"/>
  <c r="P28" i="6"/>
  <c r="P36" i="6"/>
  <c r="Q105" i="6"/>
  <c r="O105" i="6"/>
  <c r="Q107" i="6"/>
  <c r="P122" i="6"/>
  <c r="P131" i="6"/>
  <c r="O131" i="6"/>
  <c r="Q137" i="6"/>
  <c r="O137" i="6"/>
  <c r="Q139" i="6"/>
  <c r="P145" i="6"/>
  <c r="P162" i="6"/>
  <c r="Q177" i="6"/>
  <c r="O177" i="6"/>
  <c r="Q193" i="6"/>
  <c r="O193" i="6"/>
  <c r="Q209" i="6"/>
  <c r="O209" i="6"/>
  <c r="Q355" i="6"/>
  <c r="P355" i="6"/>
  <c r="O355" i="6"/>
  <c r="P220" i="6"/>
  <c r="P228" i="6"/>
  <c r="P236" i="6"/>
  <c r="P252" i="6"/>
  <c r="P260" i="6"/>
  <c r="P268" i="6"/>
  <c r="P276" i="6"/>
  <c r="P284" i="6"/>
  <c r="P292" i="6"/>
  <c r="P297" i="6"/>
  <c r="Q299" i="6"/>
  <c r="Q301" i="6"/>
  <c r="Q310" i="6"/>
  <c r="P310" i="6"/>
  <c r="Q326" i="6"/>
  <c r="P326" i="6"/>
  <c r="Q342" i="6"/>
  <c r="P342" i="6"/>
  <c r="Q358" i="6"/>
  <c r="P358" i="6"/>
  <c r="Q419" i="6"/>
  <c r="P419" i="6"/>
  <c r="O419" i="6"/>
  <c r="Q435" i="6"/>
  <c r="P435" i="6"/>
  <c r="O435" i="6"/>
  <c r="Q451" i="6"/>
  <c r="P451" i="6"/>
  <c r="O451" i="6"/>
  <c r="Q491" i="6"/>
  <c r="P491" i="6"/>
  <c r="O491" i="6"/>
  <c r="Q515" i="6"/>
  <c r="P515" i="6"/>
  <c r="O515" i="6"/>
  <c r="P372" i="6"/>
  <c r="O372" i="6"/>
  <c r="P388" i="6"/>
  <c r="O388" i="6"/>
  <c r="P404" i="6"/>
  <c r="O404" i="6"/>
  <c r="Q483" i="6"/>
  <c r="P483" i="6"/>
  <c r="O483" i="6"/>
  <c r="P94" i="6"/>
  <c r="P102" i="6"/>
  <c r="P110" i="6"/>
  <c r="P118" i="6"/>
  <c r="P126" i="6"/>
  <c r="O219" i="6"/>
  <c r="O227" i="6"/>
  <c r="O235" i="6"/>
  <c r="O251" i="6"/>
  <c r="O259" i="6"/>
  <c r="O267" i="6"/>
  <c r="O275" i="6"/>
  <c r="O283" i="6"/>
  <c r="O291" i="6"/>
  <c r="P308" i="6"/>
  <c r="P324" i="6"/>
  <c r="P340" i="6"/>
  <c r="P356" i="6"/>
  <c r="Q372" i="6"/>
  <c r="Q388" i="6"/>
  <c r="Q404" i="6"/>
  <c r="P420" i="6"/>
  <c r="O420" i="6"/>
  <c r="P436" i="6"/>
  <c r="O436" i="6"/>
  <c r="Q475" i="6"/>
  <c r="P475" i="6"/>
  <c r="O475" i="6"/>
  <c r="O128" i="6"/>
  <c r="O160" i="6"/>
  <c r="O168" i="6"/>
  <c r="O176" i="6"/>
  <c r="O184" i="6"/>
  <c r="O192" i="6"/>
  <c r="O200" i="6"/>
  <c r="O208" i="6"/>
  <c r="O216" i="6"/>
  <c r="O224" i="6"/>
  <c r="O232" i="6"/>
  <c r="O248" i="6"/>
  <c r="O296" i="6"/>
  <c r="P298" i="6"/>
  <c r="P300" i="6"/>
  <c r="O302" i="6"/>
  <c r="Q308" i="6"/>
  <c r="Q315" i="6"/>
  <c r="P315" i="6"/>
  <c r="O315" i="6"/>
  <c r="Q324" i="6"/>
  <c r="Q331" i="6"/>
  <c r="P331" i="6"/>
  <c r="O331" i="6"/>
  <c r="Q340" i="6"/>
  <c r="Q347" i="6"/>
  <c r="P347" i="6"/>
  <c r="O347" i="6"/>
  <c r="Q356" i="6"/>
  <c r="Q363" i="6"/>
  <c r="P363" i="6"/>
  <c r="O363" i="6"/>
  <c r="Q379" i="6"/>
  <c r="P379" i="6"/>
  <c r="O379" i="6"/>
  <c r="Q395" i="6"/>
  <c r="P395" i="6"/>
  <c r="O395" i="6"/>
  <c r="Q420" i="6"/>
  <c r="Q436" i="6"/>
  <c r="Q467" i="6"/>
  <c r="P467" i="6"/>
  <c r="O467" i="6"/>
  <c r="Q507" i="6"/>
  <c r="P507" i="6"/>
  <c r="O507" i="6"/>
  <c r="Q318" i="6"/>
  <c r="P318" i="6"/>
  <c r="Q334" i="6"/>
  <c r="P334" i="6"/>
  <c r="Q350" i="6"/>
  <c r="P350" i="6"/>
  <c r="Q427" i="6"/>
  <c r="P427" i="6"/>
  <c r="O427" i="6"/>
  <c r="Q443" i="6"/>
  <c r="P443" i="6"/>
  <c r="O443" i="6"/>
  <c r="Q523" i="6"/>
  <c r="P523" i="6"/>
  <c r="O523" i="6"/>
  <c r="O178" i="6"/>
  <c r="O186" i="6"/>
  <c r="O194" i="6"/>
  <c r="O202" i="6"/>
  <c r="O210" i="6"/>
  <c r="O218" i="6"/>
  <c r="O226" i="6"/>
  <c r="O234" i="6"/>
  <c r="O250" i="6"/>
  <c r="O258" i="6"/>
  <c r="O266" i="6"/>
  <c r="O274" i="6"/>
  <c r="O282" i="6"/>
  <c r="O290" i="6"/>
  <c r="O318" i="6"/>
  <c r="O334" i="6"/>
  <c r="O350" i="6"/>
  <c r="P380" i="6"/>
  <c r="O380" i="6"/>
  <c r="P396" i="6"/>
  <c r="O396" i="6"/>
  <c r="Q459" i="6"/>
  <c r="P459" i="6"/>
  <c r="O459" i="6"/>
  <c r="P412" i="6"/>
  <c r="O412" i="6"/>
  <c r="P428" i="6"/>
  <c r="O428" i="6"/>
  <c r="P366" i="6"/>
  <c r="P374" i="6"/>
  <c r="P382" i="6"/>
  <c r="P390" i="6"/>
  <c r="P398" i="6"/>
  <c r="P414" i="6"/>
  <c r="P422" i="6"/>
  <c r="P430" i="6"/>
  <c r="P438" i="6"/>
  <c r="P446" i="6"/>
  <c r="P454" i="6"/>
  <c r="P462" i="6"/>
  <c r="P470" i="6"/>
  <c r="P478" i="6"/>
  <c r="P486" i="6"/>
  <c r="P494" i="6"/>
  <c r="P502" i="6"/>
  <c r="P510" i="6"/>
  <c r="P518" i="6"/>
  <c r="P526" i="6"/>
  <c r="O504" i="6"/>
  <c r="O520" i="6"/>
  <c r="O528" i="6"/>
  <c r="O309" i="6"/>
  <c r="O317" i="6"/>
  <c r="O325" i="6"/>
  <c r="O333" i="6"/>
  <c r="O341" i="6"/>
  <c r="O349" i="6"/>
  <c r="O357" i="6"/>
  <c r="O365" i="6"/>
  <c r="O306" i="6"/>
  <c r="O314" i="6"/>
  <c r="O322" i="6"/>
  <c r="O330" i="6"/>
  <c r="O338" i="6"/>
  <c r="O346" i="6"/>
  <c r="O354" i="6"/>
  <c r="O362" i="6"/>
  <c r="O370" i="6"/>
  <c r="O378" i="6"/>
  <c r="O386" i="6"/>
  <c r="O394" i="6"/>
  <c r="O402" i="6"/>
  <c r="O418" i="6"/>
  <c r="O426" i="6"/>
  <c r="O434" i="6"/>
  <c r="O442" i="6"/>
  <c r="O450" i="6"/>
  <c r="O458" i="6"/>
  <c r="O506" i="6"/>
  <c r="O514" i="6"/>
  <c r="O522" i="6"/>
  <c r="O530" i="6"/>
  <c r="O444" i="6"/>
  <c r="O452" i="6"/>
  <c r="O460" i="6"/>
  <c r="O468" i="6"/>
  <c r="O476" i="6"/>
  <c r="O484" i="6"/>
  <c r="O492" i="6"/>
  <c r="O500" i="6"/>
  <c r="O508" i="6"/>
  <c r="O516" i="6"/>
  <c r="O524" i="6"/>
  <c r="N13" i="1"/>
  <c r="M13" i="1"/>
  <c r="N25" i="1"/>
  <c r="M25" i="1"/>
  <c r="N28" i="1" l="1"/>
  <c r="M28" i="1"/>
  <c r="N20" i="1"/>
  <c r="M20" i="1"/>
  <c r="N24" i="1"/>
  <c r="M24" i="1"/>
  <c r="N26" i="1" l="1"/>
  <c r="M26" i="1"/>
  <c r="L6" i="5" l="1"/>
  <c r="M6" i="5"/>
  <c r="N11" i="1"/>
  <c r="M11" i="1"/>
  <c r="L5" i="5"/>
  <c r="M5" i="5"/>
  <c r="M5" i="1"/>
  <c r="N5" i="1"/>
  <c r="L7" i="5" l="1"/>
  <c r="M7" i="5"/>
  <c r="L8" i="5" l="1"/>
  <c r="L9" i="5"/>
  <c r="L10" i="5"/>
  <c r="L11" i="5"/>
  <c r="L12" i="5"/>
  <c r="L4" i="5"/>
  <c r="L14" i="5" l="1"/>
  <c r="N4" i="1" l="1"/>
  <c r="M4" i="1"/>
  <c r="M6" i="1" l="1"/>
  <c r="M7" i="1"/>
  <c r="M8" i="1"/>
  <c r="M9" i="1"/>
  <c r="M10" i="1"/>
  <c r="M12" i="1"/>
  <c r="M14" i="1"/>
  <c r="M15" i="1"/>
  <c r="M16" i="1"/>
  <c r="M18" i="1"/>
  <c r="M21" i="1"/>
  <c r="M22" i="1"/>
  <c r="M23" i="1"/>
  <c r="M29" i="1"/>
  <c r="M30" i="1"/>
  <c r="M31" i="1"/>
  <c r="M34" i="1" l="1"/>
  <c r="M12" i="5" l="1"/>
  <c r="M11" i="5"/>
  <c r="M10" i="5"/>
  <c r="M9" i="5"/>
  <c r="M8" i="5"/>
  <c r="M4" i="5"/>
  <c r="M14" i="5" l="1"/>
  <c r="N32" i="1"/>
  <c r="N29" i="1" l="1"/>
  <c r="N15" i="1" l="1"/>
  <c r="N23" i="1" l="1"/>
  <c r="N22" i="1"/>
  <c r="N21" i="1"/>
  <c r="N31" i="1" l="1"/>
  <c r="N9" i="1" l="1"/>
  <c r="N14" i="1" l="1"/>
  <c r="N18" i="1"/>
  <c r="N12" i="1" l="1"/>
  <c r="N8" i="1"/>
  <c r="N7" i="1" l="1"/>
  <c r="N6" i="1" l="1"/>
  <c r="N10" i="1" l="1"/>
  <c r="N16" i="1" l="1"/>
  <c r="N30" i="1" l="1"/>
  <c r="N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" authorId="0" shapeId="0" xr:uid="{A9676DE2-54FC-4A0C-BDAF-52538A57222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Cons Econ (L/hr or km/L) from fleet rate table (Sheet1). Matches on Reg No first, then E&amp;C No.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12" authorId="0" shapeId="0" xr:uid="{3F1F11B3-1D3B-4401-B718-F024F71010E2}">
      <text>
        <r>
          <rPr>
            <b/>
            <sz val="9"/>
            <color indexed="81"/>
            <rFont val="Tahoma"/>
            <charset val="1"/>
          </rPr>
          <t>ZB-0050 NOT FOUND in Sheet1 fleet rates. Rate returns 0 (amount excluded). Add this vehicle to Sheet1 or enter rate manually.</t>
        </r>
      </text>
    </comment>
  </commentList>
</comments>
</file>

<file path=xl/sharedStrings.xml><?xml version="1.0" encoding="utf-8"?>
<sst xmlns="http://schemas.openxmlformats.org/spreadsheetml/2006/main" count="4521" uniqueCount="1161">
  <si>
    <t>E &amp; C</t>
  </si>
  <si>
    <t>JCB</t>
  </si>
  <si>
    <t>D/Cab</t>
  </si>
  <si>
    <t>C/Cab</t>
  </si>
  <si>
    <t>PD-6917</t>
  </si>
  <si>
    <t>325-3448</t>
  </si>
  <si>
    <t>3 Cube</t>
  </si>
  <si>
    <t>Owner</t>
  </si>
  <si>
    <t>RATE HOUR /DAY</t>
  </si>
  <si>
    <t>Consumption</t>
  </si>
  <si>
    <t>Fuel</t>
  </si>
  <si>
    <t>Type</t>
  </si>
  <si>
    <t>Vehicle No</t>
  </si>
  <si>
    <t>No</t>
  </si>
  <si>
    <t>Skid Loader</t>
  </si>
  <si>
    <t>actual days/machine hours</t>
  </si>
  <si>
    <t>Days/machine hours consider for costing</t>
  </si>
  <si>
    <t>4 ton roller</t>
  </si>
  <si>
    <t>Remarks</t>
  </si>
  <si>
    <t>Diesel bowser</t>
  </si>
  <si>
    <t>LN-8277</t>
  </si>
  <si>
    <t>Boom Truck</t>
  </si>
  <si>
    <t>S/Cab</t>
  </si>
  <si>
    <t>Package C</t>
  </si>
  <si>
    <t>Package A</t>
  </si>
  <si>
    <t>Package</t>
  </si>
  <si>
    <t>Package B</t>
  </si>
  <si>
    <t>ZB-1546</t>
  </si>
  <si>
    <t>PH-6742</t>
  </si>
  <si>
    <t>Distance (Km)</t>
  </si>
  <si>
    <t>LO-7182</t>
  </si>
  <si>
    <t>HEX-01</t>
  </si>
  <si>
    <t>Volvo 220</t>
  </si>
  <si>
    <t>VR-65</t>
  </si>
  <si>
    <t>ZA-6069</t>
  </si>
  <si>
    <t>SL-14</t>
  </si>
  <si>
    <t>Distance</t>
  </si>
  <si>
    <t>ZA-8511</t>
  </si>
  <si>
    <t>Truck Mixer</t>
  </si>
  <si>
    <t>LD-09</t>
  </si>
  <si>
    <t>Loader</t>
  </si>
  <si>
    <t>ZA-7810</t>
  </si>
  <si>
    <t>ZB-1496</t>
  </si>
  <si>
    <t>HEX-19</t>
  </si>
  <si>
    <t>Crusher Plant</t>
  </si>
  <si>
    <t>Amount with Idling</t>
  </si>
  <si>
    <t>Amount without Idling</t>
  </si>
  <si>
    <t>Amount (idling included)</t>
  </si>
  <si>
    <t>Actual amount</t>
  </si>
  <si>
    <t>51-8083</t>
  </si>
  <si>
    <t>ZA-7290</t>
  </si>
  <si>
    <t>LA-1359</t>
  </si>
  <si>
    <t>LL-0920</t>
  </si>
  <si>
    <t>01 Cube</t>
  </si>
  <si>
    <t>ZA-7291</t>
  </si>
  <si>
    <t>LO-5983</t>
  </si>
  <si>
    <t>Meter broken</t>
  </si>
  <si>
    <t xml:space="preserve">Komatsu 120 </t>
  </si>
  <si>
    <t>LM-7940</t>
  </si>
  <si>
    <t>ZA-8373</t>
  </si>
  <si>
    <t>Crane</t>
  </si>
  <si>
    <t>MG-06</t>
  </si>
  <si>
    <t>Motor Grader</t>
  </si>
  <si>
    <t>Pump Car</t>
  </si>
  <si>
    <t>PT-1569</t>
  </si>
  <si>
    <t>ZA-8395</t>
  </si>
  <si>
    <t>SR-19</t>
  </si>
  <si>
    <t>10 ton roller</t>
  </si>
  <si>
    <t>LP-1573</t>
  </si>
  <si>
    <t>MG-12</t>
  </si>
  <si>
    <t>LP-1577</t>
  </si>
  <si>
    <t>LO-7183</t>
  </si>
  <si>
    <t>Vehicle Running Summary - January 2026</t>
  </si>
  <si>
    <t>HEX-42</t>
  </si>
  <si>
    <t>Case 220</t>
  </si>
  <si>
    <t>DAH-2230</t>
  </si>
  <si>
    <t>LM-5719</t>
  </si>
  <si>
    <t>LM-7948</t>
  </si>
  <si>
    <t>Vehicle Running Summary -January</t>
  </si>
  <si>
    <t>FLEET FUEL RATES — estimated by model size-class &amp; manufacturing year (518 units)</t>
  </si>
  <si>
    <t>Per-unit fuel-cost rate at three duty scenarios (Lowest / Medium / Highest). Typical consumption is set from each machine's model size/engine class, then adjusted for age via the manufacturing year. Machinery Rs./hr, road vehicles Rs./km. Edit the blue cells (fuel prices, age factor, or any vehicle's consumption) and rates recalculate. SL prices, Jun 2026.</t>
  </si>
  <si>
    <t>FUEL PRICE &amp; AGE INPUTS  (edit to update every rate)</t>
  </si>
  <si>
    <t>Auto Diesel (Rs./litre)</t>
  </si>
  <si>
    <t>← Ceypetco/LIOC 01-Jun-2026</t>
  </si>
  <si>
    <t>Petrol 92 Octane (Rs./litre)</t>
  </si>
  <si>
    <t>Base year (new = no penalty)</t>
  </si>
  <si>
    <t>Extra fuel % per year of age</t>
  </si>
  <si>
    <t>← older engines burn more (e.g. 0.7%/yr)</t>
  </si>
  <si>
    <t>Cap age (years)</t>
  </si>
  <si>
    <t>PER-VEHICLE FUEL RATES  (518 units) — by model class &amp; year</t>
  </si>
  <si>
    <t>#</t>
  </si>
  <si>
    <t>E&amp;C No</t>
  </si>
  <si>
    <t>Reg No</t>
  </si>
  <si>
    <t>Category</t>
  </si>
  <si>
    <t>Model</t>
  </si>
  <si>
    <t>Year</t>
  </si>
  <si>
    <t>Basis</t>
  </si>
  <si>
    <t>Size / Engine Class</t>
  </si>
  <si>
    <t>Unit</t>
  </si>
  <si>
    <t>Cons Econ</t>
  </si>
  <si>
    <t>Cons Typ</t>
  </si>
  <si>
    <t>Cons Heavy</t>
  </si>
  <si>
    <t>Age ×</t>
  </si>
  <si>
    <t>Lowest Rate</t>
  </si>
  <si>
    <t>Medium Rate</t>
  </si>
  <si>
    <t>Highest Rate</t>
  </si>
  <si>
    <t>Rate Unit</t>
  </si>
  <si>
    <t>AP-01</t>
  </si>
  <si>
    <t>—</t>
  </si>
  <si>
    <t>Asphalt Paver</t>
  </si>
  <si>
    <t>Sumitomo Ha45C-2065</t>
  </si>
  <si>
    <t>Diesel</t>
  </si>
  <si>
    <t>Hour</t>
  </si>
  <si>
    <t>Standard (class avg)</t>
  </si>
  <si>
    <t>L/hr</t>
  </si>
  <si>
    <t>AP-02</t>
  </si>
  <si>
    <t>Mitsubishi Mf40Wh</t>
  </si>
  <si>
    <t>AP-03</t>
  </si>
  <si>
    <t>Mitsubishi Mf-55Wh</t>
  </si>
  <si>
    <t>AP-04</t>
  </si>
  <si>
    <t>Mitsubishi Mf60Wd</t>
  </si>
  <si>
    <t>AP-05</t>
  </si>
  <si>
    <t>Nigata —</t>
  </si>
  <si>
    <t>AP-06</t>
  </si>
  <si>
    <t>(Unknown) —</t>
  </si>
  <si>
    <t>AP-07</t>
  </si>
  <si>
    <t>AP-08</t>
  </si>
  <si>
    <t>Volvo P6820C</t>
  </si>
  <si>
    <t>AP-09</t>
  </si>
  <si>
    <t>Sumitomo Ha60W-7</t>
  </si>
  <si>
    <t>AP-10</t>
  </si>
  <si>
    <t>Dynapac Sd2500C</t>
  </si>
  <si>
    <t>AP-11</t>
  </si>
  <si>
    <t>Sumitomo Ha60W-5</t>
  </si>
  <si>
    <t>LB-01</t>
  </si>
  <si>
    <t>ZA-2609</t>
  </si>
  <si>
    <t>Backhoe Loader</t>
  </si>
  <si>
    <t>Jcb 3Dx</t>
  </si>
  <si>
    <t>LB-02</t>
  </si>
  <si>
    <t>ZA-2963</t>
  </si>
  <si>
    <t>LB-03</t>
  </si>
  <si>
    <t>ZA-2964</t>
  </si>
  <si>
    <t>LB-04</t>
  </si>
  <si>
    <t>RS-0401</t>
  </si>
  <si>
    <t>Jcb Slp3Cx</t>
  </si>
  <si>
    <t>LB-05</t>
  </si>
  <si>
    <t>RS-0483</t>
  </si>
  <si>
    <t>LB-06</t>
  </si>
  <si>
    <t>ZA-0447</t>
  </si>
  <si>
    <t>Jcb 3Cx</t>
  </si>
  <si>
    <t>LB-07</t>
  </si>
  <si>
    <t>ZA-2608</t>
  </si>
  <si>
    <t>Jcb Jcb 3Cx</t>
  </si>
  <si>
    <t>LB-08</t>
  </si>
  <si>
    <t>ZA-6068</t>
  </si>
  <si>
    <t>Jcb Jcb 3Dx</t>
  </si>
  <si>
    <t>LB-09</t>
  </si>
  <si>
    <t>LB-10</t>
  </si>
  <si>
    <t>ZA-7034</t>
  </si>
  <si>
    <t>LB-11</t>
  </si>
  <si>
    <t>ZA-7092</t>
  </si>
  <si>
    <t>LB-12</t>
  </si>
  <si>
    <t>ZA-8337</t>
  </si>
  <si>
    <t>LB-13</t>
  </si>
  <si>
    <t>ZA-7965</t>
  </si>
  <si>
    <t>LB-14</t>
  </si>
  <si>
    <t>ZA-7968</t>
  </si>
  <si>
    <t>LB-15</t>
  </si>
  <si>
    <t>ZB-1047</t>
  </si>
  <si>
    <t>J.C.B 570St</t>
  </si>
  <si>
    <t>LB-16</t>
  </si>
  <si>
    <t>ZB-1547</t>
  </si>
  <si>
    <t>J.C.B 3Dx</t>
  </si>
  <si>
    <t>LB-17</t>
  </si>
  <si>
    <t>LB-18</t>
  </si>
  <si>
    <t>ZB-1548</t>
  </si>
  <si>
    <t>LB-19</t>
  </si>
  <si>
    <t>ZB-1978</t>
  </si>
  <si>
    <t>J.C.B Jcb 3Dx</t>
  </si>
  <si>
    <t>LB-20</t>
  </si>
  <si>
    <t>ZB-1979</t>
  </si>
  <si>
    <t>LB-21</t>
  </si>
  <si>
    <t>ZB-1980</t>
  </si>
  <si>
    <t>LB-22</t>
  </si>
  <si>
    <t>ZB-2586</t>
  </si>
  <si>
    <t>Bob Cat B760</t>
  </si>
  <si>
    <t>LB-23</t>
  </si>
  <si>
    <t>ZB-2587</t>
  </si>
  <si>
    <t>LB-24</t>
  </si>
  <si>
    <t>ZB-2583</t>
  </si>
  <si>
    <t>BS-01</t>
  </si>
  <si>
    <t>43-3416</t>
  </si>
  <si>
    <t>Bitumen Bowser</t>
  </si>
  <si>
    <t>Ashok Leyland Comet Super</t>
  </si>
  <si>
    <t>BS-02</t>
  </si>
  <si>
    <t>LL-0623</t>
  </si>
  <si>
    <t>Tata Lpt 709</t>
  </si>
  <si>
    <t>BS-04</t>
  </si>
  <si>
    <t>LM-2298</t>
  </si>
  <si>
    <t>Foton Bj1056R</t>
  </si>
  <si>
    <t>BS-05</t>
  </si>
  <si>
    <t>ZB-1469</t>
  </si>
  <si>
    <t>Dfac Eq1110Sj8Bdc</t>
  </si>
  <si>
    <t>BM-01</t>
  </si>
  <si>
    <t>48-4849</t>
  </si>
  <si>
    <t>Freight Rover —</t>
  </si>
  <si>
    <t>Medium</t>
  </si>
  <si>
    <t>BM-02</t>
  </si>
  <si>
    <t>LC-0434</t>
  </si>
  <si>
    <t>Tata Lpt1613</t>
  </si>
  <si>
    <t>Standard 16t</t>
  </si>
  <si>
    <t>BM-03</t>
  </si>
  <si>
    <t>Isuzu Pj.Cyz51V5.Oioa</t>
  </si>
  <si>
    <t>Heavy</t>
  </si>
  <si>
    <t>BM-04</t>
  </si>
  <si>
    <t>LN-8278</t>
  </si>
  <si>
    <t>Isuzu Kl.Fsr34Larforward</t>
  </si>
  <si>
    <t>HCC-01</t>
  </si>
  <si>
    <t>PA-4879</t>
  </si>
  <si>
    <t>Crew Cab</t>
  </si>
  <si>
    <t>Toyota Ko-Ly132</t>
  </si>
  <si>
    <t>KM</t>
  </si>
  <si>
    <t>km/L</t>
  </si>
  <si>
    <t>HCC-02</t>
  </si>
  <si>
    <t>PA-6398</t>
  </si>
  <si>
    <t>Toyota Kc-Ly101</t>
  </si>
  <si>
    <t>HCC-03</t>
  </si>
  <si>
    <t>PA-6399</t>
  </si>
  <si>
    <t>Toyota Kc-Ly111</t>
  </si>
  <si>
    <t>HCC-04</t>
  </si>
  <si>
    <t>Toyota Bu19</t>
  </si>
  <si>
    <t>HCC-05</t>
  </si>
  <si>
    <t>Jmc Jx1032Dsr</t>
  </si>
  <si>
    <t>HCC-06</t>
  </si>
  <si>
    <t>PH-6744</t>
  </si>
  <si>
    <t>HCC-07</t>
  </si>
  <si>
    <t>PH-6747</t>
  </si>
  <si>
    <t>HCC-08</t>
  </si>
  <si>
    <t>LN-1867</t>
  </si>
  <si>
    <t>Jmc 1X1041Dsla2Rs</t>
  </si>
  <si>
    <t>HCC-09</t>
  </si>
  <si>
    <t>PJ-6376</t>
  </si>
  <si>
    <t>HCC-10</t>
  </si>
  <si>
    <t>40-8060</t>
  </si>
  <si>
    <t>Datsun Agy720-921207</t>
  </si>
  <si>
    <t>HCC-11</t>
  </si>
  <si>
    <t>LO-9810</t>
  </si>
  <si>
    <t>Isuzu Pr75Kj7104331</t>
  </si>
  <si>
    <t>DB-01</t>
  </si>
  <si>
    <t>LA-9208</t>
  </si>
  <si>
    <t>Diesel Bowser</t>
  </si>
  <si>
    <t>Tata 207 Di</t>
  </si>
  <si>
    <t>DB-02</t>
  </si>
  <si>
    <t>68-5115</t>
  </si>
  <si>
    <t>Isuzu 207 Di</t>
  </si>
  <si>
    <t>DB-03</t>
  </si>
  <si>
    <t>40-2955</t>
  </si>
  <si>
    <t>Nissan Atlas</t>
  </si>
  <si>
    <t>DB-04</t>
  </si>
  <si>
    <t>41-1130</t>
  </si>
  <si>
    <t>Isuzu —</t>
  </si>
  <si>
    <t>DB-05</t>
  </si>
  <si>
    <t>Tata —</t>
  </si>
  <si>
    <t>DC-06</t>
  </si>
  <si>
    <t>PA-4193</t>
  </si>
  <si>
    <t>Double Cab (Pickup)</t>
  </si>
  <si>
    <t>Toyota Hilux</t>
  </si>
  <si>
    <t>DC-07</t>
  </si>
  <si>
    <t>Datzen Motor Pic-Up</t>
  </si>
  <si>
    <t>DC-08</t>
  </si>
  <si>
    <t>59-5421</t>
  </si>
  <si>
    <t>Isuzu Motor Pic-Up</t>
  </si>
  <si>
    <t>DC-10</t>
  </si>
  <si>
    <t>28-4314</t>
  </si>
  <si>
    <t>DC-11</t>
  </si>
  <si>
    <t>HU-5097</t>
  </si>
  <si>
    <t>Mitsubishi L 200</t>
  </si>
  <si>
    <t>DC-12</t>
  </si>
  <si>
    <t>253-2574</t>
  </si>
  <si>
    <t>Mitsubishi Motor Pic-Up</t>
  </si>
  <si>
    <t>DC-14</t>
  </si>
  <si>
    <t>Mahindra Bolero Camper Gold</t>
  </si>
  <si>
    <t>DC-15</t>
  </si>
  <si>
    <t>PE-6582</t>
  </si>
  <si>
    <t>DC-16</t>
  </si>
  <si>
    <t>PA-4102</t>
  </si>
  <si>
    <t>Volkswagon T5 Transporter</t>
  </si>
  <si>
    <t>DC-18</t>
  </si>
  <si>
    <t>PE-5879</t>
  </si>
  <si>
    <t>Toyota Hilux Vigo</t>
  </si>
  <si>
    <t>DC-19</t>
  </si>
  <si>
    <t>PD-8451</t>
  </si>
  <si>
    <t>DC-20</t>
  </si>
  <si>
    <t>PH-0765</t>
  </si>
  <si>
    <t>DC-21</t>
  </si>
  <si>
    <t>PH-3945</t>
  </si>
  <si>
    <t>Mahindra Imperio Dcvx</t>
  </si>
  <si>
    <t>DC-22</t>
  </si>
  <si>
    <t>PE-3911</t>
  </si>
  <si>
    <t>DC-23</t>
  </si>
  <si>
    <t>PD-4739</t>
  </si>
  <si>
    <t>DC-24</t>
  </si>
  <si>
    <t>PC-7812</t>
  </si>
  <si>
    <t>Toyota Hilux Hl2 D-4D 4*4</t>
  </si>
  <si>
    <t>DC-25</t>
  </si>
  <si>
    <t>PJ-5688</t>
  </si>
  <si>
    <t>DC-26</t>
  </si>
  <si>
    <t>PJ-7604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</si>
  <si>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</si>
  <si>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</si>
  <si>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</si>
  <si>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</si>
  <si>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</si>
  <si>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</si>
  <si>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</si>
  <si>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</si>
  <si>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</si>
  <si>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PI-3982</t>
  </si>
  <si>
    <t>Toyota Hilux Cun126R Dttlh</t>
  </si>
  <si>
    <t>DC-32</t>
  </si>
  <si>
    <t>PH-9072</t>
  </si>
  <si>
    <t>Toyota —</t>
  </si>
  <si>
    <t>DT-01</t>
  </si>
  <si>
    <t>LB-9496</t>
  </si>
  <si>
    <t>Dump Truck (Tipper)</t>
  </si>
  <si>
    <t>Ashok Leland Comet</t>
  </si>
  <si>
    <t>Standard ~16t</t>
  </si>
  <si>
    <t>DT-02</t>
  </si>
  <si>
    <t>Tata Lpk 407</t>
  </si>
  <si>
    <t>Light 4t</t>
  </si>
  <si>
    <t>DT-03</t>
  </si>
  <si>
    <t>LK-4057</t>
  </si>
  <si>
    <t>Ashok Leland Commet Tipper 1613</t>
  </si>
  <si>
    <t>DT-04</t>
  </si>
  <si>
    <t>HS-1794</t>
  </si>
  <si>
    <t>DT-05</t>
  </si>
  <si>
    <t>HS-1773</t>
  </si>
  <si>
    <t>DT-07</t>
  </si>
  <si>
    <t>LI-7618</t>
  </si>
  <si>
    <t>Tata Lpk 1615</t>
  </si>
  <si>
    <t>DT-08</t>
  </si>
  <si>
    <t>LI-7620</t>
  </si>
  <si>
    <t>Tata Lpk1618</t>
  </si>
  <si>
    <t>DT-09</t>
  </si>
  <si>
    <t>LI-7701</t>
  </si>
  <si>
    <t>DT-10</t>
  </si>
  <si>
    <t>LK-6740</t>
  </si>
  <si>
    <t>DT-11</t>
  </si>
  <si>
    <t>LK-6738</t>
  </si>
  <si>
    <t>DT-12</t>
  </si>
  <si>
    <t>LK-2276</t>
  </si>
  <si>
    <t>Tata Lpk 909</t>
  </si>
  <si>
    <t>Medium 9t</t>
  </si>
  <si>
    <t>DT-13</t>
  </si>
  <si>
    <t>LK-2366</t>
  </si>
  <si>
    <t>DT-14</t>
  </si>
  <si>
    <t>LK-4056</t>
  </si>
  <si>
    <t>DT-15</t>
  </si>
  <si>
    <t>LM-5722</t>
  </si>
  <si>
    <t>DT-16</t>
  </si>
  <si>
    <t>LK-4059</t>
  </si>
  <si>
    <t>Ashok Leland Taurus 2516</t>
  </si>
  <si>
    <t>Heavy 25t</t>
  </si>
  <si>
    <t>DT-17</t>
  </si>
  <si>
    <t>LI-3402</t>
  </si>
  <si>
    <t>Elcher Terra16 Hdr</t>
  </si>
  <si>
    <t>DT-18</t>
  </si>
  <si>
    <t>LM-5721</t>
  </si>
  <si>
    <t>DT-19</t>
  </si>
  <si>
    <t>LI-3396</t>
  </si>
  <si>
    <t>DT-20</t>
  </si>
  <si>
    <t>LI-3401</t>
  </si>
  <si>
    <t>DT-21</t>
  </si>
  <si>
    <t>LI-3395</t>
  </si>
  <si>
    <t>DT-22</t>
  </si>
  <si>
    <t>LH-5586</t>
  </si>
  <si>
    <t>Ashok Leland Taurus</t>
  </si>
  <si>
    <t>DT-23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</si>
  <si>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</si>
  <si>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</si>
  <si>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</si>
  <si>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</si>
  <si>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</si>
  <si>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</si>
  <si>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</si>
  <si>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</si>
  <si>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LL-0936</t>
  </si>
  <si>
    <t>Ashok Leland Lpk 407</t>
  </si>
  <si>
    <t>DT-28</t>
  </si>
  <si>
    <t>LJ-5203</t>
  </si>
  <si>
    <t>DT-29</t>
  </si>
  <si>
    <t>LJ-5559</t>
  </si>
  <si>
    <t>DT-30</t>
  </si>
  <si>
    <t>LI-3851</t>
  </si>
  <si>
    <t>DT-31</t>
  </si>
  <si>
    <t>LE-4986</t>
  </si>
  <si>
    <t>Elcher 20.16</t>
  </si>
  <si>
    <t>Standard 16-20t</t>
  </si>
  <si>
    <t>DT-32</t>
  </si>
  <si>
    <t>DT-33</t>
  </si>
  <si>
    <t>LM-5723</t>
  </si>
  <si>
    <t>DT-34</t>
  </si>
  <si>
    <t>LM-5720</t>
  </si>
  <si>
    <t>DT-35</t>
  </si>
  <si>
    <t>DT-36</t>
  </si>
  <si>
    <t>DT-37</t>
  </si>
  <si>
    <t>LM-7949</t>
  </si>
  <si>
    <t>DT-38</t>
  </si>
  <si>
    <t>LM-7942</t>
  </si>
  <si>
    <t>DT-39</t>
  </si>
  <si>
    <t>LM-7951</t>
  </si>
  <si>
    <t>DT-40</t>
  </si>
  <si>
    <t>LN-9046</t>
  </si>
  <si>
    <t>Tata 10.80 Tipper</t>
  </si>
  <si>
    <t>Medium 10t</t>
  </si>
  <si>
    <t>DT-41</t>
  </si>
  <si>
    <t>HO-9850</t>
  </si>
  <si>
    <t>DT-42</t>
  </si>
  <si>
    <t>LO-4822</t>
  </si>
  <si>
    <t>Tata Lpk 1618</t>
  </si>
  <si>
    <t>DT-43</t>
  </si>
  <si>
    <t>LO-4823</t>
  </si>
  <si>
    <t>DT-44</t>
  </si>
  <si>
    <t>LO-4824</t>
  </si>
  <si>
    <t>DT-45</t>
  </si>
  <si>
    <t>LO-4816</t>
  </si>
  <si>
    <t>DT-46</t>
  </si>
  <si>
    <t>LO-4821</t>
  </si>
  <si>
    <t>DT-47</t>
  </si>
  <si>
    <t>Tata Lpk1615Tc</t>
  </si>
  <si>
    <t>DT-48</t>
  </si>
  <si>
    <t>LO-5986</t>
  </si>
  <si>
    <t>DT-49</t>
  </si>
  <si>
    <t>LO-5984</t>
  </si>
  <si>
    <t>DT-50</t>
  </si>
  <si>
    <t>LO-5985</t>
  </si>
  <si>
    <t>DT-51</t>
  </si>
  <si>
    <t>LO-5981</t>
  </si>
  <si>
    <t>DT-52</t>
  </si>
  <si>
    <t>LA-4229</t>
  </si>
  <si>
    <t>Tata Commet Tipper 1613</t>
  </si>
  <si>
    <t>DT-53</t>
  </si>
  <si>
    <t>DT-54</t>
  </si>
  <si>
    <t>LO-7180</t>
  </si>
  <si>
    <t>DT-55</t>
  </si>
  <si>
    <t>DT-56</t>
  </si>
  <si>
    <t>LO-7181</t>
  </si>
  <si>
    <t>DT-57</t>
  </si>
  <si>
    <t>LO-7184</t>
  </si>
  <si>
    <t>DT-58</t>
  </si>
  <si>
    <t>LO-8349</t>
  </si>
  <si>
    <t>DT-59</t>
  </si>
  <si>
    <t>LO-8348</t>
  </si>
  <si>
    <t>DT-60</t>
  </si>
  <si>
    <t>LO-8350</t>
  </si>
  <si>
    <t>DT-61</t>
  </si>
  <si>
    <t>LP-1581</t>
  </si>
  <si>
    <t>DT-62</t>
  </si>
  <si>
    <t>DT-63</t>
  </si>
  <si>
    <t>LP-1567</t>
  </si>
  <si>
    <t>DT-64</t>
  </si>
  <si>
    <t>LP-1576</t>
  </si>
  <si>
    <t>DT-65</t>
  </si>
  <si>
    <t>LP-1571</t>
  </si>
  <si>
    <t>DT-66</t>
  </si>
  <si>
    <t>LP-1582</t>
  </si>
  <si>
    <t>DT-67</t>
  </si>
  <si>
    <t>LP-1572</t>
  </si>
  <si>
    <t>DT-68</t>
  </si>
  <si>
    <t>LP-1569</t>
  </si>
  <si>
    <t>DT-69</t>
  </si>
  <si>
    <t>LP-1579</t>
  </si>
  <si>
    <t>DT-70</t>
  </si>
  <si>
    <t>LP-1574</t>
  </si>
  <si>
    <t>DT-71</t>
  </si>
  <si>
    <t>LP-1578</t>
  </si>
  <si>
    <t>DT-72</t>
  </si>
  <si>
    <t>LP-1580</t>
  </si>
  <si>
    <t>DT-73</t>
  </si>
  <si>
    <t>LP-1568</t>
  </si>
  <si>
    <t>DT-74</t>
  </si>
  <si>
    <t>DT-75</t>
  </si>
  <si>
    <t>LP-1566</t>
  </si>
  <si>
    <t>DT-76</t>
  </si>
  <si>
    <t>LP-1710</t>
  </si>
  <si>
    <t>DT-77</t>
  </si>
  <si>
    <t>LP-1719</t>
  </si>
  <si>
    <t>DT-78</t>
  </si>
  <si>
    <t>LP-1709</t>
  </si>
  <si>
    <t>DT-79</t>
  </si>
  <si>
    <t>LP-1713</t>
  </si>
  <si>
    <t>DT-80</t>
  </si>
  <si>
    <t>LP-1720</t>
  </si>
  <si>
    <t>DT-81</t>
  </si>
  <si>
    <t>LP-1715</t>
  </si>
  <si>
    <t>DT-82</t>
  </si>
  <si>
    <t>LP-1716</t>
  </si>
  <si>
    <t>DT-83</t>
  </si>
  <si>
    <t>LP-1712</t>
  </si>
  <si>
    <t>DT-84</t>
  </si>
  <si>
    <t>LP-1711</t>
  </si>
  <si>
    <t>DT-85</t>
  </si>
  <si>
    <t>LP-1718</t>
  </si>
  <si>
    <t>Excavator</t>
  </si>
  <si>
    <t>Volvo Ec210V</t>
  </si>
  <si>
    <t>Standard 21t</t>
  </si>
  <si>
    <t>HEX-02</t>
  </si>
  <si>
    <t>Komatsu Pc-100</t>
  </si>
  <si>
    <t>Midi 10t</t>
  </si>
  <si>
    <t>HEX-03</t>
  </si>
  <si>
    <t>Hitachi Uh045</t>
  </si>
  <si>
    <t>Midi 15t</t>
  </si>
  <si>
    <t>HEX-04</t>
  </si>
  <si>
    <t>HEX-05</t>
  </si>
  <si>
    <t>Komatsu Pc60</t>
  </si>
  <si>
    <t>Mini 6t</t>
  </si>
  <si>
    <t>HEX-06</t>
  </si>
  <si>
    <t>Komatsu Pcs50Uu-01</t>
  </si>
  <si>
    <t>Mini 5t</t>
  </si>
  <si>
    <t>HEX-07</t>
  </si>
  <si>
    <t>Kobelko Yd-00418</t>
  </si>
  <si>
    <t>Standard (assumed)</t>
  </si>
  <si>
    <t>HEX-09</t>
  </si>
  <si>
    <t>Komatsu Pc27R-8</t>
  </si>
  <si>
    <t>Mini 2.7t</t>
  </si>
  <si>
    <t>HEX-12</t>
  </si>
  <si>
    <t>HEX-13</t>
  </si>
  <si>
    <t>Kubota U-25-35</t>
  </si>
  <si>
    <t>Mini 2.5t</t>
  </si>
  <si>
    <t>HEX-14</t>
  </si>
  <si>
    <t>Cat 303 Cr</t>
  </si>
  <si>
    <t>Mini 3t</t>
  </si>
  <si>
    <t>HEX-15</t>
  </si>
  <si>
    <t>Kubota Kx-040</t>
  </si>
  <si>
    <t>Mini 4t</t>
  </si>
  <si>
    <t>HEX-17</t>
  </si>
  <si>
    <t>Hyundai 0Bex220Lc-9S</t>
  </si>
  <si>
    <t>Standard 22t</t>
  </si>
  <si>
    <t>HEX-18</t>
  </si>
  <si>
    <t>Hithachi Ex75Ur-3</t>
  </si>
  <si>
    <t>Compact 7.5t</t>
  </si>
  <si>
    <t>Komatsu Pc-120-6Eo</t>
  </si>
  <si>
    <t>Midi 12t</t>
  </si>
  <si>
    <t>HEX-20</t>
  </si>
  <si>
    <t>Komatsu Pc-40Mr-02</t>
  </si>
  <si>
    <t>HEX-21</t>
  </si>
  <si>
    <t>Kobelko Sk115Sr</t>
  </si>
  <si>
    <t>Midi 11.5t</t>
  </si>
  <si>
    <t>HEX-22</t>
  </si>
  <si>
    <t>Catapillar 314C</t>
  </si>
  <si>
    <t>Midi 14t</t>
  </si>
  <si>
    <t>HEX-23</t>
  </si>
  <si>
    <t>Kobelko 200</t>
  </si>
  <si>
    <t>Standard 20t</t>
  </si>
  <si>
    <t>HEX-24</t>
  </si>
  <si>
    <t>Komatsu Pc-40Mr-1</t>
  </si>
  <si>
    <t>HEX-25</t>
  </si>
  <si>
    <t>14160</t>
  </si>
  <si>
    <t>Hyundai R230Lm</t>
  </si>
  <si>
    <t>Standard 20-23t</t>
  </si>
  <si>
    <t>HEX-26</t>
  </si>
  <si>
    <t>Hyundai Robex330Lc-9S</t>
  </si>
  <si>
    <t>Large 33t</t>
  </si>
  <si>
    <t>HEX-27</t>
  </si>
  <si>
    <t>Hyundai E55W</t>
  </si>
  <si>
    <t>Mini 5.5t</t>
  </si>
  <si>
    <t>HEX-28</t>
  </si>
  <si>
    <t>Komatsu Pc-60-6</t>
  </si>
  <si>
    <t>HEX-29</t>
  </si>
  <si>
    <t>Cat Cat308Ccr</t>
  </si>
  <si>
    <t>Compact 8t</t>
  </si>
  <si>
    <t>HEX-31</t>
  </si>
  <si>
    <t>Komatsu Pc-30</t>
  </si>
  <si>
    <t>HEX-32</t>
  </si>
  <si>
    <t>HEX-33</t>
  </si>
  <si>
    <t>HEX-34</t>
  </si>
  <si>
    <t>Hyundai R220Lc-9S</t>
  </si>
  <si>
    <t>HEX-35</t>
  </si>
  <si>
    <t>HEX-36</t>
  </si>
  <si>
    <t>HEX-37</t>
  </si>
  <si>
    <t>Hyundai (Robex330Lc-96)</t>
  </si>
  <si>
    <t>HEX-38</t>
  </si>
  <si>
    <t>HEX-39</t>
  </si>
  <si>
    <t>HEX-40</t>
  </si>
  <si>
    <t>Santui Se210</t>
  </si>
  <si>
    <t>HEX-41</t>
  </si>
  <si>
    <t>Hyundai 220Lc-7</t>
  </si>
  <si>
    <t>Case Cx220C Lc Hd</t>
  </si>
  <si>
    <t>HEX-43</t>
  </si>
  <si>
    <t>HEX-44</t>
  </si>
  <si>
    <t>Kobelco Sx 120</t>
  </si>
  <si>
    <t>HEX-45</t>
  </si>
  <si>
    <t>HEX-46</t>
  </si>
  <si>
    <t>FT-02</t>
  </si>
  <si>
    <t>49-2289</t>
  </si>
  <si>
    <t>Farm Tractor</t>
  </si>
  <si>
    <t>Massey Furguson 135</t>
  </si>
  <si>
    <t>FT-03</t>
  </si>
  <si>
    <t>RA-3051</t>
  </si>
  <si>
    <t>Tafe 45Di</t>
  </si>
  <si>
    <t>FT-04</t>
  </si>
  <si>
    <t>RA-3052</t>
  </si>
  <si>
    <t>FT-05</t>
  </si>
  <si>
    <t>RF-0748</t>
  </si>
  <si>
    <t>Massey Ferouson Mf 240</t>
  </si>
  <si>
    <t>FT-06</t>
  </si>
  <si>
    <t>RD-3536</t>
  </si>
  <si>
    <t>Mahindra 575Di</t>
  </si>
  <si>
    <t>FT-07</t>
  </si>
  <si>
    <t>RC-9894</t>
  </si>
  <si>
    <t>FT-08</t>
  </si>
  <si>
    <t>RD-3537</t>
  </si>
  <si>
    <t>FT-09</t>
  </si>
  <si>
    <t>49-5294</t>
  </si>
  <si>
    <t>Massey Furguson 45Di</t>
  </si>
  <si>
    <t>FT-10</t>
  </si>
  <si>
    <t>RD-6318</t>
  </si>
  <si>
    <t>Mahindra 275 Di</t>
  </si>
  <si>
    <t>FT-11</t>
  </si>
  <si>
    <t>49-2288</t>
  </si>
  <si>
    <t>FL-01</t>
  </si>
  <si>
    <t>Forklift</t>
  </si>
  <si>
    <t>Barrol Fork Lift —</t>
  </si>
  <si>
    <t>FL-02</t>
  </si>
  <si>
    <t>Blade Fock Lift —</t>
  </si>
  <si>
    <t>FL-03</t>
  </si>
  <si>
    <t>HD-9005</t>
  </si>
  <si>
    <t>Lorry Trailer</t>
  </si>
  <si>
    <t>Tantri Tsk 20</t>
  </si>
  <si>
    <t>None</t>
  </si>
  <si>
    <t>Towed (no engine)</t>
  </si>
  <si>
    <t>LX-1045</t>
  </si>
  <si>
    <t>LX-1679</t>
  </si>
  <si>
    <t>Tantri Tfb40</t>
  </si>
  <si>
    <t>CR-01</t>
  </si>
  <si>
    <t>Mobile Crane</t>
  </si>
  <si>
    <t>Tadano Tr-350M-3-00101</t>
  </si>
  <si>
    <t>35t crane</t>
  </si>
  <si>
    <t>CR-02</t>
  </si>
  <si>
    <t>ZA-9716</t>
  </si>
  <si>
    <t>Kobelco Rk 250</t>
  </si>
  <si>
    <t>25t crane</t>
  </si>
  <si>
    <t>MB-05</t>
  </si>
  <si>
    <t>HO-0217</t>
  </si>
  <si>
    <t>Motor Bicycle</t>
  </si>
  <si>
    <t>Bajaj Bajaj Boxerct-Deluxe</t>
  </si>
  <si>
    <t>Petrol</t>
  </si>
  <si>
    <t>MB-07</t>
  </si>
  <si>
    <t>MP-3092</t>
  </si>
  <si>
    <t>Tvs Star City</t>
  </si>
  <si>
    <t>MB-08</t>
  </si>
  <si>
    <t>MV-4276</t>
  </si>
  <si>
    <t>Bajaj Ct100</t>
  </si>
  <si>
    <t>MB-09</t>
  </si>
  <si>
    <t>MV-5841</t>
  </si>
  <si>
    <t>Bajaj Cd Dream Dlx 110</t>
  </si>
  <si>
    <t>MB-10</t>
  </si>
  <si>
    <t>BEF-7850</t>
  </si>
  <si>
    <t>Bajaj Discover 125</t>
  </si>
  <si>
    <t>MB-11</t>
  </si>
  <si>
    <t>BET-3726</t>
  </si>
  <si>
    <t>Bajaj Platina</t>
  </si>
  <si>
    <t>MB-13</t>
  </si>
  <si>
    <t>TS-5399</t>
  </si>
  <si>
    <t>Bajaj Discover Dtsi</t>
  </si>
  <si>
    <t>MB-14</t>
  </si>
  <si>
    <t>XG-6801</t>
  </si>
  <si>
    <t>Bajaj Platina Bm 125</t>
  </si>
  <si>
    <t>MB-15</t>
  </si>
  <si>
    <t>BEF-7836</t>
  </si>
  <si>
    <t>MB-16</t>
  </si>
  <si>
    <t>XP-8682</t>
  </si>
  <si>
    <t>Honda Cb-125T</t>
  </si>
  <si>
    <t>MB-17</t>
  </si>
  <si>
    <t>XW-9221</t>
  </si>
  <si>
    <t>MB-18</t>
  </si>
  <si>
    <t>WQ-9941</t>
  </si>
  <si>
    <t>MB-19</t>
  </si>
  <si>
    <t>BET-3772</t>
  </si>
  <si>
    <t>MB-20</t>
  </si>
  <si>
    <t>XW-9217</t>
  </si>
  <si>
    <t>Bajaj —</t>
  </si>
  <si>
    <t>MB-21</t>
  </si>
  <si>
    <t>XW-9222</t>
  </si>
  <si>
    <t>MB-22</t>
  </si>
  <si>
    <t>BAB-8828</t>
  </si>
  <si>
    <t>MB-23</t>
  </si>
  <si>
    <t>BAB-8832</t>
  </si>
  <si>
    <t>MB-25</t>
  </si>
  <si>
    <t>BDJ-2374</t>
  </si>
  <si>
    <t>MB-26</t>
  </si>
  <si>
    <t>BDI-8546</t>
  </si>
  <si>
    <t>MB-27</t>
  </si>
  <si>
    <t>BDI-8556</t>
  </si>
  <si>
    <t>MB-28</t>
  </si>
  <si>
    <t>BDJ-2375</t>
  </si>
  <si>
    <t>MB-29</t>
  </si>
  <si>
    <t>BCN-9805</t>
  </si>
  <si>
    <t>Bajaj Discover 125 M</t>
  </si>
  <si>
    <t>MB-30</t>
  </si>
  <si>
    <t>BCN-9802</t>
  </si>
  <si>
    <t>MB-31</t>
  </si>
  <si>
    <t>BAB-8839</t>
  </si>
  <si>
    <t>MB-32</t>
  </si>
  <si>
    <t>BAN-2012</t>
  </si>
  <si>
    <t>MB-33</t>
  </si>
  <si>
    <t>BAN-2021</t>
  </si>
  <si>
    <t>MB-34</t>
  </si>
  <si>
    <t>WQ-9935</t>
  </si>
  <si>
    <t>MB-35</t>
  </si>
  <si>
    <t>BEB-3132</t>
  </si>
  <si>
    <t>Platina Platina</t>
  </si>
  <si>
    <t>MB-36</t>
  </si>
  <si>
    <t>BIE-8589</t>
  </si>
  <si>
    <t>Discovery —</t>
  </si>
  <si>
    <t>MB-37</t>
  </si>
  <si>
    <t>BET-8556</t>
  </si>
  <si>
    <t>Platina —</t>
  </si>
  <si>
    <t>BFR-4276</t>
  </si>
  <si>
    <t>BGI-5000</t>
  </si>
  <si>
    <t>BGY-6440</t>
  </si>
  <si>
    <t>BGY-6445</t>
  </si>
  <si>
    <t>BGY-6446</t>
  </si>
  <si>
    <t>BHT-3482</t>
  </si>
  <si>
    <t>BID-8738</t>
  </si>
  <si>
    <t>Honda —</t>
  </si>
  <si>
    <t>BIE-8552</t>
  </si>
  <si>
    <t>BIG-4988</t>
  </si>
  <si>
    <t>BII-2125</t>
  </si>
  <si>
    <t>MG-01</t>
  </si>
  <si>
    <t>Komatsu —</t>
  </si>
  <si>
    <t>MG-02</t>
  </si>
  <si>
    <t>MG-03</t>
  </si>
  <si>
    <t>Mitsubishi 452-65-147</t>
  </si>
  <si>
    <t>MG-04</t>
  </si>
  <si>
    <t>MG-05</t>
  </si>
  <si>
    <t>Komatsu 2501</t>
  </si>
  <si>
    <t>Mitsubishi 320-11-21Gd</t>
  </si>
  <si>
    <t>MG-07</t>
  </si>
  <si>
    <t>ZA-4344</t>
  </si>
  <si>
    <t>MG-08</t>
  </si>
  <si>
    <t>ZB-2561</t>
  </si>
  <si>
    <t>Sany Stg170C-8</t>
  </si>
  <si>
    <t>MG-09</t>
  </si>
  <si>
    <t>ZB-2562</t>
  </si>
  <si>
    <t>MG-10</t>
  </si>
  <si>
    <t>ZB-2559</t>
  </si>
  <si>
    <t>MG-11</t>
  </si>
  <si>
    <t>Mitsubhishi Mg 230</t>
  </si>
  <si>
    <t>ZB-2564</t>
  </si>
  <si>
    <t>MG-13</t>
  </si>
  <si>
    <t>ZB-2585</t>
  </si>
  <si>
    <t>Sany Stg170C-9</t>
  </si>
  <si>
    <t>MG-14</t>
  </si>
  <si>
    <t>Mitsubishi 2Gb00258</t>
  </si>
  <si>
    <t>MG-15</t>
  </si>
  <si>
    <t>Mitsubishi 2Gb01241</t>
  </si>
  <si>
    <t>MG-16</t>
  </si>
  <si>
    <t>Caterpiller *Cat0140Hc5Hm03479*</t>
  </si>
  <si>
    <t>PTR-01</t>
  </si>
  <si>
    <t>Pneumatic Roller</t>
  </si>
  <si>
    <t>Kawasaki Kr-20 D</t>
  </si>
  <si>
    <t>PTR-02</t>
  </si>
  <si>
    <t>Sakai 6Bd1Lj-01</t>
  </si>
  <si>
    <t>PTR-03</t>
  </si>
  <si>
    <t>PTR-04</t>
  </si>
  <si>
    <t>Dynapac Cp-201W</t>
  </si>
  <si>
    <t>PTR-05</t>
  </si>
  <si>
    <t>PTR-06</t>
  </si>
  <si>
    <t>Ktdto Rt-200W</t>
  </si>
  <si>
    <t>PTR-07</t>
  </si>
  <si>
    <t>Furukawa Ft-20W</t>
  </si>
  <si>
    <t>PTR-08</t>
  </si>
  <si>
    <t>Komatsu J.W 200</t>
  </si>
  <si>
    <t>PTR-09</t>
  </si>
  <si>
    <t>Sakai C200</t>
  </si>
  <si>
    <t>PTR-10</t>
  </si>
  <si>
    <t>Sakai Ts200</t>
  </si>
  <si>
    <t>BD-01</t>
  </si>
  <si>
    <t>LL-1782</t>
  </si>
  <si>
    <t>Prime Mover / Bed</t>
  </si>
  <si>
    <t>Isuzu Giga</t>
  </si>
  <si>
    <t>BD-02</t>
  </si>
  <si>
    <t>GL-0019</t>
  </si>
  <si>
    <t>Renault —</t>
  </si>
  <si>
    <t>Standard</t>
  </si>
  <si>
    <t>BD-03</t>
  </si>
  <si>
    <t>LY-1614</t>
  </si>
  <si>
    <t>Tata Lps4018</t>
  </si>
  <si>
    <t>Heavy 40t GCW</t>
  </si>
  <si>
    <t>BD-04</t>
  </si>
  <si>
    <t>LY-4524</t>
  </si>
  <si>
    <t>Renault Premium</t>
  </si>
  <si>
    <t>BD-05</t>
  </si>
  <si>
    <t>LM-6653</t>
  </si>
  <si>
    <t>Ashok Leland Taurus 2518</t>
  </si>
  <si>
    <t>Standard 6x4</t>
  </si>
  <si>
    <t>BD-06</t>
  </si>
  <si>
    <t>325-5120</t>
  </si>
  <si>
    <t>Ashok Leland Caroo 709</t>
  </si>
  <si>
    <t>Light 7t</t>
  </si>
  <si>
    <t>BD-08</t>
  </si>
  <si>
    <t>LN-8279</t>
  </si>
  <si>
    <t>Hino Profla</t>
  </si>
  <si>
    <t>BM-05</t>
  </si>
  <si>
    <t>LK-5041</t>
  </si>
  <si>
    <t>Tata Lpt2516</t>
  </si>
  <si>
    <t>PC-01</t>
  </si>
  <si>
    <t>Pump Truck (Concrete)</t>
  </si>
  <si>
    <t>Hino Fs1Ewy</t>
  </si>
  <si>
    <t>PC-02</t>
  </si>
  <si>
    <t>Sany Lzz1Bckh2Kw579978</t>
  </si>
  <si>
    <t>TM-13</t>
  </si>
  <si>
    <t>Fiori</t>
  </si>
  <si>
    <t>Self Loader Mixer</t>
  </si>
  <si>
    <t>Fiori 8Fo8H01246</t>
  </si>
  <si>
    <t>TM-17</t>
  </si>
  <si>
    <t>Fiori 8Fo8H01252</t>
  </si>
  <si>
    <t>TM-20</t>
  </si>
  <si>
    <t>Fiori Bf08H01307</t>
  </si>
  <si>
    <t>SC-02</t>
  </si>
  <si>
    <t>LB-4824</t>
  </si>
  <si>
    <t>Single Cab</t>
  </si>
  <si>
    <t>SC-04</t>
  </si>
  <si>
    <t>Tata 207Di/28</t>
  </si>
  <si>
    <t>SC-05</t>
  </si>
  <si>
    <t>PV-6889</t>
  </si>
  <si>
    <t>SC-06</t>
  </si>
  <si>
    <t>PY-2408</t>
  </si>
  <si>
    <t>Tata 207 Rx Pickup</t>
  </si>
  <si>
    <t>SC-07</t>
  </si>
  <si>
    <t>PX-2180</t>
  </si>
  <si>
    <t>Dfsk Eq1020Dr</t>
  </si>
  <si>
    <t>SC-08</t>
  </si>
  <si>
    <t>PR-1504</t>
  </si>
  <si>
    <t>Tata Ace</t>
  </si>
  <si>
    <t>SC-09</t>
  </si>
  <si>
    <t>PR-1469</t>
  </si>
  <si>
    <t>SC-10</t>
  </si>
  <si>
    <t>DAH-2228</t>
  </si>
  <si>
    <t>Mahindra Bmt Plus Mti</t>
  </si>
  <si>
    <t>SC-11</t>
  </si>
  <si>
    <t>DAH-2229</t>
  </si>
  <si>
    <t>SC-12</t>
  </si>
  <si>
    <t>SC-13</t>
  </si>
  <si>
    <t>DAH-2231</t>
  </si>
  <si>
    <t>SC-14</t>
  </si>
  <si>
    <t>DAH-2491</t>
  </si>
  <si>
    <t>Tata Yodha Bsiv</t>
  </si>
  <si>
    <t>SC-15</t>
  </si>
  <si>
    <t>47-5112</t>
  </si>
  <si>
    <t>Liteace Ace</t>
  </si>
  <si>
    <t>SL-01</t>
  </si>
  <si>
    <t>Skid Steer</t>
  </si>
  <si>
    <t>Bob Cat —</t>
  </si>
  <si>
    <t>Standard ~2t</t>
  </si>
  <si>
    <t>SL-02</t>
  </si>
  <si>
    <t>Bob Cat S130</t>
  </si>
  <si>
    <t>Compact</t>
  </si>
  <si>
    <t>SL-03</t>
  </si>
  <si>
    <t>SL-04</t>
  </si>
  <si>
    <t>SL-05</t>
  </si>
  <si>
    <t>SL-06</t>
  </si>
  <si>
    <t>SL-07</t>
  </si>
  <si>
    <t>SL-08</t>
  </si>
  <si>
    <t>Cat 216B3</t>
  </si>
  <si>
    <t>SL-09</t>
  </si>
  <si>
    <t>SL-10</t>
  </si>
  <si>
    <t>Bob Cat S450 S-450</t>
  </si>
  <si>
    <t>SL-11</t>
  </si>
  <si>
    <t>Bob Cat S-450</t>
  </si>
  <si>
    <t>SL-12</t>
  </si>
  <si>
    <t>SL-13</t>
  </si>
  <si>
    <t>Bob Cat S-16</t>
  </si>
  <si>
    <t>SL-15</t>
  </si>
  <si>
    <t>SL-16</t>
  </si>
  <si>
    <t>SL-17</t>
  </si>
  <si>
    <t>SL-18</t>
  </si>
  <si>
    <t>SL-19</t>
  </si>
  <si>
    <t>Bob Cat S770</t>
  </si>
  <si>
    <t>Large ~3.5t</t>
  </si>
  <si>
    <t>SL-20</t>
  </si>
  <si>
    <t>SL-21</t>
  </si>
  <si>
    <t>SL-22</t>
  </si>
  <si>
    <t>SL-23</t>
  </si>
  <si>
    <t>SL-24</t>
  </si>
  <si>
    <t>SL-25</t>
  </si>
  <si>
    <t>SR-01</t>
  </si>
  <si>
    <t>Static Roller</t>
  </si>
  <si>
    <t>Case —</t>
  </si>
  <si>
    <t>SR-02</t>
  </si>
  <si>
    <t>(Unknown) R12</t>
  </si>
  <si>
    <t>SR-03</t>
  </si>
  <si>
    <t>SR-04</t>
  </si>
  <si>
    <t>SR-05</t>
  </si>
  <si>
    <t>Sakai Sw-900</t>
  </si>
  <si>
    <t>SR-06</t>
  </si>
  <si>
    <t>SR-07</t>
  </si>
  <si>
    <t>Ir 2860-01</t>
  </si>
  <si>
    <t>SR-08</t>
  </si>
  <si>
    <t>Case 1107Exd</t>
  </si>
  <si>
    <t>SR-09</t>
  </si>
  <si>
    <t>SR-10</t>
  </si>
  <si>
    <t>Macadam —</t>
  </si>
  <si>
    <t>SR-11</t>
  </si>
  <si>
    <t>Hamm Hamm 311D</t>
  </si>
  <si>
    <t>SR-12</t>
  </si>
  <si>
    <t>SR-13</t>
  </si>
  <si>
    <t>Dynapac Ca250D</t>
  </si>
  <si>
    <t>SR-14</t>
  </si>
  <si>
    <t>Sakai R2V</t>
  </si>
  <si>
    <t>SR-15</t>
  </si>
  <si>
    <t>Macadam 1107Exd</t>
  </si>
  <si>
    <t>SR-16</t>
  </si>
  <si>
    <t>Dynapac Ca30D</t>
  </si>
  <si>
    <t>SR-17</t>
  </si>
  <si>
    <t>Dynapac Cc425</t>
  </si>
  <si>
    <t>SR-18</t>
  </si>
  <si>
    <t>TB-01</t>
  </si>
  <si>
    <t>Tractor Bowser</t>
  </si>
  <si>
    <t>Tractor Triler Tractor Bowser</t>
  </si>
  <si>
    <t>TB-04</t>
  </si>
  <si>
    <t>TB-09</t>
  </si>
  <si>
    <t>RY-0299</t>
  </si>
  <si>
    <t>TB-10</t>
  </si>
  <si>
    <t>RY-0304</t>
  </si>
  <si>
    <t>Locally Built Tractor Bowser</t>
  </si>
  <si>
    <t>TB-11</t>
  </si>
  <si>
    <t>RY-0301</t>
  </si>
  <si>
    <t>TB-12</t>
  </si>
  <si>
    <t>Tanker Tractor Bowser</t>
  </si>
  <si>
    <t>TB-15</t>
  </si>
  <si>
    <t>TB-16</t>
  </si>
  <si>
    <t>TB-17</t>
  </si>
  <si>
    <t>TB-18</t>
  </si>
  <si>
    <t>RV-1990</t>
  </si>
  <si>
    <t>Trailer</t>
  </si>
  <si>
    <t>Locally Built Tractor Trailer</t>
  </si>
  <si>
    <t>RY-0614</t>
  </si>
  <si>
    <t>Wimalaoro Tractor Trailer</t>
  </si>
  <si>
    <t>RY-2390</t>
  </si>
  <si>
    <t>Tanker Tractor Trailer</t>
  </si>
  <si>
    <t>TM-01</t>
  </si>
  <si>
    <t>LK-5048</t>
  </si>
  <si>
    <t>Mitsubishi Kc-Fh217C</t>
  </si>
  <si>
    <t>TM-03</t>
  </si>
  <si>
    <t>LK-5047</t>
  </si>
  <si>
    <t>Isuzu Kc-Nrr33C20</t>
  </si>
  <si>
    <t>Mini mixer</t>
  </si>
  <si>
    <t>TM-04</t>
  </si>
  <si>
    <t>LL-0690</t>
  </si>
  <si>
    <t>Isuzu Kk-Nrr35C4 Forward</t>
  </si>
  <si>
    <t>TM-05</t>
  </si>
  <si>
    <t>LH-5474</t>
  </si>
  <si>
    <t>Mitsubishi Kc-Fe517Bn</t>
  </si>
  <si>
    <t>TM-06</t>
  </si>
  <si>
    <t>LH-5475</t>
  </si>
  <si>
    <t>Mitsubishi U.Fe315Bn</t>
  </si>
  <si>
    <t>TM-08</t>
  </si>
  <si>
    <t>LJ-8055</t>
  </si>
  <si>
    <t>TM-09</t>
  </si>
  <si>
    <t>ZA-6255</t>
  </si>
  <si>
    <t>Mitsubishi Kk-Fe73Eb Canter</t>
  </si>
  <si>
    <t>TM-10</t>
  </si>
  <si>
    <t>ZA-6395</t>
  </si>
  <si>
    <t>Ashok Leyland Tusker Super 1613</t>
  </si>
  <si>
    <t>TM-11</t>
  </si>
  <si>
    <t>Elcher Terra 16</t>
  </si>
  <si>
    <t>TM-12</t>
  </si>
  <si>
    <t>TM-14</t>
  </si>
  <si>
    <t>Tata Lpk 2518</t>
  </si>
  <si>
    <t>Large 25t/7m³</t>
  </si>
  <si>
    <t>TM-15</t>
  </si>
  <si>
    <t>ZA-7925</t>
  </si>
  <si>
    <t>Standard 16t/6m³</t>
  </si>
  <si>
    <t>TM-16</t>
  </si>
  <si>
    <t>ZA-8033</t>
  </si>
  <si>
    <t>TM-18</t>
  </si>
  <si>
    <t>TM-19</t>
  </si>
  <si>
    <t>ZA-8445</t>
  </si>
  <si>
    <t>TM-21</t>
  </si>
  <si>
    <t>ZA-0050</t>
  </si>
  <si>
    <t>PV-01</t>
  </si>
  <si>
    <t>51-7158</t>
  </si>
  <si>
    <t>Van</t>
  </si>
  <si>
    <t>Toyota Liteace</t>
  </si>
  <si>
    <t>54-7084</t>
  </si>
  <si>
    <t>Toyota Toyota Townace</t>
  </si>
  <si>
    <t>PE-7986</t>
  </si>
  <si>
    <t>Toyota Kdh200V</t>
  </si>
  <si>
    <t>VR-01</t>
  </si>
  <si>
    <t>Vibrating Roller</t>
  </si>
  <si>
    <t>VR-02</t>
  </si>
  <si>
    <t>Komatsu Sl203468</t>
  </si>
  <si>
    <t>VR-03</t>
  </si>
  <si>
    <t>VR-04</t>
  </si>
  <si>
    <t>VR-05</t>
  </si>
  <si>
    <t>VR-06</t>
  </si>
  <si>
    <t>Bomag —</t>
  </si>
  <si>
    <t>VR-07</t>
  </si>
  <si>
    <t>Cat 1650Nk0285</t>
  </si>
  <si>
    <t>VR-08</t>
  </si>
  <si>
    <t>Atlas —</t>
  </si>
  <si>
    <t>VR-09</t>
  </si>
  <si>
    <t>Dynapac Cc142 Ii</t>
  </si>
  <si>
    <t>VR-10</t>
  </si>
  <si>
    <t>Bomag Bw 138 Ad-05</t>
  </si>
  <si>
    <t>VR-11</t>
  </si>
  <si>
    <t>Dynapac Cc1300</t>
  </si>
  <si>
    <t>VR-12</t>
  </si>
  <si>
    <t>VR-13</t>
  </si>
  <si>
    <t>Hamm —</t>
  </si>
  <si>
    <t>VR-14</t>
  </si>
  <si>
    <t>Bomag Bw-138 Ad</t>
  </si>
  <si>
    <t>VR-15</t>
  </si>
  <si>
    <t>VR-16</t>
  </si>
  <si>
    <t>VR-17</t>
  </si>
  <si>
    <t>VR-18</t>
  </si>
  <si>
    <t>Bomag Sa-00-350</t>
  </si>
  <si>
    <t>VR-19</t>
  </si>
  <si>
    <t>VR-20</t>
  </si>
  <si>
    <t>Sakai Sw-300</t>
  </si>
  <si>
    <t>VR-21</t>
  </si>
  <si>
    <t>Tacom Tfr60Tds</t>
  </si>
  <si>
    <t>VR-22</t>
  </si>
  <si>
    <t>VR-23</t>
  </si>
  <si>
    <t>VR-24</t>
  </si>
  <si>
    <t>Bomag Bw 75 H</t>
  </si>
  <si>
    <t>VR-25</t>
  </si>
  <si>
    <t>VR-26</t>
  </si>
  <si>
    <t>VR-27</t>
  </si>
  <si>
    <t>VR-28</t>
  </si>
  <si>
    <t>VR-29</t>
  </si>
  <si>
    <t>VR-30</t>
  </si>
  <si>
    <t>VR-31</t>
  </si>
  <si>
    <t>VR-32</t>
  </si>
  <si>
    <t>Tacom Bw 75 H</t>
  </si>
  <si>
    <t>VR-33</t>
  </si>
  <si>
    <t>Tacom —</t>
  </si>
  <si>
    <t>VR-34</t>
  </si>
  <si>
    <t>VR-35</t>
  </si>
  <si>
    <t>VR-36</t>
  </si>
  <si>
    <t>VR-37</t>
  </si>
  <si>
    <t>Sakai —</t>
  </si>
  <si>
    <t>VR-38</t>
  </si>
  <si>
    <t>VR-39</t>
  </si>
  <si>
    <t>VR-40</t>
  </si>
  <si>
    <t>VR-41</t>
  </si>
  <si>
    <t>VR-42</t>
  </si>
  <si>
    <t>VR-43</t>
  </si>
  <si>
    <t>VR-44</t>
  </si>
  <si>
    <t>Cat Cb-504C</t>
  </si>
  <si>
    <t>VR-45</t>
  </si>
  <si>
    <t>Sakai Tw-41</t>
  </si>
  <si>
    <t>VR-46</t>
  </si>
  <si>
    <t>VR-47</t>
  </si>
  <si>
    <t>VR-48</t>
  </si>
  <si>
    <t>VR-49</t>
  </si>
  <si>
    <t>VR-50</t>
  </si>
  <si>
    <t>VR-51</t>
  </si>
  <si>
    <t>VR-52</t>
  </si>
  <si>
    <t>VR-53</t>
  </si>
  <si>
    <t>VR-54</t>
  </si>
  <si>
    <t>VR-55</t>
  </si>
  <si>
    <t>VR-56</t>
  </si>
  <si>
    <t>(Unknown) Cc-1250</t>
  </si>
  <si>
    <t>VR-57</t>
  </si>
  <si>
    <t>VR-58</t>
  </si>
  <si>
    <t>VR-59</t>
  </si>
  <si>
    <t>VR-60</t>
  </si>
  <si>
    <t>VR-61</t>
  </si>
  <si>
    <t>VR-62</t>
  </si>
  <si>
    <t>VR-63</t>
  </si>
  <si>
    <t>VR-64</t>
  </si>
  <si>
    <t>VR-66</t>
  </si>
  <si>
    <t>VR-67</t>
  </si>
  <si>
    <t>VR-68</t>
  </si>
  <si>
    <t>VR-69</t>
  </si>
  <si>
    <t>VR-70</t>
  </si>
  <si>
    <t>VR-71</t>
  </si>
  <si>
    <t>WB-01</t>
  </si>
  <si>
    <t>48-8072</t>
  </si>
  <si>
    <t>Water Bowser</t>
  </si>
  <si>
    <t>Tata S1313/42 Tanker</t>
  </si>
  <si>
    <t>WB-02</t>
  </si>
  <si>
    <t>43-1191</t>
  </si>
  <si>
    <t>Tata 1210Se-Closed</t>
  </si>
  <si>
    <t>WB-03</t>
  </si>
  <si>
    <t>Ashok Leyland Comet</t>
  </si>
  <si>
    <t>WB-04</t>
  </si>
  <si>
    <t>LI-3405</t>
  </si>
  <si>
    <t>WB-05</t>
  </si>
  <si>
    <t>WB-06</t>
  </si>
  <si>
    <t>227-7971</t>
  </si>
  <si>
    <t>Ashok Leyland Iveco-Cargo</t>
  </si>
  <si>
    <t>WB-08</t>
  </si>
  <si>
    <t>WB-09</t>
  </si>
  <si>
    <t>WB-10</t>
  </si>
  <si>
    <t>WB-11</t>
  </si>
  <si>
    <t>WB-12</t>
  </si>
  <si>
    <t>RY-2392</t>
  </si>
  <si>
    <t>WB-13</t>
  </si>
  <si>
    <t>WB-14</t>
  </si>
  <si>
    <t>WB-15</t>
  </si>
  <si>
    <t>WB-16</t>
  </si>
  <si>
    <t>WB-17</t>
  </si>
  <si>
    <t>WB-18</t>
  </si>
  <si>
    <t>LO-1059</t>
  </si>
  <si>
    <t>Tata Lpt1615Tc</t>
  </si>
  <si>
    <t>WB-19</t>
  </si>
  <si>
    <t>WB-20</t>
  </si>
  <si>
    <t>LD-8875</t>
  </si>
  <si>
    <t>LD-01</t>
  </si>
  <si>
    <t>Wheel Loader</t>
  </si>
  <si>
    <t>Cat 910E</t>
  </si>
  <si>
    <t>Small-mid</t>
  </si>
  <si>
    <t>LD-02</t>
  </si>
  <si>
    <t>Cat Cat910</t>
  </si>
  <si>
    <t>LD-03</t>
  </si>
  <si>
    <t>Komatsu Wa100</t>
  </si>
  <si>
    <t>Small ~1m³</t>
  </si>
  <si>
    <t>LD-04</t>
  </si>
  <si>
    <t>Komatsu 924F</t>
  </si>
  <si>
    <t>Mid</t>
  </si>
  <si>
    <t>LD-05</t>
  </si>
  <si>
    <t>Komatsu Wa150</t>
  </si>
  <si>
    <t>Mid ~1.5m³</t>
  </si>
  <si>
    <t>LD-06</t>
  </si>
  <si>
    <t>ZA-3116</t>
  </si>
  <si>
    <t>Komatsu 510</t>
  </si>
  <si>
    <t>LD-07</t>
  </si>
  <si>
    <t>Komatsu Wa-80Ss</t>
  </si>
  <si>
    <t>LD-08</t>
  </si>
  <si>
    <t>Santui Sl30W</t>
  </si>
  <si>
    <t>Shantui Sl-50Wn</t>
  </si>
  <si>
    <t>Large ~3m³</t>
  </si>
  <si>
    <t>Methodology &amp; notes</t>
  </si>
  <si>
    <t>•  TYPICAL consumption is set per machine from its model size/engine class. Excavators: Mini (&lt;=6t) 4 L/hr, Compact (7-10t) 6.5, Midi (11-15t) 10, Standard (18-23t) 16, Large (&gt;24t) 22. Loaders, tippers, mixers, cranes, skid-steers and prime movers are tiered the same way; uniform categories use a class-average figure.</t>
  </si>
  <si>
    <t>•  Econ / Heavy bands are derived from Typical: machinery Econ=0.72x, Heavy=1.35x (L/hr); road Econ=1.28x best economy, Heavy=0.80x worst (km/L). Lowest/Medium/Highest rates follow.</t>
  </si>
  <si>
    <t>•  AGE x: rate is multiplied by 1 + (years of age x extra%/yr, capped). Base year, %/yr and cap are editable. 411 of 518 units have a year; the 107 without (shown "—") use x1.00 until you fill the year in.</t>
  </si>
  <si>
    <t>•  Rate = consumption x age x fuel price. Diesel Rs.478/L, Petrol 92 Rs.434/L (SL, Jun 2026). Trailers/Lorry Trailers towed (no engine) = zero. Only motorcycles use petrol.</t>
  </si>
  <si>
    <t>•  Bare fuel cost only (no operator, lubricants, maintenance or margin). Model sizes are estimates from the model text; correct any class or consumption in the blue cells, or replace with measured litres from your diesel logbook for the exact figure.</t>
  </si>
  <si>
    <t>Column2</t>
  </si>
  <si>
    <t>Vehicle Running Summary - April 2026 (Package E)</t>
  </si>
  <si>
    <t>58</t>
  </si>
  <si>
    <t xml:space="preserve">Actual working days/machine hours </t>
  </si>
  <si>
    <t>Days/hours consider for costing</t>
  </si>
  <si>
    <t>6</t>
  </si>
  <si>
    <t>Actual Consumption Rate</t>
  </si>
  <si>
    <t>Actual Consumption</t>
  </si>
  <si>
    <t>Total Amount with idling</t>
  </si>
  <si>
    <t xml:space="preserve">Total amount without idling </t>
  </si>
  <si>
    <t>5 Cube</t>
  </si>
  <si>
    <t>Single cab</t>
  </si>
  <si>
    <t>Diesel  Bowser</t>
  </si>
  <si>
    <t>Hyundai 330</t>
  </si>
  <si>
    <t>MG-18</t>
  </si>
  <si>
    <t>BOB CAT</t>
  </si>
  <si>
    <t>Fuel Rate Unit</t>
  </si>
  <si>
    <t>rate</t>
  </si>
  <si>
    <t>Actual Work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</si>
</sst>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Rs.-849]\ #,##0.00"/>
    <numFmt numFmtId="165" formatCode="&quot;Rs. &quot;#,##0.00"/>
    <numFmt numFmtId="166" formatCode="0.0%"/>
    <numFmt numFmtId="167" formatCode="0.0"/>
  </numFmts>
  <fonts count="2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1"/>
      <color rgb="FF1F4E79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sz val="9"/>
      <color rgb="FF595959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  <font>
      <b/>
      <sz val="12"/>
      <name val="Calibri"/>
      <scheme val="minor"/>
    </font>
    <font>
      <sz val="12"/>
      <color theme="1"/>
      <name val="Calibri"/>
      <scheme val="minor"/>
    </font>
    <font>
      <b/>
      <sz val="12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1F38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2" fontId="3" fillId="0" borderId="9" xfId="0" applyNumberFormat="1" applyFont="1" applyBorder="1"/>
    <xf numFmtId="164" fontId="3" fillId="0" borderId="9" xfId="0" applyNumberFormat="1" applyFont="1" applyBorder="1"/>
    <xf numFmtId="164" fontId="5" fillId="0" borderId="9" xfId="0" applyNumberFormat="1" applyFont="1" applyBorder="1"/>
    <xf numFmtId="0" fontId="3" fillId="0" borderId="7" xfId="0" applyFont="1" applyBorder="1"/>
    <xf numFmtId="0" fontId="6" fillId="2" borderId="5" xfId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5" xfId="0" applyNumberFormat="1" applyFont="1" applyFill="1" applyBorder="1"/>
    <xf numFmtId="0" fontId="4" fillId="2" borderId="8" xfId="0" applyFont="1" applyFill="1" applyBorder="1" applyAlignment="1">
      <alignment horizontal="center"/>
    </xf>
    <xf numFmtId="164" fontId="3" fillId="0" borderId="1" xfId="0" applyNumberFormat="1" applyFont="1" applyBorder="1"/>
    <xf numFmtId="164" fontId="6" fillId="2" borderId="9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5" xfId="0" applyBorder="1"/>
    <xf numFmtId="0" fontId="7" fillId="0" borderId="11" xfId="0" applyFont="1" applyBorder="1" applyAlignment="1">
      <alignment horizontal="center"/>
    </xf>
    <xf numFmtId="2" fontId="7" fillId="2" borderId="5" xfId="0" applyNumberFormat="1" applyFont="1" applyFill="1" applyBorder="1"/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2" fillId="4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2" fontId="0" fillId="3" borderId="0" xfId="0" applyNumberFormat="1" applyFill="1"/>
    <xf numFmtId="164" fontId="7" fillId="2" borderId="9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4" fillId="2" borderId="6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wrapText="1"/>
    </xf>
    <xf numFmtId="0" fontId="10" fillId="2" borderId="5" xfId="0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2" fontId="10" fillId="2" borderId="5" xfId="0" applyNumberFormat="1" applyFont="1" applyFill="1" applyBorder="1"/>
    <xf numFmtId="0" fontId="10" fillId="2" borderId="6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6" fillId="5" borderId="5" xfId="1" applyFont="1" applyFill="1" applyBorder="1" applyAlignment="1">
      <alignment horizontal="center"/>
    </xf>
    <xf numFmtId="2" fontId="7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2" fontId="7" fillId="5" borderId="5" xfId="0" applyNumberFormat="1" applyFont="1" applyFill="1" applyBorder="1"/>
    <xf numFmtId="164" fontId="7" fillId="5" borderId="5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0" xfId="0" applyFill="1"/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/>
    <xf numFmtId="164" fontId="11" fillId="2" borderId="5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65" fontId="16" fillId="6" borderId="13" xfId="0" applyNumberFormat="1" applyFont="1" applyFill="1" applyBorder="1" applyAlignment="1">
      <alignment horizontal="center" vertical="center"/>
    </xf>
    <xf numFmtId="0" fontId="17" fillId="0" borderId="0" xfId="0" applyFont="1"/>
    <xf numFmtId="1" fontId="16" fillId="6" borderId="13" xfId="0" applyNumberFormat="1" applyFont="1" applyFill="1" applyBorder="1" applyAlignment="1">
      <alignment horizontal="center" vertical="center"/>
    </xf>
    <xf numFmtId="166" fontId="16" fillId="6" borderId="13" xfId="0" applyNumberFormat="1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167" fontId="16" fillId="6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165" fontId="20" fillId="0" borderId="13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24" fillId="0" borderId="9" xfId="0" applyFont="1" applyBorder="1"/>
    <xf numFmtId="0" fontId="25" fillId="8" borderId="9" xfId="0" applyFont="1" applyFill="1" applyBorder="1" applyAlignment="1">
      <alignment horizontal="center"/>
    </xf>
    <xf numFmtId="2" fontId="24" fillId="0" borderId="9" xfId="0" applyNumberFormat="1" applyFont="1" applyBorder="1" applyAlignment="1">
      <alignment horizontal="center"/>
    </xf>
    <xf numFmtId="164" fontId="24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center" wrapText="1"/>
    </xf>
    <xf numFmtId="0" fontId="24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2" fontId="26" fillId="9" borderId="5" xfId="0" applyNumberFormat="1" applyFont="1" applyFill="1" applyBorder="1" applyAlignment="1">
      <alignment horizontal="center"/>
    </xf>
    <xf numFmtId="2" fontId="26" fillId="10" borderId="5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2" fontId="26" fillId="2" borderId="5" xfId="0" applyNumberFormat="1" applyFont="1" applyFill="1" applyBorder="1" applyAlignment="1">
      <alignment horizontal="center"/>
    </xf>
    <xf numFmtId="2" fontId="26" fillId="2" borderId="5" xfId="0" applyNumberFormat="1" applyFont="1" applyFill="1" applyBorder="1"/>
    <xf numFmtId="164" fontId="26" fillId="2" borderId="4" xfId="0" applyNumberFormat="1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2" fontId="4" fillId="5" borderId="5" xfId="0" applyNumberFormat="1" applyFont="1" applyFill="1" applyBorder="1"/>
    <xf numFmtId="2" fontId="26" fillId="5" borderId="5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1" fillId="0" borderId="0" xfId="0" applyFont="1" applyAlignment="1">
      <alignment vertical="top" wrapText="1"/>
    </xf>
    <xf numFmtId="0" fontId="15" fillId="0" borderId="12" xfId="0" applyFont="1" applyBorder="1" applyAlignment="1">
      <alignment horizontal="left" vertical="center" wrapText="1"/>
    </xf>
    <xf numFmtId="0" fontId="14" fillId="0" borderId="0" xfId="0" applyFont="1"/>
    <xf numFmtId="0" fontId="12" fillId="0" borderId="0" xfId="0" applyFont="1"/>
    <xf numFmtId="0" fontId="13" fillId="0" borderId="0" xfId="0" applyFont="1" applyAlignment="1">
      <alignment vertical="top" wrapText="1"/>
    </xf>
    <xf numFmtId="0" fontId="0" fillId="0" borderId="0" xfId="0" applyBorder="1" applyAlignment="1">
      <alignment horizontal="left"/>
    </xf>
    <xf numFmtId="0" fontId="27" fillId="8" borderId="9" xfId="0" applyFont="1" applyFill="1" applyBorder="1" applyAlignment="1">
      <alignment horizontal="center" wrapText="1"/>
    </xf>
    <xf numFmtId="2" fontId="4" fillId="9" borderId="5" xfId="0" applyNumberFormat="1" applyFont="1" applyFill="1" applyBorder="1" applyAlignment="1">
      <alignment horizontal="center"/>
    </xf>
    <xf numFmtId="2" fontId="27" fillId="8" borderId="9" xfId="0" applyNumberFormat="1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D9D9D9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G%202-IPC\T-Y-D-R\TYDR%20Doc-Gayan\Internet%20Downloads\WINDOWS\Desktop\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G%202-IPC\T-Y-D-R\TYDR%20Doc-Gayan\Documents%20and%20Settings\acer\My%20Documents\Kasun\Documents\General\Budgets%20other\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T-Y-D-R\TYDR%20Doc-Gayan\Internet%20Downloads\WINDOWS\Desktop\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T-Y-D-R\TYDR%20Doc-Gayan\Documents%20and%20Settings\acer\My%20Documents\Kasun\Documents\General\Budgets%20other\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ntal%20Price%20referance%20Documents\CEP-03\machines%20cost%20CEP-03%20E%20-%20Internal%202026%20Summary.xlsb" TargetMode="External"/><Relationship Id="rId1" Type="http://schemas.openxmlformats.org/officeDocument/2006/relationships/externalLinkPath" Target="machines%20cost%20CEP-03%20E%20-%20Internal%202026%20Summar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  <sheetName val="대비"/>
      <sheetName val="준검 내역서"/>
      <sheetName val="Total All By Trades highest 1st"/>
      <sheetName val="BULD.3"/>
      <sheetName val="Breakdown"/>
      <sheetName val="Data"/>
      <sheetName val="COVER"/>
      <sheetName val="MOTOR"/>
      <sheetName val="설계서"/>
      <sheetName val="FOOTING"/>
      <sheetName val="단가"/>
      <sheetName val="시설물일위"/>
      <sheetName val="6PILE  (돌출)"/>
      <sheetName val="Num_Word1"/>
      <sheetName val="N賃率-職"/>
      <sheetName val="수량산출"/>
      <sheetName val="SCE_LOG"/>
      <sheetName val="PROJ. DATA"/>
      <sheetName val=" Beams Sched "/>
      <sheetName val="C-7-9-1-J (ESU 1,2,3,4)"/>
      <sheetName val="Strstl"/>
      <sheetName val="Plumbing "/>
      <sheetName val="CONSTANT"/>
      <sheetName val="Material Prices"/>
      <sheetName val="BOQ ACMV-MU"/>
      <sheetName val="SSuppliers"/>
      <sheetName val="bill02"/>
      <sheetName val="G"/>
      <sheetName val="D"/>
      <sheetName val="E"/>
      <sheetName val="VL-NC-M"/>
      <sheetName val="Valesco_Paste"/>
      <sheetName val="B_100"/>
      <sheetName val="BOQ_100A"/>
      <sheetName val="BOQ_100B"/>
      <sheetName val="BOQ_200"/>
      <sheetName val="BOQ_300"/>
      <sheetName val="BOQ_400"/>
      <sheetName val="BOQ_550A"/>
      <sheetName val="550B_summa"/>
      <sheetName val="BOQ_550B-200"/>
      <sheetName val="BOQ_550B-550"/>
      <sheetName val="BOQ_550B-600"/>
      <sheetName val="BOQ_550D"/>
      <sheetName val="BOQ_600"/>
      <sheetName val="BOQ_800_Summ"/>
      <sheetName val="BOQ_800_1"/>
      <sheetName val="BOQ_800_2"/>
      <sheetName val="BOQ_800_3"/>
      <sheetName val="BOQ_900"/>
      <sheetName val="Lead_(Final)"/>
      <sheetName val="Cost_code_total"/>
      <sheetName val="C-7-9-1-J_(ESU_1,2,3,4)"/>
      <sheetName val="Valesco_Paste1"/>
      <sheetName val="B_1001"/>
      <sheetName val="BOQ_100A1"/>
      <sheetName val="BOQ_100B1"/>
      <sheetName val="BOQ_2001"/>
      <sheetName val="BOQ_3001"/>
      <sheetName val="BOQ_4001"/>
      <sheetName val="BOQ_550A1"/>
      <sheetName val="550B_summa1"/>
      <sheetName val="BOQ_550B-2001"/>
      <sheetName val="BOQ_550B-5501"/>
      <sheetName val="BOQ_550B-6001"/>
      <sheetName val="BOQ_550D1"/>
      <sheetName val="BOQ_6001"/>
      <sheetName val="BOQ_800_Summ1"/>
      <sheetName val="BOQ_800_11"/>
      <sheetName val="BOQ_800_21"/>
      <sheetName val="BOQ_800_31"/>
      <sheetName val="BOQ_9001"/>
      <sheetName val="Lead_(Final)1"/>
      <sheetName val="Cost_code_total1"/>
      <sheetName val="C-7-9-1-J_(ESU_1,2,3,4)1"/>
      <sheetName val="Valesco_Paste2"/>
      <sheetName val="B_1002"/>
      <sheetName val="BOQ_100A2"/>
      <sheetName val="BOQ_100B2"/>
      <sheetName val="BOQ_2002"/>
      <sheetName val="BOQ_3002"/>
      <sheetName val="BOQ_4002"/>
      <sheetName val="BOQ_550A2"/>
      <sheetName val="550B_summa2"/>
      <sheetName val="BOQ_550B-2002"/>
      <sheetName val="BOQ_550B-5502"/>
      <sheetName val="BOQ_550B-6002"/>
      <sheetName val="BOQ_550D2"/>
      <sheetName val="BOQ_6002"/>
      <sheetName val="BOQ_800_Summ2"/>
      <sheetName val="BOQ_800_12"/>
      <sheetName val="BOQ_800_22"/>
      <sheetName val="BOQ_800_32"/>
      <sheetName val="BOQ_9002"/>
      <sheetName val="Lead_(Final)2"/>
      <sheetName val="Cost_code_total2"/>
      <sheetName val="C-7-9-1-J_(ESU_1,2,3,4)2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SUM"/>
      <sheetName val="Factor"/>
      <sheetName val="Lookup"/>
      <sheetName val="Electrical"/>
      <sheetName val="3.Labour"/>
      <sheetName val="1.Material"/>
      <sheetName val="MMI"/>
      <sheetName val="2.Machinery"/>
      <sheetName val="BOQ PL"/>
      <sheetName val="Ele Price"/>
      <sheetName val="jul_data"/>
      <sheetName val="QTY Pipe Laying"/>
      <sheetName val="WB"/>
      <sheetName val="Contents"/>
      <sheetName val="A CONDITIONS"/>
      <sheetName val="D-3"/>
      <sheetName val="1.2 Staff Schedule"/>
      <sheetName val="SystemData"/>
      <sheetName val="Non_Productive9"/>
      <sheetName val="Detail_EVA-October9"/>
      <sheetName val="Road_Maintenance9"/>
      <sheetName val="Materials_Saving9"/>
      <sheetName val="Cumulative_EVA-sep9"/>
      <sheetName val="Main_items9"/>
      <sheetName val="Joseph_Record9"/>
      <sheetName val="Grass_Sodding-Team9"/>
      <sheetName val="BASIC_RATES9"/>
      <sheetName val="Raw_Data9"/>
      <sheetName val="Panels_(DWG)9"/>
      <sheetName val="450_x_3509"/>
      <sheetName val="Section_2-SCHEDULE_OF_DAYWORK9"/>
      <sheetName val="Unit_cost-_Drain-Protection-1_9"/>
      <sheetName val="Bar_Sched8"/>
      <sheetName val="CODE_LIST6"/>
      <sheetName val="F-6_COVER6"/>
      <sheetName val="10_Breakdown_6"/>
      <sheetName val="Exc_Adj6"/>
      <sheetName val="Bill_016"/>
      <sheetName val="Bill_026"/>
      <sheetName val="Bill_036"/>
      <sheetName val="Bill_046"/>
      <sheetName val="Bill_056"/>
      <sheetName val="Bill_066"/>
      <sheetName val="Bill_076"/>
      <sheetName val="Bill_086"/>
      <sheetName val="Bill_096"/>
      <sheetName val="Bill_106"/>
      <sheetName val="NBT_Calculation6"/>
      <sheetName val="Main_VO_Summary6"/>
      <sheetName val="VO_Sum_Non(New)6"/>
      <sheetName val="VO-07_6"/>
      <sheetName val="VO-08_6"/>
      <sheetName val="RBDfor_derived_Rates8"/>
      <sheetName val="BILL_SUMMARY8"/>
      <sheetName val="WD-8_Main_pkg_PRT28"/>
      <sheetName val="Mes-Con__work_078"/>
      <sheetName val="Mes_Struc__steel_078"/>
      <sheetName val="F1_&amp;_F28"/>
      <sheetName val="F9_old8"/>
      <sheetName val="OLD_PRICES6"/>
      <sheetName val="Cost_bd-&quot;A&quot;8"/>
      <sheetName val="Cost_Factor_Sheet"/>
      <sheetName val="Load_Sch,_Cable_Sel_&amp;_Qty"/>
      <sheetName val="Factor_Sheet"/>
      <sheetName val="Price_Sheet"/>
      <sheetName val="Kaatsu_H_A_M_T_T_C_-7_jan_10"/>
      <sheetName val="JOB_COSTING_SHEET_ELEC"/>
      <sheetName val="Rate_Sheet"/>
      <sheetName val="10_Linkway"/>
      <sheetName val="11_Bus_Shelter-Bay"/>
      <sheetName val="11B_"/>
      <sheetName val="Bill_3_-_Site_Works"/>
      <sheetName val=""/>
      <sheetName val="#REF"/>
      <sheetName val="Lookups"/>
      <sheetName val="total components with Rates"/>
      <sheetName val="INPUT"/>
      <sheetName val="B-3"/>
      <sheetName val="Product Groups"/>
      <sheetName val="Room Type"/>
      <sheetName val="Basement2 DB"/>
      <sheetName val="apr_data"/>
      <sheetName val="NATION"/>
      <sheetName val="conc-foot-gradeslab"/>
      <sheetName val="BILL NO.06 -ELECTRICAL WORKS"/>
      <sheetName val="BOQ Com"/>
      <sheetName val="Bill 04 - water supply tb "/>
      <sheetName val="Haulage(G.C.)"/>
      <sheetName val="Material"/>
      <sheetName val="covere"/>
      <sheetName val="Seachells-Pools-25.2.2014"/>
      <sheetName val="PI-KBR.WB"/>
      <sheetName val="35"/>
      <sheetName val="Keels-6.2.2014"/>
      <sheetName val="概総括1"/>
      <sheetName val="BOQ-ELECTRICAL"/>
      <sheetName val="Manpower"/>
      <sheetName val="Equipment"/>
      <sheetName val="BOQ AC"/>
      <sheetName val="BK Unit Rate"/>
      <sheetName val="Homagama Grounds-9.7.2013"/>
      <sheetName val="B-3.2 EB"/>
      <sheetName val="ANL"/>
      <sheetName val="MACHINERY"/>
      <sheetName val="Sheet5"/>
      <sheetName val="SUBCON OR OTHER"/>
      <sheetName val="ACS(1)"/>
      <sheetName val="FAS-C(4)"/>
      <sheetName val="CCTV(old)"/>
      <sheetName val="M - S"/>
      <sheetName val="Histry Price"/>
      <sheetName val="BOI - Katunayaka-9.8.2013"/>
      <sheetName val="dropdown data"/>
      <sheetName val="Backlog Consol"/>
      <sheetName val="Oracle Account Master"/>
      <sheetName val="HyperionEnt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OM"/>
      <sheetName val="d-safe specs"/>
      <sheetName val="General"/>
      <sheetName val="RBD"/>
      <sheetName val="Price"/>
      <sheetName val="RW_Option"/>
      <sheetName val="Structural work"/>
      <sheetName val="Electrical Systems"/>
      <sheetName val="Plumbing Systems"/>
      <sheetName val="Air Conditioning"/>
      <sheetName val="External work"/>
      <sheetName val="F031-3(ANLZ)"/>
      <sheetName val="LET_BAFO"/>
      <sheetName val="FlowHmgma Grds-9.7.2013-details"/>
      <sheetName val="P-Sum-Cab"/>
      <sheetName val="13A"/>
      <sheetName val="JOB_COSTING_SHEET_ELEC1"/>
      <sheetName val="JOB_COSTING_SHEET_ELEC2"/>
      <sheetName val="Tb"/>
      <sheetName val="Financial Analysis"/>
      <sheetName val="계수시트"/>
      <sheetName val="원가계산서"/>
      <sheetName val="Summary s"/>
      <sheetName val="select_month"/>
      <sheetName val="Labor_rate"/>
      <sheetName val="Enter_Time"/>
      <sheetName val="6MONTHS"/>
      <sheetName val="MDB-25.8.2014"/>
      <sheetName val="2005 - GAAP"/>
      <sheetName val="Start"/>
      <sheetName val="DUTY FREE-DF VAT"/>
      <sheetName val="Calc Inputs"/>
      <sheetName val="LS Price List"/>
      <sheetName val="sum-all"/>
      <sheetName val="ABSTRACT"/>
      <sheetName val="V6"/>
      <sheetName val="V1"/>
      <sheetName val="장비"/>
      <sheetName val="노무"/>
      <sheetName val="자재"/>
      <sheetName val="산근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January 2026"/>
      <sheetName val="February 2026"/>
      <sheetName val="March 2026"/>
      <sheetName val="April 2026 "/>
    </sheetNames>
    <sheetDataSet>
      <sheetData sheetId="0">
        <row r="1">
          <cell r="B1" t="str">
            <v>E&amp;C No</v>
          </cell>
          <cell r="C1" t="str">
            <v>Reg No</v>
          </cell>
          <cell r="J1" t="str">
            <v>Unit</v>
          </cell>
          <cell r="K1" t="str">
            <v>Cons Econ</v>
          </cell>
        </row>
        <row r="2">
          <cell r="B2" t="str">
            <v>AP-01</v>
          </cell>
          <cell r="C2" t="str">
            <v>—</v>
          </cell>
          <cell r="J2" t="str">
            <v>L/hr</v>
          </cell>
          <cell r="K2">
            <v>10.1</v>
          </cell>
        </row>
        <row r="3">
          <cell r="B3" t="str">
            <v>AP-02</v>
          </cell>
          <cell r="C3" t="str">
            <v>—</v>
          </cell>
          <cell r="J3" t="str">
            <v>L/hr</v>
          </cell>
          <cell r="K3">
            <v>10.1</v>
          </cell>
        </row>
        <row r="4">
          <cell r="B4" t="str">
            <v>AP-03</v>
          </cell>
          <cell r="C4" t="str">
            <v>—</v>
          </cell>
          <cell r="J4" t="str">
            <v>L/hr</v>
          </cell>
          <cell r="K4">
            <v>10.1</v>
          </cell>
        </row>
        <row r="5">
          <cell r="B5" t="str">
            <v>AP-04</v>
          </cell>
          <cell r="C5" t="str">
            <v>—</v>
          </cell>
          <cell r="J5" t="str">
            <v>L/hr</v>
          </cell>
          <cell r="K5">
            <v>10.1</v>
          </cell>
        </row>
        <row r="6">
          <cell r="B6" t="str">
            <v>AP-05</v>
          </cell>
          <cell r="C6" t="str">
            <v>—</v>
          </cell>
          <cell r="J6" t="str">
            <v>L/hr</v>
          </cell>
          <cell r="K6">
            <v>10.1</v>
          </cell>
        </row>
        <row r="7">
          <cell r="B7" t="str">
            <v>AP-06</v>
          </cell>
          <cell r="C7" t="str">
            <v>—</v>
          </cell>
          <cell r="J7" t="str">
            <v>L/hr</v>
          </cell>
          <cell r="K7">
            <v>10.1</v>
          </cell>
        </row>
        <row r="8">
          <cell r="B8" t="str">
            <v>AP-07</v>
          </cell>
          <cell r="C8" t="str">
            <v>—</v>
          </cell>
          <cell r="J8" t="str">
            <v>L/hr</v>
          </cell>
          <cell r="K8">
            <v>10.1</v>
          </cell>
        </row>
        <row r="9">
          <cell r="B9" t="str">
            <v>AP-08</v>
          </cell>
          <cell r="C9" t="str">
            <v>—</v>
          </cell>
          <cell r="J9" t="str">
            <v>L/hr</v>
          </cell>
          <cell r="K9">
            <v>10.1</v>
          </cell>
        </row>
        <row r="10">
          <cell r="B10" t="str">
            <v>AP-09</v>
          </cell>
          <cell r="C10" t="str">
            <v>—</v>
          </cell>
          <cell r="J10" t="str">
            <v>L/hr</v>
          </cell>
          <cell r="K10">
            <v>10.1</v>
          </cell>
        </row>
        <row r="11">
          <cell r="B11" t="str">
            <v>AP-10</v>
          </cell>
          <cell r="C11" t="str">
            <v>—</v>
          </cell>
          <cell r="J11" t="str">
            <v>L/hr</v>
          </cell>
          <cell r="K11">
            <v>10.1</v>
          </cell>
        </row>
        <row r="12">
          <cell r="B12" t="str">
            <v>AP-11</v>
          </cell>
          <cell r="C12" t="str">
            <v>—</v>
          </cell>
          <cell r="J12" t="str">
            <v>L/hr</v>
          </cell>
          <cell r="K12">
            <v>10.1</v>
          </cell>
        </row>
        <row r="13">
          <cell r="B13" t="str">
            <v>LB-01</v>
          </cell>
          <cell r="C13" t="str">
            <v>ZA-2609</v>
          </cell>
          <cell r="J13" t="str">
            <v>L/hr</v>
          </cell>
          <cell r="K13">
            <v>5</v>
          </cell>
        </row>
        <row r="14">
          <cell r="B14" t="str">
            <v>LB-02</v>
          </cell>
          <cell r="C14" t="str">
            <v>ZA-2963</v>
          </cell>
          <cell r="J14" t="str">
            <v>L/hr</v>
          </cell>
          <cell r="K14">
            <v>5</v>
          </cell>
        </row>
        <row r="15">
          <cell r="B15" t="str">
            <v>LB-03</v>
          </cell>
          <cell r="C15" t="str">
            <v>ZA-2964</v>
          </cell>
          <cell r="J15" t="str">
            <v>L/hr</v>
          </cell>
          <cell r="K15">
            <v>5</v>
          </cell>
        </row>
        <row r="16">
          <cell r="B16" t="str">
            <v>LB-04</v>
          </cell>
          <cell r="C16" t="str">
            <v>RS-0401</v>
          </cell>
          <cell r="J16" t="str">
            <v>L/hr</v>
          </cell>
          <cell r="K16">
            <v>5</v>
          </cell>
        </row>
        <row r="17">
          <cell r="B17" t="str">
            <v>LB-05</v>
          </cell>
          <cell r="C17" t="str">
            <v>RS-0483</v>
          </cell>
          <cell r="J17" t="str">
            <v>L/hr</v>
          </cell>
          <cell r="K17">
            <v>5</v>
          </cell>
        </row>
        <row r="18">
          <cell r="B18" t="str">
            <v>LB-06</v>
          </cell>
          <cell r="C18" t="str">
            <v>ZA-0447</v>
          </cell>
          <cell r="J18" t="str">
            <v>L/hr</v>
          </cell>
          <cell r="K18">
            <v>5</v>
          </cell>
        </row>
        <row r="19">
          <cell r="B19" t="str">
            <v>LB-07</v>
          </cell>
          <cell r="C19" t="str">
            <v>ZA-2608</v>
          </cell>
          <cell r="J19" t="str">
            <v>L/hr</v>
          </cell>
          <cell r="K19">
            <v>5</v>
          </cell>
        </row>
        <row r="20">
          <cell r="B20" t="str">
            <v>LB-08</v>
          </cell>
          <cell r="C20" t="str">
            <v>ZA-6068</v>
          </cell>
          <cell r="J20" t="str">
            <v>L/hr</v>
          </cell>
          <cell r="K20">
            <v>5</v>
          </cell>
        </row>
        <row r="21">
          <cell r="B21" t="str">
            <v>LB-09</v>
          </cell>
          <cell r="C21" t="str">
            <v>ZA-6069</v>
          </cell>
          <cell r="J21" t="str">
            <v>L/hr</v>
          </cell>
          <cell r="K21">
            <v>5</v>
          </cell>
        </row>
        <row r="22">
          <cell r="B22" t="str">
            <v>LB-10</v>
          </cell>
          <cell r="C22" t="str">
            <v>ZA-7034</v>
          </cell>
          <cell r="J22" t="str">
            <v>L/hr</v>
          </cell>
          <cell r="K22">
            <v>5</v>
          </cell>
        </row>
        <row r="23">
          <cell r="B23" t="str">
            <v>LB-11</v>
          </cell>
          <cell r="C23" t="str">
            <v>ZA-7092</v>
          </cell>
          <cell r="J23" t="str">
            <v>L/hr</v>
          </cell>
          <cell r="K23">
            <v>5</v>
          </cell>
        </row>
        <row r="24">
          <cell r="B24" t="str">
            <v>LB-12</v>
          </cell>
          <cell r="C24" t="str">
            <v>ZA-8337</v>
          </cell>
          <cell r="J24" t="str">
            <v>L/hr</v>
          </cell>
          <cell r="K24">
            <v>5</v>
          </cell>
        </row>
        <row r="25">
          <cell r="B25" t="str">
            <v>LB-13</v>
          </cell>
          <cell r="C25" t="str">
            <v>ZA-7965</v>
          </cell>
          <cell r="J25" t="str">
            <v>L/hr</v>
          </cell>
          <cell r="K25">
            <v>5</v>
          </cell>
        </row>
        <row r="26">
          <cell r="B26" t="str">
            <v>LB-14</v>
          </cell>
          <cell r="C26" t="str">
            <v>ZA-7968</v>
          </cell>
          <cell r="J26" t="str">
            <v>L/hr</v>
          </cell>
          <cell r="K26">
            <v>5</v>
          </cell>
        </row>
        <row r="27">
          <cell r="B27" t="str">
            <v>LB-15</v>
          </cell>
          <cell r="C27" t="str">
            <v>ZB-1047</v>
          </cell>
          <cell r="J27" t="str">
            <v>L/hr</v>
          </cell>
          <cell r="K27">
            <v>5</v>
          </cell>
        </row>
        <row r="28">
          <cell r="B28" t="str">
            <v>LB-16</v>
          </cell>
          <cell r="C28" t="str">
            <v>ZB-1547</v>
          </cell>
          <cell r="J28" t="str">
            <v>L/hr</v>
          </cell>
          <cell r="K28">
            <v>5</v>
          </cell>
        </row>
        <row r="29">
          <cell r="B29" t="str">
            <v>LB-17</v>
          </cell>
          <cell r="C29" t="str">
            <v>ZB-1546</v>
          </cell>
          <cell r="J29" t="str">
            <v>L/hr</v>
          </cell>
          <cell r="K29">
            <v>5</v>
          </cell>
        </row>
        <row r="30">
          <cell r="B30" t="str">
            <v>LB-18</v>
          </cell>
          <cell r="C30" t="str">
            <v>ZB-1548</v>
          </cell>
          <cell r="J30" t="str">
            <v>L/hr</v>
          </cell>
          <cell r="K30">
            <v>5</v>
          </cell>
        </row>
        <row r="31">
          <cell r="B31" t="str">
            <v>LB-19</v>
          </cell>
          <cell r="C31" t="str">
            <v>ZB-1978</v>
          </cell>
          <cell r="J31" t="str">
            <v>L/hr</v>
          </cell>
          <cell r="K31">
            <v>5</v>
          </cell>
        </row>
        <row r="32">
          <cell r="B32" t="str">
            <v>LB-20</v>
          </cell>
          <cell r="C32" t="str">
            <v>ZB-1979</v>
          </cell>
          <cell r="J32" t="str">
            <v>L/hr</v>
          </cell>
          <cell r="K32">
            <v>5</v>
          </cell>
        </row>
        <row r="33">
          <cell r="B33" t="str">
            <v>LB-21</v>
          </cell>
          <cell r="C33" t="str">
            <v>ZB-1980</v>
          </cell>
          <cell r="J33" t="str">
            <v>L/hr</v>
          </cell>
          <cell r="K33">
            <v>5</v>
          </cell>
        </row>
        <row r="34">
          <cell r="B34" t="str">
            <v>LB-22</v>
          </cell>
          <cell r="C34" t="str">
            <v>ZB-2586</v>
          </cell>
          <cell r="J34" t="str">
            <v>L/hr</v>
          </cell>
          <cell r="K34">
            <v>5</v>
          </cell>
        </row>
        <row r="35">
          <cell r="B35" t="str">
            <v>LB-23</v>
          </cell>
          <cell r="C35" t="str">
            <v>ZB-2587</v>
          </cell>
          <cell r="J35" t="str">
            <v>L/hr</v>
          </cell>
          <cell r="K35">
            <v>5</v>
          </cell>
        </row>
        <row r="36">
          <cell r="B36" t="str">
            <v>LB-24</v>
          </cell>
          <cell r="C36" t="str">
            <v>ZB-2583</v>
          </cell>
          <cell r="J36" t="str">
            <v>L/hr</v>
          </cell>
          <cell r="K36">
            <v>5</v>
          </cell>
        </row>
        <row r="37">
          <cell r="B37" t="str">
            <v>BS-01</v>
          </cell>
          <cell r="C37" t="str">
            <v>43-3416</v>
          </cell>
          <cell r="J37" t="str">
            <v>L/hr</v>
          </cell>
          <cell r="K37">
            <v>6.5</v>
          </cell>
        </row>
        <row r="38">
          <cell r="B38" t="str">
            <v>BS-02</v>
          </cell>
          <cell r="C38" t="str">
            <v>LL-0623</v>
          </cell>
          <cell r="J38" t="str">
            <v>L/hr</v>
          </cell>
          <cell r="K38">
            <v>6.5</v>
          </cell>
        </row>
        <row r="39">
          <cell r="B39" t="str">
            <v>BS-04</v>
          </cell>
          <cell r="C39" t="str">
            <v>LM-2298</v>
          </cell>
          <cell r="J39" t="str">
            <v>L/hr</v>
          </cell>
          <cell r="K39">
            <v>6.5</v>
          </cell>
        </row>
        <row r="40">
          <cell r="B40" t="str">
            <v>BS-05</v>
          </cell>
          <cell r="C40" t="str">
            <v>ZB-1469</v>
          </cell>
          <cell r="J40" t="str">
            <v>L/hr</v>
          </cell>
          <cell r="K40">
            <v>6.5</v>
          </cell>
        </row>
        <row r="41">
          <cell r="B41" t="str">
            <v>BM-01</v>
          </cell>
          <cell r="C41" t="str">
            <v>48-4849</v>
          </cell>
          <cell r="J41" t="str">
            <v>L/hr</v>
          </cell>
          <cell r="K41">
            <v>5.8</v>
          </cell>
        </row>
        <row r="42">
          <cell r="B42" t="str">
            <v>BM-02</v>
          </cell>
          <cell r="C42" t="str">
            <v>LC-0434</v>
          </cell>
          <cell r="J42" t="str">
            <v>L/hr</v>
          </cell>
          <cell r="K42">
            <v>6.5</v>
          </cell>
        </row>
        <row r="43">
          <cell r="B43" t="str">
            <v>BM-03</v>
          </cell>
          <cell r="C43" t="str">
            <v>LN-8277</v>
          </cell>
          <cell r="J43" t="str">
            <v>L/hr</v>
          </cell>
          <cell r="K43">
            <v>7.2</v>
          </cell>
        </row>
        <row r="44">
          <cell r="B44" t="str">
            <v>BM-04</v>
          </cell>
          <cell r="C44" t="str">
            <v>LN-8278</v>
          </cell>
          <cell r="J44" t="str">
            <v>L/hr</v>
          </cell>
          <cell r="K44">
            <v>5.8</v>
          </cell>
        </row>
        <row r="45">
          <cell r="B45" t="str">
            <v>HCC-01</v>
          </cell>
          <cell r="C45" t="str">
            <v>PA-4879</v>
          </cell>
          <cell r="J45" t="str">
            <v>km/L</v>
          </cell>
          <cell r="K45">
            <v>12.8</v>
          </cell>
        </row>
        <row r="46">
          <cell r="B46" t="str">
            <v>HCC-02</v>
          </cell>
          <cell r="C46" t="str">
            <v>PA-6398</v>
          </cell>
          <cell r="J46" t="str">
            <v>km/L</v>
          </cell>
          <cell r="K46">
            <v>12.8</v>
          </cell>
        </row>
        <row r="47">
          <cell r="B47" t="str">
            <v>HCC-03</v>
          </cell>
          <cell r="C47" t="str">
            <v>PA-6399</v>
          </cell>
          <cell r="J47" t="str">
            <v>km/L</v>
          </cell>
          <cell r="K47">
            <v>12.8</v>
          </cell>
        </row>
        <row r="48">
          <cell r="B48" t="str">
            <v>HCC-04</v>
          </cell>
          <cell r="C48" t="str">
            <v>325-3448</v>
          </cell>
          <cell r="J48" t="str">
            <v>km/L</v>
          </cell>
          <cell r="K48">
            <v>12.8</v>
          </cell>
        </row>
        <row r="49">
          <cell r="B49" t="str">
            <v>HCC-05</v>
          </cell>
          <cell r="C49" t="str">
            <v>PH-6742</v>
          </cell>
          <cell r="J49" t="str">
            <v>km/L</v>
          </cell>
          <cell r="K49">
            <v>12.8</v>
          </cell>
        </row>
        <row r="50">
          <cell r="B50" t="str">
            <v>HCC-06</v>
          </cell>
          <cell r="C50" t="str">
            <v>PH-6744</v>
          </cell>
          <cell r="J50" t="str">
            <v>km/L</v>
          </cell>
          <cell r="K50">
            <v>12.8</v>
          </cell>
        </row>
        <row r="51">
          <cell r="B51" t="str">
            <v>HCC-07</v>
          </cell>
          <cell r="C51" t="str">
            <v>PH-6747</v>
          </cell>
          <cell r="J51" t="str">
            <v>km/L</v>
          </cell>
          <cell r="K51">
            <v>12.8</v>
          </cell>
        </row>
        <row r="52">
          <cell r="B52" t="str">
            <v>HCC-08</v>
          </cell>
          <cell r="C52" t="str">
            <v>LN-1867</v>
          </cell>
          <cell r="J52" t="str">
            <v>km/L</v>
          </cell>
          <cell r="K52">
            <v>12.8</v>
          </cell>
        </row>
        <row r="53">
          <cell r="B53" t="str">
            <v>HCC-09</v>
          </cell>
          <cell r="C53" t="str">
            <v>PJ-6376</v>
          </cell>
          <cell r="J53" t="str">
            <v>km/L</v>
          </cell>
          <cell r="K53">
            <v>12.8</v>
          </cell>
        </row>
        <row r="54">
          <cell r="B54" t="str">
            <v>HCC-10</v>
          </cell>
          <cell r="C54" t="str">
            <v>40-8060</v>
          </cell>
          <cell r="J54" t="str">
            <v>km/L</v>
          </cell>
          <cell r="K54">
            <v>12.8</v>
          </cell>
        </row>
        <row r="55">
          <cell r="B55" t="str">
            <v>HCC-11</v>
          </cell>
          <cell r="C55" t="str">
            <v>LO-9810</v>
          </cell>
          <cell r="J55" t="str">
            <v>km/L</v>
          </cell>
          <cell r="K55">
            <v>12.8</v>
          </cell>
        </row>
        <row r="56">
          <cell r="B56" t="str">
            <v>DB-01</v>
          </cell>
          <cell r="C56" t="str">
            <v>LA-9208</v>
          </cell>
          <cell r="J56" t="str">
            <v>L/hr</v>
          </cell>
          <cell r="K56">
            <v>5</v>
          </cell>
        </row>
        <row r="57">
          <cell r="B57" t="str">
            <v>DB-02</v>
          </cell>
          <cell r="C57" t="str">
            <v>68-5115</v>
          </cell>
          <cell r="J57" t="str">
            <v>L/hr</v>
          </cell>
          <cell r="K57">
            <v>5</v>
          </cell>
        </row>
        <row r="58">
          <cell r="B58" t="str">
            <v>DB-03</v>
          </cell>
          <cell r="C58" t="str">
            <v>40-2955</v>
          </cell>
          <cell r="J58" t="str">
            <v>L/hr</v>
          </cell>
          <cell r="K58">
            <v>5</v>
          </cell>
        </row>
        <row r="59">
          <cell r="B59" t="str">
            <v>DB-04</v>
          </cell>
          <cell r="C59" t="str">
            <v>41-1130</v>
          </cell>
          <cell r="J59" t="str">
            <v>L/hr</v>
          </cell>
          <cell r="K59">
            <v>5</v>
          </cell>
        </row>
        <row r="60">
          <cell r="B60" t="str">
            <v>DB-05</v>
          </cell>
          <cell r="C60" t="str">
            <v>LA-1359</v>
          </cell>
          <cell r="J60" t="str">
            <v>L/hr</v>
          </cell>
          <cell r="K60">
            <v>5</v>
          </cell>
        </row>
        <row r="61">
          <cell r="B61" t="str">
            <v>—</v>
          </cell>
          <cell r="C61" t="str">
            <v>—</v>
          </cell>
          <cell r="J61" t="str">
            <v>L/hr</v>
          </cell>
          <cell r="K61">
            <v>5</v>
          </cell>
        </row>
        <row r="62">
          <cell r="B62" t="str">
            <v>DC-06</v>
          </cell>
          <cell r="C62" t="str">
            <v>PA-4193</v>
          </cell>
          <cell r="J62" t="str">
            <v>km/L</v>
          </cell>
          <cell r="K62">
            <v>12.8</v>
          </cell>
        </row>
        <row r="63">
          <cell r="B63" t="str">
            <v>DC-07</v>
          </cell>
          <cell r="C63" t="str">
            <v>51-8083</v>
          </cell>
          <cell r="J63" t="str">
            <v>km/L</v>
          </cell>
          <cell r="K63">
            <v>12.8</v>
          </cell>
        </row>
        <row r="64">
          <cell r="B64" t="str">
            <v>DC-08</v>
          </cell>
          <cell r="C64" t="str">
            <v>59-5421</v>
          </cell>
          <cell r="J64" t="str">
            <v>km/L</v>
          </cell>
          <cell r="K64">
            <v>12.8</v>
          </cell>
        </row>
        <row r="65">
          <cell r="B65" t="str">
            <v>DC-10</v>
          </cell>
          <cell r="C65" t="str">
            <v>28-4314</v>
          </cell>
          <cell r="J65" t="str">
            <v>km/L</v>
          </cell>
          <cell r="K65">
            <v>12.8</v>
          </cell>
        </row>
        <row r="66">
          <cell r="B66" t="str">
            <v>DC-11</v>
          </cell>
          <cell r="C66" t="str">
            <v>HU-5097</v>
          </cell>
          <cell r="J66" t="str">
            <v>km/L</v>
          </cell>
          <cell r="K66">
            <v>12.8</v>
          </cell>
        </row>
        <row r="67">
          <cell r="B67" t="str">
            <v>DC-12</v>
          </cell>
          <cell r="C67" t="str">
            <v>253-2574</v>
          </cell>
          <cell r="J67" t="str">
            <v>km/L</v>
          </cell>
          <cell r="K67">
            <v>12.8</v>
          </cell>
        </row>
        <row r="68">
          <cell r="B68" t="str">
            <v>DC-14</v>
          </cell>
          <cell r="C68" t="str">
            <v>PD-6917</v>
          </cell>
          <cell r="J68" t="str">
            <v>km/L</v>
          </cell>
          <cell r="K68">
            <v>12.8</v>
          </cell>
        </row>
        <row r="69">
          <cell r="B69" t="str">
            <v>DC-15</v>
          </cell>
          <cell r="C69" t="str">
            <v>PE-6582</v>
          </cell>
          <cell r="J69" t="str">
            <v>km/L</v>
          </cell>
          <cell r="K69">
            <v>12.8</v>
          </cell>
        </row>
        <row r="70">
          <cell r="B70" t="str">
            <v>DC-16</v>
          </cell>
          <cell r="C70" t="str">
            <v>PA-4102</v>
          </cell>
          <cell r="J70" t="str">
            <v>km/L</v>
          </cell>
          <cell r="K70">
            <v>12.8</v>
          </cell>
        </row>
        <row r="71">
          <cell r="B71" t="str">
            <v>DC-18</v>
          </cell>
          <cell r="C71" t="str">
            <v>PE-5879</v>
          </cell>
          <cell r="J71" t="str">
            <v>km/L</v>
          </cell>
          <cell r="K71">
            <v>12.8</v>
          </cell>
        </row>
        <row r="72">
          <cell r="B72" t="str">
            <v>DC-19</v>
          </cell>
          <cell r="C72" t="str">
            <v>PD-8451</v>
          </cell>
          <cell r="J72" t="str">
            <v>km/L</v>
          </cell>
          <cell r="K72">
            <v>12.8</v>
          </cell>
        </row>
        <row r="73">
          <cell r="B73" t="str">
            <v>DC-20</v>
          </cell>
          <cell r="C73" t="str">
            <v>PH-0765</v>
          </cell>
          <cell r="J73" t="str">
            <v>km/L</v>
          </cell>
          <cell r="K73">
            <v>12.8</v>
          </cell>
        </row>
        <row r="74">
          <cell r="B74" t="str">
            <v>DC-21</v>
          </cell>
          <cell r="C74" t="str">
            <v>PH-3945</v>
          </cell>
          <cell r="J74" t="str">
            <v>km/L</v>
          </cell>
          <cell r="K74">
            <v>12.8</v>
          </cell>
        </row>
        <row r="75">
          <cell r="B75" t="str">
            <v>DC-22</v>
          </cell>
          <cell r="C75" t="str">
            <v>PE-3911</v>
          </cell>
          <cell r="J75" t="str">
            <v>km/L</v>
          </cell>
          <cell r="K75">
            <v>12.8</v>
          </cell>
        </row>
        <row r="76">
          <cell r="B76" t="str">
            <v>DC-23</v>
          </cell>
          <cell r="C76" t="str">
            <v>PD-4739</v>
          </cell>
          <cell r="J76" t="str">
            <v>km/L</v>
          </cell>
          <cell r="K76">
            <v>12.8</v>
          </cell>
        </row>
        <row r="77">
          <cell r="B77" t="str">
            <v>DC-24</v>
          </cell>
          <cell r="C77" t="str">
            <v>PC-7812</v>
          </cell>
          <cell r="J77" t="str">
            <v>km/L</v>
          </cell>
          <cell r="K77">
            <v>12.8</v>
          </cell>
        </row>
        <row r="78">
          <cell r="B78" t="str">
            <v>DC-25</v>
          </cell>
          <cell r="C78" t="str">
            <v>PJ-5688</v>
          </cell>
          <cell r="J78" t="str">
            <v>km/L</v>
          </cell>
          <cell r="K78">
            <v>12.8</v>
          </cell>
        </row>
        <row r="79">
          <cell r="B79" t="str">
            <v>DC-26</v>
          </cell>
          <cell r="C79" t="str">
            <v>PJ-7604</v>
          </cell>
          <cell r="J79" t="str">
            <v>km/L</v>
          </cell>
          <cell r="K79">
            <v>12.8</v>
          </cell>
        </row>
        <row r="80">
          <cell r="B80" t="str">
            <v>DC-27</v>
          </cell>
          <cell r="C80" t="str">
            <v>PJ-7605</v>
          </cell>
          <cell r="J80" t="str">
            <v>km/L</v>
          </cell>
          <cell r="K80">
            <v>12.8</v>
          </cell>
        </row>
        <row r="81">
          <cell r="B81" t="str">
            <v>DC-28</v>
          </cell>
          <cell r="C81" t="str">
            <v>PJ-7606</v>
          </cell>
          <cell r="J81" t="str">
            <v>km/L</v>
          </cell>
          <cell r="K81">
            <v>12.8</v>
          </cell>
        </row>
        <row r="82">
          <cell r="B82" t="str">
            <v>DC-29</v>
          </cell>
          <cell r="C82" t="str">
            <v>PJ-7598</v>
          </cell>
          <cell r="J82" t="str">
            <v>km/L</v>
          </cell>
          <cell r="K82">
            <v>12.8</v>
          </cell>
        </row>
        <row r="83">
          <cell r="B83" t="str">
            <v>DC-30</v>
          </cell>
          <cell r="C83" t="str">
            <v>PJ-7601</v>
          </cell>
          <cell r="J83" t="str">
            <v>km/L</v>
          </cell>
          <cell r="K83">
            <v>12.8</v>
          </cell>
        </row>
        <row r="84">
          <cell r="B84" t="str">
            <v>DC-31</v>
          </cell>
          <cell r="C84" t="str">
            <v>PI-3982</v>
          </cell>
          <cell r="J84" t="str">
            <v>km/L</v>
          </cell>
          <cell r="K84">
            <v>12.8</v>
          </cell>
        </row>
        <row r="85">
          <cell r="B85" t="str">
            <v>DC-32</v>
          </cell>
          <cell r="C85" t="str">
            <v>PH-9072</v>
          </cell>
          <cell r="J85" t="str">
            <v>km/L</v>
          </cell>
          <cell r="K85">
            <v>12.8</v>
          </cell>
        </row>
        <row r="86">
          <cell r="B86" t="str">
            <v>—</v>
          </cell>
          <cell r="C86" t="str">
            <v>PJ-7604</v>
          </cell>
          <cell r="J86" t="str">
            <v>km/L</v>
          </cell>
          <cell r="K86">
            <v>12.8</v>
          </cell>
        </row>
        <row r="87">
          <cell r="B87" t="str">
            <v>DT-01</v>
          </cell>
          <cell r="C87" t="str">
            <v>LB-9496</v>
          </cell>
          <cell r="J87" t="str">
            <v>km/L</v>
          </cell>
          <cell r="K87">
            <v>3.8</v>
          </cell>
        </row>
        <row r="88">
          <cell r="B88" t="str">
            <v>DT-02</v>
          </cell>
          <cell r="C88" t="str">
            <v>LL-0920</v>
          </cell>
          <cell r="J88" t="str">
            <v>km/L</v>
          </cell>
          <cell r="K88">
            <v>6.4</v>
          </cell>
        </row>
        <row r="89">
          <cell r="B89" t="str">
            <v>DT-03</v>
          </cell>
          <cell r="C89" t="str">
            <v>LK-4057</v>
          </cell>
          <cell r="J89" t="str">
            <v>km/L</v>
          </cell>
          <cell r="K89">
            <v>3.8</v>
          </cell>
        </row>
        <row r="90">
          <cell r="B90" t="str">
            <v>DT-04</v>
          </cell>
          <cell r="C90" t="str">
            <v>HS-1794</v>
          </cell>
          <cell r="J90" t="str">
            <v>km/L</v>
          </cell>
          <cell r="K90">
            <v>3.8</v>
          </cell>
        </row>
        <row r="91">
          <cell r="B91" t="str">
            <v>DT-05</v>
          </cell>
          <cell r="C91" t="str">
            <v>HS-1773</v>
          </cell>
          <cell r="J91" t="str">
            <v>km/L</v>
          </cell>
          <cell r="K91">
            <v>3.8</v>
          </cell>
        </row>
        <row r="92">
          <cell r="B92" t="str">
            <v>DT-07</v>
          </cell>
          <cell r="C92" t="str">
            <v>LI-7618</v>
          </cell>
          <cell r="J92" t="str">
            <v>km/L</v>
          </cell>
          <cell r="K92">
            <v>3.8</v>
          </cell>
        </row>
        <row r="93">
          <cell r="B93" t="str">
            <v>DT-08</v>
          </cell>
          <cell r="C93" t="str">
            <v>LI-7620</v>
          </cell>
          <cell r="J93" t="str">
            <v>km/L</v>
          </cell>
          <cell r="K93">
            <v>3.8</v>
          </cell>
        </row>
        <row r="94">
          <cell r="B94" t="str">
            <v>DT-09</v>
          </cell>
          <cell r="C94" t="str">
            <v>LI-7701</v>
          </cell>
          <cell r="J94" t="str">
            <v>km/L</v>
          </cell>
          <cell r="K94">
            <v>3.8</v>
          </cell>
        </row>
        <row r="95">
          <cell r="B95" t="str">
            <v>DT-10</v>
          </cell>
          <cell r="C95" t="str">
            <v>LK-6740</v>
          </cell>
          <cell r="J95" t="str">
            <v>km/L</v>
          </cell>
          <cell r="K95">
            <v>6.4</v>
          </cell>
        </row>
        <row r="96">
          <cell r="B96" t="str">
            <v>DT-11</v>
          </cell>
          <cell r="C96" t="str">
            <v>LK-6738</v>
          </cell>
          <cell r="J96" t="str">
            <v>km/L</v>
          </cell>
          <cell r="K96">
            <v>3.8</v>
          </cell>
        </row>
        <row r="97">
          <cell r="B97" t="str">
            <v>DT-12</v>
          </cell>
          <cell r="C97" t="str">
            <v>LK-2276</v>
          </cell>
          <cell r="J97" t="str">
            <v>km/L</v>
          </cell>
          <cell r="K97">
            <v>4.9000000000000004</v>
          </cell>
        </row>
        <row r="98">
          <cell r="B98" t="str">
            <v>DT-13</v>
          </cell>
          <cell r="C98" t="str">
            <v>LK-2366</v>
          </cell>
          <cell r="J98" t="str">
            <v>km/L</v>
          </cell>
          <cell r="K98">
            <v>3.8</v>
          </cell>
        </row>
        <row r="99">
          <cell r="B99" t="str">
            <v>DT-14</v>
          </cell>
          <cell r="C99" t="str">
            <v>LK-4056</v>
          </cell>
          <cell r="J99" t="str">
            <v>km/L</v>
          </cell>
          <cell r="K99">
            <v>3.8</v>
          </cell>
        </row>
        <row r="100">
          <cell r="B100" t="str">
            <v>DT-15</v>
          </cell>
          <cell r="C100" t="str">
            <v>LM-5722</v>
          </cell>
          <cell r="J100" t="str">
            <v>km/L</v>
          </cell>
          <cell r="K100">
            <v>3.8</v>
          </cell>
        </row>
        <row r="101">
          <cell r="B101" t="str">
            <v>DT-16</v>
          </cell>
          <cell r="C101" t="str">
            <v>LK-4059</v>
          </cell>
          <cell r="J101" t="str">
            <v>km/L</v>
          </cell>
          <cell r="K101">
            <v>2.9</v>
          </cell>
        </row>
        <row r="102">
          <cell r="B102" t="str">
            <v>DT-17</v>
          </cell>
          <cell r="C102" t="str">
            <v>LI-3402</v>
          </cell>
          <cell r="J102" t="str">
            <v>km/L</v>
          </cell>
          <cell r="K102">
            <v>3.8</v>
          </cell>
        </row>
        <row r="103">
          <cell r="B103" t="str">
            <v>DT-18</v>
          </cell>
          <cell r="C103" t="str">
            <v>LM-5721</v>
          </cell>
          <cell r="J103" t="str">
            <v>km/L</v>
          </cell>
          <cell r="K103">
            <v>3.8</v>
          </cell>
        </row>
        <row r="104">
          <cell r="B104" t="str">
            <v>DT-19</v>
          </cell>
          <cell r="C104" t="str">
            <v>LI-3396</v>
          </cell>
          <cell r="J104" t="str">
            <v>km/L</v>
          </cell>
          <cell r="K104">
            <v>3.8</v>
          </cell>
        </row>
        <row r="105">
          <cell r="B105" t="str">
            <v>DT-20</v>
          </cell>
          <cell r="C105" t="str">
            <v>LI-3401</v>
          </cell>
          <cell r="J105" t="str">
            <v>km/L</v>
          </cell>
          <cell r="K105">
            <v>3.8</v>
          </cell>
        </row>
        <row r="106">
          <cell r="B106" t="str">
            <v>DT-21</v>
          </cell>
          <cell r="C106" t="str">
            <v>LI-3395</v>
          </cell>
          <cell r="J106" t="str">
            <v>km/L</v>
          </cell>
          <cell r="K106">
            <v>3.8</v>
          </cell>
        </row>
        <row r="107">
          <cell r="B107" t="str">
            <v>DT-22</v>
          </cell>
          <cell r="C107" t="str">
            <v>LH-5586</v>
          </cell>
          <cell r="J107" t="str">
            <v>km/L</v>
          </cell>
          <cell r="K107">
            <v>2.9</v>
          </cell>
        </row>
        <row r="108">
          <cell r="B108" t="str">
            <v>DT-23</v>
          </cell>
          <cell r="C108" t="str">
            <v>LK-5586</v>
          </cell>
          <cell r="J108" t="str">
            <v>km/L</v>
          </cell>
          <cell r="K108">
            <v>2.9</v>
          </cell>
        </row>
        <row r="109">
          <cell r="B109" t="str">
            <v>DT-24</v>
          </cell>
          <cell r="C109" t="str">
            <v>LI-2427</v>
          </cell>
          <cell r="J109" t="str">
            <v>km/L</v>
          </cell>
          <cell r="K109">
            <v>2.9</v>
          </cell>
        </row>
        <row r="110">
          <cell r="B110" t="str">
            <v>DT-25</v>
          </cell>
          <cell r="C110" t="str">
            <v>LK-4058</v>
          </cell>
          <cell r="J110" t="str">
            <v>km/L</v>
          </cell>
          <cell r="K110">
            <v>2.9</v>
          </cell>
        </row>
        <row r="111">
          <cell r="B111" t="str">
            <v>DT-26</v>
          </cell>
          <cell r="C111" t="str">
            <v>LK-4061</v>
          </cell>
          <cell r="J111" t="str">
            <v>km/L</v>
          </cell>
          <cell r="K111">
            <v>3.8</v>
          </cell>
        </row>
        <row r="112">
          <cell r="B112" t="str">
            <v>DT-27</v>
          </cell>
          <cell r="C112" t="str">
            <v>LL-0936</v>
          </cell>
          <cell r="J112" t="str">
            <v>km/L</v>
          </cell>
          <cell r="K112">
            <v>6.4</v>
          </cell>
        </row>
        <row r="113">
          <cell r="B113" t="str">
            <v>DT-28</v>
          </cell>
          <cell r="C113" t="str">
            <v>LJ-5203</v>
          </cell>
          <cell r="J113" t="str">
            <v>km/L</v>
          </cell>
          <cell r="K113">
            <v>3.8</v>
          </cell>
        </row>
        <row r="114">
          <cell r="B114" t="str">
            <v>DT-29</v>
          </cell>
          <cell r="C114" t="str">
            <v>LJ-5559</v>
          </cell>
          <cell r="J114" t="str">
            <v>km/L</v>
          </cell>
          <cell r="K114">
            <v>3.8</v>
          </cell>
        </row>
        <row r="115">
          <cell r="B115" t="str">
            <v>DT-30</v>
          </cell>
          <cell r="C115" t="str">
            <v>LI-3851</v>
          </cell>
          <cell r="J115" t="str">
            <v>km/L</v>
          </cell>
          <cell r="K115">
            <v>3.8</v>
          </cell>
        </row>
        <row r="116">
          <cell r="B116" t="str">
            <v>DT-31</v>
          </cell>
          <cell r="C116" t="str">
            <v>LE-4986</v>
          </cell>
          <cell r="J116" t="str">
            <v>km/L</v>
          </cell>
          <cell r="K116">
            <v>3.7</v>
          </cell>
        </row>
        <row r="117">
          <cell r="B117" t="str">
            <v>DT-32</v>
          </cell>
          <cell r="C117" t="str">
            <v>LM-5719</v>
          </cell>
          <cell r="J117" t="str">
            <v>km/L</v>
          </cell>
          <cell r="K117">
            <v>3.8</v>
          </cell>
        </row>
        <row r="118">
          <cell r="B118" t="str">
            <v>DT-33</v>
          </cell>
          <cell r="C118" t="str">
            <v>LM-5723</v>
          </cell>
          <cell r="J118" t="str">
            <v>km/L</v>
          </cell>
          <cell r="K118">
            <v>3.8</v>
          </cell>
        </row>
        <row r="119">
          <cell r="B119" t="str">
            <v>DT-34</v>
          </cell>
          <cell r="C119" t="str">
            <v>LM-5720</v>
          </cell>
          <cell r="J119" t="str">
            <v>km/L</v>
          </cell>
          <cell r="K119">
            <v>3.8</v>
          </cell>
        </row>
        <row r="120">
          <cell r="B120" t="str">
            <v>DT-35</v>
          </cell>
          <cell r="C120" t="str">
            <v>LM-7940</v>
          </cell>
          <cell r="J120" t="str">
            <v>km/L</v>
          </cell>
          <cell r="K120">
            <v>3.8</v>
          </cell>
        </row>
        <row r="121">
          <cell r="B121" t="str">
            <v>DT-36</v>
          </cell>
          <cell r="C121" t="str">
            <v>LM-7948</v>
          </cell>
          <cell r="J121" t="str">
            <v>km/L</v>
          </cell>
          <cell r="K121">
            <v>3.8</v>
          </cell>
        </row>
        <row r="122">
          <cell r="B122" t="str">
            <v>DT-37</v>
          </cell>
          <cell r="C122" t="str">
            <v>LM-7949</v>
          </cell>
          <cell r="J122" t="str">
            <v>km/L</v>
          </cell>
          <cell r="K122">
            <v>3.8</v>
          </cell>
        </row>
        <row r="123">
          <cell r="B123" t="str">
            <v>DT-38</v>
          </cell>
          <cell r="C123" t="str">
            <v>LM-7942</v>
          </cell>
          <cell r="J123" t="str">
            <v>km/L</v>
          </cell>
          <cell r="K123">
            <v>3.8</v>
          </cell>
        </row>
        <row r="124">
          <cell r="B124" t="str">
            <v>DT-39</v>
          </cell>
          <cell r="C124" t="str">
            <v>LM-7951</v>
          </cell>
          <cell r="J124" t="str">
            <v>km/L</v>
          </cell>
          <cell r="K124">
            <v>3.8</v>
          </cell>
        </row>
        <row r="125">
          <cell r="B125" t="str">
            <v>DT-40</v>
          </cell>
          <cell r="C125" t="str">
            <v>LN-9046</v>
          </cell>
          <cell r="J125" t="str">
            <v>km/L</v>
          </cell>
          <cell r="K125">
            <v>4.5999999999999996</v>
          </cell>
        </row>
        <row r="126">
          <cell r="B126" t="str">
            <v>DT-41</v>
          </cell>
          <cell r="C126" t="str">
            <v>HO-9850</v>
          </cell>
          <cell r="J126" t="str">
            <v>km/L</v>
          </cell>
          <cell r="K126">
            <v>3.8</v>
          </cell>
        </row>
        <row r="127">
          <cell r="B127" t="str">
            <v>DT-42</v>
          </cell>
          <cell r="C127" t="str">
            <v>LO-4822</v>
          </cell>
          <cell r="J127" t="str">
            <v>km/L</v>
          </cell>
          <cell r="K127">
            <v>3.8</v>
          </cell>
        </row>
        <row r="128">
          <cell r="B128" t="str">
            <v>DT-43</v>
          </cell>
          <cell r="C128" t="str">
            <v>LO-4823</v>
          </cell>
          <cell r="J128" t="str">
            <v>km/L</v>
          </cell>
          <cell r="K128">
            <v>3.8</v>
          </cell>
        </row>
        <row r="129">
          <cell r="B129" t="str">
            <v>DT-44</v>
          </cell>
          <cell r="C129" t="str">
            <v>LO-4824</v>
          </cell>
          <cell r="J129" t="str">
            <v>km/L</v>
          </cell>
          <cell r="K129">
            <v>3.8</v>
          </cell>
        </row>
        <row r="130">
          <cell r="B130" t="str">
            <v>DT-45</v>
          </cell>
          <cell r="C130" t="str">
            <v>LO-4816</v>
          </cell>
          <cell r="J130" t="str">
            <v>km/L</v>
          </cell>
          <cell r="K130">
            <v>3.8</v>
          </cell>
        </row>
        <row r="131">
          <cell r="B131" t="str">
            <v>DT-46</v>
          </cell>
          <cell r="C131" t="str">
            <v>LO-4821</v>
          </cell>
          <cell r="J131" t="str">
            <v>km/L</v>
          </cell>
          <cell r="K131">
            <v>3.8</v>
          </cell>
        </row>
        <row r="132">
          <cell r="B132" t="str">
            <v>DT-47</v>
          </cell>
          <cell r="C132" t="str">
            <v>LO-5983</v>
          </cell>
          <cell r="J132" t="str">
            <v>km/L</v>
          </cell>
          <cell r="K132">
            <v>3.8</v>
          </cell>
        </row>
        <row r="133">
          <cell r="B133" t="str">
            <v>DT-48</v>
          </cell>
          <cell r="C133" t="str">
            <v>LO-5986</v>
          </cell>
          <cell r="J133" t="str">
            <v>km/L</v>
          </cell>
          <cell r="K133">
            <v>3.8</v>
          </cell>
        </row>
        <row r="134">
          <cell r="B134" t="str">
            <v>DT-49</v>
          </cell>
          <cell r="C134" t="str">
            <v>LO-5984</v>
          </cell>
          <cell r="J134" t="str">
            <v>km/L</v>
          </cell>
          <cell r="K134">
            <v>3.8</v>
          </cell>
        </row>
        <row r="135">
          <cell r="B135" t="str">
            <v>DT-50</v>
          </cell>
          <cell r="C135" t="str">
            <v>LO-5985</v>
          </cell>
          <cell r="J135" t="str">
            <v>km/L</v>
          </cell>
          <cell r="K135">
            <v>3.8</v>
          </cell>
        </row>
        <row r="136">
          <cell r="B136" t="str">
            <v>DT-51</v>
          </cell>
          <cell r="C136" t="str">
            <v>LO-5981</v>
          </cell>
          <cell r="J136" t="str">
            <v>km/L</v>
          </cell>
          <cell r="K136">
            <v>3.8</v>
          </cell>
        </row>
        <row r="137">
          <cell r="B137" t="str">
            <v>DT-52</v>
          </cell>
          <cell r="C137" t="str">
            <v>LA-4229</v>
          </cell>
          <cell r="J137" t="str">
            <v>km/L</v>
          </cell>
          <cell r="K137">
            <v>3.8</v>
          </cell>
        </row>
        <row r="138">
          <cell r="B138" t="str">
            <v>DT-53</v>
          </cell>
          <cell r="C138" t="str">
            <v>LO-7183</v>
          </cell>
          <cell r="J138" t="str">
            <v>km/L</v>
          </cell>
          <cell r="K138">
            <v>3.8</v>
          </cell>
        </row>
        <row r="139">
          <cell r="B139" t="str">
            <v>DT-54</v>
          </cell>
          <cell r="C139" t="str">
            <v>LO-7180</v>
          </cell>
          <cell r="J139" t="str">
            <v>km/L</v>
          </cell>
          <cell r="K139">
            <v>3.8</v>
          </cell>
        </row>
        <row r="140">
          <cell r="B140" t="str">
            <v>DT-55</v>
          </cell>
          <cell r="C140" t="str">
            <v>LO-7182</v>
          </cell>
          <cell r="J140" t="str">
            <v>km/L</v>
          </cell>
          <cell r="K140">
            <v>3.8</v>
          </cell>
        </row>
        <row r="141">
          <cell r="B141" t="str">
            <v>DT-56</v>
          </cell>
          <cell r="C141" t="str">
            <v>LO-7181</v>
          </cell>
          <cell r="J141" t="str">
            <v>km/L</v>
          </cell>
          <cell r="K141">
            <v>3.8</v>
          </cell>
        </row>
        <row r="142">
          <cell r="B142" t="str">
            <v>DT-57</v>
          </cell>
          <cell r="C142" t="str">
            <v>LO-7184</v>
          </cell>
          <cell r="J142" t="str">
            <v>km/L</v>
          </cell>
          <cell r="K142">
            <v>3.8</v>
          </cell>
        </row>
        <row r="143">
          <cell r="B143" t="str">
            <v>DT-58</v>
          </cell>
          <cell r="C143" t="str">
            <v>LO-8349</v>
          </cell>
          <cell r="J143" t="str">
            <v>km/L</v>
          </cell>
          <cell r="K143">
            <v>3.8</v>
          </cell>
        </row>
        <row r="144">
          <cell r="B144" t="str">
            <v>DT-59</v>
          </cell>
          <cell r="C144" t="str">
            <v>LO-8348</v>
          </cell>
          <cell r="J144" t="str">
            <v>km/L</v>
          </cell>
          <cell r="K144">
            <v>3.8</v>
          </cell>
        </row>
        <row r="145">
          <cell r="B145" t="str">
            <v>DT-60</v>
          </cell>
          <cell r="C145" t="str">
            <v>LO-8350</v>
          </cell>
          <cell r="J145" t="str">
            <v>km/L</v>
          </cell>
          <cell r="K145">
            <v>3.8</v>
          </cell>
        </row>
        <row r="146">
          <cell r="B146" t="str">
            <v>DT-61</v>
          </cell>
          <cell r="C146" t="str">
            <v>LP-1581</v>
          </cell>
          <cell r="J146" t="str">
            <v>km/L</v>
          </cell>
          <cell r="K146">
            <v>3.8</v>
          </cell>
        </row>
        <row r="147">
          <cell r="B147" t="str">
            <v>DT-62</v>
          </cell>
          <cell r="C147" t="str">
            <v>LP-1573</v>
          </cell>
          <cell r="J147" t="str">
            <v>km/L</v>
          </cell>
          <cell r="K147">
            <v>3.8</v>
          </cell>
        </row>
        <row r="148">
          <cell r="B148" t="str">
            <v>DT-63</v>
          </cell>
          <cell r="C148" t="str">
            <v>LP-1567</v>
          </cell>
          <cell r="J148" t="str">
            <v>km/L</v>
          </cell>
          <cell r="K148">
            <v>3.8</v>
          </cell>
        </row>
        <row r="149">
          <cell r="B149" t="str">
            <v>DT-64</v>
          </cell>
          <cell r="C149" t="str">
            <v>LP-1576</v>
          </cell>
          <cell r="J149" t="str">
            <v>km/L</v>
          </cell>
          <cell r="K149">
            <v>3.8</v>
          </cell>
        </row>
        <row r="150">
          <cell r="B150" t="str">
            <v>DT-65</v>
          </cell>
          <cell r="C150" t="str">
            <v>LP-1571</v>
          </cell>
          <cell r="J150" t="str">
            <v>km/L</v>
          </cell>
          <cell r="K150">
            <v>3.8</v>
          </cell>
        </row>
        <row r="151">
          <cell r="B151" t="str">
            <v>DT-66</v>
          </cell>
          <cell r="C151" t="str">
            <v>LP-1582</v>
          </cell>
          <cell r="J151" t="str">
            <v>km/L</v>
          </cell>
          <cell r="K151">
            <v>3.8</v>
          </cell>
        </row>
        <row r="152">
          <cell r="B152" t="str">
            <v>DT-67</v>
          </cell>
          <cell r="C152" t="str">
            <v>LP-1572</v>
          </cell>
          <cell r="J152" t="str">
            <v>km/L</v>
          </cell>
          <cell r="K152">
            <v>3.8</v>
          </cell>
        </row>
        <row r="153">
          <cell r="B153" t="str">
            <v>DT-68</v>
          </cell>
          <cell r="C153" t="str">
            <v>LP-1569</v>
          </cell>
          <cell r="J153" t="str">
            <v>km/L</v>
          </cell>
          <cell r="K153">
            <v>3.8</v>
          </cell>
        </row>
        <row r="154">
          <cell r="B154" t="str">
            <v>DT-69</v>
          </cell>
          <cell r="C154" t="str">
            <v>LP-1579</v>
          </cell>
          <cell r="J154" t="str">
            <v>km/L</v>
          </cell>
          <cell r="K154">
            <v>3.8</v>
          </cell>
        </row>
        <row r="155">
          <cell r="B155" t="str">
            <v>DT-70</v>
          </cell>
          <cell r="C155" t="str">
            <v>LP-1574</v>
          </cell>
          <cell r="J155" t="str">
            <v>km/L</v>
          </cell>
          <cell r="K155">
            <v>3.8</v>
          </cell>
        </row>
        <row r="156">
          <cell r="B156" t="str">
            <v>DT-71</v>
          </cell>
          <cell r="C156" t="str">
            <v>LP-1578</v>
          </cell>
          <cell r="J156" t="str">
            <v>km/L</v>
          </cell>
          <cell r="K156">
            <v>3.8</v>
          </cell>
        </row>
        <row r="157">
          <cell r="B157" t="str">
            <v>DT-72</v>
          </cell>
          <cell r="C157" t="str">
            <v>LP-1580</v>
          </cell>
          <cell r="J157" t="str">
            <v>km/L</v>
          </cell>
          <cell r="K157">
            <v>3.8</v>
          </cell>
        </row>
        <row r="158">
          <cell r="B158" t="str">
            <v>DT-73</v>
          </cell>
          <cell r="C158" t="str">
            <v>LP-1568</v>
          </cell>
          <cell r="J158" t="str">
            <v>km/L</v>
          </cell>
          <cell r="K158">
            <v>3.8</v>
          </cell>
        </row>
        <row r="159">
          <cell r="B159" t="str">
            <v>DT-74</v>
          </cell>
          <cell r="C159" t="str">
            <v>LP-1577</v>
          </cell>
          <cell r="J159" t="str">
            <v>km/L</v>
          </cell>
          <cell r="K159">
            <v>3.8</v>
          </cell>
        </row>
        <row r="160">
          <cell r="B160" t="str">
            <v>DT-75</v>
          </cell>
          <cell r="C160" t="str">
            <v>LP-1566</v>
          </cell>
          <cell r="J160" t="str">
            <v>km/L</v>
          </cell>
          <cell r="K160">
            <v>3.8</v>
          </cell>
        </row>
        <row r="161">
          <cell r="B161" t="str">
            <v>DT-76</v>
          </cell>
          <cell r="C161" t="str">
            <v>LP-1710</v>
          </cell>
          <cell r="J161" t="str">
            <v>km/L</v>
          </cell>
          <cell r="K161">
            <v>3.8</v>
          </cell>
        </row>
        <row r="162">
          <cell r="B162" t="str">
            <v>DT-77</v>
          </cell>
          <cell r="C162" t="str">
            <v>LP-1719</v>
          </cell>
          <cell r="J162" t="str">
            <v>km/L</v>
          </cell>
          <cell r="K162">
            <v>3.8</v>
          </cell>
        </row>
        <row r="163">
          <cell r="B163" t="str">
            <v>DT-78</v>
          </cell>
          <cell r="C163" t="str">
            <v>LP-1709</v>
          </cell>
          <cell r="J163" t="str">
            <v>km/L</v>
          </cell>
          <cell r="K163">
            <v>3.8</v>
          </cell>
        </row>
        <row r="164">
          <cell r="B164" t="str">
            <v>DT-79</v>
          </cell>
          <cell r="C164" t="str">
            <v>LP-1713</v>
          </cell>
          <cell r="J164" t="str">
            <v>km/L</v>
          </cell>
          <cell r="K164">
            <v>3.8</v>
          </cell>
        </row>
        <row r="165">
          <cell r="B165" t="str">
            <v>DT-80</v>
          </cell>
          <cell r="C165" t="str">
            <v>LP-1720</v>
          </cell>
          <cell r="J165" t="str">
            <v>km/L</v>
          </cell>
          <cell r="K165">
            <v>3.8</v>
          </cell>
        </row>
        <row r="166">
          <cell r="B166" t="str">
            <v>DT-81</v>
          </cell>
          <cell r="C166" t="str">
            <v>LP-1715</v>
          </cell>
          <cell r="J166" t="str">
            <v>km/L</v>
          </cell>
          <cell r="K166">
            <v>3.8</v>
          </cell>
        </row>
        <row r="167">
          <cell r="B167" t="str">
            <v>DT-82</v>
          </cell>
          <cell r="C167" t="str">
            <v>LP-1716</v>
          </cell>
          <cell r="J167" t="str">
            <v>km/L</v>
          </cell>
          <cell r="K167">
            <v>3.8</v>
          </cell>
        </row>
        <row r="168">
          <cell r="B168" t="str">
            <v>DT-83</v>
          </cell>
          <cell r="C168" t="str">
            <v>LP-1712</v>
          </cell>
          <cell r="J168" t="str">
            <v>km/L</v>
          </cell>
          <cell r="K168">
            <v>3.8</v>
          </cell>
        </row>
        <row r="169">
          <cell r="B169" t="str">
            <v>DT-84</v>
          </cell>
          <cell r="C169" t="str">
            <v>LP-1711</v>
          </cell>
          <cell r="J169" t="str">
            <v>km/L</v>
          </cell>
          <cell r="K169">
            <v>6.4</v>
          </cell>
        </row>
        <row r="170">
          <cell r="B170" t="str">
            <v>DT-85</v>
          </cell>
          <cell r="C170" t="str">
            <v>LP-1718</v>
          </cell>
          <cell r="J170" t="str">
            <v>km/L</v>
          </cell>
          <cell r="K170">
            <v>4.9000000000000004</v>
          </cell>
        </row>
        <row r="171">
          <cell r="B171" t="str">
            <v>—</v>
          </cell>
          <cell r="C171" t="str">
            <v>LI-7620</v>
          </cell>
          <cell r="J171" t="str">
            <v>km/L</v>
          </cell>
          <cell r="K171">
            <v>3.8</v>
          </cell>
        </row>
        <row r="172">
          <cell r="B172" t="str">
            <v>—</v>
          </cell>
          <cell r="C172" t="str">
            <v>LI-7701</v>
          </cell>
          <cell r="J172" t="str">
            <v>km/L</v>
          </cell>
          <cell r="K172">
            <v>3.8</v>
          </cell>
        </row>
        <row r="173">
          <cell r="B173" t="str">
            <v>—</v>
          </cell>
          <cell r="C173" t="str">
            <v>LJ-5559</v>
          </cell>
          <cell r="J173" t="str">
            <v>km/L</v>
          </cell>
          <cell r="K173">
            <v>3.8</v>
          </cell>
        </row>
        <row r="174">
          <cell r="B174" t="str">
            <v>—</v>
          </cell>
          <cell r="C174" t="str">
            <v>LM-5722</v>
          </cell>
          <cell r="J174" t="str">
            <v>km/L</v>
          </cell>
          <cell r="K174">
            <v>3.8</v>
          </cell>
        </row>
        <row r="175">
          <cell r="B175" t="str">
            <v>HEX-01</v>
          </cell>
          <cell r="C175" t="str">
            <v>—</v>
          </cell>
          <cell r="J175" t="str">
            <v>L/hr</v>
          </cell>
          <cell r="K175">
            <v>11.5</v>
          </cell>
        </row>
        <row r="176">
          <cell r="B176" t="str">
            <v>HEX-02</v>
          </cell>
          <cell r="C176" t="str">
            <v>—</v>
          </cell>
          <cell r="J176" t="str">
            <v>L/hr</v>
          </cell>
          <cell r="K176">
            <v>7.2</v>
          </cell>
        </row>
        <row r="177">
          <cell r="B177" t="str">
            <v>HEX-03</v>
          </cell>
          <cell r="C177" t="str">
            <v>—</v>
          </cell>
          <cell r="J177" t="str">
            <v>L/hr</v>
          </cell>
          <cell r="K177">
            <v>7.2</v>
          </cell>
        </row>
        <row r="178">
          <cell r="B178" t="str">
            <v>HEX-04</v>
          </cell>
          <cell r="C178" t="str">
            <v>—</v>
          </cell>
          <cell r="J178" t="str">
            <v>L/hr</v>
          </cell>
          <cell r="K178">
            <v>7.2</v>
          </cell>
        </row>
        <row r="179">
          <cell r="B179" t="str">
            <v>HEX-05</v>
          </cell>
          <cell r="C179" t="str">
            <v>—</v>
          </cell>
          <cell r="J179" t="str">
            <v>L/hr</v>
          </cell>
          <cell r="K179">
            <v>2.9</v>
          </cell>
        </row>
        <row r="180">
          <cell r="B180" t="str">
            <v>HEX-06</v>
          </cell>
          <cell r="C180" t="str">
            <v>—</v>
          </cell>
          <cell r="J180" t="str">
            <v>L/hr</v>
          </cell>
          <cell r="K180">
            <v>2.9</v>
          </cell>
        </row>
        <row r="181">
          <cell r="B181" t="str">
            <v>HEX-07</v>
          </cell>
          <cell r="C181" t="str">
            <v>—</v>
          </cell>
          <cell r="J181" t="str">
            <v>L/hr</v>
          </cell>
          <cell r="K181">
            <v>11.5</v>
          </cell>
        </row>
        <row r="182">
          <cell r="B182" t="str">
            <v>HEX-09</v>
          </cell>
          <cell r="C182" t="str">
            <v>—</v>
          </cell>
          <cell r="J182" t="str">
            <v>L/hr</v>
          </cell>
          <cell r="K182">
            <v>2.9</v>
          </cell>
        </row>
        <row r="183">
          <cell r="B183" t="str">
            <v>HEX-12</v>
          </cell>
          <cell r="C183" t="str">
            <v>—</v>
          </cell>
          <cell r="J183" t="str">
            <v>L/hr</v>
          </cell>
          <cell r="K183">
            <v>11.5</v>
          </cell>
        </row>
        <row r="184">
          <cell r="B184" t="str">
            <v>HEX-13</v>
          </cell>
          <cell r="C184" t="str">
            <v>—</v>
          </cell>
          <cell r="J184" t="str">
            <v>L/hr</v>
          </cell>
          <cell r="K184">
            <v>2.9</v>
          </cell>
        </row>
        <row r="185">
          <cell r="B185" t="str">
            <v>HEX-14</v>
          </cell>
          <cell r="C185" t="str">
            <v>—</v>
          </cell>
          <cell r="J185" t="str">
            <v>L/hr</v>
          </cell>
          <cell r="K185">
            <v>2.9</v>
          </cell>
        </row>
        <row r="186">
          <cell r="B186" t="str">
            <v>HEX-15</v>
          </cell>
          <cell r="C186" t="str">
            <v>—</v>
          </cell>
          <cell r="J186" t="str">
            <v>L/hr</v>
          </cell>
          <cell r="K186">
            <v>2.9</v>
          </cell>
        </row>
        <row r="187">
          <cell r="B187" t="str">
            <v>HEX-17</v>
          </cell>
          <cell r="C187" t="str">
            <v>—</v>
          </cell>
          <cell r="J187" t="str">
            <v>L/hr</v>
          </cell>
          <cell r="K187">
            <v>11.5</v>
          </cell>
        </row>
        <row r="188">
          <cell r="B188" t="str">
            <v>HEX-18</v>
          </cell>
          <cell r="C188" t="str">
            <v>—</v>
          </cell>
          <cell r="J188" t="str">
            <v>L/hr</v>
          </cell>
          <cell r="K188">
            <v>4.7</v>
          </cell>
        </row>
        <row r="189">
          <cell r="B189" t="str">
            <v>HEX-19</v>
          </cell>
          <cell r="C189" t="str">
            <v>—</v>
          </cell>
          <cell r="J189" t="str">
            <v>L/hr</v>
          </cell>
          <cell r="K189">
            <v>7.2</v>
          </cell>
        </row>
        <row r="190">
          <cell r="B190" t="str">
            <v>HEX-20</v>
          </cell>
          <cell r="C190" t="str">
            <v>—</v>
          </cell>
          <cell r="J190" t="str">
            <v>L/hr</v>
          </cell>
          <cell r="K190">
            <v>2.9</v>
          </cell>
        </row>
        <row r="191">
          <cell r="B191" t="str">
            <v>HEX-21</v>
          </cell>
          <cell r="C191" t="str">
            <v>—</v>
          </cell>
          <cell r="J191" t="str">
            <v>L/hr</v>
          </cell>
          <cell r="K191">
            <v>7.2</v>
          </cell>
        </row>
        <row r="192">
          <cell r="B192" t="str">
            <v>HEX-22</v>
          </cell>
          <cell r="C192" t="str">
            <v>—</v>
          </cell>
          <cell r="J192" t="str">
            <v>L/hr</v>
          </cell>
          <cell r="K192">
            <v>7.2</v>
          </cell>
        </row>
        <row r="193">
          <cell r="B193" t="str">
            <v>HEX-23</v>
          </cell>
          <cell r="C193" t="str">
            <v>—</v>
          </cell>
          <cell r="J193" t="str">
            <v>L/hr</v>
          </cell>
          <cell r="K193">
            <v>11.5</v>
          </cell>
        </row>
        <row r="194">
          <cell r="B194" t="str">
            <v>HEX-24</v>
          </cell>
          <cell r="C194" t="str">
            <v>—</v>
          </cell>
          <cell r="J194" t="str">
            <v>L/hr</v>
          </cell>
          <cell r="K194">
            <v>2.9</v>
          </cell>
        </row>
        <row r="195">
          <cell r="B195" t="str">
            <v>HEX-25</v>
          </cell>
          <cell r="C195" t="str">
            <v>14160</v>
          </cell>
          <cell r="J195" t="str">
            <v>L/hr</v>
          </cell>
          <cell r="K195">
            <v>11.5</v>
          </cell>
        </row>
        <row r="196">
          <cell r="B196" t="str">
            <v>HEX-26</v>
          </cell>
          <cell r="C196" t="str">
            <v>—</v>
          </cell>
          <cell r="J196" t="str">
            <v>L/hr</v>
          </cell>
          <cell r="K196">
            <v>15.8</v>
          </cell>
        </row>
        <row r="197">
          <cell r="B197" t="str">
            <v>HEX-27</v>
          </cell>
          <cell r="C197" t="str">
            <v>—</v>
          </cell>
          <cell r="J197" t="str">
            <v>L/hr</v>
          </cell>
          <cell r="K197">
            <v>2.9</v>
          </cell>
        </row>
        <row r="198">
          <cell r="B198" t="str">
            <v>HEX-28</v>
          </cell>
          <cell r="C198" t="str">
            <v>—</v>
          </cell>
          <cell r="J198" t="str">
            <v>L/hr</v>
          </cell>
          <cell r="K198">
            <v>2.9</v>
          </cell>
        </row>
        <row r="199">
          <cell r="B199" t="str">
            <v>HEX-29</v>
          </cell>
          <cell r="C199" t="str">
            <v>—</v>
          </cell>
          <cell r="J199" t="str">
            <v>L/hr</v>
          </cell>
          <cell r="K199">
            <v>4.7</v>
          </cell>
        </row>
        <row r="200">
          <cell r="B200" t="str">
            <v>HEX-31</v>
          </cell>
          <cell r="C200" t="str">
            <v>—</v>
          </cell>
          <cell r="J200" t="str">
            <v>L/hr</v>
          </cell>
          <cell r="K200">
            <v>2.9</v>
          </cell>
        </row>
        <row r="201">
          <cell r="B201" t="str">
            <v>HEX-32</v>
          </cell>
          <cell r="C201" t="str">
            <v>14160</v>
          </cell>
          <cell r="J201" t="str">
            <v>L/hr</v>
          </cell>
          <cell r="K201">
            <v>11.5</v>
          </cell>
        </row>
        <row r="202">
          <cell r="B202" t="str">
            <v>HEX-33</v>
          </cell>
          <cell r="C202" t="str">
            <v>14160</v>
          </cell>
          <cell r="J202" t="str">
            <v>L/hr</v>
          </cell>
          <cell r="K202">
            <v>11.5</v>
          </cell>
        </row>
        <row r="203">
          <cell r="B203" t="str">
            <v>HEX-34</v>
          </cell>
          <cell r="C203" t="str">
            <v>—</v>
          </cell>
          <cell r="J203" t="str">
            <v>L/hr</v>
          </cell>
          <cell r="K203">
            <v>11.5</v>
          </cell>
        </row>
        <row r="204">
          <cell r="B204" t="str">
            <v>HEX-35</v>
          </cell>
          <cell r="C204" t="str">
            <v>14160</v>
          </cell>
          <cell r="J204" t="str">
            <v>L/hr</v>
          </cell>
          <cell r="K204">
            <v>11.5</v>
          </cell>
        </row>
        <row r="205">
          <cell r="B205" t="str">
            <v>HEX-36</v>
          </cell>
          <cell r="C205" t="str">
            <v>—</v>
          </cell>
          <cell r="J205" t="str">
            <v>L/hr</v>
          </cell>
          <cell r="K205">
            <v>2.9</v>
          </cell>
        </row>
        <row r="206">
          <cell r="B206" t="str">
            <v>HEX-37</v>
          </cell>
          <cell r="C206" t="str">
            <v>—</v>
          </cell>
          <cell r="J206" t="str">
            <v>L/hr</v>
          </cell>
          <cell r="K206">
            <v>15.8</v>
          </cell>
        </row>
        <row r="207">
          <cell r="B207" t="str">
            <v>HEX-38</v>
          </cell>
          <cell r="C207" t="str">
            <v>14160</v>
          </cell>
          <cell r="J207" t="str">
            <v>L/hr</v>
          </cell>
          <cell r="K207">
            <v>11.5</v>
          </cell>
        </row>
        <row r="208">
          <cell r="B208" t="str">
            <v>HEX-39</v>
          </cell>
          <cell r="C208" t="str">
            <v>—</v>
          </cell>
          <cell r="J208" t="str">
            <v>L/hr</v>
          </cell>
          <cell r="K208">
            <v>11.5</v>
          </cell>
        </row>
        <row r="209">
          <cell r="B209" t="str">
            <v>HEX-40</v>
          </cell>
          <cell r="C209" t="str">
            <v>—</v>
          </cell>
          <cell r="J209" t="str">
            <v>L/hr</v>
          </cell>
          <cell r="K209">
            <v>11.5</v>
          </cell>
        </row>
        <row r="210">
          <cell r="B210" t="str">
            <v>HEX-41</v>
          </cell>
          <cell r="C210" t="str">
            <v>—</v>
          </cell>
          <cell r="J210" t="str">
            <v>L/hr</v>
          </cell>
          <cell r="K210">
            <v>11.5</v>
          </cell>
        </row>
        <row r="211">
          <cell r="B211" t="str">
            <v>HEX-42</v>
          </cell>
          <cell r="C211" t="str">
            <v>—</v>
          </cell>
          <cell r="J211" t="str">
            <v>L/hr</v>
          </cell>
          <cell r="K211">
            <v>11.5</v>
          </cell>
        </row>
        <row r="212">
          <cell r="B212" t="str">
            <v>HEX-43</v>
          </cell>
          <cell r="C212" t="str">
            <v>—</v>
          </cell>
          <cell r="J212" t="str">
            <v>L/hr</v>
          </cell>
          <cell r="K212">
            <v>11.5</v>
          </cell>
        </row>
        <row r="213">
          <cell r="B213" t="str">
            <v>HEX-44</v>
          </cell>
          <cell r="C213" t="str">
            <v>—</v>
          </cell>
          <cell r="J213" t="str">
            <v>L/hr</v>
          </cell>
          <cell r="K213">
            <v>7.2</v>
          </cell>
        </row>
        <row r="214">
          <cell r="B214" t="str">
            <v>HEX-45</v>
          </cell>
          <cell r="C214" t="str">
            <v>—</v>
          </cell>
          <cell r="J214" t="str">
            <v>L/hr</v>
          </cell>
          <cell r="K214">
            <v>11.5</v>
          </cell>
        </row>
        <row r="215">
          <cell r="B215" t="str">
            <v>HEX-46</v>
          </cell>
          <cell r="C215" t="str">
            <v>—</v>
          </cell>
          <cell r="J215" t="str">
            <v>L/hr</v>
          </cell>
          <cell r="K215">
            <v>11.5</v>
          </cell>
        </row>
        <row r="216">
          <cell r="B216" t="str">
            <v>FT-02</v>
          </cell>
          <cell r="C216" t="str">
            <v>49-2289</v>
          </cell>
          <cell r="J216" t="str">
            <v>L/hr</v>
          </cell>
          <cell r="K216">
            <v>4.3</v>
          </cell>
        </row>
        <row r="217">
          <cell r="B217" t="str">
            <v>FT-03</v>
          </cell>
          <cell r="C217" t="str">
            <v>RA-3051</v>
          </cell>
          <cell r="J217" t="str">
            <v>L/hr</v>
          </cell>
          <cell r="K217">
            <v>4.3</v>
          </cell>
        </row>
        <row r="218">
          <cell r="B218" t="str">
            <v>FT-04</v>
          </cell>
          <cell r="C218" t="str">
            <v>RA-3052</v>
          </cell>
          <cell r="J218" t="str">
            <v>L/hr</v>
          </cell>
          <cell r="K218">
            <v>4.3</v>
          </cell>
        </row>
        <row r="219">
          <cell r="B219" t="str">
            <v>FT-05</v>
          </cell>
          <cell r="C219" t="str">
            <v>RF-0748</v>
          </cell>
          <cell r="J219" t="str">
            <v>L/hr</v>
          </cell>
          <cell r="K219">
            <v>4.3</v>
          </cell>
        </row>
        <row r="220">
          <cell r="B220" t="str">
            <v>FT-06</v>
          </cell>
          <cell r="C220" t="str">
            <v>RD-3536</v>
          </cell>
          <cell r="J220" t="str">
            <v>L/hr</v>
          </cell>
          <cell r="K220">
            <v>4.3</v>
          </cell>
        </row>
        <row r="221">
          <cell r="B221" t="str">
            <v>FT-07</v>
          </cell>
          <cell r="C221" t="str">
            <v>RC-9894</v>
          </cell>
          <cell r="J221" t="str">
            <v>L/hr</v>
          </cell>
          <cell r="K221">
            <v>4.3</v>
          </cell>
        </row>
        <row r="222">
          <cell r="B222" t="str">
            <v>FT-08</v>
          </cell>
          <cell r="C222" t="str">
            <v>RD-3537</v>
          </cell>
          <cell r="J222" t="str">
            <v>L/hr</v>
          </cell>
          <cell r="K222">
            <v>4.3</v>
          </cell>
        </row>
        <row r="223">
          <cell r="B223" t="str">
            <v>FT-09</v>
          </cell>
          <cell r="C223" t="str">
            <v>49-5294</v>
          </cell>
          <cell r="J223" t="str">
            <v>L/hr</v>
          </cell>
          <cell r="K223">
            <v>4.3</v>
          </cell>
        </row>
        <row r="224">
          <cell r="B224" t="str">
            <v>FT-10</v>
          </cell>
          <cell r="C224" t="str">
            <v>RD-6318</v>
          </cell>
          <cell r="J224" t="str">
            <v>L/hr</v>
          </cell>
          <cell r="K224">
            <v>4.3</v>
          </cell>
        </row>
        <row r="225">
          <cell r="B225" t="str">
            <v>FT-11</v>
          </cell>
          <cell r="C225" t="str">
            <v>RF-0748</v>
          </cell>
          <cell r="J225" t="str">
            <v>L/hr</v>
          </cell>
          <cell r="K225">
            <v>4.3</v>
          </cell>
        </row>
        <row r="226">
          <cell r="B226" t="str">
            <v>—</v>
          </cell>
          <cell r="C226" t="str">
            <v>49-2288</v>
          </cell>
          <cell r="J226" t="str">
            <v>L/hr</v>
          </cell>
          <cell r="K226">
            <v>4.3</v>
          </cell>
        </row>
        <row r="227">
          <cell r="B227" t="str">
            <v>—</v>
          </cell>
          <cell r="C227" t="str">
            <v>RA-3052</v>
          </cell>
          <cell r="J227" t="str">
            <v>L/hr</v>
          </cell>
          <cell r="K227">
            <v>4.3</v>
          </cell>
        </row>
        <row r="228">
          <cell r="B228" t="str">
            <v>FL-01</v>
          </cell>
          <cell r="C228" t="str">
            <v>—</v>
          </cell>
          <cell r="J228" t="str">
            <v>L/hr</v>
          </cell>
          <cell r="K228">
            <v>2.9</v>
          </cell>
        </row>
        <row r="229">
          <cell r="B229" t="str">
            <v>FL-02</v>
          </cell>
          <cell r="C229" t="str">
            <v>—</v>
          </cell>
          <cell r="J229" t="str">
            <v>L/hr</v>
          </cell>
          <cell r="K229">
            <v>2.9</v>
          </cell>
        </row>
        <row r="230">
          <cell r="B230" t="str">
            <v>FL-03</v>
          </cell>
          <cell r="C230" t="str">
            <v>—</v>
          </cell>
          <cell r="J230" t="str">
            <v>L/hr</v>
          </cell>
          <cell r="K230">
            <v>2.9</v>
          </cell>
        </row>
        <row r="231">
          <cell r="B231" t="str">
            <v>—</v>
          </cell>
          <cell r="C231" t="str">
            <v>HD-9005</v>
          </cell>
          <cell r="J231" t="str">
            <v>—</v>
          </cell>
          <cell r="K231">
            <v>0</v>
          </cell>
        </row>
        <row r="232">
          <cell r="B232" t="str">
            <v>—</v>
          </cell>
          <cell r="C232" t="str">
            <v>LX-1045</v>
          </cell>
          <cell r="J232" t="str">
            <v>—</v>
          </cell>
          <cell r="K232">
            <v>0</v>
          </cell>
        </row>
        <row r="233">
          <cell r="B233" t="str">
            <v>—</v>
          </cell>
          <cell r="C233" t="str">
            <v>LX-1679</v>
          </cell>
          <cell r="J233" t="str">
            <v>—</v>
          </cell>
          <cell r="K233">
            <v>0</v>
          </cell>
        </row>
        <row r="234">
          <cell r="B234" t="str">
            <v>CR-01</v>
          </cell>
          <cell r="C234" t="str">
            <v>ZA-8395</v>
          </cell>
          <cell r="J234" t="str">
            <v>L/hr</v>
          </cell>
          <cell r="K234">
            <v>10.8</v>
          </cell>
        </row>
        <row r="235">
          <cell r="B235" t="str">
            <v>CR-02</v>
          </cell>
          <cell r="C235" t="str">
            <v>ZA-9716</v>
          </cell>
          <cell r="J235" t="str">
            <v>L/hr</v>
          </cell>
          <cell r="K235">
            <v>8.6</v>
          </cell>
        </row>
        <row r="236">
          <cell r="B236" t="str">
            <v>MB-05</v>
          </cell>
          <cell r="C236" t="str">
            <v>HO-0217</v>
          </cell>
          <cell r="J236" t="str">
            <v>km/L</v>
          </cell>
          <cell r="K236">
            <v>57.6</v>
          </cell>
        </row>
        <row r="237">
          <cell r="B237" t="str">
            <v>MB-07</v>
          </cell>
          <cell r="C237" t="str">
            <v>MP-3092</v>
          </cell>
          <cell r="J237" t="str">
            <v>km/L</v>
          </cell>
          <cell r="K237">
            <v>57.6</v>
          </cell>
        </row>
        <row r="238">
          <cell r="B238" t="str">
            <v>MB-08</v>
          </cell>
          <cell r="C238" t="str">
            <v>MV-4276</v>
          </cell>
          <cell r="J238" t="str">
            <v>km/L</v>
          </cell>
          <cell r="K238">
            <v>57.6</v>
          </cell>
        </row>
        <row r="239">
          <cell r="B239" t="str">
            <v>MB-09</v>
          </cell>
          <cell r="C239" t="str">
            <v>MV-5841</v>
          </cell>
          <cell r="J239" t="str">
            <v>km/L</v>
          </cell>
          <cell r="K239">
            <v>57.6</v>
          </cell>
        </row>
        <row r="240">
          <cell r="B240" t="str">
            <v>MB-10</v>
          </cell>
          <cell r="C240" t="str">
            <v>BEF-7850</v>
          </cell>
          <cell r="J240" t="str">
            <v>km/L</v>
          </cell>
          <cell r="K240">
            <v>57.6</v>
          </cell>
        </row>
        <row r="241">
          <cell r="B241" t="str">
            <v>MB-11</v>
          </cell>
          <cell r="C241" t="str">
            <v>BET-3726</v>
          </cell>
          <cell r="J241" t="str">
            <v>km/L</v>
          </cell>
          <cell r="K241">
            <v>57.6</v>
          </cell>
        </row>
        <row r="242">
          <cell r="B242" t="str">
            <v>MB-13</v>
          </cell>
          <cell r="C242" t="str">
            <v>TS-5399</v>
          </cell>
          <cell r="J242" t="str">
            <v>km/L</v>
          </cell>
          <cell r="K242">
            <v>57.6</v>
          </cell>
        </row>
        <row r="243">
          <cell r="B243" t="str">
            <v>MB-14</v>
          </cell>
          <cell r="C243" t="str">
            <v>XG-6801</v>
          </cell>
          <cell r="J243" t="str">
            <v>km/L</v>
          </cell>
          <cell r="K243">
            <v>57.6</v>
          </cell>
        </row>
        <row r="244">
          <cell r="B244" t="str">
            <v>MB-15</v>
          </cell>
          <cell r="C244" t="str">
            <v>BEF-7836</v>
          </cell>
          <cell r="J244" t="str">
            <v>km/L</v>
          </cell>
          <cell r="K244">
            <v>57.6</v>
          </cell>
        </row>
        <row r="245">
          <cell r="B245" t="str">
            <v>MB-16</v>
          </cell>
          <cell r="C245" t="str">
            <v>XP-8682</v>
          </cell>
          <cell r="J245" t="str">
            <v>km/L</v>
          </cell>
          <cell r="K245">
            <v>57.6</v>
          </cell>
        </row>
        <row r="246">
          <cell r="B246" t="str">
            <v>MB-17</v>
          </cell>
          <cell r="C246" t="str">
            <v>XW-9221</v>
          </cell>
          <cell r="J246" t="str">
            <v>km/L</v>
          </cell>
          <cell r="K246">
            <v>57.6</v>
          </cell>
        </row>
        <row r="247">
          <cell r="B247" t="str">
            <v>MB-18</v>
          </cell>
          <cell r="C247" t="str">
            <v>WQ-9941</v>
          </cell>
          <cell r="J247" t="str">
            <v>km/L</v>
          </cell>
          <cell r="K247">
            <v>57.6</v>
          </cell>
        </row>
        <row r="248">
          <cell r="B248" t="str">
            <v>MB-19</v>
          </cell>
          <cell r="C248" t="str">
            <v>BET-3772</v>
          </cell>
          <cell r="J248" t="str">
            <v>km/L</v>
          </cell>
          <cell r="K248">
            <v>57.6</v>
          </cell>
        </row>
        <row r="249">
          <cell r="B249" t="str">
            <v>MB-20</v>
          </cell>
          <cell r="C249" t="str">
            <v>XW-9217</v>
          </cell>
          <cell r="J249" t="str">
            <v>km/L</v>
          </cell>
          <cell r="K249">
            <v>57.6</v>
          </cell>
        </row>
        <row r="250">
          <cell r="B250" t="str">
            <v>MB-21</v>
          </cell>
          <cell r="C250" t="str">
            <v>XW-9222</v>
          </cell>
          <cell r="J250" t="str">
            <v>km/L</v>
          </cell>
          <cell r="K250">
            <v>57.6</v>
          </cell>
        </row>
        <row r="251">
          <cell r="B251" t="str">
            <v>MB-22</v>
          </cell>
          <cell r="C251" t="str">
            <v>BAB-8828</v>
          </cell>
          <cell r="J251" t="str">
            <v>km/L</v>
          </cell>
          <cell r="K251">
            <v>57.6</v>
          </cell>
        </row>
        <row r="252">
          <cell r="B252" t="str">
            <v>MB-23</v>
          </cell>
          <cell r="C252" t="str">
            <v>BAB-8832</v>
          </cell>
          <cell r="J252" t="str">
            <v>km/L</v>
          </cell>
          <cell r="K252">
            <v>57.6</v>
          </cell>
        </row>
        <row r="253">
          <cell r="B253" t="str">
            <v>MB-25</v>
          </cell>
          <cell r="C253" t="str">
            <v>BDJ-2374</v>
          </cell>
          <cell r="J253" t="str">
            <v>km/L</v>
          </cell>
          <cell r="K253">
            <v>57.6</v>
          </cell>
        </row>
        <row r="254">
          <cell r="B254" t="str">
            <v>MB-26</v>
          </cell>
          <cell r="C254" t="str">
            <v>BDI-8546</v>
          </cell>
          <cell r="J254" t="str">
            <v>km/L</v>
          </cell>
          <cell r="K254">
            <v>57.6</v>
          </cell>
        </row>
        <row r="255">
          <cell r="B255" t="str">
            <v>MB-27</v>
          </cell>
          <cell r="C255" t="str">
            <v>BDI-8556</v>
          </cell>
          <cell r="J255" t="str">
            <v>km/L</v>
          </cell>
          <cell r="K255">
            <v>57.6</v>
          </cell>
        </row>
        <row r="256">
          <cell r="B256" t="str">
            <v>MB-28</v>
          </cell>
          <cell r="C256" t="str">
            <v>BDJ-2375</v>
          </cell>
          <cell r="J256" t="str">
            <v>km/L</v>
          </cell>
          <cell r="K256">
            <v>57.6</v>
          </cell>
        </row>
        <row r="257">
          <cell r="B257" t="str">
            <v>MB-29</v>
          </cell>
          <cell r="C257" t="str">
            <v>BCN-9805</v>
          </cell>
          <cell r="J257" t="str">
            <v>km/L</v>
          </cell>
          <cell r="K257">
            <v>57.6</v>
          </cell>
        </row>
        <row r="258">
          <cell r="B258" t="str">
            <v>MB-30</v>
          </cell>
          <cell r="C258" t="str">
            <v>BCN-9802</v>
          </cell>
          <cell r="J258" t="str">
            <v>km/L</v>
          </cell>
          <cell r="K258">
            <v>57.6</v>
          </cell>
        </row>
        <row r="259">
          <cell r="B259" t="str">
            <v>MB-31</v>
          </cell>
          <cell r="C259" t="str">
            <v>BAB-8839</v>
          </cell>
          <cell r="J259" t="str">
            <v>km/L</v>
          </cell>
          <cell r="K259">
            <v>57.6</v>
          </cell>
        </row>
        <row r="260">
          <cell r="B260" t="str">
            <v>MB-32</v>
          </cell>
          <cell r="C260" t="str">
            <v>BAN-2012</v>
          </cell>
          <cell r="J260" t="str">
            <v>km/L</v>
          </cell>
          <cell r="K260">
            <v>57.6</v>
          </cell>
        </row>
        <row r="261">
          <cell r="B261" t="str">
            <v>MB-33</v>
          </cell>
          <cell r="C261" t="str">
            <v>BAN-2021</v>
          </cell>
          <cell r="J261" t="str">
            <v>km/L</v>
          </cell>
          <cell r="K261">
            <v>57.6</v>
          </cell>
        </row>
        <row r="262">
          <cell r="B262" t="str">
            <v>MB-34</v>
          </cell>
          <cell r="C262" t="str">
            <v>WQ-9935</v>
          </cell>
          <cell r="J262" t="str">
            <v>km/L</v>
          </cell>
          <cell r="K262">
            <v>57.6</v>
          </cell>
        </row>
        <row r="263">
          <cell r="B263" t="str">
            <v>MB-35</v>
          </cell>
          <cell r="C263" t="str">
            <v>BEB-3132</v>
          </cell>
          <cell r="J263" t="str">
            <v>km/L</v>
          </cell>
          <cell r="K263">
            <v>57.6</v>
          </cell>
        </row>
        <row r="264">
          <cell r="B264" t="str">
            <v>MB-36</v>
          </cell>
          <cell r="C264" t="str">
            <v>BIE-8589</v>
          </cell>
          <cell r="J264" t="str">
            <v>km/L</v>
          </cell>
          <cell r="K264">
            <v>57.6</v>
          </cell>
        </row>
        <row r="265">
          <cell r="B265" t="str">
            <v>MB-37</v>
          </cell>
          <cell r="C265" t="str">
            <v>BET-8556</v>
          </cell>
          <cell r="J265" t="str">
            <v>km/L</v>
          </cell>
          <cell r="K265">
            <v>57.6</v>
          </cell>
        </row>
        <row r="266">
          <cell r="B266" t="str">
            <v>—</v>
          </cell>
          <cell r="C266" t="str">
            <v>—</v>
          </cell>
          <cell r="J266" t="str">
            <v>km/L</v>
          </cell>
          <cell r="K266">
            <v>57.6</v>
          </cell>
        </row>
        <row r="267">
          <cell r="B267" t="str">
            <v>—</v>
          </cell>
          <cell r="C267" t="str">
            <v>—</v>
          </cell>
          <cell r="J267" t="str">
            <v>km/L</v>
          </cell>
          <cell r="K267">
            <v>57.6</v>
          </cell>
        </row>
        <row r="268">
          <cell r="B268" t="str">
            <v>—</v>
          </cell>
          <cell r="C268" t="str">
            <v>—</v>
          </cell>
          <cell r="J268" t="str">
            <v>km/L</v>
          </cell>
          <cell r="K268">
            <v>57.6</v>
          </cell>
        </row>
        <row r="269">
          <cell r="B269" t="str">
            <v>—</v>
          </cell>
          <cell r="C269" t="str">
            <v>—</v>
          </cell>
          <cell r="J269" t="str">
            <v>km/L</v>
          </cell>
          <cell r="K269">
            <v>57.6</v>
          </cell>
        </row>
        <row r="270">
          <cell r="B270" t="str">
            <v>—</v>
          </cell>
          <cell r="C270" t="str">
            <v>—</v>
          </cell>
          <cell r="J270" t="str">
            <v>km/L</v>
          </cell>
          <cell r="K270">
            <v>57.6</v>
          </cell>
        </row>
        <row r="271">
          <cell r="B271" t="str">
            <v>—</v>
          </cell>
          <cell r="C271" t="str">
            <v>—</v>
          </cell>
          <cell r="J271" t="str">
            <v>km/L</v>
          </cell>
          <cell r="K271">
            <v>57.6</v>
          </cell>
        </row>
        <row r="272">
          <cell r="B272" t="str">
            <v>—</v>
          </cell>
          <cell r="C272" t="str">
            <v>—</v>
          </cell>
          <cell r="J272" t="str">
            <v>km/L</v>
          </cell>
          <cell r="K272">
            <v>57.6</v>
          </cell>
        </row>
        <row r="273">
          <cell r="B273" t="str">
            <v>—</v>
          </cell>
          <cell r="C273" t="str">
            <v>—</v>
          </cell>
          <cell r="J273" t="str">
            <v>km/L</v>
          </cell>
          <cell r="K273">
            <v>57.6</v>
          </cell>
        </row>
        <row r="274">
          <cell r="B274" t="str">
            <v>—</v>
          </cell>
          <cell r="C274" t="str">
            <v>—</v>
          </cell>
          <cell r="J274" t="str">
            <v>km/L</v>
          </cell>
          <cell r="K274">
            <v>57.6</v>
          </cell>
        </row>
        <row r="275">
          <cell r="B275" t="str">
            <v>—</v>
          </cell>
          <cell r="C275" t="str">
            <v>—</v>
          </cell>
          <cell r="J275" t="str">
            <v>km/L</v>
          </cell>
          <cell r="K275">
            <v>57.6</v>
          </cell>
        </row>
        <row r="276">
          <cell r="B276" t="str">
            <v>—</v>
          </cell>
          <cell r="C276" t="str">
            <v>—</v>
          </cell>
          <cell r="J276" t="str">
            <v>km/L</v>
          </cell>
          <cell r="K276">
            <v>57.6</v>
          </cell>
        </row>
        <row r="277">
          <cell r="B277" t="str">
            <v>—</v>
          </cell>
          <cell r="C277" t="str">
            <v>—</v>
          </cell>
          <cell r="J277" t="str">
            <v>km/L</v>
          </cell>
          <cell r="K277">
            <v>57.6</v>
          </cell>
        </row>
        <row r="278">
          <cell r="B278" t="str">
            <v>—</v>
          </cell>
          <cell r="C278" t="str">
            <v>—</v>
          </cell>
          <cell r="J278" t="str">
            <v>km/L</v>
          </cell>
          <cell r="K278">
            <v>57.6</v>
          </cell>
        </row>
        <row r="279">
          <cell r="B279" t="str">
            <v>—</v>
          </cell>
          <cell r="C279" t="str">
            <v>BFR-4276</v>
          </cell>
          <cell r="J279" t="str">
            <v>km/L</v>
          </cell>
          <cell r="K279">
            <v>57.6</v>
          </cell>
        </row>
        <row r="280">
          <cell r="B280" t="str">
            <v>—</v>
          </cell>
          <cell r="C280" t="str">
            <v>BGI-5000</v>
          </cell>
          <cell r="J280" t="str">
            <v>km/L</v>
          </cell>
          <cell r="K280">
            <v>57.6</v>
          </cell>
        </row>
        <row r="281">
          <cell r="B281" t="str">
            <v>—</v>
          </cell>
          <cell r="C281" t="str">
            <v>BGY-6440</v>
          </cell>
          <cell r="J281" t="str">
            <v>km/L</v>
          </cell>
          <cell r="K281">
            <v>57.6</v>
          </cell>
        </row>
        <row r="282">
          <cell r="B282" t="str">
            <v>—</v>
          </cell>
          <cell r="C282" t="str">
            <v>BGY-6445</v>
          </cell>
          <cell r="J282" t="str">
            <v>km/L</v>
          </cell>
          <cell r="K282">
            <v>57.6</v>
          </cell>
        </row>
        <row r="283">
          <cell r="B283" t="str">
            <v>—</v>
          </cell>
          <cell r="C283" t="str">
            <v>BGY-6446</v>
          </cell>
          <cell r="J283" t="str">
            <v>km/L</v>
          </cell>
          <cell r="K283">
            <v>57.6</v>
          </cell>
        </row>
        <row r="284">
          <cell r="B284" t="str">
            <v>—</v>
          </cell>
          <cell r="C284" t="str">
            <v>BHT-3482</v>
          </cell>
          <cell r="J284" t="str">
            <v>km/L</v>
          </cell>
          <cell r="K284">
            <v>57.6</v>
          </cell>
        </row>
        <row r="285">
          <cell r="B285" t="str">
            <v>—</v>
          </cell>
          <cell r="C285" t="str">
            <v>BID-8738</v>
          </cell>
          <cell r="J285" t="str">
            <v>km/L</v>
          </cell>
          <cell r="K285">
            <v>57.6</v>
          </cell>
        </row>
        <row r="286">
          <cell r="B286" t="str">
            <v>—</v>
          </cell>
          <cell r="C286" t="str">
            <v>BIE-8552</v>
          </cell>
          <cell r="J286" t="str">
            <v>km/L</v>
          </cell>
          <cell r="K286">
            <v>57.6</v>
          </cell>
        </row>
        <row r="287">
          <cell r="B287" t="str">
            <v>—</v>
          </cell>
          <cell r="C287" t="str">
            <v>BIG-4988</v>
          </cell>
          <cell r="J287" t="str">
            <v>km/L</v>
          </cell>
          <cell r="K287">
            <v>57.6</v>
          </cell>
        </row>
        <row r="288">
          <cell r="B288" t="str">
            <v>—</v>
          </cell>
          <cell r="C288" t="str">
            <v>BII-2125</v>
          </cell>
          <cell r="J288" t="str">
            <v>km/L</v>
          </cell>
          <cell r="K288">
            <v>57.6</v>
          </cell>
        </row>
        <row r="289">
          <cell r="B289" t="str">
            <v>MG-01</v>
          </cell>
          <cell r="C289" t="str">
            <v>—</v>
          </cell>
          <cell r="J289" t="str">
            <v>L/hr</v>
          </cell>
          <cell r="K289">
            <v>13</v>
          </cell>
        </row>
        <row r="290">
          <cell r="B290" t="str">
            <v>MG-02</v>
          </cell>
          <cell r="C290" t="str">
            <v>—</v>
          </cell>
          <cell r="J290" t="str">
            <v>L/hr</v>
          </cell>
          <cell r="K290">
            <v>13</v>
          </cell>
        </row>
        <row r="291">
          <cell r="B291" t="str">
            <v>MG-03</v>
          </cell>
          <cell r="C291" t="str">
            <v>—</v>
          </cell>
          <cell r="J291" t="str">
            <v>L/hr</v>
          </cell>
          <cell r="K291">
            <v>13</v>
          </cell>
        </row>
        <row r="292">
          <cell r="B292" t="str">
            <v>MG-04</v>
          </cell>
          <cell r="C292" t="str">
            <v>—</v>
          </cell>
          <cell r="J292" t="str">
            <v>L/hr</v>
          </cell>
          <cell r="K292">
            <v>13</v>
          </cell>
        </row>
        <row r="293">
          <cell r="B293" t="str">
            <v>MG-05</v>
          </cell>
          <cell r="C293" t="str">
            <v>—</v>
          </cell>
          <cell r="J293" t="str">
            <v>L/hr</v>
          </cell>
          <cell r="K293">
            <v>13</v>
          </cell>
        </row>
        <row r="294">
          <cell r="B294" t="str">
            <v>MG-06</v>
          </cell>
          <cell r="C294" t="str">
            <v>—</v>
          </cell>
          <cell r="J294" t="str">
            <v>L/hr</v>
          </cell>
          <cell r="K294">
            <v>13</v>
          </cell>
        </row>
        <row r="295">
          <cell r="B295" t="str">
            <v>MG-07</v>
          </cell>
          <cell r="C295" t="str">
            <v>ZA-4344</v>
          </cell>
          <cell r="J295" t="str">
            <v>L/hr</v>
          </cell>
          <cell r="K295">
            <v>13</v>
          </cell>
        </row>
        <row r="296">
          <cell r="B296" t="str">
            <v>MG-08</v>
          </cell>
          <cell r="C296" t="str">
            <v>ZB-2561</v>
          </cell>
          <cell r="J296" t="str">
            <v>L/hr</v>
          </cell>
          <cell r="K296">
            <v>13</v>
          </cell>
        </row>
        <row r="297">
          <cell r="B297" t="str">
            <v>MG-09</v>
          </cell>
          <cell r="C297" t="str">
            <v>ZB-2562</v>
          </cell>
          <cell r="J297" t="str">
            <v>L/hr</v>
          </cell>
          <cell r="K297">
            <v>13</v>
          </cell>
        </row>
        <row r="298">
          <cell r="B298" t="str">
            <v>MG-10</v>
          </cell>
          <cell r="C298" t="str">
            <v>ZB-2559</v>
          </cell>
          <cell r="J298" t="str">
            <v>L/hr</v>
          </cell>
          <cell r="K298">
            <v>13</v>
          </cell>
        </row>
        <row r="299">
          <cell r="B299" t="str">
            <v>MG-11</v>
          </cell>
          <cell r="C299" t="str">
            <v>—</v>
          </cell>
          <cell r="J299" t="str">
            <v>L/hr</v>
          </cell>
          <cell r="K299">
            <v>13</v>
          </cell>
        </row>
        <row r="300">
          <cell r="B300" t="str">
            <v>MG-12</v>
          </cell>
          <cell r="C300" t="str">
            <v>ZB-2564</v>
          </cell>
          <cell r="J300" t="str">
            <v>L/hr</v>
          </cell>
          <cell r="K300">
            <v>13</v>
          </cell>
        </row>
        <row r="301">
          <cell r="B301" t="str">
            <v>MG-13</v>
          </cell>
          <cell r="C301" t="str">
            <v>ZB-2585</v>
          </cell>
          <cell r="J301" t="str">
            <v>L/hr</v>
          </cell>
          <cell r="K301">
            <v>13</v>
          </cell>
        </row>
        <row r="302">
          <cell r="B302" t="str">
            <v>MG-14</v>
          </cell>
          <cell r="C302" t="str">
            <v>—</v>
          </cell>
          <cell r="J302" t="str">
            <v>L/hr</v>
          </cell>
          <cell r="K302">
            <v>13</v>
          </cell>
        </row>
        <row r="303">
          <cell r="B303" t="str">
            <v>MG-15</v>
          </cell>
          <cell r="C303" t="str">
            <v>—</v>
          </cell>
          <cell r="J303" t="str">
            <v>L/hr</v>
          </cell>
          <cell r="K303">
            <v>13</v>
          </cell>
        </row>
        <row r="304">
          <cell r="B304" t="str">
            <v>MG-16</v>
          </cell>
          <cell r="C304" t="str">
            <v>—</v>
          </cell>
          <cell r="J304" t="str">
            <v>L/hr</v>
          </cell>
          <cell r="K304">
            <v>13</v>
          </cell>
        </row>
        <row r="305">
          <cell r="B305" t="str">
            <v>MG-18</v>
          </cell>
          <cell r="C305" t="str">
            <v>—</v>
          </cell>
          <cell r="J305" t="str">
            <v>L/hr</v>
          </cell>
          <cell r="K305">
            <v>13</v>
          </cell>
        </row>
        <row r="307">
          <cell r="B307" t="str">
            <v>PTR-01</v>
          </cell>
          <cell r="C307" t="str">
            <v>—</v>
          </cell>
          <cell r="J307" t="str">
            <v>L/hr</v>
          </cell>
          <cell r="K307">
            <v>6.5</v>
          </cell>
        </row>
        <row r="308">
          <cell r="B308" t="str">
            <v>PTR-02</v>
          </cell>
          <cell r="C308" t="str">
            <v>—</v>
          </cell>
          <cell r="J308" t="str">
            <v>L/hr</v>
          </cell>
          <cell r="K308">
            <v>6.5</v>
          </cell>
        </row>
        <row r="309">
          <cell r="B309" t="str">
            <v>PTR-03</v>
          </cell>
          <cell r="C309" t="str">
            <v>—</v>
          </cell>
          <cell r="J309" t="str">
            <v>L/hr</v>
          </cell>
          <cell r="K309">
            <v>6.5</v>
          </cell>
        </row>
        <row r="310">
          <cell r="B310" t="str">
            <v>PTR-04</v>
          </cell>
          <cell r="C310" t="str">
            <v>—</v>
          </cell>
          <cell r="J310" t="str">
            <v>L/hr</v>
          </cell>
          <cell r="K310">
            <v>6.5</v>
          </cell>
        </row>
        <row r="311">
          <cell r="B311" t="str">
            <v>PTR-05</v>
          </cell>
          <cell r="C311" t="str">
            <v>—</v>
          </cell>
          <cell r="J311" t="str">
            <v>L/hr</v>
          </cell>
          <cell r="K311">
            <v>6.5</v>
          </cell>
        </row>
        <row r="312">
          <cell r="B312" t="str">
            <v>PTR-06</v>
          </cell>
          <cell r="C312" t="str">
            <v>—</v>
          </cell>
          <cell r="J312" t="str">
            <v>L/hr</v>
          </cell>
          <cell r="K312">
            <v>6.5</v>
          </cell>
        </row>
        <row r="313">
          <cell r="B313" t="str">
            <v>PTR-07</v>
          </cell>
          <cell r="C313" t="str">
            <v>—</v>
          </cell>
          <cell r="J313" t="str">
            <v>L/hr</v>
          </cell>
          <cell r="K313">
            <v>6.5</v>
          </cell>
        </row>
        <row r="314">
          <cell r="B314" t="str">
            <v>PTR-08</v>
          </cell>
          <cell r="C314" t="str">
            <v>—</v>
          </cell>
          <cell r="J314" t="str">
            <v>L/hr</v>
          </cell>
          <cell r="K314">
            <v>6.5</v>
          </cell>
        </row>
        <row r="315">
          <cell r="B315" t="str">
            <v>PTR-09</v>
          </cell>
          <cell r="C315" t="str">
            <v>—</v>
          </cell>
          <cell r="J315" t="str">
            <v>L/hr</v>
          </cell>
          <cell r="K315">
            <v>6.5</v>
          </cell>
        </row>
        <row r="316">
          <cell r="B316" t="str">
            <v>PTR-10</v>
          </cell>
          <cell r="C316" t="str">
            <v>—</v>
          </cell>
          <cell r="J316" t="str">
            <v>L/hr</v>
          </cell>
          <cell r="K316">
            <v>6.5</v>
          </cell>
        </row>
        <row r="317">
          <cell r="B317" t="str">
            <v>BD-01</v>
          </cell>
          <cell r="C317" t="str">
            <v>LL-1782</v>
          </cell>
          <cell r="J317" t="str">
            <v>km/L</v>
          </cell>
          <cell r="K317">
            <v>2.9</v>
          </cell>
        </row>
        <row r="318">
          <cell r="B318" t="str">
            <v>BD-02</v>
          </cell>
          <cell r="C318" t="str">
            <v>GL-0019</v>
          </cell>
          <cell r="J318" t="str">
            <v>km/L</v>
          </cell>
          <cell r="K318">
            <v>3.3</v>
          </cell>
        </row>
        <row r="319">
          <cell r="B319" t="str">
            <v>BD-03</v>
          </cell>
          <cell r="C319" t="str">
            <v>LY-1614</v>
          </cell>
          <cell r="J319" t="str">
            <v>km/L</v>
          </cell>
          <cell r="K319">
            <v>2.8</v>
          </cell>
        </row>
        <row r="320">
          <cell r="B320" t="str">
            <v>BD-04</v>
          </cell>
          <cell r="C320" t="str">
            <v>LY-4524</v>
          </cell>
          <cell r="J320" t="str">
            <v>km/L</v>
          </cell>
          <cell r="K320">
            <v>3.3</v>
          </cell>
        </row>
        <row r="321">
          <cell r="B321" t="str">
            <v>BD-05</v>
          </cell>
          <cell r="C321" t="str">
            <v>LM-6653</v>
          </cell>
          <cell r="J321" t="str">
            <v>km/L</v>
          </cell>
          <cell r="K321">
            <v>3.2</v>
          </cell>
        </row>
        <row r="322">
          <cell r="B322" t="str">
            <v>BD-06</v>
          </cell>
          <cell r="C322" t="str">
            <v>325-5120</v>
          </cell>
          <cell r="J322" t="str">
            <v>km/L</v>
          </cell>
          <cell r="K322">
            <v>4.5</v>
          </cell>
        </row>
        <row r="323">
          <cell r="B323" t="str">
            <v>BD-08</v>
          </cell>
          <cell r="C323" t="str">
            <v>LN-8279</v>
          </cell>
          <cell r="J323" t="str">
            <v>km/L</v>
          </cell>
          <cell r="K323">
            <v>3.3</v>
          </cell>
        </row>
        <row r="324">
          <cell r="B324" t="str">
            <v>BM-05</v>
          </cell>
          <cell r="C324" t="str">
            <v>LK-5041</v>
          </cell>
          <cell r="J324" t="str">
            <v>km/L</v>
          </cell>
          <cell r="K324">
            <v>3.2</v>
          </cell>
        </row>
        <row r="325">
          <cell r="B325" t="str">
            <v>PC-01</v>
          </cell>
          <cell r="C325" t="str">
            <v>ZA-8373</v>
          </cell>
          <cell r="J325" t="str">
            <v>L/hr</v>
          </cell>
          <cell r="K325">
            <v>13</v>
          </cell>
        </row>
        <row r="326">
          <cell r="B326" t="str">
            <v>PC-02</v>
          </cell>
          <cell r="C326" t="str">
            <v>ZB-1496</v>
          </cell>
          <cell r="J326" t="str">
            <v>L/hr</v>
          </cell>
          <cell r="K326">
            <v>13</v>
          </cell>
        </row>
        <row r="327">
          <cell r="B327" t="str">
            <v>TM-13</v>
          </cell>
          <cell r="C327" t="str">
            <v>Fiori</v>
          </cell>
          <cell r="J327" t="str">
            <v>L/hr</v>
          </cell>
          <cell r="K327">
            <v>7.9</v>
          </cell>
        </row>
        <row r="328">
          <cell r="B328" t="str">
            <v>TM-17</v>
          </cell>
          <cell r="C328" t="str">
            <v>Fiori</v>
          </cell>
          <cell r="J328" t="str">
            <v>L/hr</v>
          </cell>
          <cell r="K328">
            <v>7.9</v>
          </cell>
        </row>
        <row r="329">
          <cell r="B329" t="str">
            <v>TM-20</v>
          </cell>
          <cell r="C329" t="str">
            <v>Fiori</v>
          </cell>
          <cell r="J329" t="str">
            <v>L/hr</v>
          </cell>
          <cell r="K329">
            <v>7.9</v>
          </cell>
        </row>
        <row r="330">
          <cell r="B330" t="str">
            <v>SC-02</v>
          </cell>
          <cell r="C330" t="str">
            <v>LB-4824</v>
          </cell>
          <cell r="J330" t="str">
            <v>km/L</v>
          </cell>
          <cell r="K330">
            <v>14.1</v>
          </cell>
        </row>
        <row r="331">
          <cell r="B331" t="str">
            <v>SC-04</v>
          </cell>
          <cell r="C331" t="str">
            <v>PT-1569</v>
          </cell>
          <cell r="J331" t="str">
            <v>km/L</v>
          </cell>
          <cell r="K331">
            <v>14.1</v>
          </cell>
        </row>
        <row r="332">
          <cell r="B332" t="str">
            <v>SC-05</v>
          </cell>
          <cell r="C332" t="str">
            <v>PV-6889</v>
          </cell>
          <cell r="J332" t="str">
            <v>km/L</v>
          </cell>
          <cell r="K332">
            <v>14.1</v>
          </cell>
        </row>
        <row r="333">
          <cell r="B333" t="str">
            <v>SC-06</v>
          </cell>
          <cell r="C333" t="str">
            <v>PY-2408</v>
          </cell>
          <cell r="J333" t="str">
            <v>km/L</v>
          </cell>
          <cell r="K333">
            <v>14.1</v>
          </cell>
        </row>
        <row r="334">
          <cell r="B334" t="str">
            <v>SC-07</v>
          </cell>
          <cell r="C334" t="str">
            <v>PX-2180</v>
          </cell>
          <cell r="J334" t="str">
            <v>km/L</v>
          </cell>
          <cell r="K334">
            <v>14.1</v>
          </cell>
        </row>
        <row r="335">
          <cell r="B335" t="str">
            <v>SC-08</v>
          </cell>
          <cell r="C335" t="str">
            <v>PR-1504</v>
          </cell>
          <cell r="J335" t="str">
            <v>km/L</v>
          </cell>
          <cell r="K335">
            <v>14.1</v>
          </cell>
        </row>
        <row r="336">
          <cell r="B336" t="str">
            <v>SC-09</v>
          </cell>
          <cell r="C336" t="str">
            <v>PR-1469</v>
          </cell>
          <cell r="J336" t="str">
            <v>km/L</v>
          </cell>
          <cell r="K336">
            <v>14.1</v>
          </cell>
        </row>
        <row r="337">
          <cell r="B337" t="str">
            <v>SC-10</v>
          </cell>
          <cell r="C337" t="str">
            <v>DAH-2228</v>
          </cell>
          <cell r="J337" t="str">
            <v>km/L</v>
          </cell>
          <cell r="K337">
            <v>14.1</v>
          </cell>
        </row>
        <row r="338">
          <cell r="B338" t="str">
            <v>SC-11</v>
          </cell>
          <cell r="C338" t="str">
            <v>DAH-2229</v>
          </cell>
          <cell r="J338" t="str">
            <v>km/L</v>
          </cell>
          <cell r="K338">
            <v>14.1</v>
          </cell>
        </row>
        <row r="339">
          <cell r="B339" t="str">
            <v>SC-12</v>
          </cell>
          <cell r="C339" t="str">
            <v>DAH-2230</v>
          </cell>
          <cell r="J339" t="str">
            <v>km/L</v>
          </cell>
          <cell r="K339">
            <v>14.1</v>
          </cell>
        </row>
        <row r="340">
          <cell r="B340" t="str">
            <v>SC-13</v>
          </cell>
          <cell r="C340" t="str">
            <v>DAH-2231</v>
          </cell>
          <cell r="J340" t="str">
            <v>km/L</v>
          </cell>
          <cell r="K340">
            <v>14.1</v>
          </cell>
        </row>
        <row r="341">
          <cell r="B341" t="str">
            <v>SC-14</v>
          </cell>
          <cell r="C341" t="str">
            <v>DAH-2491</v>
          </cell>
          <cell r="J341" t="str">
            <v>km/L</v>
          </cell>
          <cell r="K341">
            <v>14.1</v>
          </cell>
        </row>
        <row r="342">
          <cell r="B342" t="str">
            <v>SC-15</v>
          </cell>
          <cell r="C342" t="str">
            <v>47-5112</v>
          </cell>
          <cell r="J342" t="str">
            <v>km/L</v>
          </cell>
          <cell r="K342">
            <v>14.1</v>
          </cell>
        </row>
        <row r="343">
          <cell r="B343" t="str">
            <v>SL-01</v>
          </cell>
          <cell r="C343" t="str">
            <v>—</v>
          </cell>
          <cell r="J343" t="str">
            <v>L/hr</v>
          </cell>
          <cell r="K343">
            <v>3.6</v>
          </cell>
        </row>
        <row r="344">
          <cell r="B344" t="str">
            <v>SL-02</v>
          </cell>
          <cell r="C344" t="str">
            <v>—</v>
          </cell>
          <cell r="J344" t="str">
            <v>L/hr</v>
          </cell>
          <cell r="K344">
            <v>3.2</v>
          </cell>
        </row>
        <row r="345">
          <cell r="B345" t="str">
            <v>SL-03</v>
          </cell>
          <cell r="C345" t="str">
            <v>—</v>
          </cell>
          <cell r="J345" t="str">
            <v>L/hr</v>
          </cell>
          <cell r="K345">
            <v>3.6</v>
          </cell>
        </row>
        <row r="346">
          <cell r="B346" t="str">
            <v>SL-04</v>
          </cell>
          <cell r="C346" t="str">
            <v>—</v>
          </cell>
          <cell r="J346" t="str">
            <v>L/hr</v>
          </cell>
          <cell r="K346">
            <v>3.6</v>
          </cell>
        </row>
        <row r="347">
          <cell r="B347" t="str">
            <v>SL-05</v>
          </cell>
          <cell r="C347" t="str">
            <v>—</v>
          </cell>
          <cell r="J347" t="str">
            <v>L/hr</v>
          </cell>
          <cell r="K347">
            <v>3.6</v>
          </cell>
        </row>
        <row r="348">
          <cell r="B348" t="str">
            <v>SL-06</v>
          </cell>
          <cell r="C348" t="str">
            <v>—</v>
          </cell>
          <cell r="J348" t="str">
            <v>L/hr</v>
          </cell>
          <cell r="K348">
            <v>3.6</v>
          </cell>
        </row>
        <row r="349">
          <cell r="B349" t="str">
            <v>SL-07</v>
          </cell>
          <cell r="C349" t="str">
            <v>—</v>
          </cell>
          <cell r="J349" t="str">
            <v>L/hr</v>
          </cell>
          <cell r="K349">
            <v>3.6</v>
          </cell>
        </row>
        <row r="350">
          <cell r="B350" t="str">
            <v>SL-08</v>
          </cell>
          <cell r="C350" t="str">
            <v>—</v>
          </cell>
          <cell r="J350" t="str">
            <v>L/hr</v>
          </cell>
          <cell r="K350">
            <v>3.6</v>
          </cell>
        </row>
        <row r="351">
          <cell r="B351" t="str">
            <v>SL-09</v>
          </cell>
          <cell r="C351" t="str">
            <v>—</v>
          </cell>
          <cell r="J351" t="str">
            <v>L/hr</v>
          </cell>
          <cell r="K351">
            <v>3.6</v>
          </cell>
        </row>
        <row r="352">
          <cell r="B352" t="str">
            <v>SL-10</v>
          </cell>
          <cell r="C352" t="str">
            <v>—</v>
          </cell>
          <cell r="J352" t="str">
            <v>L/hr</v>
          </cell>
          <cell r="K352">
            <v>3.6</v>
          </cell>
        </row>
        <row r="353">
          <cell r="B353" t="str">
            <v>SL-11</v>
          </cell>
          <cell r="C353" t="str">
            <v>—</v>
          </cell>
          <cell r="J353" t="str">
            <v>L/hr</v>
          </cell>
          <cell r="K353">
            <v>3.6</v>
          </cell>
        </row>
        <row r="354">
          <cell r="B354" t="str">
            <v>SL-12</v>
          </cell>
          <cell r="C354" t="str">
            <v>—</v>
          </cell>
          <cell r="J354" t="str">
            <v>L/hr</v>
          </cell>
          <cell r="K354">
            <v>3.6</v>
          </cell>
        </row>
        <row r="355">
          <cell r="B355" t="str">
            <v>SL-13</v>
          </cell>
          <cell r="C355" t="str">
            <v>—</v>
          </cell>
          <cell r="J355" t="str">
            <v>L/hr</v>
          </cell>
          <cell r="K355">
            <v>3.6</v>
          </cell>
        </row>
        <row r="356">
          <cell r="B356" t="str">
            <v>SL-14</v>
          </cell>
          <cell r="C356" t="str">
            <v>—</v>
          </cell>
          <cell r="J356" t="str">
            <v>L/hr</v>
          </cell>
          <cell r="K356">
            <v>3.2</v>
          </cell>
        </row>
        <row r="357">
          <cell r="B357" t="str">
            <v>SL-15</v>
          </cell>
          <cell r="C357" t="str">
            <v>—</v>
          </cell>
          <cell r="J357" t="str">
            <v>L/hr</v>
          </cell>
          <cell r="K357">
            <v>3.6</v>
          </cell>
        </row>
        <row r="358">
          <cell r="B358" t="str">
            <v>SL-16</v>
          </cell>
          <cell r="C358" t="str">
            <v>—</v>
          </cell>
          <cell r="J358" t="str">
            <v>L/hr</v>
          </cell>
          <cell r="K358">
            <v>3.6</v>
          </cell>
        </row>
        <row r="359">
          <cell r="B359" t="str">
            <v>SL-17</v>
          </cell>
          <cell r="C359" t="str">
            <v>—</v>
          </cell>
          <cell r="J359" t="str">
            <v>L/hr</v>
          </cell>
          <cell r="K359">
            <v>3.6</v>
          </cell>
        </row>
        <row r="360">
          <cell r="B360" t="str">
            <v>SL-18</v>
          </cell>
          <cell r="C360" t="str">
            <v>—</v>
          </cell>
          <cell r="J360" t="str">
            <v>L/hr</v>
          </cell>
          <cell r="K360">
            <v>3.6</v>
          </cell>
        </row>
        <row r="361">
          <cell r="B361" t="str">
            <v>SL-19</v>
          </cell>
          <cell r="C361" t="str">
            <v>—</v>
          </cell>
          <cell r="J361" t="str">
            <v>L/hr</v>
          </cell>
          <cell r="K361">
            <v>5</v>
          </cell>
        </row>
        <row r="362">
          <cell r="B362" t="str">
            <v>SL-20</v>
          </cell>
          <cell r="C362" t="str">
            <v>—</v>
          </cell>
          <cell r="J362" t="str">
            <v>L/hr</v>
          </cell>
          <cell r="K362">
            <v>3.6</v>
          </cell>
        </row>
        <row r="363">
          <cell r="B363" t="str">
            <v>SL-21</v>
          </cell>
          <cell r="C363" t="str">
            <v>—</v>
          </cell>
          <cell r="J363" t="str">
            <v>L/hr</v>
          </cell>
          <cell r="K363">
            <v>3.6</v>
          </cell>
        </row>
        <row r="364">
          <cell r="B364" t="str">
            <v>SL-22</v>
          </cell>
          <cell r="C364" t="str">
            <v>—</v>
          </cell>
          <cell r="J364" t="str">
            <v>L/hr</v>
          </cell>
          <cell r="K364">
            <v>3.6</v>
          </cell>
        </row>
        <row r="365">
          <cell r="B365" t="str">
            <v>SL-23</v>
          </cell>
          <cell r="C365" t="str">
            <v>—</v>
          </cell>
          <cell r="J365" t="str">
            <v>L/hr</v>
          </cell>
          <cell r="K365">
            <v>3.6</v>
          </cell>
        </row>
        <row r="366">
          <cell r="B366" t="str">
            <v>SL-24</v>
          </cell>
          <cell r="C366" t="str">
            <v>—</v>
          </cell>
          <cell r="J366" t="str">
            <v>L/hr</v>
          </cell>
          <cell r="K366">
            <v>3.2</v>
          </cell>
        </row>
        <row r="367">
          <cell r="B367" t="str">
            <v>SL-25</v>
          </cell>
          <cell r="C367" t="str">
            <v>—</v>
          </cell>
          <cell r="J367" t="str">
            <v>L/hr</v>
          </cell>
          <cell r="K367">
            <v>3.2</v>
          </cell>
        </row>
        <row r="368">
          <cell r="B368" t="str">
            <v>SR-01</v>
          </cell>
          <cell r="C368" t="str">
            <v>—</v>
          </cell>
          <cell r="J368" t="str">
            <v>L/hr</v>
          </cell>
          <cell r="K368">
            <v>4.3</v>
          </cell>
        </row>
        <row r="369">
          <cell r="B369" t="str">
            <v>SR-02</v>
          </cell>
          <cell r="C369" t="str">
            <v>—</v>
          </cell>
          <cell r="J369" t="str">
            <v>L/hr</v>
          </cell>
          <cell r="K369">
            <v>4.3</v>
          </cell>
        </row>
        <row r="370">
          <cell r="B370" t="str">
            <v>SR-03</v>
          </cell>
          <cell r="C370" t="str">
            <v>—</v>
          </cell>
          <cell r="J370" t="str">
            <v>L/hr</v>
          </cell>
          <cell r="K370">
            <v>4.3</v>
          </cell>
        </row>
        <row r="371">
          <cell r="B371" t="str">
            <v>SR-04</v>
          </cell>
          <cell r="C371" t="str">
            <v>—</v>
          </cell>
          <cell r="J371" t="str">
            <v>L/hr</v>
          </cell>
          <cell r="K371">
            <v>4.3</v>
          </cell>
        </row>
        <row r="372">
          <cell r="B372" t="str">
            <v>SR-05</v>
          </cell>
          <cell r="C372" t="str">
            <v>—</v>
          </cell>
          <cell r="J372" t="str">
            <v>L/hr</v>
          </cell>
          <cell r="K372">
            <v>4.3</v>
          </cell>
        </row>
        <row r="373">
          <cell r="B373" t="str">
            <v>SR-06</v>
          </cell>
          <cell r="C373" t="str">
            <v>—</v>
          </cell>
          <cell r="J373" t="str">
            <v>L/hr</v>
          </cell>
          <cell r="K373">
            <v>4.3</v>
          </cell>
        </row>
        <row r="374">
          <cell r="B374" t="str">
            <v>SR-07</v>
          </cell>
          <cell r="C374" t="str">
            <v>—</v>
          </cell>
          <cell r="J374" t="str">
            <v>L/hr</v>
          </cell>
          <cell r="K374">
            <v>4.3</v>
          </cell>
        </row>
        <row r="375">
          <cell r="B375" t="str">
            <v>SR-08</v>
          </cell>
          <cell r="C375" t="str">
            <v>—</v>
          </cell>
          <cell r="J375" t="str">
            <v>L/hr</v>
          </cell>
          <cell r="K375">
            <v>4.3</v>
          </cell>
        </row>
        <row r="376">
          <cell r="B376" t="str">
            <v>SR-09</v>
          </cell>
          <cell r="C376" t="str">
            <v>—</v>
          </cell>
          <cell r="J376" t="str">
            <v>L/hr</v>
          </cell>
          <cell r="K376">
            <v>4.3</v>
          </cell>
        </row>
        <row r="377">
          <cell r="B377" t="str">
            <v>SR-10</v>
          </cell>
          <cell r="C377" t="str">
            <v>—</v>
          </cell>
          <cell r="J377" t="str">
            <v>L/hr</v>
          </cell>
          <cell r="K377">
            <v>4.3</v>
          </cell>
        </row>
        <row r="378">
          <cell r="B378" t="str">
            <v>SR-11</v>
          </cell>
          <cell r="C378" t="str">
            <v>—</v>
          </cell>
          <cell r="J378" t="str">
            <v>L/hr</v>
          </cell>
          <cell r="K378">
            <v>4.3</v>
          </cell>
        </row>
        <row r="379">
          <cell r="B379" t="str">
            <v>SR-12</v>
          </cell>
          <cell r="C379" t="str">
            <v>—</v>
          </cell>
          <cell r="J379" t="str">
            <v>L/hr</v>
          </cell>
          <cell r="K379">
            <v>4.3</v>
          </cell>
        </row>
        <row r="380">
          <cell r="B380" t="str">
            <v>SR-13</v>
          </cell>
          <cell r="C380" t="str">
            <v>—</v>
          </cell>
          <cell r="J380" t="str">
            <v>L/hr</v>
          </cell>
          <cell r="K380">
            <v>4.3</v>
          </cell>
        </row>
        <row r="381">
          <cell r="B381" t="str">
            <v>SR-14</v>
          </cell>
          <cell r="C381" t="str">
            <v>—</v>
          </cell>
          <cell r="J381" t="str">
            <v>L/hr</v>
          </cell>
          <cell r="K381">
            <v>4.3</v>
          </cell>
        </row>
        <row r="382">
          <cell r="B382" t="str">
            <v>SR-15</v>
          </cell>
          <cell r="C382" t="str">
            <v>—</v>
          </cell>
          <cell r="J382" t="str">
            <v>L/hr</v>
          </cell>
          <cell r="K382">
            <v>4.3</v>
          </cell>
        </row>
        <row r="383">
          <cell r="B383" t="str">
            <v>SR-16</v>
          </cell>
          <cell r="C383" t="str">
            <v>—</v>
          </cell>
          <cell r="J383" t="str">
            <v>L/hr</v>
          </cell>
          <cell r="K383">
            <v>4.3</v>
          </cell>
        </row>
        <row r="384">
          <cell r="B384" t="str">
            <v>SR-17</v>
          </cell>
          <cell r="C384" t="str">
            <v>—</v>
          </cell>
          <cell r="J384" t="str">
            <v>L/hr</v>
          </cell>
          <cell r="K384">
            <v>4.3</v>
          </cell>
        </row>
        <row r="385">
          <cell r="B385" t="str">
            <v>SR-18</v>
          </cell>
          <cell r="C385" t="str">
            <v>—</v>
          </cell>
          <cell r="J385" t="str">
            <v>L/hr</v>
          </cell>
          <cell r="K385">
            <v>4.3</v>
          </cell>
        </row>
        <row r="386">
          <cell r="B386" t="str">
            <v>SR-19</v>
          </cell>
          <cell r="C386" t="str">
            <v>—</v>
          </cell>
          <cell r="J386" t="str">
            <v>L/hr</v>
          </cell>
          <cell r="K386">
            <v>4.3</v>
          </cell>
        </row>
        <row r="387">
          <cell r="B387" t="str">
            <v>TB-01</v>
          </cell>
          <cell r="C387" t="str">
            <v>—</v>
          </cell>
          <cell r="J387" t="str">
            <v>L/hr</v>
          </cell>
          <cell r="K387">
            <v>4.3</v>
          </cell>
        </row>
        <row r="388">
          <cell r="B388" t="str">
            <v>TB-04</v>
          </cell>
          <cell r="C388" t="str">
            <v>—</v>
          </cell>
          <cell r="J388" t="str">
            <v>L/hr</v>
          </cell>
          <cell r="K388">
            <v>4.3</v>
          </cell>
        </row>
        <row r="389">
          <cell r="B389" t="str">
            <v>TB-09</v>
          </cell>
          <cell r="C389" t="str">
            <v>RY-0299</v>
          </cell>
          <cell r="J389" t="str">
            <v>L/hr</v>
          </cell>
          <cell r="K389">
            <v>4.3</v>
          </cell>
        </row>
        <row r="390">
          <cell r="B390" t="str">
            <v>TB-10</v>
          </cell>
          <cell r="C390" t="str">
            <v>RY-0304</v>
          </cell>
          <cell r="J390" t="str">
            <v>L/hr</v>
          </cell>
          <cell r="K390">
            <v>4.3</v>
          </cell>
        </row>
        <row r="391">
          <cell r="B391" t="str">
            <v>TB-11</v>
          </cell>
          <cell r="C391" t="str">
            <v>RY-0301</v>
          </cell>
          <cell r="J391" t="str">
            <v>L/hr</v>
          </cell>
          <cell r="K391">
            <v>4.3</v>
          </cell>
        </row>
        <row r="392">
          <cell r="B392" t="str">
            <v>TB-12</v>
          </cell>
          <cell r="C392" t="str">
            <v>—</v>
          </cell>
          <cell r="J392" t="str">
            <v>L/hr</v>
          </cell>
          <cell r="K392">
            <v>4.3</v>
          </cell>
        </row>
        <row r="393">
          <cell r="B393" t="str">
            <v>TB-15</v>
          </cell>
          <cell r="C393" t="str">
            <v>—</v>
          </cell>
          <cell r="J393" t="str">
            <v>L/hr</v>
          </cell>
          <cell r="K393">
            <v>4.3</v>
          </cell>
        </row>
        <row r="394">
          <cell r="B394" t="str">
            <v>TB-16</v>
          </cell>
          <cell r="C394" t="str">
            <v>—</v>
          </cell>
          <cell r="J394" t="str">
            <v>L/hr</v>
          </cell>
          <cell r="K394">
            <v>4.3</v>
          </cell>
        </row>
        <row r="395">
          <cell r="B395" t="str">
            <v>TB-17</v>
          </cell>
          <cell r="C395" t="str">
            <v>—</v>
          </cell>
          <cell r="J395" t="str">
            <v>L/hr</v>
          </cell>
          <cell r="K395">
            <v>4.3</v>
          </cell>
        </row>
        <row r="396">
          <cell r="B396" t="str">
            <v>TB-18</v>
          </cell>
          <cell r="C396" t="str">
            <v>—</v>
          </cell>
          <cell r="J396" t="str">
            <v>L/hr</v>
          </cell>
          <cell r="K396">
            <v>4.3</v>
          </cell>
        </row>
        <row r="397">
          <cell r="B397" t="str">
            <v>—</v>
          </cell>
          <cell r="C397" t="str">
            <v>RV-1990</v>
          </cell>
          <cell r="J397" t="str">
            <v>—</v>
          </cell>
          <cell r="K397">
            <v>0</v>
          </cell>
        </row>
        <row r="398">
          <cell r="B398" t="str">
            <v>—</v>
          </cell>
          <cell r="C398" t="str">
            <v>RV-1990</v>
          </cell>
          <cell r="J398" t="str">
            <v>—</v>
          </cell>
          <cell r="K398">
            <v>0</v>
          </cell>
        </row>
        <row r="399">
          <cell r="B399" t="str">
            <v>—</v>
          </cell>
          <cell r="C399" t="str">
            <v>RY-0614</v>
          </cell>
          <cell r="J399" t="str">
            <v>—</v>
          </cell>
          <cell r="K399">
            <v>0</v>
          </cell>
        </row>
        <row r="400">
          <cell r="B400" t="str">
            <v>—</v>
          </cell>
          <cell r="C400" t="str">
            <v>RY-2390</v>
          </cell>
          <cell r="J400" t="str">
            <v>—</v>
          </cell>
          <cell r="K400">
            <v>0</v>
          </cell>
        </row>
        <row r="401">
          <cell r="B401" t="str">
            <v>—</v>
          </cell>
          <cell r="C401" t="str">
            <v>RY-2390</v>
          </cell>
          <cell r="J401" t="str">
            <v>—</v>
          </cell>
          <cell r="K401">
            <v>0</v>
          </cell>
        </row>
        <row r="402">
          <cell r="B402" t="str">
            <v>—</v>
          </cell>
          <cell r="C402" t="str">
            <v>RY-2390</v>
          </cell>
          <cell r="J402" t="str">
            <v>—</v>
          </cell>
          <cell r="K402">
            <v>0</v>
          </cell>
        </row>
        <row r="403">
          <cell r="B403" t="str">
            <v>TM-01</v>
          </cell>
          <cell r="C403" t="str">
            <v>LK-5048</v>
          </cell>
          <cell r="J403" t="str">
            <v>L/hr</v>
          </cell>
          <cell r="K403">
            <v>7.2</v>
          </cell>
        </row>
        <row r="404">
          <cell r="B404" t="str">
            <v>TM-03</v>
          </cell>
          <cell r="C404" t="str">
            <v>LK-5047</v>
          </cell>
          <cell r="J404" t="str">
            <v>L/hr</v>
          </cell>
          <cell r="K404">
            <v>5.8</v>
          </cell>
        </row>
        <row r="405">
          <cell r="B405" t="str">
            <v>TM-04</v>
          </cell>
          <cell r="C405" t="str">
            <v>LL-0690</v>
          </cell>
          <cell r="J405" t="str">
            <v>L/hr</v>
          </cell>
          <cell r="K405">
            <v>5.8</v>
          </cell>
        </row>
        <row r="406">
          <cell r="B406" t="str">
            <v>TM-05</v>
          </cell>
          <cell r="C406" t="str">
            <v>LH-5474</v>
          </cell>
          <cell r="J406" t="str">
            <v>L/hr</v>
          </cell>
          <cell r="K406">
            <v>5.8</v>
          </cell>
        </row>
        <row r="407">
          <cell r="B407" t="str">
            <v>TM-06</v>
          </cell>
          <cell r="C407" t="str">
            <v>LH-5475</v>
          </cell>
          <cell r="J407" t="str">
            <v>L/hr</v>
          </cell>
          <cell r="K407">
            <v>5.8</v>
          </cell>
        </row>
        <row r="408">
          <cell r="B408" t="str">
            <v>TM-08</v>
          </cell>
          <cell r="C408" t="str">
            <v>LJ-8055</v>
          </cell>
          <cell r="J408" t="str">
            <v>L/hr</v>
          </cell>
          <cell r="K408">
            <v>5.8</v>
          </cell>
        </row>
        <row r="409">
          <cell r="B409" t="str">
            <v>TM-09</v>
          </cell>
          <cell r="C409" t="str">
            <v>ZA-6255</v>
          </cell>
          <cell r="J409" t="str">
            <v>L/hr</v>
          </cell>
          <cell r="K409">
            <v>5.8</v>
          </cell>
        </row>
        <row r="410">
          <cell r="B410" t="str">
            <v>TM-10</v>
          </cell>
          <cell r="C410" t="str">
            <v>ZA-6395</v>
          </cell>
          <cell r="J410" t="str">
            <v>L/hr</v>
          </cell>
          <cell r="K410">
            <v>7.9</v>
          </cell>
        </row>
        <row r="411">
          <cell r="B411" t="str">
            <v>TM-11</v>
          </cell>
          <cell r="C411" t="str">
            <v>ZA-7291</v>
          </cell>
          <cell r="J411" t="str">
            <v>L/hr</v>
          </cell>
          <cell r="K411">
            <v>7.9</v>
          </cell>
        </row>
        <row r="412">
          <cell r="B412" t="str">
            <v>TM-12</v>
          </cell>
          <cell r="C412" t="str">
            <v>ZA-7290</v>
          </cell>
          <cell r="J412" t="str">
            <v>L/hr</v>
          </cell>
          <cell r="K412">
            <v>7.9</v>
          </cell>
        </row>
        <row r="413">
          <cell r="B413" t="str">
            <v>TM-14</v>
          </cell>
          <cell r="C413" t="str">
            <v>ZA-7810</v>
          </cell>
          <cell r="J413" t="str">
            <v>L/hr</v>
          </cell>
          <cell r="K413">
            <v>9.4</v>
          </cell>
        </row>
        <row r="414">
          <cell r="B414" t="str">
            <v>TM-15</v>
          </cell>
          <cell r="C414" t="str">
            <v>ZA-7925</v>
          </cell>
          <cell r="J414" t="str">
            <v>L/hr</v>
          </cell>
          <cell r="K414">
            <v>7.9</v>
          </cell>
        </row>
        <row r="415">
          <cell r="B415" t="str">
            <v>TM-16</v>
          </cell>
          <cell r="C415" t="str">
            <v>ZA-8033</v>
          </cell>
          <cell r="J415" t="str">
            <v>L/hr</v>
          </cell>
          <cell r="K415">
            <v>9.4</v>
          </cell>
        </row>
        <row r="416">
          <cell r="B416" t="str">
            <v>TM-18</v>
          </cell>
          <cell r="C416" t="str">
            <v>ZA-8511</v>
          </cell>
          <cell r="J416" t="str">
            <v>L/hr</v>
          </cell>
          <cell r="K416">
            <v>7.9</v>
          </cell>
        </row>
        <row r="417">
          <cell r="B417" t="str">
            <v>TM-19</v>
          </cell>
          <cell r="C417" t="str">
            <v>ZA-8445</v>
          </cell>
          <cell r="J417" t="str">
            <v>L/hr</v>
          </cell>
          <cell r="K417">
            <v>9.4</v>
          </cell>
        </row>
        <row r="418">
          <cell r="B418" t="str">
            <v>TM-21</v>
          </cell>
          <cell r="C418" t="str">
            <v>ZA-0050</v>
          </cell>
          <cell r="J418" t="str">
            <v>L/hr</v>
          </cell>
          <cell r="K418">
            <v>9.4</v>
          </cell>
        </row>
        <row r="419">
          <cell r="B419" t="str">
            <v>PV-01</v>
          </cell>
          <cell r="C419" t="str">
            <v>51-7158</v>
          </cell>
          <cell r="J419" t="str">
            <v>km/L</v>
          </cell>
          <cell r="K419">
            <v>12.8</v>
          </cell>
        </row>
        <row r="420">
          <cell r="B420" t="str">
            <v>—</v>
          </cell>
          <cell r="C420" t="str">
            <v>54-7084</v>
          </cell>
          <cell r="J420" t="str">
            <v>km/L</v>
          </cell>
          <cell r="K420">
            <v>12.8</v>
          </cell>
        </row>
        <row r="421">
          <cell r="B421" t="str">
            <v>—</v>
          </cell>
          <cell r="C421" t="str">
            <v>PE-7986</v>
          </cell>
          <cell r="J421" t="str">
            <v>km/L</v>
          </cell>
          <cell r="K421">
            <v>12.8</v>
          </cell>
        </row>
        <row r="422">
          <cell r="B422" t="str">
            <v>VR-01</v>
          </cell>
          <cell r="C422" t="str">
            <v>—</v>
          </cell>
          <cell r="J422" t="str">
            <v>L/hr</v>
          </cell>
          <cell r="K422">
            <v>7.2</v>
          </cell>
        </row>
        <row r="423">
          <cell r="B423" t="str">
            <v>VR-02</v>
          </cell>
          <cell r="C423" t="str">
            <v>—</v>
          </cell>
          <cell r="J423" t="str">
            <v>L/hr</v>
          </cell>
          <cell r="K423">
            <v>7.2</v>
          </cell>
        </row>
        <row r="424">
          <cell r="B424" t="str">
            <v>VR-03</v>
          </cell>
          <cell r="C424" t="str">
            <v>—</v>
          </cell>
          <cell r="J424" t="str">
            <v>L/hr</v>
          </cell>
          <cell r="K424">
            <v>7.2</v>
          </cell>
        </row>
        <row r="425">
          <cell r="B425" t="str">
            <v>VR-04</v>
          </cell>
          <cell r="C425" t="str">
            <v>—</v>
          </cell>
          <cell r="J425" t="str">
            <v>L/hr</v>
          </cell>
          <cell r="K425">
            <v>7.2</v>
          </cell>
        </row>
        <row r="426">
          <cell r="B426" t="str">
            <v>VR-05</v>
          </cell>
          <cell r="C426" t="str">
            <v>—</v>
          </cell>
          <cell r="J426" t="str">
            <v>L/hr</v>
          </cell>
          <cell r="K426">
            <v>7.2</v>
          </cell>
        </row>
        <row r="427">
          <cell r="B427" t="str">
            <v>VR-06</v>
          </cell>
          <cell r="C427" t="str">
            <v>—</v>
          </cell>
          <cell r="J427" t="str">
            <v>L/hr</v>
          </cell>
          <cell r="K427">
            <v>7.2</v>
          </cell>
        </row>
        <row r="428">
          <cell r="B428" t="str">
            <v>VR-07</v>
          </cell>
          <cell r="C428" t="str">
            <v>—</v>
          </cell>
          <cell r="J428" t="str">
            <v>L/hr</v>
          </cell>
          <cell r="K428">
            <v>7.2</v>
          </cell>
        </row>
        <row r="429">
          <cell r="B429" t="str">
            <v>VR-08</v>
          </cell>
          <cell r="C429" t="str">
            <v>—</v>
          </cell>
          <cell r="J429" t="str">
            <v>L/hr</v>
          </cell>
          <cell r="K429">
            <v>7.2</v>
          </cell>
        </row>
        <row r="430">
          <cell r="B430" t="str">
            <v>VR-09</v>
          </cell>
          <cell r="C430" t="str">
            <v>—</v>
          </cell>
          <cell r="J430" t="str">
            <v>L/hr</v>
          </cell>
          <cell r="K430">
            <v>7.2</v>
          </cell>
        </row>
        <row r="431">
          <cell r="B431" t="str">
            <v>VR-10</v>
          </cell>
          <cell r="C431" t="str">
            <v>—</v>
          </cell>
          <cell r="J431" t="str">
            <v>L/hr</v>
          </cell>
          <cell r="K431">
            <v>7.2</v>
          </cell>
        </row>
        <row r="432">
          <cell r="B432" t="str">
            <v>VR-11</v>
          </cell>
          <cell r="C432" t="str">
            <v>—</v>
          </cell>
          <cell r="J432" t="str">
            <v>L/hr</v>
          </cell>
          <cell r="K432">
            <v>7.2</v>
          </cell>
        </row>
        <row r="433">
          <cell r="B433" t="str">
            <v>VR-12</v>
          </cell>
          <cell r="C433" t="str">
            <v>—</v>
          </cell>
          <cell r="J433" t="str">
            <v>L/hr</v>
          </cell>
          <cell r="K433">
            <v>7.2</v>
          </cell>
        </row>
        <row r="434">
          <cell r="B434" t="str">
            <v>VR-13</v>
          </cell>
          <cell r="C434" t="str">
            <v>—</v>
          </cell>
          <cell r="J434" t="str">
            <v>L/hr</v>
          </cell>
          <cell r="K434">
            <v>7.2</v>
          </cell>
        </row>
        <row r="435">
          <cell r="B435" t="str">
            <v>VR-14</v>
          </cell>
          <cell r="C435" t="str">
            <v>—</v>
          </cell>
          <cell r="J435" t="str">
            <v>L/hr</v>
          </cell>
          <cell r="K435">
            <v>7.2</v>
          </cell>
        </row>
        <row r="436">
          <cell r="B436" t="str">
            <v>VR-15</v>
          </cell>
          <cell r="C436" t="str">
            <v>—</v>
          </cell>
          <cell r="J436" t="str">
            <v>L/hr</v>
          </cell>
          <cell r="K436">
            <v>7.2</v>
          </cell>
        </row>
        <row r="437">
          <cell r="B437" t="str">
            <v>VR-16</v>
          </cell>
          <cell r="C437" t="str">
            <v>—</v>
          </cell>
          <cell r="J437" t="str">
            <v>L/hr</v>
          </cell>
          <cell r="K437">
            <v>7.2</v>
          </cell>
        </row>
        <row r="438">
          <cell r="B438" t="str">
            <v>VR-17</v>
          </cell>
          <cell r="C438" t="str">
            <v>—</v>
          </cell>
          <cell r="J438" t="str">
            <v>L/hr</v>
          </cell>
          <cell r="K438">
            <v>7.2</v>
          </cell>
        </row>
        <row r="439">
          <cell r="B439" t="str">
            <v>VR-18</v>
          </cell>
          <cell r="C439" t="str">
            <v>—</v>
          </cell>
          <cell r="J439" t="str">
            <v>L/hr</v>
          </cell>
          <cell r="K439">
            <v>7.2</v>
          </cell>
        </row>
        <row r="440">
          <cell r="B440" t="str">
            <v>VR-19</v>
          </cell>
          <cell r="C440" t="str">
            <v>—</v>
          </cell>
          <cell r="J440" t="str">
            <v>L/hr</v>
          </cell>
          <cell r="K440">
            <v>7.2</v>
          </cell>
        </row>
        <row r="441">
          <cell r="B441" t="str">
            <v>VR-20</v>
          </cell>
          <cell r="C441" t="str">
            <v>—</v>
          </cell>
          <cell r="J441" t="str">
            <v>L/hr</v>
          </cell>
          <cell r="K441">
            <v>7.2</v>
          </cell>
        </row>
        <row r="442">
          <cell r="B442" t="str">
            <v>VR-21</v>
          </cell>
          <cell r="C442" t="str">
            <v>—</v>
          </cell>
          <cell r="J442" t="str">
            <v>L/hr</v>
          </cell>
          <cell r="K442">
            <v>7.2</v>
          </cell>
        </row>
        <row r="443">
          <cell r="B443" t="str">
            <v>VR-22</v>
          </cell>
          <cell r="C443" t="str">
            <v>—</v>
          </cell>
          <cell r="J443" t="str">
            <v>L/hr</v>
          </cell>
          <cell r="K443">
            <v>7.2</v>
          </cell>
        </row>
        <row r="444">
          <cell r="B444" t="str">
            <v>VR-23</v>
          </cell>
          <cell r="C444" t="str">
            <v>—</v>
          </cell>
          <cell r="J444" t="str">
            <v>L/hr</v>
          </cell>
          <cell r="K444">
            <v>7.2</v>
          </cell>
        </row>
        <row r="445">
          <cell r="B445" t="str">
            <v>VR-24</v>
          </cell>
          <cell r="C445" t="str">
            <v>—</v>
          </cell>
          <cell r="J445" t="str">
            <v>L/hr</v>
          </cell>
          <cell r="K445">
            <v>7.2</v>
          </cell>
        </row>
        <row r="446">
          <cell r="B446" t="str">
            <v>VR-25</v>
          </cell>
          <cell r="C446" t="str">
            <v>—</v>
          </cell>
          <cell r="J446" t="str">
            <v>L/hr</v>
          </cell>
          <cell r="K446">
            <v>7.2</v>
          </cell>
        </row>
        <row r="447">
          <cell r="B447" t="str">
            <v>VR-26</v>
          </cell>
          <cell r="C447" t="str">
            <v>—</v>
          </cell>
          <cell r="J447" t="str">
            <v>L/hr</v>
          </cell>
          <cell r="K447">
            <v>7.2</v>
          </cell>
        </row>
        <row r="448">
          <cell r="B448" t="str">
            <v>VR-27</v>
          </cell>
          <cell r="C448" t="str">
            <v>—</v>
          </cell>
          <cell r="J448" t="str">
            <v>L/hr</v>
          </cell>
          <cell r="K448">
            <v>7.2</v>
          </cell>
        </row>
        <row r="449">
          <cell r="B449" t="str">
            <v>VR-28</v>
          </cell>
          <cell r="C449" t="str">
            <v>—</v>
          </cell>
          <cell r="J449" t="str">
            <v>L/hr</v>
          </cell>
          <cell r="K449">
            <v>7.2</v>
          </cell>
        </row>
        <row r="450">
          <cell r="B450" t="str">
            <v>VR-29</v>
          </cell>
          <cell r="C450" t="str">
            <v>—</v>
          </cell>
          <cell r="J450" t="str">
            <v>L/hr</v>
          </cell>
          <cell r="K450">
            <v>7.2</v>
          </cell>
        </row>
        <row r="451">
          <cell r="B451" t="str">
            <v>VR-30</v>
          </cell>
          <cell r="C451" t="str">
            <v>—</v>
          </cell>
          <cell r="J451" t="str">
            <v>L/hr</v>
          </cell>
          <cell r="K451">
            <v>7.2</v>
          </cell>
        </row>
        <row r="452">
          <cell r="B452" t="str">
            <v>VR-31</v>
          </cell>
          <cell r="C452" t="str">
            <v>—</v>
          </cell>
          <cell r="J452" t="str">
            <v>L/hr</v>
          </cell>
          <cell r="K452">
            <v>7.2</v>
          </cell>
        </row>
        <row r="453">
          <cell r="B453" t="str">
            <v>VR-32</v>
          </cell>
          <cell r="C453" t="str">
            <v>—</v>
          </cell>
          <cell r="J453" t="str">
            <v>L/hr</v>
          </cell>
          <cell r="K453">
            <v>7.2</v>
          </cell>
        </row>
        <row r="454">
          <cell r="B454" t="str">
            <v>VR-33</v>
          </cell>
          <cell r="C454" t="str">
            <v>—</v>
          </cell>
          <cell r="J454" t="str">
            <v>L/hr</v>
          </cell>
          <cell r="K454">
            <v>7.2</v>
          </cell>
        </row>
        <row r="455">
          <cell r="B455" t="str">
            <v>VR-34</v>
          </cell>
          <cell r="C455" t="str">
            <v>—</v>
          </cell>
          <cell r="J455" t="str">
            <v>L/hr</v>
          </cell>
          <cell r="K455">
            <v>7.2</v>
          </cell>
        </row>
        <row r="456">
          <cell r="B456" t="str">
            <v>VR-35</v>
          </cell>
          <cell r="C456" t="str">
            <v>—</v>
          </cell>
          <cell r="J456" t="str">
            <v>L/hr</v>
          </cell>
          <cell r="K456">
            <v>7.2</v>
          </cell>
        </row>
        <row r="457">
          <cell r="B457" t="str">
            <v>VR-36</v>
          </cell>
          <cell r="C457" t="str">
            <v>—</v>
          </cell>
          <cell r="J457" t="str">
            <v>L/hr</v>
          </cell>
          <cell r="K457">
            <v>7.2</v>
          </cell>
        </row>
        <row r="458">
          <cell r="B458" t="str">
            <v>VR-37</v>
          </cell>
          <cell r="C458" t="str">
            <v>—</v>
          </cell>
          <cell r="J458" t="str">
            <v>L/hr</v>
          </cell>
          <cell r="K458">
            <v>7.2</v>
          </cell>
        </row>
        <row r="459">
          <cell r="B459" t="str">
            <v>VR-38</v>
          </cell>
          <cell r="C459" t="str">
            <v>—</v>
          </cell>
          <cell r="J459" t="str">
            <v>L/hr</v>
          </cell>
          <cell r="K459">
            <v>7.2</v>
          </cell>
        </row>
        <row r="460">
          <cell r="B460" t="str">
            <v>VR-39</v>
          </cell>
          <cell r="C460" t="str">
            <v>—</v>
          </cell>
          <cell r="J460" t="str">
            <v>L/hr</v>
          </cell>
          <cell r="K460">
            <v>7.2</v>
          </cell>
        </row>
        <row r="461">
          <cell r="B461" t="str">
            <v>VR-40</v>
          </cell>
          <cell r="C461" t="str">
            <v>—</v>
          </cell>
          <cell r="J461" t="str">
            <v>L/hr</v>
          </cell>
          <cell r="K461">
            <v>7.2</v>
          </cell>
        </row>
        <row r="462">
          <cell r="B462" t="str">
            <v>VR-41</v>
          </cell>
          <cell r="C462" t="str">
            <v>—</v>
          </cell>
          <cell r="J462" t="str">
            <v>L/hr</v>
          </cell>
          <cell r="K462">
            <v>7.2</v>
          </cell>
        </row>
        <row r="463">
          <cell r="B463" t="str">
            <v>VR-42</v>
          </cell>
          <cell r="C463" t="str">
            <v>—</v>
          </cell>
          <cell r="J463" t="str">
            <v>L/hr</v>
          </cell>
          <cell r="K463">
            <v>7.2</v>
          </cell>
        </row>
        <row r="464">
          <cell r="B464" t="str">
            <v>VR-43</v>
          </cell>
          <cell r="C464" t="str">
            <v>—</v>
          </cell>
          <cell r="J464" t="str">
            <v>L/hr</v>
          </cell>
          <cell r="K464">
            <v>7.2</v>
          </cell>
        </row>
        <row r="465">
          <cell r="B465" t="str">
            <v>VR-44</v>
          </cell>
          <cell r="C465" t="str">
            <v>—</v>
          </cell>
          <cell r="J465" t="str">
            <v>L/hr</v>
          </cell>
          <cell r="K465">
            <v>7.2</v>
          </cell>
        </row>
        <row r="466">
          <cell r="B466" t="str">
            <v>VR-45</v>
          </cell>
          <cell r="C466" t="str">
            <v>—</v>
          </cell>
          <cell r="J466" t="str">
            <v>L/hr</v>
          </cell>
          <cell r="K466">
            <v>7.2</v>
          </cell>
        </row>
        <row r="467">
          <cell r="B467" t="str">
            <v>VR-46</v>
          </cell>
          <cell r="C467" t="str">
            <v>—</v>
          </cell>
          <cell r="J467" t="str">
            <v>L/hr</v>
          </cell>
          <cell r="K467">
            <v>7.2</v>
          </cell>
        </row>
        <row r="468">
          <cell r="B468" t="str">
            <v>VR-47</v>
          </cell>
          <cell r="C468" t="str">
            <v>—</v>
          </cell>
          <cell r="J468" t="str">
            <v>L/hr</v>
          </cell>
          <cell r="K468">
            <v>7.2</v>
          </cell>
        </row>
        <row r="469">
          <cell r="B469" t="str">
            <v>VR-48</v>
          </cell>
          <cell r="C469" t="str">
            <v>—</v>
          </cell>
          <cell r="J469" t="str">
            <v>L/hr</v>
          </cell>
          <cell r="K469">
            <v>7.2</v>
          </cell>
        </row>
        <row r="470">
          <cell r="B470" t="str">
            <v>VR-49</v>
          </cell>
          <cell r="C470" t="str">
            <v>—</v>
          </cell>
          <cell r="J470" t="str">
            <v>L/hr</v>
          </cell>
          <cell r="K470">
            <v>7.2</v>
          </cell>
        </row>
        <row r="471">
          <cell r="B471" t="str">
            <v>VR-50</v>
          </cell>
          <cell r="C471" t="str">
            <v>—</v>
          </cell>
          <cell r="J471" t="str">
            <v>L/hr</v>
          </cell>
          <cell r="K471">
            <v>7.2</v>
          </cell>
        </row>
        <row r="472">
          <cell r="B472" t="str">
            <v>VR-51</v>
          </cell>
          <cell r="C472" t="str">
            <v>—</v>
          </cell>
          <cell r="J472" t="str">
            <v>L/hr</v>
          </cell>
          <cell r="K472">
            <v>7.2</v>
          </cell>
        </row>
        <row r="473">
          <cell r="B473" t="str">
            <v>VR-52</v>
          </cell>
          <cell r="C473" t="str">
            <v>—</v>
          </cell>
          <cell r="J473" t="str">
            <v>L/hr</v>
          </cell>
          <cell r="K473">
            <v>7.2</v>
          </cell>
        </row>
        <row r="474">
          <cell r="B474" t="str">
            <v>VR-53</v>
          </cell>
          <cell r="C474" t="str">
            <v>—</v>
          </cell>
          <cell r="J474" t="str">
            <v>L/hr</v>
          </cell>
          <cell r="K474">
            <v>7.2</v>
          </cell>
        </row>
        <row r="475">
          <cell r="B475" t="str">
            <v>VR-54</v>
          </cell>
          <cell r="C475" t="str">
            <v>—</v>
          </cell>
          <cell r="J475" t="str">
            <v>L/hr</v>
          </cell>
          <cell r="K475">
            <v>7.2</v>
          </cell>
        </row>
        <row r="476">
          <cell r="B476" t="str">
            <v>VR-55</v>
          </cell>
          <cell r="C476" t="str">
            <v>—</v>
          </cell>
          <cell r="J476" t="str">
            <v>L/hr</v>
          </cell>
          <cell r="K476">
            <v>7.2</v>
          </cell>
        </row>
        <row r="477">
          <cell r="B477" t="str">
            <v>VR-56</v>
          </cell>
          <cell r="C477" t="str">
            <v>—</v>
          </cell>
          <cell r="J477" t="str">
            <v>L/hr</v>
          </cell>
          <cell r="K477">
            <v>7.2</v>
          </cell>
        </row>
        <row r="478">
          <cell r="B478" t="str">
            <v>VR-57</v>
          </cell>
          <cell r="C478" t="str">
            <v>—</v>
          </cell>
          <cell r="J478" t="str">
            <v>L/hr</v>
          </cell>
          <cell r="K478">
            <v>7.2</v>
          </cell>
        </row>
        <row r="479">
          <cell r="B479" t="str">
            <v>VR-58</v>
          </cell>
          <cell r="C479" t="str">
            <v>—</v>
          </cell>
          <cell r="J479" t="str">
            <v>L/hr</v>
          </cell>
          <cell r="K479">
            <v>7.2</v>
          </cell>
        </row>
        <row r="480">
          <cell r="B480" t="str">
            <v>VR-59</v>
          </cell>
          <cell r="C480" t="str">
            <v>—</v>
          </cell>
          <cell r="J480" t="str">
            <v>L/hr</v>
          </cell>
          <cell r="K480">
            <v>7.2</v>
          </cell>
        </row>
        <row r="481">
          <cell r="B481" t="str">
            <v>VR-60</v>
          </cell>
          <cell r="C481" t="str">
            <v>—</v>
          </cell>
          <cell r="J481" t="str">
            <v>L/hr</v>
          </cell>
          <cell r="K481">
            <v>7.2</v>
          </cell>
        </row>
        <row r="482">
          <cell r="B482" t="str">
            <v>VR-61</v>
          </cell>
          <cell r="C482" t="str">
            <v>—</v>
          </cell>
          <cell r="J482" t="str">
            <v>L/hr</v>
          </cell>
          <cell r="K482">
            <v>7.2</v>
          </cell>
        </row>
        <row r="483">
          <cell r="B483" t="str">
            <v>VR-62</v>
          </cell>
          <cell r="C483" t="str">
            <v>—</v>
          </cell>
          <cell r="J483" t="str">
            <v>L/hr</v>
          </cell>
          <cell r="K483">
            <v>7.2</v>
          </cell>
        </row>
        <row r="484">
          <cell r="B484" t="str">
            <v>VR-63</v>
          </cell>
          <cell r="C484" t="str">
            <v>—</v>
          </cell>
          <cell r="J484" t="str">
            <v>L/hr</v>
          </cell>
          <cell r="K484">
            <v>7.2</v>
          </cell>
        </row>
        <row r="485">
          <cell r="B485" t="str">
            <v>VR-64</v>
          </cell>
          <cell r="C485" t="str">
            <v>—</v>
          </cell>
          <cell r="J485" t="str">
            <v>L/hr</v>
          </cell>
          <cell r="K485">
            <v>7.2</v>
          </cell>
        </row>
        <row r="486">
          <cell r="B486" t="str">
            <v>VR-65</v>
          </cell>
          <cell r="C486" t="str">
            <v>—</v>
          </cell>
          <cell r="J486" t="str">
            <v>L/hr</v>
          </cell>
          <cell r="K486">
            <v>7.2</v>
          </cell>
        </row>
        <row r="487">
          <cell r="B487" t="str">
            <v>VR-66</v>
          </cell>
          <cell r="C487" t="str">
            <v>—</v>
          </cell>
          <cell r="J487" t="str">
            <v>L/hr</v>
          </cell>
          <cell r="K487">
            <v>7.2</v>
          </cell>
        </row>
        <row r="488">
          <cell r="B488" t="str">
            <v>VR-67</v>
          </cell>
          <cell r="C488" t="str">
            <v>—</v>
          </cell>
          <cell r="J488" t="str">
            <v>L/hr</v>
          </cell>
          <cell r="K488">
            <v>7.2</v>
          </cell>
        </row>
        <row r="489">
          <cell r="B489" t="str">
            <v>VR-68</v>
          </cell>
          <cell r="C489" t="str">
            <v>—</v>
          </cell>
          <cell r="J489" t="str">
            <v>L/hr</v>
          </cell>
          <cell r="K489">
            <v>7.2</v>
          </cell>
        </row>
        <row r="490">
          <cell r="B490" t="str">
            <v>VR-69</v>
          </cell>
          <cell r="C490" t="str">
            <v>—</v>
          </cell>
          <cell r="J490" t="str">
            <v>L/hr</v>
          </cell>
          <cell r="K490">
            <v>7.2</v>
          </cell>
        </row>
        <row r="491">
          <cell r="B491" t="str">
            <v>VR-70</v>
          </cell>
          <cell r="C491" t="str">
            <v>—</v>
          </cell>
          <cell r="J491" t="str">
            <v>L/hr</v>
          </cell>
          <cell r="K491">
            <v>7.2</v>
          </cell>
        </row>
        <row r="492">
          <cell r="B492" t="str">
            <v>VR-71</v>
          </cell>
          <cell r="C492" t="str">
            <v>—</v>
          </cell>
          <cell r="J492" t="str">
            <v>L/hr</v>
          </cell>
          <cell r="K492">
            <v>7.2</v>
          </cell>
        </row>
        <row r="493">
          <cell r="B493" t="str">
            <v>—</v>
          </cell>
          <cell r="C493" t="str">
            <v>—</v>
          </cell>
          <cell r="J493" t="str">
            <v>L/hr</v>
          </cell>
          <cell r="K493">
            <v>7.2</v>
          </cell>
        </row>
        <row r="494">
          <cell r="B494" t="str">
            <v>WB-01</v>
          </cell>
          <cell r="C494" t="str">
            <v>48-8072</v>
          </cell>
          <cell r="J494" t="str">
            <v>L/hr</v>
          </cell>
          <cell r="K494">
            <v>5.8</v>
          </cell>
        </row>
        <row r="495">
          <cell r="B495" t="str">
            <v>WB-02</v>
          </cell>
          <cell r="C495" t="str">
            <v>43-1191</v>
          </cell>
          <cell r="J495" t="str">
            <v>L/hr</v>
          </cell>
          <cell r="K495">
            <v>5.8</v>
          </cell>
        </row>
        <row r="496">
          <cell r="B496" t="str">
            <v>WB-03</v>
          </cell>
          <cell r="C496" t="str">
            <v>HO-9850</v>
          </cell>
          <cell r="J496" t="str">
            <v>L/hr</v>
          </cell>
          <cell r="K496">
            <v>5.8</v>
          </cell>
        </row>
        <row r="497">
          <cell r="B497" t="str">
            <v>WB-04</v>
          </cell>
          <cell r="C497" t="str">
            <v>LI-3405</v>
          </cell>
          <cell r="J497" t="str">
            <v>L/hr</v>
          </cell>
          <cell r="K497">
            <v>5.8</v>
          </cell>
        </row>
        <row r="498">
          <cell r="B498" t="str">
            <v>WB-05</v>
          </cell>
          <cell r="C498" t="str">
            <v>LA-4229</v>
          </cell>
          <cell r="J498" t="str">
            <v>L/hr</v>
          </cell>
          <cell r="K498">
            <v>5.8</v>
          </cell>
        </row>
        <row r="499">
          <cell r="B499" t="str">
            <v>WB-06</v>
          </cell>
          <cell r="C499" t="str">
            <v>227-7971</v>
          </cell>
          <cell r="J499" t="str">
            <v>L/hr</v>
          </cell>
          <cell r="K499">
            <v>5.8</v>
          </cell>
        </row>
        <row r="500">
          <cell r="B500" t="str">
            <v>WB-08</v>
          </cell>
          <cell r="C500" t="str">
            <v>—</v>
          </cell>
          <cell r="J500" t="str">
            <v>L/hr</v>
          </cell>
          <cell r="K500">
            <v>5.8</v>
          </cell>
        </row>
        <row r="501">
          <cell r="B501" t="str">
            <v>WB-09</v>
          </cell>
          <cell r="C501" t="str">
            <v>RY-0299</v>
          </cell>
          <cell r="J501" t="str">
            <v>L/hr</v>
          </cell>
          <cell r="K501">
            <v>5.8</v>
          </cell>
        </row>
        <row r="502">
          <cell r="B502" t="str">
            <v>WB-10</v>
          </cell>
          <cell r="C502" t="str">
            <v>RY-0301</v>
          </cell>
          <cell r="J502" t="str">
            <v>L/hr</v>
          </cell>
          <cell r="K502">
            <v>5.8</v>
          </cell>
        </row>
        <row r="503">
          <cell r="B503" t="str">
            <v>WB-11</v>
          </cell>
          <cell r="C503" t="str">
            <v>RY-0304</v>
          </cell>
          <cell r="J503" t="str">
            <v>L/hr</v>
          </cell>
          <cell r="K503">
            <v>5.8</v>
          </cell>
        </row>
        <row r="504">
          <cell r="B504" t="str">
            <v>WB-12</v>
          </cell>
          <cell r="C504" t="str">
            <v>RY-2392</v>
          </cell>
          <cell r="J504" t="str">
            <v>L/hr</v>
          </cell>
          <cell r="K504">
            <v>5.8</v>
          </cell>
        </row>
        <row r="505">
          <cell r="B505" t="str">
            <v>WB-13</v>
          </cell>
          <cell r="C505" t="str">
            <v>—</v>
          </cell>
          <cell r="J505" t="str">
            <v>L/hr</v>
          </cell>
          <cell r="K505">
            <v>5.8</v>
          </cell>
        </row>
        <row r="506">
          <cell r="B506" t="str">
            <v>WB-14</v>
          </cell>
          <cell r="C506" t="str">
            <v>—</v>
          </cell>
          <cell r="J506" t="str">
            <v>L/hr</v>
          </cell>
          <cell r="K506">
            <v>5.8</v>
          </cell>
        </row>
        <row r="507">
          <cell r="B507" t="str">
            <v>WB-15</v>
          </cell>
          <cell r="C507" t="str">
            <v>RY-2390</v>
          </cell>
          <cell r="J507" t="str">
            <v>L/hr</v>
          </cell>
          <cell r="K507">
            <v>5.8</v>
          </cell>
        </row>
        <row r="508">
          <cell r="B508" t="str">
            <v>WB-16</v>
          </cell>
          <cell r="C508" t="str">
            <v>—</v>
          </cell>
          <cell r="J508" t="str">
            <v>L/hr</v>
          </cell>
          <cell r="K508">
            <v>5.8</v>
          </cell>
        </row>
        <row r="509">
          <cell r="B509" t="str">
            <v>WB-17</v>
          </cell>
          <cell r="C509" t="str">
            <v>—</v>
          </cell>
          <cell r="J509" t="str">
            <v>L/hr</v>
          </cell>
          <cell r="K509">
            <v>5.8</v>
          </cell>
        </row>
        <row r="510">
          <cell r="B510" t="str">
            <v>WB-18</v>
          </cell>
          <cell r="C510" t="str">
            <v>LO-1059</v>
          </cell>
          <cell r="J510" t="str">
            <v>L/hr</v>
          </cell>
          <cell r="K510">
            <v>5.8</v>
          </cell>
        </row>
        <row r="511">
          <cell r="B511" t="str">
            <v>WB-19</v>
          </cell>
          <cell r="C511" t="str">
            <v>—</v>
          </cell>
          <cell r="J511" t="str">
            <v>L/hr</v>
          </cell>
          <cell r="K511">
            <v>5.8</v>
          </cell>
        </row>
        <row r="512">
          <cell r="B512" t="str">
            <v>WB-20</v>
          </cell>
          <cell r="C512" t="str">
            <v>LD-8875</v>
          </cell>
          <cell r="J512" t="str">
            <v>L/hr</v>
          </cell>
          <cell r="K512">
            <v>5.8</v>
          </cell>
        </row>
        <row r="513">
          <cell r="B513" t="str">
            <v>LD-01</v>
          </cell>
          <cell r="C513" t="str">
            <v>—</v>
          </cell>
          <cell r="J513" t="str">
            <v>L/hr</v>
          </cell>
          <cell r="K513">
            <v>7.2</v>
          </cell>
        </row>
        <row r="514">
          <cell r="B514" t="str">
            <v>LD-02</v>
          </cell>
          <cell r="C514" t="str">
            <v>—</v>
          </cell>
          <cell r="J514" t="str">
            <v>L/hr</v>
          </cell>
          <cell r="K514">
            <v>7.2</v>
          </cell>
        </row>
        <row r="515">
          <cell r="B515" t="str">
            <v>LD-03</v>
          </cell>
          <cell r="C515" t="str">
            <v>—</v>
          </cell>
          <cell r="J515" t="str">
            <v>L/hr</v>
          </cell>
          <cell r="K515">
            <v>6.5</v>
          </cell>
        </row>
        <row r="516">
          <cell r="B516" t="str">
            <v>LD-04</v>
          </cell>
          <cell r="C516" t="str">
            <v>—</v>
          </cell>
          <cell r="J516" t="str">
            <v>L/hr</v>
          </cell>
          <cell r="K516">
            <v>8.6</v>
          </cell>
        </row>
        <row r="517">
          <cell r="B517" t="str">
            <v>LD-05</v>
          </cell>
          <cell r="C517" t="str">
            <v>—</v>
          </cell>
          <cell r="J517" t="str">
            <v>L/hr</v>
          </cell>
          <cell r="K517">
            <v>8.6</v>
          </cell>
        </row>
        <row r="518">
          <cell r="B518" t="str">
            <v>LD-06</v>
          </cell>
          <cell r="C518" t="str">
            <v>ZA-3116</v>
          </cell>
          <cell r="J518" t="str">
            <v>L/hr</v>
          </cell>
          <cell r="K518">
            <v>7.9</v>
          </cell>
        </row>
        <row r="519">
          <cell r="B519" t="str">
            <v>LD-07</v>
          </cell>
          <cell r="C519" t="str">
            <v>—</v>
          </cell>
          <cell r="J519" t="str">
            <v>L/hr</v>
          </cell>
          <cell r="K519">
            <v>5.8</v>
          </cell>
        </row>
        <row r="520">
          <cell r="B520" t="str">
            <v>LD-08</v>
          </cell>
          <cell r="C520" t="str">
            <v>—</v>
          </cell>
          <cell r="J520" t="str">
            <v>L/hr</v>
          </cell>
          <cell r="K520">
            <v>6.5</v>
          </cell>
        </row>
        <row r="521">
          <cell r="B521" t="str">
            <v>LD-09</v>
          </cell>
          <cell r="C521" t="str">
            <v>—</v>
          </cell>
          <cell r="J521" t="str">
            <v>L/hr</v>
          </cell>
          <cell r="K521">
            <v>10.8</v>
          </cell>
        </row>
        <row r="522">
          <cell r="B522" t="str">
            <v>LD-09</v>
          </cell>
          <cell r="C522" t="str">
            <v>—</v>
          </cell>
          <cell r="J522" t="str">
            <v>L/hr</v>
          </cell>
          <cell r="K522">
            <v>6692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4" displayName="Table44" ref="A3:Q32" totalsRowShown="0" headerRowDxfId="44" dataDxfId="42" headerRowBorderDxfId="43" tableBorderDxfId="41">
  <autoFilter ref="A3:Q32" xr:uid="{00000000-0009-0000-0100-000001000000}"/>
  <sortState xmlns:xlrd2="http://schemas.microsoft.com/office/spreadsheetml/2017/richdata2" ref="A4:O65">
    <sortCondition sortBy="fontColor" ref="N3:N65" dxfId="40"/>
  </sortState>
  <tableColumns count="17">
    <tableColumn id="1" xr3:uid="{00000000-0010-0000-0000-000001000000}" name="No" dataDxfId="39"/>
    <tableColumn id="2" xr3:uid="{00000000-0010-0000-0000-000002000000}" name="Vehicle No" dataDxfId="38" dataCellStyle="Hyperlink"/>
    <tableColumn id="3" xr3:uid="{00000000-0010-0000-0000-000003000000}" name="Type" dataDxfId="37"/>
    <tableColumn id="4" xr3:uid="{00000000-0010-0000-0000-000004000000}" name="actual days/machine hours" dataDxfId="36"/>
    <tableColumn id="11" xr3:uid="{00000000-0010-0000-0000-00000B000000}" name="Days/machine hours consider for costing" dataDxfId="35"/>
    <tableColumn id="5" xr3:uid="{00000000-0010-0000-0000-000005000000}" name="Distance (Km)" dataDxfId="34"/>
    <tableColumn id="6" xr3:uid="{00000000-0010-0000-0000-000006000000}" name="Fuel" dataDxfId="33"/>
    <tableColumn id="15" xr3:uid="{FE391CDE-152A-4958-8A8D-5699A7DC688F}" name="rate" dataDxfId="32"/>
    <tableColumn id="17" xr3:uid="{2B9622A3-10E2-42C0-9801-95826755D18A}" name="Rate Unit" dataDxfId="0"/>
    <tableColumn id="16" xr3:uid="{A803AC51-B82C-4777-A183-71C56163FD34}" name="Actual Work Done" dataDxfId="31"/>
    <tableColumn id="7" xr3:uid="{00000000-0010-0000-0000-000007000000}" name="Consumption" dataDxfId="30"/>
    <tableColumn id="8" xr3:uid="{00000000-0010-0000-0000-000008000000}" name="RATE HOUR /DAY" dataDxfId="29"/>
    <tableColumn id="14" xr3:uid="{00000000-0010-0000-0000-00000E000000}" name="Amount without Idling" dataDxfId="28"/>
    <tableColumn id="9" xr3:uid="{00000000-0010-0000-0000-000009000000}" name="Amount with Idling" dataDxfId="27"/>
    <tableColumn id="10" xr3:uid="{00000000-0010-0000-0000-00000A000000}" name="Owner" dataDxfId="26"/>
    <tableColumn id="12" xr3:uid="{00000000-0010-0000-0000-00000C000000}" name="Package" dataDxfId="25"/>
    <tableColumn id="13" xr3:uid="{00000000-0010-0000-0000-00000D000000}" name="Remarks" dataDxfId="2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43" displayName="Table443" ref="A3:O12" totalsRowShown="0" headerRowDxfId="23" dataDxfId="21" headerRowBorderDxfId="22" tableBorderDxfId="20">
  <autoFilter ref="A3:O12" xr:uid="{00000000-0009-0000-0100-000002000000}"/>
  <sortState xmlns:xlrd2="http://schemas.microsoft.com/office/spreadsheetml/2017/richdata2" ref="A4:N70">
    <sortCondition sortBy="fontColor" ref="M3:M70" dxfId="19"/>
  </sortState>
  <tableColumns count="15">
    <tableColumn id="1" xr3:uid="{00000000-0010-0000-0100-000001000000}" name="No" dataDxfId="18"/>
    <tableColumn id="2" xr3:uid="{00000000-0010-0000-0100-000002000000}" name="Vehicle No" dataDxfId="17" dataCellStyle="Hyperlink"/>
    <tableColumn id="3" xr3:uid="{00000000-0010-0000-0100-000003000000}" name="Type" dataDxfId="16"/>
    <tableColumn id="4" xr3:uid="{00000000-0010-0000-0100-000004000000}" name="actual days/machine hours" dataDxfId="15"/>
    <tableColumn id="11" xr3:uid="{00000000-0010-0000-0100-00000B000000}" name="Days/machine hours consider for costing" dataDxfId="14"/>
    <tableColumn id="15" xr3:uid="{9E3A564C-D3EE-4219-9596-D67FEBD7EF71}" name="Cons Econ" dataDxfId="2"/>
    <tableColumn id="14" xr3:uid="{15CA38C3-CCC6-4458-86AD-8CA8A5D62846}" name="Fuel Rate Unit" dataDxfId="4"/>
    <tableColumn id="5" xr3:uid="{00000000-0010-0000-0100-000005000000}" name="Distance" dataDxfId="13"/>
    <tableColumn id="6" xr3:uid="{00000000-0010-0000-0100-000006000000}" name="Fuel" dataDxfId="12"/>
    <tableColumn id="7" xr3:uid="{00000000-0010-0000-0100-000007000000}" name="Actual Work Done" dataDxfId="11"/>
    <tableColumn id="8" xr3:uid="{00000000-0010-0000-0100-000008000000}" name="RATE HOUR /DAY" dataDxfId="10"/>
    <tableColumn id="13" xr3:uid="{00000000-0010-0000-0100-00000D000000}" name="Actual amount" dataDxfId="9">
      <calculatedColumnFormula>Table443[[#This Row],[RATE HOUR /DAY]]*Table443[[#This Row],[actual days/machine hours]]</calculatedColumnFormula>
    </tableColumn>
    <tableColumn id="9" xr3:uid="{00000000-0010-0000-0100-000009000000}" name="Amount (idling included)" dataDxfId="8">
      <calculatedColumnFormula>Table443[[#This Row],[RATE HOUR /DAY]]*Table443[[#This Row],[Days/machine hours consider for costing]]</calculatedColumnFormula>
    </tableColumn>
    <tableColumn id="10" xr3:uid="{00000000-0010-0000-0100-00000A000000}" name="Owner" dataDxfId="7"/>
    <tableColumn id="12" xr3:uid="{00000000-0010-0000-0100-00000C000000}" name="Remarks" dataDxfId="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2CB0A8-756E-47FD-8027-E6187D7DA419}" name="Table4434" displayName="Table4434" ref="A3:P27" totalsRowShown="0" headerRowDxfId="65" dataDxfId="63" headerRowBorderDxfId="64" tableBorderDxfId="62">
  <autoFilter ref="A3:P27" xr:uid="{A02CB0A8-756E-47FD-8027-E6187D7DA419}"/>
  <sortState xmlns:xlrd2="http://schemas.microsoft.com/office/spreadsheetml/2017/richdata2" ref="A4:O66">
    <sortCondition sortBy="fontColor" ref="M3:M66" dxfId="61"/>
  </sortState>
  <tableColumns count="16">
    <tableColumn id="1" xr3:uid="{9DBA1656-DF10-4DC1-BC12-B200B5EAAA29}" name="No" dataDxfId="60"/>
    <tableColumn id="2" xr3:uid="{1D7BC003-69E1-415B-92CD-DB4844731CB1}" name="Vehicle No" dataDxfId="59" dataCellStyle="Hyperlink"/>
    <tableColumn id="3" xr3:uid="{E49544C6-9685-4A45-B4CF-A953209B5026}" name="58" dataDxfId="58"/>
    <tableColumn id="11" xr3:uid="{52F523C3-166C-4922-88F9-7433F1669ABF}" name="Actual working days/machine hours " dataDxfId="57"/>
    <tableColumn id="4" xr3:uid="{2D7D2C19-6AA2-45A0-8009-F279D8D673AF}" name="Days/hours consider for costing" dataDxfId="56"/>
    <tableColumn id="5" xr3:uid="{D2318695-6E7F-471F-B7B5-85D4D2C7AE46}" name="6" dataDxfId="55"/>
    <tableColumn id="6" xr3:uid="{9F83B3E9-283A-45A9-BEE3-DBE8FCC8074A}" name="Fuel" dataDxfId="54"/>
    <tableColumn id="14" xr3:uid="{27F6873B-9878-4ABD-81D3-E854DF675F96}" name="Actual Consumption Rate" dataDxfId="53">
      <calculatedColumnFormula>IFERROR(_xlfn.XLOOKUP(B4,[20]Sheet1!$C:$C,[20]Sheet1!$K:$K,_xlfn.XLOOKUP(B4,[20]Sheet1!$B:$B,[20]Sheet1!$K:$K,"")),"")</calculatedColumnFormula>
    </tableColumn>
    <tableColumn id="15" xr3:uid="{0552C567-B1CD-4774-B64E-4FEB589CEB44}" name="Column2" dataDxfId="52">
      <calculatedColumnFormula>IFERROR(_xlfn.XLOOKUP(B4,[20]Sheet1!$C:$C,[20]Sheet1!$J:$J,_xlfn.XLOOKUP(B4,[20]Sheet1!$B:$B,[20]Sheet1!$J:$J,"")),"")</calculatedColumnFormula>
    </tableColumn>
    <tableColumn id="16" xr3:uid="{301F3E0D-6581-44B6-B539-3DE0CEEEA914}" name="Actual Consumption" dataDxfId="51">
      <calculatedColumnFormula>IF(OR(H4="",H4=0),"",IF(ISNUMBER(SEARCH("hr",I4)),G4/H4,H4*G4))</calculatedColumnFormula>
    </tableColumn>
    <tableColumn id="7" xr3:uid="{D831C279-AAF0-441B-B824-5606478C2B6F}" name="Consumption" dataDxfId="50"/>
    <tableColumn id="8" xr3:uid="{267F51E1-B481-42DC-905A-7BB7A8572B83}" name="RATE HOUR /DAY" dataDxfId="49"/>
    <tableColumn id="9" xr3:uid="{B9C1ADE6-A179-46A2-9B43-7042E442313C}" name="Total Amount with idling" dataDxfId="48"/>
    <tableColumn id="13" xr3:uid="{7807EAA9-BB0B-4235-8628-105A4C31E8A5}" name="Total amount without idling " dataDxfId="47">
      <calculatedColumnFormula>Table4434[[#This Row],[Actual working days/machine hours ]]*Table4434[[#This Row],[RATE HOUR /DAY]]</calculatedColumnFormula>
    </tableColumn>
    <tableColumn id="10" xr3:uid="{467F0167-BE2E-4250-ADE2-89FB2652A36D}" name="Owner" dataDxfId="46"/>
    <tableColumn id="12" xr3:uid="{44F6B410-8CFF-41D4-A634-FC99023BA46C}" name="Remarks" dataDxfId="45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EF6F6E-8E0D-4BCA-9DA2-DFE7A32E78A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9dd905f-1d31-47ed-91e0-11a0f26a436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zoomScale="92" zoomScaleNormal="92" workbookViewId="0">
      <pane ySplit="3" topLeftCell="A4" activePane="bottomLeft" state="frozen"/>
      <selection pane="bottomLeft" activeCell="J4" sqref="J4"/>
    </sheetView>
  </sheetViews>
  <sheetFormatPr defaultRowHeight="14.4" x14ac:dyDescent="0.3"/>
  <cols>
    <col min="1" max="1" width="9" bestFit="1" customWidth="1"/>
    <col min="2" max="2" width="16.6640625" customWidth="1"/>
    <col min="3" max="3" width="16" hidden="1" customWidth="1"/>
    <col min="4" max="4" width="17.6640625" hidden="1" customWidth="1"/>
    <col min="5" max="5" width="16.5546875" hidden="1" customWidth="1"/>
    <col min="6" max="6" width="15.33203125" hidden="1" customWidth="1"/>
    <col min="7" max="7" width="11.109375" bestFit="1" customWidth="1"/>
    <col min="8" max="10" width="11.109375" customWidth="1"/>
    <col min="11" max="11" width="21.6640625" style="2" customWidth="1"/>
    <col min="12" max="13" width="25" style="1" customWidth="1"/>
    <col min="14" max="14" width="21.5546875" style="1" customWidth="1"/>
    <col min="15" max="15" width="10.5546875" bestFit="1" customWidth="1"/>
    <col min="16" max="16" width="17.6640625" customWidth="1"/>
    <col min="17" max="17" width="15.5546875" customWidth="1"/>
  </cols>
  <sheetData>
    <row r="1" spans="1:17" ht="18" x14ac:dyDescent="0.35">
      <c r="A1" s="107" t="s">
        <v>72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7" x14ac:dyDescent="0.3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spans="1:17" ht="27.6" customHeight="1" x14ac:dyDescent="0.3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29</v>
      </c>
      <c r="G3" s="12" t="s">
        <v>10</v>
      </c>
      <c r="H3" s="12" t="s">
        <v>1159</v>
      </c>
      <c r="I3" s="118" t="s">
        <v>106</v>
      </c>
      <c r="J3" s="118" t="s">
        <v>1160</v>
      </c>
      <c r="K3" s="14" t="s">
        <v>9</v>
      </c>
      <c r="L3" s="15" t="s">
        <v>8</v>
      </c>
      <c r="M3" s="15" t="s">
        <v>46</v>
      </c>
      <c r="N3" s="16" t="s">
        <v>45</v>
      </c>
      <c r="O3" s="17" t="s">
        <v>7</v>
      </c>
      <c r="P3" s="32" t="s">
        <v>25</v>
      </c>
      <c r="Q3" s="32" t="s">
        <v>18</v>
      </c>
    </row>
    <row r="4" spans="1:17" ht="15.6" x14ac:dyDescent="0.3">
      <c r="A4" s="44">
        <v>1</v>
      </c>
      <c r="B4" s="18" t="s">
        <v>51</v>
      </c>
      <c r="C4" s="19" t="s">
        <v>19</v>
      </c>
      <c r="D4" s="20"/>
      <c r="E4" s="20"/>
      <c r="F4" s="23"/>
      <c r="G4" s="23"/>
      <c r="H4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5</v>
      </c>
      <c r="I4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4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4" s="20" t="e">
        <f>Table44[[#This Row],[Distance (Km)]]/Table44[[#This Row],[Fuel]]</f>
        <v>#DIV/0!</v>
      </c>
      <c r="L4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2808.25</v>
      </c>
      <c r="M4" s="42">
        <f>Table44[[#This Row],[RATE HOUR /DAY]]*Table44[[#This Row],[actual days/machine hours]]</f>
        <v>0</v>
      </c>
      <c r="N4" s="26">
        <f>Table44[[#This Row],[RATE HOUR /DAY]]*Table44[[#This Row],[Days/machine hours consider for costing]]</f>
        <v>0</v>
      </c>
      <c r="O4" s="22" t="s">
        <v>0</v>
      </c>
      <c r="P4" s="19"/>
      <c r="Q4" s="19"/>
    </row>
    <row r="5" spans="1:17" ht="15.6" x14ac:dyDescent="0.3">
      <c r="A5" s="44">
        <v>2</v>
      </c>
      <c r="B5" s="18" t="s">
        <v>52</v>
      </c>
      <c r="C5" s="47" t="s">
        <v>53</v>
      </c>
      <c r="D5" s="48">
        <v>24</v>
      </c>
      <c r="E5" s="48">
        <v>24</v>
      </c>
      <c r="F5" s="50"/>
      <c r="G5" s="50">
        <v>460</v>
      </c>
      <c r="H5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6.4</v>
      </c>
      <c r="I5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5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2944</v>
      </c>
      <c r="K5" s="48"/>
      <c r="L5" s="52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81.484062499999979</v>
      </c>
      <c r="M5" s="29">
        <f>Table44[[#This Row],[RATE HOUR /DAY]]*Table44[[#This Row],[actual days/machine hours]]</f>
        <v>1955.6174999999994</v>
      </c>
      <c r="N5" s="21">
        <f>Table44[[#This Row],[RATE HOUR /DAY]]*Table44[[#This Row],[Days/machine hours consider for costing]]</f>
        <v>1955.6174999999994</v>
      </c>
      <c r="O5" s="22" t="s">
        <v>0</v>
      </c>
      <c r="P5" s="47"/>
      <c r="Q5" s="47"/>
    </row>
    <row r="6" spans="1:17" ht="15.6" x14ac:dyDescent="0.3">
      <c r="A6" s="44">
        <v>3</v>
      </c>
      <c r="B6" s="18" t="s">
        <v>68</v>
      </c>
      <c r="C6" s="19" t="s">
        <v>6</v>
      </c>
      <c r="D6" s="34">
        <v>21</v>
      </c>
      <c r="E6" s="34">
        <v>21</v>
      </c>
      <c r="F6" s="33">
        <v>2356</v>
      </c>
      <c r="G6" s="33">
        <v>869</v>
      </c>
      <c r="H6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6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6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3302.2</v>
      </c>
      <c r="K6" s="20">
        <f>F6/G6</f>
        <v>2.7111622554660531</v>
      </c>
      <c r="L6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130.19210526315788</v>
      </c>
      <c r="M6" s="29">
        <f>Table44[[#This Row],[RATE HOUR /DAY]]*Table44[[#This Row],[actual days/machine hours]]</f>
        <v>2734.0342105263157</v>
      </c>
      <c r="N6" s="21">
        <f>Table44[[#This Row],[RATE HOUR /DAY]]*Table44[[#This Row],[Days/machine hours consider for costing]]</f>
        <v>2734.0342105263157</v>
      </c>
      <c r="O6" s="22" t="s">
        <v>0</v>
      </c>
      <c r="P6" s="35"/>
      <c r="Q6" s="28"/>
    </row>
    <row r="7" spans="1:17" ht="15.6" x14ac:dyDescent="0.3">
      <c r="A7" s="44">
        <v>4</v>
      </c>
      <c r="B7" s="18" t="s">
        <v>70</v>
      </c>
      <c r="C7" s="19" t="s">
        <v>6</v>
      </c>
      <c r="D7" s="34">
        <v>19</v>
      </c>
      <c r="E7" s="34">
        <v>19</v>
      </c>
      <c r="F7" s="33">
        <v>1807</v>
      </c>
      <c r="G7" s="33">
        <v>710</v>
      </c>
      <c r="H7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7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7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2698</v>
      </c>
      <c r="K7" s="20">
        <f t="shared" ref="K7:K14" si="0">F7/G7</f>
        <v>2.5450704225352112</v>
      </c>
      <c r="L7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130.19210526315788</v>
      </c>
      <c r="M7" s="29">
        <f>Table44[[#This Row],[RATE HOUR /DAY]]*Table44[[#This Row],[actual days/machine hours]]</f>
        <v>2473.6499999999996</v>
      </c>
      <c r="N7" s="21">
        <f>Table44[[#This Row],[RATE HOUR /DAY]]*Table44[[#This Row],[Days/machine hours consider for costing]]</f>
        <v>2473.6499999999996</v>
      </c>
      <c r="O7" s="22" t="s">
        <v>0</v>
      </c>
      <c r="P7" s="35"/>
      <c r="Q7" s="28"/>
    </row>
    <row r="8" spans="1:17" ht="15.6" x14ac:dyDescent="0.3">
      <c r="A8" s="44">
        <v>5</v>
      </c>
      <c r="B8" s="18" t="s">
        <v>76</v>
      </c>
      <c r="C8" s="19" t="s">
        <v>6</v>
      </c>
      <c r="D8" s="34">
        <v>8</v>
      </c>
      <c r="E8" s="34">
        <v>8</v>
      </c>
      <c r="F8" s="33"/>
      <c r="G8" s="33">
        <v>210</v>
      </c>
      <c r="H8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8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8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798</v>
      </c>
      <c r="K8" s="20">
        <f t="shared" si="0"/>
        <v>0</v>
      </c>
      <c r="L8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134.59473684210528</v>
      </c>
      <c r="M8" s="29">
        <f>Table44[[#This Row],[RATE HOUR /DAY]]*Table44[[#This Row],[actual days/machine hours]]</f>
        <v>1076.7578947368422</v>
      </c>
      <c r="N8" s="21">
        <f>Table44[[#This Row],[RATE HOUR /DAY]]*Table44[[#This Row],[Days/machine hours consider for costing]]</f>
        <v>1076.7578947368422</v>
      </c>
      <c r="O8" s="22" t="s">
        <v>0</v>
      </c>
      <c r="P8" s="35"/>
      <c r="Q8" s="28"/>
    </row>
    <row r="9" spans="1:17" ht="15.6" x14ac:dyDescent="0.3">
      <c r="A9" s="44">
        <v>6</v>
      </c>
      <c r="B9" s="18" t="s">
        <v>58</v>
      </c>
      <c r="C9" s="19" t="s">
        <v>6</v>
      </c>
      <c r="D9" s="34"/>
      <c r="E9" s="34"/>
      <c r="F9" s="33"/>
      <c r="G9" s="33"/>
      <c r="H9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9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9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9" s="20" t="e">
        <f t="shared" si="0"/>
        <v>#DIV/0!</v>
      </c>
      <c r="L9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134.59473684210528</v>
      </c>
      <c r="M9" s="29">
        <f>Table44[[#This Row],[RATE HOUR /DAY]]*Table44[[#This Row],[actual days/machine hours]]</f>
        <v>0</v>
      </c>
      <c r="N9" s="21">
        <f>Table44[[#This Row],[RATE HOUR /DAY]]*Table44[[#This Row],[Days/machine hours consider for costing]]</f>
        <v>0</v>
      </c>
      <c r="O9" s="22" t="s">
        <v>0</v>
      </c>
      <c r="P9" s="28"/>
      <c r="Q9" s="28"/>
    </row>
    <row r="10" spans="1:17" ht="15.6" x14ac:dyDescent="0.3">
      <c r="A10" s="44">
        <v>7</v>
      </c>
      <c r="B10" s="18" t="s">
        <v>77</v>
      </c>
      <c r="C10" s="19" t="s">
        <v>6</v>
      </c>
      <c r="D10" s="34">
        <v>5</v>
      </c>
      <c r="E10" s="34">
        <v>5</v>
      </c>
      <c r="F10" s="33"/>
      <c r="G10" s="33">
        <v>50</v>
      </c>
      <c r="H10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10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10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190</v>
      </c>
      <c r="K10" s="20">
        <f t="shared" si="0"/>
        <v>0</v>
      </c>
      <c r="L10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134.59473684210528</v>
      </c>
      <c r="M10" s="29">
        <f>Table44[[#This Row],[RATE HOUR /DAY]]*Table44[[#This Row],[actual days/machine hours]]</f>
        <v>672.97368421052636</v>
      </c>
      <c r="N10" s="21">
        <f>Table44[[#This Row],[RATE HOUR /DAY]]*Table44[[#This Row],[Days/machine hours consider for costing]]</f>
        <v>672.97368421052636</v>
      </c>
      <c r="O10" s="22" t="s">
        <v>0</v>
      </c>
      <c r="P10" s="35"/>
      <c r="Q10" s="28"/>
    </row>
    <row r="11" spans="1:17" ht="15.6" x14ac:dyDescent="0.3">
      <c r="A11" s="44">
        <v>8</v>
      </c>
      <c r="B11" s="18" t="s">
        <v>55</v>
      </c>
      <c r="C11" s="19" t="s">
        <v>6</v>
      </c>
      <c r="D11" s="48">
        <v>23</v>
      </c>
      <c r="E11" s="48">
        <v>23</v>
      </c>
      <c r="F11" s="50"/>
      <c r="G11" s="50">
        <v>605</v>
      </c>
      <c r="H11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11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11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2299</v>
      </c>
      <c r="K11" s="20">
        <f t="shared" si="0"/>
        <v>0</v>
      </c>
      <c r="L11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134.59473684210528</v>
      </c>
      <c r="M11" s="29">
        <f>Table44[[#This Row],[RATE HOUR /DAY]]*Table44[[#This Row],[actual days/machine hours]]</f>
        <v>3095.6789473684212</v>
      </c>
      <c r="N11" s="21">
        <f>Table44[[#This Row],[RATE HOUR /DAY]]*Table44[[#This Row],[Days/machine hours consider for costing]]</f>
        <v>3095.6789473684212</v>
      </c>
      <c r="O11" s="22" t="s">
        <v>0</v>
      </c>
      <c r="P11" s="47"/>
      <c r="Q11" s="47"/>
    </row>
    <row r="12" spans="1:17" ht="15.6" x14ac:dyDescent="0.3">
      <c r="A12" s="44">
        <v>9</v>
      </c>
      <c r="B12" s="18" t="s">
        <v>30</v>
      </c>
      <c r="C12" s="19" t="s">
        <v>6</v>
      </c>
      <c r="D12" s="34">
        <v>26</v>
      </c>
      <c r="E12" s="34">
        <v>26</v>
      </c>
      <c r="F12" s="33"/>
      <c r="G12" s="33">
        <v>810</v>
      </c>
      <c r="H12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12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12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3078</v>
      </c>
      <c r="K12" s="20">
        <f t="shared" si="0"/>
        <v>0</v>
      </c>
      <c r="L12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132.83368421052634</v>
      </c>
      <c r="M12" s="29">
        <f>Table44[[#This Row],[RATE HOUR /DAY]]*Table44[[#This Row],[actual days/machine hours]]</f>
        <v>3453.6757894736847</v>
      </c>
      <c r="N12" s="21">
        <f>Table44[[#This Row],[RATE HOUR /DAY]]*Table44[[#This Row],[Days/machine hours consider for costing]]</f>
        <v>3453.6757894736847</v>
      </c>
      <c r="O12" s="22" t="s">
        <v>0</v>
      </c>
      <c r="P12" s="35"/>
      <c r="Q12" s="28"/>
    </row>
    <row r="13" spans="1:17" ht="15.6" x14ac:dyDescent="0.3">
      <c r="A13" s="44">
        <v>10</v>
      </c>
      <c r="B13" s="18" t="s">
        <v>71</v>
      </c>
      <c r="C13" s="19" t="s">
        <v>6</v>
      </c>
      <c r="D13" s="66"/>
      <c r="E13" s="66"/>
      <c r="F13" s="67"/>
      <c r="G13" s="67"/>
      <c r="H13" s="50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3.8</v>
      </c>
      <c r="I13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13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13" s="66"/>
      <c r="L13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132.83368421052634</v>
      </c>
      <c r="M13" s="29">
        <f>Table44[[#This Row],[RATE HOUR /DAY]]*Table44[[#This Row],[actual days/machine hours]]</f>
        <v>0</v>
      </c>
      <c r="N13" s="21">
        <f>Table44[[#This Row],[RATE HOUR /DAY]]*Table44[[#This Row],[Days/machine hours consider for costing]]</f>
        <v>0</v>
      </c>
      <c r="O13" s="69"/>
      <c r="P13" s="65"/>
      <c r="Q13" s="65"/>
    </row>
    <row r="14" spans="1:17" ht="15.6" x14ac:dyDescent="0.3">
      <c r="A14" s="44">
        <v>11</v>
      </c>
      <c r="B14" s="18" t="s">
        <v>20</v>
      </c>
      <c r="C14" s="28" t="s">
        <v>21</v>
      </c>
      <c r="D14" s="34">
        <v>20</v>
      </c>
      <c r="E14" s="34">
        <v>20</v>
      </c>
      <c r="F14" s="33">
        <v>2041</v>
      </c>
      <c r="G14" s="33">
        <v>830</v>
      </c>
      <c r="H14" s="3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7.2</v>
      </c>
      <c r="I14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14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115.27777777777777</v>
      </c>
      <c r="K14" s="20">
        <f t="shared" si="0"/>
        <v>2.4590361445783131</v>
      </c>
      <c r="L14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3947.5151999999998</v>
      </c>
      <c r="M14" s="29">
        <f>Table44[[#This Row],[RATE HOUR /DAY]]*Table44[[#This Row],[actual days/machine hours]]</f>
        <v>78950.304000000004</v>
      </c>
      <c r="N14" s="21">
        <f>Table44[[#This Row],[RATE HOUR /DAY]]*Table44[[#This Row],[Days/machine hours consider for costing]]</f>
        <v>78950.304000000004</v>
      </c>
      <c r="O14" s="22" t="s">
        <v>0</v>
      </c>
      <c r="P14" s="35"/>
      <c r="Q14" s="28"/>
    </row>
    <row r="15" spans="1:17" ht="15.6" x14ac:dyDescent="0.3">
      <c r="A15" s="44">
        <v>12</v>
      </c>
      <c r="B15" s="18" t="s">
        <v>31</v>
      </c>
      <c r="C15" s="28" t="s">
        <v>32</v>
      </c>
      <c r="D15" s="34">
        <v>95.8</v>
      </c>
      <c r="E15" s="34">
        <v>95.8</v>
      </c>
      <c r="F15" s="33"/>
      <c r="G15" s="33">
        <v>1145</v>
      </c>
      <c r="H15" s="3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11.5</v>
      </c>
      <c r="I15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15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99.565217391304344</v>
      </c>
      <c r="K15" s="20">
        <f>Table44[[#This Row],[Fuel]]/Table44[[#This Row],[actual days/machine hours]]</f>
        <v>11.951983298538622</v>
      </c>
      <c r="L15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5997.2269999999999</v>
      </c>
      <c r="M15" s="29">
        <f>Table44[[#This Row],[RATE HOUR /DAY]]*Table44[[#This Row],[actual days/machine hours]]</f>
        <v>574534.34659999993</v>
      </c>
      <c r="N15" s="21">
        <f>Table44[[#This Row],[RATE HOUR /DAY]]*Table44[[#This Row],[Days/machine hours consider for costing]]</f>
        <v>574534.34659999993</v>
      </c>
      <c r="O15" s="22" t="s">
        <v>0</v>
      </c>
      <c r="P15" s="28"/>
      <c r="Q15" s="28"/>
    </row>
    <row r="16" spans="1:17" ht="15.6" x14ac:dyDescent="0.3">
      <c r="A16" s="44">
        <v>13</v>
      </c>
      <c r="B16" s="18" t="s">
        <v>43</v>
      </c>
      <c r="C16" s="19" t="s">
        <v>57</v>
      </c>
      <c r="D16" s="20">
        <v>126.9</v>
      </c>
      <c r="E16" s="20">
        <v>126.9</v>
      </c>
      <c r="F16" s="23"/>
      <c r="G16" s="23">
        <v>855</v>
      </c>
      <c r="H16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7.2</v>
      </c>
      <c r="I16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16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118.75</v>
      </c>
      <c r="K16" s="20">
        <f>Table44[[#This Row],[Fuel]]/Table44[[#This Row],[actual days/machine hours]]</f>
        <v>6.7375886524822688</v>
      </c>
      <c r="L16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3851.1504000000004</v>
      </c>
      <c r="M16" s="29">
        <f>Table44[[#This Row],[RATE HOUR /DAY]]*Table44[[#This Row],[actual days/machine hours]]</f>
        <v>488710.98576000007</v>
      </c>
      <c r="N16" s="21">
        <f>Table44[[#This Row],[RATE HOUR /DAY]]*Table44[[#This Row],[Days/machine hours consider for costing]]</f>
        <v>488710.98576000007</v>
      </c>
      <c r="O16" s="22" t="s">
        <v>0</v>
      </c>
      <c r="P16" s="35"/>
      <c r="Q16" s="28"/>
    </row>
    <row r="17" spans="1:17" ht="15.6" x14ac:dyDescent="0.3">
      <c r="A17" s="44"/>
      <c r="B17" s="18" t="s">
        <v>73</v>
      </c>
      <c r="C17" s="19" t="s">
        <v>74</v>
      </c>
      <c r="D17" s="20">
        <v>43.9</v>
      </c>
      <c r="E17" s="20">
        <v>43.9</v>
      </c>
      <c r="F17" s="23"/>
      <c r="G17" s="23">
        <v>570</v>
      </c>
      <c r="H17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11.5</v>
      </c>
      <c r="I17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17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49.565217391304351</v>
      </c>
      <c r="K17" s="20">
        <f>Table44[[#This Row],[Fuel]]/Table44[[#This Row],[actual days/machine hours]]</f>
        <v>12.984054669703873</v>
      </c>
      <c r="L17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5689.3949999999995</v>
      </c>
      <c r="M17" s="29">
        <f>Table44[[#This Row],[RATE HOUR /DAY]]*Table44[[#This Row],[actual days/machine hours]]</f>
        <v>249764.44049999997</v>
      </c>
      <c r="N17" s="21">
        <f>Table44[[#This Row],[RATE HOUR /DAY]]*Table44[[#This Row],[Days/machine hours consider for costing]]</f>
        <v>249764.44049999997</v>
      </c>
      <c r="O17" s="22"/>
      <c r="P17" s="19"/>
      <c r="Q17" s="19"/>
    </row>
    <row r="18" spans="1:17" ht="15.6" x14ac:dyDescent="0.3">
      <c r="A18" s="44">
        <v>14</v>
      </c>
      <c r="B18" s="54" t="s">
        <v>49</v>
      </c>
      <c r="C18" s="56" t="s">
        <v>2</v>
      </c>
      <c r="D18" s="55">
        <v>23</v>
      </c>
      <c r="E18" s="34">
        <v>23</v>
      </c>
      <c r="F18" s="33"/>
      <c r="G18" s="33">
        <v>616</v>
      </c>
      <c r="H18" s="3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12.8</v>
      </c>
      <c r="I18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18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7884.8</v>
      </c>
      <c r="K18" s="20">
        <f t="shared" ref="K18" si="1">F18/G18</f>
        <v>0</v>
      </c>
      <c r="L18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37.34375</v>
      </c>
      <c r="M18" s="29">
        <f>Table44[[#This Row],[RATE HOUR /DAY]]*Table44[[#This Row],[actual days/machine hours]]</f>
        <v>858.90625</v>
      </c>
      <c r="N18" s="21">
        <f>Table44[[#This Row],[RATE HOUR /DAY]]*Table44[[#This Row],[Days/machine hours consider for costing]]</f>
        <v>858.90625</v>
      </c>
      <c r="O18" s="22" t="s">
        <v>0</v>
      </c>
      <c r="P18" s="35"/>
      <c r="Q18" s="28"/>
    </row>
    <row r="19" spans="1:17" ht="15.6" x14ac:dyDescent="0.3">
      <c r="A19" s="44"/>
      <c r="B19" s="18" t="s">
        <v>75</v>
      </c>
      <c r="C19" s="19" t="s">
        <v>22</v>
      </c>
      <c r="D19" s="20">
        <v>8</v>
      </c>
      <c r="E19" s="20">
        <v>8</v>
      </c>
      <c r="F19" s="23">
        <v>859</v>
      </c>
      <c r="G19" s="23">
        <v>114</v>
      </c>
      <c r="H19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14.1</v>
      </c>
      <c r="I19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19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1607.3999999999999</v>
      </c>
      <c r="K19" s="20"/>
      <c r="L19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35.561843971631205</v>
      </c>
      <c r="M19" s="29">
        <f>Table44[[#This Row],[RATE HOUR /DAY]]*Table44[[#This Row],[actual days/machine hours]]</f>
        <v>284.49475177304964</v>
      </c>
      <c r="N19" s="21">
        <f>Table44[[#This Row],[RATE HOUR /DAY]]*Table44[[#This Row],[Days/machine hours consider for costing]]</f>
        <v>284.49475177304964</v>
      </c>
      <c r="O19" s="22"/>
      <c r="P19" s="19"/>
      <c r="Q19" s="19"/>
    </row>
    <row r="20" spans="1:17" ht="15.6" x14ac:dyDescent="0.3">
      <c r="A20" s="44">
        <v>15</v>
      </c>
      <c r="B20" s="18" t="s">
        <v>64</v>
      </c>
      <c r="C20" s="19" t="s">
        <v>22</v>
      </c>
      <c r="D20" s="20">
        <v>10</v>
      </c>
      <c r="E20" s="20">
        <v>10</v>
      </c>
      <c r="F20" s="23"/>
      <c r="G20" s="23">
        <v>144</v>
      </c>
      <c r="H20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14.1</v>
      </c>
      <c r="I20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20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2030.3999999999999</v>
      </c>
      <c r="K20" s="20"/>
      <c r="L20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37.22297872340426</v>
      </c>
      <c r="M20" s="29">
        <f>Table44[[#This Row],[RATE HOUR /DAY]]*Table44[[#This Row],[actual days/machine hours]]</f>
        <v>372.22978723404259</v>
      </c>
      <c r="N20" s="21">
        <f>Table44[[#This Row],[RATE HOUR /DAY]]*Table44[[#This Row],[Days/machine hours consider for costing]]</f>
        <v>372.22978723404259</v>
      </c>
      <c r="O20" s="22"/>
      <c r="P20" s="19"/>
      <c r="Q20" s="19"/>
    </row>
    <row r="21" spans="1:17" ht="15.6" x14ac:dyDescent="0.3">
      <c r="A21" s="44">
        <v>16</v>
      </c>
      <c r="B21" s="18" t="s">
        <v>28</v>
      </c>
      <c r="C21" s="19" t="s">
        <v>3</v>
      </c>
      <c r="D21" s="20"/>
      <c r="E21" s="20"/>
      <c r="F21" s="23"/>
      <c r="G21" s="23"/>
      <c r="H21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12.8</v>
      </c>
      <c r="I21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21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21" s="20" t="e">
        <f>F21/G21</f>
        <v>#DIV/0!</v>
      </c>
      <c r="L21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39.957812500000003</v>
      </c>
      <c r="M21" s="29">
        <f>Table44[[#This Row],[RATE HOUR /DAY]]*Table44[[#This Row],[actual days/machine hours]]</f>
        <v>0</v>
      </c>
      <c r="N21" s="21">
        <f>Table44[[#This Row],[RATE HOUR /DAY]]*Table44[[#This Row],[Days/machine hours consider for costing]]</f>
        <v>0</v>
      </c>
      <c r="O21" s="22" t="s">
        <v>0</v>
      </c>
      <c r="P21" s="35"/>
      <c r="Q21" s="28"/>
    </row>
    <row r="22" spans="1:17" ht="15.6" x14ac:dyDescent="0.3">
      <c r="A22" s="44">
        <v>17</v>
      </c>
      <c r="B22" s="18" t="s">
        <v>5</v>
      </c>
      <c r="C22" s="19" t="s">
        <v>3</v>
      </c>
      <c r="D22" s="20"/>
      <c r="E22" s="20"/>
      <c r="F22" s="23"/>
      <c r="G22" s="23"/>
      <c r="H22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12.8</v>
      </c>
      <c r="I22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22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22" s="20" t="e">
        <f>F22/G22</f>
        <v>#DIV/0!</v>
      </c>
      <c r="L22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43.878906249999993</v>
      </c>
      <c r="M22" s="29">
        <f>Table44[[#This Row],[RATE HOUR /DAY]]*Table44[[#This Row],[actual days/machine hours]]</f>
        <v>0</v>
      </c>
      <c r="N22" s="21">
        <f>Table44[[#This Row],[RATE HOUR /DAY]]*Table44[[#This Row],[Days/machine hours consider for costing]]</f>
        <v>0</v>
      </c>
      <c r="O22" s="22" t="s">
        <v>0</v>
      </c>
      <c r="P22" s="35"/>
      <c r="Q22" s="28"/>
    </row>
    <row r="23" spans="1:17" ht="15" customHeight="1" x14ac:dyDescent="0.3">
      <c r="A23" s="44">
        <v>18</v>
      </c>
      <c r="B23" s="18" t="s">
        <v>4</v>
      </c>
      <c r="C23" s="19" t="s">
        <v>2</v>
      </c>
      <c r="D23" s="20"/>
      <c r="E23" s="20"/>
      <c r="F23" s="23"/>
      <c r="G23" s="23"/>
      <c r="H23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12.8</v>
      </c>
      <c r="I23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km/L</v>
      </c>
      <c r="J23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23" s="20" t="e">
        <f>F23/G23</f>
        <v>#DIV/0!</v>
      </c>
      <c r="L23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41.26484374999999</v>
      </c>
      <c r="M23" s="29">
        <f>Table44[[#This Row],[RATE HOUR /DAY]]*Table44[[#This Row],[actual days/machine hours]]</f>
        <v>0</v>
      </c>
      <c r="N23" s="21">
        <f>Table44[[#This Row],[RATE HOUR /DAY]]*Table44[[#This Row],[Days/machine hours consider for costing]]</f>
        <v>0</v>
      </c>
      <c r="O23" s="22" t="s">
        <v>0</v>
      </c>
      <c r="P23" s="35"/>
      <c r="Q23" s="28"/>
    </row>
    <row r="24" spans="1:17" ht="15" customHeight="1" x14ac:dyDescent="0.3">
      <c r="A24" s="44">
        <v>19</v>
      </c>
      <c r="B24" s="54" t="s">
        <v>61</v>
      </c>
      <c r="C24" s="65" t="s">
        <v>62</v>
      </c>
      <c r="D24" s="66">
        <v>87.8</v>
      </c>
      <c r="E24" s="66">
        <v>87.8</v>
      </c>
      <c r="F24" s="67"/>
      <c r="G24" s="67">
        <v>830</v>
      </c>
      <c r="H24" s="67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13</v>
      </c>
      <c r="I24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24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63.846153846153847</v>
      </c>
      <c r="K24" s="20">
        <f>Table44[[#This Row],[Fuel]]/Table44[[#This Row],[actual days/machine hours]]</f>
        <v>9.453302961275627</v>
      </c>
      <c r="L24" s="68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6214</v>
      </c>
      <c r="M24" s="29">
        <f>Table44[[#This Row],[RATE HOUR /DAY]]*Table44[[#This Row],[actual days/machine hours]]</f>
        <v>545589.19999999995</v>
      </c>
      <c r="N24" s="21">
        <f>Table44[[#This Row],[RATE HOUR /DAY]]*Table44[[#This Row],[Days/machine hours consider for costing]]</f>
        <v>545589.19999999995</v>
      </c>
      <c r="O24" s="22" t="s">
        <v>0</v>
      </c>
      <c r="P24" s="65"/>
      <c r="Q24" s="65"/>
    </row>
    <row r="25" spans="1:17" ht="15" customHeight="1" x14ac:dyDescent="0.3">
      <c r="A25" s="44">
        <v>20</v>
      </c>
      <c r="B25" s="54" t="s">
        <v>69</v>
      </c>
      <c r="C25" s="65" t="s">
        <v>62</v>
      </c>
      <c r="D25" s="66">
        <v>16.5</v>
      </c>
      <c r="E25" s="66">
        <v>16.5</v>
      </c>
      <c r="F25" s="67"/>
      <c r="G25" s="67">
        <v>200</v>
      </c>
      <c r="H25" s="67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13</v>
      </c>
      <c r="I25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25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15.384615384615385</v>
      </c>
      <c r="K25" s="20">
        <f>Table44[[#This Row],[Fuel]]/Table44[[#This Row],[actual days/machine hours]]</f>
        <v>12.121212121212121</v>
      </c>
      <c r="L25" s="68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6431.4899999999989</v>
      </c>
      <c r="M25" s="29">
        <f>Table44[[#This Row],[RATE HOUR /DAY]]*Table44[[#This Row],[actual days/machine hours]]</f>
        <v>106119.58499999998</v>
      </c>
      <c r="N25" s="21">
        <f>Table44[[#This Row],[RATE HOUR /DAY]]*Table44[[#This Row],[Days/machine hours consider for costing]]</f>
        <v>106119.58499999998</v>
      </c>
      <c r="O25" s="69"/>
      <c r="P25" s="65"/>
      <c r="Q25" s="65"/>
    </row>
    <row r="26" spans="1:17" ht="15.6" x14ac:dyDescent="0.3">
      <c r="A26" s="44">
        <v>21</v>
      </c>
      <c r="B26" s="54" t="s">
        <v>65</v>
      </c>
      <c r="C26" s="19" t="s">
        <v>60</v>
      </c>
      <c r="D26" s="20"/>
      <c r="E26" s="20"/>
      <c r="F26" s="23"/>
      <c r="G26" s="23"/>
      <c r="H26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10.8</v>
      </c>
      <c r="I26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26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26" s="20" t="e">
        <f>Table44[[#This Row],[Fuel]]/Table44[[#This Row],[actual days/machine hours]]</f>
        <v>#DIV/0!</v>
      </c>
      <c r="L26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6065.8200000000006</v>
      </c>
      <c r="M26" s="29">
        <f>Table44[[#This Row],[RATE HOUR /DAY]]*Table44[[#This Row],[actual days/machine hours]]</f>
        <v>0</v>
      </c>
      <c r="N26" s="21">
        <f>Table44[[#This Row],[RATE HOUR /DAY]]*Table44[[#This Row],[Days/machine hours consider for costing]]</f>
        <v>0</v>
      </c>
      <c r="O26" s="22" t="s">
        <v>0</v>
      </c>
      <c r="P26" s="19"/>
      <c r="Q26" s="19"/>
    </row>
    <row r="27" spans="1:17" ht="15.6" x14ac:dyDescent="0.3">
      <c r="A27" s="44">
        <v>22</v>
      </c>
      <c r="B27" s="18" t="s">
        <v>59</v>
      </c>
      <c r="C27" s="65" t="s">
        <v>63</v>
      </c>
      <c r="D27" s="66"/>
      <c r="E27" s="66"/>
      <c r="F27" s="67"/>
      <c r="G27" s="67"/>
      <c r="H27" s="67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13</v>
      </c>
      <c r="I27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27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27" s="20" t="e">
        <f>Table44[[#This Row],[Fuel]]/Table44[[#This Row],[actual days/machine hours]]</f>
        <v>#DIV/0!</v>
      </c>
      <c r="L27" s="68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6996.963999999999</v>
      </c>
      <c r="M27" s="68"/>
      <c r="N27" s="68"/>
      <c r="O27" s="22" t="s">
        <v>0</v>
      </c>
      <c r="P27" s="65"/>
      <c r="Q27" s="65"/>
    </row>
    <row r="28" spans="1:17" ht="15.6" x14ac:dyDescent="0.3">
      <c r="A28" s="44">
        <v>23</v>
      </c>
      <c r="B28" s="18" t="s">
        <v>66</v>
      </c>
      <c r="C28" s="24" t="s">
        <v>67</v>
      </c>
      <c r="D28" s="20">
        <v>61.9</v>
      </c>
      <c r="E28" s="20">
        <v>61.9</v>
      </c>
      <c r="F28" s="23"/>
      <c r="G28" s="23">
        <v>630</v>
      </c>
      <c r="H28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4.3</v>
      </c>
      <c r="I28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28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146.51162790697674</v>
      </c>
      <c r="K28" s="20">
        <f>Table44[[#This Row],[Fuel]]/Table44[[#This Row],[actual days/machine hours]]</f>
        <v>10.177705977382876</v>
      </c>
      <c r="L28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2127.3389999999999</v>
      </c>
      <c r="M28" s="29">
        <f>Table44[[#This Row],[RATE HOUR /DAY]]*Table44[[#This Row],[actual days/machine hours]]</f>
        <v>131682.28409999999</v>
      </c>
      <c r="N28" s="21">
        <f>Table44[[#This Row],[RATE HOUR /DAY]]*Table44[[#This Row],[Days/machine hours consider for costing]]</f>
        <v>131682.28409999999</v>
      </c>
      <c r="O28" s="22"/>
      <c r="P28" s="19"/>
      <c r="Q28" s="19"/>
    </row>
    <row r="29" spans="1:17" ht="15.6" x14ac:dyDescent="0.3">
      <c r="A29" s="44">
        <v>24</v>
      </c>
      <c r="B29" s="18" t="s">
        <v>33</v>
      </c>
      <c r="C29" s="24" t="s">
        <v>17</v>
      </c>
      <c r="D29" s="34">
        <v>79</v>
      </c>
      <c r="E29" s="34">
        <v>79</v>
      </c>
      <c r="F29" s="33"/>
      <c r="G29" s="33">
        <v>425</v>
      </c>
      <c r="H29" s="3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7.2</v>
      </c>
      <c r="I29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29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59.027777777777779</v>
      </c>
      <c r="K29" s="20">
        <f>Table44[[#This Row],[Fuel]]/Table44[[#This Row],[actual days/machine hours]]</f>
        <v>5.3797468354430382</v>
      </c>
      <c r="L29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3441.6</v>
      </c>
      <c r="M29" s="29">
        <f>Table44[[#This Row],[RATE HOUR /DAY]]*Table44[[#This Row],[actual days/machine hours]]</f>
        <v>271886.39999999997</v>
      </c>
      <c r="N29" s="21">
        <f>Table44[[#This Row],[RATE HOUR /DAY]]*Table44[[#This Row],[Days/machine hours consider for costing]]</f>
        <v>271886.39999999997</v>
      </c>
      <c r="O29" s="22" t="s">
        <v>0</v>
      </c>
      <c r="P29" s="28"/>
      <c r="Q29" s="28"/>
    </row>
    <row r="30" spans="1:17" ht="15.6" x14ac:dyDescent="0.3">
      <c r="A30" s="44">
        <v>25</v>
      </c>
      <c r="B30" s="18" t="s">
        <v>34</v>
      </c>
      <c r="C30" s="19" t="s">
        <v>1</v>
      </c>
      <c r="D30" s="20">
        <v>131.9</v>
      </c>
      <c r="E30" s="20">
        <v>131.9</v>
      </c>
      <c r="F30" s="23"/>
      <c r="G30" s="23">
        <v>640</v>
      </c>
      <c r="H30" s="2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5</v>
      </c>
      <c r="I30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30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128</v>
      </c>
      <c r="K30" s="20">
        <f>Table44[[#This Row],[Fuel]]/Table44[[#This Row],[actual days/machine hours]]</f>
        <v>4.852160727824109</v>
      </c>
      <c r="L30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2574.0299999999997</v>
      </c>
      <c r="M30" s="29">
        <f>Table44[[#This Row],[RATE HOUR /DAY]]*Table44[[#This Row],[actual days/machine hours]]</f>
        <v>339514.55699999997</v>
      </c>
      <c r="N30" s="21">
        <f>Table44[[#This Row],[RATE HOUR /DAY]]*Table44[[#This Row],[Days/machine hours consider for costing]]</f>
        <v>339514.55699999997</v>
      </c>
      <c r="O30" s="22" t="s">
        <v>0</v>
      </c>
      <c r="P30" s="35"/>
      <c r="Q30" s="28"/>
    </row>
    <row r="31" spans="1:17" ht="15.6" x14ac:dyDescent="0.3">
      <c r="A31" s="44">
        <v>26</v>
      </c>
      <c r="B31" s="18" t="s">
        <v>27</v>
      </c>
      <c r="C31" s="28" t="s">
        <v>1</v>
      </c>
      <c r="D31" s="34"/>
      <c r="E31" s="34"/>
      <c r="F31" s="33"/>
      <c r="G31" s="33"/>
      <c r="H31" s="3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5</v>
      </c>
      <c r="I31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31" s="116" t="str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-</v>
      </c>
      <c r="K31" s="20" t="e">
        <f>Table44[[#This Row],[Fuel]]/Table44[[#This Row],[actual days/machine hours]]</f>
        <v>#DIV/0!</v>
      </c>
      <c r="L31" s="21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2490.38</v>
      </c>
      <c r="M31" s="29">
        <f>Table44[[#This Row],[RATE HOUR /DAY]]*Table44[[#This Row],[actual days/machine hours]]</f>
        <v>0</v>
      </c>
      <c r="N31" s="21">
        <f>Table44[[#This Row],[RATE HOUR /DAY]]*Table44[[#This Row],[Days/machine hours consider for costing]]</f>
        <v>0</v>
      </c>
      <c r="O31" s="22" t="s">
        <v>0</v>
      </c>
      <c r="P31" s="28"/>
      <c r="Q31" s="28"/>
    </row>
    <row r="32" spans="1:17" ht="15.6" x14ac:dyDescent="0.3">
      <c r="A32" s="44">
        <v>27</v>
      </c>
      <c r="B32" s="18" t="s">
        <v>35</v>
      </c>
      <c r="C32" s="28" t="s">
        <v>14</v>
      </c>
      <c r="D32" s="34">
        <v>108.5</v>
      </c>
      <c r="E32" s="34">
        <v>108.5</v>
      </c>
      <c r="F32" s="33"/>
      <c r="G32" s="33">
        <v>495</v>
      </c>
      <c r="H32" s="33">
        <f>IF(COUNTIF(Sheet1!$C$13:$C$530,Table44[[#This Row],[Vehicle No]])&gt;0,_xlfn.XLOOKUP(Table44[[#This Row],[Vehicle No]],Sheet1!$C$13:$C$530,Sheet1!$K$13:$K$530,"",0),_xlfn.XLOOKUP(Table44[[#This Row],[Vehicle No]],Sheet1!$B$13:$B$530,Sheet1!$K$13:$K$530,"",0))</f>
        <v>3.2</v>
      </c>
      <c r="I32" s="116" t="str">
        <f>IF(COUNTIF(Sheet1!$C$13:$C$530,Table44[[#This Row],[Vehicle No]])&gt;0,_xlfn.XLOOKUP(Table44[[#This Row],[Vehicle No]],Sheet1!$C$13:$C$530,Sheet1!$J$13:$J$530,"-",0),_xlfn.XLOOKUP(Table44[[#This Row],[Vehicle No]],Sheet1!$B$13:$B$530,Sheet1!$J$13:$J$530,"-",0))</f>
        <v>L/hr</v>
      </c>
      <c r="J32" s="116">
        <f>IF(Table44[[#This Row],[rate]]=0,"-",IF(Table44[[#This Row],[Rate Unit]]="L/hr",IF(Table44[[#This Row],[Fuel]]=0,"-",Table44[[#This Row],[Fuel]]/Table44[[#This Row],[rate]]),IF(Table44[[#This Row],[Fuel]]=0,"-",Table44[[#This Row],[Fuel]]*Table44[[#This Row],[rate]])))</f>
        <v>154.6875</v>
      </c>
      <c r="K32" s="20">
        <f>Table44[[#This Row],[Fuel]]/Table44[[#This Row],[actual days/machine hours]]</f>
        <v>4.5622119815668203</v>
      </c>
      <c r="L32" s="29">
        <f>IF(COUNTIF(Sheet1!$C$13:$C$530,Table44[[#This Row],[Vehicle No]])&gt;0,_xlfn.XLOOKUP(Table44[[#This Row],[Vehicle No]],Sheet1!$C$13:$C$530,Sheet1!$O$13:$O$530,"",0),_xlfn.XLOOKUP(Table44[[#This Row],[Vehicle No]],Sheet1!$B$13:$B$530,Sheet1!$O$13:$O$530,"",0))</f>
        <v>1636.6720000000003</v>
      </c>
      <c r="M32" s="29">
        <f>Table44[[#This Row],[RATE HOUR /DAY]]*Table44[[#This Row],[actual days/machine hours]]</f>
        <v>177578.91200000004</v>
      </c>
      <c r="N32" s="21">
        <f>Table44[[#This Row],[RATE HOUR /DAY]]*Table44[[#This Row],[Days/machine hours consider for costing]]</f>
        <v>177578.91200000004</v>
      </c>
      <c r="O32" s="22" t="s">
        <v>0</v>
      </c>
      <c r="P32" s="28"/>
      <c r="Q32" s="28"/>
    </row>
    <row r="33" spans="1:17" x14ac:dyDescent="0.3">
      <c r="C33" s="3"/>
      <c r="D33" s="4"/>
      <c r="E33" s="4"/>
      <c r="P33" s="36"/>
      <c r="Q33" s="31"/>
    </row>
    <row r="34" spans="1:17" ht="16.2" thickBot="1" x14ac:dyDescent="0.35">
      <c r="A34" s="5"/>
      <c r="B34" s="5"/>
      <c r="C34" s="6"/>
      <c r="D34" s="7"/>
      <c r="E34" s="7"/>
      <c r="F34" s="5"/>
      <c r="G34" s="8"/>
      <c r="H34" s="8"/>
      <c r="I34" s="8"/>
      <c r="J34" s="8"/>
      <c r="K34" s="9"/>
      <c r="L34" s="10"/>
      <c r="M34" s="43">
        <f>SUM(M4:M33)</f>
        <v>2981309.0337753226</v>
      </c>
      <c r="N34" s="25">
        <f>SUM(N4:N33)</f>
        <v>2981309.0337753226</v>
      </c>
      <c r="O34" s="5"/>
    </row>
    <row r="35" spans="1:17" ht="15" thickTop="1" x14ac:dyDescent="0.3"/>
  </sheetData>
  <mergeCells count="2">
    <mergeCell ref="A1:P1"/>
    <mergeCell ref="A2:P2"/>
  </mergeCells>
  <phoneticPr fontId="9" type="noConversion"/>
  <hyperlinks>
    <hyperlink ref="B21" location="'PH-6744'!A1" display="PH-6744" xr:uid="{00000000-0004-0000-0000-000000000000}"/>
    <hyperlink ref="B23" location="'PD-6917'!A1" display="PD-6917" xr:uid="{00000000-0004-0000-0000-000001000000}"/>
    <hyperlink ref="B22" location="'325-3448'!A1" display="325-3448" xr:uid="{00000000-0004-0000-0000-000002000000}"/>
    <hyperlink ref="B7" location="'LM-5721'!A1" display="LM-5721" xr:uid="{00000000-0004-0000-0000-000003000000}"/>
    <hyperlink ref="B8" location="'LM-5721'!A1" display="LM-5721" xr:uid="{00000000-0004-0000-0000-000004000000}"/>
    <hyperlink ref="B18" location="'PH-6744'!A1" display="PH-6744" xr:uid="{00000000-0004-0000-0000-000005000000}"/>
    <hyperlink ref="B15" location="'HEX-41'!A1" display="HEX-41" xr:uid="{00000000-0004-0000-0000-000006000000}"/>
    <hyperlink ref="B29" location="'VR-62'!A1" display="VR-62" xr:uid="{00000000-0004-0000-0000-000007000000}"/>
    <hyperlink ref="B4" location="'LD-09'!A1" display="LD-09" xr:uid="{00000000-0004-0000-0000-000008000000}"/>
    <hyperlink ref="B26" location="'PD-6917'!A1" display="PD-6917" xr:uid="{00000000-0004-0000-0000-000009000000}"/>
    <hyperlink ref="B24" location="'PD-6917'!A1" display="PD-6917" xr:uid="{00000000-0004-0000-0000-00000A000000}"/>
    <hyperlink ref="B27" location="'VR-62'!A1" display="VR-62" xr:uid="{00000000-0004-0000-0000-00000B000000}"/>
    <hyperlink ref="B20" location="'PH-6744'!A1" display="PH-6744" xr:uid="{00000000-0004-0000-0000-00000C000000}"/>
    <hyperlink ref="B28" location="'VR-62'!A1" display="VR-62" xr:uid="{00000000-0004-0000-0000-00000D000000}"/>
    <hyperlink ref="B25" location="'PD-6917'!A1" display="PD-6917" xr:uid="{00000000-0004-0000-0000-00000E000000}"/>
    <hyperlink ref="B19" location="'PH-6744'!A1" display="PH-6744" xr:uid="{00000000-0004-0000-0000-00000F000000}"/>
  </hyperlinks>
  <pageMargins left="0.7" right="0.7" top="0.75" bottom="0.75" header="0.3" footer="0.3"/>
  <pageSetup paperSize="9" scale="41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Data!$B$3:$B$5</xm:f>
          </x14:formula1>
          <xm:sqref>P3:P1048576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tabSelected="1" zoomScale="90" zoomScaleNormal="90" workbookViewId="0">
      <pane ySplit="3" topLeftCell="A4" activePane="bottomLeft" state="frozen"/>
      <selection pane="bottomLeft" activeCell="G2" sqref="G1:G1048576"/>
    </sheetView>
  </sheetViews>
  <sheetFormatPr defaultRowHeight="14.4" x14ac:dyDescent="0.3"/>
  <cols>
    <col min="1" max="1" width="9" bestFit="1" customWidth="1"/>
    <col min="2" max="2" width="22" bestFit="1" customWidth="1"/>
    <col min="3" max="3" width="18" hidden="1" customWidth="1"/>
    <col min="4" max="7" width="21" hidden="1" customWidth="1"/>
    <col min="8" max="8" width="13" customWidth="1"/>
    <col min="9" max="9" width="11.109375" bestFit="1" customWidth="1"/>
    <col min="10" max="10" width="21.6640625" style="2" customWidth="1"/>
    <col min="11" max="12" width="25" style="1" customWidth="1"/>
    <col min="13" max="13" width="21.5546875" style="1" customWidth="1"/>
    <col min="14" max="14" width="10.5546875" bestFit="1" customWidth="1"/>
    <col min="15" max="15" width="34.44140625" customWidth="1"/>
  </cols>
  <sheetData>
    <row r="1" spans="1:15" ht="18" x14ac:dyDescent="0.35">
      <c r="A1" s="38"/>
      <c r="B1" s="107" t="s">
        <v>78</v>
      </c>
      <c r="C1" s="107"/>
      <c r="D1" s="107"/>
      <c r="E1" s="107"/>
      <c r="F1" s="107"/>
      <c r="G1" s="107"/>
      <c r="H1" s="107"/>
      <c r="I1" s="107"/>
      <c r="J1" s="107"/>
      <c r="K1" s="107"/>
      <c r="L1" s="37"/>
      <c r="M1" s="39"/>
    </row>
    <row r="2" spans="1:15" x14ac:dyDescent="0.3">
      <c r="A2" s="38"/>
      <c r="B2" s="38"/>
      <c r="C2" s="38"/>
      <c r="D2" s="40"/>
      <c r="E2" s="40"/>
      <c r="F2" s="40"/>
      <c r="G2" s="40"/>
      <c r="H2" s="38"/>
      <c r="I2" s="38"/>
      <c r="J2" s="41"/>
      <c r="K2" s="39"/>
      <c r="L2" s="39"/>
      <c r="M2" s="39"/>
    </row>
    <row r="3" spans="1:15" ht="27.6" customHeight="1" x14ac:dyDescent="0.3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15" t="s">
        <v>99</v>
      </c>
      <c r="G3" s="115" t="s">
        <v>1158</v>
      </c>
      <c r="H3" s="13" t="s">
        <v>36</v>
      </c>
      <c r="I3" s="12" t="s">
        <v>10</v>
      </c>
      <c r="J3" s="117" t="s">
        <v>1160</v>
      </c>
      <c r="K3" s="15" t="s">
        <v>8</v>
      </c>
      <c r="L3" s="15" t="s">
        <v>48</v>
      </c>
      <c r="M3" s="46" t="s">
        <v>47</v>
      </c>
      <c r="N3" s="17" t="s">
        <v>7</v>
      </c>
      <c r="O3" s="32" t="s">
        <v>18</v>
      </c>
    </row>
    <row r="4" spans="1:15" ht="15.6" x14ac:dyDescent="0.3">
      <c r="A4" s="27">
        <v>1</v>
      </c>
      <c r="B4" s="18" t="s">
        <v>50</v>
      </c>
      <c r="C4" s="19" t="s">
        <v>38</v>
      </c>
      <c r="D4" s="34"/>
      <c r="E4" s="34"/>
      <c r="F4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7.9</v>
      </c>
      <c r="G4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4" s="23"/>
      <c r="I4" s="33"/>
      <c r="J4" s="116" t="str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-</v>
      </c>
      <c r="K4" s="21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4040.5340000000006</v>
      </c>
      <c r="L4" s="45">
        <f>Table443[[#This Row],[RATE HOUR /DAY]]*Table443[[#This Row],[actual days/machine hours]]</f>
        <v>0</v>
      </c>
      <c r="M4" s="26">
        <f>Table443[[#This Row],[RATE HOUR /DAY]]*Table443[[#This Row],[Days/machine hours consider for costing]]</f>
        <v>0</v>
      </c>
      <c r="N4" s="22" t="s">
        <v>0</v>
      </c>
      <c r="O4" s="28"/>
    </row>
    <row r="5" spans="1:15" ht="15.6" x14ac:dyDescent="0.3">
      <c r="A5" s="51">
        <v>2</v>
      </c>
      <c r="B5" s="18" t="s">
        <v>54</v>
      </c>
      <c r="C5" s="19" t="s">
        <v>38</v>
      </c>
      <c r="D5" s="48"/>
      <c r="E5" s="48"/>
      <c r="F5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7.9</v>
      </c>
      <c r="G5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5" s="50"/>
      <c r="I5" s="50"/>
      <c r="J5" s="116" t="str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-</v>
      </c>
      <c r="K5" s="52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4040.5340000000006</v>
      </c>
      <c r="L5" s="53">
        <f>Table443[[#This Row],[RATE HOUR /DAY]]*Table443[[#This Row],[actual days/machine hours]]</f>
        <v>0</v>
      </c>
      <c r="M5" s="52">
        <f>Table443[[#This Row],[RATE HOUR /DAY]]*Table443[[#This Row],[Days/machine hours consider for costing]]</f>
        <v>0</v>
      </c>
      <c r="N5" s="49"/>
      <c r="O5" s="47"/>
    </row>
    <row r="6" spans="1:15" ht="15.6" x14ac:dyDescent="0.3">
      <c r="A6" s="27">
        <v>3</v>
      </c>
      <c r="B6" s="18" t="s">
        <v>37</v>
      </c>
      <c r="C6" s="19" t="s">
        <v>38</v>
      </c>
      <c r="D6" s="48">
        <v>16</v>
      </c>
      <c r="E6" s="48">
        <v>16</v>
      </c>
      <c r="F6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7.9</v>
      </c>
      <c r="G6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6" s="50"/>
      <c r="I6" s="50">
        <v>555</v>
      </c>
      <c r="J6" s="116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70.25316455696202</v>
      </c>
      <c r="K6" s="21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4014.1006000000002</v>
      </c>
      <c r="L6" s="45">
        <f>Table443[[#This Row],[RATE HOUR /DAY]]*Table443[[#This Row],[actual days/machine hours]]</f>
        <v>64225.609600000003</v>
      </c>
      <c r="M6" s="52">
        <f>Table443[[#This Row],[RATE HOUR /DAY]]*Table443[[#This Row],[Days/machine hours consider for costing]]</f>
        <v>64225.609600000003</v>
      </c>
      <c r="N6" s="49"/>
      <c r="O6" s="47"/>
    </row>
    <row r="7" spans="1:15" ht="15.6" x14ac:dyDescent="0.3">
      <c r="A7" s="51">
        <v>4</v>
      </c>
      <c r="B7" s="18" t="s">
        <v>41</v>
      </c>
      <c r="C7" s="19" t="s">
        <v>38</v>
      </c>
      <c r="D7" s="20"/>
      <c r="E7" s="20"/>
      <c r="F7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9.4</v>
      </c>
      <c r="G7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7" s="23"/>
      <c r="I7" s="23"/>
      <c r="J7" s="116" t="str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-</v>
      </c>
      <c r="K7" s="21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4807.7240000000011</v>
      </c>
      <c r="L7" s="45">
        <f>Table443[[#This Row],[RATE HOUR /DAY]]*Table443[[#This Row],[actual days/machine hours]]</f>
        <v>0</v>
      </c>
      <c r="M7" s="21">
        <f>Table443[[#This Row],[RATE HOUR /DAY]]*Table443[[#This Row],[Days/machine hours consider for costing]]</f>
        <v>0</v>
      </c>
      <c r="N7" s="22" t="s">
        <v>0</v>
      </c>
      <c r="O7" s="19"/>
    </row>
    <row r="8" spans="1:15" s="64" customFormat="1" ht="15.6" x14ac:dyDescent="0.3">
      <c r="A8" s="58">
        <v>5</v>
      </c>
      <c r="B8" s="54" t="s">
        <v>39</v>
      </c>
      <c r="C8" s="56" t="s">
        <v>40</v>
      </c>
      <c r="D8" s="55">
        <v>190</v>
      </c>
      <c r="E8" s="55">
        <v>190</v>
      </c>
      <c r="F8" s="57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10.8</v>
      </c>
      <c r="G8" s="57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8" s="59"/>
      <c r="I8" s="59">
        <v>1719</v>
      </c>
      <c r="J8" s="57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159.16666666666666</v>
      </c>
      <c r="K8" s="60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5379.2208000000001</v>
      </c>
      <c r="L8" s="61">
        <f>Table443[[#This Row],[RATE HOUR /DAY]]*Table443[[#This Row],[actual days/machine hours]]</f>
        <v>1022051.952</v>
      </c>
      <c r="M8" s="62">
        <f>Table443[[#This Row],[RATE HOUR /DAY]]*Table443[[#This Row],[Days/machine hours consider for costing]]</f>
        <v>1022051.952</v>
      </c>
      <c r="N8" s="63" t="s">
        <v>0</v>
      </c>
      <c r="O8" s="56" t="s">
        <v>56</v>
      </c>
    </row>
    <row r="9" spans="1:15" ht="15.6" x14ac:dyDescent="0.3">
      <c r="A9" s="51">
        <v>6</v>
      </c>
      <c r="B9" s="18" t="s">
        <v>59</v>
      </c>
      <c r="C9" s="19" t="s">
        <v>38</v>
      </c>
      <c r="D9" s="34"/>
      <c r="E9" s="34"/>
      <c r="F9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13</v>
      </c>
      <c r="G9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9" s="33"/>
      <c r="I9" s="33"/>
      <c r="J9" s="116" t="str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-</v>
      </c>
      <c r="K9" s="21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6996.963999999999</v>
      </c>
      <c r="L9" s="45">
        <f>Table443[[#This Row],[RATE HOUR /DAY]]*Table443[[#This Row],[actual days/machine hours]]</f>
        <v>0</v>
      </c>
      <c r="M9" s="26">
        <f>Table443[[#This Row],[RATE HOUR /DAY]]*Table443[[#This Row],[Days/machine hours consider for costing]]</f>
        <v>0</v>
      </c>
      <c r="N9" s="22" t="s">
        <v>0</v>
      </c>
      <c r="O9" s="28"/>
    </row>
    <row r="10" spans="1:15" ht="15.6" x14ac:dyDescent="0.3">
      <c r="A10" s="27">
        <v>7</v>
      </c>
      <c r="B10" s="18" t="s">
        <v>42</v>
      </c>
      <c r="C10" s="19" t="s">
        <v>38</v>
      </c>
      <c r="D10" s="34">
        <v>21</v>
      </c>
      <c r="E10" s="34">
        <v>21</v>
      </c>
      <c r="F10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13</v>
      </c>
      <c r="G10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10" s="33"/>
      <c r="I10" s="33">
        <v>1290</v>
      </c>
      <c r="J10" s="116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99.230769230769226</v>
      </c>
      <c r="K10" s="21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6518.485999999999</v>
      </c>
      <c r="L10" s="45">
        <f>Table443[[#This Row],[RATE HOUR /DAY]]*Table443[[#This Row],[actual days/machine hours]]</f>
        <v>136888.20599999998</v>
      </c>
      <c r="M10" s="26">
        <f>Table443[[#This Row],[RATE HOUR /DAY]]*Table443[[#This Row],[Days/machine hours consider for costing]]</f>
        <v>136888.20599999998</v>
      </c>
      <c r="N10" s="22" t="s">
        <v>0</v>
      </c>
      <c r="O10" s="28"/>
    </row>
    <row r="11" spans="1:15" ht="15.6" x14ac:dyDescent="0.3">
      <c r="A11" s="51">
        <v>8</v>
      </c>
      <c r="B11" s="18" t="s">
        <v>43</v>
      </c>
      <c r="C11" s="19" t="s">
        <v>57</v>
      </c>
      <c r="D11" s="34"/>
      <c r="E11" s="34"/>
      <c r="F11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7.2</v>
      </c>
      <c r="G11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11" s="33"/>
      <c r="I11" s="33"/>
      <c r="J11" s="116" t="str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-</v>
      </c>
      <c r="K11" s="21">
        <f>IF(COUNTIF(Sheet1!$C$13:$C$530,Table443[[#This Row],[Vehicle No]])&gt;0,_xlfn.XLOOKUP(Table443[[#This Row],[Vehicle No]],Sheet1!$C$13:$C$530,Sheet1!$O$13:$O$530,"",0),_xlfn.XLOOKUP(Table443[[#This Row],[Vehicle No]],Sheet1!$B$13:$B$530,Sheet1!$O$13:$O$530,"",0))</f>
        <v>3851.1504000000004</v>
      </c>
      <c r="L11" s="45">
        <f>Table443[[#This Row],[RATE HOUR /DAY]]*Table443[[#This Row],[actual days/machine hours]]</f>
        <v>0</v>
      </c>
      <c r="M11" s="26">
        <f>Table443[[#This Row],[RATE HOUR /DAY]]*Table443[[#This Row],[Days/machine hours consider for costing]]</f>
        <v>0</v>
      </c>
      <c r="N11" s="22" t="s">
        <v>0</v>
      </c>
      <c r="O11" s="28" t="s">
        <v>44</v>
      </c>
    </row>
    <row r="12" spans="1:15" ht="15.6" x14ac:dyDescent="0.3">
      <c r="A12" s="27">
        <v>9</v>
      </c>
      <c r="B12" s="18" t="s">
        <v>981</v>
      </c>
      <c r="C12" s="19" t="s">
        <v>38</v>
      </c>
      <c r="D12" s="34">
        <v>18</v>
      </c>
      <c r="E12" s="34">
        <v>18</v>
      </c>
      <c r="F12" s="116">
        <f>IF(COUNTIF(Sheet1!$C$13:$C$530,Table443[[#This Row],[Vehicle No]])&gt;0,_xlfn.XLOOKUP(Table443[[#This Row],[Vehicle No]],Sheet1!$C$13:$C$530,Sheet1!$K$13:$K$530,"-",0),_xlfn.XLOOKUP(Table443[[#This Row],[Vehicle No]],Sheet1!$B$13:$B$530,Sheet1!$K$13:$K$530,"-",0))</f>
        <v>9.4</v>
      </c>
      <c r="G12" s="116" t="str">
        <f>IF(COUNTIF(Sheet1!$C$13:$C$530,Table443[[#This Row],[Vehicle No]])&gt;0,_xlfn.XLOOKUP(Table443[[#This Row],[Vehicle No]],Sheet1!$C$13:$C$530,Sheet1!$J$13:$J$530,"-",0),_xlfn.XLOOKUP(Table443[[#This Row],[Vehicle No]],Sheet1!$B$13:$B$530,Sheet1!$J$13:$J$530,"-",0))</f>
        <v>L/hr</v>
      </c>
      <c r="H12" s="33"/>
      <c r="I12" s="33">
        <v>1095</v>
      </c>
      <c r="J12" s="116">
        <f>IF(Table443[[#This Row],[Cons Econ]]="-","-",IF(Table443[[#This Row],[Fuel Rate Unit]]="KM/L",IF(Table443[[#This Row],[Fuel]]=0,"-",Table443[[#This Row],[Fuel]]*Table443[[#This Row],[Cons Econ]]),IF(Table443[[#This Row],[Fuel]]=0,"-",Table443[[#This Row],[Fuel]]/Table443[[#This Row],[Cons Econ]])))</f>
        <v>116.48936170212765</v>
      </c>
      <c r="K12" s="21">
        <f>IF(COUNTIF(Sheet1!$C$13:$C$530,Table443[[#This Row],[Vehicle No]])&gt;0,_xlfn.XLOOKUP(Table443[[#This Row],[Vehicle No]],Sheet1!$C$13:$C$530,Sheet1!$O$13:$O$530,0,0),_xlfn.XLOOKUP(Table443[[#This Row],[Vehicle No]],Sheet1!$B$13:$B$530,Sheet1!$O$13:$O$530,0,0))</f>
        <v>4776.2716</v>
      </c>
      <c r="L12" s="45">
        <f>Table443[[#This Row],[RATE HOUR /DAY]]*Table443[[#This Row],[actual days/machine hours]]</f>
        <v>85972.888800000001</v>
      </c>
      <c r="M12" s="26">
        <f>Table443[[#This Row],[RATE HOUR /DAY]]*Table443[[#This Row],[Days/machine hours consider for costing]]</f>
        <v>85972.888800000001</v>
      </c>
      <c r="N12" s="22" t="s">
        <v>0</v>
      </c>
      <c r="O12" s="28"/>
    </row>
    <row r="13" spans="1:15" x14ac:dyDescent="0.3">
      <c r="C13" s="3"/>
      <c r="D13" s="4"/>
      <c r="E13" s="4"/>
      <c r="F13" s="114"/>
      <c r="G13" s="114"/>
      <c r="O13" s="31"/>
    </row>
    <row r="14" spans="1:15" ht="16.2" thickBot="1" x14ac:dyDescent="0.35">
      <c r="A14" s="5"/>
      <c r="B14" s="5"/>
      <c r="C14" s="6"/>
      <c r="D14" s="7"/>
      <c r="E14" s="7"/>
      <c r="F14" s="7"/>
      <c r="G14" s="7"/>
      <c r="H14" s="5"/>
      <c r="I14" s="8"/>
      <c r="J14" s="9"/>
      <c r="K14" s="10"/>
      <c r="L14" s="43">
        <f>SUM(L4:L13)</f>
        <v>1309138.6564000002</v>
      </c>
      <c r="M14" s="25">
        <f>SUM(M4:M13)</f>
        <v>1309138.6564000002</v>
      </c>
      <c r="N14" s="5"/>
    </row>
    <row r="15" spans="1:15" ht="15" thickTop="1" x14ac:dyDescent="0.3"/>
  </sheetData>
  <mergeCells count="1">
    <mergeCell ref="B1:K1"/>
  </mergeCells>
  <phoneticPr fontId="9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FEF8-5A4D-46DD-B159-0A00A3F3FFBA}">
  <dimension ref="A1:P30"/>
  <sheetViews>
    <sheetView topLeftCell="E3" workbookViewId="0">
      <selection activeCell="D11" sqref="D11:I11"/>
    </sheetView>
  </sheetViews>
  <sheetFormatPr defaultRowHeight="14.4" x14ac:dyDescent="0.3"/>
  <cols>
    <col min="1" max="1" width="13.6640625" customWidth="1"/>
    <col min="2" max="2" width="19.44140625" customWidth="1"/>
    <col min="3" max="3" width="20.88671875" customWidth="1"/>
    <col min="4" max="4" width="19" customWidth="1"/>
    <col min="5" max="5" width="17.5546875" customWidth="1"/>
    <col min="6" max="6" width="13" customWidth="1"/>
    <col min="7" max="7" width="11.109375" bestFit="1" customWidth="1"/>
    <col min="8" max="10" width="11.109375" customWidth="1"/>
    <col min="11" max="11" width="21" style="2" customWidth="1"/>
    <col min="12" max="12" width="21.44140625" style="1" customWidth="1"/>
    <col min="13" max="14" width="20.5546875" style="1" customWidth="1"/>
    <col min="15" max="15" width="10.5546875" bestFit="1" customWidth="1"/>
    <col min="16" max="16" width="23.44140625" customWidth="1"/>
  </cols>
  <sheetData>
    <row r="1" spans="1:16" ht="18" x14ac:dyDescent="0.35">
      <c r="A1" s="107" t="s">
        <v>1143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6" x14ac:dyDescent="0.3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spans="1:16" ht="46.8" x14ac:dyDescent="0.3">
      <c r="A3" s="80" t="s">
        <v>13</v>
      </c>
      <c r="B3" s="81" t="s">
        <v>12</v>
      </c>
      <c r="C3" s="81" t="s">
        <v>1144</v>
      </c>
      <c r="D3" s="82" t="s">
        <v>1145</v>
      </c>
      <c r="E3" s="83" t="s">
        <v>1146</v>
      </c>
      <c r="F3" s="84" t="s">
        <v>1147</v>
      </c>
      <c r="G3" s="81" t="s">
        <v>10</v>
      </c>
      <c r="H3" s="85" t="s">
        <v>1148</v>
      </c>
      <c r="I3" s="85" t="s">
        <v>1142</v>
      </c>
      <c r="J3" s="85" t="s">
        <v>1149</v>
      </c>
      <c r="K3" s="86" t="s">
        <v>9</v>
      </c>
      <c r="L3" s="87" t="s">
        <v>8</v>
      </c>
      <c r="M3" s="88" t="s">
        <v>1150</v>
      </c>
      <c r="N3" s="89" t="s">
        <v>1151</v>
      </c>
      <c r="O3" s="90" t="s">
        <v>7</v>
      </c>
      <c r="P3" s="91" t="s">
        <v>18</v>
      </c>
    </row>
    <row r="4" spans="1:16" ht="15.6" x14ac:dyDescent="0.3">
      <c r="A4" s="44">
        <v>1</v>
      </c>
      <c r="B4" s="18" t="s">
        <v>375</v>
      </c>
      <c r="C4" s="19" t="s">
        <v>1152</v>
      </c>
      <c r="D4" s="20">
        <v>1</v>
      </c>
      <c r="E4" s="20">
        <v>1</v>
      </c>
      <c r="F4" s="23">
        <v>26</v>
      </c>
      <c r="G4" s="23">
        <v>20</v>
      </c>
      <c r="H4" s="92">
        <f>IFERROR(_xlfn.XLOOKUP(B4,[20]Sheet1!$C:$C,[20]Sheet1!$K:$K,_xlfn.XLOOKUP(B4,[20]Sheet1!$B:$B,[20]Sheet1!$K:$K,"")),"")</f>
        <v>2.9</v>
      </c>
      <c r="I4" s="92" t="str">
        <f>IFERROR(_xlfn.XLOOKUP(B4,[20]Sheet1!$C:$C,[20]Sheet1!$J:$J,_xlfn.XLOOKUP(B4,[20]Sheet1!$B:$B,[20]Sheet1!$J:$J,"")),"")</f>
        <v>km/L</v>
      </c>
      <c r="J4" s="93">
        <f t="shared" ref="J4:J27" si="0">IF(OR(H4="",H4=0),"",IF(ISNUMBER(SEARCH("hr",I4)),G4/H4,H4*G4))</f>
        <v>58</v>
      </c>
      <c r="K4" s="20">
        <f t="shared" ref="K4:K19" si="1">F4/G4</f>
        <v>1.3</v>
      </c>
      <c r="L4" s="21">
        <v>7000</v>
      </c>
      <c r="M4" s="21">
        <f>Table4434[[#This Row],[RATE HOUR /DAY]]*Table4434[[#This Row],[Days/hours consider for costing]]</f>
        <v>7000</v>
      </c>
      <c r="N4" s="94">
        <f>Table4434[[#This Row],[Actual working days/machine hours ]]*Table4434[[#This Row],[RATE HOUR /DAY]]</f>
        <v>7000</v>
      </c>
      <c r="O4" s="22" t="s">
        <v>0</v>
      </c>
      <c r="P4" s="19"/>
    </row>
    <row r="5" spans="1:16" ht="15.6" x14ac:dyDescent="0.3">
      <c r="A5" s="44">
        <v>2</v>
      </c>
      <c r="B5" s="18" t="s">
        <v>338</v>
      </c>
      <c r="C5" s="19" t="s">
        <v>6</v>
      </c>
      <c r="D5" s="20">
        <v>14</v>
      </c>
      <c r="E5" s="20">
        <v>14</v>
      </c>
      <c r="F5" s="23"/>
      <c r="G5" s="23">
        <v>60</v>
      </c>
      <c r="H5" s="92">
        <f>IFERROR(_xlfn.XLOOKUP(B5,[20]Sheet1!$C:$C,[20]Sheet1!$K:$K,_xlfn.XLOOKUP(B5,[20]Sheet1!$B:$B,[20]Sheet1!$K:$K,"")),"")</f>
        <v>3.8</v>
      </c>
      <c r="I5" s="92" t="str">
        <f>IFERROR(_xlfn.XLOOKUP(B5,[20]Sheet1!$C:$C,[20]Sheet1!$J:$J,_xlfn.XLOOKUP(B5,[20]Sheet1!$B:$B,[20]Sheet1!$J:$J,"")),"")</f>
        <v>km/L</v>
      </c>
      <c r="J5" s="93">
        <f t="shared" si="0"/>
        <v>228</v>
      </c>
      <c r="K5" s="20">
        <f t="shared" si="1"/>
        <v>0</v>
      </c>
      <c r="L5" s="21">
        <v>6440</v>
      </c>
      <c r="M5" s="21">
        <f>Table4434[[#This Row],[RATE HOUR /DAY]]*Table4434[[#This Row],[Days/hours consider for costing]]</f>
        <v>90160</v>
      </c>
      <c r="N5" s="94">
        <f>Table4434[[#This Row],[Actual working days/machine hours ]]*Table4434[[#This Row],[RATE HOUR /DAY]]</f>
        <v>90160</v>
      </c>
      <c r="O5" s="22" t="s">
        <v>0</v>
      </c>
      <c r="P5" s="19"/>
    </row>
    <row r="6" spans="1:16" ht="15.6" x14ac:dyDescent="0.3">
      <c r="A6" s="44">
        <v>3</v>
      </c>
      <c r="B6" s="18" t="s">
        <v>490</v>
      </c>
      <c r="C6" s="19" t="s">
        <v>6</v>
      </c>
      <c r="D6" s="20">
        <v>5</v>
      </c>
      <c r="E6" s="20">
        <v>5</v>
      </c>
      <c r="F6" s="23">
        <v>126</v>
      </c>
      <c r="G6" s="23">
        <v>60</v>
      </c>
      <c r="H6" s="92">
        <f>IFERROR(_xlfn.XLOOKUP(B6,[20]Sheet1!$C:$C,[20]Sheet1!$K:$K,_xlfn.XLOOKUP(B6,[20]Sheet1!$B:$B,[20]Sheet1!$K:$K,"")),"")</f>
        <v>3.8</v>
      </c>
      <c r="I6" s="92" t="str">
        <f>IFERROR(_xlfn.XLOOKUP(B6,[20]Sheet1!$C:$C,[20]Sheet1!$J:$J,_xlfn.XLOOKUP(B6,[20]Sheet1!$B:$B,[20]Sheet1!$J:$J,"")),"")</f>
        <v>km/L</v>
      </c>
      <c r="J6" s="93">
        <f t="shared" si="0"/>
        <v>228</v>
      </c>
      <c r="K6" s="20"/>
      <c r="L6" s="21">
        <v>6440</v>
      </c>
      <c r="M6" s="21">
        <f>Table4434[[#This Row],[RATE HOUR /DAY]]*Table4434[[#This Row],[Days/hours consider for costing]]</f>
        <v>32200</v>
      </c>
      <c r="N6" s="94">
        <f>Table4434[[#This Row],[Actual working days/machine hours ]]*Table4434[[#This Row],[RATE HOUR /DAY]]</f>
        <v>32200</v>
      </c>
      <c r="O6" s="22"/>
      <c r="P6" s="19"/>
    </row>
    <row r="7" spans="1:16" ht="15.6" x14ac:dyDescent="0.3">
      <c r="A7" s="44">
        <v>4</v>
      </c>
      <c r="B7" s="18" t="s">
        <v>400</v>
      </c>
      <c r="C7" s="19" t="s">
        <v>6</v>
      </c>
      <c r="D7" s="20">
        <v>4</v>
      </c>
      <c r="E7" s="20">
        <v>4</v>
      </c>
      <c r="F7" s="23">
        <v>100</v>
      </c>
      <c r="G7" s="23">
        <v>40</v>
      </c>
      <c r="H7" s="92">
        <f>IFERROR(_xlfn.XLOOKUP(B7,[20]Sheet1!$C:$C,[20]Sheet1!$K:$K,_xlfn.XLOOKUP(B7,[20]Sheet1!$B:$B,[20]Sheet1!$K:$K,"")),"")</f>
        <v>3.8</v>
      </c>
      <c r="I7" s="92" t="str">
        <f>IFERROR(_xlfn.XLOOKUP(B7,[20]Sheet1!$C:$C,[20]Sheet1!$J:$J,_xlfn.XLOOKUP(B7,[20]Sheet1!$B:$B,[20]Sheet1!$J:$J,"")),"")</f>
        <v>km/L</v>
      </c>
      <c r="J7" s="93">
        <f t="shared" si="0"/>
        <v>152</v>
      </c>
      <c r="K7" s="20">
        <f t="shared" si="1"/>
        <v>2.5</v>
      </c>
      <c r="L7" s="21">
        <v>6440</v>
      </c>
      <c r="M7" s="21">
        <f>Table4434[[#This Row],[RATE HOUR /DAY]]*Table4434[[#This Row],[Days/hours consider for costing]]</f>
        <v>25760</v>
      </c>
      <c r="N7" s="94">
        <f>Table4434[[#This Row],[Actual working days/machine hours ]]*Table4434[[#This Row],[RATE HOUR /DAY]]</f>
        <v>25760</v>
      </c>
      <c r="O7" s="22" t="s">
        <v>0</v>
      </c>
      <c r="P7" s="19"/>
    </row>
    <row r="8" spans="1:16" ht="15.6" x14ac:dyDescent="0.3">
      <c r="A8" s="44">
        <v>5</v>
      </c>
      <c r="B8" s="18" t="s">
        <v>410</v>
      </c>
      <c r="C8" s="19" t="s">
        <v>6</v>
      </c>
      <c r="D8" s="20">
        <v>8</v>
      </c>
      <c r="E8" s="20">
        <v>8</v>
      </c>
      <c r="F8" s="23">
        <v>166</v>
      </c>
      <c r="G8" s="23">
        <v>45</v>
      </c>
      <c r="H8" s="92">
        <f>IFERROR(_xlfn.XLOOKUP(B8,[20]Sheet1!$C:$C,[20]Sheet1!$K:$K,_xlfn.XLOOKUP(B8,[20]Sheet1!$B:$B,[20]Sheet1!$K:$K,"")),"")</f>
        <v>3.8</v>
      </c>
      <c r="I8" s="92" t="str">
        <f>IFERROR(_xlfn.XLOOKUP(B8,[20]Sheet1!$C:$C,[20]Sheet1!$J:$J,_xlfn.XLOOKUP(B8,[20]Sheet1!$B:$B,[20]Sheet1!$J:$J,"")),"")</f>
        <v>km/L</v>
      </c>
      <c r="J8" s="93">
        <f t="shared" si="0"/>
        <v>171</v>
      </c>
      <c r="K8" s="20">
        <f t="shared" si="1"/>
        <v>3.6888888888888891</v>
      </c>
      <c r="L8" s="21">
        <v>6440</v>
      </c>
      <c r="M8" s="21">
        <f>Table4434[[#This Row],[RATE HOUR /DAY]]*Table4434[[#This Row],[Days/hours consider for costing]]</f>
        <v>51520</v>
      </c>
      <c r="N8" s="94">
        <f>Table4434[[#This Row],[Actual working days/machine hours ]]*Table4434[[#This Row],[RATE HOUR /DAY]]</f>
        <v>51520</v>
      </c>
      <c r="O8" s="22" t="s">
        <v>0</v>
      </c>
      <c r="P8" s="19"/>
    </row>
    <row r="9" spans="1:16" ht="15.6" x14ac:dyDescent="0.3">
      <c r="A9" s="44">
        <v>6</v>
      </c>
      <c r="B9" s="18" t="s">
        <v>389</v>
      </c>
      <c r="C9" s="19" t="s">
        <v>6</v>
      </c>
      <c r="D9" s="20"/>
      <c r="E9" s="20"/>
      <c r="F9" s="23"/>
      <c r="G9" s="23"/>
      <c r="H9" s="92">
        <f>IFERROR(_xlfn.XLOOKUP(B9,[20]Sheet1!$C:$C,[20]Sheet1!$K:$K,_xlfn.XLOOKUP(B9,[20]Sheet1!$B:$B,[20]Sheet1!$K:$K,"")),"")</f>
        <v>3.8</v>
      </c>
      <c r="I9" s="92" t="str">
        <f>IFERROR(_xlfn.XLOOKUP(B9,[20]Sheet1!$C:$C,[20]Sheet1!$J:$J,_xlfn.XLOOKUP(B9,[20]Sheet1!$B:$B,[20]Sheet1!$J:$J,"")),"")</f>
        <v>km/L</v>
      </c>
      <c r="J9" s="93">
        <f t="shared" si="0"/>
        <v>0</v>
      </c>
      <c r="K9" s="20" t="e">
        <f t="shared" si="1"/>
        <v>#DIV/0!</v>
      </c>
      <c r="L9" s="21">
        <v>6440</v>
      </c>
      <c r="M9" s="21">
        <f>Table4434[[#This Row],[RATE HOUR /DAY]]*Table4434[[#This Row],[Days/hours consider for costing]]</f>
        <v>0</v>
      </c>
      <c r="N9" s="94">
        <f>Table4434[[#This Row],[Actual working days/machine hours ]]*Table4434[[#This Row],[RATE HOUR /DAY]]</f>
        <v>0</v>
      </c>
      <c r="O9" s="22" t="s">
        <v>0</v>
      </c>
      <c r="P9" s="19"/>
    </row>
    <row r="10" spans="1:16" ht="15.6" x14ac:dyDescent="0.3">
      <c r="A10" s="44">
        <v>7</v>
      </c>
      <c r="B10" s="18" t="s">
        <v>976</v>
      </c>
      <c r="C10" s="19" t="s">
        <v>38</v>
      </c>
      <c r="D10" s="20">
        <v>3</v>
      </c>
      <c r="E10" s="20">
        <v>3</v>
      </c>
      <c r="F10" s="23"/>
      <c r="G10" s="23">
        <v>100</v>
      </c>
      <c r="H10" s="92">
        <f>IFERROR(_xlfn.XLOOKUP(B10,[20]Sheet1!$C:$C,[20]Sheet1!$K:$K,_xlfn.XLOOKUP(B10,[20]Sheet1!$B:$B,[20]Sheet1!$K:$K,"")),"")</f>
        <v>9.4</v>
      </c>
      <c r="I10" s="92" t="str">
        <f>IFERROR(_xlfn.XLOOKUP(B10,[20]Sheet1!$C:$C,[20]Sheet1!$J:$J,_xlfn.XLOOKUP(B10,[20]Sheet1!$B:$B,[20]Sheet1!$J:$J,"")),"")</f>
        <v>L/hr</v>
      </c>
      <c r="J10" s="93">
        <f t="shared" si="0"/>
        <v>10.638297872340425</v>
      </c>
      <c r="K10" s="20">
        <f t="shared" si="1"/>
        <v>0</v>
      </c>
      <c r="L10" s="21">
        <v>8000</v>
      </c>
      <c r="M10" s="21">
        <f>Table4434[[#This Row],[RATE HOUR /DAY]]*Table4434[[#This Row],[Days/hours consider for costing]]</f>
        <v>24000</v>
      </c>
      <c r="N10" s="94">
        <f>Table4434[[#This Row],[Actual working days/machine hours ]]*Table4434[[#This Row],[RATE HOUR /DAY]]</f>
        <v>24000</v>
      </c>
      <c r="O10" s="22" t="s">
        <v>0</v>
      </c>
      <c r="P10" s="19"/>
    </row>
    <row r="11" spans="1:16" ht="15.6" x14ac:dyDescent="0.3">
      <c r="A11" s="44">
        <v>8</v>
      </c>
      <c r="B11" s="18" t="s">
        <v>41</v>
      </c>
      <c r="C11" s="19" t="s">
        <v>38</v>
      </c>
      <c r="D11" s="20">
        <v>2</v>
      </c>
      <c r="E11" s="20">
        <v>2</v>
      </c>
      <c r="F11" s="23"/>
      <c r="G11" s="23">
        <v>65</v>
      </c>
      <c r="H11" s="92">
        <f>IFERROR(_xlfn.XLOOKUP(B11,[20]Sheet1!$C:$C,[20]Sheet1!$K:$K,_xlfn.XLOOKUP(B11,[20]Sheet1!$B:$B,[20]Sheet1!$K:$K,"")),"")</f>
        <v>9.4</v>
      </c>
      <c r="I11" s="92" t="str">
        <f>IFERROR(_xlfn.XLOOKUP(B11,[20]Sheet1!$C:$C,[20]Sheet1!$J:$J,_xlfn.XLOOKUP(B11,[20]Sheet1!$B:$B,[20]Sheet1!$J:$J,"")),"")</f>
        <v>L/hr</v>
      </c>
      <c r="J11" s="93">
        <f t="shared" si="0"/>
        <v>6.914893617021276</v>
      </c>
      <c r="K11" s="20">
        <f t="shared" si="1"/>
        <v>0</v>
      </c>
      <c r="L11" s="21">
        <v>8000</v>
      </c>
      <c r="M11" s="21">
        <f>Table4434[[#This Row],[RATE HOUR /DAY]]*Table4434[[#This Row],[Days/hours consider for costing]]</f>
        <v>16000</v>
      </c>
      <c r="N11" s="94">
        <f>Table4434[[#This Row],[Actual working days/machine hours ]]*Table4434[[#This Row],[RATE HOUR /DAY]]</f>
        <v>16000</v>
      </c>
      <c r="O11" s="22" t="s">
        <v>0</v>
      </c>
      <c r="P11" s="19"/>
    </row>
    <row r="12" spans="1:16" ht="15.6" x14ac:dyDescent="0.3">
      <c r="A12" s="44">
        <v>9</v>
      </c>
      <c r="B12" s="18" t="s">
        <v>979</v>
      </c>
      <c r="C12" s="19" t="s">
        <v>38</v>
      </c>
      <c r="D12" s="95"/>
      <c r="E12" s="95"/>
      <c r="F12" s="96"/>
      <c r="G12" s="96"/>
      <c r="H12" s="92">
        <f>IFERROR(_xlfn.XLOOKUP(B12,[20]Sheet1!$C:$C,[20]Sheet1!$K:$K,_xlfn.XLOOKUP(B12,[20]Sheet1!$B:$B,[20]Sheet1!$K:$K,"")),"")</f>
        <v>9.4</v>
      </c>
      <c r="I12" s="92" t="str">
        <f>IFERROR(_xlfn.XLOOKUP(B12,[20]Sheet1!$C:$C,[20]Sheet1!$J:$J,_xlfn.XLOOKUP(B12,[20]Sheet1!$B:$B,[20]Sheet1!$J:$J,"")),"")</f>
        <v>L/hr</v>
      </c>
      <c r="J12" s="93">
        <f t="shared" si="0"/>
        <v>0</v>
      </c>
      <c r="K12" s="95"/>
      <c r="L12" s="21">
        <v>8000</v>
      </c>
      <c r="M12" s="21">
        <f>Table4434[[#This Row],[RATE HOUR /DAY]]*Table4434[[#This Row],[Days/hours consider for costing]]</f>
        <v>0</v>
      </c>
      <c r="N12" s="97">
        <f>Table4434[[#This Row],[Actual working days/machine hours ]]*Table4434[[#This Row],[RATE HOUR /DAY]]</f>
        <v>0</v>
      </c>
      <c r="O12" s="98"/>
      <c r="P12" s="99"/>
    </row>
    <row r="13" spans="1:16" ht="15.6" x14ac:dyDescent="0.3">
      <c r="A13" s="44">
        <v>10</v>
      </c>
      <c r="B13" s="18" t="s">
        <v>482</v>
      </c>
      <c r="C13" s="19" t="s">
        <v>6</v>
      </c>
      <c r="D13" s="20">
        <v>11</v>
      </c>
      <c r="E13" s="20">
        <v>11</v>
      </c>
      <c r="F13" s="23">
        <v>158</v>
      </c>
      <c r="G13" s="23">
        <v>70</v>
      </c>
      <c r="H13" s="92">
        <f>IFERROR(_xlfn.XLOOKUP(B13,[20]Sheet1!$C:$C,[20]Sheet1!$K:$K,_xlfn.XLOOKUP(B13,[20]Sheet1!$B:$B,[20]Sheet1!$K:$K,"")),"")</f>
        <v>3.8</v>
      </c>
      <c r="I13" s="92" t="str">
        <f>IFERROR(_xlfn.XLOOKUP(B13,[20]Sheet1!$C:$C,[20]Sheet1!$J:$J,_xlfn.XLOOKUP(B13,[20]Sheet1!$B:$B,[20]Sheet1!$J:$J,"")),"")</f>
        <v>km/L</v>
      </c>
      <c r="J13" s="93">
        <f t="shared" si="0"/>
        <v>266</v>
      </c>
      <c r="K13" s="20">
        <f t="shared" si="1"/>
        <v>2.2571428571428571</v>
      </c>
      <c r="L13" s="21">
        <v>6440</v>
      </c>
      <c r="M13" s="21">
        <f t="shared" ref="M13:M22" si="2">L13*E13</f>
        <v>70840</v>
      </c>
      <c r="N13" s="94">
        <f>Table4434[[#This Row],[Actual working days/machine hours ]]*Table4434[[#This Row],[RATE HOUR /DAY]]</f>
        <v>70840</v>
      </c>
      <c r="O13" s="22" t="s">
        <v>0</v>
      </c>
      <c r="P13" s="19"/>
    </row>
    <row r="14" spans="1:16" ht="15.6" x14ac:dyDescent="0.3">
      <c r="A14" s="44">
        <v>11</v>
      </c>
      <c r="B14" s="18" t="s">
        <v>446</v>
      </c>
      <c r="C14" s="19" t="s">
        <v>6</v>
      </c>
      <c r="D14" s="20"/>
      <c r="E14" s="20"/>
      <c r="F14" s="23"/>
      <c r="G14" s="23"/>
      <c r="H14" s="92">
        <f>IFERROR(_xlfn.XLOOKUP(B14,[20]Sheet1!$C:$C,[20]Sheet1!$K:$K,_xlfn.XLOOKUP(B14,[20]Sheet1!$B:$B,[20]Sheet1!$K:$K,"")),"")</f>
        <v>3.8</v>
      </c>
      <c r="I14" s="92" t="str">
        <f>IFERROR(_xlfn.XLOOKUP(B14,[20]Sheet1!$C:$C,[20]Sheet1!$J:$J,_xlfn.XLOOKUP(B14,[20]Sheet1!$B:$B,[20]Sheet1!$J:$J,"")),"")</f>
        <v>km/L</v>
      </c>
      <c r="J14" s="93">
        <f t="shared" si="0"/>
        <v>0</v>
      </c>
      <c r="K14" s="20" t="e">
        <f t="shared" si="1"/>
        <v>#DIV/0!</v>
      </c>
      <c r="L14" s="21">
        <v>6440</v>
      </c>
      <c r="M14" s="21">
        <f t="shared" si="2"/>
        <v>0</v>
      </c>
      <c r="N14" s="94">
        <f>Table4434[[#This Row],[Actual working days/machine hours ]]*Table4434[[#This Row],[RATE HOUR /DAY]]</f>
        <v>0</v>
      </c>
      <c r="O14" s="22" t="s">
        <v>0</v>
      </c>
      <c r="P14" s="19"/>
    </row>
    <row r="15" spans="1:16" ht="15.6" x14ac:dyDescent="0.3">
      <c r="A15" s="44">
        <v>12</v>
      </c>
      <c r="B15" s="18" t="s">
        <v>473</v>
      </c>
      <c r="C15" s="19" t="s">
        <v>6</v>
      </c>
      <c r="D15" s="20">
        <v>11</v>
      </c>
      <c r="E15" s="20">
        <v>11</v>
      </c>
      <c r="F15" s="23">
        <v>187</v>
      </c>
      <c r="G15" s="23">
        <v>90</v>
      </c>
      <c r="H15" s="92">
        <f>IFERROR(_xlfn.XLOOKUP(B15,[20]Sheet1!$C:$C,[20]Sheet1!$K:$K,_xlfn.XLOOKUP(B15,[20]Sheet1!$B:$B,[20]Sheet1!$K:$K,"")),"")</f>
        <v>3.8</v>
      </c>
      <c r="I15" s="92" t="str">
        <f>IFERROR(_xlfn.XLOOKUP(B15,[20]Sheet1!$C:$C,[20]Sheet1!$J:$J,_xlfn.XLOOKUP(B15,[20]Sheet1!$B:$B,[20]Sheet1!$J:$J,"")),"")</f>
        <v>km/L</v>
      </c>
      <c r="J15" s="93">
        <f t="shared" si="0"/>
        <v>342</v>
      </c>
      <c r="K15" s="20">
        <f t="shared" si="1"/>
        <v>2.0777777777777779</v>
      </c>
      <c r="L15" s="21">
        <v>6440</v>
      </c>
      <c r="M15" s="21">
        <f t="shared" si="2"/>
        <v>70840</v>
      </c>
      <c r="N15" s="94">
        <f>Table4434[[#This Row],[Actual working days/machine hours ]]*Table4434[[#This Row],[RATE HOUR /DAY]]</f>
        <v>70840</v>
      </c>
      <c r="O15" s="22" t="s">
        <v>0</v>
      </c>
      <c r="P15" s="19"/>
    </row>
    <row r="16" spans="1:16" ht="15.6" x14ac:dyDescent="0.3">
      <c r="A16" s="44">
        <v>13</v>
      </c>
      <c r="B16" s="18" t="s">
        <v>467</v>
      </c>
      <c r="C16" s="19" t="s">
        <v>6</v>
      </c>
      <c r="D16" s="20">
        <v>9</v>
      </c>
      <c r="E16" s="20">
        <v>9</v>
      </c>
      <c r="F16" s="23">
        <v>284</v>
      </c>
      <c r="G16" s="23">
        <v>105</v>
      </c>
      <c r="H16" s="92">
        <f>IFERROR(_xlfn.XLOOKUP(B16,[20]Sheet1!$C:$C,[20]Sheet1!$K:$K,_xlfn.XLOOKUP(B16,[20]Sheet1!$B:$B,[20]Sheet1!$K:$K,"")),"")</f>
        <v>3.8</v>
      </c>
      <c r="I16" s="92" t="str">
        <f>IFERROR(_xlfn.XLOOKUP(B16,[20]Sheet1!$C:$C,[20]Sheet1!$J:$J,_xlfn.XLOOKUP(B16,[20]Sheet1!$B:$B,[20]Sheet1!$J:$J,"")),"")</f>
        <v>km/L</v>
      </c>
      <c r="J16" s="93">
        <f t="shared" si="0"/>
        <v>399</v>
      </c>
      <c r="K16" s="20">
        <f t="shared" si="1"/>
        <v>2.7047619047619049</v>
      </c>
      <c r="L16" s="21">
        <v>6440</v>
      </c>
      <c r="M16" s="21">
        <f t="shared" si="2"/>
        <v>57960</v>
      </c>
      <c r="N16" s="94">
        <f>Table4434[[#This Row],[Actual working days/machine hours ]]*Table4434[[#This Row],[RATE HOUR /DAY]]</f>
        <v>57960</v>
      </c>
      <c r="O16" s="22" t="s">
        <v>0</v>
      </c>
      <c r="P16" s="19"/>
    </row>
    <row r="17" spans="1:16" s="64" customFormat="1" ht="15.6" x14ac:dyDescent="0.3">
      <c r="A17" s="100">
        <v>14</v>
      </c>
      <c r="B17" s="54" t="s">
        <v>488</v>
      </c>
      <c r="C17" s="56" t="s">
        <v>6</v>
      </c>
      <c r="D17" s="57">
        <v>10</v>
      </c>
      <c r="E17" s="57">
        <v>10</v>
      </c>
      <c r="F17" s="101">
        <v>313</v>
      </c>
      <c r="G17" s="101">
        <v>60</v>
      </c>
      <c r="H17" s="102">
        <f>IFERROR(_xlfn.XLOOKUP(B17,[20]Sheet1!$C:$C,[20]Sheet1!$K:$K,_xlfn.XLOOKUP(B17,[20]Sheet1!$B:$B,[20]Sheet1!$K:$K,"")),"")</f>
        <v>3.8</v>
      </c>
      <c r="I17" s="102" t="str">
        <f>IFERROR(_xlfn.XLOOKUP(B17,[20]Sheet1!$C:$C,[20]Sheet1!$J:$J,_xlfn.XLOOKUP(B17,[20]Sheet1!$B:$B,[20]Sheet1!$J:$J,"")),"")</f>
        <v>km/L</v>
      </c>
      <c r="J17" s="102">
        <f t="shared" si="0"/>
        <v>228</v>
      </c>
      <c r="K17" s="57">
        <f t="shared" si="1"/>
        <v>5.2166666666666668</v>
      </c>
      <c r="L17" s="103">
        <v>6440</v>
      </c>
      <c r="M17" s="103">
        <f t="shared" si="2"/>
        <v>64400</v>
      </c>
      <c r="N17" s="104">
        <f>Table4434[[#This Row],[Actual working days/machine hours ]]*Table4434[[#This Row],[RATE HOUR /DAY]]</f>
        <v>64400</v>
      </c>
      <c r="O17" s="63" t="s">
        <v>0</v>
      </c>
      <c r="P17" s="56"/>
    </row>
    <row r="18" spans="1:16" ht="15.6" x14ac:dyDescent="0.3">
      <c r="A18" s="44">
        <v>15</v>
      </c>
      <c r="B18" s="18" t="s">
        <v>842</v>
      </c>
      <c r="C18" s="19" t="s">
        <v>1153</v>
      </c>
      <c r="D18" s="20">
        <v>5</v>
      </c>
      <c r="E18" s="20">
        <v>5</v>
      </c>
      <c r="F18" s="23">
        <v>480</v>
      </c>
      <c r="G18" s="23">
        <v>55</v>
      </c>
      <c r="H18" s="92">
        <f>IFERROR(_xlfn.XLOOKUP(B18,[20]Sheet1!$C:$C,[20]Sheet1!$K:$K,_xlfn.XLOOKUP(B18,[20]Sheet1!$B:$B,[20]Sheet1!$K:$K,"")),"")</f>
        <v>14.1</v>
      </c>
      <c r="I18" s="92" t="str">
        <f>IFERROR(_xlfn.XLOOKUP(B18,[20]Sheet1!$C:$C,[20]Sheet1!$J:$J,_xlfn.XLOOKUP(B18,[20]Sheet1!$B:$B,[20]Sheet1!$J:$J,"")),"")</f>
        <v>km/L</v>
      </c>
      <c r="J18" s="93">
        <f t="shared" si="0"/>
        <v>775.5</v>
      </c>
      <c r="K18" s="20">
        <f t="shared" si="1"/>
        <v>8.7272727272727266</v>
      </c>
      <c r="L18" s="21">
        <v>3080</v>
      </c>
      <c r="M18" s="21">
        <f t="shared" si="2"/>
        <v>15400</v>
      </c>
      <c r="N18" s="94">
        <f>Table4434[[#This Row],[Actual working days/machine hours ]]*Table4434[[#This Row],[RATE HOUR /DAY]]</f>
        <v>15400</v>
      </c>
      <c r="O18" s="22" t="s">
        <v>0</v>
      </c>
      <c r="P18" s="19"/>
    </row>
    <row r="19" spans="1:16" ht="15.6" x14ac:dyDescent="0.3">
      <c r="A19" s="44">
        <v>16</v>
      </c>
      <c r="B19" s="18" t="s">
        <v>51</v>
      </c>
      <c r="C19" s="19" t="s">
        <v>1154</v>
      </c>
      <c r="D19" s="20">
        <v>19</v>
      </c>
      <c r="E19" s="20">
        <v>19</v>
      </c>
      <c r="F19" s="23">
        <v>1063</v>
      </c>
      <c r="G19" s="23">
        <v>170</v>
      </c>
      <c r="H19" s="92">
        <f>IFERROR(_xlfn.XLOOKUP(B19,[20]Sheet1!$C:$C,[20]Sheet1!$K:$K,_xlfn.XLOOKUP(B19,[20]Sheet1!$B:$B,[20]Sheet1!$K:$K,"")),"")</f>
        <v>5</v>
      </c>
      <c r="I19" s="92" t="str">
        <f>IFERROR(_xlfn.XLOOKUP(B19,[20]Sheet1!$C:$C,[20]Sheet1!$J:$J,_xlfn.XLOOKUP(B19,[20]Sheet1!$B:$B,[20]Sheet1!$J:$J,"")),"")</f>
        <v>L/hr</v>
      </c>
      <c r="J19" s="93">
        <f t="shared" si="0"/>
        <v>34</v>
      </c>
      <c r="K19" s="20">
        <f t="shared" si="1"/>
        <v>6.2529411764705882</v>
      </c>
      <c r="L19" s="21">
        <v>2800</v>
      </c>
      <c r="M19" s="21">
        <f t="shared" si="2"/>
        <v>53200</v>
      </c>
      <c r="N19" s="94">
        <f>Table4434[[#This Row],[Actual working days/machine hours ]]*Table4434[[#This Row],[RATE HOUR /DAY]]</f>
        <v>53200</v>
      </c>
      <c r="O19" s="22" t="s">
        <v>0</v>
      </c>
      <c r="P19" s="19"/>
    </row>
    <row r="20" spans="1:16" ht="15.6" x14ac:dyDescent="0.3">
      <c r="A20" s="44">
        <v>17</v>
      </c>
      <c r="B20" s="18" t="s">
        <v>73</v>
      </c>
      <c r="C20" s="19" t="s">
        <v>74</v>
      </c>
      <c r="D20" s="20">
        <v>44.6</v>
      </c>
      <c r="E20" s="20">
        <v>44.6</v>
      </c>
      <c r="F20" s="23"/>
      <c r="G20" s="23">
        <v>440</v>
      </c>
      <c r="H20" s="92">
        <f>IFERROR(_xlfn.XLOOKUP(B20,[20]Sheet1!$C:$C,[20]Sheet1!$K:$K,_xlfn.XLOOKUP(B20,[20]Sheet1!$B:$B,[20]Sheet1!$K:$K,"")),"")</f>
        <v>11.5</v>
      </c>
      <c r="I20" s="92" t="str">
        <f>IFERROR(_xlfn.XLOOKUP(B20,[20]Sheet1!$C:$C,[20]Sheet1!$J:$J,_xlfn.XLOOKUP(B20,[20]Sheet1!$B:$B,[20]Sheet1!$J:$J,"")),"")</f>
        <v>L/hr</v>
      </c>
      <c r="J20" s="93">
        <f t="shared" si="0"/>
        <v>38.260869565217391</v>
      </c>
      <c r="K20" s="20">
        <f>Table4434[[#This Row],[Fuel]]/Table4434[[#This Row],[Actual working days/machine hours ]]</f>
        <v>9.8654708520179373</v>
      </c>
      <c r="L20" s="21">
        <v>3600</v>
      </c>
      <c r="M20" s="21">
        <f t="shared" si="2"/>
        <v>160560</v>
      </c>
      <c r="N20" s="94">
        <f>Table4434[[#This Row],[Actual working days/machine hours ]]*Table4434[[#This Row],[RATE HOUR /DAY]]</f>
        <v>160560</v>
      </c>
      <c r="O20" s="22"/>
      <c r="P20" s="19"/>
    </row>
    <row r="21" spans="1:16" ht="15.6" x14ac:dyDescent="0.3">
      <c r="A21" s="44">
        <v>18</v>
      </c>
      <c r="B21" s="18" t="s">
        <v>591</v>
      </c>
      <c r="C21" s="19" t="s">
        <v>74</v>
      </c>
      <c r="D21" s="20">
        <v>15</v>
      </c>
      <c r="E21" s="20">
        <v>15</v>
      </c>
      <c r="F21" s="23"/>
      <c r="G21" s="23">
        <v>180</v>
      </c>
      <c r="H21" s="92">
        <f>IFERROR(_xlfn.XLOOKUP(B21,[20]Sheet1!$C:$C,[20]Sheet1!$K:$K,_xlfn.XLOOKUP(B21,[20]Sheet1!$B:$B,[20]Sheet1!$K:$K,"")),"")</f>
        <v>11.5</v>
      </c>
      <c r="I21" s="92" t="str">
        <f>IFERROR(_xlfn.XLOOKUP(B21,[20]Sheet1!$C:$C,[20]Sheet1!$J:$J,_xlfn.XLOOKUP(B21,[20]Sheet1!$B:$B,[20]Sheet1!$J:$J,"")),"")</f>
        <v>L/hr</v>
      </c>
      <c r="J21" s="93">
        <f t="shared" si="0"/>
        <v>15.652173913043478</v>
      </c>
      <c r="K21" s="20">
        <f>Table4434[[#This Row],[Fuel]]/Table4434[[#This Row],[Actual working days/machine hours ]]</f>
        <v>12</v>
      </c>
      <c r="L21" s="21">
        <v>3600</v>
      </c>
      <c r="M21" s="21">
        <f t="shared" si="2"/>
        <v>54000</v>
      </c>
      <c r="N21" s="94">
        <f>Table4434[[#This Row],[Actual working days/machine hours ]]*Table4434[[#This Row],[RATE HOUR /DAY]]</f>
        <v>54000</v>
      </c>
      <c r="O21" s="22" t="s">
        <v>0</v>
      </c>
      <c r="P21" s="19"/>
    </row>
    <row r="22" spans="1:16" ht="15.6" x14ac:dyDescent="0.3">
      <c r="A22" s="44">
        <v>19</v>
      </c>
      <c r="B22" s="18" t="s">
        <v>579</v>
      </c>
      <c r="C22" s="99" t="s">
        <v>1155</v>
      </c>
      <c r="D22" s="95"/>
      <c r="E22" s="95"/>
      <c r="F22" s="96"/>
      <c r="G22" s="96"/>
      <c r="H22" s="92">
        <f>IFERROR(_xlfn.XLOOKUP(B22,[20]Sheet1!$C:$C,[20]Sheet1!$K:$K,_xlfn.XLOOKUP(B22,[20]Sheet1!$B:$B,[20]Sheet1!$K:$K,"")),"")</f>
        <v>15.8</v>
      </c>
      <c r="I22" s="92" t="str">
        <f>IFERROR(_xlfn.XLOOKUP(B22,[20]Sheet1!$C:$C,[20]Sheet1!$J:$J,_xlfn.XLOOKUP(B22,[20]Sheet1!$B:$B,[20]Sheet1!$J:$J,"")),"")</f>
        <v>L/hr</v>
      </c>
      <c r="J22" s="93">
        <f t="shared" si="0"/>
        <v>0</v>
      </c>
      <c r="K22" s="95"/>
      <c r="L22" s="21">
        <v>3600</v>
      </c>
      <c r="M22" s="21">
        <f t="shared" si="2"/>
        <v>0</v>
      </c>
      <c r="N22" s="97">
        <f>Table4434[[#This Row],[Actual working days/machine hours ]]*Table4434[[#This Row],[RATE HOUR /DAY]]</f>
        <v>0</v>
      </c>
      <c r="O22" s="98"/>
      <c r="P22" s="99"/>
    </row>
    <row r="23" spans="1:16" ht="15.6" x14ac:dyDescent="0.3">
      <c r="A23" s="44">
        <v>20</v>
      </c>
      <c r="B23" s="18" t="s">
        <v>1156</v>
      </c>
      <c r="C23" s="19" t="s">
        <v>62</v>
      </c>
      <c r="D23" s="20">
        <v>34.700000000000003</v>
      </c>
      <c r="E23" s="20">
        <v>34.700000000000003</v>
      </c>
      <c r="F23" s="23"/>
      <c r="G23" s="23">
        <v>330</v>
      </c>
      <c r="H23" s="92">
        <f>IFERROR(_xlfn.XLOOKUP(B23,[20]Sheet1!$C:$C,[20]Sheet1!$K:$K,_xlfn.XLOOKUP(B23,[20]Sheet1!$B:$B,[20]Sheet1!$K:$K,"")),"")</f>
        <v>13</v>
      </c>
      <c r="I23" s="92" t="str">
        <f>IFERROR(_xlfn.XLOOKUP(B23,[20]Sheet1!$C:$C,[20]Sheet1!$J:$J,_xlfn.XLOOKUP(B23,[20]Sheet1!$B:$B,[20]Sheet1!$J:$J,"")),"")</f>
        <v>L/hr</v>
      </c>
      <c r="J23" s="93">
        <f t="shared" si="0"/>
        <v>25.384615384615383</v>
      </c>
      <c r="K23" s="20">
        <f>Table4434[[#This Row],[Fuel]]/Table4434[[#This Row],[Actual working days/machine hours ]]</f>
        <v>9.5100864553314111</v>
      </c>
      <c r="L23" s="21">
        <v>3300</v>
      </c>
      <c r="M23" s="21">
        <f>Table4434[[#This Row],[Days/hours consider for costing]]*Table4434[[#This Row],[RATE HOUR /DAY]]</f>
        <v>114510.00000000001</v>
      </c>
      <c r="N23" s="94">
        <f>Table4434[[#This Row],[Actual working days/machine hours ]]*Table4434[[#This Row],[RATE HOUR /DAY]]</f>
        <v>114510.00000000001</v>
      </c>
      <c r="O23" s="22" t="s">
        <v>0</v>
      </c>
      <c r="P23" s="19"/>
    </row>
    <row r="24" spans="1:16" ht="15.6" x14ac:dyDescent="0.3">
      <c r="A24" s="44">
        <v>21</v>
      </c>
      <c r="B24" s="18" t="s">
        <v>739</v>
      </c>
      <c r="C24" s="19" t="s">
        <v>62</v>
      </c>
      <c r="D24" s="20">
        <v>10.3</v>
      </c>
      <c r="E24" s="20">
        <v>10.3</v>
      </c>
      <c r="F24" s="23"/>
      <c r="G24" s="23">
        <v>120</v>
      </c>
      <c r="H24" s="92">
        <f>IFERROR(_xlfn.XLOOKUP(B24,[20]Sheet1!$C:$C,[20]Sheet1!$K:$K,_xlfn.XLOOKUP(B24,[20]Sheet1!$B:$B,[20]Sheet1!$K:$K,"")),"")</f>
        <v>13</v>
      </c>
      <c r="I24" s="92" t="str">
        <f>IFERROR(_xlfn.XLOOKUP(B24,[20]Sheet1!$C:$C,[20]Sheet1!$J:$J,_xlfn.XLOOKUP(B24,[20]Sheet1!$B:$B,[20]Sheet1!$J:$J,"")),"")</f>
        <v>L/hr</v>
      </c>
      <c r="J24" s="93">
        <f t="shared" si="0"/>
        <v>9.2307692307692299</v>
      </c>
      <c r="K24" s="20"/>
      <c r="L24" s="21">
        <v>3300</v>
      </c>
      <c r="M24" s="21">
        <f>Table4434[[#This Row],[Days/hours consider for costing]]*Table4434[[#This Row],[RATE HOUR /DAY]]</f>
        <v>33990</v>
      </c>
      <c r="N24" s="94">
        <f>Table4434[[#This Row],[Actual working days/machine hours ]]*Table4434[[#This Row],[RATE HOUR /DAY]]</f>
        <v>33990</v>
      </c>
      <c r="O24" s="22"/>
      <c r="P24" s="19"/>
    </row>
    <row r="25" spans="1:16" ht="15.6" x14ac:dyDescent="0.3">
      <c r="A25" s="44">
        <v>22</v>
      </c>
      <c r="B25" s="18" t="s">
        <v>182</v>
      </c>
      <c r="C25" s="19" t="s">
        <v>1</v>
      </c>
      <c r="D25" s="20">
        <v>77.5</v>
      </c>
      <c r="E25" s="20">
        <v>77.5</v>
      </c>
      <c r="F25" s="23"/>
      <c r="G25" s="23">
        <v>305</v>
      </c>
      <c r="H25" s="92">
        <f>IFERROR(_xlfn.XLOOKUP(B25,[20]Sheet1!$C:$C,[20]Sheet1!$K:$K,_xlfn.XLOOKUP(B25,[20]Sheet1!$B:$B,[20]Sheet1!$K:$K,"")),"")</f>
        <v>5</v>
      </c>
      <c r="I25" s="92" t="str">
        <f>IFERROR(_xlfn.XLOOKUP(B25,[20]Sheet1!$C:$C,[20]Sheet1!$J:$J,_xlfn.XLOOKUP(B25,[20]Sheet1!$B:$B,[20]Sheet1!$J:$J,"")),"")</f>
        <v>L/hr</v>
      </c>
      <c r="J25" s="93">
        <f t="shared" si="0"/>
        <v>61</v>
      </c>
      <c r="K25" s="20">
        <f>Table4434[[#This Row],[Fuel]]/Table4434[[#This Row],[Actual working days/machine hours ]]</f>
        <v>3.935483870967742</v>
      </c>
      <c r="L25" s="21">
        <v>2000</v>
      </c>
      <c r="M25" s="21">
        <f>Table4434[[#This Row],[Days/hours consider for costing]]*Table4434[[#This Row],[RATE HOUR /DAY]]</f>
        <v>155000</v>
      </c>
      <c r="N25" s="94">
        <f>Table4434[[#This Row],[Actual working days/machine hours ]]*Table4434[[#This Row],[RATE HOUR /DAY]]</f>
        <v>155000</v>
      </c>
      <c r="O25" s="22" t="s">
        <v>0</v>
      </c>
      <c r="P25" s="19"/>
    </row>
    <row r="26" spans="1:16" ht="15.6" x14ac:dyDescent="0.3">
      <c r="A26" s="44">
        <v>23</v>
      </c>
      <c r="B26" s="18" t="s">
        <v>917</v>
      </c>
      <c r="C26" s="19" t="s">
        <v>67</v>
      </c>
      <c r="D26" s="20">
        <v>17</v>
      </c>
      <c r="E26" s="20">
        <v>17</v>
      </c>
      <c r="F26" s="23"/>
      <c r="G26" s="23">
        <v>140</v>
      </c>
      <c r="H26" s="92">
        <f>IFERROR(_xlfn.XLOOKUP(B26,[20]Sheet1!$C:$C,[20]Sheet1!$K:$K,_xlfn.XLOOKUP(B26,[20]Sheet1!$B:$B,[20]Sheet1!$K:$K,"")),"")</f>
        <v>4.3</v>
      </c>
      <c r="I26" s="92" t="str">
        <f>IFERROR(_xlfn.XLOOKUP(B26,[20]Sheet1!$C:$C,[20]Sheet1!$J:$J,_xlfn.XLOOKUP(B26,[20]Sheet1!$B:$B,[20]Sheet1!$J:$J,"")),"")</f>
        <v>L/hr</v>
      </c>
      <c r="J26" s="93">
        <f t="shared" si="0"/>
        <v>32.558139534883722</v>
      </c>
      <c r="K26" s="20">
        <f>Table4434[[#This Row],[Fuel]]/Table4434[[#This Row],[Actual working days/machine hours ]]</f>
        <v>8.235294117647058</v>
      </c>
      <c r="L26" s="21">
        <v>3200</v>
      </c>
      <c r="M26" s="21">
        <f>Table4434[[#This Row],[Days/hours consider for costing]]*Table4434[[#This Row],[RATE HOUR /DAY]]</f>
        <v>54400</v>
      </c>
      <c r="N26" s="94">
        <f>Table4434[[#This Row],[Actual working days/machine hours ]]*Table4434[[#This Row],[RATE HOUR /DAY]]</f>
        <v>54400</v>
      </c>
      <c r="O26" s="22" t="s">
        <v>0</v>
      </c>
      <c r="P26" s="19"/>
    </row>
    <row r="27" spans="1:16" ht="15.6" x14ac:dyDescent="0.3">
      <c r="A27" s="44">
        <v>24</v>
      </c>
      <c r="B27" s="18" t="s">
        <v>885</v>
      </c>
      <c r="C27" s="19" t="s">
        <v>1157</v>
      </c>
      <c r="D27" s="20"/>
      <c r="E27" s="20"/>
      <c r="F27" s="23"/>
      <c r="G27" s="23"/>
      <c r="H27" s="92">
        <f>IFERROR(_xlfn.XLOOKUP(B27,[20]Sheet1!$C:$C,[20]Sheet1!$K:$K,_xlfn.XLOOKUP(B27,[20]Sheet1!$B:$B,[20]Sheet1!$K:$K,"")),"")</f>
        <v>3.2</v>
      </c>
      <c r="I27" s="92" t="str">
        <f>IFERROR(_xlfn.XLOOKUP(B27,[20]Sheet1!$C:$C,[20]Sheet1!$J:$J,_xlfn.XLOOKUP(B27,[20]Sheet1!$B:$B,[20]Sheet1!$J:$J,"")),"")</f>
        <v>L/hr</v>
      </c>
      <c r="J27" s="93">
        <f t="shared" si="0"/>
        <v>0</v>
      </c>
      <c r="K27" s="20" t="e">
        <f>Table4434[[#This Row],[Fuel]]/Table4434[[#This Row],[Actual working days/machine hours ]]</f>
        <v>#DIV/0!</v>
      </c>
      <c r="L27" s="21">
        <v>1680</v>
      </c>
      <c r="M27" s="21">
        <f>Table4434[[#This Row],[Days/hours consider for costing]]*Table4434[[#This Row],[RATE HOUR /DAY]]</f>
        <v>0</v>
      </c>
      <c r="N27" s="94">
        <f>Table4434[[#This Row],[Actual working days/machine hours ]]*Table4434[[#This Row],[RATE HOUR /DAY]]</f>
        <v>0</v>
      </c>
      <c r="O27" s="105" t="s">
        <v>0</v>
      </c>
      <c r="P27" s="19"/>
    </row>
    <row r="28" spans="1:16" x14ac:dyDescent="0.3">
      <c r="C28" s="3"/>
      <c r="D28" s="4"/>
      <c r="E28" s="4"/>
      <c r="P28" s="31"/>
    </row>
    <row r="29" spans="1:16" ht="16.2" thickBot="1" x14ac:dyDescent="0.35">
      <c r="A29" s="5"/>
      <c r="B29" s="5"/>
      <c r="C29" s="6"/>
      <c r="D29" s="106"/>
      <c r="E29" s="7"/>
      <c r="F29" s="5"/>
      <c r="G29" s="8"/>
      <c r="H29" s="8"/>
      <c r="I29" s="8"/>
      <c r="J29" s="8"/>
      <c r="K29" s="9"/>
      <c r="L29" s="10"/>
      <c r="M29" s="25">
        <f>SUM(M4:M28)</f>
        <v>1151740</v>
      </c>
      <c r="N29" s="25">
        <f>SUM(N4:N28)</f>
        <v>1151740</v>
      </c>
      <c r="O29" s="5"/>
      <c r="P29" s="31"/>
    </row>
    <row r="30" spans="1:16" ht="15" thickTop="1" x14ac:dyDescent="0.3"/>
  </sheetData>
  <mergeCells count="2">
    <mergeCell ref="A1:P1"/>
    <mergeCell ref="A2:P2"/>
  </mergeCells>
  <hyperlinks>
    <hyperlink ref="B23" location="'SL-03'!A1" display="SL-03" xr:uid="{6E367B5C-F08C-480D-B384-D9F618C02ED4}"/>
    <hyperlink ref="B27" location="'SL-03'!A1" display="SL-03" xr:uid="{F94D2235-5472-43F3-9DBD-B6A66FBDE720}"/>
    <hyperlink ref="B10" location="'LO-7182'!A1" display="LO-7182" xr:uid="{831164F2-6F85-4A88-86E3-3B0BA1358767}"/>
    <hyperlink ref="B26" location="'SL-03'!A1" display="SL-03" xr:uid="{223FE701-41C2-4046-B435-D0D463366EDF}"/>
    <hyperlink ref="B25" location="'SL-03'!A1" display="SL-03" xr:uid="{BBA3788D-7C55-4BA3-893D-839273EFB24E}"/>
    <hyperlink ref="B19" location="'LM-5722'!A1" display="LM-5722" xr:uid="{9A3812C4-4B34-4364-8C75-84E14DCAEDFC}"/>
    <hyperlink ref="B15" location="'LM-5722'!A1" display="LM-5722" xr:uid="{47C98494-98D7-41BE-83D7-9F6AD1B4F3CE}"/>
    <hyperlink ref="B18" location="'LM-5722'!A1" display="LM-5722" xr:uid="{2E540698-1CC5-4881-92D2-83112B44C028}"/>
    <hyperlink ref="B5" location="'LO-7182'!A1" display="LO-7182" xr:uid="{23835B78-168D-42BE-A18A-79ED45C73D27}"/>
    <hyperlink ref="B9" location="'LO-7182'!A1" display="LO-7182" xr:uid="{50769925-8FB6-4DFD-98E0-89836834BEA6}"/>
    <hyperlink ref="B13" location="'LM-5722'!A1" display="LM-5722" xr:uid="{C0219D2C-5A3F-4BD1-B831-C7967B45424E}"/>
    <hyperlink ref="B11" location="'LO-7182'!A1" display="LO-7182" xr:uid="{C2571A10-7900-4C39-86C0-2CBB3E468CBD}"/>
    <hyperlink ref="B4" location="'LM-7949'!A1" display="LM-7949" xr:uid="{C79B7F4C-9516-4999-A7C0-919FAB0B867C}"/>
    <hyperlink ref="B21" location="'HEX-41'!A1" display="HEX-41" xr:uid="{3128D7D5-D471-4CD5-8E99-5B5E06192EA9}"/>
    <hyperlink ref="B7" location="'LO-7182'!A1" display="LO-7182" xr:uid="{82341EF7-24BC-428C-B005-CECF60EFD261}"/>
    <hyperlink ref="B16" location="'LM-5722'!A1" display="LM-5722" xr:uid="{F95B08D9-AE42-4D4B-B1F1-8693D65552A3}"/>
    <hyperlink ref="B17" location="'LM-5722'!A1" display="LM-5722" xr:uid="{94B09836-6078-4342-8F83-DD21D68D6A22}"/>
    <hyperlink ref="B14" location="'LM-5722'!A1" display="LM-5722" xr:uid="{AAC66A0B-AF63-4FA2-9D53-16FB243E2C99}"/>
    <hyperlink ref="B8" location="'LO-7182'!A1" display="LO-7182" xr:uid="{FF12FA8E-6773-42B1-89A9-9904168230F1}"/>
    <hyperlink ref="B6" location="'LO-7182'!A1" display="LO-7182" xr:uid="{D6D1BC13-7541-4485-B28B-88944A52F5EC}"/>
    <hyperlink ref="B20" location="'HEX-41'!A1" display="HEX-41" xr:uid="{8B45D032-78B4-49A8-929B-DAF98FCF8B53}"/>
    <hyperlink ref="B24" location="'SL-03'!A1" display="SL-03" xr:uid="{8793C409-7DD9-4C59-B1BE-0EE96AED0B84}"/>
    <hyperlink ref="B12" location="'LO-7182'!A1" display="LO-7182" xr:uid="{4A09F160-C9A0-4BE0-88FA-C35383130C1C}"/>
    <hyperlink ref="B22" location="'HEX-41'!A1" display="HEX-41" xr:uid="{77C1ED24-0CFB-4F81-BB1F-8C3166EDEBE7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801-5847-4DC1-A55B-84AAEF737A75}">
  <dimension ref="A1:R537"/>
  <sheetViews>
    <sheetView topLeftCell="D412" workbookViewId="0">
      <selection activeCell="I421" sqref="I421:J421"/>
    </sheetView>
  </sheetViews>
  <sheetFormatPr defaultColWidth="8.6640625" defaultRowHeight="14.4" x14ac:dyDescent="0.3"/>
  <cols>
    <col min="1" max="1" width="5" customWidth="1"/>
    <col min="2" max="2" width="9" customWidth="1"/>
    <col min="3" max="3" width="11" customWidth="1"/>
    <col min="4" max="4" width="20" customWidth="1"/>
    <col min="5" max="5" width="24" customWidth="1"/>
    <col min="6" max="6" width="6" customWidth="1"/>
    <col min="7" max="7" width="8" customWidth="1"/>
    <col min="8" max="8" width="7" customWidth="1"/>
    <col min="9" max="9" width="19" customWidth="1"/>
    <col min="10" max="10" width="6" customWidth="1"/>
    <col min="11" max="12" width="9" customWidth="1"/>
    <col min="13" max="13" width="10" customWidth="1"/>
    <col min="14" max="14" width="7" customWidth="1"/>
    <col min="15" max="17" width="12" customWidth="1"/>
    <col min="18" max="18" width="9" customWidth="1"/>
  </cols>
  <sheetData>
    <row r="1" spans="1:18" ht="24" hidden="1" customHeight="1" x14ac:dyDescent="0.4">
      <c r="A1" s="112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ht="45.75" hidden="1" customHeight="1" x14ac:dyDescent="0.3">
      <c r="A2" s="113" t="s">
        <v>80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spans="1:18" hidden="1" x14ac:dyDescent="0.3"/>
    <row r="4" spans="1:18" ht="15" hidden="1" customHeight="1" x14ac:dyDescent="0.3">
      <c r="A4" s="111" t="s">
        <v>81</v>
      </c>
      <c r="B4" s="111"/>
      <c r="C4" s="111"/>
      <c r="D4" s="111"/>
      <c r="E4" s="111"/>
      <c r="F4" s="111"/>
    </row>
    <row r="5" spans="1:18" ht="15" hidden="1" customHeight="1" x14ac:dyDescent="0.3">
      <c r="A5" s="110" t="s">
        <v>82</v>
      </c>
      <c r="B5" s="110"/>
      <c r="C5" s="110"/>
      <c r="D5" s="70">
        <v>478</v>
      </c>
      <c r="E5" s="71" t="s">
        <v>83</v>
      </c>
    </row>
    <row r="6" spans="1:18" ht="15" hidden="1" customHeight="1" x14ac:dyDescent="0.3">
      <c r="A6" s="110" t="s">
        <v>84</v>
      </c>
      <c r="B6" s="110"/>
      <c r="C6" s="110"/>
      <c r="D6" s="70">
        <v>434</v>
      </c>
    </row>
    <row r="7" spans="1:18" hidden="1" x14ac:dyDescent="0.3"/>
    <row r="8" spans="1:18" ht="23.25" hidden="1" customHeight="1" x14ac:dyDescent="0.3">
      <c r="A8" s="110" t="s">
        <v>85</v>
      </c>
      <c r="B8" s="110"/>
      <c r="C8" s="110"/>
      <c r="D8" s="72">
        <v>2026</v>
      </c>
    </row>
    <row r="9" spans="1:18" ht="15" hidden="1" customHeight="1" x14ac:dyDescent="0.3">
      <c r="A9" s="110" t="s">
        <v>86</v>
      </c>
      <c r="B9" s="110"/>
      <c r="C9" s="110"/>
      <c r="D9" s="73">
        <v>7.0000000000000001E-3</v>
      </c>
      <c r="E9" s="71" t="s">
        <v>87</v>
      </c>
    </row>
    <row r="10" spans="1:18" ht="15" hidden="1" customHeight="1" x14ac:dyDescent="0.3">
      <c r="A10" s="110" t="s">
        <v>88</v>
      </c>
      <c r="B10" s="110"/>
      <c r="C10" s="110"/>
      <c r="D10" s="72">
        <v>25</v>
      </c>
    </row>
    <row r="11" spans="1:18" ht="15" customHeight="1" x14ac:dyDescent="0.3">
      <c r="A11" s="111" t="s">
        <v>89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</row>
    <row r="12" spans="1:18" ht="30" customHeight="1" x14ac:dyDescent="0.3">
      <c r="A12" s="74" t="s">
        <v>90</v>
      </c>
      <c r="B12" s="74" t="s">
        <v>91</v>
      </c>
      <c r="C12" s="74" t="s">
        <v>92</v>
      </c>
      <c r="D12" s="74" t="s">
        <v>93</v>
      </c>
      <c r="E12" s="74" t="s">
        <v>94</v>
      </c>
      <c r="F12" s="74" t="s">
        <v>95</v>
      </c>
      <c r="G12" s="74" t="s">
        <v>10</v>
      </c>
      <c r="H12" s="74" t="s">
        <v>96</v>
      </c>
      <c r="I12" s="74" t="s">
        <v>97</v>
      </c>
      <c r="J12" s="74" t="s">
        <v>98</v>
      </c>
      <c r="K12" s="74" t="s">
        <v>99</v>
      </c>
      <c r="L12" s="74" t="s">
        <v>100</v>
      </c>
      <c r="M12" s="74" t="s">
        <v>101</v>
      </c>
      <c r="N12" s="74" t="s">
        <v>102</v>
      </c>
      <c r="O12" s="74" t="s">
        <v>103</v>
      </c>
      <c r="P12" s="74" t="s">
        <v>104</v>
      </c>
      <c r="Q12" s="74" t="s">
        <v>105</v>
      </c>
      <c r="R12" s="74" t="s">
        <v>106</v>
      </c>
    </row>
    <row r="13" spans="1:18" ht="15" customHeight="1" x14ac:dyDescent="0.3">
      <c r="A13" s="75">
        <v>1</v>
      </c>
      <c r="B13" s="75" t="s">
        <v>107</v>
      </c>
      <c r="C13" s="75" t="s">
        <v>108</v>
      </c>
      <c r="D13" s="76" t="s">
        <v>109</v>
      </c>
      <c r="E13" s="76" t="s">
        <v>110</v>
      </c>
      <c r="F13" s="75">
        <v>2012</v>
      </c>
      <c r="G13" s="75" t="s">
        <v>111</v>
      </c>
      <c r="H13" s="75" t="s">
        <v>112</v>
      </c>
      <c r="I13" s="76" t="s">
        <v>113</v>
      </c>
      <c r="J13" s="75" t="s">
        <v>114</v>
      </c>
      <c r="K13" s="77">
        <v>10.1</v>
      </c>
      <c r="L13" s="77">
        <v>14</v>
      </c>
      <c r="M13" s="77">
        <v>18.899999999999999</v>
      </c>
      <c r="N13" s="78">
        <f>1+MIN(MAX($D$8-F13,0),$D$10)*$D$9</f>
        <v>1.0980000000000001</v>
      </c>
      <c r="O13" s="79">
        <f t="shared" ref="O13:O76" si="0">IF(H13="None",0,IF(H13="KM",IF(G13="Petrol",$D$6,$D$5)*N13/K13,K13*N13*IF(G13="Petrol",$D$6,$D$5)))</f>
        <v>5300.9243999999999</v>
      </c>
      <c r="P13" s="79">
        <f t="shared" ref="P13:P76" si="1">IF(H13="None",0,IF(H13="KM",IF(G13="Petrol",$D$6,$D$5)*N13/L13,L13*N13*IF(G13="Petrol",$D$6,$D$5)))</f>
        <v>7347.8160000000007</v>
      </c>
      <c r="Q13" s="79">
        <f t="shared" ref="Q13:Q76" si="2">IF(H13="None",0,IF(H13="KM",IF(G13="Petrol",$D$6,$D$5)*N13/M13,M13*N13*IF(G13="Petrol",$D$6,$D$5)))</f>
        <v>9919.5515999999989</v>
      </c>
      <c r="R13" s="75" t="str">
        <f t="shared" ref="R13:R76" si="3">IF(H13="None","—",IF(H13="KM","Rs./km","Rs./hr"))</f>
        <v>Rs./hr</v>
      </c>
    </row>
    <row r="14" spans="1:18" ht="15" customHeight="1" x14ac:dyDescent="0.3">
      <c r="A14" s="75">
        <v>2</v>
      </c>
      <c r="B14" s="75" t="s">
        <v>115</v>
      </c>
      <c r="C14" s="75" t="s">
        <v>108</v>
      </c>
      <c r="D14" s="76" t="s">
        <v>109</v>
      </c>
      <c r="E14" s="76" t="s">
        <v>116</v>
      </c>
      <c r="F14" s="75">
        <v>2013</v>
      </c>
      <c r="G14" s="75" t="s">
        <v>111</v>
      </c>
      <c r="H14" s="75" t="s">
        <v>112</v>
      </c>
      <c r="I14" s="76" t="s">
        <v>113</v>
      </c>
      <c r="J14" s="75" t="s">
        <v>114</v>
      </c>
      <c r="K14" s="77">
        <v>10.1</v>
      </c>
      <c r="L14" s="77">
        <v>14</v>
      </c>
      <c r="M14" s="77">
        <v>18.899999999999999</v>
      </c>
      <c r="N14" s="78">
        <f>1+MIN(MAX($D$8-F14,0),$D$10)*$D$9</f>
        <v>1.091</v>
      </c>
      <c r="O14" s="79">
        <f t="shared" si="0"/>
        <v>5267.1297999999997</v>
      </c>
      <c r="P14" s="79">
        <f t="shared" si="1"/>
        <v>7300.9719999999998</v>
      </c>
      <c r="Q14" s="79">
        <f t="shared" si="2"/>
        <v>9856.3121999999985</v>
      </c>
      <c r="R14" s="75" t="str">
        <f t="shared" si="3"/>
        <v>Rs./hr</v>
      </c>
    </row>
    <row r="15" spans="1:18" ht="15" customHeight="1" x14ac:dyDescent="0.3">
      <c r="A15" s="75">
        <v>3</v>
      </c>
      <c r="B15" s="75" t="s">
        <v>117</v>
      </c>
      <c r="C15" s="75" t="s">
        <v>108</v>
      </c>
      <c r="D15" s="76" t="s">
        <v>109</v>
      </c>
      <c r="E15" s="76" t="s">
        <v>118</v>
      </c>
      <c r="F15" s="75">
        <v>2014</v>
      </c>
      <c r="G15" s="75" t="s">
        <v>111</v>
      </c>
      <c r="H15" s="75" t="s">
        <v>112</v>
      </c>
      <c r="I15" s="76" t="s">
        <v>113</v>
      </c>
      <c r="J15" s="75" t="s">
        <v>114</v>
      </c>
      <c r="K15" s="77">
        <v>10.1</v>
      </c>
      <c r="L15" s="77">
        <v>14</v>
      </c>
      <c r="M15" s="77">
        <v>18.899999999999999</v>
      </c>
      <c r="N15" s="78">
        <f>1+MIN(MAX($D$8-F15,0),$D$10)*$D$9</f>
        <v>1.0840000000000001</v>
      </c>
      <c r="O15" s="79">
        <f t="shared" si="0"/>
        <v>5233.3352000000004</v>
      </c>
      <c r="P15" s="79">
        <f t="shared" si="1"/>
        <v>7254.1280000000006</v>
      </c>
      <c r="Q15" s="79">
        <f t="shared" si="2"/>
        <v>9793.0727999999999</v>
      </c>
      <c r="R15" s="75" t="str">
        <f t="shared" si="3"/>
        <v>Rs./hr</v>
      </c>
    </row>
    <row r="16" spans="1:18" ht="15" customHeight="1" x14ac:dyDescent="0.3">
      <c r="A16" s="75">
        <v>4</v>
      </c>
      <c r="B16" s="75" t="s">
        <v>119</v>
      </c>
      <c r="C16" s="75" t="s">
        <v>108</v>
      </c>
      <c r="D16" s="76" t="s">
        <v>109</v>
      </c>
      <c r="E16" s="76" t="s">
        <v>120</v>
      </c>
      <c r="F16" s="75">
        <v>2014</v>
      </c>
      <c r="G16" s="75" t="s">
        <v>111</v>
      </c>
      <c r="H16" s="75" t="s">
        <v>112</v>
      </c>
      <c r="I16" s="76" t="s">
        <v>113</v>
      </c>
      <c r="J16" s="75" t="s">
        <v>114</v>
      </c>
      <c r="K16" s="77">
        <v>10.1</v>
      </c>
      <c r="L16" s="77">
        <v>14</v>
      </c>
      <c r="M16" s="77">
        <v>18.899999999999999</v>
      </c>
      <c r="N16" s="78">
        <f>1+MIN(MAX($D$8-F16,0),$D$10)*$D$9</f>
        <v>1.0840000000000001</v>
      </c>
      <c r="O16" s="79">
        <f t="shared" si="0"/>
        <v>5233.3352000000004</v>
      </c>
      <c r="P16" s="79">
        <f t="shared" si="1"/>
        <v>7254.1280000000006</v>
      </c>
      <c r="Q16" s="79">
        <f t="shared" si="2"/>
        <v>9793.0727999999999</v>
      </c>
      <c r="R16" s="75" t="str">
        <f t="shared" si="3"/>
        <v>Rs./hr</v>
      </c>
    </row>
    <row r="17" spans="1:18" ht="15" customHeight="1" x14ac:dyDescent="0.3">
      <c r="A17" s="75">
        <v>5</v>
      </c>
      <c r="B17" s="75" t="s">
        <v>121</v>
      </c>
      <c r="C17" s="75" t="s">
        <v>108</v>
      </c>
      <c r="D17" s="76" t="s">
        <v>109</v>
      </c>
      <c r="E17" s="76" t="s">
        <v>122</v>
      </c>
      <c r="F17" s="75">
        <v>2012</v>
      </c>
      <c r="G17" s="75" t="s">
        <v>111</v>
      </c>
      <c r="H17" s="75" t="s">
        <v>112</v>
      </c>
      <c r="I17" s="76" t="s">
        <v>113</v>
      </c>
      <c r="J17" s="75" t="s">
        <v>114</v>
      </c>
      <c r="K17" s="77">
        <v>10.1</v>
      </c>
      <c r="L17" s="77">
        <v>14</v>
      </c>
      <c r="M17" s="77">
        <v>18.899999999999999</v>
      </c>
      <c r="N17" s="78">
        <f>1+MIN(MAX($D$8-F17,0),$D$10)*$D$9</f>
        <v>1.0980000000000001</v>
      </c>
      <c r="O17" s="79">
        <f t="shared" si="0"/>
        <v>5300.9243999999999</v>
      </c>
      <c r="P17" s="79">
        <f t="shared" si="1"/>
        <v>7347.8160000000007</v>
      </c>
      <c r="Q17" s="79">
        <f t="shared" si="2"/>
        <v>9919.5515999999989</v>
      </c>
      <c r="R17" s="75" t="str">
        <f t="shared" si="3"/>
        <v>Rs./hr</v>
      </c>
    </row>
    <row r="18" spans="1:18" ht="15" customHeight="1" x14ac:dyDescent="0.3">
      <c r="A18" s="75">
        <v>6</v>
      </c>
      <c r="B18" s="75" t="s">
        <v>123</v>
      </c>
      <c r="C18" s="75" t="s">
        <v>108</v>
      </c>
      <c r="D18" s="76" t="s">
        <v>109</v>
      </c>
      <c r="E18" s="76" t="s">
        <v>124</v>
      </c>
      <c r="F18" s="75" t="s">
        <v>108</v>
      </c>
      <c r="G18" s="75" t="s">
        <v>111</v>
      </c>
      <c r="H18" s="75" t="s">
        <v>112</v>
      </c>
      <c r="I18" s="76" t="s">
        <v>113</v>
      </c>
      <c r="J18" s="75" t="s">
        <v>114</v>
      </c>
      <c r="K18" s="77">
        <v>10.1</v>
      </c>
      <c r="L18" s="77">
        <v>14</v>
      </c>
      <c r="M18" s="77">
        <v>18.899999999999999</v>
      </c>
      <c r="N18" s="78">
        <f>1</f>
        <v>1</v>
      </c>
      <c r="O18" s="79">
        <f t="shared" si="0"/>
        <v>4827.8</v>
      </c>
      <c r="P18" s="79">
        <f t="shared" si="1"/>
        <v>6692</v>
      </c>
      <c r="Q18" s="79">
        <f t="shared" si="2"/>
        <v>9034.1999999999989</v>
      </c>
      <c r="R18" s="75" t="str">
        <f t="shared" si="3"/>
        <v>Rs./hr</v>
      </c>
    </row>
    <row r="19" spans="1:18" ht="15" customHeight="1" x14ac:dyDescent="0.3">
      <c r="A19" s="75">
        <v>7</v>
      </c>
      <c r="B19" s="75" t="s">
        <v>125</v>
      </c>
      <c r="C19" s="75" t="s">
        <v>108</v>
      </c>
      <c r="D19" s="76" t="s">
        <v>109</v>
      </c>
      <c r="E19" s="76" t="s">
        <v>124</v>
      </c>
      <c r="F19" s="75" t="s">
        <v>108</v>
      </c>
      <c r="G19" s="75" t="s">
        <v>111</v>
      </c>
      <c r="H19" s="75" t="s">
        <v>112</v>
      </c>
      <c r="I19" s="76" t="s">
        <v>113</v>
      </c>
      <c r="J19" s="75" t="s">
        <v>114</v>
      </c>
      <c r="K19" s="77">
        <v>10.1</v>
      </c>
      <c r="L19" s="77">
        <v>14</v>
      </c>
      <c r="M19" s="77">
        <v>18.899999999999999</v>
      </c>
      <c r="N19" s="78">
        <f>1</f>
        <v>1</v>
      </c>
      <c r="O19" s="79">
        <f t="shared" si="0"/>
        <v>4827.8</v>
      </c>
      <c r="P19" s="79">
        <f t="shared" si="1"/>
        <v>6692</v>
      </c>
      <c r="Q19" s="79">
        <f t="shared" si="2"/>
        <v>9034.1999999999989</v>
      </c>
      <c r="R19" s="75" t="str">
        <f t="shared" si="3"/>
        <v>Rs./hr</v>
      </c>
    </row>
    <row r="20" spans="1:18" ht="15" customHeight="1" x14ac:dyDescent="0.3">
      <c r="A20" s="75">
        <v>8</v>
      </c>
      <c r="B20" s="75" t="s">
        <v>126</v>
      </c>
      <c r="C20" s="75" t="s">
        <v>108</v>
      </c>
      <c r="D20" s="76" t="s">
        <v>109</v>
      </c>
      <c r="E20" s="76" t="s">
        <v>127</v>
      </c>
      <c r="F20" s="75">
        <v>2019</v>
      </c>
      <c r="G20" s="75" t="s">
        <v>111</v>
      </c>
      <c r="H20" s="75" t="s">
        <v>112</v>
      </c>
      <c r="I20" s="76" t="s">
        <v>113</v>
      </c>
      <c r="J20" s="75" t="s">
        <v>114</v>
      </c>
      <c r="K20" s="77">
        <v>10.1</v>
      </c>
      <c r="L20" s="77">
        <v>14</v>
      </c>
      <c r="M20" s="77">
        <v>18.899999999999999</v>
      </c>
      <c r="N20" s="78">
        <f t="shared" ref="N20:N68" si="4">1+MIN(MAX($D$8-F20,0),$D$10)*$D$9</f>
        <v>1.0489999999999999</v>
      </c>
      <c r="O20" s="79">
        <f t="shared" si="0"/>
        <v>5064.3621999999996</v>
      </c>
      <c r="P20" s="79">
        <f t="shared" si="1"/>
        <v>7019.9080000000004</v>
      </c>
      <c r="Q20" s="79">
        <f t="shared" si="2"/>
        <v>9476.875799999998</v>
      </c>
      <c r="R20" s="75" t="str">
        <f t="shared" si="3"/>
        <v>Rs./hr</v>
      </c>
    </row>
    <row r="21" spans="1:18" ht="15" customHeight="1" x14ac:dyDescent="0.3">
      <c r="A21" s="75">
        <v>9</v>
      </c>
      <c r="B21" s="75" t="s">
        <v>128</v>
      </c>
      <c r="C21" s="75" t="s">
        <v>108</v>
      </c>
      <c r="D21" s="76" t="s">
        <v>109</v>
      </c>
      <c r="E21" s="76" t="s">
        <v>129</v>
      </c>
      <c r="F21" s="75">
        <v>2012</v>
      </c>
      <c r="G21" s="75" t="s">
        <v>111</v>
      </c>
      <c r="H21" s="75" t="s">
        <v>112</v>
      </c>
      <c r="I21" s="76" t="s">
        <v>113</v>
      </c>
      <c r="J21" s="75" t="s">
        <v>114</v>
      </c>
      <c r="K21" s="77">
        <v>10.1</v>
      </c>
      <c r="L21" s="77">
        <v>14</v>
      </c>
      <c r="M21" s="77">
        <v>18.899999999999999</v>
      </c>
      <c r="N21" s="78">
        <f t="shared" si="4"/>
        <v>1.0980000000000001</v>
      </c>
      <c r="O21" s="79">
        <f t="shared" si="0"/>
        <v>5300.9243999999999</v>
      </c>
      <c r="P21" s="79">
        <f t="shared" si="1"/>
        <v>7347.8160000000007</v>
      </c>
      <c r="Q21" s="79">
        <f t="shared" si="2"/>
        <v>9919.5515999999989</v>
      </c>
      <c r="R21" s="75" t="str">
        <f t="shared" si="3"/>
        <v>Rs./hr</v>
      </c>
    </row>
    <row r="22" spans="1:18" ht="15" customHeight="1" x14ac:dyDescent="0.3">
      <c r="A22" s="75">
        <v>10</v>
      </c>
      <c r="B22" s="75" t="s">
        <v>130</v>
      </c>
      <c r="C22" s="75" t="s">
        <v>108</v>
      </c>
      <c r="D22" s="76" t="s">
        <v>109</v>
      </c>
      <c r="E22" s="76" t="s">
        <v>131</v>
      </c>
      <c r="F22" s="75">
        <v>2020</v>
      </c>
      <c r="G22" s="75" t="s">
        <v>111</v>
      </c>
      <c r="H22" s="75" t="s">
        <v>112</v>
      </c>
      <c r="I22" s="76" t="s">
        <v>113</v>
      </c>
      <c r="J22" s="75" t="s">
        <v>114</v>
      </c>
      <c r="K22" s="77">
        <v>10.1</v>
      </c>
      <c r="L22" s="77">
        <v>14</v>
      </c>
      <c r="M22" s="77">
        <v>18.899999999999999</v>
      </c>
      <c r="N22" s="78">
        <f t="shared" si="4"/>
        <v>1.042</v>
      </c>
      <c r="O22" s="79">
        <f t="shared" si="0"/>
        <v>5030.5676000000003</v>
      </c>
      <c r="P22" s="79">
        <f t="shared" si="1"/>
        <v>6973.0640000000003</v>
      </c>
      <c r="Q22" s="79">
        <f t="shared" si="2"/>
        <v>9413.6363999999994</v>
      </c>
      <c r="R22" s="75" t="str">
        <f t="shared" si="3"/>
        <v>Rs./hr</v>
      </c>
    </row>
    <row r="23" spans="1:18" ht="15" customHeight="1" x14ac:dyDescent="0.3">
      <c r="A23" s="75">
        <v>11</v>
      </c>
      <c r="B23" s="75" t="s">
        <v>132</v>
      </c>
      <c r="C23" s="75" t="s">
        <v>108</v>
      </c>
      <c r="D23" s="76" t="s">
        <v>109</v>
      </c>
      <c r="E23" s="76" t="s">
        <v>133</v>
      </c>
      <c r="F23" s="75">
        <v>2006</v>
      </c>
      <c r="G23" s="75" t="s">
        <v>111</v>
      </c>
      <c r="H23" s="75" t="s">
        <v>112</v>
      </c>
      <c r="I23" s="76" t="s">
        <v>113</v>
      </c>
      <c r="J23" s="75" t="s">
        <v>114</v>
      </c>
      <c r="K23" s="77">
        <v>10.1</v>
      </c>
      <c r="L23" s="77">
        <v>14</v>
      </c>
      <c r="M23" s="77">
        <v>18.899999999999999</v>
      </c>
      <c r="N23" s="78">
        <f t="shared" si="4"/>
        <v>1.1400000000000001</v>
      </c>
      <c r="O23" s="79">
        <f t="shared" si="0"/>
        <v>5503.6920000000009</v>
      </c>
      <c r="P23" s="79">
        <f t="shared" si="1"/>
        <v>7628.88</v>
      </c>
      <c r="Q23" s="79">
        <f t="shared" si="2"/>
        <v>10298.987999999999</v>
      </c>
      <c r="R23" s="75" t="str">
        <f t="shared" si="3"/>
        <v>Rs./hr</v>
      </c>
    </row>
    <row r="24" spans="1:18" ht="15" customHeight="1" x14ac:dyDescent="0.3">
      <c r="A24" s="75">
        <v>12</v>
      </c>
      <c r="B24" s="75" t="s">
        <v>134</v>
      </c>
      <c r="C24" s="75" t="s">
        <v>135</v>
      </c>
      <c r="D24" s="76" t="s">
        <v>136</v>
      </c>
      <c r="E24" s="76" t="s">
        <v>137</v>
      </c>
      <c r="F24" s="75">
        <v>2012</v>
      </c>
      <c r="G24" s="75" t="s">
        <v>111</v>
      </c>
      <c r="H24" s="75" t="s">
        <v>112</v>
      </c>
      <c r="I24" s="76" t="s">
        <v>113</v>
      </c>
      <c r="J24" s="75" t="s">
        <v>114</v>
      </c>
      <c r="K24" s="77">
        <v>5</v>
      </c>
      <c r="L24" s="77">
        <v>7</v>
      </c>
      <c r="M24" s="77">
        <v>9.5</v>
      </c>
      <c r="N24" s="78">
        <f t="shared" si="4"/>
        <v>1.0980000000000001</v>
      </c>
      <c r="O24" s="79">
        <f t="shared" si="0"/>
        <v>2624.2200000000003</v>
      </c>
      <c r="P24" s="79">
        <f t="shared" si="1"/>
        <v>3673.9080000000004</v>
      </c>
      <c r="Q24" s="79">
        <f t="shared" si="2"/>
        <v>4986.018</v>
      </c>
      <c r="R24" s="75" t="str">
        <f t="shared" si="3"/>
        <v>Rs./hr</v>
      </c>
    </row>
    <row r="25" spans="1:18" ht="15" customHeight="1" x14ac:dyDescent="0.3">
      <c r="A25" s="75">
        <v>13</v>
      </c>
      <c r="B25" s="75" t="s">
        <v>138</v>
      </c>
      <c r="C25" s="75" t="s">
        <v>139</v>
      </c>
      <c r="D25" s="76" t="s">
        <v>136</v>
      </c>
      <c r="E25" s="76" t="s">
        <v>137</v>
      </c>
      <c r="F25" s="75">
        <v>2012</v>
      </c>
      <c r="G25" s="75" t="s">
        <v>111</v>
      </c>
      <c r="H25" s="75" t="s">
        <v>112</v>
      </c>
      <c r="I25" s="76" t="s">
        <v>113</v>
      </c>
      <c r="J25" s="75" t="s">
        <v>114</v>
      </c>
      <c r="K25" s="77">
        <v>5</v>
      </c>
      <c r="L25" s="77">
        <v>7</v>
      </c>
      <c r="M25" s="77">
        <v>9.5</v>
      </c>
      <c r="N25" s="78">
        <f t="shared" si="4"/>
        <v>1.0980000000000001</v>
      </c>
      <c r="O25" s="79">
        <f t="shared" si="0"/>
        <v>2624.2200000000003</v>
      </c>
      <c r="P25" s="79">
        <f t="shared" si="1"/>
        <v>3673.9080000000004</v>
      </c>
      <c r="Q25" s="79">
        <f t="shared" si="2"/>
        <v>4986.018</v>
      </c>
      <c r="R25" s="75" t="str">
        <f t="shared" si="3"/>
        <v>Rs./hr</v>
      </c>
    </row>
    <row r="26" spans="1:18" ht="15" customHeight="1" x14ac:dyDescent="0.3">
      <c r="A26" s="75">
        <v>14</v>
      </c>
      <c r="B26" s="75" t="s">
        <v>140</v>
      </c>
      <c r="C26" s="75" t="s">
        <v>141</v>
      </c>
      <c r="D26" s="76" t="s">
        <v>136</v>
      </c>
      <c r="E26" s="76" t="s">
        <v>137</v>
      </c>
      <c r="F26" s="75">
        <v>2012</v>
      </c>
      <c r="G26" s="75" t="s">
        <v>111</v>
      </c>
      <c r="H26" s="75" t="s">
        <v>112</v>
      </c>
      <c r="I26" s="76" t="s">
        <v>113</v>
      </c>
      <c r="J26" s="75" t="s">
        <v>114</v>
      </c>
      <c r="K26" s="77">
        <v>5</v>
      </c>
      <c r="L26" s="77">
        <v>7</v>
      </c>
      <c r="M26" s="77">
        <v>9.5</v>
      </c>
      <c r="N26" s="78">
        <f t="shared" si="4"/>
        <v>1.0980000000000001</v>
      </c>
      <c r="O26" s="79">
        <f t="shared" si="0"/>
        <v>2624.2200000000003</v>
      </c>
      <c r="P26" s="79">
        <f t="shared" si="1"/>
        <v>3673.9080000000004</v>
      </c>
      <c r="Q26" s="79">
        <f t="shared" si="2"/>
        <v>4986.018</v>
      </c>
      <c r="R26" s="75" t="str">
        <f t="shared" si="3"/>
        <v>Rs./hr</v>
      </c>
    </row>
    <row r="27" spans="1:18" ht="15" customHeight="1" x14ac:dyDescent="0.3">
      <c r="A27" s="75">
        <v>15</v>
      </c>
      <c r="B27" s="75" t="s">
        <v>142</v>
      </c>
      <c r="C27" s="75" t="s">
        <v>143</v>
      </c>
      <c r="D27" s="76" t="s">
        <v>136</v>
      </c>
      <c r="E27" s="76" t="s">
        <v>144</v>
      </c>
      <c r="F27" s="75">
        <v>1999</v>
      </c>
      <c r="G27" s="75" t="s">
        <v>111</v>
      </c>
      <c r="H27" s="75" t="s">
        <v>112</v>
      </c>
      <c r="I27" s="76" t="s">
        <v>113</v>
      </c>
      <c r="J27" s="75" t="s">
        <v>114</v>
      </c>
      <c r="K27" s="77">
        <v>5</v>
      </c>
      <c r="L27" s="77">
        <v>7</v>
      </c>
      <c r="M27" s="77">
        <v>9.5</v>
      </c>
      <c r="N27" s="78">
        <f t="shared" si="4"/>
        <v>1.175</v>
      </c>
      <c r="O27" s="79">
        <f t="shared" si="0"/>
        <v>2808.25</v>
      </c>
      <c r="P27" s="79">
        <f t="shared" si="1"/>
        <v>3931.5499999999997</v>
      </c>
      <c r="Q27" s="79">
        <f t="shared" si="2"/>
        <v>5335.6750000000002</v>
      </c>
      <c r="R27" s="75" t="str">
        <f t="shared" si="3"/>
        <v>Rs./hr</v>
      </c>
    </row>
    <row r="28" spans="1:18" ht="15" customHeight="1" x14ac:dyDescent="0.3">
      <c r="A28" s="75">
        <v>16</v>
      </c>
      <c r="B28" s="75" t="s">
        <v>145</v>
      </c>
      <c r="C28" s="75" t="s">
        <v>146</v>
      </c>
      <c r="D28" s="76" t="s">
        <v>136</v>
      </c>
      <c r="E28" s="76" t="s">
        <v>137</v>
      </c>
      <c r="F28" s="75">
        <v>2006</v>
      </c>
      <c r="G28" s="75" t="s">
        <v>111</v>
      </c>
      <c r="H28" s="75" t="s">
        <v>112</v>
      </c>
      <c r="I28" s="76" t="s">
        <v>113</v>
      </c>
      <c r="J28" s="75" t="s">
        <v>114</v>
      </c>
      <c r="K28" s="77">
        <v>5</v>
      </c>
      <c r="L28" s="77">
        <v>7</v>
      </c>
      <c r="M28" s="77">
        <v>9.5</v>
      </c>
      <c r="N28" s="78">
        <f t="shared" si="4"/>
        <v>1.1400000000000001</v>
      </c>
      <c r="O28" s="79">
        <f t="shared" si="0"/>
        <v>2724.6000000000004</v>
      </c>
      <c r="P28" s="79">
        <f t="shared" si="1"/>
        <v>3814.44</v>
      </c>
      <c r="Q28" s="79">
        <f t="shared" si="2"/>
        <v>5176.7400000000007</v>
      </c>
      <c r="R28" s="75" t="str">
        <f t="shared" si="3"/>
        <v>Rs./hr</v>
      </c>
    </row>
    <row r="29" spans="1:18" ht="15" customHeight="1" x14ac:dyDescent="0.3">
      <c r="A29" s="75">
        <v>17</v>
      </c>
      <c r="B29" s="75" t="s">
        <v>147</v>
      </c>
      <c r="C29" s="75" t="s">
        <v>148</v>
      </c>
      <c r="D29" s="76" t="s">
        <v>136</v>
      </c>
      <c r="E29" s="76" t="s">
        <v>149</v>
      </c>
      <c r="F29" s="75">
        <v>2002</v>
      </c>
      <c r="G29" s="75" t="s">
        <v>111</v>
      </c>
      <c r="H29" s="75" t="s">
        <v>112</v>
      </c>
      <c r="I29" s="76" t="s">
        <v>113</v>
      </c>
      <c r="J29" s="75" t="s">
        <v>114</v>
      </c>
      <c r="K29" s="77">
        <v>5</v>
      </c>
      <c r="L29" s="77">
        <v>7</v>
      </c>
      <c r="M29" s="77">
        <v>9.5</v>
      </c>
      <c r="N29" s="78">
        <f t="shared" si="4"/>
        <v>1.1679999999999999</v>
      </c>
      <c r="O29" s="79">
        <f t="shared" si="0"/>
        <v>2791.52</v>
      </c>
      <c r="P29" s="79">
        <f t="shared" si="1"/>
        <v>3908.1280000000002</v>
      </c>
      <c r="Q29" s="79">
        <f t="shared" si="2"/>
        <v>5303.8879999999999</v>
      </c>
      <c r="R29" s="75" t="str">
        <f t="shared" si="3"/>
        <v>Rs./hr</v>
      </c>
    </row>
    <row r="30" spans="1:18" ht="15" customHeight="1" x14ac:dyDescent="0.3">
      <c r="A30" s="75">
        <v>18</v>
      </c>
      <c r="B30" s="75" t="s">
        <v>150</v>
      </c>
      <c r="C30" s="75" t="s">
        <v>151</v>
      </c>
      <c r="D30" s="76" t="s">
        <v>136</v>
      </c>
      <c r="E30" s="76" t="s">
        <v>152</v>
      </c>
      <c r="F30" s="75">
        <v>2004</v>
      </c>
      <c r="G30" s="75" t="s">
        <v>111</v>
      </c>
      <c r="H30" s="75" t="s">
        <v>112</v>
      </c>
      <c r="I30" s="76" t="s">
        <v>113</v>
      </c>
      <c r="J30" s="75" t="s">
        <v>114</v>
      </c>
      <c r="K30" s="77">
        <v>5</v>
      </c>
      <c r="L30" s="77">
        <v>7</v>
      </c>
      <c r="M30" s="77">
        <v>9.5</v>
      </c>
      <c r="N30" s="78">
        <f t="shared" si="4"/>
        <v>1.1539999999999999</v>
      </c>
      <c r="O30" s="79">
        <f t="shared" si="0"/>
        <v>2758.06</v>
      </c>
      <c r="P30" s="79">
        <f t="shared" si="1"/>
        <v>3861.2839999999997</v>
      </c>
      <c r="Q30" s="79">
        <f t="shared" si="2"/>
        <v>5240.3139999999994</v>
      </c>
      <c r="R30" s="75" t="str">
        <f t="shared" si="3"/>
        <v>Rs./hr</v>
      </c>
    </row>
    <row r="31" spans="1:18" ht="15" customHeight="1" x14ac:dyDescent="0.3">
      <c r="A31" s="75">
        <v>19</v>
      </c>
      <c r="B31" s="75" t="s">
        <v>153</v>
      </c>
      <c r="C31" s="75" t="s">
        <v>154</v>
      </c>
      <c r="D31" s="76" t="s">
        <v>136</v>
      </c>
      <c r="E31" s="76" t="s">
        <v>155</v>
      </c>
      <c r="F31" s="75">
        <v>2015</v>
      </c>
      <c r="G31" s="75" t="s">
        <v>111</v>
      </c>
      <c r="H31" s="75" t="s">
        <v>112</v>
      </c>
      <c r="I31" s="76" t="s">
        <v>113</v>
      </c>
      <c r="J31" s="75" t="s">
        <v>114</v>
      </c>
      <c r="K31" s="77">
        <v>5</v>
      </c>
      <c r="L31" s="77">
        <v>7</v>
      </c>
      <c r="M31" s="77">
        <v>9.5</v>
      </c>
      <c r="N31" s="78">
        <f t="shared" si="4"/>
        <v>1.077</v>
      </c>
      <c r="O31" s="79">
        <f t="shared" si="0"/>
        <v>2574.0299999999997</v>
      </c>
      <c r="P31" s="79">
        <f t="shared" si="1"/>
        <v>3603.6419999999998</v>
      </c>
      <c r="Q31" s="79">
        <f t="shared" si="2"/>
        <v>4890.6570000000002</v>
      </c>
      <c r="R31" s="75" t="str">
        <f t="shared" si="3"/>
        <v>Rs./hr</v>
      </c>
    </row>
    <row r="32" spans="1:18" ht="15" customHeight="1" x14ac:dyDescent="0.3">
      <c r="A32" s="75">
        <v>20</v>
      </c>
      <c r="B32" s="75" t="s">
        <v>156</v>
      </c>
      <c r="C32" s="75" t="s">
        <v>34</v>
      </c>
      <c r="D32" s="76" t="s">
        <v>136</v>
      </c>
      <c r="E32" s="76" t="s">
        <v>137</v>
      </c>
      <c r="F32" s="75">
        <v>2015</v>
      </c>
      <c r="G32" s="75" t="s">
        <v>111</v>
      </c>
      <c r="H32" s="75" t="s">
        <v>112</v>
      </c>
      <c r="I32" s="76" t="s">
        <v>113</v>
      </c>
      <c r="J32" s="75" t="s">
        <v>114</v>
      </c>
      <c r="K32" s="77">
        <v>5</v>
      </c>
      <c r="L32" s="77">
        <v>7</v>
      </c>
      <c r="M32" s="77">
        <v>9.5</v>
      </c>
      <c r="N32" s="78">
        <f t="shared" si="4"/>
        <v>1.077</v>
      </c>
      <c r="O32" s="79">
        <f t="shared" si="0"/>
        <v>2574.0299999999997</v>
      </c>
      <c r="P32" s="79">
        <f t="shared" si="1"/>
        <v>3603.6419999999998</v>
      </c>
      <c r="Q32" s="79">
        <f t="shared" si="2"/>
        <v>4890.6570000000002</v>
      </c>
      <c r="R32" s="75" t="str">
        <f t="shared" si="3"/>
        <v>Rs./hr</v>
      </c>
    </row>
    <row r="33" spans="1:18" ht="15" customHeight="1" x14ac:dyDescent="0.3">
      <c r="A33" s="75">
        <v>21</v>
      </c>
      <c r="B33" s="75" t="s">
        <v>157</v>
      </c>
      <c r="C33" s="75" t="s">
        <v>158</v>
      </c>
      <c r="D33" s="76" t="s">
        <v>136</v>
      </c>
      <c r="E33" s="76" t="s">
        <v>155</v>
      </c>
      <c r="F33" s="75">
        <v>2016</v>
      </c>
      <c r="G33" s="75" t="s">
        <v>111</v>
      </c>
      <c r="H33" s="75" t="s">
        <v>112</v>
      </c>
      <c r="I33" s="76" t="s">
        <v>113</v>
      </c>
      <c r="J33" s="75" t="s">
        <v>114</v>
      </c>
      <c r="K33" s="77">
        <v>5</v>
      </c>
      <c r="L33" s="77">
        <v>7</v>
      </c>
      <c r="M33" s="77">
        <v>9.5</v>
      </c>
      <c r="N33" s="78">
        <f t="shared" si="4"/>
        <v>1.07</v>
      </c>
      <c r="O33" s="79">
        <f t="shared" si="0"/>
        <v>2557.3000000000002</v>
      </c>
      <c r="P33" s="79">
        <f t="shared" si="1"/>
        <v>3580.2200000000003</v>
      </c>
      <c r="Q33" s="79">
        <f t="shared" si="2"/>
        <v>4858.8700000000008</v>
      </c>
      <c r="R33" s="75" t="str">
        <f t="shared" si="3"/>
        <v>Rs./hr</v>
      </c>
    </row>
    <row r="34" spans="1:18" ht="15" customHeight="1" x14ac:dyDescent="0.3">
      <c r="A34" s="75">
        <v>22</v>
      </c>
      <c r="B34" s="75" t="s">
        <v>159</v>
      </c>
      <c r="C34" s="75" t="s">
        <v>160</v>
      </c>
      <c r="D34" s="76" t="s">
        <v>136</v>
      </c>
      <c r="E34" s="76" t="s">
        <v>137</v>
      </c>
      <c r="F34" s="75">
        <v>2016</v>
      </c>
      <c r="G34" s="75" t="s">
        <v>111</v>
      </c>
      <c r="H34" s="75" t="s">
        <v>112</v>
      </c>
      <c r="I34" s="76" t="s">
        <v>113</v>
      </c>
      <c r="J34" s="75" t="s">
        <v>114</v>
      </c>
      <c r="K34" s="77">
        <v>5</v>
      </c>
      <c r="L34" s="77">
        <v>7</v>
      </c>
      <c r="M34" s="77">
        <v>9.5</v>
      </c>
      <c r="N34" s="78">
        <f t="shared" si="4"/>
        <v>1.07</v>
      </c>
      <c r="O34" s="79">
        <f t="shared" si="0"/>
        <v>2557.3000000000002</v>
      </c>
      <c r="P34" s="79">
        <f t="shared" si="1"/>
        <v>3580.2200000000003</v>
      </c>
      <c r="Q34" s="79">
        <f t="shared" si="2"/>
        <v>4858.8700000000008</v>
      </c>
      <c r="R34" s="75" t="str">
        <f t="shared" si="3"/>
        <v>Rs./hr</v>
      </c>
    </row>
    <row r="35" spans="1:18" ht="15" customHeight="1" x14ac:dyDescent="0.3">
      <c r="A35" s="75">
        <v>23</v>
      </c>
      <c r="B35" s="75" t="s">
        <v>161</v>
      </c>
      <c r="C35" s="75" t="s">
        <v>162</v>
      </c>
      <c r="D35" s="76" t="s">
        <v>136</v>
      </c>
      <c r="E35" s="76" t="s">
        <v>137</v>
      </c>
      <c r="F35" s="75">
        <v>2016</v>
      </c>
      <c r="G35" s="75" t="s">
        <v>111</v>
      </c>
      <c r="H35" s="75" t="s">
        <v>112</v>
      </c>
      <c r="I35" s="76" t="s">
        <v>113</v>
      </c>
      <c r="J35" s="75" t="s">
        <v>114</v>
      </c>
      <c r="K35" s="77">
        <v>5</v>
      </c>
      <c r="L35" s="77">
        <v>7</v>
      </c>
      <c r="M35" s="77">
        <v>9.5</v>
      </c>
      <c r="N35" s="78">
        <f t="shared" si="4"/>
        <v>1.07</v>
      </c>
      <c r="O35" s="79">
        <f t="shared" si="0"/>
        <v>2557.3000000000002</v>
      </c>
      <c r="P35" s="79">
        <f t="shared" si="1"/>
        <v>3580.2200000000003</v>
      </c>
      <c r="Q35" s="79">
        <f t="shared" si="2"/>
        <v>4858.8700000000008</v>
      </c>
      <c r="R35" s="75" t="str">
        <f t="shared" si="3"/>
        <v>Rs./hr</v>
      </c>
    </row>
    <row r="36" spans="1:18" ht="15" customHeight="1" x14ac:dyDescent="0.3">
      <c r="A36" s="75">
        <v>24</v>
      </c>
      <c r="B36" s="75" t="s">
        <v>163</v>
      </c>
      <c r="C36" s="75" t="s">
        <v>164</v>
      </c>
      <c r="D36" s="76" t="s">
        <v>136</v>
      </c>
      <c r="E36" s="76" t="s">
        <v>137</v>
      </c>
      <c r="F36" s="75">
        <v>2016</v>
      </c>
      <c r="G36" s="75" t="s">
        <v>111</v>
      </c>
      <c r="H36" s="75" t="s">
        <v>112</v>
      </c>
      <c r="I36" s="76" t="s">
        <v>113</v>
      </c>
      <c r="J36" s="75" t="s">
        <v>114</v>
      </c>
      <c r="K36" s="77">
        <v>5</v>
      </c>
      <c r="L36" s="77">
        <v>7</v>
      </c>
      <c r="M36" s="77">
        <v>9.5</v>
      </c>
      <c r="N36" s="78">
        <f t="shared" si="4"/>
        <v>1.07</v>
      </c>
      <c r="O36" s="79">
        <f t="shared" si="0"/>
        <v>2557.3000000000002</v>
      </c>
      <c r="P36" s="79">
        <f t="shared" si="1"/>
        <v>3580.2200000000003</v>
      </c>
      <c r="Q36" s="79">
        <f t="shared" si="2"/>
        <v>4858.8700000000008</v>
      </c>
      <c r="R36" s="75" t="str">
        <f t="shared" si="3"/>
        <v>Rs./hr</v>
      </c>
    </row>
    <row r="37" spans="1:18" ht="15" customHeight="1" x14ac:dyDescent="0.3">
      <c r="A37" s="75">
        <v>25</v>
      </c>
      <c r="B37" s="75" t="s">
        <v>165</v>
      </c>
      <c r="C37" s="75" t="s">
        <v>166</v>
      </c>
      <c r="D37" s="76" t="s">
        <v>136</v>
      </c>
      <c r="E37" s="76" t="s">
        <v>155</v>
      </c>
      <c r="F37" s="75">
        <v>2016</v>
      </c>
      <c r="G37" s="75" t="s">
        <v>111</v>
      </c>
      <c r="H37" s="75" t="s">
        <v>112</v>
      </c>
      <c r="I37" s="76" t="s">
        <v>113</v>
      </c>
      <c r="J37" s="75" t="s">
        <v>114</v>
      </c>
      <c r="K37" s="77">
        <v>5</v>
      </c>
      <c r="L37" s="77">
        <v>7</v>
      </c>
      <c r="M37" s="77">
        <v>9.5</v>
      </c>
      <c r="N37" s="78">
        <f t="shared" si="4"/>
        <v>1.07</v>
      </c>
      <c r="O37" s="79">
        <f t="shared" si="0"/>
        <v>2557.3000000000002</v>
      </c>
      <c r="P37" s="79">
        <f t="shared" si="1"/>
        <v>3580.2200000000003</v>
      </c>
      <c r="Q37" s="79">
        <f t="shared" si="2"/>
        <v>4858.8700000000008</v>
      </c>
      <c r="R37" s="75" t="str">
        <f t="shared" si="3"/>
        <v>Rs./hr</v>
      </c>
    </row>
    <row r="38" spans="1:18" ht="15" customHeight="1" x14ac:dyDescent="0.3">
      <c r="A38" s="75">
        <v>26</v>
      </c>
      <c r="B38" s="75" t="s">
        <v>167</v>
      </c>
      <c r="C38" s="75" t="s">
        <v>168</v>
      </c>
      <c r="D38" s="76" t="s">
        <v>136</v>
      </c>
      <c r="E38" s="76" t="s">
        <v>169</v>
      </c>
      <c r="F38" s="75">
        <v>2019</v>
      </c>
      <c r="G38" s="75" t="s">
        <v>111</v>
      </c>
      <c r="H38" s="75" t="s">
        <v>112</v>
      </c>
      <c r="I38" s="76" t="s">
        <v>113</v>
      </c>
      <c r="J38" s="75" t="s">
        <v>114</v>
      </c>
      <c r="K38" s="77">
        <v>5</v>
      </c>
      <c r="L38" s="77">
        <v>7</v>
      </c>
      <c r="M38" s="77">
        <v>9.5</v>
      </c>
      <c r="N38" s="78">
        <f t="shared" si="4"/>
        <v>1.0489999999999999</v>
      </c>
      <c r="O38" s="79">
        <f t="shared" si="0"/>
        <v>2507.1099999999997</v>
      </c>
      <c r="P38" s="79">
        <f t="shared" si="1"/>
        <v>3509.9540000000002</v>
      </c>
      <c r="Q38" s="79">
        <f t="shared" si="2"/>
        <v>4763.5089999999991</v>
      </c>
      <c r="R38" s="75" t="str">
        <f t="shared" si="3"/>
        <v>Rs./hr</v>
      </c>
    </row>
    <row r="39" spans="1:18" ht="15" customHeight="1" x14ac:dyDescent="0.3">
      <c r="A39" s="75">
        <v>27</v>
      </c>
      <c r="B39" s="75" t="s">
        <v>170</v>
      </c>
      <c r="C39" s="75" t="s">
        <v>171</v>
      </c>
      <c r="D39" s="76" t="s">
        <v>136</v>
      </c>
      <c r="E39" s="76" t="s">
        <v>172</v>
      </c>
      <c r="F39" s="75">
        <v>2020</v>
      </c>
      <c r="G39" s="75" t="s">
        <v>111</v>
      </c>
      <c r="H39" s="75" t="s">
        <v>112</v>
      </c>
      <c r="I39" s="76" t="s">
        <v>113</v>
      </c>
      <c r="J39" s="75" t="s">
        <v>114</v>
      </c>
      <c r="K39" s="77">
        <v>5</v>
      </c>
      <c r="L39" s="77">
        <v>7</v>
      </c>
      <c r="M39" s="77">
        <v>9.5</v>
      </c>
      <c r="N39" s="78">
        <f t="shared" si="4"/>
        <v>1.042</v>
      </c>
      <c r="O39" s="79">
        <f t="shared" si="0"/>
        <v>2490.38</v>
      </c>
      <c r="P39" s="79">
        <f t="shared" si="1"/>
        <v>3486.5320000000002</v>
      </c>
      <c r="Q39" s="79">
        <f t="shared" si="2"/>
        <v>4731.7220000000007</v>
      </c>
      <c r="R39" s="75" t="str">
        <f t="shared" si="3"/>
        <v>Rs./hr</v>
      </c>
    </row>
    <row r="40" spans="1:18" ht="15" customHeight="1" x14ac:dyDescent="0.3">
      <c r="A40" s="75">
        <v>28</v>
      </c>
      <c r="B40" s="75" t="s">
        <v>173</v>
      </c>
      <c r="C40" s="75" t="s">
        <v>27</v>
      </c>
      <c r="D40" s="76" t="s">
        <v>136</v>
      </c>
      <c r="E40" s="76" t="s">
        <v>172</v>
      </c>
      <c r="F40" s="75">
        <v>2020</v>
      </c>
      <c r="G40" s="75" t="s">
        <v>111</v>
      </c>
      <c r="H40" s="75" t="s">
        <v>112</v>
      </c>
      <c r="I40" s="76" t="s">
        <v>113</v>
      </c>
      <c r="J40" s="75" t="s">
        <v>114</v>
      </c>
      <c r="K40" s="77">
        <v>5</v>
      </c>
      <c r="L40" s="77">
        <v>7</v>
      </c>
      <c r="M40" s="77">
        <v>9.5</v>
      </c>
      <c r="N40" s="78">
        <f t="shared" si="4"/>
        <v>1.042</v>
      </c>
      <c r="O40" s="79">
        <f t="shared" si="0"/>
        <v>2490.38</v>
      </c>
      <c r="P40" s="79">
        <f t="shared" si="1"/>
        <v>3486.5320000000002</v>
      </c>
      <c r="Q40" s="79">
        <f t="shared" si="2"/>
        <v>4731.7220000000007</v>
      </c>
      <c r="R40" s="75" t="str">
        <f t="shared" si="3"/>
        <v>Rs./hr</v>
      </c>
    </row>
    <row r="41" spans="1:18" ht="15" customHeight="1" x14ac:dyDescent="0.3">
      <c r="A41" s="75">
        <v>29</v>
      </c>
      <c r="B41" s="75" t="s">
        <v>174</v>
      </c>
      <c r="C41" s="75" t="s">
        <v>175</v>
      </c>
      <c r="D41" s="76" t="s">
        <v>136</v>
      </c>
      <c r="E41" s="76" t="s">
        <v>172</v>
      </c>
      <c r="F41" s="75">
        <v>2020</v>
      </c>
      <c r="G41" s="75" t="s">
        <v>111</v>
      </c>
      <c r="H41" s="75" t="s">
        <v>112</v>
      </c>
      <c r="I41" s="76" t="s">
        <v>113</v>
      </c>
      <c r="J41" s="75" t="s">
        <v>114</v>
      </c>
      <c r="K41" s="77">
        <v>5</v>
      </c>
      <c r="L41" s="77">
        <v>7</v>
      </c>
      <c r="M41" s="77">
        <v>9.5</v>
      </c>
      <c r="N41" s="78">
        <f t="shared" si="4"/>
        <v>1.042</v>
      </c>
      <c r="O41" s="79">
        <f t="shared" si="0"/>
        <v>2490.38</v>
      </c>
      <c r="P41" s="79">
        <f t="shared" si="1"/>
        <v>3486.5320000000002</v>
      </c>
      <c r="Q41" s="79">
        <f t="shared" si="2"/>
        <v>4731.7220000000007</v>
      </c>
      <c r="R41" s="75" t="str">
        <f t="shared" si="3"/>
        <v>Rs./hr</v>
      </c>
    </row>
    <row r="42" spans="1:18" ht="15" customHeight="1" x14ac:dyDescent="0.3">
      <c r="A42" s="75">
        <v>30</v>
      </c>
      <c r="B42" s="75" t="s">
        <v>176</v>
      </c>
      <c r="C42" s="75" t="s">
        <v>177</v>
      </c>
      <c r="D42" s="76" t="s">
        <v>136</v>
      </c>
      <c r="E42" s="76" t="s">
        <v>178</v>
      </c>
      <c r="F42" s="75">
        <v>2020</v>
      </c>
      <c r="G42" s="75" t="s">
        <v>111</v>
      </c>
      <c r="H42" s="75" t="s">
        <v>112</v>
      </c>
      <c r="I42" s="76" t="s">
        <v>113</v>
      </c>
      <c r="J42" s="75" t="s">
        <v>114</v>
      </c>
      <c r="K42" s="77">
        <v>5</v>
      </c>
      <c r="L42" s="77">
        <v>7</v>
      </c>
      <c r="M42" s="77">
        <v>9.5</v>
      </c>
      <c r="N42" s="78">
        <f t="shared" si="4"/>
        <v>1.042</v>
      </c>
      <c r="O42" s="79">
        <f t="shared" si="0"/>
        <v>2490.38</v>
      </c>
      <c r="P42" s="79">
        <f t="shared" si="1"/>
        <v>3486.5320000000002</v>
      </c>
      <c r="Q42" s="79">
        <f t="shared" si="2"/>
        <v>4731.7220000000007</v>
      </c>
      <c r="R42" s="75" t="str">
        <f t="shared" si="3"/>
        <v>Rs./hr</v>
      </c>
    </row>
    <row r="43" spans="1:18" ht="15" customHeight="1" x14ac:dyDescent="0.3">
      <c r="A43" s="75">
        <v>31</v>
      </c>
      <c r="B43" s="75" t="s">
        <v>179</v>
      </c>
      <c r="C43" s="75" t="s">
        <v>180</v>
      </c>
      <c r="D43" s="76" t="s">
        <v>136</v>
      </c>
      <c r="E43" s="76" t="s">
        <v>172</v>
      </c>
      <c r="F43" s="75">
        <v>2020</v>
      </c>
      <c r="G43" s="75" t="s">
        <v>111</v>
      </c>
      <c r="H43" s="75" t="s">
        <v>112</v>
      </c>
      <c r="I43" s="76" t="s">
        <v>113</v>
      </c>
      <c r="J43" s="75" t="s">
        <v>114</v>
      </c>
      <c r="K43" s="77">
        <v>5</v>
      </c>
      <c r="L43" s="77">
        <v>7</v>
      </c>
      <c r="M43" s="77">
        <v>9.5</v>
      </c>
      <c r="N43" s="78">
        <f t="shared" si="4"/>
        <v>1.042</v>
      </c>
      <c r="O43" s="79">
        <f t="shared" si="0"/>
        <v>2490.38</v>
      </c>
      <c r="P43" s="79">
        <f t="shared" si="1"/>
        <v>3486.5320000000002</v>
      </c>
      <c r="Q43" s="79">
        <f t="shared" si="2"/>
        <v>4731.7220000000007</v>
      </c>
      <c r="R43" s="75" t="str">
        <f t="shared" si="3"/>
        <v>Rs./hr</v>
      </c>
    </row>
    <row r="44" spans="1:18" ht="15" customHeight="1" x14ac:dyDescent="0.3">
      <c r="A44" s="75">
        <v>32</v>
      </c>
      <c r="B44" s="75" t="s">
        <v>181</v>
      </c>
      <c r="C44" s="75" t="s">
        <v>182</v>
      </c>
      <c r="D44" s="76" t="s">
        <v>136</v>
      </c>
      <c r="E44" s="76" t="s">
        <v>172</v>
      </c>
      <c r="F44" s="75">
        <v>2020</v>
      </c>
      <c r="G44" s="75" t="s">
        <v>111</v>
      </c>
      <c r="H44" s="75" t="s">
        <v>112</v>
      </c>
      <c r="I44" s="76" t="s">
        <v>113</v>
      </c>
      <c r="J44" s="75" t="s">
        <v>114</v>
      </c>
      <c r="K44" s="77">
        <v>5</v>
      </c>
      <c r="L44" s="77">
        <v>7</v>
      </c>
      <c r="M44" s="77">
        <v>9.5</v>
      </c>
      <c r="N44" s="78">
        <f t="shared" si="4"/>
        <v>1.042</v>
      </c>
      <c r="O44" s="79">
        <f t="shared" si="0"/>
        <v>2490.38</v>
      </c>
      <c r="P44" s="79">
        <f t="shared" si="1"/>
        <v>3486.5320000000002</v>
      </c>
      <c r="Q44" s="79">
        <f t="shared" si="2"/>
        <v>4731.7220000000007</v>
      </c>
      <c r="R44" s="75" t="str">
        <f t="shared" si="3"/>
        <v>Rs./hr</v>
      </c>
    </row>
    <row r="45" spans="1:18" ht="15" customHeight="1" x14ac:dyDescent="0.3">
      <c r="A45" s="75">
        <v>33</v>
      </c>
      <c r="B45" s="75" t="s">
        <v>183</v>
      </c>
      <c r="C45" s="75" t="s">
        <v>184</v>
      </c>
      <c r="D45" s="76" t="s">
        <v>136</v>
      </c>
      <c r="E45" s="76" t="s">
        <v>185</v>
      </c>
      <c r="F45" s="75">
        <v>2021</v>
      </c>
      <c r="G45" s="75" t="s">
        <v>111</v>
      </c>
      <c r="H45" s="75" t="s">
        <v>112</v>
      </c>
      <c r="I45" s="76" t="s">
        <v>113</v>
      </c>
      <c r="J45" s="75" t="s">
        <v>114</v>
      </c>
      <c r="K45" s="77">
        <v>5</v>
      </c>
      <c r="L45" s="77">
        <v>7</v>
      </c>
      <c r="M45" s="77">
        <v>9.5</v>
      </c>
      <c r="N45" s="78">
        <f t="shared" si="4"/>
        <v>1.0349999999999999</v>
      </c>
      <c r="O45" s="79">
        <f t="shared" si="0"/>
        <v>2473.65</v>
      </c>
      <c r="P45" s="79">
        <f t="shared" si="1"/>
        <v>3463.1099999999997</v>
      </c>
      <c r="Q45" s="79">
        <f t="shared" si="2"/>
        <v>4699.9349999999995</v>
      </c>
      <c r="R45" s="75" t="str">
        <f t="shared" si="3"/>
        <v>Rs./hr</v>
      </c>
    </row>
    <row r="46" spans="1:18" ht="15" customHeight="1" x14ac:dyDescent="0.3">
      <c r="A46" s="75">
        <v>34</v>
      </c>
      <c r="B46" s="75" t="s">
        <v>186</v>
      </c>
      <c r="C46" s="75" t="s">
        <v>187</v>
      </c>
      <c r="D46" s="76" t="s">
        <v>136</v>
      </c>
      <c r="E46" s="76" t="s">
        <v>185</v>
      </c>
      <c r="F46" s="75">
        <v>2021</v>
      </c>
      <c r="G46" s="75" t="s">
        <v>111</v>
      </c>
      <c r="H46" s="75" t="s">
        <v>112</v>
      </c>
      <c r="I46" s="76" t="s">
        <v>113</v>
      </c>
      <c r="J46" s="75" t="s">
        <v>114</v>
      </c>
      <c r="K46" s="77">
        <v>5</v>
      </c>
      <c r="L46" s="77">
        <v>7</v>
      </c>
      <c r="M46" s="77">
        <v>9.5</v>
      </c>
      <c r="N46" s="78">
        <f t="shared" si="4"/>
        <v>1.0349999999999999</v>
      </c>
      <c r="O46" s="79">
        <f t="shared" si="0"/>
        <v>2473.65</v>
      </c>
      <c r="P46" s="79">
        <f t="shared" si="1"/>
        <v>3463.1099999999997</v>
      </c>
      <c r="Q46" s="79">
        <f t="shared" si="2"/>
        <v>4699.9349999999995</v>
      </c>
      <c r="R46" s="75" t="str">
        <f t="shared" si="3"/>
        <v>Rs./hr</v>
      </c>
    </row>
    <row r="47" spans="1:18" ht="15" customHeight="1" x14ac:dyDescent="0.3">
      <c r="A47" s="75">
        <v>35</v>
      </c>
      <c r="B47" s="75" t="s">
        <v>188</v>
      </c>
      <c r="C47" s="75" t="s">
        <v>189</v>
      </c>
      <c r="D47" s="76" t="s">
        <v>136</v>
      </c>
      <c r="E47" s="76" t="s">
        <v>185</v>
      </c>
      <c r="F47" s="75">
        <v>2021</v>
      </c>
      <c r="G47" s="75" t="s">
        <v>111</v>
      </c>
      <c r="H47" s="75" t="s">
        <v>112</v>
      </c>
      <c r="I47" s="76" t="s">
        <v>113</v>
      </c>
      <c r="J47" s="75" t="s">
        <v>114</v>
      </c>
      <c r="K47" s="77">
        <v>5</v>
      </c>
      <c r="L47" s="77">
        <v>7</v>
      </c>
      <c r="M47" s="77">
        <v>9.5</v>
      </c>
      <c r="N47" s="78">
        <f t="shared" si="4"/>
        <v>1.0349999999999999</v>
      </c>
      <c r="O47" s="79">
        <f t="shared" si="0"/>
        <v>2473.65</v>
      </c>
      <c r="P47" s="79">
        <f t="shared" si="1"/>
        <v>3463.1099999999997</v>
      </c>
      <c r="Q47" s="79">
        <f t="shared" si="2"/>
        <v>4699.9349999999995</v>
      </c>
      <c r="R47" s="75" t="str">
        <f t="shared" si="3"/>
        <v>Rs./hr</v>
      </c>
    </row>
    <row r="48" spans="1:18" ht="15" customHeight="1" x14ac:dyDescent="0.3">
      <c r="A48" s="75">
        <v>36</v>
      </c>
      <c r="B48" s="75" t="s">
        <v>190</v>
      </c>
      <c r="C48" s="75" t="s">
        <v>191</v>
      </c>
      <c r="D48" s="76" t="s">
        <v>192</v>
      </c>
      <c r="E48" s="76" t="s">
        <v>193</v>
      </c>
      <c r="F48" s="75">
        <v>1992</v>
      </c>
      <c r="G48" s="75" t="s">
        <v>111</v>
      </c>
      <c r="H48" s="75" t="s">
        <v>112</v>
      </c>
      <c r="I48" s="76" t="s">
        <v>113</v>
      </c>
      <c r="J48" s="75" t="s">
        <v>114</v>
      </c>
      <c r="K48" s="77">
        <v>6.5</v>
      </c>
      <c r="L48" s="77">
        <v>9</v>
      </c>
      <c r="M48" s="77">
        <v>12.2</v>
      </c>
      <c r="N48" s="78">
        <f t="shared" si="4"/>
        <v>1.175</v>
      </c>
      <c r="O48" s="79">
        <f t="shared" si="0"/>
        <v>3650.7249999999999</v>
      </c>
      <c r="P48" s="79">
        <f t="shared" si="1"/>
        <v>5054.8500000000004</v>
      </c>
      <c r="Q48" s="79">
        <f t="shared" si="2"/>
        <v>6852.1299999999992</v>
      </c>
      <c r="R48" s="75" t="str">
        <f t="shared" si="3"/>
        <v>Rs./hr</v>
      </c>
    </row>
    <row r="49" spans="1:18" ht="15" customHeight="1" x14ac:dyDescent="0.3">
      <c r="A49" s="75">
        <v>37</v>
      </c>
      <c r="B49" s="75" t="s">
        <v>194</v>
      </c>
      <c r="C49" s="75" t="s">
        <v>195</v>
      </c>
      <c r="D49" s="76" t="s">
        <v>192</v>
      </c>
      <c r="E49" s="76" t="s">
        <v>196</v>
      </c>
      <c r="F49" s="75">
        <v>2013</v>
      </c>
      <c r="G49" s="75" t="s">
        <v>111</v>
      </c>
      <c r="H49" s="75" t="s">
        <v>112</v>
      </c>
      <c r="I49" s="76" t="s">
        <v>113</v>
      </c>
      <c r="J49" s="75" t="s">
        <v>114</v>
      </c>
      <c r="K49" s="77">
        <v>6.5</v>
      </c>
      <c r="L49" s="77">
        <v>9</v>
      </c>
      <c r="M49" s="77">
        <v>12.2</v>
      </c>
      <c r="N49" s="78">
        <f t="shared" si="4"/>
        <v>1.091</v>
      </c>
      <c r="O49" s="79">
        <f t="shared" si="0"/>
        <v>3389.7370000000001</v>
      </c>
      <c r="P49" s="79">
        <f t="shared" si="1"/>
        <v>4693.482</v>
      </c>
      <c r="Q49" s="79">
        <f t="shared" si="2"/>
        <v>6362.275599999999</v>
      </c>
      <c r="R49" s="75" t="str">
        <f t="shared" si="3"/>
        <v>Rs./hr</v>
      </c>
    </row>
    <row r="50" spans="1:18" ht="15" customHeight="1" x14ac:dyDescent="0.3">
      <c r="A50" s="75">
        <v>38</v>
      </c>
      <c r="B50" s="75" t="s">
        <v>197</v>
      </c>
      <c r="C50" s="75" t="s">
        <v>198</v>
      </c>
      <c r="D50" s="76" t="s">
        <v>192</v>
      </c>
      <c r="E50" s="76" t="s">
        <v>199</v>
      </c>
      <c r="F50" s="75">
        <v>2012</v>
      </c>
      <c r="G50" s="75" t="s">
        <v>111</v>
      </c>
      <c r="H50" s="75" t="s">
        <v>112</v>
      </c>
      <c r="I50" s="76" t="s">
        <v>113</v>
      </c>
      <c r="J50" s="75" t="s">
        <v>114</v>
      </c>
      <c r="K50" s="77">
        <v>6.5</v>
      </c>
      <c r="L50" s="77">
        <v>9</v>
      </c>
      <c r="M50" s="77">
        <v>12.2</v>
      </c>
      <c r="N50" s="78">
        <f t="shared" si="4"/>
        <v>1.0980000000000001</v>
      </c>
      <c r="O50" s="79">
        <f t="shared" si="0"/>
        <v>3411.4860000000003</v>
      </c>
      <c r="P50" s="79">
        <f t="shared" si="1"/>
        <v>4723.5960000000005</v>
      </c>
      <c r="Q50" s="79">
        <f t="shared" si="2"/>
        <v>6403.0968000000003</v>
      </c>
      <c r="R50" s="75" t="str">
        <f t="shared" si="3"/>
        <v>Rs./hr</v>
      </c>
    </row>
    <row r="51" spans="1:18" ht="15" customHeight="1" x14ac:dyDescent="0.3">
      <c r="A51" s="75">
        <v>39</v>
      </c>
      <c r="B51" s="75" t="s">
        <v>200</v>
      </c>
      <c r="C51" s="75" t="s">
        <v>201</v>
      </c>
      <c r="D51" s="76" t="s">
        <v>192</v>
      </c>
      <c r="E51" s="76" t="s">
        <v>202</v>
      </c>
      <c r="F51" s="75">
        <v>2019</v>
      </c>
      <c r="G51" s="75" t="s">
        <v>111</v>
      </c>
      <c r="H51" s="75" t="s">
        <v>112</v>
      </c>
      <c r="I51" s="76" t="s">
        <v>113</v>
      </c>
      <c r="J51" s="75" t="s">
        <v>114</v>
      </c>
      <c r="K51" s="77">
        <v>6.5</v>
      </c>
      <c r="L51" s="77">
        <v>9</v>
      </c>
      <c r="M51" s="77">
        <v>12.2</v>
      </c>
      <c r="N51" s="78">
        <f t="shared" si="4"/>
        <v>1.0489999999999999</v>
      </c>
      <c r="O51" s="79">
        <f t="shared" si="0"/>
        <v>3259.2429999999995</v>
      </c>
      <c r="P51" s="79">
        <f t="shared" si="1"/>
        <v>4512.7979999999998</v>
      </c>
      <c r="Q51" s="79">
        <f t="shared" si="2"/>
        <v>6117.3483999999989</v>
      </c>
      <c r="R51" s="75" t="str">
        <f t="shared" si="3"/>
        <v>Rs./hr</v>
      </c>
    </row>
    <row r="52" spans="1:18" ht="15" customHeight="1" x14ac:dyDescent="0.3">
      <c r="A52" s="75">
        <v>40</v>
      </c>
      <c r="B52" s="75" t="s">
        <v>203</v>
      </c>
      <c r="C52" s="75" t="s">
        <v>204</v>
      </c>
      <c r="D52" s="76" t="s">
        <v>21</v>
      </c>
      <c r="E52" s="76" t="s">
        <v>205</v>
      </c>
      <c r="F52" s="75">
        <v>1996</v>
      </c>
      <c r="G52" s="75" t="s">
        <v>111</v>
      </c>
      <c r="H52" s="75" t="s">
        <v>112</v>
      </c>
      <c r="I52" s="76" t="s">
        <v>206</v>
      </c>
      <c r="J52" s="75" t="s">
        <v>114</v>
      </c>
      <c r="K52" s="77">
        <v>5.8</v>
      </c>
      <c r="L52" s="77">
        <v>8</v>
      </c>
      <c r="M52" s="77">
        <v>10.8</v>
      </c>
      <c r="N52" s="78">
        <f t="shared" si="4"/>
        <v>1.175</v>
      </c>
      <c r="O52" s="79">
        <f t="shared" si="0"/>
        <v>3257.57</v>
      </c>
      <c r="P52" s="79">
        <f t="shared" si="1"/>
        <v>4493.2</v>
      </c>
      <c r="Q52" s="79">
        <f t="shared" si="2"/>
        <v>6065.8200000000006</v>
      </c>
      <c r="R52" s="75" t="str">
        <f t="shared" si="3"/>
        <v>Rs./hr</v>
      </c>
    </row>
    <row r="53" spans="1:18" ht="15" customHeight="1" x14ac:dyDescent="0.3">
      <c r="A53" s="75">
        <v>41</v>
      </c>
      <c r="B53" s="75" t="s">
        <v>207</v>
      </c>
      <c r="C53" s="75" t="s">
        <v>208</v>
      </c>
      <c r="D53" s="76" t="s">
        <v>21</v>
      </c>
      <c r="E53" s="76" t="s">
        <v>209</v>
      </c>
      <c r="F53" s="75">
        <v>2006</v>
      </c>
      <c r="G53" s="75" t="s">
        <v>111</v>
      </c>
      <c r="H53" s="75" t="s">
        <v>112</v>
      </c>
      <c r="I53" s="76" t="s">
        <v>210</v>
      </c>
      <c r="J53" s="75" t="s">
        <v>114</v>
      </c>
      <c r="K53" s="77">
        <v>6.5</v>
      </c>
      <c r="L53" s="77">
        <v>9</v>
      </c>
      <c r="M53" s="77">
        <v>12.2</v>
      </c>
      <c r="N53" s="78">
        <f t="shared" si="4"/>
        <v>1.1400000000000001</v>
      </c>
      <c r="O53" s="79">
        <f t="shared" si="0"/>
        <v>3541.9800000000005</v>
      </c>
      <c r="P53" s="79">
        <f t="shared" si="1"/>
        <v>4904.2800000000007</v>
      </c>
      <c r="Q53" s="79">
        <f t="shared" si="2"/>
        <v>6648.0240000000003</v>
      </c>
      <c r="R53" s="75" t="str">
        <f t="shared" si="3"/>
        <v>Rs./hr</v>
      </c>
    </row>
    <row r="54" spans="1:18" ht="15" customHeight="1" x14ac:dyDescent="0.3">
      <c r="A54" s="75">
        <v>42</v>
      </c>
      <c r="B54" s="75" t="s">
        <v>211</v>
      </c>
      <c r="C54" s="75" t="s">
        <v>20</v>
      </c>
      <c r="D54" s="76" t="s">
        <v>21</v>
      </c>
      <c r="E54" s="76" t="s">
        <v>212</v>
      </c>
      <c r="F54" s="75">
        <v>2005</v>
      </c>
      <c r="G54" s="75" t="s">
        <v>111</v>
      </c>
      <c r="H54" s="75" t="s">
        <v>112</v>
      </c>
      <c r="I54" s="76" t="s">
        <v>213</v>
      </c>
      <c r="J54" s="75" t="s">
        <v>114</v>
      </c>
      <c r="K54" s="77">
        <v>7.2</v>
      </c>
      <c r="L54" s="77">
        <v>10</v>
      </c>
      <c r="M54" s="77">
        <v>13.5</v>
      </c>
      <c r="N54" s="78">
        <f t="shared" si="4"/>
        <v>1.147</v>
      </c>
      <c r="O54" s="79">
        <f t="shared" si="0"/>
        <v>3947.5151999999998</v>
      </c>
      <c r="P54" s="79">
        <f t="shared" si="1"/>
        <v>5482.66</v>
      </c>
      <c r="Q54" s="79">
        <f t="shared" si="2"/>
        <v>7401.5910000000003</v>
      </c>
      <c r="R54" s="75" t="str">
        <f t="shared" si="3"/>
        <v>Rs./hr</v>
      </c>
    </row>
    <row r="55" spans="1:18" ht="15" customHeight="1" x14ac:dyDescent="0.3">
      <c r="A55" s="75">
        <v>43</v>
      </c>
      <c r="B55" s="75" t="s">
        <v>214</v>
      </c>
      <c r="C55" s="75" t="s">
        <v>215</v>
      </c>
      <c r="D55" s="76" t="s">
        <v>21</v>
      </c>
      <c r="E55" s="76" t="s">
        <v>216</v>
      </c>
      <c r="F55" s="75">
        <v>2003</v>
      </c>
      <c r="G55" s="75" t="s">
        <v>111</v>
      </c>
      <c r="H55" s="75" t="s">
        <v>112</v>
      </c>
      <c r="I55" s="76" t="s">
        <v>206</v>
      </c>
      <c r="J55" s="75" t="s">
        <v>114</v>
      </c>
      <c r="K55" s="77">
        <v>5.8</v>
      </c>
      <c r="L55" s="77">
        <v>8</v>
      </c>
      <c r="M55" s="77">
        <v>10.8</v>
      </c>
      <c r="N55" s="78">
        <f t="shared" si="4"/>
        <v>1.161</v>
      </c>
      <c r="O55" s="79">
        <f t="shared" si="0"/>
        <v>3218.7563999999998</v>
      </c>
      <c r="P55" s="79">
        <f t="shared" si="1"/>
        <v>4439.6639999999998</v>
      </c>
      <c r="Q55" s="79">
        <f t="shared" si="2"/>
        <v>5993.5464000000011</v>
      </c>
      <c r="R55" s="75" t="str">
        <f t="shared" si="3"/>
        <v>Rs./hr</v>
      </c>
    </row>
    <row r="56" spans="1:18" ht="15" customHeight="1" x14ac:dyDescent="0.3">
      <c r="A56" s="75">
        <v>44</v>
      </c>
      <c r="B56" s="75" t="s">
        <v>217</v>
      </c>
      <c r="C56" s="75" t="s">
        <v>218</v>
      </c>
      <c r="D56" s="76" t="s">
        <v>219</v>
      </c>
      <c r="E56" s="76" t="s">
        <v>220</v>
      </c>
      <c r="F56" s="75">
        <v>2000</v>
      </c>
      <c r="G56" s="75" t="s">
        <v>111</v>
      </c>
      <c r="H56" s="75" t="s">
        <v>221</v>
      </c>
      <c r="I56" s="76" t="s">
        <v>113</v>
      </c>
      <c r="J56" s="75" t="s">
        <v>222</v>
      </c>
      <c r="K56" s="77">
        <v>12.8</v>
      </c>
      <c r="L56" s="77">
        <v>10</v>
      </c>
      <c r="M56" s="77">
        <v>8</v>
      </c>
      <c r="N56" s="78">
        <f t="shared" si="4"/>
        <v>1.175</v>
      </c>
      <c r="O56" s="79">
        <f t="shared" si="0"/>
        <v>43.878906249999993</v>
      </c>
      <c r="P56" s="79">
        <f t="shared" si="1"/>
        <v>56.164999999999999</v>
      </c>
      <c r="Q56" s="79">
        <f t="shared" si="2"/>
        <v>70.206249999999997</v>
      </c>
      <c r="R56" s="75" t="str">
        <f t="shared" si="3"/>
        <v>Rs./km</v>
      </c>
    </row>
    <row r="57" spans="1:18" ht="15" customHeight="1" x14ac:dyDescent="0.3">
      <c r="A57" s="75">
        <v>45</v>
      </c>
      <c r="B57" s="75" t="s">
        <v>223</v>
      </c>
      <c r="C57" s="75" t="s">
        <v>224</v>
      </c>
      <c r="D57" s="76" t="s">
        <v>219</v>
      </c>
      <c r="E57" s="76" t="s">
        <v>225</v>
      </c>
      <c r="F57" s="75">
        <v>1997</v>
      </c>
      <c r="G57" s="75" t="s">
        <v>111</v>
      </c>
      <c r="H57" s="75" t="s">
        <v>221</v>
      </c>
      <c r="I57" s="76" t="s">
        <v>113</v>
      </c>
      <c r="J57" s="75" t="s">
        <v>222</v>
      </c>
      <c r="K57" s="77">
        <v>12.8</v>
      </c>
      <c r="L57" s="77">
        <v>10</v>
      </c>
      <c r="M57" s="77">
        <v>8</v>
      </c>
      <c r="N57" s="78">
        <f t="shared" si="4"/>
        <v>1.175</v>
      </c>
      <c r="O57" s="79">
        <f t="shared" si="0"/>
        <v>43.878906249999993</v>
      </c>
      <c r="P57" s="79">
        <f t="shared" si="1"/>
        <v>56.164999999999999</v>
      </c>
      <c r="Q57" s="79">
        <f t="shared" si="2"/>
        <v>70.206249999999997</v>
      </c>
      <c r="R57" s="75" t="str">
        <f t="shared" si="3"/>
        <v>Rs./km</v>
      </c>
    </row>
    <row r="58" spans="1:18" ht="15" customHeight="1" x14ac:dyDescent="0.3">
      <c r="A58" s="75">
        <v>46</v>
      </c>
      <c r="B58" s="75" t="s">
        <v>226</v>
      </c>
      <c r="C58" s="75" t="s">
        <v>227</v>
      </c>
      <c r="D58" s="76" t="s">
        <v>219</v>
      </c>
      <c r="E58" s="76" t="s">
        <v>228</v>
      </c>
      <c r="F58" s="75">
        <v>1997</v>
      </c>
      <c r="G58" s="75" t="s">
        <v>111</v>
      </c>
      <c r="H58" s="75" t="s">
        <v>221</v>
      </c>
      <c r="I58" s="76" t="s">
        <v>113</v>
      </c>
      <c r="J58" s="75" t="s">
        <v>222</v>
      </c>
      <c r="K58" s="77">
        <v>12.8</v>
      </c>
      <c r="L58" s="77">
        <v>10</v>
      </c>
      <c r="M58" s="77">
        <v>8</v>
      </c>
      <c r="N58" s="78">
        <f t="shared" si="4"/>
        <v>1.175</v>
      </c>
      <c r="O58" s="79">
        <f t="shared" si="0"/>
        <v>43.878906249999993</v>
      </c>
      <c r="P58" s="79">
        <f t="shared" si="1"/>
        <v>56.164999999999999</v>
      </c>
      <c r="Q58" s="79">
        <f t="shared" si="2"/>
        <v>70.206249999999997</v>
      </c>
      <c r="R58" s="75" t="str">
        <f t="shared" si="3"/>
        <v>Rs./km</v>
      </c>
    </row>
    <row r="59" spans="1:18" ht="15" customHeight="1" x14ac:dyDescent="0.3">
      <c r="A59" s="75">
        <v>47</v>
      </c>
      <c r="B59" s="75" t="s">
        <v>229</v>
      </c>
      <c r="C59" s="75" t="s">
        <v>5</v>
      </c>
      <c r="D59" s="76" t="s">
        <v>219</v>
      </c>
      <c r="E59" s="76" t="s">
        <v>230</v>
      </c>
      <c r="F59" s="75">
        <v>1973</v>
      </c>
      <c r="G59" s="75" t="s">
        <v>111</v>
      </c>
      <c r="H59" s="75" t="s">
        <v>221</v>
      </c>
      <c r="I59" s="76" t="s">
        <v>113</v>
      </c>
      <c r="J59" s="75" t="s">
        <v>222</v>
      </c>
      <c r="K59" s="77">
        <v>12.8</v>
      </c>
      <c r="L59" s="77">
        <v>10</v>
      </c>
      <c r="M59" s="77">
        <v>8</v>
      </c>
      <c r="N59" s="78">
        <f t="shared" si="4"/>
        <v>1.175</v>
      </c>
      <c r="O59" s="79">
        <f t="shared" si="0"/>
        <v>43.878906249999993</v>
      </c>
      <c r="P59" s="79">
        <f t="shared" si="1"/>
        <v>56.164999999999999</v>
      </c>
      <c r="Q59" s="79">
        <f t="shared" si="2"/>
        <v>70.206249999999997</v>
      </c>
      <c r="R59" s="75" t="str">
        <f t="shared" si="3"/>
        <v>Rs./km</v>
      </c>
    </row>
    <row r="60" spans="1:18" ht="15" customHeight="1" x14ac:dyDescent="0.3">
      <c r="A60" s="75">
        <v>48</v>
      </c>
      <c r="B60" s="75" t="s">
        <v>231</v>
      </c>
      <c r="C60" s="75" t="s">
        <v>28</v>
      </c>
      <c r="D60" s="76" t="s">
        <v>219</v>
      </c>
      <c r="E60" s="76" t="s">
        <v>232</v>
      </c>
      <c r="F60" s="75">
        <v>2016</v>
      </c>
      <c r="G60" s="75" t="s">
        <v>111</v>
      </c>
      <c r="H60" s="75" t="s">
        <v>221</v>
      </c>
      <c r="I60" s="76" t="s">
        <v>113</v>
      </c>
      <c r="J60" s="75" t="s">
        <v>222</v>
      </c>
      <c r="K60" s="77">
        <v>12.8</v>
      </c>
      <c r="L60" s="77">
        <v>10</v>
      </c>
      <c r="M60" s="77">
        <v>8</v>
      </c>
      <c r="N60" s="78">
        <f t="shared" si="4"/>
        <v>1.07</v>
      </c>
      <c r="O60" s="79">
        <f t="shared" si="0"/>
        <v>39.957812500000003</v>
      </c>
      <c r="P60" s="79">
        <f t="shared" si="1"/>
        <v>51.146000000000001</v>
      </c>
      <c r="Q60" s="79">
        <f t="shared" si="2"/>
        <v>63.932500000000005</v>
      </c>
      <c r="R60" s="75" t="str">
        <f t="shared" si="3"/>
        <v>Rs./km</v>
      </c>
    </row>
    <row r="61" spans="1:18" ht="15" customHeight="1" x14ac:dyDescent="0.3">
      <c r="A61" s="75">
        <v>49</v>
      </c>
      <c r="B61" s="75" t="s">
        <v>233</v>
      </c>
      <c r="C61" s="75" t="s">
        <v>234</v>
      </c>
      <c r="D61" s="76" t="s">
        <v>219</v>
      </c>
      <c r="E61" s="76" t="s">
        <v>232</v>
      </c>
      <c r="F61" s="75">
        <v>2016</v>
      </c>
      <c r="G61" s="75" t="s">
        <v>111</v>
      </c>
      <c r="H61" s="75" t="s">
        <v>221</v>
      </c>
      <c r="I61" s="76" t="s">
        <v>113</v>
      </c>
      <c r="J61" s="75" t="s">
        <v>222</v>
      </c>
      <c r="K61" s="77">
        <v>12.8</v>
      </c>
      <c r="L61" s="77">
        <v>10</v>
      </c>
      <c r="M61" s="77">
        <v>8</v>
      </c>
      <c r="N61" s="78">
        <f t="shared" si="4"/>
        <v>1.07</v>
      </c>
      <c r="O61" s="79">
        <f t="shared" si="0"/>
        <v>39.957812500000003</v>
      </c>
      <c r="P61" s="79">
        <f t="shared" si="1"/>
        <v>51.146000000000001</v>
      </c>
      <c r="Q61" s="79">
        <f t="shared" si="2"/>
        <v>63.932500000000005</v>
      </c>
      <c r="R61" s="75" t="str">
        <f t="shared" si="3"/>
        <v>Rs./km</v>
      </c>
    </row>
    <row r="62" spans="1:18" ht="15" customHeight="1" x14ac:dyDescent="0.3">
      <c r="A62" s="75">
        <v>50</v>
      </c>
      <c r="B62" s="75" t="s">
        <v>235</v>
      </c>
      <c r="C62" s="75" t="s">
        <v>236</v>
      </c>
      <c r="D62" s="76" t="s">
        <v>219</v>
      </c>
      <c r="E62" s="76" t="s">
        <v>232</v>
      </c>
      <c r="F62" s="75">
        <v>2016</v>
      </c>
      <c r="G62" s="75" t="s">
        <v>111</v>
      </c>
      <c r="H62" s="75" t="s">
        <v>221</v>
      </c>
      <c r="I62" s="76" t="s">
        <v>113</v>
      </c>
      <c r="J62" s="75" t="s">
        <v>222</v>
      </c>
      <c r="K62" s="77">
        <v>12.8</v>
      </c>
      <c r="L62" s="77">
        <v>10</v>
      </c>
      <c r="M62" s="77">
        <v>8</v>
      </c>
      <c r="N62" s="78">
        <f t="shared" si="4"/>
        <v>1.07</v>
      </c>
      <c r="O62" s="79">
        <f t="shared" si="0"/>
        <v>39.957812500000003</v>
      </c>
      <c r="P62" s="79">
        <f t="shared" si="1"/>
        <v>51.146000000000001</v>
      </c>
      <c r="Q62" s="79">
        <f t="shared" si="2"/>
        <v>63.932500000000005</v>
      </c>
      <c r="R62" s="75" t="str">
        <f t="shared" si="3"/>
        <v>Rs./km</v>
      </c>
    </row>
    <row r="63" spans="1:18" ht="15" customHeight="1" x14ac:dyDescent="0.3">
      <c r="A63" s="75">
        <v>51</v>
      </c>
      <c r="B63" s="75" t="s">
        <v>237</v>
      </c>
      <c r="C63" s="75" t="s">
        <v>238</v>
      </c>
      <c r="D63" s="76" t="s">
        <v>219</v>
      </c>
      <c r="E63" s="76" t="s">
        <v>239</v>
      </c>
      <c r="F63" s="75">
        <v>2017</v>
      </c>
      <c r="G63" s="75" t="s">
        <v>111</v>
      </c>
      <c r="H63" s="75" t="s">
        <v>221</v>
      </c>
      <c r="I63" s="76" t="s">
        <v>113</v>
      </c>
      <c r="J63" s="75" t="s">
        <v>222</v>
      </c>
      <c r="K63" s="77">
        <v>12.8</v>
      </c>
      <c r="L63" s="77">
        <v>10</v>
      </c>
      <c r="M63" s="77">
        <v>8</v>
      </c>
      <c r="N63" s="78">
        <f t="shared" si="4"/>
        <v>1.0629999999999999</v>
      </c>
      <c r="O63" s="79">
        <f t="shared" si="0"/>
        <v>39.696406249999995</v>
      </c>
      <c r="P63" s="79">
        <f t="shared" si="1"/>
        <v>50.811399999999999</v>
      </c>
      <c r="Q63" s="79">
        <f t="shared" si="2"/>
        <v>63.514249999999997</v>
      </c>
      <c r="R63" s="75" t="str">
        <f t="shared" si="3"/>
        <v>Rs./km</v>
      </c>
    </row>
    <row r="64" spans="1:18" ht="15" customHeight="1" x14ac:dyDescent="0.3">
      <c r="A64" s="75">
        <v>52</v>
      </c>
      <c r="B64" s="75" t="s">
        <v>240</v>
      </c>
      <c r="C64" s="75" t="s">
        <v>241</v>
      </c>
      <c r="D64" s="76" t="s">
        <v>219</v>
      </c>
      <c r="E64" s="76" t="s">
        <v>232</v>
      </c>
      <c r="F64" s="75">
        <v>2019</v>
      </c>
      <c r="G64" s="75" t="s">
        <v>111</v>
      </c>
      <c r="H64" s="75" t="s">
        <v>221</v>
      </c>
      <c r="I64" s="76" t="s">
        <v>113</v>
      </c>
      <c r="J64" s="75" t="s">
        <v>222</v>
      </c>
      <c r="K64" s="77">
        <v>12.8</v>
      </c>
      <c r="L64" s="77">
        <v>10</v>
      </c>
      <c r="M64" s="77">
        <v>8</v>
      </c>
      <c r="N64" s="78">
        <f t="shared" si="4"/>
        <v>1.0489999999999999</v>
      </c>
      <c r="O64" s="79">
        <f t="shared" si="0"/>
        <v>39.173593749999995</v>
      </c>
      <c r="P64" s="79">
        <f t="shared" si="1"/>
        <v>50.142199999999995</v>
      </c>
      <c r="Q64" s="79">
        <f t="shared" si="2"/>
        <v>62.677749999999996</v>
      </c>
      <c r="R64" s="75" t="str">
        <f t="shared" si="3"/>
        <v>Rs./km</v>
      </c>
    </row>
    <row r="65" spans="1:18" ht="15" customHeight="1" x14ac:dyDescent="0.3">
      <c r="A65" s="75">
        <v>53</v>
      </c>
      <c r="B65" s="75" t="s">
        <v>242</v>
      </c>
      <c r="C65" s="75" t="s">
        <v>243</v>
      </c>
      <c r="D65" s="76" t="s">
        <v>219</v>
      </c>
      <c r="E65" s="76" t="s">
        <v>244</v>
      </c>
      <c r="F65" s="75">
        <v>1984</v>
      </c>
      <c r="G65" s="75" t="s">
        <v>111</v>
      </c>
      <c r="H65" s="75" t="s">
        <v>221</v>
      </c>
      <c r="I65" s="76" t="s">
        <v>113</v>
      </c>
      <c r="J65" s="75" t="s">
        <v>222</v>
      </c>
      <c r="K65" s="77">
        <v>12.8</v>
      </c>
      <c r="L65" s="77">
        <v>10</v>
      </c>
      <c r="M65" s="77">
        <v>8</v>
      </c>
      <c r="N65" s="78">
        <f t="shared" si="4"/>
        <v>1.175</v>
      </c>
      <c r="O65" s="79">
        <f t="shared" si="0"/>
        <v>43.878906249999993</v>
      </c>
      <c r="P65" s="79">
        <f t="shared" si="1"/>
        <v>56.164999999999999</v>
      </c>
      <c r="Q65" s="79">
        <f t="shared" si="2"/>
        <v>70.206249999999997</v>
      </c>
      <c r="R65" s="75" t="str">
        <f t="shared" si="3"/>
        <v>Rs./km</v>
      </c>
    </row>
    <row r="66" spans="1:18" ht="15" customHeight="1" x14ac:dyDescent="0.3">
      <c r="A66" s="75">
        <v>54</v>
      </c>
      <c r="B66" s="75" t="s">
        <v>245</v>
      </c>
      <c r="C66" s="75" t="s">
        <v>246</v>
      </c>
      <c r="D66" s="76" t="s">
        <v>219</v>
      </c>
      <c r="E66" s="76" t="s">
        <v>247</v>
      </c>
      <c r="F66" s="75">
        <v>2018</v>
      </c>
      <c r="G66" s="75" t="s">
        <v>111</v>
      </c>
      <c r="H66" s="75" t="s">
        <v>221</v>
      </c>
      <c r="I66" s="76" t="s">
        <v>113</v>
      </c>
      <c r="J66" s="75" t="s">
        <v>222</v>
      </c>
      <c r="K66" s="77">
        <v>12.8</v>
      </c>
      <c r="L66" s="77">
        <v>10</v>
      </c>
      <c r="M66" s="77">
        <v>8</v>
      </c>
      <c r="N66" s="78">
        <f t="shared" si="4"/>
        <v>1.056</v>
      </c>
      <c r="O66" s="79">
        <f t="shared" si="0"/>
        <v>39.435000000000002</v>
      </c>
      <c r="P66" s="79">
        <f t="shared" si="1"/>
        <v>50.476800000000004</v>
      </c>
      <c r="Q66" s="79">
        <f t="shared" si="2"/>
        <v>63.096000000000004</v>
      </c>
      <c r="R66" s="75" t="str">
        <f t="shared" si="3"/>
        <v>Rs./km</v>
      </c>
    </row>
    <row r="67" spans="1:18" ht="15" customHeight="1" x14ac:dyDescent="0.3">
      <c r="A67" s="75">
        <v>55</v>
      </c>
      <c r="B67" s="75" t="s">
        <v>248</v>
      </c>
      <c r="C67" s="75" t="s">
        <v>249</v>
      </c>
      <c r="D67" s="76" t="s">
        <v>250</v>
      </c>
      <c r="E67" s="76" t="s">
        <v>251</v>
      </c>
      <c r="F67" s="75">
        <v>2005</v>
      </c>
      <c r="G67" s="75" t="s">
        <v>111</v>
      </c>
      <c r="H67" s="75" t="s">
        <v>112</v>
      </c>
      <c r="I67" s="76" t="s">
        <v>113</v>
      </c>
      <c r="J67" s="75" t="s">
        <v>114</v>
      </c>
      <c r="K67" s="77">
        <v>5</v>
      </c>
      <c r="L67" s="77">
        <v>7</v>
      </c>
      <c r="M67" s="77">
        <v>9.5</v>
      </c>
      <c r="N67" s="78">
        <f t="shared" si="4"/>
        <v>1.147</v>
      </c>
      <c r="O67" s="79">
        <f t="shared" si="0"/>
        <v>2741.33</v>
      </c>
      <c r="P67" s="79">
        <f t="shared" si="1"/>
        <v>3837.8620000000001</v>
      </c>
      <c r="Q67" s="79">
        <f t="shared" si="2"/>
        <v>5208.527</v>
      </c>
      <c r="R67" s="75" t="str">
        <f t="shared" si="3"/>
        <v>Rs./hr</v>
      </c>
    </row>
    <row r="68" spans="1:18" ht="15" customHeight="1" x14ac:dyDescent="0.3">
      <c r="A68" s="75">
        <v>56</v>
      </c>
      <c r="B68" s="75" t="s">
        <v>252</v>
      </c>
      <c r="C68" s="75" t="s">
        <v>253</v>
      </c>
      <c r="D68" s="76" t="s">
        <v>250</v>
      </c>
      <c r="E68" s="76" t="s">
        <v>254</v>
      </c>
      <c r="F68" s="75">
        <v>1990</v>
      </c>
      <c r="G68" s="75" t="s">
        <v>111</v>
      </c>
      <c r="H68" s="75" t="s">
        <v>112</v>
      </c>
      <c r="I68" s="76" t="s">
        <v>113</v>
      </c>
      <c r="J68" s="75" t="s">
        <v>114</v>
      </c>
      <c r="K68" s="77">
        <v>5</v>
      </c>
      <c r="L68" s="77">
        <v>7</v>
      </c>
      <c r="M68" s="77">
        <v>9.5</v>
      </c>
      <c r="N68" s="78">
        <f t="shared" si="4"/>
        <v>1.175</v>
      </c>
      <c r="O68" s="79">
        <f t="shared" si="0"/>
        <v>2808.25</v>
      </c>
      <c r="P68" s="79">
        <f t="shared" si="1"/>
        <v>3931.5499999999997</v>
      </c>
      <c r="Q68" s="79">
        <f t="shared" si="2"/>
        <v>5335.6750000000002</v>
      </c>
      <c r="R68" s="75" t="str">
        <f t="shared" si="3"/>
        <v>Rs./hr</v>
      </c>
    </row>
    <row r="69" spans="1:18" ht="15" customHeight="1" x14ac:dyDescent="0.3">
      <c r="A69" s="75">
        <v>57</v>
      </c>
      <c r="B69" s="75" t="s">
        <v>255</v>
      </c>
      <c r="C69" s="75" t="s">
        <v>256</v>
      </c>
      <c r="D69" s="76" t="s">
        <v>250</v>
      </c>
      <c r="E69" s="76" t="s">
        <v>257</v>
      </c>
      <c r="F69" s="75" t="s">
        <v>108</v>
      </c>
      <c r="G69" s="75" t="s">
        <v>111</v>
      </c>
      <c r="H69" s="75" t="s">
        <v>112</v>
      </c>
      <c r="I69" s="76" t="s">
        <v>113</v>
      </c>
      <c r="J69" s="75" t="s">
        <v>114</v>
      </c>
      <c r="K69" s="77">
        <v>5</v>
      </c>
      <c r="L69" s="77">
        <v>7</v>
      </c>
      <c r="M69" s="77">
        <v>9.5</v>
      </c>
      <c r="N69" s="78">
        <f>1</f>
        <v>1</v>
      </c>
      <c r="O69" s="79">
        <f t="shared" si="0"/>
        <v>2390</v>
      </c>
      <c r="P69" s="79">
        <f t="shared" si="1"/>
        <v>3346</v>
      </c>
      <c r="Q69" s="79">
        <f t="shared" si="2"/>
        <v>4541</v>
      </c>
      <c r="R69" s="75" t="str">
        <f t="shared" si="3"/>
        <v>Rs./hr</v>
      </c>
    </row>
    <row r="70" spans="1:18" ht="15" customHeight="1" x14ac:dyDescent="0.3">
      <c r="A70" s="75">
        <v>58</v>
      </c>
      <c r="B70" s="75" t="s">
        <v>258</v>
      </c>
      <c r="C70" s="75" t="s">
        <v>259</v>
      </c>
      <c r="D70" s="76" t="s">
        <v>250</v>
      </c>
      <c r="E70" s="76" t="s">
        <v>260</v>
      </c>
      <c r="F70" s="75">
        <v>2005</v>
      </c>
      <c r="G70" s="75" t="s">
        <v>111</v>
      </c>
      <c r="H70" s="75" t="s">
        <v>112</v>
      </c>
      <c r="I70" s="76" t="s">
        <v>113</v>
      </c>
      <c r="J70" s="75" t="s">
        <v>114</v>
      </c>
      <c r="K70" s="77">
        <v>5</v>
      </c>
      <c r="L70" s="77">
        <v>7</v>
      </c>
      <c r="M70" s="77">
        <v>9.5</v>
      </c>
      <c r="N70" s="78">
        <f>1+MIN(MAX($D$8-F70,0),$D$10)*$D$9</f>
        <v>1.147</v>
      </c>
      <c r="O70" s="79">
        <f t="shared" si="0"/>
        <v>2741.33</v>
      </c>
      <c r="P70" s="79">
        <f t="shared" si="1"/>
        <v>3837.8620000000001</v>
      </c>
      <c r="Q70" s="79">
        <f t="shared" si="2"/>
        <v>5208.527</v>
      </c>
      <c r="R70" s="75" t="str">
        <f t="shared" si="3"/>
        <v>Rs./hr</v>
      </c>
    </row>
    <row r="71" spans="1:18" ht="15" customHeight="1" x14ac:dyDescent="0.3">
      <c r="A71" s="75">
        <v>59</v>
      </c>
      <c r="B71" s="75" t="s">
        <v>261</v>
      </c>
      <c r="C71" s="75" t="s">
        <v>51</v>
      </c>
      <c r="D71" s="76" t="s">
        <v>250</v>
      </c>
      <c r="E71" s="76" t="s">
        <v>262</v>
      </c>
      <c r="F71" s="75">
        <v>1990</v>
      </c>
      <c r="G71" s="75" t="s">
        <v>111</v>
      </c>
      <c r="H71" s="75" t="s">
        <v>112</v>
      </c>
      <c r="I71" s="76" t="s">
        <v>113</v>
      </c>
      <c r="J71" s="75" t="s">
        <v>114</v>
      </c>
      <c r="K71" s="77">
        <v>5</v>
      </c>
      <c r="L71" s="77">
        <v>7</v>
      </c>
      <c r="M71" s="77">
        <v>9.5</v>
      </c>
      <c r="N71" s="78">
        <f>1+MIN(MAX($D$8-F71,0),$D$10)*$D$9</f>
        <v>1.175</v>
      </c>
      <c r="O71" s="79">
        <f t="shared" si="0"/>
        <v>2808.25</v>
      </c>
      <c r="P71" s="79">
        <f t="shared" si="1"/>
        <v>3931.5499999999997</v>
      </c>
      <c r="Q71" s="79">
        <f t="shared" si="2"/>
        <v>5335.6750000000002</v>
      </c>
      <c r="R71" s="75" t="str">
        <f t="shared" si="3"/>
        <v>Rs./hr</v>
      </c>
    </row>
    <row r="72" spans="1:18" ht="15" customHeight="1" x14ac:dyDescent="0.3">
      <c r="A72" s="75">
        <v>60</v>
      </c>
      <c r="B72" s="75" t="s">
        <v>108</v>
      </c>
      <c r="C72" s="75" t="s">
        <v>108</v>
      </c>
      <c r="D72" s="76" t="s">
        <v>250</v>
      </c>
      <c r="E72" s="76" t="s">
        <v>262</v>
      </c>
      <c r="F72" s="75" t="s">
        <v>108</v>
      </c>
      <c r="G72" s="75" t="s">
        <v>111</v>
      </c>
      <c r="H72" s="75" t="s">
        <v>112</v>
      </c>
      <c r="I72" s="76" t="s">
        <v>113</v>
      </c>
      <c r="J72" s="75" t="s">
        <v>114</v>
      </c>
      <c r="K72" s="77">
        <v>5</v>
      </c>
      <c r="L72" s="77">
        <v>7</v>
      </c>
      <c r="M72" s="77">
        <v>9.5</v>
      </c>
      <c r="N72" s="78">
        <f>1</f>
        <v>1</v>
      </c>
      <c r="O72" s="79">
        <f t="shared" si="0"/>
        <v>2390</v>
      </c>
      <c r="P72" s="79">
        <f t="shared" si="1"/>
        <v>3346</v>
      </c>
      <c r="Q72" s="79">
        <f t="shared" si="2"/>
        <v>4541</v>
      </c>
      <c r="R72" s="75" t="str">
        <f t="shared" si="3"/>
        <v>Rs./hr</v>
      </c>
    </row>
    <row r="73" spans="1:18" ht="15" customHeight="1" x14ac:dyDescent="0.3">
      <c r="A73" s="75">
        <v>61</v>
      </c>
      <c r="B73" s="75" t="s">
        <v>263</v>
      </c>
      <c r="C73" s="75" t="s">
        <v>264</v>
      </c>
      <c r="D73" s="76" t="s">
        <v>265</v>
      </c>
      <c r="E73" s="76" t="s">
        <v>266</v>
      </c>
      <c r="F73" s="75">
        <v>2005</v>
      </c>
      <c r="G73" s="75" t="s">
        <v>111</v>
      </c>
      <c r="H73" s="75" t="s">
        <v>221</v>
      </c>
      <c r="I73" s="76" t="s">
        <v>113</v>
      </c>
      <c r="J73" s="75" t="s">
        <v>222</v>
      </c>
      <c r="K73" s="77">
        <v>12.8</v>
      </c>
      <c r="L73" s="77">
        <v>10</v>
      </c>
      <c r="M73" s="77">
        <v>8</v>
      </c>
      <c r="N73" s="78">
        <f>1+MIN(MAX($D$8-F73,0),$D$10)*$D$9</f>
        <v>1.147</v>
      </c>
      <c r="O73" s="79">
        <f t="shared" si="0"/>
        <v>42.833281249999992</v>
      </c>
      <c r="P73" s="79">
        <f t="shared" si="1"/>
        <v>54.826599999999999</v>
      </c>
      <c r="Q73" s="79">
        <f t="shared" si="2"/>
        <v>68.533249999999995</v>
      </c>
      <c r="R73" s="75" t="str">
        <f t="shared" si="3"/>
        <v>Rs./km</v>
      </c>
    </row>
    <row r="74" spans="1:18" ht="15" customHeight="1" x14ac:dyDescent="0.3">
      <c r="A74" s="75">
        <v>62</v>
      </c>
      <c r="B74" s="75" t="s">
        <v>267</v>
      </c>
      <c r="C74" s="75" t="s">
        <v>49</v>
      </c>
      <c r="D74" s="76" t="s">
        <v>265</v>
      </c>
      <c r="E74" s="76" t="s">
        <v>268</v>
      </c>
      <c r="F74" s="75" t="s">
        <v>108</v>
      </c>
      <c r="G74" s="75" t="s">
        <v>111</v>
      </c>
      <c r="H74" s="75" t="s">
        <v>221</v>
      </c>
      <c r="I74" s="76" t="s">
        <v>113</v>
      </c>
      <c r="J74" s="75" t="s">
        <v>222</v>
      </c>
      <c r="K74" s="77">
        <v>12.8</v>
      </c>
      <c r="L74" s="77">
        <v>10</v>
      </c>
      <c r="M74" s="77">
        <v>8</v>
      </c>
      <c r="N74" s="78">
        <f>1</f>
        <v>1</v>
      </c>
      <c r="O74" s="79">
        <f t="shared" si="0"/>
        <v>37.34375</v>
      </c>
      <c r="P74" s="79">
        <f t="shared" si="1"/>
        <v>47.8</v>
      </c>
      <c r="Q74" s="79">
        <f t="shared" si="2"/>
        <v>59.75</v>
      </c>
      <c r="R74" s="75" t="str">
        <f t="shared" si="3"/>
        <v>Rs./km</v>
      </c>
    </row>
    <row r="75" spans="1:18" ht="15" customHeight="1" x14ac:dyDescent="0.3">
      <c r="A75" s="75">
        <v>63</v>
      </c>
      <c r="B75" s="75" t="s">
        <v>269</v>
      </c>
      <c r="C75" s="75" t="s">
        <v>270</v>
      </c>
      <c r="D75" s="76" t="s">
        <v>265</v>
      </c>
      <c r="E75" s="76" t="s">
        <v>271</v>
      </c>
      <c r="F75" s="75">
        <v>1997</v>
      </c>
      <c r="G75" s="75" t="s">
        <v>111</v>
      </c>
      <c r="H75" s="75" t="s">
        <v>221</v>
      </c>
      <c r="I75" s="76" t="s">
        <v>113</v>
      </c>
      <c r="J75" s="75" t="s">
        <v>222</v>
      </c>
      <c r="K75" s="77">
        <v>12.8</v>
      </c>
      <c r="L75" s="77">
        <v>10</v>
      </c>
      <c r="M75" s="77">
        <v>8</v>
      </c>
      <c r="N75" s="78">
        <f t="shared" ref="N75:N96" si="5">1+MIN(MAX($D$8-F75,0),$D$10)*$D$9</f>
        <v>1.175</v>
      </c>
      <c r="O75" s="79">
        <f t="shared" si="0"/>
        <v>43.878906249999993</v>
      </c>
      <c r="P75" s="79">
        <f t="shared" si="1"/>
        <v>56.164999999999999</v>
      </c>
      <c r="Q75" s="79">
        <f t="shared" si="2"/>
        <v>70.206249999999997</v>
      </c>
      <c r="R75" s="75" t="str">
        <f t="shared" si="3"/>
        <v>Rs./km</v>
      </c>
    </row>
    <row r="76" spans="1:18" ht="15" customHeight="1" x14ac:dyDescent="0.3">
      <c r="A76" s="75">
        <v>64</v>
      </c>
      <c r="B76" s="75" t="s">
        <v>272</v>
      </c>
      <c r="C76" s="75" t="s">
        <v>273</v>
      </c>
      <c r="D76" s="76" t="s">
        <v>265</v>
      </c>
      <c r="E76" s="76" t="s">
        <v>268</v>
      </c>
      <c r="F76" s="75">
        <v>1985</v>
      </c>
      <c r="G76" s="75" t="s">
        <v>111</v>
      </c>
      <c r="H76" s="75" t="s">
        <v>221</v>
      </c>
      <c r="I76" s="76" t="s">
        <v>113</v>
      </c>
      <c r="J76" s="75" t="s">
        <v>222</v>
      </c>
      <c r="K76" s="77">
        <v>12.8</v>
      </c>
      <c r="L76" s="77">
        <v>10</v>
      </c>
      <c r="M76" s="77">
        <v>8</v>
      </c>
      <c r="N76" s="78">
        <f t="shared" si="5"/>
        <v>1.175</v>
      </c>
      <c r="O76" s="79">
        <f t="shared" si="0"/>
        <v>43.878906249999993</v>
      </c>
      <c r="P76" s="79">
        <f t="shared" si="1"/>
        <v>56.164999999999999</v>
      </c>
      <c r="Q76" s="79">
        <f t="shared" si="2"/>
        <v>70.206249999999997</v>
      </c>
      <c r="R76" s="75" t="str">
        <f t="shared" si="3"/>
        <v>Rs./km</v>
      </c>
    </row>
    <row r="77" spans="1:18" ht="15" customHeight="1" x14ac:dyDescent="0.3">
      <c r="A77" s="75">
        <v>65</v>
      </c>
      <c r="B77" s="75" t="s">
        <v>274</v>
      </c>
      <c r="C77" s="75" t="s">
        <v>275</v>
      </c>
      <c r="D77" s="76" t="s">
        <v>265</v>
      </c>
      <c r="E77" s="76" t="s">
        <v>276</v>
      </c>
      <c r="F77" s="75">
        <v>2003</v>
      </c>
      <c r="G77" s="75" t="s">
        <v>111</v>
      </c>
      <c r="H77" s="75" t="s">
        <v>221</v>
      </c>
      <c r="I77" s="76" t="s">
        <v>113</v>
      </c>
      <c r="J77" s="75" t="s">
        <v>222</v>
      </c>
      <c r="K77" s="77">
        <v>12.8</v>
      </c>
      <c r="L77" s="77">
        <v>10</v>
      </c>
      <c r="M77" s="77">
        <v>8</v>
      </c>
      <c r="N77" s="78">
        <f t="shared" si="5"/>
        <v>1.161</v>
      </c>
      <c r="O77" s="79">
        <f t="shared" ref="O77:O140" si="6">IF(H77="None",0,IF(H77="KM",IF(G77="Petrol",$D$6,$D$5)*N77/K77,K77*N77*IF(G77="Petrol",$D$6,$D$5)))</f>
        <v>43.356093749999992</v>
      </c>
      <c r="P77" s="79">
        <f t="shared" ref="P77:P140" si="7">IF(H77="None",0,IF(H77="KM",IF(G77="Petrol",$D$6,$D$5)*N77/L77,L77*N77*IF(G77="Petrol",$D$6,$D$5)))</f>
        <v>55.495799999999996</v>
      </c>
      <c r="Q77" s="79">
        <f t="shared" ref="Q77:Q140" si="8">IF(H77="None",0,IF(H77="KM",IF(G77="Petrol",$D$6,$D$5)*N77/M77,M77*N77*IF(G77="Petrol",$D$6,$D$5)))</f>
        <v>69.369749999999996</v>
      </c>
      <c r="R77" s="75" t="str">
        <f t="shared" ref="R77:R140" si="9">IF(H77="None","—",IF(H77="KM","Rs./km","Rs./hr"))</f>
        <v>Rs./km</v>
      </c>
    </row>
    <row r="78" spans="1:18" ht="15" customHeight="1" x14ac:dyDescent="0.3">
      <c r="A78" s="75">
        <v>66</v>
      </c>
      <c r="B78" s="75" t="s">
        <v>277</v>
      </c>
      <c r="C78" s="75" t="s">
        <v>278</v>
      </c>
      <c r="D78" s="76" t="s">
        <v>265</v>
      </c>
      <c r="E78" s="76" t="s">
        <v>279</v>
      </c>
      <c r="F78" s="75">
        <v>1999</v>
      </c>
      <c r="G78" s="75" t="s">
        <v>111</v>
      </c>
      <c r="H78" s="75" t="s">
        <v>221</v>
      </c>
      <c r="I78" s="76" t="s">
        <v>113</v>
      </c>
      <c r="J78" s="75" t="s">
        <v>222</v>
      </c>
      <c r="K78" s="77">
        <v>12.8</v>
      </c>
      <c r="L78" s="77">
        <v>10</v>
      </c>
      <c r="M78" s="77">
        <v>8</v>
      </c>
      <c r="N78" s="78">
        <f t="shared" si="5"/>
        <v>1.175</v>
      </c>
      <c r="O78" s="79">
        <f t="shared" si="6"/>
        <v>43.878906249999993</v>
      </c>
      <c r="P78" s="79">
        <f t="shared" si="7"/>
        <v>56.164999999999999</v>
      </c>
      <c r="Q78" s="79">
        <f t="shared" si="8"/>
        <v>70.206249999999997</v>
      </c>
      <c r="R78" s="75" t="str">
        <f t="shared" si="9"/>
        <v>Rs./km</v>
      </c>
    </row>
    <row r="79" spans="1:18" ht="23.25" customHeight="1" x14ac:dyDescent="0.3">
      <c r="A79" s="75">
        <v>67</v>
      </c>
      <c r="B79" s="75" t="s">
        <v>280</v>
      </c>
      <c r="C79" s="75" t="s">
        <v>4</v>
      </c>
      <c r="D79" s="76" t="s">
        <v>265</v>
      </c>
      <c r="E79" s="76" t="s">
        <v>281</v>
      </c>
      <c r="F79" s="75">
        <v>2011</v>
      </c>
      <c r="G79" s="75" t="s">
        <v>111</v>
      </c>
      <c r="H79" s="75" t="s">
        <v>221</v>
      </c>
      <c r="I79" s="76" t="s">
        <v>113</v>
      </c>
      <c r="J79" s="75" t="s">
        <v>222</v>
      </c>
      <c r="K79" s="77">
        <v>12.8</v>
      </c>
      <c r="L79" s="77">
        <v>10</v>
      </c>
      <c r="M79" s="77">
        <v>8</v>
      </c>
      <c r="N79" s="78">
        <f t="shared" si="5"/>
        <v>1.105</v>
      </c>
      <c r="O79" s="79">
        <f t="shared" si="6"/>
        <v>41.26484374999999</v>
      </c>
      <c r="P79" s="79">
        <f t="shared" si="7"/>
        <v>52.818999999999996</v>
      </c>
      <c r="Q79" s="79">
        <f t="shared" si="8"/>
        <v>66.023749999999993</v>
      </c>
      <c r="R79" s="75" t="str">
        <f t="shared" si="9"/>
        <v>Rs./km</v>
      </c>
    </row>
    <row r="80" spans="1:18" ht="15" customHeight="1" x14ac:dyDescent="0.3">
      <c r="A80" s="75">
        <v>68</v>
      </c>
      <c r="B80" s="75" t="s">
        <v>282</v>
      </c>
      <c r="C80" s="75" t="s">
        <v>283</v>
      </c>
      <c r="D80" s="76" t="s">
        <v>265</v>
      </c>
      <c r="E80" s="76" t="s">
        <v>276</v>
      </c>
      <c r="F80" s="75">
        <v>2008</v>
      </c>
      <c r="G80" s="75" t="s">
        <v>111</v>
      </c>
      <c r="H80" s="75" t="s">
        <v>221</v>
      </c>
      <c r="I80" s="76" t="s">
        <v>113</v>
      </c>
      <c r="J80" s="75" t="s">
        <v>222</v>
      </c>
      <c r="K80" s="77">
        <v>12.8</v>
      </c>
      <c r="L80" s="77">
        <v>10</v>
      </c>
      <c r="M80" s="77">
        <v>8</v>
      </c>
      <c r="N80" s="78">
        <f t="shared" si="5"/>
        <v>1.1259999999999999</v>
      </c>
      <c r="O80" s="79">
        <f t="shared" si="6"/>
        <v>42.049062499999991</v>
      </c>
      <c r="P80" s="79">
        <f t="shared" si="7"/>
        <v>53.822799999999994</v>
      </c>
      <c r="Q80" s="79">
        <f t="shared" si="8"/>
        <v>67.278499999999994</v>
      </c>
      <c r="R80" s="75" t="str">
        <f t="shared" si="9"/>
        <v>Rs./km</v>
      </c>
    </row>
    <row r="81" spans="1:18" ht="15" customHeight="1" x14ac:dyDescent="0.3">
      <c r="A81" s="75">
        <v>69</v>
      </c>
      <c r="B81" s="75" t="s">
        <v>284</v>
      </c>
      <c r="C81" s="75" t="s">
        <v>285</v>
      </c>
      <c r="D81" s="76" t="s">
        <v>265</v>
      </c>
      <c r="E81" s="76" t="s">
        <v>286</v>
      </c>
      <c r="F81" s="75">
        <v>2005</v>
      </c>
      <c r="G81" s="75" t="s">
        <v>111</v>
      </c>
      <c r="H81" s="75" t="s">
        <v>221</v>
      </c>
      <c r="I81" s="76" t="s">
        <v>113</v>
      </c>
      <c r="J81" s="75" t="s">
        <v>222</v>
      </c>
      <c r="K81" s="77">
        <v>12.8</v>
      </c>
      <c r="L81" s="77">
        <v>10</v>
      </c>
      <c r="M81" s="77">
        <v>8</v>
      </c>
      <c r="N81" s="78">
        <f t="shared" si="5"/>
        <v>1.147</v>
      </c>
      <c r="O81" s="79">
        <f t="shared" si="6"/>
        <v>42.833281249999992</v>
      </c>
      <c r="P81" s="79">
        <f t="shared" si="7"/>
        <v>54.826599999999999</v>
      </c>
      <c r="Q81" s="79">
        <f t="shared" si="8"/>
        <v>68.533249999999995</v>
      </c>
      <c r="R81" s="75" t="str">
        <f t="shared" si="9"/>
        <v>Rs./km</v>
      </c>
    </row>
    <row r="82" spans="1:18" ht="15" customHeight="1" x14ac:dyDescent="0.3">
      <c r="A82" s="75">
        <v>70</v>
      </c>
      <c r="B82" s="75" t="s">
        <v>287</v>
      </c>
      <c r="C82" s="75" t="s">
        <v>288</v>
      </c>
      <c r="D82" s="76" t="s">
        <v>265</v>
      </c>
      <c r="E82" s="76" t="s">
        <v>289</v>
      </c>
      <c r="F82" s="75">
        <v>2008</v>
      </c>
      <c r="G82" s="75" t="s">
        <v>111</v>
      </c>
      <c r="H82" s="75" t="s">
        <v>221</v>
      </c>
      <c r="I82" s="76" t="s">
        <v>113</v>
      </c>
      <c r="J82" s="75" t="s">
        <v>222</v>
      </c>
      <c r="K82" s="77">
        <v>12.8</v>
      </c>
      <c r="L82" s="77">
        <v>10</v>
      </c>
      <c r="M82" s="77">
        <v>8</v>
      </c>
      <c r="N82" s="78">
        <f t="shared" si="5"/>
        <v>1.1259999999999999</v>
      </c>
      <c r="O82" s="79">
        <f t="shared" si="6"/>
        <v>42.049062499999991</v>
      </c>
      <c r="P82" s="79">
        <f t="shared" si="7"/>
        <v>53.822799999999994</v>
      </c>
      <c r="Q82" s="79">
        <f t="shared" si="8"/>
        <v>67.278499999999994</v>
      </c>
      <c r="R82" s="75" t="str">
        <f t="shared" si="9"/>
        <v>Rs./km</v>
      </c>
    </row>
    <row r="83" spans="1:18" ht="15" customHeight="1" x14ac:dyDescent="0.3">
      <c r="A83" s="75">
        <v>71</v>
      </c>
      <c r="B83" s="75" t="s">
        <v>290</v>
      </c>
      <c r="C83" s="75" t="s">
        <v>291</v>
      </c>
      <c r="D83" s="76" t="s">
        <v>265</v>
      </c>
      <c r="E83" s="76" t="s">
        <v>289</v>
      </c>
      <c r="F83" s="75">
        <v>2007</v>
      </c>
      <c r="G83" s="75" t="s">
        <v>111</v>
      </c>
      <c r="H83" s="75" t="s">
        <v>221</v>
      </c>
      <c r="I83" s="76" t="s">
        <v>113</v>
      </c>
      <c r="J83" s="75" t="s">
        <v>222</v>
      </c>
      <c r="K83" s="77">
        <v>12.8</v>
      </c>
      <c r="L83" s="77">
        <v>10</v>
      </c>
      <c r="M83" s="77">
        <v>8</v>
      </c>
      <c r="N83" s="78">
        <f t="shared" si="5"/>
        <v>1.133</v>
      </c>
      <c r="O83" s="79">
        <f t="shared" si="6"/>
        <v>42.310468749999991</v>
      </c>
      <c r="P83" s="79">
        <f t="shared" si="7"/>
        <v>54.157399999999996</v>
      </c>
      <c r="Q83" s="79">
        <f t="shared" si="8"/>
        <v>67.696749999999994</v>
      </c>
      <c r="R83" s="75" t="str">
        <f t="shared" si="9"/>
        <v>Rs./km</v>
      </c>
    </row>
    <row r="84" spans="1:18" ht="23.25" customHeight="1" x14ac:dyDescent="0.3">
      <c r="A84" s="75">
        <v>72</v>
      </c>
      <c r="B84" s="75" t="s">
        <v>292</v>
      </c>
      <c r="C84" s="75" t="s">
        <v>293</v>
      </c>
      <c r="D84" s="76" t="s">
        <v>265</v>
      </c>
      <c r="E84" s="76" t="s">
        <v>281</v>
      </c>
      <c r="F84" s="75">
        <v>2015</v>
      </c>
      <c r="G84" s="75" t="s">
        <v>111</v>
      </c>
      <c r="H84" s="75" t="s">
        <v>221</v>
      </c>
      <c r="I84" s="76" t="s">
        <v>113</v>
      </c>
      <c r="J84" s="75" t="s">
        <v>222</v>
      </c>
      <c r="K84" s="77">
        <v>12.8</v>
      </c>
      <c r="L84" s="77">
        <v>10</v>
      </c>
      <c r="M84" s="77">
        <v>8</v>
      </c>
      <c r="N84" s="78">
        <f t="shared" si="5"/>
        <v>1.077</v>
      </c>
      <c r="O84" s="79">
        <f t="shared" si="6"/>
        <v>40.219218749999989</v>
      </c>
      <c r="P84" s="79">
        <f t="shared" si="7"/>
        <v>51.480599999999995</v>
      </c>
      <c r="Q84" s="79">
        <f t="shared" si="8"/>
        <v>64.350749999999991</v>
      </c>
      <c r="R84" s="75" t="str">
        <f t="shared" si="9"/>
        <v>Rs./km</v>
      </c>
    </row>
    <row r="85" spans="1:18" ht="15" customHeight="1" x14ac:dyDescent="0.3">
      <c r="A85" s="75">
        <v>73</v>
      </c>
      <c r="B85" s="75" t="s">
        <v>294</v>
      </c>
      <c r="C85" s="75" t="s">
        <v>295</v>
      </c>
      <c r="D85" s="76" t="s">
        <v>265</v>
      </c>
      <c r="E85" s="76" t="s">
        <v>296</v>
      </c>
      <c r="F85" s="75">
        <v>2016</v>
      </c>
      <c r="G85" s="75" t="s">
        <v>111</v>
      </c>
      <c r="H85" s="75" t="s">
        <v>221</v>
      </c>
      <c r="I85" s="76" t="s">
        <v>113</v>
      </c>
      <c r="J85" s="75" t="s">
        <v>222</v>
      </c>
      <c r="K85" s="77">
        <v>12.8</v>
      </c>
      <c r="L85" s="77">
        <v>10</v>
      </c>
      <c r="M85" s="77">
        <v>8</v>
      </c>
      <c r="N85" s="78">
        <f t="shared" si="5"/>
        <v>1.07</v>
      </c>
      <c r="O85" s="79">
        <f t="shared" si="6"/>
        <v>39.957812500000003</v>
      </c>
      <c r="P85" s="79">
        <f t="shared" si="7"/>
        <v>51.146000000000001</v>
      </c>
      <c r="Q85" s="79">
        <f t="shared" si="8"/>
        <v>63.932500000000005</v>
      </c>
      <c r="R85" s="75" t="str">
        <f t="shared" si="9"/>
        <v>Rs./km</v>
      </c>
    </row>
    <row r="86" spans="1:18" ht="15" customHeight="1" x14ac:dyDescent="0.3">
      <c r="A86" s="75">
        <v>74</v>
      </c>
      <c r="B86" s="75" t="s">
        <v>297</v>
      </c>
      <c r="C86" s="75" t="s">
        <v>298</v>
      </c>
      <c r="D86" s="76" t="s">
        <v>265</v>
      </c>
      <c r="E86" s="76" t="s">
        <v>266</v>
      </c>
      <c r="F86" s="75">
        <v>2012</v>
      </c>
      <c r="G86" s="75" t="s">
        <v>111</v>
      </c>
      <c r="H86" s="75" t="s">
        <v>221</v>
      </c>
      <c r="I86" s="76" t="s">
        <v>113</v>
      </c>
      <c r="J86" s="75" t="s">
        <v>222</v>
      </c>
      <c r="K86" s="77">
        <v>12.8</v>
      </c>
      <c r="L86" s="77">
        <v>10</v>
      </c>
      <c r="M86" s="77">
        <v>8</v>
      </c>
      <c r="N86" s="78">
        <f t="shared" si="5"/>
        <v>1.0980000000000001</v>
      </c>
      <c r="O86" s="79">
        <f t="shared" si="6"/>
        <v>41.003437500000004</v>
      </c>
      <c r="P86" s="79">
        <f t="shared" si="7"/>
        <v>52.484400000000008</v>
      </c>
      <c r="Q86" s="79">
        <f t="shared" si="8"/>
        <v>65.605500000000006</v>
      </c>
      <c r="R86" s="75" t="str">
        <f t="shared" si="9"/>
        <v>Rs./km</v>
      </c>
    </row>
    <row r="87" spans="1:18" ht="15" customHeight="1" x14ac:dyDescent="0.3">
      <c r="A87" s="75">
        <v>75</v>
      </c>
      <c r="B87" s="75" t="s">
        <v>299</v>
      </c>
      <c r="C87" s="75" t="s">
        <v>300</v>
      </c>
      <c r="D87" s="76" t="s">
        <v>265</v>
      </c>
      <c r="E87" s="76" t="s">
        <v>266</v>
      </c>
      <c r="F87" s="75">
        <v>2007</v>
      </c>
      <c r="G87" s="75" t="s">
        <v>111</v>
      </c>
      <c r="H87" s="75" t="s">
        <v>221</v>
      </c>
      <c r="I87" s="76" t="s">
        <v>113</v>
      </c>
      <c r="J87" s="75" t="s">
        <v>222</v>
      </c>
      <c r="K87" s="77">
        <v>12.8</v>
      </c>
      <c r="L87" s="77">
        <v>10</v>
      </c>
      <c r="M87" s="77">
        <v>8</v>
      </c>
      <c r="N87" s="78">
        <f t="shared" si="5"/>
        <v>1.133</v>
      </c>
      <c r="O87" s="79">
        <f t="shared" si="6"/>
        <v>42.310468749999991</v>
      </c>
      <c r="P87" s="79">
        <f t="shared" si="7"/>
        <v>54.157399999999996</v>
      </c>
      <c r="Q87" s="79">
        <f t="shared" si="8"/>
        <v>67.696749999999994</v>
      </c>
      <c r="R87" s="75" t="str">
        <f t="shared" si="9"/>
        <v>Rs./km</v>
      </c>
    </row>
    <row r="88" spans="1:18" ht="15" customHeight="1" x14ac:dyDescent="0.3">
      <c r="A88" s="75">
        <v>76</v>
      </c>
      <c r="B88" s="75" t="s">
        <v>301</v>
      </c>
      <c r="C88" s="75" t="s">
        <v>302</v>
      </c>
      <c r="D88" s="76" t="s">
        <v>265</v>
      </c>
      <c r="E88" s="76" t="s">
        <v>303</v>
      </c>
      <c r="F88" s="75">
        <v>2007</v>
      </c>
      <c r="G88" s="75" t="s">
        <v>111</v>
      </c>
      <c r="H88" s="75" t="s">
        <v>221</v>
      </c>
      <c r="I88" s="76" t="s">
        <v>113</v>
      </c>
      <c r="J88" s="75" t="s">
        <v>222</v>
      </c>
      <c r="K88" s="77">
        <v>12.8</v>
      </c>
      <c r="L88" s="77">
        <v>10</v>
      </c>
      <c r="M88" s="77">
        <v>8</v>
      </c>
      <c r="N88" s="78">
        <f t="shared" si="5"/>
        <v>1.133</v>
      </c>
      <c r="O88" s="79">
        <f t="shared" si="6"/>
        <v>42.310468749999991</v>
      </c>
      <c r="P88" s="79">
        <f t="shared" si="7"/>
        <v>54.157399999999996</v>
      </c>
      <c r="Q88" s="79">
        <f t="shared" si="8"/>
        <v>67.696749999999994</v>
      </c>
      <c r="R88" s="75" t="str">
        <f t="shared" si="9"/>
        <v>Rs./km</v>
      </c>
    </row>
    <row r="89" spans="1:18" ht="15" customHeight="1" x14ac:dyDescent="0.3">
      <c r="A89" s="75">
        <v>77</v>
      </c>
      <c r="B89" s="75" t="s">
        <v>304</v>
      </c>
      <c r="C89" s="75" t="s">
        <v>305</v>
      </c>
      <c r="D89" s="76" t="s">
        <v>265</v>
      </c>
      <c r="E89" s="76" t="s">
        <v>266</v>
      </c>
      <c r="F89" s="75">
        <v>2019</v>
      </c>
      <c r="G89" s="75" t="s">
        <v>111</v>
      </c>
      <c r="H89" s="75" t="s">
        <v>221</v>
      </c>
      <c r="I89" s="76" t="s">
        <v>113</v>
      </c>
      <c r="J89" s="75" t="s">
        <v>222</v>
      </c>
      <c r="K89" s="77">
        <v>12.8</v>
      </c>
      <c r="L89" s="77">
        <v>10</v>
      </c>
      <c r="M89" s="77">
        <v>8</v>
      </c>
      <c r="N89" s="78">
        <f t="shared" si="5"/>
        <v>1.0489999999999999</v>
      </c>
      <c r="O89" s="79">
        <f t="shared" si="6"/>
        <v>39.173593749999995</v>
      </c>
      <c r="P89" s="79">
        <f t="shared" si="7"/>
        <v>50.142199999999995</v>
      </c>
      <c r="Q89" s="79">
        <f t="shared" si="8"/>
        <v>62.677749999999996</v>
      </c>
      <c r="R89" s="75" t="str">
        <f t="shared" si="9"/>
        <v>Rs./km</v>
      </c>
    </row>
    <row r="90" spans="1:18" ht="15" customHeight="1" x14ac:dyDescent="0.3">
      <c r="A90" s="75">
        <v>78</v>
      </c>
      <c r="B90" s="75" t="s">
        <v>306</v>
      </c>
      <c r="C90" s="75" t="s">
        <v>307</v>
      </c>
      <c r="D90" s="76" t="s">
        <v>265</v>
      </c>
      <c r="E90" s="76" t="s">
        <v>266</v>
      </c>
      <c r="F90" s="75">
        <v>2019</v>
      </c>
      <c r="G90" s="75" t="s">
        <v>111</v>
      </c>
      <c r="H90" s="75" t="s">
        <v>221</v>
      </c>
      <c r="I90" s="76" t="s">
        <v>113</v>
      </c>
      <c r="J90" s="75" t="s">
        <v>222</v>
      </c>
      <c r="K90" s="77">
        <v>12.8</v>
      </c>
      <c r="L90" s="77">
        <v>10</v>
      </c>
      <c r="M90" s="77">
        <v>8</v>
      </c>
      <c r="N90" s="78">
        <f t="shared" si="5"/>
        <v>1.0489999999999999</v>
      </c>
      <c r="O90" s="79">
        <f t="shared" si="6"/>
        <v>39.173593749999995</v>
      </c>
      <c r="P90" s="79">
        <f t="shared" si="7"/>
        <v>50.142199999999995</v>
      </c>
      <c r="Q90" s="79">
        <f t="shared" si="8"/>
        <v>62.677749999999996</v>
      </c>
      <c r="R90" s="75" t="str">
        <f t="shared" si="9"/>
        <v>Rs./km</v>
      </c>
    </row>
    <row r="91" spans="1:18" ht="15" customHeight="1" x14ac:dyDescent="0.3">
      <c r="A91" s="75">
        <v>79</v>
      </c>
      <c r="B91" s="75" t="s">
        <v>308</v>
      </c>
      <c r="C91" s="75" t="s">
        <v>309</v>
      </c>
      <c r="D91" s="76" t="s">
        <v>265</v>
      </c>
      <c r="E91" s="76" t="s">
        <v>266</v>
      </c>
      <c r="F91" s="75">
        <v>2019</v>
      </c>
      <c r="G91" s="75" t="s">
        <v>111</v>
      </c>
      <c r="H91" s="75" t="s">
        <v>221</v>
      </c>
      <c r="I91" s="76" t="s">
        <v>113</v>
      </c>
      <c r="J91" s="75" t="s">
        <v>222</v>
      </c>
      <c r="K91" s="77">
        <v>12.8</v>
      </c>
      <c r="L91" s="77">
        <v>10</v>
      </c>
      <c r="M91" s="77">
        <v>8</v>
      </c>
      <c r="N91" s="78">
        <f t="shared" si="5"/>
        <v>1.0489999999999999</v>
      </c>
      <c r="O91" s="79">
        <f t="shared" si="6"/>
        <v>39.173593749999995</v>
      </c>
      <c r="P91" s="79">
        <f t="shared" si="7"/>
        <v>50.142199999999995</v>
      </c>
      <c r="Q91" s="79">
        <f t="shared" si="8"/>
        <v>62.677749999999996</v>
      </c>
      <c r="R91" s="75" t="str">
        <f t="shared" si="9"/>
        <v>Rs./km</v>
      </c>
    </row>
    <row r="92" spans="1:18" ht="15" customHeight="1" x14ac:dyDescent="0.3">
      <c r="A92" s="75">
        <v>80</v>
      </c>
      <c r="B92" s="75" t="s">
        <v>310</v>
      </c>
      <c r="C92" s="75" t="s">
        <v>311</v>
      </c>
      <c r="D92" s="76" t="s">
        <v>265</v>
      </c>
      <c r="E92" s="76" t="s">
        <v>266</v>
      </c>
      <c r="F92" s="75">
        <v>2019</v>
      </c>
      <c r="G92" s="75" t="s">
        <v>111</v>
      </c>
      <c r="H92" s="75" t="s">
        <v>221</v>
      </c>
      <c r="I92" s="76" t="s">
        <v>113</v>
      </c>
      <c r="J92" s="75" t="s">
        <v>222</v>
      </c>
      <c r="K92" s="77">
        <v>12.8</v>
      </c>
      <c r="L92" s="77">
        <v>10</v>
      </c>
      <c r="M92" s="77">
        <v>8</v>
      </c>
      <c r="N92" s="78">
        <f t="shared" si="5"/>
        <v>1.0489999999999999</v>
      </c>
      <c r="O92" s="79">
        <f t="shared" si="6"/>
        <v>39.173593749999995</v>
      </c>
      <c r="P92" s="79">
        <f t="shared" si="7"/>
        <v>50.142199999999995</v>
      </c>
      <c r="Q92" s="79">
        <f t="shared" si="8"/>
        <v>62.677749999999996</v>
      </c>
      <c r="R92" s="75" t="str">
        <f t="shared" si="9"/>
        <v>Rs./km</v>
      </c>
    </row>
    <row r="93" spans="1:18" ht="15" customHeight="1" x14ac:dyDescent="0.3">
      <c r="A93" s="75">
        <v>81</v>
      </c>
      <c r="B93" s="75" t="s">
        <v>312</v>
      </c>
      <c r="C93" s="75" t="s">
        <v>313</v>
      </c>
      <c r="D93" s="76" t="s">
        <v>265</v>
      </c>
      <c r="E93" s="76" t="s">
        <v>266</v>
      </c>
      <c r="F93" s="75">
        <v>2019</v>
      </c>
      <c r="G93" s="75" t="s">
        <v>111</v>
      </c>
      <c r="H93" s="75" t="s">
        <v>221</v>
      </c>
      <c r="I93" s="76" t="s">
        <v>113</v>
      </c>
      <c r="J93" s="75" t="s">
        <v>222</v>
      </c>
      <c r="K93" s="77">
        <v>12.8</v>
      </c>
      <c r="L93" s="77">
        <v>10</v>
      </c>
      <c r="M93" s="77">
        <v>8</v>
      </c>
      <c r="N93" s="78">
        <f t="shared" si="5"/>
        <v>1.0489999999999999</v>
      </c>
      <c r="O93" s="79">
        <f t="shared" si="6"/>
        <v>39.173593749999995</v>
      </c>
      <c r="P93" s="79">
        <f t="shared" si="7"/>
        <v>50.142199999999995</v>
      </c>
      <c r="Q93" s="79">
        <f t="shared" si="8"/>
        <v>62.677749999999996</v>
      </c>
      <c r="R93" s="75" t="str">
        <f t="shared" si="9"/>
        <v>Rs./km</v>
      </c>
    </row>
    <row r="94" spans="1:18" ht="15" customHeight="1" x14ac:dyDescent="0.3">
      <c r="A94" s="75">
        <v>82</v>
      </c>
      <c r="B94" s="75" t="s">
        <v>314</v>
      </c>
      <c r="C94" s="75" t="s">
        <v>315</v>
      </c>
      <c r="D94" s="76" t="s">
        <v>265</v>
      </c>
      <c r="E94" s="76" t="s">
        <v>266</v>
      </c>
      <c r="F94" s="75">
        <v>2019</v>
      </c>
      <c r="G94" s="75" t="s">
        <v>111</v>
      </c>
      <c r="H94" s="75" t="s">
        <v>221</v>
      </c>
      <c r="I94" s="76" t="s">
        <v>113</v>
      </c>
      <c r="J94" s="75" t="s">
        <v>222</v>
      </c>
      <c r="K94" s="77">
        <v>12.8</v>
      </c>
      <c r="L94" s="77">
        <v>10</v>
      </c>
      <c r="M94" s="77">
        <v>8</v>
      </c>
      <c r="N94" s="78">
        <f t="shared" si="5"/>
        <v>1.0489999999999999</v>
      </c>
      <c r="O94" s="79">
        <f t="shared" si="6"/>
        <v>39.173593749999995</v>
      </c>
      <c r="P94" s="79">
        <f t="shared" si="7"/>
        <v>50.142199999999995</v>
      </c>
      <c r="Q94" s="79">
        <f t="shared" si="8"/>
        <v>62.677749999999996</v>
      </c>
      <c r="R94" s="75" t="str">
        <f t="shared" si="9"/>
        <v>Rs./km</v>
      </c>
    </row>
    <row r="95" spans="1:18" ht="15" customHeight="1" x14ac:dyDescent="0.3">
      <c r="A95" s="75">
        <v>83</v>
      </c>
      <c r="B95" s="75" t="s">
        <v>316</v>
      </c>
      <c r="C95" s="75" t="s">
        <v>317</v>
      </c>
      <c r="D95" s="76" t="s">
        <v>265</v>
      </c>
      <c r="E95" s="76" t="s">
        <v>318</v>
      </c>
      <c r="F95" s="75">
        <v>2017</v>
      </c>
      <c r="G95" s="75" t="s">
        <v>111</v>
      </c>
      <c r="H95" s="75" t="s">
        <v>221</v>
      </c>
      <c r="I95" s="76" t="s">
        <v>113</v>
      </c>
      <c r="J95" s="75" t="s">
        <v>222</v>
      </c>
      <c r="K95" s="77">
        <v>12.8</v>
      </c>
      <c r="L95" s="77">
        <v>10</v>
      </c>
      <c r="M95" s="77">
        <v>8</v>
      </c>
      <c r="N95" s="78">
        <f t="shared" si="5"/>
        <v>1.0629999999999999</v>
      </c>
      <c r="O95" s="79">
        <f t="shared" si="6"/>
        <v>39.696406249999995</v>
      </c>
      <c r="P95" s="79">
        <f t="shared" si="7"/>
        <v>50.811399999999999</v>
      </c>
      <c r="Q95" s="79">
        <f t="shared" si="8"/>
        <v>63.514249999999997</v>
      </c>
      <c r="R95" s="75" t="str">
        <f t="shared" si="9"/>
        <v>Rs./km</v>
      </c>
    </row>
    <row r="96" spans="1:18" ht="15" customHeight="1" x14ac:dyDescent="0.3">
      <c r="A96" s="75">
        <v>84</v>
      </c>
      <c r="B96" s="75" t="s">
        <v>319</v>
      </c>
      <c r="C96" s="75" t="s">
        <v>320</v>
      </c>
      <c r="D96" s="76" t="s">
        <v>265</v>
      </c>
      <c r="E96" s="76" t="s">
        <v>266</v>
      </c>
      <c r="F96" s="75">
        <v>2017</v>
      </c>
      <c r="G96" s="75" t="s">
        <v>111</v>
      </c>
      <c r="H96" s="75" t="s">
        <v>221</v>
      </c>
      <c r="I96" s="76" t="s">
        <v>113</v>
      </c>
      <c r="J96" s="75" t="s">
        <v>222</v>
      </c>
      <c r="K96" s="77">
        <v>12.8</v>
      </c>
      <c r="L96" s="77">
        <v>10</v>
      </c>
      <c r="M96" s="77">
        <v>8</v>
      </c>
      <c r="N96" s="78">
        <f t="shared" si="5"/>
        <v>1.0629999999999999</v>
      </c>
      <c r="O96" s="79">
        <f t="shared" si="6"/>
        <v>39.696406249999995</v>
      </c>
      <c r="P96" s="79">
        <f t="shared" si="7"/>
        <v>50.811399999999999</v>
      </c>
      <c r="Q96" s="79">
        <f t="shared" si="8"/>
        <v>63.514249999999997</v>
      </c>
      <c r="R96" s="75" t="str">
        <f t="shared" si="9"/>
        <v>Rs./km</v>
      </c>
    </row>
    <row r="97" spans="1:18" ht="15" customHeight="1" x14ac:dyDescent="0.3">
      <c r="A97" s="75">
        <v>85</v>
      </c>
      <c r="B97" s="75" t="s">
        <v>108</v>
      </c>
      <c r="C97" s="75" t="s">
        <v>307</v>
      </c>
      <c r="D97" s="76" t="s">
        <v>265</v>
      </c>
      <c r="E97" s="76" t="s">
        <v>321</v>
      </c>
      <c r="F97" s="75" t="s">
        <v>108</v>
      </c>
      <c r="G97" s="75" t="s">
        <v>111</v>
      </c>
      <c r="H97" s="75" t="s">
        <v>221</v>
      </c>
      <c r="I97" s="76" t="s">
        <v>113</v>
      </c>
      <c r="J97" s="75" t="s">
        <v>222</v>
      </c>
      <c r="K97" s="77">
        <v>12.8</v>
      </c>
      <c r="L97" s="77">
        <v>10</v>
      </c>
      <c r="M97" s="77">
        <v>8</v>
      </c>
      <c r="N97" s="78">
        <f>1</f>
        <v>1</v>
      </c>
      <c r="O97" s="79">
        <f t="shared" si="6"/>
        <v>37.34375</v>
      </c>
      <c r="P97" s="79">
        <f t="shared" si="7"/>
        <v>47.8</v>
      </c>
      <c r="Q97" s="79">
        <f t="shared" si="8"/>
        <v>59.75</v>
      </c>
      <c r="R97" s="75" t="str">
        <f t="shared" si="9"/>
        <v>Rs./km</v>
      </c>
    </row>
    <row r="98" spans="1:18" ht="15" customHeight="1" x14ac:dyDescent="0.3">
      <c r="A98" s="75">
        <v>86</v>
      </c>
      <c r="B98" s="75" t="s">
        <v>322</v>
      </c>
      <c r="C98" s="75" t="s">
        <v>323</v>
      </c>
      <c r="D98" s="76" t="s">
        <v>324</v>
      </c>
      <c r="E98" s="76" t="s">
        <v>325</v>
      </c>
      <c r="F98" s="75">
        <v>2006</v>
      </c>
      <c r="G98" s="75" t="s">
        <v>111</v>
      </c>
      <c r="H98" s="75" t="s">
        <v>221</v>
      </c>
      <c r="I98" s="76" t="s">
        <v>326</v>
      </c>
      <c r="J98" s="75" t="s">
        <v>222</v>
      </c>
      <c r="K98" s="77">
        <v>3.8</v>
      </c>
      <c r="L98" s="77">
        <v>3</v>
      </c>
      <c r="M98" s="77">
        <v>2.4</v>
      </c>
      <c r="N98" s="78">
        <f t="shared" ref="N98:N161" si="10">1+MIN(MAX($D$8-F98,0),$D$10)*$D$9</f>
        <v>1.1400000000000001</v>
      </c>
      <c r="O98" s="79">
        <f t="shared" si="6"/>
        <v>143.40000000000003</v>
      </c>
      <c r="P98" s="79">
        <f t="shared" si="7"/>
        <v>181.64000000000001</v>
      </c>
      <c r="Q98" s="79">
        <f t="shared" si="8"/>
        <v>227.05000000000004</v>
      </c>
      <c r="R98" s="75" t="str">
        <f t="shared" si="9"/>
        <v>Rs./km</v>
      </c>
    </row>
    <row r="99" spans="1:18" ht="15" customHeight="1" x14ac:dyDescent="0.3">
      <c r="A99" s="75">
        <v>87</v>
      </c>
      <c r="B99" s="75" t="s">
        <v>327</v>
      </c>
      <c r="C99" s="75" t="s">
        <v>52</v>
      </c>
      <c r="D99" s="76" t="s">
        <v>324</v>
      </c>
      <c r="E99" s="76" t="s">
        <v>328</v>
      </c>
      <c r="F99" s="75">
        <v>2013</v>
      </c>
      <c r="G99" s="75" t="s">
        <v>111</v>
      </c>
      <c r="H99" s="75" t="s">
        <v>221</v>
      </c>
      <c r="I99" s="76" t="s">
        <v>329</v>
      </c>
      <c r="J99" s="75" t="s">
        <v>222</v>
      </c>
      <c r="K99" s="77">
        <v>6.4</v>
      </c>
      <c r="L99" s="77">
        <v>5</v>
      </c>
      <c r="M99" s="77">
        <v>4</v>
      </c>
      <c r="N99" s="78">
        <f t="shared" si="10"/>
        <v>1.091</v>
      </c>
      <c r="O99" s="79">
        <f t="shared" si="6"/>
        <v>81.484062499999979</v>
      </c>
      <c r="P99" s="79">
        <f t="shared" si="7"/>
        <v>104.29959999999998</v>
      </c>
      <c r="Q99" s="79">
        <f t="shared" si="8"/>
        <v>130.37449999999998</v>
      </c>
      <c r="R99" s="75" t="str">
        <f t="shared" si="9"/>
        <v>Rs./km</v>
      </c>
    </row>
    <row r="100" spans="1:18" ht="23.25" customHeight="1" x14ac:dyDescent="0.3">
      <c r="A100" s="75">
        <v>88</v>
      </c>
      <c r="B100" s="75" t="s">
        <v>330</v>
      </c>
      <c r="C100" s="75" t="s">
        <v>331</v>
      </c>
      <c r="D100" s="76" t="s">
        <v>324</v>
      </c>
      <c r="E100" s="76" t="s">
        <v>332</v>
      </c>
      <c r="F100" s="75">
        <v>2012</v>
      </c>
      <c r="G100" s="75" t="s">
        <v>111</v>
      </c>
      <c r="H100" s="75" t="s">
        <v>221</v>
      </c>
      <c r="I100" s="76" t="s">
        <v>210</v>
      </c>
      <c r="J100" s="75" t="s">
        <v>222</v>
      </c>
      <c r="K100" s="77">
        <v>3.8</v>
      </c>
      <c r="L100" s="77">
        <v>3</v>
      </c>
      <c r="M100" s="77">
        <v>2.4</v>
      </c>
      <c r="N100" s="78">
        <f t="shared" si="10"/>
        <v>1.0980000000000001</v>
      </c>
      <c r="O100" s="79">
        <f t="shared" si="6"/>
        <v>138.11684210526317</v>
      </c>
      <c r="P100" s="79">
        <f t="shared" si="7"/>
        <v>174.94800000000001</v>
      </c>
      <c r="Q100" s="79">
        <f t="shared" si="8"/>
        <v>218.68500000000003</v>
      </c>
      <c r="R100" s="75" t="str">
        <f t="shared" si="9"/>
        <v>Rs./km</v>
      </c>
    </row>
    <row r="101" spans="1:18" ht="15" customHeight="1" x14ac:dyDescent="0.3">
      <c r="A101" s="75">
        <v>89</v>
      </c>
      <c r="B101" s="75" t="s">
        <v>333</v>
      </c>
      <c r="C101" s="75" t="s">
        <v>334</v>
      </c>
      <c r="D101" s="76" t="s">
        <v>324</v>
      </c>
      <c r="E101" s="76" t="s">
        <v>325</v>
      </c>
      <c r="F101" s="75">
        <v>2003</v>
      </c>
      <c r="G101" s="75" t="s">
        <v>111</v>
      </c>
      <c r="H101" s="75" t="s">
        <v>221</v>
      </c>
      <c r="I101" s="76" t="s">
        <v>326</v>
      </c>
      <c r="J101" s="75" t="s">
        <v>222</v>
      </c>
      <c r="K101" s="77">
        <v>3.8</v>
      </c>
      <c r="L101" s="77">
        <v>3</v>
      </c>
      <c r="M101" s="77">
        <v>2.4</v>
      </c>
      <c r="N101" s="78">
        <f t="shared" si="10"/>
        <v>1.161</v>
      </c>
      <c r="O101" s="79">
        <f t="shared" si="6"/>
        <v>146.04157894736841</v>
      </c>
      <c r="P101" s="79">
        <f t="shared" si="7"/>
        <v>184.98599999999999</v>
      </c>
      <c r="Q101" s="79">
        <f t="shared" si="8"/>
        <v>231.23249999999999</v>
      </c>
      <c r="R101" s="75" t="str">
        <f t="shared" si="9"/>
        <v>Rs./km</v>
      </c>
    </row>
    <row r="102" spans="1:18" ht="23.25" customHeight="1" x14ac:dyDescent="0.3">
      <c r="A102" s="75">
        <v>90</v>
      </c>
      <c r="B102" s="75" t="s">
        <v>335</v>
      </c>
      <c r="C102" s="75" t="s">
        <v>336</v>
      </c>
      <c r="D102" s="76" t="s">
        <v>324</v>
      </c>
      <c r="E102" s="76" t="s">
        <v>332</v>
      </c>
      <c r="F102" s="75">
        <v>2003</v>
      </c>
      <c r="G102" s="75" t="s">
        <v>111</v>
      </c>
      <c r="H102" s="75" t="s">
        <v>221</v>
      </c>
      <c r="I102" s="76" t="s">
        <v>210</v>
      </c>
      <c r="J102" s="75" t="s">
        <v>222</v>
      </c>
      <c r="K102" s="77">
        <v>3.8</v>
      </c>
      <c r="L102" s="77">
        <v>3</v>
      </c>
      <c r="M102" s="77">
        <v>2.4</v>
      </c>
      <c r="N102" s="78">
        <f t="shared" si="10"/>
        <v>1.161</v>
      </c>
      <c r="O102" s="79">
        <f t="shared" si="6"/>
        <v>146.04157894736841</v>
      </c>
      <c r="P102" s="79">
        <f t="shared" si="7"/>
        <v>184.98599999999999</v>
      </c>
      <c r="Q102" s="79">
        <f t="shared" si="8"/>
        <v>231.23249999999999</v>
      </c>
      <c r="R102" s="75" t="str">
        <f t="shared" si="9"/>
        <v>Rs./km</v>
      </c>
    </row>
    <row r="103" spans="1:18" ht="15" customHeight="1" x14ac:dyDescent="0.3">
      <c r="A103" s="75">
        <v>91</v>
      </c>
      <c r="B103" s="75" t="s">
        <v>337</v>
      </c>
      <c r="C103" s="75" t="s">
        <v>338</v>
      </c>
      <c r="D103" s="76" t="s">
        <v>324</v>
      </c>
      <c r="E103" s="76" t="s">
        <v>339</v>
      </c>
      <c r="F103" s="75">
        <v>2011</v>
      </c>
      <c r="G103" s="75" t="s">
        <v>111</v>
      </c>
      <c r="H103" s="75" t="s">
        <v>221</v>
      </c>
      <c r="I103" s="76" t="s">
        <v>210</v>
      </c>
      <c r="J103" s="75" t="s">
        <v>222</v>
      </c>
      <c r="K103" s="77">
        <v>3.8</v>
      </c>
      <c r="L103" s="77">
        <v>3</v>
      </c>
      <c r="M103" s="77">
        <v>2.4</v>
      </c>
      <c r="N103" s="78">
        <f t="shared" si="10"/>
        <v>1.105</v>
      </c>
      <c r="O103" s="79">
        <f t="shared" si="6"/>
        <v>138.99736842105261</v>
      </c>
      <c r="P103" s="79">
        <f t="shared" si="7"/>
        <v>176.0633333333333</v>
      </c>
      <c r="Q103" s="79">
        <f t="shared" si="8"/>
        <v>220.07916666666665</v>
      </c>
      <c r="R103" s="75" t="str">
        <f t="shared" si="9"/>
        <v>Rs./km</v>
      </c>
    </row>
    <row r="104" spans="1:18" ht="15" customHeight="1" x14ac:dyDescent="0.3">
      <c r="A104" s="75">
        <v>92</v>
      </c>
      <c r="B104" s="75" t="s">
        <v>340</v>
      </c>
      <c r="C104" s="75" t="s">
        <v>341</v>
      </c>
      <c r="D104" s="76" t="s">
        <v>324</v>
      </c>
      <c r="E104" s="76" t="s">
        <v>342</v>
      </c>
      <c r="F104" s="75">
        <v>2011</v>
      </c>
      <c r="G104" s="75" t="s">
        <v>111</v>
      </c>
      <c r="H104" s="75" t="s">
        <v>221</v>
      </c>
      <c r="I104" s="76" t="s">
        <v>210</v>
      </c>
      <c r="J104" s="75" t="s">
        <v>222</v>
      </c>
      <c r="K104" s="77">
        <v>3.8</v>
      </c>
      <c r="L104" s="77">
        <v>3</v>
      </c>
      <c r="M104" s="77">
        <v>2.4</v>
      </c>
      <c r="N104" s="78">
        <f t="shared" si="10"/>
        <v>1.105</v>
      </c>
      <c r="O104" s="79">
        <f t="shared" si="6"/>
        <v>138.99736842105261</v>
      </c>
      <c r="P104" s="79">
        <f t="shared" si="7"/>
        <v>176.0633333333333</v>
      </c>
      <c r="Q104" s="79">
        <f t="shared" si="8"/>
        <v>220.07916666666665</v>
      </c>
      <c r="R104" s="75" t="str">
        <f t="shared" si="9"/>
        <v>Rs./km</v>
      </c>
    </row>
    <row r="105" spans="1:18" ht="15" customHeight="1" x14ac:dyDescent="0.3">
      <c r="A105" s="75">
        <v>93</v>
      </c>
      <c r="B105" s="75" t="s">
        <v>343</v>
      </c>
      <c r="C105" s="75" t="s">
        <v>344</v>
      </c>
      <c r="D105" s="76" t="s">
        <v>324</v>
      </c>
      <c r="E105" s="76" t="s">
        <v>342</v>
      </c>
      <c r="F105" s="75">
        <v>2011</v>
      </c>
      <c r="G105" s="75" t="s">
        <v>111</v>
      </c>
      <c r="H105" s="75" t="s">
        <v>221</v>
      </c>
      <c r="I105" s="76" t="s">
        <v>210</v>
      </c>
      <c r="J105" s="75" t="s">
        <v>222</v>
      </c>
      <c r="K105" s="77">
        <v>3.8</v>
      </c>
      <c r="L105" s="77">
        <v>3</v>
      </c>
      <c r="M105" s="77">
        <v>2.4</v>
      </c>
      <c r="N105" s="78">
        <f t="shared" si="10"/>
        <v>1.105</v>
      </c>
      <c r="O105" s="79">
        <f t="shared" si="6"/>
        <v>138.99736842105261</v>
      </c>
      <c r="P105" s="79">
        <f t="shared" si="7"/>
        <v>176.0633333333333</v>
      </c>
      <c r="Q105" s="79">
        <f t="shared" si="8"/>
        <v>220.07916666666665</v>
      </c>
      <c r="R105" s="75" t="str">
        <f t="shared" si="9"/>
        <v>Rs./km</v>
      </c>
    </row>
    <row r="106" spans="1:18" ht="15" customHeight="1" x14ac:dyDescent="0.3">
      <c r="A106" s="75">
        <v>94</v>
      </c>
      <c r="B106" s="75" t="s">
        <v>345</v>
      </c>
      <c r="C106" s="75" t="s">
        <v>346</v>
      </c>
      <c r="D106" s="76" t="s">
        <v>324</v>
      </c>
      <c r="E106" s="76" t="s">
        <v>328</v>
      </c>
      <c r="F106" s="75">
        <v>2012</v>
      </c>
      <c r="G106" s="75" t="s">
        <v>111</v>
      </c>
      <c r="H106" s="75" t="s">
        <v>221</v>
      </c>
      <c r="I106" s="76" t="s">
        <v>329</v>
      </c>
      <c r="J106" s="75" t="s">
        <v>222</v>
      </c>
      <c r="K106" s="77">
        <v>6.4</v>
      </c>
      <c r="L106" s="77">
        <v>5</v>
      </c>
      <c r="M106" s="77">
        <v>4</v>
      </c>
      <c r="N106" s="78">
        <f t="shared" si="10"/>
        <v>1.0980000000000001</v>
      </c>
      <c r="O106" s="79">
        <f t="shared" si="6"/>
        <v>82.006875000000008</v>
      </c>
      <c r="P106" s="79">
        <f t="shared" si="7"/>
        <v>104.96880000000002</v>
      </c>
      <c r="Q106" s="79">
        <f t="shared" si="8"/>
        <v>131.21100000000001</v>
      </c>
      <c r="R106" s="75" t="str">
        <f t="shared" si="9"/>
        <v>Rs./km</v>
      </c>
    </row>
    <row r="107" spans="1:18" ht="15" customHeight="1" x14ac:dyDescent="0.3">
      <c r="A107" s="75">
        <v>95</v>
      </c>
      <c r="B107" s="75" t="s">
        <v>347</v>
      </c>
      <c r="C107" s="75" t="s">
        <v>348</v>
      </c>
      <c r="D107" s="76" t="s">
        <v>324</v>
      </c>
      <c r="E107" s="76" t="s">
        <v>342</v>
      </c>
      <c r="F107" s="75">
        <v>2012</v>
      </c>
      <c r="G107" s="75" t="s">
        <v>111</v>
      </c>
      <c r="H107" s="75" t="s">
        <v>221</v>
      </c>
      <c r="I107" s="76" t="s">
        <v>210</v>
      </c>
      <c r="J107" s="75" t="s">
        <v>222</v>
      </c>
      <c r="K107" s="77">
        <v>3.8</v>
      </c>
      <c r="L107" s="77">
        <v>3</v>
      </c>
      <c r="M107" s="77">
        <v>2.4</v>
      </c>
      <c r="N107" s="78">
        <f t="shared" si="10"/>
        <v>1.0980000000000001</v>
      </c>
      <c r="O107" s="79">
        <f t="shared" si="6"/>
        <v>138.11684210526317</v>
      </c>
      <c r="P107" s="79">
        <f t="shared" si="7"/>
        <v>174.94800000000001</v>
      </c>
      <c r="Q107" s="79">
        <f t="shared" si="8"/>
        <v>218.68500000000003</v>
      </c>
      <c r="R107" s="75" t="str">
        <f t="shared" si="9"/>
        <v>Rs./km</v>
      </c>
    </row>
    <row r="108" spans="1:18" ht="15" customHeight="1" x14ac:dyDescent="0.3">
      <c r="A108" s="75">
        <v>96</v>
      </c>
      <c r="B108" s="75" t="s">
        <v>349</v>
      </c>
      <c r="C108" s="75" t="s">
        <v>350</v>
      </c>
      <c r="D108" s="76" t="s">
        <v>324</v>
      </c>
      <c r="E108" s="76" t="s">
        <v>351</v>
      </c>
      <c r="F108" s="75">
        <v>2012</v>
      </c>
      <c r="G108" s="75" t="s">
        <v>111</v>
      </c>
      <c r="H108" s="75" t="s">
        <v>221</v>
      </c>
      <c r="I108" s="76" t="s">
        <v>352</v>
      </c>
      <c r="J108" s="75" t="s">
        <v>222</v>
      </c>
      <c r="K108" s="77">
        <v>4.9000000000000004</v>
      </c>
      <c r="L108" s="77">
        <v>3.8</v>
      </c>
      <c r="M108" s="77">
        <v>3</v>
      </c>
      <c r="N108" s="78">
        <f t="shared" si="10"/>
        <v>1.0980000000000001</v>
      </c>
      <c r="O108" s="79">
        <f t="shared" si="6"/>
        <v>107.11102040816327</v>
      </c>
      <c r="P108" s="79">
        <f t="shared" si="7"/>
        <v>138.11684210526317</v>
      </c>
      <c r="Q108" s="79">
        <f t="shared" si="8"/>
        <v>174.94800000000001</v>
      </c>
      <c r="R108" s="75" t="str">
        <f t="shared" si="9"/>
        <v>Rs./km</v>
      </c>
    </row>
    <row r="109" spans="1:18" ht="15" customHeight="1" x14ac:dyDescent="0.3">
      <c r="A109" s="75">
        <v>97</v>
      </c>
      <c r="B109" s="75" t="s">
        <v>353</v>
      </c>
      <c r="C109" s="75" t="s">
        <v>354</v>
      </c>
      <c r="D109" s="76" t="s">
        <v>324</v>
      </c>
      <c r="E109" s="76" t="s">
        <v>342</v>
      </c>
      <c r="F109" s="75">
        <v>2012</v>
      </c>
      <c r="G109" s="75" t="s">
        <v>111</v>
      </c>
      <c r="H109" s="75" t="s">
        <v>221</v>
      </c>
      <c r="I109" s="76" t="s">
        <v>210</v>
      </c>
      <c r="J109" s="75" t="s">
        <v>222</v>
      </c>
      <c r="K109" s="77">
        <v>3.8</v>
      </c>
      <c r="L109" s="77">
        <v>3</v>
      </c>
      <c r="M109" s="77">
        <v>2.4</v>
      </c>
      <c r="N109" s="78">
        <f t="shared" si="10"/>
        <v>1.0980000000000001</v>
      </c>
      <c r="O109" s="79">
        <f t="shared" si="6"/>
        <v>138.11684210526317</v>
      </c>
      <c r="P109" s="79">
        <f t="shared" si="7"/>
        <v>174.94800000000001</v>
      </c>
      <c r="Q109" s="79">
        <f t="shared" si="8"/>
        <v>218.68500000000003</v>
      </c>
      <c r="R109" s="75" t="str">
        <f t="shared" si="9"/>
        <v>Rs./km</v>
      </c>
    </row>
    <row r="110" spans="1:18" ht="23.25" customHeight="1" x14ac:dyDescent="0.3">
      <c r="A110" s="75">
        <v>98</v>
      </c>
      <c r="B110" s="75" t="s">
        <v>355</v>
      </c>
      <c r="C110" s="75" t="s">
        <v>356</v>
      </c>
      <c r="D110" s="76" t="s">
        <v>324</v>
      </c>
      <c r="E110" s="76" t="s">
        <v>332</v>
      </c>
      <c r="F110" s="75">
        <v>2012</v>
      </c>
      <c r="G110" s="75" t="s">
        <v>111</v>
      </c>
      <c r="H110" s="75" t="s">
        <v>221</v>
      </c>
      <c r="I110" s="76" t="s">
        <v>210</v>
      </c>
      <c r="J110" s="75" t="s">
        <v>222</v>
      </c>
      <c r="K110" s="77">
        <v>3.8</v>
      </c>
      <c r="L110" s="77">
        <v>3</v>
      </c>
      <c r="M110" s="77">
        <v>2.4</v>
      </c>
      <c r="N110" s="78">
        <f t="shared" si="10"/>
        <v>1.0980000000000001</v>
      </c>
      <c r="O110" s="79">
        <f t="shared" si="6"/>
        <v>138.11684210526317</v>
      </c>
      <c r="P110" s="79">
        <f t="shared" si="7"/>
        <v>174.94800000000001</v>
      </c>
      <c r="Q110" s="79">
        <f t="shared" si="8"/>
        <v>218.68500000000003</v>
      </c>
      <c r="R110" s="75" t="str">
        <f t="shared" si="9"/>
        <v>Rs./km</v>
      </c>
    </row>
    <row r="111" spans="1:18" ht="15" customHeight="1" x14ac:dyDescent="0.3">
      <c r="A111" s="75">
        <v>99</v>
      </c>
      <c r="B111" s="75" t="s">
        <v>357</v>
      </c>
      <c r="C111" s="75" t="s">
        <v>358</v>
      </c>
      <c r="D111" s="76" t="s">
        <v>324</v>
      </c>
      <c r="E111" s="76" t="s">
        <v>339</v>
      </c>
      <c r="F111" s="75">
        <v>2016</v>
      </c>
      <c r="G111" s="75" t="s">
        <v>111</v>
      </c>
      <c r="H111" s="75" t="s">
        <v>221</v>
      </c>
      <c r="I111" s="76" t="s">
        <v>210</v>
      </c>
      <c r="J111" s="75" t="s">
        <v>222</v>
      </c>
      <c r="K111" s="77">
        <v>3.8</v>
      </c>
      <c r="L111" s="77">
        <v>3</v>
      </c>
      <c r="M111" s="77">
        <v>2.4</v>
      </c>
      <c r="N111" s="78">
        <f t="shared" si="10"/>
        <v>1.07</v>
      </c>
      <c r="O111" s="79">
        <f t="shared" si="6"/>
        <v>134.59473684210528</v>
      </c>
      <c r="P111" s="79">
        <f t="shared" si="7"/>
        <v>170.48666666666668</v>
      </c>
      <c r="Q111" s="79">
        <f t="shared" si="8"/>
        <v>213.10833333333335</v>
      </c>
      <c r="R111" s="75" t="str">
        <f t="shared" si="9"/>
        <v>Rs./km</v>
      </c>
    </row>
    <row r="112" spans="1:18" ht="15" customHeight="1" x14ac:dyDescent="0.3">
      <c r="A112" s="75">
        <v>100</v>
      </c>
      <c r="B112" s="75" t="s">
        <v>359</v>
      </c>
      <c r="C112" s="75" t="s">
        <v>360</v>
      </c>
      <c r="D112" s="76" t="s">
        <v>324</v>
      </c>
      <c r="E112" s="76" t="s">
        <v>361</v>
      </c>
      <c r="F112" s="75">
        <v>2012</v>
      </c>
      <c r="G112" s="75" t="s">
        <v>111</v>
      </c>
      <c r="H112" s="75" t="s">
        <v>221</v>
      </c>
      <c r="I112" s="76" t="s">
        <v>362</v>
      </c>
      <c r="J112" s="75" t="s">
        <v>222</v>
      </c>
      <c r="K112" s="77">
        <v>2.9</v>
      </c>
      <c r="L112" s="77">
        <v>2.2999999999999998</v>
      </c>
      <c r="M112" s="77">
        <v>1.8</v>
      </c>
      <c r="N112" s="78">
        <f t="shared" si="10"/>
        <v>1.0980000000000001</v>
      </c>
      <c r="O112" s="79">
        <f t="shared" si="6"/>
        <v>180.98068965517243</v>
      </c>
      <c r="P112" s="79">
        <f t="shared" si="7"/>
        <v>228.1930434782609</v>
      </c>
      <c r="Q112" s="79">
        <f t="shared" si="8"/>
        <v>291.58000000000004</v>
      </c>
      <c r="R112" s="75" t="str">
        <f t="shared" si="9"/>
        <v>Rs./km</v>
      </c>
    </row>
    <row r="113" spans="1:18" ht="15" customHeight="1" x14ac:dyDescent="0.3">
      <c r="A113" s="75">
        <v>101</v>
      </c>
      <c r="B113" s="75" t="s">
        <v>363</v>
      </c>
      <c r="C113" s="75" t="s">
        <v>364</v>
      </c>
      <c r="D113" s="76" t="s">
        <v>324</v>
      </c>
      <c r="E113" s="76" t="s">
        <v>365</v>
      </c>
      <c r="F113" s="75">
        <v>2011</v>
      </c>
      <c r="G113" s="75" t="s">
        <v>111</v>
      </c>
      <c r="H113" s="75" t="s">
        <v>221</v>
      </c>
      <c r="I113" s="76" t="s">
        <v>210</v>
      </c>
      <c r="J113" s="75" t="s">
        <v>222</v>
      </c>
      <c r="K113" s="77">
        <v>3.8</v>
      </c>
      <c r="L113" s="77">
        <v>3</v>
      </c>
      <c r="M113" s="77">
        <v>2.4</v>
      </c>
      <c r="N113" s="78">
        <f t="shared" si="10"/>
        <v>1.105</v>
      </c>
      <c r="O113" s="79">
        <f t="shared" si="6"/>
        <v>138.99736842105261</v>
      </c>
      <c r="P113" s="79">
        <f t="shared" si="7"/>
        <v>176.0633333333333</v>
      </c>
      <c r="Q113" s="79">
        <f t="shared" si="8"/>
        <v>220.07916666666665</v>
      </c>
      <c r="R113" s="75" t="str">
        <f t="shared" si="9"/>
        <v>Rs./km</v>
      </c>
    </row>
    <row r="114" spans="1:18" ht="15" customHeight="1" x14ac:dyDescent="0.3">
      <c r="A114" s="75">
        <v>102</v>
      </c>
      <c r="B114" s="75" t="s">
        <v>366</v>
      </c>
      <c r="C114" s="75" t="s">
        <v>367</v>
      </c>
      <c r="D114" s="76" t="s">
        <v>324</v>
      </c>
      <c r="E114" s="76" t="s">
        <v>342</v>
      </c>
      <c r="F114" s="75">
        <v>2016</v>
      </c>
      <c r="G114" s="75" t="s">
        <v>111</v>
      </c>
      <c r="H114" s="75" t="s">
        <v>221</v>
      </c>
      <c r="I114" s="76" t="s">
        <v>210</v>
      </c>
      <c r="J114" s="75" t="s">
        <v>222</v>
      </c>
      <c r="K114" s="77">
        <v>3.8</v>
      </c>
      <c r="L114" s="77">
        <v>3</v>
      </c>
      <c r="M114" s="77">
        <v>2.4</v>
      </c>
      <c r="N114" s="78">
        <f t="shared" si="10"/>
        <v>1.07</v>
      </c>
      <c r="O114" s="79">
        <f t="shared" si="6"/>
        <v>134.59473684210528</v>
      </c>
      <c r="P114" s="79">
        <f t="shared" si="7"/>
        <v>170.48666666666668</v>
      </c>
      <c r="Q114" s="79">
        <f t="shared" si="8"/>
        <v>213.10833333333335</v>
      </c>
      <c r="R114" s="75" t="str">
        <f t="shared" si="9"/>
        <v>Rs./km</v>
      </c>
    </row>
    <row r="115" spans="1:18" ht="15" customHeight="1" x14ac:dyDescent="0.3">
      <c r="A115" s="75">
        <v>103</v>
      </c>
      <c r="B115" s="75" t="s">
        <v>368</v>
      </c>
      <c r="C115" s="75" t="s">
        <v>369</v>
      </c>
      <c r="D115" s="76" t="s">
        <v>324</v>
      </c>
      <c r="E115" s="76" t="s">
        <v>365</v>
      </c>
      <c r="F115" s="75">
        <v>2011</v>
      </c>
      <c r="G115" s="75" t="s">
        <v>111</v>
      </c>
      <c r="H115" s="75" t="s">
        <v>221</v>
      </c>
      <c r="I115" s="76" t="s">
        <v>210</v>
      </c>
      <c r="J115" s="75" t="s">
        <v>222</v>
      </c>
      <c r="K115" s="77">
        <v>3.8</v>
      </c>
      <c r="L115" s="77">
        <v>3</v>
      </c>
      <c r="M115" s="77">
        <v>2.4</v>
      </c>
      <c r="N115" s="78">
        <f t="shared" si="10"/>
        <v>1.105</v>
      </c>
      <c r="O115" s="79">
        <f t="shared" si="6"/>
        <v>138.99736842105261</v>
      </c>
      <c r="P115" s="79">
        <f t="shared" si="7"/>
        <v>176.0633333333333</v>
      </c>
      <c r="Q115" s="79">
        <f t="shared" si="8"/>
        <v>220.07916666666665</v>
      </c>
      <c r="R115" s="75" t="str">
        <f t="shared" si="9"/>
        <v>Rs./km</v>
      </c>
    </row>
    <row r="116" spans="1:18" ht="15" customHeight="1" x14ac:dyDescent="0.3">
      <c r="A116" s="75">
        <v>104</v>
      </c>
      <c r="B116" s="75" t="s">
        <v>370</v>
      </c>
      <c r="C116" s="75" t="s">
        <v>371</v>
      </c>
      <c r="D116" s="76" t="s">
        <v>324</v>
      </c>
      <c r="E116" s="76" t="s">
        <v>365</v>
      </c>
      <c r="F116" s="75">
        <v>2011</v>
      </c>
      <c r="G116" s="75" t="s">
        <v>111</v>
      </c>
      <c r="H116" s="75" t="s">
        <v>221</v>
      </c>
      <c r="I116" s="76" t="s">
        <v>210</v>
      </c>
      <c r="J116" s="75" t="s">
        <v>222</v>
      </c>
      <c r="K116" s="77">
        <v>3.8</v>
      </c>
      <c r="L116" s="77">
        <v>3</v>
      </c>
      <c r="M116" s="77">
        <v>2.4</v>
      </c>
      <c r="N116" s="78">
        <f t="shared" si="10"/>
        <v>1.105</v>
      </c>
      <c r="O116" s="79">
        <f t="shared" si="6"/>
        <v>138.99736842105261</v>
      </c>
      <c r="P116" s="79">
        <f t="shared" si="7"/>
        <v>176.0633333333333</v>
      </c>
      <c r="Q116" s="79">
        <f t="shared" si="8"/>
        <v>220.07916666666665</v>
      </c>
      <c r="R116" s="75" t="str">
        <f t="shared" si="9"/>
        <v>Rs./km</v>
      </c>
    </row>
    <row r="117" spans="1:18" ht="15" customHeight="1" x14ac:dyDescent="0.3">
      <c r="A117" s="75">
        <v>105</v>
      </c>
      <c r="B117" s="75" t="s">
        <v>372</v>
      </c>
      <c r="C117" s="75" t="s">
        <v>373</v>
      </c>
      <c r="D117" s="76" t="s">
        <v>324</v>
      </c>
      <c r="E117" s="76" t="s">
        <v>365</v>
      </c>
      <c r="F117" s="75">
        <v>2011</v>
      </c>
      <c r="G117" s="75" t="s">
        <v>111</v>
      </c>
      <c r="H117" s="75" t="s">
        <v>221</v>
      </c>
      <c r="I117" s="76" t="s">
        <v>210</v>
      </c>
      <c r="J117" s="75" t="s">
        <v>222</v>
      </c>
      <c r="K117" s="77">
        <v>3.8</v>
      </c>
      <c r="L117" s="77">
        <v>3</v>
      </c>
      <c r="M117" s="77">
        <v>2.4</v>
      </c>
      <c r="N117" s="78">
        <f t="shared" si="10"/>
        <v>1.105</v>
      </c>
      <c r="O117" s="79">
        <f t="shared" si="6"/>
        <v>138.99736842105261</v>
      </c>
      <c r="P117" s="79">
        <f t="shared" si="7"/>
        <v>176.0633333333333</v>
      </c>
      <c r="Q117" s="79">
        <f t="shared" si="8"/>
        <v>220.07916666666665</v>
      </c>
      <c r="R117" s="75" t="str">
        <f t="shared" si="9"/>
        <v>Rs./km</v>
      </c>
    </row>
    <row r="118" spans="1:18" ht="15" customHeight="1" x14ac:dyDescent="0.3">
      <c r="A118" s="75">
        <v>106</v>
      </c>
      <c r="B118" s="75" t="s">
        <v>374</v>
      </c>
      <c r="C118" s="75" t="s">
        <v>375</v>
      </c>
      <c r="D118" s="76" t="s">
        <v>324</v>
      </c>
      <c r="E118" s="76" t="s">
        <v>376</v>
      </c>
      <c r="F118" s="75">
        <v>2010</v>
      </c>
      <c r="G118" s="75" t="s">
        <v>111</v>
      </c>
      <c r="H118" s="75" t="s">
        <v>221</v>
      </c>
      <c r="I118" s="76" t="s">
        <v>362</v>
      </c>
      <c r="J118" s="75" t="s">
        <v>222</v>
      </c>
      <c r="K118" s="77">
        <v>2.9</v>
      </c>
      <c r="L118" s="77">
        <v>2.2999999999999998</v>
      </c>
      <c r="M118" s="77">
        <v>1.8</v>
      </c>
      <c r="N118" s="78">
        <f t="shared" si="10"/>
        <v>1.1120000000000001</v>
      </c>
      <c r="O118" s="79">
        <f t="shared" si="6"/>
        <v>183.28827586206899</v>
      </c>
      <c r="P118" s="79">
        <f t="shared" si="7"/>
        <v>231.10260869565221</v>
      </c>
      <c r="Q118" s="79">
        <f t="shared" si="8"/>
        <v>295.29777777777781</v>
      </c>
      <c r="R118" s="75" t="str">
        <f t="shared" si="9"/>
        <v>Rs./km</v>
      </c>
    </row>
    <row r="119" spans="1:18" ht="15" customHeight="1" x14ac:dyDescent="0.3">
      <c r="A119" s="75">
        <v>107</v>
      </c>
      <c r="B119" s="75" t="s">
        <v>377</v>
      </c>
      <c r="C119" s="75" t="s">
        <v>378</v>
      </c>
      <c r="D119" s="76" t="s">
        <v>324</v>
      </c>
      <c r="E119" s="76" t="s">
        <v>361</v>
      </c>
      <c r="F119" s="75">
        <v>2010</v>
      </c>
      <c r="G119" s="75" t="s">
        <v>111</v>
      </c>
      <c r="H119" s="75" t="s">
        <v>221</v>
      </c>
      <c r="I119" s="76" t="s">
        <v>362</v>
      </c>
      <c r="J119" s="75" t="s">
        <v>222</v>
      </c>
      <c r="K119" s="77">
        <v>2.9</v>
      </c>
      <c r="L119" s="77">
        <v>2.2999999999999998</v>
      </c>
      <c r="M119" s="77">
        <v>1.8</v>
      </c>
      <c r="N119" s="78">
        <f t="shared" si="10"/>
        <v>1.1120000000000001</v>
      </c>
      <c r="O119" s="79">
        <f t="shared" si="6"/>
        <v>183.28827586206899</v>
      </c>
      <c r="P119" s="79">
        <f t="shared" si="7"/>
        <v>231.10260869565221</v>
      </c>
      <c r="Q119" s="79">
        <f t="shared" si="8"/>
        <v>295.29777777777781</v>
      </c>
      <c r="R119" s="75" t="str">
        <f t="shared" si="9"/>
        <v>Rs./km</v>
      </c>
    </row>
    <row r="120" spans="1:18" ht="15" customHeight="1" x14ac:dyDescent="0.3">
      <c r="A120" s="75">
        <v>108</v>
      </c>
      <c r="B120" s="75" t="s">
        <v>379</v>
      </c>
      <c r="C120" s="75" t="s">
        <v>380</v>
      </c>
      <c r="D120" s="76" t="s">
        <v>324</v>
      </c>
      <c r="E120" s="76" t="s">
        <v>361</v>
      </c>
      <c r="F120" s="75">
        <v>2011</v>
      </c>
      <c r="G120" s="75" t="s">
        <v>111</v>
      </c>
      <c r="H120" s="75" t="s">
        <v>221</v>
      </c>
      <c r="I120" s="76" t="s">
        <v>362</v>
      </c>
      <c r="J120" s="75" t="s">
        <v>222</v>
      </c>
      <c r="K120" s="77">
        <v>2.9</v>
      </c>
      <c r="L120" s="77">
        <v>2.2999999999999998</v>
      </c>
      <c r="M120" s="77">
        <v>1.8</v>
      </c>
      <c r="N120" s="78">
        <f t="shared" si="10"/>
        <v>1.105</v>
      </c>
      <c r="O120" s="79">
        <f t="shared" si="6"/>
        <v>182.13448275862066</v>
      </c>
      <c r="P120" s="79">
        <f t="shared" si="7"/>
        <v>229.64782608695651</v>
      </c>
      <c r="Q120" s="79">
        <f t="shared" si="8"/>
        <v>293.43888888888887</v>
      </c>
      <c r="R120" s="75" t="str">
        <f t="shared" si="9"/>
        <v>Rs./km</v>
      </c>
    </row>
    <row r="121" spans="1:18" ht="15" customHeight="1" x14ac:dyDescent="0.3">
      <c r="A121" s="75">
        <v>109</v>
      </c>
      <c r="B121" s="75" t="s">
        <v>381</v>
      </c>
      <c r="C121" s="75" t="s">
        <v>382</v>
      </c>
      <c r="D121" s="76" t="s">
        <v>324</v>
      </c>
      <c r="E121" s="76" t="s">
        <v>361</v>
      </c>
      <c r="F121" s="75">
        <v>2012</v>
      </c>
      <c r="G121" s="75" t="s">
        <v>111</v>
      </c>
      <c r="H121" s="75" t="s">
        <v>221</v>
      </c>
      <c r="I121" s="76" t="s">
        <v>362</v>
      </c>
      <c r="J121" s="75" t="s">
        <v>222</v>
      </c>
      <c r="K121" s="77">
        <v>2.9</v>
      </c>
      <c r="L121" s="77">
        <v>2.2999999999999998</v>
      </c>
      <c r="M121" s="77">
        <v>1.8</v>
      </c>
      <c r="N121" s="78">
        <f t="shared" si="10"/>
        <v>1.0980000000000001</v>
      </c>
      <c r="O121" s="79">
        <f t="shared" si="6"/>
        <v>180.98068965517243</v>
      </c>
      <c r="P121" s="79">
        <f t="shared" si="7"/>
        <v>228.1930434782609</v>
      </c>
      <c r="Q121" s="79">
        <f t="shared" si="8"/>
        <v>291.58000000000004</v>
      </c>
      <c r="R121" s="75" t="str">
        <f t="shared" si="9"/>
        <v>Rs./km</v>
      </c>
    </row>
    <row r="122" spans="1:18" ht="15" customHeight="1" x14ac:dyDescent="0.3">
      <c r="A122" s="75">
        <v>110</v>
      </c>
      <c r="B122" s="75" t="s">
        <v>383</v>
      </c>
      <c r="C122" s="75" t="s">
        <v>384</v>
      </c>
      <c r="D122" s="76" t="s">
        <v>324</v>
      </c>
      <c r="E122" s="76" t="s">
        <v>325</v>
      </c>
      <c r="F122" s="75">
        <v>2012</v>
      </c>
      <c r="G122" s="75" t="s">
        <v>111</v>
      </c>
      <c r="H122" s="75" t="s">
        <v>221</v>
      </c>
      <c r="I122" s="76" t="s">
        <v>326</v>
      </c>
      <c r="J122" s="75" t="s">
        <v>222</v>
      </c>
      <c r="K122" s="77">
        <v>3.8</v>
      </c>
      <c r="L122" s="77">
        <v>3</v>
      </c>
      <c r="M122" s="77">
        <v>2.4</v>
      </c>
      <c r="N122" s="78">
        <f t="shared" si="10"/>
        <v>1.0980000000000001</v>
      </c>
      <c r="O122" s="79">
        <f t="shared" si="6"/>
        <v>138.11684210526317</v>
      </c>
      <c r="P122" s="79">
        <f t="shared" si="7"/>
        <v>174.94800000000001</v>
      </c>
      <c r="Q122" s="79">
        <f t="shared" si="8"/>
        <v>218.68500000000003</v>
      </c>
      <c r="R122" s="75" t="str">
        <f t="shared" si="9"/>
        <v>Rs./km</v>
      </c>
    </row>
    <row r="123" spans="1:18" ht="15" customHeight="1" x14ac:dyDescent="0.3">
      <c r="A123" s="75">
        <v>111</v>
      </c>
      <c r="B123" s="75" t="s">
        <v>385</v>
      </c>
      <c r="C123" s="75" t="s">
        <v>386</v>
      </c>
      <c r="D123" s="76" t="s">
        <v>324</v>
      </c>
      <c r="E123" s="76" t="s">
        <v>387</v>
      </c>
      <c r="F123" s="75">
        <v>2013</v>
      </c>
      <c r="G123" s="75" t="s">
        <v>111</v>
      </c>
      <c r="H123" s="75" t="s">
        <v>221</v>
      </c>
      <c r="I123" s="76" t="s">
        <v>329</v>
      </c>
      <c r="J123" s="75" t="s">
        <v>222</v>
      </c>
      <c r="K123" s="77">
        <v>6.4</v>
      </c>
      <c r="L123" s="77">
        <v>5</v>
      </c>
      <c r="M123" s="77">
        <v>4</v>
      </c>
      <c r="N123" s="78">
        <f t="shared" si="10"/>
        <v>1.091</v>
      </c>
      <c r="O123" s="79">
        <f t="shared" si="6"/>
        <v>81.484062499999979</v>
      </c>
      <c r="P123" s="79">
        <f t="shared" si="7"/>
        <v>104.29959999999998</v>
      </c>
      <c r="Q123" s="79">
        <f t="shared" si="8"/>
        <v>130.37449999999998</v>
      </c>
      <c r="R123" s="75" t="str">
        <f t="shared" si="9"/>
        <v>Rs./km</v>
      </c>
    </row>
    <row r="124" spans="1:18" ht="15" customHeight="1" x14ac:dyDescent="0.3">
      <c r="A124" s="75">
        <v>112</v>
      </c>
      <c r="B124" s="75" t="s">
        <v>388</v>
      </c>
      <c r="C124" s="75" t="s">
        <v>389</v>
      </c>
      <c r="D124" s="76" t="s">
        <v>324</v>
      </c>
      <c r="E124" s="76" t="s">
        <v>339</v>
      </c>
      <c r="F124" s="75">
        <v>2012</v>
      </c>
      <c r="G124" s="75" t="s">
        <v>111</v>
      </c>
      <c r="H124" s="75" t="s">
        <v>221</v>
      </c>
      <c r="I124" s="76" t="s">
        <v>210</v>
      </c>
      <c r="J124" s="75" t="s">
        <v>222</v>
      </c>
      <c r="K124" s="77">
        <v>3.8</v>
      </c>
      <c r="L124" s="77">
        <v>3</v>
      </c>
      <c r="M124" s="77">
        <v>2.4</v>
      </c>
      <c r="N124" s="78">
        <f t="shared" si="10"/>
        <v>1.0980000000000001</v>
      </c>
      <c r="O124" s="79">
        <f t="shared" si="6"/>
        <v>138.11684210526317</v>
      </c>
      <c r="P124" s="79">
        <f t="shared" si="7"/>
        <v>174.94800000000001</v>
      </c>
      <c r="Q124" s="79">
        <f t="shared" si="8"/>
        <v>218.68500000000003</v>
      </c>
      <c r="R124" s="75" t="str">
        <f t="shared" si="9"/>
        <v>Rs./km</v>
      </c>
    </row>
    <row r="125" spans="1:18" ht="15" customHeight="1" x14ac:dyDescent="0.3">
      <c r="A125" s="75">
        <v>113</v>
      </c>
      <c r="B125" s="75" t="s">
        <v>390</v>
      </c>
      <c r="C125" s="75" t="s">
        <v>391</v>
      </c>
      <c r="D125" s="76" t="s">
        <v>324</v>
      </c>
      <c r="E125" s="76" t="s">
        <v>342</v>
      </c>
      <c r="F125" s="75">
        <v>2012</v>
      </c>
      <c r="G125" s="75" t="s">
        <v>111</v>
      </c>
      <c r="H125" s="75" t="s">
        <v>221</v>
      </c>
      <c r="I125" s="76" t="s">
        <v>210</v>
      </c>
      <c r="J125" s="75" t="s">
        <v>222</v>
      </c>
      <c r="K125" s="77">
        <v>3.8</v>
      </c>
      <c r="L125" s="77">
        <v>3</v>
      </c>
      <c r="M125" s="77">
        <v>2.4</v>
      </c>
      <c r="N125" s="78">
        <f t="shared" si="10"/>
        <v>1.0980000000000001</v>
      </c>
      <c r="O125" s="79">
        <f t="shared" si="6"/>
        <v>138.11684210526317</v>
      </c>
      <c r="P125" s="79">
        <f t="shared" si="7"/>
        <v>174.94800000000001</v>
      </c>
      <c r="Q125" s="79">
        <f t="shared" si="8"/>
        <v>218.68500000000003</v>
      </c>
      <c r="R125" s="75" t="str">
        <f t="shared" si="9"/>
        <v>Rs./km</v>
      </c>
    </row>
    <row r="126" spans="1:18" ht="15" customHeight="1" x14ac:dyDescent="0.3">
      <c r="A126" s="75">
        <v>114</v>
      </c>
      <c r="B126" s="75" t="s">
        <v>392</v>
      </c>
      <c r="C126" s="75" t="s">
        <v>393</v>
      </c>
      <c r="D126" s="76" t="s">
        <v>324</v>
      </c>
      <c r="E126" s="76" t="s">
        <v>342</v>
      </c>
      <c r="F126" s="75">
        <v>2011</v>
      </c>
      <c r="G126" s="75" t="s">
        <v>111</v>
      </c>
      <c r="H126" s="75" t="s">
        <v>221</v>
      </c>
      <c r="I126" s="76" t="s">
        <v>210</v>
      </c>
      <c r="J126" s="75" t="s">
        <v>222</v>
      </c>
      <c r="K126" s="77">
        <v>3.8</v>
      </c>
      <c r="L126" s="77">
        <v>3</v>
      </c>
      <c r="M126" s="77">
        <v>2.4</v>
      </c>
      <c r="N126" s="78">
        <f t="shared" si="10"/>
        <v>1.105</v>
      </c>
      <c r="O126" s="79">
        <f t="shared" si="6"/>
        <v>138.99736842105261</v>
      </c>
      <c r="P126" s="79">
        <f t="shared" si="7"/>
        <v>176.0633333333333</v>
      </c>
      <c r="Q126" s="79">
        <f t="shared" si="8"/>
        <v>220.07916666666665</v>
      </c>
      <c r="R126" s="75" t="str">
        <f t="shared" si="9"/>
        <v>Rs./km</v>
      </c>
    </row>
    <row r="127" spans="1:18" ht="15" customHeight="1" x14ac:dyDescent="0.3">
      <c r="A127" s="75">
        <v>115</v>
      </c>
      <c r="B127" s="75" t="s">
        <v>394</v>
      </c>
      <c r="C127" s="75" t="s">
        <v>395</v>
      </c>
      <c r="D127" s="76" t="s">
        <v>324</v>
      </c>
      <c r="E127" s="76" t="s">
        <v>396</v>
      </c>
      <c r="F127" s="75">
        <v>2007</v>
      </c>
      <c r="G127" s="75" t="s">
        <v>111</v>
      </c>
      <c r="H127" s="75" t="s">
        <v>221</v>
      </c>
      <c r="I127" s="76" t="s">
        <v>397</v>
      </c>
      <c r="J127" s="75" t="s">
        <v>222</v>
      </c>
      <c r="K127" s="77">
        <v>3.7</v>
      </c>
      <c r="L127" s="77">
        <v>2.9</v>
      </c>
      <c r="M127" s="77">
        <v>2.2999999999999998</v>
      </c>
      <c r="N127" s="78">
        <f t="shared" si="10"/>
        <v>1.133</v>
      </c>
      <c r="O127" s="79">
        <f t="shared" si="6"/>
        <v>146.37135135135134</v>
      </c>
      <c r="P127" s="79">
        <f t="shared" si="7"/>
        <v>186.74965517241378</v>
      </c>
      <c r="Q127" s="79">
        <f t="shared" si="8"/>
        <v>235.46695652173912</v>
      </c>
      <c r="R127" s="75" t="str">
        <f t="shared" si="9"/>
        <v>Rs./km</v>
      </c>
    </row>
    <row r="128" spans="1:18" ht="15" customHeight="1" x14ac:dyDescent="0.3">
      <c r="A128" s="75">
        <v>116</v>
      </c>
      <c r="B128" s="75" t="s">
        <v>398</v>
      </c>
      <c r="C128" s="75" t="s">
        <v>76</v>
      </c>
      <c r="D128" s="76" t="s">
        <v>324</v>
      </c>
      <c r="E128" s="76" t="s">
        <v>342</v>
      </c>
      <c r="F128" s="75">
        <v>2016</v>
      </c>
      <c r="G128" s="75" t="s">
        <v>111</v>
      </c>
      <c r="H128" s="75" t="s">
        <v>221</v>
      </c>
      <c r="I128" s="76" t="s">
        <v>210</v>
      </c>
      <c r="J128" s="75" t="s">
        <v>222</v>
      </c>
      <c r="K128" s="77">
        <v>3.8</v>
      </c>
      <c r="L128" s="77">
        <v>3</v>
      </c>
      <c r="M128" s="77">
        <v>2.4</v>
      </c>
      <c r="N128" s="78">
        <f t="shared" si="10"/>
        <v>1.07</v>
      </c>
      <c r="O128" s="79">
        <f t="shared" si="6"/>
        <v>134.59473684210528</v>
      </c>
      <c r="P128" s="79">
        <f t="shared" si="7"/>
        <v>170.48666666666668</v>
      </c>
      <c r="Q128" s="79">
        <f t="shared" si="8"/>
        <v>213.10833333333335</v>
      </c>
      <c r="R128" s="75" t="str">
        <f t="shared" si="9"/>
        <v>Rs./km</v>
      </c>
    </row>
    <row r="129" spans="1:18" ht="15" customHeight="1" x14ac:dyDescent="0.3">
      <c r="A129" s="75">
        <v>117</v>
      </c>
      <c r="B129" s="75" t="s">
        <v>399</v>
      </c>
      <c r="C129" s="75" t="s">
        <v>400</v>
      </c>
      <c r="D129" s="76" t="s">
        <v>324</v>
      </c>
      <c r="E129" s="76" t="s">
        <v>342</v>
      </c>
      <c r="F129" s="75">
        <v>2016</v>
      </c>
      <c r="G129" s="75" t="s">
        <v>111</v>
      </c>
      <c r="H129" s="75" t="s">
        <v>221</v>
      </c>
      <c r="I129" s="76" t="s">
        <v>210</v>
      </c>
      <c r="J129" s="75" t="s">
        <v>222</v>
      </c>
      <c r="K129" s="77">
        <v>3.8</v>
      </c>
      <c r="L129" s="77">
        <v>3</v>
      </c>
      <c r="M129" s="77">
        <v>2.4</v>
      </c>
      <c r="N129" s="78">
        <f t="shared" si="10"/>
        <v>1.07</v>
      </c>
      <c r="O129" s="79">
        <f t="shared" si="6"/>
        <v>134.59473684210528</v>
      </c>
      <c r="P129" s="79">
        <f t="shared" si="7"/>
        <v>170.48666666666668</v>
      </c>
      <c r="Q129" s="79">
        <f t="shared" si="8"/>
        <v>213.10833333333335</v>
      </c>
      <c r="R129" s="75" t="str">
        <f t="shared" si="9"/>
        <v>Rs./km</v>
      </c>
    </row>
    <row r="130" spans="1:18" ht="15" customHeight="1" x14ac:dyDescent="0.3">
      <c r="A130" s="75">
        <v>118</v>
      </c>
      <c r="B130" s="75" t="s">
        <v>401</v>
      </c>
      <c r="C130" s="75" t="s">
        <v>402</v>
      </c>
      <c r="D130" s="76" t="s">
        <v>324</v>
      </c>
      <c r="E130" s="76" t="s">
        <v>342</v>
      </c>
      <c r="F130" s="75">
        <v>2016</v>
      </c>
      <c r="G130" s="75" t="s">
        <v>111</v>
      </c>
      <c r="H130" s="75" t="s">
        <v>221</v>
      </c>
      <c r="I130" s="76" t="s">
        <v>210</v>
      </c>
      <c r="J130" s="75" t="s">
        <v>222</v>
      </c>
      <c r="K130" s="77">
        <v>3.8</v>
      </c>
      <c r="L130" s="77">
        <v>3</v>
      </c>
      <c r="M130" s="77">
        <v>2.4</v>
      </c>
      <c r="N130" s="78">
        <f t="shared" si="10"/>
        <v>1.07</v>
      </c>
      <c r="O130" s="79">
        <f t="shared" si="6"/>
        <v>134.59473684210528</v>
      </c>
      <c r="P130" s="79">
        <f t="shared" si="7"/>
        <v>170.48666666666668</v>
      </c>
      <c r="Q130" s="79">
        <f t="shared" si="8"/>
        <v>213.10833333333335</v>
      </c>
      <c r="R130" s="75" t="str">
        <f t="shared" si="9"/>
        <v>Rs./km</v>
      </c>
    </row>
    <row r="131" spans="1:18" ht="15" customHeight="1" x14ac:dyDescent="0.3">
      <c r="A131" s="75">
        <v>119</v>
      </c>
      <c r="B131" s="75" t="s">
        <v>403</v>
      </c>
      <c r="C131" s="75" t="s">
        <v>58</v>
      </c>
      <c r="D131" s="76" t="s">
        <v>324</v>
      </c>
      <c r="E131" s="76" t="s">
        <v>342</v>
      </c>
      <c r="F131" s="75">
        <v>2016</v>
      </c>
      <c r="G131" s="75" t="s">
        <v>111</v>
      </c>
      <c r="H131" s="75" t="s">
        <v>221</v>
      </c>
      <c r="I131" s="76" t="s">
        <v>210</v>
      </c>
      <c r="J131" s="75" t="s">
        <v>222</v>
      </c>
      <c r="K131" s="77">
        <v>3.8</v>
      </c>
      <c r="L131" s="77">
        <v>3</v>
      </c>
      <c r="M131" s="77">
        <v>2.4</v>
      </c>
      <c r="N131" s="78">
        <f t="shared" si="10"/>
        <v>1.07</v>
      </c>
      <c r="O131" s="79">
        <f t="shared" si="6"/>
        <v>134.59473684210528</v>
      </c>
      <c r="P131" s="79">
        <f t="shared" si="7"/>
        <v>170.48666666666668</v>
      </c>
      <c r="Q131" s="79">
        <f t="shared" si="8"/>
        <v>213.10833333333335</v>
      </c>
      <c r="R131" s="75" t="str">
        <f t="shared" si="9"/>
        <v>Rs./km</v>
      </c>
    </row>
    <row r="132" spans="1:18" ht="15" customHeight="1" x14ac:dyDescent="0.3">
      <c r="A132" s="75">
        <v>120</v>
      </c>
      <c r="B132" s="75" t="s">
        <v>404</v>
      </c>
      <c r="C132" s="75" t="s">
        <v>77</v>
      </c>
      <c r="D132" s="76" t="s">
        <v>324</v>
      </c>
      <c r="E132" s="76" t="s">
        <v>342</v>
      </c>
      <c r="F132" s="75">
        <v>2016</v>
      </c>
      <c r="G132" s="75" t="s">
        <v>111</v>
      </c>
      <c r="H132" s="75" t="s">
        <v>221</v>
      </c>
      <c r="I132" s="76" t="s">
        <v>210</v>
      </c>
      <c r="J132" s="75" t="s">
        <v>222</v>
      </c>
      <c r="K132" s="77">
        <v>3.8</v>
      </c>
      <c r="L132" s="77">
        <v>3</v>
      </c>
      <c r="M132" s="77">
        <v>2.4</v>
      </c>
      <c r="N132" s="78">
        <f t="shared" si="10"/>
        <v>1.07</v>
      </c>
      <c r="O132" s="79">
        <f t="shared" si="6"/>
        <v>134.59473684210528</v>
      </c>
      <c r="P132" s="79">
        <f t="shared" si="7"/>
        <v>170.48666666666668</v>
      </c>
      <c r="Q132" s="79">
        <f t="shared" si="8"/>
        <v>213.10833333333335</v>
      </c>
      <c r="R132" s="75" t="str">
        <f t="shared" si="9"/>
        <v>Rs./km</v>
      </c>
    </row>
    <row r="133" spans="1:18" ht="15" customHeight="1" x14ac:dyDescent="0.3">
      <c r="A133" s="75">
        <v>121</v>
      </c>
      <c r="B133" s="75" t="s">
        <v>405</v>
      </c>
      <c r="C133" s="75" t="s">
        <v>406</v>
      </c>
      <c r="D133" s="76" t="s">
        <v>324</v>
      </c>
      <c r="E133" s="76" t="s">
        <v>342</v>
      </c>
      <c r="F133" s="75">
        <v>2016</v>
      </c>
      <c r="G133" s="75" t="s">
        <v>111</v>
      </c>
      <c r="H133" s="75" t="s">
        <v>221</v>
      </c>
      <c r="I133" s="76" t="s">
        <v>210</v>
      </c>
      <c r="J133" s="75" t="s">
        <v>222</v>
      </c>
      <c r="K133" s="77">
        <v>3.8</v>
      </c>
      <c r="L133" s="77">
        <v>3</v>
      </c>
      <c r="M133" s="77">
        <v>2.4</v>
      </c>
      <c r="N133" s="78">
        <f t="shared" si="10"/>
        <v>1.07</v>
      </c>
      <c r="O133" s="79">
        <f t="shared" si="6"/>
        <v>134.59473684210528</v>
      </c>
      <c r="P133" s="79">
        <f t="shared" si="7"/>
        <v>170.48666666666668</v>
      </c>
      <c r="Q133" s="79">
        <f t="shared" si="8"/>
        <v>213.10833333333335</v>
      </c>
      <c r="R133" s="75" t="str">
        <f t="shared" si="9"/>
        <v>Rs./km</v>
      </c>
    </row>
    <row r="134" spans="1:18" ht="15" customHeight="1" x14ac:dyDescent="0.3">
      <c r="A134" s="75">
        <v>122</v>
      </c>
      <c r="B134" s="75" t="s">
        <v>407</v>
      </c>
      <c r="C134" s="75" t="s">
        <v>408</v>
      </c>
      <c r="D134" s="76" t="s">
        <v>324</v>
      </c>
      <c r="E134" s="76" t="s">
        <v>342</v>
      </c>
      <c r="F134" s="75">
        <v>2016</v>
      </c>
      <c r="G134" s="75" t="s">
        <v>111</v>
      </c>
      <c r="H134" s="75" t="s">
        <v>221</v>
      </c>
      <c r="I134" s="76" t="s">
        <v>210</v>
      </c>
      <c r="J134" s="75" t="s">
        <v>222</v>
      </c>
      <c r="K134" s="77">
        <v>3.8</v>
      </c>
      <c r="L134" s="77">
        <v>3</v>
      </c>
      <c r="M134" s="77">
        <v>2.4</v>
      </c>
      <c r="N134" s="78">
        <f t="shared" si="10"/>
        <v>1.07</v>
      </c>
      <c r="O134" s="79">
        <f t="shared" si="6"/>
        <v>134.59473684210528</v>
      </c>
      <c r="P134" s="79">
        <f t="shared" si="7"/>
        <v>170.48666666666668</v>
      </c>
      <c r="Q134" s="79">
        <f t="shared" si="8"/>
        <v>213.10833333333335</v>
      </c>
      <c r="R134" s="75" t="str">
        <f t="shared" si="9"/>
        <v>Rs./km</v>
      </c>
    </row>
    <row r="135" spans="1:18" ht="15" customHeight="1" x14ac:dyDescent="0.3">
      <c r="A135" s="75">
        <v>123</v>
      </c>
      <c r="B135" s="75" t="s">
        <v>409</v>
      </c>
      <c r="C135" s="75" t="s">
        <v>410</v>
      </c>
      <c r="D135" s="76" t="s">
        <v>324</v>
      </c>
      <c r="E135" s="76" t="s">
        <v>342</v>
      </c>
      <c r="F135" s="75">
        <v>2016</v>
      </c>
      <c r="G135" s="75" t="s">
        <v>111</v>
      </c>
      <c r="H135" s="75" t="s">
        <v>221</v>
      </c>
      <c r="I135" s="76" t="s">
        <v>210</v>
      </c>
      <c r="J135" s="75" t="s">
        <v>222</v>
      </c>
      <c r="K135" s="77">
        <v>3.8</v>
      </c>
      <c r="L135" s="77">
        <v>3</v>
      </c>
      <c r="M135" s="77">
        <v>2.4</v>
      </c>
      <c r="N135" s="78">
        <f t="shared" si="10"/>
        <v>1.07</v>
      </c>
      <c r="O135" s="79">
        <f t="shared" si="6"/>
        <v>134.59473684210528</v>
      </c>
      <c r="P135" s="79">
        <f t="shared" si="7"/>
        <v>170.48666666666668</v>
      </c>
      <c r="Q135" s="79">
        <f t="shared" si="8"/>
        <v>213.10833333333335</v>
      </c>
      <c r="R135" s="75" t="str">
        <f t="shared" si="9"/>
        <v>Rs./km</v>
      </c>
    </row>
    <row r="136" spans="1:18" ht="15" customHeight="1" x14ac:dyDescent="0.3">
      <c r="A136" s="75">
        <v>124</v>
      </c>
      <c r="B136" s="75" t="s">
        <v>411</v>
      </c>
      <c r="C136" s="75" t="s">
        <v>412</v>
      </c>
      <c r="D136" s="76" t="s">
        <v>324</v>
      </c>
      <c r="E136" s="76" t="s">
        <v>413</v>
      </c>
      <c r="F136" s="75">
        <v>2017</v>
      </c>
      <c r="G136" s="75" t="s">
        <v>111</v>
      </c>
      <c r="H136" s="75" t="s">
        <v>221</v>
      </c>
      <c r="I136" s="76" t="s">
        <v>414</v>
      </c>
      <c r="J136" s="75" t="s">
        <v>222</v>
      </c>
      <c r="K136" s="77">
        <v>4.5999999999999996</v>
      </c>
      <c r="L136" s="77">
        <v>3.6</v>
      </c>
      <c r="M136" s="77">
        <v>2.9</v>
      </c>
      <c r="N136" s="78">
        <f t="shared" si="10"/>
        <v>1.0629999999999999</v>
      </c>
      <c r="O136" s="79">
        <f t="shared" si="6"/>
        <v>110.4595652173913</v>
      </c>
      <c r="P136" s="79">
        <f t="shared" si="7"/>
        <v>141.14277777777778</v>
      </c>
      <c r="Q136" s="79">
        <f t="shared" si="8"/>
        <v>175.21172413793104</v>
      </c>
      <c r="R136" s="75" t="str">
        <f t="shared" si="9"/>
        <v>Rs./km</v>
      </c>
    </row>
    <row r="137" spans="1:18" ht="23.25" customHeight="1" x14ac:dyDescent="0.3">
      <c r="A137" s="75">
        <v>125</v>
      </c>
      <c r="B137" s="75" t="s">
        <v>415</v>
      </c>
      <c r="C137" s="75" t="s">
        <v>416</v>
      </c>
      <c r="D137" s="76" t="s">
        <v>324</v>
      </c>
      <c r="E137" s="76" t="s">
        <v>332</v>
      </c>
      <c r="F137" s="75">
        <v>2003</v>
      </c>
      <c r="G137" s="75" t="s">
        <v>111</v>
      </c>
      <c r="H137" s="75" t="s">
        <v>221</v>
      </c>
      <c r="I137" s="76" t="s">
        <v>210</v>
      </c>
      <c r="J137" s="75" t="s">
        <v>222</v>
      </c>
      <c r="K137" s="77">
        <v>3.8</v>
      </c>
      <c r="L137" s="77">
        <v>3</v>
      </c>
      <c r="M137" s="77">
        <v>2.4</v>
      </c>
      <c r="N137" s="78">
        <f t="shared" si="10"/>
        <v>1.161</v>
      </c>
      <c r="O137" s="79">
        <f t="shared" si="6"/>
        <v>146.04157894736841</v>
      </c>
      <c r="P137" s="79">
        <f t="shared" si="7"/>
        <v>184.98599999999999</v>
      </c>
      <c r="Q137" s="79">
        <f t="shared" si="8"/>
        <v>231.23249999999999</v>
      </c>
      <c r="R137" s="75" t="str">
        <f t="shared" si="9"/>
        <v>Rs./km</v>
      </c>
    </row>
    <row r="138" spans="1:18" ht="15" customHeight="1" x14ac:dyDescent="0.3">
      <c r="A138" s="75">
        <v>126</v>
      </c>
      <c r="B138" s="75" t="s">
        <v>417</v>
      </c>
      <c r="C138" s="75" t="s">
        <v>418</v>
      </c>
      <c r="D138" s="76" t="s">
        <v>324</v>
      </c>
      <c r="E138" s="76" t="s">
        <v>419</v>
      </c>
      <c r="F138" s="75">
        <v>2018</v>
      </c>
      <c r="G138" s="75" t="s">
        <v>111</v>
      </c>
      <c r="H138" s="75" t="s">
        <v>221</v>
      </c>
      <c r="I138" s="76" t="s">
        <v>210</v>
      </c>
      <c r="J138" s="75" t="s">
        <v>222</v>
      </c>
      <c r="K138" s="77">
        <v>3.8</v>
      </c>
      <c r="L138" s="77">
        <v>3</v>
      </c>
      <c r="M138" s="77">
        <v>2.4</v>
      </c>
      <c r="N138" s="78">
        <f t="shared" si="10"/>
        <v>1.056</v>
      </c>
      <c r="O138" s="79">
        <f t="shared" si="6"/>
        <v>132.83368421052634</v>
      </c>
      <c r="P138" s="79">
        <f t="shared" si="7"/>
        <v>168.256</v>
      </c>
      <c r="Q138" s="79">
        <f t="shared" si="8"/>
        <v>210.32000000000002</v>
      </c>
      <c r="R138" s="75" t="str">
        <f t="shared" si="9"/>
        <v>Rs./km</v>
      </c>
    </row>
    <row r="139" spans="1:18" ht="15" customHeight="1" x14ac:dyDescent="0.3">
      <c r="A139" s="75">
        <v>127</v>
      </c>
      <c r="B139" s="75" t="s">
        <v>420</v>
      </c>
      <c r="C139" s="75" t="s">
        <v>421</v>
      </c>
      <c r="D139" s="76" t="s">
        <v>324</v>
      </c>
      <c r="E139" s="76" t="s">
        <v>342</v>
      </c>
      <c r="F139" s="75">
        <v>2018</v>
      </c>
      <c r="G139" s="75" t="s">
        <v>111</v>
      </c>
      <c r="H139" s="75" t="s">
        <v>221</v>
      </c>
      <c r="I139" s="76" t="s">
        <v>210</v>
      </c>
      <c r="J139" s="75" t="s">
        <v>222</v>
      </c>
      <c r="K139" s="77">
        <v>3.8</v>
      </c>
      <c r="L139" s="77">
        <v>3</v>
      </c>
      <c r="M139" s="77">
        <v>2.4</v>
      </c>
      <c r="N139" s="78">
        <f t="shared" si="10"/>
        <v>1.056</v>
      </c>
      <c r="O139" s="79">
        <f t="shared" si="6"/>
        <v>132.83368421052634</v>
      </c>
      <c r="P139" s="79">
        <f t="shared" si="7"/>
        <v>168.256</v>
      </c>
      <c r="Q139" s="79">
        <f t="shared" si="8"/>
        <v>210.32000000000002</v>
      </c>
      <c r="R139" s="75" t="str">
        <f t="shared" si="9"/>
        <v>Rs./km</v>
      </c>
    </row>
    <row r="140" spans="1:18" ht="15" customHeight="1" x14ac:dyDescent="0.3">
      <c r="A140" s="75">
        <v>128</v>
      </c>
      <c r="B140" s="75" t="s">
        <v>422</v>
      </c>
      <c r="C140" s="75" t="s">
        <v>423</v>
      </c>
      <c r="D140" s="76" t="s">
        <v>324</v>
      </c>
      <c r="E140" s="76" t="s">
        <v>342</v>
      </c>
      <c r="F140" s="75">
        <v>2018</v>
      </c>
      <c r="G140" s="75" t="s">
        <v>111</v>
      </c>
      <c r="H140" s="75" t="s">
        <v>221</v>
      </c>
      <c r="I140" s="76" t="s">
        <v>210</v>
      </c>
      <c r="J140" s="75" t="s">
        <v>222</v>
      </c>
      <c r="K140" s="77">
        <v>3.8</v>
      </c>
      <c r="L140" s="77">
        <v>3</v>
      </c>
      <c r="M140" s="77">
        <v>2.4</v>
      </c>
      <c r="N140" s="78">
        <f t="shared" si="10"/>
        <v>1.056</v>
      </c>
      <c r="O140" s="79">
        <f t="shared" si="6"/>
        <v>132.83368421052634</v>
      </c>
      <c r="P140" s="79">
        <f t="shared" si="7"/>
        <v>168.256</v>
      </c>
      <c r="Q140" s="79">
        <f t="shared" si="8"/>
        <v>210.32000000000002</v>
      </c>
      <c r="R140" s="75" t="str">
        <f t="shared" si="9"/>
        <v>Rs./km</v>
      </c>
    </row>
    <row r="141" spans="1:18" ht="15" customHeight="1" x14ac:dyDescent="0.3">
      <c r="A141" s="75">
        <v>129</v>
      </c>
      <c r="B141" s="75" t="s">
        <v>424</v>
      </c>
      <c r="C141" s="75" t="s">
        <v>425</v>
      </c>
      <c r="D141" s="76" t="s">
        <v>324</v>
      </c>
      <c r="E141" s="76" t="s">
        <v>342</v>
      </c>
      <c r="F141" s="75">
        <v>2018</v>
      </c>
      <c r="G141" s="75" t="s">
        <v>111</v>
      </c>
      <c r="H141" s="75" t="s">
        <v>221</v>
      </c>
      <c r="I141" s="76" t="s">
        <v>210</v>
      </c>
      <c r="J141" s="75" t="s">
        <v>222</v>
      </c>
      <c r="K141" s="77">
        <v>3.8</v>
      </c>
      <c r="L141" s="77">
        <v>3</v>
      </c>
      <c r="M141" s="77">
        <v>2.4</v>
      </c>
      <c r="N141" s="78">
        <f t="shared" si="10"/>
        <v>1.056</v>
      </c>
      <c r="O141" s="79">
        <f t="shared" ref="O141:O204" si="11">IF(H141="None",0,IF(H141="KM",IF(G141="Petrol",$D$6,$D$5)*N141/K141,K141*N141*IF(G141="Petrol",$D$6,$D$5)))</f>
        <v>132.83368421052634</v>
      </c>
      <c r="P141" s="79">
        <f t="shared" ref="P141:P204" si="12">IF(H141="None",0,IF(H141="KM",IF(G141="Petrol",$D$6,$D$5)*N141/L141,L141*N141*IF(G141="Petrol",$D$6,$D$5)))</f>
        <v>168.256</v>
      </c>
      <c r="Q141" s="79">
        <f t="shared" ref="Q141:Q204" si="13">IF(H141="None",0,IF(H141="KM",IF(G141="Petrol",$D$6,$D$5)*N141/M141,M141*N141*IF(G141="Petrol",$D$6,$D$5)))</f>
        <v>210.32000000000002</v>
      </c>
      <c r="R141" s="75" t="str">
        <f t="shared" ref="R141:R204" si="14">IF(H141="None","—",IF(H141="KM","Rs./km","Rs./hr"))</f>
        <v>Rs./km</v>
      </c>
    </row>
    <row r="142" spans="1:18" ht="15" customHeight="1" x14ac:dyDescent="0.3">
      <c r="A142" s="75">
        <v>130</v>
      </c>
      <c r="B142" s="75" t="s">
        <v>426</v>
      </c>
      <c r="C142" s="75" t="s">
        <v>427</v>
      </c>
      <c r="D142" s="76" t="s">
        <v>324</v>
      </c>
      <c r="E142" s="76" t="s">
        <v>342</v>
      </c>
      <c r="F142" s="75">
        <v>2018</v>
      </c>
      <c r="G142" s="75" t="s">
        <v>111</v>
      </c>
      <c r="H142" s="75" t="s">
        <v>221</v>
      </c>
      <c r="I142" s="76" t="s">
        <v>210</v>
      </c>
      <c r="J142" s="75" t="s">
        <v>222</v>
      </c>
      <c r="K142" s="77">
        <v>3.8</v>
      </c>
      <c r="L142" s="77">
        <v>3</v>
      </c>
      <c r="M142" s="77">
        <v>2.4</v>
      </c>
      <c r="N142" s="78">
        <f t="shared" si="10"/>
        <v>1.056</v>
      </c>
      <c r="O142" s="79">
        <f t="shared" si="11"/>
        <v>132.83368421052634</v>
      </c>
      <c r="P142" s="79">
        <f t="shared" si="12"/>
        <v>168.256</v>
      </c>
      <c r="Q142" s="79">
        <f t="shared" si="13"/>
        <v>210.32000000000002</v>
      </c>
      <c r="R142" s="75" t="str">
        <f t="shared" si="14"/>
        <v>Rs./km</v>
      </c>
    </row>
    <row r="143" spans="1:18" ht="15" customHeight="1" x14ac:dyDescent="0.3">
      <c r="A143" s="75">
        <v>131</v>
      </c>
      <c r="B143" s="75" t="s">
        <v>428</v>
      </c>
      <c r="C143" s="75" t="s">
        <v>55</v>
      </c>
      <c r="D143" s="76" t="s">
        <v>324</v>
      </c>
      <c r="E143" s="76" t="s">
        <v>429</v>
      </c>
      <c r="F143" s="75">
        <v>2016</v>
      </c>
      <c r="G143" s="75" t="s">
        <v>111</v>
      </c>
      <c r="H143" s="75" t="s">
        <v>221</v>
      </c>
      <c r="I143" s="76" t="s">
        <v>210</v>
      </c>
      <c r="J143" s="75" t="s">
        <v>222</v>
      </c>
      <c r="K143" s="77">
        <v>3.8</v>
      </c>
      <c r="L143" s="77">
        <v>3</v>
      </c>
      <c r="M143" s="77">
        <v>2.4</v>
      </c>
      <c r="N143" s="78">
        <f t="shared" si="10"/>
        <v>1.07</v>
      </c>
      <c r="O143" s="79">
        <f t="shared" si="11"/>
        <v>134.59473684210528</v>
      </c>
      <c r="P143" s="79">
        <f t="shared" si="12"/>
        <v>170.48666666666668</v>
      </c>
      <c r="Q143" s="79">
        <f t="shared" si="13"/>
        <v>213.10833333333335</v>
      </c>
      <c r="R143" s="75" t="str">
        <f t="shared" si="14"/>
        <v>Rs./km</v>
      </c>
    </row>
    <row r="144" spans="1:18" ht="15" customHeight="1" x14ac:dyDescent="0.3">
      <c r="A144" s="75">
        <v>132</v>
      </c>
      <c r="B144" s="75" t="s">
        <v>430</v>
      </c>
      <c r="C144" s="75" t="s">
        <v>431</v>
      </c>
      <c r="D144" s="76" t="s">
        <v>324</v>
      </c>
      <c r="E144" s="76" t="s">
        <v>429</v>
      </c>
      <c r="F144" s="75">
        <v>2018</v>
      </c>
      <c r="G144" s="75" t="s">
        <v>111</v>
      </c>
      <c r="H144" s="75" t="s">
        <v>221</v>
      </c>
      <c r="I144" s="76" t="s">
        <v>210</v>
      </c>
      <c r="J144" s="75" t="s">
        <v>222</v>
      </c>
      <c r="K144" s="77">
        <v>3.8</v>
      </c>
      <c r="L144" s="77">
        <v>3</v>
      </c>
      <c r="M144" s="77">
        <v>2.4</v>
      </c>
      <c r="N144" s="78">
        <f t="shared" si="10"/>
        <v>1.056</v>
      </c>
      <c r="O144" s="79">
        <f t="shared" si="11"/>
        <v>132.83368421052634</v>
      </c>
      <c r="P144" s="79">
        <f t="shared" si="12"/>
        <v>168.256</v>
      </c>
      <c r="Q144" s="79">
        <f t="shared" si="13"/>
        <v>210.32000000000002</v>
      </c>
      <c r="R144" s="75" t="str">
        <f t="shared" si="14"/>
        <v>Rs./km</v>
      </c>
    </row>
    <row r="145" spans="1:18" ht="15" customHeight="1" x14ac:dyDescent="0.3">
      <c r="A145" s="75">
        <v>133</v>
      </c>
      <c r="B145" s="75" t="s">
        <v>432</v>
      </c>
      <c r="C145" s="75" t="s">
        <v>433</v>
      </c>
      <c r="D145" s="76" t="s">
        <v>324</v>
      </c>
      <c r="E145" s="76" t="s">
        <v>342</v>
      </c>
      <c r="F145" s="75">
        <v>2016</v>
      </c>
      <c r="G145" s="75" t="s">
        <v>111</v>
      </c>
      <c r="H145" s="75" t="s">
        <v>221</v>
      </c>
      <c r="I145" s="76" t="s">
        <v>210</v>
      </c>
      <c r="J145" s="75" t="s">
        <v>222</v>
      </c>
      <c r="K145" s="77">
        <v>3.8</v>
      </c>
      <c r="L145" s="77">
        <v>3</v>
      </c>
      <c r="M145" s="77">
        <v>2.4</v>
      </c>
      <c r="N145" s="78">
        <f t="shared" si="10"/>
        <v>1.07</v>
      </c>
      <c r="O145" s="79">
        <f t="shared" si="11"/>
        <v>134.59473684210528</v>
      </c>
      <c r="P145" s="79">
        <f t="shared" si="12"/>
        <v>170.48666666666668</v>
      </c>
      <c r="Q145" s="79">
        <f t="shared" si="13"/>
        <v>213.10833333333335</v>
      </c>
      <c r="R145" s="75" t="str">
        <f t="shared" si="14"/>
        <v>Rs./km</v>
      </c>
    </row>
    <row r="146" spans="1:18" ht="15" customHeight="1" x14ac:dyDescent="0.3">
      <c r="A146" s="75">
        <v>134</v>
      </c>
      <c r="B146" s="75" t="s">
        <v>434</v>
      </c>
      <c r="C146" s="75" t="s">
        <v>435</v>
      </c>
      <c r="D146" s="76" t="s">
        <v>324</v>
      </c>
      <c r="E146" s="76" t="s">
        <v>342</v>
      </c>
      <c r="F146" s="75">
        <v>2016</v>
      </c>
      <c r="G146" s="75" t="s">
        <v>111</v>
      </c>
      <c r="H146" s="75" t="s">
        <v>221</v>
      </c>
      <c r="I146" s="76" t="s">
        <v>210</v>
      </c>
      <c r="J146" s="75" t="s">
        <v>222</v>
      </c>
      <c r="K146" s="77">
        <v>3.8</v>
      </c>
      <c r="L146" s="77">
        <v>3</v>
      </c>
      <c r="M146" s="77">
        <v>2.4</v>
      </c>
      <c r="N146" s="78">
        <f t="shared" si="10"/>
        <v>1.07</v>
      </c>
      <c r="O146" s="79">
        <f t="shared" si="11"/>
        <v>134.59473684210528</v>
      </c>
      <c r="P146" s="79">
        <f t="shared" si="12"/>
        <v>170.48666666666668</v>
      </c>
      <c r="Q146" s="79">
        <f t="shared" si="13"/>
        <v>213.10833333333335</v>
      </c>
      <c r="R146" s="75" t="str">
        <f t="shared" si="14"/>
        <v>Rs./km</v>
      </c>
    </row>
    <row r="147" spans="1:18" ht="15" customHeight="1" x14ac:dyDescent="0.3">
      <c r="A147" s="75">
        <v>135</v>
      </c>
      <c r="B147" s="75" t="s">
        <v>436</v>
      </c>
      <c r="C147" s="75" t="s">
        <v>437</v>
      </c>
      <c r="D147" s="76" t="s">
        <v>324</v>
      </c>
      <c r="E147" s="76" t="s">
        <v>342</v>
      </c>
      <c r="F147" s="75">
        <v>2018</v>
      </c>
      <c r="G147" s="75" t="s">
        <v>111</v>
      </c>
      <c r="H147" s="75" t="s">
        <v>221</v>
      </c>
      <c r="I147" s="76" t="s">
        <v>210</v>
      </c>
      <c r="J147" s="75" t="s">
        <v>222</v>
      </c>
      <c r="K147" s="77">
        <v>3.8</v>
      </c>
      <c r="L147" s="77">
        <v>3</v>
      </c>
      <c r="M147" s="77">
        <v>2.4</v>
      </c>
      <c r="N147" s="78">
        <f t="shared" si="10"/>
        <v>1.056</v>
      </c>
      <c r="O147" s="79">
        <f t="shared" si="11"/>
        <v>132.83368421052634</v>
      </c>
      <c r="P147" s="79">
        <f t="shared" si="12"/>
        <v>168.256</v>
      </c>
      <c r="Q147" s="79">
        <f t="shared" si="13"/>
        <v>210.32000000000002</v>
      </c>
      <c r="R147" s="75" t="str">
        <f t="shared" si="14"/>
        <v>Rs./km</v>
      </c>
    </row>
    <row r="148" spans="1:18" ht="15" customHeight="1" x14ac:dyDescent="0.3">
      <c r="A148" s="75">
        <v>136</v>
      </c>
      <c r="B148" s="75" t="s">
        <v>438</v>
      </c>
      <c r="C148" s="75" t="s">
        <v>439</v>
      </c>
      <c r="D148" s="76" t="s">
        <v>324</v>
      </c>
      <c r="E148" s="76" t="s">
        <v>440</v>
      </c>
      <c r="F148" s="75">
        <v>2005</v>
      </c>
      <c r="G148" s="75" t="s">
        <v>111</v>
      </c>
      <c r="H148" s="75" t="s">
        <v>221</v>
      </c>
      <c r="I148" s="76" t="s">
        <v>210</v>
      </c>
      <c r="J148" s="75" t="s">
        <v>222</v>
      </c>
      <c r="K148" s="77">
        <v>3.8</v>
      </c>
      <c r="L148" s="77">
        <v>3</v>
      </c>
      <c r="M148" s="77">
        <v>2.4</v>
      </c>
      <c r="N148" s="78">
        <f t="shared" si="10"/>
        <v>1.147</v>
      </c>
      <c r="O148" s="79">
        <f t="shared" si="11"/>
        <v>144.28052631578947</v>
      </c>
      <c r="P148" s="79">
        <f t="shared" si="12"/>
        <v>182.75533333333331</v>
      </c>
      <c r="Q148" s="79">
        <f t="shared" si="13"/>
        <v>228.44416666666666</v>
      </c>
      <c r="R148" s="75" t="str">
        <f t="shared" si="14"/>
        <v>Rs./km</v>
      </c>
    </row>
    <row r="149" spans="1:18" ht="15" customHeight="1" x14ac:dyDescent="0.3">
      <c r="A149" s="75">
        <v>137</v>
      </c>
      <c r="B149" s="75" t="s">
        <v>441</v>
      </c>
      <c r="C149" s="75" t="s">
        <v>71</v>
      </c>
      <c r="D149" s="76" t="s">
        <v>324</v>
      </c>
      <c r="E149" s="76" t="s">
        <v>342</v>
      </c>
      <c r="F149" s="75">
        <v>2018</v>
      </c>
      <c r="G149" s="75" t="s">
        <v>111</v>
      </c>
      <c r="H149" s="75" t="s">
        <v>221</v>
      </c>
      <c r="I149" s="76" t="s">
        <v>210</v>
      </c>
      <c r="J149" s="75" t="s">
        <v>222</v>
      </c>
      <c r="K149" s="77">
        <v>3.8</v>
      </c>
      <c r="L149" s="77">
        <v>3</v>
      </c>
      <c r="M149" s="77">
        <v>2.4</v>
      </c>
      <c r="N149" s="78">
        <f t="shared" si="10"/>
        <v>1.056</v>
      </c>
      <c r="O149" s="79">
        <f t="shared" si="11"/>
        <v>132.83368421052634</v>
      </c>
      <c r="P149" s="79">
        <f t="shared" si="12"/>
        <v>168.256</v>
      </c>
      <c r="Q149" s="79">
        <f t="shared" si="13"/>
        <v>210.32000000000002</v>
      </c>
      <c r="R149" s="75" t="str">
        <f t="shared" si="14"/>
        <v>Rs./km</v>
      </c>
    </row>
    <row r="150" spans="1:18" ht="15" customHeight="1" x14ac:dyDescent="0.3">
      <c r="A150" s="75">
        <v>138</v>
      </c>
      <c r="B150" s="75" t="s">
        <v>442</v>
      </c>
      <c r="C150" s="75" t="s">
        <v>443</v>
      </c>
      <c r="D150" s="76" t="s">
        <v>324</v>
      </c>
      <c r="E150" s="76" t="s">
        <v>342</v>
      </c>
      <c r="F150" s="75">
        <v>2018</v>
      </c>
      <c r="G150" s="75" t="s">
        <v>111</v>
      </c>
      <c r="H150" s="75" t="s">
        <v>221</v>
      </c>
      <c r="I150" s="76" t="s">
        <v>210</v>
      </c>
      <c r="J150" s="75" t="s">
        <v>222</v>
      </c>
      <c r="K150" s="77">
        <v>3.8</v>
      </c>
      <c r="L150" s="77">
        <v>3</v>
      </c>
      <c r="M150" s="77">
        <v>2.4</v>
      </c>
      <c r="N150" s="78">
        <f t="shared" si="10"/>
        <v>1.056</v>
      </c>
      <c r="O150" s="79">
        <f t="shared" si="11"/>
        <v>132.83368421052634</v>
      </c>
      <c r="P150" s="79">
        <f t="shared" si="12"/>
        <v>168.256</v>
      </c>
      <c r="Q150" s="79">
        <f t="shared" si="13"/>
        <v>210.32000000000002</v>
      </c>
      <c r="R150" s="75" t="str">
        <f t="shared" si="14"/>
        <v>Rs./km</v>
      </c>
    </row>
    <row r="151" spans="1:18" ht="15" customHeight="1" x14ac:dyDescent="0.3">
      <c r="A151" s="75">
        <v>139</v>
      </c>
      <c r="B151" s="75" t="s">
        <v>444</v>
      </c>
      <c r="C151" s="75" t="s">
        <v>30</v>
      </c>
      <c r="D151" s="76" t="s">
        <v>324</v>
      </c>
      <c r="E151" s="76" t="s">
        <v>342</v>
      </c>
      <c r="F151" s="75">
        <v>2018</v>
      </c>
      <c r="G151" s="75" t="s">
        <v>111</v>
      </c>
      <c r="H151" s="75" t="s">
        <v>221</v>
      </c>
      <c r="I151" s="76" t="s">
        <v>210</v>
      </c>
      <c r="J151" s="75" t="s">
        <v>222</v>
      </c>
      <c r="K151" s="77">
        <v>3.8</v>
      </c>
      <c r="L151" s="77">
        <v>3</v>
      </c>
      <c r="M151" s="77">
        <v>2.4</v>
      </c>
      <c r="N151" s="78">
        <f t="shared" si="10"/>
        <v>1.056</v>
      </c>
      <c r="O151" s="79">
        <f t="shared" si="11"/>
        <v>132.83368421052634</v>
      </c>
      <c r="P151" s="79">
        <f t="shared" si="12"/>
        <v>168.256</v>
      </c>
      <c r="Q151" s="79">
        <f t="shared" si="13"/>
        <v>210.32000000000002</v>
      </c>
      <c r="R151" s="75" t="str">
        <f t="shared" si="14"/>
        <v>Rs./km</v>
      </c>
    </row>
    <row r="152" spans="1:18" ht="15" customHeight="1" x14ac:dyDescent="0.3">
      <c r="A152" s="75">
        <v>140</v>
      </c>
      <c r="B152" s="75" t="s">
        <v>445</v>
      </c>
      <c r="C152" s="75" t="s">
        <v>446</v>
      </c>
      <c r="D152" s="76" t="s">
        <v>324</v>
      </c>
      <c r="E152" s="76" t="s">
        <v>342</v>
      </c>
      <c r="F152" s="75">
        <v>2018</v>
      </c>
      <c r="G152" s="75" t="s">
        <v>111</v>
      </c>
      <c r="H152" s="75" t="s">
        <v>221</v>
      </c>
      <c r="I152" s="76" t="s">
        <v>210</v>
      </c>
      <c r="J152" s="75" t="s">
        <v>222</v>
      </c>
      <c r="K152" s="77">
        <v>3.8</v>
      </c>
      <c r="L152" s="77">
        <v>3</v>
      </c>
      <c r="M152" s="77">
        <v>2.4</v>
      </c>
      <c r="N152" s="78">
        <f t="shared" si="10"/>
        <v>1.056</v>
      </c>
      <c r="O152" s="79">
        <f t="shared" si="11"/>
        <v>132.83368421052634</v>
      </c>
      <c r="P152" s="79">
        <f t="shared" si="12"/>
        <v>168.256</v>
      </c>
      <c r="Q152" s="79">
        <f t="shared" si="13"/>
        <v>210.32000000000002</v>
      </c>
      <c r="R152" s="75" t="str">
        <f t="shared" si="14"/>
        <v>Rs./km</v>
      </c>
    </row>
    <row r="153" spans="1:18" ht="15" customHeight="1" x14ac:dyDescent="0.3">
      <c r="A153" s="75">
        <v>141</v>
      </c>
      <c r="B153" s="75" t="s">
        <v>447</v>
      </c>
      <c r="C153" s="75" t="s">
        <v>448</v>
      </c>
      <c r="D153" s="76" t="s">
        <v>324</v>
      </c>
      <c r="E153" s="76" t="s">
        <v>342</v>
      </c>
      <c r="F153" s="75">
        <v>2018</v>
      </c>
      <c r="G153" s="75" t="s">
        <v>111</v>
      </c>
      <c r="H153" s="75" t="s">
        <v>221</v>
      </c>
      <c r="I153" s="76" t="s">
        <v>210</v>
      </c>
      <c r="J153" s="75" t="s">
        <v>222</v>
      </c>
      <c r="K153" s="77">
        <v>3.8</v>
      </c>
      <c r="L153" s="77">
        <v>3</v>
      </c>
      <c r="M153" s="77">
        <v>2.4</v>
      </c>
      <c r="N153" s="78">
        <f t="shared" si="10"/>
        <v>1.056</v>
      </c>
      <c r="O153" s="79">
        <f t="shared" si="11"/>
        <v>132.83368421052634</v>
      </c>
      <c r="P153" s="79">
        <f t="shared" si="12"/>
        <v>168.256</v>
      </c>
      <c r="Q153" s="79">
        <f t="shared" si="13"/>
        <v>210.32000000000002</v>
      </c>
      <c r="R153" s="75" t="str">
        <f t="shared" si="14"/>
        <v>Rs./km</v>
      </c>
    </row>
    <row r="154" spans="1:18" ht="15" customHeight="1" x14ac:dyDescent="0.3">
      <c r="A154" s="75">
        <v>142</v>
      </c>
      <c r="B154" s="75" t="s">
        <v>449</v>
      </c>
      <c r="C154" s="75" t="s">
        <v>450</v>
      </c>
      <c r="D154" s="76" t="s">
        <v>324</v>
      </c>
      <c r="E154" s="76" t="s">
        <v>342</v>
      </c>
      <c r="F154" s="75">
        <v>2018</v>
      </c>
      <c r="G154" s="75" t="s">
        <v>111</v>
      </c>
      <c r="H154" s="75" t="s">
        <v>221</v>
      </c>
      <c r="I154" s="76" t="s">
        <v>210</v>
      </c>
      <c r="J154" s="75" t="s">
        <v>222</v>
      </c>
      <c r="K154" s="77">
        <v>3.8</v>
      </c>
      <c r="L154" s="77">
        <v>3</v>
      </c>
      <c r="M154" s="77">
        <v>2.4</v>
      </c>
      <c r="N154" s="78">
        <f t="shared" si="10"/>
        <v>1.056</v>
      </c>
      <c r="O154" s="79">
        <f t="shared" si="11"/>
        <v>132.83368421052634</v>
      </c>
      <c r="P154" s="79">
        <f t="shared" si="12"/>
        <v>168.256</v>
      </c>
      <c r="Q154" s="79">
        <f t="shared" si="13"/>
        <v>210.32000000000002</v>
      </c>
      <c r="R154" s="75" t="str">
        <f t="shared" si="14"/>
        <v>Rs./km</v>
      </c>
    </row>
    <row r="155" spans="1:18" ht="15" customHeight="1" x14ac:dyDescent="0.3">
      <c r="A155" s="75">
        <v>143</v>
      </c>
      <c r="B155" s="75" t="s">
        <v>451</v>
      </c>
      <c r="C155" s="75" t="s">
        <v>452</v>
      </c>
      <c r="D155" s="76" t="s">
        <v>324</v>
      </c>
      <c r="E155" s="76" t="s">
        <v>419</v>
      </c>
      <c r="F155" s="75">
        <v>2018</v>
      </c>
      <c r="G155" s="75" t="s">
        <v>111</v>
      </c>
      <c r="H155" s="75" t="s">
        <v>221</v>
      </c>
      <c r="I155" s="76" t="s">
        <v>210</v>
      </c>
      <c r="J155" s="75" t="s">
        <v>222</v>
      </c>
      <c r="K155" s="77">
        <v>3.8</v>
      </c>
      <c r="L155" s="77">
        <v>3</v>
      </c>
      <c r="M155" s="77">
        <v>2.4</v>
      </c>
      <c r="N155" s="78">
        <f t="shared" si="10"/>
        <v>1.056</v>
      </c>
      <c r="O155" s="79">
        <f t="shared" si="11"/>
        <v>132.83368421052634</v>
      </c>
      <c r="P155" s="79">
        <f t="shared" si="12"/>
        <v>168.256</v>
      </c>
      <c r="Q155" s="79">
        <f t="shared" si="13"/>
        <v>210.32000000000002</v>
      </c>
      <c r="R155" s="75" t="str">
        <f t="shared" si="14"/>
        <v>Rs./km</v>
      </c>
    </row>
    <row r="156" spans="1:18" ht="15" customHeight="1" x14ac:dyDescent="0.3">
      <c r="A156" s="75">
        <v>144</v>
      </c>
      <c r="B156" s="75" t="s">
        <v>453</v>
      </c>
      <c r="C156" s="75" t="s">
        <v>454</v>
      </c>
      <c r="D156" s="76" t="s">
        <v>324</v>
      </c>
      <c r="E156" s="76" t="s">
        <v>419</v>
      </c>
      <c r="F156" s="75">
        <v>2018</v>
      </c>
      <c r="G156" s="75" t="s">
        <v>111</v>
      </c>
      <c r="H156" s="75" t="s">
        <v>221</v>
      </c>
      <c r="I156" s="76" t="s">
        <v>210</v>
      </c>
      <c r="J156" s="75" t="s">
        <v>222</v>
      </c>
      <c r="K156" s="77">
        <v>3.8</v>
      </c>
      <c r="L156" s="77">
        <v>3</v>
      </c>
      <c r="M156" s="77">
        <v>2.4</v>
      </c>
      <c r="N156" s="78">
        <f t="shared" si="10"/>
        <v>1.056</v>
      </c>
      <c r="O156" s="79">
        <f t="shared" si="11"/>
        <v>132.83368421052634</v>
      </c>
      <c r="P156" s="79">
        <f t="shared" si="12"/>
        <v>168.256</v>
      </c>
      <c r="Q156" s="79">
        <f t="shared" si="13"/>
        <v>210.32000000000002</v>
      </c>
      <c r="R156" s="75" t="str">
        <f t="shared" si="14"/>
        <v>Rs./km</v>
      </c>
    </row>
    <row r="157" spans="1:18" ht="15" customHeight="1" x14ac:dyDescent="0.3">
      <c r="A157" s="75">
        <v>145</v>
      </c>
      <c r="B157" s="75" t="s">
        <v>455</v>
      </c>
      <c r="C157" s="75" t="s">
        <v>456</v>
      </c>
      <c r="D157" s="76" t="s">
        <v>324</v>
      </c>
      <c r="E157" s="76" t="s">
        <v>342</v>
      </c>
      <c r="F157" s="75">
        <v>2021</v>
      </c>
      <c r="G157" s="75" t="s">
        <v>111</v>
      </c>
      <c r="H157" s="75" t="s">
        <v>221</v>
      </c>
      <c r="I157" s="76" t="s">
        <v>210</v>
      </c>
      <c r="J157" s="75" t="s">
        <v>222</v>
      </c>
      <c r="K157" s="77">
        <v>3.8</v>
      </c>
      <c r="L157" s="77">
        <v>3</v>
      </c>
      <c r="M157" s="77">
        <v>2.4</v>
      </c>
      <c r="N157" s="78">
        <f t="shared" si="10"/>
        <v>1.0349999999999999</v>
      </c>
      <c r="O157" s="79">
        <f t="shared" si="11"/>
        <v>130.19210526315788</v>
      </c>
      <c r="P157" s="79">
        <f t="shared" si="12"/>
        <v>164.91</v>
      </c>
      <c r="Q157" s="79">
        <f t="shared" si="13"/>
        <v>206.13749999999999</v>
      </c>
      <c r="R157" s="75" t="str">
        <f t="shared" si="14"/>
        <v>Rs./km</v>
      </c>
    </row>
    <row r="158" spans="1:18" ht="15" customHeight="1" x14ac:dyDescent="0.3">
      <c r="A158" s="75">
        <v>146</v>
      </c>
      <c r="B158" s="75" t="s">
        <v>457</v>
      </c>
      <c r="C158" s="75" t="s">
        <v>68</v>
      </c>
      <c r="D158" s="76" t="s">
        <v>324</v>
      </c>
      <c r="E158" s="76" t="s">
        <v>419</v>
      </c>
      <c r="F158" s="75">
        <v>2021</v>
      </c>
      <c r="G158" s="75" t="s">
        <v>111</v>
      </c>
      <c r="H158" s="75" t="s">
        <v>221</v>
      </c>
      <c r="I158" s="76" t="s">
        <v>210</v>
      </c>
      <c r="J158" s="75" t="s">
        <v>222</v>
      </c>
      <c r="K158" s="77">
        <v>3.8</v>
      </c>
      <c r="L158" s="77">
        <v>3</v>
      </c>
      <c r="M158" s="77">
        <v>2.4</v>
      </c>
      <c r="N158" s="78">
        <f t="shared" si="10"/>
        <v>1.0349999999999999</v>
      </c>
      <c r="O158" s="79">
        <f t="shared" si="11"/>
        <v>130.19210526315788</v>
      </c>
      <c r="P158" s="79">
        <f t="shared" si="12"/>
        <v>164.91</v>
      </c>
      <c r="Q158" s="79">
        <f t="shared" si="13"/>
        <v>206.13749999999999</v>
      </c>
      <c r="R158" s="75" t="str">
        <f t="shared" si="14"/>
        <v>Rs./km</v>
      </c>
    </row>
    <row r="159" spans="1:18" ht="15" customHeight="1" x14ac:dyDescent="0.3">
      <c r="A159" s="75">
        <v>147</v>
      </c>
      <c r="B159" s="75" t="s">
        <v>458</v>
      </c>
      <c r="C159" s="75" t="s">
        <v>459</v>
      </c>
      <c r="D159" s="76" t="s">
        <v>324</v>
      </c>
      <c r="E159" s="76" t="s">
        <v>429</v>
      </c>
      <c r="F159" s="75">
        <v>2021</v>
      </c>
      <c r="G159" s="75" t="s">
        <v>111</v>
      </c>
      <c r="H159" s="75" t="s">
        <v>221</v>
      </c>
      <c r="I159" s="76" t="s">
        <v>210</v>
      </c>
      <c r="J159" s="75" t="s">
        <v>222</v>
      </c>
      <c r="K159" s="77">
        <v>3.8</v>
      </c>
      <c r="L159" s="77">
        <v>3</v>
      </c>
      <c r="M159" s="77">
        <v>2.4</v>
      </c>
      <c r="N159" s="78">
        <f t="shared" si="10"/>
        <v>1.0349999999999999</v>
      </c>
      <c r="O159" s="79">
        <f t="shared" si="11"/>
        <v>130.19210526315788</v>
      </c>
      <c r="P159" s="79">
        <f t="shared" si="12"/>
        <v>164.91</v>
      </c>
      <c r="Q159" s="79">
        <f t="shared" si="13"/>
        <v>206.13749999999999</v>
      </c>
      <c r="R159" s="75" t="str">
        <f t="shared" si="14"/>
        <v>Rs./km</v>
      </c>
    </row>
    <row r="160" spans="1:18" ht="15" customHeight="1" x14ac:dyDescent="0.3">
      <c r="A160" s="75">
        <v>148</v>
      </c>
      <c r="B160" s="75" t="s">
        <v>460</v>
      </c>
      <c r="C160" s="75" t="s">
        <v>461</v>
      </c>
      <c r="D160" s="76" t="s">
        <v>324</v>
      </c>
      <c r="E160" s="76" t="s">
        <v>429</v>
      </c>
      <c r="F160" s="75">
        <v>2021</v>
      </c>
      <c r="G160" s="75" t="s">
        <v>111</v>
      </c>
      <c r="H160" s="75" t="s">
        <v>221</v>
      </c>
      <c r="I160" s="76" t="s">
        <v>210</v>
      </c>
      <c r="J160" s="75" t="s">
        <v>222</v>
      </c>
      <c r="K160" s="77">
        <v>3.8</v>
      </c>
      <c r="L160" s="77">
        <v>3</v>
      </c>
      <c r="M160" s="77">
        <v>2.4</v>
      </c>
      <c r="N160" s="78">
        <f t="shared" si="10"/>
        <v>1.0349999999999999</v>
      </c>
      <c r="O160" s="79">
        <f t="shared" si="11"/>
        <v>130.19210526315788</v>
      </c>
      <c r="P160" s="79">
        <f t="shared" si="12"/>
        <v>164.91</v>
      </c>
      <c r="Q160" s="79">
        <f t="shared" si="13"/>
        <v>206.13749999999999</v>
      </c>
      <c r="R160" s="75" t="str">
        <f t="shared" si="14"/>
        <v>Rs./km</v>
      </c>
    </row>
    <row r="161" spans="1:18" ht="15" customHeight="1" x14ac:dyDescent="0.3">
      <c r="A161" s="75">
        <v>149</v>
      </c>
      <c r="B161" s="75" t="s">
        <v>462</v>
      </c>
      <c r="C161" s="75" t="s">
        <v>463</v>
      </c>
      <c r="D161" s="76" t="s">
        <v>324</v>
      </c>
      <c r="E161" s="76" t="s">
        <v>429</v>
      </c>
      <c r="F161" s="75">
        <v>2021</v>
      </c>
      <c r="G161" s="75" t="s">
        <v>111</v>
      </c>
      <c r="H161" s="75" t="s">
        <v>221</v>
      </c>
      <c r="I161" s="76" t="s">
        <v>210</v>
      </c>
      <c r="J161" s="75" t="s">
        <v>222</v>
      </c>
      <c r="K161" s="77">
        <v>3.8</v>
      </c>
      <c r="L161" s="77">
        <v>3</v>
      </c>
      <c r="M161" s="77">
        <v>2.4</v>
      </c>
      <c r="N161" s="78">
        <f t="shared" si="10"/>
        <v>1.0349999999999999</v>
      </c>
      <c r="O161" s="79">
        <f t="shared" si="11"/>
        <v>130.19210526315788</v>
      </c>
      <c r="P161" s="79">
        <f t="shared" si="12"/>
        <v>164.91</v>
      </c>
      <c r="Q161" s="79">
        <f t="shared" si="13"/>
        <v>206.13749999999999</v>
      </c>
      <c r="R161" s="75" t="str">
        <f t="shared" si="14"/>
        <v>Rs./km</v>
      </c>
    </row>
    <row r="162" spans="1:18" ht="15" customHeight="1" x14ac:dyDescent="0.3">
      <c r="A162" s="75">
        <v>150</v>
      </c>
      <c r="B162" s="75" t="s">
        <v>464</v>
      </c>
      <c r="C162" s="75" t="s">
        <v>465</v>
      </c>
      <c r="D162" s="76" t="s">
        <v>324</v>
      </c>
      <c r="E162" s="76" t="s">
        <v>429</v>
      </c>
      <c r="F162" s="75">
        <v>2021</v>
      </c>
      <c r="G162" s="75" t="s">
        <v>111</v>
      </c>
      <c r="H162" s="75" t="s">
        <v>221</v>
      </c>
      <c r="I162" s="76" t="s">
        <v>210</v>
      </c>
      <c r="J162" s="75" t="s">
        <v>222</v>
      </c>
      <c r="K162" s="77">
        <v>3.8</v>
      </c>
      <c r="L162" s="77">
        <v>3</v>
      </c>
      <c r="M162" s="77">
        <v>2.4</v>
      </c>
      <c r="N162" s="78">
        <f t="shared" ref="N162:N193" si="15">1+MIN(MAX($D$8-F162,0),$D$10)*$D$9</f>
        <v>1.0349999999999999</v>
      </c>
      <c r="O162" s="79">
        <f t="shared" si="11"/>
        <v>130.19210526315788</v>
      </c>
      <c r="P162" s="79">
        <f t="shared" si="12"/>
        <v>164.91</v>
      </c>
      <c r="Q162" s="79">
        <f t="shared" si="13"/>
        <v>206.13749999999999</v>
      </c>
      <c r="R162" s="75" t="str">
        <f t="shared" si="14"/>
        <v>Rs./km</v>
      </c>
    </row>
    <row r="163" spans="1:18" ht="15" customHeight="1" x14ac:dyDescent="0.3">
      <c r="A163" s="75">
        <v>151</v>
      </c>
      <c r="B163" s="75" t="s">
        <v>466</v>
      </c>
      <c r="C163" s="75" t="s">
        <v>467</v>
      </c>
      <c r="D163" s="76" t="s">
        <v>324</v>
      </c>
      <c r="E163" s="76" t="s">
        <v>429</v>
      </c>
      <c r="F163" s="75">
        <v>2021</v>
      </c>
      <c r="G163" s="75" t="s">
        <v>111</v>
      </c>
      <c r="H163" s="75" t="s">
        <v>221</v>
      </c>
      <c r="I163" s="76" t="s">
        <v>210</v>
      </c>
      <c r="J163" s="75" t="s">
        <v>222</v>
      </c>
      <c r="K163" s="77">
        <v>3.8</v>
      </c>
      <c r="L163" s="77">
        <v>3</v>
      </c>
      <c r="M163" s="77">
        <v>2.4</v>
      </c>
      <c r="N163" s="78">
        <f t="shared" si="15"/>
        <v>1.0349999999999999</v>
      </c>
      <c r="O163" s="79">
        <f t="shared" si="11"/>
        <v>130.19210526315788</v>
      </c>
      <c r="P163" s="79">
        <f t="shared" si="12"/>
        <v>164.91</v>
      </c>
      <c r="Q163" s="79">
        <f t="shared" si="13"/>
        <v>206.13749999999999</v>
      </c>
      <c r="R163" s="75" t="str">
        <f t="shared" si="14"/>
        <v>Rs./km</v>
      </c>
    </row>
    <row r="164" spans="1:18" ht="15" customHeight="1" x14ac:dyDescent="0.3">
      <c r="A164" s="75">
        <v>152</v>
      </c>
      <c r="B164" s="75" t="s">
        <v>468</v>
      </c>
      <c r="C164" s="75" t="s">
        <v>469</v>
      </c>
      <c r="D164" s="76" t="s">
        <v>324</v>
      </c>
      <c r="E164" s="76" t="s">
        <v>429</v>
      </c>
      <c r="F164" s="75">
        <v>2021</v>
      </c>
      <c r="G164" s="75" t="s">
        <v>111</v>
      </c>
      <c r="H164" s="75" t="s">
        <v>221</v>
      </c>
      <c r="I164" s="76" t="s">
        <v>210</v>
      </c>
      <c r="J164" s="75" t="s">
        <v>222</v>
      </c>
      <c r="K164" s="77">
        <v>3.8</v>
      </c>
      <c r="L164" s="77">
        <v>3</v>
      </c>
      <c r="M164" s="77">
        <v>2.4</v>
      </c>
      <c r="N164" s="78">
        <f t="shared" si="15"/>
        <v>1.0349999999999999</v>
      </c>
      <c r="O164" s="79">
        <f t="shared" si="11"/>
        <v>130.19210526315788</v>
      </c>
      <c r="P164" s="79">
        <f t="shared" si="12"/>
        <v>164.91</v>
      </c>
      <c r="Q164" s="79">
        <f t="shared" si="13"/>
        <v>206.13749999999999</v>
      </c>
      <c r="R164" s="75" t="str">
        <f t="shared" si="14"/>
        <v>Rs./km</v>
      </c>
    </row>
    <row r="165" spans="1:18" ht="15" customHeight="1" x14ac:dyDescent="0.3">
      <c r="A165" s="75">
        <v>153</v>
      </c>
      <c r="B165" s="75" t="s">
        <v>470</v>
      </c>
      <c r="C165" s="75" t="s">
        <v>471</v>
      </c>
      <c r="D165" s="76" t="s">
        <v>324</v>
      </c>
      <c r="E165" s="76" t="s">
        <v>429</v>
      </c>
      <c r="F165" s="75">
        <v>2021</v>
      </c>
      <c r="G165" s="75" t="s">
        <v>111</v>
      </c>
      <c r="H165" s="75" t="s">
        <v>221</v>
      </c>
      <c r="I165" s="76" t="s">
        <v>210</v>
      </c>
      <c r="J165" s="75" t="s">
        <v>222</v>
      </c>
      <c r="K165" s="77">
        <v>3.8</v>
      </c>
      <c r="L165" s="77">
        <v>3</v>
      </c>
      <c r="M165" s="77">
        <v>2.4</v>
      </c>
      <c r="N165" s="78">
        <f t="shared" si="15"/>
        <v>1.0349999999999999</v>
      </c>
      <c r="O165" s="79">
        <f t="shared" si="11"/>
        <v>130.19210526315788</v>
      </c>
      <c r="P165" s="79">
        <f t="shared" si="12"/>
        <v>164.91</v>
      </c>
      <c r="Q165" s="79">
        <f t="shared" si="13"/>
        <v>206.13749999999999</v>
      </c>
      <c r="R165" s="75" t="str">
        <f t="shared" si="14"/>
        <v>Rs./km</v>
      </c>
    </row>
    <row r="166" spans="1:18" ht="15" customHeight="1" x14ac:dyDescent="0.3">
      <c r="A166" s="75">
        <v>154</v>
      </c>
      <c r="B166" s="75" t="s">
        <v>472</v>
      </c>
      <c r="C166" s="75" t="s">
        <v>473</v>
      </c>
      <c r="D166" s="76" t="s">
        <v>324</v>
      </c>
      <c r="E166" s="76" t="s">
        <v>429</v>
      </c>
      <c r="F166" s="75">
        <v>2021</v>
      </c>
      <c r="G166" s="75" t="s">
        <v>111</v>
      </c>
      <c r="H166" s="75" t="s">
        <v>221</v>
      </c>
      <c r="I166" s="76" t="s">
        <v>210</v>
      </c>
      <c r="J166" s="75" t="s">
        <v>222</v>
      </c>
      <c r="K166" s="77">
        <v>3.8</v>
      </c>
      <c r="L166" s="77">
        <v>3</v>
      </c>
      <c r="M166" s="77">
        <v>2.4</v>
      </c>
      <c r="N166" s="78">
        <f t="shared" si="15"/>
        <v>1.0349999999999999</v>
      </c>
      <c r="O166" s="79">
        <f t="shared" si="11"/>
        <v>130.19210526315788</v>
      </c>
      <c r="P166" s="79">
        <f t="shared" si="12"/>
        <v>164.91</v>
      </c>
      <c r="Q166" s="79">
        <f t="shared" si="13"/>
        <v>206.13749999999999</v>
      </c>
      <c r="R166" s="75" t="str">
        <f t="shared" si="14"/>
        <v>Rs./km</v>
      </c>
    </row>
    <row r="167" spans="1:18" ht="15" customHeight="1" x14ac:dyDescent="0.3">
      <c r="A167" s="75">
        <v>155</v>
      </c>
      <c r="B167" s="75" t="s">
        <v>474</v>
      </c>
      <c r="C167" s="75" t="s">
        <v>475</v>
      </c>
      <c r="D167" s="76" t="s">
        <v>324</v>
      </c>
      <c r="E167" s="76" t="s">
        <v>429</v>
      </c>
      <c r="F167" s="75">
        <v>2021</v>
      </c>
      <c r="G167" s="75" t="s">
        <v>111</v>
      </c>
      <c r="H167" s="75" t="s">
        <v>221</v>
      </c>
      <c r="I167" s="76" t="s">
        <v>210</v>
      </c>
      <c r="J167" s="75" t="s">
        <v>222</v>
      </c>
      <c r="K167" s="77">
        <v>3.8</v>
      </c>
      <c r="L167" s="77">
        <v>3</v>
      </c>
      <c r="M167" s="77">
        <v>2.4</v>
      </c>
      <c r="N167" s="78">
        <f t="shared" si="15"/>
        <v>1.0349999999999999</v>
      </c>
      <c r="O167" s="79">
        <f t="shared" si="11"/>
        <v>130.19210526315788</v>
      </c>
      <c r="P167" s="79">
        <f t="shared" si="12"/>
        <v>164.91</v>
      </c>
      <c r="Q167" s="79">
        <f t="shared" si="13"/>
        <v>206.13749999999999</v>
      </c>
      <c r="R167" s="75" t="str">
        <f t="shared" si="14"/>
        <v>Rs./km</v>
      </c>
    </row>
    <row r="168" spans="1:18" ht="15" customHeight="1" x14ac:dyDescent="0.3">
      <c r="A168" s="75">
        <v>156</v>
      </c>
      <c r="B168" s="75" t="s">
        <v>476</v>
      </c>
      <c r="C168" s="75" t="s">
        <v>477</v>
      </c>
      <c r="D168" s="76" t="s">
        <v>324</v>
      </c>
      <c r="E168" s="76" t="s">
        <v>429</v>
      </c>
      <c r="F168" s="75">
        <v>2021</v>
      </c>
      <c r="G168" s="75" t="s">
        <v>111</v>
      </c>
      <c r="H168" s="75" t="s">
        <v>221</v>
      </c>
      <c r="I168" s="76" t="s">
        <v>210</v>
      </c>
      <c r="J168" s="75" t="s">
        <v>222</v>
      </c>
      <c r="K168" s="77">
        <v>3.8</v>
      </c>
      <c r="L168" s="77">
        <v>3</v>
      </c>
      <c r="M168" s="77">
        <v>2.4</v>
      </c>
      <c r="N168" s="78">
        <f t="shared" si="15"/>
        <v>1.0349999999999999</v>
      </c>
      <c r="O168" s="79">
        <f t="shared" si="11"/>
        <v>130.19210526315788</v>
      </c>
      <c r="P168" s="79">
        <f t="shared" si="12"/>
        <v>164.91</v>
      </c>
      <c r="Q168" s="79">
        <f t="shared" si="13"/>
        <v>206.13749999999999</v>
      </c>
      <c r="R168" s="75" t="str">
        <f t="shared" si="14"/>
        <v>Rs./km</v>
      </c>
    </row>
    <row r="169" spans="1:18" ht="15" customHeight="1" x14ac:dyDescent="0.3">
      <c r="A169" s="75">
        <v>157</v>
      </c>
      <c r="B169" s="75" t="s">
        <v>478</v>
      </c>
      <c r="C169" s="75" t="s">
        <v>479</v>
      </c>
      <c r="D169" s="76" t="s">
        <v>324</v>
      </c>
      <c r="E169" s="76" t="s">
        <v>339</v>
      </c>
      <c r="F169" s="75">
        <v>2021</v>
      </c>
      <c r="G169" s="75" t="s">
        <v>111</v>
      </c>
      <c r="H169" s="75" t="s">
        <v>221</v>
      </c>
      <c r="I169" s="76" t="s">
        <v>210</v>
      </c>
      <c r="J169" s="75" t="s">
        <v>222</v>
      </c>
      <c r="K169" s="77">
        <v>3.8</v>
      </c>
      <c r="L169" s="77">
        <v>3</v>
      </c>
      <c r="M169" s="77">
        <v>2.4</v>
      </c>
      <c r="N169" s="78">
        <f t="shared" si="15"/>
        <v>1.0349999999999999</v>
      </c>
      <c r="O169" s="79">
        <f t="shared" si="11"/>
        <v>130.19210526315788</v>
      </c>
      <c r="P169" s="79">
        <f t="shared" si="12"/>
        <v>164.91</v>
      </c>
      <c r="Q169" s="79">
        <f t="shared" si="13"/>
        <v>206.13749999999999</v>
      </c>
      <c r="R169" s="75" t="str">
        <f t="shared" si="14"/>
        <v>Rs./km</v>
      </c>
    </row>
    <row r="170" spans="1:18" ht="15" customHeight="1" x14ac:dyDescent="0.3">
      <c r="A170" s="75">
        <v>158</v>
      </c>
      <c r="B170" s="75" t="s">
        <v>480</v>
      </c>
      <c r="C170" s="75" t="s">
        <v>70</v>
      </c>
      <c r="D170" s="76" t="s">
        <v>324</v>
      </c>
      <c r="E170" s="76" t="s">
        <v>339</v>
      </c>
      <c r="F170" s="75">
        <v>2021</v>
      </c>
      <c r="G170" s="75" t="s">
        <v>111</v>
      </c>
      <c r="H170" s="75" t="s">
        <v>221</v>
      </c>
      <c r="I170" s="76" t="s">
        <v>210</v>
      </c>
      <c r="J170" s="75" t="s">
        <v>222</v>
      </c>
      <c r="K170" s="77">
        <v>3.8</v>
      </c>
      <c r="L170" s="77">
        <v>3</v>
      </c>
      <c r="M170" s="77">
        <v>2.4</v>
      </c>
      <c r="N170" s="78">
        <f t="shared" si="15"/>
        <v>1.0349999999999999</v>
      </c>
      <c r="O170" s="79">
        <f t="shared" si="11"/>
        <v>130.19210526315788</v>
      </c>
      <c r="P170" s="79">
        <f t="shared" si="12"/>
        <v>164.91</v>
      </c>
      <c r="Q170" s="79">
        <f t="shared" si="13"/>
        <v>206.13749999999999</v>
      </c>
      <c r="R170" s="75" t="str">
        <f t="shared" si="14"/>
        <v>Rs./km</v>
      </c>
    </row>
    <row r="171" spans="1:18" ht="15" customHeight="1" x14ac:dyDescent="0.3">
      <c r="A171" s="75">
        <v>159</v>
      </c>
      <c r="B171" s="75" t="s">
        <v>481</v>
      </c>
      <c r="C171" s="75" t="s">
        <v>482</v>
      </c>
      <c r="D171" s="76" t="s">
        <v>324</v>
      </c>
      <c r="E171" s="76" t="s">
        <v>339</v>
      </c>
      <c r="F171" s="75">
        <v>2021</v>
      </c>
      <c r="G171" s="75" t="s">
        <v>111</v>
      </c>
      <c r="H171" s="75" t="s">
        <v>221</v>
      </c>
      <c r="I171" s="76" t="s">
        <v>210</v>
      </c>
      <c r="J171" s="75" t="s">
        <v>222</v>
      </c>
      <c r="K171" s="77">
        <v>3.8</v>
      </c>
      <c r="L171" s="77">
        <v>3</v>
      </c>
      <c r="M171" s="77">
        <v>2.4</v>
      </c>
      <c r="N171" s="78">
        <f t="shared" si="15"/>
        <v>1.0349999999999999</v>
      </c>
      <c r="O171" s="79">
        <f t="shared" si="11"/>
        <v>130.19210526315788</v>
      </c>
      <c r="P171" s="79">
        <f t="shared" si="12"/>
        <v>164.91</v>
      </c>
      <c r="Q171" s="79">
        <f t="shared" si="13"/>
        <v>206.13749999999999</v>
      </c>
      <c r="R171" s="75" t="str">
        <f t="shared" si="14"/>
        <v>Rs./km</v>
      </c>
    </row>
    <row r="172" spans="1:18" ht="15" customHeight="1" x14ac:dyDescent="0.3">
      <c r="A172" s="75">
        <v>160</v>
      </c>
      <c r="B172" s="75" t="s">
        <v>483</v>
      </c>
      <c r="C172" s="75" t="s">
        <v>484</v>
      </c>
      <c r="D172" s="76" t="s">
        <v>324</v>
      </c>
      <c r="E172" s="76" t="s">
        <v>339</v>
      </c>
      <c r="F172" s="75">
        <v>2021</v>
      </c>
      <c r="G172" s="75" t="s">
        <v>111</v>
      </c>
      <c r="H172" s="75" t="s">
        <v>221</v>
      </c>
      <c r="I172" s="76" t="s">
        <v>210</v>
      </c>
      <c r="J172" s="75" t="s">
        <v>222</v>
      </c>
      <c r="K172" s="77">
        <v>3.8</v>
      </c>
      <c r="L172" s="77">
        <v>3</v>
      </c>
      <c r="M172" s="77">
        <v>2.4</v>
      </c>
      <c r="N172" s="78">
        <f t="shared" si="15"/>
        <v>1.0349999999999999</v>
      </c>
      <c r="O172" s="79">
        <f t="shared" si="11"/>
        <v>130.19210526315788</v>
      </c>
      <c r="P172" s="79">
        <f t="shared" si="12"/>
        <v>164.91</v>
      </c>
      <c r="Q172" s="79">
        <f t="shared" si="13"/>
        <v>206.13749999999999</v>
      </c>
      <c r="R172" s="75" t="str">
        <f t="shared" si="14"/>
        <v>Rs./km</v>
      </c>
    </row>
    <row r="173" spans="1:18" ht="15" customHeight="1" x14ac:dyDescent="0.3">
      <c r="A173" s="75">
        <v>161</v>
      </c>
      <c r="B173" s="75" t="s">
        <v>485</v>
      </c>
      <c r="C173" s="75" t="s">
        <v>486</v>
      </c>
      <c r="D173" s="76" t="s">
        <v>324</v>
      </c>
      <c r="E173" s="76" t="s">
        <v>339</v>
      </c>
      <c r="F173" s="75">
        <v>2021</v>
      </c>
      <c r="G173" s="75" t="s">
        <v>111</v>
      </c>
      <c r="H173" s="75" t="s">
        <v>221</v>
      </c>
      <c r="I173" s="76" t="s">
        <v>210</v>
      </c>
      <c r="J173" s="75" t="s">
        <v>222</v>
      </c>
      <c r="K173" s="77">
        <v>3.8</v>
      </c>
      <c r="L173" s="77">
        <v>3</v>
      </c>
      <c r="M173" s="77">
        <v>2.4</v>
      </c>
      <c r="N173" s="78">
        <f t="shared" si="15"/>
        <v>1.0349999999999999</v>
      </c>
      <c r="O173" s="79">
        <f t="shared" si="11"/>
        <v>130.19210526315788</v>
      </c>
      <c r="P173" s="79">
        <f t="shared" si="12"/>
        <v>164.91</v>
      </c>
      <c r="Q173" s="79">
        <f t="shared" si="13"/>
        <v>206.13749999999999</v>
      </c>
      <c r="R173" s="75" t="str">
        <f t="shared" si="14"/>
        <v>Rs./km</v>
      </c>
    </row>
    <row r="174" spans="1:18" ht="15" customHeight="1" x14ac:dyDescent="0.3">
      <c r="A174" s="75">
        <v>162</v>
      </c>
      <c r="B174" s="75" t="s">
        <v>487</v>
      </c>
      <c r="C174" s="75" t="s">
        <v>488</v>
      </c>
      <c r="D174" s="76" t="s">
        <v>324</v>
      </c>
      <c r="E174" s="76" t="s">
        <v>339</v>
      </c>
      <c r="F174" s="75">
        <v>2021</v>
      </c>
      <c r="G174" s="75" t="s">
        <v>111</v>
      </c>
      <c r="H174" s="75" t="s">
        <v>221</v>
      </c>
      <c r="I174" s="76" t="s">
        <v>210</v>
      </c>
      <c r="J174" s="75" t="s">
        <v>222</v>
      </c>
      <c r="K174" s="77">
        <v>3.8</v>
      </c>
      <c r="L174" s="77">
        <v>3</v>
      </c>
      <c r="M174" s="77">
        <v>2.4</v>
      </c>
      <c r="N174" s="78">
        <f t="shared" si="15"/>
        <v>1.0349999999999999</v>
      </c>
      <c r="O174" s="79">
        <f t="shared" si="11"/>
        <v>130.19210526315788</v>
      </c>
      <c r="P174" s="79">
        <f t="shared" si="12"/>
        <v>164.91</v>
      </c>
      <c r="Q174" s="79">
        <f t="shared" si="13"/>
        <v>206.13749999999999</v>
      </c>
      <c r="R174" s="75" t="str">
        <f t="shared" si="14"/>
        <v>Rs./km</v>
      </c>
    </row>
    <row r="175" spans="1:18" ht="15" customHeight="1" x14ac:dyDescent="0.3">
      <c r="A175" s="75">
        <v>163</v>
      </c>
      <c r="B175" s="75" t="s">
        <v>489</v>
      </c>
      <c r="C175" s="75" t="s">
        <v>490</v>
      </c>
      <c r="D175" s="76" t="s">
        <v>324</v>
      </c>
      <c r="E175" s="76" t="s">
        <v>339</v>
      </c>
      <c r="F175" s="75">
        <v>2021</v>
      </c>
      <c r="G175" s="75" t="s">
        <v>111</v>
      </c>
      <c r="H175" s="75" t="s">
        <v>221</v>
      </c>
      <c r="I175" s="76" t="s">
        <v>210</v>
      </c>
      <c r="J175" s="75" t="s">
        <v>222</v>
      </c>
      <c r="K175" s="77">
        <v>3.8</v>
      </c>
      <c r="L175" s="77">
        <v>3</v>
      </c>
      <c r="M175" s="77">
        <v>2.4</v>
      </c>
      <c r="N175" s="78">
        <f t="shared" si="15"/>
        <v>1.0349999999999999</v>
      </c>
      <c r="O175" s="79">
        <f t="shared" si="11"/>
        <v>130.19210526315788</v>
      </c>
      <c r="P175" s="79">
        <f t="shared" si="12"/>
        <v>164.91</v>
      </c>
      <c r="Q175" s="79">
        <f t="shared" si="13"/>
        <v>206.13749999999999</v>
      </c>
      <c r="R175" s="75" t="str">
        <f t="shared" si="14"/>
        <v>Rs./km</v>
      </c>
    </row>
    <row r="176" spans="1:18" ht="15" customHeight="1" x14ac:dyDescent="0.3">
      <c r="A176" s="75">
        <v>164</v>
      </c>
      <c r="B176" s="75" t="s">
        <v>491</v>
      </c>
      <c r="C176" s="75" t="s">
        <v>492</v>
      </c>
      <c r="D176" s="76" t="s">
        <v>324</v>
      </c>
      <c r="E176" s="76" t="s">
        <v>339</v>
      </c>
      <c r="F176" s="75">
        <v>2021</v>
      </c>
      <c r="G176" s="75" t="s">
        <v>111</v>
      </c>
      <c r="H176" s="75" t="s">
        <v>221</v>
      </c>
      <c r="I176" s="76" t="s">
        <v>210</v>
      </c>
      <c r="J176" s="75" t="s">
        <v>222</v>
      </c>
      <c r="K176" s="77">
        <v>3.8</v>
      </c>
      <c r="L176" s="77">
        <v>3</v>
      </c>
      <c r="M176" s="77">
        <v>2.4</v>
      </c>
      <c r="N176" s="78">
        <f t="shared" si="15"/>
        <v>1.0349999999999999</v>
      </c>
      <c r="O176" s="79">
        <f t="shared" si="11"/>
        <v>130.19210526315788</v>
      </c>
      <c r="P176" s="79">
        <f t="shared" si="12"/>
        <v>164.91</v>
      </c>
      <c r="Q176" s="79">
        <f t="shared" si="13"/>
        <v>206.13749999999999</v>
      </c>
      <c r="R176" s="75" t="str">
        <f t="shared" si="14"/>
        <v>Rs./km</v>
      </c>
    </row>
    <row r="177" spans="1:18" ht="15" customHeight="1" x14ac:dyDescent="0.3">
      <c r="A177" s="75">
        <v>165</v>
      </c>
      <c r="B177" s="75" t="s">
        <v>493</v>
      </c>
      <c r="C177" s="75" t="s">
        <v>494</v>
      </c>
      <c r="D177" s="76" t="s">
        <v>324</v>
      </c>
      <c r="E177" s="76" t="s">
        <v>339</v>
      </c>
      <c r="F177" s="75">
        <v>2021</v>
      </c>
      <c r="G177" s="75" t="s">
        <v>111</v>
      </c>
      <c r="H177" s="75" t="s">
        <v>221</v>
      </c>
      <c r="I177" s="76" t="s">
        <v>210</v>
      </c>
      <c r="J177" s="75" t="s">
        <v>222</v>
      </c>
      <c r="K177" s="77">
        <v>3.8</v>
      </c>
      <c r="L177" s="77">
        <v>3</v>
      </c>
      <c r="M177" s="77">
        <v>2.4</v>
      </c>
      <c r="N177" s="78">
        <f t="shared" si="15"/>
        <v>1.0349999999999999</v>
      </c>
      <c r="O177" s="79">
        <f t="shared" si="11"/>
        <v>130.19210526315788</v>
      </c>
      <c r="P177" s="79">
        <f t="shared" si="12"/>
        <v>164.91</v>
      </c>
      <c r="Q177" s="79">
        <f t="shared" si="13"/>
        <v>206.13749999999999</v>
      </c>
      <c r="R177" s="75" t="str">
        <f t="shared" si="14"/>
        <v>Rs./km</v>
      </c>
    </row>
    <row r="178" spans="1:18" ht="15" customHeight="1" x14ac:dyDescent="0.3">
      <c r="A178" s="75">
        <v>166</v>
      </c>
      <c r="B178" s="75" t="s">
        <v>495</v>
      </c>
      <c r="C178" s="75" t="s">
        <v>496</v>
      </c>
      <c r="D178" s="76" t="s">
        <v>324</v>
      </c>
      <c r="E178" s="76" t="s">
        <v>429</v>
      </c>
      <c r="F178" s="75">
        <v>2021</v>
      </c>
      <c r="G178" s="75" t="s">
        <v>111</v>
      </c>
      <c r="H178" s="75" t="s">
        <v>221</v>
      </c>
      <c r="I178" s="76" t="s">
        <v>210</v>
      </c>
      <c r="J178" s="75" t="s">
        <v>222</v>
      </c>
      <c r="K178" s="77">
        <v>3.8</v>
      </c>
      <c r="L178" s="77">
        <v>3</v>
      </c>
      <c r="M178" s="77">
        <v>2.4</v>
      </c>
      <c r="N178" s="78">
        <f t="shared" si="15"/>
        <v>1.0349999999999999</v>
      </c>
      <c r="O178" s="79">
        <f t="shared" si="11"/>
        <v>130.19210526315788</v>
      </c>
      <c r="P178" s="79">
        <f t="shared" si="12"/>
        <v>164.91</v>
      </c>
      <c r="Q178" s="79">
        <f t="shared" si="13"/>
        <v>206.13749999999999</v>
      </c>
      <c r="R178" s="75" t="str">
        <f t="shared" si="14"/>
        <v>Rs./km</v>
      </c>
    </row>
    <row r="179" spans="1:18" ht="15" customHeight="1" x14ac:dyDescent="0.3">
      <c r="A179" s="75">
        <v>167</v>
      </c>
      <c r="B179" s="75" t="s">
        <v>497</v>
      </c>
      <c r="C179" s="75" t="s">
        <v>498</v>
      </c>
      <c r="D179" s="76" t="s">
        <v>324</v>
      </c>
      <c r="E179" s="76" t="s">
        <v>429</v>
      </c>
      <c r="F179" s="75">
        <v>2021</v>
      </c>
      <c r="G179" s="75" t="s">
        <v>111</v>
      </c>
      <c r="H179" s="75" t="s">
        <v>221</v>
      </c>
      <c r="I179" s="76" t="s">
        <v>210</v>
      </c>
      <c r="J179" s="75" t="s">
        <v>222</v>
      </c>
      <c r="K179" s="77">
        <v>3.8</v>
      </c>
      <c r="L179" s="77">
        <v>3</v>
      </c>
      <c r="M179" s="77">
        <v>2.4</v>
      </c>
      <c r="N179" s="78">
        <f t="shared" si="15"/>
        <v>1.0349999999999999</v>
      </c>
      <c r="O179" s="79">
        <f t="shared" si="11"/>
        <v>130.19210526315788</v>
      </c>
      <c r="P179" s="79">
        <f t="shared" si="12"/>
        <v>164.91</v>
      </c>
      <c r="Q179" s="79">
        <f t="shared" si="13"/>
        <v>206.13749999999999</v>
      </c>
      <c r="R179" s="75" t="str">
        <f t="shared" si="14"/>
        <v>Rs./km</v>
      </c>
    </row>
    <row r="180" spans="1:18" ht="15" customHeight="1" x14ac:dyDescent="0.3">
      <c r="A180" s="75">
        <v>168</v>
      </c>
      <c r="B180" s="75" t="s">
        <v>499</v>
      </c>
      <c r="C180" s="75" t="s">
        <v>500</v>
      </c>
      <c r="D180" s="76" t="s">
        <v>324</v>
      </c>
      <c r="E180" s="76" t="s">
        <v>328</v>
      </c>
      <c r="F180" s="75">
        <v>2021</v>
      </c>
      <c r="G180" s="75" t="s">
        <v>111</v>
      </c>
      <c r="H180" s="75" t="s">
        <v>221</v>
      </c>
      <c r="I180" s="76" t="s">
        <v>329</v>
      </c>
      <c r="J180" s="75" t="s">
        <v>222</v>
      </c>
      <c r="K180" s="77">
        <v>6.4</v>
      </c>
      <c r="L180" s="77">
        <v>5</v>
      </c>
      <c r="M180" s="77">
        <v>4</v>
      </c>
      <c r="N180" s="78">
        <f t="shared" si="15"/>
        <v>1.0349999999999999</v>
      </c>
      <c r="O180" s="79">
        <f t="shared" si="11"/>
        <v>77.301562499999989</v>
      </c>
      <c r="P180" s="79">
        <f t="shared" si="12"/>
        <v>98.945999999999998</v>
      </c>
      <c r="Q180" s="79">
        <f t="shared" si="13"/>
        <v>123.68249999999999</v>
      </c>
      <c r="R180" s="75" t="str">
        <f t="shared" si="14"/>
        <v>Rs./km</v>
      </c>
    </row>
    <row r="181" spans="1:18" ht="15" customHeight="1" x14ac:dyDescent="0.3">
      <c r="A181" s="75">
        <v>169</v>
      </c>
      <c r="B181" s="75" t="s">
        <v>501</v>
      </c>
      <c r="C181" s="75" t="s">
        <v>502</v>
      </c>
      <c r="D181" s="76" t="s">
        <v>324</v>
      </c>
      <c r="E181" s="76" t="s">
        <v>351</v>
      </c>
      <c r="F181" s="75">
        <v>2021</v>
      </c>
      <c r="G181" s="75" t="s">
        <v>111</v>
      </c>
      <c r="H181" s="75" t="s">
        <v>221</v>
      </c>
      <c r="I181" s="76" t="s">
        <v>352</v>
      </c>
      <c r="J181" s="75" t="s">
        <v>222</v>
      </c>
      <c r="K181" s="77">
        <v>4.9000000000000004</v>
      </c>
      <c r="L181" s="77">
        <v>3.8</v>
      </c>
      <c r="M181" s="77">
        <v>3</v>
      </c>
      <c r="N181" s="78">
        <f t="shared" si="15"/>
        <v>1.0349999999999999</v>
      </c>
      <c r="O181" s="79">
        <f t="shared" si="11"/>
        <v>100.96530612244896</v>
      </c>
      <c r="P181" s="79">
        <f t="shared" si="12"/>
        <v>130.19210526315788</v>
      </c>
      <c r="Q181" s="79">
        <f t="shared" si="13"/>
        <v>164.91</v>
      </c>
      <c r="R181" s="75" t="str">
        <f t="shared" si="14"/>
        <v>Rs./km</v>
      </c>
    </row>
    <row r="182" spans="1:18" ht="15" customHeight="1" x14ac:dyDescent="0.3">
      <c r="A182" s="75">
        <v>170</v>
      </c>
      <c r="B182" s="75" t="s">
        <v>108</v>
      </c>
      <c r="C182" s="75" t="s">
        <v>341</v>
      </c>
      <c r="D182" s="76" t="s">
        <v>324</v>
      </c>
      <c r="E182" s="76" t="s">
        <v>339</v>
      </c>
      <c r="F182" s="75">
        <v>2011</v>
      </c>
      <c r="G182" s="75" t="s">
        <v>111</v>
      </c>
      <c r="H182" s="75" t="s">
        <v>221</v>
      </c>
      <c r="I182" s="76" t="s">
        <v>210</v>
      </c>
      <c r="J182" s="75" t="s">
        <v>222</v>
      </c>
      <c r="K182" s="77">
        <v>3.8</v>
      </c>
      <c r="L182" s="77">
        <v>3</v>
      </c>
      <c r="M182" s="77">
        <v>2.4</v>
      </c>
      <c r="N182" s="78">
        <f t="shared" si="15"/>
        <v>1.105</v>
      </c>
      <c r="O182" s="79">
        <f t="shared" si="11"/>
        <v>138.99736842105261</v>
      </c>
      <c r="P182" s="79">
        <f t="shared" si="12"/>
        <v>176.0633333333333</v>
      </c>
      <c r="Q182" s="79">
        <f t="shared" si="13"/>
        <v>220.07916666666665</v>
      </c>
      <c r="R182" s="75" t="str">
        <f t="shared" si="14"/>
        <v>Rs./km</v>
      </c>
    </row>
    <row r="183" spans="1:18" ht="15" customHeight="1" x14ac:dyDescent="0.3">
      <c r="A183" s="75">
        <v>171</v>
      </c>
      <c r="B183" s="75" t="s">
        <v>108</v>
      </c>
      <c r="C183" s="75" t="s">
        <v>344</v>
      </c>
      <c r="D183" s="76" t="s">
        <v>324</v>
      </c>
      <c r="E183" s="76" t="s">
        <v>339</v>
      </c>
      <c r="F183" s="75">
        <v>2011</v>
      </c>
      <c r="G183" s="75" t="s">
        <v>111</v>
      </c>
      <c r="H183" s="75" t="s">
        <v>221</v>
      </c>
      <c r="I183" s="76" t="s">
        <v>210</v>
      </c>
      <c r="J183" s="75" t="s">
        <v>222</v>
      </c>
      <c r="K183" s="77">
        <v>3.8</v>
      </c>
      <c r="L183" s="77">
        <v>3</v>
      </c>
      <c r="M183" s="77">
        <v>2.4</v>
      </c>
      <c r="N183" s="78">
        <f t="shared" si="15"/>
        <v>1.105</v>
      </c>
      <c r="O183" s="79">
        <f t="shared" si="11"/>
        <v>138.99736842105261</v>
      </c>
      <c r="P183" s="79">
        <f t="shared" si="12"/>
        <v>176.0633333333333</v>
      </c>
      <c r="Q183" s="79">
        <f t="shared" si="13"/>
        <v>220.07916666666665</v>
      </c>
      <c r="R183" s="75" t="str">
        <f t="shared" si="14"/>
        <v>Rs./km</v>
      </c>
    </row>
    <row r="184" spans="1:18" ht="15" customHeight="1" x14ac:dyDescent="0.3">
      <c r="A184" s="75">
        <v>172</v>
      </c>
      <c r="B184" s="75" t="s">
        <v>108</v>
      </c>
      <c r="C184" s="75" t="s">
        <v>391</v>
      </c>
      <c r="D184" s="76" t="s">
        <v>324</v>
      </c>
      <c r="E184" s="76" t="s">
        <v>339</v>
      </c>
      <c r="F184" s="75">
        <v>2012</v>
      </c>
      <c r="G184" s="75" t="s">
        <v>111</v>
      </c>
      <c r="H184" s="75" t="s">
        <v>221</v>
      </c>
      <c r="I184" s="76" t="s">
        <v>210</v>
      </c>
      <c r="J184" s="75" t="s">
        <v>222</v>
      </c>
      <c r="K184" s="77">
        <v>3.8</v>
      </c>
      <c r="L184" s="77">
        <v>3</v>
      </c>
      <c r="M184" s="77">
        <v>2.4</v>
      </c>
      <c r="N184" s="78">
        <f t="shared" si="15"/>
        <v>1.0980000000000001</v>
      </c>
      <c r="O184" s="79">
        <f t="shared" si="11"/>
        <v>138.11684210526317</v>
      </c>
      <c r="P184" s="79">
        <f t="shared" si="12"/>
        <v>174.94800000000001</v>
      </c>
      <c r="Q184" s="79">
        <f t="shared" si="13"/>
        <v>218.68500000000003</v>
      </c>
      <c r="R184" s="75" t="str">
        <f t="shared" si="14"/>
        <v>Rs./km</v>
      </c>
    </row>
    <row r="185" spans="1:18" ht="15" customHeight="1" x14ac:dyDescent="0.3">
      <c r="A185" s="75">
        <v>173</v>
      </c>
      <c r="B185" s="75" t="s">
        <v>108</v>
      </c>
      <c r="C185" s="75" t="s">
        <v>358</v>
      </c>
      <c r="D185" s="76" t="s">
        <v>324</v>
      </c>
      <c r="E185" s="76" t="s">
        <v>339</v>
      </c>
      <c r="F185" s="75">
        <v>2011</v>
      </c>
      <c r="G185" s="75" t="s">
        <v>111</v>
      </c>
      <c r="H185" s="75" t="s">
        <v>221</v>
      </c>
      <c r="I185" s="76" t="s">
        <v>210</v>
      </c>
      <c r="J185" s="75" t="s">
        <v>222</v>
      </c>
      <c r="K185" s="77">
        <v>3.8</v>
      </c>
      <c r="L185" s="77">
        <v>3</v>
      </c>
      <c r="M185" s="77">
        <v>2.4</v>
      </c>
      <c r="N185" s="78">
        <f t="shared" si="15"/>
        <v>1.105</v>
      </c>
      <c r="O185" s="79">
        <f t="shared" si="11"/>
        <v>138.99736842105261</v>
      </c>
      <c r="P185" s="79">
        <f t="shared" si="12"/>
        <v>176.0633333333333</v>
      </c>
      <c r="Q185" s="79">
        <f t="shared" si="13"/>
        <v>220.07916666666665</v>
      </c>
      <c r="R185" s="75" t="str">
        <f t="shared" si="14"/>
        <v>Rs./km</v>
      </c>
    </row>
    <row r="186" spans="1:18" ht="15" customHeight="1" x14ac:dyDescent="0.3">
      <c r="A186" s="75">
        <v>174</v>
      </c>
      <c r="B186" s="75" t="s">
        <v>31</v>
      </c>
      <c r="C186" s="75" t="s">
        <v>108</v>
      </c>
      <c r="D186" s="76" t="s">
        <v>503</v>
      </c>
      <c r="E186" s="76" t="s">
        <v>504</v>
      </c>
      <c r="F186" s="75">
        <v>2013</v>
      </c>
      <c r="G186" s="75" t="s">
        <v>111</v>
      </c>
      <c r="H186" s="75" t="s">
        <v>112</v>
      </c>
      <c r="I186" s="76" t="s">
        <v>505</v>
      </c>
      <c r="J186" s="75" t="s">
        <v>114</v>
      </c>
      <c r="K186" s="77">
        <v>11.5</v>
      </c>
      <c r="L186" s="77">
        <v>16</v>
      </c>
      <c r="M186" s="77">
        <v>21.6</v>
      </c>
      <c r="N186" s="78">
        <f t="shared" si="15"/>
        <v>1.091</v>
      </c>
      <c r="O186" s="79">
        <f t="shared" si="11"/>
        <v>5997.2269999999999</v>
      </c>
      <c r="P186" s="79">
        <f t="shared" si="12"/>
        <v>8343.9679999999989</v>
      </c>
      <c r="Q186" s="79">
        <f t="shared" si="13"/>
        <v>11264.3568</v>
      </c>
      <c r="R186" s="75" t="str">
        <f t="shared" si="14"/>
        <v>Rs./hr</v>
      </c>
    </row>
    <row r="187" spans="1:18" ht="15" customHeight="1" x14ac:dyDescent="0.3">
      <c r="A187" s="75">
        <v>175</v>
      </c>
      <c r="B187" s="75" t="s">
        <v>506</v>
      </c>
      <c r="C187" s="75" t="s">
        <v>108</v>
      </c>
      <c r="D187" s="76" t="s">
        <v>503</v>
      </c>
      <c r="E187" s="76" t="s">
        <v>507</v>
      </c>
      <c r="F187" s="75">
        <v>2010</v>
      </c>
      <c r="G187" s="75" t="s">
        <v>111</v>
      </c>
      <c r="H187" s="75" t="s">
        <v>112</v>
      </c>
      <c r="I187" s="76" t="s">
        <v>508</v>
      </c>
      <c r="J187" s="75" t="s">
        <v>114</v>
      </c>
      <c r="K187" s="77">
        <v>7.2</v>
      </c>
      <c r="L187" s="77">
        <v>10</v>
      </c>
      <c r="M187" s="77">
        <v>13.5</v>
      </c>
      <c r="N187" s="78">
        <f t="shared" si="15"/>
        <v>1.1120000000000001</v>
      </c>
      <c r="O187" s="79">
        <f t="shared" si="11"/>
        <v>3827.0592000000006</v>
      </c>
      <c r="P187" s="79">
        <f t="shared" si="12"/>
        <v>5315.3600000000006</v>
      </c>
      <c r="Q187" s="79">
        <f t="shared" si="13"/>
        <v>7175.7359999999999</v>
      </c>
      <c r="R187" s="75" t="str">
        <f t="shared" si="14"/>
        <v>Rs./hr</v>
      </c>
    </row>
    <row r="188" spans="1:18" ht="15" customHeight="1" x14ac:dyDescent="0.3">
      <c r="A188" s="75">
        <v>176</v>
      </c>
      <c r="B188" s="75" t="s">
        <v>509</v>
      </c>
      <c r="C188" s="75" t="s">
        <v>108</v>
      </c>
      <c r="D188" s="76" t="s">
        <v>503</v>
      </c>
      <c r="E188" s="76" t="s">
        <v>510</v>
      </c>
      <c r="F188" s="75">
        <v>2010</v>
      </c>
      <c r="G188" s="75" t="s">
        <v>111</v>
      </c>
      <c r="H188" s="75" t="s">
        <v>112</v>
      </c>
      <c r="I188" s="76" t="s">
        <v>511</v>
      </c>
      <c r="J188" s="75" t="s">
        <v>114</v>
      </c>
      <c r="K188" s="77">
        <v>7.2</v>
      </c>
      <c r="L188" s="77">
        <v>10</v>
      </c>
      <c r="M188" s="77">
        <v>13.5</v>
      </c>
      <c r="N188" s="78">
        <f t="shared" si="15"/>
        <v>1.1120000000000001</v>
      </c>
      <c r="O188" s="79">
        <f t="shared" si="11"/>
        <v>3827.0592000000006</v>
      </c>
      <c r="P188" s="79">
        <f t="shared" si="12"/>
        <v>5315.3600000000006</v>
      </c>
      <c r="Q188" s="79">
        <f t="shared" si="13"/>
        <v>7175.7359999999999</v>
      </c>
      <c r="R188" s="75" t="str">
        <f t="shared" si="14"/>
        <v>Rs./hr</v>
      </c>
    </row>
    <row r="189" spans="1:18" ht="15" customHeight="1" x14ac:dyDescent="0.3">
      <c r="A189" s="75">
        <v>177</v>
      </c>
      <c r="B189" s="75" t="s">
        <v>512</v>
      </c>
      <c r="C189" s="75" t="s">
        <v>108</v>
      </c>
      <c r="D189" s="76" t="s">
        <v>503</v>
      </c>
      <c r="E189" s="76" t="s">
        <v>507</v>
      </c>
      <c r="F189" s="75">
        <v>2011</v>
      </c>
      <c r="G189" s="75" t="s">
        <v>111</v>
      </c>
      <c r="H189" s="75" t="s">
        <v>112</v>
      </c>
      <c r="I189" s="76" t="s">
        <v>508</v>
      </c>
      <c r="J189" s="75" t="s">
        <v>114</v>
      </c>
      <c r="K189" s="77">
        <v>7.2</v>
      </c>
      <c r="L189" s="77">
        <v>10</v>
      </c>
      <c r="M189" s="77">
        <v>13.5</v>
      </c>
      <c r="N189" s="78">
        <f t="shared" si="15"/>
        <v>1.105</v>
      </c>
      <c r="O189" s="79">
        <f t="shared" si="11"/>
        <v>3802.9680000000003</v>
      </c>
      <c r="P189" s="79">
        <f t="shared" si="12"/>
        <v>5281.9000000000005</v>
      </c>
      <c r="Q189" s="79">
        <f t="shared" si="13"/>
        <v>7130.5650000000005</v>
      </c>
      <c r="R189" s="75" t="str">
        <f t="shared" si="14"/>
        <v>Rs./hr</v>
      </c>
    </row>
    <row r="190" spans="1:18" ht="15" customHeight="1" x14ac:dyDescent="0.3">
      <c r="A190" s="75">
        <v>178</v>
      </c>
      <c r="B190" s="75" t="s">
        <v>513</v>
      </c>
      <c r="C190" s="75" t="s">
        <v>108</v>
      </c>
      <c r="D190" s="76" t="s">
        <v>503</v>
      </c>
      <c r="E190" s="76" t="s">
        <v>514</v>
      </c>
      <c r="F190" s="75">
        <v>2009</v>
      </c>
      <c r="G190" s="75" t="s">
        <v>111</v>
      </c>
      <c r="H190" s="75" t="s">
        <v>112</v>
      </c>
      <c r="I190" s="76" t="s">
        <v>515</v>
      </c>
      <c r="J190" s="75" t="s">
        <v>114</v>
      </c>
      <c r="K190" s="77">
        <v>2.9</v>
      </c>
      <c r="L190" s="77">
        <v>4</v>
      </c>
      <c r="M190" s="77">
        <v>5.4</v>
      </c>
      <c r="N190" s="78">
        <f t="shared" si="15"/>
        <v>1.119</v>
      </c>
      <c r="O190" s="79">
        <f t="shared" si="11"/>
        <v>1551.1578</v>
      </c>
      <c r="P190" s="79">
        <f t="shared" si="12"/>
        <v>2139.5279999999998</v>
      </c>
      <c r="Q190" s="79">
        <f t="shared" si="13"/>
        <v>2888.3627999999999</v>
      </c>
      <c r="R190" s="75" t="str">
        <f t="shared" si="14"/>
        <v>Rs./hr</v>
      </c>
    </row>
    <row r="191" spans="1:18" ht="15" customHeight="1" x14ac:dyDescent="0.3">
      <c r="A191" s="75">
        <v>179</v>
      </c>
      <c r="B191" s="75" t="s">
        <v>516</v>
      </c>
      <c r="C191" s="75" t="s">
        <v>108</v>
      </c>
      <c r="D191" s="76" t="s">
        <v>503</v>
      </c>
      <c r="E191" s="76" t="s">
        <v>517</v>
      </c>
      <c r="F191" s="75">
        <v>2009</v>
      </c>
      <c r="G191" s="75" t="s">
        <v>111</v>
      </c>
      <c r="H191" s="75" t="s">
        <v>112</v>
      </c>
      <c r="I191" s="76" t="s">
        <v>518</v>
      </c>
      <c r="J191" s="75" t="s">
        <v>114</v>
      </c>
      <c r="K191" s="77">
        <v>2.9</v>
      </c>
      <c r="L191" s="77">
        <v>4</v>
      </c>
      <c r="M191" s="77">
        <v>5.4</v>
      </c>
      <c r="N191" s="78">
        <f t="shared" si="15"/>
        <v>1.119</v>
      </c>
      <c r="O191" s="79">
        <f t="shared" si="11"/>
        <v>1551.1578</v>
      </c>
      <c r="P191" s="79">
        <f t="shared" si="12"/>
        <v>2139.5279999999998</v>
      </c>
      <c r="Q191" s="79">
        <f t="shared" si="13"/>
        <v>2888.3627999999999</v>
      </c>
      <c r="R191" s="75" t="str">
        <f t="shared" si="14"/>
        <v>Rs./hr</v>
      </c>
    </row>
    <row r="192" spans="1:18" ht="15" customHeight="1" x14ac:dyDescent="0.3">
      <c r="A192" s="75">
        <v>180</v>
      </c>
      <c r="B192" s="75" t="s">
        <v>519</v>
      </c>
      <c r="C192" s="75" t="s">
        <v>108</v>
      </c>
      <c r="D192" s="76" t="s">
        <v>503</v>
      </c>
      <c r="E192" s="76" t="s">
        <v>520</v>
      </c>
      <c r="F192" s="75">
        <v>2014</v>
      </c>
      <c r="G192" s="75" t="s">
        <v>111</v>
      </c>
      <c r="H192" s="75" t="s">
        <v>112</v>
      </c>
      <c r="I192" s="76" t="s">
        <v>521</v>
      </c>
      <c r="J192" s="75" t="s">
        <v>114</v>
      </c>
      <c r="K192" s="77">
        <v>11.5</v>
      </c>
      <c r="L192" s="77">
        <v>16</v>
      </c>
      <c r="M192" s="77">
        <v>21.6</v>
      </c>
      <c r="N192" s="78">
        <f t="shared" si="15"/>
        <v>1.0840000000000001</v>
      </c>
      <c r="O192" s="79">
        <f t="shared" si="11"/>
        <v>5958.7480000000005</v>
      </c>
      <c r="P192" s="79">
        <f t="shared" si="12"/>
        <v>8290.4320000000007</v>
      </c>
      <c r="Q192" s="79">
        <f t="shared" si="13"/>
        <v>11192.083200000003</v>
      </c>
      <c r="R192" s="75" t="str">
        <f t="shared" si="14"/>
        <v>Rs./hr</v>
      </c>
    </row>
    <row r="193" spans="1:18" ht="15" customHeight="1" x14ac:dyDescent="0.3">
      <c r="A193" s="75">
        <v>181</v>
      </c>
      <c r="B193" s="75" t="s">
        <v>522</v>
      </c>
      <c r="C193" s="75" t="s">
        <v>108</v>
      </c>
      <c r="D193" s="76" t="s">
        <v>503</v>
      </c>
      <c r="E193" s="76" t="s">
        <v>523</v>
      </c>
      <c r="F193" s="75">
        <v>2009</v>
      </c>
      <c r="G193" s="75" t="s">
        <v>111</v>
      </c>
      <c r="H193" s="75" t="s">
        <v>112</v>
      </c>
      <c r="I193" s="76" t="s">
        <v>524</v>
      </c>
      <c r="J193" s="75" t="s">
        <v>114</v>
      </c>
      <c r="K193" s="77">
        <v>2.9</v>
      </c>
      <c r="L193" s="77">
        <v>4</v>
      </c>
      <c r="M193" s="77">
        <v>5.4</v>
      </c>
      <c r="N193" s="78">
        <f t="shared" si="15"/>
        <v>1.119</v>
      </c>
      <c r="O193" s="79">
        <f t="shared" si="11"/>
        <v>1551.1578</v>
      </c>
      <c r="P193" s="79">
        <f t="shared" si="12"/>
        <v>2139.5279999999998</v>
      </c>
      <c r="Q193" s="79">
        <f t="shared" si="13"/>
        <v>2888.3627999999999</v>
      </c>
      <c r="R193" s="75" t="str">
        <f t="shared" si="14"/>
        <v>Rs./hr</v>
      </c>
    </row>
    <row r="194" spans="1:18" ht="15" customHeight="1" x14ac:dyDescent="0.3">
      <c r="A194" s="75">
        <v>182</v>
      </c>
      <c r="B194" s="75" t="s">
        <v>525</v>
      </c>
      <c r="C194" s="75" t="s">
        <v>108</v>
      </c>
      <c r="D194" s="76" t="s">
        <v>503</v>
      </c>
      <c r="E194" s="76" t="s">
        <v>124</v>
      </c>
      <c r="F194" s="75" t="s">
        <v>108</v>
      </c>
      <c r="G194" s="75" t="s">
        <v>111</v>
      </c>
      <c r="H194" s="75" t="s">
        <v>112</v>
      </c>
      <c r="I194" s="76" t="s">
        <v>521</v>
      </c>
      <c r="J194" s="75" t="s">
        <v>114</v>
      </c>
      <c r="K194" s="77">
        <v>11.5</v>
      </c>
      <c r="L194" s="77">
        <v>16</v>
      </c>
      <c r="M194" s="77">
        <v>21.6</v>
      </c>
      <c r="N194" s="78">
        <f>1</f>
        <v>1</v>
      </c>
      <c r="O194" s="79">
        <f t="shared" si="11"/>
        <v>5497</v>
      </c>
      <c r="P194" s="79">
        <f t="shared" si="12"/>
        <v>7648</v>
      </c>
      <c r="Q194" s="79">
        <f t="shared" si="13"/>
        <v>10324.800000000001</v>
      </c>
      <c r="R194" s="75" t="str">
        <f t="shared" si="14"/>
        <v>Rs./hr</v>
      </c>
    </row>
    <row r="195" spans="1:18" ht="15" customHeight="1" x14ac:dyDescent="0.3">
      <c r="A195" s="75">
        <v>183</v>
      </c>
      <c r="B195" s="75" t="s">
        <v>526</v>
      </c>
      <c r="C195" s="75" t="s">
        <v>108</v>
      </c>
      <c r="D195" s="76" t="s">
        <v>503</v>
      </c>
      <c r="E195" s="76" t="s">
        <v>527</v>
      </c>
      <c r="F195" s="75">
        <v>2010</v>
      </c>
      <c r="G195" s="75" t="s">
        <v>111</v>
      </c>
      <c r="H195" s="75" t="s">
        <v>112</v>
      </c>
      <c r="I195" s="76" t="s">
        <v>528</v>
      </c>
      <c r="J195" s="75" t="s">
        <v>114</v>
      </c>
      <c r="K195" s="77">
        <v>2.9</v>
      </c>
      <c r="L195" s="77">
        <v>4</v>
      </c>
      <c r="M195" s="77">
        <v>5.4</v>
      </c>
      <c r="N195" s="78">
        <f>1+MIN(MAX($D$8-F195,0),$D$10)*$D$9</f>
        <v>1.1120000000000001</v>
      </c>
      <c r="O195" s="79">
        <f t="shared" si="11"/>
        <v>1541.4544000000001</v>
      </c>
      <c r="P195" s="79">
        <f t="shared" si="12"/>
        <v>2126.1440000000002</v>
      </c>
      <c r="Q195" s="79">
        <f t="shared" si="13"/>
        <v>2870.2944000000007</v>
      </c>
      <c r="R195" s="75" t="str">
        <f t="shared" si="14"/>
        <v>Rs./hr</v>
      </c>
    </row>
    <row r="196" spans="1:18" ht="15" customHeight="1" x14ac:dyDescent="0.3">
      <c r="A196" s="75">
        <v>184</v>
      </c>
      <c r="B196" s="75" t="s">
        <v>529</v>
      </c>
      <c r="C196" s="75" t="s">
        <v>108</v>
      </c>
      <c r="D196" s="76" t="s">
        <v>503</v>
      </c>
      <c r="E196" s="76" t="s">
        <v>530</v>
      </c>
      <c r="F196" s="75">
        <v>2014</v>
      </c>
      <c r="G196" s="75" t="s">
        <v>111</v>
      </c>
      <c r="H196" s="75" t="s">
        <v>112</v>
      </c>
      <c r="I196" s="76" t="s">
        <v>531</v>
      </c>
      <c r="J196" s="75" t="s">
        <v>114</v>
      </c>
      <c r="K196" s="77">
        <v>2.9</v>
      </c>
      <c r="L196" s="77">
        <v>4</v>
      </c>
      <c r="M196" s="77">
        <v>5.4</v>
      </c>
      <c r="N196" s="78">
        <f>1+MIN(MAX($D$8-F196,0),$D$10)*$D$9</f>
        <v>1.0840000000000001</v>
      </c>
      <c r="O196" s="79">
        <f t="shared" si="11"/>
        <v>1502.6408000000001</v>
      </c>
      <c r="P196" s="79">
        <f t="shared" si="12"/>
        <v>2072.6080000000002</v>
      </c>
      <c r="Q196" s="79">
        <f t="shared" si="13"/>
        <v>2798.0208000000007</v>
      </c>
      <c r="R196" s="75" t="str">
        <f t="shared" si="14"/>
        <v>Rs./hr</v>
      </c>
    </row>
    <row r="197" spans="1:18" ht="15" customHeight="1" x14ac:dyDescent="0.3">
      <c r="A197" s="75">
        <v>185</v>
      </c>
      <c r="B197" s="75" t="s">
        <v>532</v>
      </c>
      <c r="C197" s="75" t="s">
        <v>108</v>
      </c>
      <c r="D197" s="76" t="s">
        <v>503</v>
      </c>
      <c r="E197" s="76" t="s">
        <v>533</v>
      </c>
      <c r="F197" s="75">
        <v>2013</v>
      </c>
      <c r="G197" s="75" t="s">
        <v>111</v>
      </c>
      <c r="H197" s="75" t="s">
        <v>112</v>
      </c>
      <c r="I197" s="76" t="s">
        <v>534</v>
      </c>
      <c r="J197" s="75" t="s">
        <v>114</v>
      </c>
      <c r="K197" s="77">
        <v>2.9</v>
      </c>
      <c r="L197" s="77">
        <v>4</v>
      </c>
      <c r="M197" s="77">
        <v>5.4</v>
      </c>
      <c r="N197" s="78">
        <f>1+MIN(MAX($D$8-F197,0),$D$10)*$D$9</f>
        <v>1.091</v>
      </c>
      <c r="O197" s="79">
        <f t="shared" si="11"/>
        <v>1512.3442</v>
      </c>
      <c r="P197" s="79">
        <f t="shared" si="12"/>
        <v>2085.9919999999997</v>
      </c>
      <c r="Q197" s="79">
        <f t="shared" si="13"/>
        <v>2816.0891999999999</v>
      </c>
      <c r="R197" s="75" t="str">
        <f t="shared" si="14"/>
        <v>Rs./hr</v>
      </c>
    </row>
    <row r="198" spans="1:18" ht="15" customHeight="1" x14ac:dyDescent="0.3">
      <c r="A198" s="75">
        <v>186</v>
      </c>
      <c r="B198" s="75" t="s">
        <v>535</v>
      </c>
      <c r="C198" s="75" t="s">
        <v>108</v>
      </c>
      <c r="D198" s="76" t="s">
        <v>503</v>
      </c>
      <c r="E198" s="76" t="s">
        <v>536</v>
      </c>
      <c r="F198" s="75" t="s">
        <v>108</v>
      </c>
      <c r="G198" s="75" t="s">
        <v>111</v>
      </c>
      <c r="H198" s="75" t="s">
        <v>112</v>
      </c>
      <c r="I198" s="76" t="s">
        <v>537</v>
      </c>
      <c r="J198" s="75" t="s">
        <v>114</v>
      </c>
      <c r="K198" s="77">
        <v>11.5</v>
      </c>
      <c r="L198" s="77">
        <v>16</v>
      </c>
      <c r="M198" s="77">
        <v>21.6</v>
      </c>
      <c r="N198" s="78">
        <f>1</f>
        <v>1</v>
      </c>
      <c r="O198" s="79">
        <f t="shared" si="11"/>
        <v>5497</v>
      </c>
      <c r="P198" s="79">
        <f t="shared" si="12"/>
        <v>7648</v>
      </c>
      <c r="Q198" s="79">
        <f t="shared" si="13"/>
        <v>10324.800000000001</v>
      </c>
      <c r="R198" s="75" t="str">
        <f t="shared" si="14"/>
        <v>Rs./hr</v>
      </c>
    </row>
    <row r="199" spans="1:18" ht="15" customHeight="1" x14ac:dyDescent="0.3">
      <c r="A199" s="75">
        <v>187</v>
      </c>
      <c r="B199" s="75" t="s">
        <v>538</v>
      </c>
      <c r="C199" s="75" t="s">
        <v>108</v>
      </c>
      <c r="D199" s="76" t="s">
        <v>503</v>
      </c>
      <c r="E199" s="76" t="s">
        <v>539</v>
      </c>
      <c r="F199" s="75">
        <v>2014</v>
      </c>
      <c r="G199" s="75" t="s">
        <v>111</v>
      </c>
      <c r="H199" s="75" t="s">
        <v>112</v>
      </c>
      <c r="I199" s="76" t="s">
        <v>540</v>
      </c>
      <c r="J199" s="75" t="s">
        <v>114</v>
      </c>
      <c r="K199" s="77">
        <v>4.7</v>
      </c>
      <c r="L199" s="77">
        <v>6.5</v>
      </c>
      <c r="M199" s="77">
        <v>8.8000000000000007</v>
      </c>
      <c r="N199" s="78">
        <f t="shared" ref="N199:N206" si="16">1+MIN(MAX($D$8-F199,0),$D$10)*$D$9</f>
        <v>1.0840000000000001</v>
      </c>
      <c r="O199" s="79">
        <f t="shared" si="11"/>
        <v>2435.3144000000002</v>
      </c>
      <c r="P199" s="79">
        <f t="shared" si="12"/>
        <v>3367.9880000000003</v>
      </c>
      <c r="Q199" s="79">
        <f t="shared" si="13"/>
        <v>4559.7376000000004</v>
      </c>
      <c r="R199" s="75" t="str">
        <f t="shared" si="14"/>
        <v>Rs./hr</v>
      </c>
    </row>
    <row r="200" spans="1:18" ht="15" customHeight="1" x14ac:dyDescent="0.3">
      <c r="A200" s="75">
        <v>188</v>
      </c>
      <c r="B200" s="75" t="s">
        <v>43</v>
      </c>
      <c r="C200" s="75" t="s">
        <v>108</v>
      </c>
      <c r="D200" s="76" t="s">
        <v>503</v>
      </c>
      <c r="E200" s="76" t="s">
        <v>541</v>
      </c>
      <c r="F200" s="75">
        <v>2009</v>
      </c>
      <c r="G200" s="75" t="s">
        <v>111</v>
      </c>
      <c r="H200" s="75" t="s">
        <v>112</v>
      </c>
      <c r="I200" s="76" t="s">
        <v>542</v>
      </c>
      <c r="J200" s="75" t="s">
        <v>114</v>
      </c>
      <c r="K200" s="77">
        <v>7.2</v>
      </c>
      <c r="L200" s="77">
        <v>10</v>
      </c>
      <c r="M200" s="77">
        <v>13.5</v>
      </c>
      <c r="N200" s="78">
        <f t="shared" si="16"/>
        <v>1.119</v>
      </c>
      <c r="O200" s="79">
        <f t="shared" si="11"/>
        <v>3851.1504000000004</v>
      </c>
      <c r="P200" s="79">
        <f t="shared" si="12"/>
        <v>5348.82</v>
      </c>
      <c r="Q200" s="79">
        <f t="shared" si="13"/>
        <v>7220.9070000000002</v>
      </c>
      <c r="R200" s="75" t="str">
        <f t="shared" si="14"/>
        <v>Rs./hr</v>
      </c>
    </row>
    <row r="201" spans="1:18" ht="15" customHeight="1" x14ac:dyDescent="0.3">
      <c r="A201" s="75">
        <v>189</v>
      </c>
      <c r="B201" s="75" t="s">
        <v>543</v>
      </c>
      <c r="C201" s="75" t="s">
        <v>108</v>
      </c>
      <c r="D201" s="76" t="s">
        <v>503</v>
      </c>
      <c r="E201" s="76" t="s">
        <v>544</v>
      </c>
      <c r="F201" s="75">
        <v>2009</v>
      </c>
      <c r="G201" s="75" t="s">
        <v>111</v>
      </c>
      <c r="H201" s="75" t="s">
        <v>112</v>
      </c>
      <c r="I201" s="76" t="s">
        <v>534</v>
      </c>
      <c r="J201" s="75" t="s">
        <v>114</v>
      </c>
      <c r="K201" s="77">
        <v>2.9</v>
      </c>
      <c r="L201" s="77">
        <v>4</v>
      </c>
      <c r="M201" s="77">
        <v>5.4</v>
      </c>
      <c r="N201" s="78">
        <f t="shared" si="16"/>
        <v>1.119</v>
      </c>
      <c r="O201" s="79">
        <f t="shared" si="11"/>
        <v>1551.1578</v>
      </c>
      <c r="P201" s="79">
        <f t="shared" si="12"/>
        <v>2139.5279999999998</v>
      </c>
      <c r="Q201" s="79">
        <f t="shared" si="13"/>
        <v>2888.3627999999999</v>
      </c>
      <c r="R201" s="75" t="str">
        <f t="shared" si="14"/>
        <v>Rs./hr</v>
      </c>
    </row>
    <row r="202" spans="1:18" ht="15" customHeight="1" x14ac:dyDescent="0.3">
      <c r="A202" s="75">
        <v>190</v>
      </c>
      <c r="B202" s="75" t="s">
        <v>545</v>
      </c>
      <c r="C202" s="75" t="s">
        <v>108</v>
      </c>
      <c r="D202" s="76" t="s">
        <v>503</v>
      </c>
      <c r="E202" s="76" t="s">
        <v>546</v>
      </c>
      <c r="F202" s="75">
        <v>2012</v>
      </c>
      <c r="G202" s="75" t="s">
        <v>111</v>
      </c>
      <c r="H202" s="75" t="s">
        <v>112</v>
      </c>
      <c r="I202" s="76" t="s">
        <v>547</v>
      </c>
      <c r="J202" s="75" t="s">
        <v>114</v>
      </c>
      <c r="K202" s="77">
        <v>7.2</v>
      </c>
      <c r="L202" s="77">
        <v>10</v>
      </c>
      <c r="M202" s="77">
        <v>13.5</v>
      </c>
      <c r="N202" s="78">
        <f t="shared" si="16"/>
        <v>1.0980000000000001</v>
      </c>
      <c r="O202" s="79">
        <f t="shared" si="11"/>
        <v>3778.8768000000005</v>
      </c>
      <c r="P202" s="79">
        <f t="shared" si="12"/>
        <v>5248.4400000000005</v>
      </c>
      <c r="Q202" s="79">
        <f t="shared" si="13"/>
        <v>7085.3940000000002</v>
      </c>
      <c r="R202" s="75" t="str">
        <f t="shared" si="14"/>
        <v>Rs./hr</v>
      </c>
    </row>
    <row r="203" spans="1:18" ht="15" customHeight="1" x14ac:dyDescent="0.3">
      <c r="A203" s="75">
        <v>191</v>
      </c>
      <c r="B203" s="75" t="s">
        <v>548</v>
      </c>
      <c r="C203" s="75" t="s">
        <v>108</v>
      </c>
      <c r="D203" s="76" t="s">
        <v>503</v>
      </c>
      <c r="E203" s="76" t="s">
        <v>549</v>
      </c>
      <c r="F203" s="75">
        <v>2014</v>
      </c>
      <c r="G203" s="75" t="s">
        <v>111</v>
      </c>
      <c r="H203" s="75" t="s">
        <v>112</v>
      </c>
      <c r="I203" s="76" t="s">
        <v>550</v>
      </c>
      <c r="J203" s="75" t="s">
        <v>114</v>
      </c>
      <c r="K203" s="77">
        <v>7.2</v>
      </c>
      <c r="L203" s="77">
        <v>10</v>
      </c>
      <c r="M203" s="77">
        <v>13.5</v>
      </c>
      <c r="N203" s="78">
        <f t="shared" si="16"/>
        <v>1.0840000000000001</v>
      </c>
      <c r="O203" s="79">
        <f t="shared" si="11"/>
        <v>3730.6944000000003</v>
      </c>
      <c r="P203" s="79">
        <f t="shared" si="12"/>
        <v>5181.5199999999995</v>
      </c>
      <c r="Q203" s="79">
        <f t="shared" si="13"/>
        <v>6995.0520000000006</v>
      </c>
      <c r="R203" s="75" t="str">
        <f t="shared" si="14"/>
        <v>Rs./hr</v>
      </c>
    </row>
    <row r="204" spans="1:18" ht="15" customHeight="1" x14ac:dyDescent="0.3">
      <c r="A204" s="75">
        <v>192</v>
      </c>
      <c r="B204" s="75" t="s">
        <v>551</v>
      </c>
      <c r="C204" s="75" t="s">
        <v>108</v>
      </c>
      <c r="D204" s="76" t="s">
        <v>503</v>
      </c>
      <c r="E204" s="76" t="s">
        <v>552</v>
      </c>
      <c r="F204" s="75">
        <v>2015</v>
      </c>
      <c r="G204" s="75" t="s">
        <v>111</v>
      </c>
      <c r="H204" s="75" t="s">
        <v>112</v>
      </c>
      <c r="I204" s="76" t="s">
        <v>553</v>
      </c>
      <c r="J204" s="75" t="s">
        <v>114</v>
      </c>
      <c r="K204" s="77">
        <v>11.5</v>
      </c>
      <c r="L204" s="77">
        <v>16</v>
      </c>
      <c r="M204" s="77">
        <v>21.6</v>
      </c>
      <c r="N204" s="78">
        <f t="shared" si="16"/>
        <v>1.077</v>
      </c>
      <c r="O204" s="79">
        <f t="shared" si="11"/>
        <v>5920.2690000000002</v>
      </c>
      <c r="P204" s="79">
        <f t="shared" si="12"/>
        <v>8236.8959999999988</v>
      </c>
      <c r="Q204" s="79">
        <f t="shared" si="13"/>
        <v>11119.809600000001</v>
      </c>
      <c r="R204" s="75" t="str">
        <f t="shared" si="14"/>
        <v>Rs./hr</v>
      </c>
    </row>
    <row r="205" spans="1:18" ht="15" customHeight="1" x14ac:dyDescent="0.3">
      <c r="A205" s="75">
        <v>193</v>
      </c>
      <c r="B205" s="75" t="s">
        <v>554</v>
      </c>
      <c r="C205" s="75" t="s">
        <v>108</v>
      </c>
      <c r="D205" s="76" t="s">
        <v>503</v>
      </c>
      <c r="E205" s="76" t="s">
        <v>555</v>
      </c>
      <c r="F205" s="75">
        <v>2012</v>
      </c>
      <c r="G205" s="75" t="s">
        <v>111</v>
      </c>
      <c r="H205" s="75" t="s">
        <v>112</v>
      </c>
      <c r="I205" s="76" t="s">
        <v>534</v>
      </c>
      <c r="J205" s="75" t="s">
        <v>114</v>
      </c>
      <c r="K205" s="77">
        <v>2.9</v>
      </c>
      <c r="L205" s="77">
        <v>4</v>
      </c>
      <c r="M205" s="77">
        <v>5.4</v>
      </c>
      <c r="N205" s="78">
        <f t="shared" si="16"/>
        <v>1.0980000000000001</v>
      </c>
      <c r="O205" s="79">
        <f t="shared" ref="O205:O268" si="17">IF(H205="None",0,IF(H205="KM",IF(G205="Petrol",$D$6,$D$5)*N205/K205,K205*N205*IF(G205="Petrol",$D$6,$D$5)))</f>
        <v>1522.0476000000001</v>
      </c>
      <c r="P205" s="79">
        <f t="shared" ref="P205:P268" si="18">IF(H205="None",0,IF(H205="KM",IF(G205="Petrol",$D$6,$D$5)*N205/L205,L205*N205*IF(G205="Petrol",$D$6,$D$5)))</f>
        <v>2099.3760000000002</v>
      </c>
      <c r="Q205" s="79">
        <f t="shared" ref="Q205:Q268" si="19">IF(H205="None",0,IF(H205="KM",IF(G205="Petrol",$D$6,$D$5)*N205/M205,M205*N205*IF(G205="Petrol",$D$6,$D$5)))</f>
        <v>2834.1576000000005</v>
      </c>
      <c r="R205" s="75" t="str">
        <f t="shared" ref="R205:R268" si="20">IF(H205="None","—",IF(H205="KM","Rs./km","Rs./hr"))</f>
        <v>Rs./hr</v>
      </c>
    </row>
    <row r="206" spans="1:18" ht="15" customHeight="1" x14ac:dyDescent="0.3">
      <c r="A206" s="75">
        <v>194</v>
      </c>
      <c r="B206" s="75" t="s">
        <v>556</v>
      </c>
      <c r="C206" s="75" t="s">
        <v>557</v>
      </c>
      <c r="D206" s="76" t="s">
        <v>503</v>
      </c>
      <c r="E206" s="76" t="s">
        <v>558</v>
      </c>
      <c r="F206" s="75">
        <v>2017</v>
      </c>
      <c r="G206" s="75" t="s">
        <v>111</v>
      </c>
      <c r="H206" s="75" t="s">
        <v>112</v>
      </c>
      <c r="I206" s="76" t="s">
        <v>559</v>
      </c>
      <c r="J206" s="75" t="s">
        <v>114</v>
      </c>
      <c r="K206" s="77">
        <v>11.5</v>
      </c>
      <c r="L206" s="77">
        <v>16</v>
      </c>
      <c r="M206" s="77">
        <v>21.6</v>
      </c>
      <c r="N206" s="78">
        <f t="shared" si="16"/>
        <v>1.0629999999999999</v>
      </c>
      <c r="O206" s="79">
        <f t="shared" si="17"/>
        <v>5843.3109999999997</v>
      </c>
      <c r="P206" s="79">
        <f t="shared" si="18"/>
        <v>8129.8239999999996</v>
      </c>
      <c r="Q206" s="79">
        <f t="shared" si="19"/>
        <v>10975.2624</v>
      </c>
      <c r="R206" s="75" t="str">
        <f t="shared" si="20"/>
        <v>Rs./hr</v>
      </c>
    </row>
    <row r="207" spans="1:18" ht="15" customHeight="1" x14ac:dyDescent="0.3">
      <c r="A207" s="75">
        <v>195</v>
      </c>
      <c r="B207" s="75" t="s">
        <v>560</v>
      </c>
      <c r="C207" s="75" t="s">
        <v>108</v>
      </c>
      <c r="D207" s="76" t="s">
        <v>503</v>
      </c>
      <c r="E207" s="76" t="s">
        <v>561</v>
      </c>
      <c r="F207" s="75" t="s">
        <v>108</v>
      </c>
      <c r="G207" s="75" t="s">
        <v>111</v>
      </c>
      <c r="H207" s="75" t="s">
        <v>112</v>
      </c>
      <c r="I207" s="76" t="s">
        <v>562</v>
      </c>
      <c r="J207" s="75" t="s">
        <v>114</v>
      </c>
      <c r="K207" s="77">
        <v>15.8</v>
      </c>
      <c r="L207" s="77">
        <v>22</v>
      </c>
      <c r="M207" s="77">
        <v>29.7</v>
      </c>
      <c r="N207" s="78">
        <f>1</f>
        <v>1</v>
      </c>
      <c r="O207" s="79">
        <f t="shared" si="17"/>
        <v>7552.4000000000005</v>
      </c>
      <c r="P207" s="79">
        <f t="shared" si="18"/>
        <v>10516</v>
      </c>
      <c r="Q207" s="79">
        <f t="shared" si="19"/>
        <v>14196.6</v>
      </c>
      <c r="R207" s="75" t="str">
        <f t="shared" si="20"/>
        <v>Rs./hr</v>
      </c>
    </row>
    <row r="208" spans="1:18" ht="15" customHeight="1" x14ac:dyDescent="0.3">
      <c r="A208" s="75">
        <v>196</v>
      </c>
      <c r="B208" s="75" t="s">
        <v>563</v>
      </c>
      <c r="C208" s="75" t="s">
        <v>108</v>
      </c>
      <c r="D208" s="76" t="s">
        <v>503</v>
      </c>
      <c r="E208" s="76" t="s">
        <v>564</v>
      </c>
      <c r="F208" s="75" t="s">
        <v>108</v>
      </c>
      <c r="G208" s="75" t="s">
        <v>111</v>
      </c>
      <c r="H208" s="75" t="s">
        <v>112</v>
      </c>
      <c r="I208" s="76" t="s">
        <v>565</v>
      </c>
      <c r="J208" s="75" t="s">
        <v>114</v>
      </c>
      <c r="K208" s="77">
        <v>2.9</v>
      </c>
      <c r="L208" s="77">
        <v>4</v>
      </c>
      <c r="M208" s="77">
        <v>5.4</v>
      </c>
      <c r="N208" s="78">
        <f>1</f>
        <v>1</v>
      </c>
      <c r="O208" s="79">
        <f t="shared" si="17"/>
        <v>1386.2</v>
      </c>
      <c r="P208" s="79">
        <f t="shared" si="18"/>
        <v>1912</v>
      </c>
      <c r="Q208" s="79">
        <f t="shared" si="19"/>
        <v>2581.2000000000003</v>
      </c>
      <c r="R208" s="75" t="str">
        <f t="shared" si="20"/>
        <v>Rs./hr</v>
      </c>
    </row>
    <row r="209" spans="1:18" ht="15" customHeight="1" x14ac:dyDescent="0.3">
      <c r="A209" s="75">
        <v>197</v>
      </c>
      <c r="B209" s="75" t="s">
        <v>566</v>
      </c>
      <c r="C209" s="75" t="s">
        <v>108</v>
      </c>
      <c r="D209" s="76" t="s">
        <v>503</v>
      </c>
      <c r="E209" s="76" t="s">
        <v>567</v>
      </c>
      <c r="F209" s="75">
        <v>2012</v>
      </c>
      <c r="G209" s="75" t="s">
        <v>111</v>
      </c>
      <c r="H209" s="75" t="s">
        <v>112</v>
      </c>
      <c r="I209" s="76" t="s">
        <v>515</v>
      </c>
      <c r="J209" s="75" t="s">
        <v>114</v>
      </c>
      <c r="K209" s="77">
        <v>2.9</v>
      </c>
      <c r="L209" s="77">
        <v>4</v>
      </c>
      <c r="M209" s="77">
        <v>5.4</v>
      </c>
      <c r="N209" s="78">
        <f t="shared" ref="N209:N216" si="21">1+MIN(MAX($D$8-F209,0),$D$10)*$D$9</f>
        <v>1.0980000000000001</v>
      </c>
      <c r="O209" s="79">
        <f t="shared" si="17"/>
        <v>1522.0476000000001</v>
      </c>
      <c r="P209" s="79">
        <f t="shared" si="18"/>
        <v>2099.3760000000002</v>
      </c>
      <c r="Q209" s="79">
        <f t="shared" si="19"/>
        <v>2834.1576000000005</v>
      </c>
      <c r="R209" s="75" t="str">
        <f t="shared" si="20"/>
        <v>Rs./hr</v>
      </c>
    </row>
    <row r="210" spans="1:18" ht="15" customHeight="1" x14ac:dyDescent="0.3">
      <c r="A210" s="75">
        <v>198</v>
      </c>
      <c r="B210" s="75" t="s">
        <v>568</v>
      </c>
      <c r="C210" s="75" t="s">
        <v>108</v>
      </c>
      <c r="D210" s="76" t="s">
        <v>503</v>
      </c>
      <c r="E210" s="76" t="s">
        <v>569</v>
      </c>
      <c r="F210" s="75">
        <v>2013</v>
      </c>
      <c r="G210" s="75" t="s">
        <v>111</v>
      </c>
      <c r="H210" s="75" t="s">
        <v>112</v>
      </c>
      <c r="I210" s="76" t="s">
        <v>570</v>
      </c>
      <c r="J210" s="75" t="s">
        <v>114</v>
      </c>
      <c r="K210" s="77">
        <v>4.7</v>
      </c>
      <c r="L210" s="77">
        <v>6.5</v>
      </c>
      <c r="M210" s="77">
        <v>8.8000000000000007</v>
      </c>
      <c r="N210" s="78">
        <f t="shared" si="21"/>
        <v>1.091</v>
      </c>
      <c r="O210" s="79">
        <f t="shared" si="17"/>
        <v>2451.0405999999998</v>
      </c>
      <c r="P210" s="79">
        <f t="shared" si="18"/>
        <v>3389.7370000000001</v>
      </c>
      <c r="Q210" s="79">
        <f t="shared" si="19"/>
        <v>4589.1824000000006</v>
      </c>
      <c r="R210" s="75" t="str">
        <f t="shared" si="20"/>
        <v>Rs./hr</v>
      </c>
    </row>
    <row r="211" spans="1:18" ht="15" customHeight="1" x14ac:dyDescent="0.3">
      <c r="A211" s="75">
        <v>199</v>
      </c>
      <c r="B211" s="75" t="s">
        <v>571</v>
      </c>
      <c r="C211" s="75" t="s">
        <v>108</v>
      </c>
      <c r="D211" s="76" t="s">
        <v>503</v>
      </c>
      <c r="E211" s="76" t="s">
        <v>572</v>
      </c>
      <c r="F211" s="75">
        <v>2014</v>
      </c>
      <c r="G211" s="75" t="s">
        <v>111</v>
      </c>
      <c r="H211" s="75" t="s">
        <v>112</v>
      </c>
      <c r="I211" s="76" t="s">
        <v>531</v>
      </c>
      <c r="J211" s="75" t="s">
        <v>114</v>
      </c>
      <c r="K211" s="77">
        <v>2.9</v>
      </c>
      <c r="L211" s="77">
        <v>4</v>
      </c>
      <c r="M211" s="77">
        <v>5.4</v>
      </c>
      <c r="N211" s="78">
        <f t="shared" si="21"/>
        <v>1.0840000000000001</v>
      </c>
      <c r="O211" s="79">
        <f t="shared" si="17"/>
        <v>1502.6408000000001</v>
      </c>
      <c r="P211" s="79">
        <f t="shared" si="18"/>
        <v>2072.6080000000002</v>
      </c>
      <c r="Q211" s="79">
        <f t="shared" si="19"/>
        <v>2798.0208000000007</v>
      </c>
      <c r="R211" s="75" t="str">
        <f t="shared" si="20"/>
        <v>Rs./hr</v>
      </c>
    </row>
    <row r="212" spans="1:18" ht="15" customHeight="1" x14ac:dyDescent="0.3">
      <c r="A212" s="75">
        <v>200</v>
      </c>
      <c r="B212" s="75" t="s">
        <v>573</v>
      </c>
      <c r="C212" s="75" t="s">
        <v>557</v>
      </c>
      <c r="D212" s="76" t="s">
        <v>503</v>
      </c>
      <c r="E212" s="76" t="s">
        <v>558</v>
      </c>
      <c r="F212" s="75">
        <v>2017</v>
      </c>
      <c r="G212" s="75" t="s">
        <v>111</v>
      </c>
      <c r="H212" s="75" t="s">
        <v>112</v>
      </c>
      <c r="I212" s="76" t="s">
        <v>559</v>
      </c>
      <c r="J212" s="75" t="s">
        <v>114</v>
      </c>
      <c r="K212" s="77">
        <v>11.5</v>
      </c>
      <c r="L212" s="77">
        <v>16</v>
      </c>
      <c r="M212" s="77">
        <v>21.6</v>
      </c>
      <c r="N212" s="78">
        <f t="shared" si="21"/>
        <v>1.0629999999999999</v>
      </c>
      <c r="O212" s="79">
        <f t="shared" si="17"/>
        <v>5843.3109999999997</v>
      </c>
      <c r="P212" s="79">
        <f t="shared" si="18"/>
        <v>8129.8239999999996</v>
      </c>
      <c r="Q212" s="79">
        <f t="shared" si="19"/>
        <v>10975.2624</v>
      </c>
      <c r="R212" s="75" t="str">
        <f t="shared" si="20"/>
        <v>Rs./hr</v>
      </c>
    </row>
    <row r="213" spans="1:18" ht="15" customHeight="1" x14ac:dyDescent="0.3">
      <c r="A213" s="75">
        <v>201</v>
      </c>
      <c r="B213" s="75" t="s">
        <v>574</v>
      </c>
      <c r="C213" s="75" t="s">
        <v>557</v>
      </c>
      <c r="D213" s="76" t="s">
        <v>503</v>
      </c>
      <c r="E213" s="76" t="s">
        <v>558</v>
      </c>
      <c r="F213" s="75">
        <v>2017</v>
      </c>
      <c r="G213" s="75" t="s">
        <v>111</v>
      </c>
      <c r="H213" s="75" t="s">
        <v>112</v>
      </c>
      <c r="I213" s="76" t="s">
        <v>559</v>
      </c>
      <c r="J213" s="75" t="s">
        <v>114</v>
      </c>
      <c r="K213" s="77">
        <v>11.5</v>
      </c>
      <c r="L213" s="77">
        <v>16</v>
      </c>
      <c r="M213" s="77">
        <v>21.6</v>
      </c>
      <c r="N213" s="78">
        <f t="shared" si="21"/>
        <v>1.0629999999999999</v>
      </c>
      <c r="O213" s="79">
        <f t="shared" si="17"/>
        <v>5843.3109999999997</v>
      </c>
      <c r="P213" s="79">
        <f t="shared" si="18"/>
        <v>8129.8239999999996</v>
      </c>
      <c r="Q213" s="79">
        <f t="shared" si="19"/>
        <v>10975.2624</v>
      </c>
      <c r="R213" s="75" t="str">
        <f t="shared" si="20"/>
        <v>Rs./hr</v>
      </c>
    </row>
    <row r="214" spans="1:18" ht="15" customHeight="1" x14ac:dyDescent="0.3">
      <c r="A214" s="75">
        <v>202</v>
      </c>
      <c r="B214" s="75" t="s">
        <v>575</v>
      </c>
      <c r="C214" s="75" t="s">
        <v>108</v>
      </c>
      <c r="D214" s="76" t="s">
        <v>503</v>
      </c>
      <c r="E214" s="76" t="s">
        <v>576</v>
      </c>
      <c r="F214" s="75">
        <v>2017</v>
      </c>
      <c r="G214" s="75" t="s">
        <v>111</v>
      </c>
      <c r="H214" s="75" t="s">
        <v>112</v>
      </c>
      <c r="I214" s="76" t="s">
        <v>537</v>
      </c>
      <c r="J214" s="75" t="s">
        <v>114</v>
      </c>
      <c r="K214" s="77">
        <v>11.5</v>
      </c>
      <c r="L214" s="77">
        <v>16</v>
      </c>
      <c r="M214" s="77">
        <v>21.6</v>
      </c>
      <c r="N214" s="78">
        <f t="shared" si="21"/>
        <v>1.0629999999999999</v>
      </c>
      <c r="O214" s="79">
        <f t="shared" si="17"/>
        <v>5843.3109999999997</v>
      </c>
      <c r="P214" s="79">
        <f t="shared" si="18"/>
        <v>8129.8239999999996</v>
      </c>
      <c r="Q214" s="79">
        <f t="shared" si="19"/>
        <v>10975.2624</v>
      </c>
      <c r="R214" s="75" t="str">
        <f t="shared" si="20"/>
        <v>Rs./hr</v>
      </c>
    </row>
    <row r="215" spans="1:18" ht="15" customHeight="1" x14ac:dyDescent="0.3">
      <c r="A215" s="75">
        <v>203</v>
      </c>
      <c r="B215" s="75" t="s">
        <v>577</v>
      </c>
      <c r="C215" s="75" t="s">
        <v>557</v>
      </c>
      <c r="D215" s="76" t="s">
        <v>503</v>
      </c>
      <c r="E215" s="76" t="s">
        <v>558</v>
      </c>
      <c r="F215" s="75">
        <v>2017</v>
      </c>
      <c r="G215" s="75" t="s">
        <v>111</v>
      </c>
      <c r="H215" s="75" t="s">
        <v>112</v>
      </c>
      <c r="I215" s="76" t="s">
        <v>559</v>
      </c>
      <c r="J215" s="75" t="s">
        <v>114</v>
      </c>
      <c r="K215" s="77">
        <v>11.5</v>
      </c>
      <c r="L215" s="77">
        <v>16</v>
      </c>
      <c r="M215" s="77">
        <v>21.6</v>
      </c>
      <c r="N215" s="78">
        <f t="shared" si="21"/>
        <v>1.0629999999999999</v>
      </c>
      <c r="O215" s="79">
        <f t="shared" si="17"/>
        <v>5843.3109999999997</v>
      </c>
      <c r="P215" s="79">
        <f t="shared" si="18"/>
        <v>8129.8239999999996</v>
      </c>
      <c r="Q215" s="79">
        <f t="shared" si="19"/>
        <v>10975.2624</v>
      </c>
      <c r="R215" s="75" t="str">
        <f t="shared" si="20"/>
        <v>Rs./hr</v>
      </c>
    </row>
    <row r="216" spans="1:18" ht="15" customHeight="1" x14ac:dyDescent="0.3">
      <c r="A216" s="75">
        <v>204</v>
      </c>
      <c r="B216" s="75" t="s">
        <v>578</v>
      </c>
      <c r="C216" s="75" t="s">
        <v>108</v>
      </c>
      <c r="D216" s="76" t="s">
        <v>503</v>
      </c>
      <c r="E216" s="76" t="s">
        <v>564</v>
      </c>
      <c r="F216" s="75">
        <v>2018</v>
      </c>
      <c r="G216" s="75" t="s">
        <v>111</v>
      </c>
      <c r="H216" s="75" t="s">
        <v>112</v>
      </c>
      <c r="I216" s="76" t="s">
        <v>565</v>
      </c>
      <c r="J216" s="75" t="s">
        <v>114</v>
      </c>
      <c r="K216" s="77">
        <v>2.9</v>
      </c>
      <c r="L216" s="77">
        <v>4</v>
      </c>
      <c r="M216" s="77">
        <v>5.4</v>
      </c>
      <c r="N216" s="78">
        <f t="shared" si="21"/>
        <v>1.056</v>
      </c>
      <c r="O216" s="79">
        <f t="shared" si="17"/>
        <v>1463.8272000000002</v>
      </c>
      <c r="P216" s="79">
        <f t="shared" si="18"/>
        <v>2019.0720000000001</v>
      </c>
      <c r="Q216" s="79">
        <f t="shared" si="19"/>
        <v>2725.7472000000002</v>
      </c>
      <c r="R216" s="75" t="str">
        <f t="shared" si="20"/>
        <v>Rs./hr</v>
      </c>
    </row>
    <row r="217" spans="1:18" ht="15" customHeight="1" x14ac:dyDescent="0.3">
      <c r="A217" s="75">
        <v>205</v>
      </c>
      <c r="B217" s="75" t="s">
        <v>579</v>
      </c>
      <c r="C217" s="75" t="s">
        <v>108</v>
      </c>
      <c r="D217" s="76" t="s">
        <v>503</v>
      </c>
      <c r="E217" s="76" t="s">
        <v>580</v>
      </c>
      <c r="F217" s="75" t="s">
        <v>108</v>
      </c>
      <c r="G217" s="75" t="s">
        <v>111</v>
      </c>
      <c r="H217" s="75" t="s">
        <v>112</v>
      </c>
      <c r="I217" s="76" t="s">
        <v>562</v>
      </c>
      <c r="J217" s="75" t="s">
        <v>114</v>
      </c>
      <c r="K217" s="77">
        <v>15.8</v>
      </c>
      <c r="L217" s="77">
        <v>22</v>
      </c>
      <c r="M217" s="77">
        <v>29.7</v>
      </c>
      <c r="N217" s="78">
        <f>1</f>
        <v>1</v>
      </c>
      <c r="O217" s="79">
        <f t="shared" si="17"/>
        <v>7552.4000000000005</v>
      </c>
      <c r="P217" s="79">
        <f t="shared" si="18"/>
        <v>10516</v>
      </c>
      <c r="Q217" s="79">
        <f t="shared" si="19"/>
        <v>14196.6</v>
      </c>
      <c r="R217" s="75" t="str">
        <f t="shared" si="20"/>
        <v>Rs./hr</v>
      </c>
    </row>
    <row r="218" spans="1:18" ht="15" customHeight="1" x14ac:dyDescent="0.3">
      <c r="A218" s="75">
        <v>206</v>
      </c>
      <c r="B218" s="75" t="s">
        <v>581</v>
      </c>
      <c r="C218" s="75" t="s">
        <v>557</v>
      </c>
      <c r="D218" s="76" t="s">
        <v>503</v>
      </c>
      <c r="E218" s="76" t="s">
        <v>558</v>
      </c>
      <c r="F218" s="75">
        <v>2017</v>
      </c>
      <c r="G218" s="75" t="s">
        <v>111</v>
      </c>
      <c r="H218" s="75" t="s">
        <v>112</v>
      </c>
      <c r="I218" s="76" t="s">
        <v>559</v>
      </c>
      <c r="J218" s="75" t="s">
        <v>114</v>
      </c>
      <c r="K218" s="77">
        <v>11.5</v>
      </c>
      <c r="L218" s="77">
        <v>16</v>
      </c>
      <c r="M218" s="77">
        <v>21.6</v>
      </c>
      <c r="N218" s="78">
        <f>1+MIN(MAX($D$8-F218,0),$D$10)*$D$9</f>
        <v>1.0629999999999999</v>
      </c>
      <c r="O218" s="79">
        <f t="shared" si="17"/>
        <v>5843.3109999999997</v>
      </c>
      <c r="P218" s="79">
        <f t="shared" si="18"/>
        <v>8129.8239999999996</v>
      </c>
      <c r="Q218" s="79">
        <f t="shared" si="19"/>
        <v>10975.2624</v>
      </c>
      <c r="R218" s="75" t="str">
        <f t="shared" si="20"/>
        <v>Rs./hr</v>
      </c>
    </row>
    <row r="219" spans="1:18" ht="15" customHeight="1" x14ac:dyDescent="0.3">
      <c r="A219" s="75">
        <v>207</v>
      </c>
      <c r="B219" s="75" t="s">
        <v>582</v>
      </c>
      <c r="C219" s="75" t="s">
        <v>108</v>
      </c>
      <c r="D219" s="76" t="s">
        <v>503</v>
      </c>
      <c r="E219" s="76" t="s">
        <v>576</v>
      </c>
      <c r="F219" s="75">
        <v>2017</v>
      </c>
      <c r="G219" s="75" t="s">
        <v>111</v>
      </c>
      <c r="H219" s="75" t="s">
        <v>112</v>
      </c>
      <c r="I219" s="76" t="s">
        <v>537</v>
      </c>
      <c r="J219" s="75" t="s">
        <v>114</v>
      </c>
      <c r="K219" s="77">
        <v>11.5</v>
      </c>
      <c r="L219" s="77">
        <v>16</v>
      </c>
      <c r="M219" s="77">
        <v>21.6</v>
      </c>
      <c r="N219" s="78">
        <f>1+MIN(MAX($D$8-F219,0),$D$10)*$D$9</f>
        <v>1.0629999999999999</v>
      </c>
      <c r="O219" s="79">
        <f t="shared" si="17"/>
        <v>5843.3109999999997</v>
      </c>
      <c r="P219" s="79">
        <f t="shared" si="18"/>
        <v>8129.8239999999996</v>
      </c>
      <c r="Q219" s="79">
        <f t="shared" si="19"/>
        <v>10975.2624</v>
      </c>
      <c r="R219" s="75" t="str">
        <f t="shared" si="20"/>
        <v>Rs./hr</v>
      </c>
    </row>
    <row r="220" spans="1:18" ht="15" customHeight="1" x14ac:dyDescent="0.3">
      <c r="A220" s="75">
        <v>208</v>
      </c>
      <c r="B220" s="75" t="s">
        <v>583</v>
      </c>
      <c r="C220" s="75" t="s">
        <v>108</v>
      </c>
      <c r="D220" s="76" t="s">
        <v>503</v>
      </c>
      <c r="E220" s="76" t="s">
        <v>584</v>
      </c>
      <c r="F220" s="75" t="s">
        <v>108</v>
      </c>
      <c r="G220" s="75" t="s">
        <v>111</v>
      </c>
      <c r="H220" s="75" t="s">
        <v>112</v>
      </c>
      <c r="I220" s="76" t="s">
        <v>505</v>
      </c>
      <c r="J220" s="75" t="s">
        <v>114</v>
      </c>
      <c r="K220" s="77">
        <v>11.5</v>
      </c>
      <c r="L220" s="77">
        <v>16</v>
      </c>
      <c r="M220" s="77">
        <v>21.6</v>
      </c>
      <c r="N220" s="78">
        <f>1</f>
        <v>1</v>
      </c>
      <c r="O220" s="79">
        <f t="shared" si="17"/>
        <v>5497</v>
      </c>
      <c r="P220" s="79">
        <f t="shared" si="18"/>
        <v>7648</v>
      </c>
      <c r="Q220" s="79">
        <f t="shared" si="19"/>
        <v>10324.800000000001</v>
      </c>
      <c r="R220" s="75" t="str">
        <f t="shared" si="20"/>
        <v>Rs./hr</v>
      </c>
    </row>
    <row r="221" spans="1:18" ht="15" customHeight="1" x14ac:dyDescent="0.3">
      <c r="A221" s="75">
        <v>209</v>
      </c>
      <c r="B221" s="75" t="s">
        <v>585</v>
      </c>
      <c r="C221" s="75" t="s">
        <v>108</v>
      </c>
      <c r="D221" s="76" t="s">
        <v>503</v>
      </c>
      <c r="E221" s="76" t="s">
        <v>586</v>
      </c>
      <c r="F221" s="75" t="s">
        <v>108</v>
      </c>
      <c r="G221" s="75" t="s">
        <v>111</v>
      </c>
      <c r="H221" s="75" t="s">
        <v>112</v>
      </c>
      <c r="I221" s="76" t="s">
        <v>537</v>
      </c>
      <c r="J221" s="75" t="s">
        <v>114</v>
      </c>
      <c r="K221" s="77">
        <v>11.5</v>
      </c>
      <c r="L221" s="77">
        <v>16</v>
      </c>
      <c r="M221" s="77">
        <v>21.6</v>
      </c>
      <c r="N221" s="78">
        <f>1</f>
        <v>1</v>
      </c>
      <c r="O221" s="79">
        <f t="shared" si="17"/>
        <v>5497</v>
      </c>
      <c r="P221" s="79">
        <f t="shared" si="18"/>
        <v>7648</v>
      </c>
      <c r="Q221" s="79">
        <f t="shared" si="19"/>
        <v>10324.800000000001</v>
      </c>
      <c r="R221" s="75" t="str">
        <f t="shared" si="20"/>
        <v>Rs./hr</v>
      </c>
    </row>
    <row r="222" spans="1:18" ht="15" customHeight="1" x14ac:dyDescent="0.3">
      <c r="A222" s="75">
        <v>210</v>
      </c>
      <c r="B222" s="75" t="s">
        <v>73</v>
      </c>
      <c r="C222" s="75" t="s">
        <v>108</v>
      </c>
      <c r="D222" s="76" t="s">
        <v>503</v>
      </c>
      <c r="E222" s="76" t="s">
        <v>587</v>
      </c>
      <c r="F222" s="75">
        <v>2021</v>
      </c>
      <c r="G222" s="75" t="s">
        <v>111</v>
      </c>
      <c r="H222" s="75" t="s">
        <v>112</v>
      </c>
      <c r="I222" s="76" t="s">
        <v>537</v>
      </c>
      <c r="J222" s="75" t="s">
        <v>114</v>
      </c>
      <c r="K222" s="77">
        <v>11.5</v>
      </c>
      <c r="L222" s="77">
        <v>16</v>
      </c>
      <c r="M222" s="77">
        <v>21.6</v>
      </c>
      <c r="N222" s="78">
        <f>1+MIN(MAX($D$8-F222,0),$D$10)*$D$9</f>
        <v>1.0349999999999999</v>
      </c>
      <c r="O222" s="79">
        <f t="shared" si="17"/>
        <v>5689.3949999999995</v>
      </c>
      <c r="P222" s="79">
        <f t="shared" si="18"/>
        <v>7915.6799999999994</v>
      </c>
      <c r="Q222" s="79">
        <f t="shared" si="19"/>
        <v>10686.168</v>
      </c>
      <c r="R222" s="75" t="str">
        <f t="shared" si="20"/>
        <v>Rs./hr</v>
      </c>
    </row>
    <row r="223" spans="1:18" ht="15" customHeight="1" x14ac:dyDescent="0.3">
      <c r="A223" s="75">
        <v>211</v>
      </c>
      <c r="B223" s="75" t="s">
        <v>588</v>
      </c>
      <c r="C223" s="75" t="s">
        <v>108</v>
      </c>
      <c r="D223" s="76" t="s">
        <v>503</v>
      </c>
      <c r="E223" s="76" t="s">
        <v>587</v>
      </c>
      <c r="F223" s="75">
        <v>2021</v>
      </c>
      <c r="G223" s="75" t="s">
        <v>111</v>
      </c>
      <c r="H223" s="75" t="s">
        <v>112</v>
      </c>
      <c r="I223" s="76" t="s">
        <v>537</v>
      </c>
      <c r="J223" s="75" t="s">
        <v>114</v>
      </c>
      <c r="K223" s="77">
        <v>11.5</v>
      </c>
      <c r="L223" s="77">
        <v>16</v>
      </c>
      <c r="M223" s="77">
        <v>21.6</v>
      </c>
      <c r="N223" s="78">
        <f>1+MIN(MAX($D$8-F223,0),$D$10)*$D$9</f>
        <v>1.0349999999999999</v>
      </c>
      <c r="O223" s="79">
        <f t="shared" si="17"/>
        <v>5689.3949999999995</v>
      </c>
      <c r="P223" s="79">
        <f t="shared" si="18"/>
        <v>7915.6799999999994</v>
      </c>
      <c r="Q223" s="79">
        <f t="shared" si="19"/>
        <v>10686.168</v>
      </c>
      <c r="R223" s="75" t="str">
        <f t="shared" si="20"/>
        <v>Rs./hr</v>
      </c>
    </row>
    <row r="224" spans="1:18" ht="15" customHeight="1" x14ac:dyDescent="0.3">
      <c r="A224" s="75">
        <v>212</v>
      </c>
      <c r="B224" s="75" t="s">
        <v>589</v>
      </c>
      <c r="C224" s="75" t="s">
        <v>108</v>
      </c>
      <c r="D224" s="76" t="s">
        <v>503</v>
      </c>
      <c r="E224" s="76" t="s">
        <v>590</v>
      </c>
      <c r="F224" s="75" t="s">
        <v>108</v>
      </c>
      <c r="G224" s="75" t="s">
        <v>111</v>
      </c>
      <c r="H224" s="75" t="s">
        <v>112</v>
      </c>
      <c r="I224" s="76" t="s">
        <v>542</v>
      </c>
      <c r="J224" s="75" t="s">
        <v>114</v>
      </c>
      <c r="K224" s="77">
        <v>7.2</v>
      </c>
      <c r="L224" s="77">
        <v>10</v>
      </c>
      <c r="M224" s="77">
        <v>13.5</v>
      </c>
      <c r="N224" s="78">
        <f>1</f>
        <v>1</v>
      </c>
      <c r="O224" s="79">
        <f t="shared" si="17"/>
        <v>3441.6</v>
      </c>
      <c r="P224" s="79">
        <f t="shared" si="18"/>
        <v>4780</v>
      </c>
      <c r="Q224" s="79">
        <f t="shared" si="19"/>
        <v>6453</v>
      </c>
      <c r="R224" s="75" t="str">
        <f t="shared" si="20"/>
        <v>Rs./hr</v>
      </c>
    </row>
    <row r="225" spans="1:18" ht="15" customHeight="1" x14ac:dyDescent="0.3">
      <c r="A225" s="75">
        <v>213</v>
      </c>
      <c r="B225" s="75" t="s">
        <v>591</v>
      </c>
      <c r="C225" s="75" t="s">
        <v>108</v>
      </c>
      <c r="D225" s="76" t="s">
        <v>503</v>
      </c>
      <c r="E225" s="76" t="s">
        <v>587</v>
      </c>
      <c r="F225" s="75">
        <v>2021</v>
      </c>
      <c r="G225" s="75" t="s">
        <v>111</v>
      </c>
      <c r="H225" s="75" t="s">
        <v>112</v>
      </c>
      <c r="I225" s="76" t="s">
        <v>537</v>
      </c>
      <c r="J225" s="75" t="s">
        <v>114</v>
      </c>
      <c r="K225" s="77">
        <v>11.5</v>
      </c>
      <c r="L225" s="77">
        <v>16</v>
      </c>
      <c r="M225" s="77">
        <v>21.6</v>
      </c>
      <c r="N225" s="78">
        <f>1+MIN(MAX($D$8-F225,0),$D$10)*$D$9</f>
        <v>1.0349999999999999</v>
      </c>
      <c r="O225" s="79">
        <f t="shared" si="17"/>
        <v>5689.3949999999995</v>
      </c>
      <c r="P225" s="79">
        <f t="shared" si="18"/>
        <v>7915.6799999999994</v>
      </c>
      <c r="Q225" s="79">
        <f t="shared" si="19"/>
        <v>10686.168</v>
      </c>
      <c r="R225" s="75" t="str">
        <f t="shared" si="20"/>
        <v>Rs./hr</v>
      </c>
    </row>
    <row r="226" spans="1:18" ht="15" customHeight="1" x14ac:dyDescent="0.3">
      <c r="A226" s="75">
        <v>214</v>
      </c>
      <c r="B226" s="75" t="s">
        <v>592</v>
      </c>
      <c r="C226" s="75" t="s">
        <v>108</v>
      </c>
      <c r="D226" s="76" t="s">
        <v>503</v>
      </c>
      <c r="E226" s="76" t="s">
        <v>587</v>
      </c>
      <c r="F226" s="75">
        <v>2021</v>
      </c>
      <c r="G226" s="75" t="s">
        <v>111</v>
      </c>
      <c r="H226" s="75" t="s">
        <v>112</v>
      </c>
      <c r="I226" s="76" t="s">
        <v>537</v>
      </c>
      <c r="J226" s="75" t="s">
        <v>114</v>
      </c>
      <c r="K226" s="77">
        <v>11.5</v>
      </c>
      <c r="L226" s="77">
        <v>16</v>
      </c>
      <c r="M226" s="77">
        <v>21.6</v>
      </c>
      <c r="N226" s="78">
        <f>1+MIN(MAX($D$8-F226,0),$D$10)*$D$9</f>
        <v>1.0349999999999999</v>
      </c>
      <c r="O226" s="79">
        <f t="shared" si="17"/>
        <v>5689.3949999999995</v>
      </c>
      <c r="P226" s="79">
        <f t="shared" si="18"/>
        <v>7915.6799999999994</v>
      </c>
      <c r="Q226" s="79">
        <f t="shared" si="19"/>
        <v>10686.168</v>
      </c>
      <c r="R226" s="75" t="str">
        <f t="shared" si="20"/>
        <v>Rs./hr</v>
      </c>
    </row>
    <row r="227" spans="1:18" ht="15" customHeight="1" x14ac:dyDescent="0.3">
      <c r="A227" s="75">
        <v>215</v>
      </c>
      <c r="B227" s="75" t="s">
        <v>593</v>
      </c>
      <c r="C227" s="75" t="s">
        <v>594</v>
      </c>
      <c r="D227" s="76" t="s">
        <v>595</v>
      </c>
      <c r="E227" s="76" t="s">
        <v>596</v>
      </c>
      <c r="F227" s="75">
        <v>1974</v>
      </c>
      <c r="G227" s="75" t="s">
        <v>111</v>
      </c>
      <c r="H227" s="75" t="s">
        <v>112</v>
      </c>
      <c r="I227" s="76" t="s">
        <v>113</v>
      </c>
      <c r="J227" s="75" t="s">
        <v>114</v>
      </c>
      <c r="K227" s="77">
        <v>4.3</v>
      </c>
      <c r="L227" s="77">
        <v>6</v>
      </c>
      <c r="M227" s="77">
        <v>8.1</v>
      </c>
      <c r="N227" s="78">
        <f>1+MIN(MAX($D$8-F227,0),$D$10)*$D$9</f>
        <v>1.175</v>
      </c>
      <c r="O227" s="79">
        <f t="shared" si="17"/>
        <v>2415.0950000000003</v>
      </c>
      <c r="P227" s="79">
        <f t="shared" si="18"/>
        <v>3369.9000000000005</v>
      </c>
      <c r="Q227" s="79">
        <f t="shared" si="19"/>
        <v>4549.3649999999998</v>
      </c>
      <c r="R227" s="75" t="str">
        <f t="shared" si="20"/>
        <v>Rs./hr</v>
      </c>
    </row>
    <row r="228" spans="1:18" ht="15" customHeight="1" x14ac:dyDescent="0.3">
      <c r="A228" s="75">
        <v>216</v>
      </c>
      <c r="B228" s="75" t="s">
        <v>597</v>
      </c>
      <c r="C228" s="75" t="s">
        <v>598</v>
      </c>
      <c r="D228" s="76" t="s">
        <v>595</v>
      </c>
      <c r="E228" s="76" t="s">
        <v>599</v>
      </c>
      <c r="F228" s="75">
        <v>2005</v>
      </c>
      <c r="G228" s="75" t="s">
        <v>111</v>
      </c>
      <c r="H228" s="75" t="s">
        <v>112</v>
      </c>
      <c r="I228" s="76" t="s">
        <v>113</v>
      </c>
      <c r="J228" s="75" t="s">
        <v>114</v>
      </c>
      <c r="K228" s="77">
        <v>4.3</v>
      </c>
      <c r="L228" s="77">
        <v>6</v>
      </c>
      <c r="M228" s="77">
        <v>8.1</v>
      </c>
      <c r="N228" s="78">
        <f>1+MIN(MAX($D$8-F228,0),$D$10)*$D$9</f>
        <v>1.147</v>
      </c>
      <c r="O228" s="79">
        <f t="shared" si="17"/>
        <v>2357.5437999999999</v>
      </c>
      <c r="P228" s="79">
        <f t="shared" si="18"/>
        <v>3289.596</v>
      </c>
      <c r="Q228" s="79">
        <f t="shared" si="19"/>
        <v>4440.9546</v>
      </c>
      <c r="R228" s="75" t="str">
        <f t="shared" si="20"/>
        <v>Rs./hr</v>
      </c>
    </row>
    <row r="229" spans="1:18" ht="15" customHeight="1" x14ac:dyDescent="0.3">
      <c r="A229" s="75">
        <v>217</v>
      </c>
      <c r="B229" s="75" t="s">
        <v>600</v>
      </c>
      <c r="C229" s="75" t="s">
        <v>601</v>
      </c>
      <c r="D229" s="76" t="s">
        <v>595</v>
      </c>
      <c r="E229" s="76" t="s">
        <v>599</v>
      </c>
      <c r="F229" s="75">
        <v>2005</v>
      </c>
      <c r="G229" s="75" t="s">
        <v>111</v>
      </c>
      <c r="H229" s="75" t="s">
        <v>112</v>
      </c>
      <c r="I229" s="76" t="s">
        <v>113</v>
      </c>
      <c r="J229" s="75" t="s">
        <v>114</v>
      </c>
      <c r="K229" s="77">
        <v>4.3</v>
      </c>
      <c r="L229" s="77">
        <v>6</v>
      </c>
      <c r="M229" s="77">
        <v>8.1</v>
      </c>
      <c r="N229" s="78">
        <f>1+MIN(MAX($D$8-F229,0),$D$10)*$D$9</f>
        <v>1.147</v>
      </c>
      <c r="O229" s="79">
        <f t="shared" si="17"/>
        <v>2357.5437999999999</v>
      </c>
      <c r="P229" s="79">
        <f t="shared" si="18"/>
        <v>3289.596</v>
      </c>
      <c r="Q229" s="79">
        <f t="shared" si="19"/>
        <v>4440.9546</v>
      </c>
      <c r="R229" s="75" t="str">
        <f t="shared" si="20"/>
        <v>Rs./hr</v>
      </c>
    </row>
    <row r="230" spans="1:18" ht="15" customHeight="1" x14ac:dyDescent="0.3">
      <c r="A230" s="75">
        <v>218</v>
      </c>
      <c r="B230" s="75" t="s">
        <v>602</v>
      </c>
      <c r="C230" s="75" t="s">
        <v>603</v>
      </c>
      <c r="D230" s="76" t="s">
        <v>595</v>
      </c>
      <c r="E230" s="76" t="s">
        <v>604</v>
      </c>
      <c r="F230" s="75" t="s">
        <v>108</v>
      </c>
      <c r="G230" s="75" t="s">
        <v>111</v>
      </c>
      <c r="H230" s="75" t="s">
        <v>112</v>
      </c>
      <c r="I230" s="76" t="s">
        <v>113</v>
      </c>
      <c r="J230" s="75" t="s">
        <v>114</v>
      </c>
      <c r="K230" s="77">
        <v>4.3</v>
      </c>
      <c r="L230" s="77">
        <v>6</v>
      </c>
      <c r="M230" s="77">
        <v>8.1</v>
      </c>
      <c r="N230" s="78">
        <f>1</f>
        <v>1</v>
      </c>
      <c r="O230" s="79">
        <f t="shared" si="17"/>
        <v>2055.4</v>
      </c>
      <c r="P230" s="79">
        <f t="shared" si="18"/>
        <v>2868</v>
      </c>
      <c r="Q230" s="79">
        <f t="shared" si="19"/>
        <v>3871.7999999999997</v>
      </c>
      <c r="R230" s="75" t="str">
        <f t="shared" si="20"/>
        <v>Rs./hr</v>
      </c>
    </row>
    <row r="231" spans="1:18" ht="15" customHeight="1" x14ac:dyDescent="0.3">
      <c r="A231" s="75">
        <v>219</v>
      </c>
      <c r="B231" s="75" t="s">
        <v>605</v>
      </c>
      <c r="C231" s="75" t="s">
        <v>606</v>
      </c>
      <c r="D231" s="76" t="s">
        <v>595</v>
      </c>
      <c r="E231" s="76" t="s">
        <v>607</v>
      </c>
      <c r="F231" s="75">
        <v>2012</v>
      </c>
      <c r="G231" s="75" t="s">
        <v>111</v>
      </c>
      <c r="H231" s="75" t="s">
        <v>112</v>
      </c>
      <c r="I231" s="76" t="s">
        <v>113</v>
      </c>
      <c r="J231" s="75" t="s">
        <v>114</v>
      </c>
      <c r="K231" s="77">
        <v>4.3</v>
      </c>
      <c r="L231" s="77">
        <v>6</v>
      </c>
      <c r="M231" s="77">
        <v>8.1</v>
      </c>
      <c r="N231" s="78">
        <f t="shared" ref="N231:N236" si="22">1+MIN(MAX($D$8-F231,0),$D$10)*$D$9</f>
        <v>1.0980000000000001</v>
      </c>
      <c r="O231" s="79">
        <f t="shared" si="17"/>
        <v>2256.8292000000001</v>
      </c>
      <c r="P231" s="79">
        <f t="shared" si="18"/>
        <v>3149.0640000000003</v>
      </c>
      <c r="Q231" s="79">
        <f t="shared" si="19"/>
        <v>4251.2364000000007</v>
      </c>
      <c r="R231" s="75" t="str">
        <f t="shared" si="20"/>
        <v>Rs./hr</v>
      </c>
    </row>
    <row r="232" spans="1:18" ht="15" customHeight="1" x14ac:dyDescent="0.3">
      <c r="A232" s="75">
        <v>220</v>
      </c>
      <c r="B232" s="75" t="s">
        <v>608</v>
      </c>
      <c r="C232" s="75" t="s">
        <v>609</v>
      </c>
      <c r="D232" s="76" t="s">
        <v>595</v>
      </c>
      <c r="E232" s="76" t="s">
        <v>599</v>
      </c>
      <c r="F232" s="75">
        <v>2012</v>
      </c>
      <c r="G232" s="75" t="s">
        <v>111</v>
      </c>
      <c r="H232" s="75" t="s">
        <v>112</v>
      </c>
      <c r="I232" s="76" t="s">
        <v>113</v>
      </c>
      <c r="J232" s="75" t="s">
        <v>114</v>
      </c>
      <c r="K232" s="77">
        <v>4.3</v>
      </c>
      <c r="L232" s="77">
        <v>6</v>
      </c>
      <c r="M232" s="77">
        <v>8.1</v>
      </c>
      <c r="N232" s="78">
        <f t="shared" si="22"/>
        <v>1.0980000000000001</v>
      </c>
      <c r="O232" s="79">
        <f t="shared" si="17"/>
        <v>2256.8292000000001</v>
      </c>
      <c r="P232" s="79">
        <f t="shared" si="18"/>
        <v>3149.0640000000003</v>
      </c>
      <c r="Q232" s="79">
        <f t="shared" si="19"/>
        <v>4251.2364000000007</v>
      </c>
      <c r="R232" s="75" t="str">
        <f t="shared" si="20"/>
        <v>Rs./hr</v>
      </c>
    </row>
    <row r="233" spans="1:18" ht="15" customHeight="1" x14ac:dyDescent="0.3">
      <c r="A233" s="75">
        <v>221</v>
      </c>
      <c r="B233" s="75" t="s">
        <v>610</v>
      </c>
      <c r="C233" s="75" t="s">
        <v>611</v>
      </c>
      <c r="D233" s="76" t="s">
        <v>595</v>
      </c>
      <c r="E233" s="76" t="s">
        <v>607</v>
      </c>
      <c r="F233" s="75">
        <v>2012</v>
      </c>
      <c r="G233" s="75" t="s">
        <v>111</v>
      </c>
      <c r="H233" s="75" t="s">
        <v>112</v>
      </c>
      <c r="I233" s="76" t="s">
        <v>113</v>
      </c>
      <c r="J233" s="75" t="s">
        <v>114</v>
      </c>
      <c r="K233" s="77">
        <v>4.3</v>
      </c>
      <c r="L233" s="77">
        <v>6</v>
      </c>
      <c r="M233" s="77">
        <v>8.1</v>
      </c>
      <c r="N233" s="78">
        <f t="shared" si="22"/>
        <v>1.0980000000000001</v>
      </c>
      <c r="O233" s="79">
        <f t="shared" si="17"/>
        <v>2256.8292000000001</v>
      </c>
      <c r="P233" s="79">
        <f t="shared" si="18"/>
        <v>3149.0640000000003</v>
      </c>
      <c r="Q233" s="79">
        <f t="shared" si="19"/>
        <v>4251.2364000000007</v>
      </c>
      <c r="R233" s="75" t="str">
        <f t="shared" si="20"/>
        <v>Rs./hr</v>
      </c>
    </row>
    <row r="234" spans="1:18" ht="15" customHeight="1" x14ac:dyDescent="0.3">
      <c r="A234" s="75">
        <v>222</v>
      </c>
      <c r="B234" s="75" t="s">
        <v>612</v>
      </c>
      <c r="C234" s="75" t="s">
        <v>613</v>
      </c>
      <c r="D234" s="76" t="s">
        <v>595</v>
      </c>
      <c r="E234" s="76" t="s">
        <v>614</v>
      </c>
      <c r="F234" s="75">
        <v>1980</v>
      </c>
      <c r="G234" s="75" t="s">
        <v>111</v>
      </c>
      <c r="H234" s="75" t="s">
        <v>112</v>
      </c>
      <c r="I234" s="76" t="s">
        <v>113</v>
      </c>
      <c r="J234" s="75" t="s">
        <v>114</v>
      </c>
      <c r="K234" s="77">
        <v>4.3</v>
      </c>
      <c r="L234" s="77">
        <v>6</v>
      </c>
      <c r="M234" s="77">
        <v>8.1</v>
      </c>
      <c r="N234" s="78">
        <f t="shared" si="22"/>
        <v>1.175</v>
      </c>
      <c r="O234" s="79">
        <f t="shared" si="17"/>
        <v>2415.0950000000003</v>
      </c>
      <c r="P234" s="79">
        <f t="shared" si="18"/>
        <v>3369.9000000000005</v>
      </c>
      <c r="Q234" s="79">
        <f t="shared" si="19"/>
        <v>4549.3649999999998</v>
      </c>
      <c r="R234" s="75" t="str">
        <f t="shared" si="20"/>
        <v>Rs./hr</v>
      </c>
    </row>
    <row r="235" spans="1:18" ht="15" customHeight="1" x14ac:dyDescent="0.3">
      <c r="A235" s="75">
        <v>223</v>
      </c>
      <c r="B235" s="75" t="s">
        <v>615</v>
      </c>
      <c r="C235" s="75" t="s">
        <v>616</v>
      </c>
      <c r="D235" s="76" t="s">
        <v>595</v>
      </c>
      <c r="E235" s="76" t="s">
        <v>617</v>
      </c>
      <c r="F235" s="75">
        <v>2012</v>
      </c>
      <c r="G235" s="75" t="s">
        <v>111</v>
      </c>
      <c r="H235" s="75" t="s">
        <v>112</v>
      </c>
      <c r="I235" s="76" t="s">
        <v>113</v>
      </c>
      <c r="J235" s="75" t="s">
        <v>114</v>
      </c>
      <c r="K235" s="77">
        <v>4.3</v>
      </c>
      <c r="L235" s="77">
        <v>6</v>
      </c>
      <c r="M235" s="77">
        <v>8.1</v>
      </c>
      <c r="N235" s="78">
        <f t="shared" si="22"/>
        <v>1.0980000000000001</v>
      </c>
      <c r="O235" s="79">
        <f t="shared" si="17"/>
        <v>2256.8292000000001</v>
      </c>
      <c r="P235" s="79">
        <f t="shared" si="18"/>
        <v>3149.0640000000003</v>
      </c>
      <c r="Q235" s="79">
        <f t="shared" si="19"/>
        <v>4251.2364000000007</v>
      </c>
      <c r="R235" s="75" t="str">
        <f t="shared" si="20"/>
        <v>Rs./hr</v>
      </c>
    </row>
    <row r="236" spans="1:18" ht="15" customHeight="1" x14ac:dyDescent="0.3">
      <c r="A236" s="75">
        <v>224</v>
      </c>
      <c r="B236" s="75" t="s">
        <v>618</v>
      </c>
      <c r="C236" s="75" t="s">
        <v>603</v>
      </c>
      <c r="D236" s="76" t="s">
        <v>595</v>
      </c>
      <c r="E236" s="76" t="s">
        <v>604</v>
      </c>
      <c r="F236" s="75">
        <v>2008</v>
      </c>
      <c r="G236" s="75" t="s">
        <v>111</v>
      </c>
      <c r="H236" s="75" t="s">
        <v>112</v>
      </c>
      <c r="I236" s="76" t="s">
        <v>113</v>
      </c>
      <c r="J236" s="75" t="s">
        <v>114</v>
      </c>
      <c r="K236" s="77">
        <v>4.3</v>
      </c>
      <c r="L236" s="77">
        <v>6</v>
      </c>
      <c r="M236" s="77">
        <v>8.1</v>
      </c>
      <c r="N236" s="78">
        <f t="shared" si="22"/>
        <v>1.1259999999999999</v>
      </c>
      <c r="O236" s="79">
        <f t="shared" si="17"/>
        <v>2314.3803999999996</v>
      </c>
      <c r="P236" s="79">
        <f t="shared" si="18"/>
        <v>3229.3679999999995</v>
      </c>
      <c r="Q236" s="79">
        <f t="shared" si="19"/>
        <v>4359.6467999999995</v>
      </c>
      <c r="R236" s="75" t="str">
        <f t="shared" si="20"/>
        <v>Rs./hr</v>
      </c>
    </row>
    <row r="237" spans="1:18" ht="15" customHeight="1" x14ac:dyDescent="0.3">
      <c r="A237" s="75">
        <v>225</v>
      </c>
      <c r="B237" s="75" t="s">
        <v>108</v>
      </c>
      <c r="C237" s="75" t="s">
        <v>619</v>
      </c>
      <c r="D237" s="76" t="s">
        <v>595</v>
      </c>
      <c r="E237" s="76" t="s">
        <v>124</v>
      </c>
      <c r="F237" s="75" t="s">
        <v>108</v>
      </c>
      <c r="G237" s="75" t="s">
        <v>111</v>
      </c>
      <c r="H237" s="75" t="s">
        <v>112</v>
      </c>
      <c r="I237" s="76" t="s">
        <v>113</v>
      </c>
      <c r="J237" s="75" t="s">
        <v>114</v>
      </c>
      <c r="K237" s="77">
        <v>4.3</v>
      </c>
      <c r="L237" s="77">
        <v>6</v>
      </c>
      <c r="M237" s="77">
        <v>8.1</v>
      </c>
      <c r="N237" s="78">
        <f>1</f>
        <v>1</v>
      </c>
      <c r="O237" s="79">
        <f t="shared" si="17"/>
        <v>2055.4</v>
      </c>
      <c r="P237" s="79">
        <f t="shared" si="18"/>
        <v>2868</v>
      </c>
      <c r="Q237" s="79">
        <f t="shared" si="19"/>
        <v>3871.7999999999997</v>
      </c>
      <c r="R237" s="75" t="str">
        <f t="shared" si="20"/>
        <v>Rs./hr</v>
      </c>
    </row>
    <row r="238" spans="1:18" ht="15" customHeight="1" x14ac:dyDescent="0.3">
      <c r="A238" s="75">
        <v>226</v>
      </c>
      <c r="B238" s="75" t="s">
        <v>108</v>
      </c>
      <c r="C238" s="75" t="s">
        <v>601</v>
      </c>
      <c r="D238" s="76" t="s">
        <v>595</v>
      </c>
      <c r="E238" s="76" t="s">
        <v>124</v>
      </c>
      <c r="F238" s="75" t="s">
        <v>108</v>
      </c>
      <c r="G238" s="75" t="s">
        <v>111</v>
      </c>
      <c r="H238" s="75" t="s">
        <v>112</v>
      </c>
      <c r="I238" s="76" t="s">
        <v>113</v>
      </c>
      <c r="J238" s="75" t="s">
        <v>114</v>
      </c>
      <c r="K238" s="77">
        <v>4.3</v>
      </c>
      <c r="L238" s="77">
        <v>6</v>
      </c>
      <c r="M238" s="77">
        <v>8.1</v>
      </c>
      <c r="N238" s="78">
        <f>1</f>
        <v>1</v>
      </c>
      <c r="O238" s="79">
        <f t="shared" si="17"/>
        <v>2055.4</v>
      </c>
      <c r="P238" s="79">
        <f t="shared" si="18"/>
        <v>2868</v>
      </c>
      <c r="Q238" s="79">
        <f t="shared" si="19"/>
        <v>3871.7999999999997</v>
      </c>
      <c r="R238" s="75" t="str">
        <f t="shared" si="20"/>
        <v>Rs./hr</v>
      </c>
    </row>
    <row r="239" spans="1:18" ht="15" customHeight="1" x14ac:dyDescent="0.3">
      <c r="A239" s="75">
        <v>227</v>
      </c>
      <c r="B239" s="75" t="s">
        <v>620</v>
      </c>
      <c r="C239" s="75" t="s">
        <v>108</v>
      </c>
      <c r="D239" s="76" t="s">
        <v>621</v>
      </c>
      <c r="E239" s="76" t="s">
        <v>622</v>
      </c>
      <c r="F239" s="75" t="s">
        <v>108</v>
      </c>
      <c r="G239" s="75" t="s">
        <v>111</v>
      </c>
      <c r="H239" s="75" t="s">
        <v>112</v>
      </c>
      <c r="I239" s="76" t="s">
        <v>113</v>
      </c>
      <c r="J239" s="75" t="s">
        <v>114</v>
      </c>
      <c r="K239" s="77">
        <v>2.9</v>
      </c>
      <c r="L239" s="77">
        <v>4</v>
      </c>
      <c r="M239" s="77">
        <v>5.4</v>
      </c>
      <c r="N239" s="78">
        <f>1</f>
        <v>1</v>
      </c>
      <c r="O239" s="79">
        <f t="shared" si="17"/>
        <v>1386.2</v>
      </c>
      <c r="P239" s="79">
        <f t="shared" si="18"/>
        <v>1912</v>
      </c>
      <c r="Q239" s="79">
        <f t="shared" si="19"/>
        <v>2581.2000000000003</v>
      </c>
      <c r="R239" s="75" t="str">
        <f t="shared" si="20"/>
        <v>Rs./hr</v>
      </c>
    </row>
    <row r="240" spans="1:18" ht="15" customHeight="1" x14ac:dyDescent="0.3">
      <c r="A240" s="75">
        <v>228</v>
      </c>
      <c r="B240" s="75" t="s">
        <v>623</v>
      </c>
      <c r="C240" s="75" t="s">
        <v>108</v>
      </c>
      <c r="D240" s="76" t="s">
        <v>621</v>
      </c>
      <c r="E240" s="76" t="s">
        <v>624</v>
      </c>
      <c r="F240" s="75" t="s">
        <v>108</v>
      </c>
      <c r="G240" s="75" t="s">
        <v>111</v>
      </c>
      <c r="H240" s="75" t="s">
        <v>112</v>
      </c>
      <c r="I240" s="76" t="s">
        <v>113</v>
      </c>
      <c r="J240" s="75" t="s">
        <v>114</v>
      </c>
      <c r="K240" s="77">
        <v>2.9</v>
      </c>
      <c r="L240" s="77">
        <v>4</v>
      </c>
      <c r="M240" s="77">
        <v>5.4</v>
      </c>
      <c r="N240" s="78">
        <f>1</f>
        <v>1</v>
      </c>
      <c r="O240" s="79">
        <f t="shared" si="17"/>
        <v>1386.2</v>
      </c>
      <c r="P240" s="79">
        <f t="shared" si="18"/>
        <v>1912</v>
      </c>
      <c r="Q240" s="79">
        <f t="shared" si="19"/>
        <v>2581.2000000000003</v>
      </c>
      <c r="R240" s="75" t="str">
        <f t="shared" si="20"/>
        <v>Rs./hr</v>
      </c>
    </row>
    <row r="241" spans="1:18" ht="15" customHeight="1" x14ac:dyDescent="0.3">
      <c r="A241" s="75">
        <v>229</v>
      </c>
      <c r="B241" s="75" t="s">
        <v>625</v>
      </c>
      <c r="C241" s="75" t="s">
        <v>108</v>
      </c>
      <c r="D241" s="76" t="s">
        <v>621</v>
      </c>
      <c r="E241" s="76" t="s">
        <v>624</v>
      </c>
      <c r="F241" s="75" t="s">
        <v>108</v>
      </c>
      <c r="G241" s="75" t="s">
        <v>111</v>
      </c>
      <c r="H241" s="75" t="s">
        <v>112</v>
      </c>
      <c r="I241" s="76" t="s">
        <v>113</v>
      </c>
      <c r="J241" s="75" t="s">
        <v>114</v>
      </c>
      <c r="K241" s="77">
        <v>2.9</v>
      </c>
      <c r="L241" s="77">
        <v>4</v>
      </c>
      <c r="M241" s="77">
        <v>5.4</v>
      </c>
      <c r="N241" s="78">
        <f>1</f>
        <v>1</v>
      </c>
      <c r="O241" s="79">
        <f t="shared" si="17"/>
        <v>1386.2</v>
      </c>
      <c r="P241" s="79">
        <f t="shared" si="18"/>
        <v>1912</v>
      </c>
      <c r="Q241" s="79">
        <f t="shared" si="19"/>
        <v>2581.2000000000003</v>
      </c>
      <c r="R241" s="75" t="str">
        <f t="shared" si="20"/>
        <v>Rs./hr</v>
      </c>
    </row>
    <row r="242" spans="1:18" ht="15" customHeight="1" x14ac:dyDescent="0.3">
      <c r="A242" s="75">
        <v>230</v>
      </c>
      <c r="B242" s="75" t="s">
        <v>108</v>
      </c>
      <c r="C242" s="75" t="s">
        <v>626</v>
      </c>
      <c r="D242" s="76" t="s">
        <v>627</v>
      </c>
      <c r="E242" s="76" t="s">
        <v>628</v>
      </c>
      <c r="F242" s="75">
        <v>2003</v>
      </c>
      <c r="G242" s="75" t="s">
        <v>629</v>
      </c>
      <c r="H242" s="75" t="s">
        <v>629</v>
      </c>
      <c r="I242" s="76" t="s">
        <v>630</v>
      </c>
      <c r="J242" s="75" t="s">
        <v>108</v>
      </c>
      <c r="K242" s="75">
        <v>0</v>
      </c>
      <c r="L242" s="75">
        <v>0</v>
      </c>
      <c r="M242" s="75">
        <v>0</v>
      </c>
      <c r="N242" s="78">
        <f>1+MIN(MAX($D$8-F242,0),$D$10)*$D$9</f>
        <v>1.161</v>
      </c>
      <c r="O242" s="79">
        <f t="shared" si="17"/>
        <v>0</v>
      </c>
      <c r="P242" s="79">
        <f t="shared" si="18"/>
        <v>0</v>
      </c>
      <c r="Q242" s="79">
        <f t="shared" si="19"/>
        <v>0</v>
      </c>
      <c r="R242" s="75" t="str">
        <f t="shared" si="20"/>
        <v>—</v>
      </c>
    </row>
    <row r="243" spans="1:18" ht="15" customHeight="1" x14ac:dyDescent="0.3">
      <c r="A243" s="75">
        <v>231</v>
      </c>
      <c r="B243" s="75" t="s">
        <v>108</v>
      </c>
      <c r="C243" s="75" t="s">
        <v>631</v>
      </c>
      <c r="D243" s="76" t="s">
        <v>627</v>
      </c>
      <c r="E243" s="76" t="s">
        <v>124</v>
      </c>
      <c r="F243" s="75" t="s">
        <v>108</v>
      </c>
      <c r="G243" s="75" t="s">
        <v>629</v>
      </c>
      <c r="H243" s="75" t="s">
        <v>629</v>
      </c>
      <c r="I243" s="76" t="s">
        <v>630</v>
      </c>
      <c r="J243" s="75" t="s">
        <v>108</v>
      </c>
      <c r="K243" s="75">
        <v>0</v>
      </c>
      <c r="L243" s="75">
        <v>0</v>
      </c>
      <c r="M243" s="75">
        <v>0</v>
      </c>
      <c r="N243" s="78">
        <f>1</f>
        <v>1</v>
      </c>
      <c r="O243" s="79">
        <f t="shared" si="17"/>
        <v>0</v>
      </c>
      <c r="P243" s="79">
        <f t="shared" si="18"/>
        <v>0</v>
      </c>
      <c r="Q243" s="79">
        <f t="shared" si="19"/>
        <v>0</v>
      </c>
      <c r="R243" s="75" t="str">
        <f t="shared" si="20"/>
        <v>—</v>
      </c>
    </row>
    <row r="244" spans="1:18" ht="15" customHeight="1" x14ac:dyDescent="0.3">
      <c r="A244" s="75">
        <v>232</v>
      </c>
      <c r="B244" s="75" t="s">
        <v>108</v>
      </c>
      <c r="C244" s="75" t="s">
        <v>632</v>
      </c>
      <c r="D244" s="76" t="s">
        <v>627</v>
      </c>
      <c r="E244" s="76" t="s">
        <v>633</v>
      </c>
      <c r="F244" s="75">
        <v>2011</v>
      </c>
      <c r="G244" s="75" t="s">
        <v>629</v>
      </c>
      <c r="H244" s="75" t="s">
        <v>629</v>
      </c>
      <c r="I244" s="76" t="s">
        <v>630</v>
      </c>
      <c r="J244" s="75" t="s">
        <v>108</v>
      </c>
      <c r="K244" s="75">
        <v>0</v>
      </c>
      <c r="L244" s="75">
        <v>0</v>
      </c>
      <c r="M244" s="75">
        <v>0</v>
      </c>
      <c r="N244" s="78">
        <f t="shared" ref="N244:N259" si="23">1+MIN(MAX($D$8-F244,0),$D$10)*$D$9</f>
        <v>1.105</v>
      </c>
      <c r="O244" s="79">
        <f t="shared" si="17"/>
        <v>0</v>
      </c>
      <c r="P244" s="79">
        <f t="shared" si="18"/>
        <v>0</v>
      </c>
      <c r="Q244" s="79">
        <f t="shared" si="19"/>
        <v>0</v>
      </c>
      <c r="R244" s="75" t="str">
        <f t="shared" si="20"/>
        <v>—</v>
      </c>
    </row>
    <row r="245" spans="1:18" ht="15" customHeight="1" x14ac:dyDescent="0.3">
      <c r="A245" s="75">
        <v>233</v>
      </c>
      <c r="B245" s="75" t="s">
        <v>634</v>
      </c>
      <c r="C245" s="75" t="s">
        <v>65</v>
      </c>
      <c r="D245" s="76" t="s">
        <v>635</v>
      </c>
      <c r="E245" s="76" t="s">
        <v>636</v>
      </c>
      <c r="F245" s="75">
        <v>1998</v>
      </c>
      <c r="G245" s="75" t="s">
        <v>111</v>
      </c>
      <c r="H245" s="75" t="s">
        <v>112</v>
      </c>
      <c r="I245" s="76" t="s">
        <v>637</v>
      </c>
      <c r="J245" s="75" t="s">
        <v>114</v>
      </c>
      <c r="K245" s="77">
        <v>10.8</v>
      </c>
      <c r="L245" s="77">
        <v>15</v>
      </c>
      <c r="M245" s="77">
        <v>20.3</v>
      </c>
      <c r="N245" s="78">
        <f t="shared" si="23"/>
        <v>1.175</v>
      </c>
      <c r="O245" s="79">
        <f t="shared" si="17"/>
        <v>6065.8200000000006</v>
      </c>
      <c r="P245" s="79">
        <f t="shared" si="18"/>
        <v>8424.75</v>
      </c>
      <c r="Q245" s="79">
        <f t="shared" si="19"/>
        <v>11401.495000000001</v>
      </c>
      <c r="R245" s="75" t="str">
        <f t="shared" si="20"/>
        <v>Rs./hr</v>
      </c>
    </row>
    <row r="246" spans="1:18" ht="15" customHeight="1" x14ac:dyDescent="0.3">
      <c r="A246" s="75">
        <v>234</v>
      </c>
      <c r="B246" s="75" t="s">
        <v>638</v>
      </c>
      <c r="C246" s="75" t="s">
        <v>639</v>
      </c>
      <c r="D246" s="76" t="s">
        <v>635</v>
      </c>
      <c r="E246" s="76" t="s">
        <v>640</v>
      </c>
      <c r="F246" s="75">
        <v>1995</v>
      </c>
      <c r="G246" s="75" t="s">
        <v>111</v>
      </c>
      <c r="H246" s="75" t="s">
        <v>112</v>
      </c>
      <c r="I246" s="76" t="s">
        <v>641</v>
      </c>
      <c r="J246" s="75" t="s">
        <v>114</v>
      </c>
      <c r="K246" s="77">
        <v>8.6</v>
      </c>
      <c r="L246" s="77">
        <v>12</v>
      </c>
      <c r="M246" s="77">
        <v>16.2</v>
      </c>
      <c r="N246" s="78">
        <f t="shared" si="23"/>
        <v>1.175</v>
      </c>
      <c r="O246" s="79">
        <f t="shared" si="17"/>
        <v>4830.1900000000005</v>
      </c>
      <c r="P246" s="79">
        <f t="shared" si="18"/>
        <v>6739.8000000000011</v>
      </c>
      <c r="Q246" s="79">
        <f t="shared" si="19"/>
        <v>9098.73</v>
      </c>
      <c r="R246" s="75" t="str">
        <f t="shared" si="20"/>
        <v>Rs./hr</v>
      </c>
    </row>
    <row r="247" spans="1:18" ht="15" customHeight="1" x14ac:dyDescent="0.3">
      <c r="A247" s="75">
        <v>235</v>
      </c>
      <c r="B247" s="75" t="s">
        <v>642</v>
      </c>
      <c r="C247" s="75" t="s">
        <v>643</v>
      </c>
      <c r="D247" s="76" t="s">
        <v>644</v>
      </c>
      <c r="E247" s="76" t="s">
        <v>645</v>
      </c>
      <c r="F247" s="75">
        <v>2003</v>
      </c>
      <c r="G247" s="75" t="s">
        <v>646</v>
      </c>
      <c r="H247" s="75" t="s">
        <v>221</v>
      </c>
      <c r="I247" s="76" t="s">
        <v>113</v>
      </c>
      <c r="J247" s="75" t="s">
        <v>222</v>
      </c>
      <c r="K247" s="77">
        <v>57.6</v>
      </c>
      <c r="L247" s="77">
        <v>45</v>
      </c>
      <c r="M247" s="77">
        <v>36</v>
      </c>
      <c r="N247" s="78">
        <f t="shared" si="23"/>
        <v>1.161</v>
      </c>
      <c r="O247" s="79">
        <f t="shared" si="17"/>
        <v>8.7478125000000002</v>
      </c>
      <c r="P247" s="79">
        <f t="shared" si="18"/>
        <v>11.1972</v>
      </c>
      <c r="Q247" s="79">
        <f t="shared" si="19"/>
        <v>13.996500000000001</v>
      </c>
      <c r="R247" s="75" t="str">
        <f t="shared" si="20"/>
        <v>Rs./km</v>
      </c>
    </row>
    <row r="248" spans="1:18" ht="15" customHeight="1" x14ac:dyDescent="0.3">
      <c r="A248" s="75">
        <v>236</v>
      </c>
      <c r="B248" s="75" t="s">
        <v>647</v>
      </c>
      <c r="C248" s="75" t="s">
        <v>648</v>
      </c>
      <c r="D248" s="76" t="s">
        <v>644</v>
      </c>
      <c r="E248" s="76" t="s">
        <v>649</v>
      </c>
      <c r="F248" s="75">
        <v>2006</v>
      </c>
      <c r="G248" s="75" t="s">
        <v>646</v>
      </c>
      <c r="H248" s="75" t="s">
        <v>221</v>
      </c>
      <c r="I248" s="76" t="s">
        <v>113</v>
      </c>
      <c r="J248" s="75" t="s">
        <v>222</v>
      </c>
      <c r="K248" s="77">
        <v>57.6</v>
      </c>
      <c r="L248" s="77">
        <v>45</v>
      </c>
      <c r="M248" s="77">
        <v>36</v>
      </c>
      <c r="N248" s="78">
        <f t="shared" si="23"/>
        <v>1.1400000000000001</v>
      </c>
      <c r="O248" s="79">
        <f t="shared" si="17"/>
        <v>8.5895833333333336</v>
      </c>
      <c r="P248" s="79">
        <f t="shared" si="18"/>
        <v>10.994666666666667</v>
      </c>
      <c r="Q248" s="79">
        <f t="shared" si="19"/>
        <v>13.743333333333334</v>
      </c>
      <c r="R248" s="75" t="str">
        <f t="shared" si="20"/>
        <v>Rs./km</v>
      </c>
    </row>
    <row r="249" spans="1:18" ht="15" customHeight="1" x14ac:dyDescent="0.3">
      <c r="A249" s="75">
        <v>237</v>
      </c>
      <c r="B249" s="75" t="s">
        <v>650</v>
      </c>
      <c r="C249" s="75" t="s">
        <v>651</v>
      </c>
      <c r="D249" s="76" t="s">
        <v>644</v>
      </c>
      <c r="E249" s="76" t="s">
        <v>652</v>
      </c>
      <c r="F249" s="75">
        <v>2006</v>
      </c>
      <c r="G249" s="75" t="s">
        <v>646</v>
      </c>
      <c r="H249" s="75" t="s">
        <v>221</v>
      </c>
      <c r="I249" s="76" t="s">
        <v>113</v>
      </c>
      <c r="J249" s="75" t="s">
        <v>222</v>
      </c>
      <c r="K249" s="77">
        <v>57.6</v>
      </c>
      <c r="L249" s="77">
        <v>45</v>
      </c>
      <c r="M249" s="77">
        <v>36</v>
      </c>
      <c r="N249" s="78">
        <f t="shared" si="23"/>
        <v>1.1400000000000001</v>
      </c>
      <c r="O249" s="79">
        <f t="shared" si="17"/>
        <v>8.5895833333333336</v>
      </c>
      <c r="P249" s="79">
        <f t="shared" si="18"/>
        <v>10.994666666666667</v>
      </c>
      <c r="Q249" s="79">
        <f t="shared" si="19"/>
        <v>13.743333333333334</v>
      </c>
      <c r="R249" s="75" t="str">
        <f t="shared" si="20"/>
        <v>Rs./km</v>
      </c>
    </row>
    <row r="250" spans="1:18" ht="15" customHeight="1" x14ac:dyDescent="0.3">
      <c r="A250" s="75">
        <v>238</v>
      </c>
      <c r="B250" s="75" t="s">
        <v>653</v>
      </c>
      <c r="C250" s="75" t="s">
        <v>654</v>
      </c>
      <c r="D250" s="76" t="s">
        <v>644</v>
      </c>
      <c r="E250" s="76" t="s">
        <v>655</v>
      </c>
      <c r="F250" s="75">
        <v>2006</v>
      </c>
      <c r="G250" s="75" t="s">
        <v>646</v>
      </c>
      <c r="H250" s="75" t="s">
        <v>221</v>
      </c>
      <c r="I250" s="76" t="s">
        <v>113</v>
      </c>
      <c r="J250" s="75" t="s">
        <v>222</v>
      </c>
      <c r="K250" s="77">
        <v>57.6</v>
      </c>
      <c r="L250" s="77">
        <v>45</v>
      </c>
      <c r="M250" s="77">
        <v>36</v>
      </c>
      <c r="N250" s="78">
        <f t="shared" si="23"/>
        <v>1.1400000000000001</v>
      </c>
      <c r="O250" s="79">
        <f t="shared" si="17"/>
        <v>8.5895833333333336</v>
      </c>
      <c r="P250" s="79">
        <f t="shared" si="18"/>
        <v>10.994666666666667</v>
      </c>
      <c r="Q250" s="79">
        <f t="shared" si="19"/>
        <v>13.743333333333334</v>
      </c>
      <c r="R250" s="75" t="str">
        <f t="shared" si="20"/>
        <v>Rs./km</v>
      </c>
    </row>
    <row r="251" spans="1:18" ht="15" customHeight="1" x14ac:dyDescent="0.3">
      <c r="A251" s="75">
        <v>239</v>
      </c>
      <c r="B251" s="75" t="s">
        <v>656</v>
      </c>
      <c r="C251" s="75" t="s">
        <v>657</v>
      </c>
      <c r="D251" s="76" t="s">
        <v>644</v>
      </c>
      <c r="E251" s="76" t="s">
        <v>658</v>
      </c>
      <c r="F251" s="75">
        <v>2016</v>
      </c>
      <c r="G251" s="75" t="s">
        <v>646</v>
      </c>
      <c r="H251" s="75" t="s">
        <v>221</v>
      </c>
      <c r="I251" s="76" t="s">
        <v>113</v>
      </c>
      <c r="J251" s="75" t="s">
        <v>222</v>
      </c>
      <c r="K251" s="77">
        <v>57.6</v>
      </c>
      <c r="L251" s="77">
        <v>45</v>
      </c>
      <c r="M251" s="77">
        <v>36</v>
      </c>
      <c r="N251" s="78">
        <f t="shared" si="23"/>
        <v>1.07</v>
      </c>
      <c r="O251" s="79">
        <f t="shared" si="17"/>
        <v>8.0621527777777793</v>
      </c>
      <c r="P251" s="79">
        <f t="shared" si="18"/>
        <v>10.319555555555556</v>
      </c>
      <c r="Q251" s="79">
        <f t="shared" si="19"/>
        <v>12.899444444444446</v>
      </c>
      <c r="R251" s="75" t="str">
        <f t="shared" si="20"/>
        <v>Rs./km</v>
      </c>
    </row>
    <row r="252" spans="1:18" ht="15" customHeight="1" x14ac:dyDescent="0.3">
      <c r="A252" s="75">
        <v>240</v>
      </c>
      <c r="B252" s="75" t="s">
        <v>659</v>
      </c>
      <c r="C252" s="75" t="s">
        <v>660</v>
      </c>
      <c r="D252" s="76" t="s">
        <v>644</v>
      </c>
      <c r="E252" s="76" t="s">
        <v>661</v>
      </c>
      <c r="F252" s="75">
        <v>2017</v>
      </c>
      <c r="G252" s="75" t="s">
        <v>646</v>
      </c>
      <c r="H252" s="75" t="s">
        <v>221</v>
      </c>
      <c r="I252" s="76" t="s">
        <v>113</v>
      </c>
      <c r="J252" s="75" t="s">
        <v>222</v>
      </c>
      <c r="K252" s="77">
        <v>57.6</v>
      </c>
      <c r="L252" s="77">
        <v>45</v>
      </c>
      <c r="M252" s="77">
        <v>36</v>
      </c>
      <c r="N252" s="78">
        <f t="shared" si="23"/>
        <v>1.0629999999999999</v>
      </c>
      <c r="O252" s="79">
        <f t="shared" si="17"/>
        <v>8.0094097222222214</v>
      </c>
      <c r="P252" s="79">
        <f t="shared" si="18"/>
        <v>10.252044444444444</v>
      </c>
      <c r="Q252" s="79">
        <f t="shared" si="19"/>
        <v>12.815055555555555</v>
      </c>
      <c r="R252" s="75" t="str">
        <f t="shared" si="20"/>
        <v>Rs./km</v>
      </c>
    </row>
    <row r="253" spans="1:18" ht="15" customHeight="1" x14ac:dyDescent="0.3">
      <c r="A253" s="75">
        <v>241</v>
      </c>
      <c r="B253" s="75" t="s">
        <v>662</v>
      </c>
      <c r="C253" s="75" t="s">
        <v>663</v>
      </c>
      <c r="D253" s="76" t="s">
        <v>644</v>
      </c>
      <c r="E253" s="76" t="s">
        <v>664</v>
      </c>
      <c r="F253" s="75">
        <v>2007</v>
      </c>
      <c r="G253" s="75" t="s">
        <v>646</v>
      </c>
      <c r="H253" s="75" t="s">
        <v>221</v>
      </c>
      <c r="I253" s="76" t="s">
        <v>113</v>
      </c>
      <c r="J253" s="75" t="s">
        <v>222</v>
      </c>
      <c r="K253" s="77">
        <v>57.6</v>
      </c>
      <c r="L253" s="77">
        <v>45</v>
      </c>
      <c r="M253" s="77">
        <v>36</v>
      </c>
      <c r="N253" s="78">
        <f t="shared" si="23"/>
        <v>1.133</v>
      </c>
      <c r="O253" s="79">
        <f t="shared" si="17"/>
        <v>8.5368402777777774</v>
      </c>
      <c r="P253" s="79">
        <f t="shared" si="18"/>
        <v>10.927155555555554</v>
      </c>
      <c r="Q253" s="79">
        <f t="shared" si="19"/>
        <v>13.658944444444444</v>
      </c>
      <c r="R253" s="75" t="str">
        <f t="shared" si="20"/>
        <v>Rs./km</v>
      </c>
    </row>
    <row r="254" spans="1:18" ht="15" customHeight="1" x14ac:dyDescent="0.3">
      <c r="A254" s="75">
        <v>242</v>
      </c>
      <c r="B254" s="75" t="s">
        <v>665</v>
      </c>
      <c r="C254" s="75" t="s">
        <v>666</v>
      </c>
      <c r="D254" s="76" t="s">
        <v>644</v>
      </c>
      <c r="E254" s="76" t="s">
        <v>667</v>
      </c>
      <c r="F254" s="75">
        <v>2011</v>
      </c>
      <c r="G254" s="75" t="s">
        <v>646</v>
      </c>
      <c r="H254" s="75" t="s">
        <v>221</v>
      </c>
      <c r="I254" s="76" t="s">
        <v>113</v>
      </c>
      <c r="J254" s="75" t="s">
        <v>222</v>
      </c>
      <c r="K254" s="77">
        <v>57.6</v>
      </c>
      <c r="L254" s="77">
        <v>45</v>
      </c>
      <c r="M254" s="77">
        <v>36</v>
      </c>
      <c r="N254" s="78">
        <f t="shared" si="23"/>
        <v>1.105</v>
      </c>
      <c r="O254" s="79">
        <f t="shared" si="17"/>
        <v>8.3258680555555546</v>
      </c>
      <c r="P254" s="79">
        <f t="shared" si="18"/>
        <v>10.65711111111111</v>
      </c>
      <c r="Q254" s="79">
        <f t="shared" si="19"/>
        <v>13.321388888888889</v>
      </c>
      <c r="R254" s="75" t="str">
        <f t="shared" si="20"/>
        <v>Rs./km</v>
      </c>
    </row>
    <row r="255" spans="1:18" ht="15" customHeight="1" x14ac:dyDescent="0.3">
      <c r="A255" s="75">
        <v>243</v>
      </c>
      <c r="B255" s="75" t="s">
        <v>668</v>
      </c>
      <c r="C255" s="75" t="s">
        <v>669</v>
      </c>
      <c r="D255" s="76" t="s">
        <v>644</v>
      </c>
      <c r="E255" s="76" t="s">
        <v>661</v>
      </c>
      <c r="F255" s="75">
        <v>2016</v>
      </c>
      <c r="G255" s="75" t="s">
        <v>646</v>
      </c>
      <c r="H255" s="75" t="s">
        <v>221</v>
      </c>
      <c r="I255" s="76" t="s">
        <v>113</v>
      </c>
      <c r="J255" s="75" t="s">
        <v>222</v>
      </c>
      <c r="K255" s="77">
        <v>57.6</v>
      </c>
      <c r="L255" s="77">
        <v>45</v>
      </c>
      <c r="M255" s="77">
        <v>36</v>
      </c>
      <c r="N255" s="78">
        <f t="shared" si="23"/>
        <v>1.07</v>
      </c>
      <c r="O255" s="79">
        <f t="shared" si="17"/>
        <v>8.0621527777777793</v>
      </c>
      <c r="P255" s="79">
        <f t="shared" si="18"/>
        <v>10.319555555555556</v>
      </c>
      <c r="Q255" s="79">
        <f t="shared" si="19"/>
        <v>12.899444444444446</v>
      </c>
      <c r="R255" s="75" t="str">
        <f t="shared" si="20"/>
        <v>Rs./km</v>
      </c>
    </row>
    <row r="256" spans="1:18" ht="15" customHeight="1" x14ac:dyDescent="0.3">
      <c r="A256" s="75">
        <v>244</v>
      </c>
      <c r="B256" s="75" t="s">
        <v>670</v>
      </c>
      <c r="C256" s="75" t="s">
        <v>671</v>
      </c>
      <c r="D256" s="76" t="s">
        <v>644</v>
      </c>
      <c r="E256" s="76" t="s">
        <v>672</v>
      </c>
      <c r="F256" s="75">
        <v>2004</v>
      </c>
      <c r="G256" s="75" t="s">
        <v>646</v>
      </c>
      <c r="H256" s="75" t="s">
        <v>221</v>
      </c>
      <c r="I256" s="76" t="s">
        <v>113</v>
      </c>
      <c r="J256" s="75" t="s">
        <v>222</v>
      </c>
      <c r="K256" s="77">
        <v>57.6</v>
      </c>
      <c r="L256" s="77">
        <v>45</v>
      </c>
      <c r="M256" s="77">
        <v>36</v>
      </c>
      <c r="N256" s="78">
        <f t="shared" si="23"/>
        <v>1.1539999999999999</v>
      </c>
      <c r="O256" s="79">
        <f t="shared" si="17"/>
        <v>8.6950694444444441</v>
      </c>
      <c r="P256" s="79">
        <f t="shared" si="18"/>
        <v>11.129688888888888</v>
      </c>
      <c r="Q256" s="79">
        <f t="shared" si="19"/>
        <v>13.912111111111109</v>
      </c>
      <c r="R256" s="75" t="str">
        <f t="shared" si="20"/>
        <v>Rs./km</v>
      </c>
    </row>
    <row r="257" spans="1:18" ht="15" customHeight="1" x14ac:dyDescent="0.3">
      <c r="A257" s="75">
        <v>245</v>
      </c>
      <c r="B257" s="75" t="s">
        <v>673</v>
      </c>
      <c r="C257" s="75" t="s">
        <v>674</v>
      </c>
      <c r="D257" s="76" t="s">
        <v>644</v>
      </c>
      <c r="E257" s="76" t="s">
        <v>661</v>
      </c>
      <c r="F257" s="75">
        <v>2012</v>
      </c>
      <c r="G257" s="75" t="s">
        <v>646</v>
      </c>
      <c r="H257" s="75" t="s">
        <v>221</v>
      </c>
      <c r="I257" s="76" t="s">
        <v>113</v>
      </c>
      <c r="J257" s="75" t="s">
        <v>222</v>
      </c>
      <c r="K257" s="77">
        <v>57.6</v>
      </c>
      <c r="L257" s="77">
        <v>45</v>
      </c>
      <c r="M257" s="77">
        <v>36</v>
      </c>
      <c r="N257" s="78">
        <f t="shared" si="23"/>
        <v>1.0980000000000001</v>
      </c>
      <c r="O257" s="79">
        <f t="shared" si="17"/>
        <v>8.2731250000000003</v>
      </c>
      <c r="P257" s="79">
        <f t="shared" si="18"/>
        <v>10.589600000000001</v>
      </c>
      <c r="Q257" s="79">
        <f t="shared" si="19"/>
        <v>13.237000000000002</v>
      </c>
      <c r="R257" s="75" t="str">
        <f t="shared" si="20"/>
        <v>Rs./km</v>
      </c>
    </row>
    <row r="258" spans="1:18" ht="15" customHeight="1" x14ac:dyDescent="0.3">
      <c r="A258" s="75">
        <v>246</v>
      </c>
      <c r="B258" s="75" t="s">
        <v>675</v>
      </c>
      <c r="C258" s="75" t="s">
        <v>676</v>
      </c>
      <c r="D258" s="76" t="s">
        <v>644</v>
      </c>
      <c r="E258" s="76" t="s">
        <v>661</v>
      </c>
      <c r="F258" s="75">
        <v>2011</v>
      </c>
      <c r="G258" s="75" t="s">
        <v>646</v>
      </c>
      <c r="H258" s="75" t="s">
        <v>221</v>
      </c>
      <c r="I258" s="76" t="s">
        <v>113</v>
      </c>
      <c r="J258" s="75" t="s">
        <v>222</v>
      </c>
      <c r="K258" s="77">
        <v>57.6</v>
      </c>
      <c r="L258" s="77">
        <v>45</v>
      </c>
      <c r="M258" s="77">
        <v>36</v>
      </c>
      <c r="N258" s="78">
        <f t="shared" si="23"/>
        <v>1.105</v>
      </c>
      <c r="O258" s="79">
        <f t="shared" si="17"/>
        <v>8.3258680555555546</v>
      </c>
      <c r="P258" s="79">
        <f t="shared" si="18"/>
        <v>10.65711111111111</v>
      </c>
      <c r="Q258" s="79">
        <f t="shared" si="19"/>
        <v>13.321388888888889</v>
      </c>
      <c r="R258" s="75" t="str">
        <f t="shared" si="20"/>
        <v>Rs./km</v>
      </c>
    </row>
    <row r="259" spans="1:18" ht="15" customHeight="1" x14ac:dyDescent="0.3">
      <c r="A259" s="75">
        <v>247</v>
      </c>
      <c r="B259" s="75" t="s">
        <v>677</v>
      </c>
      <c r="C259" s="75" t="s">
        <v>678</v>
      </c>
      <c r="D259" s="76" t="s">
        <v>644</v>
      </c>
      <c r="E259" s="76" t="s">
        <v>661</v>
      </c>
      <c r="F259" s="75">
        <v>2017</v>
      </c>
      <c r="G259" s="75" t="s">
        <v>646</v>
      </c>
      <c r="H259" s="75" t="s">
        <v>221</v>
      </c>
      <c r="I259" s="76" t="s">
        <v>113</v>
      </c>
      <c r="J259" s="75" t="s">
        <v>222</v>
      </c>
      <c r="K259" s="77">
        <v>57.6</v>
      </c>
      <c r="L259" s="77">
        <v>45</v>
      </c>
      <c r="M259" s="77">
        <v>36</v>
      </c>
      <c r="N259" s="78">
        <f t="shared" si="23"/>
        <v>1.0629999999999999</v>
      </c>
      <c r="O259" s="79">
        <f t="shared" si="17"/>
        <v>8.0094097222222214</v>
      </c>
      <c r="P259" s="79">
        <f t="shared" si="18"/>
        <v>10.252044444444444</v>
      </c>
      <c r="Q259" s="79">
        <f t="shared" si="19"/>
        <v>12.815055555555555</v>
      </c>
      <c r="R259" s="75" t="str">
        <f t="shared" si="20"/>
        <v>Rs./km</v>
      </c>
    </row>
    <row r="260" spans="1:18" ht="15" customHeight="1" x14ac:dyDescent="0.3">
      <c r="A260" s="75">
        <v>248</v>
      </c>
      <c r="B260" s="75" t="s">
        <v>679</v>
      </c>
      <c r="C260" s="75" t="s">
        <v>680</v>
      </c>
      <c r="D260" s="76" t="s">
        <v>644</v>
      </c>
      <c r="E260" s="76" t="s">
        <v>681</v>
      </c>
      <c r="F260" s="75" t="s">
        <v>108</v>
      </c>
      <c r="G260" s="75" t="s">
        <v>646</v>
      </c>
      <c r="H260" s="75" t="s">
        <v>221</v>
      </c>
      <c r="I260" s="76" t="s">
        <v>113</v>
      </c>
      <c r="J260" s="75" t="s">
        <v>222</v>
      </c>
      <c r="K260" s="77">
        <v>57.6</v>
      </c>
      <c r="L260" s="77">
        <v>45</v>
      </c>
      <c r="M260" s="77">
        <v>36</v>
      </c>
      <c r="N260" s="78">
        <f>1</f>
        <v>1</v>
      </c>
      <c r="O260" s="79">
        <f t="shared" si="17"/>
        <v>7.5347222222222223</v>
      </c>
      <c r="P260" s="79">
        <f t="shared" si="18"/>
        <v>9.6444444444444439</v>
      </c>
      <c r="Q260" s="79">
        <f t="shared" si="19"/>
        <v>12.055555555555555</v>
      </c>
      <c r="R260" s="75" t="str">
        <f t="shared" si="20"/>
        <v>Rs./km</v>
      </c>
    </row>
    <row r="261" spans="1:18" ht="15" customHeight="1" x14ac:dyDescent="0.3">
      <c r="A261" s="75">
        <v>249</v>
      </c>
      <c r="B261" s="75" t="s">
        <v>682</v>
      </c>
      <c r="C261" s="75" t="s">
        <v>683</v>
      </c>
      <c r="D261" s="76" t="s">
        <v>644</v>
      </c>
      <c r="E261" s="76" t="s">
        <v>681</v>
      </c>
      <c r="F261" s="75" t="s">
        <v>108</v>
      </c>
      <c r="G261" s="75" t="s">
        <v>646</v>
      </c>
      <c r="H261" s="75" t="s">
        <v>221</v>
      </c>
      <c r="I261" s="76" t="s">
        <v>113</v>
      </c>
      <c r="J261" s="75" t="s">
        <v>222</v>
      </c>
      <c r="K261" s="77">
        <v>57.6</v>
      </c>
      <c r="L261" s="77">
        <v>45</v>
      </c>
      <c r="M261" s="77">
        <v>36</v>
      </c>
      <c r="N261" s="78">
        <f>1</f>
        <v>1</v>
      </c>
      <c r="O261" s="79">
        <f t="shared" si="17"/>
        <v>7.5347222222222223</v>
      </c>
      <c r="P261" s="79">
        <f t="shared" si="18"/>
        <v>9.6444444444444439</v>
      </c>
      <c r="Q261" s="79">
        <f t="shared" si="19"/>
        <v>12.055555555555555</v>
      </c>
      <c r="R261" s="75" t="str">
        <f t="shared" si="20"/>
        <v>Rs./km</v>
      </c>
    </row>
    <row r="262" spans="1:18" ht="15" customHeight="1" x14ac:dyDescent="0.3">
      <c r="A262" s="75">
        <v>250</v>
      </c>
      <c r="B262" s="75" t="s">
        <v>684</v>
      </c>
      <c r="C262" s="75" t="s">
        <v>685</v>
      </c>
      <c r="D262" s="76" t="s">
        <v>644</v>
      </c>
      <c r="E262" s="76" t="s">
        <v>667</v>
      </c>
      <c r="F262" s="75">
        <v>2012</v>
      </c>
      <c r="G262" s="75" t="s">
        <v>646</v>
      </c>
      <c r="H262" s="75" t="s">
        <v>221</v>
      </c>
      <c r="I262" s="76" t="s">
        <v>113</v>
      </c>
      <c r="J262" s="75" t="s">
        <v>222</v>
      </c>
      <c r="K262" s="77">
        <v>57.6</v>
      </c>
      <c r="L262" s="77">
        <v>45</v>
      </c>
      <c r="M262" s="77">
        <v>36</v>
      </c>
      <c r="N262" s="78">
        <f>1+MIN(MAX($D$8-F262,0),$D$10)*$D$9</f>
        <v>1.0980000000000001</v>
      </c>
      <c r="O262" s="79">
        <f t="shared" si="17"/>
        <v>8.2731250000000003</v>
      </c>
      <c r="P262" s="79">
        <f t="shared" si="18"/>
        <v>10.589600000000001</v>
      </c>
      <c r="Q262" s="79">
        <f t="shared" si="19"/>
        <v>13.237000000000002</v>
      </c>
      <c r="R262" s="75" t="str">
        <f t="shared" si="20"/>
        <v>Rs./km</v>
      </c>
    </row>
    <row r="263" spans="1:18" ht="15" customHeight="1" x14ac:dyDescent="0.3">
      <c r="A263" s="75">
        <v>251</v>
      </c>
      <c r="B263" s="75" t="s">
        <v>686</v>
      </c>
      <c r="C263" s="75" t="s">
        <v>687</v>
      </c>
      <c r="D263" s="76" t="s">
        <v>644</v>
      </c>
      <c r="E263" s="76" t="s">
        <v>681</v>
      </c>
      <c r="F263" s="75" t="s">
        <v>108</v>
      </c>
      <c r="G263" s="75" t="s">
        <v>646</v>
      </c>
      <c r="H263" s="75" t="s">
        <v>221</v>
      </c>
      <c r="I263" s="76" t="s">
        <v>113</v>
      </c>
      <c r="J263" s="75" t="s">
        <v>222</v>
      </c>
      <c r="K263" s="77">
        <v>57.6</v>
      </c>
      <c r="L263" s="77">
        <v>45</v>
      </c>
      <c r="M263" s="77">
        <v>36</v>
      </c>
      <c r="N263" s="78">
        <f>1</f>
        <v>1</v>
      </c>
      <c r="O263" s="79">
        <f t="shared" si="17"/>
        <v>7.5347222222222223</v>
      </c>
      <c r="P263" s="79">
        <f t="shared" si="18"/>
        <v>9.6444444444444439</v>
      </c>
      <c r="Q263" s="79">
        <f t="shared" si="19"/>
        <v>12.055555555555555</v>
      </c>
      <c r="R263" s="75" t="str">
        <f t="shared" si="20"/>
        <v>Rs./km</v>
      </c>
    </row>
    <row r="264" spans="1:18" ht="15" customHeight="1" x14ac:dyDescent="0.3">
      <c r="A264" s="75">
        <v>252</v>
      </c>
      <c r="B264" s="75" t="s">
        <v>688</v>
      </c>
      <c r="C264" s="75" t="s">
        <v>689</v>
      </c>
      <c r="D264" s="76" t="s">
        <v>644</v>
      </c>
      <c r="E264" s="76" t="s">
        <v>661</v>
      </c>
      <c r="F264" s="75">
        <v>2015</v>
      </c>
      <c r="G264" s="75" t="s">
        <v>646</v>
      </c>
      <c r="H264" s="75" t="s">
        <v>221</v>
      </c>
      <c r="I264" s="76" t="s">
        <v>113</v>
      </c>
      <c r="J264" s="75" t="s">
        <v>222</v>
      </c>
      <c r="K264" s="77">
        <v>57.6</v>
      </c>
      <c r="L264" s="77">
        <v>45</v>
      </c>
      <c r="M264" s="77">
        <v>36</v>
      </c>
      <c r="N264" s="78">
        <f>1+MIN(MAX($D$8-F264,0),$D$10)*$D$9</f>
        <v>1.077</v>
      </c>
      <c r="O264" s="79">
        <f t="shared" si="17"/>
        <v>8.1148958333333336</v>
      </c>
      <c r="P264" s="79">
        <f t="shared" si="18"/>
        <v>10.387066666666668</v>
      </c>
      <c r="Q264" s="79">
        <f t="shared" si="19"/>
        <v>12.983833333333333</v>
      </c>
      <c r="R264" s="75" t="str">
        <f t="shared" si="20"/>
        <v>Rs./km</v>
      </c>
    </row>
    <row r="265" spans="1:18" ht="15" customHeight="1" x14ac:dyDescent="0.3">
      <c r="A265" s="75">
        <v>253</v>
      </c>
      <c r="B265" s="75" t="s">
        <v>690</v>
      </c>
      <c r="C265" s="75" t="s">
        <v>691</v>
      </c>
      <c r="D265" s="76" t="s">
        <v>644</v>
      </c>
      <c r="E265" s="76" t="s">
        <v>681</v>
      </c>
      <c r="F265" s="75" t="s">
        <v>108</v>
      </c>
      <c r="G265" s="75" t="s">
        <v>646</v>
      </c>
      <c r="H265" s="75" t="s">
        <v>221</v>
      </c>
      <c r="I265" s="76" t="s">
        <v>113</v>
      </c>
      <c r="J265" s="75" t="s">
        <v>222</v>
      </c>
      <c r="K265" s="77">
        <v>57.6</v>
      </c>
      <c r="L265" s="77">
        <v>45</v>
      </c>
      <c r="M265" s="77">
        <v>36</v>
      </c>
      <c r="N265" s="78">
        <f>1</f>
        <v>1</v>
      </c>
      <c r="O265" s="79">
        <f t="shared" si="17"/>
        <v>7.5347222222222223</v>
      </c>
      <c r="P265" s="79">
        <f t="shared" si="18"/>
        <v>9.6444444444444439</v>
      </c>
      <c r="Q265" s="79">
        <f t="shared" si="19"/>
        <v>12.055555555555555</v>
      </c>
      <c r="R265" s="75" t="str">
        <f t="shared" si="20"/>
        <v>Rs./km</v>
      </c>
    </row>
    <row r="266" spans="1:18" ht="15" customHeight="1" x14ac:dyDescent="0.3">
      <c r="A266" s="75">
        <v>254</v>
      </c>
      <c r="B266" s="75" t="s">
        <v>692</v>
      </c>
      <c r="C266" s="75" t="s">
        <v>693</v>
      </c>
      <c r="D266" s="76" t="s">
        <v>644</v>
      </c>
      <c r="E266" s="76" t="s">
        <v>681</v>
      </c>
      <c r="F266" s="75">
        <v>2015</v>
      </c>
      <c r="G266" s="75" t="s">
        <v>646</v>
      </c>
      <c r="H266" s="75" t="s">
        <v>221</v>
      </c>
      <c r="I266" s="76" t="s">
        <v>113</v>
      </c>
      <c r="J266" s="75" t="s">
        <v>222</v>
      </c>
      <c r="K266" s="77">
        <v>57.6</v>
      </c>
      <c r="L266" s="77">
        <v>45</v>
      </c>
      <c r="M266" s="77">
        <v>36</v>
      </c>
      <c r="N266" s="78">
        <f t="shared" ref="N266:N271" si="24">1+MIN(MAX($D$8-F266,0),$D$10)*$D$9</f>
        <v>1.077</v>
      </c>
      <c r="O266" s="79">
        <f t="shared" si="17"/>
        <v>8.1148958333333336</v>
      </c>
      <c r="P266" s="79">
        <f t="shared" si="18"/>
        <v>10.387066666666668</v>
      </c>
      <c r="Q266" s="79">
        <f t="shared" si="19"/>
        <v>12.983833333333333</v>
      </c>
      <c r="R266" s="75" t="str">
        <f t="shared" si="20"/>
        <v>Rs./km</v>
      </c>
    </row>
    <row r="267" spans="1:18" ht="15" customHeight="1" x14ac:dyDescent="0.3">
      <c r="A267" s="75">
        <v>255</v>
      </c>
      <c r="B267" s="75" t="s">
        <v>694</v>
      </c>
      <c r="C267" s="75" t="s">
        <v>695</v>
      </c>
      <c r="D267" s="76" t="s">
        <v>644</v>
      </c>
      <c r="E267" s="76" t="s">
        <v>681</v>
      </c>
      <c r="F267" s="75">
        <v>2016</v>
      </c>
      <c r="G267" s="75" t="s">
        <v>646</v>
      </c>
      <c r="H267" s="75" t="s">
        <v>221</v>
      </c>
      <c r="I267" s="76" t="s">
        <v>113</v>
      </c>
      <c r="J267" s="75" t="s">
        <v>222</v>
      </c>
      <c r="K267" s="77">
        <v>57.6</v>
      </c>
      <c r="L267" s="77">
        <v>45</v>
      </c>
      <c r="M267" s="77">
        <v>36</v>
      </c>
      <c r="N267" s="78">
        <f t="shared" si="24"/>
        <v>1.07</v>
      </c>
      <c r="O267" s="79">
        <f t="shared" si="17"/>
        <v>8.0621527777777793</v>
      </c>
      <c r="P267" s="79">
        <f t="shared" si="18"/>
        <v>10.319555555555556</v>
      </c>
      <c r="Q267" s="79">
        <f t="shared" si="19"/>
        <v>12.899444444444446</v>
      </c>
      <c r="R267" s="75" t="str">
        <f t="shared" si="20"/>
        <v>Rs./km</v>
      </c>
    </row>
    <row r="268" spans="1:18" ht="15" customHeight="1" x14ac:dyDescent="0.3">
      <c r="A268" s="75">
        <v>256</v>
      </c>
      <c r="B268" s="75" t="s">
        <v>696</v>
      </c>
      <c r="C268" s="75" t="s">
        <v>697</v>
      </c>
      <c r="D268" s="76" t="s">
        <v>644</v>
      </c>
      <c r="E268" s="76" t="s">
        <v>698</v>
      </c>
      <c r="F268" s="75">
        <v>2015</v>
      </c>
      <c r="G268" s="75" t="s">
        <v>646</v>
      </c>
      <c r="H268" s="75" t="s">
        <v>221</v>
      </c>
      <c r="I268" s="76" t="s">
        <v>113</v>
      </c>
      <c r="J268" s="75" t="s">
        <v>222</v>
      </c>
      <c r="K268" s="77">
        <v>57.6</v>
      </c>
      <c r="L268" s="77">
        <v>45</v>
      </c>
      <c r="M268" s="77">
        <v>36</v>
      </c>
      <c r="N268" s="78">
        <f t="shared" si="24"/>
        <v>1.077</v>
      </c>
      <c r="O268" s="79">
        <f t="shared" si="17"/>
        <v>8.1148958333333336</v>
      </c>
      <c r="P268" s="79">
        <f t="shared" si="18"/>
        <v>10.387066666666668</v>
      </c>
      <c r="Q268" s="79">
        <f t="shared" si="19"/>
        <v>12.983833333333333</v>
      </c>
      <c r="R268" s="75" t="str">
        <f t="shared" si="20"/>
        <v>Rs./km</v>
      </c>
    </row>
    <row r="269" spans="1:18" ht="15" customHeight="1" x14ac:dyDescent="0.3">
      <c r="A269" s="75">
        <v>257</v>
      </c>
      <c r="B269" s="75" t="s">
        <v>699</v>
      </c>
      <c r="C269" s="75" t="s">
        <v>700</v>
      </c>
      <c r="D269" s="76" t="s">
        <v>644</v>
      </c>
      <c r="E269" s="76" t="s">
        <v>681</v>
      </c>
      <c r="F269" s="75">
        <v>2015</v>
      </c>
      <c r="G269" s="75" t="s">
        <v>646</v>
      </c>
      <c r="H269" s="75" t="s">
        <v>221</v>
      </c>
      <c r="I269" s="76" t="s">
        <v>113</v>
      </c>
      <c r="J269" s="75" t="s">
        <v>222</v>
      </c>
      <c r="K269" s="77">
        <v>57.6</v>
      </c>
      <c r="L269" s="77">
        <v>45</v>
      </c>
      <c r="M269" s="77">
        <v>36</v>
      </c>
      <c r="N269" s="78">
        <f t="shared" si="24"/>
        <v>1.077</v>
      </c>
      <c r="O269" s="79">
        <f t="shared" ref="O269:O332" si="25">IF(H269="None",0,IF(H269="KM",IF(G269="Petrol",$D$6,$D$5)*N269/K269,K269*N269*IF(G269="Petrol",$D$6,$D$5)))</f>
        <v>8.1148958333333336</v>
      </c>
      <c r="P269" s="79">
        <f t="shared" ref="P269:P332" si="26">IF(H269="None",0,IF(H269="KM",IF(G269="Petrol",$D$6,$D$5)*N269/L269,L269*N269*IF(G269="Petrol",$D$6,$D$5)))</f>
        <v>10.387066666666668</v>
      </c>
      <c r="Q269" s="79">
        <f t="shared" ref="Q269:Q332" si="27">IF(H269="None",0,IF(H269="KM",IF(G269="Petrol",$D$6,$D$5)*N269/M269,M269*N269*IF(G269="Petrol",$D$6,$D$5)))</f>
        <v>12.983833333333333</v>
      </c>
      <c r="R269" s="75" t="str">
        <f t="shared" ref="R269:R332" si="28">IF(H269="None","—",IF(H269="KM","Rs./km","Rs./hr"))</f>
        <v>Rs./km</v>
      </c>
    </row>
    <row r="270" spans="1:18" ht="15" customHeight="1" x14ac:dyDescent="0.3">
      <c r="A270" s="75">
        <v>258</v>
      </c>
      <c r="B270" s="75" t="s">
        <v>701</v>
      </c>
      <c r="C270" s="75" t="s">
        <v>702</v>
      </c>
      <c r="D270" s="76" t="s">
        <v>644</v>
      </c>
      <c r="E270" s="76" t="s">
        <v>681</v>
      </c>
      <c r="F270" s="75">
        <v>2012</v>
      </c>
      <c r="G270" s="75" t="s">
        <v>646</v>
      </c>
      <c r="H270" s="75" t="s">
        <v>221</v>
      </c>
      <c r="I270" s="76" t="s">
        <v>113</v>
      </c>
      <c r="J270" s="75" t="s">
        <v>222</v>
      </c>
      <c r="K270" s="77">
        <v>57.6</v>
      </c>
      <c r="L270" s="77">
        <v>45</v>
      </c>
      <c r="M270" s="77">
        <v>36</v>
      </c>
      <c r="N270" s="78">
        <f t="shared" si="24"/>
        <v>1.0980000000000001</v>
      </c>
      <c r="O270" s="79">
        <f t="shared" si="25"/>
        <v>8.2731250000000003</v>
      </c>
      <c r="P270" s="79">
        <f t="shared" si="26"/>
        <v>10.589600000000001</v>
      </c>
      <c r="Q270" s="79">
        <f t="shared" si="27"/>
        <v>13.237000000000002</v>
      </c>
      <c r="R270" s="75" t="str">
        <f t="shared" si="28"/>
        <v>Rs./km</v>
      </c>
    </row>
    <row r="271" spans="1:18" ht="15" customHeight="1" x14ac:dyDescent="0.3">
      <c r="A271" s="75">
        <v>259</v>
      </c>
      <c r="B271" s="75" t="s">
        <v>703</v>
      </c>
      <c r="C271" s="75" t="s">
        <v>704</v>
      </c>
      <c r="D271" s="76" t="s">
        <v>644</v>
      </c>
      <c r="E271" s="76" t="s">
        <v>667</v>
      </c>
      <c r="F271" s="75">
        <v>2013</v>
      </c>
      <c r="G271" s="75" t="s">
        <v>646</v>
      </c>
      <c r="H271" s="75" t="s">
        <v>221</v>
      </c>
      <c r="I271" s="76" t="s">
        <v>113</v>
      </c>
      <c r="J271" s="75" t="s">
        <v>222</v>
      </c>
      <c r="K271" s="77">
        <v>57.6</v>
      </c>
      <c r="L271" s="77">
        <v>45</v>
      </c>
      <c r="M271" s="77">
        <v>36</v>
      </c>
      <c r="N271" s="78">
        <f t="shared" si="24"/>
        <v>1.091</v>
      </c>
      <c r="O271" s="79">
        <f t="shared" si="25"/>
        <v>8.2203819444444441</v>
      </c>
      <c r="P271" s="79">
        <f t="shared" si="26"/>
        <v>10.522088888888888</v>
      </c>
      <c r="Q271" s="79">
        <f t="shared" si="27"/>
        <v>13.15261111111111</v>
      </c>
      <c r="R271" s="75" t="str">
        <f t="shared" si="28"/>
        <v>Rs./km</v>
      </c>
    </row>
    <row r="272" spans="1:18" ht="15" customHeight="1" x14ac:dyDescent="0.3">
      <c r="A272" s="75">
        <v>260</v>
      </c>
      <c r="B272" s="75" t="s">
        <v>705</v>
      </c>
      <c r="C272" s="75" t="s">
        <v>706</v>
      </c>
      <c r="D272" s="76" t="s">
        <v>644</v>
      </c>
      <c r="E272" s="76" t="s">
        <v>681</v>
      </c>
      <c r="F272" s="75" t="s">
        <v>108</v>
      </c>
      <c r="G272" s="75" t="s">
        <v>646</v>
      </c>
      <c r="H272" s="75" t="s">
        <v>221</v>
      </c>
      <c r="I272" s="76" t="s">
        <v>113</v>
      </c>
      <c r="J272" s="75" t="s">
        <v>222</v>
      </c>
      <c r="K272" s="77">
        <v>57.6</v>
      </c>
      <c r="L272" s="77">
        <v>45</v>
      </c>
      <c r="M272" s="77">
        <v>36</v>
      </c>
      <c r="N272" s="78">
        <f>1</f>
        <v>1</v>
      </c>
      <c r="O272" s="79">
        <f t="shared" si="25"/>
        <v>7.5347222222222223</v>
      </c>
      <c r="P272" s="79">
        <f t="shared" si="26"/>
        <v>9.6444444444444439</v>
      </c>
      <c r="Q272" s="79">
        <f t="shared" si="27"/>
        <v>12.055555555555555</v>
      </c>
      <c r="R272" s="75" t="str">
        <f t="shared" si="28"/>
        <v>Rs./km</v>
      </c>
    </row>
    <row r="273" spans="1:18" ht="15" customHeight="1" x14ac:dyDescent="0.3">
      <c r="A273" s="75">
        <v>261</v>
      </c>
      <c r="B273" s="75" t="s">
        <v>707</v>
      </c>
      <c r="C273" s="75" t="s">
        <v>708</v>
      </c>
      <c r="D273" s="76" t="s">
        <v>644</v>
      </c>
      <c r="E273" s="76" t="s">
        <v>681</v>
      </c>
      <c r="F273" s="75">
        <v>2011</v>
      </c>
      <c r="G273" s="75" t="s">
        <v>646</v>
      </c>
      <c r="H273" s="75" t="s">
        <v>221</v>
      </c>
      <c r="I273" s="76" t="s">
        <v>113</v>
      </c>
      <c r="J273" s="75" t="s">
        <v>222</v>
      </c>
      <c r="K273" s="77">
        <v>57.6</v>
      </c>
      <c r="L273" s="77">
        <v>45</v>
      </c>
      <c r="M273" s="77">
        <v>36</v>
      </c>
      <c r="N273" s="78">
        <f>1+MIN(MAX($D$8-F273,0),$D$10)*$D$9</f>
        <v>1.105</v>
      </c>
      <c r="O273" s="79">
        <f t="shared" si="25"/>
        <v>8.3258680555555546</v>
      </c>
      <c r="P273" s="79">
        <f t="shared" si="26"/>
        <v>10.65711111111111</v>
      </c>
      <c r="Q273" s="79">
        <f t="shared" si="27"/>
        <v>13.321388888888889</v>
      </c>
      <c r="R273" s="75" t="str">
        <f t="shared" si="28"/>
        <v>Rs./km</v>
      </c>
    </row>
    <row r="274" spans="1:18" ht="15" customHeight="1" x14ac:dyDescent="0.3">
      <c r="A274" s="75">
        <v>262</v>
      </c>
      <c r="B274" s="75" t="s">
        <v>709</v>
      </c>
      <c r="C274" s="75" t="s">
        <v>710</v>
      </c>
      <c r="D274" s="76" t="s">
        <v>644</v>
      </c>
      <c r="E274" s="76" t="s">
        <v>711</v>
      </c>
      <c r="F274" s="75">
        <v>2016</v>
      </c>
      <c r="G274" s="75" t="s">
        <v>646</v>
      </c>
      <c r="H274" s="75" t="s">
        <v>221</v>
      </c>
      <c r="I274" s="76" t="s">
        <v>113</v>
      </c>
      <c r="J274" s="75" t="s">
        <v>222</v>
      </c>
      <c r="K274" s="77">
        <v>57.6</v>
      </c>
      <c r="L274" s="77">
        <v>45</v>
      </c>
      <c r="M274" s="77">
        <v>36</v>
      </c>
      <c r="N274" s="78">
        <f>1+MIN(MAX($D$8-F274,0),$D$10)*$D$9</f>
        <v>1.07</v>
      </c>
      <c r="O274" s="79">
        <f t="shared" si="25"/>
        <v>8.0621527777777793</v>
      </c>
      <c r="P274" s="79">
        <f t="shared" si="26"/>
        <v>10.319555555555556</v>
      </c>
      <c r="Q274" s="79">
        <f t="shared" si="27"/>
        <v>12.899444444444446</v>
      </c>
      <c r="R274" s="75" t="str">
        <f t="shared" si="28"/>
        <v>Rs./km</v>
      </c>
    </row>
    <row r="275" spans="1:18" ht="15" customHeight="1" x14ac:dyDescent="0.3">
      <c r="A275" s="75">
        <v>263</v>
      </c>
      <c r="B275" s="75" t="s">
        <v>712</v>
      </c>
      <c r="C275" s="75" t="s">
        <v>713</v>
      </c>
      <c r="D275" s="76" t="s">
        <v>644</v>
      </c>
      <c r="E275" s="76" t="s">
        <v>714</v>
      </c>
      <c r="F275" s="75" t="s">
        <v>108</v>
      </c>
      <c r="G275" s="75" t="s">
        <v>646</v>
      </c>
      <c r="H275" s="75" t="s">
        <v>221</v>
      </c>
      <c r="I275" s="76" t="s">
        <v>113</v>
      </c>
      <c r="J275" s="75" t="s">
        <v>222</v>
      </c>
      <c r="K275" s="77">
        <v>57.6</v>
      </c>
      <c r="L275" s="77">
        <v>45</v>
      </c>
      <c r="M275" s="77">
        <v>36</v>
      </c>
      <c r="N275" s="78">
        <f>1</f>
        <v>1</v>
      </c>
      <c r="O275" s="79">
        <f t="shared" si="25"/>
        <v>7.5347222222222223</v>
      </c>
      <c r="P275" s="79">
        <f t="shared" si="26"/>
        <v>9.6444444444444439</v>
      </c>
      <c r="Q275" s="79">
        <f t="shared" si="27"/>
        <v>12.055555555555555</v>
      </c>
      <c r="R275" s="75" t="str">
        <f t="shared" si="28"/>
        <v>Rs./km</v>
      </c>
    </row>
    <row r="276" spans="1:18" ht="15" customHeight="1" x14ac:dyDescent="0.3">
      <c r="A276" s="75">
        <v>264</v>
      </c>
      <c r="B276" s="75" t="s">
        <v>715</v>
      </c>
      <c r="C276" s="75" t="s">
        <v>716</v>
      </c>
      <c r="D276" s="76" t="s">
        <v>644</v>
      </c>
      <c r="E276" s="76" t="s">
        <v>717</v>
      </c>
      <c r="F276" s="75">
        <v>2017</v>
      </c>
      <c r="G276" s="75" t="s">
        <v>646</v>
      </c>
      <c r="H276" s="75" t="s">
        <v>221</v>
      </c>
      <c r="I276" s="76" t="s">
        <v>113</v>
      </c>
      <c r="J276" s="75" t="s">
        <v>222</v>
      </c>
      <c r="K276" s="77">
        <v>57.6</v>
      </c>
      <c r="L276" s="77">
        <v>45</v>
      </c>
      <c r="M276" s="77">
        <v>36</v>
      </c>
      <c r="N276" s="78">
        <f t="shared" ref="N276:N289" si="29">1+MIN(MAX($D$8-F276,0),$D$10)*$D$9</f>
        <v>1.0629999999999999</v>
      </c>
      <c r="O276" s="79">
        <f t="shared" si="25"/>
        <v>8.0094097222222214</v>
      </c>
      <c r="P276" s="79">
        <f t="shared" si="26"/>
        <v>10.252044444444444</v>
      </c>
      <c r="Q276" s="79">
        <f t="shared" si="27"/>
        <v>12.815055555555555</v>
      </c>
      <c r="R276" s="75" t="str">
        <f t="shared" si="28"/>
        <v>Rs./km</v>
      </c>
    </row>
    <row r="277" spans="1:18" ht="15" customHeight="1" x14ac:dyDescent="0.3">
      <c r="A277" s="75">
        <v>265</v>
      </c>
      <c r="B277" s="75" t="s">
        <v>108</v>
      </c>
      <c r="C277" s="75" t="s">
        <v>108</v>
      </c>
      <c r="D277" s="76" t="s">
        <v>644</v>
      </c>
      <c r="E277" s="76" t="s">
        <v>661</v>
      </c>
      <c r="F277" s="75">
        <v>2017</v>
      </c>
      <c r="G277" s="75" t="s">
        <v>646</v>
      </c>
      <c r="H277" s="75" t="s">
        <v>221</v>
      </c>
      <c r="I277" s="76" t="s">
        <v>113</v>
      </c>
      <c r="J277" s="75" t="s">
        <v>222</v>
      </c>
      <c r="K277" s="77">
        <v>57.6</v>
      </c>
      <c r="L277" s="77">
        <v>45</v>
      </c>
      <c r="M277" s="77">
        <v>36</v>
      </c>
      <c r="N277" s="78">
        <f t="shared" si="29"/>
        <v>1.0629999999999999</v>
      </c>
      <c r="O277" s="79">
        <f t="shared" si="25"/>
        <v>8.0094097222222214</v>
      </c>
      <c r="P277" s="79">
        <f t="shared" si="26"/>
        <v>10.252044444444444</v>
      </c>
      <c r="Q277" s="79">
        <f t="shared" si="27"/>
        <v>12.815055555555555</v>
      </c>
      <c r="R277" s="75" t="str">
        <f t="shared" si="28"/>
        <v>Rs./km</v>
      </c>
    </row>
    <row r="278" spans="1:18" ht="15" customHeight="1" x14ac:dyDescent="0.3">
      <c r="A278" s="75">
        <v>266</v>
      </c>
      <c r="B278" s="75" t="s">
        <v>108</v>
      </c>
      <c r="C278" s="75" t="s">
        <v>108</v>
      </c>
      <c r="D278" s="76" t="s">
        <v>644</v>
      </c>
      <c r="E278" s="76" t="s">
        <v>661</v>
      </c>
      <c r="F278" s="75">
        <v>2016</v>
      </c>
      <c r="G278" s="75" t="s">
        <v>646</v>
      </c>
      <c r="H278" s="75" t="s">
        <v>221</v>
      </c>
      <c r="I278" s="76" t="s">
        <v>113</v>
      </c>
      <c r="J278" s="75" t="s">
        <v>222</v>
      </c>
      <c r="K278" s="77">
        <v>57.6</v>
      </c>
      <c r="L278" s="77">
        <v>45</v>
      </c>
      <c r="M278" s="77">
        <v>36</v>
      </c>
      <c r="N278" s="78">
        <f t="shared" si="29"/>
        <v>1.07</v>
      </c>
      <c r="O278" s="79">
        <f t="shared" si="25"/>
        <v>8.0621527777777793</v>
      </c>
      <c r="P278" s="79">
        <f t="shared" si="26"/>
        <v>10.319555555555556</v>
      </c>
      <c r="Q278" s="79">
        <f t="shared" si="27"/>
        <v>12.899444444444446</v>
      </c>
      <c r="R278" s="75" t="str">
        <f t="shared" si="28"/>
        <v>Rs./km</v>
      </c>
    </row>
    <row r="279" spans="1:18" ht="15" customHeight="1" x14ac:dyDescent="0.3">
      <c r="A279" s="75">
        <v>267</v>
      </c>
      <c r="B279" s="75" t="s">
        <v>108</v>
      </c>
      <c r="C279" s="75" t="s">
        <v>108</v>
      </c>
      <c r="D279" s="76" t="s">
        <v>644</v>
      </c>
      <c r="E279" s="76" t="s">
        <v>661</v>
      </c>
      <c r="F279" s="75">
        <v>2016</v>
      </c>
      <c r="G279" s="75" t="s">
        <v>646</v>
      </c>
      <c r="H279" s="75" t="s">
        <v>221</v>
      </c>
      <c r="I279" s="76" t="s">
        <v>113</v>
      </c>
      <c r="J279" s="75" t="s">
        <v>222</v>
      </c>
      <c r="K279" s="77">
        <v>57.6</v>
      </c>
      <c r="L279" s="77">
        <v>45</v>
      </c>
      <c r="M279" s="77">
        <v>36</v>
      </c>
      <c r="N279" s="78">
        <f t="shared" si="29"/>
        <v>1.07</v>
      </c>
      <c r="O279" s="79">
        <f t="shared" si="25"/>
        <v>8.0621527777777793</v>
      </c>
      <c r="P279" s="79">
        <f t="shared" si="26"/>
        <v>10.319555555555556</v>
      </c>
      <c r="Q279" s="79">
        <f t="shared" si="27"/>
        <v>12.899444444444446</v>
      </c>
      <c r="R279" s="75" t="str">
        <f t="shared" si="28"/>
        <v>Rs./km</v>
      </c>
    </row>
    <row r="280" spans="1:18" ht="15" customHeight="1" x14ac:dyDescent="0.3">
      <c r="A280" s="75">
        <v>268</v>
      </c>
      <c r="B280" s="75" t="s">
        <v>108</v>
      </c>
      <c r="C280" s="75" t="s">
        <v>108</v>
      </c>
      <c r="D280" s="76" t="s">
        <v>644</v>
      </c>
      <c r="E280" s="76" t="s">
        <v>661</v>
      </c>
      <c r="F280" s="75">
        <v>2015</v>
      </c>
      <c r="G280" s="75" t="s">
        <v>646</v>
      </c>
      <c r="H280" s="75" t="s">
        <v>221</v>
      </c>
      <c r="I280" s="76" t="s">
        <v>113</v>
      </c>
      <c r="J280" s="75" t="s">
        <v>222</v>
      </c>
      <c r="K280" s="77">
        <v>57.6</v>
      </c>
      <c r="L280" s="77">
        <v>45</v>
      </c>
      <c r="M280" s="77">
        <v>36</v>
      </c>
      <c r="N280" s="78">
        <f t="shared" si="29"/>
        <v>1.077</v>
      </c>
      <c r="O280" s="79">
        <f t="shared" si="25"/>
        <v>8.1148958333333336</v>
      </c>
      <c r="P280" s="79">
        <f t="shared" si="26"/>
        <v>10.387066666666668</v>
      </c>
      <c r="Q280" s="79">
        <f t="shared" si="27"/>
        <v>12.983833333333333</v>
      </c>
      <c r="R280" s="75" t="str">
        <f t="shared" si="28"/>
        <v>Rs./km</v>
      </c>
    </row>
    <row r="281" spans="1:18" ht="15" customHeight="1" x14ac:dyDescent="0.3">
      <c r="A281" s="75">
        <v>269</v>
      </c>
      <c r="B281" s="75" t="s">
        <v>108</v>
      </c>
      <c r="C281" s="75" t="s">
        <v>108</v>
      </c>
      <c r="D281" s="76" t="s">
        <v>644</v>
      </c>
      <c r="E281" s="76" t="s">
        <v>698</v>
      </c>
      <c r="F281" s="75">
        <v>2015</v>
      </c>
      <c r="G281" s="75" t="s">
        <v>646</v>
      </c>
      <c r="H281" s="75" t="s">
        <v>221</v>
      </c>
      <c r="I281" s="76" t="s">
        <v>113</v>
      </c>
      <c r="J281" s="75" t="s">
        <v>222</v>
      </c>
      <c r="K281" s="77">
        <v>57.6</v>
      </c>
      <c r="L281" s="77">
        <v>45</v>
      </c>
      <c r="M281" s="77">
        <v>36</v>
      </c>
      <c r="N281" s="78">
        <f t="shared" si="29"/>
        <v>1.077</v>
      </c>
      <c r="O281" s="79">
        <f t="shared" si="25"/>
        <v>8.1148958333333336</v>
      </c>
      <c r="P281" s="79">
        <f t="shared" si="26"/>
        <v>10.387066666666668</v>
      </c>
      <c r="Q281" s="79">
        <f t="shared" si="27"/>
        <v>12.983833333333333</v>
      </c>
      <c r="R281" s="75" t="str">
        <f t="shared" si="28"/>
        <v>Rs./km</v>
      </c>
    </row>
    <row r="282" spans="1:18" ht="15" customHeight="1" x14ac:dyDescent="0.3">
      <c r="A282" s="75">
        <v>270</v>
      </c>
      <c r="B282" s="75" t="s">
        <v>108</v>
      </c>
      <c r="C282" s="75" t="s">
        <v>108</v>
      </c>
      <c r="D282" s="76" t="s">
        <v>644</v>
      </c>
      <c r="E282" s="76" t="s">
        <v>667</v>
      </c>
      <c r="F282" s="75">
        <v>2013</v>
      </c>
      <c r="G282" s="75" t="s">
        <v>646</v>
      </c>
      <c r="H282" s="75" t="s">
        <v>221</v>
      </c>
      <c r="I282" s="76" t="s">
        <v>113</v>
      </c>
      <c r="J282" s="75" t="s">
        <v>222</v>
      </c>
      <c r="K282" s="77">
        <v>57.6</v>
      </c>
      <c r="L282" s="77">
        <v>45</v>
      </c>
      <c r="M282" s="77">
        <v>36</v>
      </c>
      <c r="N282" s="78">
        <f t="shared" si="29"/>
        <v>1.091</v>
      </c>
      <c r="O282" s="79">
        <f t="shared" si="25"/>
        <v>8.2203819444444441</v>
      </c>
      <c r="P282" s="79">
        <f t="shared" si="26"/>
        <v>10.522088888888888</v>
      </c>
      <c r="Q282" s="79">
        <f t="shared" si="27"/>
        <v>13.15261111111111</v>
      </c>
      <c r="R282" s="75" t="str">
        <f t="shared" si="28"/>
        <v>Rs./km</v>
      </c>
    </row>
    <row r="283" spans="1:18" ht="15" customHeight="1" x14ac:dyDescent="0.3">
      <c r="A283" s="75">
        <v>271</v>
      </c>
      <c r="B283" s="75" t="s">
        <v>108</v>
      </c>
      <c r="C283" s="75" t="s">
        <v>108</v>
      </c>
      <c r="D283" s="76" t="s">
        <v>644</v>
      </c>
      <c r="E283" s="76" t="s">
        <v>661</v>
      </c>
      <c r="F283" s="75">
        <v>2012</v>
      </c>
      <c r="G283" s="75" t="s">
        <v>646</v>
      </c>
      <c r="H283" s="75" t="s">
        <v>221</v>
      </c>
      <c r="I283" s="76" t="s">
        <v>113</v>
      </c>
      <c r="J283" s="75" t="s">
        <v>222</v>
      </c>
      <c r="K283" s="77">
        <v>57.6</v>
      </c>
      <c r="L283" s="77">
        <v>45</v>
      </c>
      <c r="M283" s="77">
        <v>36</v>
      </c>
      <c r="N283" s="78">
        <f t="shared" si="29"/>
        <v>1.0980000000000001</v>
      </c>
      <c r="O283" s="79">
        <f t="shared" si="25"/>
        <v>8.2731250000000003</v>
      </c>
      <c r="P283" s="79">
        <f t="shared" si="26"/>
        <v>10.589600000000001</v>
      </c>
      <c r="Q283" s="79">
        <f t="shared" si="27"/>
        <v>13.237000000000002</v>
      </c>
      <c r="R283" s="75" t="str">
        <f t="shared" si="28"/>
        <v>Rs./km</v>
      </c>
    </row>
    <row r="284" spans="1:18" ht="15" customHeight="1" x14ac:dyDescent="0.3">
      <c r="A284" s="75">
        <v>272</v>
      </c>
      <c r="B284" s="75" t="s">
        <v>108</v>
      </c>
      <c r="C284" s="75" t="s">
        <v>108</v>
      </c>
      <c r="D284" s="76" t="s">
        <v>644</v>
      </c>
      <c r="E284" s="76" t="s">
        <v>661</v>
      </c>
      <c r="F284" s="75">
        <v>2012</v>
      </c>
      <c r="G284" s="75" t="s">
        <v>646</v>
      </c>
      <c r="H284" s="75" t="s">
        <v>221</v>
      </c>
      <c r="I284" s="76" t="s">
        <v>113</v>
      </c>
      <c r="J284" s="75" t="s">
        <v>222</v>
      </c>
      <c r="K284" s="77">
        <v>57.6</v>
      </c>
      <c r="L284" s="77">
        <v>45</v>
      </c>
      <c r="M284" s="77">
        <v>36</v>
      </c>
      <c r="N284" s="78">
        <f t="shared" si="29"/>
        <v>1.0980000000000001</v>
      </c>
      <c r="O284" s="79">
        <f t="shared" si="25"/>
        <v>8.2731250000000003</v>
      </c>
      <c r="P284" s="79">
        <f t="shared" si="26"/>
        <v>10.589600000000001</v>
      </c>
      <c r="Q284" s="79">
        <f t="shared" si="27"/>
        <v>13.237000000000002</v>
      </c>
      <c r="R284" s="75" t="str">
        <f t="shared" si="28"/>
        <v>Rs./km</v>
      </c>
    </row>
    <row r="285" spans="1:18" ht="15" customHeight="1" x14ac:dyDescent="0.3">
      <c r="A285" s="75">
        <v>273</v>
      </c>
      <c r="B285" s="75" t="s">
        <v>108</v>
      </c>
      <c r="C285" s="75" t="s">
        <v>108</v>
      </c>
      <c r="D285" s="76" t="s">
        <v>644</v>
      </c>
      <c r="E285" s="76" t="s">
        <v>667</v>
      </c>
      <c r="F285" s="75">
        <v>2012</v>
      </c>
      <c r="G285" s="75" t="s">
        <v>646</v>
      </c>
      <c r="H285" s="75" t="s">
        <v>221</v>
      </c>
      <c r="I285" s="76" t="s">
        <v>113</v>
      </c>
      <c r="J285" s="75" t="s">
        <v>222</v>
      </c>
      <c r="K285" s="77">
        <v>57.6</v>
      </c>
      <c r="L285" s="77">
        <v>45</v>
      </c>
      <c r="M285" s="77">
        <v>36</v>
      </c>
      <c r="N285" s="78">
        <f t="shared" si="29"/>
        <v>1.0980000000000001</v>
      </c>
      <c r="O285" s="79">
        <f t="shared" si="25"/>
        <v>8.2731250000000003</v>
      </c>
      <c r="P285" s="79">
        <f t="shared" si="26"/>
        <v>10.589600000000001</v>
      </c>
      <c r="Q285" s="79">
        <f t="shared" si="27"/>
        <v>13.237000000000002</v>
      </c>
      <c r="R285" s="75" t="str">
        <f t="shared" si="28"/>
        <v>Rs./km</v>
      </c>
    </row>
    <row r="286" spans="1:18" ht="15" customHeight="1" x14ac:dyDescent="0.3">
      <c r="A286" s="75">
        <v>274</v>
      </c>
      <c r="B286" s="75" t="s">
        <v>108</v>
      </c>
      <c r="C286" s="75" t="s">
        <v>108</v>
      </c>
      <c r="D286" s="76" t="s">
        <v>644</v>
      </c>
      <c r="E286" s="76" t="s">
        <v>667</v>
      </c>
      <c r="F286" s="75">
        <v>2012</v>
      </c>
      <c r="G286" s="75" t="s">
        <v>646</v>
      </c>
      <c r="H286" s="75" t="s">
        <v>221</v>
      </c>
      <c r="I286" s="76" t="s">
        <v>113</v>
      </c>
      <c r="J286" s="75" t="s">
        <v>222</v>
      </c>
      <c r="K286" s="77">
        <v>57.6</v>
      </c>
      <c r="L286" s="77">
        <v>45</v>
      </c>
      <c r="M286" s="77">
        <v>36</v>
      </c>
      <c r="N286" s="78">
        <f t="shared" si="29"/>
        <v>1.0980000000000001</v>
      </c>
      <c r="O286" s="79">
        <f t="shared" si="25"/>
        <v>8.2731250000000003</v>
      </c>
      <c r="P286" s="79">
        <f t="shared" si="26"/>
        <v>10.589600000000001</v>
      </c>
      <c r="Q286" s="79">
        <f t="shared" si="27"/>
        <v>13.237000000000002</v>
      </c>
      <c r="R286" s="75" t="str">
        <f t="shared" si="28"/>
        <v>Rs./km</v>
      </c>
    </row>
    <row r="287" spans="1:18" ht="15" customHeight="1" x14ac:dyDescent="0.3">
      <c r="A287" s="75">
        <v>275</v>
      </c>
      <c r="B287" s="75" t="s">
        <v>108</v>
      </c>
      <c r="C287" s="75" t="s">
        <v>108</v>
      </c>
      <c r="D287" s="76" t="s">
        <v>644</v>
      </c>
      <c r="E287" s="76" t="s">
        <v>667</v>
      </c>
      <c r="F287" s="75">
        <v>2011</v>
      </c>
      <c r="G287" s="75" t="s">
        <v>646</v>
      </c>
      <c r="H287" s="75" t="s">
        <v>221</v>
      </c>
      <c r="I287" s="76" t="s">
        <v>113</v>
      </c>
      <c r="J287" s="75" t="s">
        <v>222</v>
      </c>
      <c r="K287" s="77">
        <v>57.6</v>
      </c>
      <c r="L287" s="77">
        <v>45</v>
      </c>
      <c r="M287" s="77">
        <v>36</v>
      </c>
      <c r="N287" s="78">
        <f t="shared" si="29"/>
        <v>1.105</v>
      </c>
      <c r="O287" s="79">
        <f t="shared" si="25"/>
        <v>8.3258680555555546</v>
      </c>
      <c r="P287" s="79">
        <f t="shared" si="26"/>
        <v>10.65711111111111</v>
      </c>
      <c r="Q287" s="79">
        <f t="shared" si="27"/>
        <v>13.321388888888889</v>
      </c>
      <c r="R287" s="75" t="str">
        <f t="shared" si="28"/>
        <v>Rs./km</v>
      </c>
    </row>
    <row r="288" spans="1:18" ht="15" customHeight="1" x14ac:dyDescent="0.3">
      <c r="A288" s="75">
        <v>276</v>
      </c>
      <c r="B288" s="75" t="s">
        <v>108</v>
      </c>
      <c r="C288" s="75" t="s">
        <v>108</v>
      </c>
      <c r="D288" s="76" t="s">
        <v>644</v>
      </c>
      <c r="E288" s="76" t="s">
        <v>667</v>
      </c>
      <c r="F288" s="75">
        <v>2011</v>
      </c>
      <c r="G288" s="75" t="s">
        <v>646</v>
      </c>
      <c r="H288" s="75" t="s">
        <v>221</v>
      </c>
      <c r="I288" s="76" t="s">
        <v>113</v>
      </c>
      <c r="J288" s="75" t="s">
        <v>222</v>
      </c>
      <c r="K288" s="77">
        <v>57.6</v>
      </c>
      <c r="L288" s="77">
        <v>45</v>
      </c>
      <c r="M288" s="77">
        <v>36</v>
      </c>
      <c r="N288" s="78">
        <f t="shared" si="29"/>
        <v>1.105</v>
      </c>
      <c r="O288" s="79">
        <f t="shared" si="25"/>
        <v>8.3258680555555546</v>
      </c>
      <c r="P288" s="79">
        <f t="shared" si="26"/>
        <v>10.65711111111111</v>
      </c>
      <c r="Q288" s="79">
        <f t="shared" si="27"/>
        <v>13.321388888888889</v>
      </c>
      <c r="R288" s="75" t="str">
        <f t="shared" si="28"/>
        <v>Rs./km</v>
      </c>
    </row>
    <row r="289" spans="1:18" ht="15" customHeight="1" x14ac:dyDescent="0.3">
      <c r="A289" s="75">
        <v>277</v>
      </c>
      <c r="B289" s="75" t="s">
        <v>108</v>
      </c>
      <c r="C289" s="75" t="s">
        <v>108</v>
      </c>
      <c r="D289" s="76" t="s">
        <v>644</v>
      </c>
      <c r="E289" s="76" t="s">
        <v>652</v>
      </c>
      <c r="F289" s="75">
        <v>2006</v>
      </c>
      <c r="G289" s="75" t="s">
        <v>646</v>
      </c>
      <c r="H289" s="75" t="s">
        <v>221</v>
      </c>
      <c r="I289" s="76" t="s">
        <v>113</v>
      </c>
      <c r="J289" s="75" t="s">
        <v>222</v>
      </c>
      <c r="K289" s="77">
        <v>57.6</v>
      </c>
      <c r="L289" s="77">
        <v>45</v>
      </c>
      <c r="M289" s="77">
        <v>36</v>
      </c>
      <c r="N289" s="78">
        <f t="shared" si="29"/>
        <v>1.1400000000000001</v>
      </c>
      <c r="O289" s="79">
        <f t="shared" si="25"/>
        <v>8.5895833333333336</v>
      </c>
      <c r="P289" s="79">
        <f t="shared" si="26"/>
        <v>10.994666666666667</v>
      </c>
      <c r="Q289" s="79">
        <f t="shared" si="27"/>
        <v>13.743333333333334</v>
      </c>
      <c r="R289" s="75" t="str">
        <f t="shared" si="28"/>
        <v>Rs./km</v>
      </c>
    </row>
    <row r="290" spans="1:18" ht="15" customHeight="1" x14ac:dyDescent="0.3">
      <c r="A290" s="75">
        <v>278</v>
      </c>
      <c r="B290" s="75" t="s">
        <v>108</v>
      </c>
      <c r="C290" s="75" t="s">
        <v>718</v>
      </c>
      <c r="D290" s="76" t="s">
        <v>644</v>
      </c>
      <c r="E290" s="76" t="s">
        <v>124</v>
      </c>
      <c r="F290" s="75" t="s">
        <v>108</v>
      </c>
      <c r="G290" s="75" t="s">
        <v>646</v>
      </c>
      <c r="H290" s="75" t="s">
        <v>221</v>
      </c>
      <c r="I290" s="76" t="s">
        <v>113</v>
      </c>
      <c r="J290" s="75" t="s">
        <v>222</v>
      </c>
      <c r="K290" s="77">
        <v>57.6</v>
      </c>
      <c r="L290" s="77">
        <v>45</v>
      </c>
      <c r="M290" s="77">
        <v>36</v>
      </c>
      <c r="N290" s="78">
        <f>1</f>
        <v>1</v>
      </c>
      <c r="O290" s="79">
        <f t="shared" si="25"/>
        <v>7.5347222222222223</v>
      </c>
      <c r="P290" s="79">
        <f t="shared" si="26"/>
        <v>9.6444444444444439</v>
      </c>
      <c r="Q290" s="79">
        <f t="shared" si="27"/>
        <v>12.055555555555555</v>
      </c>
      <c r="R290" s="75" t="str">
        <f t="shared" si="28"/>
        <v>Rs./km</v>
      </c>
    </row>
    <row r="291" spans="1:18" ht="15" customHeight="1" x14ac:dyDescent="0.3">
      <c r="A291" s="75">
        <v>279</v>
      </c>
      <c r="B291" s="75" t="s">
        <v>108</v>
      </c>
      <c r="C291" s="75" t="s">
        <v>719</v>
      </c>
      <c r="D291" s="76" t="s">
        <v>644</v>
      </c>
      <c r="E291" s="76" t="s">
        <v>124</v>
      </c>
      <c r="F291" s="75" t="s">
        <v>108</v>
      </c>
      <c r="G291" s="75" t="s">
        <v>646</v>
      </c>
      <c r="H291" s="75" t="s">
        <v>221</v>
      </c>
      <c r="I291" s="76" t="s">
        <v>113</v>
      </c>
      <c r="J291" s="75" t="s">
        <v>222</v>
      </c>
      <c r="K291" s="77">
        <v>57.6</v>
      </c>
      <c r="L291" s="77">
        <v>45</v>
      </c>
      <c r="M291" s="77">
        <v>36</v>
      </c>
      <c r="N291" s="78">
        <f>1</f>
        <v>1</v>
      </c>
      <c r="O291" s="79">
        <f t="shared" si="25"/>
        <v>7.5347222222222223</v>
      </c>
      <c r="P291" s="79">
        <f t="shared" si="26"/>
        <v>9.6444444444444439</v>
      </c>
      <c r="Q291" s="79">
        <f t="shared" si="27"/>
        <v>12.055555555555555</v>
      </c>
      <c r="R291" s="75" t="str">
        <f t="shared" si="28"/>
        <v>Rs./km</v>
      </c>
    </row>
    <row r="292" spans="1:18" ht="15" customHeight="1" x14ac:dyDescent="0.3">
      <c r="A292" s="75">
        <v>280</v>
      </c>
      <c r="B292" s="75" t="s">
        <v>108</v>
      </c>
      <c r="C292" s="75" t="s">
        <v>720</v>
      </c>
      <c r="D292" s="76" t="s">
        <v>644</v>
      </c>
      <c r="E292" s="76" t="s">
        <v>124</v>
      </c>
      <c r="F292" s="75" t="s">
        <v>108</v>
      </c>
      <c r="G292" s="75" t="s">
        <v>646</v>
      </c>
      <c r="H292" s="75" t="s">
        <v>221</v>
      </c>
      <c r="I292" s="76" t="s">
        <v>113</v>
      </c>
      <c r="J292" s="75" t="s">
        <v>222</v>
      </c>
      <c r="K292" s="77">
        <v>57.6</v>
      </c>
      <c r="L292" s="77">
        <v>45</v>
      </c>
      <c r="M292" s="77">
        <v>36</v>
      </c>
      <c r="N292" s="78">
        <f>1</f>
        <v>1</v>
      </c>
      <c r="O292" s="79">
        <f t="shared" si="25"/>
        <v>7.5347222222222223</v>
      </c>
      <c r="P292" s="79">
        <f t="shared" si="26"/>
        <v>9.6444444444444439</v>
      </c>
      <c r="Q292" s="79">
        <f t="shared" si="27"/>
        <v>12.055555555555555</v>
      </c>
      <c r="R292" s="75" t="str">
        <f t="shared" si="28"/>
        <v>Rs./km</v>
      </c>
    </row>
    <row r="293" spans="1:18" ht="15" customHeight="1" x14ac:dyDescent="0.3">
      <c r="A293" s="75">
        <v>281</v>
      </c>
      <c r="B293" s="75" t="s">
        <v>108</v>
      </c>
      <c r="C293" s="75" t="s">
        <v>721</v>
      </c>
      <c r="D293" s="76" t="s">
        <v>644</v>
      </c>
      <c r="E293" s="76" t="s">
        <v>124</v>
      </c>
      <c r="F293" s="75" t="s">
        <v>108</v>
      </c>
      <c r="G293" s="75" t="s">
        <v>646</v>
      </c>
      <c r="H293" s="75" t="s">
        <v>221</v>
      </c>
      <c r="I293" s="76" t="s">
        <v>113</v>
      </c>
      <c r="J293" s="75" t="s">
        <v>222</v>
      </c>
      <c r="K293" s="77">
        <v>57.6</v>
      </c>
      <c r="L293" s="77">
        <v>45</v>
      </c>
      <c r="M293" s="77">
        <v>36</v>
      </c>
      <c r="N293" s="78">
        <f>1</f>
        <v>1</v>
      </c>
      <c r="O293" s="79">
        <f t="shared" si="25"/>
        <v>7.5347222222222223</v>
      </c>
      <c r="P293" s="79">
        <f t="shared" si="26"/>
        <v>9.6444444444444439</v>
      </c>
      <c r="Q293" s="79">
        <f t="shared" si="27"/>
        <v>12.055555555555555</v>
      </c>
      <c r="R293" s="75" t="str">
        <f t="shared" si="28"/>
        <v>Rs./km</v>
      </c>
    </row>
    <row r="294" spans="1:18" ht="15" customHeight="1" x14ac:dyDescent="0.3">
      <c r="A294" s="75">
        <v>282</v>
      </c>
      <c r="B294" s="75" t="s">
        <v>108</v>
      </c>
      <c r="C294" s="75" t="s">
        <v>722</v>
      </c>
      <c r="D294" s="76" t="s">
        <v>644</v>
      </c>
      <c r="E294" s="76" t="s">
        <v>124</v>
      </c>
      <c r="F294" s="75" t="s">
        <v>108</v>
      </c>
      <c r="G294" s="75" t="s">
        <v>646</v>
      </c>
      <c r="H294" s="75" t="s">
        <v>221</v>
      </c>
      <c r="I294" s="76" t="s">
        <v>113</v>
      </c>
      <c r="J294" s="75" t="s">
        <v>222</v>
      </c>
      <c r="K294" s="77">
        <v>57.6</v>
      </c>
      <c r="L294" s="77">
        <v>45</v>
      </c>
      <c r="M294" s="77">
        <v>36</v>
      </c>
      <c r="N294" s="78">
        <f>1</f>
        <v>1</v>
      </c>
      <c r="O294" s="79">
        <f t="shared" si="25"/>
        <v>7.5347222222222223</v>
      </c>
      <c r="P294" s="79">
        <f t="shared" si="26"/>
        <v>9.6444444444444439</v>
      </c>
      <c r="Q294" s="79">
        <f t="shared" si="27"/>
        <v>12.055555555555555</v>
      </c>
      <c r="R294" s="75" t="str">
        <f t="shared" si="28"/>
        <v>Rs./km</v>
      </c>
    </row>
    <row r="295" spans="1:18" ht="15" customHeight="1" x14ac:dyDescent="0.3">
      <c r="A295" s="75">
        <v>283</v>
      </c>
      <c r="B295" s="75" t="s">
        <v>108</v>
      </c>
      <c r="C295" s="75" t="s">
        <v>723</v>
      </c>
      <c r="D295" s="76" t="s">
        <v>644</v>
      </c>
      <c r="E295" s="76" t="s">
        <v>124</v>
      </c>
      <c r="F295" s="75" t="s">
        <v>108</v>
      </c>
      <c r="G295" s="75" t="s">
        <v>646</v>
      </c>
      <c r="H295" s="75" t="s">
        <v>221</v>
      </c>
      <c r="I295" s="76" t="s">
        <v>113</v>
      </c>
      <c r="J295" s="75" t="s">
        <v>222</v>
      </c>
      <c r="K295" s="77">
        <v>57.6</v>
      </c>
      <c r="L295" s="77">
        <v>45</v>
      </c>
      <c r="M295" s="77">
        <v>36</v>
      </c>
      <c r="N295" s="78">
        <f>1</f>
        <v>1</v>
      </c>
      <c r="O295" s="79">
        <f t="shared" si="25"/>
        <v>7.5347222222222223</v>
      </c>
      <c r="P295" s="79">
        <f t="shared" si="26"/>
        <v>9.6444444444444439</v>
      </c>
      <c r="Q295" s="79">
        <f t="shared" si="27"/>
        <v>12.055555555555555</v>
      </c>
      <c r="R295" s="75" t="str">
        <f t="shared" si="28"/>
        <v>Rs./km</v>
      </c>
    </row>
    <row r="296" spans="1:18" ht="15" customHeight="1" x14ac:dyDescent="0.3">
      <c r="A296" s="75">
        <v>284</v>
      </c>
      <c r="B296" s="75" t="s">
        <v>108</v>
      </c>
      <c r="C296" s="75" t="s">
        <v>724</v>
      </c>
      <c r="D296" s="76" t="s">
        <v>644</v>
      </c>
      <c r="E296" s="76" t="s">
        <v>725</v>
      </c>
      <c r="F296" s="75" t="s">
        <v>108</v>
      </c>
      <c r="G296" s="75" t="s">
        <v>646</v>
      </c>
      <c r="H296" s="75" t="s">
        <v>221</v>
      </c>
      <c r="I296" s="76" t="s">
        <v>113</v>
      </c>
      <c r="J296" s="75" t="s">
        <v>222</v>
      </c>
      <c r="K296" s="77">
        <v>57.6</v>
      </c>
      <c r="L296" s="77">
        <v>45</v>
      </c>
      <c r="M296" s="77">
        <v>36</v>
      </c>
      <c r="N296" s="78">
        <f>1</f>
        <v>1</v>
      </c>
      <c r="O296" s="79">
        <f t="shared" si="25"/>
        <v>7.5347222222222223</v>
      </c>
      <c r="P296" s="79">
        <f t="shared" si="26"/>
        <v>9.6444444444444439</v>
      </c>
      <c r="Q296" s="79">
        <f t="shared" si="27"/>
        <v>12.055555555555555</v>
      </c>
      <c r="R296" s="75" t="str">
        <f t="shared" si="28"/>
        <v>Rs./km</v>
      </c>
    </row>
    <row r="297" spans="1:18" ht="15" customHeight="1" x14ac:dyDescent="0.3">
      <c r="A297" s="75">
        <v>285</v>
      </c>
      <c r="B297" s="75" t="s">
        <v>108</v>
      </c>
      <c r="C297" s="75" t="s">
        <v>726</v>
      </c>
      <c r="D297" s="76" t="s">
        <v>644</v>
      </c>
      <c r="E297" s="76" t="s">
        <v>124</v>
      </c>
      <c r="F297" s="75" t="s">
        <v>108</v>
      </c>
      <c r="G297" s="75" t="s">
        <v>646</v>
      </c>
      <c r="H297" s="75" t="s">
        <v>221</v>
      </c>
      <c r="I297" s="76" t="s">
        <v>113</v>
      </c>
      <c r="J297" s="75" t="s">
        <v>222</v>
      </c>
      <c r="K297" s="77">
        <v>57.6</v>
      </c>
      <c r="L297" s="77">
        <v>45</v>
      </c>
      <c r="M297" s="77">
        <v>36</v>
      </c>
      <c r="N297" s="78">
        <f>1</f>
        <v>1</v>
      </c>
      <c r="O297" s="79">
        <f t="shared" si="25"/>
        <v>7.5347222222222223</v>
      </c>
      <c r="P297" s="79">
        <f t="shared" si="26"/>
        <v>9.6444444444444439</v>
      </c>
      <c r="Q297" s="79">
        <f t="shared" si="27"/>
        <v>12.055555555555555</v>
      </c>
      <c r="R297" s="75" t="str">
        <f t="shared" si="28"/>
        <v>Rs./km</v>
      </c>
    </row>
    <row r="298" spans="1:18" ht="15" customHeight="1" x14ac:dyDescent="0.3">
      <c r="A298" s="75">
        <v>286</v>
      </c>
      <c r="B298" s="75" t="s">
        <v>108</v>
      </c>
      <c r="C298" s="75" t="s">
        <v>727</v>
      </c>
      <c r="D298" s="76" t="s">
        <v>644</v>
      </c>
      <c r="E298" s="76" t="s">
        <v>124</v>
      </c>
      <c r="F298" s="75" t="s">
        <v>108</v>
      </c>
      <c r="G298" s="75" t="s">
        <v>646</v>
      </c>
      <c r="H298" s="75" t="s">
        <v>221</v>
      </c>
      <c r="I298" s="76" t="s">
        <v>113</v>
      </c>
      <c r="J298" s="75" t="s">
        <v>222</v>
      </c>
      <c r="K298" s="77">
        <v>57.6</v>
      </c>
      <c r="L298" s="77">
        <v>45</v>
      </c>
      <c r="M298" s="77">
        <v>36</v>
      </c>
      <c r="N298" s="78">
        <f>1</f>
        <v>1</v>
      </c>
      <c r="O298" s="79">
        <f t="shared" si="25"/>
        <v>7.5347222222222223</v>
      </c>
      <c r="P298" s="79">
        <f t="shared" si="26"/>
        <v>9.6444444444444439</v>
      </c>
      <c r="Q298" s="79">
        <f t="shared" si="27"/>
        <v>12.055555555555555</v>
      </c>
      <c r="R298" s="75" t="str">
        <f t="shared" si="28"/>
        <v>Rs./km</v>
      </c>
    </row>
    <row r="299" spans="1:18" ht="15" customHeight="1" x14ac:dyDescent="0.3">
      <c r="A299" s="75">
        <v>287</v>
      </c>
      <c r="B299" s="75" t="s">
        <v>108</v>
      </c>
      <c r="C299" s="75" t="s">
        <v>728</v>
      </c>
      <c r="D299" s="76" t="s">
        <v>644</v>
      </c>
      <c r="E299" s="76" t="s">
        <v>124</v>
      </c>
      <c r="F299" s="75" t="s">
        <v>108</v>
      </c>
      <c r="G299" s="75" t="s">
        <v>646</v>
      </c>
      <c r="H299" s="75" t="s">
        <v>221</v>
      </c>
      <c r="I299" s="76" t="s">
        <v>113</v>
      </c>
      <c r="J299" s="75" t="s">
        <v>222</v>
      </c>
      <c r="K299" s="77">
        <v>57.6</v>
      </c>
      <c r="L299" s="77">
        <v>45</v>
      </c>
      <c r="M299" s="77">
        <v>36</v>
      </c>
      <c r="N299" s="78">
        <f>1</f>
        <v>1</v>
      </c>
      <c r="O299" s="79">
        <f t="shared" si="25"/>
        <v>7.5347222222222223</v>
      </c>
      <c r="P299" s="79">
        <f t="shared" si="26"/>
        <v>9.6444444444444439</v>
      </c>
      <c r="Q299" s="79">
        <f t="shared" si="27"/>
        <v>12.055555555555555</v>
      </c>
      <c r="R299" s="75" t="str">
        <f t="shared" si="28"/>
        <v>Rs./km</v>
      </c>
    </row>
    <row r="300" spans="1:18" ht="15" customHeight="1" x14ac:dyDescent="0.3">
      <c r="A300" s="75">
        <v>288</v>
      </c>
      <c r="B300" s="75" t="s">
        <v>729</v>
      </c>
      <c r="C300" s="75" t="s">
        <v>108</v>
      </c>
      <c r="D300" s="76" t="s">
        <v>62</v>
      </c>
      <c r="E300" s="76" t="s">
        <v>730</v>
      </c>
      <c r="F300" s="75" t="s">
        <v>108</v>
      </c>
      <c r="G300" s="75" t="s">
        <v>111</v>
      </c>
      <c r="H300" s="75" t="s">
        <v>112</v>
      </c>
      <c r="I300" s="76" t="s">
        <v>113</v>
      </c>
      <c r="J300" s="75" t="s">
        <v>114</v>
      </c>
      <c r="K300" s="77">
        <v>13</v>
      </c>
      <c r="L300" s="77">
        <v>18</v>
      </c>
      <c r="M300" s="77">
        <v>24.3</v>
      </c>
      <c r="N300" s="78">
        <f>1</f>
        <v>1</v>
      </c>
      <c r="O300" s="79">
        <f t="shared" si="25"/>
        <v>6214</v>
      </c>
      <c r="P300" s="79">
        <f t="shared" si="26"/>
        <v>8604</v>
      </c>
      <c r="Q300" s="79">
        <f t="shared" si="27"/>
        <v>11615.4</v>
      </c>
      <c r="R300" s="75" t="str">
        <f t="shared" si="28"/>
        <v>Rs./hr</v>
      </c>
    </row>
    <row r="301" spans="1:18" ht="15" customHeight="1" x14ac:dyDescent="0.3">
      <c r="A301" s="75">
        <v>289</v>
      </c>
      <c r="B301" s="75" t="s">
        <v>731</v>
      </c>
      <c r="C301" s="75" t="s">
        <v>108</v>
      </c>
      <c r="D301" s="76" t="s">
        <v>62</v>
      </c>
      <c r="E301" s="76" t="s">
        <v>124</v>
      </c>
      <c r="F301" s="75" t="s">
        <v>108</v>
      </c>
      <c r="G301" s="75" t="s">
        <v>111</v>
      </c>
      <c r="H301" s="75" t="s">
        <v>112</v>
      </c>
      <c r="I301" s="76" t="s">
        <v>113</v>
      </c>
      <c r="J301" s="75" t="s">
        <v>114</v>
      </c>
      <c r="K301" s="77">
        <v>13</v>
      </c>
      <c r="L301" s="77">
        <v>18</v>
      </c>
      <c r="M301" s="77">
        <v>24.3</v>
      </c>
      <c r="N301" s="78">
        <f>1</f>
        <v>1</v>
      </c>
      <c r="O301" s="79">
        <f t="shared" si="25"/>
        <v>6214</v>
      </c>
      <c r="P301" s="79">
        <f t="shared" si="26"/>
        <v>8604</v>
      </c>
      <c r="Q301" s="79">
        <f t="shared" si="27"/>
        <v>11615.4</v>
      </c>
      <c r="R301" s="75" t="str">
        <f t="shared" si="28"/>
        <v>Rs./hr</v>
      </c>
    </row>
    <row r="302" spans="1:18" ht="15" customHeight="1" x14ac:dyDescent="0.3">
      <c r="A302" s="75">
        <v>290</v>
      </c>
      <c r="B302" s="75" t="s">
        <v>732</v>
      </c>
      <c r="C302" s="75" t="s">
        <v>108</v>
      </c>
      <c r="D302" s="76" t="s">
        <v>62</v>
      </c>
      <c r="E302" s="76" t="s">
        <v>733</v>
      </c>
      <c r="F302" s="75" t="s">
        <v>108</v>
      </c>
      <c r="G302" s="75" t="s">
        <v>111</v>
      </c>
      <c r="H302" s="75" t="s">
        <v>112</v>
      </c>
      <c r="I302" s="76" t="s">
        <v>113</v>
      </c>
      <c r="J302" s="75" t="s">
        <v>114</v>
      </c>
      <c r="K302" s="77">
        <v>13</v>
      </c>
      <c r="L302" s="77">
        <v>18</v>
      </c>
      <c r="M302" s="77">
        <v>24.3</v>
      </c>
      <c r="N302" s="78">
        <f>1</f>
        <v>1</v>
      </c>
      <c r="O302" s="79">
        <f t="shared" si="25"/>
        <v>6214</v>
      </c>
      <c r="P302" s="79">
        <f t="shared" si="26"/>
        <v>8604</v>
      </c>
      <c r="Q302" s="79">
        <f t="shared" si="27"/>
        <v>11615.4</v>
      </c>
      <c r="R302" s="75" t="str">
        <f t="shared" si="28"/>
        <v>Rs./hr</v>
      </c>
    </row>
    <row r="303" spans="1:18" ht="15" customHeight="1" x14ac:dyDescent="0.3">
      <c r="A303" s="75">
        <v>291</v>
      </c>
      <c r="B303" s="75" t="s">
        <v>734</v>
      </c>
      <c r="C303" s="75" t="s">
        <v>108</v>
      </c>
      <c r="D303" s="76" t="s">
        <v>62</v>
      </c>
      <c r="E303" s="76" t="s">
        <v>730</v>
      </c>
      <c r="F303" s="75" t="s">
        <v>108</v>
      </c>
      <c r="G303" s="75" t="s">
        <v>111</v>
      </c>
      <c r="H303" s="75" t="s">
        <v>112</v>
      </c>
      <c r="I303" s="76" t="s">
        <v>113</v>
      </c>
      <c r="J303" s="75" t="s">
        <v>114</v>
      </c>
      <c r="K303" s="77">
        <v>13</v>
      </c>
      <c r="L303" s="77">
        <v>18</v>
      </c>
      <c r="M303" s="77">
        <v>24.3</v>
      </c>
      <c r="N303" s="78">
        <f>1</f>
        <v>1</v>
      </c>
      <c r="O303" s="79">
        <f t="shared" si="25"/>
        <v>6214</v>
      </c>
      <c r="P303" s="79">
        <f t="shared" si="26"/>
        <v>8604</v>
      </c>
      <c r="Q303" s="79">
        <f t="shared" si="27"/>
        <v>11615.4</v>
      </c>
      <c r="R303" s="75" t="str">
        <f t="shared" si="28"/>
        <v>Rs./hr</v>
      </c>
    </row>
    <row r="304" spans="1:18" ht="15" customHeight="1" x14ac:dyDescent="0.3">
      <c r="A304" s="75">
        <v>292</v>
      </c>
      <c r="B304" s="75" t="s">
        <v>735</v>
      </c>
      <c r="C304" s="75" t="s">
        <v>108</v>
      </c>
      <c r="D304" s="76" t="s">
        <v>62</v>
      </c>
      <c r="E304" s="76" t="s">
        <v>736</v>
      </c>
      <c r="F304" s="75" t="s">
        <v>108</v>
      </c>
      <c r="G304" s="75" t="s">
        <v>111</v>
      </c>
      <c r="H304" s="75" t="s">
        <v>112</v>
      </c>
      <c r="I304" s="76" t="s">
        <v>113</v>
      </c>
      <c r="J304" s="75" t="s">
        <v>114</v>
      </c>
      <c r="K304" s="77">
        <v>13</v>
      </c>
      <c r="L304" s="77">
        <v>18</v>
      </c>
      <c r="M304" s="77">
        <v>24.3</v>
      </c>
      <c r="N304" s="78">
        <f>1</f>
        <v>1</v>
      </c>
      <c r="O304" s="79">
        <f t="shared" si="25"/>
        <v>6214</v>
      </c>
      <c r="P304" s="79">
        <f t="shared" si="26"/>
        <v>8604</v>
      </c>
      <c r="Q304" s="79">
        <f t="shared" si="27"/>
        <v>11615.4</v>
      </c>
      <c r="R304" s="75" t="str">
        <f t="shared" si="28"/>
        <v>Rs./hr</v>
      </c>
    </row>
    <row r="305" spans="1:18" ht="15" customHeight="1" x14ac:dyDescent="0.3">
      <c r="A305" s="75">
        <v>293</v>
      </c>
      <c r="B305" s="75" t="s">
        <v>61</v>
      </c>
      <c r="C305" s="75" t="s">
        <v>108</v>
      </c>
      <c r="D305" s="76" t="s">
        <v>62</v>
      </c>
      <c r="E305" s="76" t="s">
        <v>737</v>
      </c>
      <c r="F305" s="75" t="s">
        <v>108</v>
      </c>
      <c r="G305" s="75" t="s">
        <v>111</v>
      </c>
      <c r="H305" s="75" t="s">
        <v>112</v>
      </c>
      <c r="I305" s="76" t="s">
        <v>113</v>
      </c>
      <c r="J305" s="75" t="s">
        <v>114</v>
      </c>
      <c r="K305" s="77">
        <v>13</v>
      </c>
      <c r="L305" s="77">
        <v>18</v>
      </c>
      <c r="M305" s="77">
        <v>24.3</v>
      </c>
      <c r="N305" s="78">
        <f>1</f>
        <v>1</v>
      </c>
      <c r="O305" s="79">
        <f t="shared" si="25"/>
        <v>6214</v>
      </c>
      <c r="P305" s="79">
        <f t="shared" si="26"/>
        <v>8604</v>
      </c>
      <c r="Q305" s="79">
        <f t="shared" si="27"/>
        <v>11615.4</v>
      </c>
      <c r="R305" s="75" t="str">
        <f t="shared" si="28"/>
        <v>Rs./hr</v>
      </c>
    </row>
    <row r="306" spans="1:18" ht="15" customHeight="1" x14ac:dyDescent="0.3">
      <c r="A306" s="75">
        <v>294</v>
      </c>
      <c r="B306" s="75" t="s">
        <v>738</v>
      </c>
      <c r="C306" s="75" t="s">
        <v>739</v>
      </c>
      <c r="D306" s="76" t="s">
        <v>62</v>
      </c>
      <c r="E306" s="76" t="s">
        <v>730</v>
      </c>
      <c r="F306" s="75" t="s">
        <v>108</v>
      </c>
      <c r="G306" s="75" t="s">
        <v>111</v>
      </c>
      <c r="H306" s="75" t="s">
        <v>112</v>
      </c>
      <c r="I306" s="76" t="s">
        <v>113</v>
      </c>
      <c r="J306" s="75" t="s">
        <v>114</v>
      </c>
      <c r="K306" s="77">
        <v>13</v>
      </c>
      <c r="L306" s="77">
        <v>18</v>
      </c>
      <c r="M306" s="77">
        <v>24.3</v>
      </c>
      <c r="N306" s="78">
        <f>1</f>
        <v>1</v>
      </c>
      <c r="O306" s="79">
        <f t="shared" si="25"/>
        <v>6214</v>
      </c>
      <c r="P306" s="79">
        <f t="shared" si="26"/>
        <v>8604</v>
      </c>
      <c r="Q306" s="79">
        <f t="shared" si="27"/>
        <v>11615.4</v>
      </c>
      <c r="R306" s="75" t="str">
        <f t="shared" si="28"/>
        <v>Rs./hr</v>
      </c>
    </row>
    <row r="307" spans="1:18" ht="15" customHeight="1" x14ac:dyDescent="0.3">
      <c r="A307" s="75">
        <v>295</v>
      </c>
      <c r="B307" s="75" t="s">
        <v>740</v>
      </c>
      <c r="C307" s="75" t="s">
        <v>741</v>
      </c>
      <c r="D307" s="76" t="s">
        <v>62</v>
      </c>
      <c r="E307" s="76" t="s">
        <v>742</v>
      </c>
      <c r="F307" s="75">
        <v>2020</v>
      </c>
      <c r="G307" s="75" t="s">
        <v>111</v>
      </c>
      <c r="H307" s="75" t="s">
        <v>112</v>
      </c>
      <c r="I307" s="76" t="s">
        <v>113</v>
      </c>
      <c r="J307" s="75" t="s">
        <v>114</v>
      </c>
      <c r="K307" s="77">
        <v>13</v>
      </c>
      <c r="L307" s="77">
        <v>18</v>
      </c>
      <c r="M307" s="77">
        <v>24.3</v>
      </c>
      <c r="N307" s="78">
        <f>1+MIN(MAX($D$8-F307,0),$D$10)*$D$9</f>
        <v>1.042</v>
      </c>
      <c r="O307" s="79">
        <f t="shared" si="25"/>
        <v>6474.9880000000003</v>
      </c>
      <c r="P307" s="79">
        <f t="shared" si="26"/>
        <v>8965.3680000000004</v>
      </c>
      <c r="Q307" s="79">
        <f t="shared" si="27"/>
        <v>12103.246800000001</v>
      </c>
      <c r="R307" s="75" t="str">
        <f t="shared" si="28"/>
        <v>Rs./hr</v>
      </c>
    </row>
    <row r="308" spans="1:18" ht="15" customHeight="1" x14ac:dyDescent="0.3">
      <c r="A308" s="75">
        <v>296</v>
      </c>
      <c r="B308" s="75" t="s">
        <v>743</v>
      </c>
      <c r="C308" s="75" t="s">
        <v>744</v>
      </c>
      <c r="D308" s="76" t="s">
        <v>62</v>
      </c>
      <c r="E308" s="76" t="s">
        <v>742</v>
      </c>
      <c r="F308" s="75">
        <v>2020</v>
      </c>
      <c r="G308" s="75" t="s">
        <v>111</v>
      </c>
      <c r="H308" s="75" t="s">
        <v>112</v>
      </c>
      <c r="I308" s="76" t="s">
        <v>113</v>
      </c>
      <c r="J308" s="75" t="s">
        <v>114</v>
      </c>
      <c r="K308" s="77">
        <v>13</v>
      </c>
      <c r="L308" s="77">
        <v>18</v>
      </c>
      <c r="M308" s="77">
        <v>24.3</v>
      </c>
      <c r="N308" s="78">
        <f>1+MIN(MAX($D$8-F308,0),$D$10)*$D$9</f>
        <v>1.042</v>
      </c>
      <c r="O308" s="79">
        <f t="shared" si="25"/>
        <v>6474.9880000000003</v>
      </c>
      <c r="P308" s="79">
        <f t="shared" si="26"/>
        <v>8965.3680000000004</v>
      </c>
      <c r="Q308" s="79">
        <f t="shared" si="27"/>
        <v>12103.246800000001</v>
      </c>
      <c r="R308" s="75" t="str">
        <f t="shared" si="28"/>
        <v>Rs./hr</v>
      </c>
    </row>
    <row r="309" spans="1:18" ht="15" customHeight="1" x14ac:dyDescent="0.3">
      <c r="A309" s="75">
        <v>297</v>
      </c>
      <c r="B309" s="75" t="s">
        <v>745</v>
      </c>
      <c r="C309" s="75" t="s">
        <v>746</v>
      </c>
      <c r="D309" s="76" t="s">
        <v>62</v>
      </c>
      <c r="E309" s="76" t="s">
        <v>742</v>
      </c>
      <c r="F309" s="75">
        <v>2020</v>
      </c>
      <c r="G309" s="75" t="s">
        <v>111</v>
      </c>
      <c r="H309" s="75" t="s">
        <v>112</v>
      </c>
      <c r="I309" s="76" t="s">
        <v>113</v>
      </c>
      <c r="J309" s="75" t="s">
        <v>114</v>
      </c>
      <c r="K309" s="77">
        <v>13</v>
      </c>
      <c r="L309" s="77">
        <v>18</v>
      </c>
      <c r="M309" s="77">
        <v>24.3</v>
      </c>
      <c r="N309" s="78">
        <f>1+MIN(MAX($D$8-F309,0),$D$10)*$D$9</f>
        <v>1.042</v>
      </c>
      <c r="O309" s="79">
        <f t="shared" si="25"/>
        <v>6474.9880000000003</v>
      </c>
      <c r="P309" s="79">
        <f t="shared" si="26"/>
        <v>8965.3680000000004</v>
      </c>
      <c r="Q309" s="79">
        <f t="shared" si="27"/>
        <v>12103.246800000001</v>
      </c>
      <c r="R309" s="75" t="str">
        <f t="shared" si="28"/>
        <v>Rs./hr</v>
      </c>
    </row>
    <row r="310" spans="1:18" ht="15" customHeight="1" x14ac:dyDescent="0.3">
      <c r="A310" s="75">
        <v>298</v>
      </c>
      <c r="B310" s="75" t="s">
        <v>747</v>
      </c>
      <c r="C310" s="75" t="s">
        <v>108</v>
      </c>
      <c r="D310" s="76" t="s">
        <v>62</v>
      </c>
      <c r="E310" s="76" t="s">
        <v>748</v>
      </c>
      <c r="F310" s="75" t="s">
        <v>108</v>
      </c>
      <c r="G310" s="75" t="s">
        <v>111</v>
      </c>
      <c r="H310" s="75" t="s">
        <v>112</v>
      </c>
      <c r="I310" s="76" t="s">
        <v>113</v>
      </c>
      <c r="J310" s="75" t="s">
        <v>114</v>
      </c>
      <c r="K310" s="77">
        <v>13</v>
      </c>
      <c r="L310" s="77">
        <v>18</v>
      </c>
      <c r="M310" s="77">
        <v>24.3</v>
      </c>
      <c r="N310" s="78">
        <f>1</f>
        <v>1</v>
      </c>
      <c r="O310" s="79">
        <f t="shared" si="25"/>
        <v>6214</v>
      </c>
      <c r="P310" s="79">
        <f t="shared" si="26"/>
        <v>8604</v>
      </c>
      <c r="Q310" s="79">
        <f t="shared" si="27"/>
        <v>11615.4</v>
      </c>
      <c r="R310" s="75" t="str">
        <f t="shared" si="28"/>
        <v>Rs./hr</v>
      </c>
    </row>
    <row r="311" spans="1:18" ht="15" customHeight="1" x14ac:dyDescent="0.3">
      <c r="A311" s="75">
        <v>299</v>
      </c>
      <c r="B311" s="75" t="s">
        <v>69</v>
      </c>
      <c r="C311" s="75" t="s">
        <v>749</v>
      </c>
      <c r="D311" s="76" t="s">
        <v>62</v>
      </c>
      <c r="E311" s="76" t="s">
        <v>742</v>
      </c>
      <c r="F311" s="75">
        <v>2021</v>
      </c>
      <c r="G311" s="75" t="s">
        <v>111</v>
      </c>
      <c r="H311" s="75" t="s">
        <v>112</v>
      </c>
      <c r="I311" s="76" t="s">
        <v>113</v>
      </c>
      <c r="J311" s="75" t="s">
        <v>114</v>
      </c>
      <c r="K311" s="77">
        <v>13</v>
      </c>
      <c r="L311" s="77">
        <v>18</v>
      </c>
      <c r="M311" s="77">
        <v>24.3</v>
      </c>
      <c r="N311" s="78">
        <f>1+MIN(MAX($D$8-F311,0),$D$10)*$D$9</f>
        <v>1.0349999999999999</v>
      </c>
      <c r="O311" s="79">
        <f t="shared" si="25"/>
        <v>6431.4899999999989</v>
      </c>
      <c r="P311" s="79">
        <f t="shared" si="26"/>
        <v>8905.14</v>
      </c>
      <c r="Q311" s="79">
        <f t="shared" si="27"/>
        <v>12021.938999999998</v>
      </c>
      <c r="R311" s="75" t="str">
        <f t="shared" si="28"/>
        <v>Rs./hr</v>
      </c>
    </row>
    <row r="312" spans="1:18" ht="15" customHeight="1" x14ac:dyDescent="0.3">
      <c r="A312" s="75">
        <v>300</v>
      </c>
      <c r="B312" s="75" t="s">
        <v>750</v>
      </c>
      <c r="C312" s="75" t="s">
        <v>751</v>
      </c>
      <c r="D312" s="76" t="s">
        <v>62</v>
      </c>
      <c r="E312" s="76" t="s">
        <v>752</v>
      </c>
      <c r="F312" s="75">
        <v>2021</v>
      </c>
      <c r="G312" s="75" t="s">
        <v>111</v>
      </c>
      <c r="H312" s="75" t="s">
        <v>112</v>
      </c>
      <c r="I312" s="76" t="s">
        <v>113</v>
      </c>
      <c r="J312" s="75" t="s">
        <v>114</v>
      </c>
      <c r="K312" s="77">
        <v>13</v>
      </c>
      <c r="L312" s="77">
        <v>18</v>
      </c>
      <c r="M312" s="77">
        <v>24.3</v>
      </c>
      <c r="N312" s="78">
        <f>1+MIN(MAX($D$8-F312,0),$D$10)*$D$9</f>
        <v>1.0349999999999999</v>
      </c>
      <c r="O312" s="79">
        <f t="shared" si="25"/>
        <v>6431.4899999999989</v>
      </c>
      <c r="P312" s="79">
        <f t="shared" si="26"/>
        <v>8905.14</v>
      </c>
      <c r="Q312" s="79">
        <f t="shared" si="27"/>
        <v>12021.938999999998</v>
      </c>
      <c r="R312" s="75" t="str">
        <f t="shared" si="28"/>
        <v>Rs./hr</v>
      </c>
    </row>
    <row r="313" spans="1:18" ht="15" customHeight="1" x14ac:dyDescent="0.3">
      <c r="A313" s="75">
        <v>301</v>
      </c>
      <c r="B313" s="75" t="s">
        <v>753</v>
      </c>
      <c r="C313" s="75" t="s">
        <v>108</v>
      </c>
      <c r="D313" s="76" t="s">
        <v>62</v>
      </c>
      <c r="E313" s="76" t="s">
        <v>754</v>
      </c>
      <c r="F313" s="75">
        <v>2014</v>
      </c>
      <c r="G313" s="75" t="s">
        <v>111</v>
      </c>
      <c r="H313" s="75" t="s">
        <v>112</v>
      </c>
      <c r="I313" s="76" t="s">
        <v>113</v>
      </c>
      <c r="J313" s="75" t="s">
        <v>114</v>
      </c>
      <c r="K313" s="77">
        <v>13</v>
      </c>
      <c r="L313" s="77">
        <v>18</v>
      </c>
      <c r="M313" s="77">
        <v>24.3</v>
      </c>
      <c r="N313" s="78">
        <f>1+MIN(MAX($D$8-F313,0),$D$10)*$D$9</f>
        <v>1.0840000000000001</v>
      </c>
      <c r="O313" s="79">
        <f t="shared" si="25"/>
        <v>6735.9760000000006</v>
      </c>
      <c r="P313" s="79">
        <f t="shared" si="26"/>
        <v>9326.7360000000008</v>
      </c>
      <c r="Q313" s="79">
        <f t="shared" si="27"/>
        <v>12591.093600000002</v>
      </c>
      <c r="R313" s="75" t="str">
        <f t="shared" si="28"/>
        <v>Rs./hr</v>
      </c>
    </row>
    <row r="314" spans="1:18" ht="15" customHeight="1" x14ac:dyDescent="0.3">
      <c r="A314" s="75">
        <v>302</v>
      </c>
      <c r="B314" s="75" t="s">
        <v>755</v>
      </c>
      <c r="C314" s="75" t="s">
        <v>108</v>
      </c>
      <c r="D314" s="76" t="s">
        <v>62</v>
      </c>
      <c r="E314" s="76" t="s">
        <v>756</v>
      </c>
      <c r="F314" s="75">
        <v>2008</v>
      </c>
      <c r="G314" s="75" t="s">
        <v>111</v>
      </c>
      <c r="H314" s="75" t="s">
        <v>112</v>
      </c>
      <c r="I314" s="76" t="s">
        <v>113</v>
      </c>
      <c r="J314" s="75" t="s">
        <v>114</v>
      </c>
      <c r="K314" s="77">
        <v>13</v>
      </c>
      <c r="L314" s="77">
        <v>18</v>
      </c>
      <c r="M314" s="77">
        <v>24.3</v>
      </c>
      <c r="N314" s="78">
        <f>1+MIN(MAX($D$8-F314,0),$D$10)*$D$9</f>
        <v>1.1259999999999999</v>
      </c>
      <c r="O314" s="79">
        <f t="shared" si="25"/>
        <v>6996.963999999999</v>
      </c>
      <c r="P314" s="79">
        <f t="shared" si="26"/>
        <v>9688.1039999999994</v>
      </c>
      <c r="Q314" s="79">
        <f t="shared" si="27"/>
        <v>13078.940399999999</v>
      </c>
      <c r="R314" s="75" t="str">
        <f t="shared" si="28"/>
        <v>Rs./hr</v>
      </c>
    </row>
    <row r="315" spans="1:18" ht="23.25" customHeight="1" x14ac:dyDescent="0.3">
      <c r="A315" s="75">
        <v>303</v>
      </c>
      <c r="B315" s="75" t="s">
        <v>757</v>
      </c>
      <c r="C315" s="75" t="s">
        <v>108</v>
      </c>
      <c r="D315" s="76" t="s">
        <v>62</v>
      </c>
      <c r="E315" s="76" t="s">
        <v>758</v>
      </c>
      <c r="F315" s="75" t="s">
        <v>108</v>
      </c>
      <c r="G315" s="75" t="s">
        <v>111</v>
      </c>
      <c r="H315" s="75" t="s">
        <v>112</v>
      </c>
      <c r="I315" s="76" t="s">
        <v>113</v>
      </c>
      <c r="J315" s="75" t="s">
        <v>114</v>
      </c>
      <c r="K315" s="77">
        <v>13</v>
      </c>
      <c r="L315" s="77">
        <v>18</v>
      </c>
      <c r="M315" s="77">
        <v>24.3</v>
      </c>
      <c r="N315" s="78">
        <f>1</f>
        <v>1</v>
      </c>
      <c r="O315" s="79">
        <f t="shared" si="25"/>
        <v>6214</v>
      </c>
      <c r="P315" s="79">
        <f t="shared" si="26"/>
        <v>8604</v>
      </c>
      <c r="Q315" s="79">
        <f t="shared" si="27"/>
        <v>11615.4</v>
      </c>
      <c r="R315" s="75" t="str">
        <f t="shared" si="28"/>
        <v>Rs./hr</v>
      </c>
    </row>
    <row r="316" spans="1:18" ht="15" customHeight="1" x14ac:dyDescent="0.3">
      <c r="A316" s="75">
        <v>304</v>
      </c>
      <c r="B316" s="75" t="s">
        <v>759</v>
      </c>
      <c r="C316" s="75" t="s">
        <v>108</v>
      </c>
      <c r="D316" s="76" t="s">
        <v>760</v>
      </c>
      <c r="E316" s="76" t="s">
        <v>761</v>
      </c>
      <c r="F316" s="75">
        <v>2012</v>
      </c>
      <c r="G316" s="75" t="s">
        <v>111</v>
      </c>
      <c r="H316" s="75" t="s">
        <v>112</v>
      </c>
      <c r="I316" s="76" t="s">
        <v>113</v>
      </c>
      <c r="J316" s="75" t="s">
        <v>114</v>
      </c>
      <c r="K316" s="77">
        <v>6.5</v>
      </c>
      <c r="L316" s="77">
        <v>9</v>
      </c>
      <c r="M316" s="77">
        <v>12.2</v>
      </c>
      <c r="N316" s="78">
        <f t="shared" ref="N316:N322" si="30">1+MIN(MAX($D$8-F316,0),$D$10)*$D$9</f>
        <v>1.0980000000000001</v>
      </c>
      <c r="O316" s="79">
        <f t="shared" si="25"/>
        <v>3411.4860000000003</v>
      </c>
      <c r="P316" s="79">
        <f t="shared" si="26"/>
        <v>4723.5960000000005</v>
      </c>
      <c r="Q316" s="79">
        <f t="shared" si="27"/>
        <v>6403.0968000000003</v>
      </c>
      <c r="R316" s="75" t="str">
        <f t="shared" si="28"/>
        <v>Rs./hr</v>
      </c>
    </row>
    <row r="317" spans="1:18" ht="15" customHeight="1" x14ac:dyDescent="0.3">
      <c r="A317" s="75">
        <v>305</v>
      </c>
      <c r="B317" s="75" t="s">
        <v>762</v>
      </c>
      <c r="C317" s="75" t="s">
        <v>108</v>
      </c>
      <c r="D317" s="76" t="s">
        <v>760</v>
      </c>
      <c r="E317" s="76" t="s">
        <v>763</v>
      </c>
      <c r="F317" s="75">
        <v>2012</v>
      </c>
      <c r="G317" s="75" t="s">
        <v>111</v>
      </c>
      <c r="H317" s="75" t="s">
        <v>112</v>
      </c>
      <c r="I317" s="76" t="s">
        <v>113</v>
      </c>
      <c r="J317" s="75" t="s">
        <v>114</v>
      </c>
      <c r="K317" s="77">
        <v>6.5</v>
      </c>
      <c r="L317" s="77">
        <v>9</v>
      </c>
      <c r="M317" s="77">
        <v>12.2</v>
      </c>
      <c r="N317" s="78">
        <f t="shared" si="30"/>
        <v>1.0980000000000001</v>
      </c>
      <c r="O317" s="79">
        <f t="shared" si="25"/>
        <v>3411.4860000000003</v>
      </c>
      <c r="P317" s="79">
        <f t="shared" si="26"/>
        <v>4723.5960000000005</v>
      </c>
      <c r="Q317" s="79">
        <f t="shared" si="27"/>
        <v>6403.0968000000003</v>
      </c>
      <c r="R317" s="75" t="str">
        <f t="shared" si="28"/>
        <v>Rs./hr</v>
      </c>
    </row>
    <row r="318" spans="1:18" ht="15" customHeight="1" x14ac:dyDescent="0.3">
      <c r="A318" s="75">
        <v>306</v>
      </c>
      <c r="B318" s="75" t="s">
        <v>764</v>
      </c>
      <c r="C318" s="75" t="s">
        <v>108</v>
      </c>
      <c r="D318" s="76" t="s">
        <v>760</v>
      </c>
      <c r="E318" s="76" t="s">
        <v>124</v>
      </c>
      <c r="F318" s="75">
        <v>2012</v>
      </c>
      <c r="G318" s="75" t="s">
        <v>111</v>
      </c>
      <c r="H318" s="75" t="s">
        <v>112</v>
      </c>
      <c r="I318" s="76" t="s">
        <v>113</v>
      </c>
      <c r="J318" s="75" t="s">
        <v>114</v>
      </c>
      <c r="K318" s="77">
        <v>6.5</v>
      </c>
      <c r="L318" s="77">
        <v>9</v>
      </c>
      <c r="M318" s="77">
        <v>12.2</v>
      </c>
      <c r="N318" s="78">
        <f t="shared" si="30"/>
        <v>1.0980000000000001</v>
      </c>
      <c r="O318" s="79">
        <f t="shared" si="25"/>
        <v>3411.4860000000003</v>
      </c>
      <c r="P318" s="79">
        <f t="shared" si="26"/>
        <v>4723.5960000000005</v>
      </c>
      <c r="Q318" s="79">
        <f t="shared" si="27"/>
        <v>6403.0968000000003</v>
      </c>
      <c r="R318" s="75" t="str">
        <f t="shared" si="28"/>
        <v>Rs./hr</v>
      </c>
    </row>
    <row r="319" spans="1:18" ht="15" customHeight="1" x14ac:dyDescent="0.3">
      <c r="A319" s="75">
        <v>307</v>
      </c>
      <c r="B319" s="75" t="s">
        <v>765</v>
      </c>
      <c r="C319" s="75" t="s">
        <v>108</v>
      </c>
      <c r="D319" s="76" t="s">
        <v>760</v>
      </c>
      <c r="E319" s="76" t="s">
        <v>766</v>
      </c>
      <c r="F319" s="75">
        <v>2012</v>
      </c>
      <c r="G319" s="75" t="s">
        <v>111</v>
      </c>
      <c r="H319" s="75" t="s">
        <v>112</v>
      </c>
      <c r="I319" s="76" t="s">
        <v>113</v>
      </c>
      <c r="J319" s="75" t="s">
        <v>114</v>
      </c>
      <c r="K319" s="77">
        <v>6.5</v>
      </c>
      <c r="L319" s="77">
        <v>9</v>
      </c>
      <c r="M319" s="77">
        <v>12.2</v>
      </c>
      <c r="N319" s="78">
        <f t="shared" si="30"/>
        <v>1.0980000000000001</v>
      </c>
      <c r="O319" s="79">
        <f t="shared" si="25"/>
        <v>3411.4860000000003</v>
      </c>
      <c r="P319" s="79">
        <f t="shared" si="26"/>
        <v>4723.5960000000005</v>
      </c>
      <c r="Q319" s="79">
        <f t="shared" si="27"/>
        <v>6403.0968000000003</v>
      </c>
      <c r="R319" s="75" t="str">
        <f t="shared" si="28"/>
        <v>Rs./hr</v>
      </c>
    </row>
    <row r="320" spans="1:18" ht="15" customHeight="1" x14ac:dyDescent="0.3">
      <c r="A320" s="75">
        <v>308</v>
      </c>
      <c r="B320" s="75" t="s">
        <v>767</v>
      </c>
      <c r="C320" s="75" t="s">
        <v>108</v>
      </c>
      <c r="D320" s="76" t="s">
        <v>760</v>
      </c>
      <c r="E320" s="76" t="s">
        <v>766</v>
      </c>
      <c r="F320" s="75">
        <v>2012</v>
      </c>
      <c r="G320" s="75" t="s">
        <v>111</v>
      </c>
      <c r="H320" s="75" t="s">
        <v>112</v>
      </c>
      <c r="I320" s="76" t="s">
        <v>113</v>
      </c>
      <c r="J320" s="75" t="s">
        <v>114</v>
      </c>
      <c r="K320" s="77">
        <v>6.5</v>
      </c>
      <c r="L320" s="77">
        <v>9</v>
      </c>
      <c r="M320" s="77">
        <v>12.2</v>
      </c>
      <c r="N320" s="78">
        <f t="shared" si="30"/>
        <v>1.0980000000000001</v>
      </c>
      <c r="O320" s="79">
        <f t="shared" si="25"/>
        <v>3411.4860000000003</v>
      </c>
      <c r="P320" s="79">
        <f t="shared" si="26"/>
        <v>4723.5960000000005</v>
      </c>
      <c r="Q320" s="79">
        <f t="shared" si="27"/>
        <v>6403.0968000000003</v>
      </c>
      <c r="R320" s="75" t="str">
        <f t="shared" si="28"/>
        <v>Rs./hr</v>
      </c>
    </row>
    <row r="321" spans="1:18" ht="15" customHeight="1" x14ac:dyDescent="0.3">
      <c r="A321" s="75">
        <v>309</v>
      </c>
      <c r="B321" s="75" t="s">
        <v>768</v>
      </c>
      <c r="C321" s="75" t="s">
        <v>108</v>
      </c>
      <c r="D321" s="76" t="s">
        <v>760</v>
      </c>
      <c r="E321" s="76" t="s">
        <v>769</v>
      </c>
      <c r="F321" s="75">
        <v>2012</v>
      </c>
      <c r="G321" s="75" t="s">
        <v>111</v>
      </c>
      <c r="H321" s="75" t="s">
        <v>112</v>
      </c>
      <c r="I321" s="76" t="s">
        <v>113</v>
      </c>
      <c r="J321" s="75" t="s">
        <v>114</v>
      </c>
      <c r="K321" s="77">
        <v>6.5</v>
      </c>
      <c r="L321" s="77">
        <v>9</v>
      </c>
      <c r="M321" s="77">
        <v>12.2</v>
      </c>
      <c r="N321" s="78">
        <f t="shared" si="30"/>
        <v>1.0980000000000001</v>
      </c>
      <c r="O321" s="79">
        <f t="shared" si="25"/>
        <v>3411.4860000000003</v>
      </c>
      <c r="P321" s="79">
        <f t="shared" si="26"/>
        <v>4723.5960000000005</v>
      </c>
      <c r="Q321" s="79">
        <f t="shared" si="27"/>
        <v>6403.0968000000003</v>
      </c>
      <c r="R321" s="75" t="str">
        <f t="shared" si="28"/>
        <v>Rs./hr</v>
      </c>
    </row>
    <row r="322" spans="1:18" ht="15" customHeight="1" x14ac:dyDescent="0.3">
      <c r="A322" s="75">
        <v>310</v>
      </c>
      <c r="B322" s="75" t="s">
        <v>770</v>
      </c>
      <c r="C322" s="75" t="s">
        <v>108</v>
      </c>
      <c r="D322" s="76" t="s">
        <v>760</v>
      </c>
      <c r="E322" s="76" t="s">
        <v>771</v>
      </c>
      <c r="F322" s="75">
        <v>2012</v>
      </c>
      <c r="G322" s="75" t="s">
        <v>111</v>
      </c>
      <c r="H322" s="75" t="s">
        <v>112</v>
      </c>
      <c r="I322" s="76" t="s">
        <v>113</v>
      </c>
      <c r="J322" s="75" t="s">
        <v>114</v>
      </c>
      <c r="K322" s="77">
        <v>6.5</v>
      </c>
      <c r="L322" s="77">
        <v>9</v>
      </c>
      <c r="M322" s="77">
        <v>12.2</v>
      </c>
      <c r="N322" s="78">
        <f t="shared" si="30"/>
        <v>1.0980000000000001</v>
      </c>
      <c r="O322" s="79">
        <f t="shared" si="25"/>
        <v>3411.4860000000003</v>
      </c>
      <c r="P322" s="79">
        <f t="shared" si="26"/>
        <v>4723.5960000000005</v>
      </c>
      <c r="Q322" s="79">
        <f t="shared" si="27"/>
        <v>6403.0968000000003</v>
      </c>
      <c r="R322" s="75" t="str">
        <f t="shared" si="28"/>
        <v>Rs./hr</v>
      </c>
    </row>
    <row r="323" spans="1:18" ht="15" customHeight="1" x14ac:dyDescent="0.3">
      <c r="A323" s="75">
        <v>311</v>
      </c>
      <c r="B323" s="75" t="s">
        <v>772</v>
      </c>
      <c r="C323" s="75" t="s">
        <v>108</v>
      </c>
      <c r="D323" s="76" t="s">
        <v>760</v>
      </c>
      <c r="E323" s="76" t="s">
        <v>773</v>
      </c>
      <c r="F323" s="75" t="s">
        <v>108</v>
      </c>
      <c r="G323" s="75" t="s">
        <v>111</v>
      </c>
      <c r="H323" s="75" t="s">
        <v>112</v>
      </c>
      <c r="I323" s="76" t="s">
        <v>113</v>
      </c>
      <c r="J323" s="75" t="s">
        <v>114</v>
      </c>
      <c r="K323" s="77">
        <v>6.5</v>
      </c>
      <c r="L323" s="77">
        <v>9</v>
      </c>
      <c r="M323" s="77">
        <v>12.2</v>
      </c>
      <c r="N323" s="78">
        <f>1</f>
        <v>1</v>
      </c>
      <c r="O323" s="79">
        <f t="shared" si="25"/>
        <v>3107</v>
      </c>
      <c r="P323" s="79">
        <f t="shared" si="26"/>
        <v>4302</v>
      </c>
      <c r="Q323" s="79">
        <f t="shared" si="27"/>
        <v>5831.5999999999995</v>
      </c>
      <c r="R323" s="75" t="str">
        <f t="shared" si="28"/>
        <v>Rs./hr</v>
      </c>
    </row>
    <row r="324" spans="1:18" ht="15" customHeight="1" x14ac:dyDescent="0.3">
      <c r="A324" s="75">
        <v>312</v>
      </c>
      <c r="B324" s="75" t="s">
        <v>774</v>
      </c>
      <c r="C324" s="75" t="s">
        <v>108</v>
      </c>
      <c r="D324" s="76" t="s">
        <v>760</v>
      </c>
      <c r="E324" s="76" t="s">
        <v>775</v>
      </c>
      <c r="F324" s="75">
        <v>2000</v>
      </c>
      <c r="G324" s="75" t="s">
        <v>111</v>
      </c>
      <c r="H324" s="75" t="s">
        <v>112</v>
      </c>
      <c r="I324" s="76" t="s">
        <v>113</v>
      </c>
      <c r="J324" s="75" t="s">
        <v>114</v>
      </c>
      <c r="K324" s="77">
        <v>6.5</v>
      </c>
      <c r="L324" s="77">
        <v>9</v>
      </c>
      <c r="M324" s="77">
        <v>12.2</v>
      </c>
      <c r="N324" s="78">
        <f t="shared" ref="N324:N384" si="31">1+MIN(MAX($D$8-F324,0),$D$10)*$D$9</f>
        <v>1.175</v>
      </c>
      <c r="O324" s="79">
        <f t="shared" si="25"/>
        <v>3650.7249999999999</v>
      </c>
      <c r="P324" s="79">
        <f t="shared" si="26"/>
        <v>5054.8500000000004</v>
      </c>
      <c r="Q324" s="79">
        <f t="shared" si="27"/>
        <v>6852.1299999999992</v>
      </c>
      <c r="R324" s="75" t="str">
        <f t="shared" si="28"/>
        <v>Rs./hr</v>
      </c>
    </row>
    <row r="325" spans="1:18" ht="15" customHeight="1" x14ac:dyDescent="0.3">
      <c r="A325" s="75">
        <v>313</v>
      </c>
      <c r="B325" s="75" t="s">
        <v>776</v>
      </c>
      <c r="C325" s="75" t="s">
        <v>108</v>
      </c>
      <c r="D325" s="76" t="s">
        <v>760</v>
      </c>
      <c r="E325" s="76" t="s">
        <v>777</v>
      </c>
      <c r="F325" s="75">
        <v>1990</v>
      </c>
      <c r="G325" s="75" t="s">
        <v>111</v>
      </c>
      <c r="H325" s="75" t="s">
        <v>112</v>
      </c>
      <c r="I325" s="76" t="s">
        <v>113</v>
      </c>
      <c r="J325" s="75" t="s">
        <v>114</v>
      </c>
      <c r="K325" s="77">
        <v>6.5</v>
      </c>
      <c r="L325" s="77">
        <v>9</v>
      </c>
      <c r="M325" s="77">
        <v>12.2</v>
      </c>
      <c r="N325" s="78">
        <f t="shared" si="31"/>
        <v>1.175</v>
      </c>
      <c r="O325" s="79">
        <f t="shared" si="25"/>
        <v>3650.7249999999999</v>
      </c>
      <c r="P325" s="79">
        <f t="shared" si="26"/>
        <v>5054.8500000000004</v>
      </c>
      <c r="Q325" s="79">
        <f t="shared" si="27"/>
        <v>6852.1299999999992</v>
      </c>
      <c r="R325" s="75" t="str">
        <f t="shared" si="28"/>
        <v>Rs./hr</v>
      </c>
    </row>
    <row r="326" spans="1:18" ht="15" customHeight="1" x14ac:dyDescent="0.3">
      <c r="A326" s="75">
        <v>314</v>
      </c>
      <c r="B326" s="75" t="s">
        <v>778</v>
      </c>
      <c r="C326" s="75" t="s">
        <v>779</v>
      </c>
      <c r="D326" s="76" t="s">
        <v>780</v>
      </c>
      <c r="E326" s="76" t="s">
        <v>781</v>
      </c>
      <c r="F326" s="75">
        <v>1995</v>
      </c>
      <c r="G326" s="75" t="s">
        <v>111</v>
      </c>
      <c r="H326" s="75" t="s">
        <v>221</v>
      </c>
      <c r="I326" s="76" t="s">
        <v>213</v>
      </c>
      <c r="J326" s="75" t="s">
        <v>222</v>
      </c>
      <c r="K326" s="77">
        <v>2.9</v>
      </c>
      <c r="L326" s="77">
        <v>2.2999999999999998</v>
      </c>
      <c r="M326" s="77">
        <v>1.8</v>
      </c>
      <c r="N326" s="78">
        <f t="shared" si="31"/>
        <v>1.175</v>
      </c>
      <c r="O326" s="79">
        <f t="shared" si="25"/>
        <v>193.67241379310346</v>
      </c>
      <c r="P326" s="79">
        <f t="shared" si="26"/>
        <v>244.19565217391306</v>
      </c>
      <c r="Q326" s="79">
        <f t="shared" si="27"/>
        <v>312.02777777777777</v>
      </c>
      <c r="R326" s="75" t="str">
        <f t="shared" si="28"/>
        <v>Rs./km</v>
      </c>
    </row>
    <row r="327" spans="1:18" ht="15" customHeight="1" x14ac:dyDescent="0.3">
      <c r="A327" s="75">
        <v>315</v>
      </c>
      <c r="B327" s="75" t="s">
        <v>782</v>
      </c>
      <c r="C327" s="75" t="s">
        <v>783</v>
      </c>
      <c r="D327" s="76" t="s">
        <v>780</v>
      </c>
      <c r="E327" s="76" t="s">
        <v>784</v>
      </c>
      <c r="F327" s="75">
        <v>1996</v>
      </c>
      <c r="G327" s="75" t="s">
        <v>111</v>
      </c>
      <c r="H327" s="75" t="s">
        <v>221</v>
      </c>
      <c r="I327" s="76" t="s">
        <v>785</v>
      </c>
      <c r="J327" s="75" t="s">
        <v>222</v>
      </c>
      <c r="K327" s="77">
        <v>3.3</v>
      </c>
      <c r="L327" s="77">
        <v>2.6</v>
      </c>
      <c r="M327" s="77">
        <v>2.1</v>
      </c>
      <c r="N327" s="78">
        <f t="shared" si="31"/>
        <v>1.175</v>
      </c>
      <c r="O327" s="79">
        <f t="shared" si="25"/>
        <v>170.19696969696969</v>
      </c>
      <c r="P327" s="79">
        <f t="shared" si="26"/>
        <v>216.01923076923075</v>
      </c>
      <c r="Q327" s="79">
        <f t="shared" si="27"/>
        <v>267.45238095238091</v>
      </c>
      <c r="R327" s="75" t="str">
        <f t="shared" si="28"/>
        <v>Rs./km</v>
      </c>
    </row>
    <row r="328" spans="1:18" ht="15" customHeight="1" x14ac:dyDescent="0.3">
      <c r="A328" s="75">
        <v>316</v>
      </c>
      <c r="B328" s="75" t="s">
        <v>786</v>
      </c>
      <c r="C328" s="75" t="s">
        <v>787</v>
      </c>
      <c r="D328" s="76" t="s">
        <v>780</v>
      </c>
      <c r="E328" s="76" t="s">
        <v>788</v>
      </c>
      <c r="F328" s="75">
        <v>2011</v>
      </c>
      <c r="G328" s="75" t="s">
        <v>111</v>
      </c>
      <c r="H328" s="75" t="s">
        <v>221</v>
      </c>
      <c r="I328" s="76" t="s">
        <v>789</v>
      </c>
      <c r="J328" s="75" t="s">
        <v>222</v>
      </c>
      <c r="K328" s="77">
        <v>2.8</v>
      </c>
      <c r="L328" s="77">
        <v>2.2000000000000002</v>
      </c>
      <c r="M328" s="77">
        <v>1.8</v>
      </c>
      <c r="N328" s="78">
        <f t="shared" si="31"/>
        <v>1.105</v>
      </c>
      <c r="O328" s="79">
        <f t="shared" si="25"/>
        <v>188.63928571428571</v>
      </c>
      <c r="P328" s="79">
        <f t="shared" si="26"/>
        <v>240.08636363636359</v>
      </c>
      <c r="Q328" s="79">
        <f t="shared" si="27"/>
        <v>293.43888888888887</v>
      </c>
      <c r="R328" s="75" t="str">
        <f t="shared" si="28"/>
        <v>Rs./km</v>
      </c>
    </row>
    <row r="329" spans="1:18" ht="15" customHeight="1" x14ac:dyDescent="0.3">
      <c r="A329" s="75">
        <v>317</v>
      </c>
      <c r="B329" s="75" t="s">
        <v>790</v>
      </c>
      <c r="C329" s="75" t="s">
        <v>791</v>
      </c>
      <c r="D329" s="76" t="s">
        <v>780</v>
      </c>
      <c r="E329" s="76" t="s">
        <v>792</v>
      </c>
      <c r="F329" s="75">
        <v>2012</v>
      </c>
      <c r="G329" s="75" t="s">
        <v>111</v>
      </c>
      <c r="H329" s="75" t="s">
        <v>221</v>
      </c>
      <c r="I329" s="76" t="s">
        <v>785</v>
      </c>
      <c r="J329" s="75" t="s">
        <v>222</v>
      </c>
      <c r="K329" s="77">
        <v>3.3</v>
      </c>
      <c r="L329" s="77">
        <v>2.6</v>
      </c>
      <c r="M329" s="77">
        <v>2.1</v>
      </c>
      <c r="N329" s="78">
        <f t="shared" si="31"/>
        <v>1.0980000000000001</v>
      </c>
      <c r="O329" s="79">
        <f t="shared" si="25"/>
        <v>159.04363636363638</v>
      </c>
      <c r="P329" s="79">
        <f t="shared" si="26"/>
        <v>201.86307692307693</v>
      </c>
      <c r="Q329" s="79">
        <f t="shared" si="27"/>
        <v>249.92571428571429</v>
      </c>
      <c r="R329" s="75" t="str">
        <f t="shared" si="28"/>
        <v>Rs./km</v>
      </c>
    </row>
    <row r="330" spans="1:18" ht="15" customHeight="1" x14ac:dyDescent="0.3">
      <c r="A330" s="75">
        <v>318</v>
      </c>
      <c r="B330" s="75" t="s">
        <v>793</v>
      </c>
      <c r="C330" s="75" t="s">
        <v>794</v>
      </c>
      <c r="D330" s="76" t="s">
        <v>780</v>
      </c>
      <c r="E330" s="76" t="s">
        <v>795</v>
      </c>
      <c r="F330" s="75">
        <v>2016</v>
      </c>
      <c r="G330" s="75" t="s">
        <v>111</v>
      </c>
      <c r="H330" s="75" t="s">
        <v>221</v>
      </c>
      <c r="I330" s="76" t="s">
        <v>796</v>
      </c>
      <c r="J330" s="75" t="s">
        <v>222</v>
      </c>
      <c r="K330" s="77">
        <v>3.2</v>
      </c>
      <c r="L330" s="77">
        <v>2.5</v>
      </c>
      <c r="M330" s="77">
        <v>2</v>
      </c>
      <c r="N330" s="78">
        <f t="shared" si="31"/>
        <v>1.07</v>
      </c>
      <c r="O330" s="79">
        <f t="shared" si="25"/>
        <v>159.83125000000001</v>
      </c>
      <c r="P330" s="79">
        <f t="shared" si="26"/>
        <v>204.584</v>
      </c>
      <c r="Q330" s="79">
        <f t="shared" si="27"/>
        <v>255.73000000000002</v>
      </c>
      <c r="R330" s="75" t="str">
        <f t="shared" si="28"/>
        <v>Rs./km</v>
      </c>
    </row>
    <row r="331" spans="1:18" ht="15" customHeight="1" x14ac:dyDescent="0.3">
      <c r="A331" s="75">
        <v>319</v>
      </c>
      <c r="B331" s="75" t="s">
        <v>797</v>
      </c>
      <c r="C331" s="75" t="s">
        <v>798</v>
      </c>
      <c r="D331" s="76" t="s">
        <v>780</v>
      </c>
      <c r="E331" s="76" t="s">
        <v>799</v>
      </c>
      <c r="F331" s="75">
        <v>1998</v>
      </c>
      <c r="G331" s="75" t="s">
        <v>111</v>
      </c>
      <c r="H331" s="75" t="s">
        <v>221</v>
      </c>
      <c r="I331" s="76" t="s">
        <v>800</v>
      </c>
      <c r="J331" s="75" t="s">
        <v>222</v>
      </c>
      <c r="K331" s="77">
        <v>4.5</v>
      </c>
      <c r="L331" s="77">
        <v>3.5</v>
      </c>
      <c r="M331" s="77">
        <v>2.8</v>
      </c>
      <c r="N331" s="78">
        <f t="shared" si="31"/>
        <v>1.175</v>
      </c>
      <c r="O331" s="79">
        <f t="shared" si="25"/>
        <v>124.8111111111111</v>
      </c>
      <c r="P331" s="79">
        <f t="shared" si="26"/>
        <v>160.47142857142856</v>
      </c>
      <c r="Q331" s="79">
        <f t="shared" si="27"/>
        <v>200.58928571428572</v>
      </c>
      <c r="R331" s="75" t="str">
        <f t="shared" si="28"/>
        <v>Rs./km</v>
      </c>
    </row>
    <row r="332" spans="1:18" ht="15" customHeight="1" x14ac:dyDescent="0.3">
      <c r="A332" s="75">
        <v>320</v>
      </c>
      <c r="B332" s="75" t="s">
        <v>801</v>
      </c>
      <c r="C332" s="75" t="s">
        <v>802</v>
      </c>
      <c r="D332" s="76" t="s">
        <v>780</v>
      </c>
      <c r="E332" s="76" t="s">
        <v>803</v>
      </c>
      <c r="F332" s="75">
        <v>2008</v>
      </c>
      <c r="G332" s="75" t="s">
        <v>111</v>
      </c>
      <c r="H332" s="75" t="s">
        <v>221</v>
      </c>
      <c r="I332" s="76" t="s">
        <v>785</v>
      </c>
      <c r="J332" s="75" t="s">
        <v>222</v>
      </c>
      <c r="K332" s="77">
        <v>3.3</v>
      </c>
      <c r="L332" s="77">
        <v>2.6</v>
      </c>
      <c r="M332" s="77">
        <v>2.1</v>
      </c>
      <c r="N332" s="78">
        <f t="shared" si="31"/>
        <v>1.1259999999999999</v>
      </c>
      <c r="O332" s="79">
        <f t="shared" si="25"/>
        <v>163.09939393939393</v>
      </c>
      <c r="P332" s="79">
        <f t="shared" si="26"/>
        <v>207.0107692307692</v>
      </c>
      <c r="Q332" s="79">
        <f t="shared" si="27"/>
        <v>256.2990476190476</v>
      </c>
      <c r="R332" s="75" t="str">
        <f t="shared" si="28"/>
        <v>Rs./km</v>
      </c>
    </row>
    <row r="333" spans="1:18" ht="15" customHeight="1" x14ac:dyDescent="0.3">
      <c r="A333" s="75">
        <v>321</v>
      </c>
      <c r="B333" s="75" t="s">
        <v>804</v>
      </c>
      <c r="C333" s="75" t="s">
        <v>805</v>
      </c>
      <c r="D333" s="76" t="s">
        <v>780</v>
      </c>
      <c r="E333" s="76" t="s">
        <v>806</v>
      </c>
      <c r="F333" s="75">
        <v>2010</v>
      </c>
      <c r="G333" s="75" t="s">
        <v>111</v>
      </c>
      <c r="H333" s="75" t="s">
        <v>221</v>
      </c>
      <c r="I333" s="76" t="s">
        <v>785</v>
      </c>
      <c r="J333" s="75" t="s">
        <v>222</v>
      </c>
      <c r="K333" s="77">
        <v>3.2</v>
      </c>
      <c r="L333" s="77">
        <v>2.5</v>
      </c>
      <c r="M333" s="77">
        <v>2</v>
      </c>
      <c r="N333" s="78">
        <f t="shared" si="31"/>
        <v>1.1120000000000001</v>
      </c>
      <c r="O333" s="79">
        <f t="shared" ref="O333:O396" si="32">IF(H333="None",0,IF(H333="KM",IF(G333="Petrol",$D$6,$D$5)*N333/K333,K333*N333*IF(G333="Petrol",$D$6,$D$5)))</f>
        <v>166.10500000000002</v>
      </c>
      <c r="P333" s="79">
        <f t="shared" ref="P333:P396" si="33">IF(H333="None",0,IF(H333="KM",IF(G333="Petrol",$D$6,$D$5)*N333/L333,L333*N333*IF(G333="Petrol",$D$6,$D$5)))</f>
        <v>212.61440000000002</v>
      </c>
      <c r="Q333" s="79">
        <f t="shared" ref="Q333:Q396" si="34">IF(H333="None",0,IF(H333="KM",IF(G333="Petrol",$D$6,$D$5)*N333/M333,M333*N333*IF(G333="Petrol",$D$6,$D$5)))</f>
        <v>265.76800000000003</v>
      </c>
      <c r="R333" s="75" t="str">
        <f t="shared" ref="R333:R396" si="35">IF(H333="None","—",IF(H333="KM","Rs./km","Rs./hr"))</f>
        <v>Rs./km</v>
      </c>
    </row>
    <row r="334" spans="1:18" ht="15" customHeight="1" x14ac:dyDescent="0.3">
      <c r="A334" s="75">
        <v>322</v>
      </c>
      <c r="B334" s="75" t="s">
        <v>807</v>
      </c>
      <c r="C334" s="75" t="s">
        <v>59</v>
      </c>
      <c r="D334" s="76" t="s">
        <v>808</v>
      </c>
      <c r="E334" s="76" t="s">
        <v>809</v>
      </c>
      <c r="F334" s="75">
        <v>2008</v>
      </c>
      <c r="G334" s="75" t="s">
        <v>111</v>
      </c>
      <c r="H334" s="75" t="s">
        <v>112</v>
      </c>
      <c r="I334" s="76" t="s">
        <v>113</v>
      </c>
      <c r="J334" s="75" t="s">
        <v>114</v>
      </c>
      <c r="K334" s="77">
        <v>13</v>
      </c>
      <c r="L334" s="77">
        <v>18</v>
      </c>
      <c r="M334" s="77">
        <v>24.3</v>
      </c>
      <c r="N334" s="78">
        <f t="shared" si="31"/>
        <v>1.1259999999999999</v>
      </c>
      <c r="O334" s="79">
        <f t="shared" si="32"/>
        <v>6996.963999999999</v>
      </c>
      <c r="P334" s="79">
        <f t="shared" si="33"/>
        <v>9688.1039999999994</v>
      </c>
      <c r="Q334" s="79">
        <f t="shared" si="34"/>
        <v>13078.940399999999</v>
      </c>
      <c r="R334" s="75" t="str">
        <f t="shared" si="35"/>
        <v>Rs./hr</v>
      </c>
    </row>
    <row r="335" spans="1:18" ht="15" customHeight="1" x14ac:dyDescent="0.3">
      <c r="A335" s="75">
        <v>323</v>
      </c>
      <c r="B335" s="75" t="s">
        <v>810</v>
      </c>
      <c r="C335" s="75" t="s">
        <v>42</v>
      </c>
      <c r="D335" s="76" t="s">
        <v>808</v>
      </c>
      <c r="E335" s="76" t="s">
        <v>811</v>
      </c>
      <c r="F335" s="75">
        <v>2019</v>
      </c>
      <c r="G335" s="75" t="s">
        <v>111</v>
      </c>
      <c r="H335" s="75" t="s">
        <v>112</v>
      </c>
      <c r="I335" s="76" t="s">
        <v>113</v>
      </c>
      <c r="J335" s="75" t="s">
        <v>114</v>
      </c>
      <c r="K335" s="77">
        <v>13</v>
      </c>
      <c r="L335" s="77">
        <v>18</v>
      </c>
      <c r="M335" s="77">
        <v>24.3</v>
      </c>
      <c r="N335" s="78">
        <f t="shared" si="31"/>
        <v>1.0489999999999999</v>
      </c>
      <c r="O335" s="79">
        <f t="shared" si="32"/>
        <v>6518.485999999999</v>
      </c>
      <c r="P335" s="79">
        <f t="shared" si="33"/>
        <v>9025.5959999999995</v>
      </c>
      <c r="Q335" s="79">
        <f t="shared" si="34"/>
        <v>12184.554599999999</v>
      </c>
      <c r="R335" s="75" t="str">
        <f t="shared" si="35"/>
        <v>Rs./hr</v>
      </c>
    </row>
    <row r="336" spans="1:18" ht="15" customHeight="1" x14ac:dyDescent="0.3">
      <c r="A336" s="75">
        <v>324</v>
      </c>
      <c r="B336" s="75" t="s">
        <v>812</v>
      </c>
      <c r="C336" s="75" t="s">
        <v>813</v>
      </c>
      <c r="D336" s="76" t="s">
        <v>814</v>
      </c>
      <c r="E336" s="76" t="s">
        <v>815</v>
      </c>
      <c r="F336" s="75">
        <v>2017</v>
      </c>
      <c r="G336" s="75" t="s">
        <v>111</v>
      </c>
      <c r="H336" s="75" t="s">
        <v>112</v>
      </c>
      <c r="I336" s="76" t="s">
        <v>113</v>
      </c>
      <c r="J336" s="75" t="s">
        <v>114</v>
      </c>
      <c r="K336" s="77">
        <v>7.9</v>
      </c>
      <c r="L336" s="77">
        <v>11</v>
      </c>
      <c r="M336" s="77">
        <v>14.9</v>
      </c>
      <c r="N336" s="78">
        <f t="shared" si="31"/>
        <v>1.0629999999999999</v>
      </c>
      <c r="O336" s="79">
        <f t="shared" si="32"/>
        <v>4014.1006000000002</v>
      </c>
      <c r="P336" s="79">
        <f t="shared" si="33"/>
        <v>5589.2539999999999</v>
      </c>
      <c r="Q336" s="79">
        <f t="shared" si="34"/>
        <v>7570.8985999999995</v>
      </c>
      <c r="R336" s="75" t="str">
        <f t="shared" si="35"/>
        <v>Rs./hr</v>
      </c>
    </row>
    <row r="337" spans="1:18" ht="15" customHeight="1" x14ac:dyDescent="0.3">
      <c r="A337" s="75">
        <v>325</v>
      </c>
      <c r="B337" s="75" t="s">
        <v>816</v>
      </c>
      <c r="C337" s="75" t="s">
        <v>813</v>
      </c>
      <c r="D337" s="76" t="s">
        <v>814</v>
      </c>
      <c r="E337" s="76" t="s">
        <v>817</v>
      </c>
      <c r="F337" s="75">
        <v>2017</v>
      </c>
      <c r="G337" s="75" t="s">
        <v>111</v>
      </c>
      <c r="H337" s="75" t="s">
        <v>112</v>
      </c>
      <c r="I337" s="76" t="s">
        <v>113</v>
      </c>
      <c r="J337" s="75" t="s">
        <v>114</v>
      </c>
      <c r="K337" s="77">
        <v>7.9</v>
      </c>
      <c r="L337" s="77">
        <v>11</v>
      </c>
      <c r="M337" s="77">
        <v>14.9</v>
      </c>
      <c r="N337" s="78">
        <f t="shared" si="31"/>
        <v>1.0629999999999999</v>
      </c>
      <c r="O337" s="79">
        <f t="shared" si="32"/>
        <v>4014.1006000000002</v>
      </c>
      <c r="P337" s="79">
        <f t="shared" si="33"/>
        <v>5589.2539999999999</v>
      </c>
      <c r="Q337" s="79">
        <f t="shared" si="34"/>
        <v>7570.8985999999995</v>
      </c>
      <c r="R337" s="75" t="str">
        <f t="shared" si="35"/>
        <v>Rs./hr</v>
      </c>
    </row>
    <row r="338" spans="1:18" ht="15" customHeight="1" x14ac:dyDescent="0.3">
      <c r="A338" s="75">
        <v>326</v>
      </c>
      <c r="B338" s="75" t="s">
        <v>818</v>
      </c>
      <c r="C338" s="75" t="s">
        <v>813</v>
      </c>
      <c r="D338" s="76" t="s">
        <v>814</v>
      </c>
      <c r="E338" s="76" t="s">
        <v>819</v>
      </c>
      <c r="F338" s="75">
        <v>2018</v>
      </c>
      <c r="G338" s="75" t="s">
        <v>111</v>
      </c>
      <c r="H338" s="75" t="s">
        <v>112</v>
      </c>
      <c r="I338" s="76" t="s">
        <v>113</v>
      </c>
      <c r="J338" s="75" t="s">
        <v>114</v>
      </c>
      <c r="K338" s="77">
        <v>7.9</v>
      </c>
      <c r="L338" s="77">
        <v>11</v>
      </c>
      <c r="M338" s="77">
        <v>14.9</v>
      </c>
      <c r="N338" s="78">
        <f t="shared" si="31"/>
        <v>1.056</v>
      </c>
      <c r="O338" s="79">
        <f t="shared" si="32"/>
        <v>3987.6672000000008</v>
      </c>
      <c r="P338" s="79">
        <f t="shared" si="33"/>
        <v>5552.4479999999994</v>
      </c>
      <c r="Q338" s="79">
        <f t="shared" si="34"/>
        <v>7521.0432000000001</v>
      </c>
      <c r="R338" s="75" t="str">
        <f t="shared" si="35"/>
        <v>Rs./hr</v>
      </c>
    </row>
    <row r="339" spans="1:18" ht="15" customHeight="1" x14ac:dyDescent="0.3">
      <c r="A339" s="75">
        <v>327</v>
      </c>
      <c r="B339" s="75" t="s">
        <v>820</v>
      </c>
      <c r="C339" s="75" t="s">
        <v>821</v>
      </c>
      <c r="D339" s="76" t="s">
        <v>822</v>
      </c>
      <c r="E339" s="76" t="s">
        <v>251</v>
      </c>
      <c r="F339" s="75">
        <v>2006</v>
      </c>
      <c r="G339" s="75" t="s">
        <v>111</v>
      </c>
      <c r="H339" s="75" t="s">
        <v>221</v>
      </c>
      <c r="I339" s="76" t="s">
        <v>113</v>
      </c>
      <c r="J339" s="75" t="s">
        <v>222</v>
      </c>
      <c r="K339" s="77">
        <v>14.1</v>
      </c>
      <c r="L339" s="77">
        <v>11</v>
      </c>
      <c r="M339" s="77">
        <v>8.8000000000000007</v>
      </c>
      <c r="N339" s="78">
        <f t="shared" si="31"/>
        <v>1.1400000000000001</v>
      </c>
      <c r="O339" s="79">
        <f t="shared" si="32"/>
        <v>38.646808510638301</v>
      </c>
      <c r="P339" s="79">
        <f t="shared" si="33"/>
        <v>49.538181818181826</v>
      </c>
      <c r="Q339" s="79">
        <f t="shared" si="34"/>
        <v>61.922727272727279</v>
      </c>
      <c r="R339" s="75" t="str">
        <f t="shared" si="35"/>
        <v>Rs./km</v>
      </c>
    </row>
    <row r="340" spans="1:18" ht="15" customHeight="1" x14ac:dyDescent="0.3">
      <c r="A340" s="75">
        <v>328</v>
      </c>
      <c r="B340" s="75" t="s">
        <v>823</v>
      </c>
      <c r="C340" s="75" t="s">
        <v>64</v>
      </c>
      <c r="D340" s="76" t="s">
        <v>822</v>
      </c>
      <c r="E340" s="76" t="s">
        <v>824</v>
      </c>
      <c r="F340" s="75">
        <v>2012</v>
      </c>
      <c r="G340" s="75" t="s">
        <v>111</v>
      </c>
      <c r="H340" s="75" t="s">
        <v>221</v>
      </c>
      <c r="I340" s="76" t="s">
        <v>113</v>
      </c>
      <c r="J340" s="75" t="s">
        <v>222</v>
      </c>
      <c r="K340" s="77">
        <v>14.1</v>
      </c>
      <c r="L340" s="77">
        <v>11</v>
      </c>
      <c r="M340" s="77">
        <v>8.8000000000000007</v>
      </c>
      <c r="N340" s="78">
        <f t="shared" si="31"/>
        <v>1.0980000000000001</v>
      </c>
      <c r="O340" s="79">
        <f t="shared" si="32"/>
        <v>37.22297872340426</v>
      </c>
      <c r="P340" s="79">
        <f t="shared" si="33"/>
        <v>47.713090909090916</v>
      </c>
      <c r="Q340" s="79">
        <f t="shared" si="34"/>
        <v>59.641363636363636</v>
      </c>
      <c r="R340" s="75" t="str">
        <f t="shared" si="35"/>
        <v>Rs./km</v>
      </c>
    </row>
    <row r="341" spans="1:18" ht="15" customHeight="1" x14ac:dyDescent="0.3">
      <c r="A341" s="75">
        <v>329</v>
      </c>
      <c r="B341" s="75" t="s">
        <v>825</v>
      </c>
      <c r="C341" s="75" t="s">
        <v>826</v>
      </c>
      <c r="D341" s="76" t="s">
        <v>822</v>
      </c>
      <c r="E341" s="76" t="s">
        <v>824</v>
      </c>
      <c r="F341" s="75">
        <v>2012</v>
      </c>
      <c r="G341" s="75" t="s">
        <v>111</v>
      </c>
      <c r="H341" s="75" t="s">
        <v>221</v>
      </c>
      <c r="I341" s="76" t="s">
        <v>113</v>
      </c>
      <c r="J341" s="75" t="s">
        <v>222</v>
      </c>
      <c r="K341" s="77">
        <v>14.1</v>
      </c>
      <c r="L341" s="77">
        <v>11</v>
      </c>
      <c r="M341" s="77">
        <v>8.8000000000000007</v>
      </c>
      <c r="N341" s="78">
        <f t="shared" si="31"/>
        <v>1.0980000000000001</v>
      </c>
      <c r="O341" s="79">
        <f t="shared" si="32"/>
        <v>37.22297872340426</v>
      </c>
      <c r="P341" s="79">
        <f t="shared" si="33"/>
        <v>47.713090909090916</v>
      </c>
      <c r="Q341" s="79">
        <f t="shared" si="34"/>
        <v>59.641363636363636</v>
      </c>
      <c r="R341" s="75" t="str">
        <f t="shared" si="35"/>
        <v>Rs./km</v>
      </c>
    </row>
    <row r="342" spans="1:18" ht="15" customHeight="1" x14ac:dyDescent="0.3">
      <c r="A342" s="75">
        <v>330</v>
      </c>
      <c r="B342" s="75" t="s">
        <v>827</v>
      </c>
      <c r="C342" s="75" t="s">
        <v>828</v>
      </c>
      <c r="D342" s="76" t="s">
        <v>822</v>
      </c>
      <c r="E342" s="76" t="s">
        <v>829</v>
      </c>
      <c r="F342" s="75">
        <v>2014</v>
      </c>
      <c r="G342" s="75" t="s">
        <v>111</v>
      </c>
      <c r="H342" s="75" t="s">
        <v>221</v>
      </c>
      <c r="I342" s="76" t="s">
        <v>113</v>
      </c>
      <c r="J342" s="75" t="s">
        <v>222</v>
      </c>
      <c r="K342" s="77">
        <v>14.1</v>
      </c>
      <c r="L342" s="77">
        <v>11</v>
      </c>
      <c r="M342" s="77">
        <v>8.8000000000000007</v>
      </c>
      <c r="N342" s="78">
        <f t="shared" si="31"/>
        <v>1.0840000000000001</v>
      </c>
      <c r="O342" s="79">
        <f t="shared" si="32"/>
        <v>36.748368794326247</v>
      </c>
      <c r="P342" s="79">
        <f t="shared" si="33"/>
        <v>47.104727272727274</v>
      </c>
      <c r="Q342" s="79">
        <f t="shared" si="34"/>
        <v>58.880909090909093</v>
      </c>
      <c r="R342" s="75" t="str">
        <f t="shared" si="35"/>
        <v>Rs./km</v>
      </c>
    </row>
    <row r="343" spans="1:18" ht="15" customHeight="1" x14ac:dyDescent="0.3">
      <c r="A343" s="75">
        <v>331</v>
      </c>
      <c r="B343" s="75" t="s">
        <v>830</v>
      </c>
      <c r="C343" s="75" t="s">
        <v>831</v>
      </c>
      <c r="D343" s="76" t="s">
        <v>822</v>
      </c>
      <c r="E343" s="76" t="s">
        <v>832</v>
      </c>
      <c r="F343" s="75">
        <v>2013</v>
      </c>
      <c r="G343" s="75" t="s">
        <v>111</v>
      </c>
      <c r="H343" s="75" t="s">
        <v>221</v>
      </c>
      <c r="I343" s="76" t="s">
        <v>113</v>
      </c>
      <c r="J343" s="75" t="s">
        <v>222</v>
      </c>
      <c r="K343" s="77">
        <v>14.1</v>
      </c>
      <c r="L343" s="77">
        <v>11</v>
      </c>
      <c r="M343" s="77">
        <v>8.8000000000000007</v>
      </c>
      <c r="N343" s="78">
        <f t="shared" si="31"/>
        <v>1.091</v>
      </c>
      <c r="O343" s="79">
        <f t="shared" si="32"/>
        <v>36.985673758865246</v>
      </c>
      <c r="P343" s="79">
        <f t="shared" si="33"/>
        <v>47.408909090909084</v>
      </c>
      <c r="Q343" s="79">
        <f t="shared" si="34"/>
        <v>59.261136363636354</v>
      </c>
      <c r="R343" s="75" t="str">
        <f t="shared" si="35"/>
        <v>Rs./km</v>
      </c>
    </row>
    <row r="344" spans="1:18" ht="15" customHeight="1" x14ac:dyDescent="0.3">
      <c r="A344" s="75">
        <v>332</v>
      </c>
      <c r="B344" s="75" t="s">
        <v>833</v>
      </c>
      <c r="C344" s="75" t="s">
        <v>834</v>
      </c>
      <c r="D344" s="76" t="s">
        <v>822</v>
      </c>
      <c r="E344" s="76" t="s">
        <v>835</v>
      </c>
      <c r="F344" s="75">
        <v>2011</v>
      </c>
      <c r="G344" s="75" t="s">
        <v>111</v>
      </c>
      <c r="H344" s="75" t="s">
        <v>221</v>
      </c>
      <c r="I344" s="76" t="s">
        <v>113</v>
      </c>
      <c r="J344" s="75" t="s">
        <v>222</v>
      </c>
      <c r="K344" s="77">
        <v>14.1</v>
      </c>
      <c r="L344" s="77">
        <v>11</v>
      </c>
      <c r="M344" s="77">
        <v>8.8000000000000007</v>
      </c>
      <c r="N344" s="78">
        <f t="shared" si="31"/>
        <v>1.105</v>
      </c>
      <c r="O344" s="79">
        <f t="shared" si="32"/>
        <v>37.46028368794326</v>
      </c>
      <c r="P344" s="79">
        <f t="shared" si="33"/>
        <v>48.017272727272719</v>
      </c>
      <c r="Q344" s="79">
        <f t="shared" si="34"/>
        <v>60.021590909090897</v>
      </c>
      <c r="R344" s="75" t="str">
        <f t="shared" si="35"/>
        <v>Rs./km</v>
      </c>
    </row>
    <row r="345" spans="1:18" ht="15" customHeight="1" x14ac:dyDescent="0.3">
      <c r="A345" s="75">
        <v>333</v>
      </c>
      <c r="B345" s="75" t="s">
        <v>836</v>
      </c>
      <c r="C345" s="75" t="s">
        <v>837</v>
      </c>
      <c r="D345" s="76" t="s">
        <v>822</v>
      </c>
      <c r="E345" s="76" t="s">
        <v>824</v>
      </c>
      <c r="F345" s="75">
        <v>2011</v>
      </c>
      <c r="G345" s="75" t="s">
        <v>111</v>
      </c>
      <c r="H345" s="75" t="s">
        <v>221</v>
      </c>
      <c r="I345" s="76" t="s">
        <v>113</v>
      </c>
      <c r="J345" s="75" t="s">
        <v>222</v>
      </c>
      <c r="K345" s="77">
        <v>14.1</v>
      </c>
      <c r="L345" s="77">
        <v>11</v>
      </c>
      <c r="M345" s="77">
        <v>8.8000000000000007</v>
      </c>
      <c r="N345" s="78">
        <f t="shared" si="31"/>
        <v>1.105</v>
      </c>
      <c r="O345" s="79">
        <f t="shared" si="32"/>
        <v>37.46028368794326</v>
      </c>
      <c r="P345" s="79">
        <f t="shared" si="33"/>
        <v>48.017272727272719</v>
      </c>
      <c r="Q345" s="79">
        <f t="shared" si="34"/>
        <v>60.021590909090897</v>
      </c>
      <c r="R345" s="75" t="str">
        <f t="shared" si="35"/>
        <v>Rs./km</v>
      </c>
    </row>
    <row r="346" spans="1:18" ht="15" customHeight="1" x14ac:dyDescent="0.3">
      <c r="A346" s="75">
        <v>334</v>
      </c>
      <c r="B346" s="75" t="s">
        <v>838</v>
      </c>
      <c r="C346" s="75" t="s">
        <v>839</v>
      </c>
      <c r="D346" s="76" t="s">
        <v>822</v>
      </c>
      <c r="E346" s="76" t="s">
        <v>840</v>
      </c>
      <c r="F346" s="75">
        <v>2019</v>
      </c>
      <c r="G346" s="75" t="s">
        <v>111</v>
      </c>
      <c r="H346" s="75" t="s">
        <v>221</v>
      </c>
      <c r="I346" s="76" t="s">
        <v>113</v>
      </c>
      <c r="J346" s="75" t="s">
        <v>222</v>
      </c>
      <c r="K346" s="77">
        <v>14.1</v>
      </c>
      <c r="L346" s="77">
        <v>11</v>
      </c>
      <c r="M346" s="77">
        <v>8.8000000000000007</v>
      </c>
      <c r="N346" s="78">
        <f t="shared" si="31"/>
        <v>1.0489999999999999</v>
      </c>
      <c r="O346" s="79">
        <f t="shared" si="32"/>
        <v>35.561843971631205</v>
      </c>
      <c r="P346" s="79">
        <f t="shared" si="33"/>
        <v>45.583818181818181</v>
      </c>
      <c r="Q346" s="79">
        <f t="shared" si="34"/>
        <v>56.979772727272717</v>
      </c>
      <c r="R346" s="75" t="str">
        <f t="shared" si="35"/>
        <v>Rs./km</v>
      </c>
    </row>
    <row r="347" spans="1:18" ht="15" customHeight="1" x14ac:dyDescent="0.3">
      <c r="A347" s="75">
        <v>335</v>
      </c>
      <c r="B347" s="75" t="s">
        <v>841</v>
      </c>
      <c r="C347" s="75" t="s">
        <v>842</v>
      </c>
      <c r="D347" s="76" t="s">
        <v>822</v>
      </c>
      <c r="E347" s="76" t="s">
        <v>840</v>
      </c>
      <c r="F347" s="75">
        <v>2019</v>
      </c>
      <c r="G347" s="75" t="s">
        <v>111</v>
      </c>
      <c r="H347" s="75" t="s">
        <v>221</v>
      </c>
      <c r="I347" s="76" t="s">
        <v>113</v>
      </c>
      <c r="J347" s="75" t="s">
        <v>222</v>
      </c>
      <c r="K347" s="77">
        <v>14.1</v>
      </c>
      <c r="L347" s="77">
        <v>11</v>
      </c>
      <c r="M347" s="77">
        <v>8.8000000000000007</v>
      </c>
      <c r="N347" s="78">
        <f t="shared" si="31"/>
        <v>1.0489999999999999</v>
      </c>
      <c r="O347" s="79">
        <f t="shared" si="32"/>
        <v>35.561843971631205</v>
      </c>
      <c r="P347" s="79">
        <f t="shared" si="33"/>
        <v>45.583818181818181</v>
      </c>
      <c r="Q347" s="79">
        <f t="shared" si="34"/>
        <v>56.979772727272717</v>
      </c>
      <c r="R347" s="75" t="str">
        <f t="shared" si="35"/>
        <v>Rs./km</v>
      </c>
    </row>
    <row r="348" spans="1:18" ht="15" customHeight="1" x14ac:dyDescent="0.3">
      <c r="A348" s="75">
        <v>336</v>
      </c>
      <c r="B348" s="75" t="s">
        <v>843</v>
      </c>
      <c r="C348" s="75" t="s">
        <v>75</v>
      </c>
      <c r="D348" s="76" t="s">
        <v>822</v>
      </c>
      <c r="E348" s="76" t="s">
        <v>840</v>
      </c>
      <c r="F348" s="75">
        <v>2019</v>
      </c>
      <c r="G348" s="75" t="s">
        <v>111</v>
      </c>
      <c r="H348" s="75" t="s">
        <v>221</v>
      </c>
      <c r="I348" s="76" t="s">
        <v>113</v>
      </c>
      <c r="J348" s="75" t="s">
        <v>222</v>
      </c>
      <c r="K348" s="77">
        <v>14.1</v>
      </c>
      <c r="L348" s="77">
        <v>11</v>
      </c>
      <c r="M348" s="77">
        <v>8.8000000000000007</v>
      </c>
      <c r="N348" s="78">
        <f t="shared" si="31"/>
        <v>1.0489999999999999</v>
      </c>
      <c r="O348" s="79">
        <f t="shared" si="32"/>
        <v>35.561843971631205</v>
      </c>
      <c r="P348" s="79">
        <f t="shared" si="33"/>
        <v>45.583818181818181</v>
      </c>
      <c r="Q348" s="79">
        <f t="shared" si="34"/>
        <v>56.979772727272717</v>
      </c>
      <c r="R348" s="75" t="str">
        <f t="shared" si="35"/>
        <v>Rs./km</v>
      </c>
    </row>
    <row r="349" spans="1:18" ht="15" customHeight="1" x14ac:dyDescent="0.3">
      <c r="A349" s="75">
        <v>337</v>
      </c>
      <c r="B349" s="75" t="s">
        <v>844</v>
      </c>
      <c r="C349" s="75" t="s">
        <v>845</v>
      </c>
      <c r="D349" s="76" t="s">
        <v>822</v>
      </c>
      <c r="E349" s="76" t="s">
        <v>840</v>
      </c>
      <c r="F349" s="75">
        <v>2019</v>
      </c>
      <c r="G349" s="75" t="s">
        <v>111</v>
      </c>
      <c r="H349" s="75" t="s">
        <v>221</v>
      </c>
      <c r="I349" s="76" t="s">
        <v>113</v>
      </c>
      <c r="J349" s="75" t="s">
        <v>222</v>
      </c>
      <c r="K349" s="77">
        <v>14.1</v>
      </c>
      <c r="L349" s="77">
        <v>11</v>
      </c>
      <c r="M349" s="77">
        <v>8.8000000000000007</v>
      </c>
      <c r="N349" s="78">
        <f t="shared" si="31"/>
        <v>1.0489999999999999</v>
      </c>
      <c r="O349" s="79">
        <f t="shared" si="32"/>
        <v>35.561843971631205</v>
      </c>
      <c r="P349" s="79">
        <f t="shared" si="33"/>
        <v>45.583818181818181</v>
      </c>
      <c r="Q349" s="79">
        <f t="shared" si="34"/>
        <v>56.979772727272717</v>
      </c>
      <c r="R349" s="75" t="str">
        <f t="shared" si="35"/>
        <v>Rs./km</v>
      </c>
    </row>
    <row r="350" spans="1:18" ht="15" customHeight="1" x14ac:dyDescent="0.3">
      <c r="A350" s="75">
        <v>338</v>
      </c>
      <c r="B350" s="75" t="s">
        <v>846</v>
      </c>
      <c r="C350" s="75" t="s">
        <v>847</v>
      </c>
      <c r="D350" s="76" t="s">
        <v>822</v>
      </c>
      <c r="E350" s="76" t="s">
        <v>848</v>
      </c>
      <c r="F350" s="75">
        <v>2019</v>
      </c>
      <c r="G350" s="75" t="s">
        <v>111</v>
      </c>
      <c r="H350" s="75" t="s">
        <v>221</v>
      </c>
      <c r="I350" s="76" t="s">
        <v>113</v>
      </c>
      <c r="J350" s="75" t="s">
        <v>222</v>
      </c>
      <c r="K350" s="77">
        <v>14.1</v>
      </c>
      <c r="L350" s="77">
        <v>11</v>
      </c>
      <c r="M350" s="77">
        <v>8.8000000000000007</v>
      </c>
      <c r="N350" s="78">
        <f t="shared" si="31"/>
        <v>1.0489999999999999</v>
      </c>
      <c r="O350" s="79">
        <f t="shared" si="32"/>
        <v>35.561843971631205</v>
      </c>
      <c r="P350" s="79">
        <f t="shared" si="33"/>
        <v>45.583818181818181</v>
      </c>
      <c r="Q350" s="79">
        <f t="shared" si="34"/>
        <v>56.979772727272717</v>
      </c>
      <c r="R350" s="75" t="str">
        <f t="shared" si="35"/>
        <v>Rs./km</v>
      </c>
    </row>
    <row r="351" spans="1:18" ht="15" customHeight="1" x14ac:dyDescent="0.3">
      <c r="A351" s="75">
        <v>339</v>
      </c>
      <c r="B351" s="75" t="s">
        <v>849</v>
      </c>
      <c r="C351" s="75" t="s">
        <v>850</v>
      </c>
      <c r="D351" s="76" t="s">
        <v>822</v>
      </c>
      <c r="E351" s="76" t="s">
        <v>851</v>
      </c>
      <c r="F351" s="75">
        <v>2011</v>
      </c>
      <c r="G351" s="75" t="s">
        <v>111</v>
      </c>
      <c r="H351" s="75" t="s">
        <v>221</v>
      </c>
      <c r="I351" s="76" t="s">
        <v>113</v>
      </c>
      <c r="J351" s="75" t="s">
        <v>222</v>
      </c>
      <c r="K351" s="77">
        <v>14.1</v>
      </c>
      <c r="L351" s="77">
        <v>11</v>
      </c>
      <c r="M351" s="77">
        <v>8.8000000000000007</v>
      </c>
      <c r="N351" s="78">
        <f t="shared" si="31"/>
        <v>1.105</v>
      </c>
      <c r="O351" s="79">
        <f t="shared" si="32"/>
        <v>37.46028368794326</v>
      </c>
      <c r="P351" s="79">
        <f t="shared" si="33"/>
        <v>48.017272727272719</v>
      </c>
      <c r="Q351" s="79">
        <f t="shared" si="34"/>
        <v>60.021590909090897</v>
      </c>
      <c r="R351" s="75" t="str">
        <f t="shared" si="35"/>
        <v>Rs./km</v>
      </c>
    </row>
    <row r="352" spans="1:18" ht="15" customHeight="1" x14ac:dyDescent="0.3">
      <c r="A352" s="75">
        <v>340</v>
      </c>
      <c r="B352" s="75" t="s">
        <v>852</v>
      </c>
      <c r="C352" s="75" t="s">
        <v>108</v>
      </c>
      <c r="D352" s="76" t="s">
        <v>853</v>
      </c>
      <c r="E352" s="76" t="s">
        <v>854</v>
      </c>
      <c r="F352" s="75">
        <v>2014</v>
      </c>
      <c r="G352" s="75" t="s">
        <v>111</v>
      </c>
      <c r="H352" s="75" t="s">
        <v>112</v>
      </c>
      <c r="I352" s="76" t="s">
        <v>855</v>
      </c>
      <c r="J352" s="75" t="s">
        <v>114</v>
      </c>
      <c r="K352" s="77">
        <v>3.6</v>
      </c>
      <c r="L352" s="77">
        <v>5</v>
      </c>
      <c r="M352" s="77">
        <v>6.8</v>
      </c>
      <c r="N352" s="78">
        <f t="shared" si="31"/>
        <v>1.0840000000000001</v>
      </c>
      <c r="O352" s="79">
        <f t="shared" si="32"/>
        <v>1865.3472000000002</v>
      </c>
      <c r="P352" s="79">
        <f t="shared" si="33"/>
        <v>2590.7599999999998</v>
      </c>
      <c r="Q352" s="79">
        <f t="shared" si="34"/>
        <v>3523.4335999999998</v>
      </c>
      <c r="R352" s="75" t="str">
        <f t="shared" si="35"/>
        <v>Rs./hr</v>
      </c>
    </row>
    <row r="353" spans="1:18" ht="15" customHeight="1" x14ac:dyDescent="0.3">
      <c r="A353" s="75">
        <v>341</v>
      </c>
      <c r="B353" s="75" t="s">
        <v>856</v>
      </c>
      <c r="C353" s="75" t="s">
        <v>108</v>
      </c>
      <c r="D353" s="76" t="s">
        <v>853</v>
      </c>
      <c r="E353" s="76" t="s">
        <v>857</v>
      </c>
      <c r="F353" s="75">
        <v>2014</v>
      </c>
      <c r="G353" s="75" t="s">
        <v>111</v>
      </c>
      <c r="H353" s="75" t="s">
        <v>112</v>
      </c>
      <c r="I353" s="76" t="s">
        <v>858</v>
      </c>
      <c r="J353" s="75" t="s">
        <v>114</v>
      </c>
      <c r="K353" s="77">
        <v>3.2</v>
      </c>
      <c r="L353" s="77">
        <v>4.5</v>
      </c>
      <c r="M353" s="77">
        <v>6.1</v>
      </c>
      <c r="N353" s="78">
        <f t="shared" si="31"/>
        <v>1.0840000000000001</v>
      </c>
      <c r="O353" s="79">
        <f t="shared" si="32"/>
        <v>1658.0864000000001</v>
      </c>
      <c r="P353" s="79">
        <f t="shared" si="33"/>
        <v>2331.6840000000002</v>
      </c>
      <c r="Q353" s="79">
        <f t="shared" si="34"/>
        <v>3160.7271999999998</v>
      </c>
      <c r="R353" s="75" t="str">
        <f t="shared" si="35"/>
        <v>Rs./hr</v>
      </c>
    </row>
    <row r="354" spans="1:18" ht="15" customHeight="1" x14ac:dyDescent="0.3">
      <c r="A354" s="75">
        <v>342</v>
      </c>
      <c r="B354" s="75" t="s">
        <v>859</v>
      </c>
      <c r="C354" s="75" t="s">
        <v>108</v>
      </c>
      <c r="D354" s="76" t="s">
        <v>853</v>
      </c>
      <c r="E354" s="76" t="s">
        <v>854</v>
      </c>
      <c r="F354" s="75">
        <v>2014</v>
      </c>
      <c r="G354" s="75" t="s">
        <v>111</v>
      </c>
      <c r="H354" s="75" t="s">
        <v>112</v>
      </c>
      <c r="I354" s="76" t="s">
        <v>855</v>
      </c>
      <c r="J354" s="75" t="s">
        <v>114</v>
      </c>
      <c r="K354" s="77">
        <v>3.6</v>
      </c>
      <c r="L354" s="77">
        <v>5</v>
      </c>
      <c r="M354" s="77">
        <v>6.8</v>
      </c>
      <c r="N354" s="78">
        <f t="shared" si="31"/>
        <v>1.0840000000000001</v>
      </c>
      <c r="O354" s="79">
        <f t="shared" si="32"/>
        <v>1865.3472000000002</v>
      </c>
      <c r="P354" s="79">
        <f t="shared" si="33"/>
        <v>2590.7599999999998</v>
      </c>
      <c r="Q354" s="79">
        <f t="shared" si="34"/>
        <v>3523.4335999999998</v>
      </c>
      <c r="R354" s="75" t="str">
        <f t="shared" si="35"/>
        <v>Rs./hr</v>
      </c>
    </row>
    <row r="355" spans="1:18" ht="15" customHeight="1" x14ac:dyDescent="0.3">
      <c r="A355" s="75">
        <v>343</v>
      </c>
      <c r="B355" s="75" t="s">
        <v>860</v>
      </c>
      <c r="C355" s="75" t="s">
        <v>108</v>
      </c>
      <c r="D355" s="76" t="s">
        <v>853</v>
      </c>
      <c r="E355" s="76" t="s">
        <v>854</v>
      </c>
      <c r="F355" s="75">
        <v>2014</v>
      </c>
      <c r="G355" s="75" t="s">
        <v>111</v>
      </c>
      <c r="H355" s="75" t="s">
        <v>112</v>
      </c>
      <c r="I355" s="76" t="s">
        <v>855</v>
      </c>
      <c r="J355" s="75" t="s">
        <v>114</v>
      </c>
      <c r="K355" s="77">
        <v>3.6</v>
      </c>
      <c r="L355" s="77">
        <v>5</v>
      </c>
      <c r="M355" s="77">
        <v>6.8</v>
      </c>
      <c r="N355" s="78">
        <f t="shared" si="31"/>
        <v>1.0840000000000001</v>
      </c>
      <c r="O355" s="79">
        <f t="shared" si="32"/>
        <v>1865.3472000000002</v>
      </c>
      <c r="P355" s="79">
        <f t="shared" si="33"/>
        <v>2590.7599999999998</v>
      </c>
      <c r="Q355" s="79">
        <f t="shared" si="34"/>
        <v>3523.4335999999998</v>
      </c>
      <c r="R355" s="75" t="str">
        <f t="shared" si="35"/>
        <v>Rs./hr</v>
      </c>
    </row>
    <row r="356" spans="1:18" ht="15" customHeight="1" x14ac:dyDescent="0.3">
      <c r="A356" s="75">
        <v>344</v>
      </c>
      <c r="B356" s="75" t="s">
        <v>861</v>
      </c>
      <c r="C356" s="75" t="s">
        <v>108</v>
      </c>
      <c r="D356" s="76" t="s">
        <v>853</v>
      </c>
      <c r="E356" s="76" t="s">
        <v>854</v>
      </c>
      <c r="F356" s="75">
        <v>2017</v>
      </c>
      <c r="G356" s="75" t="s">
        <v>111</v>
      </c>
      <c r="H356" s="75" t="s">
        <v>112</v>
      </c>
      <c r="I356" s="76" t="s">
        <v>855</v>
      </c>
      <c r="J356" s="75" t="s">
        <v>114</v>
      </c>
      <c r="K356" s="77">
        <v>3.6</v>
      </c>
      <c r="L356" s="77">
        <v>5</v>
      </c>
      <c r="M356" s="77">
        <v>6.8</v>
      </c>
      <c r="N356" s="78">
        <f t="shared" si="31"/>
        <v>1.0629999999999999</v>
      </c>
      <c r="O356" s="79">
        <f t="shared" si="32"/>
        <v>1829.2103999999999</v>
      </c>
      <c r="P356" s="79">
        <f t="shared" si="33"/>
        <v>2540.5699999999997</v>
      </c>
      <c r="Q356" s="79">
        <f t="shared" si="34"/>
        <v>3455.1751999999997</v>
      </c>
      <c r="R356" s="75" t="str">
        <f t="shared" si="35"/>
        <v>Rs./hr</v>
      </c>
    </row>
    <row r="357" spans="1:18" ht="15" customHeight="1" x14ac:dyDescent="0.3">
      <c r="A357" s="75">
        <v>345</v>
      </c>
      <c r="B357" s="75" t="s">
        <v>862</v>
      </c>
      <c r="C357" s="75" t="s">
        <v>108</v>
      </c>
      <c r="D357" s="76" t="s">
        <v>853</v>
      </c>
      <c r="E357" s="76" t="s">
        <v>854</v>
      </c>
      <c r="F357" s="75">
        <v>2017</v>
      </c>
      <c r="G357" s="75" t="s">
        <v>111</v>
      </c>
      <c r="H357" s="75" t="s">
        <v>112</v>
      </c>
      <c r="I357" s="76" t="s">
        <v>855</v>
      </c>
      <c r="J357" s="75" t="s">
        <v>114</v>
      </c>
      <c r="K357" s="77">
        <v>3.6</v>
      </c>
      <c r="L357" s="77">
        <v>5</v>
      </c>
      <c r="M357" s="77">
        <v>6.8</v>
      </c>
      <c r="N357" s="78">
        <f t="shared" si="31"/>
        <v>1.0629999999999999</v>
      </c>
      <c r="O357" s="79">
        <f t="shared" si="32"/>
        <v>1829.2103999999999</v>
      </c>
      <c r="P357" s="79">
        <f t="shared" si="33"/>
        <v>2540.5699999999997</v>
      </c>
      <c r="Q357" s="79">
        <f t="shared" si="34"/>
        <v>3455.1751999999997</v>
      </c>
      <c r="R357" s="75" t="str">
        <f t="shared" si="35"/>
        <v>Rs./hr</v>
      </c>
    </row>
    <row r="358" spans="1:18" ht="15" customHeight="1" x14ac:dyDescent="0.3">
      <c r="A358" s="75">
        <v>346</v>
      </c>
      <c r="B358" s="75" t="s">
        <v>863</v>
      </c>
      <c r="C358" s="75" t="s">
        <v>108</v>
      </c>
      <c r="D358" s="76" t="s">
        <v>853</v>
      </c>
      <c r="E358" s="76" t="s">
        <v>854</v>
      </c>
      <c r="F358" s="75">
        <v>2017</v>
      </c>
      <c r="G358" s="75" t="s">
        <v>111</v>
      </c>
      <c r="H358" s="75" t="s">
        <v>112</v>
      </c>
      <c r="I358" s="76" t="s">
        <v>855</v>
      </c>
      <c r="J358" s="75" t="s">
        <v>114</v>
      </c>
      <c r="K358" s="77">
        <v>3.6</v>
      </c>
      <c r="L358" s="77">
        <v>5</v>
      </c>
      <c r="M358" s="77">
        <v>6.8</v>
      </c>
      <c r="N358" s="78">
        <f t="shared" si="31"/>
        <v>1.0629999999999999</v>
      </c>
      <c r="O358" s="79">
        <f t="shared" si="32"/>
        <v>1829.2103999999999</v>
      </c>
      <c r="P358" s="79">
        <f t="shared" si="33"/>
        <v>2540.5699999999997</v>
      </c>
      <c r="Q358" s="79">
        <f t="shared" si="34"/>
        <v>3455.1751999999997</v>
      </c>
      <c r="R358" s="75" t="str">
        <f t="shared" si="35"/>
        <v>Rs./hr</v>
      </c>
    </row>
    <row r="359" spans="1:18" ht="15" customHeight="1" x14ac:dyDescent="0.3">
      <c r="A359" s="75">
        <v>347</v>
      </c>
      <c r="B359" s="75" t="s">
        <v>864</v>
      </c>
      <c r="C359" s="75" t="s">
        <v>108</v>
      </c>
      <c r="D359" s="76" t="s">
        <v>853</v>
      </c>
      <c r="E359" s="76" t="s">
        <v>865</v>
      </c>
      <c r="F359" s="75">
        <v>2017</v>
      </c>
      <c r="G359" s="75" t="s">
        <v>111</v>
      </c>
      <c r="H359" s="75" t="s">
        <v>112</v>
      </c>
      <c r="I359" s="76" t="s">
        <v>785</v>
      </c>
      <c r="J359" s="75" t="s">
        <v>114</v>
      </c>
      <c r="K359" s="77">
        <v>3.6</v>
      </c>
      <c r="L359" s="77">
        <v>5</v>
      </c>
      <c r="M359" s="77">
        <v>6.8</v>
      </c>
      <c r="N359" s="78">
        <f t="shared" si="31"/>
        <v>1.0629999999999999</v>
      </c>
      <c r="O359" s="79">
        <f t="shared" si="32"/>
        <v>1829.2103999999999</v>
      </c>
      <c r="P359" s="79">
        <f t="shared" si="33"/>
        <v>2540.5699999999997</v>
      </c>
      <c r="Q359" s="79">
        <f t="shared" si="34"/>
        <v>3455.1751999999997</v>
      </c>
      <c r="R359" s="75" t="str">
        <f t="shared" si="35"/>
        <v>Rs./hr</v>
      </c>
    </row>
    <row r="360" spans="1:18" ht="15" customHeight="1" x14ac:dyDescent="0.3">
      <c r="A360" s="75">
        <v>348</v>
      </c>
      <c r="B360" s="75" t="s">
        <v>866</v>
      </c>
      <c r="C360" s="75" t="s">
        <v>108</v>
      </c>
      <c r="D360" s="76" t="s">
        <v>853</v>
      </c>
      <c r="E360" s="76" t="s">
        <v>854</v>
      </c>
      <c r="F360" s="75">
        <v>2017</v>
      </c>
      <c r="G360" s="75" t="s">
        <v>111</v>
      </c>
      <c r="H360" s="75" t="s">
        <v>112</v>
      </c>
      <c r="I360" s="76" t="s">
        <v>855</v>
      </c>
      <c r="J360" s="75" t="s">
        <v>114</v>
      </c>
      <c r="K360" s="77">
        <v>3.6</v>
      </c>
      <c r="L360" s="77">
        <v>5</v>
      </c>
      <c r="M360" s="77">
        <v>6.8</v>
      </c>
      <c r="N360" s="78">
        <f t="shared" si="31"/>
        <v>1.0629999999999999</v>
      </c>
      <c r="O360" s="79">
        <f t="shared" si="32"/>
        <v>1829.2103999999999</v>
      </c>
      <c r="P360" s="79">
        <f t="shared" si="33"/>
        <v>2540.5699999999997</v>
      </c>
      <c r="Q360" s="79">
        <f t="shared" si="34"/>
        <v>3455.1751999999997</v>
      </c>
      <c r="R360" s="75" t="str">
        <f t="shared" si="35"/>
        <v>Rs./hr</v>
      </c>
    </row>
    <row r="361" spans="1:18" ht="15" customHeight="1" x14ac:dyDescent="0.3">
      <c r="A361" s="75">
        <v>349</v>
      </c>
      <c r="B361" s="75" t="s">
        <v>867</v>
      </c>
      <c r="C361" s="75" t="s">
        <v>108</v>
      </c>
      <c r="D361" s="76" t="s">
        <v>853</v>
      </c>
      <c r="E361" s="76" t="s">
        <v>868</v>
      </c>
      <c r="F361" s="75">
        <v>2017</v>
      </c>
      <c r="G361" s="75" t="s">
        <v>111</v>
      </c>
      <c r="H361" s="75" t="s">
        <v>112</v>
      </c>
      <c r="I361" s="76" t="s">
        <v>855</v>
      </c>
      <c r="J361" s="75" t="s">
        <v>114</v>
      </c>
      <c r="K361" s="77">
        <v>3.6</v>
      </c>
      <c r="L361" s="77">
        <v>5</v>
      </c>
      <c r="M361" s="77">
        <v>6.8</v>
      </c>
      <c r="N361" s="78">
        <f t="shared" si="31"/>
        <v>1.0629999999999999</v>
      </c>
      <c r="O361" s="79">
        <f t="shared" si="32"/>
        <v>1829.2103999999999</v>
      </c>
      <c r="P361" s="79">
        <f t="shared" si="33"/>
        <v>2540.5699999999997</v>
      </c>
      <c r="Q361" s="79">
        <f t="shared" si="34"/>
        <v>3455.1751999999997</v>
      </c>
      <c r="R361" s="75" t="str">
        <f t="shared" si="35"/>
        <v>Rs./hr</v>
      </c>
    </row>
    <row r="362" spans="1:18" ht="15" customHeight="1" x14ac:dyDescent="0.3">
      <c r="A362" s="75">
        <v>350</v>
      </c>
      <c r="B362" s="75" t="s">
        <v>869</v>
      </c>
      <c r="C362" s="75" t="s">
        <v>108</v>
      </c>
      <c r="D362" s="76" t="s">
        <v>853</v>
      </c>
      <c r="E362" s="76" t="s">
        <v>870</v>
      </c>
      <c r="F362" s="75">
        <v>2017</v>
      </c>
      <c r="G362" s="75" t="s">
        <v>111</v>
      </c>
      <c r="H362" s="75" t="s">
        <v>112</v>
      </c>
      <c r="I362" s="76" t="s">
        <v>855</v>
      </c>
      <c r="J362" s="75" t="s">
        <v>114</v>
      </c>
      <c r="K362" s="77">
        <v>3.6</v>
      </c>
      <c r="L362" s="77">
        <v>5</v>
      </c>
      <c r="M362" s="77">
        <v>6.8</v>
      </c>
      <c r="N362" s="78">
        <f t="shared" si="31"/>
        <v>1.0629999999999999</v>
      </c>
      <c r="O362" s="79">
        <f t="shared" si="32"/>
        <v>1829.2103999999999</v>
      </c>
      <c r="P362" s="79">
        <f t="shared" si="33"/>
        <v>2540.5699999999997</v>
      </c>
      <c r="Q362" s="79">
        <f t="shared" si="34"/>
        <v>3455.1751999999997</v>
      </c>
      <c r="R362" s="75" t="str">
        <f t="shared" si="35"/>
        <v>Rs./hr</v>
      </c>
    </row>
    <row r="363" spans="1:18" ht="15" customHeight="1" x14ac:dyDescent="0.3">
      <c r="A363" s="75">
        <v>351</v>
      </c>
      <c r="B363" s="75" t="s">
        <v>871</v>
      </c>
      <c r="C363" s="75" t="s">
        <v>108</v>
      </c>
      <c r="D363" s="76" t="s">
        <v>853</v>
      </c>
      <c r="E363" s="76" t="s">
        <v>870</v>
      </c>
      <c r="F363" s="75">
        <v>2016</v>
      </c>
      <c r="G363" s="75" t="s">
        <v>111</v>
      </c>
      <c r="H363" s="75" t="s">
        <v>112</v>
      </c>
      <c r="I363" s="76" t="s">
        <v>855</v>
      </c>
      <c r="J363" s="75" t="s">
        <v>114</v>
      </c>
      <c r="K363" s="77">
        <v>3.6</v>
      </c>
      <c r="L363" s="77">
        <v>5</v>
      </c>
      <c r="M363" s="77">
        <v>6.8</v>
      </c>
      <c r="N363" s="78">
        <f t="shared" si="31"/>
        <v>1.07</v>
      </c>
      <c r="O363" s="79">
        <f t="shared" si="32"/>
        <v>1841.2560000000001</v>
      </c>
      <c r="P363" s="79">
        <f t="shared" si="33"/>
        <v>2557.3000000000002</v>
      </c>
      <c r="Q363" s="79">
        <f t="shared" si="34"/>
        <v>3477.9279999999999</v>
      </c>
      <c r="R363" s="75" t="str">
        <f t="shared" si="35"/>
        <v>Rs./hr</v>
      </c>
    </row>
    <row r="364" spans="1:18" ht="15" customHeight="1" x14ac:dyDescent="0.3">
      <c r="A364" s="75">
        <v>352</v>
      </c>
      <c r="B364" s="75" t="s">
        <v>872</v>
      </c>
      <c r="C364" s="75" t="s">
        <v>108</v>
      </c>
      <c r="D364" s="76" t="s">
        <v>853</v>
      </c>
      <c r="E364" s="76" t="s">
        <v>870</v>
      </c>
      <c r="F364" s="75">
        <v>2016</v>
      </c>
      <c r="G364" s="75" t="s">
        <v>111</v>
      </c>
      <c r="H364" s="75" t="s">
        <v>112</v>
      </c>
      <c r="I364" s="76" t="s">
        <v>855</v>
      </c>
      <c r="J364" s="75" t="s">
        <v>114</v>
      </c>
      <c r="K364" s="77">
        <v>3.6</v>
      </c>
      <c r="L364" s="77">
        <v>5</v>
      </c>
      <c r="M364" s="77">
        <v>6.8</v>
      </c>
      <c r="N364" s="78">
        <f t="shared" si="31"/>
        <v>1.07</v>
      </c>
      <c r="O364" s="79">
        <f t="shared" si="32"/>
        <v>1841.2560000000001</v>
      </c>
      <c r="P364" s="79">
        <f t="shared" si="33"/>
        <v>2557.3000000000002</v>
      </c>
      <c r="Q364" s="79">
        <f t="shared" si="34"/>
        <v>3477.9279999999999</v>
      </c>
      <c r="R364" s="75" t="str">
        <f t="shared" si="35"/>
        <v>Rs./hr</v>
      </c>
    </row>
    <row r="365" spans="1:18" ht="15" customHeight="1" x14ac:dyDescent="0.3">
      <c r="A365" s="75">
        <v>353</v>
      </c>
      <c r="B365" s="75" t="s">
        <v>35</v>
      </c>
      <c r="C365" s="75" t="s">
        <v>108</v>
      </c>
      <c r="D365" s="76" t="s">
        <v>853</v>
      </c>
      <c r="E365" s="76" t="s">
        <v>873</v>
      </c>
      <c r="F365" s="75">
        <v>2016</v>
      </c>
      <c r="G365" s="75" t="s">
        <v>111</v>
      </c>
      <c r="H365" s="75" t="s">
        <v>112</v>
      </c>
      <c r="I365" s="76" t="s">
        <v>858</v>
      </c>
      <c r="J365" s="75" t="s">
        <v>114</v>
      </c>
      <c r="K365" s="77">
        <v>3.2</v>
      </c>
      <c r="L365" s="77">
        <v>4.5</v>
      </c>
      <c r="M365" s="77">
        <v>6.1</v>
      </c>
      <c r="N365" s="78">
        <f t="shared" si="31"/>
        <v>1.07</v>
      </c>
      <c r="O365" s="79">
        <f t="shared" si="32"/>
        <v>1636.6720000000003</v>
      </c>
      <c r="P365" s="79">
        <f t="shared" si="33"/>
        <v>2301.5700000000002</v>
      </c>
      <c r="Q365" s="79">
        <f t="shared" si="34"/>
        <v>3119.9059999999999</v>
      </c>
      <c r="R365" s="75" t="str">
        <f t="shared" si="35"/>
        <v>Rs./hr</v>
      </c>
    </row>
    <row r="366" spans="1:18" ht="15" customHeight="1" x14ac:dyDescent="0.3">
      <c r="A366" s="75">
        <v>354</v>
      </c>
      <c r="B366" s="75" t="s">
        <v>874</v>
      </c>
      <c r="C366" s="75" t="s">
        <v>108</v>
      </c>
      <c r="D366" s="76" t="s">
        <v>853</v>
      </c>
      <c r="E366" s="76" t="s">
        <v>870</v>
      </c>
      <c r="F366" s="75">
        <v>2016</v>
      </c>
      <c r="G366" s="75" t="s">
        <v>111</v>
      </c>
      <c r="H366" s="75" t="s">
        <v>112</v>
      </c>
      <c r="I366" s="76" t="s">
        <v>855</v>
      </c>
      <c r="J366" s="75" t="s">
        <v>114</v>
      </c>
      <c r="K366" s="77">
        <v>3.6</v>
      </c>
      <c r="L366" s="77">
        <v>5</v>
      </c>
      <c r="M366" s="77">
        <v>6.8</v>
      </c>
      <c r="N366" s="78">
        <f t="shared" si="31"/>
        <v>1.07</v>
      </c>
      <c r="O366" s="79">
        <f t="shared" si="32"/>
        <v>1841.2560000000001</v>
      </c>
      <c r="P366" s="79">
        <f t="shared" si="33"/>
        <v>2557.3000000000002</v>
      </c>
      <c r="Q366" s="79">
        <f t="shared" si="34"/>
        <v>3477.9279999999999</v>
      </c>
      <c r="R366" s="75" t="str">
        <f t="shared" si="35"/>
        <v>Rs./hr</v>
      </c>
    </row>
    <row r="367" spans="1:18" ht="15" customHeight="1" x14ac:dyDescent="0.3">
      <c r="A367" s="75">
        <v>355</v>
      </c>
      <c r="B367" s="75" t="s">
        <v>875</v>
      </c>
      <c r="C367" s="75" t="s">
        <v>108</v>
      </c>
      <c r="D367" s="76" t="s">
        <v>853</v>
      </c>
      <c r="E367" s="76" t="s">
        <v>870</v>
      </c>
      <c r="F367" s="75">
        <v>2017</v>
      </c>
      <c r="G367" s="75" t="s">
        <v>111</v>
      </c>
      <c r="H367" s="75" t="s">
        <v>112</v>
      </c>
      <c r="I367" s="76" t="s">
        <v>855</v>
      </c>
      <c r="J367" s="75" t="s">
        <v>114</v>
      </c>
      <c r="K367" s="77">
        <v>3.6</v>
      </c>
      <c r="L367" s="77">
        <v>5</v>
      </c>
      <c r="M367" s="77">
        <v>6.8</v>
      </c>
      <c r="N367" s="78">
        <f t="shared" si="31"/>
        <v>1.0629999999999999</v>
      </c>
      <c r="O367" s="79">
        <f t="shared" si="32"/>
        <v>1829.2103999999999</v>
      </c>
      <c r="P367" s="79">
        <f t="shared" si="33"/>
        <v>2540.5699999999997</v>
      </c>
      <c r="Q367" s="79">
        <f t="shared" si="34"/>
        <v>3455.1751999999997</v>
      </c>
      <c r="R367" s="75" t="str">
        <f t="shared" si="35"/>
        <v>Rs./hr</v>
      </c>
    </row>
    <row r="368" spans="1:18" ht="15" customHeight="1" x14ac:dyDescent="0.3">
      <c r="A368" s="75">
        <v>356</v>
      </c>
      <c r="B368" s="75" t="s">
        <v>876</v>
      </c>
      <c r="C368" s="75" t="s">
        <v>108</v>
      </c>
      <c r="D368" s="76" t="s">
        <v>853</v>
      </c>
      <c r="E368" s="76" t="s">
        <v>870</v>
      </c>
      <c r="F368" s="75">
        <v>2017</v>
      </c>
      <c r="G368" s="75" t="s">
        <v>111</v>
      </c>
      <c r="H368" s="75" t="s">
        <v>112</v>
      </c>
      <c r="I368" s="76" t="s">
        <v>855</v>
      </c>
      <c r="J368" s="75" t="s">
        <v>114</v>
      </c>
      <c r="K368" s="77">
        <v>3.6</v>
      </c>
      <c r="L368" s="77">
        <v>5</v>
      </c>
      <c r="M368" s="77">
        <v>6.8</v>
      </c>
      <c r="N368" s="78">
        <f t="shared" si="31"/>
        <v>1.0629999999999999</v>
      </c>
      <c r="O368" s="79">
        <f t="shared" si="32"/>
        <v>1829.2103999999999</v>
      </c>
      <c r="P368" s="79">
        <f t="shared" si="33"/>
        <v>2540.5699999999997</v>
      </c>
      <c r="Q368" s="79">
        <f t="shared" si="34"/>
        <v>3455.1751999999997</v>
      </c>
      <c r="R368" s="75" t="str">
        <f t="shared" si="35"/>
        <v>Rs./hr</v>
      </c>
    </row>
    <row r="369" spans="1:18" ht="15" customHeight="1" x14ac:dyDescent="0.3">
      <c r="A369" s="75">
        <v>357</v>
      </c>
      <c r="B369" s="75" t="s">
        <v>877</v>
      </c>
      <c r="C369" s="75" t="s">
        <v>108</v>
      </c>
      <c r="D369" s="76" t="s">
        <v>853</v>
      </c>
      <c r="E369" s="76" t="s">
        <v>870</v>
      </c>
      <c r="F369" s="75">
        <v>2017</v>
      </c>
      <c r="G369" s="75" t="s">
        <v>111</v>
      </c>
      <c r="H369" s="75" t="s">
        <v>112</v>
      </c>
      <c r="I369" s="76" t="s">
        <v>855</v>
      </c>
      <c r="J369" s="75" t="s">
        <v>114</v>
      </c>
      <c r="K369" s="77">
        <v>3.6</v>
      </c>
      <c r="L369" s="77">
        <v>5</v>
      </c>
      <c r="M369" s="77">
        <v>6.8</v>
      </c>
      <c r="N369" s="78">
        <f t="shared" si="31"/>
        <v>1.0629999999999999</v>
      </c>
      <c r="O369" s="79">
        <f t="shared" si="32"/>
        <v>1829.2103999999999</v>
      </c>
      <c r="P369" s="79">
        <f t="shared" si="33"/>
        <v>2540.5699999999997</v>
      </c>
      <c r="Q369" s="79">
        <f t="shared" si="34"/>
        <v>3455.1751999999997</v>
      </c>
      <c r="R369" s="75" t="str">
        <f t="shared" si="35"/>
        <v>Rs./hr</v>
      </c>
    </row>
    <row r="370" spans="1:18" ht="15" customHeight="1" x14ac:dyDescent="0.3">
      <c r="A370" s="75">
        <v>358</v>
      </c>
      <c r="B370" s="75" t="s">
        <v>878</v>
      </c>
      <c r="C370" s="75" t="s">
        <v>108</v>
      </c>
      <c r="D370" s="76" t="s">
        <v>853</v>
      </c>
      <c r="E370" s="76" t="s">
        <v>879</v>
      </c>
      <c r="F370" s="75">
        <v>2016</v>
      </c>
      <c r="G370" s="75" t="s">
        <v>111</v>
      </c>
      <c r="H370" s="75" t="s">
        <v>112</v>
      </c>
      <c r="I370" s="76" t="s">
        <v>880</v>
      </c>
      <c r="J370" s="75" t="s">
        <v>114</v>
      </c>
      <c r="K370" s="77">
        <v>5</v>
      </c>
      <c r="L370" s="77">
        <v>7</v>
      </c>
      <c r="M370" s="77">
        <v>9.5</v>
      </c>
      <c r="N370" s="78">
        <f t="shared" si="31"/>
        <v>1.07</v>
      </c>
      <c r="O370" s="79">
        <f t="shared" si="32"/>
        <v>2557.3000000000002</v>
      </c>
      <c r="P370" s="79">
        <f t="shared" si="33"/>
        <v>3580.2200000000003</v>
      </c>
      <c r="Q370" s="79">
        <f t="shared" si="34"/>
        <v>4858.8700000000008</v>
      </c>
      <c r="R370" s="75" t="str">
        <f t="shared" si="35"/>
        <v>Rs./hr</v>
      </c>
    </row>
    <row r="371" spans="1:18" ht="15" customHeight="1" x14ac:dyDescent="0.3">
      <c r="A371" s="75">
        <v>359</v>
      </c>
      <c r="B371" s="75" t="s">
        <v>881</v>
      </c>
      <c r="C371" s="75" t="s">
        <v>108</v>
      </c>
      <c r="D371" s="76" t="s">
        <v>853</v>
      </c>
      <c r="E371" s="76" t="s">
        <v>870</v>
      </c>
      <c r="F371" s="75">
        <v>2020</v>
      </c>
      <c r="G371" s="75" t="s">
        <v>111</v>
      </c>
      <c r="H371" s="75" t="s">
        <v>112</v>
      </c>
      <c r="I371" s="76" t="s">
        <v>855</v>
      </c>
      <c r="J371" s="75" t="s">
        <v>114</v>
      </c>
      <c r="K371" s="77">
        <v>3.6</v>
      </c>
      <c r="L371" s="77">
        <v>5</v>
      </c>
      <c r="M371" s="77">
        <v>6.8</v>
      </c>
      <c r="N371" s="78">
        <f t="shared" si="31"/>
        <v>1.042</v>
      </c>
      <c r="O371" s="79">
        <f t="shared" si="32"/>
        <v>1793.0736000000002</v>
      </c>
      <c r="P371" s="79">
        <f t="shared" si="33"/>
        <v>2490.38</v>
      </c>
      <c r="Q371" s="79">
        <f t="shared" si="34"/>
        <v>3386.9168</v>
      </c>
      <c r="R371" s="75" t="str">
        <f t="shared" si="35"/>
        <v>Rs./hr</v>
      </c>
    </row>
    <row r="372" spans="1:18" ht="15" customHeight="1" x14ac:dyDescent="0.3">
      <c r="A372" s="75">
        <v>360</v>
      </c>
      <c r="B372" s="75" t="s">
        <v>882</v>
      </c>
      <c r="C372" s="75" t="s">
        <v>108</v>
      </c>
      <c r="D372" s="76" t="s">
        <v>853</v>
      </c>
      <c r="E372" s="76" t="s">
        <v>870</v>
      </c>
      <c r="F372" s="75">
        <v>2021</v>
      </c>
      <c r="G372" s="75" t="s">
        <v>111</v>
      </c>
      <c r="H372" s="75" t="s">
        <v>112</v>
      </c>
      <c r="I372" s="76" t="s">
        <v>855</v>
      </c>
      <c r="J372" s="75" t="s">
        <v>114</v>
      </c>
      <c r="K372" s="77">
        <v>3.6</v>
      </c>
      <c r="L372" s="77">
        <v>5</v>
      </c>
      <c r="M372" s="77">
        <v>6.8</v>
      </c>
      <c r="N372" s="78">
        <f t="shared" si="31"/>
        <v>1.0349999999999999</v>
      </c>
      <c r="O372" s="79">
        <f t="shared" si="32"/>
        <v>1781.028</v>
      </c>
      <c r="P372" s="79">
        <f t="shared" si="33"/>
        <v>2473.65</v>
      </c>
      <c r="Q372" s="79">
        <f t="shared" si="34"/>
        <v>3364.1639999999998</v>
      </c>
      <c r="R372" s="75" t="str">
        <f t="shared" si="35"/>
        <v>Rs./hr</v>
      </c>
    </row>
    <row r="373" spans="1:18" ht="15" customHeight="1" x14ac:dyDescent="0.3">
      <c r="A373" s="75">
        <v>361</v>
      </c>
      <c r="B373" s="75" t="s">
        <v>883</v>
      </c>
      <c r="C373" s="75" t="s">
        <v>108</v>
      </c>
      <c r="D373" s="76" t="s">
        <v>853</v>
      </c>
      <c r="E373" s="76" t="s">
        <v>870</v>
      </c>
      <c r="F373" s="75">
        <v>2021</v>
      </c>
      <c r="G373" s="75" t="s">
        <v>111</v>
      </c>
      <c r="H373" s="75" t="s">
        <v>112</v>
      </c>
      <c r="I373" s="76" t="s">
        <v>855</v>
      </c>
      <c r="J373" s="75" t="s">
        <v>114</v>
      </c>
      <c r="K373" s="77">
        <v>3.6</v>
      </c>
      <c r="L373" s="77">
        <v>5</v>
      </c>
      <c r="M373" s="77">
        <v>6.8</v>
      </c>
      <c r="N373" s="78">
        <f t="shared" si="31"/>
        <v>1.0349999999999999</v>
      </c>
      <c r="O373" s="79">
        <f t="shared" si="32"/>
        <v>1781.028</v>
      </c>
      <c r="P373" s="79">
        <f t="shared" si="33"/>
        <v>2473.65</v>
      </c>
      <c r="Q373" s="79">
        <f t="shared" si="34"/>
        <v>3364.1639999999998</v>
      </c>
      <c r="R373" s="75" t="str">
        <f t="shared" si="35"/>
        <v>Rs./hr</v>
      </c>
    </row>
    <row r="374" spans="1:18" ht="15" customHeight="1" x14ac:dyDescent="0.3">
      <c r="A374" s="75">
        <v>362</v>
      </c>
      <c r="B374" s="75" t="s">
        <v>884</v>
      </c>
      <c r="C374" s="75" t="s">
        <v>108</v>
      </c>
      <c r="D374" s="76" t="s">
        <v>853</v>
      </c>
      <c r="E374" s="76" t="s">
        <v>870</v>
      </c>
      <c r="F374" s="75">
        <v>2021</v>
      </c>
      <c r="G374" s="75" t="s">
        <v>111</v>
      </c>
      <c r="H374" s="75" t="s">
        <v>112</v>
      </c>
      <c r="I374" s="76" t="s">
        <v>855</v>
      </c>
      <c r="J374" s="75" t="s">
        <v>114</v>
      </c>
      <c r="K374" s="77">
        <v>3.6</v>
      </c>
      <c r="L374" s="77">
        <v>5</v>
      </c>
      <c r="M374" s="77">
        <v>6.8</v>
      </c>
      <c r="N374" s="78">
        <f t="shared" si="31"/>
        <v>1.0349999999999999</v>
      </c>
      <c r="O374" s="79">
        <f t="shared" si="32"/>
        <v>1781.028</v>
      </c>
      <c r="P374" s="79">
        <f t="shared" si="33"/>
        <v>2473.65</v>
      </c>
      <c r="Q374" s="79">
        <f t="shared" si="34"/>
        <v>3364.1639999999998</v>
      </c>
      <c r="R374" s="75" t="str">
        <f t="shared" si="35"/>
        <v>Rs./hr</v>
      </c>
    </row>
    <row r="375" spans="1:18" ht="15" customHeight="1" x14ac:dyDescent="0.3">
      <c r="A375" s="75">
        <v>363</v>
      </c>
      <c r="B375" s="75" t="s">
        <v>885</v>
      </c>
      <c r="C375" s="75" t="s">
        <v>108</v>
      </c>
      <c r="D375" s="76" t="s">
        <v>853</v>
      </c>
      <c r="E375" s="76" t="s">
        <v>873</v>
      </c>
      <c r="F375" s="75">
        <v>2021</v>
      </c>
      <c r="G375" s="75" t="s">
        <v>111</v>
      </c>
      <c r="H375" s="75" t="s">
        <v>112</v>
      </c>
      <c r="I375" s="76" t="s">
        <v>858</v>
      </c>
      <c r="J375" s="75" t="s">
        <v>114</v>
      </c>
      <c r="K375" s="77">
        <v>3.2</v>
      </c>
      <c r="L375" s="77">
        <v>4.5</v>
      </c>
      <c r="M375" s="77">
        <v>6.1</v>
      </c>
      <c r="N375" s="78">
        <f t="shared" si="31"/>
        <v>1.0349999999999999</v>
      </c>
      <c r="O375" s="79">
        <f t="shared" si="32"/>
        <v>1583.136</v>
      </c>
      <c r="P375" s="79">
        <f t="shared" si="33"/>
        <v>2226.2849999999999</v>
      </c>
      <c r="Q375" s="79">
        <f t="shared" si="34"/>
        <v>3017.8529999999996</v>
      </c>
      <c r="R375" s="75" t="str">
        <f t="shared" si="35"/>
        <v>Rs./hr</v>
      </c>
    </row>
    <row r="376" spans="1:18" ht="15" customHeight="1" x14ac:dyDescent="0.3">
      <c r="A376" s="75">
        <v>364</v>
      </c>
      <c r="B376" s="75" t="s">
        <v>886</v>
      </c>
      <c r="C376" s="75" t="s">
        <v>108</v>
      </c>
      <c r="D376" s="76" t="s">
        <v>853</v>
      </c>
      <c r="E376" s="76" t="s">
        <v>857</v>
      </c>
      <c r="F376" s="75">
        <v>2021</v>
      </c>
      <c r="G376" s="75" t="s">
        <v>111</v>
      </c>
      <c r="H376" s="75" t="s">
        <v>112</v>
      </c>
      <c r="I376" s="76" t="s">
        <v>858</v>
      </c>
      <c r="J376" s="75" t="s">
        <v>114</v>
      </c>
      <c r="K376" s="77">
        <v>3.2</v>
      </c>
      <c r="L376" s="77">
        <v>4.5</v>
      </c>
      <c r="M376" s="77">
        <v>6.1</v>
      </c>
      <c r="N376" s="78">
        <f t="shared" si="31"/>
        <v>1.0349999999999999</v>
      </c>
      <c r="O376" s="79">
        <f t="shared" si="32"/>
        <v>1583.136</v>
      </c>
      <c r="P376" s="79">
        <f t="shared" si="33"/>
        <v>2226.2849999999999</v>
      </c>
      <c r="Q376" s="79">
        <f t="shared" si="34"/>
        <v>3017.8529999999996</v>
      </c>
      <c r="R376" s="75" t="str">
        <f t="shared" si="35"/>
        <v>Rs./hr</v>
      </c>
    </row>
    <row r="377" spans="1:18" ht="15" customHeight="1" x14ac:dyDescent="0.3">
      <c r="A377" s="75">
        <v>365</v>
      </c>
      <c r="B377" s="75" t="s">
        <v>887</v>
      </c>
      <c r="C377" s="75" t="s">
        <v>108</v>
      </c>
      <c r="D377" s="76" t="s">
        <v>888</v>
      </c>
      <c r="E377" s="76" t="s">
        <v>889</v>
      </c>
      <c r="F377" s="75">
        <v>2012</v>
      </c>
      <c r="G377" s="75" t="s">
        <v>111</v>
      </c>
      <c r="H377" s="75" t="s">
        <v>112</v>
      </c>
      <c r="I377" s="76" t="s">
        <v>113</v>
      </c>
      <c r="J377" s="75" t="s">
        <v>114</v>
      </c>
      <c r="K377" s="77">
        <v>4.3</v>
      </c>
      <c r="L377" s="77">
        <v>6</v>
      </c>
      <c r="M377" s="77">
        <v>8.1</v>
      </c>
      <c r="N377" s="78">
        <f t="shared" si="31"/>
        <v>1.0980000000000001</v>
      </c>
      <c r="O377" s="79">
        <f t="shared" si="32"/>
        <v>2256.8292000000001</v>
      </c>
      <c r="P377" s="79">
        <f t="shared" si="33"/>
        <v>3149.0640000000003</v>
      </c>
      <c r="Q377" s="79">
        <f t="shared" si="34"/>
        <v>4251.2364000000007</v>
      </c>
      <c r="R377" s="75" t="str">
        <f t="shared" si="35"/>
        <v>Rs./hr</v>
      </c>
    </row>
    <row r="378" spans="1:18" ht="15" customHeight="1" x14ac:dyDescent="0.3">
      <c r="A378" s="75">
        <v>366</v>
      </c>
      <c r="B378" s="75" t="s">
        <v>890</v>
      </c>
      <c r="C378" s="75" t="s">
        <v>108</v>
      </c>
      <c r="D378" s="76" t="s">
        <v>888</v>
      </c>
      <c r="E378" s="76" t="s">
        <v>891</v>
      </c>
      <c r="F378" s="75">
        <v>2009</v>
      </c>
      <c r="G378" s="75" t="s">
        <v>111</v>
      </c>
      <c r="H378" s="75" t="s">
        <v>112</v>
      </c>
      <c r="I378" s="76" t="s">
        <v>113</v>
      </c>
      <c r="J378" s="75" t="s">
        <v>114</v>
      </c>
      <c r="K378" s="77">
        <v>4.3</v>
      </c>
      <c r="L378" s="77">
        <v>6</v>
      </c>
      <c r="M378" s="77">
        <v>8.1</v>
      </c>
      <c r="N378" s="78">
        <f t="shared" si="31"/>
        <v>1.119</v>
      </c>
      <c r="O378" s="79">
        <f t="shared" si="32"/>
        <v>2299.9926</v>
      </c>
      <c r="P378" s="79">
        <f t="shared" si="33"/>
        <v>3209.2920000000004</v>
      </c>
      <c r="Q378" s="79">
        <f t="shared" si="34"/>
        <v>4332.5442000000003</v>
      </c>
      <c r="R378" s="75" t="str">
        <f t="shared" si="35"/>
        <v>Rs./hr</v>
      </c>
    </row>
    <row r="379" spans="1:18" ht="15" customHeight="1" x14ac:dyDescent="0.3">
      <c r="A379" s="75">
        <v>367</v>
      </c>
      <c r="B379" s="75" t="s">
        <v>892</v>
      </c>
      <c r="C379" s="75" t="s">
        <v>108</v>
      </c>
      <c r="D379" s="76" t="s">
        <v>888</v>
      </c>
      <c r="E379" s="76" t="s">
        <v>124</v>
      </c>
      <c r="F379" s="75">
        <v>2012</v>
      </c>
      <c r="G379" s="75" t="s">
        <v>111</v>
      </c>
      <c r="H379" s="75" t="s">
        <v>112</v>
      </c>
      <c r="I379" s="76" t="s">
        <v>113</v>
      </c>
      <c r="J379" s="75" t="s">
        <v>114</v>
      </c>
      <c r="K379" s="77">
        <v>4.3</v>
      </c>
      <c r="L379" s="77">
        <v>6</v>
      </c>
      <c r="M379" s="77">
        <v>8.1</v>
      </c>
      <c r="N379" s="78">
        <f t="shared" si="31"/>
        <v>1.0980000000000001</v>
      </c>
      <c r="O379" s="79">
        <f t="shared" si="32"/>
        <v>2256.8292000000001</v>
      </c>
      <c r="P379" s="79">
        <f t="shared" si="33"/>
        <v>3149.0640000000003</v>
      </c>
      <c r="Q379" s="79">
        <f t="shared" si="34"/>
        <v>4251.2364000000007</v>
      </c>
      <c r="R379" s="75" t="str">
        <f t="shared" si="35"/>
        <v>Rs./hr</v>
      </c>
    </row>
    <row r="380" spans="1:18" ht="15" customHeight="1" x14ac:dyDescent="0.3">
      <c r="A380" s="75">
        <v>368</v>
      </c>
      <c r="B380" s="75" t="s">
        <v>893</v>
      </c>
      <c r="C380" s="75" t="s">
        <v>108</v>
      </c>
      <c r="D380" s="76" t="s">
        <v>888</v>
      </c>
      <c r="E380" s="76" t="s">
        <v>124</v>
      </c>
      <c r="F380" s="75">
        <v>2013</v>
      </c>
      <c r="G380" s="75" t="s">
        <v>111</v>
      </c>
      <c r="H380" s="75" t="s">
        <v>112</v>
      </c>
      <c r="I380" s="76" t="s">
        <v>113</v>
      </c>
      <c r="J380" s="75" t="s">
        <v>114</v>
      </c>
      <c r="K380" s="77">
        <v>4.3</v>
      </c>
      <c r="L380" s="77">
        <v>6</v>
      </c>
      <c r="M380" s="77">
        <v>8.1</v>
      </c>
      <c r="N380" s="78">
        <f t="shared" si="31"/>
        <v>1.091</v>
      </c>
      <c r="O380" s="79">
        <f t="shared" si="32"/>
        <v>2242.4414000000002</v>
      </c>
      <c r="P380" s="79">
        <f t="shared" si="33"/>
        <v>3128.9879999999998</v>
      </c>
      <c r="Q380" s="79">
        <f t="shared" si="34"/>
        <v>4224.1337999999996</v>
      </c>
      <c r="R380" s="75" t="str">
        <f t="shared" si="35"/>
        <v>Rs./hr</v>
      </c>
    </row>
    <row r="381" spans="1:18" ht="15" customHeight="1" x14ac:dyDescent="0.3">
      <c r="A381" s="75">
        <v>369</v>
      </c>
      <c r="B381" s="75" t="s">
        <v>894</v>
      </c>
      <c r="C381" s="75" t="s">
        <v>108</v>
      </c>
      <c r="D381" s="76" t="s">
        <v>888</v>
      </c>
      <c r="E381" s="76" t="s">
        <v>895</v>
      </c>
      <c r="F381" s="75">
        <v>2014</v>
      </c>
      <c r="G381" s="75" t="s">
        <v>111</v>
      </c>
      <c r="H381" s="75" t="s">
        <v>112</v>
      </c>
      <c r="I381" s="76" t="s">
        <v>113</v>
      </c>
      <c r="J381" s="75" t="s">
        <v>114</v>
      </c>
      <c r="K381" s="77">
        <v>4.3</v>
      </c>
      <c r="L381" s="77">
        <v>6</v>
      </c>
      <c r="M381" s="77">
        <v>8.1</v>
      </c>
      <c r="N381" s="78">
        <f t="shared" si="31"/>
        <v>1.0840000000000001</v>
      </c>
      <c r="O381" s="79">
        <f t="shared" si="32"/>
        <v>2228.0536000000002</v>
      </c>
      <c r="P381" s="79">
        <f t="shared" si="33"/>
        <v>3108.9120000000003</v>
      </c>
      <c r="Q381" s="79">
        <f t="shared" si="34"/>
        <v>4197.0312000000004</v>
      </c>
      <c r="R381" s="75" t="str">
        <f t="shared" si="35"/>
        <v>Rs./hr</v>
      </c>
    </row>
    <row r="382" spans="1:18" ht="15" customHeight="1" x14ac:dyDescent="0.3">
      <c r="A382" s="75">
        <v>370</v>
      </c>
      <c r="B382" s="75" t="s">
        <v>896</v>
      </c>
      <c r="C382" s="75" t="s">
        <v>108</v>
      </c>
      <c r="D382" s="76" t="s">
        <v>888</v>
      </c>
      <c r="E382" s="76" t="s">
        <v>889</v>
      </c>
      <c r="F382" s="75">
        <v>2014</v>
      </c>
      <c r="G382" s="75" t="s">
        <v>111</v>
      </c>
      <c r="H382" s="75" t="s">
        <v>112</v>
      </c>
      <c r="I382" s="76" t="s">
        <v>113</v>
      </c>
      <c r="J382" s="75" t="s">
        <v>114</v>
      </c>
      <c r="K382" s="77">
        <v>4.3</v>
      </c>
      <c r="L382" s="77">
        <v>6</v>
      </c>
      <c r="M382" s="77">
        <v>8.1</v>
      </c>
      <c r="N382" s="78">
        <f t="shared" si="31"/>
        <v>1.0840000000000001</v>
      </c>
      <c r="O382" s="79">
        <f t="shared" si="32"/>
        <v>2228.0536000000002</v>
      </c>
      <c r="P382" s="79">
        <f t="shared" si="33"/>
        <v>3108.9120000000003</v>
      </c>
      <c r="Q382" s="79">
        <f t="shared" si="34"/>
        <v>4197.0312000000004</v>
      </c>
      <c r="R382" s="75" t="str">
        <f t="shared" si="35"/>
        <v>Rs./hr</v>
      </c>
    </row>
    <row r="383" spans="1:18" ht="15" customHeight="1" x14ac:dyDescent="0.3">
      <c r="A383" s="75">
        <v>371</v>
      </c>
      <c r="B383" s="75" t="s">
        <v>897</v>
      </c>
      <c r="C383" s="75" t="s">
        <v>108</v>
      </c>
      <c r="D383" s="76" t="s">
        <v>888</v>
      </c>
      <c r="E383" s="76" t="s">
        <v>898</v>
      </c>
      <c r="F383" s="75">
        <v>2010</v>
      </c>
      <c r="G383" s="75" t="s">
        <v>111</v>
      </c>
      <c r="H383" s="75" t="s">
        <v>112</v>
      </c>
      <c r="I383" s="76" t="s">
        <v>113</v>
      </c>
      <c r="J383" s="75" t="s">
        <v>114</v>
      </c>
      <c r="K383" s="77">
        <v>4.3</v>
      </c>
      <c r="L383" s="77">
        <v>6</v>
      </c>
      <c r="M383" s="77">
        <v>8.1</v>
      </c>
      <c r="N383" s="78">
        <f t="shared" si="31"/>
        <v>1.1120000000000001</v>
      </c>
      <c r="O383" s="79">
        <f t="shared" si="32"/>
        <v>2285.6048000000001</v>
      </c>
      <c r="P383" s="79">
        <f t="shared" si="33"/>
        <v>3189.2160000000003</v>
      </c>
      <c r="Q383" s="79">
        <f t="shared" si="34"/>
        <v>4305.4416000000001</v>
      </c>
      <c r="R383" s="75" t="str">
        <f t="shared" si="35"/>
        <v>Rs./hr</v>
      </c>
    </row>
    <row r="384" spans="1:18" ht="15" customHeight="1" x14ac:dyDescent="0.3">
      <c r="A384" s="75">
        <v>372</v>
      </c>
      <c r="B384" s="75" t="s">
        <v>899</v>
      </c>
      <c r="C384" s="75" t="s">
        <v>108</v>
      </c>
      <c r="D384" s="76" t="s">
        <v>888</v>
      </c>
      <c r="E384" s="76" t="s">
        <v>900</v>
      </c>
      <c r="F384" s="75">
        <v>2017</v>
      </c>
      <c r="G384" s="75" t="s">
        <v>111</v>
      </c>
      <c r="H384" s="75" t="s">
        <v>112</v>
      </c>
      <c r="I384" s="76" t="s">
        <v>113</v>
      </c>
      <c r="J384" s="75" t="s">
        <v>114</v>
      </c>
      <c r="K384" s="77">
        <v>4.3</v>
      </c>
      <c r="L384" s="77">
        <v>6</v>
      </c>
      <c r="M384" s="77">
        <v>8.1</v>
      </c>
      <c r="N384" s="78">
        <f t="shared" si="31"/>
        <v>1.0629999999999999</v>
      </c>
      <c r="O384" s="79">
        <f t="shared" si="32"/>
        <v>2184.8901999999998</v>
      </c>
      <c r="P384" s="79">
        <f t="shared" si="33"/>
        <v>3048.6840000000002</v>
      </c>
      <c r="Q384" s="79">
        <f t="shared" si="34"/>
        <v>4115.7233999999989</v>
      </c>
      <c r="R384" s="75" t="str">
        <f t="shared" si="35"/>
        <v>Rs./hr</v>
      </c>
    </row>
    <row r="385" spans="1:18" ht="15" customHeight="1" x14ac:dyDescent="0.3">
      <c r="A385" s="75">
        <v>373</v>
      </c>
      <c r="B385" s="75" t="s">
        <v>901</v>
      </c>
      <c r="C385" s="75" t="s">
        <v>108</v>
      </c>
      <c r="D385" s="76" t="s">
        <v>888</v>
      </c>
      <c r="E385" s="76" t="s">
        <v>889</v>
      </c>
      <c r="F385" s="75" t="s">
        <v>108</v>
      </c>
      <c r="G385" s="75" t="s">
        <v>111</v>
      </c>
      <c r="H385" s="75" t="s">
        <v>112</v>
      </c>
      <c r="I385" s="76" t="s">
        <v>113</v>
      </c>
      <c r="J385" s="75" t="s">
        <v>114</v>
      </c>
      <c r="K385" s="77">
        <v>4.3</v>
      </c>
      <c r="L385" s="77">
        <v>6</v>
      </c>
      <c r="M385" s="77">
        <v>8.1</v>
      </c>
      <c r="N385" s="78">
        <f>1</f>
        <v>1</v>
      </c>
      <c r="O385" s="79">
        <f t="shared" si="32"/>
        <v>2055.4</v>
      </c>
      <c r="P385" s="79">
        <f t="shared" si="33"/>
        <v>2868</v>
      </c>
      <c r="Q385" s="79">
        <f t="shared" si="34"/>
        <v>3871.7999999999997</v>
      </c>
      <c r="R385" s="75" t="str">
        <f t="shared" si="35"/>
        <v>Rs./hr</v>
      </c>
    </row>
    <row r="386" spans="1:18" ht="15" customHeight="1" x14ac:dyDescent="0.3">
      <c r="A386" s="75">
        <v>374</v>
      </c>
      <c r="B386" s="75" t="s">
        <v>902</v>
      </c>
      <c r="C386" s="75" t="s">
        <v>108</v>
      </c>
      <c r="D386" s="76" t="s">
        <v>888</v>
      </c>
      <c r="E386" s="76" t="s">
        <v>903</v>
      </c>
      <c r="F386" s="75" t="s">
        <v>108</v>
      </c>
      <c r="G386" s="75" t="s">
        <v>111</v>
      </c>
      <c r="H386" s="75" t="s">
        <v>112</v>
      </c>
      <c r="I386" s="76" t="s">
        <v>113</v>
      </c>
      <c r="J386" s="75" t="s">
        <v>114</v>
      </c>
      <c r="K386" s="77">
        <v>4.3</v>
      </c>
      <c r="L386" s="77">
        <v>6</v>
      </c>
      <c r="M386" s="77">
        <v>8.1</v>
      </c>
      <c r="N386" s="78">
        <f>1</f>
        <v>1</v>
      </c>
      <c r="O386" s="79">
        <f t="shared" si="32"/>
        <v>2055.4</v>
      </c>
      <c r="P386" s="79">
        <f t="shared" si="33"/>
        <v>2868</v>
      </c>
      <c r="Q386" s="79">
        <f t="shared" si="34"/>
        <v>3871.7999999999997</v>
      </c>
      <c r="R386" s="75" t="str">
        <f t="shared" si="35"/>
        <v>Rs./hr</v>
      </c>
    </row>
    <row r="387" spans="1:18" ht="15" customHeight="1" x14ac:dyDescent="0.3">
      <c r="A387" s="75">
        <v>375</v>
      </c>
      <c r="B387" s="75" t="s">
        <v>904</v>
      </c>
      <c r="C387" s="75" t="s">
        <v>108</v>
      </c>
      <c r="D387" s="76" t="s">
        <v>888</v>
      </c>
      <c r="E387" s="76" t="s">
        <v>905</v>
      </c>
      <c r="F387" s="75" t="s">
        <v>108</v>
      </c>
      <c r="G387" s="75" t="s">
        <v>111</v>
      </c>
      <c r="H387" s="75" t="s">
        <v>112</v>
      </c>
      <c r="I387" s="76" t="s">
        <v>113</v>
      </c>
      <c r="J387" s="75" t="s">
        <v>114</v>
      </c>
      <c r="K387" s="77">
        <v>4.3</v>
      </c>
      <c r="L387" s="77">
        <v>6</v>
      </c>
      <c r="M387" s="77">
        <v>8.1</v>
      </c>
      <c r="N387" s="78">
        <f>1</f>
        <v>1</v>
      </c>
      <c r="O387" s="79">
        <f t="shared" si="32"/>
        <v>2055.4</v>
      </c>
      <c r="P387" s="79">
        <f t="shared" si="33"/>
        <v>2868</v>
      </c>
      <c r="Q387" s="79">
        <f t="shared" si="34"/>
        <v>3871.7999999999997</v>
      </c>
      <c r="R387" s="75" t="str">
        <f t="shared" si="35"/>
        <v>Rs./hr</v>
      </c>
    </row>
    <row r="388" spans="1:18" ht="15" customHeight="1" x14ac:dyDescent="0.3">
      <c r="A388" s="75">
        <v>376</v>
      </c>
      <c r="B388" s="75" t="s">
        <v>906</v>
      </c>
      <c r="C388" s="75" t="s">
        <v>108</v>
      </c>
      <c r="D388" s="76" t="s">
        <v>888</v>
      </c>
      <c r="E388" s="76" t="s">
        <v>905</v>
      </c>
      <c r="F388" s="75">
        <v>2016</v>
      </c>
      <c r="G388" s="75" t="s">
        <v>111</v>
      </c>
      <c r="H388" s="75" t="s">
        <v>112</v>
      </c>
      <c r="I388" s="76" t="s">
        <v>113</v>
      </c>
      <c r="J388" s="75" t="s">
        <v>114</v>
      </c>
      <c r="K388" s="77">
        <v>4.3</v>
      </c>
      <c r="L388" s="77">
        <v>6</v>
      </c>
      <c r="M388" s="77">
        <v>8.1</v>
      </c>
      <c r="N388" s="78">
        <f>1+MIN(MAX($D$8-F388,0),$D$10)*$D$9</f>
        <v>1.07</v>
      </c>
      <c r="O388" s="79">
        <f t="shared" si="32"/>
        <v>2199.2779999999998</v>
      </c>
      <c r="P388" s="79">
        <f t="shared" si="33"/>
        <v>3068.7599999999998</v>
      </c>
      <c r="Q388" s="79">
        <f t="shared" si="34"/>
        <v>4142.826</v>
      </c>
      <c r="R388" s="75" t="str">
        <f t="shared" si="35"/>
        <v>Rs./hr</v>
      </c>
    </row>
    <row r="389" spans="1:18" ht="15" customHeight="1" x14ac:dyDescent="0.3">
      <c r="A389" s="75">
        <v>377</v>
      </c>
      <c r="B389" s="75" t="s">
        <v>907</v>
      </c>
      <c r="C389" s="75" t="s">
        <v>108</v>
      </c>
      <c r="D389" s="76" t="s">
        <v>888</v>
      </c>
      <c r="E389" s="76" t="s">
        <v>908</v>
      </c>
      <c r="F389" s="75" t="s">
        <v>108</v>
      </c>
      <c r="G389" s="75" t="s">
        <v>111</v>
      </c>
      <c r="H389" s="75" t="s">
        <v>112</v>
      </c>
      <c r="I389" s="76" t="s">
        <v>113</v>
      </c>
      <c r="J389" s="75" t="s">
        <v>114</v>
      </c>
      <c r="K389" s="77">
        <v>4.3</v>
      </c>
      <c r="L389" s="77">
        <v>6</v>
      </c>
      <c r="M389" s="77">
        <v>8.1</v>
      </c>
      <c r="N389" s="78">
        <f>1</f>
        <v>1</v>
      </c>
      <c r="O389" s="79">
        <f t="shared" si="32"/>
        <v>2055.4</v>
      </c>
      <c r="P389" s="79">
        <f t="shared" si="33"/>
        <v>2868</v>
      </c>
      <c r="Q389" s="79">
        <f t="shared" si="34"/>
        <v>3871.7999999999997</v>
      </c>
      <c r="R389" s="75" t="str">
        <f t="shared" si="35"/>
        <v>Rs./hr</v>
      </c>
    </row>
    <row r="390" spans="1:18" ht="15" customHeight="1" x14ac:dyDescent="0.3">
      <c r="A390" s="75">
        <v>378</v>
      </c>
      <c r="B390" s="75" t="s">
        <v>909</v>
      </c>
      <c r="C390" s="75" t="s">
        <v>108</v>
      </c>
      <c r="D390" s="76" t="s">
        <v>888</v>
      </c>
      <c r="E390" s="76" t="s">
        <v>910</v>
      </c>
      <c r="F390" s="75" t="s">
        <v>108</v>
      </c>
      <c r="G390" s="75" t="s">
        <v>111</v>
      </c>
      <c r="H390" s="75" t="s">
        <v>112</v>
      </c>
      <c r="I390" s="76" t="s">
        <v>113</v>
      </c>
      <c r="J390" s="75" t="s">
        <v>114</v>
      </c>
      <c r="K390" s="77">
        <v>4.3</v>
      </c>
      <c r="L390" s="77">
        <v>6</v>
      </c>
      <c r="M390" s="77">
        <v>8.1</v>
      </c>
      <c r="N390" s="78">
        <f>1</f>
        <v>1</v>
      </c>
      <c r="O390" s="79">
        <f t="shared" si="32"/>
        <v>2055.4</v>
      </c>
      <c r="P390" s="79">
        <f t="shared" si="33"/>
        <v>2868</v>
      </c>
      <c r="Q390" s="79">
        <f t="shared" si="34"/>
        <v>3871.7999999999997</v>
      </c>
      <c r="R390" s="75" t="str">
        <f t="shared" si="35"/>
        <v>Rs./hr</v>
      </c>
    </row>
    <row r="391" spans="1:18" ht="15" customHeight="1" x14ac:dyDescent="0.3">
      <c r="A391" s="75">
        <v>379</v>
      </c>
      <c r="B391" s="75" t="s">
        <v>911</v>
      </c>
      <c r="C391" s="75" t="s">
        <v>108</v>
      </c>
      <c r="D391" s="76" t="s">
        <v>888</v>
      </c>
      <c r="E391" s="76" t="s">
        <v>912</v>
      </c>
      <c r="F391" s="75">
        <v>2017</v>
      </c>
      <c r="G391" s="75" t="s">
        <v>111</v>
      </c>
      <c r="H391" s="75" t="s">
        <v>112</v>
      </c>
      <c r="I391" s="76" t="s">
        <v>113</v>
      </c>
      <c r="J391" s="75" t="s">
        <v>114</v>
      </c>
      <c r="K391" s="77">
        <v>4.3</v>
      </c>
      <c r="L391" s="77">
        <v>6</v>
      </c>
      <c r="M391" s="77">
        <v>8.1</v>
      </c>
      <c r="N391" s="78">
        <f>1+MIN(MAX($D$8-F391,0),$D$10)*$D$9</f>
        <v>1.0629999999999999</v>
      </c>
      <c r="O391" s="79">
        <f t="shared" si="32"/>
        <v>2184.8901999999998</v>
      </c>
      <c r="P391" s="79">
        <f t="shared" si="33"/>
        <v>3048.6840000000002</v>
      </c>
      <c r="Q391" s="79">
        <f t="shared" si="34"/>
        <v>4115.7233999999989</v>
      </c>
      <c r="R391" s="75" t="str">
        <f t="shared" si="35"/>
        <v>Rs./hr</v>
      </c>
    </row>
    <row r="392" spans="1:18" ht="15" customHeight="1" x14ac:dyDescent="0.3">
      <c r="A392" s="75">
        <v>380</v>
      </c>
      <c r="B392" s="75" t="s">
        <v>913</v>
      </c>
      <c r="C392" s="75" t="s">
        <v>108</v>
      </c>
      <c r="D392" s="76" t="s">
        <v>888</v>
      </c>
      <c r="E392" s="76" t="s">
        <v>914</v>
      </c>
      <c r="F392" s="75" t="s">
        <v>108</v>
      </c>
      <c r="G392" s="75" t="s">
        <v>111</v>
      </c>
      <c r="H392" s="75" t="s">
        <v>112</v>
      </c>
      <c r="I392" s="76" t="s">
        <v>113</v>
      </c>
      <c r="J392" s="75" t="s">
        <v>114</v>
      </c>
      <c r="K392" s="77">
        <v>4.3</v>
      </c>
      <c r="L392" s="77">
        <v>6</v>
      </c>
      <c r="M392" s="77">
        <v>8.1</v>
      </c>
      <c r="N392" s="78">
        <f>1</f>
        <v>1</v>
      </c>
      <c r="O392" s="79">
        <f t="shared" si="32"/>
        <v>2055.4</v>
      </c>
      <c r="P392" s="79">
        <f t="shared" si="33"/>
        <v>2868</v>
      </c>
      <c r="Q392" s="79">
        <f t="shared" si="34"/>
        <v>3871.7999999999997</v>
      </c>
      <c r="R392" s="75" t="str">
        <f t="shared" si="35"/>
        <v>Rs./hr</v>
      </c>
    </row>
    <row r="393" spans="1:18" ht="15" customHeight="1" x14ac:dyDescent="0.3">
      <c r="A393" s="75">
        <v>381</v>
      </c>
      <c r="B393" s="75" t="s">
        <v>915</v>
      </c>
      <c r="C393" s="75" t="s">
        <v>108</v>
      </c>
      <c r="D393" s="76" t="s">
        <v>888</v>
      </c>
      <c r="E393" s="76" t="s">
        <v>916</v>
      </c>
      <c r="F393" s="75">
        <v>2021</v>
      </c>
      <c r="G393" s="75" t="s">
        <v>111</v>
      </c>
      <c r="H393" s="75" t="s">
        <v>112</v>
      </c>
      <c r="I393" s="76" t="s">
        <v>113</v>
      </c>
      <c r="J393" s="75" t="s">
        <v>114</v>
      </c>
      <c r="K393" s="77">
        <v>4.3</v>
      </c>
      <c r="L393" s="77">
        <v>6</v>
      </c>
      <c r="M393" s="77">
        <v>8.1</v>
      </c>
      <c r="N393" s="78">
        <f>1+MIN(MAX($D$8-F393,0),$D$10)*$D$9</f>
        <v>1.0349999999999999</v>
      </c>
      <c r="O393" s="79">
        <f t="shared" si="32"/>
        <v>2127.3389999999999</v>
      </c>
      <c r="P393" s="79">
        <f t="shared" si="33"/>
        <v>2968.3799999999997</v>
      </c>
      <c r="Q393" s="79">
        <f t="shared" si="34"/>
        <v>4007.3129999999996</v>
      </c>
      <c r="R393" s="75" t="str">
        <f t="shared" si="35"/>
        <v>Rs./hr</v>
      </c>
    </row>
    <row r="394" spans="1:18" ht="15" customHeight="1" x14ac:dyDescent="0.3">
      <c r="A394" s="75">
        <v>382</v>
      </c>
      <c r="B394" s="75" t="s">
        <v>917</v>
      </c>
      <c r="C394" s="75" t="s">
        <v>108</v>
      </c>
      <c r="D394" s="76" t="s">
        <v>888</v>
      </c>
      <c r="E394" s="76" t="s">
        <v>914</v>
      </c>
      <c r="F394" s="75">
        <v>2021</v>
      </c>
      <c r="G394" s="75" t="s">
        <v>111</v>
      </c>
      <c r="H394" s="75" t="s">
        <v>112</v>
      </c>
      <c r="I394" s="76" t="s">
        <v>113</v>
      </c>
      <c r="J394" s="75" t="s">
        <v>114</v>
      </c>
      <c r="K394" s="77">
        <v>4.3</v>
      </c>
      <c r="L394" s="77">
        <v>6</v>
      </c>
      <c r="M394" s="77">
        <v>8.1</v>
      </c>
      <c r="N394" s="78">
        <f>1+MIN(MAX($D$8-F394,0),$D$10)*$D$9</f>
        <v>1.0349999999999999</v>
      </c>
      <c r="O394" s="79">
        <f t="shared" si="32"/>
        <v>2127.3389999999999</v>
      </c>
      <c r="P394" s="79">
        <f t="shared" si="33"/>
        <v>2968.3799999999997</v>
      </c>
      <c r="Q394" s="79">
        <f t="shared" si="34"/>
        <v>4007.3129999999996</v>
      </c>
      <c r="R394" s="75" t="str">
        <f t="shared" si="35"/>
        <v>Rs./hr</v>
      </c>
    </row>
    <row r="395" spans="1:18" ht="15" customHeight="1" x14ac:dyDescent="0.3">
      <c r="A395" s="75">
        <v>383</v>
      </c>
      <c r="B395" s="75" t="s">
        <v>66</v>
      </c>
      <c r="C395" s="75" t="s">
        <v>108</v>
      </c>
      <c r="D395" s="76" t="s">
        <v>888</v>
      </c>
      <c r="E395" s="76" t="s">
        <v>914</v>
      </c>
      <c r="F395" s="75">
        <v>2021</v>
      </c>
      <c r="G395" s="75" t="s">
        <v>111</v>
      </c>
      <c r="H395" s="75" t="s">
        <v>112</v>
      </c>
      <c r="I395" s="76" t="s">
        <v>113</v>
      </c>
      <c r="J395" s="75" t="s">
        <v>114</v>
      </c>
      <c r="K395" s="77">
        <v>4.3</v>
      </c>
      <c r="L395" s="77">
        <v>6</v>
      </c>
      <c r="M395" s="77">
        <v>8.1</v>
      </c>
      <c r="N395" s="78">
        <f>1+MIN(MAX($D$8-F395,0),$D$10)*$D$9</f>
        <v>1.0349999999999999</v>
      </c>
      <c r="O395" s="79">
        <f t="shared" si="32"/>
        <v>2127.3389999999999</v>
      </c>
      <c r="P395" s="79">
        <f t="shared" si="33"/>
        <v>2968.3799999999997</v>
      </c>
      <c r="Q395" s="79">
        <f t="shared" si="34"/>
        <v>4007.3129999999996</v>
      </c>
      <c r="R395" s="75" t="str">
        <f t="shared" si="35"/>
        <v>Rs./hr</v>
      </c>
    </row>
    <row r="396" spans="1:18" ht="15" customHeight="1" x14ac:dyDescent="0.3">
      <c r="A396" s="75">
        <v>384</v>
      </c>
      <c r="B396" s="75" t="s">
        <v>918</v>
      </c>
      <c r="C396" s="75" t="s">
        <v>108</v>
      </c>
      <c r="D396" s="76" t="s">
        <v>919</v>
      </c>
      <c r="E396" s="76" t="s">
        <v>920</v>
      </c>
      <c r="F396" s="75" t="s">
        <v>108</v>
      </c>
      <c r="G396" s="75" t="s">
        <v>111</v>
      </c>
      <c r="H396" s="75" t="s">
        <v>112</v>
      </c>
      <c r="I396" s="76" t="s">
        <v>113</v>
      </c>
      <c r="J396" s="75" t="s">
        <v>114</v>
      </c>
      <c r="K396" s="77">
        <v>4.3</v>
      </c>
      <c r="L396" s="77">
        <v>6</v>
      </c>
      <c r="M396" s="77">
        <v>8.1</v>
      </c>
      <c r="N396" s="78">
        <f>1</f>
        <v>1</v>
      </c>
      <c r="O396" s="79">
        <f t="shared" si="32"/>
        <v>2055.4</v>
      </c>
      <c r="P396" s="79">
        <f t="shared" si="33"/>
        <v>2868</v>
      </c>
      <c r="Q396" s="79">
        <f t="shared" si="34"/>
        <v>3871.7999999999997</v>
      </c>
      <c r="R396" s="75" t="str">
        <f t="shared" si="35"/>
        <v>Rs./hr</v>
      </c>
    </row>
    <row r="397" spans="1:18" ht="15" customHeight="1" x14ac:dyDescent="0.3">
      <c r="A397" s="75">
        <v>385</v>
      </c>
      <c r="B397" s="75" t="s">
        <v>921</v>
      </c>
      <c r="C397" s="75" t="s">
        <v>108</v>
      </c>
      <c r="D397" s="76" t="s">
        <v>919</v>
      </c>
      <c r="E397" s="76" t="s">
        <v>920</v>
      </c>
      <c r="F397" s="75" t="s">
        <v>108</v>
      </c>
      <c r="G397" s="75" t="s">
        <v>111</v>
      </c>
      <c r="H397" s="75" t="s">
        <v>112</v>
      </c>
      <c r="I397" s="76" t="s">
        <v>113</v>
      </c>
      <c r="J397" s="75" t="s">
        <v>114</v>
      </c>
      <c r="K397" s="77">
        <v>4.3</v>
      </c>
      <c r="L397" s="77">
        <v>6</v>
      </c>
      <c r="M397" s="77">
        <v>8.1</v>
      </c>
      <c r="N397" s="78">
        <f>1</f>
        <v>1</v>
      </c>
      <c r="O397" s="79">
        <f t="shared" ref="O397:O460" si="36">IF(H397="None",0,IF(H397="KM",IF(G397="Petrol",$D$6,$D$5)*N397/K397,K397*N397*IF(G397="Petrol",$D$6,$D$5)))</f>
        <v>2055.4</v>
      </c>
      <c r="P397" s="79">
        <f t="shared" ref="P397:P460" si="37">IF(H397="None",0,IF(H397="KM",IF(G397="Petrol",$D$6,$D$5)*N397/L397,L397*N397*IF(G397="Petrol",$D$6,$D$5)))</f>
        <v>2868</v>
      </c>
      <c r="Q397" s="79">
        <f t="shared" ref="Q397:Q460" si="38">IF(H397="None",0,IF(H397="KM",IF(G397="Petrol",$D$6,$D$5)*N397/M397,M397*N397*IF(G397="Petrol",$D$6,$D$5)))</f>
        <v>3871.7999999999997</v>
      </c>
      <c r="R397" s="75" t="str">
        <f t="shared" ref="R397:R460" si="39">IF(H397="None","—",IF(H397="KM","Rs./km","Rs./hr"))</f>
        <v>Rs./hr</v>
      </c>
    </row>
    <row r="398" spans="1:18" ht="15" customHeight="1" x14ac:dyDescent="0.3">
      <c r="A398" s="75">
        <v>386</v>
      </c>
      <c r="B398" s="75" t="s">
        <v>922</v>
      </c>
      <c r="C398" s="75" t="s">
        <v>923</v>
      </c>
      <c r="D398" s="76" t="s">
        <v>919</v>
      </c>
      <c r="E398" s="76" t="s">
        <v>920</v>
      </c>
      <c r="F398" s="75">
        <v>2017</v>
      </c>
      <c r="G398" s="75" t="s">
        <v>111</v>
      </c>
      <c r="H398" s="75" t="s">
        <v>112</v>
      </c>
      <c r="I398" s="76" t="s">
        <v>113</v>
      </c>
      <c r="J398" s="75" t="s">
        <v>114</v>
      </c>
      <c r="K398" s="77">
        <v>4.3</v>
      </c>
      <c r="L398" s="77">
        <v>6</v>
      </c>
      <c r="M398" s="77">
        <v>8.1</v>
      </c>
      <c r="N398" s="78">
        <f>1+MIN(MAX($D$8-F398,0),$D$10)*$D$9</f>
        <v>1.0629999999999999</v>
      </c>
      <c r="O398" s="79">
        <f t="shared" si="36"/>
        <v>2184.8901999999998</v>
      </c>
      <c r="P398" s="79">
        <f t="shared" si="37"/>
        <v>3048.6840000000002</v>
      </c>
      <c r="Q398" s="79">
        <f t="shared" si="38"/>
        <v>4115.7233999999989</v>
      </c>
      <c r="R398" s="75" t="str">
        <f t="shared" si="39"/>
        <v>Rs./hr</v>
      </c>
    </row>
    <row r="399" spans="1:18" ht="15" customHeight="1" x14ac:dyDescent="0.3">
      <c r="A399" s="75">
        <v>387</v>
      </c>
      <c r="B399" s="75" t="s">
        <v>924</v>
      </c>
      <c r="C399" s="75" t="s">
        <v>925</v>
      </c>
      <c r="D399" s="76" t="s">
        <v>919</v>
      </c>
      <c r="E399" s="76" t="s">
        <v>926</v>
      </c>
      <c r="F399" s="75">
        <v>2017</v>
      </c>
      <c r="G399" s="75" t="s">
        <v>111</v>
      </c>
      <c r="H399" s="75" t="s">
        <v>112</v>
      </c>
      <c r="I399" s="76" t="s">
        <v>113</v>
      </c>
      <c r="J399" s="75" t="s">
        <v>114</v>
      </c>
      <c r="K399" s="77">
        <v>4.3</v>
      </c>
      <c r="L399" s="77">
        <v>6</v>
      </c>
      <c r="M399" s="77">
        <v>8.1</v>
      </c>
      <c r="N399" s="78">
        <f>1+MIN(MAX($D$8-F399,0),$D$10)*$D$9</f>
        <v>1.0629999999999999</v>
      </c>
      <c r="O399" s="79">
        <f t="shared" si="36"/>
        <v>2184.8901999999998</v>
      </c>
      <c r="P399" s="79">
        <f t="shared" si="37"/>
        <v>3048.6840000000002</v>
      </c>
      <c r="Q399" s="79">
        <f t="shared" si="38"/>
        <v>4115.7233999999989</v>
      </c>
      <c r="R399" s="75" t="str">
        <f t="shared" si="39"/>
        <v>Rs./hr</v>
      </c>
    </row>
    <row r="400" spans="1:18" ht="15" customHeight="1" x14ac:dyDescent="0.3">
      <c r="A400" s="75">
        <v>388</v>
      </c>
      <c r="B400" s="75" t="s">
        <v>927</v>
      </c>
      <c r="C400" s="75" t="s">
        <v>928</v>
      </c>
      <c r="D400" s="76" t="s">
        <v>919</v>
      </c>
      <c r="E400" s="76" t="s">
        <v>926</v>
      </c>
      <c r="F400" s="75">
        <v>2017</v>
      </c>
      <c r="G400" s="75" t="s">
        <v>111</v>
      </c>
      <c r="H400" s="75" t="s">
        <v>112</v>
      </c>
      <c r="I400" s="76" t="s">
        <v>113</v>
      </c>
      <c r="J400" s="75" t="s">
        <v>114</v>
      </c>
      <c r="K400" s="77">
        <v>4.3</v>
      </c>
      <c r="L400" s="77">
        <v>6</v>
      </c>
      <c r="M400" s="77">
        <v>8.1</v>
      </c>
      <c r="N400" s="78">
        <f>1+MIN(MAX($D$8-F400,0),$D$10)*$D$9</f>
        <v>1.0629999999999999</v>
      </c>
      <c r="O400" s="79">
        <f t="shared" si="36"/>
        <v>2184.8901999999998</v>
      </c>
      <c r="P400" s="79">
        <f t="shared" si="37"/>
        <v>3048.6840000000002</v>
      </c>
      <c r="Q400" s="79">
        <f t="shared" si="38"/>
        <v>4115.7233999999989</v>
      </c>
      <c r="R400" s="75" t="str">
        <f t="shared" si="39"/>
        <v>Rs./hr</v>
      </c>
    </row>
    <row r="401" spans="1:18" ht="15" customHeight="1" x14ac:dyDescent="0.3">
      <c r="A401" s="75">
        <v>389</v>
      </c>
      <c r="B401" s="75" t="s">
        <v>929</v>
      </c>
      <c r="C401" s="75" t="s">
        <v>108</v>
      </c>
      <c r="D401" s="76" t="s">
        <v>919</v>
      </c>
      <c r="E401" s="76" t="s">
        <v>930</v>
      </c>
      <c r="F401" s="75">
        <v>2017</v>
      </c>
      <c r="G401" s="75" t="s">
        <v>111</v>
      </c>
      <c r="H401" s="75" t="s">
        <v>112</v>
      </c>
      <c r="I401" s="76" t="s">
        <v>113</v>
      </c>
      <c r="J401" s="75" t="s">
        <v>114</v>
      </c>
      <c r="K401" s="77">
        <v>4.3</v>
      </c>
      <c r="L401" s="77">
        <v>6</v>
      </c>
      <c r="M401" s="77">
        <v>8.1</v>
      </c>
      <c r="N401" s="78">
        <f>1+MIN(MAX($D$8-F401,0),$D$10)*$D$9</f>
        <v>1.0629999999999999</v>
      </c>
      <c r="O401" s="79">
        <f t="shared" si="36"/>
        <v>2184.8901999999998</v>
      </c>
      <c r="P401" s="79">
        <f t="shared" si="37"/>
        <v>3048.6840000000002</v>
      </c>
      <c r="Q401" s="79">
        <f t="shared" si="38"/>
        <v>4115.7233999999989</v>
      </c>
      <c r="R401" s="75" t="str">
        <f t="shared" si="39"/>
        <v>Rs./hr</v>
      </c>
    </row>
    <row r="402" spans="1:18" ht="15" customHeight="1" x14ac:dyDescent="0.3">
      <c r="A402" s="75">
        <v>390</v>
      </c>
      <c r="B402" s="75" t="s">
        <v>931</v>
      </c>
      <c r="C402" s="75" t="s">
        <v>108</v>
      </c>
      <c r="D402" s="76" t="s">
        <v>919</v>
      </c>
      <c r="E402" s="76" t="s">
        <v>920</v>
      </c>
      <c r="F402" s="75" t="s">
        <v>108</v>
      </c>
      <c r="G402" s="75" t="s">
        <v>111</v>
      </c>
      <c r="H402" s="75" t="s">
        <v>112</v>
      </c>
      <c r="I402" s="76" t="s">
        <v>113</v>
      </c>
      <c r="J402" s="75" t="s">
        <v>114</v>
      </c>
      <c r="K402" s="77">
        <v>4.3</v>
      </c>
      <c r="L402" s="77">
        <v>6</v>
      </c>
      <c r="M402" s="77">
        <v>8.1</v>
      </c>
      <c r="N402" s="78">
        <f>1</f>
        <v>1</v>
      </c>
      <c r="O402" s="79">
        <f t="shared" si="36"/>
        <v>2055.4</v>
      </c>
      <c r="P402" s="79">
        <f t="shared" si="37"/>
        <v>2868</v>
      </c>
      <c r="Q402" s="79">
        <f t="shared" si="38"/>
        <v>3871.7999999999997</v>
      </c>
      <c r="R402" s="75" t="str">
        <f t="shared" si="39"/>
        <v>Rs./hr</v>
      </c>
    </row>
    <row r="403" spans="1:18" ht="15" customHeight="1" x14ac:dyDescent="0.3">
      <c r="A403" s="75">
        <v>391</v>
      </c>
      <c r="B403" s="75" t="s">
        <v>932</v>
      </c>
      <c r="C403" s="75" t="s">
        <v>108</v>
      </c>
      <c r="D403" s="76" t="s">
        <v>919</v>
      </c>
      <c r="E403" s="76" t="s">
        <v>920</v>
      </c>
      <c r="F403" s="75" t="s">
        <v>108</v>
      </c>
      <c r="G403" s="75" t="s">
        <v>111</v>
      </c>
      <c r="H403" s="75" t="s">
        <v>112</v>
      </c>
      <c r="I403" s="76" t="s">
        <v>113</v>
      </c>
      <c r="J403" s="75" t="s">
        <v>114</v>
      </c>
      <c r="K403" s="77">
        <v>4.3</v>
      </c>
      <c r="L403" s="77">
        <v>6</v>
      </c>
      <c r="M403" s="77">
        <v>8.1</v>
      </c>
      <c r="N403" s="78">
        <f>1</f>
        <v>1</v>
      </c>
      <c r="O403" s="79">
        <f t="shared" si="36"/>
        <v>2055.4</v>
      </c>
      <c r="P403" s="79">
        <f t="shared" si="37"/>
        <v>2868</v>
      </c>
      <c r="Q403" s="79">
        <f t="shared" si="38"/>
        <v>3871.7999999999997</v>
      </c>
      <c r="R403" s="75" t="str">
        <f t="shared" si="39"/>
        <v>Rs./hr</v>
      </c>
    </row>
    <row r="404" spans="1:18" ht="15" customHeight="1" x14ac:dyDescent="0.3">
      <c r="A404" s="75">
        <v>392</v>
      </c>
      <c r="B404" s="75" t="s">
        <v>933</v>
      </c>
      <c r="C404" s="75" t="s">
        <v>108</v>
      </c>
      <c r="D404" s="76" t="s">
        <v>919</v>
      </c>
      <c r="E404" s="76" t="s">
        <v>920</v>
      </c>
      <c r="F404" s="75" t="s">
        <v>108</v>
      </c>
      <c r="G404" s="75" t="s">
        <v>111</v>
      </c>
      <c r="H404" s="75" t="s">
        <v>112</v>
      </c>
      <c r="I404" s="76" t="s">
        <v>113</v>
      </c>
      <c r="J404" s="75" t="s">
        <v>114</v>
      </c>
      <c r="K404" s="77">
        <v>4.3</v>
      </c>
      <c r="L404" s="77">
        <v>6</v>
      </c>
      <c r="M404" s="77">
        <v>8.1</v>
      </c>
      <c r="N404" s="78">
        <f>1</f>
        <v>1</v>
      </c>
      <c r="O404" s="79">
        <f t="shared" si="36"/>
        <v>2055.4</v>
      </c>
      <c r="P404" s="79">
        <f t="shared" si="37"/>
        <v>2868</v>
      </c>
      <c r="Q404" s="79">
        <f t="shared" si="38"/>
        <v>3871.7999999999997</v>
      </c>
      <c r="R404" s="75" t="str">
        <f t="shared" si="39"/>
        <v>Rs./hr</v>
      </c>
    </row>
    <row r="405" spans="1:18" ht="15" customHeight="1" x14ac:dyDescent="0.3">
      <c r="A405" s="75">
        <v>393</v>
      </c>
      <c r="B405" s="75" t="s">
        <v>934</v>
      </c>
      <c r="C405" s="75" t="s">
        <v>108</v>
      </c>
      <c r="D405" s="76" t="s">
        <v>919</v>
      </c>
      <c r="E405" s="76" t="s">
        <v>920</v>
      </c>
      <c r="F405" s="75" t="s">
        <v>108</v>
      </c>
      <c r="G405" s="75" t="s">
        <v>111</v>
      </c>
      <c r="H405" s="75" t="s">
        <v>112</v>
      </c>
      <c r="I405" s="76" t="s">
        <v>113</v>
      </c>
      <c r="J405" s="75" t="s">
        <v>114</v>
      </c>
      <c r="K405" s="77">
        <v>4.3</v>
      </c>
      <c r="L405" s="77">
        <v>6</v>
      </c>
      <c r="M405" s="77">
        <v>8.1</v>
      </c>
      <c r="N405" s="78">
        <f>1</f>
        <v>1</v>
      </c>
      <c r="O405" s="79">
        <f t="shared" si="36"/>
        <v>2055.4</v>
      </c>
      <c r="P405" s="79">
        <f t="shared" si="37"/>
        <v>2868</v>
      </c>
      <c r="Q405" s="79">
        <f t="shared" si="38"/>
        <v>3871.7999999999997</v>
      </c>
      <c r="R405" s="75" t="str">
        <f t="shared" si="39"/>
        <v>Rs./hr</v>
      </c>
    </row>
    <row r="406" spans="1:18" ht="15" customHeight="1" x14ac:dyDescent="0.3">
      <c r="A406" s="75">
        <v>394</v>
      </c>
      <c r="B406" s="75" t="s">
        <v>108</v>
      </c>
      <c r="C406" s="75" t="s">
        <v>935</v>
      </c>
      <c r="D406" s="76" t="s">
        <v>936</v>
      </c>
      <c r="E406" s="76" t="s">
        <v>937</v>
      </c>
      <c r="F406" s="75">
        <v>2006</v>
      </c>
      <c r="G406" s="75" t="s">
        <v>629</v>
      </c>
      <c r="H406" s="75" t="s">
        <v>629</v>
      </c>
      <c r="I406" s="76" t="s">
        <v>630</v>
      </c>
      <c r="J406" s="75" t="s">
        <v>108</v>
      </c>
      <c r="K406" s="75">
        <v>0</v>
      </c>
      <c r="L406" s="75">
        <v>0</v>
      </c>
      <c r="M406" s="75">
        <v>0</v>
      </c>
      <c r="N406" s="78">
        <f t="shared" ref="N406:N448" si="40">1+MIN(MAX($D$8-F406,0),$D$10)*$D$9</f>
        <v>1.1400000000000001</v>
      </c>
      <c r="O406" s="79">
        <f t="shared" si="36"/>
        <v>0</v>
      </c>
      <c r="P406" s="79">
        <f t="shared" si="37"/>
        <v>0</v>
      </c>
      <c r="Q406" s="79">
        <f t="shared" si="38"/>
        <v>0</v>
      </c>
      <c r="R406" s="75" t="str">
        <f t="shared" si="39"/>
        <v>—</v>
      </c>
    </row>
    <row r="407" spans="1:18" ht="15" customHeight="1" x14ac:dyDescent="0.3">
      <c r="A407" s="75">
        <v>395</v>
      </c>
      <c r="B407" s="75" t="s">
        <v>108</v>
      </c>
      <c r="C407" s="75" t="s">
        <v>935</v>
      </c>
      <c r="D407" s="76" t="s">
        <v>936</v>
      </c>
      <c r="E407" s="76" t="s">
        <v>937</v>
      </c>
      <c r="F407" s="75">
        <v>2006</v>
      </c>
      <c r="G407" s="75" t="s">
        <v>629</v>
      </c>
      <c r="H407" s="75" t="s">
        <v>629</v>
      </c>
      <c r="I407" s="76" t="s">
        <v>630</v>
      </c>
      <c r="J407" s="75" t="s">
        <v>108</v>
      </c>
      <c r="K407" s="75">
        <v>0</v>
      </c>
      <c r="L407" s="75">
        <v>0</v>
      </c>
      <c r="M407" s="75">
        <v>0</v>
      </c>
      <c r="N407" s="78">
        <f t="shared" si="40"/>
        <v>1.1400000000000001</v>
      </c>
      <c r="O407" s="79">
        <f t="shared" si="36"/>
        <v>0</v>
      </c>
      <c r="P407" s="79">
        <f t="shared" si="37"/>
        <v>0</v>
      </c>
      <c r="Q407" s="79">
        <f t="shared" si="38"/>
        <v>0</v>
      </c>
      <c r="R407" s="75" t="str">
        <f t="shared" si="39"/>
        <v>—</v>
      </c>
    </row>
    <row r="408" spans="1:18" ht="15" customHeight="1" x14ac:dyDescent="0.3">
      <c r="A408" s="75">
        <v>396</v>
      </c>
      <c r="B408" s="75" t="s">
        <v>108</v>
      </c>
      <c r="C408" s="75" t="s">
        <v>938</v>
      </c>
      <c r="D408" s="76" t="s">
        <v>936</v>
      </c>
      <c r="E408" s="76" t="s">
        <v>939</v>
      </c>
      <c r="F408" s="75">
        <v>2017</v>
      </c>
      <c r="G408" s="75" t="s">
        <v>629</v>
      </c>
      <c r="H408" s="75" t="s">
        <v>629</v>
      </c>
      <c r="I408" s="76" t="s">
        <v>630</v>
      </c>
      <c r="J408" s="75" t="s">
        <v>108</v>
      </c>
      <c r="K408" s="75">
        <v>0</v>
      </c>
      <c r="L408" s="75">
        <v>0</v>
      </c>
      <c r="M408" s="75">
        <v>0</v>
      </c>
      <c r="N408" s="78">
        <f t="shared" si="40"/>
        <v>1.0629999999999999</v>
      </c>
      <c r="O408" s="79">
        <f t="shared" si="36"/>
        <v>0</v>
      </c>
      <c r="P408" s="79">
        <f t="shared" si="37"/>
        <v>0</v>
      </c>
      <c r="Q408" s="79">
        <f t="shared" si="38"/>
        <v>0</v>
      </c>
      <c r="R408" s="75" t="str">
        <f t="shared" si="39"/>
        <v>—</v>
      </c>
    </row>
    <row r="409" spans="1:18" ht="15" customHeight="1" x14ac:dyDescent="0.3">
      <c r="A409" s="75">
        <v>397</v>
      </c>
      <c r="B409" s="75" t="s">
        <v>108</v>
      </c>
      <c r="C409" s="75" t="s">
        <v>940</v>
      </c>
      <c r="D409" s="76" t="s">
        <v>936</v>
      </c>
      <c r="E409" s="76" t="s">
        <v>937</v>
      </c>
      <c r="F409" s="75">
        <v>2017</v>
      </c>
      <c r="G409" s="75" t="s">
        <v>629</v>
      </c>
      <c r="H409" s="75" t="s">
        <v>629</v>
      </c>
      <c r="I409" s="76" t="s">
        <v>630</v>
      </c>
      <c r="J409" s="75" t="s">
        <v>108</v>
      </c>
      <c r="K409" s="75">
        <v>0</v>
      </c>
      <c r="L409" s="75">
        <v>0</v>
      </c>
      <c r="M409" s="75">
        <v>0</v>
      </c>
      <c r="N409" s="78">
        <f t="shared" si="40"/>
        <v>1.0629999999999999</v>
      </c>
      <c r="O409" s="79">
        <f t="shared" si="36"/>
        <v>0</v>
      </c>
      <c r="P409" s="79">
        <f t="shared" si="37"/>
        <v>0</v>
      </c>
      <c r="Q409" s="79">
        <f t="shared" si="38"/>
        <v>0</v>
      </c>
      <c r="R409" s="75" t="str">
        <f t="shared" si="39"/>
        <v>—</v>
      </c>
    </row>
    <row r="410" spans="1:18" ht="15" customHeight="1" x14ac:dyDescent="0.3">
      <c r="A410" s="75">
        <v>398</v>
      </c>
      <c r="B410" s="75" t="s">
        <v>108</v>
      </c>
      <c r="C410" s="75" t="s">
        <v>940</v>
      </c>
      <c r="D410" s="76" t="s">
        <v>936</v>
      </c>
      <c r="E410" s="76" t="s">
        <v>941</v>
      </c>
      <c r="F410" s="75">
        <v>2017</v>
      </c>
      <c r="G410" s="75" t="s">
        <v>629</v>
      </c>
      <c r="H410" s="75" t="s">
        <v>629</v>
      </c>
      <c r="I410" s="76" t="s">
        <v>630</v>
      </c>
      <c r="J410" s="75" t="s">
        <v>108</v>
      </c>
      <c r="K410" s="75">
        <v>0</v>
      </c>
      <c r="L410" s="75">
        <v>0</v>
      </c>
      <c r="M410" s="75">
        <v>0</v>
      </c>
      <c r="N410" s="78">
        <f t="shared" si="40"/>
        <v>1.0629999999999999</v>
      </c>
      <c r="O410" s="79">
        <f t="shared" si="36"/>
        <v>0</v>
      </c>
      <c r="P410" s="79">
        <f t="shared" si="37"/>
        <v>0</v>
      </c>
      <c r="Q410" s="79">
        <f t="shared" si="38"/>
        <v>0</v>
      </c>
      <c r="R410" s="75" t="str">
        <f t="shared" si="39"/>
        <v>—</v>
      </c>
    </row>
    <row r="411" spans="1:18" ht="15" customHeight="1" x14ac:dyDescent="0.3">
      <c r="A411" s="75">
        <v>399</v>
      </c>
      <c r="B411" s="75" t="s">
        <v>108</v>
      </c>
      <c r="C411" s="75" t="s">
        <v>940</v>
      </c>
      <c r="D411" s="76" t="s">
        <v>936</v>
      </c>
      <c r="E411" s="76" t="s">
        <v>941</v>
      </c>
      <c r="F411" s="75">
        <v>2017</v>
      </c>
      <c r="G411" s="75" t="s">
        <v>629</v>
      </c>
      <c r="H411" s="75" t="s">
        <v>629</v>
      </c>
      <c r="I411" s="76" t="s">
        <v>630</v>
      </c>
      <c r="J411" s="75" t="s">
        <v>108</v>
      </c>
      <c r="K411" s="75">
        <v>0</v>
      </c>
      <c r="L411" s="75">
        <v>0</v>
      </c>
      <c r="M411" s="75">
        <v>0</v>
      </c>
      <c r="N411" s="78">
        <f t="shared" si="40"/>
        <v>1.0629999999999999</v>
      </c>
      <c r="O411" s="79">
        <f t="shared" si="36"/>
        <v>0</v>
      </c>
      <c r="P411" s="79">
        <f t="shared" si="37"/>
        <v>0</v>
      </c>
      <c r="Q411" s="79">
        <f t="shared" si="38"/>
        <v>0</v>
      </c>
      <c r="R411" s="75" t="str">
        <f t="shared" si="39"/>
        <v>—</v>
      </c>
    </row>
    <row r="412" spans="1:18" ht="15" customHeight="1" x14ac:dyDescent="0.3">
      <c r="A412" s="75">
        <v>400</v>
      </c>
      <c r="B412" s="75" t="s">
        <v>942</v>
      </c>
      <c r="C412" s="75" t="s">
        <v>943</v>
      </c>
      <c r="D412" s="76" t="s">
        <v>38</v>
      </c>
      <c r="E412" s="76" t="s">
        <v>944</v>
      </c>
      <c r="F412" s="75">
        <v>1996</v>
      </c>
      <c r="G412" s="75" t="s">
        <v>111</v>
      </c>
      <c r="H412" s="75" t="s">
        <v>112</v>
      </c>
      <c r="I412" s="76" t="s">
        <v>206</v>
      </c>
      <c r="J412" s="75" t="s">
        <v>114</v>
      </c>
      <c r="K412" s="77">
        <v>7.2</v>
      </c>
      <c r="L412" s="77">
        <v>10</v>
      </c>
      <c r="M412" s="77">
        <v>13.5</v>
      </c>
      <c r="N412" s="78">
        <f t="shared" si="40"/>
        <v>1.175</v>
      </c>
      <c r="O412" s="79">
        <f t="shared" si="36"/>
        <v>4043.8800000000006</v>
      </c>
      <c r="P412" s="79">
        <f t="shared" si="37"/>
        <v>5616.5</v>
      </c>
      <c r="Q412" s="79">
        <f t="shared" si="38"/>
        <v>7582.2750000000005</v>
      </c>
      <c r="R412" s="75" t="str">
        <f t="shared" si="39"/>
        <v>Rs./hr</v>
      </c>
    </row>
    <row r="413" spans="1:18" ht="15" customHeight="1" x14ac:dyDescent="0.3">
      <c r="A413" s="75">
        <v>401</v>
      </c>
      <c r="B413" s="75" t="s">
        <v>945</v>
      </c>
      <c r="C413" s="75" t="s">
        <v>946</v>
      </c>
      <c r="D413" s="76" t="s">
        <v>38</v>
      </c>
      <c r="E413" s="76" t="s">
        <v>947</v>
      </c>
      <c r="F413" s="75">
        <v>1996</v>
      </c>
      <c r="G413" s="75" t="s">
        <v>111</v>
      </c>
      <c r="H413" s="75" t="s">
        <v>112</v>
      </c>
      <c r="I413" s="76" t="s">
        <v>948</v>
      </c>
      <c r="J413" s="75" t="s">
        <v>114</v>
      </c>
      <c r="K413" s="77">
        <v>5.8</v>
      </c>
      <c r="L413" s="77">
        <v>8</v>
      </c>
      <c r="M413" s="77">
        <v>10.8</v>
      </c>
      <c r="N413" s="78">
        <f t="shared" si="40"/>
        <v>1.175</v>
      </c>
      <c r="O413" s="79">
        <f t="shared" si="36"/>
        <v>3257.57</v>
      </c>
      <c r="P413" s="79">
        <f t="shared" si="37"/>
        <v>4493.2</v>
      </c>
      <c r="Q413" s="79">
        <f t="shared" si="38"/>
        <v>6065.8200000000006</v>
      </c>
      <c r="R413" s="75" t="str">
        <f t="shared" si="39"/>
        <v>Rs./hr</v>
      </c>
    </row>
    <row r="414" spans="1:18" ht="15" customHeight="1" x14ac:dyDescent="0.3">
      <c r="A414" s="75">
        <v>402</v>
      </c>
      <c r="B414" s="75" t="s">
        <v>949</v>
      </c>
      <c r="C414" s="75" t="s">
        <v>950</v>
      </c>
      <c r="D414" s="76" t="s">
        <v>38</v>
      </c>
      <c r="E414" s="76" t="s">
        <v>951</v>
      </c>
      <c r="F414" s="75">
        <v>2000</v>
      </c>
      <c r="G414" s="75" t="s">
        <v>111</v>
      </c>
      <c r="H414" s="75" t="s">
        <v>112</v>
      </c>
      <c r="I414" s="76" t="s">
        <v>948</v>
      </c>
      <c r="J414" s="75" t="s">
        <v>114</v>
      </c>
      <c r="K414" s="77">
        <v>5.8</v>
      </c>
      <c r="L414" s="77">
        <v>8</v>
      </c>
      <c r="M414" s="77">
        <v>10.8</v>
      </c>
      <c r="N414" s="78">
        <f t="shared" si="40"/>
        <v>1.175</v>
      </c>
      <c r="O414" s="79">
        <f t="shared" si="36"/>
        <v>3257.57</v>
      </c>
      <c r="P414" s="79">
        <f t="shared" si="37"/>
        <v>4493.2</v>
      </c>
      <c r="Q414" s="79">
        <f t="shared" si="38"/>
        <v>6065.8200000000006</v>
      </c>
      <c r="R414" s="75" t="str">
        <f t="shared" si="39"/>
        <v>Rs./hr</v>
      </c>
    </row>
    <row r="415" spans="1:18" ht="15" customHeight="1" x14ac:dyDescent="0.3">
      <c r="A415" s="75">
        <v>403</v>
      </c>
      <c r="B415" s="75" t="s">
        <v>952</v>
      </c>
      <c r="C415" s="75" t="s">
        <v>953</v>
      </c>
      <c r="D415" s="76" t="s">
        <v>38</v>
      </c>
      <c r="E415" s="76" t="s">
        <v>954</v>
      </c>
      <c r="F415" s="75">
        <v>1996</v>
      </c>
      <c r="G415" s="75" t="s">
        <v>111</v>
      </c>
      <c r="H415" s="75" t="s">
        <v>112</v>
      </c>
      <c r="I415" s="76" t="s">
        <v>948</v>
      </c>
      <c r="J415" s="75" t="s">
        <v>114</v>
      </c>
      <c r="K415" s="77">
        <v>5.8</v>
      </c>
      <c r="L415" s="77">
        <v>8</v>
      </c>
      <c r="M415" s="77">
        <v>10.8</v>
      </c>
      <c r="N415" s="78">
        <f t="shared" si="40"/>
        <v>1.175</v>
      </c>
      <c r="O415" s="79">
        <f t="shared" si="36"/>
        <v>3257.57</v>
      </c>
      <c r="P415" s="79">
        <f t="shared" si="37"/>
        <v>4493.2</v>
      </c>
      <c r="Q415" s="79">
        <f t="shared" si="38"/>
        <v>6065.8200000000006</v>
      </c>
      <c r="R415" s="75" t="str">
        <f t="shared" si="39"/>
        <v>Rs./hr</v>
      </c>
    </row>
    <row r="416" spans="1:18" ht="15" customHeight="1" x14ac:dyDescent="0.3">
      <c r="A416" s="75">
        <v>404</v>
      </c>
      <c r="B416" s="75" t="s">
        <v>955</v>
      </c>
      <c r="C416" s="75" t="s">
        <v>956</v>
      </c>
      <c r="D416" s="76" t="s">
        <v>38</v>
      </c>
      <c r="E416" s="76" t="s">
        <v>957</v>
      </c>
      <c r="F416" s="75">
        <v>1991</v>
      </c>
      <c r="G416" s="75" t="s">
        <v>111</v>
      </c>
      <c r="H416" s="75" t="s">
        <v>112</v>
      </c>
      <c r="I416" s="76" t="s">
        <v>948</v>
      </c>
      <c r="J416" s="75" t="s">
        <v>114</v>
      </c>
      <c r="K416" s="77">
        <v>5.8</v>
      </c>
      <c r="L416" s="77">
        <v>8</v>
      </c>
      <c r="M416" s="77">
        <v>10.8</v>
      </c>
      <c r="N416" s="78">
        <f t="shared" si="40"/>
        <v>1.175</v>
      </c>
      <c r="O416" s="79">
        <f t="shared" si="36"/>
        <v>3257.57</v>
      </c>
      <c r="P416" s="79">
        <f t="shared" si="37"/>
        <v>4493.2</v>
      </c>
      <c r="Q416" s="79">
        <f t="shared" si="38"/>
        <v>6065.8200000000006</v>
      </c>
      <c r="R416" s="75" t="str">
        <f t="shared" si="39"/>
        <v>Rs./hr</v>
      </c>
    </row>
    <row r="417" spans="1:18" ht="15" customHeight="1" x14ac:dyDescent="0.3">
      <c r="A417" s="75">
        <v>405</v>
      </c>
      <c r="B417" s="75" t="s">
        <v>958</v>
      </c>
      <c r="C417" s="75" t="s">
        <v>959</v>
      </c>
      <c r="D417" s="76" t="s">
        <v>38</v>
      </c>
      <c r="E417" s="76" t="s">
        <v>947</v>
      </c>
      <c r="F417" s="75">
        <v>1996</v>
      </c>
      <c r="G417" s="75" t="s">
        <v>111</v>
      </c>
      <c r="H417" s="75" t="s">
        <v>112</v>
      </c>
      <c r="I417" s="76" t="s">
        <v>948</v>
      </c>
      <c r="J417" s="75" t="s">
        <v>114</v>
      </c>
      <c r="K417" s="77">
        <v>5.8</v>
      </c>
      <c r="L417" s="77">
        <v>8</v>
      </c>
      <c r="M417" s="77">
        <v>10.8</v>
      </c>
      <c r="N417" s="78">
        <f t="shared" si="40"/>
        <v>1.175</v>
      </c>
      <c r="O417" s="79">
        <f t="shared" si="36"/>
        <v>3257.57</v>
      </c>
      <c r="P417" s="79">
        <f t="shared" si="37"/>
        <v>4493.2</v>
      </c>
      <c r="Q417" s="79">
        <f t="shared" si="38"/>
        <v>6065.8200000000006</v>
      </c>
      <c r="R417" s="75" t="str">
        <f t="shared" si="39"/>
        <v>Rs./hr</v>
      </c>
    </row>
    <row r="418" spans="1:18" ht="23.25" customHeight="1" x14ac:dyDescent="0.3">
      <c r="A418" s="75">
        <v>406</v>
      </c>
      <c r="B418" s="75" t="s">
        <v>960</v>
      </c>
      <c r="C418" s="75" t="s">
        <v>961</v>
      </c>
      <c r="D418" s="76" t="s">
        <v>38</v>
      </c>
      <c r="E418" s="76" t="s">
        <v>962</v>
      </c>
      <c r="F418" s="75">
        <v>2003</v>
      </c>
      <c r="G418" s="75" t="s">
        <v>111</v>
      </c>
      <c r="H418" s="75" t="s">
        <v>112</v>
      </c>
      <c r="I418" s="76" t="s">
        <v>948</v>
      </c>
      <c r="J418" s="75" t="s">
        <v>114</v>
      </c>
      <c r="K418" s="77">
        <v>5.8</v>
      </c>
      <c r="L418" s="77">
        <v>8</v>
      </c>
      <c r="M418" s="77">
        <v>10.8</v>
      </c>
      <c r="N418" s="78">
        <f t="shared" si="40"/>
        <v>1.161</v>
      </c>
      <c r="O418" s="79">
        <f t="shared" si="36"/>
        <v>3218.7563999999998</v>
      </c>
      <c r="P418" s="79">
        <f t="shared" si="37"/>
        <v>4439.6639999999998</v>
      </c>
      <c r="Q418" s="79">
        <f t="shared" si="38"/>
        <v>5993.5464000000011</v>
      </c>
      <c r="R418" s="75" t="str">
        <f t="shared" si="39"/>
        <v>Rs./hr</v>
      </c>
    </row>
    <row r="419" spans="1:18" ht="23.25" customHeight="1" x14ac:dyDescent="0.3">
      <c r="A419" s="75">
        <v>407</v>
      </c>
      <c r="B419" s="75" t="s">
        <v>963</v>
      </c>
      <c r="C419" s="75" t="s">
        <v>964</v>
      </c>
      <c r="D419" s="76" t="s">
        <v>38</v>
      </c>
      <c r="E419" s="76" t="s">
        <v>965</v>
      </c>
      <c r="F419" s="75">
        <v>2015</v>
      </c>
      <c r="G419" s="75" t="s">
        <v>111</v>
      </c>
      <c r="H419" s="75" t="s">
        <v>112</v>
      </c>
      <c r="I419" s="76" t="s">
        <v>210</v>
      </c>
      <c r="J419" s="75" t="s">
        <v>114</v>
      </c>
      <c r="K419" s="77">
        <v>7.9</v>
      </c>
      <c r="L419" s="77">
        <v>11</v>
      </c>
      <c r="M419" s="77">
        <v>14.9</v>
      </c>
      <c r="N419" s="78">
        <f t="shared" si="40"/>
        <v>1.077</v>
      </c>
      <c r="O419" s="79">
        <f t="shared" si="36"/>
        <v>4066.9674</v>
      </c>
      <c r="P419" s="79">
        <f t="shared" si="37"/>
        <v>5662.866</v>
      </c>
      <c r="Q419" s="79">
        <f t="shared" si="38"/>
        <v>7670.6094000000003</v>
      </c>
      <c r="R419" s="75" t="str">
        <f t="shared" si="39"/>
        <v>Rs./hr</v>
      </c>
    </row>
    <row r="420" spans="1:18" ht="15" customHeight="1" x14ac:dyDescent="0.3">
      <c r="A420" s="75">
        <v>408</v>
      </c>
      <c r="B420" s="75" t="s">
        <v>966</v>
      </c>
      <c r="C420" s="75" t="s">
        <v>54</v>
      </c>
      <c r="D420" s="76" t="s">
        <v>38</v>
      </c>
      <c r="E420" s="76" t="s">
        <v>967</v>
      </c>
      <c r="F420" s="75">
        <v>2016</v>
      </c>
      <c r="G420" s="75" t="s">
        <v>111</v>
      </c>
      <c r="H420" s="75" t="s">
        <v>112</v>
      </c>
      <c r="I420" s="76" t="s">
        <v>210</v>
      </c>
      <c r="J420" s="75" t="s">
        <v>114</v>
      </c>
      <c r="K420" s="77">
        <v>7.9</v>
      </c>
      <c r="L420" s="77">
        <v>11</v>
      </c>
      <c r="M420" s="77">
        <v>14.9</v>
      </c>
      <c r="N420" s="78">
        <f t="shared" si="40"/>
        <v>1.07</v>
      </c>
      <c r="O420" s="79">
        <f t="shared" si="36"/>
        <v>4040.5340000000006</v>
      </c>
      <c r="P420" s="79">
        <f t="shared" si="37"/>
        <v>5626.06</v>
      </c>
      <c r="Q420" s="79">
        <f t="shared" si="38"/>
        <v>7620.7540000000008</v>
      </c>
      <c r="R420" s="75" t="str">
        <f t="shared" si="39"/>
        <v>Rs./hr</v>
      </c>
    </row>
    <row r="421" spans="1:18" ht="15" customHeight="1" x14ac:dyDescent="0.3">
      <c r="A421" s="75">
        <v>409</v>
      </c>
      <c r="B421" s="75" t="s">
        <v>968</v>
      </c>
      <c r="C421" s="75" t="s">
        <v>50</v>
      </c>
      <c r="D421" s="76" t="s">
        <v>38</v>
      </c>
      <c r="E421" s="76" t="s">
        <v>967</v>
      </c>
      <c r="F421" s="75">
        <v>2016</v>
      </c>
      <c r="G421" s="75" t="s">
        <v>111</v>
      </c>
      <c r="H421" s="75" t="s">
        <v>112</v>
      </c>
      <c r="I421" s="76" t="s">
        <v>210</v>
      </c>
      <c r="J421" s="75" t="s">
        <v>114</v>
      </c>
      <c r="K421" s="77">
        <v>7.9</v>
      </c>
      <c r="L421" s="77">
        <v>11</v>
      </c>
      <c r="M421" s="77">
        <v>14.9</v>
      </c>
      <c r="N421" s="78">
        <f t="shared" si="40"/>
        <v>1.07</v>
      </c>
      <c r="O421" s="79">
        <f t="shared" si="36"/>
        <v>4040.5340000000006</v>
      </c>
      <c r="P421" s="79">
        <f t="shared" si="37"/>
        <v>5626.06</v>
      </c>
      <c r="Q421" s="79">
        <f t="shared" si="38"/>
        <v>7620.7540000000008</v>
      </c>
      <c r="R421" s="75" t="str">
        <f t="shared" si="39"/>
        <v>Rs./hr</v>
      </c>
    </row>
    <row r="422" spans="1:18" ht="15" customHeight="1" x14ac:dyDescent="0.3">
      <c r="A422" s="75">
        <v>410</v>
      </c>
      <c r="B422" s="75" t="s">
        <v>969</v>
      </c>
      <c r="C422" s="75" t="s">
        <v>41</v>
      </c>
      <c r="D422" s="76" t="s">
        <v>38</v>
      </c>
      <c r="E422" s="76" t="s">
        <v>970</v>
      </c>
      <c r="F422" s="75">
        <v>2016</v>
      </c>
      <c r="G422" s="75" t="s">
        <v>111</v>
      </c>
      <c r="H422" s="75" t="s">
        <v>112</v>
      </c>
      <c r="I422" s="76" t="s">
        <v>971</v>
      </c>
      <c r="J422" s="75" t="s">
        <v>114</v>
      </c>
      <c r="K422" s="77">
        <v>9.4</v>
      </c>
      <c r="L422" s="77">
        <v>13</v>
      </c>
      <c r="M422" s="77">
        <v>17.600000000000001</v>
      </c>
      <c r="N422" s="78">
        <f t="shared" si="40"/>
        <v>1.07</v>
      </c>
      <c r="O422" s="79">
        <f t="shared" si="36"/>
        <v>4807.7240000000011</v>
      </c>
      <c r="P422" s="79">
        <f t="shared" si="37"/>
        <v>6648.9800000000005</v>
      </c>
      <c r="Q422" s="79">
        <f t="shared" si="38"/>
        <v>9001.6960000000017</v>
      </c>
      <c r="R422" s="75" t="str">
        <f t="shared" si="39"/>
        <v>Rs./hr</v>
      </c>
    </row>
    <row r="423" spans="1:18" ht="15" customHeight="1" x14ac:dyDescent="0.3">
      <c r="A423" s="75">
        <v>411</v>
      </c>
      <c r="B423" s="75" t="s">
        <v>972</v>
      </c>
      <c r="C423" s="75" t="s">
        <v>973</v>
      </c>
      <c r="D423" s="76" t="s">
        <v>38</v>
      </c>
      <c r="E423" s="76" t="s">
        <v>419</v>
      </c>
      <c r="F423" s="75">
        <v>2016</v>
      </c>
      <c r="G423" s="75" t="s">
        <v>111</v>
      </c>
      <c r="H423" s="75" t="s">
        <v>112</v>
      </c>
      <c r="I423" s="76" t="s">
        <v>974</v>
      </c>
      <c r="J423" s="75" t="s">
        <v>114</v>
      </c>
      <c r="K423" s="77">
        <v>7.9</v>
      </c>
      <c r="L423" s="77">
        <v>11</v>
      </c>
      <c r="M423" s="77">
        <v>14.9</v>
      </c>
      <c r="N423" s="78">
        <f t="shared" si="40"/>
        <v>1.07</v>
      </c>
      <c r="O423" s="79">
        <f t="shared" si="36"/>
        <v>4040.5340000000006</v>
      </c>
      <c r="P423" s="79">
        <f t="shared" si="37"/>
        <v>5626.06</v>
      </c>
      <c r="Q423" s="79">
        <f t="shared" si="38"/>
        <v>7620.7540000000008</v>
      </c>
      <c r="R423" s="75" t="str">
        <f t="shared" si="39"/>
        <v>Rs./hr</v>
      </c>
    </row>
    <row r="424" spans="1:18" ht="15" customHeight="1" x14ac:dyDescent="0.3">
      <c r="A424" s="75">
        <v>412</v>
      </c>
      <c r="B424" s="75" t="s">
        <v>975</v>
      </c>
      <c r="C424" s="75" t="s">
        <v>976</v>
      </c>
      <c r="D424" s="76" t="s">
        <v>38</v>
      </c>
      <c r="E424" s="76" t="s">
        <v>970</v>
      </c>
      <c r="F424" s="75">
        <v>2016</v>
      </c>
      <c r="G424" s="75" t="s">
        <v>111</v>
      </c>
      <c r="H424" s="75" t="s">
        <v>112</v>
      </c>
      <c r="I424" s="76" t="s">
        <v>971</v>
      </c>
      <c r="J424" s="75" t="s">
        <v>114</v>
      </c>
      <c r="K424" s="77">
        <v>9.4</v>
      </c>
      <c r="L424" s="77">
        <v>13</v>
      </c>
      <c r="M424" s="77">
        <v>17.600000000000001</v>
      </c>
      <c r="N424" s="78">
        <f t="shared" si="40"/>
        <v>1.07</v>
      </c>
      <c r="O424" s="79">
        <f t="shared" si="36"/>
        <v>4807.7240000000011</v>
      </c>
      <c r="P424" s="79">
        <f t="shared" si="37"/>
        <v>6648.9800000000005</v>
      </c>
      <c r="Q424" s="79">
        <f t="shared" si="38"/>
        <v>9001.6960000000017</v>
      </c>
      <c r="R424" s="75" t="str">
        <f t="shared" si="39"/>
        <v>Rs./hr</v>
      </c>
    </row>
    <row r="425" spans="1:18" ht="15" customHeight="1" x14ac:dyDescent="0.3">
      <c r="A425" s="75">
        <v>413</v>
      </c>
      <c r="B425" s="75" t="s">
        <v>977</v>
      </c>
      <c r="C425" s="75" t="s">
        <v>37</v>
      </c>
      <c r="D425" s="76" t="s">
        <v>38</v>
      </c>
      <c r="E425" s="76" t="s">
        <v>419</v>
      </c>
      <c r="F425" s="75">
        <v>2017</v>
      </c>
      <c r="G425" s="75" t="s">
        <v>111</v>
      </c>
      <c r="H425" s="75" t="s">
        <v>112</v>
      </c>
      <c r="I425" s="76" t="s">
        <v>974</v>
      </c>
      <c r="J425" s="75" t="s">
        <v>114</v>
      </c>
      <c r="K425" s="77">
        <v>7.9</v>
      </c>
      <c r="L425" s="77">
        <v>11</v>
      </c>
      <c r="M425" s="77">
        <v>14.9</v>
      </c>
      <c r="N425" s="78">
        <f t="shared" si="40"/>
        <v>1.0629999999999999</v>
      </c>
      <c r="O425" s="79">
        <f t="shared" si="36"/>
        <v>4014.1006000000002</v>
      </c>
      <c r="P425" s="79">
        <f t="shared" si="37"/>
        <v>5589.2539999999999</v>
      </c>
      <c r="Q425" s="79">
        <f t="shared" si="38"/>
        <v>7570.8985999999995</v>
      </c>
      <c r="R425" s="75" t="str">
        <f t="shared" si="39"/>
        <v>Rs./hr</v>
      </c>
    </row>
    <row r="426" spans="1:18" ht="15" customHeight="1" x14ac:dyDescent="0.3">
      <c r="A426" s="75">
        <v>414</v>
      </c>
      <c r="B426" s="75" t="s">
        <v>978</v>
      </c>
      <c r="C426" s="75" t="s">
        <v>979</v>
      </c>
      <c r="D426" s="76" t="s">
        <v>38</v>
      </c>
      <c r="E426" s="76" t="s">
        <v>970</v>
      </c>
      <c r="F426" s="75">
        <v>2017</v>
      </c>
      <c r="G426" s="75" t="s">
        <v>111</v>
      </c>
      <c r="H426" s="75" t="s">
        <v>112</v>
      </c>
      <c r="I426" s="76" t="s">
        <v>971</v>
      </c>
      <c r="J426" s="75" t="s">
        <v>114</v>
      </c>
      <c r="K426" s="77">
        <v>9.4</v>
      </c>
      <c r="L426" s="77">
        <v>13</v>
      </c>
      <c r="M426" s="77">
        <v>17.600000000000001</v>
      </c>
      <c r="N426" s="78">
        <f t="shared" si="40"/>
        <v>1.0629999999999999</v>
      </c>
      <c r="O426" s="79">
        <f t="shared" si="36"/>
        <v>4776.2716</v>
      </c>
      <c r="P426" s="79">
        <f t="shared" si="37"/>
        <v>6605.482</v>
      </c>
      <c r="Q426" s="79">
        <f t="shared" si="38"/>
        <v>8942.8063999999995</v>
      </c>
      <c r="R426" s="75" t="str">
        <f t="shared" si="39"/>
        <v>Rs./hr</v>
      </c>
    </row>
    <row r="427" spans="1:18" ht="15" customHeight="1" x14ac:dyDescent="0.3">
      <c r="A427" s="75">
        <v>415</v>
      </c>
      <c r="B427" s="75" t="s">
        <v>980</v>
      </c>
      <c r="C427" s="75" t="s">
        <v>981</v>
      </c>
      <c r="D427" s="76" t="s">
        <v>38</v>
      </c>
      <c r="E427" s="76" t="s">
        <v>970</v>
      </c>
      <c r="F427" s="75">
        <v>2017</v>
      </c>
      <c r="G427" s="75" t="s">
        <v>111</v>
      </c>
      <c r="H427" s="75" t="s">
        <v>112</v>
      </c>
      <c r="I427" s="76" t="s">
        <v>971</v>
      </c>
      <c r="J427" s="75" t="s">
        <v>114</v>
      </c>
      <c r="K427" s="77">
        <v>9.4</v>
      </c>
      <c r="L427" s="77">
        <v>13</v>
      </c>
      <c r="M427" s="77">
        <v>17.600000000000001</v>
      </c>
      <c r="N427" s="78">
        <f t="shared" si="40"/>
        <v>1.0629999999999999</v>
      </c>
      <c r="O427" s="79">
        <f t="shared" si="36"/>
        <v>4776.2716</v>
      </c>
      <c r="P427" s="79">
        <f t="shared" si="37"/>
        <v>6605.482</v>
      </c>
      <c r="Q427" s="79">
        <f t="shared" si="38"/>
        <v>8942.8063999999995</v>
      </c>
      <c r="R427" s="75" t="str">
        <f t="shared" si="39"/>
        <v>Rs./hr</v>
      </c>
    </row>
    <row r="428" spans="1:18" ht="15" customHeight="1" x14ac:dyDescent="0.3">
      <c r="A428" s="75">
        <v>416</v>
      </c>
      <c r="B428" s="75" t="s">
        <v>982</v>
      </c>
      <c r="C428" s="75" t="s">
        <v>983</v>
      </c>
      <c r="D428" s="76" t="s">
        <v>984</v>
      </c>
      <c r="E428" s="76" t="s">
        <v>985</v>
      </c>
      <c r="F428" s="75">
        <v>1987</v>
      </c>
      <c r="G428" s="75" t="s">
        <v>111</v>
      </c>
      <c r="H428" s="75" t="s">
        <v>221</v>
      </c>
      <c r="I428" s="76" t="s">
        <v>113</v>
      </c>
      <c r="J428" s="75" t="s">
        <v>222</v>
      </c>
      <c r="K428" s="77">
        <v>12.8</v>
      </c>
      <c r="L428" s="77">
        <v>10</v>
      </c>
      <c r="M428" s="77">
        <v>8</v>
      </c>
      <c r="N428" s="78">
        <f t="shared" si="40"/>
        <v>1.175</v>
      </c>
      <c r="O428" s="79">
        <f t="shared" si="36"/>
        <v>43.878906249999993</v>
      </c>
      <c r="P428" s="79">
        <f t="shared" si="37"/>
        <v>56.164999999999999</v>
      </c>
      <c r="Q428" s="79">
        <f t="shared" si="38"/>
        <v>70.206249999999997</v>
      </c>
      <c r="R428" s="75" t="str">
        <f t="shared" si="39"/>
        <v>Rs./km</v>
      </c>
    </row>
    <row r="429" spans="1:18" ht="15" customHeight="1" x14ac:dyDescent="0.3">
      <c r="A429" s="75">
        <v>417</v>
      </c>
      <c r="B429" s="75" t="s">
        <v>108</v>
      </c>
      <c r="C429" s="75" t="s">
        <v>986</v>
      </c>
      <c r="D429" s="76" t="s">
        <v>984</v>
      </c>
      <c r="E429" s="76" t="s">
        <v>987</v>
      </c>
      <c r="F429" s="75">
        <v>1989</v>
      </c>
      <c r="G429" s="75" t="s">
        <v>111</v>
      </c>
      <c r="H429" s="75" t="s">
        <v>221</v>
      </c>
      <c r="I429" s="76" t="s">
        <v>113</v>
      </c>
      <c r="J429" s="75" t="s">
        <v>222</v>
      </c>
      <c r="K429" s="77">
        <v>12.8</v>
      </c>
      <c r="L429" s="77">
        <v>10</v>
      </c>
      <c r="M429" s="77">
        <v>8</v>
      </c>
      <c r="N429" s="78">
        <f t="shared" si="40"/>
        <v>1.175</v>
      </c>
      <c r="O429" s="79">
        <f t="shared" si="36"/>
        <v>43.878906249999993</v>
      </c>
      <c r="P429" s="79">
        <f t="shared" si="37"/>
        <v>56.164999999999999</v>
      </c>
      <c r="Q429" s="79">
        <f t="shared" si="38"/>
        <v>70.206249999999997</v>
      </c>
      <c r="R429" s="75" t="str">
        <f t="shared" si="39"/>
        <v>Rs./km</v>
      </c>
    </row>
    <row r="430" spans="1:18" ht="15" customHeight="1" x14ac:dyDescent="0.3">
      <c r="A430" s="75">
        <v>418</v>
      </c>
      <c r="B430" s="75" t="s">
        <v>108</v>
      </c>
      <c r="C430" s="75" t="s">
        <v>988</v>
      </c>
      <c r="D430" s="76" t="s">
        <v>984</v>
      </c>
      <c r="E430" s="76" t="s">
        <v>989</v>
      </c>
      <c r="F430" s="75">
        <v>2006</v>
      </c>
      <c r="G430" s="75" t="s">
        <v>111</v>
      </c>
      <c r="H430" s="75" t="s">
        <v>221</v>
      </c>
      <c r="I430" s="76" t="s">
        <v>113</v>
      </c>
      <c r="J430" s="75" t="s">
        <v>222</v>
      </c>
      <c r="K430" s="77">
        <v>12.8</v>
      </c>
      <c r="L430" s="77">
        <v>10</v>
      </c>
      <c r="M430" s="77">
        <v>8</v>
      </c>
      <c r="N430" s="78">
        <f t="shared" si="40"/>
        <v>1.1400000000000001</v>
      </c>
      <c r="O430" s="79">
        <f t="shared" si="36"/>
        <v>42.571875000000006</v>
      </c>
      <c r="P430" s="79">
        <f t="shared" si="37"/>
        <v>54.492000000000004</v>
      </c>
      <c r="Q430" s="79">
        <f t="shared" si="38"/>
        <v>68.115000000000009</v>
      </c>
      <c r="R430" s="75" t="str">
        <f t="shared" si="39"/>
        <v>Rs./km</v>
      </c>
    </row>
    <row r="431" spans="1:18" ht="15" customHeight="1" x14ac:dyDescent="0.3">
      <c r="A431" s="75">
        <v>419</v>
      </c>
      <c r="B431" s="75" t="s">
        <v>990</v>
      </c>
      <c r="C431" s="75" t="s">
        <v>108</v>
      </c>
      <c r="D431" s="76" t="s">
        <v>991</v>
      </c>
      <c r="E431" s="76" t="s">
        <v>124</v>
      </c>
      <c r="F431" s="75">
        <v>2010</v>
      </c>
      <c r="G431" s="75" t="s">
        <v>111</v>
      </c>
      <c r="H431" s="75" t="s">
        <v>112</v>
      </c>
      <c r="I431" s="76" t="s">
        <v>113</v>
      </c>
      <c r="J431" s="75" t="s">
        <v>114</v>
      </c>
      <c r="K431" s="77">
        <v>7.2</v>
      </c>
      <c r="L431" s="77">
        <v>10</v>
      </c>
      <c r="M431" s="77">
        <v>13.5</v>
      </c>
      <c r="N431" s="78">
        <f t="shared" si="40"/>
        <v>1.1120000000000001</v>
      </c>
      <c r="O431" s="79">
        <f t="shared" si="36"/>
        <v>3827.0592000000006</v>
      </c>
      <c r="P431" s="79">
        <f t="shared" si="37"/>
        <v>5315.3600000000006</v>
      </c>
      <c r="Q431" s="79">
        <f t="shared" si="38"/>
        <v>7175.7359999999999</v>
      </c>
      <c r="R431" s="75" t="str">
        <f t="shared" si="39"/>
        <v>Rs./hr</v>
      </c>
    </row>
    <row r="432" spans="1:18" ht="15" customHeight="1" x14ac:dyDescent="0.3">
      <c r="A432" s="75">
        <v>420</v>
      </c>
      <c r="B432" s="75" t="s">
        <v>992</v>
      </c>
      <c r="C432" s="75" t="s">
        <v>108</v>
      </c>
      <c r="D432" s="76" t="s">
        <v>991</v>
      </c>
      <c r="E432" s="76" t="s">
        <v>993</v>
      </c>
      <c r="F432" s="75">
        <v>2012</v>
      </c>
      <c r="G432" s="75" t="s">
        <v>111</v>
      </c>
      <c r="H432" s="75" t="s">
        <v>112</v>
      </c>
      <c r="I432" s="76" t="s">
        <v>113</v>
      </c>
      <c r="J432" s="75" t="s">
        <v>114</v>
      </c>
      <c r="K432" s="77">
        <v>7.2</v>
      </c>
      <c r="L432" s="77">
        <v>10</v>
      </c>
      <c r="M432" s="77">
        <v>13.5</v>
      </c>
      <c r="N432" s="78">
        <f t="shared" si="40"/>
        <v>1.0980000000000001</v>
      </c>
      <c r="O432" s="79">
        <f t="shared" si="36"/>
        <v>3778.8768000000005</v>
      </c>
      <c r="P432" s="79">
        <f t="shared" si="37"/>
        <v>5248.4400000000005</v>
      </c>
      <c r="Q432" s="79">
        <f t="shared" si="38"/>
        <v>7085.3940000000002</v>
      </c>
      <c r="R432" s="75" t="str">
        <f t="shared" si="39"/>
        <v>Rs./hr</v>
      </c>
    </row>
    <row r="433" spans="1:18" ht="15" customHeight="1" x14ac:dyDescent="0.3">
      <c r="A433" s="75">
        <v>421</v>
      </c>
      <c r="B433" s="75" t="s">
        <v>994</v>
      </c>
      <c r="C433" s="75" t="s">
        <v>108</v>
      </c>
      <c r="D433" s="76" t="s">
        <v>991</v>
      </c>
      <c r="E433" s="76" t="s">
        <v>124</v>
      </c>
      <c r="F433" s="75">
        <v>2013</v>
      </c>
      <c r="G433" s="75" t="s">
        <v>111</v>
      </c>
      <c r="H433" s="75" t="s">
        <v>112</v>
      </c>
      <c r="I433" s="76" t="s">
        <v>113</v>
      </c>
      <c r="J433" s="75" t="s">
        <v>114</v>
      </c>
      <c r="K433" s="77">
        <v>7.2</v>
      </c>
      <c r="L433" s="77">
        <v>10</v>
      </c>
      <c r="M433" s="77">
        <v>13.5</v>
      </c>
      <c r="N433" s="78">
        <f t="shared" si="40"/>
        <v>1.091</v>
      </c>
      <c r="O433" s="79">
        <f t="shared" si="36"/>
        <v>3754.7856000000002</v>
      </c>
      <c r="P433" s="79">
        <f t="shared" si="37"/>
        <v>5214.9800000000005</v>
      </c>
      <c r="Q433" s="79">
        <f t="shared" si="38"/>
        <v>7040.223</v>
      </c>
      <c r="R433" s="75" t="str">
        <f t="shared" si="39"/>
        <v>Rs./hr</v>
      </c>
    </row>
    <row r="434" spans="1:18" ht="15" customHeight="1" x14ac:dyDescent="0.3">
      <c r="A434" s="75">
        <v>422</v>
      </c>
      <c r="B434" s="75" t="s">
        <v>995</v>
      </c>
      <c r="C434" s="75" t="s">
        <v>108</v>
      </c>
      <c r="D434" s="76" t="s">
        <v>991</v>
      </c>
      <c r="E434" s="76" t="s">
        <v>124</v>
      </c>
      <c r="F434" s="75">
        <v>2010</v>
      </c>
      <c r="G434" s="75" t="s">
        <v>111</v>
      </c>
      <c r="H434" s="75" t="s">
        <v>112</v>
      </c>
      <c r="I434" s="76" t="s">
        <v>113</v>
      </c>
      <c r="J434" s="75" t="s">
        <v>114</v>
      </c>
      <c r="K434" s="77">
        <v>7.2</v>
      </c>
      <c r="L434" s="77">
        <v>10</v>
      </c>
      <c r="M434" s="77">
        <v>13.5</v>
      </c>
      <c r="N434" s="78">
        <f t="shared" si="40"/>
        <v>1.1120000000000001</v>
      </c>
      <c r="O434" s="79">
        <f t="shared" si="36"/>
        <v>3827.0592000000006</v>
      </c>
      <c r="P434" s="79">
        <f t="shared" si="37"/>
        <v>5315.3600000000006</v>
      </c>
      <c r="Q434" s="79">
        <f t="shared" si="38"/>
        <v>7175.7359999999999</v>
      </c>
      <c r="R434" s="75" t="str">
        <f t="shared" si="39"/>
        <v>Rs./hr</v>
      </c>
    </row>
    <row r="435" spans="1:18" ht="15" customHeight="1" x14ac:dyDescent="0.3">
      <c r="A435" s="75">
        <v>423</v>
      </c>
      <c r="B435" s="75" t="s">
        <v>996</v>
      </c>
      <c r="C435" s="75" t="s">
        <v>108</v>
      </c>
      <c r="D435" s="76" t="s">
        <v>991</v>
      </c>
      <c r="E435" s="76" t="s">
        <v>124</v>
      </c>
      <c r="F435" s="75">
        <v>2012</v>
      </c>
      <c r="G435" s="75" t="s">
        <v>111</v>
      </c>
      <c r="H435" s="75" t="s">
        <v>112</v>
      </c>
      <c r="I435" s="76" t="s">
        <v>113</v>
      </c>
      <c r="J435" s="75" t="s">
        <v>114</v>
      </c>
      <c r="K435" s="77">
        <v>7.2</v>
      </c>
      <c r="L435" s="77">
        <v>10</v>
      </c>
      <c r="M435" s="77">
        <v>13.5</v>
      </c>
      <c r="N435" s="78">
        <f t="shared" si="40"/>
        <v>1.0980000000000001</v>
      </c>
      <c r="O435" s="79">
        <f t="shared" si="36"/>
        <v>3778.8768000000005</v>
      </c>
      <c r="P435" s="79">
        <f t="shared" si="37"/>
        <v>5248.4400000000005</v>
      </c>
      <c r="Q435" s="79">
        <f t="shared" si="38"/>
        <v>7085.3940000000002</v>
      </c>
      <c r="R435" s="75" t="str">
        <f t="shared" si="39"/>
        <v>Rs./hr</v>
      </c>
    </row>
    <row r="436" spans="1:18" ht="15" customHeight="1" x14ac:dyDescent="0.3">
      <c r="A436" s="75">
        <v>424</v>
      </c>
      <c r="B436" s="75" t="s">
        <v>997</v>
      </c>
      <c r="C436" s="75" t="s">
        <v>108</v>
      </c>
      <c r="D436" s="76" t="s">
        <v>991</v>
      </c>
      <c r="E436" s="76" t="s">
        <v>998</v>
      </c>
      <c r="F436" s="75">
        <v>2015</v>
      </c>
      <c r="G436" s="75" t="s">
        <v>111</v>
      </c>
      <c r="H436" s="75" t="s">
        <v>112</v>
      </c>
      <c r="I436" s="76" t="s">
        <v>113</v>
      </c>
      <c r="J436" s="75" t="s">
        <v>114</v>
      </c>
      <c r="K436" s="77">
        <v>7.2</v>
      </c>
      <c r="L436" s="77">
        <v>10</v>
      </c>
      <c r="M436" s="77">
        <v>13.5</v>
      </c>
      <c r="N436" s="78">
        <f t="shared" si="40"/>
        <v>1.077</v>
      </c>
      <c r="O436" s="79">
        <f t="shared" si="36"/>
        <v>3706.6031999999996</v>
      </c>
      <c r="P436" s="79">
        <f t="shared" si="37"/>
        <v>5148.0599999999995</v>
      </c>
      <c r="Q436" s="79">
        <f t="shared" si="38"/>
        <v>6949.8810000000003</v>
      </c>
      <c r="R436" s="75" t="str">
        <f t="shared" si="39"/>
        <v>Rs./hr</v>
      </c>
    </row>
    <row r="437" spans="1:18" ht="15" customHeight="1" x14ac:dyDescent="0.3">
      <c r="A437" s="75">
        <v>425</v>
      </c>
      <c r="B437" s="75" t="s">
        <v>999</v>
      </c>
      <c r="C437" s="75" t="s">
        <v>108</v>
      </c>
      <c r="D437" s="76" t="s">
        <v>991</v>
      </c>
      <c r="E437" s="76" t="s">
        <v>1000</v>
      </c>
      <c r="F437" s="75">
        <v>2013</v>
      </c>
      <c r="G437" s="75" t="s">
        <v>111</v>
      </c>
      <c r="H437" s="75" t="s">
        <v>112</v>
      </c>
      <c r="I437" s="76" t="s">
        <v>113</v>
      </c>
      <c r="J437" s="75" t="s">
        <v>114</v>
      </c>
      <c r="K437" s="77">
        <v>7.2</v>
      </c>
      <c r="L437" s="77">
        <v>10</v>
      </c>
      <c r="M437" s="77">
        <v>13.5</v>
      </c>
      <c r="N437" s="78">
        <f t="shared" si="40"/>
        <v>1.091</v>
      </c>
      <c r="O437" s="79">
        <f t="shared" si="36"/>
        <v>3754.7856000000002</v>
      </c>
      <c r="P437" s="79">
        <f t="shared" si="37"/>
        <v>5214.9800000000005</v>
      </c>
      <c r="Q437" s="79">
        <f t="shared" si="38"/>
        <v>7040.223</v>
      </c>
      <c r="R437" s="75" t="str">
        <f t="shared" si="39"/>
        <v>Rs./hr</v>
      </c>
    </row>
    <row r="438" spans="1:18" ht="15" customHeight="1" x14ac:dyDescent="0.3">
      <c r="A438" s="75">
        <v>426</v>
      </c>
      <c r="B438" s="75" t="s">
        <v>1001</v>
      </c>
      <c r="C438" s="75" t="s">
        <v>108</v>
      </c>
      <c r="D438" s="76" t="s">
        <v>991</v>
      </c>
      <c r="E438" s="76" t="s">
        <v>1002</v>
      </c>
      <c r="F438" s="75">
        <v>2012</v>
      </c>
      <c r="G438" s="75" t="s">
        <v>111</v>
      </c>
      <c r="H438" s="75" t="s">
        <v>112</v>
      </c>
      <c r="I438" s="76" t="s">
        <v>113</v>
      </c>
      <c r="J438" s="75" t="s">
        <v>114</v>
      </c>
      <c r="K438" s="77">
        <v>7.2</v>
      </c>
      <c r="L438" s="77">
        <v>10</v>
      </c>
      <c r="M438" s="77">
        <v>13.5</v>
      </c>
      <c r="N438" s="78">
        <f t="shared" si="40"/>
        <v>1.0980000000000001</v>
      </c>
      <c r="O438" s="79">
        <f t="shared" si="36"/>
        <v>3778.8768000000005</v>
      </c>
      <c r="P438" s="79">
        <f t="shared" si="37"/>
        <v>5248.4400000000005</v>
      </c>
      <c r="Q438" s="79">
        <f t="shared" si="38"/>
        <v>7085.3940000000002</v>
      </c>
      <c r="R438" s="75" t="str">
        <f t="shared" si="39"/>
        <v>Rs./hr</v>
      </c>
    </row>
    <row r="439" spans="1:18" ht="15" customHeight="1" x14ac:dyDescent="0.3">
      <c r="A439" s="75">
        <v>427</v>
      </c>
      <c r="B439" s="75" t="s">
        <v>1003</v>
      </c>
      <c r="C439" s="75" t="s">
        <v>108</v>
      </c>
      <c r="D439" s="76" t="s">
        <v>991</v>
      </c>
      <c r="E439" s="76" t="s">
        <v>1004</v>
      </c>
      <c r="F439" s="75">
        <v>2013</v>
      </c>
      <c r="G439" s="75" t="s">
        <v>111</v>
      </c>
      <c r="H439" s="75" t="s">
        <v>112</v>
      </c>
      <c r="I439" s="76" t="s">
        <v>113</v>
      </c>
      <c r="J439" s="75" t="s">
        <v>114</v>
      </c>
      <c r="K439" s="77">
        <v>7.2</v>
      </c>
      <c r="L439" s="77">
        <v>10</v>
      </c>
      <c r="M439" s="77">
        <v>13.5</v>
      </c>
      <c r="N439" s="78">
        <f t="shared" si="40"/>
        <v>1.091</v>
      </c>
      <c r="O439" s="79">
        <f t="shared" si="36"/>
        <v>3754.7856000000002</v>
      </c>
      <c r="P439" s="79">
        <f t="shared" si="37"/>
        <v>5214.9800000000005</v>
      </c>
      <c r="Q439" s="79">
        <f t="shared" si="38"/>
        <v>7040.223</v>
      </c>
      <c r="R439" s="75" t="str">
        <f t="shared" si="39"/>
        <v>Rs./hr</v>
      </c>
    </row>
    <row r="440" spans="1:18" ht="15" customHeight="1" x14ac:dyDescent="0.3">
      <c r="A440" s="75">
        <v>428</v>
      </c>
      <c r="B440" s="75" t="s">
        <v>1005</v>
      </c>
      <c r="C440" s="75" t="s">
        <v>108</v>
      </c>
      <c r="D440" s="76" t="s">
        <v>991</v>
      </c>
      <c r="E440" s="76" t="s">
        <v>1006</v>
      </c>
      <c r="F440" s="75">
        <v>2013</v>
      </c>
      <c r="G440" s="75" t="s">
        <v>111</v>
      </c>
      <c r="H440" s="75" t="s">
        <v>112</v>
      </c>
      <c r="I440" s="76" t="s">
        <v>113</v>
      </c>
      <c r="J440" s="75" t="s">
        <v>114</v>
      </c>
      <c r="K440" s="77">
        <v>7.2</v>
      </c>
      <c r="L440" s="77">
        <v>10</v>
      </c>
      <c r="M440" s="77">
        <v>13.5</v>
      </c>
      <c r="N440" s="78">
        <f t="shared" si="40"/>
        <v>1.091</v>
      </c>
      <c r="O440" s="79">
        <f t="shared" si="36"/>
        <v>3754.7856000000002</v>
      </c>
      <c r="P440" s="79">
        <f t="shared" si="37"/>
        <v>5214.9800000000005</v>
      </c>
      <c r="Q440" s="79">
        <f t="shared" si="38"/>
        <v>7040.223</v>
      </c>
      <c r="R440" s="75" t="str">
        <f t="shared" si="39"/>
        <v>Rs./hr</v>
      </c>
    </row>
    <row r="441" spans="1:18" ht="15" customHeight="1" x14ac:dyDescent="0.3">
      <c r="A441" s="75">
        <v>429</v>
      </c>
      <c r="B441" s="75" t="s">
        <v>1007</v>
      </c>
      <c r="C441" s="75" t="s">
        <v>108</v>
      </c>
      <c r="D441" s="76" t="s">
        <v>991</v>
      </c>
      <c r="E441" s="76" t="s">
        <v>1008</v>
      </c>
      <c r="F441" s="75">
        <v>2013</v>
      </c>
      <c r="G441" s="75" t="s">
        <v>111</v>
      </c>
      <c r="H441" s="75" t="s">
        <v>112</v>
      </c>
      <c r="I441" s="76" t="s">
        <v>113</v>
      </c>
      <c r="J441" s="75" t="s">
        <v>114</v>
      </c>
      <c r="K441" s="77">
        <v>7.2</v>
      </c>
      <c r="L441" s="77">
        <v>10</v>
      </c>
      <c r="M441" s="77">
        <v>13.5</v>
      </c>
      <c r="N441" s="78">
        <f t="shared" si="40"/>
        <v>1.091</v>
      </c>
      <c r="O441" s="79">
        <f t="shared" si="36"/>
        <v>3754.7856000000002</v>
      </c>
      <c r="P441" s="79">
        <f t="shared" si="37"/>
        <v>5214.9800000000005</v>
      </c>
      <c r="Q441" s="79">
        <f t="shared" si="38"/>
        <v>7040.223</v>
      </c>
      <c r="R441" s="75" t="str">
        <f t="shared" si="39"/>
        <v>Rs./hr</v>
      </c>
    </row>
    <row r="442" spans="1:18" ht="15" customHeight="1" x14ac:dyDescent="0.3">
      <c r="A442" s="75">
        <v>430</v>
      </c>
      <c r="B442" s="75" t="s">
        <v>1009</v>
      </c>
      <c r="C442" s="75" t="s">
        <v>108</v>
      </c>
      <c r="D442" s="76" t="s">
        <v>991</v>
      </c>
      <c r="E442" s="76" t="s">
        <v>998</v>
      </c>
      <c r="F442" s="75">
        <v>2013</v>
      </c>
      <c r="G442" s="75" t="s">
        <v>111</v>
      </c>
      <c r="H442" s="75" t="s">
        <v>112</v>
      </c>
      <c r="I442" s="76" t="s">
        <v>113</v>
      </c>
      <c r="J442" s="75" t="s">
        <v>114</v>
      </c>
      <c r="K442" s="77">
        <v>7.2</v>
      </c>
      <c r="L442" s="77">
        <v>10</v>
      </c>
      <c r="M442" s="77">
        <v>13.5</v>
      </c>
      <c r="N442" s="78">
        <f t="shared" si="40"/>
        <v>1.091</v>
      </c>
      <c r="O442" s="79">
        <f t="shared" si="36"/>
        <v>3754.7856000000002</v>
      </c>
      <c r="P442" s="79">
        <f t="shared" si="37"/>
        <v>5214.9800000000005</v>
      </c>
      <c r="Q442" s="79">
        <f t="shared" si="38"/>
        <v>7040.223</v>
      </c>
      <c r="R442" s="75" t="str">
        <f t="shared" si="39"/>
        <v>Rs./hr</v>
      </c>
    </row>
    <row r="443" spans="1:18" ht="15" customHeight="1" x14ac:dyDescent="0.3">
      <c r="A443" s="75">
        <v>431</v>
      </c>
      <c r="B443" s="75" t="s">
        <v>1010</v>
      </c>
      <c r="C443" s="75" t="s">
        <v>108</v>
      </c>
      <c r="D443" s="76" t="s">
        <v>991</v>
      </c>
      <c r="E443" s="76" t="s">
        <v>1011</v>
      </c>
      <c r="F443" s="75">
        <v>2012</v>
      </c>
      <c r="G443" s="75" t="s">
        <v>111</v>
      </c>
      <c r="H443" s="75" t="s">
        <v>112</v>
      </c>
      <c r="I443" s="76" t="s">
        <v>113</v>
      </c>
      <c r="J443" s="75" t="s">
        <v>114</v>
      </c>
      <c r="K443" s="77">
        <v>7.2</v>
      </c>
      <c r="L443" s="77">
        <v>10</v>
      </c>
      <c r="M443" s="77">
        <v>13.5</v>
      </c>
      <c r="N443" s="78">
        <f t="shared" si="40"/>
        <v>1.0980000000000001</v>
      </c>
      <c r="O443" s="79">
        <f t="shared" si="36"/>
        <v>3778.8768000000005</v>
      </c>
      <c r="P443" s="79">
        <f t="shared" si="37"/>
        <v>5248.4400000000005</v>
      </c>
      <c r="Q443" s="79">
        <f t="shared" si="38"/>
        <v>7085.3940000000002</v>
      </c>
      <c r="R443" s="75" t="str">
        <f t="shared" si="39"/>
        <v>Rs./hr</v>
      </c>
    </row>
    <row r="444" spans="1:18" ht="15" customHeight="1" x14ac:dyDescent="0.3">
      <c r="A444" s="75">
        <v>432</v>
      </c>
      <c r="B444" s="75" t="s">
        <v>1012</v>
      </c>
      <c r="C444" s="75" t="s">
        <v>108</v>
      </c>
      <c r="D444" s="76" t="s">
        <v>991</v>
      </c>
      <c r="E444" s="76" t="s">
        <v>1013</v>
      </c>
      <c r="F444" s="75">
        <v>2016</v>
      </c>
      <c r="G444" s="75" t="s">
        <v>111</v>
      </c>
      <c r="H444" s="75" t="s">
        <v>112</v>
      </c>
      <c r="I444" s="76" t="s">
        <v>113</v>
      </c>
      <c r="J444" s="75" t="s">
        <v>114</v>
      </c>
      <c r="K444" s="77">
        <v>7.2</v>
      </c>
      <c r="L444" s="77">
        <v>10</v>
      </c>
      <c r="M444" s="77">
        <v>13.5</v>
      </c>
      <c r="N444" s="78">
        <f t="shared" si="40"/>
        <v>1.07</v>
      </c>
      <c r="O444" s="79">
        <f t="shared" si="36"/>
        <v>3682.5120000000002</v>
      </c>
      <c r="P444" s="79">
        <f t="shared" si="37"/>
        <v>5114.6000000000004</v>
      </c>
      <c r="Q444" s="79">
        <f t="shared" si="38"/>
        <v>6904.71</v>
      </c>
      <c r="R444" s="75" t="str">
        <f t="shared" si="39"/>
        <v>Rs./hr</v>
      </c>
    </row>
    <row r="445" spans="1:18" ht="15" customHeight="1" x14ac:dyDescent="0.3">
      <c r="A445" s="75">
        <v>433</v>
      </c>
      <c r="B445" s="75" t="s">
        <v>1014</v>
      </c>
      <c r="C445" s="75" t="s">
        <v>108</v>
      </c>
      <c r="D445" s="76" t="s">
        <v>991</v>
      </c>
      <c r="E445" s="76" t="s">
        <v>730</v>
      </c>
      <c r="F445" s="75">
        <v>2012</v>
      </c>
      <c r="G445" s="75" t="s">
        <v>111</v>
      </c>
      <c r="H445" s="75" t="s">
        <v>112</v>
      </c>
      <c r="I445" s="76" t="s">
        <v>113</v>
      </c>
      <c r="J445" s="75" t="s">
        <v>114</v>
      </c>
      <c r="K445" s="77">
        <v>7.2</v>
      </c>
      <c r="L445" s="77">
        <v>10</v>
      </c>
      <c r="M445" s="77">
        <v>13.5</v>
      </c>
      <c r="N445" s="78">
        <f t="shared" si="40"/>
        <v>1.0980000000000001</v>
      </c>
      <c r="O445" s="79">
        <f t="shared" si="36"/>
        <v>3778.8768000000005</v>
      </c>
      <c r="P445" s="79">
        <f t="shared" si="37"/>
        <v>5248.4400000000005</v>
      </c>
      <c r="Q445" s="79">
        <f t="shared" si="38"/>
        <v>7085.3940000000002</v>
      </c>
      <c r="R445" s="75" t="str">
        <f t="shared" si="39"/>
        <v>Rs./hr</v>
      </c>
    </row>
    <row r="446" spans="1:18" ht="15" customHeight="1" x14ac:dyDescent="0.3">
      <c r="A446" s="75">
        <v>434</v>
      </c>
      <c r="B446" s="75" t="s">
        <v>1015</v>
      </c>
      <c r="C446" s="75" t="s">
        <v>108</v>
      </c>
      <c r="D446" s="76" t="s">
        <v>991</v>
      </c>
      <c r="E446" s="76" t="s">
        <v>124</v>
      </c>
      <c r="F446" s="75">
        <v>2010</v>
      </c>
      <c r="G446" s="75" t="s">
        <v>111</v>
      </c>
      <c r="H446" s="75" t="s">
        <v>112</v>
      </c>
      <c r="I446" s="76" t="s">
        <v>113</v>
      </c>
      <c r="J446" s="75" t="s">
        <v>114</v>
      </c>
      <c r="K446" s="77">
        <v>7.2</v>
      </c>
      <c r="L446" s="77">
        <v>10</v>
      </c>
      <c r="M446" s="77">
        <v>13.5</v>
      </c>
      <c r="N446" s="78">
        <f t="shared" si="40"/>
        <v>1.1120000000000001</v>
      </c>
      <c r="O446" s="79">
        <f t="shared" si="36"/>
        <v>3827.0592000000006</v>
      </c>
      <c r="P446" s="79">
        <f t="shared" si="37"/>
        <v>5315.3600000000006</v>
      </c>
      <c r="Q446" s="79">
        <f t="shared" si="38"/>
        <v>7175.7359999999999</v>
      </c>
      <c r="R446" s="75" t="str">
        <f t="shared" si="39"/>
        <v>Rs./hr</v>
      </c>
    </row>
    <row r="447" spans="1:18" ht="15" customHeight="1" x14ac:dyDescent="0.3">
      <c r="A447" s="75">
        <v>435</v>
      </c>
      <c r="B447" s="75" t="s">
        <v>1016</v>
      </c>
      <c r="C447" s="75" t="s">
        <v>108</v>
      </c>
      <c r="D447" s="76" t="s">
        <v>991</v>
      </c>
      <c r="E447" s="76" t="s">
        <v>124</v>
      </c>
      <c r="F447" s="75">
        <v>2010</v>
      </c>
      <c r="G447" s="75" t="s">
        <v>111</v>
      </c>
      <c r="H447" s="75" t="s">
        <v>112</v>
      </c>
      <c r="I447" s="76" t="s">
        <v>113</v>
      </c>
      <c r="J447" s="75" t="s">
        <v>114</v>
      </c>
      <c r="K447" s="77">
        <v>7.2</v>
      </c>
      <c r="L447" s="77">
        <v>10</v>
      </c>
      <c r="M447" s="77">
        <v>13.5</v>
      </c>
      <c r="N447" s="78">
        <f t="shared" si="40"/>
        <v>1.1120000000000001</v>
      </c>
      <c r="O447" s="79">
        <f t="shared" si="36"/>
        <v>3827.0592000000006</v>
      </c>
      <c r="P447" s="79">
        <f t="shared" si="37"/>
        <v>5315.3600000000006</v>
      </c>
      <c r="Q447" s="79">
        <f t="shared" si="38"/>
        <v>7175.7359999999999</v>
      </c>
      <c r="R447" s="75" t="str">
        <f t="shared" si="39"/>
        <v>Rs./hr</v>
      </c>
    </row>
    <row r="448" spans="1:18" ht="15" customHeight="1" x14ac:dyDescent="0.3">
      <c r="A448" s="75">
        <v>436</v>
      </c>
      <c r="B448" s="75" t="s">
        <v>1017</v>
      </c>
      <c r="C448" s="75" t="s">
        <v>108</v>
      </c>
      <c r="D448" s="76" t="s">
        <v>991</v>
      </c>
      <c r="E448" s="76" t="s">
        <v>1018</v>
      </c>
      <c r="F448" s="75">
        <v>2016</v>
      </c>
      <c r="G448" s="75" t="s">
        <v>111</v>
      </c>
      <c r="H448" s="75" t="s">
        <v>112</v>
      </c>
      <c r="I448" s="76" t="s">
        <v>113</v>
      </c>
      <c r="J448" s="75" t="s">
        <v>114</v>
      </c>
      <c r="K448" s="77">
        <v>7.2</v>
      </c>
      <c r="L448" s="77">
        <v>10</v>
      </c>
      <c r="M448" s="77">
        <v>13.5</v>
      </c>
      <c r="N448" s="78">
        <f t="shared" si="40"/>
        <v>1.07</v>
      </c>
      <c r="O448" s="79">
        <f t="shared" si="36"/>
        <v>3682.5120000000002</v>
      </c>
      <c r="P448" s="79">
        <f t="shared" si="37"/>
        <v>5114.6000000000004</v>
      </c>
      <c r="Q448" s="79">
        <f t="shared" si="38"/>
        <v>6904.71</v>
      </c>
      <c r="R448" s="75" t="str">
        <f t="shared" si="39"/>
        <v>Rs./hr</v>
      </c>
    </row>
    <row r="449" spans="1:18" ht="15" customHeight="1" x14ac:dyDescent="0.3">
      <c r="A449" s="75">
        <v>437</v>
      </c>
      <c r="B449" s="75" t="s">
        <v>1019</v>
      </c>
      <c r="C449" s="75" t="s">
        <v>108</v>
      </c>
      <c r="D449" s="76" t="s">
        <v>991</v>
      </c>
      <c r="E449" s="76" t="s">
        <v>124</v>
      </c>
      <c r="F449" s="75" t="s">
        <v>108</v>
      </c>
      <c r="G449" s="75" t="s">
        <v>111</v>
      </c>
      <c r="H449" s="75" t="s">
        <v>112</v>
      </c>
      <c r="I449" s="76" t="s">
        <v>113</v>
      </c>
      <c r="J449" s="75" t="s">
        <v>114</v>
      </c>
      <c r="K449" s="77">
        <v>7.2</v>
      </c>
      <c r="L449" s="77">
        <v>10</v>
      </c>
      <c r="M449" s="77">
        <v>13.5</v>
      </c>
      <c r="N449" s="78">
        <f>1</f>
        <v>1</v>
      </c>
      <c r="O449" s="79">
        <f t="shared" si="36"/>
        <v>3441.6</v>
      </c>
      <c r="P449" s="79">
        <f t="shared" si="37"/>
        <v>4780</v>
      </c>
      <c r="Q449" s="79">
        <f t="shared" si="38"/>
        <v>6453</v>
      </c>
      <c r="R449" s="75" t="str">
        <f t="shared" si="39"/>
        <v>Rs./hr</v>
      </c>
    </row>
    <row r="450" spans="1:18" ht="15" customHeight="1" x14ac:dyDescent="0.3">
      <c r="A450" s="75">
        <v>438</v>
      </c>
      <c r="B450" s="75" t="s">
        <v>1020</v>
      </c>
      <c r="C450" s="75" t="s">
        <v>108</v>
      </c>
      <c r="D450" s="76" t="s">
        <v>991</v>
      </c>
      <c r="E450" s="76" t="s">
        <v>1021</v>
      </c>
      <c r="F450" s="75">
        <v>2013</v>
      </c>
      <c r="G450" s="75" t="s">
        <v>111</v>
      </c>
      <c r="H450" s="75" t="s">
        <v>112</v>
      </c>
      <c r="I450" s="76" t="s">
        <v>113</v>
      </c>
      <c r="J450" s="75" t="s">
        <v>114</v>
      </c>
      <c r="K450" s="77">
        <v>7.2</v>
      </c>
      <c r="L450" s="77">
        <v>10</v>
      </c>
      <c r="M450" s="77">
        <v>13.5</v>
      </c>
      <c r="N450" s="78">
        <f>1+MIN(MAX($D$8-F450,0),$D$10)*$D$9</f>
        <v>1.091</v>
      </c>
      <c r="O450" s="79">
        <f t="shared" si="36"/>
        <v>3754.7856000000002</v>
      </c>
      <c r="P450" s="79">
        <f t="shared" si="37"/>
        <v>5214.9800000000005</v>
      </c>
      <c r="Q450" s="79">
        <f t="shared" si="38"/>
        <v>7040.223</v>
      </c>
      <c r="R450" s="75" t="str">
        <f t="shared" si="39"/>
        <v>Rs./hr</v>
      </c>
    </row>
    <row r="451" spans="1:18" ht="15" customHeight="1" x14ac:dyDescent="0.3">
      <c r="A451" s="75">
        <v>439</v>
      </c>
      <c r="B451" s="75" t="s">
        <v>1022</v>
      </c>
      <c r="C451" s="75" t="s">
        <v>108</v>
      </c>
      <c r="D451" s="76" t="s">
        <v>991</v>
      </c>
      <c r="E451" s="76" t="s">
        <v>1023</v>
      </c>
      <c r="F451" s="75">
        <v>2014</v>
      </c>
      <c r="G451" s="75" t="s">
        <v>111</v>
      </c>
      <c r="H451" s="75" t="s">
        <v>112</v>
      </c>
      <c r="I451" s="76" t="s">
        <v>113</v>
      </c>
      <c r="J451" s="75" t="s">
        <v>114</v>
      </c>
      <c r="K451" s="77">
        <v>7.2</v>
      </c>
      <c r="L451" s="77">
        <v>10</v>
      </c>
      <c r="M451" s="77">
        <v>13.5</v>
      </c>
      <c r="N451" s="78">
        <f>1+MIN(MAX($D$8-F451,0),$D$10)*$D$9</f>
        <v>1.0840000000000001</v>
      </c>
      <c r="O451" s="79">
        <f t="shared" si="36"/>
        <v>3730.6944000000003</v>
      </c>
      <c r="P451" s="79">
        <f t="shared" si="37"/>
        <v>5181.5199999999995</v>
      </c>
      <c r="Q451" s="79">
        <f t="shared" si="38"/>
        <v>6995.0520000000006</v>
      </c>
      <c r="R451" s="75" t="str">
        <f t="shared" si="39"/>
        <v>Rs./hr</v>
      </c>
    </row>
    <row r="452" spans="1:18" ht="15" customHeight="1" x14ac:dyDescent="0.3">
      <c r="A452" s="75">
        <v>440</v>
      </c>
      <c r="B452" s="75" t="s">
        <v>1024</v>
      </c>
      <c r="C452" s="75" t="s">
        <v>108</v>
      </c>
      <c r="D452" s="76" t="s">
        <v>991</v>
      </c>
      <c r="E452" s="76" t="s">
        <v>124</v>
      </c>
      <c r="F452" s="75" t="s">
        <v>108</v>
      </c>
      <c r="G452" s="75" t="s">
        <v>111</v>
      </c>
      <c r="H452" s="75" t="s">
        <v>112</v>
      </c>
      <c r="I452" s="76" t="s">
        <v>113</v>
      </c>
      <c r="J452" s="75" t="s">
        <v>114</v>
      </c>
      <c r="K452" s="77">
        <v>7.2</v>
      </c>
      <c r="L452" s="77">
        <v>10</v>
      </c>
      <c r="M452" s="77">
        <v>13.5</v>
      </c>
      <c r="N452" s="78">
        <f>1</f>
        <v>1</v>
      </c>
      <c r="O452" s="79">
        <f t="shared" si="36"/>
        <v>3441.6</v>
      </c>
      <c r="P452" s="79">
        <f t="shared" si="37"/>
        <v>4780</v>
      </c>
      <c r="Q452" s="79">
        <f t="shared" si="38"/>
        <v>6453</v>
      </c>
      <c r="R452" s="75" t="str">
        <f t="shared" si="39"/>
        <v>Rs./hr</v>
      </c>
    </row>
    <row r="453" spans="1:18" ht="15" customHeight="1" x14ac:dyDescent="0.3">
      <c r="A453" s="75">
        <v>441</v>
      </c>
      <c r="B453" s="75" t="s">
        <v>1025</v>
      </c>
      <c r="C453" s="75" t="s">
        <v>108</v>
      </c>
      <c r="D453" s="76" t="s">
        <v>991</v>
      </c>
      <c r="E453" s="76" t="s">
        <v>124</v>
      </c>
      <c r="F453" s="75" t="s">
        <v>108</v>
      </c>
      <c r="G453" s="75" t="s">
        <v>111</v>
      </c>
      <c r="H453" s="75" t="s">
        <v>112</v>
      </c>
      <c r="I453" s="76" t="s">
        <v>113</v>
      </c>
      <c r="J453" s="75" t="s">
        <v>114</v>
      </c>
      <c r="K453" s="77">
        <v>7.2</v>
      </c>
      <c r="L453" s="77">
        <v>10</v>
      </c>
      <c r="M453" s="77">
        <v>13.5</v>
      </c>
      <c r="N453" s="78">
        <f>1</f>
        <v>1</v>
      </c>
      <c r="O453" s="79">
        <f t="shared" si="36"/>
        <v>3441.6</v>
      </c>
      <c r="P453" s="79">
        <f t="shared" si="37"/>
        <v>4780</v>
      </c>
      <c r="Q453" s="79">
        <f t="shared" si="38"/>
        <v>6453</v>
      </c>
      <c r="R453" s="75" t="str">
        <f t="shared" si="39"/>
        <v>Rs./hr</v>
      </c>
    </row>
    <row r="454" spans="1:18" ht="15" customHeight="1" x14ac:dyDescent="0.3">
      <c r="A454" s="75">
        <v>442</v>
      </c>
      <c r="B454" s="75" t="s">
        <v>1026</v>
      </c>
      <c r="C454" s="75" t="s">
        <v>108</v>
      </c>
      <c r="D454" s="76" t="s">
        <v>991</v>
      </c>
      <c r="E454" s="76" t="s">
        <v>1027</v>
      </c>
      <c r="F454" s="75">
        <v>2013</v>
      </c>
      <c r="G454" s="75" t="s">
        <v>111</v>
      </c>
      <c r="H454" s="75" t="s">
        <v>112</v>
      </c>
      <c r="I454" s="76" t="s">
        <v>113</v>
      </c>
      <c r="J454" s="75" t="s">
        <v>114</v>
      </c>
      <c r="K454" s="77">
        <v>7.2</v>
      </c>
      <c r="L454" s="77">
        <v>10</v>
      </c>
      <c r="M454" s="77">
        <v>13.5</v>
      </c>
      <c r="N454" s="78">
        <f>1+MIN(MAX($D$8-F454,0),$D$10)*$D$9</f>
        <v>1.091</v>
      </c>
      <c r="O454" s="79">
        <f t="shared" si="36"/>
        <v>3754.7856000000002</v>
      </c>
      <c r="P454" s="79">
        <f t="shared" si="37"/>
        <v>5214.9800000000005</v>
      </c>
      <c r="Q454" s="79">
        <f t="shared" si="38"/>
        <v>7040.223</v>
      </c>
      <c r="R454" s="75" t="str">
        <f t="shared" si="39"/>
        <v>Rs./hr</v>
      </c>
    </row>
    <row r="455" spans="1:18" ht="15" customHeight="1" x14ac:dyDescent="0.3">
      <c r="A455" s="75">
        <v>443</v>
      </c>
      <c r="B455" s="75" t="s">
        <v>1028</v>
      </c>
      <c r="C455" s="75" t="s">
        <v>108</v>
      </c>
      <c r="D455" s="76" t="s">
        <v>991</v>
      </c>
      <c r="E455" s="76" t="s">
        <v>998</v>
      </c>
      <c r="F455" s="75" t="s">
        <v>108</v>
      </c>
      <c r="G455" s="75" t="s">
        <v>111</v>
      </c>
      <c r="H455" s="75" t="s">
        <v>112</v>
      </c>
      <c r="I455" s="76" t="s">
        <v>113</v>
      </c>
      <c r="J455" s="75" t="s">
        <v>114</v>
      </c>
      <c r="K455" s="77">
        <v>7.2</v>
      </c>
      <c r="L455" s="77">
        <v>10</v>
      </c>
      <c r="M455" s="77">
        <v>13.5</v>
      </c>
      <c r="N455" s="78">
        <f>1</f>
        <v>1</v>
      </c>
      <c r="O455" s="79">
        <f t="shared" si="36"/>
        <v>3441.6</v>
      </c>
      <c r="P455" s="79">
        <f t="shared" si="37"/>
        <v>4780</v>
      </c>
      <c r="Q455" s="79">
        <f t="shared" si="38"/>
        <v>6453</v>
      </c>
      <c r="R455" s="75" t="str">
        <f t="shared" si="39"/>
        <v>Rs./hr</v>
      </c>
    </row>
    <row r="456" spans="1:18" ht="15" customHeight="1" x14ac:dyDescent="0.3">
      <c r="A456" s="75">
        <v>444</v>
      </c>
      <c r="B456" s="75" t="s">
        <v>1029</v>
      </c>
      <c r="C456" s="75" t="s">
        <v>108</v>
      </c>
      <c r="D456" s="76" t="s">
        <v>991</v>
      </c>
      <c r="E456" s="76" t="s">
        <v>124</v>
      </c>
      <c r="F456" s="75" t="s">
        <v>108</v>
      </c>
      <c r="G456" s="75" t="s">
        <v>111</v>
      </c>
      <c r="H456" s="75" t="s">
        <v>112</v>
      </c>
      <c r="I456" s="76" t="s">
        <v>113</v>
      </c>
      <c r="J456" s="75" t="s">
        <v>114</v>
      </c>
      <c r="K456" s="77">
        <v>7.2</v>
      </c>
      <c r="L456" s="77">
        <v>10</v>
      </c>
      <c r="M456" s="77">
        <v>13.5</v>
      </c>
      <c r="N456" s="78">
        <f>1</f>
        <v>1</v>
      </c>
      <c r="O456" s="79">
        <f t="shared" si="36"/>
        <v>3441.6</v>
      </c>
      <c r="P456" s="79">
        <f t="shared" si="37"/>
        <v>4780</v>
      </c>
      <c r="Q456" s="79">
        <f t="shared" si="38"/>
        <v>6453</v>
      </c>
      <c r="R456" s="75" t="str">
        <f t="shared" si="39"/>
        <v>Rs./hr</v>
      </c>
    </row>
    <row r="457" spans="1:18" ht="15" customHeight="1" x14ac:dyDescent="0.3">
      <c r="A457" s="75">
        <v>445</v>
      </c>
      <c r="B457" s="75" t="s">
        <v>1030</v>
      </c>
      <c r="C457" s="75" t="s">
        <v>108</v>
      </c>
      <c r="D457" s="76" t="s">
        <v>991</v>
      </c>
      <c r="E457" s="76" t="s">
        <v>1027</v>
      </c>
      <c r="F457" s="75">
        <v>2014</v>
      </c>
      <c r="G457" s="75" t="s">
        <v>111</v>
      </c>
      <c r="H457" s="75" t="s">
        <v>112</v>
      </c>
      <c r="I457" s="76" t="s">
        <v>113</v>
      </c>
      <c r="J457" s="75" t="s">
        <v>114</v>
      </c>
      <c r="K457" s="77">
        <v>7.2</v>
      </c>
      <c r="L457" s="77">
        <v>10</v>
      </c>
      <c r="M457" s="77">
        <v>13.5</v>
      </c>
      <c r="N457" s="78">
        <f t="shared" ref="N457:N462" si="41">1+MIN(MAX($D$8-F457,0),$D$10)*$D$9</f>
        <v>1.0840000000000001</v>
      </c>
      <c r="O457" s="79">
        <f t="shared" si="36"/>
        <v>3730.6944000000003</v>
      </c>
      <c r="P457" s="79">
        <f t="shared" si="37"/>
        <v>5181.5199999999995</v>
      </c>
      <c r="Q457" s="79">
        <f t="shared" si="38"/>
        <v>6995.0520000000006</v>
      </c>
      <c r="R457" s="75" t="str">
        <f t="shared" si="39"/>
        <v>Rs./hr</v>
      </c>
    </row>
    <row r="458" spans="1:18" ht="15" customHeight="1" x14ac:dyDescent="0.3">
      <c r="A458" s="75">
        <v>446</v>
      </c>
      <c r="B458" s="75" t="s">
        <v>1031</v>
      </c>
      <c r="C458" s="75" t="s">
        <v>108</v>
      </c>
      <c r="D458" s="76" t="s">
        <v>991</v>
      </c>
      <c r="E458" s="76" t="s">
        <v>1027</v>
      </c>
      <c r="F458" s="75">
        <v>2015</v>
      </c>
      <c r="G458" s="75" t="s">
        <v>111</v>
      </c>
      <c r="H458" s="75" t="s">
        <v>112</v>
      </c>
      <c r="I458" s="76" t="s">
        <v>113</v>
      </c>
      <c r="J458" s="75" t="s">
        <v>114</v>
      </c>
      <c r="K458" s="77">
        <v>7.2</v>
      </c>
      <c r="L458" s="77">
        <v>10</v>
      </c>
      <c r="M458" s="77">
        <v>13.5</v>
      </c>
      <c r="N458" s="78">
        <f t="shared" si="41"/>
        <v>1.077</v>
      </c>
      <c r="O458" s="79">
        <f t="shared" si="36"/>
        <v>3706.6031999999996</v>
      </c>
      <c r="P458" s="79">
        <f t="shared" si="37"/>
        <v>5148.0599999999995</v>
      </c>
      <c r="Q458" s="79">
        <f t="shared" si="38"/>
        <v>6949.8810000000003</v>
      </c>
      <c r="R458" s="75" t="str">
        <f t="shared" si="39"/>
        <v>Rs./hr</v>
      </c>
    </row>
    <row r="459" spans="1:18" ht="15" customHeight="1" x14ac:dyDescent="0.3">
      <c r="A459" s="75">
        <v>447</v>
      </c>
      <c r="B459" s="75" t="s">
        <v>1032</v>
      </c>
      <c r="C459" s="75" t="s">
        <v>108</v>
      </c>
      <c r="D459" s="76" t="s">
        <v>991</v>
      </c>
      <c r="E459" s="76" t="s">
        <v>1023</v>
      </c>
      <c r="F459" s="75">
        <v>2015</v>
      </c>
      <c r="G459" s="75" t="s">
        <v>111</v>
      </c>
      <c r="H459" s="75" t="s">
        <v>112</v>
      </c>
      <c r="I459" s="76" t="s">
        <v>113</v>
      </c>
      <c r="J459" s="75" t="s">
        <v>114</v>
      </c>
      <c r="K459" s="77">
        <v>7.2</v>
      </c>
      <c r="L459" s="77">
        <v>10</v>
      </c>
      <c r="M459" s="77">
        <v>13.5</v>
      </c>
      <c r="N459" s="78">
        <f t="shared" si="41"/>
        <v>1.077</v>
      </c>
      <c r="O459" s="79">
        <f t="shared" si="36"/>
        <v>3706.6031999999996</v>
      </c>
      <c r="P459" s="79">
        <f t="shared" si="37"/>
        <v>5148.0599999999995</v>
      </c>
      <c r="Q459" s="79">
        <f t="shared" si="38"/>
        <v>6949.8810000000003</v>
      </c>
      <c r="R459" s="75" t="str">
        <f t="shared" si="39"/>
        <v>Rs./hr</v>
      </c>
    </row>
    <row r="460" spans="1:18" ht="15" customHeight="1" x14ac:dyDescent="0.3">
      <c r="A460" s="75">
        <v>448</v>
      </c>
      <c r="B460" s="75" t="s">
        <v>1033</v>
      </c>
      <c r="C460" s="75" t="s">
        <v>108</v>
      </c>
      <c r="D460" s="76" t="s">
        <v>991</v>
      </c>
      <c r="E460" s="76" t="s">
        <v>1023</v>
      </c>
      <c r="F460" s="75">
        <v>2016</v>
      </c>
      <c r="G460" s="75" t="s">
        <v>111</v>
      </c>
      <c r="H460" s="75" t="s">
        <v>112</v>
      </c>
      <c r="I460" s="76" t="s">
        <v>113</v>
      </c>
      <c r="J460" s="75" t="s">
        <v>114</v>
      </c>
      <c r="K460" s="77">
        <v>7.2</v>
      </c>
      <c r="L460" s="77">
        <v>10</v>
      </c>
      <c r="M460" s="77">
        <v>13.5</v>
      </c>
      <c r="N460" s="78">
        <f t="shared" si="41"/>
        <v>1.07</v>
      </c>
      <c r="O460" s="79">
        <f t="shared" si="36"/>
        <v>3682.5120000000002</v>
      </c>
      <c r="P460" s="79">
        <f t="shared" si="37"/>
        <v>5114.6000000000004</v>
      </c>
      <c r="Q460" s="79">
        <f t="shared" si="38"/>
        <v>6904.71</v>
      </c>
      <c r="R460" s="75" t="str">
        <f t="shared" si="39"/>
        <v>Rs./hr</v>
      </c>
    </row>
    <row r="461" spans="1:18" ht="15" customHeight="1" x14ac:dyDescent="0.3">
      <c r="A461" s="75">
        <v>449</v>
      </c>
      <c r="B461" s="75" t="s">
        <v>1034</v>
      </c>
      <c r="C461" s="75" t="s">
        <v>108</v>
      </c>
      <c r="D461" s="76" t="s">
        <v>991</v>
      </c>
      <c r="E461" s="76" t="s">
        <v>1027</v>
      </c>
      <c r="F461" s="75">
        <v>2016</v>
      </c>
      <c r="G461" s="75" t="s">
        <v>111</v>
      </c>
      <c r="H461" s="75" t="s">
        <v>112</v>
      </c>
      <c r="I461" s="76" t="s">
        <v>113</v>
      </c>
      <c r="J461" s="75" t="s">
        <v>114</v>
      </c>
      <c r="K461" s="77">
        <v>7.2</v>
      </c>
      <c r="L461" s="77">
        <v>10</v>
      </c>
      <c r="M461" s="77">
        <v>13.5</v>
      </c>
      <c r="N461" s="78">
        <f t="shared" si="41"/>
        <v>1.07</v>
      </c>
      <c r="O461" s="79">
        <f t="shared" ref="O461:O524" si="42">IF(H461="None",0,IF(H461="KM",IF(G461="Petrol",$D$6,$D$5)*N461/K461,K461*N461*IF(G461="Petrol",$D$6,$D$5)))</f>
        <v>3682.5120000000002</v>
      </c>
      <c r="P461" s="79">
        <f t="shared" ref="P461:P524" si="43">IF(H461="None",0,IF(H461="KM",IF(G461="Petrol",$D$6,$D$5)*N461/L461,L461*N461*IF(G461="Petrol",$D$6,$D$5)))</f>
        <v>5114.6000000000004</v>
      </c>
      <c r="Q461" s="79">
        <f t="shared" ref="Q461:Q524" si="44">IF(H461="None",0,IF(H461="KM",IF(G461="Petrol",$D$6,$D$5)*N461/M461,M461*N461*IF(G461="Petrol",$D$6,$D$5)))</f>
        <v>6904.71</v>
      </c>
      <c r="R461" s="75" t="str">
        <f t="shared" ref="R461:R524" si="45">IF(H461="None","—",IF(H461="KM","Rs./km","Rs./hr"))</f>
        <v>Rs./hr</v>
      </c>
    </row>
    <row r="462" spans="1:18" ht="15" customHeight="1" x14ac:dyDescent="0.3">
      <c r="A462" s="75">
        <v>450</v>
      </c>
      <c r="B462" s="75" t="s">
        <v>1035</v>
      </c>
      <c r="C462" s="75" t="s">
        <v>108</v>
      </c>
      <c r="D462" s="76" t="s">
        <v>991</v>
      </c>
      <c r="E462" s="76" t="s">
        <v>1036</v>
      </c>
      <c r="F462" s="75">
        <v>2016</v>
      </c>
      <c r="G462" s="75" t="s">
        <v>111</v>
      </c>
      <c r="H462" s="75" t="s">
        <v>112</v>
      </c>
      <c r="I462" s="76" t="s">
        <v>113</v>
      </c>
      <c r="J462" s="75" t="s">
        <v>114</v>
      </c>
      <c r="K462" s="77">
        <v>7.2</v>
      </c>
      <c r="L462" s="77">
        <v>10</v>
      </c>
      <c r="M462" s="77">
        <v>13.5</v>
      </c>
      <c r="N462" s="78">
        <f t="shared" si="41"/>
        <v>1.07</v>
      </c>
      <c r="O462" s="79">
        <f t="shared" si="42"/>
        <v>3682.5120000000002</v>
      </c>
      <c r="P462" s="79">
        <f t="shared" si="43"/>
        <v>5114.6000000000004</v>
      </c>
      <c r="Q462" s="79">
        <f t="shared" si="44"/>
        <v>6904.71</v>
      </c>
      <c r="R462" s="75" t="str">
        <f t="shared" si="45"/>
        <v>Rs./hr</v>
      </c>
    </row>
    <row r="463" spans="1:18" ht="15" customHeight="1" x14ac:dyDescent="0.3">
      <c r="A463" s="75">
        <v>451</v>
      </c>
      <c r="B463" s="75" t="s">
        <v>1037</v>
      </c>
      <c r="C463" s="75" t="s">
        <v>108</v>
      </c>
      <c r="D463" s="76" t="s">
        <v>991</v>
      </c>
      <c r="E463" s="76" t="s">
        <v>1038</v>
      </c>
      <c r="F463" s="75" t="s">
        <v>108</v>
      </c>
      <c r="G463" s="75" t="s">
        <v>111</v>
      </c>
      <c r="H463" s="75" t="s">
        <v>112</v>
      </c>
      <c r="I463" s="76" t="s">
        <v>113</v>
      </c>
      <c r="J463" s="75" t="s">
        <v>114</v>
      </c>
      <c r="K463" s="77">
        <v>7.2</v>
      </c>
      <c r="L463" s="77">
        <v>10</v>
      </c>
      <c r="M463" s="77">
        <v>13.5</v>
      </c>
      <c r="N463" s="78">
        <f>1</f>
        <v>1</v>
      </c>
      <c r="O463" s="79">
        <f t="shared" si="42"/>
        <v>3441.6</v>
      </c>
      <c r="P463" s="79">
        <f t="shared" si="43"/>
        <v>4780</v>
      </c>
      <c r="Q463" s="79">
        <f t="shared" si="44"/>
        <v>6453</v>
      </c>
      <c r="R463" s="75" t="str">
        <f t="shared" si="45"/>
        <v>Rs./hr</v>
      </c>
    </row>
    <row r="464" spans="1:18" ht="15" customHeight="1" x14ac:dyDescent="0.3">
      <c r="A464" s="75">
        <v>452</v>
      </c>
      <c r="B464" s="75" t="s">
        <v>1039</v>
      </c>
      <c r="C464" s="75" t="s">
        <v>108</v>
      </c>
      <c r="D464" s="76" t="s">
        <v>991</v>
      </c>
      <c r="E464" s="76" t="s">
        <v>124</v>
      </c>
      <c r="F464" s="75" t="s">
        <v>108</v>
      </c>
      <c r="G464" s="75" t="s">
        <v>111</v>
      </c>
      <c r="H464" s="75" t="s">
        <v>112</v>
      </c>
      <c r="I464" s="76" t="s">
        <v>113</v>
      </c>
      <c r="J464" s="75" t="s">
        <v>114</v>
      </c>
      <c r="K464" s="77">
        <v>7.2</v>
      </c>
      <c r="L464" s="77">
        <v>10</v>
      </c>
      <c r="M464" s="77">
        <v>13.5</v>
      </c>
      <c r="N464" s="78">
        <f>1</f>
        <v>1</v>
      </c>
      <c r="O464" s="79">
        <f t="shared" si="42"/>
        <v>3441.6</v>
      </c>
      <c r="P464" s="79">
        <f t="shared" si="43"/>
        <v>4780</v>
      </c>
      <c r="Q464" s="79">
        <f t="shared" si="44"/>
        <v>6453</v>
      </c>
      <c r="R464" s="75" t="str">
        <f t="shared" si="45"/>
        <v>Rs./hr</v>
      </c>
    </row>
    <row r="465" spans="1:18" ht="15" customHeight="1" x14ac:dyDescent="0.3">
      <c r="A465" s="75">
        <v>453</v>
      </c>
      <c r="B465" s="75" t="s">
        <v>1040</v>
      </c>
      <c r="C465" s="75" t="s">
        <v>108</v>
      </c>
      <c r="D465" s="76" t="s">
        <v>991</v>
      </c>
      <c r="E465" s="76" t="s">
        <v>124</v>
      </c>
      <c r="F465" s="75" t="s">
        <v>108</v>
      </c>
      <c r="G465" s="75" t="s">
        <v>111</v>
      </c>
      <c r="H465" s="75" t="s">
        <v>112</v>
      </c>
      <c r="I465" s="76" t="s">
        <v>113</v>
      </c>
      <c r="J465" s="75" t="s">
        <v>114</v>
      </c>
      <c r="K465" s="77">
        <v>7.2</v>
      </c>
      <c r="L465" s="77">
        <v>10</v>
      </c>
      <c r="M465" s="77">
        <v>13.5</v>
      </c>
      <c r="N465" s="78">
        <f>1</f>
        <v>1</v>
      </c>
      <c r="O465" s="79">
        <f t="shared" si="42"/>
        <v>3441.6</v>
      </c>
      <c r="P465" s="79">
        <f t="shared" si="43"/>
        <v>4780</v>
      </c>
      <c r="Q465" s="79">
        <f t="shared" si="44"/>
        <v>6453</v>
      </c>
      <c r="R465" s="75" t="str">
        <f t="shared" si="45"/>
        <v>Rs./hr</v>
      </c>
    </row>
    <row r="466" spans="1:18" ht="15" customHeight="1" x14ac:dyDescent="0.3">
      <c r="A466" s="75">
        <v>454</v>
      </c>
      <c r="B466" s="75" t="s">
        <v>1041</v>
      </c>
      <c r="C466" s="75" t="s">
        <v>108</v>
      </c>
      <c r="D466" s="76" t="s">
        <v>991</v>
      </c>
      <c r="E466" s="76" t="s">
        <v>124</v>
      </c>
      <c r="F466" s="75" t="s">
        <v>108</v>
      </c>
      <c r="G466" s="75" t="s">
        <v>111</v>
      </c>
      <c r="H466" s="75" t="s">
        <v>112</v>
      </c>
      <c r="I466" s="76" t="s">
        <v>113</v>
      </c>
      <c r="J466" s="75" t="s">
        <v>114</v>
      </c>
      <c r="K466" s="77">
        <v>7.2</v>
      </c>
      <c r="L466" s="77">
        <v>10</v>
      </c>
      <c r="M466" s="77">
        <v>13.5</v>
      </c>
      <c r="N466" s="78">
        <f>1</f>
        <v>1</v>
      </c>
      <c r="O466" s="79">
        <f t="shared" si="42"/>
        <v>3441.6</v>
      </c>
      <c r="P466" s="79">
        <f t="shared" si="43"/>
        <v>4780</v>
      </c>
      <c r="Q466" s="79">
        <f t="shared" si="44"/>
        <v>6453</v>
      </c>
      <c r="R466" s="75" t="str">
        <f t="shared" si="45"/>
        <v>Rs./hr</v>
      </c>
    </row>
    <row r="467" spans="1:18" ht="15" customHeight="1" x14ac:dyDescent="0.3">
      <c r="A467" s="75">
        <v>455</v>
      </c>
      <c r="B467" s="75" t="s">
        <v>1042</v>
      </c>
      <c r="C467" s="75" t="s">
        <v>108</v>
      </c>
      <c r="D467" s="76" t="s">
        <v>991</v>
      </c>
      <c r="E467" s="76" t="s">
        <v>1043</v>
      </c>
      <c r="F467" s="75" t="s">
        <v>108</v>
      </c>
      <c r="G467" s="75" t="s">
        <v>111</v>
      </c>
      <c r="H467" s="75" t="s">
        <v>112</v>
      </c>
      <c r="I467" s="76" t="s">
        <v>113</v>
      </c>
      <c r="J467" s="75" t="s">
        <v>114</v>
      </c>
      <c r="K467" s="77">
        <v>7.2</v>
      </c>
      <c r="L467" s="77">
        <v>10</v>
      </c>
      <c r="M467" s="77">
        <v>13.5</v>
      </c>
      <c r="N467" s="78">
        <f>1</f>
        <v>1</v>
      </c>
      <c r="O467" s="79">
        <f t="shared" si="42"/>
        <v>3441.6</v>
      </c>
      <c r="P467" s="79">
        <f t="shared" si="43"/>
        <v>4780</v>
      </c>
      <c r="Q467" s="79">
        <f t="shared" si="44"/>
        <v>6453</v>
      </c>
      <c r="R467" s="75" t="str">
        <f t="shared" si="45"/>
        <v>Rs./hr</v>
      </c>
    </row>
    <row r="468" spans="1:18" ht="15" customHeight="1" x14ac:dyDescent="0.3">
      <c r="A468" s="75">
        <v>456</v>
      </c>
      <c r="B468" s="75" t="s">
        <v>1044</v>
      </c>
      <c r="C468" s="75" t="s">
        <v>108</v>
      </c>
      <c r="D468" s="76" t="s">
        <v>991</v>
      </c>
      <c r="E468" s="76" t="s">
        <v>124</v>
      </c>
      <c r="F468" s="75" t="s">
        <v>108</v>
      </c>
      <c r="G468" s="75" t="s">
        <v>111</v>
      </c>
      <c r="H468" s="75" t="s">
        <v>112</v>
      </c>
      <c r="I468" s="76" t="s">
        <v>113</v>
      </c>
      <c r="J468" s="75" t="s">
        <v>114</v>
      </c>
      <c r="K468" s="77">
        <v>7.2</v>
      </c>
      <c r="L468" s="77">
        <v>10</v>
      </c>
      <c r="M468" s="77">
        <v>13.5</v>
      </c>
      <c r="N468" s="78">
        <f>1</f>
        <v>1</v>
      </c>
      <c r="O468" s="79">
        <f t="shared" si="42"/>
        <v>3441.6</v>
      </c>
      <c r="P468" s="79">
        <f t="shared" si="43"/>
        <v>4780</v>
      </c>
      <c r="Q468" s="79">
        <f t="shared" si="44"/>
        <v>6453</v>
      </c>
      <c r="R468" s="75" t="str">
        <f t="shared" si="45"/>
        <v>Rs./hr</v>
      </c>
    </row>
    <row r="469" spans="1:18" ht="15" customHeight="1" x14ac:dyDescent="0.3">
      <c r="A469" s="75">
        <v>457</v>
      </c>
      <c r="B469" s="75" t="s">
        <v>1045</v>
      </c>
      <c r="C469" s="75" t="s">
        <v>108</v>
      </c>
      <c r="D469" s="76" t="s">
        <v>991</v>
      </c>
      <c r="E469" s="76" t="s">
        <v>124</v>
      </c>
      <c r="F469" s="75" t="s">
        <v>108</v>
      </c>
      <c r="G469" s="75" t="s">
        <v>111</v>
      </c>
      <c r="H469" s="75" t="s">
        <v>112</v>
      </c>
      <c r="I469" s="76" t="s">
        <v>113</v>
      </c>
      <c r="J469" s="75" t="s">
        <v>114</v>
      </c>
      <c r="K469" s="77">
        <v>7.2</v>
      </c>
      <c r="L469" s="77">
        <v>10</v>
      </c>
      <c r="M469" s="77">
        <v>13.5</v>
      </c>
      <c r="N469" s="78">
        <f>1</f>
        <v>1</v>
      </c>
      <c r="O469" s="79">
        <f t="shared" si="42"/>
        <v>3441.6</v>
      </c>
      <c r="P469" s="79">
        <f t="shared" si="43"/>
        <v>4780</v>
      </c>
      <c r="Q469" s="79">
        <f t="shared" si="44"/>
        <v>6453</v>
      </c>
      <c r="R469" s="75" t="str">
        <f t="shared" si="45"/>
        <v>Rs./hr</v>
      </c>
    </row>
    <row r="470" spans="1:18" ht="15" customHeight="1" x14ac:dyDescent="0.3">
      <c r="A470" s="75">
        <v>458</v>
      </c>
      <c r="B470" s="75" t="s">
        <v>1046</v>
      </c>
      <c r="C470" s="75" t="s">
        <v>108</v>
      </c>
      <c r="D470" s="76" t="s">
        <v>991</v>
      </c>
      <c r="E470" s="76" t="s">
        <v>124</v>
      </c>
      <c r="F470" s="75" t="s">
        <v>108</v>
      </c>
      <c r="G470" s="75" t="s">
        <v>111</v>
      </c>
      <c r="H470" s="75" t="s">
        <v>112</v>
      </c>
      <c r="I470" s="76" t="s">
        <v>113</v>
      </c>
      <c r="J470" s="75" t="s">
        <v>114</v>
      </c>
      <c r="K470" s="77">
        <v>7.2</v>
      </c>
      <c r="L470" s="77">
        <v>10</v>
      </c>
      <c r="M470" s="77">
        <v>13.5</v>
      </c>
      <c r="N470" s="78">
        <f>1</f>
        <v>1</v>
      </c>
      <c r="O470" s="79">
        <f t="shared" si="42"/>
        <v>3441.6</v>
      </c>
      <c r="P470" s="79">
        <f t="shared" si="43"/>
        <v>4780</v>
      </c>
      <c r="Q470" s="79">
        <f t="shared" si="44"/>
        <v>6453</v>
      </c>
      <c r="R470" s="75" t="str">
        <f t="shared" si="45"/>
        <v>Rs./hr</v>
      </c>
    </row>
    <row r="471" spans="1:18" ht="15" customHeight="1" x14ac:dyDescent="0.3">
      <c r="A471" s="75">
        <v>459</v>
      </c>
      <c r="B471" s="75" t="s">
        <v>1047</v>
      </c>
      <c r="C471" s="75" t="s">
        <v>108</v>
      </c>
      <c r="D471" s="76" t="s">
        <v>991</v>
      </c>
      <c r="E471" s="76" t="s">
        <v>124</v>
      </c>
      <c r="F471" s="75" t="s">
        <v>108</v>
      </c>
      <c r="G471" s="75" t="s">
        <v>111</v>
      </c>
      <c r="H471" s="75" t="s">
        <v>112</v>
      </c>
      <c r="I471" s="76" t="s">
        <v>113</v>
      </c>
      <c r="J471" s="75" t="s">
        <v>114</v>
      </c>
      <c r="K471" s="77">
        <v>7.2</v>
      </c>
      <c r="L471" s="77">
        <v>10</v>
      </c>
      <c r="M471" s="77">
        <v>13.5</v>
      </c>
      <c r="N471" s="78">
        <f>1</f>
        <v>1</v>
      </c>
      <c r="O471" s="79">
        <f t="shared" si="42"/>
        <v>3441.6</v>
      </c>
      <c r="P471" s="79">
        <f t="shared" si="43"/>
        <v>4780</v>
      </c>
      <c r="Q471" s="79">
        <f t="shared" si="44"/>
        <v>6453</v>
      </c>
      <c r="R471" s="75" t="str">
        <f t="shared" si="45"/>
        <v>Rs./hr</v>
      </c>
    </row>
    <row r="472" spans="1:18" ht="15" customHeight="1" x14ac:dyDescent="0.3">
      <c r="A472" s="75">
        <v>460</v>
      </c>
      <c r="B472" s="75" t="s">
        <v>1048</v>
      </c>
      <c r="C472" s="75" t="s">
        <v>108</v>
      </c>
      <c r="D472" s="76" t="s">
        <v>991</v>
      </c>
      <c r="E472" s="76" t="s">
        <v>124</v>
      </c>
      <c r="F472" s="75" t="s">
        <v>108</v>
      </c>
      <c r="G472" s="75" t="s">
        <v>111</v>
      </c>
      <c r="H472" s="75" t="s">
        <v>112</v>
      </c>
      <c r="I472" s="76" t="s">
        <v>113</v>
      </c>
      <c r="J472" s="75" t="s">
        <v>114</v>
      </c>
      <c r="K472" s="77">
        <v>7.2</v>
      </c>
      <c r="L472" s="77">
        <v>10</v>
      </c>
      <c r="M472" s="77">
        <v>13.5</v>
      </c>
      <c r="N472" s="78">
        <f>1</f>
        <v>1</v>
      </c>
      <c r="O472" s="79">
        <f t="shared" si="42"/>
        <v>3441.6</v>
      </c>
      <c r="P472" s="79">
        <f t="shared" si="43"/>
        <v>4780</v>
      </c>
      <c r="Q472" s="79">
        <f t="shared" si="44"/>
        <v>6453</v>
      </c>
      <c r="R472" s="75" t="str">
        <f t="shared" si="45"/>
        <v>Rs./hr</v>
      </c>
    </row>
    <row r="473" spans="1:18" ht="15" customHeight="1" x14ac:dyDescent="0.3">
      <c r="A473" s="75">
        <v>461</v>
      </c>
      <c r="B473" s="75" t="s">
        <v>1049</v>
      </c>
      <c r="C473" s="75" t="s">
        <v>108</v>
      </c>
      <c r="D473" s="76" t="s">
        <v>991</v>
      </c>
      <c r="E473" s="76" t="s">
        <v>1043</v>
      </c>
      <c r="F473" s="75" t="s">
        <v>108</v>
      </c>
      <c r="G473" s="75" t="s">
        <v>111</v>
      </c>
      <c r="H473" s="75" t="s">
        <v>112</v>
      </c>
      <c r="I473" s="76" t="s">
        <v>113</v>
      </c>
      <c r="J473" s="75" t="s">
        <v>114</v>
      </c>
      <c r="K473" s="77">
        <v>7.2</v>
      </c>
      <c r="L473" s="77">
        <v>10</v>
      </c>
      <c r="M473" s="77">
        <v>13.5</v>
      </c>
      <c r="N473" s="78">
        <f>1</f>
        <v>1</v>
      </c>
      <c r="O473" s="79">
        <f t="shared" si="42"/>
        <v>3441.6</v>
      </c>
      <c r="P473" s="79">
        <f t="shared" si="43"/>
        <v>4780</v>
      </c>
      <c r="Q473" s="79">
        <f t="shared" si="44"/>
        <v>6453</v>
      </c>
      <c r="R473" s="75" t="str">
        <f t="shared" si="45"/>
        <v>Rs./hr</v>
      </c>
    </row>
    <row r="474" spans="1:18" ht="15" customHeight="1" x14ac:dyDescent="0.3">
      <c r="A474" s="75">
        <v>462</v>
      </c>
      <c r="B474" s="75" t="s">
        <v>1050</v>
      </c>
      <c r="C474" s="75" t="s">
        <v>108</v>
      </c>
      <c r="D474" s="76" t="s">
        <v>991</v>
      </c>
      <c r="E474" s="76" t="s">
        <v>1051</v>
      </c>
      <c r="F474" s="75" t="s">
        <v>108</v>
      </c>
      <c r="G474" s="75" t="s">
        <v>111</v>
      </c>
      <c r="H474" s="75" t="s">
        <v>112</v>
      </c>
      <c r="I474" s="76" t="s">
        <v>113</v>
      </c>
      <c r="J474" s="75" t="s">
        <v>114</v>
      </c>
      <c r="K474" s="77">
        <v>7.2</v>
      </c>
      <c r="L474" s="77">
        <v>10</v>
      </c>
      <c r="M474" s="77">
        <v>13.5</v>
      </c>
      <c r="N474" s="78">
        <f>1</f>
        <v>1</v>
      </c>
      <c r="O474" s="79">
        <f t="shared" si="42"/>
        <v>3441.6</v>
      </c>
      <c r="P474" s="79">
        <f t="shared" si="43"/>
        <v>4780</v>
      </c>
      <c r="Q474" s="79">
        <f t="shared" si="44"/>
        <v>6453</v>
      </c>
      <c r="R474" s="75" t="str">
        <f t="shared" si="45"/>
        <v>Rs./hr</v>
      </c>
    </row>
    <row r="475" spans="1:18" ht="15" customHeight="1" x14ac:dyDescent="0.3">
      <c r="A475" s="75">
        <v>463</v>
      </c>
      <c r="B475" s="75" t="s">
        <v>1052</v>
      </c>
      <c r="C475" s="75" t="s">
        <v>108</v>
      </c>
      <c r="D475" s="76" t="s">
        <v>991</v>
      </c>
      <c r="E475" s="76" t="s">
        <v>1053</v>
      </c>
      <c r="F475" s="75" t="s">
        <v>108</v>
      </c>
      <c r="G475" s="75" t="s">
        <v>111</v>
      </c>
      <c r="H475" s="75" t="s">
        <v>112</v>
      </c>
      <c r="I475" s="76" t="s">
        <v>113</v>
      </c>
      <c r="J475" s="75" t="s">
        <v>114</v>
      </c>
      <c r="K475" s="77">
        <v>7.2</v>
      </c>
      <c r="L475" s="77">
        <v>10</v>
      </c>
      <c r="M475" s="77">
        <v>13.5</v>
      </c>
      <c r="N475" s="78">
        <f>1</f>
        <v>1</v>
      </c>
      <c r="O475" s="79">
        <f t="shared" si="42"/>
        <v>3441.6</v>
      </c>
      <c r="P475" s="79">
        <f t="shared" si="43"/>
        <v>4780</v>
      </c>
      <c r="Q475" s="79">
        <f t="shared" si="44"/>
        <v>6453</v>
      </c>
      <c r="R475" s="75" t="str">
        <f t="shared" si="45"/>
        <v>Rs./hr</v>
      </c>
    </row>
    <row r="476" spans="1:18" ht="15" customHeight="1" x14ac:dyDescent="0.3">
      <c r="A476" s="75">
        <v>464</v>
      </c>
      <c r="B476" s="75" t="s">
        <v>1054</v>
      </c>
      <c r="C476" s="75" t="s">
        <v>108</v>
      </c>
      <c r="D476" s="76" t="s">
        <v>991</v>
      </c>
      <c r="E476" s="76" t="s">
        <v>124</v>
      </c>
      <c r="F476" s="75" t="s">
        <v>108</v>
      </c>
      <c r="G476" s="75" t="s">
        <v>111</v>
      </c>
      <c r="H476" s="75" t="s">
        <v>112</v>
      </c>
      <c r="I476" s="76" t="s">
        <v>113</v>
      </c>
      <c r="J476" s="75" t="s">
        <v>114</v>
      </c>
      <c r="K476" s="77">
        <v>7.2</v>
      </c>
      <c r="L476" s="77">
        <v>10</v>
      </c>
      <c r="M476" s="77">
        <v>13.5</v>
      </c>
      <c r="N476" s="78">
        <f>1</f>
        <v>1</v>
      </c>
      <c r="O476" s="79">
        <f t="shared" si="42"/>
        <v>3441.6</v>
      </c>
      <c r="P476" s="79">
        <f t="shared" si="43"/>
        <v>4780</v>
      </c>
      <c r="Q476" s="79">
        <f t="shared" si="44"/>
        <v>6453</v>
      </c>
      <c r="R476" s="75" t="str">
        <f t="shared" si="45"/>
        <v>Rs./hr</v>
      </c>
    </row>
    <row r="477" spans="1:18" ht="15" customHeight="1" x14ac:dyDescent="0.3">
      <c r="A477" s="75">
        <v>465</v>
      </c>
      <c r="B477" s="75" t="s">
        <v>1055</v>
      </c>
      <c r="C477" s="75" t="s">
        <v>108</v>
      </c>
      <c r="D477" s="76" t="s">
        <v>991</v>
      </c>
      <c r="E477" s="76" t="s">
        <v>124</v>
      </c>
      <c r="F477" s="75" t="s">
        <v>108</v>
      </c>
      <c r="G477" s="75" t="s">
        <v>111</v>
      </c>
      <c r="H477" s="75" t="s">
        <v>112</v>
      </c>
      <c r="I477" s="76" t="s">
        <v>113</v>
      </c>
      <c r="J477" s="75" t="s">
        <v>114</v>
      </c>
      <c r="K477" s="77">
        <v>7.2</v>
      </c>
      <c r="L477" s="77">
        <v>10</v>
      </c>
      <c r="M477" s="77">
        <v>13.5</v>
      </c>
      <c r="N477" s="78">
        <f>1</f>
        <v>1</v>
      </c>
      <c r="O477" s="79">
        <f t="shared" si="42"/>
        <v>3441.6</v>
      </c>
      <c r="P477" s="79">
        <f t="shared" si="43"/>
        <v>4780</v>
      </c>
      <c r="Q477" s="79">
        <f t="shared" si="44"/>
        <v>6453</v>
      </c>
      <c r="R477" s="75" t="str">
        <f t="shared" si="45"/>
        <v>Rs./hr</v>
      </c>
    </row>
    <row r="478" spans="1:18" ht="15" customHeight="1" x14ac:dyDescent="0.3">
      <c r="A478" s="75">
        <v>466</v>
      </c>
      <c r="B478" s="75" t="s">
        <v>1056</v>
      </c>
      <c r="C478" s="75" t="s">
        <v>108</v>
      </c>
      <c r="D478" s="76" t="s">
        <v>991</v>
      </c>
      <c r="E478" s="76" t="s">
        <v>124</v>
      </c>
      <c r="F478" s="75" t="s">
        <v>108</v>
      </c>
      <c r="G478" s="75" t="s">
        <v>111</v>
      </c>
      <c r="H478" s="75" t="s">
        <v>112</v>
      </c>
      <c r="I478" s="76" t="s">
        <v>113</v>
      </c>
      <c r="J478" s="75" t="s">
        <v>114</v>
      </c>
      <c r="K478" s="77">
        <v>7.2</v>
      </c>
      <c r="L478" s="77">
        <v>10</v>
      </c>
      <c r="M478" s="77">
        <v>13.5</v>
      </c>
      <c r="N478" s="78">
        <f>1</f>
        <v>1</v>
      </c>
      <c r="O478" s="79">
        <f t="shared" si="42"/>
        <v>3441.6</v>
      </c>
      <c r="P478" s="79">
        <f t="shared" si="43"/>
        <v>4780</v>
      </c>
      <c r="Q478" s="79">
        <f t="shared" si="44"/>
        <v>6453</v>
      </c>
      <c r="R478" s="75" t="str">
        <f t="shared" si="45"/>
        <v>Rs./hr</v>
      </c>
    </row>
    <row r="479" spans="1:18" ht="15" customHeight="1" x14ac:dyDescent="0.3">
      <c r="A479" s="75">
        <v>467</v>
      </c>
      <c r="B479" s="75" t="s">
        <v>1057</v>
      </c>
      <c r="C479" s="75" t="s">
        <v>108</v>
      </c>
      <c r="D479" s="76" t="s">
        <v>991</v>
      </c>
      <c r="E479" s="76" t="s">
        <v>124</v>
      </c>
      <c r="F479" s="75" t="s">
        <v>108</v>
      </c>
      <c r="G479" s="75" t="s">
        <v>111</v>
      </c>
      <c r="H479" s="75" t="s">
        <v>112</v>
      </c>
      <c r="I479" s="76" t="s">
        <v>113</v>
      </c>
      <c r="J479" s="75" t="s">
        <v>114</v>
      </c>
      <c r="K479" s="77">
        <v>7.2</v>
      </c>
      <c r="L479" s="77">
        <v>10</v>
      </c>
      <c r="M479" s="77">
        <v>13.5</v>
      </c>
      <c r="N479" s="78">
        <f>1</f>
        <v>1</v>
      </c>
      <c r="O479" s="79">
        <f t="shared" si="42"/>
        <v>3441.6</v>
      </c>
      <c r="P479" s="79">
        <f t="shared" si="43"/>
        <v>4780</v>
      </c>
      <c r="Q479" s="79">
        <f t="shared" si="44"/>
        <v>6453</v>
      </c>
      <c r="R479" s="75" t="str">
        <f t="shared" si="45"/>
        <v>Rs./hr</v>
      </c>
    </row>
    <row r="480" spans="1:18" ht="15" customHeight="1" x14ac:dyDescent="0.3">
      <c r="A480" s="75">
        <v>468</v>
      </c>
      <c r="B480" s="75" t="s">
        <v>1058</v>
      </c>
      <c r="C480" s="75" t="s">
        <v>108</v>
      </c>
      <c r="D480" s="76" t="s">
        <v>991</v>
      </c>
      <c r="E480" s="76" t="s">
        <v>124</v>
      </c>
      <c r="F480" s="75" t="s">
        <v>108</v>
      </c>
      <c r="G480" s="75" t="s">
        <v>111</v>
      </c>
      <c r="H480" s="75" t="s">
        <v>112</v>
      </c>
      <c r="I480" s="76" t="s">
        <v>113</v>
      </c>
      <c r="J480" s="75" t="s">
        <v>114</v>
      </c>
      <c r="K480" s="77">
        <v>7.2</v>
      </c>
      <c r="L480" s="77">
        <v>10</v>
      </c>
      <c r="M480" s="77">
        <v>13.5</v>
      </c>
      <c r="N480" s="78">
        <f>1</f>
        <v>1</v>
      </c>
      <c r="O480" s="79">
        <f t="shared" si="42"/>
        <v>3441.6</v>
      </c>
      <c r="P480" s="79">
        <f t="shared" si="43"/>
        <v>4780</v>
      </c>
      <c r="Q480" s="79">
        <f t="shared" si="44"/>
        <v>6453</v>
      </c>
      <c r="R480" s="75" t="str">
        <f t="shared" si="45"/>
        <v>Rs./hr</v>
      </c>
    </row>
    <row r="481" spans="1:18" ht="15" customHeight="1" x14ac:dyDescent="0.3">
      <c r="A481" s="75">
        <v>469</v>
      </c>
      <c r="B481" s="75" t="s">
        <v>1059</v>
      </c>
      <c r="C481" s="75" t="s">
        <v>108</v>
      </c>
      <c r="D481" s="76" t="s">
        <v>991</v>
      </c>
      <c r="E481" s="76" t="s">
        <v>124</v>
      </c>
      <c r="F481" s="75" t="s">
        <v>108</v>
      </c>
      <c r="G481" s="75" t="s">
        <v>111</v>
      </c>
      <c r="H481" s="75" t="s">
        <v>112</v>
      </c>
      <c r="I481" s="76" t="s">
        <v>113</v>
      </c>
      <c r="J481" s="75" t="s">
        <v>114</v>
      </c>
      <c r="K481" s="77">
        <v>7.2</v>
      </c>
      <c r="L481" s="77">
        <v>10</v>
      </c>
      <c r="M481" s="77">
        <v>13.5</v>
      </c>
      <c r="N481" s="78">
        <f>1</f>
        <v>1</v>
      </c>
      <c r="O481" s="79">
        <f t="shared" si="42"/>
        <v>3441.6</v>
      </c>
      <c r="P481" s="79">
        <f t="shared" si="43"/>
        <v>4780</v>
      </c>
      <c r="Q481" s="79">
        <f t="shared" si="44"/>
        <v>6453</v>
      </c>
      <c r="R481" s="75" t="str">
        <f t="shared" si="45"/>
        <v>Rs./hr</v>
      </c>
    </row>
    <row r="482" spans="1:18" ht="15" customHeight="1" x14ac:dyDescent="0.3">
      <c r="A482" s="75">
        <v>470</v>
      </c>
      <c r="B482" s="75" t="s">
        <v>1060</v>
      </c>
      <c r="C482" s="75" t="s">
        <v>108</v>
      </c>
      <c r="D482" s="76" t="s">
        <v>991</v>
      </c>
      <c r="E482" s="76" t="s">
        <v>124</v>
      </c>
      <c r="F482" s="75" t="s">
        <v>108</v>
      </c>
      <c r="G482" s="75" t="s">
        <v>111</v>
      </c>
      <c r="H482" s="75" t="s">
        <v>112</v>
      </c>
      <c r="I482" s="76" t="s">
        <v>113</v>
      </c>
      <c r="J482" s="75" t="s">
        <v>114</v>
      </c>
      <c r="K482" s="77">
        <v>7.2</v>
      </c>
      <c r="L482" s="77">
        <v>10</v>
      </c>
      <c r="M482" s="77">
        <v>13.5</v>
      </c>
      <c r="N482" s="78">
        <f>1</f>
        <v>1</v>
      </c>
      <c r="O482" s="79">
        <f t="shared" si="42"/>
        <v>3441.6</v>
      </c>
      <c r="P482" s="79">
        <f t="shared" si="43"/>
        <v>4780</v>
      </c>
      <c r="Q482" s="79">
        <f t="shared" si="44"/>
        <v>6453</v>
      </c>
      <c r="R482" s="75" t="str">
        <f t="shared" si="45"/>
        <v>Rs./hr</v>
      </c>
    </row>
    <row r="483" spans="1:18" ht="15" customHeight="1" x14ac:dyDescent="0.3">
      <c r="A483" s="75">
        <v>471</v>
      </c>
      <c r="B483" s="75" t="s">
        <v>1061</v>
      </c>
      <c r="C483" s="75" t="s">
        <v>108</v>
      </c>
      <c r="D483" s="76" t="s">
        <v>991</v>
      </c>
      <c r="E483" s="76" t="s">
        <v>124</v>
      </c>
      <c r="F483" s="75" t="s">
        <v>108</v>
      </c>
      <c r="G483" s="75" t="s">
        <v>111</v>
      </c>
      <c r="H483" s="75" t="s">
        <v>112</v>
      </c>
      <c r="I483" s="76" t="s">
        <v>113</v>
      </c>
      <c r="J483" s="75" t="s">
        <v>114</v>
      </c>
      <c r="K483" s="77">
        <v>7.2</v>
      </c>
      <c r="L483" s="77">
        <v>10</v>
      </c>
      <c r="M483" s="77">
        <v>13.5</v>
      </c>
      <c r="N483" s="78">
        <f>1</f>
        <v>1</v>
      </c>
      <c r="O483" s="79">
        <f t="shared" si="42"/>
        <v>3441.6</v>
      </c>
      <c r="P483" s="79">
        <f t="shared" si="43"/>
        <v>4780</v>
      </c>
      <c r="Q483" s="79">
        <f t="shared" si="44"/>
        <v>6453</v>
      </c>
      <c r="R483" s="75" t="str">
        <f t="shared" si="45"/>
        <v>Rs./hr</v>
      </c>
    </row>
    <row r="484" spans="1:18" ht="15" customHeight="1" x14ac:dyDescent="0.3">
      <c r="A484" s="75">
        <v>472</v>
      </c>
      <c r="B484" s="75" t="s">
        <v>1062</v>
      </c>
      <c r="C484" s="75" t="s">
        <v>108</v>
      </c>
      <c r="D484" s="76" t="s">
        <v>991</v>
      </c>
      <c r="E484" s="76" t="s">
        <v>124</v>
      </c>
      <c r="F484" s="75" t="s">
        <v>108</v>
      </c>
      <c r="G484" s="75" t="s">
        <v>111</v>
      </c>
      <c r="H484" s="75" t="s">
        <v>112</v>
      </c>
      <c r="I484" s="76" t="s">
        <v>113</v>
      </c>
      <c r="J484" s="75" t="s">
        <v>114</v>
      </c>
      <c r="K484" s="77">
        <v>7.2</v>
      </c>
      <c r="L484" s="77">
        <v>10</v>
      </c>
      <c r="M484" s="77">
        <v>13.5</v>
      </c>
      <c r="N484" s="78">
        <f>1</f>
        <v>1</v>
      </c>
      <c r="O484" s="79">
        <f t="shared" si="42"/>
        <v>3441.6</v>
      </c>
      <c r="P484" s="79">
        <f t="shared" si="43"/>
        <v>4780</v>
      </c>
      <c r="Q484" s="79">
        <f t="shared" si="44"/>
        <v>6453</v>
      </c>
      <c r="R484" s="75" t="str">
        <f t="shared" si="45"/>
        <v>Rs./hr</v>
      </c>
    </row>
    <row r="485" spans="1:18" ht="15" customHeight="1" x14ac:dyDescent="0.3">
      <c r="A485" s="75">
        <v>473</v>
      </c>
      <c r="B485" s="75" t="s">
        <v>1063</v>
      </c>
      <c r="C485" s="75" t="s">
        <v>108</v>
      </c>
      <c r="D485" s="76" t="s">
        <v>991</v>
      </c>
      <c r="E485" s="76" t="s">
        <v>124</v>
      </c>
      <c r="F485" s="75" t="s">
        <v>108</v>
      </c>
      <c r="G485" s="75" t="s">
        <v>111</v>
      </c>
      <c r="H485" s="75" t="s">
        <v>112</v>
      </c>
      <c r="I485" s="76" t="s">
        <v>113</v>
      </c>
      <c r="J485" s="75" t="s">
        <v>114</v>
      </c>
      <c r="K485" s="77">
        <v>7.2</v>
      </c>
      <c r="L485" s="77">
        <v>10</v>
      </c>
      <c r="M485" s="77">
        <v>13.5</v>
      </c>
      <c r="N485" s="78">
        <f>1</f>
        <v>1</v>
      </c>
      <c r="O485" s="79">
        <f t="shared" si="42"/>
        <v>3441.6</v>
      </c>
      <c r="P485" s="79">
        <f t="shared" si="43"/>
        <v>4780</v>
      </c>
      <c r="Q485" s="79">
        <f t="shared" si="44"/>
        <v>6453</v>
      </c>
      <c r="R485" s="75" t="str">
        <f t="shared" si="45"/>
        <v>Rs./hr</v>
      </c>
    </row>
    <row r="486" spans="1:18" ht="15" customHeight="1" x14ac:dyDescent="0.3">
      <c r="A486" s="75">
        <v>474</v>
      </c>
      <c r="B486" s="75" t="s">
        <v>1064</v>
      </c>
      <c r="C486" s="75" t="s">
        <v>108</v>
      </c>
      <c r="D486" s="76" t="s">
        <v>991</v>
      </c>
      <c r="E486" s="76" t="s">
        <v>1065</v>
      </c>
      <c r="F486" s="75" t="s">
        <v>108</v>
      </c>
      <c r="G486" s="75" t="s">
        <v>111</v>
      </c>
      <c r="H486" s="75" t="s">
        <v>112</v>
      </c>
      <c r="I486" s="76" t="s">
        <v>113</v>
      </c>
      <c r="J486" s="75" t="s">
        <v>114</v>
      </c>
      <c r="K486" s="77">
        <v>7.2</v>
      </c>
      <c r="L486" s="77">
        <v>10</v>
      </c>
      <c r="M486" s="77">
        <v>13.5</v>
      </c>
      <c r="N486" s="78">
        <f>1</f>
        <v>1</v>
      </c>
      <c r="O486" s="79">
        <f t="shared" si="42"/>
        <v>3441.6</v>
      </c>
      <c r="P486" s="79">
        <f t="shared" si="43"/>
        <v>4780</v>
      </c>
      <c r="Q486" s="79">
        <f t="shared" si="44"/>
        <v>6453</v>
      </c>
      <c r="R486" s="75" t="str">
        <f t="shared" si="45"/>
        <v>Rs./hr</v>
      </c>
    </row>
    <row r="487" spans="1:18" ht="15" customHeight="1" x14ac:dyDescent="0.3">
      <c r="A487" s="75">
        <v>475</v>
      </c>
      <c r="B487" s="75" t="s">
        <v>1066</v>
      </c>
      <c r="C487" s="75" t="s">
        <v>108</v>
      </c>
      <c r="D487" s="76" t="s">
        <v>991</v>
      </c>
      <c r="E487" s="76" t="s">
        <v>1065</v>
      </c>
      <c r="F487" s="75" t="s">
        <v>108</v>
      </c>
      <c r="G487" s="75" t="s">
        <v>111</v>
      </c>
      <c r="H487" s="75" t="s">
        <v>112</v>
      </c>
      <c r="I487" s="76" t="s">
        <v>113</v>
      </c>
      <c r="J487" s="75" t="s">
        <v>114</v>
      </c>
      <c r="K487" s="77">
        <v>7.2</v>
      </c>
      <c r="L487" s="77">
        <v>10</v>
      </c>
      <c r="M487" s="77">
        <v>13.5</v>
      </c>
      <c r="N487" s="78">
        <f>1</f>
        <v>1</v>
      </c>
      <c r="O487" s="79">
        <f t="shared" si="42"/>
        <v>3441.6</v>
      </c>
      <c r="P487" s="79">
        <f t="shared" si="43"/>
        <v>4780</v>
      </c>
      <c r="Q487" s="79">
        <f t="shared" si="44"/>
        <v>6453</v>
      </c>
      <c r="R487" s="75" t="str">
        <f t="shared" si="45"/>
        <v>Rs./hr</v>
      </c>
    </row>
    <row r="488" spans="1:18" ht="15" customHeight="1" x14ac:dyDescent="0.3">
      <c r="A488" s="75">
        <v>476</v>
      </c>
      <c r="B488" s="75" t="s">
        <v>1067</v>
      </c>
      <c r="C488" s="75" t="s">
        <v>108</v>
      </c>
      <c r="D488" s="76" t="s">
        <v>991</v>
      </c>
      <c r="E488" s="76" t="s">
        <v>1065</v>
      </c>
      <c r="F488" s="75" t="s">
        <v>108</v>
      </c>
      <c r="G488" s="75" t="s">
        <v>111</v>
      </c>
      <c r="H488" s="75" t="s">
        <v>112</v>
      </c>
      <c r="I488" s="76" t="s">
        <v>113</v>
      </c>
      <c r="J488" s="75" t="s">
        <v>114</v>
      </c>
      <c r="K488" s="77">
        <v>7.2</v>
      </c>
      <c r="L488" s="77">
        <v>10</v>
      </c>
      <c r="M488" s="77">
        <v>13.5</v>
      </c>
      <c r="N488" s="78">
        <f>1</f>
        <v>1</v>
      </c>
      <c r="O488" s="79">
        <f t="shared" si="42"/>
        <v>3441.6</v>
      </c>
      <c r="P488" s="79">
        <f t="shared" si="43"/>
        <v>4780</v>
      </c>
      <c r="Q488" s="79">
        <f t="shared" si="44"/>
        <v>6453</v>
      </c>
      <c r="R488" s="75" t="str">
        <f t="shared" si="45"/>
        <v>Rs./hr</v>
      </c>
    </row>
    <row r="489" spans="1:18" ht="15" customHeight="1" x14ac:dyDescent="0.3">
      <c r="A489" s="75">
        <v>477</v>
      </c>
      <c r="B489" s="75" t="s">
        <v>1068</v>
      </c>
      <c r="C489" s="75" t="s">
        <v>108</v>
      </c>
      <c r="D489" s="76" t="s">
        <v>991</v>
      </c>
      <c r="E489" s="76" t="s">
        <v>1065</v>
      </c>
      <c r="F489" s="75" t="s">
        <v>108</v>
      </c>
      <c r="G489" s="75" t="s">
        <v>111</v>
      </c>
      <c r="H489" s="75" t="s">
        <v>112</v>
      </c>
      <c r="I489" s="76" t="s">
        <v>113</v>
      </c>
      <c r="J489" s="75" t="s">
        <v>114</v>
      </c>
      <c r="K489" s="77">
        <v>7.2</v>
      </c>
      <c r="L489" s="77">
        <v>10</v>
      </c>
      <c r="M489" s="77">
        <v>13.5</v>
      </c>
      <c r="N489" s="78">
        <f>1</f>
        <v>1</v>
      </c>
      <c r="O489" s="79">
        <f t="shared" si="42"/>
        <v>3441.6</v>
      </c>
      <c r="P489" s="79">
        <f t="shared" si="43"/>
        <v>4780</v>
      </c>
      <c r="Q489" s="79">
        <f t="shared" si="44"/>
        <v>6453</v>
      </c>
      <c r="R489" s="75" t="str">
        <f t="shared" si="45"/>
        <v>Rs./hr</v>
      </c>
    </row>
    <row r="490" spans="1:18" ht="15" customHeight="1" x14ac:dyDescent="0.3">
      <c r="A490" s="75">
        <v>478</v>
      </c>
      <c r="B490" s="75" t="s">
        <v>1069</v>
      </c>
      <c r="C490" s="75" t="s">
        <v>108</v>
      </c>
      <c r="D490" s="76" t="s">
        <v>991</v>
      </c>
      <c r="E490" s="76" t="s">
        <v>1065</v>
      </c>
      <c r="F490" s="75" t="s">
        <v>108</v>
      </c>
      <c r="G490" s="75" t="s">
        <v>111</v>
      </c>
      <c r="H490" s="75" t="s">
        <v>112</v>
      </c>
      <c r="I490" s="76" t="s">
        <v>113</v>
      </c>
      <c r="J490" s="75" t="s">
        <v>114</v>
      </c>
      <c r="K490" s="77">
        <v>7.2</v>
      </c>
      <c r="L490" s="77">
        <v>10</v>
      </c>
      <c r="M490" s="77">
        <v>13.5</v>
      </c>
      <c r="N490" s="78">
        <f>1</f>
        <v>1</v>
      </c>
      <c r="O490" s="79">
        <f t="shared" si="42"/>
        <v>3441.6</v>
      </c>
      <c r="P490" s="79">
        <f t="shared" si="43"/>
        <v>4780</v>
      </c>
      <c r="Q490" s="79">
        <f t="shared" si="44"/>
        <v>6453</v>
      </c>
      <c r="R490" s="75" t="str">
        <f t="shared" si="45"/>
        <v>Rs./hr</v>
      </c>
    </row>
    <row r="491" spans="1:18" ht="15" customHeight="1" x14ac:dyDescent="0.3">
      <c r="A491" s="75">
        <v>479</v>
      </c>
      <c r="B491" s="75" t="s">
        <v>1070</v>
      </c>
      <c r="C491" s="75" t="s">
        <v>108</v>
      </c>
      <c r="D491" s="76" t="s">
        <v>991</v>
      </c>
      <c r="E491" s="76" t="s">
        <v>1065</v>
      </c>
      <c r="F491" s="75" t="s">
        <v>108</v>
      </c>
      <c r="G491" s="75" t="s">
        <v>111</v>
      </c>
      <c r="H491" s="75" t="s">
        <v>112</v>
      </c>
      <c r="I491" s="76" t="s">
        <v>113</v>
      </c>
      <c r="J491" s="75" t="s">
        <v>114</v>
      </c>
      <c r="K491" s="77">
        <v>7.2</v>
      </c>
      <c r="L491" s="77">
        <v>10</v>
      </c>
      <c r="M491" s="77">
        <v>13.5</v>
      </c>
      <c r="N491" s="78">
        <f>1</f>
        <v>1</v>
      </c>
      <c r="O491" s="79">
        <f t="shared" si="42"/>
        <v>3441.6</v>
      </c>
      <c r="P491" s="79">
        <f t="shared" si="43"/>
        <v>4780</v>
      </c>
      <c r="Q491" s="79">
        <f t="shared" si="44"/>
        <v>6453</v>
      </c>
      <c r="R491" s="75" t="str">
        <f t="shared" si="45"/>
        <v>Rs./hr</v>
      </c>
    </row>
    <row r="492" spans="1:18" ht="15" customHeight="1" x14ac:dyDescent="0.3">
      <c r="A492" s="75">
        <v>480</v>
      </c>
      <c r="B492" s="75" t="s">
        <v>1071</v>
      </c>
      <c r="C492" s="75" t="s">
        <v>108</v>
      </c>
      <c r="D492" s="76" t="s">
        <v>991</v>
      </c>
      <c r="E492" s="76" t="s">
        <v>1065</v>
      </c>
      <c r="F492" s="75" t="s">
        <v>108</v>
      </c>
      <c r="G492" s="75" t="s">
        <v>111</v>
      </c>
      <c r="H492" s="75" t="s">
        <v>112</v>
      </c>
      <c r="I492" s="76" t="s">
        <v>113</v>
      </c>
      <c r="J492" s="75" t="s">
        <v>114</v>
      </c>
      <c r="K492" s="77">
        <v>7.2</v>
      </c>
      <c r="L492" s="77">
        <v>10</v>
      </c>
      <c r="M492" s="77">
        <v>13.5</v>
      </c>
      <c r="N492" s="78">
        <f>1</f>
        <v>1</v>
      </c>
      <c r="O492" s="79">
        <f t="shared" si="42"/>
        <v>3441.6</v>
      </c>
      <c r="P492" s="79">
        <f t="shared" si="43"/>
        <v>4780</v>
      </c>
      <c r="Q492" s="79">
        <f t="shared" si="44"/>
        <v>6453</v>
      </c>
      <c r="R492" s="75" t="str">
        <f t="shared" si="45"/>
        <v>Rs./hr</v>
      </c>
    </row>
    <row r="493" spans="1:18" ht="15" customHeight="1" x14ac:dyDescent="0.3">
      <c r="A493" s="75">
        <v>481</v>
      </c>
      <c r="B493" s="75" t="s">
        <v>1072</v>
      </c>
      <c r="C493" s="75" t="s">
        <v>108</v>
      </c>
      <c r="D493" s="76" t="s">
        <v>991</v>
      </c>
      <c r="E493" s="76" t="s">
        <v>1065</v>
      </c>
      <c r="F493" s="75" t="s">
        <v>108</v>
      </c>
      <c r="G493" s="75" t="s">
        <v>111</v>
      </c>
      <c r="H493" s="75" t="s">
        <v>112</v>
      </c>
      <c r="I493" s="76" t="s">
        <v>113</v>
      </c>
      <c r="J493" s="75" t="s">
        <v>114</v>
      </c>
      <c r="K493" s="77">
        <v>7.2</v>
      </c>
      <c r="L493" s="77">
        <v>10</v>
      </c>
      <c r="M493" s="77">
        <v>13.5</v>
      </c>
      <c r="N493" s="78">
        <f>1</f>
        <v>1</v>
      </c>
      <c r="O493" s="79">
        <f t="shared" si="42"/>
        <v>3441.6</v>
      </c>
      <c r="P493" s="79">
        <f t="shared" si="43"/>
        <v>4780</v>
      </c>
      <c r="Q493" s="79">
        <f t="shared" si="44"/>
        <v>6453</v>
      </c>
      <c r="R493" s="75" t="str">
        <f t="shared" si="45"/>
        <v>Rs./hr</v>
      </c>
    </row>
    <row r="494" spans="1:18" ht="15" customHeight="1" x14ac:dyDescent="0.3">
      <c r="A494" s="75">
        <v>482</v>
      </c>
      <c r="B494" s="75" t="s">
        <v>1073</v>
      </c>
      <c r="C494" s="75" t="s">
        <v>108</v>
      </c>
      <c r="D494" s="76" t="s">
        <v>991</v>
      </c>
      <c r="E494" s="76" t="s">
        <v>1065</v>
      </c>
      <c r="F494" s="75" t="s">
        <v>108</v>
      </c>
      <c r="G494" s="75" t="s">
        <v>111</v>
      </c>
      <c r="H494" s="75" t="s">
        <v>112</v>
      </c>
      <c r="I494" s="76" t="s">
        <v>113</v>
      </c>
      <c r="J494" s="75" t="s">
        <v>114</v>
      </c>
      <c r="K494" s="77">
        <v>7.2</v>
      </c>
      <c r="L494" s="77">
        <v>10</v>
      </c>
      <c r="M494" s="77">
        <v>13.5</v>
      </c>
      <c r="N494" s="78">
        <f>1</f>
        <v>1</v>
      </c>
      <c r="O494" s="79">
        <f t="shared" si="42"/>
        <v>3441.6</v>
      </c>
      <c r="P494" s="79">
        <f t="shared" si="43"/>
        <v>4780</v>
      </c>
      <c r="Q494" s="79">
        <f t="shared" si="44"/>
        <v>6453</v>
      </c>
      <c r="R494" s="75" t="str">
        <f t="shared" si="45"/>
        <v>Rs./hr</v>
      </c>
    </row>
    <row r="495" spans="1:18" ht="15" customHeight="1" x14ac:dyDescent="0.3">
      <c r="A495" s="75">
        <v>483</v>
      </c>
      <c r="B495" s="75" t="s">
        <v>33</v>
      </c>
      <c r="C495" s="75" t="s">
        <v>108</v>
      </c>
      <c r="D495" s="76" t="s">
        <v>991</v>
      </c>
      <c r="E495" s="76" t="s">
        <v>1065</v>
      </c>
      <c r="F495" s="75" t="s">
        <v>108</v>
      </c>
      <c r="G495" s="75" t="s">
        <v>111</v>
      </c>
      <c r="H495" s="75" t="s">
        <v>112</v>
      </c>
      <c r="I495" s="76" t="s">
        <v>113</v>
      </c>
      <c r="J495" s="75" t="s">
        <v>114</v>
      </c>
      <c r="K495" s="77">
        <v>7.2</v>
      </c>
      <c r="L495" s="77">
        <v>10</v>
      </c>
      <c r="M495" s="77">
        <v>13.5</v>
      </c>
      <c r="N495" s="78">
        <f>1</f>
        <v>1</v>
      </c>
      <c r="O495" s="79">
        <f t="shared" si="42"/>
        <v>3441.6</v>
      </c>
      <c r="P495" s="79">
        <f t="shared" si="43"/>
        <v>4780</v>
      </c>
      <c r="Q495" s="79">
        <f t="shared" si="44"/>
        <v>6453</v>
      </c>
      <c r="R495" s="75" t="str">
        <f t="shared" si="45"/>
        <v>Rs./hr</v>
      </c>
    </row>
    <row r="496" spans="1:18" ht="15" customHeight="1" x14ac:dyDescent="0.3">
      <c r="A496" s="75">
        <v>484</v>
      </c>
      <c r="B496" s="75" t="s">
        <v>1074</v>
      </c>
      <c r="C496" s="75" t="s">
        <v>108</v>
      </c>
      <c r="D496" s="76" t="s">
        <v>991</v>
      </c>
      <c r="E496" s="76" t="s">
        <v>1065</v>
      </c>
      <c r="F496" s="75" t="s">
        <v>108</v>
      </c>
      <c r="G496" s="75" t="s">
        <v>111</v>
      </c>
      <c r="H496" s="75" t="s">
        <v>112</v>
      </c>
      <c r="I496" s="76" t="s">
        <v>113</v>
      </c>
      <c r="J496" s="75" t="s">
        <v>114</v>
      </c>
      <c r="K496" s="77">
        <v>7.2</v>
      </c>
      <c r="L496" s="77">
        <v>10</v>
      </c>
      <c r="M496" s="77">
        <v>13.5</v>
      </c>
      <c r="N496" s="78">
        <f>1</f>
        <v>1</v>
      </c>
      <c r="O496" s="79">
        <f t="shared" si="42"/>
        <v>3441.6</v>
      </c>
      <c r="P496" s="79">
        <f t="shared" si="43"/>
        <v>4780</v>
      </c>
      <c r="Q496" s="79">
        <f t="shared" si="44"/>
        <v>6453</v>
      </c>
      <c r="R496" s="75" t="str">
        <f t="shared" si="45"/>
        <v>Rs./hr</v>
      </c>
    </row>
    <row r="497" spans="1:18" ht="15" customHeight="1" x14ac:dyDescent="0.3">
      <c r="A497" s="75">
        <v>485</v>
      </c>
      <c r="B497" s="75" t="s">
        <v>1075</v>
      </c>
      <c r="C497" s="75" t="s">
        <v>108</v>
      </c>
      <c r="D497" s="76" t="s">
        <v>991</v>
      </c>
      <c r="E497" s="76" t="s">
        <v>1002</v>
      </c>
      <c r="F497" s="75" t="s">
        <v>108</v>
      </c>
      <c r="G497" s="75" t="s">
        <v>111</v>
      </c>
      <c r="H497" s="75" t="s">
        <v>112</v>
      </c>
      <c r="I497" s="76" t="s">
        <v>113</v>
      </c>
      <c r="J497" s="75" t="s">
        <v>114</v>
      </c>
      <c r="K497" s="77">
        <v>7.2</v>
      </c>
      <c r="L497" s="77">
        <v>10</v>
      </c>
      <c r="M497" s="77">
        <v>13.5</v>
      </c>
      <c r="N497" s="78">
        <f>1</f>
        <v>1</v>
      </c>
      <c r="O497" s="79">
        <f t="shared" si="42"/>
        <v>3441.6</v>
      </c>
      <c r="P497" s="79">
        <f t="shared" si="43"/>
        <v>4780</v>
      </c>
      <c r="Q497" s="79">
        <f t="shared" si="44"/>
        <v>6453</v>
      </c>
      <c r="R497" s="75" t="str">
        <f t="shared" si="45"/>
        <v>Rs./hr</v>
      </c>
    </row>
    <row r="498" spans="1:18" ht="15" customHeight="1" x14ac:dyDescent="0.3">
      <c r="A498" s="75">
        <v>486</v>
      </c>
      <c r="B498" s="75" t="s">
        <v>1076</v>
      </c>
      <c r="C498" s="75" t="s">
        <v>108</v>
      </c>
      <c r="D498" s="76" t="s">
        <v>991</v>
      </c>
      <c r="E498" s="76" t="s">
        <v>1043</v>
      </c>
      <c r="F498" s="75" t="s">
        <v>108</v>
      </c>
      <c r="G498" s="75" t="s">
        <v>111</v>
      </c>
      <c r="H498" s="75" t="s">
        <v>112</v>
      </c>
      <c r="I498" s="76" t="s">
        <v>113</v>
      </c>
      <c r="J498" s="75" t="s">
        <v>114</v>
      </c>
      <c r="K498" s="77">
        <v>7.2</v>
      </c>
      <c r="L498" s="77">
        <v>10</v>
      </c>
      <c r="M498" s="77">
        <v>13.5</v>
      </c>
      <c r="N498" s="78">
        <f>1</f>
        <v>1</v>
      </c>
      <c r="O498" s="79">
        <f t="shared" si="42"/>
        <v>3441.6</v>
      </c>
      <c r="P498" s="79">
        <f t="shared" si="43"/>
        <v>4780</v>
      </c>
      <c r="Q498" s="79">
        <f t="shared" si="44"/>
        <v>6453</v>
      </c>
      <c r="R498" s="75" t="str">
        <f t="shared" si="45"/>
        <v>Rs./hr</v>
      </c>
    </row>
    <row r="499" spans="1:18" ht="15" customHeight="1" x14ac:dyDescent="0.3">
      <c r="A499" s="75">
        <v>487</v>
      </c>
      <c r="B499" s="75" t="s">
        <v>1077</v>
      </c>
      <c r="C499" s="75" t="s">
        <v>108</v>
      </c>
      <c r="D499" s="76" t="s">
        <v>991</v>
      </c>
      <c r="E499" s="76" t="s">
        <v>1036</v>
      </c>
      <c r="F499" s="75">
        <v>2016</v>
      </c>
      <c r="G499" s="75" t="s">
        <v>111</v>
      </c>
      <c r="H499" s="75" t="s">
        <v>112</v>
      </c>
      <c r="I499" s="76" t="s">
        <v>113</v>
      </c>
      <c r="J499" s="75" t="s">
        <v>114</v>
      </c>
      <c r="K499" s="77">
        <v>7.2</v>
      </c>
      <c r="L499" s="77">
        <v>10</v>
      </c>
      <c r="M499" s="77">
        <v>13.5</v>
      </c>
      <c r="N499" s="78">
        <f>1+MIN(MAX($D$8-F499,0),$D$10)*$D$9</f>
        <v>1.07</v>
      </c>
      <c r="O499" s="79">
        <f t="shared" si="42"/>
        <v>3682.5120000000002</v>
      </c>
      <c r="P499" s="79">
        <f t="shared" si="43"/>
        <v>5114.6000000000004</v>
      </c>
      <c r="Q499" s="79">
        <f t="shared" si="44"/>
        <v>6904.71</v>
      </c>
      <c r="R499" s="75" t="str">
        <f t="shared" si="45"/>
        <v>Rs./hr</v>
      </c>
    </row>
    <row r="500" spans="1:18" ht="15" customHeight="1" x14ac:dyDescent="0.3">
      <c r="A500" s="75">
        <v>488</v>
      </c>
      <c r="B500" s="75" t="s">
        <v>1078</v>
      </c>
      <c r="C500" s="75" t="s">
        <v>108</v>
      </c>
      <c r="D500" s="76" t="s">
        <v>991</v>
      </c>
      <c r="E500" s="76" t="s">
        <v>1006</v>
      </c>
      <c r="F500" s="75">
        <v>2013</v>
      </c>
      <c r="G500" s="75" t="s">
        <v>111</v>
      </c>
      <c r="H500" s="75" t="s">
        <v>112</v>
      </c>
      <c r="I500" s="76" t="s">
        <v>113</v>
      </c>
      <c r="J500" s="75" t="s">
        <v>114</v>
      </c>
      <c r="K500" s="77">
        <v>7.2</v>
      </c>
      <c r="L500" s="77">
        <v>10</v>
      </c>
      <c r="M500" s="77">
        <v>13.5</v>
      </c>
      <c r="N500" s="78">
        <f>1+MIN(MAX($D$8-F500,0),$D$10)*$D$9</f>
        <v>1.091</v>
      </c>
      <c r="O500" s="79">
        <f t="shared" si="42"/>
        <v>3754.7856000000002</v>
      </c>
      <c r="P500" s="79">
        <f t="shared" si="43"/>
        <v>5214.9800000000005</v>
      </c>
      <c r="Q500" s="79">
        <f t="shared" si="44"/>
        <v>7040.223</v>
      </c>
      <c r="R500" s="75" t="str">
        <f t="shared" si="45"/>
        <v>Rs./hr</v>
      </c>
    </row>
    <row r="501" spans="1:18" ht="15" customHeight="1" x14ac:dyDescent="0.3">
      <c r="A501" s="75">
        <v>489</v>
      </c>
      <c r="B501" s="75" t="s">
        <v>1079</v>
      </c>
      <c r="C501" s="75" t="s">
        <v>108</v>
      </c>
      <c r="D501" s="76" t="s">
        <v>991</v>
      </c>
      <c r="E501" s="76" t="s">
        <v>1027</v>
      </c>
      <c r="F501" s="75">
        <v>2013</v>
      </c>
      <c r="G501" s="75" t="s">
        <v>111</v>
      </c>
      <c r="H501" s="75" t="s">
        <v>112</v>
      </c>
      <c r="I501" s="76" t="s">
        <v>113</v>
      </c>
      <c r="J501" s="75" t="s">
        <v>114</v>
      </c>
      <c r="K501" s="77">
        <v>7.2</v>
      </c>
      <c r="L501" s="77">
        <v>10</v>
      </c>
      <c r="M501" s="77">
        <v>13.5</v>
      </c>
      <c r="N501" s="78">
        <f>1+MIN(MAX($D$8-F501,0),$D$10)*$D$9</f>
        <v>1.091</v>
      </c>
      <c r="O501" s="79">
        <f t="shared" si="42"/>
        <v>3754.7856000000002</v>
      </c>
      <c r="P501" s="79">
        <f t="shared" si="43"/>
        <v>5214.9800000000005</v>
      </c>
      <c r="Q501" s="79">
        <f t="shared" si="44"/>
        <v>7040.223</v>
      </c>
      <c r="R501" s="75" t="str">
        <f t="shared" si="45"/>
        <v>Rs./hr</v>
      </c>
    </row>
    <row r="502" spans="1:18" ht="15" customHeight="1" x14ac:dyDescent="0.3">
      <c r="A502" s="75">
        <v>490</v>
      </c>
      <c r="B502" s="75" t="s">
        <v>108</v>
      </c>
      <c r="C502" s="75" t="s">
        <v>108</v>
      </c>
      <c r="D502" s="76" t="s">
        <v>991</v>
      </c>
      <c r="E502" s="76" t="s">
        <v>1021</v>
      </c>
      <c r="F502" s="75" t="s">
        <v>108</v>
      </c>
      <c r="G502" s="75" t="s">
        <v>111</v>
      </c>
      <c r="H502" s="75" t="s">
        <v>112</v>
      </c>
      <c r="I502" s="76" t="s">
        <v>113</v>
      </c>
      <c r="J502" s="75" t="s">
        <v>114</v>
      </c>
      <c r="K502" s="77">
        <v>7.2</v>
      </c>
      <c r="L502" s="77">
        <v>10</v>
      </c>
      <c r="M502" s="77">
        <v>13.5</v>
      </c>
      <c r="N502" s="78">
        <f>1</f>
        <v>1</v>
      </c>
      <c r="O502" s="79">
        <f t="shared" si="42"/>
        <v>3441.6</v>
      </c>
      <c r="P502" s="79">
        <f t="shared" si="43"/>
        <v>4780</v>
      </c>
      <c r="Q502" s="79">
        <f t="shared" si="44"/>
        <v>6453</v>
      </c>
      <c r="R502" s="75" t="str">
        <f t="shared" si="45"/>
        <v>Rs./hr</v>
      </c>
    </row>
    <row r="503" spans="1:18" ht="15" customHeight="1" x14ac:dyDescent="0.3">
      <c r="A503" s="75">
        <v>491</v>
      </c>
      <c r="B503" s="75" t="s">
        <v>1080</v>
      </c>
      <c r="C503" s="75" t="s">
        <v>1081</v>
      </c>
      <c r="D503" s="76" t="s">
        <v>1082</v>
      </c>
      <c r="E503" s="76" t="s">
        <v>1083</v>
      </c>
      <c r="F503" s="75">
        <v>1997</v>
      </c>
      <c r="G503" s="75" t="s">
        <v>111</v>
      </c>
      <c r="H503" s="75" t="s">
        <v>112</v>
      </c>
      <c r="I503" s="76" t="s">
        <v>113</v>
      </c>
      <c r="J503" s="75" t="s">
        <v>114</v>
      </c>
      <c r="K503" s="77">
        <v>5.8</v>
      </c>
      <c r="L503" s="77">
        <v>8</v>
      </c>
      <c r="M503" s="77">
        <v>10.8</v>
      </c>
      <c r="N503" s="78">
        <f t="shared" ref="N503:N508" si="46">1+MIN(MAX($D$8-F503,0),$D$10)*$D$9</f>
        <v>1.175</v>
      </c>
      <c r="O503" s="79">
        <f t="shared" si="42"/>
        <v>3257.57</v>
      </c>
      <c r="P503" s="79">
        <f t="shared" si="43"/>
        <v>4493.2</v>
      </c>
      <c r="Q503" s="79">
        <f t="shared" si="44"/>
        <v>6065.8200000000006</v>
      </c>
      <c r="R503" s="75" t="str">
        <f t="shared" si="45"/>
        <v>Rs./hr</v>
      </c>
    </row>
    <row r="504" spans="1:18" ht="15" customHeight="1" x14ac:dyDescent="0.3">
      <c r="A504" s="75">
        <v>492</v>
      </c>
      <c r="B504" s="75" t="s">
        <v>1084</v>
      </c>
      <c r="C504" s="75" t="s">
        <v>1085</v>
      </c>
      <c r="D504" s="76" t="s">
        <v>1082</v>
      </c>
      <c r="E504" s="76" t="s">
        <v>1086</v>
      </c>
      <c r="F504" s="75">
        <v>1991</v>
      </c>
      <c r="G504" s="75" t="s">
        <v>111</v>
      </c>
      <c r="H504" s="75" t="s">
        <v>112</v>
      </c>
      <c r="I504" s="76" t="s">
        <v>113</v>
      </c>
      <c r="J504" s="75" t="s">
        <v>114</v>
      </c>
      <c r="K504" s="77">
        <v>5.8</v>
      </c>
      <c r="L504" s="77">
        <v>8</v>
      </c>
      <c r="M504" s="77">
        <v>10.8</v>
      </c>
      <c r="N504" s="78">
        <f t="shared" si="46"/>
        <v>1.175</v>
      </c>
      <c r="O504" s="79">
        <f t="shared" si="42"/>
        <v>3257.57</v>
      </c>
      <c r="P504" s="79">
        <f t="shared" si="43"/>
        <v>4493.2</v>
      </c>
      <c r="Q504" s="79">
        <f t="shared" si="44"/>
        <v>6065.8200000000006</v>
      </c>
      <c r="R504" s="75" t="str">
        <f t="shared" si="45"/>
        <v>Rs./hr</v>
      </c>
    </row>
    <row r="505" spans="1:18" ht="15" customHeight="1" x14ac:dyDescent="0.3">
      <c r="A505" s="75">
        <v>493</v>
      </c>
      <c r="B505" s="75" t="s">
        <v>1087</v>
      </c>
      <c r="C505" s="75" t="s">
        <v>416</v>
      </c>
      <c r="D505" s="76" t="s">
        <v>1082</v>
      </c>
      <c r="E505" s="76" t="s">
        <v>1088</v>
      </c>
      <c r="F505" s="75">
        <v>2003</v>
      </c>
      <c r="G505" s="75" t="s">
        <v>111</v>
      </c>
      <c r="H505" s="75" t="s">
        <v>112</v>
      </c>
      <c r="I505" s="76" t="s">
        <v>113</v>
      </c>
      <c r="J505" s="75" t="s">
        <v>114</v>
      </c>
      <c r="K505" s="77">
        <v>5.8</v>
      </c>
      <c r="L505" s="77">
        <v>8</v>
      </c>
      <c r="M505" s="77">
        <v>10.8</v>
      </c>
      <c r="N505" s="78">
        <f t="shared" si="46"/>
        <v>1.161</v>
      </c>
      <c r="O505" s="79">
        <f t="shared" si="42"/>
        <v>3218.7563999999998</v>
      </c>
      <c r="P505" s="79">
        <f t="shared" si="43"/>
        <v>4439.6639999999998</v>
      </c>
      <c r="Q505" s="79">
        <f t="shared" si="44"/>
        <v>5993.5464000000011</v>
      </c>
      <c r="R505" s="75" t="str">
        <f t="shared" si="45"/>
        <v>Rs./hr</v>
      </c>
    </row>
    <row r="506" spans="1:18" ht="15" customHeight="1" x14ac:dyDescent="0.3">
      <c r="A506" s="75">
        <v>494</v>
      </c>
      <c r="B506" s="75" t="s">
        <v>1089</v>
      </c>
      <c r="C506" s="75" t="s">
        <v>1090</v>
      </c>
      <c r="D506" s="76" t="s">
        <v>1082</v>
      </c>
      <c r="E506" s="76" t="s">
        <v>365</v>
      </c>
      <c r="F506" s="75">
        <v>2011</v>
      </c>
      <c r="G506" s="75" t="s">
        <v>111</v>
      </c>
      <c r="H506" s="75" t="s">
        <v>112</v>
      </c>
      <c r="I506" s="76" t="s">
        <v>113</v>
      </c>
      <c r="J506" s="75" t="s">
        <v>114</v>
      </c>
      <c r="K506" s="77">
        <v>5.8</v>
      </c>
      <c r="L506" s="77">
        <v>8</v>
      </c>
      <c r="M506" s="77">
        <v>10.8</v>
      </c>
      <c r="N506" s="78">
        <f t="shared" si="46"/>
        <v>1.105</v>
      </c>
      <c r="O506" s="79">
        <f t="shared" si="42"/>
        <v>3063.502</v>
      </c>
      <c r="P506" s="79">
        <f t="shared" si="43"/>
        <v>4225.5199999999995</v>
      </c>
      <c r="Q506" s="79">
        <f t="shared" si="44"/>
        <v>5704.4520000000002</v>
      </c>
      <c r="R506" s="75" t="str">
        <f t="shared" si="45"/>
        <v>Rs./hr</v>
      </c>
    </row>
    <row r="507" spans="1:18" ht="15" customHeight="1" x14ac:dyDescent="0.3">
      <c r="A507" s="75">
        <v>495</v>
      </c>
      <c r="B507" s="75" t="s">
        <v>1091</v>
      </c>
      <c r="C507" s="75" t="s">
        <v>439</v>
      </c>
      <c r="D507" s="76" t="s">
        <v>1082</v>
      </c>
      <c r="E507" s="76" t="s">
        <v>1088</v>
      </c>
      <c r="F507" s="75">
        <v>2005</v>
      </c>
      <c r="G507" s="75" t="s">
        <v>111</v>
      </c>
      <c r="H507" s="75" t="s">
        <v>112</v>
      </c>
      <c r="I507" s="76" t="s">
        <v>113</v>
      </c>
      <c r="J507" s="75" t="s">
        <v>114</v>
      </c>
      <c r="K507" s="77">
        <v>5.8</v>
      </c>
      <c r="L507" s="77">
        <v>8</v>
      </c>
      <c r="M507" s="77">
        <v>10.8</v>
      </c>
      <c r="N507" s="78">
        <f t="shared" si="46"/>
        <v>1.147</v>
      </c>
      <c r="O507" s="79">
        <f t="shared" si="42"/>
        <v>3179.9427999999998</v>
      </c>
      <c r="P507" s="79">
        <f t="shared" si="43"/>
        <v>4386.1279999999997</v>
      </c>
      <c r="Q507" s="79">
        <f t="shared" si="44"/>
        <v>5921.2728000000006</v>
      </c>
      <c r="R507" s="75" t="str">
        <f t="shared" si="45"/>
        <v>Rs./hr</v>
      </c>
    </row>
    <row r="508" spans="1:18" ht="15" customHeight="1" x14ac:dyDescent="0.3">
      <c r="A508" s="75">
        <v>496</v>
      </c>
      <c r="B508" s="75" t="s">
        <v>1092</v>
      </c>
      <c r="C508" s="75" t="s">
        <v>1093</v>
      </c>
      <c r="D508" s="76" t="s">
        <v>1082</v>
      </c>
      <c r="E508" s="76" t="s">
        <v>1094</v>
      </c>
      <c r="F508" s="75">
        <v>2000</v>
      </c>
      <c r="G508" s="75" t="s">
        <v>111</v>
      </c>
      <c r="H508" s="75" t="s">
        <v>112</v>
      </c>
      <c r="I508" s="76" t="s">
        <v>113</v>
      </c>
      <c r="J508" s="75" t="s">
        <v>114</v>
      </c>
      <c r="K508" s="77">
        <v>5.8</v>
      </c>
      <c r="L508" s="77">
        <v>8</v>
      </c>
      <c r="M508" s="77">
        <v>10.8</v>
      </c>
      <c r="N508" s="78">
        <f t="shared" si="46"/>
        <v>1.175</v>
      </c>
      <c r="O508" s="79">
        <f t="shared" si="42"/>
        <v>3257.57</v>
      </c>
      <c r="P508" s="79">
        <f t="shared" si="43"/>
        <v>4493.2</v>
      </c>
      <c r="Q508" s="79">
        <f t="shared" si="44"/>
        <v>6065.8200000000006</v>
      </c>
      <c r="R508" s="75" t="str">
        <f t="shared" si="45"/>
        <v>Rs./hr</v>
      </c>
    </row>
    <row r="509" spans="1:18" ht="15" customHeight="1" x14ac:dyDescent="0.3">
      <c r="A509" s="75">
        <v>497</v>
      </c>
      <c r="B509" s="75" t="s">
        <v>1095</v>
      </c>
      <c r="C509" s="75" t="s">
        <v>108</v>
      </c>
      <c r="D509" s="76" t="s">
        <v>1082</v>
      </c>
      <c r="E509" s="76" t="s">
        <v>124</v>
      </c>
      <c r="F509" s="75" t="s">
        <v>108</v>
      </c>
      <c r="G509" s="75" t="s">
        <v>111</v>
      </c>
      <c r="H509" s="75" t="s">
        <v>112</v>
      </c>
      <c r="I509" s="76" t="s">
        <v>113</v>
      </c>
      <c r="J509" s="75" t="s">
        <v>114</v>
      </c>
      <c r="K509" s="77">
        <v>5.8</v>
      </c>
      <c r="L509" s="77">
        <v>8</v>
      </c>
      <c r="M509" s="77">
        <v>10.8</v>
      </c>
      <c r="N509" s="78">
        <f>1</f>
        <v>1</v>
      </c>
      <c r="O509" s="79">
        <f t="shared" si="42"/>
        <v>2772.4</v>
      </c>
      <c r="P509" s="79">
        <f t="shared" si="43"/>
        <v>3824</v>
      </c>
      <c r="Q509" s="79">
        <f t="shared" si="44"/>
        <v>5162.4000000000005</v>
      </c>
      <c r="R509" s="75" t="str">
        <f t="shared" si="45"/>
        <v>Rs./hr</v>
      </c>
    </row>
    <row r="510" spans="1:18" ht="15" customHeight="1" x14ac:dyDescent="0.3">
      <c r="A510" s="75">
        <v>498</v>
      </c>
      <c r="B510" s="75" t="s">
        <v>1096</v>
      </c>
      <c r="C510" s="75" t="s">
        <v>923</v>
      </c>
      <c r="D510" s="76" t="s">
        <v>1082</v>
      </c>
      <c r="E510" s="76" t="s">
        <v>124</v>
      </c>
      <c r="F510" s="75" t="s">
        <v>108</v>
      </c>
      <c r="G510" s="75" t="s">
        <v>111</v>
      </c>
      <c r="H510" s="75" t="s">
        <v>112</v>
      </c>
      <c r="I510" s="76" t="s">
        <v>113</v>
      </c>
      <c r="J510" s="75" t="s">
        <v>114</v>
      </c>
      <c r="K510" s="77">
        <v>5.8</v>
      </c>
      <c r="L510" s="77">
        <v>8</v>
      </c>
      <c r="M510" s="77">
        <v>10.8</v>
      </c>
      <c r="N510" s="78">
        <f>1</f>
        <v>1</v>
      </c>
      <c r="O510" s="79">
        <f t="shared" si="42"/>
        <v>2772.4</v>
      </c>
      <c r="P510" s="79">
        <f t="shared" si="43"/>
        <v>3824</v>
      </c>
      <c r="Q510" s="79">
        <f t="shared" si="44"/>
        <v>5162.4000000000005</v>
      </c>
      <c r="R510" s="75" t="str">
        <f t="shared" si="45"/>
        <v>Rs./hr</v>
      </c>
    </row>
    <row r="511" spans="1:18" ht="15" customHeight="1" x14ac:dyDescent="0.3">
      <c r="A511" s="75">
        <v>499</v>
      </c>
      <c r="B511" s="75" t="s">
        <v>1097</v>
      </c>
      <c r="C511" s="75" t="s">
        <v>928</v>
      </c>
      <c r="D511" s="76" t="s">
        <v>1082</v>
      </c>
      <c r="E511" s="76" t="s">
        <v>124</v>
      </c>
      <c r="F511" s="75" t="s">
        <v>108</v>
      </c>
      <c r="G511" s="75" t="s">
        <v>111</v>
      </c>
      <c r="H511" s="75" t="s">
        <v>112</v>
      </c>
      <c r="I511" s="76" t="s">
        <v>113</v>
      </c>
      <c r="J511" s="75" t="s">
        <v>114</v>
      </c>
      <c r="K511" s="77">
        <v>5.8</v>
      </c>
      <c r="L511" s="77">
        <v>8</v>
      </c>
      <c r="M511" s="77">
        <v>10.8</v>
      </c>
      <c r="N511" s="78">
        <f>1</f>
        <v>1</v>
      </c>
      <c r="O511" s="79">
        <f t="shared" si="42"/>
        <v>2772.4</v>
      </c>
      <c r="P511" s="79">
        <f t="shared" si="43"/>
        <v>3824</v>
      </c>
      <c r="Q511" s="79">
        <f t="shared" si="44"/>
        <v>5162.4000000000005</v>
      </c>
      <c r="R511" s="75" t="str">
        <f t="shared" si="45"/>
        <v>Rs./hr</v>
      </c>
    </row>
    <row r="512" spans="1:18" ht="15" customHeight="1" x14ac:dyDescent="0.3">
      <c r="A512" s="75">
        <v>500</v>
      </c>
      <c r="B512" s="75" t="s">
        <v>1098</v>
      </c>
      <c r="C512" s="75" t="s">
        <v>925</v>
      </c>
      <c r="D512" s="76" t="s">
        <v>1082</v>
      </c>
      <c r="E512" s="76" t="s">
        <v>124</v>
      </c>
      <c r="F512" s="75" t="s">
        <v>108</v>
      </c>
      <c r="G512" s="75" t="s">
        <v>111</v>
      </c>
      <c r="H512" s="75" t="s">
        <v>112</v>
      </c>
      <c r="I512" s="76" t="s">
        <v>113</v>
      </c>
      <c r="J512" s="75" t="s">
        <v>114</v>
      </c>
      <c r="K512" s="77">
        <v>5.8</v>
      </c>
      <c r="L512" s="77">
        <v>8</v>
      </c>
      <c r="M512" s="77">
        <v>10.8</v>
      </c>
      <c r="N512" s="78">
        <f>1</f>
        <v>1</v>
      </c>
      <c r="O512" s="79">
        <f t="shared" si="42"/>
        <v>2772.4</v>
      </c>
      <c r="P512" s="79">
        <f t="shared" si="43"/>
        <v>3824</v>
      </c>
      <c r="Q512" s="79">
        <f t="shared" si="44"/>
        <v>5162.4000000000005</v>
      </c>
      <c r="R512" s="75" t="str">
        <f t="shared" si="45"/>
        <v>Rs./hr</v>
      </c>
    </row>
    <row r="513" spans="1:18" ht="15" customHeight="1" x14ac:dyDescent="0.3">
      <c r="A513" s="75">
        <v>501</v>
      </c>
      <c r="B513" s="75" t="s">
        <v>1099</v>
      </c>
      <c r="C513" s="75" t="s">
        <v>1100</v>
      </c>
      <c r="D513" s="76" t="s">
        <v>1082</v>
      </c>
      <c r="E513" s="76" t="s">
        <v>124</v>
      </c>
      <c r="F513" s="75" t="s">
        <v>108</v>
      </c>
      <c r="G513" s="75" t="s">
        <v>111</v>
      </c>
      <c r="H513" s="75" t="s">
        <v>112</v>
      </c>
      <c r="I513" s="76" t="s">
        <v>113</v>
      </c>
      <c r="J513" s="75" t="s">
        <v>114</v>
      </c>
      <c r="K513" s="77">
        <v>5.8</v>
      </c>
      <c r="L513" s="77">
        <v>8</v>
      </c>
      <c r="M513" s="77">
        <v>10.8</v>
      </c>
      <c r="N513" s="78">
        <f>1</f>
        <v>1</v>
      </c>
      <c r="O513" s="79">
        <f t="shared" si="42"/>
        <v>2772.4</v>
      </c>
      <c r="P513" s="79">
        <f t="shared" si="43"/>
        <v>3824</v>
      </c>
      <c r="Q513" s="79">
        <f t="shared" si="44"/>
        <v>5162.4000000000005</v>
      </c>
      <c r="R513" s="75" t="str">
        <f t="shared" si="45"/>
        <v>Rs./hr</v>
      </c>
    </row>
    <row r="514" spans="1:18" ht="15" customHeight="1" x14ac:dyDescent="0.3">
      <c r="A514" s="75">
        <v>502</v>
      </c>
      <c r="B514" s="75" t="s">
        <v>1101</v>
      </c>
      <c r="C514" s="75" t="s">
        <v>108</v>
      </c>
      <c r="D514" s="76" t="s">
        <v>1082</v>
      </c>
      <c r="E514" s="76" t="s">
        <v>124</v>
      </c>
      <c r="F514" s="75" t="s">
        <v>108</v>
      </c>
      <c r="G514" s="75" t="s">
        <v>111</v>
      </c>
      <c r="H514" s="75" t="s">
        <v>112</v>
      </c>
      <c r="I514" s="76" t="s">
        <v>113</v>
      </c>
      <c r="J514" s="75" t="s">
        <v>114</v>
      </c>
      <c r="K514" s="77">
        <v>5.8</v>
      </c>
      <c r="L514" s="77">
        <v>8</v>
      </c>
      <c r="M514" s="77">
        <v>10.8</v>
      </c>
      <c r="N514" s="78">
        <f>1</f>
        <v>1</v>
      </c>
      <c r="O514" s="79">
        <f t="shared" si="42"/>
        <v>2772.4</v>
      </c>
      <c r="P514" s="79">
        <f t="shared" si="43"/>
        <v>3824</v>
      </c>
      <c r="Q514" s="79">
        <f t="shared" si="44"/>
        <v>5162.4000000000005</v>
      </c>
      <c r="R514" s="75" t="str">
        <f t="shared" si="45"/>
        <v>Rs./hr</v>
      </c>
    </row>
    <row r="515" spans="1:18" ht="15" customHeight="1" x14ac:dyDescent="0.3">
      <c r="A515" s="75">
        <v>503</v>
      </c>
      <c r="B515" s="75" t="s">
        <v>1102</v>
      </c>
      <c r="C515" s="75" t="s">
        <v>108</v>
      </c>
      <c r="D515" s="76" t="s">
        <v>1082</v>
      </c>
      <c r="E515" s="76" t="s">
        <v>124</v>
      </c>
      <c r="F515" s="75" t="s">
        <v>108</v>
      </c>
      <c r="G515" s="75" t="s">
        <v>111</v>
      </c>
      <c r="H515" s="75" t="s">
        <v>112</v>
      </c>
      <c r="I515" s="76" t="s">
        <v>113</v>
      </c>
      <c r="J515" s="75" t="s">
        <v>114</v>
      </c>
      <c r="K515" s="77">
        <v>5.8</v>
      </c>
      <c r="L515" s="77">
        <v>8</v>
      </c>
      <c r="M515" s="77">
        <v>10.8</v>
      </c>
      <c r="N515" s="78">
        <f>1</f>
        <v>1</v>
      </c>
      <c r="O515" s="79">
        <f t="shared" si="42"/>
        <v>2772.4</v>
      </c>
      <c r="P515" s="79">
        <f t="shared" si="43"/>
        <v>3824</v>
      </c>
      <c r="Q515" s="79">
        <f t="shared" si="44"/>
        <v>5162.4000000000005</v>
      </c>
      <c r="R515" s="75" t="str">
        <f t="shared" si="45"/>
        <v>Rs./hr</v>
      </c>
    </row>
    <row r="516" spans="1:18" ht="15" customHeight="1" x14ac:dyDescent="0.3">
      <c r="A516" s="75">
        <v>504</v>
      </c>
      <c r="B516" s="75" t="s">
        <v>1103</v>
      </c>
      <c r="C516" s="75" t="s">
        <v>940</v>
      </c>
      <c r="D516" s="76" t="s">
        <v>1082</v>
      </c>
      <c r="E516" s="76" t="s">
        <v>124</v>
      </c>
      <c r="F516" s="75" t="s">
        <v>108</v>
      </c>
      <c r="G516" s="75" t="s">
        <v>111</v>
      </c>
      <c r="H516" s="75" t="s">
        <v>112</v>
      </c>
      <c r="I516" s="76" t="s">
        <v>113</v>
      </c>
      <c r="J516" s="75" t="s">
        <v>114</v>
      </c>
      <c r="K516" s="77">
        <v>5.8</v>
      </c>
      <c r="L516" s="77">
        <v>8</v>
      </c>
      <c r="M516" s="77">
        <v>10.8</v>
      </c>
      <c r="N516" s="78">
        <f>1</f>
        <v>1</v>
      </c>
      <c r="O516" s="79">
        <f t="shared" si="42"/>
        <v>2772.4</v>
      </c>
      <c r="P516" s="79">
        <f t="shared" si="43"/>
        <v>3824</v>
      </c>
      <c r="Q516" s="79">
        <f t="shared" si="44"/>
        <v>5162.4000000000005</v>
      </c>
      <c r="R516" s="75" t="str">
        <f t="shared" si="45"/>
        <v>Rs./hr</v>
      </c>
    </row>
    <row r="517" spans="1:18" ht="15" customHeight="1" x14ac:dyDescent="0.3">
      <c r="A517" s="75">
        <v>505</v>
      </c>
      <c r="B517" s="75" t="s">
        <v>1104</v>
      </c>
      <c r="C517" s="75" t="s">
        <v>108</v>
      </c>
      <c r="D517" s="76" t="s">
        <v>1082</v>
      </c>
      <c r="E517" s="76" t="s">
        <v>124</v>
      </c>
      <c r="F517" s="75" t="s">
        <v>108</v>
      </c>
      <c r="G517" s="75" t="s">
        <v>111</v>
      </c>
      <c r="H517" s="75" t="s">
        <v>112</v>
      </c>
      <c r="I517" s="76" t="s">
        <v>113</v>
      </c>
      <c r="J517" s="75" t="s">
        <v>114</v>
      </c>
      <c r="K517" s="77">
        <v>5.8</v>
      </c>
      <c r="L517" s="77">
        <v>8</v>
      </c>
      <c r="M517" s="77">
        <v>10.8</v>
      </c>
      <c r="N517" s="78">
        <f>1</f>
        <v>1</v>
      </c>
      <c r="O517" s="79">
        <f t="shared" si="42"/>
        <v>2772.4</v>
      </c>
      <c r="P517" s="79">
        <f t="shared" si="43"/>
        <v>3824</v>
      </c>
      <c r="Q517" s="79">
        <f t="shared" si="44"/>
        <v>5162.4000000000005</v>
      </c>
      <c r="R517" s="75" t="str">
        <f t="shared" si="45"/>
        <v>Rs./hr</v>
      </c>
    </row>
    <row r="518" spans="1:18" ht="15" customHeight="1" x14ac:dyDescent="0.3">
      <c r="A518" s="75">
        <v>506</v>
      </c>
      <c r="B518" s="75" t="s">
        <v>1105</v>
      </c>
      <c r="C518" s="75" t="s">
        <v>108</v>
      </c>
      <c r="D518" s="76" t="s">
        <v>1082</v>
      </c>
      <c r="E518" s="76" t="s">
        <v>124</v>
      </c>
      <c r="F518" s="75" t="s">
        <v>108</v>
      </c>
      <c r="G518" s="75" t="s">
        <v>111</v>
      </c>
      <c r="H518" s="75" t="s">
        <v>112</v>
      </c>
      <c r="I518" s="76" t="s">
        <v>113</v>
      </c>
      <c r="J518" s="75" t="s">
        <v>114</v>
      </c>
      <c r="K518" s="77">
        <v>5.8</v>
      </c>
      <c r="L518" s="77">
        <v>8</v>
      </c>
      <c r="M518" s="77">
        <v>10.8</v>
      </c>
      <c r="N518" s="78">
        <f>1</f>
        <v>1</v>
      </c>
      <c r="O518" s="79">
        <f t="shared" si="42"/>
        <v>2772.4</v>
      </c>
      <c r="P518" s="79">
        <f t="shared" si="43"/>
        <v>3824</v>
      </c>
      <c r="Q518" s="79">
        <f t="shared" si="44"/>
        <v>5162.4000000000005</v>
      </c>
      <c r="R518" s="75" t="str">
        <f t="shared" si="45"/>
        <v>Rs./hr</v>
      </c>
    </row>
    <row r="519" spans="1:18" ht="15" customHeight="1" x14ac:dyDescent="0.3">
      <c r="A519" s="75">
        <v>507</v>
      </c>
      <c r="B519" s="75" t="s">
        <v>1106</v>
      </c>
      <c r="C519" s="75" t="s">
        <v>1107</v>
      </c>
      <c r="D519" s="76" t="s">
        <v>1082</v>
      </c>
      <c r="E519" s="76" t="s">
        <v>1108</v>
      </c>
      <c r="F519" s="75">
        <v>2018</v>
      </c>
      <c r="G519" s="75" t="s">
        <v>111</v>
      </c>
      <c r="H519" s="75" t="s">
        <v>112</v>
      </c>
      <c r="I519" s="76" t="s">
        <v>113</v>
      </c>
      <c r="J519" s="75" t="s">
        <v>114</v>
      </c>
      <c r="K519" s="77">
        <v>5.8</v>
      </c>
      <c r="L519" s="77">
        <v>8</v>
      </c>
      <c r="M519" s="77">
        <v>10.8</v>
      </c>
      <c r="N519" s="78">
        <f>1+MIN(MAX($D$8-F519,0),$D$10)*$D$9</f>
        <v>1.056</v>
      </c>
      <c r="O519" s="79">
        <f t="shared" si="42"/>
        <v>2927.6544000000004</v>
      </c>
      <c r="P519" s="79">
        <f t="shared" si="43"/>
        <v>4038.1440000000002</v>
      </c>
      <c r="Q519" s="79">
        <f t="shared" si="44"/>
        <v>5451.4944000000005</v>
      </c>
      <c r="R519" s="75" t="str">
        <f t="shared" si="45"/>
        <v>Rs./hr</v>
      </c>
    </row>
    <row r="520" spans="1:18" ht="15" customHeight="1" x14ac:dyDescent="0.3">
      <c r="A520" s="75">
        <v>508</v>
      </c>
      <c r="B520" s="75" t="s">
        <v>1109</v>
      </c>
      <c r="C520" s="75" t="s">
        <v>108</v>
      </c>
      <c r="D520" s="76" t="s">
        <v>1082</v>
      </c>
      <c r="E520" s="76" t="s">
        <v>124</v>
      </c>
      <c r="F520" s="75" t="s">
        <v>108</v>
      </c>
      <c r="G520" s="75" t="s">
        <v>111</v>
      </c>
      <c r="H520" s="75" t="s">
        <v>112</v>
      </c>
      <c r="I520" s="76" t="s">
        <v>113</v>
      </c>
      <c r="J520" s="75" t="s">
        <v>114</v>
      </c>
      <c r="K520" s="77">
        <v>5.8</v>
      </c>
      <c r="L520" s="77">
        <v>8</v>
      </c>
      <c r="M520" s="77">
        <v>10.8</v>
      </c>
      <c r="N520" s="78">
        <f>1</f>
        <v>1</v>
      </c>
      <c r="O520" s="79">
        <f t="shared" si="42"/>
        <v>2772.4</v>
      </c>
      <c r="P520" s="79">
        <f t="shared" si="43"/>
        <v>3824</v>
      </c>
      <c r="Q520" s="79">
        <f t="shared" si="44"/>
        <v>5162.4000000000005</v>
      </c>
      <c r="R520" s="75" t="str">
        <f t="shared" si="45"/>
        <v>Rs./hr</v>
      </c>
    </row>
    <row r="521" spans="1:18" ht="15" customHeight="1" x14ac:dyDescent="0.3">
      <c r="A521" s="75">
        <v>509</v>
      </c>
      <c r="B521" s="75" t="s">
        <v>1110</v>
      </c>
      <c r="C521" s="75" t="s">
        <v>1111</v>
      </c>
      <c r="D521" s="76" t="s">
        <v>1082</v>
      </c>
      <c r="E521" s="76" t="s">
        <v>124</v>
      </c>
      <c r="F521" s="75" t="s">
        <v>108</v>
      </c>
      <c r="G521" s="75" t="s">
        <v>111</v>
      </c>
      <c r="H521" s="75" t="s">
        <v>112</v>
      </c>
      <c r="I521" s="76" t="s">
        <v>113</v>
      </c>
      <c r="J521" s="75" t="s">
        <v>114</v>
      </c>
      <c r="K521" s="77">
        <v>5.8</v>
      </c>
      <c r="L521" s="77">
        <v>8</v>
      </c>
      <c r="M521" s="77">
        <v>10.8</v>
      </c>
      <c r="N521" s="78">
        <f>1</f>
        <v>1</v>
      </c>
      <c r="O521" s="79">
        <f t="shared" si="42"/>
        <v>2772.4</v>
      </c>
      <c r="P521" s="79">
        <f t="shared" si="43"/>
        <v>3824</v>
      </c>
      <c r="Q521" s="79">
        <f t="shared" si="44"/>
        <v>5162.4000000000005</v>
      </c>
      <c r="R521" s="75" t="str">
        <f t="shared" si="45"/>
        <v>Rs./hr</v>
      </c>
    </row>
    <row r="522" spans="1:18" ht="15" customHeight="1" x14ac:dyDescent="0.3">
      <c r="A522" s="75">
        <v>510</v>
      </c>
      <c r="B522" s="75" t="s">
        <v>1112</v>
      </c>
      <c r="C522" s="75" t="s">
        <v>108</v>
      </c>
      <c r="D522" s="76" t="s">
        <v>1113</v>
      </c>
      <c r="E522" s="76" t="s">
        <v>1114</v>
      </c>
      <c r="F522" s="75">
        <v>2009</v>
      </c>
      <c r="G522" s="75" t="s">
        <v>111</v>
      </c>
      <c r="H522" s="75" t="s">
        <v>112</v>
      </c>
      <c r="I522" s="76" t="s">
        <v>1115</v>
      </c>
      <c r="J522" s="75" t="s">
        <v>114</v>
      </c>
      <c r="K522" s="77">
        <v>7.2</v>
      </c>
      <c r="L522" s="77">
        <v>10</v>
      </c>
      <c r="M522" s="77">
        <v>13.5</v>
      </c>
      <c r="N522" s="78">
        <f t="shared" ref="N522:N530" si="47">1+MIN(MAX($D$8-F522,0),$D$10)*$D$9</f>
        <v>1.119</v>
      </c>
      <c r="O522" s="79">
        <f t="shared" si="42"/>
        <v>3851.1504000000004</v>
      </c>
      <c r="P522" s="79">
        <f t="shared" si="43"/>
        <v>5348.82</v>
      </c>
      <c r="Q522" s="79">
        <f t="shared" si="44"/>
        <v>7220.9070000000002</v>
      </c>
      <c r="R522" s="75" t="str">
        <f t="shared" si="45"/>
        <v>Rs./hr</v>
      </c>
    </row>
    <row r="523" spans="1:18" ht="15" customHeight="1" x14ac:dyDescent="0.3">
      <c r="A523" s="75">
        <v>511</v>
      </c>
      <c r="B523" s="75" t="s">
        <v>1116</v>
      </c>
      <c r="C523" s="75" t="s">
        <v>108</v>
      </c>
      <c r="D523" s="76" t="s">
        <v>1113</v>
      </c>
      <c r="E523" s="76" t="s">
        <v>1117</v>
      </c>
      <c r="F523" s="75">
        <v>2010</v>
      </c>
      <c r="G523" s="75" t="s">
        <v>111</v>
      </c>
      <c r="H523" s="75" t="s">
        <v>112</v>
      </c>
      <c r="I523" s="76" t="s">
        <v>1115</v>
      </c>
      <c r="J523" s="75" t="s">
        <v>114</v>
      </c>
      <c r="K523" s="77">
        <v>7.2</v>
      </c>
      <c r="L523" s="77">
        <v>10</v>
      </c>
      <c r="M523" s="77">
        <v>13.5</v>
      </c>
      <c r="N523" s="78">
        <f t="shared" si="47"/>
        <v>1.1120000000000001</v>
      </c>
      <c r="O523" s="79">
        <f t="shared" si="42"/>
        <v>3827.0592000000006</v>
      </c>
      <c r="P523" s="79">
        <f t="shared" si="43"/>
        <v>5315.3600000000006</v>
      </c>
      <c r="Q523" s="79">
        <f t="shared" si="44"/>
        <v>7175.7359999999999</v>
      </c>
      <c r="R523" s="75" t="str">
        <f t="shared" si="45"/>
        <v>Rs./hr</v>
      </c>
    </row>
    <row r="524" spans="1:18" ht="15" customHeight="1" x14ac:dyDescent="0.3">
      <c r="A524" s="75">
        <v>512</v>
      </c>
      <c r="B524" s="75" t="s">
        <v>1118</v>
      </c>
      <c r="C524" s="75" t="s">
        <v>108</v>
      </c>
      <c r="D524" s="76" t="s">
        <v>1113</v>
      </c>
      <c r="E524" s="76" t="s">
        <v>1119</v>
      </c>
      <c r="F524" s="75">
        <v>2012</v>
      </c>
      <c r="G524" s="75" t="s">
        <v>111</v>
      </c>
      <c r="H524" s="75" t="s">
        <v>112</v>
      </c>
      <c r="I524" s="76" t="s">
        <v>1120</v>
      </c>
      <c r="J524" s="75" t="s">
        <v>114</v>
      </c>
      <c r="K524" s="77">
        <v>6.5</v>
      </c>
      <c r="L524" s="77">
        <v>9</v>
      </c>
      <c r="M524" s="77">
        <v>12.2</v>
      </c>
      <c r="N524" s="78">
        <f t="shared" si="47"/>
        <v>1.0980000000000001</v>
      </c>
      <c r="O524" s="79">
        <f t="shared" si="42"/>
        <v>3411.4860000000003</v>
      </c>
      <c r="P524" s="79">
        <f t="shared" si="43"/>
        <v>4723.5960000000005</v>
      </c>
      <c r="Q524" s="79">
        <f t="shared" si="44"/>
        <v>6403.0968000000003</v>
      </c>
      <c r="R524" s="75" t="str">
        <f t="shared" si="45"/>
        <v>Rs./hr</v>
      </c>
    </row>
    <row r="525" spans="1:18" ht="15" customHeight="1" x14ac:dyDescent="0.3">
      <c r="A525" s="75">
        <v>513</v>
      </c>
      <c r="B525" s="75" t="s">
        <v>1121</v>
      </c>
      <c r="C525" s="75" t="s">
        <v>108</v>
      </c>
      <c r="D525" s="76" t="s">
        <v>1113</v>
      </c>
      <c r="E525" s="76" t="s">
        <v>1122</v>
      </c>
      <c r="F525" s="75">
        <v>2013</v>
      </c>
      <c r="G525" s="75" t="s">
        <v>111</v>
      </c>
      <c r="H525" s="75" t="s">
        <v>112</v>
      </c>
      <c r="I525" s="76" t="s">
        <v>1123</v>
      </c>
      <c r="J525" s="75" t="s">
        <v>114</v>
      </c>
      <c r="K525" s="77">
        <v>8.6</v>
      </c>
      <c r="L525" s="77">
        <v>12</v>
      </c>
      <c r="M525" s="77">
        <v>16.2</v>
      </c>
      <c r="N525" s="78">
        <f t="shared" si="47"/>
        <v>1.091</v>
      </c>
      <c r="O525" s="79">
        <f t="shared" ref="O525:O530" si="48">IF(H525="None",0,IF(H525="KM",IF(G525="Petrol",$D$6,$D$5)*N525/K525,K525*N525*IF(G525="Petrol",$D$6,$D$5)))</f>
        <v>4484.8828000000003</v>
      </c>
      <c r="P525" s="79">
        <f t="shared" ref="P525:P530" si="49">IF(H525="None",0,IF(H525="KM",IF(G525="Petrol",$D$6,$D$5)*N525/L525,L525*N525*IF(G525="Petrol",$D$6,$D$5)))</f>
        <v>6257.9759999999997</v>
      </c>
      <c r="Q525" s="79">
        <f t="shared" ref="Q525:Q530" si="50">IF(H525="None",0,IF(H525="KM",IF(G525="Petrol",$D$6,$D$5)*N525/M525,M525*N525*IF(G525="Petrol",$D$6,$D$5)))</f>
        <v>8448.2675999999992</v>
      </c>
      <c r="R525" s="75" t="str">
        <f t="shared" ref="R525:R530" si="51">IF(H525="None","—",IF(H525="KM","Rs./km","Rs./hr"))</f>
        <v>Rs./hr</v>
      </c>
    </row>
    <row r="526" spans="1:18" ht="15" customHeight="1" x14ac:dyDescent="0.3">
      <c r="A526" s="75">
        <v>514</v>
      </c>
      <c r="B526" s="75" t="s">
        <v>1124</v>
      </c>
      <c r="C526" s="75" t="s">
        <v>108</v>
      </c>
      <c r="D526" s="76" t="s">
        <v>1113</v>
      </c>
      <c r="E526" s="76" t="s">
        <v>1125</v>
      </c>
      <c r="F526" s="75">
        <v>2014</v>
      </c>
      <c r="G526" s="75" t="s">
        <v>111</v>
      </c>
      <c r="H526" s="75" t="s">
        <v>112</v>
      </c>
      <c r="I526" s="76" t="s">
        <v>1126</v>
      </c>
      <c r="J526" s="75" t="s">
        <v>114</v>
      </c>
      <c r="K526" s="77">
        <v>8.6</v>
      </c>
      <c r="L526" s="77">
        <v>12</v>
      </c>
      <c r="M526" s="77">
        <v>16.2</v>
      </c>
      <c r="N526" s="78">
        <f t="shared" si="47"/>
        <v>1.0840000000000001</v>
      </c>
      <c r="O526" s="79">
        <f t="shared" si="48"/>
        <v>4456.1072000000004</v>
      </c>
      <c r="P526" s="79">
        <f t="shared" si="49"/>
        <v>6217.8240000000005</v>
      </c>
      <c r="Q526" s="79">
        <f t="shared" si="50"/>
        <v>8394.0624000000007</v>
      </c>
      <c r="R526" s="75" t="str">
        <f t="shared" si="51"/>
        <v>Rs./hr</v>
      </c>
    </row>
    <row r="527" spans="1:18" ht="15" customHeight="1" x14ac:dyDescent="0.3">
      <c r="A527" s="75">
        <v>515</v>
      </c>
      <c r="B527" s="75" t="s">
        <v>1127</v>
      </c>
      <c r="C527" s="75" t="s">
        <v>1128</v>
      </c>
      <c r="D527" s="76" t="s">
        <v>1113</v>
      </c>
      <c r="E527" s="76" t="s">
        <v>1129</v>
      </c>
      <c r="F527" s="75">
        <v>2013</v>
      </c>
      <c r="G527" s="75" t="s">
        <v>111</v>
      </c>
      <c r="H527" s="75" t="s">
        <v>112</v>
      </c>
      <c r="I527" s="76" t="s">
        <v>1123</v>
      </c>
      <c r="J527" s="75" t="s">
        <v>114</v>
      </c>
      <c r="K527" s="77">
        <v>7.9</v>
      </c>
      <c r="L527" s="77">
        <v>11</v>
      </c>
      <c r="M527" s="77">
        <v>14.9</v>
      </c>
      <c r="N527" s="78">
        <f t="shared" si="47"/>
        <v>1.091</v>
      </c>
      <c r="O527" s="79">
        <f t="shared" si="48"/>
        <v>4119.8342000000002</v>
      </c>
      <c r="P527" s="79">
        <f t="shared" si="49"/>
        <v>5736.4780000000001</v>
      </c>
      <c r="Q527" s="79">
        <f t="shared" si="50"/>
        <v>7770.3202000000001</v>
      </c>
      <c r="R527" s="75" t="str">
        <f t="shared" si="51"/>
        <v>Rs./hr</v>
      </c>
    </row>
    <row r="528" spans="1:18" ht="15" customHeight="1" x14ac:dyDescent="0.3">
      <c r="A528" s="75">
        <v>516</v>
      </c>
      <c r="B528" s="75" t="s">
        <v>1130</v>
      </c>
      <c r="C528" s="75" t="s">
        <v>108</v>
      </c>
      <c r="D528" s="76" t="s">
        <v>1113</v>
      </c>
      <c r="E528" s="76" t="s">
        <v>1131</v>
      </c>
      <c r="F528" s="75">
        <v>2015</v>
      </c>
      <c r="G528" s="75" t="s">
        <v>111</v>
      </c>
      <c r="H528" s="75" t="s">
        <v>112</v>
      </c>
      <c r="I528" s="76" t="s">
        <v>1120</v>
      </c>
      <c r="J528" s="75" t="s">
        <v>114</v>
      </c>
      <c r="K528" s="77">
        <v>5.8</v>
      </c>
      <c r="L528" s="77">
        <v>8</v>
      </c>
      <c r="M528" s="77">
        <v>10.8</v>
      </c>
      <c r="N528" s="78">
        <f t="shared" si="47"/>
        <v>1.077</v>
      </c>
      <c r="O528" s="79">
        <f t="shared" si="48"/>
        <v>2985.8748000000001</v>
      </c>
      <c r="P528" s="79">
        <f t="shared" si="49"/>
        <v>4118.4479999999994</v>
      </c>
      <c r="Q528" s="79">
        <f t="shared" si="50"/>
        <v>5559.9048000000003</v>
      </c>
      <c r="R528" s="75" t="str">
        <f t="shared" si="51"/>
        <v>Rs./hr</v>
      </c>
    </row>
    <row r="529" spans="1:18" ht="15" customHeight="1" x14ac:dyDescent="0.3">
      <c r="A529" s="75">
        <v>517</v>
      </c>
      <c r="B529" s="75" t="s">
        <v>1132</v>
      </c>
      <c r="C529" s="75" t="s">
        <v>108</v>
      </c>
      <c r="D529" s="76" t="s">
        <v>1113</v>
      </c>
      <c r="E529" s="76" t="s">
        <v>1133</v>
      </c>
      <c r="F529" s="75">
        <v>2014</v>
      </c>
      <c r="G529" s="75" t="s">
        <v>111</v>
      </c>
      <c r="H529" s="75" t="s">
        <v>112</v>
      </c>
      <c r="I529" s="76" t="s">
        <v>1120</v>
      </c>
      <c r="J529" s="75" t="s">
        <v>114</v>
      </c>
      <c r="K529" s="77">
        <v>6.5</v>
      </c>
      <c r="L529" s="77">
        <v>9</v>
      </c>
      <c r="M529" s="77">
        <v>12.2</v>
      </c>
      <c r="N529" s="78">
        <f t="shared" si="47"/>
        <v>1.0840000000000001</v>
      </c>
      <c r="O529" s="79">
        <f t="shared" si="48"/>
        <v>3367.9880000000003</v>
      </c>
      <c r="P529" s="79">
        <f t="shared" si="49"/>
        <v>4663.3680000000004</v>
      </c>
      <c r="Q529" s="79">
        <f t="shared" si="50"/>
        <v>6321.4543999999996</v>
      </c>
      <c r="R529" s="75" t="str">
        <f t="shared" si="51"/>
        <v>Rs./hr</v>
      </c>
    </row>
    <row r="530" spans="1:18" ht="15" customHeight="1" x14ac:dyDescent="0.3">
      <c r="A530" s="75">
        <v>518</v>
      </c>
      <c r="B530" s="75" t="s">
        <v>39</v>
      </c>
      <c r="C530" s="75" t="s">
        <v>108</v>
      </c>
      <c r="D530" s="76" t="s">
        <v>1113</v>
      </c>
      <c r="E530" s="76" t="s">
        <v>1134</v>
      </c>
      <c r="F530" s="75">
        <v>2020</v>
      </c>
      <c r="G530" s="75" t="s">
        <v>111</v>
      </c>
      <c r="H530" s="75" t="s">
        <v>112</v>
      </c>
      <c r="I530" s="76" t="s">
        <v>1135</v>
      </c>
      <c r="J530" s="75" t="s">
        <v>114</v>
      </c>
      <c r="K530" s="77">
        <v>10.8</v>
      </c>
      <c r="L530" s="77">
        <v>15</v>
      </c>
      <c r="M530" s="77">
        <v>20.3</v>
      </c>
      <c r="N530" s="78">
        <f t="shared" si="47"/>
        <v>1.042</v>
      </c>
      <c r="O530" s="79">
        <f t="shared" si="48"/>
        <v>5379.2208000000001</v>
      </c>
      <c r="P530" s="79">
        <f t="shared" si="49"/>
        <v>7471.14</v>
      </c>
      <c r="Q530" s="79">
        <f t="shared" si="50"/>
        <v>10110.942800000001</v>
      </c>
      <c r="R530" s="75" t="str">
        <f t="shared" si="51"/>
        <v>Rs./hr</v>
      </c>
    </row>
    <row r="532" spans="1:18" ht="15" customHeight="1" x14ac:dyDescent="0.3">
      <c r="A532" s="111" t="s">
        <v>1136</v>
      </c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</row>
    <row r="533" spans="1:18" ht="33.75" customHeight="1" x14ac:dyDescent="0.3">
      <c r="A533" s="109" t="s">
        <v>1137</v>
      </c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</row>
    <row r="534" spans="1:18" ht="33.75" customHeight="1" x14ac:dyDescent="0.3">
      <c r="A534" s="109" t="s">
        <v>1138</v>
      </c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</row>
    <row r="535" spans="1:18" ht="33.75" customHeight="1" x14ac:dyDescent="0.3">
      <c r="A535" s="109" t="s">
        <v>1139</v>
      </c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</row>
    <row r="536" spans="1:18" ht="33.75" customHeight="1" x14ac:dyDescent="0.3">
      <c r="A536" s="109" t="s">
        <v>1140</v>
      </c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</row>
    <row r="537" spans="1:18" ht="33.75" customHeight="1" x14ac:dyDescent="0.3">
      <c r="A537" s="109" t="s">
        <v>1141</v>
      </c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</row>
  </sheetData>
  <mergeCells count="15">
    <mergeCell ref="A8:C8"/>
    <mergeCell ref="A1:R1"/>
    <mergeCell ref="A2:R2"/>
    <mergeCell ref="A4:F4"/>
    <mergeCell ref="A5:C5"/>
    <mergeCell ref="A6:C6"/>
    <mergeCell ref="A535:R535"/>
    <mergeCell ref="A536:R536"/>
    <mergeCell ref="A537:R537"/>
    <mergeCell ref="A9:C9"/>
    <mergeCell ref="A10:C10"/>
    <mergeCell ref="A11:R11"/>
    <mergeCell ref="A532:R532"/>
    <mergeCell ref="A533:R533"/>
    <mergeCell ref="A534:R5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5"/>
  <sheetViews>
    <sheetView workbookViewId="0">
      <selection activeCell="I13" sqref="I13"/>
    </sheetView>
  </sheetViews>
  <sheetFormatPr defaultRowHeight="14.4" x14ac:dyDescent="0.3"/>
  <sheetData>
    <row r="3" spans="2:2" x14ac:dyDescent="0.3">
      <c r="B3" t="s">
        <v>24</v>
      </c>
    </row>
    <row r="4" spans="2:2" x14ac:dyDescent="0.3">
      <c r="B4" t="s">
        <v>26</v>
      </c>
    </row>
    <row r="5" spans="2:2" x14ac:dyDescent="0.3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Machinery </vt:lpstr>
      <vt:lpstr>Plant expenses</vt:lpstr>
      <vt:lpstr>Sheet2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HP</cp:lastModifiedBy>
  <cp:lastPrinted>2024-12-23T07:48:40Z</cp:lastPrinted>
  <dcterms:created xsi:type="dcterms:W3CDTF">2023-12-20T11:25:26Z</dcterms:created>
  <dcterms:modified xsi:type="dcterms:W3CDTF">2026-06-13T03:56:50Z</dcterms:modified>
</cp:coreProperties>
</file>