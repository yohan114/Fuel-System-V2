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lanM\Downloads\"/>
    </mc:Choice>
  </mc:AlternateContent>
  <bookViews>
    <workbookView xWindow="0" yWindow="0" windowWidth="20490" windowHeight="7455" firstSheet="8" activeTab="10"/>
  </bookViews>
  <sheets>
    <sheet name="APRIL" sheetId="1" r:id="rId1"/>
    <sheet name="MAY" sheetId="2" r:id="rId2"/>
    <sheet name="June 2025" sheetId="3" r:id="rId3"/>
    <sheet name="July 2025" sheetId="4" r:id="rId4"/>
    <sheet name="August 2025" sheetId="5" r:id="rId5"/>
    <sheet name="September 2025" sheetId="6" r:id="rId6"/>
    <sheet name="October 2025" sheetId="7" r:id="rId7"/>
    <sheet name="December 2025" sheetId="8" r:id="rId8"/>
    <sheet name="November 2025" sheetId="9" r:id="rId9"/>
    <sheet name=" January 2026" sheetId="10" r:id="rId10"/>
    <sheet name="Fbruary 2026" sheetId="11" r:id="rId11"/>
    <sheet name="March-26" sheetId="12" r:id="rId12"/>
    <sheet name="APRAIL-2026" sheetId="13" r:id="rId13"/>
    <sheet name="MAY-2026" sheetId="14" r:id="rId14"/>
    <sheet name="Sheet3" sheetId="15" r:id="rId15"/>
  </sheets>
  <definedNames>
    <definedName name="_xlnm._FilterDatabase" localSheetId="8" hidden="1">'November 2025'!$A$4:$AT$32</definedName>
  </definedNames>
  <calcPr calcId="152511"/>
</workbook>
</file>

<file path=xl/calcChain.xml><?xml version="1.0" encoding="utf-8"?>
<calcChain xmlns="http://schemas.openxmlformats.org/spreadsheetml/2006/main">
  <c r="V120" i="14" l="1"/>
  <c r="F120" i="14"/>
  <c r="AL119" i="14"/>
  <c r="AG119" i="14"/>
  <c r="AG120" i="14" s="1"/>
  <c r="Y119" i="14"/>
  <c r="Y120" i="14" s="1"/>
  <c r="Q119" i="14"/>
  <c r="Q120" i="14" s="1"/>
  <c r="I119" i="14"/>
  <c r="I120" i="14" s="1"/>
  <c r="AJ115" i="14"/>
  <c r="AI115" i="14"/>
  <c r="AH115" i="14"/>
  <c r="AH119" i="14" s="1"/>
  <c r="AH120" i="14" s="1"/>
  <c r="AI117" i="14" s="1"/>
  <c r="AI120" i="14" s="1"/>
  <c r="AJ117" i="14" s="1"/>
  <c r="AG115" i="14"/>
  <c r="AF115" i="14"/>
  <c r="AE115" i="14"/>
  <c r="AD115" i="14"/>
  <c r="AD119" i="14" s="1"/>
  <c r="AD120" i="14" s="1"/>
  <c r="AC115" i="14"/>
  <c r="AC119" i="14" s="1"/>
  <c r="AC120" i="14" s="1"/>
  <c r="AB115" i="14"/>
  <c r="AA115" i="14"/>
  <c r="Z115" i="14"/>
  <c r="Z119" i="14" s="1"/>
  <c r="Z120" i="14" s="1"/>
  <c r="AA117" i="14" s="1"/>
  <c r="AA120" i="14" s="1"/>
  <c r="Y115" i="14"/>
  <c r="X115" i="14"/>
  <c r="W115" i="14"/>
  <c r="V115" i="14"/>
  <c r="V119" i="14" s="1"/>
  <c r="U115" i="14"/>
  <c r="U119" i="14" s="1"/>
  <c r="U120" i="14" s="1"/>
  <c r="T115" i="14"/>
  <c r="S115" i="14"/>
  <c r="R115" i="14"/>
  <c r="R119" i="14" s="1"/>
  <c r="R120" i="14" s="1"/>
  <c r="Q115" i="14"/>
  <c r="P115" i="14"/>
  <c r="O115" i="14"/>
  <c r="N115" i="14"/>
  <c r="N119" i="14" s="1"/>
  <c r="N120" i="14" s="1"/>
  <c r="M115" i="14"/>
  <c r="M119" i="14" s="1"/>
  <c r="M120" i="14" s="1"/>
  <c r="L115" i="14"/>
  <c r="K115" i="14"/>
  <c r="J115" i="14"/>
  <c r="J119" i="14" s="1"/>
  <c r="J120" i="14" s="1"/>
  <c r="I115" i="14"/>
  <c r="H115" i="14"/>
  <c r="G115" i="14"/>
  <c r="F115" i="14"/>
  <c r="F119" i="14" s="1"/>
  <c r="AO114" i="14"/>
  <c r="AM114" i="14"/>
  <c r="AM107" i="14"/>
  <c r="AO107" i="14" s="1"/>
  <c r="AO106" i="14"/>
  <c r="AM106" i="14"/>
  <c r="AM105" i="14"/>
  <c r="AO105" i="14" s="1"/>
  <c r="AO104" i="14"/>
  <c r="AM104" i="14"/>
  <c r="AM103" i="14"/>
  <c r="AO103" i="14" s="1"/>
  <c r="AO99" i="14"/>
  <c r="AM99" i="14"/>
  <c r="AM96" i="14"/>
  <c r="AO96" i="14" s="1"/>
  <c r="AK96" i="14"/>
  <c r="AK95" i="14"/>
  <c r="AM95" i="14" s="1"/>
  <c r="AO95" i="14" s="1"/>
  <c r="AO93" i="14"/>
  <c r="AM93" i="14"/>
  <c r="AK93" i="14"/>
  <c r="AM92" i="14"/>
  <c r="AO92" i="14" s="1"/>
  <c r="AK92" i="14"/>
  <c r="AM91" i="14"/>
  <c r="AO91" i="14" s="1"/>
  <c r="AK91" i="14"/>
  <c r="AK90" i="14"/>
  <c r="AM90" i="14" s="1"/>
  <c r="AO90" i="14" s="1"/>
  <c r="AO89" i="14"/>
  <c r="AM89" i="14"/>
  <c r="AK89" i="14"/>
  <c r="AO87" i="14"/>
  <c r="AM87" i="14"/>
  <c r="AK87" i="14"/>
  <c r="AK86" i="14"/>
  <c r="AM86" i="14" s="1"/>
  <c r="AO86" i="14" s="1"/>
  <c r="AK85" i="14"/>
  <c r="AM85" i="14" s="1"/>
  <c r="AO85" i="14" s="1"/>
  <c r="AO84" i="14"/>
  <c r="AM84" i="14"/>
  <c r="AK84" i="14"/>
  <c r="AO83" i="14"/>
  <c r="AM83" i="14"/>
  <c r="AK83" i="14"/>
  <c r="AM82" i="14"/>
  <c r="AO82" i="14" s="1"/>
  <c r="AK82" i="14"/>
  <c r="AK80" i="14"/>
  <c r="AM80" i="14" s="1"/>
  <c r="AO80" i="14" s="1"/>
  <c r="AO79" i="14"/>
  <c r="AM79" i="14"/>
  <c r="AK79" i="14"/>
  <c r="AO78" i="14"/>
  <c r="AM78" i="14"/>
  <c r="AK78" i="14"/>
  <c r="AM77" i="14"/>
  <c r="AO77" i="14" s="1"/>
  <c r="AK77" i="14"/>
  <c r="AK76" i="14"/>
  <c r="AM76" i="14" s="1"/>
  <c r="AO76" i="14" s="1"/>
  <c r="AO75" i="14"/>
  <c r="AM75" i="14"/>
  <c r="AK75" i="14"/>
  <c r="AM74" i="14"/>
  <c r="AO74" i="14" s="1"/>
  <c r="AK74" i="14"/>
  <c r="AM72" i="14"/>
  <c r="AO72" i="14" s="1"/>
  <c r="AK72" i="14"/>
  <c r="AK71" i="14"/>
  <c r="AM71" i="14" s="1"/>
  <c r="AO71" i="14" s="1"/>
  <c r="AO70" i="14"/>
  <c r="AM70" i="14"/>
  <c r="AK70" i="14"/>
  <c r="AM69" i="14"/>
  <c r="AO69" i="14" s="1"/>
  <c r="AK69" i="14"/>
  <c r="AK68" i="14"/>
  <c r="AM68" i="14" s="1"/>
  <c r="AO68" i="14" s="1"/>
  <c r="AK67" i="14"/>
  <c r="AM67" i="14" s="1"/>
  <c r="AO67" i="14" s="1"/>
  <c r="AO66" i="14"/>
  <c r="AM66" i="14"/>
  <c r="AK66" i="14"/>
  <c r="AO65" i="14"/>
  <c r="AM65" i="14"/>
  <c r="AK65" i="14"/>
  <c r="AK64" i="14"/>
  <c r="AM64" i="14" s="1"/>
  <c r="AO64" i="14" s="1"/>
  <c r="AK63" i="14"/>
  <c r="AM63" i="14" s="1"/>
  <c r="AO63" i="14" s="1"/>
  <c r="AO61" i="14"/>
  <c r="AM61" i="14"/>
  <c r="AK61" i="14"/>
  <c r="AO60" i="14"/>
  <c r="AM60" i="14"/>
  <c r="AK60" i="14"/>
  <c r="AM59" i="14"/>
  <c r="AO59" i="14" s="1"/>
  <c r="AK59" i="14"/>
  <c r="AJ57" i="14"/>
  <c r="AJ119" i="14" s="1"/>
  <c r="AI57" i="14"/>
  <c r="AI119" i="14" s="1"/>
  <c r="AH57" i="14"/>
  <c r="AG57" i="14"/>
  <c r="AF57" i="14"/>
  <c r="AF119" i="14" s="1"/>
  <c r="AF120" i="14" s="1"/>
  <c r="AE57" i="14"/>
  <c r="AE119" i="14" s="1"/>
  <c r="AE120" i="14" s="1"/>
  <c r="AD57" i="14"/>
  <c r="AC57" i="14"/>
  <c r="AB57" i="14"/>
  <c r="AB119" i="14" s="1"/>
  <c r="AB120" i="14" s="1"/>
  <c r="AA57" i="14"/>
  <c r="AA119" i="14" s="1"/>
  <c r="Z57" i="14"/>
  <c r="Y57" i="14"/>
  <c r="X57" i="14"/>
  <c r="X119" i="14" s="1"/>
  <c r="X120" i="14" s="1"/>
  <c r="W57" i="14"/>
  <c r="W119" i="14" s="1"/>
  <c r="W120" i="14" s="1"/>
  <c r="V57" i="14"/>
  <c r="U57" i="14"/>
  <c r="T57" i="14"/>
  <c r="T119" i="14" s="1"/>
  <c r="T120" i="14" s="1"/>
  <c r="S57" i="14"/>
  <c r="S119" i="14" s="1"/>
  <c r="S120" i="14" s="1"/>
  <c r="R57" i="14"/>
  <c r="Q57" i="14"/>
  <c r="P57" i="14"/>
  <c r="P119" i="14" s="1"/>
  <c r="P120" i="14" s="1"/>
  <c r="O57" i="14"/>
  <c r="O119" i="14" s="1"/>
  <c r="O120" i="14" s="1"/>
  <c r="N57" i="14"/>
  <c r="M57" i="14"/>
  <c r="L57" i="14"/>
  <c r="L119" i="14" s="1"/>
  <c r="L120" i="14" s="1"/>
  <c r="K57" i="14"/>
  <c r="K119" i="14" s="1"/>
  <c r="K120" i="14" s="1"/>
  <c r="J57" i="14"/>
  <c r="I57" i="14"/>
  <c r="H57" i="14"/>
  <c r="H119" i="14" s="1"/>
  <c r="H120" i="14" s="1"/>
  <c r="G57" i="14"/>
  <c r="G119" i="14" s="1"/>
  <c r="G120" i="14" s="1"/>
  <c r="F57" i="14"/>
  <c r="AO56" i="14"/>
  <c r="AM56" i="14"/>
  <c r="AK56" i="14"/>
  <c r="AK53" i="14"/>
  <c r="AO53" i="14" s="1"/>
  <c r="AK52" i="14"/>
  <c r="AO51" i="14"/>
  <c r="AM51" i="14"/>
  <c r="AK51" i="14"/>
  <c r="AO50" i="14"/>
  <c r="AM50" i="14"/>
  <c r="AK50" i="14"/>
  <c r="AK47" i="14"/>
  <c r="AK46" i="14"/>
  <c r="AO45" i="14"/>
  <c r="AM45" i="14"/>
  <c r="AK45" i="14"/>
  <c r="AO44" i="14"/>
  <c r="AM44" i="14"/>
  <c r="AK44" i="14"/>
  <c r="AK43" i="14"/>
  <c r="AK42" i="14"/>
  <c r="AO41" i="14"/>
  <c r="AM41" i="14"/>
  <c r="AK41" i="14"/>
  <c r="AO40" i="14"/>
  <c r="AM40" i="14"/>
  <c r="AK40" i="14"/>
  <c r="AM39" i="14"/>
  <c r="AK39" i="14"/>
  <c r="AO39" i="14" s="1"/>
  <c r="AK38" i="14"/>
  <c r="AO37" i="14"/>
  <c r="AM37" i="14"/>
  <c r="AK37" i="14"/>
  <c r="AO36" i="14"/>
  <c r="AM36" i="14"/>
  <c r="AK36" i="14"/>
  <c r="AK35" i="14"/>
  <c r="AO35" i="14" s="1"/>
  <c r="AK34" i="14"/>
  <c r="AO33" i="14"/>
  <c r="AM33" i="14"/>
  <c r="AK33" i="14"/>
  <c r="AO32" i="14"/>
  <c r="AM32" i="14"/>
  <c r="AK32" i="14"/>
  <c r="AK31" i="14"/>
  <c r="AK30" i="14"/>
  <c r="AO29" i="14"/>
  <c r="AM29" i="14"/>
  <c r="AK29" i="14"/>
  <c r="AO28" i="14"/>
  <c r="AM28" i="14"/>
  <c r="AK28" i="14"/>
  <c r="AM27" i="14"/>
  <c r="AK27" i="14"/>
  <c r="AO27" i="14" s="1"/>
  <c r="AK26" i="14"/>
  <c r="AO25" i="14"/>
  <c r="AM25" i="14"/>
  <c r="AK25" i="14"/>
  <c r="AO24" i="14"/>
  <c r="AM24" i="14"/>
  <c r="AK24" i="14"/>
  <c r="AM23" i="14"/>
  <c r="AK23" i="14"/>
  <c r="AO23" i="14" s="1"/>
  <c r="AK22" i="14"/>
  <c r="AO21" i="14"/>
  <c r="AM21" i="14"/>
  <c r="AK21" i="14"/>
  <c r="AO20" i="14"/>
  <c r="AM20" i="14"/>
  <c r="AK20" i="14"/>
  <c r="AK19" i="14"/>
  <c r="AO19" i="14" s="1"/>
  <c r="AK18" i="14"/>
  <c r="AO17" i="14"/>
  <c r="AM17" i="14"/>
  <c r="AK17" i="14"/>
  <c r="AO16" i="14"/>
  <c r="AM16" i="14"/>
  <c r="AK16" i="14"/>
  <c r="AK15" i="14"/>
  <c r="AK14" i="14"/>
  <c r="AO13" i="14"/>
  <c r="AK13" i="14"/>
  <c r="AM13" i="14" s="1"/>
  <c r="AO12" i="14"/>
  <c r="AM12" i="14"/>
  <c r="AK12" i="14"/>
  <c r="AK11" i="14"/>
  <c r="AK10" i="14"/>
  <c r="AO9" i="14"/>
  <c r="AK9" i="14"/>
  <c r="AM9" i="14" s="1"/>
  <c r="AO8" i="14"/>
  <c r="AM8" i="14"/>
  <c r="AK8" i="14"/>
  <c r="AK7" i="14"/>
  <c r="F121" i="13"/>
  <c r="AL118" i="13"/>
  <c r="AI118" i="13"/>
  <c r="AI119" i="13" s="1"/>
  <c r="S118" i="13"/>
  <c r="S119" i="13" s="1"/>
  <c r="P118" i="13"/>
  <c r="P119" i="13" s="1"/>
  <c r="AI114" i="13"/>
  <c r="AH114" i="13"/>
  <c r="AG114" i="13"/>
  <c r="AF114" i="13"/>
  <c r="AE114" i="13"/>
  <c r="AD114" i="13"/>
  <c r="AC114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O114" i="13"/>
  <c r="N114" i="13"/>
  <c r="M114" i="13"/>
  <c r="L114" i="13"/>
  <c r="K114" i="13"/>
  <c r="J114" i="13"/>
  <c r="I114" i="13"/>
  <c r="H114" i="13"/>
  <c r="G114" i="13"/>
  <c r="F114" i="13"/>
  <c r="AK113" i="13"/>
  <c r="AM113" i="13" s="1"/>
  <c r="AO113" i="13" s="1"/>
  <c r="AO106" i="13"/>
  <c r="AM106" i="13"/>
  <c r="AK106" i="13"/>
  <c r="AK105" i="13"/>
  <c r="AM105" i="13" s="1"/>
  <c r="AO105" i="13" s="1"/>
  <c r="AK104" i="13"/>
  <c r="AM104" i="13" s="1"/>
  <c r="AO104" i="13" s="1"/>
  <c r="AK103" i="13"/>
  <c r="AM103" i="13" s="1"/>
  <c r="AO103" i="13" s="1"/>
  <c r="AO102" i="13"/>
  <c r="AM102" i="13"/>
  <c r="AK102" i="13"/>
  <c r="AK98" i="13"/>
  <c r="AM98" i="13" s="1"/>
  <c r="AO98" i="13" s="1"/>
  <c r="AK95" i="13"/>
  <c r="AM95" i="13" s="1"/>
  <c r="AO95" i="13" s="1"/>
  <c r="AK94" i="13"/>
  <c r="AM94" i="13" s="1"/>
  <c r="AO94" i="13" s="1"/>
  <c r="AO92" i="13"/>
  <c r="AM92" i="13"/>
  <c r="AK92" i="13"/>
  <c r="AM91" i="13"/>
  <c r="AO91" i="13" s="1"/>
  <c r="AK91" i="13"/>
  <c r="AK90" i="13"/>
  <c r="AM90" i="13" s="1"/>
  <c r="AO90" i="13" s="1"/>
  <c r="AK89" i="13"/>
  <c r="AM89" i="13" s="1"/>
  <c r="AO89" i="13" s="1"/>
  <c r="AO88" i="13"/>
  <c r="AM88" i="13"/>
  <c r="AK88" i="13"/>
  <c r="AM86" i="13"/>
  <c r="AO86" i="13" s="1"/>
  <c r="AK86" i="13"/>
  <c r="AK85" i="13"/>
  <c r="AM85" i="13" s="1"/>
  <c r="AO85" i="13" s="1"/>
  <c r="AK84" i="13"/>
  <c r="AM84" i="13" s="1"/>
  <c r="AO84" i="13" s="1"/>
  <c r="AO83" i="13"/>
  <c r="AM83" i="13"/>
  <c r="AK83" i="13"/>
  <c r="AM82" i="13"/>
  <c r="AO82" i="13" s="1"/>
  <c r="AK82" i="13"/>
  <c r="AK81" i="13"/>
  <c r="AM81" i="13" s="1"/>
  <c r="AO81" i="13" s="1"/>
  <c r="AK79" i="13"/>
  <c r="AM79" i="13" s="1"/>
  <c r="AO79" i="13" s="1"/>
  <c r="AO78" i="13"/>
  <c r="AM78" i="13"/>
  <c r="AK78" i="13"/>
  <c r="AM77" i="13"/>
  <c r="AO77" i="13" s="1"/>
  <c r="AK77" i="13"/>
  <c r="AK76" i="13"/>
  <c r="AM76" i="13" s="1"/>
  <c r="AO76" i="13" s="1"/>
  <c r="AK75" i="13"/>
  <c r="AM75" i="13" s="1"/>
  <c r="AO75" i="13" s="1"/>
  <c r="AO74" i="13"/>
  <c r="AM74" i="13"/>
  <c r="AK74" i="13"/>
  <c r="AO73" i="13"/>
  <c r="AM73" i="13"/>
  <c r="AK73" i="13"/>
  <c r="AM71" i="13"/>
  <c r="AO71" i="13" s="1"/>
  <c r="AK71" i="13"/>
  <c r="AK70" i="13"/>
  <c r="AM70" i="13" s="1"/>
  <c r="AO70" i="13" s="1"/>
  <c r="AO69" i="13"/>
  <c r="AM69" i="13"/>
  <c r="AK69" i="13"/>
  <c r="AM68" i="13"/>
  <c r="AO68" i="13" s="1"/>
  <c r="AK68" i="13"/>
  <c r="AM67" i="13"/>
  <c r="AO67" i="13" s="1"/>
  <c r="AK67" i="13"/>
  <c r="AK66" i="13"/>
  <c r="AM66" i="13" s="1"/>
  <c r="AO66" i="13" s="1"/>
  <c r="AO65" i="13"/>
  <c r="AM65" i="13"/>
  <c r="AK65" i="13"/>
  <c r="AM64" i="13"/>
  <c r="AO64" i="13" s="1"/>
  <c r="AK64" i="13"/>
  <c r="AK63" i="13"/>
  <c r="AM63" i="13" s="1"/>
  <c r="AO63" i="13" s="1"/>
  <c r="AK62" i="13"/>
  <c r="AM62" i="13" s="1"/>
  <c r="AO62" i="13" s="1"/>
  <c r="AO60" i="13"/>
  <c r="AM60" i="13"/>
  <c r="AK60" i="13"/>
  <c r="AM59" i="13"/>
  <c r="AO59" i="13" s="1"/>
  <c r="AK59" i="13"/>
  <c r="AK58" i="13"/>
  <c r="AI56" i="13"/>
  <c r="AH56" i="13"/>
  <c r="AG56" i="13"/>
  <c r="AF56" i="13"/>
  <c r="AF118" i="13" s="1"/>
  <c r="AF119" i="13" s="1"/>
  <c r="AE56" i="13"/>
  <c r="AE118" i="13" s="1"/>
  <c r="AE119" i="13" s="1"/>
  <c r="AD56" i="13"/>
  <c r="AC56" i="13"/>
  <c r="AB56" i="13"/>
  <c r="AB118" i="13" s="1"/>
  <c r="AB119" i="13" s="1"/>
  <c r="AA56" i="13"/>
  <c r="AA118" i="13" s="1"/>
  <c r="Z56" i="13"/>
  <c r="Y56" i="13"/>
  <c r="X56" i="13"/>
  <c r="X118" i="13" s="1"/>
  <c r="X119" i="13" s="1"/>
  <c r="W56" i="13"/>
  <c r="W118" i="13" s="1"/>
  <c r="W119" i="13" s="1"/>
  <c r="V56" i="13"/>
  <c r="U56" i="13"/>
  <c r="T56" i="13"/>
  <c r="T118" i="13" s="1"/>
  <c r="T119" i="13" s="1"/>
  <c r="S56" i="13"/>
  <c r="R56" i="13"/>
  <c r="Q56" i="13"/>
  <c r="P56" i="13"/>
  <c r="O56" i="13"/>
  <c r="O118" i="13" s="1"/>
  <c r="O119" i="13" s="1"/>
  <c r="N56" i="13"/>
  <c r="M56" i="13"/>
  <c r="L56" i="13"/>
  <c r="L118" i="13" s="1"/>
  <c r="L119" i="13" s="1"/>
  <c r="K56" i="13"/>
  <c r="K118" i="13" s="1"/>
  <c r="K119" i="13" s="1"/>
  <c r="J56" i="13"/>
  <c r="I56" i="13"/>
  <c r="H56" i="13"/>
  <c r="H118" i="13" s="1"/>
  <c r="H119" i="13" s="1"/>
  <c r="G56" i="13"/>
  <c r="G118" i="13" s="1"/>
  <c r="G119" i="13" s="1"/>
  <c r="F56" i="13"/>
  <c r="AM55" i="13"/>
  <c r="AK55" i="13"/>
  <c r="AO55" i="13" s="1"/>
  <c r="AK52" i="13"/>
  <c r="AO51" i="13"/>
  <c r="AM51" i="13"/>
  <c r="AK51" i="13"/>
  <c r="AO50" i="13"/>
  <c r="AM50" i="13"/>
  <c r="AK50" i="13"/>
  <c r="AM49" i="13"/>
  <c r="AK49" i="13"/>
  <c r="AO49" i="13" s="1"/>
  <c r="AK47" i="13"/>
  <c r="AO46" i="13"/>
  <c r="AM46" i="13"/>
  <c r="AK46" i="13"/>
  <c r="AO45" i="13"/>
  <c r="AM45" i="13"/>
  <c r="AK45" i="13"/>
  <c r="AK44" i="13"/>
  <c r="AO44" i="13" s="1"/>
  <c r="AK43" i="13"/>
  <c r="AO42" i="13"/>
  <c r="AM42" i="13"/>
  <c r="AK42" i="13"/>
  <c r="AO41" i="13"/>
  <c r="AM41" i="13"/>
  <c r="AK41" i="13"/>
  <c r="AK40" i="13"/>
  <c r="AK39" i="13"/>
  <c r="AO38" i="13"/>
  <c r="AM38" i="13"/>
  <c r="AK38" i="13"/>
  <c r="AO37" i="13"/>
  <c r="AM37" i="13"/>
  <c r="AK37" i="13"/>
  <c r="AK36" i="13"/>
  <c r="AK35" i="13"/>
  <c r="AO34" i="13"/>
  <c r="AM34" i="13"/>
  <c r="AK34" i="13"/>
  <c r="AO33" i="13"/>
  <c r="AM33" i="13"/>
  <c r="AK33" i="13"/>
  <c r="AM32" i="13"/>
  <c r="AK32" i="13"/>
  <c r="AO32" i="13" s="1"/>
  <c r="AK31" i="13"/>
  <c r="AO30" i="13"/>
  <c r="AM30" i="13"/>
  <c r="AK30" i="13"/>
  <c r="AO29" i="13"/>
  <c r="AM29" i="13"/>
  <c r="AK29" i="13"/>
  <c r="AK28" i="13"/>
  <c r="AO28" i="13" s="1"/>
  <c r="AK27" i="13"/>
  <c r="AO26" i="13"/>
  <c r="AM26" i="13"/>
  <c r="AK26" i="13"/>
  <c r="AO25" i="13"/>
  <c r="AM25" i="13"/>
  <c r="AK25" i="13"/>
  <c r="AK24" i="13"/>
  <c r="AK23" i="13"/>
  <c r="AO22" i="13"/>
  <c r="AM22" i="13"/>
  <c r="AK22" i="13"/>
  <c r="AO21" i="13"/>
  <c r="AM21" i="13"/>
  <c r="AK21" i="13"/>
  <c r="AM20" i="13"/>
  <c r="AK20" i="13"/>
  <c r="AO20" i="13" s="1"/>
  <c r="AK19" i="13"/>
  <c r="AO18" i="13"/>
  <c r="AM18" i="13"/>
  <c r="AK18" i="13"/>
  <c r="AO17" i="13"/>
  <c r="AM17" i="13"/>
  <c r="AK17" i="13"/>
  <c r="AM16" i="13"/>
  <c r="AK16" i="13"/>
  <c r="AO16" i="13" s="1"/>
  <c r="AK15" i="13"/>
  <c r="AO14" i="13"/>
  <c r="AM14" i="13"/>
  <c r="AK14" i="13"/>
  <c r="AO13" i="13"/>
  <c r="AM13" i="13"/>
  <c r="AK13" i="13"/>
  <c r="AK12" i="13"/>
  <c r="AO12" i="13" s="1"/>
  <c r="AK11" i="13"/>
  <c r="AO10" i="13"/>
  <c r="AM10" i="13"/>
  <c r="AK10" i="13"/>
  <c r="AO9" i="13"/>
  <c r="AM9" i="13"/>
  <c r="AK9" i="13"/>
  <c r="AK8" i="13"/>
  <c r="AK7" i="13"/>
  <c r="F117" i="12"/>
  <c r="F116" i="12"/>
  <c r="AC114" i="12"/>
  <c r="AB114" i="12"/>
  <c r="L114" i="12"/>
  <c r="AL113" i="12"/>
  <c r="AI113" i="12"/>
  <c r="AI114" i="12" s="1"/>
  <c r="H113" i="12"/>
  <c r="H114" i="12" s="1"/>
  <c r="AJ109" i="12"/>
  <c r="AI109" i="12"/>
  <c r="AH109" i="12"/>
  <c r="AH113" i="12" s="1"/>
  <c r="AH114" i="12" s="1"/>
  <c r="AG109" i="12"/>
  <c r="AG113" i="12" s="1"/>
  <c r="AG114" i="12" s="1"/>
  <c r="F118" i="12" s="1"/>
  <c r="AF109" i="12"/>
  <c r="AE109" i="12"/>
  <c r="AD109" i="12"/>
  <c r="AD113" i="12" s="1"/>
  <c r="AD114" i="12" s="1"/>
  <c r="AC109" i="12"/>
  <c r="AC113" i="12" s="1"/>
  <c r="AB109" i="12"/>
  <c r="AA109" i="12"/>
  <c r="Z109" i="12"/>
  <c r="Z113" i="12" s="1"/>
  <c r="Z114" i="12" s="1"/>
  <c r="AA111" i="12" s="1"/>
  <c r="Y109" i="12"/>
  <c r="Y113" i="12" s="1"/>
  <c r="Y114" i="12" s="1"/>
  <c r="X109" i="12"/>
  <c r="W109" i="12"/>
  <c r="V109" i="12"/>
  <c r="V113" i="12" s="1"/>
  <c r="V114" i="12" s="1"/>
  <c r="U109" i="12"/>
  <c r="U113" i="12" s="1"/>
  <c r="U114" i="12" s="1"/>
  <c r="T109" i="12"/>
  <c r="S109" i="12"/>
  <c r="R109" i="12"/>
  <c r="R113" i="12" s="1"/>
  <c r="R114" i="12" s="1"/>
  <c r="Q109" i="12"/>
  <c r="Q113" i="12" s="1"/>
  <c r="Q114" i="12" s="1"/>
  <c r="P109" i="12"/>
  <c r="O109" i="12"/>
  <c r="N109" i="12"/>
  <c r="N113" i="12" s="1"/>
  <c r="N114" i="12" s="1"/>
  <c r="M109" i="12"/>
  <c r="M113" i="12" s="1"/>
  <c r="M114" i="12" s="1"/>
  <c r="L109" i="12"/>
  <c r="K109" i="12"/>
  <c r="J109" i="12"/>
  <c r="J113" i="12" s="1"/>
  <c r="J114" i="12" s="1"/>
  <c r="I109" i="12"/>
  <c r="I113" i="12" s="1"/>
  <c r="I114" i="12" s="1"/>
  <c r="H109" i="12"/>
  <c r="G109" i="12"/>
  <c r="F109" i="12"/>
  <c r="F113" i="12" s="1"/>
  <c r="F114" i="12" s="1"/>
  <c r="AK108" i="12"/>
  <c r="AM108" i="12" s="1"/>
  <c r="AO108" i="12" s="1"/>
  <c r="AO101" i="12"/>
  <c r="AK101" i="12"/>
  <c r="AM101" i="12" s="1"/>
  <c r="AM100" i="12"/>
  <c r="AO100" i="12" s="1"/>
  <c r="AK100" i="12"/>
  <c r="AK99" i="12"/>
  <c r="AM99" i="12" s="1"/>
  <c r="AO99" i="12" s="1"/>
  <c r="AK98" i="12"/>
  <c r="AM98" i="12" s="1"/>
  <c r="AO98" i="12" s="1"/>
  <c r="AO97" i="12"/>
  <c r="AK97" i="12"/>
  <c r="AM97" i="12" s="1"/>
  <c r="AM95" i="12"/>
  <c r="AO95" i="12" s="1"/>
  <c r="AK95" i="12"/>
  <c r="AK93" i="12"/>
  <c r="AM93" i="12" s="1"/>
  <c r="AO93" i="12" s="1"/>
  <c r="AK92" i="12"/>
  <c r="AM92" i="12" s="1"/>
  <c r="AO92" i="12" s="1"/>
  <c r="AO90" i="12"/>
  <c r="AK90" i="12"/>
  <c r="AM90" i="12" s="1"/>
  <c r="AM89" i="12"/>
  <c r="AO89" i="12" s="1"/>
  <c r="AK89" i="12"/>
  <c r="AK88" i="12"/>
  <c r="AM88" i="12" s="1"/>
  <c r="AO88" i="12" s="1"/>
  <c r="AK87" i="12"/>
  <c r="AM87" i="12" s="1"/>
  <c r="AO87" i="12" s="1"/>
  <c r="AO86" i="12"/>
  <c r="AM86" i="12"/>
  <c r="AK86" i="12"/>
  <c r="AM85" i="12"/>
  <c r="AO85" i="12" s="1"/>
  <c r="AK85" i="12"/>
  <c r="AK84" i="12"/>
  <c r="AM84" i="12" s="1"/>
  <c r="AO84" i="12" s="1"/>
  <c r="AK83" i="12"/>
  <c r="AM83" i="12" s="1"/>
  <c r="AO83" i="12" s="1"/>
  <c r="AO82" i="12"/>
  <c r="AM82" i="12"/>
  <c r="AK82" i="12"/>
  <c r="AO81" i="12"/>
  <c r="AM81" i="12"/>
  <c r="AK81" i="12"/>
  <c r="AM80" i="12"/>
  <c r="AO80" i="12" s="1"/>
  <c r="AK80" i="12"/>
  <c r="AK78" i="12"/>
  <c r="AM78" i="12" s="1"/>
  <c r="AO78" i="12" s="1"/>
  <c r="AO77" i="12"/>
  <c r="AM77" i="12"/>
  <c r="AK77" i="12"/>
  <c r="AM76" i="12"/>
  <c r="AO76" i="12" s="1"/>
  <c r="AK76" i="12"/>
  <c r="AM75" i="12"/>
  <c r="AO75" i="12" s="1"/>
  <c r="AK75" i="12"/>
  <c r="AK74" i="12"/>
  <c r="AM74" i="12" s="1"/>
  <c r="AO74" i="12" s="1"/>
  <c r="AO73" i="12"/>
  <c r="AM73" i="12"/>
  <c r="AK73" i="12"/>
  <c r="AM72" i="12"/>
  <c r="AO72" i="12" s="1"/>
  <c r="AK72" i="12"/>
  <c r="AK70" i="12"/>
  <c r="AM70" i="12" s="1"/>
  <c r="AO70" i="12" s="1"/>
  <c r="AK69" i="12"/>
  <c r="AM69" i="12" s="1"/>
  <c r="AO69" i="12" s="1"/>
  <c r="AO68" i="12"/>
  <c r="AM68" i="12"/>
  <c r="AK68" i="12"/>
  <c r="AM67" i="12"/>
  <c r="AO67" i="12" s="1"/>
  <c r="AK67" i="12"/>
  <c r="AK66" i="12"/>
  <c r="AM66" i="12" s="1"/>
  <c r="AO66" i="12" s="1"/>
  <c r="AK65" i="12"/>
  <c r="AM65" i="12" s="1"/>
  <c r="AO65" i="12" s="1"/>
  <c r="AO64" i="12"/>
  <c r="AM64" i="12"/>
  <c r="AK64" i="12"/>
  <c r="AO63" i="12"/>
  <c r="AM63" i="12"/>
  <c r="AK63" i="12"/>
  <c r="AM62" i="12"/>
  <c r="AO62" i="12" s="1"/>
  <c r="AK62" i="12"/>
  <c r="AK61" i="12"/>
  <c r="AM61" i="12" s="1"/>
  <c r="AO61" i="12" s="1"/>
  <c r="AO60" i="12"/>
  <c r="AM60" i="12"/>
  <c r="AK60" i="12"/>
  <c r="AM59" i="12"/>
  <c r="AO59" i="12" s="1"/>
  <c r="AK59" i="12"/>
  <c r="AM58" i="12"/>
  <c r="AO58" i="12" s="1"/>
  <c r="AK58" i="12"/>
  <c r="AJ56" i="12"/>
  <c r="AJ113" i="12" s="1"/>
  <c r="AJ114" i="12" s="1"/>
  <c r="AI56" i="12"/>
  <c r="AH56" i="12"/>
  <c r="AG56" i="12"/>
  <c r="AF56" i="12"/>
  <c r="AF113" i="12" s="1"/>
  <c r="AF114" i="12" s="1"/>
  <c r="AE56" i="12"/>
  <c r="AD56" i="12"/>
  <c r="AC56" i="12"/>
  <c r="AB56" i="12"/>
  <c r="AB113" i="12" s="1"/>
  <c r="AA56" i="12"/>
  <c r="AA113" i="12" s="1"/>
  <c r="Z56" i="12"/>
  <c r="Y56" i="12"/>
  <c r="X56" i="12"/>
  <c r="X113" i="12" s="1"/>
  <c r="X114" i="12" s="1"/>
  <c r="W56" i="12"/>
  <c r="V56" i="12"/>
  <c r="U56" i="12"/>
  <c r="T56" i="12"/>
  <c r="T113" i="12" s="1"/>
  <c r="T114" i="12" s="1"/>
  <c r="S56" i="12"/>
  <c r="S113" i="12" s="1"/>
  <c r="S114" i="12" s="1"/>
  <c r="R56" i="12"/>
  <c r="Q56" i="12"/>
  <c r="P56" i="12"/>
  <c r="P113" i="12" s="1"/>
  <c r="P114" i="12" s="1"/>
  <c r="O56" i="12"/>
  <c r="N56" i="12"/>
  <c r="M56" i="12"/>
  <c r="L56" i="12"/>
  <c r="L113" i="12" s="1"/>
  <c r="K56" i="12"/>
  <c r="K113" i="12" s="1"/>
  <c r="K114" i="12" s="1"/>
  <c r="J56" i="12"/>
  <c r="I56" i="12"/>
  <c r="H56" i="12"/>
  <c r="G56" i="12"/>
  <c r="F56" i="12"/>
  <c r="AK55" i="12"/>
  <c r="AK52" i="12"/>
  <c r="AO52" i="12" s="1"/>
  <c r="AO51" i="12"/>
  <c r="AK51" i="12"/>
  <c r="AM51" i="12" s="1"/>
  <c r="AO50" i="12"/>
  <c r="AM50" i="12"/>
  <c r="AK50" i="12"/>
  <c r="AO49" i="12"/>
  <c r="AK49" i="12"/>
  <c r="AM49" i="12" s="1"/>
  <c r="AM47" i="12"/>
  <c r="AK47" i="12"/>
  <c r="AO47" i="12" s="1"/>
  <c r="AK46" i="12"/>
  <c r="AM46" i="12" s="1"/>
  <c r="AO45" i="12"/>
  <c r="AM45" i="12"/>
  <c r="AK45" i="12"/>
  <c r="AK44" i="12"/>
  <c r="AK43" i="12"/>
  <c r="AO43" i="12" s="1"/>
  <c r="AO42" i="12"/>
  <c r="AK42" i="12"/>
  <c r="AM42" i="12" s="1"/>
  <c r="AO41" i="12"/>
  <c r="AM41" i="12"/>
  <c r="AK41" i="12"/>
  <c r="AO40" i="12"/>
  <c r="AK40" i="12"/>
  <c r="AM40" i="12" s="1"/>
  <c r="AM39" i="12"/>
  <c r="AK39" i="12"/>
  <c r="AO39" i="12" s="1"/>
  <c r="AK38" i="12"/>
  <c r="AM38" i="12" s="1"/>
  <c r="AO37" i="12"/>
  <c r="AM37" i="12"/>
  <c r="AK37" i="12"/>
  <c r="AK36" i="12"/>
  <c r="AK35" i="12"/>
  <c r="AO35" i="12" s="1"/>
  <c r="AO34" i="12"/>
  <c r="AK34" i="12"/>
  <c r="AM34" i="12" s="1"/>
  <c r="AO33" i="12"/>
  <c r="AM33" i="12"/>
  <c r="AK33" i="12"/>
  <c r="AO32" i="12"/>
  <c r="AK32" i="12"/>
  <c r="AM32" i="12" s="1"/>
  <c r="AM31" i="12"/>
  <c r="AK31" i="12"/>
  <c r="AO31" i="12" s="1"/>
  <c r="AK30" i="12"/>
  <c r="AM30" i="12" s="1"/>
  <c r="AO29" i="12"/>
  <c r="AM29" i="12"/>
  <c r="AK29" i="12"/>
  <c r="AK28" i="12"/>
  <c r="AK27" i="12"/>
  <c r="AO27" i="12" s="1"/>
  <c r="AO26" i="12"/>
  <c r="AK26" i="12"/>
  <c r="AM26" i="12" s="1"/>
  <c r="AO25" i="12"/>
  <c r="AM25" i="12"/>
  <c r="AK25" i="12"/>
  <c r="AO24" i="12"/>
  <c r="AK24" i="12"/>
  <c r="AM24" i="12" s="1"/>
  <c r="AM23" i="12"/>
  <c r="AK23" i="12"/>
  <c r="AO23" i="12" s="1"/>
  <c r="AK22" i="12"/>
  <c r="AM22" i="12" s="1"/>
  <c r="AO21" i="12"/>
  <c r="AM21" i="12"/>
  <c r="AK21" i="12"/>
  <c r="AK20" i="12"/>
  <c r="AK19" i="12"/>
  <c r="AO19" i="12" s="1"/>
  <c r="AO18" i="12"/>
  <c r="AK18" i="12"/>
  <c r="AM18" i="12" s="1"/>
  <c r="AO17" i="12"/>
  <c r="AM17" i="12"/>
  <c r="AK17" i="12"/>
  <c r="AO16" i="12"/>
  <c r="AK16" i="12"/>
  <c r="AM16" i="12" s="1"/>
  <c r="AM15" i="12"/>
  <c r="AK15" i="12"/>
  <c r="AO15" i="12" s="1"/>
  <c r="AK14" i="12"/>
  <c r="AM14" i="12" s="1"/>
  <c r="AO13" i="12"/>
  <c r="AM13" i="12"/>
  <c r="AK13" i="12"/>
  <c r="AM12" i="12"/>
  <c r="AK12" i="12"/>
  <c r="AO12" i="12" s="1"/>
  <c r="AK11" i="12"/>
  <c r="AK10" i="12"/>
  <c r="AO9" i="12"/>
  <c r="AM9" i="12"/>
  <c r="AK9" i="12"/>
  <c r="AK8" i="12"/>
  <c r="AM8" i="12" s="1"/>
  <c r="AM7" i="12"/>
  <c r="AK7" i="12"/>
  <c r="F103" i="11"/>
  <c r="F102" i="11"/>
  <c r="AI99" i="11"/>
  <c r="AD99" i="11"/>
  <c r="Y99" i="11"/>
  <c r="Q99" i="11"/>
  <c r="K99" i="11"/>
  <c r="K100" i="11" s="1"/>
  <c r="U98" i="11"/>
  <c r="T98" i="11"/>
  <c r="R98" i="11"/>
  <c r="Q98" i="11"/>
  <c r="AG95" i="11"/>
  <c r="AF95" i="11"/>
  <c r="AF99" i="11" s="1"/>
  <c r="AE95" i="11"/>
  <c r="AE99" i="11" s="1"/>
  <c r="AD95" i="11"/>
  <c r="AC95" i="11"/>
  <c r="AB95" i="11"/>
  <c r="AB99" i="11" s="1"/>
  <c r="AA95" i="11"/>
  <c r="AA99" i="11" s="1"/>
  <c r="Z95" i="11"/>
  <c r="Y95" i="11"/>
  <c r="X95" i="11"/>
  <c r="X99" i="11" s="1"/>
  <c r="W95" i="11"/>
  <c r="V95" i="11"/>
  <c r="T95" i="11"/>
  <c r="T99" i="11" s="1"/>
  <c r="S95" i="11"/>
  <c r="R95" i="11"/>
  <c r="Q95" i="11"/>
  <c r="P95" i="11"/>
  <c r="P99" i="11" s="1"/>
  <c r="P100" i="11" s="1"/>
  <c r="Q97" i="11" s="1"/>
  <c r="Q100" i="11" s="1"/>
  <c r="R97" i="11" s="1"/>
  <c r="O95" i="11"/>
  <c r="O99" i="11" s="1"/>
  <c r="O100" i="11" s="1"/>
  <c r="N95" i="11"/>
  <c r="M95" i="11"/>
  <c r="L95" i="11"/>
  <c r="L99" i="11" s="1"/>
  <c r="L100" i="11" s="1"/>
  <c r="K95" i="11"/>
  <c r="J95" i="11"/>
  <c r="I95" i="11"/>
  <c r="G95" i="11"/>
  <c r="G99" i="11" s="1"/>
  <c r="F95" i="11"/>
  <c r="AJ94" i="11"/>
  <c r="AL94" i="11" s="1"/>
  <c r="AH94" i="11"/>
  <c r="AL93" i="11"/>
  <c r="AH93" i="11"/>
  <c r="AJ93" i="11" s="1"/>
  <c r="AL92" i="11"/>
  <c r="AJ92" i="11"/>
  <c r="AH92" i="11"/>
  <c r="AL91" i="11"/>
  <c r="AJ91" i="11"/>
  <c r="AH91" i="11"/>
  <c r="AJ90" i="11"/>
  <c r="AL90" i="11" s="1"/>
  <c r="AH90" i="11"/>
  <c r="U90" i="11"/>
  <c r="U95" i="11" s="1"/>
  <c r="AH89" i="11"/>
  <c r="AJ89" i="11" s="1"/>
  <c r="AL89" i="11" s="1"/>
  <c r="AL88" i="11"/>
  <c r="AH88" i="11"/>
  <c r="AJ88" i="11" s="1"/>
  <c r="AJ87" i="11"/>
  <c r="AL87" i="11" s="1"/>
  <c r="AH87" i="11"/>
  <c r="AL86" i="11"/>
  <c r="AH86" i="11"/>
  <c r="AJ86" i="11" s="1"/>
  <c r="AJ85" i="11"/>
  <c r="AL85" i="11" s="1"/>
  <c r="AH85" i="11"/>
  <c r="AH84" i="11"/>
  <c r="AJ84" i="11" s="1"/>
  <c r="AL84" i="11" s="1"/>
  <c r="AL83" i="11"/>
  <c r="AJ83" i="11"/>
  <c r="AH83" i="11"/>
  <c r="AL82" i="11"/>
  <c r="AJ82" i="11"/>
  <c r="AH82" i="11"/>
  <c r="AH81" i="11"/>
  <c r="AJ81" i="11" s="1"/>
  <c r="AL81" i="11" s="1"/>
  <c r="AL80" i="11"/>
  <c r="AH80" i="11"/>
  <c r="AJ80" i="11" s="1"/>
  <c r="AJ79" i="11"/>
  <c r="AL79" i="11" s="1"/>
  <c r="AH79" i="11"/>
  <c r="AL78" i="11"/>
  <c r="AH78" i="11"/>
  <c r="AJ78" i="11" s="1"/>
  <c r="AJ77" i="11"/>
  <c r="AL77" i="11" s="1"/>
  <c r="AH77" i="11"/>
  <c r="AH76" i="11"/>
  <c r="AJ76" i="11" s="1"/>
  <c r="AL76" i="11" s="1"/>
  <c r="AL75" i="11"/>
  <c r="AJ75" i="11"/>
  <c r="AH75" i="11"/>
  <c r="AL74" i="11"/>
  <c r="AJ74" i="11"/>
  <c r="AH74" i="11"/>
  <c r="AH73" i="11"/>
  <c r="AJ73" i="11" s="1"/>
  <c r="AL73" i="11" s="1"/>
  <c r="AL72" i="11"/>
  <c r="AH72" i="11"/>
  <c r="AJ72" i="11" s="1"/>
  <c r="AJ71" i="11"/>
  <c r="AL71" i="11" s="1"/>
  <c r="AH71" i="11"/>
  <c r="AH70" i="11"/>
  <c r="AJ70" i="11" s="1"/>
  <c r="AL70" i="11" s="1"/>
  <c r="AJ69" i="11"/>
  <c r="AL69" i="11" s="1"/>
  <c r="AH69" i="11"/>
  <c r="AH68" i="11"/>
  <c r="AJ68" i="11" s="1"/>
  <c r="AL68" i="11" s="1"/>
  <c r="AL67" i="11"/>
  <c r="AJ67" i="11"/>
  <c r="AH67" i="11"/>
  <c r="AJ66" i="11"/>
  <c r="AL66" i="11" s="1"/>
  <c r="AH66" i="11"/>
  <c r="AH65" i="11"/>
  <c r="AJ65" i="11" s="1"/>
  <c r="AL65" i="11" s="1"/>
  <c r="AL64" i="11"/>
  <c r="AH64" i="11"/>
  <c r="AJ64" i="11" s="1"/>
  <c r="AJ63" i="11"/>
  <c r="AL63" i="11" s="1"/>
  <c r="AH63" i="11"/>
  <c r="AH62" i="11"/>
  <c r="AJ62" i="11" s="1"/>
  <c r="AL62" i="11" s="1"/>
  <c r="AJ61" i="11"/>
  <c r="AL61" i="11" s="1"/>
  <c r="AH61" i="11"/>
  <c r="AH60" i="11"/>
  <c r="AJ60" i="11" s="1"/>
  <c r="AL60" i="11" s="1"/>
  <c r="AL59" i="11"/>
  <c r="AJ59" i="11"/>
  <c r="AH59" i="11"/>
  <c r="AJ58" i="11"/>
  <c r="AL58" i="11" s="1"/>
  <c r="AH58" i="11"/>
  <c r="AH57" i="11"/>
  <c r="AJ57" i="11" s="1"/>
  <c r="AL57" i="11" s="1"/>
  <c r="AL56" i="11"/>
  <c r="AH56" i="11"/>
  <c r="AJ56" i="11" s="1"/>
  <c r="AJ55" i="11"/>
  <c r="AL55" i="11" s="1"/>
  <c r="AH55" i="11"/>
  <c r="AG53" i="11"/>
  <c r="AG99" i="11" s="1"/>
  <c r="AF53" i="11"/>
  <c r="AE53" i="11"/>
  <c r="AD53" i="11"/>
  <c r="AC53" i="11"/>
  <c r="AC99" i="11" s="1"/>
  <c r="AB53" i="11"/>
  <c r="AA53" i="11"/>
  <c r="Z53" i="11"/>
  <c r="Z99" i="11" s="1"/>
  <c r="Y53" i="11"/>
  <c r="X53" i="11"/>
  <c r="V53" i="11"/>
  <c r="V99" i="11" s="1"/>
  <c r="U53" i="11"/>
  <c r="T53" i="11"/>
  <c r="R53" i="11"/>
  <c r="R99" i="11" s="1"/>
  <c r="Q53" i="11"/>
  <c r="P53" i="11"/>
  <c r="O53" i="11"/>
  <c r="N53" i="11"/>
  <c r="N99" i="11" s="1"/>
  <c r="N100" i="11" s="1"/>
  <c r="M53" i="11"/>
  <c r="M99" i="11" s="1"/>
  <c r="M100" i="11" s="1"/>
  <c r="L53" i="11"/>
  <c r="K53" i="11"/>
  <c r="J53" i="11"/>
  <c r="J99" i="11" s="1"/>
  <c r="J100" i="11" s="1"/>
  <c r="I53" i="11"/>
  <c r="I99" i="11" s="1"/>
  <c r="I100" i="11" s="1"/>
  <c r="H53" i="11"/>
  <c r="H99" i="11" s="1"/>
  <c r="G53" i="11"/>
  <c r="F53" i="11"/>
  <c r="AL52" i="11"/>
  <c r="AJ52" i="11"/>
  <c r="AH52" i="11"/>
  <c r="AL51" i="11"/>
  <c r="AJ51" i="11"/>
  <c r="AH51" i="11"/>
  <c r="AH50" i="11"/>
  <c r="AL50" i="11" s="1"/>
  <c r="AH49" i="11"/>
  <c r="W48" i="11"/>
  <c r="AH48" i="11" s="1"/>
  <c r="AJ48" i="11" s="1"/>
  <c r="AL47" i="11"/>
  <c r="AJ47" i="11"/>
  <c r="AH47" i="11"/>
  <c r="AL46" i="11"/>
  <c r="AJ46" i="11"/>
  <c r="AH46" i="11"/>
  <c r="AH45" i="11"/>
  <c r="AL45" i="11" s="1"/>
  <c r="AH44" i="11"/>
  <c r="AL43" i="11"/>
  <c r="W43" i="11"/>
  <c r="AH43" i="11" s="1"/>
  <c r="AJ43" i="11" s="1"/>
  <c r="AL42" i="11"/>
  <c r="AJ42" i="11"/>
  <c r="AH42" i="11"/>
  <c r="AL41" i="11"/>
  <c r="AJ41" i="11"/>
  <c r="AH41" i="11"/>
  <c r="AJ40" i="11"/>
  <c r="AH40" i="11"/>
  <c r="AL40" i="11" s="1"/>
  <c r="AH39" i="11"/>
  <c r="AL38" i="11"/>
  <c r="AJ38" i="11"/>
  <c r="AH38" i="11"/>
  <c r="AL37" i="11"/>
  <c r="AJ37" i="11"/>
  <c r="AH37" i="11"/>
  <c r="AH36" i="11"/>
  <c r="AL36" i="11" s="1"/>
  <c r="AH35" i="11"/>
  <c r="AL34" i="11"/>
  <c r="AJ34" i="11"/>
  <c r="AH34" i="11"/>
  <c r="AL33" i="11"/>
  <c r="AJ33" i="11"/>
  <c r="AH33" i="11"/>
  <c r="W33" i="11"/>
  <c r="AL32" i="11"/>
  <c r="AJ32" i="11"/>
  <c r="AH32" i="11"/>
  <c r="AH31" i="11"/>
  <c r="AL31" i="11" s="1"/>
  <c r="AH30" i="11"/>
  <c r="AL29" i="11"/>
  <c r="AJ29" i="11"/>
  <c r="AH29" i="11"/>
  <c r="AL28" i="11"/>
  <c r="AJ28" i="11"/>
  <c r="AH28" i="11"/>
  <c r="W28" i="11"/>
  <c r="AL27" i="11"/>
  <c r="AJ27" i="11"/>
  <c r="AH27" i="11"/>
  <c r="W27" i="11"/>
  <c r="W53" i="11" s="1"/>
  <c r="W99" i="11" s="1"/>
  <c r="AL26" i="11"/>
  <c r="AJ26" i="11"/>
  <c r="AH26" i="11"/>
  <c r="AJ25" i="11"/>
  <c r="AH25" i="11"/>
  <c r="AL25" i="11" s="1"/>
  <c r="AH24" i="11"/>
  <c r="AL23" i="11"/>
  <c r="AJ23" i="11"/>
  <c r="AH23" i="11"/>
  <c r="AL22" i="11"/>
  <c r="AJ22" i="11"/>
  <c r="AH22" i="11"/>
  <c r="AJ21" i="11"/>
  <c r="AH21" i="11"/>
  <c r="AL21" i="11" s="1"/>
  <c r="AH20" i="11"/>
  <c r="AL19" i="11"/>
  <c r="AJ19" i="11"/>
  <c r="AH19" i="11"/>
  <c r="AL18" i="11"/>
  <c r="AJ18" i="11"/>
  <c r="AH18" i="11"/>
  <c r="AH17" i="11"/>
  <c r="AL17" i="11" s="1"/>
  <c r="AH16" i="11"/>
  <c r="S15" i="11"/>
  <c r="AL14" i="11"/>
  <c r="AJ14" i="11"/>
  <c r="AH14" i="11"/>
  <c r="AL13" i="11"/>
  <c r="AJ13" i="11"/>
  <c r="AH13" i="11"/>
  <c r="AJ12" i="11"/>
  <c r="AH12" i="11"/>
  <c r="AL12" i="11" s="1"/>
  <c r="AH11" i="11"/>
  <c r="AL10" i="11"/>
  <c r="AJ10" i="11"/>
  <c r="AH10" i="11"/>
  <c r="AL9" i="11"/>
  <c r="AJ9" i="11"/>
  <c r="AH9" i="11"/>
  <c r="AH8" i="11"/>
  <c r="AL8" i="11" s="1"/>
  <c r="AH7" i="11"/>
  <c r="U109" i="10"/>
  <c r="V106" i="10" s="1"/>
  <c r="V109" i="10" s="1"/>
  <c r="W106" i="10" s="1"/>
  <c r="W109" i="10" s="1"/>
  <c r="X106" i="10" s="1"/>
  <c r="AI108" i="10"/>
  <c r="AH108" i="10"/>
  <c r="AD108" i="10"/>
  <c r="AA108" i="10"/>
  <c r="Z108" i="10"/>
  <c r="V108" i="10"/>
  <c r="S108" i="10"/>
  <c r="R108" i="10"/>
  <c r="N108" i="10"/>
  <c r="K108" i="10"/>
  <c r="J108" i="10"/>
  <c r="F108" i="10"/>
  <c r="G106" i="10" s="1"/>
  <c r="G109" i="10" s="1"/>
  <c r="H106" i="10" s="1"/>
  <c r="U106" i="10"/>
  <c r="AK104" i="10"/>
  <c r="AJ104" i="10"/>
  <c r="AI104" i="10"/>
  <c r="AH104" i="10"/>
  <c r="AG104" i="10"/>
  <c r="AG108" i="10" s="1"/>
  <c r="AF104" i="10"/>
  <c r="AE104" i="10"/>
  <c r="AD104" i="10"/>
  <c r="AC104" i="10"/>
  <c r="AC108" i="10" s="1"/>
  <c r="AB104" i="10"/>
  <c r="AA104" i="10"/>
  <c r="Z104" i="10"/>
  <c r="Y104" i="10"/>
  <c r="Y108" i="10" s="1"/>
  <c r="X104" i="10"/>
  <c r="W104" i="10"/>
  <c r="V104" i="10"/>
  <c r="U104" i="10"/>
  <c r="U108" i="10" s="1"/>
  <c r="T104" i="10"/>
  <c r="S104" i="10"/>
  <c r="R104" i="10"/>
  <c r="Q104" i="10"/>
  <c r="Q108" i="10" s="1"/>
  <c r="P104" i="10"/>
  <c r="O104" i="10"/>
  <c r="N104" i="10"/>
  <c r="M104" i="10"/>
  <c r="M108" i="10" s="1"/>
  <c r="L104" i="10"/>
  <c r="K104" i="10"/>
  <c r="J104" i="10"/>
  <c r="I104" i="10"/>
  <c r="I108" i="10" s="1"/>
  <c r="H104" i="10"/>
  <c r="G104" i="10"/>
  <c r="F104" i="10"/>
  <c r="F109" i="10" s="1"/>
  <c r="AT103" i="10"/>
  <c r="AT102" i="10"/>
  <c r="AT101" i="10"/>
  <c r="AT100" i="10"/>
  <c r="AT98" i="10"/>
  <c r="AT97" i="10"/>
  <c r="AT96" i="10"/>
  <c r="AT95" i="10"/>
  <c r="AT94" i="10"/>
  <c r="AT93" i="10"/>
  <c r="AT92" i="10"/>
  <c r="AT91" i="10"/>
  <c r="AT90" i="10"/>
  <c r="AT89" i="10"/>
  <c r="AT88" i="10"/>
  <c r="AT86" i="10"/>
  <c r="AT85" i="10"/>
  <c r="AT84" i="10"/>
  <c r="AT83" i="10"/>
  <c r="AT82" i="10"/>
  <c r="AT81" i="10"/>
  <c r="AT80" i="10"/>
  <c r="AT79" i="10"/>
  <c r="AT78" i="10"/>
  <c r="AT77" i="10"/>
  <c r="AT76" i="10"/>
  <c r="AT75" i="10"/>
  <c r="AT74" i="10"/>
  <c r="AT73" i="10"/>
  <c r="AT72" i="10"/>
  <c r="AT71" i="10"/>
  <c r="AT70" i="10"/>
  <c r="AT69" i="10"/>
  <c r="AT68" i="10"/>
  <c r="AT67" i="10"/>
  <c r="AT66" i="10"/>
  <c r="AT65" i="10"/>
  <c r="AT64" i="10"/>
  <c r="AT63" i="10"/>
  <c r="AT62" i="10"/>
  <c r="AT104" i="10" s="1"/>
  <c r="AJ60" i="10"/>
  <c r="AI60" i="10"/>
  <c r="AH60" i="10"/>
  <c r="AG60" i="10"/>
  <c r="AF60" i="10"/>
  <c r="AE60" i="10"/>
  <c r="AE108" i="10" s="1"/>
  <c r="AD60" i="10"/>
  <c r="AC60" i="10"/>
  <c r="AB60" i="10"/>
  <c r="AA60" i="10"/>
  <c r="Z60" i="10"/>
  <c r="Y60" i="10"/>
  <c r="X60" i="10"/>
  <c r="W60" i="10"/>
  <c r="W108" i="10" s="1"/>
  <c r="V60" i="10"/>
  <c r="U60" i="10"/>
  <c r="T60" i="10"/>
  <c r="S60" i="10"/>
  <c r="R60" i="10"/>
  <c r="Q60" i="10"/>
  <c r="P60" i="10"/>
  <c r="O60" i="10"/>
  <c r="O108" i="10" s="1"/>
  <c r="N60" i="10"/>
  <c r="M60" i="10"/>
  <c r="L60" i="10"/>
  <c r="K60" i="10"/>
  <c r="J60" i="10"/>
  <c r="I60" i="10"/>
  <c r="H60" i="10"/>
  <c r="G60" i="10"/>
  <c r="G108" i="10" s="1"/>
  <c r="F60" i="10"/>
  <c r="AK59" i="10"/>
  <c r="AT59" i="10" s="1"/>
  <c r="AK58" i="10"/>
  <c r="AT57" i="10"/>
  <c r="AM57" i="10"/>
  <c r="AK57" i="10"/>
  <c r="AT56" i="10"/>
  <c r="AM56" i="10"/>
  <c r="AK56" i="10"/>
  <c r="AM55" i="10"/>
  <c r="AK55" i="10"/>
  <c r="AT55" i="10" s="1"/>
  <c r="AK54" i="10"/>
  <c r="AT53" i="10"/>
  <c r="AM53" i="10"/>
  <c r="AK53" i="10"/>
  <c r="AT52" i="10"/>
  <c r="AM52" i="10"/>
  <c r="AK52" i="10"/>
  <c r="AM51" i="10"/>
  <c r="AK51" i="10"/>
  <c r="AT51" i="10" s="1"/>
  <c r="AK50" i="10"/>
  <c r="AT49" i="10"/>
  <c r="AM49" i="10"/>
  <c r="AK49" i="10"/>
  <c r="AT48" i="10"/>
  <c r="AM48" i="10"/>
  <c r="AK48" i="10"/>
  <c r="AK47" i="10"/>
  <c r="AT47" i="10" s="1"/>
  <c r="AK46" i="10"/>
  <c r="AT45" i="10"/>
  <c r="AM45" i="10"/>
  <c r="AK45" i="10"/>
  <c r="AT44" i="10"/>
  <c r="AM44" i="10"/>
  <c r="AK44" i="10"/>
  <c r="AK43" i="10"/>
  <c r="AT43" i="10" s="1"/>
  <c r="AK42" i="10"/>
  <c r="AT41" i="10"/>
  <c r="AM41" i="10"/>
  <c r="AK41" i="10"/>
  <c r="AT40" i="10"/>
  <c r="AM40" i="10"/>
  <c r="AK40" i="10"/>
  <c r="AM39" i="10"/>
  <c r="AK39" i="10"/>
  <c r="AT39" i="10" s="1"/>
  <c r="AK38" i="10"/>
  <c r="AT37" i="10"/>
  <c r="AM37" i="10"/>
  <c r="AK37" i="10"/>
  <c r="AT36" i="10"/>
  <c r="AM36" i="10"/>
  <c r="AK36" i="10"/>
  <c r="AM35" i="10"/>
  <c r="AK35" i="10"/>
  <c r="AT35" i="10" s="1"/>
  <c r="AK34" i="10"/>
  <c r="AT33" i="10"/>
  <c r="AM33" i="10"/>
  <c r="AK33" i="10"/>
  <c r="AT32" i="10"/>
  <c r="AM32" i="10"/>
  <c r="AK32" i="10"/>
  <c r="AK31" i="10"/>
  <c r="AT31" i="10" s="1"/>
  <c r="AK30" i="10"/>
  <c r="AT29" i="10"/>
  <c r="AM29" i="10"/>
  <c r="AK29" i="10"/>
  <c r="AT28" i="10"/>
  <c r="AM28" i="10"/>
  <c r="AK28" i="10"/>
  <c r="AK27" i="10"/>
  <c r="AT27" i="10" s="1"/>
  <c r="AK26" i="10"/>
  <c r="AT25" i="10"/>
  <c r="AM25" i="10"/>
  <c r="AK25" i="10"/>
  <c r="AT24" i="10"/>
  <c r="AM24" i="10"/>
  <c r="AK24" i="10"/>
  <c r="AM23" i="10"/>
  <c r="AK23" i="10"/>
  <c r="AT23" i="10" s="1"/>
  <c r="AK22" i="10"/>
  <c r="AT21" i="10"/>
  <c r="AM21" i="10"/>
  <c r="AK21" i="10"/>
  <c r="AT20" i="10"/>
  <c r="AM20" i="10"/>
  <c r="AK20" i="10"/>
  <c r="AM19" i="10"/>
  <c r="AK19" i="10"/>
  <c r="AT19" i="10" s="1"/>
  <c r="AK18" i="10"/>
  <c r="AT17" i="10"/>
  <c r="AM17" i="10"/>
  <c r="AK17" i="10"/>
  <c r="AT16" i="10"/>
  <c r="AM16" i="10"/>
  <c r="AK16" i="10"/>
  <c r="AK15" i="10"/>
  <c r="AT15" i="10" s="1"/>
  <c r="AK14" i="10"/>
  <c r="AT13" i="10"/>
  <c r="AM13" i="10"/>
  <c r="AK13" i="10"/>
  <c r="AT12" i="10"/>
  <c r="AM12" i="10"/>
  <c r="AK12" i="10"/>
  <c r="AK11" i="10"/>
  <c r="AT11" i="10" s="1"/>
  <c r="AK10" i="10"/>
  <c r="AT9" i="10"/>
  <c r="AM9" i="10"/>
  <c r="AK9" i="10"/>
  <c r="AT8" i="10"/>
  <c r="AM8" i="10"/>
  <c r="AK8" i="10"/>
  <c r="AM7" i="10"/>
  <c r="AK7" i="10"/>
  <c r="AJ73" i="9"/>
  <c r="AI73" i="9"/>
  <c r="AF73" i="9"/>
  <c r="AE73" i="9"/>
  <c r="AA73" i="9"/>
  <c r="X73" i="9"/>
  <c r="P73" i="9"/>
  <c r="O73" i="9"/>
  <c r="H73" i="9"/>
  <c r="AG72" i="9"/>
  <c r="AF72" i="9"/>
  <c r="AE72" i="9"/>
  <c r="AC72" i="9"/>
  <c r="Y72" i="9"/>
  <c r="AJ69" i="9"/>
  <c r="AI69" i="9"/>
  <c r="AH69" i="9"/>
  <c r="AG69" i="9"/>
  <c r="AF69" i="9"/>
  <c r="AE69" i="9"/>
  <c r="AD69" i="9"/>
  <c r="AC69" i="9"/>
  <c r="Z69" i="9"/>
  <c r="X69" i="9"/>
  <c r="V69" i="9"/>
  <c r="R69" i="9"/>
  <c r="Q69" i="9"/>
  <c r="P69" i="9"/>
  <c r="O69" i="9"/>
  <c r="N69" i="9"/>
  <c r="L69" i="9"/>
  <c r="F69" i="9"/>
  <c r="AP68" i="9"/>
  <c r="AK68" i="9"/>
  <c r="AM68" i="9" s="1"/>
  <c r="AQ68" i="9" s="1"/>
  <c r="AK63" i="9"/>
  <c r="AM63" i="9" s="1"/>
  <c r="AT63" i="9" s="1"/>
  <c r="AT62" i="9"/>
  <c r="AM62" i="9"/>
  <c r="AK62" i="9"/>
  <c r="AT61" i="9"/>
  <c r="AP61" i="9"/>
  <c r="AK61" i="9"/>
  <c r="AM61" i="9" s="1"/>
  <c r="AQ61" i="9" s="1"/>
  <c r="AT60" i="9"/>
  <c r="AP60" i="9"/>
  <c r="AK60" i="9"/>
  <c r="AM60" i="9" s="1"/>
  <c r="AQ60" i="9" s="1"/>
  <c r="AC60" i="9"/>
  <c r="W60" i="9"/>
  <c r="W69" i="9" s="1"/>
  <c r="W73" i="9" s="1"/>
  <c r="U60" i="9"/>
  <c r="AT59" i="9"/>
  <c r="AP59" i="9"/>
  <c r="AM59" i="9"/>
  <c r="AQ59" i="9" s="1"/>
  <c r="AK59" i="9"/>
  <c r="K58" i="9"/>
  <c r="AK58" i="9" s="1"/>
  <c r="AM58" i="9" s="1"/>
  <c r="AT58" i="9" s="1"/>
  <c r="J58" i="9"/>
  <c r="AK57" i="9"/>
  <c r="AM57" i="9" s="1"/>
  <c r="AT57" i="9" s="1"/>
  <c r="AK56" i="9"/>
  <c r="AM56" i="9" s="1"/>
  <c r="AT56" i="9" s="1"/>
  <c r="S56" i="9"/>
  <c r="AB55" i="9"/>
  <c r="AB69" i="9" s="1"/>
  <c r="H55" i="9"/>
  <c r="AM54" i="9"/>
  <c r="AT54" i="9" s="1"/>
  <c r="AK54" i="9"/>
  <c r="J53" i="9"/>
  <c r="G53" i="9"/>
  <c r="AK52" i="9"/>
  <c r="AM52" i="9" s="1"/>
  <c r="AT52" i="9" s="1"/>
  <c r="K52" i="9"/>
  <c r="K69" i="9" s="1"/>
  <c r="K73" i="9" s="1"/>
  <c r="AM51" i="9"/>
  <c r="AT51" i="9" s="1"/>
  <c r="AK51" i="9"/>
  <c r="T51" i="9"/>
  <c r="Q51" i="9"/>
  <c r="AT50" i="9"/>
  <c r="AM50" i="9"/>
  <c r="AK50" i="9"/>
  <c r="F50" i="9"/>
  <c r="AT49" i="9"/>
  <c r="AM49" i="9"/>
  <c r="AK49" i="9"/>
  <c r="AM48" i="9"/>
  <c r="AT48" i="9" s="1"/>
  <c r="AK48" i="9"/>
  <c r="AK47" i="9"/>
  <c r="AM47" i="9" s="1"/>
  <c r="AT47" i="9" s="1"/>
  <c r="AT46" i="9"/>
  <c r="AM46" i="9"/>
  <c r="AK46" i="9"/>
  <c r="AM45" i="9"/>
  <c r="AT45" i="9" s="1"/>
  <c r="AK45" i="9"/>
  <c r="AM44" i="9"/>
  <c r="AT44" i="9" s="1"/>
  <c r="AK44" i="9"/>
  <c r="AK43" i="9"/>
  <c r="AM43" i="9" s="1"/>
  <c r="AT43" i="9" s="1"/>
  <c r="AT42" i="9"/>
  <c r="AM42" i="9"/>
  <c r="AK42" i="9"/>
  <c r="AD41" i="9"/>
  <c r="Z41" i="9"/>
  <c r="Y41" i="9"/>
  <c r="Y69" i="9" s="1"/>
  <c r="U41" i="9"/>
  <c r="AK41" i="9" s="1"/>
  <c r="AM41" i="9" s="1"/>
  <c r="AT41" i="9" s="1"/>
  <c r="V40" i="9"/>
  <c r="U40" i="9"/>
  <c r="I40" i="9"/>
  <c r="I69" i="9" s="1"/>
  <c r="H40" i="9"/>
  <c r="H69" i="9" s="1"/>
  <c r="AP39" i="9"/>
  <c r="AD39" i="9"/>
  <c r="AA39" i="9"/>
  <c r="AA69" i="9" s="1"/>
  <c r="U39" i="9"/>
  <c r="U69" i="9" s="1"/>
  <c r="J39" i="9"/>
  <c r="I39" i="9"/>
  <c r="G39" i="9"/>
  <c r="AT38" i="9"/>
  <c r="AP38" i="9"/>
  <c r="AM38" i="9"/>
  <c r="AQ38" i="9" s="1"/>
  <c r="AK38" i="9"/>
  <c r="T38" i="9"/>
  <c r="T69" i="9" s="1"/>
  <c r="T73" i="9" s="1"/>
  <c r="AP37" i="9"/>
  <c r="S37" i="9"/>
  <c r="M37" i="9"/>
  <c r="M69" i="9" s="1"/>
  <c r="G37" i="9"/>
  <c r="G69" i="9" s="1"/>
  <c r="G73" i="9" s="1"/>
  <c r="AJ35" i="9"/>
  <c r="AI35" i="9"/>
  <c r="AH35" i="9"/>
  <c r="AG35" i="9"/>
  <c r="AF35" i="9"/>
  <c r="AE35" i="9"/>
  <c r="AD35" i="9"/>
  <c r="AC35" i="9"/>
  <c r="AA35" i="9"/>
  <c r="Z35" i="9"/>
  <c r="Z73" i="9" s="1"/>
  <c r="Y35" i="9"/>
  <c r="X35" i="9"/>
  <c r="W35" i="9"/>
  <c r="V35" i="9"/>
  <c r="V73" i="9" s="1"/>
  <c r="U35" i="9"/>
  <c r="T35" i="9"/>
  <c r="Q35" i="9"/>
  <c r="Q73" i="9" s="1"/>
  <c r="P35" i="9"/>
  <c r="O35" i="9"/>
  <c r="N35" i="9"/>
  <c r="N73" i="9" s="1"/>
  <c r="M35" i="9"/>
  <c r="K35" i="9"/>
  <c r="J35" i="9"/>
  <c r="I35" i="9"/>
  <c r="H35" i="9"/>
  <c r="G35" i="9"/>
  <c r="F35" i="9"/>
  <c r="AT34" i="9"/>
  <c r="AP34" i="9"/>
  <c r="AK34" i="9"/>
  <c r="AM34" i="9" s="1"/>
  <c r="AT32" i="9"/>
  <c r="AM32" i="9"/>
  <c r="AK32" i="9"/>
  <c r="AT31" i="9"/>
  <c r="AM31" i="9"/>
  <c r="AK31" i="9"/>
  <c r="AM30" i="9"/>
  <c r="AT30" i="9" s="1"/>
  <c r="AK30" i="9"/>
  <c r="AK29" i="9"/>
  <c r="AM29" i="9" s="1"/>
  <c r="AT29" i="9" s="1"/>
  <c r="AT28" i="9"/>
  <c r="AM28" i="9"/>
  <c r="AK28" i="9"/>
  <c r="AM27" i="9"/>
  <c r="AT27" i="9" s="1"/>
  <c r="AK27" i="9"/>
  <c r="AM26" i="9"/>
  <c r="AT26" i="9" s="1"/>
  <c r="AK26" i="9"/>
  <c r="AK25" i="9"/>
  <c r="AM25" i="9" s="1"/>
  <c r="AT25" i="9" s="1"/>
  <c r="AT24" i="9"/>
  <c r="AM24" i="9"/>
  <c r="AK24" i="9"/>
  <c r="AM23" i="9"/>
  <c r="AT23" i="9" s="1"/>
  <c r="AK23" i="9"/>
  <c r="AK22" i="9"/>
  <c r="AM22" i="9" s="1"/>
  <c r="AT22" i="9" s="1"/>
  <c r="AK21" i="9"/>
  <c r="AM21" i="9" s="1"/>
  <c r="AT21" i="9" s="1"/>
  <c r="R21" i="9"/>
  <c r="R20" i="9"/>
  <c r="AK20" i="9" s="1"/>
  <c r="AM20" i="9" s="1"/>
  <c r="AT20" i="9" s="1"/>
  <c r="AK19" i="9"/>
  <c r="AM19" i="9" s="1"/>
  <c r="AT19" i="9" s="1"/>
  <c r="AT18" i="9"/>
  <c r="AM18" i="9"/>
  <c r="AK18" i="9"/>
  <c r="AT17" i="9"/>
  <c r="AM17" i="9"/>
  <c r="AK17" i="9"/>
  <c r="L17" i="9"/>
  <c r="AT16" i="9"/>
  <c r="AM16" i="9"/>
  <c r="AK16" i="9"/>
  <c r="AK15" i="9"/>
  <c r="AM15" i="9" s="1"/>
  <c r="AT15" i="9" s="1"/>
  <c r="AP14" i="9"/>
  <c r="AK14" i="9"/>
  <c r="AM14" i="9" s="1"/>
  <c r="AT14" i="9" s="1"/>
  <c r="S14" i="9"/>
  <c r="AP13" i="9"/>
  <c r="AC13" i="9"/>
  <c r="AB13" i="9"/>
  <c r="AB35" i="9" s="1"/>
  <c r="AB73" i="9" s="1"/>
  <c r="S13" i="9"/>
  <c r="AP12" i="9"/>
  <c r="AK12" i="9"/>
  <c r="AM12" i="9" s="1"/>
  <c r="AT12" i="9" s="1"/>
  <c r="AP11" i="9"/>
  <c r="AK11" i="9"/>
  <c r="AM11" i="9" s="1"/>
  <c r="AT11" i="9" s="1"/>
  <c r="S11" i="9"/>
  <c r="S35" i="9" s="1"/>
  <c r="Q11" i="9"/>
  <c r="AQ10" i="9"/>
  <c r="AP10" i="9"/>
  <c r="AK10" i="9"/>
  <c r="AM10" i="9" s="1"/>
  <c r="AT10" i="9" s="1"/>
  <c r="AP9" i="9"/>
  <c r="AM9" i="9"/>
  <c r="AK9" i="9"/>
  <c r="L9" i="9"/>
  <c r="L35" i="9" s="1"/>
  <c r="L73" i="9" s="1"/>
  <c r="AP8" i="9"/>
  <c r="AQ8" i="9" s="1"/>
  <c r="AM8" i="9"/>
  <c r="AT8" i="9" s="1"/>
  <c r="AK8" i="9"/>
  <c r="AT7" i="9"/>
  <c r="AQ7" i="9"/>
  <c r="AP7" i="9"/>
  <c r="AK7" i="9"/>
  <c r="AM7" i="9" s="1"/>
  <c r="AI75" i="8"/>
  <c r="AH75" i="8"/>
  <c r="AE75" i="8"/>
  <c r="AD75" i="8"/>
  <c r="AA75" i="8"/>
  <c r="Z75" i="8"/>
  <c r="W75" i="8"/>
  <c r="V75" i="8"/>
  <c r="S75" i="8"/>
  <c r="R75" i="8"/>
  <c r="O75" i="8"/>
  <c r="N75" i="8"/>
  <c r="K75" i="8"/>
  <c r="J75" i="8"/>
  <c r="G75" i="8"/>
  <c r="F75" i="8"/>
  <c r="AG74" i="8"/>
  <c r="AF74" i="8"/>
  <c r="AE74" i="8"/>
  <c r="AC74" i="8"/>
  <c r="Y74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AP70" i="8"/>
  <c r="AK70" i="8"/>
  <c r="AM70" i="8" s="1"/>
  <c r="AT65" i="8"/>
  <c r="AM65" i="8"/>
  <c r="AK65" i="8"/>
  <c r="AT64" i="8"/>
  <c r="AM64" i="8"/>
  <c r="AK64" i="8"/>
  <c r="AP63" i="8"/>
  <c r="AQ63" i="8" s="1"/>
  <c r="AM63" i="8"/>
  <c r="AT63" i="8" s="1"/>
  <c r="AK63" i="8"/>
  <c r="AT62" i="8"/>
  <c r="AQ62" i="8"/>
  <c r="AP62" i="8"/>
  <c r="AK62" i="8"/>
  <c r="AM62" i="8" s="1"/>
  <c r="AT61" i="8"/>
  <c r="AP61" i="8"/>
  <c r="AM61" i="8"/>
  <c r="AQ61" i="8" s="1"/>
  <c r="AK61" i="8"/>
  <c r="AK60" i="8"/>
  <c r="AM60" i="8" s="1"/>
  <c r="AT60" i="8" s="1"/>
  <c r="AT59" i="8"/>
  <c r="AM59" i="8"/>
  <c r="AK59" i="8"/>
  <c r="AM58" i="8"/>
  <c r="AT58" i="8" s="1"/>
  <c r="AK58" i="8"/>
  <c r="AK57" i="8"/>
  <c r="AM57" i="8" s="1"/>
  <c r="AT57" i="8" s="1"/>
  <c r="AK56" i="8"/>
  <c r="AM56" i="8" s="1"/>
  <c r="AT56" i="8" s="1"/>
  <c r="AT55" i="8"/>
  <c r="AM55" i="8"/>
  <c r="AK55" i="8"/>
  <c r="AT54" i="8"/>
  <c r="AM54" i="8"/>
  <c r="AK54" i="8"/>
  <c r="AK53" i="8"/>
  <c r="AM53" i="8" s="1"/>
  <c r="AT53" i="8" s="1"/>
  <c r="AK52" i="8"/>
  <c r="AM52" i="8" s="1"/>
  <c r="AT52" i="8" s="1"/>
  <c r="AT51" i="8"/>
  <c r="AM51" i="8"/>
  <c r="AK51" i="8"/>
  <c r="AT50" i="8"/>
  <c r="AM50" i="8"/>
  <c r="AK50" i="8"/>
  <c r="AM49" i="8"/>
  <c r="AT49" i="8" s="1"/>
  <c r="AK49" i="8"/>
  <c r="AK48" i="8"/>
  <c r="AM48" i="8" s="1"/>
  <c r="AT48" i="8" s="1"/>
  <c r="AT47" i="8"/>
  <c r="AM47" i="8"/>
  <c r="AK47" i="8"/>
  <c r="AM46" i="8"/>
  <c r="AT46" i="8" s="1"/>
  <c r="AK46" i="8"/>
  <c r="AM45" i="8"/>
  <c r="AT45" i="8" s="1"/>
  <c r="AK45" i="8"/>
  <c r="AK44" i="8"/>
  <c r="AM44" i="8" s="1"/>
  <c r="AT44" i="8" s="1"/>
  <c r="AT43" i="8"/>
  <c r="AM43" i="8"/>
  <c r="AK43" i="8"/>
  <c r="AM42" i="8"/>
  <c r="AT42" i="8" s="1"/>
  <c r="AK42" i="8"/>
  <c r="AP41" i="8"/>
  <c r="AQ41" i="8" s="1"/>
  <c r="AM41" i="8"/>
  <c r="AT41" i="8" s="1"/>
  <c r="AK41" i="8"/>
  <c r="AQ40" i="8"/>
  <c r="AP40" i="8"/>
  <c r="AK40" i="8"/>
  <c r="AM40" i="8" s="1"/>
  <c r="AT40" i="8" s="1"/>
  <c r="AP39" i="8"/>
  <c r="AM39" i="8"/>
  <c r="AK39" i="8"/>
  <c r="AK71" i="8" s="1"/>
  <c r="AJ37" i="8"/>
  <c r="AJ75" i="8" s="1"/>
  <c r="AI37" i="8"/>
  <c r="AH37" i="8"/>
  <c r="AG37" i="8"/>
  <c r="AF37" i="8"/>
  <c r="AF75" i="8" s="1"/>
  <c r="AE37" i="8"/>
  <c r="AD37" i="8"/>
  <c r="AC37" i="8"/>
  <c r="AB37" i="8"/>
  <c r="AB75" i="8" s="1"/>
  <c r="AA37" i="8"/>
  <c r="Z37" i="8"/>
  <c r="Y37" i="8"/>
  <c r="X37" i="8"/>
  <c r="X75" i="8" s="1"/>
  <c r="X76" i="8" s="1"/>
  <c r="Y73" i="8" s="1"/>
  <c r="W37" i="8"/>
  <c r="V37" i="8"/>
  <c r="U37" i="8"/>
  <c r="T37" i="8"/>
  <c r="T75" i="8" s="1"/>
  <c r="S37" i="8"/>
  <c r="R37" i="8"/>
  <c r="Q37" i="8"/>
  <c r="P37" i="8"/>
  <c r="P75" i="8" s="1"/>
  <c r="O37" i="8"/>
  <c r="N37" i="8"/>
  <c r="M37" i="8"/>
  <c r="L37" i="8"/>
  <c r="L75" i="8" s="1"/>
  <c r="K37" i="8"/>
  <c r="J37" i="8"/>
  <c r="I37" i="8"/>
  <c r="H37" i="8"/>
  <c r="H75" i="8" s="1"/>
  <c r="G37" i="8"/>
  <c r="F37" i="8"/>
  <c r="AT36" i="8"/>
  <c r="AP36" i="8"/>
  <c r="AM36" i="8"/>
  <c r="AK36" i="8"/>
  <c r="AM32" i="8"/>
  <c r="AT32" i="8" s="1"/>
  <c r="AK32" i="8"/>
  <c r="AM31" i="8"/>
  <c r="AT31" i="8" s="1"/>
  <c r="AK31" i="8"/>
  <c r="AK30" i="8"/>
  <c r="AM30" i="8" s="1"/>
  <c r="AT30" i="8" s="1"/>
  <c r="AT29" i="8"/>
  <c r="AM29" i="8"/>
  <c r="AK29" i="8"/>
  <c r="AM28" i="8"/>
  <c r="AT28" i="8" s="1"/>
  <c r="AK28" i="8"/>
  <c r="AK27" i="8"/>
  <c r="AM27" i="8" s="1"/>
  <c r="AT27" i="8" s="1"/>
  <c r="AK26" i="8"/>
  <c r="AM26" i="8" s="1"/>
  <c r="AT26" i="8" s="1"/>
  <c r="AT25" i="8"/>
  <c r="AM25" i="8"/>
  <c r="AK25" i="8"/>
  <c r="AT24" i="8"/>
  <c r="AM24" i="8"/>
  <c r="AK24" i="8"/>
  <c r="AK23" i="8"/>
  <c r="AM23" i="8" s="1"/>
  <c r="AT23" i="8" s="1"/>
  <c r="AK22" i="8"/>
  <c r="AM22" i="8" s="1"/>
  <c r="AT22" i="8" s="1"/>
  <c r="AT21" i="8"/>
  <c r="AM21" i="8"/>
  <c r="AK21" i="8"/>
  <c r="AT20" i="8"/>
  <c r="AM20" i="8"/>
  <c r="AK20" i="8"/>
  <c r="AM19" i="8"/>
  <c r="AT19" i="8" s="1"/>
  <c r="AK19" i="8"/>
  <c r="AK18" i="8"/>
  <c r="AM18" i="8" s="1"/>
  <c r="AT18" i="8" s="1"/>
  <c r="AT17" i="8"/>
  <c r="AM17" i="8"/>
  <c r="AK17" i="8"/>
  <c r="AM16" i="8"/>
  <c r="AT16" i="8" s="1"/>
  <c r="AK16" i="8"/>
  <c r="AM15" i="8"/>
  <c r="AT15" i="8" s="1"/>
  <c r="AK15" i="8"/>
  <c r="AP14" i="8"/>
  <c r="AM14" i="8"/>
  <c r="AT14" i="8" s="1"/>
  <c r="AK14" i="8"/>
  <c r="AP13" i="8"/>
  <c r="AM13" i="8"/>
  <c r="AT13" i="8" s="1"/>
  <c r="AK13" i="8"/>
  <c r="AP12" i="8"/>
  <c r="AM12" i="8"/>
  <c r="AT12" i="8" s="1"/>
  <c r="AK12" i="8"/>
  <c r="AP11" i="8"/>
  <c r="AM11" i="8"/>
  <c r="AT11" i="8" s="1"/>
  <c r="AK11" i="8"/>
  <c r="AP10" i="8"/>
  <c r="AM10" i="8"/>
  <c r="AT10" i="8" s="1"/>
  <c r="AK10" i="8"/>
  <c r="AP9" i="8"/>
  <c r="AQ9" i="8" s="1"/>
  <c r="AM9" i="8"/>
  <c r="AT9" i="8" s="1"/>
  <c r="AK9" i="8"/>
  <c r="AP8" i="8"/>
  <c r="AQ8" i="8" s="1"/>
  <c r="AK8" i="8"/>
  <c r="AM8" i="8" s="1"/>
  <c r="AT8" i="8" s="1"/>
  <c r="AQ7" i="8"/>
  <c r="AP7" i="8"/>
  <c r="AM7" i="8"/>
  <c r="AT7" i="8" s="1"/>
  <c r="AK7" i="8"/>
  <c r="AK37" i="8" s="1"/>
  <c r="AJ35" i="5"/>
  <c r="AH35" i="5"/>
  <c r="AD35" i="5"/>
  <c r="Z35" i="5"/>
  <c r="V35" i="5"/>
  <c r="T35" i="5"/>
  <c r="R35" i="5"/>
  <c r="N35" i="5"/>
  <c r="J35" i="5"/>
  <c r="AG34" i="5"/>
  <c r="AF34" i="5"/>
  <c r="AE34" i="5"/>
  <c r="AC34" i="5"/>
  <c r="Y34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AT30" i="5"/>
  <c r="AP30" i="5"/>
  <c r="AK30" i="5"/>
  <c r="AM30" i="5" s="1"/>
  <c r="AQ30" i="5" s="1"/>
  <c r="F25" i="5"/>
  <c r="AP23" i="5"/>
  <c r="AK23" i="5"/>
  <c r="AM23" i="5" s="1"/>
  <c r="AT23" i="5" s="1"/>
  <c r="F23" i="5"/>
  <c r="AP22" i="5"/>
  <c r="AQ22" i="5" s="1"/>
  <c r="AK22" i="5"/>
  <c r="AM22" i="5" s="1"/>
  <c r="AT22" i="5" s="1"/>
  <c r="AP21" i="5"/>
  <c r="F21" i="5"/>
  <c r="AQ20" i="5"/>
  <c r="AP20" i="5"/>
  <c r="AM20" i="5"/>
  <c r="AT20" i="5" s="1"/>
  <c r="AK20" i="5"/>
  <c r="AT19" i="5"/>
  <c r="AP19" i="5"/>
  <c r="AK19" i="5"/>
  <c r="AM19" i="5" s="1"/>
  <c r="AQ19" i="5" s="1"/>
  <c r="AP18" i="5"/>
  <c r="AK18" i="5"/>
  <c r="AJ16" i="5"/>
  <c r="AI16" i="5"/>
  <c r="AI35" i="5" s="1"/>
  <c r="AH16" i="5"/>
  <c r="AG16" i="5"/>
  <c r="AF16" i="5"/>
  <c r="AF35" i="5" s="1"/>
  <c r="AE16" i="5"/>
  <c r="AE35" i="5" s="1"/>
  <c r="AD16" i="5"/>
  <c r="AC16" i="5"/>
  <c r="AB16" i="5"/>
  <c r="AB35" i="5" s="1"/>
  <c r="AA16" i="5"/>
  <c r="AA35" i="5" s="1"/>
  <c r="Z16" i="5"/>
  <c r="Y16" i="5"/>
  <c r="X16" i="5"/>
  <c r="X35" i="5" s="1"/>
  <c r="W16" i="5"/>
  <c r="W35" i="5" s="1"/>
  <c r="V16" i="5"/>
  <c r="U16" i="5"/>
  <c r="T16" i="5"/>
  <c r="S16" i="5"/>
  <c r="S35" i="5" s="1"/>
  <c r="R16" i="5"/>
  <c r="Q16" i="5"/>
  <c r="P16" i="5"/>
  <c r="P35" i="5" s="1"/>
  <c r="O16" i="5"/>
  <c r="O35" i="5" s="1"/>
  <c r="N16" i="5"/>
  <c r="M16" i="5"/>
  <c r="L16" i="5"/>
  <c r="L35" i="5" s="1"/>
  <c r="K16" i="5"/>
  <c r="K35" i="5" s="1"/>
  <c r="J16" i="5"/>
  <c r="I16" i="5"/>
  <c r="H16" i="5"/>
  <c r="H35" i="5" s="1"/>
  <c r="G16" i="5"/>
  <c r="G35" i="5" s="1"/>
  <c r="F16" i="5"/>
  <c r="AP15" i="5"/>
  <c r="AM15" i="5"/>
  <c r="AT15" i="5" s="1"/>
  <c r="AK15" i="5"/>
  <c r="AP14" i="5"/>
  <c r="AM14" i="5"/>
  <c r="AT14" i="5" s="1"/>
  <c r="AK14" i="5"/>
  <c r="AP13" i="5"/>
  <c r="AM13" i="5"/>
  <c r="AT13" i="5" s="1"/>
  <c r="AK13" i="5"/>
  <c r="AP12" i="5"/>
  <c r="AM12" i="5"/>
  <c r="AT12" i="5" s="1"/>
  <c r="AK12" i="5"/>
  <c r="AP11" i="5"/>
  <c r="AM11" i="5"/>
  <c r="AT11" i="5" s="1"/>
  <c r="AK11" i="5"/>
  <c r="AP10" i="5"/>
  <c r="AQ10" i="5" s="1"/>
  <c r="AK10" i="5"/>
  <c r="AM10" i="5" s="1"/>
  <c r="AT10" i="5" s="1"/>
  <c r="AQ9" i="5"/>
  <c r="AP9" i="5"/>
  <c r="AM9" i="5"/>
  <c r="AT9" i="5" s="1"/>
  <c r="AK9" i="5"/>
  <c r="AT8" i="5"/>
  <c r="AP8" i="5"/>
  <c r="AQ8" i="5" s="1"/>
  <c r="AM8" i="5"/>
  <c r="AK8" i="5"/>
  <c r="AK16" i="5" s="1"/>
  <c r="AP7" i="5"/>
  <c r="AQ7" i="5" s="1"/>
  <c r="AM7" i="5"/>
  <c r="AK7" i="5"/>
  <c r="AF32" i="4"/>
  <c r="U32" i="4"/>
  <c r="J32" i="4"/>
  <c r="AG31" i="4"/>
  <c r="AF31" i="4"/>
  <c r="AE31" i="4"/>
  <c r="AC31" i="4"/>
  <c r="Y31" i="4"/>
  <c r="AJ28" i="4"/>
  <c r="AI28" i="4"/>
  <c r="AH28" i="4"/>
  <c r="AH32" i="4" s="1"/>
  <c r="AG28" i="4"/>
  <c r="AF28" i="4"/>
  <c r="AE28" i="4"/>
  <c r="AD28" i="4"/>
  <c r="AD32" i="4" s="1"/>
  <c r="AC28" i="4"/>
  <c r="AB28" i="4"/>
  <c r="AA28" i="4"/>
  <c r="Z28" i="4"/>
  <c r="Z32" i="4" s="1"/>
  <c r="Y28" i="4"/>
  <c r="X28" i="4"/>
  <c r="W28" i="4"/>
  <c r="V28" i="4"/>
  <c r="V32" i="4" s="1"/>
  <c r="T28" i="4"/>
  <c r="S28" i="4"/>
  <c r="R28" i="4"/>
  <c r="R32" i="4" s="1"/>
  <c r="Q28" i="4"/>
  <c r="P28" i="4"/>
  <c r="O28" i="4"/>
  <c r="N28" i="4"/>
  <c r="N32" i="4" s="1"/>
  <c r="M28" i="4"/>
  <c r="L28" i="4"/>
  <c r="K28" i="4"/>
  <c r="J28" i="4"/>
  <c r="I28" i="4"/>
  <c r="H28" i="4"/>
  <c r="F28" i="4"/>
  <c r="F32" i="4" s="1"/>
  <c r="AQ27" i="4"/>
  <c r="AP27" i="4"/>
  <c r="AM27" i="4"/>
  <c r="AT27" i="4" s="1"/>
  <c r="AK27" i="4"/>
  <c r="AT23" i="4"/>
  <c r="AP23" i="4"/>
  <c r="AK23" i="4"/>
  <c r="AM23" i="4" s="1"/>
  <c r="AQ23" i="4" s="1"/>
  <c r="AT22" i="4"/>
  <c r="AP22" i="4"/>
  <c r="AK22" i="4"/>
  <c r="AM22" i="4" s="1"/>
  <c r="AQ22" i="4" s="1"/>
  <c r="U22" i="4"/>
  <c r="U28" i="4" s="1"/>
  <c r="F22" i="4"/>
  <c r="AP21" i="4"/>
  <c r="G21" i="4"/>
  <c r="G28" i="4" s="1"/>
  <c r="AT20" i="4"/>
  <c r="AP20" i="4"/>
  <c r="AK20" i="4"/>
  <c r="AM20" i="4" s="1"/>
  <c r="AQ20" i="4" s="1"/>
  <c r="F20" i="4"/>
  <c r="AP19" i="4"/>
  <c r="AK19" i="4"/>
  <c r="AM19" i="4" s="1"/>
  <c r="AP18" i="4"/>
  <c r="AM18" i="4"/>
  <c r="AK18" i="4"/>
  <c r="AJ16" i="4"/>
  <c r="AJ32" i="4" s="1"/>
  <c r="AI16" i="4"/>
  <c r="AH16" i="4"/>
  <c r="AG16" i="4"/>
  <c r="AG32" i="4" s="1"/>
  <c r="AF16" i="4"/>
  <c r="AE16" i="4"/>
  <c r="AD16" i="4"/>
  <c r="AC16" i="4"/>
  <c r="AC32" i="4" s="1"/>
  <c r="AB16" i="4"/>
  <c r="AB32" i="4" s="1"/>
  <c r="AA16" i="4"/>
  <c r="Z16" i="4"/>
  <c r="Y16" i="4"/>
  <c r="Y32" i="4" s="1"/>
  <c r="X16" i="4"/>
  <c r="X32" i="4" s="1"/>
  <c r="W16" i="4"/>
  <c r="V16" i="4"/>
  <c r="U16" i="4"/>
  <c r="T16" i="4"/>
  <c r="T32" i="4" s="1"/>
  <c r="S16" i="4"/>
  <c r="S32" i="4" s="1"/>
  <c r="R16" i="4"/>
  <c r="Q16" i="4"/>
  <c r="Q32" i="4" s="1"/>
  <c r="P16" i="4"/>
  <c r="P32" i="4" s="1"/>
  <c r="O16" i="4"/>
  <c r="O32" i="4" s="1"/>
  <c r="N16" i="4"/>
  <c r="M16" i="4"/>
  <c r="M32" i="4" s="1"/>
  <c r="L16" i="4"/>
  <c r="L32" i="4" s="1"/>
  <c r="K16" i="4"/>
  <c r="K32" i="4" s="1"/>
  <c r="J16" i="4"/>
  <c r="I16" i="4"/>
  <c r="I32" i="4" s="1"/>
  <c r="H16" i="4"/>
  <c r="H32" i="4" s="1"/>
  <c r="G16" i="4"/>
  <c r="F16" i="4"/>
  <c r="AT15" i="4"/>
  <c r="AP15" i="4"/>
  <c r="AM15" i="4"/>
  <c r="AK15" i="4"/>
  <c r="AT14" i="4"/>
  <c r="AP14" i="4"/>
  <c r="AM14" i="4"/>
  <c r="AK14" i="4"/>
  <c r="AT13" i="4"/>
  <c r="AP13" i="4"/>
  <c r="AM13" i="4"/>
  <c r="AK13" i="4"/>
  <c r="AT12" i="4"/>
  <c r="AP12" i="4"/>
  <c r="AM12" i="4"/>
  <c r="AK12" i="4"/>
  <c r="AT11" i="4"/>
  <c r="AP11" i="4"/>
  <c r="AM11" i="4"/>
  <c r="AK11" i="4"/>
  <c r="AT10" i="4"/>
  <c r="AQ10" i="4"/>
  <c r="AP10" i="4"/>
  <c r="AK10" i="4"/>
  <c r="AM10" i="4" s="1"/>
  <c r="AQ9" i="4"/>
  <c r="AP9" i="4"/>
  <c r="AK9" i="4"/>
  <c r="AM9" i="4" s="1"/>
  <c r="AT9" i="4" s="1"/>
  <c r="AP8" i="4"/>
  <c r="AK8" i="4"/>
  <c r="AM8" i="4" s="1"/>
  <c r="AT8" i="4" s="1"/>
  <c r="AQ7" i="4"/>
  <c r="AP7" i="4"/>
  <c r="AM7" i="4"/>
  <c r="AK7" i="4"/>
  <c r="AE29" i="3"/>
  <c r="AA29" i="3"/>
  <c r="O29" i="3"/>
  <c r="K29" i="3"/>
  <c r="AG28" i="3"/>
  <c r="AF28" i="3"/>
  <c r="AE28" i="3"/>
  <c r="AC28" i="3"/>
  <c r="Y28" i="3"/>
  <c r="AJ25" i="3"/>
  <c r="AI25" i="3"/>
  <c r="AH25" i="3"/>
  <c r="AG25" i="3"/>
  <c r="AF25" i="3"/>
  <c r="AE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AP24" i="3"/>
  <c r="AK24" i="3"/>
  <c r="AM24" i="3" s="1"/>
  <c r="AQ24" i="3" s="1"/>
  <c r="AP23" i="3"/>
  <c r="AQ23" i="3" s="1"/>
  <c r="AM23" i="3"/>
  <c r="AT23" i="3" s="1"/>
  <c r="AK23" i="3"/>
  <c r="AP22" i="3"/>
  <c r="AQ22" i="3" s="1"/>
  <c r="AC22" i="3"/>
  <c r="AK22" i="3" s="1"/>
  <c r="AM22" i="3" s="1"/>
  <c r="AT22" i="3" s="1"/>
  <c r="AP21" i="3"/>
  <c r="AK21" i="3"/>
  <c r="AM21" i="3" s="1"/>
  <c r="AQ21" i="3" s="1"/>
  <c r="AP20" i="3"/>
  <c r="AH20" i="3"/>
  <c r="AD20" i="3"/>
  <c r="AD25" i="3" s="1"/>
  <c r="AC20" i="3"/>
  <c r="AC25" i="3" s="1"/>
  <c r="AB20" i="3"/>
  <c r="AB25" i="3" s="1"/>
  <c r="AP19" i="3"/>
  <c r="AQ19" i="3" s="1"/>
  <c r="AM19" i="3"/>
  <c r="AT19" i="3" s="1"/>
  <c r="AK19" i="3"/>
  <c r="AP18" i="3"/>
  <c r="AK18" i="3"/>
  <c r="AM18" i="3" s="1"/>
  <c r="AQ18" i="3" s="1"/>
  <c r="AJ16" i="3"/>
  <c r="AJ29" i="3" s="1"/>
  <c r="AI16" i="3"/>
  <c r="AI29" i="3" s="1"/>
  <c r="AH16" i="3"/>
  <c r="AH29" i="3" s="1"/>
  <c r="AG16" i="3"/>
  <c r="AF16" i="3"/>
  <c r="AF29" i="3" s="1"/>
  <c r="AE16" i="3"/>
  <c r="AD16" i="3"/>
  <c r="AD29" i="3" s="1"/>
  <c r="AC16" i="3"/>
  <c r="AB16" i="3"/>
  <c r="AB29" i="3" s="1"/>
  <c r="AA16" i="3"/>
  <c r="Z16" i="3"/>
  <c r="Z29" i="3" s="1"/>
  <c r="Y16" i="3"/>
  <c r="Y29" i="3" s="1"/>
  <c r="X16" i="3"/>
  <c r="X29" i="3" s="1"/>
  <c r="W16" i="3"/>
  <c r="W29" i="3" s="1"/>
  <c r="V16" i="3"/>
  <c r="V29" i="3" s="1"/>
  <c r="U16" i="3"/>
  <c r="U29" i="3" s="1"/>
  <c r="T16" i="3"/>
  <c r="T29" i="3" s="1"/>
  <c r="S16" i="3"/>
  <c r="S29" i="3" s="1"/>
  <c r="R16" i="3"/>
  <c r="R29" i="3" s="1"/>
  <c r="Q16" i="3"/>
  <c r="Q29" i="3" s="1"/>
  <c r="P16" i="3"/>
  <c r="P29" i="3" s="1"/>
  <c r="O16" i="3"/>
  <c r="N16" i="3"/>
  <c r="N29" i="3" s="1"/>
  <c r="M16" i="3"/>
  <c r="M29" i="3" s="1"/>
  <c r="L16" i="3"/>
  <c r="L29" i="3" s="1"/>
  <c r="K16" i="3"/>
  <c r="J16" i="3"/>
  <c r="J29" i="3" s="1"/>
  <c r="I16" i="3"/>
  <c r="I29" i="3" s="1"/>
  <c r="H16" i="3"/>
  <c r="H29" i="3" s="1"/>
  <c r="G16" i="3"/>
  <c r="G29" i="3" s="1"/>
  <c r="F16" i="3"/>
  <c r="F29" i="3" s="1"/>
  <c r="AP15" i="3"/>
  <c r="AM15" i="3"/>
  <c r="AT15" i="3" s="1"/>
  <c r="AK15" i="3"/>
  <c r="AP14" i="3"/>
  <c r="AM14" i="3"/>
  <c r="AT14" i="3" s="1"/>
  <c r="AK14" i="3"/>
  <c r="AP13" i="3"/>
  <c r="AM13" i="3"/>
  <c r="AT13" i="3" s="1"/>
  <c r="AK13" i="3"/>
  <c r="AP12" i="3"/>
  <c r="AM12" i="3"/>
  <c r="AT12" i="3" s="1"/>
  <c r="AK12" i="3"/>
  <c r="AP11" i="3"/>
  <c r="AM11" i="3"/>
  <c r="AT11" i="3" s="1"/>
  <c r="AK11" i="3"/>
  <c r="AP10" i="3"/>
  <c r="AQ10" i="3" s="1"/>
  <c r="AM10" i="3"/>
  <c r="AT10" i="3" s="1"/>
  <c r="AK10" i="3"/>
  <c r="AP9" i="3"/>
  <c r="AK9" i="3"/>
  <c r="AM9" i="3" s="1"/>
  <c r="AT9" i="3" s="1"/>
  <c r="AP8" i="3"/>
  <c r="AK8" i="3"/>
  <c r="AM8" i="3" s="1"/>
  <c r="AQ8" i="3" s="1"/>
  <c r="AP7" i="3"/>
  <c r="AQ7" i="3" s="1"/>
  <c r="AM7" i="3"/>
  <c r="AK7" i="3"/>
  <c r="AI26" i="2"/>
  <c r="AE26" i="2"/>
  <c r="S26" i="2"/>
  <c r="O26" i="2"/>
  <c r="AS25" i="2"/>
  <c r="AR25" i="2"/>
  <c r="AL25" i="2"/>
  <c r="AH25" i="2"/>
  <c r="AH26" i="2" s="1"/>
  <c r="AG25" i="2"/>
  <c r="AG26" i="2" s="1"/>
  <c r="AD25" i="2"/>
  <c r="AD26" i="2" s="1"/>
  <c r="AC25" i="2"/>
  <c r="AC26" i="2" s="1"/>
  <c r="Z25" i="2"/>
  <c r="Z26" i="2" s="1"/>
  <c r="Y25" i="2"/>
  <c r="Y26" i="2" s="1"/>
  <c r="V25" i="2"/>
  <c r="V26" i="2" s="1"/>
  <c r="U25" i="2"/>
  <c r="U26" i="2" s="1"/>
  <c r="R25" i="2"/>
  <c r="R26" i="2" s="1"/>
  <c r="Q25" i="2"/>
  <c r="Q26" i="2" s="1"/>
  <c r="N25" i="2"/>
  <c r="N26" i="2" s="1"/>
  <c r="M25" i="2"/>
  <c r="M26" i="2" s="1"/>
  <c r="J25" i="2"/>
  <c r="J26" i="2" s="1"/>
  <c r="I25" i="2"/>
  <c r="I26" i="2" s="1"/>
  <c r="F25" i="2"/>
  <c r="F26" i="2" s="1"/>
  <c r="AS21" i="2"/>
  <c r="AR21" i="2"/>
  <c r="AQ21" i="2"/>
  <c r="AO21" i="2"/>
  <c r="AO25" i="2" s="1"/>
  <c r="AN21" i="2"/>
  <c r="AL21" i="2"/>
  <c r="AJ21" i="2"/>
  <c r="AJ25" i="2" s="1"/>
  <c r="AJ26" i="2" s="1"/>
  <c r="F73" i="8" s="1"/>
  <c r="F76" i="8" s="1"/>
  <c r="G73" i="8" s="1"/>
  <c r="G76" i="8" s="1"/>
  <c r="H73" i="8" s="1"/>
  <c r="H76" i="8" s="1"/>
  <c r="I73" i="8" s="1"/>
  <c r="AI21" i="2"/>
  <c r="AI25" i="2" s="1"/>
  <c r="AH21" i="2"/>
  <c r="AG21" i="2"/>
  <c r="AF21" i="2"/>
  <c r="AF25" i="2" s="1"/>
  <c r="AF26" i="2" s="1"/>
  <c r="AE21" i="2"/>
  <c r="AE25" i="2" s="1"/>
  <c r="AD21" i="2"/>
  <c r="AC21" i="2"/>
  <c r="AB21" i="2"/>
  <c r="AB25" i="2" s="1"/>
  <c r="AB26" i="2" s="1"/>
  <c r="AA21" i="2"/>
  <c r="AA25" i="2" s="1"/>
  <c r="AA26" i="2" s="1"/>
  <c r="Z21" i="2"/>
  <c r="Y21" i="2"/>
  <c r="X21" i="2"/>
  <c r="X25" i="2" s="1"/>
  <c r="X26" i="2" s="1"/>
  <c r="W21" i="2"/>
  <c r="W25" i="2" s="1"/>
  <c r="W26" i="2" s="1"/>
  <c r="V21" i="2"/>
  <c r="U21" i="2"/>
  <c r="T21" i="2"/>
  <c r="T25" i="2" s="1"/>
  <c r="T26" i="2" s="1"/>
  <c r="S21" i="2"/>
  <c r="S25" i="2" s="1"/>
  <c r="R21" i="2"/>
  <c r="Q21" i="2"/>
  <c r="P21" i="2"/>
  <c r="P25" i="2" s="1"/>
  <c r="P26" i="2" s="1"/>
  <c r="O21" i="2"/>
  <c r="O25" i="2" s="1"/>
  <c r="N21" i="2"/>
  <c r="M21" i="2"/>
  <c r="L21" i="2"/>
  <c r="L25" i="2" s="1"/>
  <c r="L26" i="2" s="1"/>
  <c r="K21" i="2"/>
  <c r="K25" i="2" s="1"/>
  <c r="K26" i="2" s="1"/>
  <c r="J21" i="2"/>
  <c r="I21" i="2"/>
  <c r="H21" i="2"/>
  <c r="H25" i="2" s="1"/>
  <c r="H26" i="2" s="1"/>
  <c r="G21" i="2"/>
  <c r="G25" i="2" s="1"/>
  <c r="G26" i="2" s="1"/>
  <c r="F21" i="2"/>
  <c r="AK20" i="2"/>
  <c r="AM20" i="2" s="1"/>
  <c r="AT19" i="2"/>
  <c r="AP19" i="2"/>
  <c r="AK19" i="2"/>
  <c r="AM19" i="2" s="1"/>
  <c r="AT18" i="2"/>
  <c r="AP18" i="2"/>
  <c r="AK18" i="2"/>
  <c r="AM18" i="2" s="1"/>
  <c r="AM21" i="2" s="1"/>
  <c r="AM25" i="2" s="1"/>
  <c r="AT17" i="2"/>
  <c r="AP17" i="2"/>
  <c r="AM17" i="2"/>
  <c r="AT16" i="2"/>
  <c r="AP16" i="2"/>
  <c r="AM16" i="2"/>
  <c r="AK16" i="2"/>
  <c r="AT15" i="2"/>
  <c r="AP15" i="2"/>
  <c r="AM15" i="2"/>
  <c r="AK15" i="2"/>
  <c r="AT14" i="2"/>
  <c r="AP14" i="2"/>
  <c r="AM14" i="2"/>
  <c r="AK14" i="2"/>
  <c r="AT13" i="2"/>
  <c r="AP13" i="2"/>
  <c r="AM13" i="2"/>
  <c r="AK13" i="2"/>
  <c r="AT12" i="2"/>
  <c r="AP12" i="2"/>
  <c r="AP21" i="2" s="1"/>
  <c r="AM12" i="2"/>
  <c r="AK12" i="2"/>
  <c r="AK21" i="2" s="1"/>
  <c r="AR10" i="2"/>
  <c r="AN10" i="2"/>
  <c r="AL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AP9" i="2"/>
  <c r="AQ9" i="2" s="1"/>
  <c r="AM9" i="2"/>
  <c r="AT9" i="2" s="1"/>
  <c r="AK9" i="2"/>
  <c r="AK8" i="2"/>
  <c r="AM8" i="2" s="1"/>
  <c r="AP7" i="2"/>
  <c r="AK7" i="2"/>
  <c r="AM7" i="2" s="1"/>
  <c r="AT7" i="2" s="1"/>
  <c r="AT10" i="2" s="1"/>
  <c r="AK6" i="2"/>
  <c r="AP5" i="2"/>
  <c r="AP10" i="2" s="1"/>
  <c r="AM5" i="2"/>
  <c r="AM10" i="2" s="1"/>
  <c r="AK5" i="2"/>
  <c r="AI31" i="1"/>
  <c r="AE31" i="1"/>
  <c r="AA31" i="1"/>
  <c r="W31" i="1"/>
  <c r="S31" i="1"/>
  <c r="O31" i="1"/>
  <c r="K31" i="1"/>
  <c r="G31" i="1"/>
  <c r="AS30" i="1"/>
  <c r="AR30" i="1"/>
  <c r="AN30" i="1"/>
  <c r="AJ30" i="1"/>
  <c r="AJ31" i="1" s="1"/>
  <c r="AI30" i="1"/>
  <c r="AF30" i="1"/>
  <c r="AF31" i="1" s="1"/>
  <c r="AE30" i="1"/>
  <c r="AB30" i="1"/>
  <c r="AB31" i="1" s="1"/>
  <c r="AA30" i="1"/>
  <c r="X30" i="1"/>
  <c r="X31" i="1" s="1"/>
  <c r="W30" i="1"/>
  <c r="T30" i="1"/>
  <c r="T31" i="1" s="1"/>
  <c r="S30" i="1"/>
  <c r="P30" i="1"/>
  <c r="P31" i="1" s="1"/>
  <c r="O30" i="1"/>
  <c r="L30" i="1"/>
  <c r="L31" i="1" s="1"/>
  <c r="K30" i="1"/>
  <c r="H30" i="1"/>
  <c r="H31" i="1" s="1"/>
  <c r="G30" i="1"/>
  <c r="AS26" i="1"/>
  <c r="AR26" i="1"/>
  <c r="AO26" i="1"/>
  <c r="AO30" i="1" s="1"/>
  <c r="AN26" i="1"/>
  <c r="AL26" i="1"/>
  <c r="AJ26" i="1"/>
  <c r="AI26" i="1"/>
  <c r="AH26" i="1"/>
  <c r="AG26" i="1"/>
  <c r="AG30" i="1" s="1"/>
  <c r="AG31" i="1" s="1"/>
  <c r="AF26" i="1"/>
  <c r="AE26" i="1"/>
  <c r="AD26" i="1"/>
  <c r="AC26" i="1"/>
  <c r="AC30" i="1" s="1"/>
  <c r="AC31" i="1" s="1"/>
  <c r="AB26" i="1"/>
  <c r="AA26" i="1"/>
  <c r="Z26" i="1"/>
  <c r="Y26" i="1"/>
  <c r="Y30" i="1" s="1"/>
  <c r="Y31" i="1" s="1"/>
  <c r="X26" i="1"/>
  <c r="W26" i="1"/>
  <c r="V26" i="1"/>
  <c r="U26" i="1"/>
  <c r="U30" i="1" s="1"/>
  <c r="U31" i="1" s="1"/>
  <c r="T26" i="1"/>
  <c r="S26" i="1"/>
  <c r="R26" i="1"/>
  <c r="Q26" i="1"/>
  <c r="Q30" i="1" s="1"/>
  <c r="Q31" i="1" s="1"/>
  <c r="P26" i="1"/>
  <c r="O26" i="1"/>
  <c r="N26" i="1"/>
  <c r="M26" i="1"/>
  <c r="M30" i="1" s="1"/>
  <c r="M31" i="1" s="1"/>
  <c r="L26" i="1"/>
  <c r="K26" i="1"/>
  <c r="J26" i="1"/>
  <c r="I26" i="1"/>
  <c r="I30" i="1" s="1"/>
  <c r="I31" i="1" s="1"/>
  <c r="H26" i="1"/>
  <c r="G26" i="1"/>
  <c r="F26" i="1"/>
  <c r="AM25" i="1"/>
  <c r="AK25" i="1"/>
  <c r="AQ24" i="1"/>
  <c r="AP24" i="1"/>
  <c r="AM24" i="1"/>
  <c r="AT24" i="1" s="1"/>
  <c r="AK24" i="1"/>
  <c r="AP23" i="1"/>
  <c r="AK23" i="1"/>
  <c r="AM23" i="1" s="1"/>
  <c r="AT23" i="1" s="1"/>
  <c r="AP22" i="1"/>
  <c r="AM22" i="1"/>
  <c r="AQ22" i="1" s="1"/>
  <c r="AP21" i="1"/>
  <c r="AK21" i="1"/>
  <c r="AK26" i="1" s="1"/>
  <c r="AK30" i="1" s="1"/>
  <c r="AP20" i="1"/>
  <c r="AQ20" i="1" s="1"/>
  <c r="AM20" i="1"/>
  <c r="AT20" i="1" s="1"/>
  <c r="AK20" i="1"/>
  <c r="AP19" i="1"/>
  <c r="AQ19" i="1" s="1"/>
  <c r="AM19" i="1"/>
  <c r="AT19" i="1" s="1"/>
  <c r="AK19" i="1"/>
  <c r="AT18" i="1"/>
  <c r="AQ18" i="1"/>
  <c r="AP18" i="1"/>
  <c r="AK18" i="1"/>
  <c r="AM18" i="1" s="1"/>
  <c r="AT17" i="1"/>
  <c r="AP17" i="1"/>
  <c r="AM17" i="1"/>
  <c r="AK17" i="1"/>
  <c r="AM15" i="1"/>
  <c r="AL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T14" i="1"/>
  <c r="AT13" i="1"/>
  <c r="AT12" i="1"/>
  <c r="AT11" i="1"/>
  <c r="AT10" i="1"/>
  <c r="AT9" i="1"/>
  <c r="AT8" i="1"/>
  <c r="AT7" i="1"/>
  <c r="AT6" i="1"/>
  <c r="AT5" i="1"/>
  <c r="AP5" i="1"/>
  <c r="AQ5" i="1" s="1"/>
  <c r="AK5" i="1"/>
  <c r="AK15" i="1" s="1"/>
  <c r="AP26" i="1" l="1"/>
  <c r="AP30" i="1" s="1"/>
  <c r="AT15" i="1"/>
  <c r="AM21" i="1"/>
  <c r="AQ23" i="1"/>
  <c r="F30" i="1"/>
  <c r="F31" i="1" s="1"/>
  <c r="J30" i="1"/>
  <c r="J31" i="1" s="1"/>
  <c r="N30" i="1"/>
  <c r="N31" i="1" s="1"/>
  <c r="R30" i="1"/>
  <c r="R31" i="1" s="1"/>
  <c r="V30" i="1"/>
  <c r="V31" i="1" s="1"/>
  <c r="Z30" i="1"/>
  <c r="Z31" i="1" s="1"/>
  <c r="AD30" i="1"/>
  <c r="AD31" i="1" s="1"/>
  <c r="AH30" i="1"/>
  <c r="AH31" i="1" s="1"/>
  <c r="AL30" i="1"/>
  <c r="AP25" i="2"/>
  <c r="AK16" i="3"/>
  <c r="AQ9" i="3"/>
  <c r="AM28" i="4"/>
  <c r="AM32" i="4" s="1"/>
  <c r="AT18" i="4"/>
  <c r="AQ18" i="4"/>
  <c r="AK75" i="8"/>
  <c r="AT70" i="8"/>
  <c r="AQ70" i="8"/>
  <c r="M73" i="9"/>
  <c r="J69" i="9"/>
  <c r="AK53" i="9"/>
  <c r="AM53" i="9" s="1"/>
  <c r="AT53" i="9" s="1"/>
  <c r="R100" i="11"/>
  <c r="S97" i="11" s="1"/>
  <c r="AQ17" i="1"/>
  <c r="AQ26" i="1" s="1"/>
  <c r="AQ30" i="1" s="1"/>
  <c r="AM26" i="1"/>
  <c r="AM30" i="1" s="1"/>
  <c r="AT22" i="1"/>
  <c r="AK10" i="2"/>
  <c r="AT21" i="2"/>
  <c r="AT25" i="2" s="1"/>
  <c r="AT29" i="2" s="1"/>
  <c r="AM16" i="3"/>
  <c r="AT7" i="3"/>
  <c r="AT8" i="3"/>
  <c r="AT21" i="3"/>
  <c r="AT24" i="3"/>
  <c r="AQ39" i="8"/>
  <c r="AM71" i="8"/>
  <c r="AT39" i="8"/>
  <c r="AT68" i="9"/>
  <c r="AK25" i="2"/>
  <c r="F71" i="9"/>
  <c r="F27" i="3"/>
  <c r="F30" i="3" s="1"/>
  <c r="G27" i="3" s="1"/>
  <c r="G30" i="3" s="1"/>
  <c r="H27" i="3" s="1"/>
  <c r="H30" i="3" s="1"/>
  <c r="I27" i="3" s="1"/>
  <c r="I30" i="3" s="1"/>
  <c r="J27" i="3" s="1"/>
  <c r="J30" i="3" s="1"/>
  <c r="K27" i="3" s="1"/>
  <c r="K30" i="3" s="1"/>
  <c r="L27" i="3" s="1"/>
  <c r="L30" i="3" s="1"/>
  <c r="M27" i="3" s="1"/>
  <c r="M30" i="3" s="1"/>
  <c r="N27" i="3" s="1"/>
  <c r="N30" i="3" s="1"/>
  <c r="O27" i="3" s="1"/>
  <c r="O30" i="3" s="1"/>
  <c r="P27" i="3" s="1"/>
  <c r="P30" i="3" s="1"/>
  <c r="Q27" i="3" s="1"/>
  <c r="Q30" i="3" s="1"/>
  <c r="R27" i="3" s="1"/>
  <c r="R30" i="3" s="1"/>
  <c r="S27" i="3" s="1"/>
  <c r="S30" i="3" s="1"/>
  <c r="T27" i="3" s="1"/>
  <c r="T30" i="3" s="1"/>
  <c r="U27" i="3" s="1"/>
  <c r="U30" i="3" s="1"/>
  <c r="V27" i="3" s="1"/>
  <c r="V30" i="3" s="1"/>
  <c r="W27" i="3" s="1"/>
  <c r="W30" i="3" s="1"/>
  <c r="X27" i="3" s="1"/>
  <c r="X30" i="3" s="1"/>
  <c r="Y27" i="3" s="1"/>
  <c r="Y30" i="3" s="1"/>
  <c r="Z27" i="3" s="1"/>
  <c r="Z30" i="3" s="1"/>
  <c r="AA27" i="3" s="1"/>
  <c r="AA30" i="3" s="1"/>
  <c r="AB27" i="3" s="1"/>
  <c r="AB30" i="3" s="1"/>
  <c r="AC27" i="3" s="1"/>
  <c r="AC30" i="3" s="1"/>
  <c r="AD27" i="3" s="1"/>
  <c r="AD30" i="3" s="1"/>
  <c r="AE27" i="3" s="1"/>
  <c r="AE30" i="3" s="1"/>
  <c r="AF27" i="3" s="1"/>
  <c r="AF30" i="3" s="1"/>
  <c r="AG27" i="3" s="1"/>
  <c r="AG30" i="3" s="1"/>
  <c r="AH27" i="3" s="1"/>
  <c r="AH30" i="3" s="1"/>
  <c r="AI27" i="3" s="1"/>
  <c r="AI30" i="3" s="1"/>
  <c r="AJ27" i="3" s="1"/>
  <c r="AJ30" i="3" s="1"/>
  <c r="F30" i="4"/>
  <c r="F33" i="4" s="1"/>
  <c r="G30" i="4" s="1"/>
  <c r="AC29" i="3"/>
  <c r="AG29" i="3"/>
  <c r="AT19" i="4"/>
  <c r="AQ19" i="4"/>
  <c r="AM18" i="5"/>
  <c r="AT37" i="8"/>
  <c r="AT71" i="8" s="1"/>
  <c r="AT75" i="8" s="1"/>
  <c r="AT18" i="3"/>
  <c r="AQ9" i="9"/>
  <c r="AT9" i="9"/>
  <c r="AT14" i="10"/>
  <c r="AM14" i="10"/>
  <c r="AT30" i="10"/>
  <c r="AM30" i="10"/>
  <c r="AT46" i="10"/>
  <c r="AM46" i="10"/>
  <c r="H108" i="10"/>
  <c r="H109" i="10" s="1"/>
  <c r="I106" i="10" s="1"/>
  <c r="I109" i="10" s="1"/>
  <c r="J106" i="10" s="1"/>
  <c r="J109" i="10" s="1"/>
  <c r="K106" i="10" s="1"/>
  <c r="K109" i="10" s="1"/>
  <c r="L106" i="10" s="1"/>
  <c r="L109" i="10" s="1"/>
  <c r="M106" i="10" s="1"/>
  <c r="M109" i="10" s="1"/>
  <c r="N106" i="10" s="1"/>
  <c r="N109" i="10" s="1"/>
  <c r="O106" i="10" s="1"/>
  <c r="O109" i="10" s="1"/>
  <c r="P106" i="10" s="1"/>
  <c r="P109" i="10" s="1"/>
  <c r="Q106" i="10" s="1"/>
  <c r="Q109" i="10" s="1"/>
  <c r="R106" i="10" s="1"/>
  <c r="R109" i="10" s="1"/>
  <c r="S106" i="10" s="1"/>
  <c r="S109" i="10" s="1"/>
  <c r="T106" i="10" s="1"/>
  <c r="L108" i="10"/>
  <c r="P108" i="10"/>
  <c r="T108" i="10"/>
  <c r="X108" i="10"/>
  <c r="X109" i="10" s="1"/>
  <c r="Y106" i="10" s="1"/>
  <c r="Y109" i="10" s="1"/>
  <c r="Z106" i="10" s="1"/>
  <c r="Z109" i="10" s="1"/>
  <c r="AA106" i="10" s="1"/>
  <c r="AA109" i="10" s="1"/>
  <c r="AB106" i="10" s="1"/>
  <c r="AB109" i="10" s="1"/>
  <c r="AC106" i="10" s="1"/>
  <c r="AC109" i="10" s="1"/>
  <c r="AD106" i="10" s="1"/>
  <c r="AD109" i="10" s="1"/>
  <c r="AE106" i="10" s="1"/>
  <c r="AE109" i="10" s="1"/>
  <c r="AF106" i="10" s="1"/>
  <c r="AF109" i="10" s="1"/>
  <c r="AG106" i="10" s="1"/>
  <c r="AG109" i="10" s="1"/>
  <c r="AH106" i="10" s="1"/>
  <c r="AH109" i="10" s="1"/>
  <c r="AI106" i="10" s="1"/>
  <c r="AI109" i="10" s="1"/>
  <c r="AJ106" i="10" s="1"/>
  <c r="AJ109" i="10" s="1"/>
  <c r="AB108" i="10"/>
  <c r="AF108" i="10"/>
  <c r="AJ108" i="10"/>
  <c r="AL7" i="11"/>
  <c r="AJ7" i="11"/>
  <c r="AL16" i="11"/>
  <c r="AJ16" i="11"/>
  <c r="AL35" i="11"/>
  <c r="AJ35" i="11"/>
  <c r="AL44" i="11"/>
  <c r="AJ44" i="11"/>
  <c r="AL95" i="11"/>
  <c r="AO44" i="12"/>
  <c r="AM44" i="12"/>
  <c r="AK114" i="13"/>
  <c r="AM58" i="13"/>
  <c r="AO58" i="13" s="1"/>
  <c r="AO114" i="13" s="1"/>
  <c r="F31" i="5"/>
  <c r="F35" i="5" s="1"/>
  <c r="F36" i="5" s="1"/>
  <c r="G33" i="5" s="1"/>
  <c r="G36" i="5" s="1"/>
  <c r="H33" i="5" s="1"/>
  <c r="H36" i="5" s="1"/>
  <c r="I33" i="5" s="1"/>
  <c r="I36" i="5" s="1"/>
  <c r="J33" i="5" s="1"/>
  <c r="J36" i="5" s="1"/>
  <c r="K33" i="5" s="1"/>
  <c r="K36" i="5" s="1"/>
  <c r="L33" i="5" s="1"/>
  <c r="L36" i="5" s="1"/>
  <c r="M33" i="5" s="1"/>
  <c r="M36" i="5" s="1"/>
  <c r="N33" i="5" s="1"/>
  <c r="N36" i="5" s="1"/>
  <c r="O33" i="5" s="1"/>
  <c r="O36" i="5" s="1"/>
  <c r="P33" i="5" s="1"/>
  <c r="P36" i="5" s="1"/>
  <c r="Q33" i="5" s="1"/>
  <c r="Q36" i="5" s="1"/>
  <c r="R33" i="5" s="1"/>
  <c r="R36" i="5" s="1"/>
  <c r="S33" i="5" s="1"/>
  <c r="S36" i="5" s="1"/>
  <c r="T33" i="5" s="1"/>
  <c r="T36" i="5" s="1"/>
  <c r="U33" i="5" s="1"/>
  <c r="U36" i="5" s="1"/>
  <c r="V33" i="5" s="1"/>
  <c r="V36" i="5" s="1"/>
  <c r="W33" i="5" s="1"/>
  <c r="W36" i="5" s="1"/>
  <c r="X33" i="5" s="1"/>
  <c r="X36" i="5" s="1"/>
  <c r="Y33" i="5" s="1"/>
  <c r="Y36" i="5" s="1"/>
  <c r="Z33" i="5" s="1"/>
  <c r="Z36" i="5" s="1"/>
  <c r="AA33" i="5" s="1"/>
  <c r="AA36" i="5" s="1"/>
  <c r="AB33" i="5" s="1"/>
  <c r="AB36" i="5" s="1"/>
  <c r="AC33" i="5" s="1"/>
  <c r="AC36" i="5" s="1"/>
  <c r="AD33" i="5" s="1"/>
  <c r="AD36" i="5" s="1"/>
  <c r="AE33" i="5" s="1"/>
  <c r="AE36" i="5" s="1"/>
  <c r="AF33" i="5" s="1"/>
  <c r="AF36" i="5" s="1"/>
  <c r="AG33" i="5" s="1"/>
  <c r="AG36" i="5" s="1"/>
  <c r="AH33" i="5" s="1"/>
  <c r="AH36" i="5" s="1"/>
  <c r="AI33" i="5" s="1"/>
  <c r="AI36" i="5" s="1"/>
  <c r="AJ33" i="5" s="1"/>
  <c r="AJ36" i="5" s="1"/>
  <c r="AQ10" i="8"/>
  <c r="I73" i="9"/>
  <c r="R35" i="9"/>
  <c r="R73" i="9" s="1"/>
  <c r="AM11" i="10"/>
  <c r="AM60" i="10" s="1"/>
  <c r="AT18" i="10"/>
  <c r="AM18" i="10"/>
  <c r="AT34" i="10"/>
  <c r="AM34" i="10"/>
  <c r="AM43" i="10"/>
  <c r="AM59" i="10"/>
  <c r="AL20" i="11"/>
  <c r="AJ20" i="11"/>
  <c r="AJ31" i="11"/>
  <c r="AL39" i="11"/>
  <c r="AJ39" i="11"/>
  <c r="AJ50" i="11"/>
  <c r="AO8" i="12"/>
  <c r="AM10" i="12"/>
  <c r="AO10" i="12"/>
  <c r="AO36" i="12"/>
  <c r="AM36" i="12"/>
  <c r="AK16" i="4"/>
  <c r="AT35" i="9"/>
  <c r="AM27" i="10"/>
  <c r="AT50" i="10"/>
  <c r="AM50" i="10"/>
  <c r="AL11" i="11"/>
  <c r="AJ11" i="11"/>
  <c r="AQ5" i="2"/>
  <c r="AQ10" i="2" s="1"/>
  <c r="AM16" i="4"/>
  <c r="AT7" i="4"/>
  <c r="AK21" i="4"/>
  <c r="AM21" i="4" s="1"/>
  <c r="I35" i="5"/>
  <c r="M35" i="5"/>
  <c r="Q35" i="5"/>
  <c r="U35" i="5"/>
  <c r="Y35" i="5"/>
  <c r="AC35" i="5"/>
  <c r="AG35" i="5"/>
  <c r="AK21" i="5"/>
  <c r="AM21" i="5" s="1"/>
  <c r="AQ23" i="5"/>
  <c r="I75" i="8"/>
  <c r="I76" i="8" s="1"/>
  <c r="J73" i="8" s="1"/>
  <c r="J76" i="8" s="1"/>
  <c r="K73" i="8" s="1"/>
  <c r="K76" i="8" s="1"/>
  <c r="L73" i="8" s="1"/>
  <c r="L76" i="8" s="1"/>
  <c r="M73" i="8" s="1"/>
  <c r="M76" i="8" s="1"/>
  <c r="N73" i="8" s="1"/>
  <c r="N76" i="8" s="1"/>
  <c r="O73" i="8" s="1"/>
  <c r="O76" i="8" s="1"/>
  <c r="P73" i="8" s="1"/>
  <c r="P76" i="8" s="1"/>
  <c r="Q73" i="8" s="1"/>
  <c r="Q76" i="8" s="1"/>
  <c r="R73" i="8" s="1"/>
  <c r="R76" i="8" s="1"/>
  <c r="S73" i="8" s="1"/>
  <c r="S76" i="8" s="1"/>
  <c r="T73" i="8" s="1"/>
  <c r="T76" i="8" s="1"/>
  <c r="U73" i="8" s="1"/>
  <c r="U76" i="8" s="1"/>
  <c r="V73" i="8" s="1"/>
  <c r="V76" i="8" s="1"/>
  <c r="W73" i="8" s="1"/>
  <c r="W76" i="8" s="1"/>
  <c r="X73" i="8" s="1"/>
  <c r="M75" i="8"/>
  <c r="Q75" i="8"/>
  <c r="U75" i="8"/>
  <c r="Y75" i="8"/>
  <c r="Y76" i="8" s="1"/>
  <c r="Z73" i="8" s="1"/>
  <c r="Z76" i="8" s="1"/>
  <c r="AA73" i="8" s="1"/>
  <c r="AA76" i="8" s="1"/>
  <c r="AB73" i="8" s="1"/>
  <c r="AB76" i="8" s="1"/>
  <c r="AC73" i="8" s="1"/>
  <c r="AC76" i="8" s="1"/>
  <c r="AD73" i="8" s="1"/>
  <c r="AD76" i="8" s="1"/>
  <c r="AE73" i="8" s="1"/>
  <c r="AE76" i="8" s="1"/>
  <c r="AF73" i="8" s="1"/>
  <c r="AF76" i="8" s="1"/>
  <c r="AG73" i="8" s="1"/>
  <c r="AG76" i="8" s="1"/>
  <c r="AH73" i="8" s="1"/>
  <c r="AH76" i="8" s="1"/>
  <c r="AI73" i="8" s="1"/>
  <c r="AI76" i="8" s="1"/>
  <c r="AJ73" i="8" s="1"/>
  <c r="AJ76" i="8" s="1"/>
  <c r="AC75" i="8"/>
  <c r="AG75" i="8"/>
  <c r="F73" i="9"/>
  <c r="J73" i="9"/>
  <c r="AC73" i="9"/>
  <c r="AG73" i="9"/>
  <c r="S69" i="9"/>
  <c r="S73" i="9" s="1"/>
  <c r="AK39" i="9"/>
  <c r="AM39" i="9" s="1"/>
  <c r="AK40" i="9"/>
  <c r="AM40" i="9" s="1"/>
  <c r="AT40" i="9" s="1"/>
  <c r="AK55" i="9"/>
  <c r="AM55" i="9" s="1"/>
  <c r="AT55" i="9" s="1"/>
  <c r="AM15" i="10"/>
  <c r="AT22" i="10"/>
  <c r="AM22" i="10"/>
  <c r="AM31" i="10"/>
  <c r="AT38" i="10"/>
  <c r="AM38" i="10"/>
  <c r="AM47" i="10"/>
  <c r="AT54" i="10"/>
  <c r="AM54" i="10"/>
  <c r="AJ8" i="11"/>
  <c r="S53" i="11"/>
  <c r="AH15" i="11"/>
  <c r="AJ17" i="11"/>
  <c r="AL24" i="11"/>
  <c r="AJ24" i="11"/>
  <c r="AJ36" i="11"/>
  <c r="AJ45" i="11"/>
  <c r="AL48" i="11"/>
  <c r="AO28" i="12"/>
  <c r="AM28" i="12"/>
  <c r="AO24" i="13"/>
  <c r="AM24" i="13"/>
  <c r="AO39" i="13"/>
  <c r="AM39" i="13"/>
  <c r="AO43" i="13"/>
  <c r="AM43" i="13"/>
  <c r="AK20" i="3"/>
  <c r="AQ8" i="4"/>
  <c r="G32" i="4"/>
  <c r="W32" i="4"/>
  <c r="AA32" i="4"/>
  <c r="AE32" i="4"/>
  <c r="AI32" i="4"/>
  <c r="AK28" i="4"/>
  <c r="AK32" i="4" s="1"/>
  <c r="AM16" i="5"/>
  <c r="AT7" i="5"/>
  <c r="AM37" i="8"/>
  <c r="AK13" i="9"/>
  <c r="AM13" i="9" s="1"/>
  <c r="AT13" i="9" s="1"/>
  <c r="U73" i="9"/>
  <c r="Y73" i="9"/>
  <c r="AD73" i="9"/>
  <c r="AH73" i="9"/>
  <c r="AK60" i="10"/>
  <c r="AT7" i="10"/>
  <c r="AT10" i="10"/>
  <c r="AM10" i="10"/>
  <c r="AT26" i="10"/>
  <c r="AM26" i="10"/>
  <c r="AT42" i="10"/>
  <c r="AM42" i="10"/>
  <c r="AT58" i="10"/>
  <c r="AM58" i="10"/>
  <c r="AL30" i="11"/>
  <c r="AJ30" i="11"/>
  <c r="AL49" i="11"/>
  <c r="AJ49" i="11"/>
  <c r="F99" i="11"/>
  <c r="S99" i="11"/>
  <c r="AO20" i="12"/>
  <c r="AM20" i="12"/>
  <c r="AO55" i="12"/>
  <c r="AM55" i="12"/>
  <c r="AO7" i="13"/>
  <c r="AM7" i="13"/>
  <c r="AK56" i="13"/>
  <c r="AO11" i="13"/>
  <c r="AM11" i="13"/>
  <c r="AO36" i="13"/>
  <c r="AM36" i="13"/>
  <c r="AJ120" i="14"/>
  <c r="AK37" i="9"/>
  <c r="AO7" i="12"/>
  <c r="AK56" i="12"/>
  <c r="G113" i="12"/>
  <c r="G114" i="12" s="1"/>
  <c r="O113" i="12"/>
  <c r="O114" i="12" s="1"/>
  <c r="W113" i="12"/>
  <c r="W114" i="12" s="1"/>
  <c r="AE113" i="12"/>
  <c r="AE114" i="12" s="1"/>
  <c r="AO8" i="13"/>
  <c r="AM8" i="13"/>
  <c r="AO40" i="13"/>
  <c r="AM40" i="13"/>
  <c r="AO7" i="14"/>
  <c r="AK57" i="14"/>
  <c r="AM7" i="14"/>
  <c r="AO31" i="14"/>
  <c r="AM31" i="14"/>
  <c r="AO46" i="14"/>
  <c r="AM46" i="14"/>
  <c r="AO52" i="14"/>
  <c r="AM52" i="14"/>
  <c r="AK115" i="14"/>
  <c r="U99" i="11"/>
  <c r="AO11" i="12"/>
  <c r="AM11" i="12"/>
  <c r="AO109" i="12"/>
  <c r="AO23" i="13"/>
  <c r="AM23" i="13"/>
  <c r="AO27" i="13"/>
  <c r="AM27" i="13"/>
  <c r="AO14" i="14"/>
  <c r="AM14" i="14"/>
  <c r="AO18" i="14"/>
  <c r="AM18" i="14"/>
  <c r="AO43" i="14"/>
  <c r="AM43" i="14"/>
  <c r="AA114" i="12"/>
  <c r="AO15" i="13"/>
  <c r="AM15" i="13"/>
  <c r="AO31" i="13"/>
  <c r="AM31" i="13"/>
  <c r="AO47" i="13"/>
  <c r="AM47" i="13"/>
  <c r="AO10" i="14"/>
  <c r="AM10" i="14"/>
  <c r="AO15" i="14"/>
  <c r="AM15" i="14"/>
  <c r="AO47" i="14"/>
  <c r="AM47" i="14"/>
  <c r="AO115" i="14"/>
  <c r="AH95" i="11"/>
  <c r="AO14" i="12"/>
  <c r="AM19" i="12"/>
  <c r="AO22" i="12"/>
  <c r="AM27" i="12"/>
  <c r="AM56" i="12" s="1"/>
  <c r="AO30" i="12"/>
  <c r="AM35" i="12"/>
  <c r="AO38" i="12"/>
  <c r="AM43" i="12"/>
  <c r="AO46" i="12"/>
  <c r="AM52" i="12"/>
  <c r="AK109" i="12"/>
  <c r="AM12" i="13"/>
  <c r="AO19" i="13"/>
  <c r="AM19" i="13"/>
  <c r="AM28" i="13"/>
  <c r="AO35" i="13"/>
  <c r="AM35" i="13"/>
  <c r="AM44" i="13"/>
  <c r="AO52" i="13"/>
  <c r="AM52" i="13"/>
  <c r="AO11" i="14"/>
  <c r="AM11" i="14"/>
  <c r="AO30" i="14"/>
  <c r="AM30" i="14"/>
  <c r="AO34" i="14"/>
  <c r="AM34" i="14"/>
  <c r="I118" i="13"/>
  <c r="I119" i="13" s="1"/>
  <c r="M118" i="13"/>
  <c r="M119" i="13" s="1"/>
  <c r="Q118" i="13"/>
  <c r="Q119" i="13" s="1"/>
  <c r="U118" i="13"/>
  <c r="U119" i="13" s="1"/>
  <c r="Y118" i="13"/>
  <c r="Y119" i="13" s="1"/>
  <c r="AC118" i="13"/>
  <c r="AC119" i="13" s="1"/>
  <c r="AG118" i="13"/>
  <c r="AG119" i="13" s="1"/>
  <c r="AO22" i="14"/>
  <c r="AM22" i="14"/>
  <c r="AO38" i="14"/>
  <c r="AM38" i="14"/>
  <c r="F118" i="13"/>
  <c r="F119" i="13" s="1"/>
  <c r="J118" i="13"/>
  <c r="J119" i="13" s="1"/>
  <c r="N118" i="13"/>
  <c r="N119" i="13" s="1"/>
  <c r="R118" i="13"/>
  <c r="R119" i="13" s="1"/>
  <c r="V118" i="13"/>
  <c r="V119" i="13" s="1"/>
  <c r="Z118" i="13"/>
  <c r="Z119" i="13" s="1"/>
  <c r="AA116" i="13" s="1"/>
  <c r="AA119" i="13" s="1"/>
  <c r="AD118" i="13"/>
  <c r="AD119" i="13" s="1"/>
  <c r="AH118" i="13"/>
  <c r="AH119" i="13" s="1"/>
  <c r="AM19" i="14"/>
  <c r="AO26" i="14"/>
  <c r="AM26" i="14"/>
  <c r="AM35" i="14"/>
  <c r="AO42" i="14"/>
  <c r="AM42" i="14"/>
  <c r="AM53" i="14"/>
  <c r="AT16" i="3" l="1"/>
  <c r="AK113" i="12"/>
  <c r="F119" i="12" s="1"/>
  <c r="AM109" i="12"/>
  <c r="AM113" i="12" s="1"/>
  <c r="AO113" i="12"/>
  <c r="AM57" i="14"/>
  <c r="AO56" i="12"/>
  <c r="AM56" i="13"/>
  <c r="AT60" i="10"/>
  <c r="AT16" i="5"/>
  <c r="AK119" i="14"/>
  <c r="AM115" i="14"/>
  <c r="AM119" i="14" s="1"/>
  <c r="AM37" i="9"/>
  <c r="AK69" i="9"/>
  <c r="AO56" i="13"/>
  <c r="AO118" i="13" s="1"/>
  <c r="AK25" i="3"/>
  <c r="AK29" i="3" s="1"/>
  <c r="AM20" i="3"/>
  <c r="AJ15" i="11"/>
  <c r="AJ53" i="11" s="1"/>
  <c r="AL15" i="11"/>
  <c r="AL53" i="11" s="1"/>
  <c r="AL99" i="11" s="1"/>
  <c r="AK35" i="9"/>
  <c r="AK118" i="13"/>
  <c r="AM114" i="13"/>
  <c r="AM118" i="13" s="1"/>
  <c r="AM35" i="9"/>
  <c r="AM31" i="5"/>
  <c r="AM35" i="5" s="1"/>
  <c r="AQ18" i="5"/>
  <c r="AT18" i="5"/>
  <c r="AT31" i="5" s="1"/>
  <c r="AT35" i="5" s="1"/>
  <c r="F74" i="9"/>
  <c r="G71" i="9" s="1"/>
  <c r="G74" i="9" s="1"/>
  <c r="H71" i="9" s="1"/>
  <c r="H74" i="9" s="1"/>
  <c r="I71" i="9" s="1"/>
  <c r="I74" i="9" s="1"/>
  <c r="J71" i="9" s="1"/>
  <c r="J74" i="9" s="1"/>
  <c r="K71" i="9" s="1"/>
  <c r="K74" i="9" s="1"/>
  <c r="L71" i="9" s="1"/>
  <c r="L74" i="9" s="1"/>
  <c r="M71" i="9" s="1"/>
  <c r="M74" i="9" s="1"/>
  <c r="N71" i="9" s="1"/>
  <c r="N74" i="9" s="1"/>
  <c r="O71" i="9" s="1"/>
  <c r="O74" i="9" s="1"/>
  <c r="P71" i="9" s="1"/>
  <c r="P74" i="9" s="1"/>
  <c r="Q71" i="9" s="1"/>
  <c r="Q74" i="9" s="1"/>
  <c r="R71" i="9" s="1"/>
  <c r="R74" i="9" s="1"/>
  <c r="S71" i="9" s="1"/>
  <c r="S74" i="9" s="1"/>
  <c r="T71" i="9" s="1"/>
  <c r="T74" i="9" s="1"/>
  <c r="U71" i="9" s="1"/>
  <c r="U74" i="9" s="1"/>
  <c r="V71" i="9" s="1"/>
  <c r="V74" i="9" s="1"/>
  <c r="W71" i="9" s="1"/>
  <c r="W74" i="9" s="1"/>
  <c r="X71" i="9" s="1"/>
  <c r="X74" i="9" s="1"/>
  <c r="Y71" i="9" s="1"/>
  <c r="Y74" i="9" s="1"/>
  <c r="Z71" i="9" s="1"/>
  <c r="Z74" i="9" s="1"/>
  <c r="AA71" i="9" s="1"/>
  <c r="AA74" i="9" s="1"/>
  <c r="AB71" i="9" s="1"/>
  <c r="AB74" i="9" s="1"/>
  <c r="AC71" i="9" s="1"/>
  <c r="AC74" i="9" s="1"/>
  <c r="AD71" i="9" s="1"/>
  <c r="AD74" i="9" s="1"/>
  <c r="AE71" i="9" s="1"/>
  <c r="AE74" i="9" s="1"/>
  <c r="AF71" i="9" s="1"/>
  <c r="AF74" i="9" s="1"/>
  <c r="AG71" i="9" s="1"/>
  <c r="AG74" i="9" s="1"/>
  <c r="AH71" i="9" s="1"/>
  <c r="AH74" i="9" s="1"/>
  <c r="AI71" i="9" s="1"/>
  <c r="AI74" i="9" s="1"/>
  <c r="AJ71" i="9" s="1"/>
  <c r="AJ74" i="9" s="1"/>
  <c r="AQ21" i="1"/>
  <c r="AT21" i="1"/>
  <c r="AT26" i="1" s="1"/>
  <c r="AT30" i="1" s="1"/>
  <c r="AT34" i="1" s="1"/>
  <c r="AJ95" i="11"/>
  <c r="G97" i="11"/>
  <c r="F100" i="11"/>
  <c r="AT39" i="9"/>
  <c r="AQ39" i="9"/>
  <c r="AT16" i="4"/>
  <c r="G33" i="4"/>
  <c r="H30" i="4" s="1"/>
  <c r="H33" i="4" s="1"/>
  <c r="I30" i="4" s="1"/>
  <c r="I33" i="4" s="1"/>
  <c r="J30" i="4" s="1"/>
  <c r="J33" i="4" s="1"/>
  <c r="K30" i="4" s="1"/>
  <c r="K33" i="4" s="1"/>
  <c r="L30" i="4" s="1"/>
  <c r="L33" i="4" s="1"/>
  <c r="M30" i="4" s="1"/>
  <c r="M33" i="4" s="1"/>
  <c r="N30" i="4" s="1"/>
  <c r="N33" i="4" s="1"/>
  <c r="O30" i="4" s="1"/>
  <c r="O33" i="4" s="1"/>
  <c r="P30" i="4" s="1"/>
  <c r="P33" i="4" s="1"/>
  <c r="Q30" i="4" s="1"/>
  <c r="Q33" i="4" s="1"/>
  <c r="R30" i="4" s="1"/>
  <c r="R33" i="4" s="1"/>
  <c r="S30" i="4" s="1"/>
  <c r="S33" i="4" s="1"/>
  <c r="T30" i="4" s="1"/>
  <c r="T33" i="4" s="1"/>
  <c r="U30" i="4" s="1"/>
  <c r="U33" i="4" s="1"/>
  <c r="V30" i="4" s="1"/>
  <c r="V33" i="4" s="1"/>
  <c r="W30" i="4" s="1"/>
  <c r="W33" i="4" s="1"/>
  <c r="X30" i="4" s="1"/>
  <c r="X33" i="4" s="1"/>
  <c r="Y30" i="4" s="1"/>
  <c r="Y33" i="4" s="1"/>
  <c r="Z30" i="4" s="1"/>
  <c r="Z33" i="4" s="1"/>
  <c r="AA30" i="4" s="1"/>
  <c r="AA33" i="4" s="1"/>
  <c r="AB30" i="4" s="1"/>
  <c r="AB33" i="4" s="1"/>
  <c r="AC30" i="4" s="1"/>
  <c r="AC33" i="4" s="1"/>
  <c r="AD30" i="4" s="1"/>
  <c r="AD33" i="4" s="1"/>
  <c r="AE30" i="4" s="1"/>
  <c r="AE33" i="4" s="1"/>
  <c r="AF30" i="4" s="1"/>
  <c r="AF33" i="4" s="1"/>
  <c r="AG30" i="4" s="1"/>
  <c r="AG33" i="4" s="1"/>
  <c r="AH30" i="4" s="1"/>
  <c r="AH33" i="4" s="1"/>
  <c r="AI30" i="4" s="1"/>
  <c r="AI33" i="4" s="1"/>
  <c r="AJ30" i="4" s="1"/>
  <c r="AJ33" i="4" s="1"/>
  <c r="AO57" i="14"/>
  <c r="AO119" i="14" s="1"/>
  <c r="AH53" i="11"/>
  <c r="AH99" i="11" s="1"/>
  <c r="F105" i="11" s="1"/>
  <c r="AT21" i="5"/>
  <c r="AQ21" i="5"/>
  <c r="AT21" i="4"/>
  <c r="AT28" i="4" s="1"/>
  <c r="AT32" i="4" s="1"/>
  <c r="AQ21" i="4"/>
  <c r="AK31" i="5"/>
  <c r="AK35" i="5" s="1"/>
  <c r="AM75" i="8"/>
  <c r="S100" i="11"/>
  <c r="T97" i="11" s="1"/>
  <c r="T100" i="11" s="1"/>
  <c r="U97" i="11" s="1"/>
  <c r="U100" i="11" s="1"/>
  <c r="V97" i="11" s="1"/>
  <c r="V100" i="11" s="1"/>
  <c r="W97" i="11" s="1"/>
  <c r="W100" i="11" s="1"/>
  <c r="X97" i="11" s="1"/>
  <c r="X100" i="11" s="1"/>
  <c r="Y97" i="11" s="1"/>
  <c r="Y100" i="11" s="1"/>
  <c r="Z97" i="11" s="1"/>
  <c r="Z100" i="11" s="1"/>
  <c r="AA97" i="11" s="1"/>
  <c r="AA100" i="11" s="1"/>
  <c r="AB97" i="11" s="1"/>
  <c r="AB100" i="11" s="1"/>
  <c r="AC97" i="11" s="1"/>
  <c r="AC100" i="11" s="1"/>
  <c r="AD97" i="11" s="1"/>
  <c r="AD100" i="11" s="1"/>
  <c r="AE97" i="11" s="1"/>
  <c r="AE100" i="11" s="1"/>
  <c r="AF97" i="11" s="1"/>
  <c r="AF100" i="11" s="1"/>
  <c r="AG97" i="11" s="1"/>
  <c r="AG100" i="11" s="1"/>
  <c r="F104" i="11" s="1"/>
  <c r="AJ99" i="11" l="1"/>
  <c r="AT20" i="3"/>
  <c r="AT25" i="3" s="1"/>
  <c r="AT29" i="3" s="1"/>
  <c r="AT33" i="3" s="1"/>
  <c r="AQ20" i="3"/>
  <c r="AM25" i="3"/>
  <c r="AM29" i="3" s="1"/>
  <c r="AT37" i="9"/>
  <c r="AT69" i="9" s="1"/>
  <c r="AT73" i="9" s="1"/>
  <c r="AM69" i="9"/>
  <c r="AM73" i="9" s="1"/>
  <c r="AQ37" i="9"/>
  <c r="H97" i="11"/>
  <c r="H100" i="11" s="1"/>
  <c r="G100" i="11"/>
  <c r="AK73" i="9"/>
</calcChain>
</file>

<file path=xl/sharedStrings.xml><?xml version="1.0" encoding="utf-8"?>
<sst xmlns="http://schemas.openxmlformats.org/spreadsheetml/2006/main" count="1842" uniqueCount="234">
  <si>
    <t>Edward and Christie (Pvt) Ltd</t>
  </si>
  <si>
    <t xml:space="preserve">                                                           Monthly Fuel Consumption Report (Daily/ Average)</t>
  </si>
  <si>
    <t>Location/ Project: MARAWILA PROJECT</t>
  </si>
  <si>
    <t xml:space="preserve">                                                             Year and Month: May</t>
  </si>
  <si>
    <r>
      <rPr>
        <b/>
        <sz val="12"/>
        <color theme="1"/>
        <rFont val="Times New Roman"/>
      </rPr>
      <t>; APRIL</t>
    </r>
    <r>
      <rPr>
        <sz val="12"/>
        <color theme="1"/>
        <rFont val="Times New Roman"/>
      </rPr>
      <t xml:space="preserve"> </t>
    </r>
    <r>
      <rPr>
        <b/>
        <sz val="12"/>
        <color theme="1"/>
        <rFont val="Times New Roman"/>
      </rPr>
      <t>2025</t>
    </r>
  </si>
  <si>
    <t xml:space="preserve"> </t>
  </si>
  <si>
    <t>S. No.</t>
  </si>
  <si>
    <t>Vehicle Reg. No.</t>
  </si>
  <si>
    <t>Company Code</t>
  </si>
  <si>
    <t>of Vehicle/ MType achine</t>
  </si>
  <si>
    <t>Fuel Type</t>
  </si>
  <si>
    <t>Day</t>
  </si>
  <si>
    <t xml:space="preserve">Total ℓ from Site Tank </t>
  </si>
  <si>
    <t>Total ℓ from Outside</t>
  </si>
  <si>
    <t>Total Fuel ℓ (A)</t>
  </si>
  <si>
    <t>Opening Meter km/ hrs.</t>
  </si>
  <si>
    <t>Closing Meter km/ hrs.</t>
  </si>
  <si>
    <t>Total Running    km/ hrs.(B)</t>
  </si>
  <si>
    <t xml:space="preserve">Consumption per km or hrs. (B/A) </t>
  </si>
  <si>
    <t xml:space="preserve">Previous month consumption </t>
  </si>
  <si>
    <t>Fuel Rate Rs. (C)</t>
  </si>
  <si>
    <t xml:space="preserve">Fuel Cost Rs. (A*C) </t>
  </si>
  <si>
    <t>PD-7049</t>
  </si>
  <si>
    <t>double cab</t>
  </si>
  <si>
    <t>DIESEL</t>
  </si>
  <si>
    <t>GL-8776</t>
  </si>
  <si>
    <t>two cab</t>
  </si>
  <si>
    <t>Total issue for the vehicle (ℓ)</t>
  </si>
  <si>
    <t>ZA-6220</t>
  </si>
  <si>
    <t>JCB</t>
  </si>
  <si>
    <t xml:space="preserve">Total issue for the machinery (ℓ) 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</si>
  <si>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</si>
  <si>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</si>
  <si>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</si>
  <si>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</si>
  <si>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</si>
  <si>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Total deduction (Rs.)</t>
  </si>
  <si>
    <t>Monthly Purchasing (ℓ)</t>
  </si>
  <si>
    <t>Project fuel cost (Rs.)</t>
  </si>
  <si>
    <t>Monthly Closing Balance (ℓ)</t>
  </si>
  <si>
    <t>Monthly Consumption (ℓ)</t>
  </si>
  <si>
    <t>…………………………….                                                 ………………………………                                        …………………………………..                                      ….....................................                                     ...................................                                               …………………………………….</t>
  </si>
  <si>
    <t xml:space="preserve">Prepared By                                                    Checked By                                        Reviewed By                                       Reviewed By                                           Reviewed By                                   Approved By          </t>
  </si>
  <si>
    <t xml:space="preserve">Store Keeper                                              Transport Officer                                      Project Manager                         Account Executive (HO)                          Manager Logistics (HO)                        Director Construction     </t>
  </si>
  <si>
    <t xml:space="preserve">                                                             Year and Month: June</t>
  </si>
  <si>
    <t>Year and Moth ; May 2025</t>
  </si>
  <si>
    <t>Type of Vehicle/ Machine</t>
  </si>
  <si>
    <t>GJ-8775</t>
  </si>
  <si>
    <t>59-1280</t>
  </si>
  <si>
    <t>L200 cab</t>
  </si>
  <si>
    <t>Location/ Project: Marawila Site</t>
  </si>
  <si>
    <t xml:space="preserve">                                                             Year and Month: October</t>
  </si>
  <si>
    <t xml:space="preserve">Vehicle </t>
  </si>
  <si>
    <t>Cab</t>
  </si>
  <si>
    <t>Hire Crew Cab</t>
  </si>
  <si>
    <t>Hire Cab</t>
  </si>
  <si>
    <t>RD-8851</t>
  </si>
  <si>
    <t>Hire tractor</t>
  </si>
  <si>
    <t>LO-8350</t>
  </si>
  <si>
    <t>Tipper</t>
  </si>
  <si>
    <t>LP-1568</t>
  </si>
  <si>
    <t xml:space="preserve">                                                  machinery</t>
  </si>
  <si>
    <t>AC-38</t>
  </si>
  <si>
    <t>VR-10</t>
  </si>
  <si>
    <t>Roller</t>
  </si>
  <si>
    <t>HEX-17</t>
  </si>
  <si>
    <t>Excavator</t>
  </si>
  <si>
    <t>SL-06</t>
  </si>
  <si>
    <t>Bob cat</t>
  </si>
  <si>
    <t>LO-4823</t>
  </si>
  <si>
    <t>SR-09</t>
  </si>
  <si>
    <t>VR - 14</t>
  </si>
  <si>
    <t>MG-05</t>
  </si>
  <si>
    <t>3 Ton roller</t>
  </si>
  <si>
    <t>LO-4925</t>
  </si>
  <si>
    <t>VR-71</t>
  </si>
  <si>
    <t>HEX-21</t>
  </si>
  <si>
    <t>vr - 09</t>
  </si>
  <si>
    <t xml:space="preserve">                                                             Year and Month: December</t>
  </si>
  <si>
    <t xml:space="preserve">DIESEL </t>
  </si>
  <si>
    <t>LM-2298</t>
  </si>
  <si>
    <t>DAH-2228</t>
  </si>
  <si>
    <t>PH-6744</t>
  </si>
  <si>
    <t>LM-5720</t>
  </si>
  <si>
    <t>LP-1573</t>
  </si>
  <si>
    <t>LP-1577</t>
  </si>
  <si>
    <t>LP-1567</t>
  </si>
  <si>
    <t>LP-1712</t>
  </si>
  <si>
    <t>LP-1582</t>
  </si>
  <si>
    <t>LO-4824</t>
  </si>
  <si>
    <t>LO-4625</t>
  </si>
  <si>
    <t>LP-1578</t>
  </si>
  <si>
    <t>LP-1569</t>
  </si>
  <si>
    <t>LP-1720</t>
  </si>
  <si>
    <t xml:space="preserve">  </t>
  </si>
  <si>
    <t>LP-1566</t>
  </si>
  <si>
    <t>LD-8875</t>
  </si>
  <si>
    <t>LP-1571</t>
  </si>
  <si>
    <t>LO-5985</t>
  </si>
  <si>
    <t>LP-7183</t>
  </si>
  <si>
    <t>LP - 1715</t>
  </si>
  <si>
    <t>LO - 5981</t>
  </si>
  <si>
    <t>PE - 3723</t>
  </si>
  <si>
    <t>SL-15</t>
  </si>
  <si>
    <t>SL-09</t>
  </si>
  <si>
    <t>HEX-45</t>
  </si>
  <si>
    <t>SR-12</t>
  </si>
  <si>
    <t>MG-5</t>
  </si>
  <si>
    <t>RA-3051</t>
  </si>
  <si>
    <t>PTR - 01</t>
  </si>
  <si>
    <t>PTR - 06</t>
  </si>
  <si>
    <t>PTR - 08</t>
  </si>
  <si>
    <t>SR-04</t>
  </si>
  <si>
    <t>Cleaning</t>
  </si>
  <si>
    <t>AC-27</t>
  </si>
  <si>
    <t>MG-04</t>
  </si>
  <si>
    <t>PTR-10</t>
  </si>
  <si>
    <t>HEX-42</t>
  </si>
  <si>
    <t>VR-23</t>
  </si>
  <si>
    <t>VR-53</t>
  </si>
  <si>
    <t>AP-08</t>
  </si>
  <si>
    <t>SR-14</t>
  </si>
  <si>
    <t>LB-25</t>
  </si>
  <si>
    <t>COMPRESHO</t>
  </si>
  <si>
    <t xml:space="preserve">                                                             Year and Month: November </t>
  </si>
  <si>
    <t>PH-6747</t>
  </si>
  <si>
    <t>AP-09</t>
  </si>
  <si>
    <t xml:space="preserve">                                                             Year and Month: January</t>
  </si>
  <si>
    <t>LO-7183</t>
  </si>
  <si>
    <t>LP-1576</t>
  </si>
  <si>
    <t>LO-5983</t>
  </si>
  <si>
    <t>LO-7182</t>
  </si>
  <si>
    <t>LP-1710</t>
  </si>
  <si>
    <t>LO-8783</t>
  </si>
  <si>
    <t>LO-8348</t>
  </si>
  <si>
    <t>LK-6738</t>
  </si>
  <si>
    <t>PH-6742</t>
  </si>
  <si>
    <t>LP-1507</t>
  </si>
  <si>
    <t>LL-1782</t>
  </si>
  <si>
    <t>LY-4524</t>
  </si>
  <si>
    <t>DAE-6559 Hire Aspholt</t>
  </si>
  <si>
    <t>LO-7181</t>
  </si>
  <si>
    <t>LP-1572</t>
  </si>
  <si>
    <t>LA-9208</t>
  </si>
  <si>
    <t>LP-1709</t>
  </si>
  <si>
    <t>LP-1574</t>
  </si>
  <si>
    <t>LO-8349</t>
  </si>
  <si>
    <t>LP-1713</t>
  </si>
  <si>
    <t>GJ-0019</t>
  </si>
  <si>
    <t>51-8083</t>
  </si>
  <si>
    <t>ZB-0050</t>
  </si>
  <si>
    <t>ZB-1521</t>
  </si>
  <si>
    <t>DAH - 2491</t>
  </si>
  <si>
    <t>VR-64</t>
  </si>
  <si>
    <t>AC-25</t>
  </si>
  <si>
    <t>AP- ( Hire Aspholt )</t>
  </si>
  <si>
    <t>SR- ( Hire Asoholt )</t>
  </si>
  <si>
    <t>PTR-01 (Hire Aspholt)</t>
  </si>
  <si>
    <t>PTR-02 (Hire Aspholt)</t>
  </si>
  <si>
    <t>Compreshor Hire Aspholt</t>
  </si>
  <si>
    <t>Light Plant LT-21</t>
  </si>
  <si>
    <t>VR-59</t>
  </si>
  <si>
    <t>Nimsara PTR</t>
  </si>
  <si>
    <t>Correction</t>
  </si>
  <si>
    <t>VR-54</t>
  </si>
  <si>
    <t>VR-63</t>
  </si>
  <si>
    <t>AC-01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</si>
  <si>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</si>
  <si>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February</t>
  </si>
  <si>
    <t>Hilux Cab</t>
  </si>
  <si>
    <t>Crew Cab</t>
  </si>
  <si>
    <t>Water Bowser</t>
  </si>
  <si>
    <t>LP - 1574</t>
  </si>
  <si>
    <t>Bed truck</t>
  </si>
  <si>
    <t>Diesel bowser</t>
  </si>
  <si>
    <t>57 - 3062</t>
  </si>
  <si>
    <t>ZB - 0050</t>
  </si>
  <si>
    <t>Truck Mixer</t>
  </si>
  <si>
    <t xml:space="preserve"> machinery</t>
  </si>
  <si>
    <t>Bob Cat</t>
  </si>
  <si>
    <t>Tractor</t>
  </si>
  <si>
    <t>10 T Roller</t>
  </si>
  <si>
    <t>Grader</t>
  </si>
  <si>
    <t>5t Roller</t>
  </si>
  <si>
    <t>PTR Roller</t>
  </si>
  <si>
    <t>Ccmpreshor</t>
  </si>
  <si>
    <t>3 t Roller</t>
  </si>
  <si>
    <t>10 t Roller</t>
  </si>
  <si>
    <t>3t Roller</t>
  </si>
  <si>
    <t>Paver</t>
  </si>
  <si>
    <t>10T Roller</t>
  </si>
  <si>
    <t>Compreshor</t>
  </si>
  <si>
    <t>Light Plant</t>
  </si>
  <si>
    <t>LT 21</t>
  </si>
  <si>
    <t>3 T Roller</t>
  </si>
  <si>
    <t xml:space="preserve">Cab </t>
  </si>
  <si>
    <t>Comprshor</t>
  </si>
  <si>
    <t>VR 29</t>
  </si>
  <si>
    <t>3T Roller</t>
  </si>
  <si>
    <t>Monthly Total Issue for Vehicle and Machinery (ℓ)</t>
  </si>
  <si>
    <t>….............................................................</t>
  </si>
  <si>
    <t>…..........................................................</t>
  </si>
  <si>
    <t>Prepared by</t>
  </si>
  <si>
    <t xml:space="preserve">Fuel stock book cross checked by    </t>
  </si>
  <si>
    <t>Mr Lakshan</t>
  </si>
  <si>
    <t>Navodya Diwyanjali</t>
  </si>
  <si>
    <t>Accounts assistant</t>
  </si>
  <si>
    <t>.</t>
  </si>
  <si>
    <t>march</t>
  </si>
  <si>
    <t>ZA -8511</t>
  </si>
  <si>
    <t>ZA - 8445</t>
  </si>
  <si>
    <t>Treck Mixer</t>
  </si>
  <si>
    <t>Asphalt work</t>
  </si>
  <si>
    <t>PX-1561</t>
  </si>
  <si>
    <t>PTR 10</t>
  </si>
  <si>
    <t>compreshor AC 01</t>
  </si>
  <si>
    <t>RS- 0483</t>
  </si>
  <si>
    <t>59- 1280</t>
  </si>
  <si>
    <t>correctio</t>
  </si>
  <si>
    <t>LO 4823</t>
  </si>
  <si>
    <t>correction</t>
  </si>
  <si>
    <t>PH 6744</t>
  </si>
  <si>
    <t>LK 6738</t>
  </si>
  <si>
    <t>VR 59</t>
  </si>
  <si>
    <t>GJ 8775</t>
  </si>
  <si>
    <t>['</t>
  </si>
  <si>
    <t>Aprail</t>
  </si>
  <si>
    <t>SL-14</t>
  </si>
  <si>
    <t>VR-65</t>
  </si>
  <si>
    <t>LAB WORK</t>
  </si>
  <si>
    <t>MG-06</t>
  </si>
  <si>
    <t>GENERATOR</t>
  </si>
  <si>
    <t>ooooooooo</t>
  </si>
  <si>
    <t>LL-0920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</si>
</sst>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"/>
    <numFmt numFmtId="165" formatCode="m/d"/>
  </numFmts>
  <fonts count="18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sz val="11"/>
      <name val="Calibri"/>
    </font>
    <font>
      <sz val="11"/>
      <color rgb="FFFF0000"/>
      <name val="Times New Roman"/>
    </font>
    <font>
      <sz val="8"/>
      <color theme="1"/>
      <name val="Times New Roman"/>
    </font>
    <font>
      <b/>
      <sz val="11"/>
      <color theme="1"/>
      <name val="Calibri"/>
    </font>
    <font>
      <b/>
      <sz val="18"/>
      <color theme="1"/>
      <name val="Times New Roman"/>
    </font>
    <font>
      <sz val="11"/>
      <color theme="1"/>
      <name val="Calibri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8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Calibri"/>
      <scheme val="minor"/>
    </font>
    <font>
      <sz val="11"/>
      <color rgb="FF000000"/>
      <name val="Calibri"/>
    </font>
    <font>
      <sz val="10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5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43" fontId="2" fillId="0" borderId="0" xfId="0" applyNumberFormat="1" applyFont="1"/>
    <xf numFmtId="0" fontId="1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3" fontId="3" fillId="0" borderId="1" xfId="0" applyNumberFormat="1" applyFont="1" applyBorder="1"/>
    <xf numFmtId="0" fontId="3" fillId="0" borderId="0" xfId="0" applyFont="1"/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2" fontId="3" fillId="0" borderId="8" xfId="0" applyNumberFormat="1" applyFont="1" applyBorder="1"/>
    <xf numFmtId="43" fontId="3" fillId="0" borderId="8" xfId="0" applyNumberFormat="1" applyFont="1" applyBorder="1"/>
    <xf numFmtId="0" fontId="3" fillId="0" borderId="9" xfId="0" applyFont="1" applyBorder="1" applyAlignment="1">
      <alignment horizontal="center"/>
    </xf>
    <xf numFmtId="43" fontId="3" fillId="0" borderId="9" xfId="0" applyNumberFormat="1" applyFont="1" applyBorder="1"/>
    <xf numFmtId="0" fontId="3" fillId="0" borderId="13" xfId="0" applyFont="1" applyBorder="1" applyAlignment="1">
      <alignment horizontal="center"/>
    </xf>
    <xf numFmtId="43" fontId="3" fillId="0" borderId="13" xfId="0" applyNumberFormat="1" applyFont="1" applyBorder="1"/>
    <xf numFmtId="0" fontId="3" fillId="0" borderId="14" xfId="0" applyFont="1" applyBorder="1" applyAlignment="1">
      <alignment horizontal="center"/>
    </xf>
    <xf numFmtId="43" fontId="3" fillId="0" borderId="14" xfId="0" applyNumberFormat="1" applyFont="1" applyBorder="1"/>
    <xf numFmtId="0" fontId="3" fillId="0" borderId="9" xfId="0" applyFont="1" applyBorder="1"/>
    <xf numFmtId="0" fontId="3" fillId="0" borderId="6" xfId="0" applyFont="1" applyBorder="1" applyAlignment="1">
      <alignment horizontal="center"/>
    </xf>
    <xf numFmtId="0" fontId="3" fillId="0" borderId="13" xfId="0" applyFont="1" applyBorder="1"/>
    <xf numFmtId="0" fontId="3" fillId="0" borderId="6" xfId="0" applyFont="1" applyBorder="1"/>
    <xf numFmtId="43" fontId="3" fillId="0" borderId="6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5" fillId="2" borderId="18" xfId="0" applyFont="1" applyFill="1" applyBorder="1"/>
    <xf numFmtId="43" fontId="3" fillId="0" borderId="0" xfId="0" applyNumberFormat="1" applyFont="1"/>
    <xf numFmtId="0" fontId="3" fillId="0" borderId="19" xfId="0" applyFont="1" applyBorder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0" borderId="19" xfId="0" applyFont="1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3" borderId="8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43" fontId="5" fillId="2" borderId="13" xfId="0" applyNumberFormat="1" applyFont="1" applyFill="1" applyBorder="1" applyAlignment="1">
      <alignment horizontal="center"/>
    </xf>
    <xf numFmtId="2" fontId="3" fillId="0" borderId="6" xfId="0" applyNumberFormat="1" applyFont="1" applyBorder="1"/>
    <xf numFmtId="0" fontId="5" fillId="4" borderId="18" xfId="0" applyFont="1" applyFill="1" applyBorder="1"/>
    <xf numFmtId="0" fontId="8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3" borderId="7" xfId="0" applyFont="1" applyFill="1" applyBorder="1" applyAlignment="1">
      <alignment horizontal="center"/>
    </xf>
    <xf numFmtId="43" fontId="3" fillId="0" borderId="7" xfId="0" applyNumberFormat="1" applyFont="1" applyBorder="1"/>
    <xf numFmtId="0" fontId="5" fillId="2" borderId="7" xfId="0" applyFont="1" applyFill="1" applyBorder="1" applyAlignment="1">
      <alignment horizontal="center"/>
    </xf>
    <xf numFmtId="43" fontId="5" fillId="2" borderId="7" xfId="0" applyNumberFormat="1" applyFont="1" applyFill="1" applyBorder="1"/>
    <xf numFmtId="0" fontId="8" fillId="0" borderId="23" xfId="0" applyFont="1" applyBorder="1"/>
    <xf numFmtId="0" fontId="8" fillId="0" borderId="0" xfId="0" applyFont="1"/>
    <xf numFmtId="0" fontId="3" fillId="5" borderId="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2" fontId="3" fillId="0" borderId="14" xfId="0" applyNumberFormat="1" applyFont="1" applyBorder="1"/>
    <xf numFmtId="0" fontId="3" fillId="0" borderId="14" xfId="0" applyFont="1" applyBorder="1"/>
    <xf numFmtId="43" fontId="5" fillId="2" borderId="27" xfId="0" applyNumberFormat="1" applyFont="1" applyFill="1" applyBorder="1"/>
    <xf numFmtId="0" fontId="5" fillId="6" borderId="18" xfId="0" applyFont="1" applyFill="1" applyBorder="1"/>
    <xf numFmtId="0" fontId="5" fillId="7" borderId="18" xfId="0" applyFont="1" applyFill="1" applyBorder="1"/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2" fillId="0" borderId="0" xfId="0" applyNumberFormat="1" applyFont="1"/>
    <xf numFmtId="0" fontId="5" fillId="0" borderId="7" xfId="0" applyFont="1" applyBorder="1" applyAlignment="1">
      <alignment horizontal="center"/>
    </xf>
    <xf numFmtId="164" fontId="3" fillId="0" borderId="7" xfId="0" applyNumberFormat="1" applyFont="1" applyBorder="1"/>
    <xf numFmtId="0" fontId="3" fillId="0" borderId="29" xfId="0" applyFont="1" applyBorder="1"/>
    <xf numFmtId="0" fontId="5" fillId="3" borderId="7" xfId="0" applyFont="1" applyFill="1" applyBorder="1" applyAlignment="1">
      <alignment horizontal="center"/>
    </xf>
    <xf numFmtId="0" fontId="3" fillId="3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/>
    <xf numFmtId="164" fontId="5" fillId="2" borderId="7" xfId="0" applyNumberFormat="1" applyFont="1" applyFill="1" applyBorder="1"/>
    <xf numFmtId="164" fontId="3" fillId="0" borderId="7" xfId="0" applyNumberFormat="1" applyFont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0" borderId="20" xfId="0" applyFont="1" applyBorder="1"/>
    <xf numFmtId="0" fontId="3" fillId="0" borderId="22" xfId="0" applyFont="1" applyBorder="1"/>
    <xf numFmtId="2" fontId="3" fillId="0" borderId="13" xfId="0" applyNumberFormat="1" applyFont="1" applyBorder="1"/>
    <xf numFmtId="164" fontId="3" fillId="0" borderId="13" xfId="0" applyNumberFormat="1" applyFont="1" applyBorder="1"/>
    <xf numFmtId="164" fontId="5" fillId="2" borderId="27" xfId="0" applyNumberFormat="1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/>
    <xf numFmtId="0" fontId="9" fillId="0" borderId="0" xfId="0" applyFont="1"/>
    <xf numFmtId="0" fontId="10" fillId="9" borderId="0" xfId="0" applyFont="1" applyFill="1" applyAlignment="1">
      <alignment horizontal="left"/>
    </xf>
    <xf numFmtId="0" fontId="11" fillId="9" borderId="0" xfId="0" applyFont="1" applyFill="1"/>
    <xf numFmtId="0" fontId="10" fillId="9" borderId="0" xfId="0" applyFont="1" applyFill="1"/>
    <xf numFmtId="0" fontId="11" fillId="9" borderId="0" xfId="0" applyFont="1" applyFill="1" applyAlignment="1">
      <alignment horizontal="center"/>
    </xf>
    <xf numFmtId="164" fontId="11" fillId="9" borderId="0" xfId="0" applyNumberFormat="1" applyFont="1" applyFill="1"/>
    <xf numFmtId="0" fontId="10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1" fillId="9" borderId="20" xfId="0" applyFont="1" applyFill="1" applyBorder="1" applyAlignment="1">
      <alignment horizontal="center"/>
    </xf>
    <xf numFmtId="0" fontId="13" fillId="9" borderId="0" xfId="0" applyFont="1" applyFill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/>
    </xf>
    <xf numFmtId="0" fontId="13" fillId="9" borderId="7" xfId="0" applyFont="1" applyFill="1" applyBorder="1"/>
    <xf numFmtId="0" fontId="13" fillId="9" borderId="7" xfId="0" applyFont="1" applyFill="1" applyBorder="1" applyAlignment="1"/>
    <xf numFmtId="164" fontId="13" fillId="9" borderId="7" xfId="0" applyNumberFormat="1" applyFont="1" applyFill="1" applyBorder="1" applyAlignment="1"/>
    <xf numFmtId="164" fontId="13" fillId="9" borderId="7" xfId="0" applyNumberFormat="1" applyFont="1" applyFill="1" applyBorder="1"/>
    <xf numFmtId="164" fontId="13" fillId="9" borderId="0" xfId="0" applyNumberFormat="1" applyFont="1" applyFill="1"/>
    <xf numFmtId="0" fontId="15" fillId="9" borderId="0" xfId="0" applyFont="1" applyFill="1"/>
    <xf numFmtId="0" fontId="13" fillId="9" borderId="7" xfId="0" applyFont="1" applyFill="1" applyBorder="1" applyAlignment="1">
      <alignment horizontal="center"/>
    </xf>
    <xf numFmtId="0" fontId="14" fillId="9" borderId="13" xfId="0" applyFont="1" applyFill="1" applyBorder="1" applyAlignment="1">
      <alignment horizontal="center"/>
    </xf>
    <xf numFmtId="0" fontId="14" fillId="9" borderId="13" xfId="0" applyFont="1" applyFill="1" applyBorder="1"/>
    <xf numFmtId="0" fontId="14" fillId="9" borderId="13" xfId="0" applyFont="1" applyFill="1" applyBorder="1" applyAlignment="1">
      <alignment horizontal="center"/>
    </xf>
    <xf numFmtId="164" fontId="14" fillId="9" borderId="13" xfId="0" applyNumberFormat="1" applyFont="1" applyFill="1" applyBorder="1" applyAlignment="1"/>
    <xf numFmtId="164" fontId="14" fillId="9" borderId="13" xfId="0" applyNumberFormat="1" applyFont="1" applyFill="1" applyBorder="1"/>
    <xf numFmtId="164" fontId="14" fillId="9" borderId="31" xfId="0" applyNumberFormat="1" applyFont="1" applyFill="1" applyBorder="1"/>
    <xf numFmtId="0" fontId="12" fillId="9" borderId="23" xfId="0" applyFont="1" applyFill="1" applyBorder="1" applyAlignment="1"/>
    <xf numFmtId="0" fontId="12" fillId="9" borderId="0" xfId="0" applyFont="1" applyFill="1"/>
    <xf numFmtId="0" fontId="13" fillId="9" borderId="6" xfId="0" applyFont="1" applyFill="1" applyBorder="1"/>
    <xf numFmtId="164" fontId="13" fillId="9" borderId="6" xfId="0" applyNumberFormat="1" applyFont="1" applyFill="1" applyBorder="1" applyAlignment="1"/>
    <xf numFmtId="164" fontId="13" fillId="9" borderId="7" xfId="0" applyNumberFormat="1" applyFont="1" applyFill="1" applyBorder="1" applyAlignment="1">
      <alignment horizontal="center"/>
    </xf>
    <xf numFmtId="164" fontId="13" fillId="9" borderId="0" xfId="0" applyNumberFormat="1" applyFont="1" applyFill="1" applyAlignment="1">
      <alignment horizontal="center"/>
    </xf>
    <xf numFmtId="0" fontId="13" fillId="9" borderId="20" xfId="0" applyFont="1" applyFill="1" applyBorder="1"/>
    <xf numFmtId="0" fontId="13" fillId="9" borderId="20" xfId="0" applyFont="1" applyFill="1" applyBorder="1" applyAlignment="1"/>
    <xf numFmtId="0" fontId="14" fillId="9" borderId="28" xfId="0" applyFont="1" applyFill="1" applyBorder="1" applyAlignment="1">
      <alignment horizontal="center"/>
    </xf>
    <xf numFmtId="0" fontId="14" fillId="9" borderId="27" xfId="0" applyFont="1" applyFill="1" applyBorder="1" applyAlignment="1">
      <alignment horizontal="center"/>
    </xf>
    <xf numFmtId="164" fontId="14" fillId="9" borderId="27" xfId="0" applyNumberFormat="1" applyFont="1" applyFill="1" applyBorder="1" applyAlignment="1">
      <alignment horizontal="center"/>
    </xf>
    <xf numFmtId="164" fontId="14" fillId="9" borderId="31" xfId="0" applyNumberFormat="1" applyFont="1" applyFill="1" applyBorder="1" applyAlignment="1">
      <alignment horizontal="center"/>
    </xf>
    <xf numFmtId="0" fontId="13" fillId="9" borderId="0" xfId="0" applyFont="1" applyFill="1" applyAlignment="1">
      <alignment horizontal="center" wrapText="1"/>
    </xf>
    <xf numFmtId="0" fontId="13" fillId="9" borderId="0" xfId="0" applyFont="1" applyFill="1"/>
    <xf numFmtId="0" fontId="13" fillId="9" borderId="0" xfId="0" applyFont="1" applyFill="1" applyAlignment="1">
      <alignment horizontal="left"/>
    </xf>
    <xf numFmtId="0" fontId="13" fillId="9" borderId="18" xfId="0" applyFont="1" applyFill="1" applyBorder="1" applyAlignment="1">
      <alignment horizontal="center"/>
    </xf>
    <xf numFmtId="0" fontId="13" fillId="9" borderId="18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/>
    </xf>
    <xf numFmtId="164" fontId="13" fillId="9" borderId="31" xfId="0" applyNumberFormat="1" applyFont="1" applyFill="1" applyBorder="1" applyAlignment="1">
      <alignment horizontal="center"/>
    </xf>
    <xf numFmtId="0" fontId="16" fillId="9" borderId="18" xfId="0" applyFont="1" applyFill="1" applyBorder="1" applyAlignment="1"/>
    <xf numFmtId="0" fontId="13" fillId="9" borderId="18" xfId="0" applyFont="1" applyFill="1" applyBorder="1" applyAlignment="1"/>
    <xf numFmtId="43" fontId="16" fillId="9" borderId="18" xfId="0" applyNumberFormat="1" applyFont="1" applyFill="1" applyBorder="1" applyAlignment="1"/>
    <xf numFmtId="0" fontId="11" fillId="9" borderId="0" xfId="0" applyFont="1" applyFill="1"/>
    <xf numFmtId="0" fontId="16" fillId="9" borderId="18" xfId="0" applyFont="1" applyFill="1" applyBorder="1" applyAlignment="1">
      <alignment vertical="top"/>
    </xf>
    <xf numFmtId="0" fontId="11" fillId="9" borderId="18" xfId="0" applyFont="1" applyFill="1" applyBorder="1" applyAlignment="1"/>
    <xf numFmtId="0" fontId="11" fillId="9" borderId="18" xfId="0" applyFont="1" applyFill="1" applyBorder="1" applyAlignment="1"/>
    <xf numFmtId="0" fontId="10" fillId="9" borderId="0" xfId="0" applyFont="1" applyFill="1" applyAlignment="1"/>
    <xf numFmtId="0" fontId="14" fillId="9" borderId="7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/>
    </xf>
    <xf numFmtId="165" fontId="13" fillId="9" borderId="7" xfId="0" applyNumberFormat="1" applyFont="1" applyFill="1" applyBorder="1" applyAlignment="1"/>
    <xf numFmtId="0" fontId="14" fillId="9" borderId="28" xfId="0" applyFont="1" applyFill="1" applyBorder="1" applyAlignment="1">
      <alignment horizontal="center"/>
    </xf>
    <xf numFmtId="0" fontId="13" fillId="9" borderId="18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3" fillId="2" borderId="18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5" fillId="9" borderId="0" xfId="0" applyFont="1" applyFill="1" applyAlignment="1"/>
    <xf numFmtId="0" fontId="13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/>
    </xf>
    <xf numFmtId="0" fontId="17" fillId="9" borderId="7" xfId="0" applyFont="1" applyFill="1" applyBorder="1" applyAlignment="1">
      <alignment horizontal="center"/>
    </xf>
    <xf numFmtId="43" fontId="3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3" fillId="0" borderId="15" xfId="0" applyFont="1" applyBorder="1" applyAlignment="1">
      <alignment horizontal="center" wrapText="1"/>
    </xf>
    <xf numFmtId="0" fontId="4" fillId="0" borderId="16" xfId="0" applyFont="1" applyBorder="1"/>
    <xf numFmtId="0" fontId="4" fillId="0" borderId="17" xfId="0" applyFont="1" applyBorder="1"/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5" fillId="2" borderId="10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21" xfId="0" applyFont="1" applyBorder="1"/>
    <xf numFmtId="0" fontId="4" fillId="0" borderId="22" xfId="0" applyFont="1" applyBorder="1"/>
    <xf numFmtId="0" fontId="3" fillId="0" borderId="24" xfId="0" applyFont="1" applyBorder="1" applyAlignment="1">
      <alignment horizontal="center"/>
    </xf>
    <xf numFmtId="0" fontId="4" fillId="0" borderId="25" xfId="0" applyFont="1" applyBorder="1"/>
    <xf numFmtId="0" fontId="4" fillId="0" borderId="26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164" fontId="3" fillId="0" borderId="1" xfId="0" applyNumberFormat="1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164" fontId="13" fillId="9" borderId="1" xfId="0" applyNumberFormat="1" applyFont="1" applyFill="1" applyBorder="1" applyAlignment="1">
      <alignment horizontal="center" vertical="center" wrapText="1"/>
    </xf>
    <xf numFmtId="0" fontId="14" fillId="9" borderId="32" xfId="0" applyFont="1" applyFill="1" applyBorder="1" applyAlignment="1">
      <alignment horizontal="center"/>
    </xf>
    <xf numFmtId="0" fontId="4" fillId="0" borderId="31" xfId="0" applyFont="1" applyBorder="1"/>
    <xf numFmtId="0" fontId="4" fillId="0" borderId="33" xfId="0" applyFont="1" applyBorder="1"/>
    <xf numFmtId="0" fontId="13" fillId="9" borderId="34" xfId="0" applyFont="1" applyFill="1" applyBorder="1" applyAlignment="1">
      <alignment horizontal="left"/>
    </xf>
    <xf numFmtId="0" fontId="4" fillId="0" borderId="35" xfId="0" applyFont="1" applyBorder="1"/>
    <xf numFmtId="0" fontId="4" fillId="0" borderId="36" xfId="0" applyFont="1" applyBorder="1"/>
    <xf numFmtId="0" fontId="10" fillId="9" borderId="0" xfId="0" applyFont="1" applyFill="1" applyAlignment="1">
      <alignment horizontal="center"/>
    </xf>
    <xf numFmtId="0" fontId="11" fillId="9" borderId="20" xfId="0" applyFont="1" applyFill="1" applyBorder="1" applyAlignment="1">
      <alignment horizontal="center"/>
    </xf>
    <xf numFmtId="0" fontId="4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00"/>
  <sheetViews>
    <sheetView workbookViewId="0"/>
  </sheetViews>
  <sheetFormatPr defaultColWidth="14.42578125" defaultRowHeight="15" customHeight="1"/>
  <cols>
    <col min="1" max="1" width="4.140625" customWidth="1"/>
    <col min="2" max="2" width="21.42578125" customWidth="1"/>
    <col min="3" max="3" width="14" customWidth="1"/>
    <col min="4" max="4" width="13" customWidth="1"/>
    <col min="5" max="5" width="11.28515625" customWidth="1"/>
    <col min="6" max="9" width="4.7109375" customWidth="1"/>
    <col min="10" max="10" width="5.28515625" customWidth="1"/>
    <col min="11" max="14" width="4.7109375" customWidth="1"/>
    <col min="15" max="15" width="7" customWidth="1"/>
    <col min="16" max="30" width="4.7109375" customWidth="1"/>
    <col min="31" max="31" width="7" customWidth="1"/>
    <col min="32" max="32" width="4.7109375" customWidth="1"/>
    <col min="33" max="33" width="6.42578125" customWidth="1"/>
    <col min="34" max="36" width="4.7109375" customWidth="1"/>
    <col min="37" max="37" width="8.42578125" customWidth="1"/>
    <col min="38" max="38" width="7.5703125" customWidth="1"/>
    <col min="39" max="39" width="7.28515625" customWidth="1"/>
    <col min="40" max="40" width="8" customWidth="1"/>
    <col min="41" max="41" width="7.5703125" customWidth="1"/>
    <col min="42" max="42" width="10.42578125" customWidth="1"/>
    <col min="43" max="44" width="11.7109375" customWidth="1"/>
    <col min="45" max="45" width="10.85546875" customWidth="1"/>
    <col min="46" max="46" width="11.28515625" customWidth="1"/>
    <col min="47" max="48" width="9.140625" customWidth="1"/>
  </cols>
  <sheetData>
    <row r="1" spans="1:48" ht="15.75" customHeight="1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"/>
      <c r="AL1" s="4"/>
      <c r="AM1" s="4"/>
      <c r="AN1" s="4"/>
      <c r="AO1" s="4"/>
      <c r="AP1" s="4"/>
      <c r="AQ1" s="2"/>
      <c r="AR1" s="2"/>
      <c r="AS1" s="5"/>
      <c r="AT1" s="2"/>
      <c r="AU1" s="2"/>
      <c r="AV1" s="2"/>
    </row>
    <row r="2" spans="1:48" ht="15.75" customHeight="1">
      <c r="A2" s="1" t="s">
        <v>2</v>
      </c>
      <c r="B2" s="2"/>
      <c r="C2" s="2"/>
      <c r="D2" s="2"/>
      <c r="E2" s="3" t="s">
        <v>3</v>
      </c>
      <c r="F2" s="2"/>
      <c r="G2" s="2"/>
      <c r="H2" s="2"/>
      <c r="I2" s="2"/>
      <c r="J2" s="2"/>
      <c r="K2" s="2"/>
      <c r="L2" s="2"/>
      <c r="M2" s="2"/>
      <c r="N2" s="6" t="s">
        <v>4</v>
      </c>
      <c r="O2" s="2"/>
      <c r="P2" s="2"/>
      <c r="Q2" s="2"/>
      <c r="R2" s="3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4"/>
      <c r="AM2" s="4"/>
      <c r="AN2" s="4"/>
      <c r="AO2" s="4"/>
      <c r="AP2" s="4"/>
      <c r="AQ2" s="2"/>
      <c r="AR2" s="2"/>
      <c r="AS2" s="5"/>
      <c r="AT2" s="2"/>
      <c r="AU2" s="2"/>
      <c r="AV2" s="2"/>
    </row>
    <row r="3" spans="1:48" ht="15.75" customHeight="1">
      <c r="A3" s="153" t="s">
        <v>6</v>
      </c>
      <c r="B3" s="153" t="s">
        <v>7</v>
      </c>
      <c r="C3" s="153" t="s">
        <v>8</v>
      </c>
      <c r="D3" s="160" t="s">
        <v>9</v>
      </c>
      <c r="E3" s="160" t="s">
        <v>10</v>
      </c>
      <c r="F3" s="161" t="s">
        <v>11</v>
      </c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3"/>
      <c r="AK3" s="153" t="s">
        <v>12</v>
      </c>
      <c r="AL3" s="153" t="s">
        <v>13</v>
      </c>
      <c r="AM3" s="153" t="s">
        <v>14</v>
      </c>
      <c r="AN3" s="153" t="s">
        <v>15</v>
      </c>
      <c r="AO3" s="153" t="s">
        <v>16</v>
      </c>
      <c r="AP3" s="153" t="s">
        <v>17</v>
      </c>
      <c r="AQ3" s="153" t="s">
        <v>18</v>
      </c>
      <c r="AR3" s="153" t="s">
        <v>19</v>
      </c>
      <c r="AS3" s="151" t="s">
        <v>20</v>
      </c>
      <c r="AT3" s="153" t="s">
        <v>21</v>
      </c>
      <c r="AU3" s="2"/>
      <c r="AV3" s="2"/>
    </row>
    <row r="4" spans="1:48" ht="27" customHeight="1">
      <c r="A4" s="152"/>
      <c r="B4" s="152"/>
      <c r="C4" s="152"/>
      <c r="D4" s="152"/>
      <c r="E4" s="152"/>
      <c r="F4" s="7">
        <v>1</v>
      </c>
      <c r="G4" s="7">
        <v>2</v>
      </c>
      <c r="H4" s="7">
        <v>3</v>
      </c>
      <c r="I4" s="7">
        <v>4</v>
      </c>
      <c r="J4" s="7">
        <v>5</v>
      </c>
      <c r="K4" s="7">
        <v>6</v>
      </c>
      <c r="L4" s="7">
        <v>7</v>
      </c>
      <c r="M4" s="7">
        <v>8</v>
      </c>
      <c r="N4" s="7">
        <v>9</v>
      </c>
      <c r="O4" s="7">
        <v>10</v>
      </c>
      <c r="P4" s="7">
        <v>11</v>
      </c>
      <c r="Q4" s="7">
        <v>12</v>
      </c>
      <c r="R4" s="7">
        <v>13</v>
      </c>
      <c r="S4" s="7">
        <v>14</v>
      </c>
      <c r="T4" s="7">
        <v>15</v>
      </c>
      <c r="U4" s="7">
        <v>16</v>
      </c>
      <c r="V4" s="7">
        <v>17</v>
      </c>
      <c r="W4" s="7">
        <v>18</v>
      </c>
      <c r="X4" s="7">
        <v>19</v>
      </c>
      <c r="Y4" s="7">
        <v>20</v>
      </c>
      <c r="Z4" s="7">
        <v>21</v>
      </c>
      <c r="AA4" s="7">
        <v>22</v>
      </c>
      <c r="AB4" s="7">
        <v>23</v>
      </c>
      <c r="AC4" s="7">
        <v>24</v>
      </c>
      <c r="AD4" s="7">
        <v>25</v>
      </c>
      <c r="AE4" s="7">
        <v>26</v>
      </c>
      <c r="AF4" s="7">
        <v>27</v>
      </c>
      <c r="AG4" s="7">
        <v>28</v>
      </c>
      <c r="AH4" s="7">
        <v>29</v>
      </c>
      <c r="AI4" s="7">
        <v>30</v>
      </c>
      <c r="AJ4" s="7">
        <v>31</v>
      </c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8"/>
      <c r="AV4" s="8"/>
    </row>
    <row r="5" spans="1:48" ht="19.5" customHeight="1">
      <c r="A5" s="9">
        <v>1</v>
      </c>
      <c r="B5" s="10" t="s">
        <v>22</v>
      </c>
      <c r="C5" s="10"/>
      <c r="D5" s="10" t="s">
        <v>23</v>
      </c>
      <c r="E5" s="10" t="s">
        <v>24</v>
      </c>
      <c r="F5" s="9"/>
      <c r="G5" s="9"/>
      <c r="H5" s="9"/>
      <c r="I5" s="9"/>
      <c r="J5" s="9"/>
      <c r="K5" s="9"/>
      <c r="L5" s="9"/>
      <c r="M5" s="9"/>
      <c r="N5" s="9"/>
      <c r="O5" s="9">
        <v>20.97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34.96</v>
      </c>
      <c r="AF5" s="9"/>
      <c r="AG5" s="9">
        <v>52.44</v>
      </c>
      <c r="AH5" s="9"/>
      <c r="AI5" s="9"/>
      <c r="AJ5" s="9"/>
      <c r="AK5" s="9">
        <f>SUM(F5:AJ5)</f>
        <v>108.37</v>
      </c>
      <c r="AL5" s="9"/>
      <c r="AM5" s="9">
        <v>108.37</v>
      </c>
      <c r="AN5" s="9"/>
      <c r="AO5" s="9"/>
      <c r="AP5" s="9">
        <f>AO5-AN5</f>
        <v>0</v>
      </c>
      <c r="AQ5" s="10">
        <f>AP5/AM5</f>
        <v>0</v>
      </c>
      <c r="AR5" s="10"/>
      <c r="AS5" s="11">
        <v>299</v>
      </c>
      <c r="AT5" s="11">
        <f t="shared" ref="AT5:AT14" si="0">AS5*AM5</f>
        <v>32402.63</v>
      </c>
      <c r="AU5" s="12"/>
      <c r="AV5" s="12"/>
    </row>
    <row r="6" spans="1:48" ht="19.5" customHeight="1">
      <c r="A6" s="13">
        <v>2</v>
      </c>
      <c r="B6" s="14" t="s">
        <v>25</v>
      </c>
      <c r="C6" s="14"/>
      <c r="D6" s="14" t="s">
        <v>26</v>
      </c>
      <c r="E6" s="10" t="s">
        <v>24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5"/>
      <c r="AR6" s="14"/>
      <c r="AS6" s="16"/>
      <c r="AT6" s="16">
        <f t="shared" si="0"/>
        <v>0</v>
      </c>
      <c r="AU6" s="12"/>
      <c r="AV6" s="12"/>
    </row>
    <row r="7" spans="1:48" ht="19.5" hidden="1" customHeight="1">
      <c r="A7" s="13">
        <v>3</v>
      </c>
      <c r="B7" s="14"/>
      <c r="C7" s="14"/>
      <c r="D7" s="14"/>
      <c r="E7" s="14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5"/>
      <c r="AR7" s="14"/>
      <c r="AS7" s="16"/>
      <c r="AT7" s="16">
        <f t="shared" si="0"/>
        <v>0</v>
      </c>
      <c r="AU7" s="12"/>
      <c r="AV7" s="12"/>
    </row>
    <row r="8" spans="1:48" ht="19.5" hidden="1" customHeight="1">
      <c r="A8" s="13">
        <v>4</v>
      </c>
      <c r="B8" s="14"/>
      <c r="C8" s="14"/>
      <c r="D8" s="14"/>
      <c r="E8" s="14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5"/>
      <c r="AR8" s="14"/>
      <c r="AS8" s="16"/>
      <c r="AT8" s="16">
        <f t="shared" si="0"/>
        <v>0</v>
      </c>
      <c r="AU8" s="12"/>
      <c r="AV8" s="12"/>
    </row>
    <row r="9" spans="1:48" ht="19.5" hidden="1" customHeight="1">
      <c r="A9" s="13">
        <v>5</v>
      </c>
      <c r="B9" s="14"/>
      <c r="C9" s="14"/>
      <c r="D9" s="14"/>
      <c r="E9" s="14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5"/>
      <c r="AR9" s="14"/>
      <c r="AS9" s="16"/>
      <c r="AT9" s="16">
        <f t="shared" si="0"/>
        <v>0</v>
      </c>
      <c r="AU9" s="12"/>
      <c r="AV9" s="12"/>
    </row>
    <row r="10" spans="1:48" ht="19.5" hidden="1" customHeight="1">
      <c r="A10" s="13">
        <v>6</v>
      </c>
      <c r="B10" s="14"/>
      <c r="C10" s="14"/>
      <c r="D10" s="14"/>
      <c r="E10" s="14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5"/>
      <c r="AR10" s="14"/>
      <c r="AS10" s="16"/>
      <c r="AT10" s="16">
        <f t="shared" si="0"/>
        <v>0</v>
      </c>
      <c r="AU10" s="12"/>
      <c r="AV10" s="12"/>
    </row>
    <row r="11" spans="1:48" ht="19.5" hidden="1" customHeight="1">
      <c r="A11" s="13">
        <v>7</v>
      </c>
      <c r="B11" s="14"/>
      <c r="C11" s="14"/>
      <c r="D11" s="14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5"/>
      <c r="AR11" s="14"/>
      <c r="AS11" s="16"/>
      <c r="AT11" s="16">
        <f t="shared" si="0"/>
        <v>0</v>
      </c>
      <c r="AU11" s="12"/>
      <c r="AV11" s="12"/>
    </row>
    <row r="12" spans="1:48" ht="19.5" hidden="1" customHeight="1">
      <c r="A12" s="13">
        <v>8</v>
      </c>
      <c r="B12" s="14"/>
      <c r="C12" s="14"/>
      <c r="D12" s="14"/>
      <c r="E12" s="14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5"/>
      <c r="AR12" s="14"/>
      <c r="AS12" s="16"/>
      <c r="AT12" s="16">
        <f t="shared" si="0"/>
        <v>0</v>
      </c>
      <c r="AU12" s="12"/>
      <c r="AV12" s="12"/>
    </row>
    <row r="13" spans="1:48" ht="19.5" hidden="1" customHeight="1">
      <c r="A13" s="13">
        <v>9</v>
      </c>
      <c r="B13" s="14"/>
      <c r="C13" s="14"/>
      <c r="D13" s="14"/>
      <c r="E13" s="14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5"/>
      <c r="AR13" s="14"/>
      <c r="AS13" s="16"/>
      <c r="AT13" s="16">
        <f t="shared" si="0"/>
        <v>0</v>
      </c>
      <c r="AU13" s="12"/>
      <c r="AV13" s="12"/>
    </row>
    <row r="14" spans="1:48" ht="19.5" customHeight="1">
      <c r="A14" s="13">
        <v>10</v>
      </c>
      <c r="B14" s="14"/>
      <c r="C14" s="14"/>
      <c r="D14" s="14"/>
      <c r="E14" s="14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3"/>
      <c r="AO14" s="13"/>
      <c r="AP14" s="13"/>
      <c r="AQ14" s="15"/>
      <c r="AR14" s="14"/>
      <c r="AS14" s="16"/>
      <c r="AT14" s="18">
        <f t="shared" si="0"/>
        <v>0</v>
      </c>
      <c r="AU14" s="12"/>
      <c r="AV14" s="12"/>
    </row>
    <row r="15" spans="1:48" ht="19.5" customHeight="1">
      <c r="A15" s="13"/>
      <c r="B15" s="154" t="s">
        <v>27</v>
      </c>
      <c r="C15" s="155"/>
      <c r="D15" s="155"/>
      <c r="E15" s="156"/>
      <c r="F15" s="19">
        <f t="shared" ref="F15:AM15" si="1">SUM(F5:F14)</f>
        <v>0</v>
      </c>
      <c r="G15" s="19">
        <f t="shared" si="1"/>
        <v>0</v>
      </c>
      <c r="H15" s="19">
        <f t="shared" si="1"/>
        <v>0</v>
      </c>
      <c r="I15" s="19">
        <f t="shared" si="1"/>
        <v>0</v>
      </c>
      <c r="J15" s="19">
        <f t="shared" si="1"/>
        <v>0</v>
      </c>
      <c r="K15" s="19">
        <f t="shared" si="1"/>
        <v>0</v>
      </c>
      <c r="L15" s="19">
        <f t="shared" si="1"/>
        <v>0</v>
      </c>
      <c r="M15" s="19">
        <f t="shared" si="1"/>
        <v>0</v>
      </c>
      <c r="N15" s="19">
        <f t="shared" si="1"/>
        <v>0</v>
      </c>
      <c r="O15" s="19">
        <f t="shared" si="1"/>
        <v>20.97</v>
      </c>
      <c r="P15" s="19">
        <f t="shared" si="1"/>
        <v>0</v>
      </c>
      <c r="Q15" s="19">
        <f t="shared" si="1"/>
        <v>0</v>
      </c>
      <c r="R15" s="19">
        <f t="shared" si="1"/>
        <v>0</v>
      </c>
      <c r="S15" s="19">
        <f t="shared" si="1"/>
        <v>0</v>
      </c>
      <c r="T15" s="19">
        <f t="shared" si="1"/>
        <v>0</v>
      </c>
      <c r="U15" s="19">
        <f t="shared" si="1"/>
        <v>0</v>
      </c>
      <c r="V15" s="19">
        <f t="shared" si="1"/>
        <v>0</v>
      </c>
      <c r="W15" s="19">
        <f t="shared" si="1"/>
        <v>0</v>
      </c>
      <c r="X15" s="19">
        <f t="shared" si="1"/>
        <v>0</v>
      </c>
      <c r="Y15" s="19">
        <f t="shared" si="1"/>
        <v>0</v>
      </c>
      <c r="Z15" s="19">
        <f t="shared" si="1"/>
        <v>0</v>
      </c>
      <c r="AA15" s="19">
        <f t="shared" si="1"/>
        <v>0</v>
      </c>
      <c r="AB15" s="19">
        <f t="shared" si="1"/>
        <v>0</v>
      </c>
      <c r="AC15" s="19">
        <f t="shared" si="1"/>
        <v>0</v>
      </c>
      <c r="AD15" s="19">
        <f t="shared" si="1"/>
        <v>0</v>
      </c>
      <c r="AE15" s="19">
        <f t="shared" si="1"/>
        <v>34.96</v>
      </c>
      <c r="AF15" s="19">
        <f t="shared" si="1"/>
        <v>0</v>
      </c>
      <c r="AG15" s="19">
        <f t="shared" si="1"/>
        <v>52.44</v>
      </c>
      <c r="AH15" s="19">
        <f t="shared" si="1"/>
        <v>0</v>
      </c>
      <c r="AI15" s="19">
        <f t="shared" si="1"/>
        <v>0</v>
      </c>
      <c r="AJ15" s="19">
        <f t="shared" si="1"/>
        <v>0</v>
      </c>
      <c r="AK15" s="19">
        <f t="shared" si="1"/>
        <v>108.37</v>
      </c>
      <c r="AL15" s="19">
        <f t="shared" si="1"/>
        <v>0</v>
      </c>
      <c r="AM15" s="19">
        <f t="shared" si="1"/>
        <v>108.37</v>
      </c>
      <c r="AN15" s="13"/>
      <c r="AO15" s="13"/>
      <c r="AP15" s="13"/>
      <c r="AQ15" s="15"/>
      <c r="AR15" s="14"/>
      <c r="AS15" s="16"/>
      <c r="AT15" s="20">
        <f>SUM(AT5:AT14)</f>
        <v>32402.63</v>
      </c>
      <c r="AU15" s="12"/>
      <c r="AV15" s="12"/>
    </row>
    <row r="16" spans="1:48" ht="19.5" customHeight="1">
      <c r="A16" s="13"/>
      <c r="B16" s="14"/>
      <c r="C16" s="14"/>
      <c r="D16" s="14"/>
      <c r="E16" s="14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13"/>
      <c r="AO16" s="13"/>
      <c r="AP16" s="13"/>
      <c r="AQ16" s="15"/>
      <c r="AR16" s="14"/>
      <c r="AS16" s="16"/>
      <c r="AT16" s="22"/>
      <c r="AU16" s="12"/>
      <c r="AV16" s="12"/>
    </row>
    <row r="17" spans="1:48" ht="19.5" customHeight="1">
      <c r="A17" s="13">
        <v>11</v>
      </c>
      <c r="B17" s="14" t="s">
        <v>28</v>
      </c>
      <c r="C17" s="14"/>
      <c r="D17" s="14" t="s">
        <v>29</v>
      </c>
      <c r="E17" s="14" t="s">
        <v>24</v>
      </c>
      <c r="F17" s="13"/>
      <c r="G17" s="13"/>
      <c r="H17" s="13"/>
      <c r="I17" s="13"/>
      <c r="J17" s="13"/>
      <c r="K17" s="13"/>
      <c r="L17" s="13"/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f t="shared" ref="AK17:AK21" si="2">SUM(F17:AJ17)</f>
        <v>0</v>
      </c>
      <c r="AL17" s="13"/>
      <c r="AM17" s="13">
        <f t="shared" ref="AM17:AM25" si="3">AL17+AK17</f>
        <v>0</v>
      </c>
      <c r="AN17" s="13">
        <v>0</v>
      </c>
      <c r="AO17" s="13">
        <v>0</v>
      </c>
      <c r="AP17" s="13">
        <f t="shared" ref="AP17:AP24" si="4">AO17-AN17</f>
        <v>0</v>
      </c>
      <c r="AQ17" s="15" t="e">
        <f t="shared" ref="AQ17:AQ24" si="5">AP17/AM17</f>
        <v>#DIV/0!</v>
      </c>
      <c r="AR17" s="14"/>
      <c r="AS17" s="16"/>
      <c r="AT17" s="16">
        <f t="shared" ref="AT17:AT24" si="6">AS17*AM17</f>
        <v>0</v>
      </c>
      <c r="AU17" s="12"/>
      <c r="AV17" s="12"/>
    </row>
    <row r="18" spans="1:48" ht="19.5" customHeight="1">
      <c r="A18" s="13">
        <v>12</v>
      </c>
      <c r="B18" s="14"/>
      <c r="C18" s="14"/>
      <c r="D18" s="14"/>
      <c r="E18" s="14"/>
      <c r="F18" s="13"/>
      <c r="G18" s="13"/>
      <c r="H18" s="13"/>
      <c r="I18" s="13"/>
      <c r="J18" s="13"/>
      <c r="K18" s="13"/>
      <c r="L18" s="13"/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f t="shared" si="2"/>
        <v>0</v>
      </c>
      <c r="AL18" s="13"/>
      <c r="AM18" s="13">
        <f t="shared" si="3"/>
        <v>0</v>
      </c>
      <c r="AN18" s="13">
        <v>0</v>
      </c>
      <c r="AO18" s="13">
        <v>0</v>
      </c>
      <c r="AP18" s="13">
        <f t="shared" si="4"/>
        <v>0</v>
      </c>
      <c r="AQ18" s="15" t="e">
        <f t="shared" si="5"/>
        <v>#DIV/0!</v>
      </c>
      <c r="AR18" s="14"/>
      <c r="AS18" s="16"/>
      <c r="AT18" s="16">
        <f t="shared" si="6"/>
        <v>0</v>
      </c>
      <c r="AU18" s="12"/>
      <c r="AV18" s="12"/>
    </row>
    <row r="19" spans="1:48" ht="19.5" customHeight="1">
      <c r="A19" s="13">
        <v>13</v>
      </c>
      <c r="B19" s="14"/>
      <c r="C19" s="14"/>
      <c r="D19" s="14"/>
      <c r="E19" s="14"/>
      <c r="F19" s="13"/>
      <c r="G19" s="13"/>
      <c r="H19" s="13"/>
      <c r="I19" s="13"/>
      <c r="J19" s="13"/>
      <c r="K19" s="13"/>
      <c r="L19" s="13"/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f t="shared" si="2"/>
        <v>0</v>
      </c>
      <c r="AL19" s="13"/>
      <c r="AM19" s="13">
        <f t="shared" si="3"/>
        <v>0</v>
      </c>
      <c r="AN19" s="13">
        <v>0</v>
      </c>
      <c r="AO19" s="13">
        <v>0</v>
      </c>
      <c r="AP19" s="13">
        <f t="shared" si="4"/>
        <v>0</v>
      </c>
      <c r="AQ19" s="15" t="e">
        <f t="shared" si="5"/>
        <v>#DIV/0!</v>
      </c>
      <c r="AR19" s="14"/>
      <c r="AS19" s="16"/>
      <c r="AT19" s="16">
        <f t="shared" si="6"/>
        <v>0</v>
      </c>
      <c r="AU19" s="12"/>
      <c r="AV19" s="12"/>
    </row>
    <row r="20" spans="1:48" ht="19.5" customHeight="1">
      <c r="A20" s="13">
        <v>14</v>
      </c>
      <c r="B20" s="14"/>
      <c r="C20" s="14"/>
      <c r="D20" s="14"/>
      <c r="E20" s="14"/>
      <c r="F20" s="13"/>
      <c r="G20" s="13"/>
      <c r="H20" s="13"/>
      <c r="I20" s="13"/>
      <c r="J20" s="13"/>
      <c r="K20" s="13"/>
      <c r="L20" s="13"/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f t="shared" si="2"/>
        <v>0</v>
      </c>
      <c r="AL20" s="13"/>
      <c r="AM20" s="13">
        <f t="shared" si="3"/>
        <v>0</v>
      </c>
      <c r="AN20" s="13">
        <v>0</v>
      </c>
      <c r="AO20" s="13">
        <v>0</v>
      </c>
      <c r="AP20" s="13">
        <f t="shared" si="4"/>
        <v>0</v>
      </c>
      <c r="AQ20" s="15" t="e">
        <f t="shared" si="5"/>
        <v>#DIV/0!</v>
      </c>
      <c r="AR20" s="14"/>
      <c r="AS20" s="16"/>
      <c r="AT20" s="16">
        <f t="shared" si="6"/>
        <v>0</v>
      </c>
      <c r="AU20" s="12"/>
      <c r="AV20" s="12"/>
    </row>
    <row r="21" spans="1:48" ht="19.5" customHeight="1">
      <c r="A21" s="13">
        <v>15</v>
      </c>
      <c r="B21" s="14"/>
      <c r="C21" s="14"/>
      <c r="D21" s="14"/>
      <c r="E21" s="14"/>
      <c r="F21" s="13"/>
      <c r="G21" s="13"/>
      <c r="H21" s="13"/>
      <c r="I21" s="13"/>
      <c r="J21" s="13"/>
      <c r="K21" s="13"/>
      <c r="L21" s="13"/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f t="shared" si="2"/>
        <v>0</v>
      </c>
      <c r="AL21" s="13"/>
      <c r="AM21" s="13">
        <f t="shared" si="3"/>
        <v>0</v>
      </c>
      <c r="AN21" s="13">
        <v>0</v>
      </c>
      <c r="AO21" s="13">
        <v>0</v>
      </c>
      <c r="AP21" s="13">
        <f t="shared" si="4"/>
        <v>0</v>
      </c>
      <c r="AQ21" s="15" t="e">
        <f t="shared" si="5"/>
        <v>#DIV/0!</v>
      </c>
      <c r="AR21" s="14"/>
      <c r="AS21" s="16"/>
      <c r="AT21" s="16">
        <f t="shared" si="6"/>
        <v>0</v>
      </c>
      <c r="AU21" s="12"/>
      <c r="AV21" s="12"/>
    </row>
    <row r="22" spans="1:48" ht="19.5" customHeight="1">
      <c r="A22" s="13">
        <v>16</v>
      </c>
      <c r="B22" s="14"/>
      <c r="C22" s="14"/>
      <c r="D22" s="14"/>
      <c r="E22" s="14"/>
      <c r="F22" s="13"/>
      <c r="G22" s="13"/>
      <c r="H22" s="13"/>
      <c r="I22" s="13"/>
      <c r="J22" s="13"/>
      <c r="K22" s="13"/>
      <c r="L22" s="13"/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/>
      <c r="AL22" s="13"/>
      <c r="AM22" s="13">
        <f t="shared" si="3"/>
        <v>0</v>
      </c>
      <c r="AN22" s="13">
        <v>0</v>
      </c>
      <c r="AO22" s="13">
        <v>0</v>
      </c>
      <c r="AP22" s="13">
        <f t="shared" si="4"/>
        <v>0</v>
      </c>
      <c r="AQ22" s="15" t="e">
        <f t="shared" si="5"/>
        <v>#DIV/0!</v>
      </c>
      <c r="AR22" s="14"/>
      <c r="AS22" s="16"/>
      <c r="AT22" s="16">
        <f t="shared" si="6"/>
        <v>0</v>
      </c>
      <c r="AU22" s="12"/>
      <c r="AV22" s="12"/>
    </row>
    <row r="23" spans="1:48" ht="19.5" customHeight="1">
      <c r="A23" s="13">
        <v>17</v>
      </c>
      <c r="B23" s="14"/>
      <c r="C23" s="14"/>
      <c r="D23" s="14"/>
      <c r="E23" s="14"/>
      <c r="F23" s="13"/>
      <c r="G23" s="13"/>
      <c r="H23" s="13"/>
      <c r="I23" s="13"/>
      <c r="J23" s="13"/>
      <c r="K23" s="13"/>
      <c r="L23" s="13"/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f t="shared" ref="AK23:AK25" si="7">SUM(F23:AJ23)</f>
        <v>0</v>
      </c>
      <c r="AL23" s="13"/>
      <c r="AM23" s="13">
        <f t="shared" si="3"/>
        <v>0</v>
      </c>
      <c r="AN23" s="13">
        <v>0</v>
      </c>
      <c r="AO23" s="13">
        <v>0</v>
      </c>
      <c r="AP23" s="13">
        <f t="shared" si="4"/>
        <v>0</v>
      </c>
      <c r="AQ23" s="15" t="e">
        <f t="shared" si="5"/>
        <v>#DIV/0!</v>
      </c>
      <c r="AR23" s="14"/>
      <c r="AS23" s="16"/>
      <c r="AT23" s="16">
        <f t="shared" si="6"/>
        <v>0</v>
      </c>
      <c r="AU23" s="12"/>
      <c r="AV23" s="12"/>
    </row>
    <row r="24" spans="1:48" ht="19.5" customHeight="1">
      <c r="A24" s="13">
        <v>18</v>
      </c>
      <c r="B24" s="14"/>
      <c r="C24" s="14"/>
      <c r="D24" s="14"/>
      <c r="E24" s="14"/>
      <c r="F24" s="13"/>
      <c r="G24" s="13"/>
      <c r="H24" s="13"/>
      <c r="I24" s="13"/>
      <c r="J24" s="13"/>
      <c r="K24" s="13"/>
      <c r="L24" s="13"/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f t="shared" si="7"/>
        <v>0</v>
      </c>
      <c r="AL24" s="13"/>
      <c r="AM24" s="13">
        <f t="shared" si="3"/>
        <v>0</v>
      </c>
      <c r="AN24" s="13">
        <v>0</v>
      </c>
      <c r="AO24" s="13">
        <v>0</v>
      </c>
      <c r="AP24" s="13">
        <f t="shared" si="4"/>
        <v>0</v>
      </c>
      <c r="AQ24" s="15" t="e">
        <f t="shared" si="5"/>
        <v>#DIV/0!</v>
      </c>
      <c r="AR24" s="14"/>
      <c r="AS24" s="16"/>
      <c r="AT24" s="16">
        <f t="shared" si="6"/>
        <v>0</v>
      </c>
      <c r="AU24" s="12"/>
      <c r="AV24" s="12"/>
    </row>
    <row r="25" spans="1:48" ht="19.5" customHeight="1">
      <c r="A25" s="13">
        <v>19</v>
      </c>
      <c r="B25" s="14"/>
      <c r="C25" s="14"/>
      <c r="D25" s="14"/>
      <c r="E25" s="14"/>
      <c r="F25" s="17"/>
      <c r="G25" s="17"/>
      <c r="H25" s="17"/>
      <c r="I25" s="17"/>
      <c r="J25" s="17"/>
      <c r="K25" s="17"/>
      <c r="L25" s="17"/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f t="shared" si="7"/>
        <v>0</v>
      </c>
      <c r="AL25" s="17"/>
      <c r="AM25" s="17">
        <f t="shared" si="3"/>
        <v>0</v>
      </c>
      <c r="AN25" s="13"/>
      <c r="AO25" s="13"/>
      <c r="AP25" s="13"/>
      <c r="AQ25" s="14"/>
      <c r="AR25" s="14"/>
      <c r="AS25" s="16"/>
      <c r="AT25" s="23"/>
      <c r="AU25" s="12"/>
      <c r="AV25" s="12"/>
    </row>
    <row r="26" spans="1:48" ht="19.5" customHeight="1">
      <c r="A26" s="24">
        <v>20</v>
      </c>
      <c r="B26" s="157" t="s">
        <v>30</v>
      </c>
      <c r="C26" s="158"/>
      <c r="D26" s="158"/>
      <c r="E26" s="159"/>
      <c r="F26" s="25">
        <f t="shared" ref="F26:AT26" si="8">SUM(F17:F25)</f>
        <v>0</v>
      </c>
      <c r="G26" s="25">
        <f t="shared" si="8"/>
        <v>0</v>
      </c>
      <c r="H26" s="25">
        <f t="shared" si="8"/>
        <v>0</v>
      </c>
      <c r="I26" s="25">
        <f t="shared" si="8"/>
        <v>0</v>
      </c>
      <c r="J26" s="25">
        <f t="shared" si="8"/>
        <v>0</v>
      </c>
      <c r="K26" s="25">
        <f t="shared" si="8"/>
        <v>0</v>
      </c>
      <c r="L26" s="25">
        <f t="shared" si="8"/>
        <v>0</v>
      </c>
      <c r="M26" s="25">
        <f t="shared" si="8"/>
        <v>0</v>
      </c>
      <c r="N26" s="25">
        <f t="shared" si="8"/>
        <v>0</v>
      </c>
      <c r="O26" s="25">
        <f t="shared" si="8"/>
        <v>0</v>
      </c>
      <c r="P26" s="25">
        <f t="shared" si="8"/>
        <v>0</v>
      </c>
      <c r="Q26" s="25">
        <f t="shared" si="8"/>
        <v>0</v>
      </c>
      <c r="R26" s="25">
        <f t="shared" si="8"/>
        <v>0</v>
      </c>
      <c r="S26" s="25">
        <f t="shared" si="8"/>
        <v>0</v>
      </c>
      <c r="T26" s="25">
        <f t="shared" si="8"/>
        <v>0</v>
      </c>
      <c r="U26" s="25">
        <f t="shared" si="8"/>
        <v>0</v>
      </c>
      <c r="V26" s="25">
        <f t="shared" si="8"/>
        <v>0</v>
      </c>
      <c r="W26" s="25">
        <f t="shared" si="8"/>
        <v>0</v>
      </c>
      <c r="X26" s="25">
        <f t="shared" si="8"/>
        <v>0</v>
      </c>
      <c r="Y26" s="25">
        <f t="shared" si="8"/>
        <v>0</v>
      </c>
      <c r="Z26" s="25">
        <f t="shared" si="8"/>
        <v>0</v>
      </c>
      <c r="AA26" s="25">
        <f t="shared" si="8"/>
        <v>0</v>
      </c>
      <c r="AB26" s="25">
        <f t="shared" si="8"/>
        <v>0</v>
      </c>
      <c r="AC26" s="25">
        <f t="shared" si="8"/>
        <v>0</v>
      </c>
      <c r="AD26" s="25">
        <f t="shared" si="8"/>
        <v>0</v>
      </c>
      <c r="AE26" s="25">
        <f t="shared" si="8"/>
        <v>0</v>
      </c>
      <c r="AF26" s="25">
        <f t="shared" si="8"/>
        <v>0</v>
      </c>
      <c r="AG26" s="25">
        <f t="shared" si="8"/>
        <v>0</v>
      </c>
      <c r="AH26" s="25">
        <f t="shared" si="8"/>
        <v>0</v>
      </c>
      <c r="AI26" s="25">
        <f t="shared" si="8"/>
        <v>0</v>
      </c>
      <c r="AJ26" s="25">
        <f t="shared" si="8"/>
        <v>0</v>
      </c>
      <c r="AK26" s="25">
        <f t="shared" si="8"/>
        <v>0</v>
      </c>
      <c r="AL26" s="25">
        <f t="shared" si="8"/>
        <v>0</v>
      </c>
      <c r="AM26" s="25">
        <f t="shared" si="8"/>
        <v>0</v>
      </c>
      <c r="AN26" s="26">
        <f t="shared" si="8"/>
        <v>0</v>
      </c>
      <c r="AO26" s="26">
        <f t="shared" si="8"/>
        <v>0</v>
      </c>
      <c r="AP26" s="26">
        <f t="shared" si="8"/>
        <v>0</v>
      </c>
      <c r="AQ26" s="26" t="e">
        <f t="shared" si="8"/>
        <v>#DIV/0!</v>
      </c>
      <c r="AR26" s="26">
        <f t="shared" si="8"/>
        <v>0</v>
      </c>
      <c r="AS26" s="27">
        <f t="shared" si="8"/>
        <v>0</v>
      </c>
      <c r="AT26" s="20">
        <f t="shared" si="8"/>
        <v>0</v>
      </c>
      <c r="AU26" s="12"/>
      <c r="AV26" s="12"/>
    </row>
    <row r="27" spans="1:48" ht="9.75" customHeight="1">
      <c r="A27" s="28"/>
      <c r="B27" s="29"/>
      <c r="C27" s="29"/>
      <c r="D27" s="29"/>
      <c r="E27" s="2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ht="19.5" customHeight="1">
      <c r="A28" s="28"/>
      <c r="B28" s="30" t="s">
        <v>31</v>
      </c>
      <c r="C28" s="29"/>
      <c r="D28" s="29"/>
      <c r="E28" s="2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ht="19.5" customHeight="1">
      <c r="A29" s="28"/>
      <c r="B29" s="30" t="s">
        <v>32</v>
      </c>
      <c r="C29" s="29"/>
      <c r="D29" s="29"/>
      <c r="E29" s="29"/>
      <c r="F29" s="31"/>
      <c r="G29" s="31"/>
      <c r="H29" s="31"/>
      <c r="I29" s="31"/>
      <c r="J29" s="31"/>
      <c r="K29" s="31"/>
      <c r="L29" s="31"/>
      <c r="M29" s="31"/>
      <c r="N29" s="31"/>
      <c r="O29" s="31">
        <v>20.97</v>
      </c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>
        <v>34.96</v>
      </c>
      <c r="AF29" s="31"/>
      <c r="AG29" s="31">
        <v>52.44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12"/>
      <c r="AV29" s="12"/>
    </row>
    <row r="30" spans="1:48" ht="15.75" customHeight="1">
      <c r="A30" s="28"/>
      <c r="B30" s="12" t="s">
        <v>33</v>
      </c>
      <c r="C30" s="2"/>
      <c r="D30" s="2"/>
      <c r="E30" s="12"/>
      <c r="F30" s="12">
        <f t="shared" ref="F30:AT30" si="9">F26+F15</f>
        <v>0</v>
      </c>
      <c r="G30" s="12">
        <f t="shared" si="9"/>
        <v>0</v>
      </c>
      <c r="H30" s="12">
        <f t="shared" si="9"/>
        <v>0</v>
      </c>
      <c r="I30" s="12">
        <f t="shared" si="9"/>
        <v>0</v>
      </c>
      <c r="J30" s="12">
        <f t="shared" si="9"/>
        <v>0</v>
      </c>
      <c r="K30" s="12">
        <f t="shared" si="9"/>
        <v>0</v>
      </c>
      <c r="L30" s="12">
        <f t="shared" si="9"/>
        <v>0</v>
      </c>
      <c r="M30" s="12">
        <f t="shared" si="9"/>
        <v>0</v>
      </c>
      <c r="N30" s="12">
        <f t="shared" si="9"/>
        <v>0</v>
      </c>
      <c r="O30" s="12">
        <f t="shared" si="9"/>
        <v>20.97</v>
      </c>
      <c r="P30" s="12">
        <f t="shared" si="9"/>
        <v>0</v>
      </c>
      <c r="Q30" s="12">
        <f t="shared" si="9"/>
        <v>0</v>
      </c>
      <c r="R30" s="12">
        <f t="shared" si="9"/>
        <v>0</v>
      </c>
      <c r="S30" s="12">
        <f t="shared" si="9"/>
        <v>0</v>
      </c>
      <c r="T30" s="12">
        <f t="shared" si="9"/>
        <v>0</v>
      </c>
      <c r="U30" s="12">
        <f t="shared" si="9"/>
        <v>0</v>
      </c>
      <c r="V30" s="12">
        <f t="shared" si="9"/>
        <v>0</v>
      </c>
      <c r="W30" s="12">
        <f t="shared" si="9"/>
        <v>0</v>
      </c>
      <c r="X30" s="12">
        <f t="shared" si="9"/>
        <v>0</v>
      </c>
      <c r="Y30" s="12">
        <f t="shared" si="9"/>
        <v>0</v>
      </c>
      <c r="Z30" s="12">
        <f t="shared" si="9"/>
        <v>0</v>
      </c>
      <c r="AA30" s="12">
        <f t="shared" si="9"/>
        <v>0</v>
      </c>
      <c r="AB30" s="12">
        <f t="shared" si="9"/>
        <v>0</v>
      </c>
      <c r="AC30" s="12">
        <f t="shared" si="9"/>
        <v>0</v>
      </c>
      <c r="AD30" s="12">
        <f t="shared" si="9"/>
        <v>0</v>
      </c>
      <c r="AE30" s="12">
        <f t="shared" si="9"/>
        <v>34.96</v>
      </c>
      <c r="AF30" s="12">
        <f t="shared" si="9"/>
        <v>0</v>
      </c>
      <c r="AG30" s="12">
        <f t="shared" si="9"/>
        <v>52.44</v>
      </c>
      <c r="AH30" s="12">
        <f t="shared" si="9"/>
        <v>0</v>
      </c>
      <c r="AI30" s="12">
        <f t="shared" si="9"/>
        <v>0</v>
      </c>
      <c r="AJ30" s="12">
        <f t="shared" si="9"/>
        <v>0</v>
      </c>
      <c r="AK30" s="12">
        <f t="shared" si="9"/>
        <v>108.37</v>
      </c>
      <c r="AL30" s="12">
        <f t="shared" si="9"/>
        <v>0</v>
      </c>
      <c r="AM30" s="12">
        <f t="shared" si="9"/>
        <v>108.37</v>
      </c>
      <c r="AN30" s="12">
        <f t="shared" si="9"/>
        <v>0</v>
      </c>
      <c r="AO30" s="12">
        <f t="shared" si="9"/>
        <v>0</v>
      </c>
      <c r="AP30" s="12">
        <f t="shared" si="9"/>
        <v>0</v>
      </c>
      <c r="AQ30" s="12" t="e">
        <f t="shared" si="9"/>
        <v>#DIV/0!</v>
      </c>
      <c r="AR30" s="12">
        <f t="shared" si="9"/>
        <v>0</v>
      </c>
      <c r="AS30" s="32">
        <f t="shared" si="9"/>
        <v>0</v>
      </c>
      <c r="AT30" s="32">
        <f t="shared" si="9"/>
        <v>32402.63</v>
      </c>
      <c r="AU30" s="12" t="s">
        <v>5</v>
      </c>
      <c r="AV30" s="12" t="s">
        <v>5</v>
      </c>
    </row>
    <row r="31" spans="1:48" ht="15.75" customHeight="1">
      <c r="A31" s="28"/>
      <c r="B31" s="12" t="s">
        <v>34</v>
      </c>
      <c r="C31" s="2"/>
      <c r="D31" s="2"/>
      <c r="E31" s="12"/>
      <c r="F31" s="12">
        <f t="shared" ref="F31:AJ31" si="10">(F28+F29)-F30</f>
        <v>0</v>
      </c>
      <c r="G31" s="12">
        <f t="shared" si="10"/>
        <v>0</v>
      </c>
      <c r="H31" s="12">
        <f t="shared" si="10"/>
        <v>0</v>
      </c>
      <c r="I31" s="12">
        <f t="shared" si="10"/>
        <v>0</v>
      </c>
      <c r="J31" s="12">
        <f t="shared" si="10"/>
        <v>0</v>
      </c>
      <c r="K31" s="12">
        <f t="shared" si="10"/>
        <v>0</v>
      </c>
      <c r="L31" s="12">
        <f t="shared" si="10"/>
        <v>0</v>
      </c>
      <c r="M31" s="12">
        <f t="shared" si="10"/>
        <v>0</v>
      </c>
      <c r="N31" s="12">
        <f t="shared" si="10"/>
        <v>0</v>
      </c>
      <c r="O31" s="12">
        <f t="shared" si="10"/>
        <v>0</v>
      </c>
      <c r="P31" s="12">
        <f t="shared" si="10"/>
        <v>0</v>
      </c>
      <c r="Q31" s="12">
        <f t="shared" si="10"/>
        <v>0</v>
      </c>
      <c r="R31" s="12">
        <f t="shared" si="10"/>
        <v>0</v>
      </c>
      <c r="S31" s="12">
        <f t="shared" si="10"/>
        <v>0</v>
      </c>
      <c r="T31" s="12">
        <f t="shared" si="10"/>
        <v>0</v>
      </c>
      <c r="U31" s="12">
        <f t="shared" si="10"/>
        <v>0</v>
      </c>
      <c r="V31" s="12">
        <f t="shared" si="10"/>
        <v>0</v>
      </c>
      <c r="W31" s="12">
        <f t="shared" si="10"/>
        <v>0</v>
      </c>
      <c r="X31" s="12">
        <f t="shared" si="10"/>
        <v>0</v>
      </c>
      <c r="Y31" s="12">
        <f t="shared" si="10"/>
        <v>0</v>
      </c>
      <c r="Z31" s="12">
        <f t="shared" si="10"/>
        <v>0</v>
      </c>
      <c r="AA31" s="12">
        <f t="shared" si="10"/>
        <v>0</v>
      </c>
      <c r="AB31" s="12">
        <f t="shared" si="10"/>
        <v>0</v>
      </c>
      <c r="AC31" s="12">
        <f t="shared" si="10"/>
        <v>0</v>
      </c>
      <c r="AD31" s="12">
        <f t="shared" si="10"/>
        <v>0</v>
      </c>
      <c r="AE31" s="12">
        <f t="shared" si="10"/>
        <v>0</v>
      </c>
      <c r="AF31" s="12">
        <f t="shared" si="10"/>
        <v>0</v>
      </c>
      <c r="AG31" s="12">
        <f t="shared" si="10"/>
        <v>0</v>
      </c>
      <c r="AH31" s="12">
        <f t="shared" si="10"/>
        <v>0</v>
      </c>
      <c r="AI31" s="12">
        <f t="shared" si="10"/>
        <v>0</v>
      </c>
      <c r="AJ31" s="12">
        <f t="shared" si="10"/>
        <v>0</v>
      </c>
      <c r="AK31" s="12"/>
      <c r="AL31" s="12"/>
      <c r="AM31" s="28"/>
      <c r="AN31" s="28"/>
      <c r="AO31" s="28"/>
      <c r="AP31" s="28"/>
      <c r="AQ31" s="12"/>
      <c r="AR31" s="12"/>
      <c r="AS31" s="32"/>
      <c r="AT31" s="12"/>
      <c r="AU31" s="12"/>
      <c r="AV31" s="12"/>
    </row>
    <row r="32" spans="1:48" ht="15.75" customHeight="1">
      <c r="A32" s="28"/>
      <c r="B32" s="12" t="s">
        <v>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28"/>
      <c r="AL32" s="28"/>
      <c r="AM32" s="28"/>
      <c r="AN32" s="28"/>
      <c r="AO32" s="28"/>
      <c r="AP32" s="28"/>
      <c r="AQ32" s="12"/>
      <c r="AR32" s="12"/>
      <c r="AS32" s="32"/>
      <c r="AT32" s="12"/>
      <c r="AU32" s="12"/>
      <c r="AV32" s="12"/>
    </row>
    <row r="33" spans="1:48" ht="15.75" customHeight="1">
      <c r="A33" s="28"/>
      <c r="B33" s="12" t="s">
        <v>35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2"/>
      <c r="AL33" s="2"/>
      <c r="AM33" s="2"/>
      <c r="AN33" s="2"/>
      <c r="AO33" s="28"/>
      <c r="AP33" s="28"/>
      <c r="AQ33" s="2" t="s">
        <v>36</v>
      </c>
      <c r="AR33" s="28"/>
      <c r="AS33" s="28"/>
      <c r="AT33" s="33">
        <v>0</v>
      </c>
      <c r="AU33" s="12"/>
      <c r="AV33" s="12"/>
    </row>
    <row r="34" spans="1:48" ht="15.75" customHeight="1">
      <c r="A34" s="28"/>
      <c r="B34" s="12" t="s">
        <v>37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2"/>
      <c r="AL34" s="2"/>
      <c r="AM34" s="2"/>
      <c r="AN34" s="30"/>
      <c r="AO34" s="28"/>
      <c r="AP34" s="28"/>
      <c r="AQ34" s="2" t="s">
        <v>38</v>
      </c>
      <c r="AR34" s="28"/>
      <c r="AS34" s="28"/>
      <c r="AT34" s="34">
        <f>AT30-AT33</f>
        <v>32402.63</v>
      </c>
      <c r="AU34" s="12"/>
      <c r="AV34" s="12"/>
    </row>
    <row r="35" spans="1:48" ht="15.75" customHeight="1">
      <c r="A35" s="28"/>
      <c r="B35" s="12" t="s">
        <v>39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28"/>
      <c r="AL35" s="28"/>
      <c r="AM35" s="28"/>
      <c r="AN35" s="28"/>
      <c r="AO35" s="28"/>
      <c r="AP35" s="28"/>
      <c r="AQ35" s="12"/>
      <c r="AR35" s="12"/>
      <c r="AS35" s="32"/>
      <c r="AT35" s="12"/>
      <c r="AU35" s="12"/>
      <c r="AV35" s="12"/>
    </row>
    <row r="36" spans="1:48" ht="15.75" customHeight="1">
      <c r="A36" s="28"/>
      <c r="B36" s="12" t="s">
        <v>40</v>
      </c>
      <c r="C36" s="12"/>
      <c r="D36" s="12"/>
      <c r="E36" s="35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28"/>
      <c r="AL36" s="28"/>
      <c r="AM36" s="28"/>
      <c r="AN36" s="28"/>
      <c r="AO36" s="28"/>
      <c r="AP36" s="28"/>
      <c r="AQ36" s="12"/>
      <c r="AR36" s="12"/>
      <c r="AS36" s="32"/>
      <c r="AT36" s="12"/>
      <c r="AU36" s="12"/>
      <c r="AV36" s="12"/>
    </row>
    <row r="37" spans="1:48" ht="15.75" customHeight="1">
      <c r="A37" s="28"/>
      <c r="B37" s="2"/>
      <c r="C37" s="2"/>
      <c r="D37" s="2"/>
      <c r="E37" s="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28"/>
      <c r="AL37" s="28"/>
      <c r="AM37" s="28"/>
      <c r="AN37" s="28"/>
      <c r="AO37" s="28"/>
      <c r="AP37" s="28"/>
      <c r="AQ37" s="12"/>
      <c r="AR37" s="12"/>
      <c r="AS37" s="32"/>
      <c r="AT37" s="12"/>
      <c r="AU37" s="12"/>
      <c r="AV37" s="12"/>
    </row>
    <row r="38" spans="1:48" ht="15.75" customHeight="1">
      <c r="A38" s="36" t="s">
        <v>41</v>
      </c>
      <c r="B38" s="2"/>
      <c r="C38" s="12"/>
      <c r="D38" s="12"/>
      <c r="E38" s="37"/>
      <c r="F38" s="2"/>
      <c r="G38" s="2"/>
      <c r="H38" s="2"/>
      <c r="I38" s="2"/>
      <c r="J38" s="2"/>
      <c r="K38" s="12"/>
      <c r="L38" s="2"/>
      <c r="M38" s="38"/>
      <c r="N38" s="12"/>
      <c r="O38" s="2"/>
      <c r="P38" s="12"/>
      <c r="Q38" s="12"/>
      <c r="R38" s="12"/>
      <c r="S38" s="2"/>
      <c r="T38" s="2"/>
      <c r="U38" s="38"/>
      <c r="V38" s="12"/>
      <c r="W38" s="12"/>
      <c r="X38" s="12"/>
      <c r="Y38" s="12"/>
      <c r="Z38" s="12"/>
      <c r="AA38" s="12"/>
      <c r="AB38" s="38"/>
      <c r="AC38" s="12"/>
      <c r="AD38" s="12"/>
      <c r="AE38" s="12"/>
      <c r="AF38" s="12"/>
      <c r="AG38" s="12"/>
      <c r="AH38" s="38"/>
      <c r="AI38" s="12"/>
      <c r="AJ38" s="12"/>
      <c r="AK38" s="12"/>
      <c r="AL38" s="28"/>
      <c r="AM38" s="28"/>
      <c r="AN38" s="28"/>
      <c r="AO38" s="28"/>
      <c r="AP38" s="28"/>
      <c r="AQ38" s="12"/>
      <c r="AR38" s="12"/>
      <c r="AS38" s="32"/>
      <c r="AT38" s="12"/>
      <c r="AU38" s="12"/>
      <c r="AV38" s="12"/>
    </row>
    <row r="39" spans="1:48" ht="15.75" customHeight="1">
      <c r="A39" s="12" t="s">
        <v>42</v>
      </c>
      <c r="B39" s="2"/>
      <c r="C39" s="12"/>
      <c r="D39" s="12"/>
      <c r="E39" s="37"/>
      <c r="F39" s="2"/>
      <c r="G39" s="2"/>
      <c r="H39" s="2"/>
      <c r="I39" s="2"/>
      <c r="J39" s="2"/>
      <c r="K39" s="12"/>
      <c r="L39" s="2"/>
      <c r="M39" s="38"/>
      <c r="N39" s="12"/>
      <c r="O39" s="2"/>
      <c r="P39" s="12"/>
      <c r="Q39" s="12"/>
      <c r="R39" s="12"/>
      <c r="S39" s="2"/>
      <c r="T39" s="2"/>
      <c r="U39" s="38"/>
      <c r="V39" s="12"/>
      <c r="W39" s="12"/>
      <c r="X39" s="12"/>
      <c r="Y39" s="12"/>
      <c r="Z39" s="12"/>
      <c r="AA39" s="12"/>
      <c r="AB39" s="38"/>
      <c r="AC39" s="12"/>
      <c r="AD39" s="12"/>
      <c r="AE39" s="12"/>
      <c r="AF39" s="12"/>
      <c r="AG39" s="12"/>
      <c r="AH39" s="38"/>
      <c r="AI39" s="12"/>
      <c r="AJ39" s="12"/>
      <c r="AK39" s="12"/>
      <c r="AL39" s="28"/>
      <c r="AM39" s="28"/>
      <c r="AN39" s="28"/>
      <c r="AO39" s="28"/>
      <c r="AP39" s="28"/>
      <c r="AQ39" s="12"/>
      <c r="AR39" s="12"/>
      <c r="AS39" s="32"/>
      <c r="AT39" s="12"/>
      <c r="AU39" s="12"/>
      <c r="AV39" s="12"/>
    </row>
    <row r="40" spans="1:48" ht="15.75" customHeight="1">
      <c r="A40" s="12" t="s">
        <v>43</v>
      </c>
      <c r="B40" s="2"/>
      <c r="C40" s="12"/>
      <c r="D40" s="12"/>
      <c r="E40" s="37"/>
      <c r="F40" s="2"/>
      <c r="G40" s="2"/>
      <c r="H40" s="2"/>
      <c r="I40" s="2"/>
      <c r="J40" s="2"/>
      <c r="K40" s="12"/>
      <c r="L40" s="2"/>
      <c r="M40" s="38"/>
      <c r="N40" s="12"/>
      <c r="O40" s="2"/>
      <c r="P40" s="12"/>
      <c r="Q40" s="12"/>
      <c r="R40" s="12"/>
      <c r="S40" s="2"/>
      <c r="T40" s="2"/>
      <c r="U40" s="38"/>
      <c r="V40" s="12"/>
      <c r="W40" s="12"/>
      <c r="X40" s="12"/>
      <c r="Y40" s="12"/>
      <c r="Z40" s="12"/>
      <c r="AA40" s="12"/>
      <c r="AB40" s="38"/>
      <c r="AC40" s="12"/>
      <c r="AD40" s="12"/>
      <c r="AE40" s="12"/>
      <c r="AF40" s="12"/>
      <c r="AG40" s="12"/>
      <c r="AH40" s="38"/>
      <c r="AI40" s="12"/>
      <c r="AJ40" s="12"/>
      <c r="AK40" s="12"/>
      <c r="AL40" s="28"/>
      <c r="AM40" s="28"/>
      <c r="AN40" s="28"/>
      <c r="AO40" s="28"/>
      <c r="AP40" s="28"/>
      <c r="AQ40" s="12"/>
      <c r="AR40" s="12"/>
      <c r="AS40" s="32"/>
      <c r="AT40" s="12"/>
      <c r="AU40" s="12"/>
      <c r="AV40" s="12"/>
    </row>
    <row r="41" spans="1:48" ht="15.75" customHeight="1">
      <c r="A41" s="12" t="s">
        <v>5</v>
      </c>
      <c r="B41" s="2"/>
      <c r="C41" s="12"/>
      <c r="D41" s="12"/>
      <c r="E41" s="37"/>
      <c r="F41" s="2"/>
      <c r="G41" s="2"/>
      <c r="H41" s="2"/>
      <c r="I41" s="2"/>
      <c r="J41" s="2"/>
      <c r="K41" s="12"/>
      <c r="L41" s="2"/>
      <c r="M41" s="38"/>
      <c r="N41" s="12"/>
      <c r="O41" s="2"/>
      <c r="P41" s="12"/>
      <c r="Q41" s="12"/>
      <c r="R41" s="12"/>
      <c r="S41" s="2"/>
      <c r="T41" s="2"/>
      <c r="U41" s="38"/>
      <c r="V41" s="12"/>
      <c r="W41" s="12"/>
      <c r="X41" s="12"/>
      <c r="Y41" s="12"/>
      <c r="Z41" s="12"/>
      <c r="AA41" s="12"/>
      <c r="AB41" s="38"/>
      <c r="AC41" s="12"/>
      <c r="AD41" s="12"/>
      <c r="AE41" s="12"/>
      <c r="AF41" s="12"/>
      <c r="AG41" s="12"/>
      <c r="AH41" s="38"/>
      <c r="AI41" s="12"/>
      <c r="AJ41" s="12"/>
      <c r="AK41" s="12"/>
      <c r="AL41" s="28"/>
      <c r="AM41" s="28"/>
      <c r="AN41" s="28"/>
      <c r="AO41" s="28"/>
      <c r="AP41" s="28"/>
      <c r="AQ41" s="12"/>
      <c r="AR41" s="12"/>
      <c r="AS41" s="32"/>
      <c r="AT41" s="12"/>
      <c r="AU41" s="12"/>
      <c r="AV41" s="12"/>
    </row>
    <row r="42" spans="1:48" ht="15.75" customHeight="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4"/>
      <c r="AL42" s="4"/>
      <c r="AM42" s="4"/>
      <c r="AN42" s="4"/>
      <c r="AO42" s="4"/>
      <c r="AP42" s="4"/>
      <c r="AQ42" s="2"/>
      <c r="AR42" s="2"/>
      <c r="AS42" s="5"/>
      <c r="AT42" s="2"/>
      <c r="AU42" s="2"/>
      <c r="AV42" s="2"/>
    </row>
    <row r="43" spans="1:48" ht="15.75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4"/>
      <c r="AL43" s="4"/>
      <c r="AM43" s="4"/>
      <c r="AN43" s="4"/>
      <c r="AO43" s="4"/>
      <c r="AP43" s="4"/>
      <c r="AQ43" s="2"/>
      <c r="AR43" s="2"/>
      <c r="AS43" s="5"/>
      <c r="AT43" s="2"/>
      <c r="AU43" s="2"/>
      <c r="AV43" s="2"/>
    </row>
    <row r="44" spans="1:48" ht="15.75" customHeight="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4"/>
      <c r="AL44" s="4"/>
      <c r="AM44" s="4"/>
      <c r="AN44" s="4"/>
      <c r="AO44" s="4"/>
      <c r="AP44" s="4"/>
      <c r="AQ44" s="2"/>
      <c r="AR44" s="2"/>
      <c r="AS44" s="5"/>
      <c r="AT44" s="2"/>
      <c r="AU44" s="2"/>
      <c r="AV44" s="2"/>
    </row>
    <row r="45" spans="1:48" ht="15.75" customHeight="1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4"/>
      <c r="AL45" s="4"/>
      <c r="AM45" s="4"/>
      <c r="AN45" s="4"/>
      <c r="AO45" s="4"/>
      <c r="AP45" s="4"/>
      <c r="AQ45" s="2"/>
      <c r="AR45" s="2"/>
      <c r="AS45" s="5"/>
      <c r="AT45" s="2"/>
      <c r="AU45" s="2"/>
      <c r="AV45" s="2"/>
    </row>
    <row r="46" spans="1:48" ht="15.75" customHeight="1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4"/>
      <c r="AL46" s="4"/>
      <c r="AM46" s="4"/>
      <c r="AN46" s="4"/>
      <c r="AO46" s="4"/>
      <c r="AP46" s="4"/>
      <c r="AQ46" s="2"/>
      <c r="AR46" s="2"/>
      <c r="AS46" s="5"/>
      <c r="AT46" s="2"/>
      <c r="AU46" s="2"/>
      <c r="AV46" s="2"/>
    </row>
    <row r="47" spans="1:48" ht="15.75" customHeight="1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4"/>
      <c r="AL47" s="4"/>
      <c r="AM47" s="4"/>
      <c r="AN47" s="4"/>
      <c r="AO47" s="4"/>
      <c r="AP47" s="4"/>
      <c r="AQ47" s="2"/>
      <c r="AR47" s="2"/>
      <c r="AS47" s="5"/>
      <c r="AT47" s="2"/>
      <c r="AU47" s="2"/>
      <c r="AV47" s="2"/>
    </row>
    <row r="48" spans="1:48" ht="15.75" customHeight="1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4"/>
      <c r="AL48" s="4"/>
      <c r="AM48" s="4"/>
      <c r="AN48" s="4"/>
      <c r="AO48" s="4"/>
      <c r="AP48" s="4"/>
      <c r="AQ48" s="2"/>
      <c r="AR48" s="2"/>
      <c r="AS48" s="5"/>
      <c r="AT48" s="2"/>
      <c r="AU48" s="2"/>
      <c r="AV48" s="2"/>
    </row>
    <row r="49" spans="1:48" ht="15.75" customHeight="1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4"/>
      <c r="AL49" s="4"/>
      <c r="AM49" s="4"/>
      <c r="AN49" s="4"/>
      <c r="AO49" s="4"/>
      <c r="AP49" s="4"/>
      <c r="AQ49" s="2"/>
      <c r="AR49" s="2"/>
      <c r="AS49" s="5"/>
      <c r="AT49" s="2"/>
      <c r="AU49" s="2"/>
      <c r="AV49" s="2"/>
    </row>
    <row r="50" spans="1:48" ht="15.75" customHeight="1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4"/>
      <c r="AL50" s="4"/>
      <c r="AM50" s="4"/>
      <c r="AN50" s="4"/>
      <c r="AO50" s="4"/>
      <c r="AP50" s="4"/>
      <c r="AQ50" s="2"/>
      <c r="AR50" s="2"/>
      <c r="AS50" s="5"/>
      <c r="AT50" s="2"/>
      <c r="AU50" s="2"/>
      <c r="AV50" s="2"/>
    </row>
    <row r="51" spans="1:48" ht="15.75" customHeight="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4"/>
      <c r="AL51" s="4"/>
      <c r="AM51" s="4"/>
      <c r="AN51" s="4"/>
      <c r="AO51" s="4"/>
      <c r="AP51" s="4"/>
      <c r="AQ51" s="2"/>
      <c r="AR51" s="2"/>
      <c r="AS51" s="5"/>
      <c r="AT51" s="2"/>
      <c r="AU51" s="2"/>
      <c r="AV51" s="2"/>
    </row>
    <row r="52" spans="1:48" ht="15.75" customHeight="1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4"/>
      <c r="AL52" s="4"/>
      <c r="AM52" s="4"/>
      <c r="AN52" s="4"/>
      <c r="AO52" s="4"/>
      <c r="AP52" s="4"/>
      <c r="AQ52" s="2"/>
      <c r="AR52" s="2"/>
      <c r="AS52" s="5"/>
      <c r="AT52" s="2"/>
      <c r="AU52" s="2"/>
      <c r="AV52" s="2"/>
    </row>
    <row r="53" spans="1:48" ht="15.75" customHeight="1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4"/>
      <c r="AL53" s="4"/>
      <c r="AM53" s="4"/>
      <c r="AN53" s="4"/>
      <c r="AO53" s="4"/>
      <c r="AP53" s="4"/>
      <c r="AQ53" s="2"/>
      <c r="AR53" s="2"/>
      <c r="AS53" s="5"/>
      <c r="AT53" s="2"/>
      <c r="AU53" s="2"/>
      <c r="AV53" s="2"/>
    </row>
    <row r="54" spans="1:48" ht="15.75" customHeight="1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4"/>
      <c r="AL54" s="4"/>
      <c r="AM54" s="4"/>
      <c r="AN54" s="4"/>
      <c r="AO54" s="4"/>
      <c r="AP54" s="4"/>
      <c r="AQ54" s="2"/>
      <c r="AR54" s="2"/>
      <c r="AS54" s="5"/>
      <c r="AT54" s="2"/>
      <c r="AU54" s="2"/>
      <c r="AV54" s="2"/>
    </row>
    <row r="55" spans="1:48" ht="15.75" customHeight="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4"/>
      <c r="AL55" s="4"/>
      <c r="AM55" s="4"/>
      <c r="AN55" s="4"/>
      <c r="AO55" s="4"/>
      <c r="AP55" s="4"/>
      <c r="AQ55" s="2"/>
      <c r="AR55" s="2"/>
      <c r="AS55" s="5"/>
      <c r="AT55" s="2"/>
      <c r="AU55" s="2"/>
      <c r="AV55" s="2"/>
    </row>
    <row r="56" spans="1:48" ht="15.75" customHeight="1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4"/>
      <c r="AL56" s="4"/>
      <c r="AM56" s="4"/>
      <c r="AN56" s="4"/>
      <c r="AO56" s="4"/>
      <c r="AP56" s="4"/>
      <c r="AQ56" s="2"/>
      <c r="AR56" s="2"/>
      <c r="AS56" s="5"/>
      <c r="AT56" s="2"/>
      <c r="AU56" s="2"/>
      <c r="AV56" s="2"/>
    </row>
    <row r="57" spans="1:48" ht="15.75" customHeight="1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4"/>
      <c r="AL57" s="4"/>
      <c r="AM57" s="4"/>
      <c r="AN57" s="4"/>
      <c r="AO57" s="4"/>
      <c r="AP57" s="4"/>
      <c r="AQ57" s="2"/>
      <c r="AR57" s="2"/>
      <c r="AS57" s="5"/>
      <c r="AT57" s="2"/>
      <c r="AU57" s="2"/>
      <c r="AV57" s="2"/>
    </row>
    <row r="58" spans="1:48" ht="15.75" customHeight="1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4"/>
      <c r="AL58" s="4"/>
      <c r="AM58" s="4"/>
      <c r="AN58" s="4"/>
      <c r="AO58" s="4"/>
      <c r="AP58" s="4"/>
      <c r="AQ58" s="2"/>
      <c r="AR58" s="2"/>
      <c r="AS58" s="5"/>
      <c r="AT58" s="2"/>
      <c r="AU58" s="2"/>
      <c r="AV58" s="2"/>
    </row>
    <row r="59" spans="1:48" ht="15.75" customHeight="1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4"/>
      <c r="AL59" s="4"/>
      <c r="AM59" s="4"/>
      <c r="AN59" s="4"/>
      <c r="AO59" s="4"/>
      <c r="AP59" s="4"/>
      <c r="AQ59" s="2"/>
      <c r="AR59" s="2"/>
      <c r="AS59" s="5"/>
      <c r="AT59" s="2"/>
      <c r="AU59" s="2"/>
      <c r="AV59" s="2"/>
    </row>
    <row r="60" spans="1:48" ht="15.75" customHeight="1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4"/>
      <c r="AL60" s="4"/>
      <c r="AM60" s="4"/>
      <c r="AN60" s="4"/>
      <c r="AO60" s="4"/>
      <c r="AP60" s="4"/>
      <c r="AQ60" s="2"/>
      <c r="AR60" s="2"/>
      <c r="AS60" s="5"/>
      <c r="AT60" s="2"/>
      <c r="AU60" s="2"/>
      <c r="AV60" s="2"/>
    </row>
    <row r="61" spans="1:48" ht="15.75" customHeight="1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4"/>
      <c r="AL61" s="4"/>
      <c r="AM61" s="4"/>
      <c r="AN61" s="4"/>
      <c r="AO61" s="4"/>
      <c r="AP61" s="4"/>
      <c r="AQ61" s="2"/>
      <c r="AR61" s="2"/>
      <c r="AS61" s="5"/>
      <c r="AT61" s="2"/>
      <c r="AU61" s="2"/>
      <c r="AV61" s="2"/>
    </row>
    <row r="62" spans="1:48" ht="15.75" customHeight="1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4"/>
      <c r="AL62" s="4"/>
      <c r="AM62" s="4"/>
      <c r="AN62" s="4"/>
      <c r="AO62" s="4"/>
      <c r="AP62" s="4"/>
      <c r="AQ62" s="2"/>
      <c r="AR62" s="2"/>
      <c r="AS62" s="5"/>
      <c r="AT62" s="2"/>
      <c r="AU62" s="2"/>
      <c r="AV62" s="2"/>
    </row>
    <row r="63" spans="1:48" ht="15.75" customHeight="1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4"/>
      <c r="AL63" s="4"/>
      <c r="AM63" s="4"/>
      <c r="AN63" s="4"/>
      <c r="AO63" s="4"/>
      <c r="AP63" s="4"/>
      <c r="AQ63" s="2"/>
      <c r="AR63" s="2"/>
      <c r="AS63" s="5"/>
      <c r="AT63" s="2"/>
      <c r="AU63" s="2"/>
      <c r="AV63" s="2"/>
    </row>
    <row r="64" spans="1:48" ht="15.75" customHeight="1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4"/>
      <c r="AL64" s="4"/>
      <c r="AM64" s="4"/>
      <c r="AN64" s="4"/>
      <c r="AO64" s="4"/>
      <c r="AP64" s="4"/>
      <c r="AQ64" s="2"/>
      <c r="AR64" s="2"/>
      <c r="AS64" s="5"/>
      <c r="AT64" s="2"/>
      <c r="AU64" s="2"/>
      <c r="AV64" s="2"/>
    </row>
    <row r="65" spans="1:48" ht="15.75" customHeight="1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4"/>
      <c r="AL65" s="4"/>
      <c r="AM65" s="4"/>
      <c r="AN65" s="4"/>
      <c r="AO65" s="4"/>
      <c r="AP65" s="4"/>
      <c r="AQ65" s="2"/>
      <c r="AR65" s="2"/>
      <c r="AS65" s="5"/>
      <c r="AT65" s="2"/>
      <c r="AU65" s="2"/>
      <c r="AV65" s="2"/>
    </row>
    <row r="66" spans="1:48" ht="15.75" customHeight="1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4"/>
      <c r="AL66" s="4"/>
      <c r="AM66" s="4"/>
      <c r="AN66" s="4"/>
      <c r="AO66" s="4"/>
      <c r="AP66" s="4"/>
      <c r="AQ66" s="2"/>
      <c r="AR66" s="2"/>
      <c r="AS66" s="5"/>
      <c r="AT66" s="2"/>
      <c r="AU66" s="2"/>
      <c r="AV66" s="2"/>
    </row>
    <row r="67" spans="1:48" ht="15.75" customHeight="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4"/>
      <c r="AL67" s="4"/>
      <c r="AM67" s="4"/>
      <c r="AN67" s="4"/>
      <c r="AO67" s="4"/>
      <c r="AP67" s="4"/>
      <c r="AQ67" s="2"/>
      <c r="AR67" s="2"/>
      <c r="AS67" s="5"/>
      <c r="AT67" s="2"/>
      <c r="AU67" s="2"/>
      <c r="AV67" s="2"/>
    </row>
    <row r="68" spans="1:48" ht="15.75" customHeight="1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4"/>
      <c r="AL68" s="4"/>
      <c r="AM68" s="4"/>
      <c r="AN68" s="4"/>
      <c r="AO68" s="4"/>
      <c r="AP68" s="4"/>
      <c r="AQ68" s="2"/>
      <c r="AR68" s="2"/>
      <c r="AS68" s="5"/>
      <c r="AT68" s="2"/>
      <c r="AU68" s="2"/>
      <c r="AV68" s="2"/>
    </row>
    <row r="69" spans="1:48" ht="15.75" customHeight="1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4"/>
      <c r="AL69" s="4"/>
      <c r="AM69" s="4"/>
      <c r="AN69" s="4"/>
      <c r="AO69" s="4"/>
      <c r="AP69" s="4"/>
      <c r="AQ69" s="2"/>
      <c r="AR69" s="2"/>
      <c r="AS69" s="5"/>
      <c r="AT69" s="2"/>
      <c r="AU69" s="2"/>
      <c r="AV69" s="2"/>
    </row>
    <row r="70" spans="1:48" ht="15.75" customHeight="1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4"/>
      <c r="AL70" s="4"/>
      <c r="AM70" s="4"/>
      <c r="AN70" s="4"/>
      <c r="AO70" s="4"/>
      <c r="AP70" s="4"/>
      <c r="AQ70" s="2"/>
      <c r="AR70" s="2"/>
      <c r="AS70" s="5"/>
      <c r="AT70" s="2"/>
      <c r="AU70" s="2"/>
      <c r="AV70" s="2"/>
    </row>
    <row r="71" spans="1:48" ht="15.75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4"/>
      <c r="AL71" s="4"/>
      <c r="AM71" s="4"/>
      <c r="AN71" s="4"/>
      <c r="AO71" s="4"/>
      <c r="AP71" s="4"/>
      <c r="AQ71" s="2"/>
      <c r="AR71" s="2"/>
      <c r="AS71" s="5"/>
      <c r="AT71" s="2"/>
      <c r="AU71" s="2"/>
      <c r="AV71" s="2"/>
    </row>
    <row r="72" spans="1:48" ht="15.75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4"/>
      <c r="AL72" s="4"/>
      <c r="AM72" s="4"/>
      <c r="AN72" s="4"/>
      <c r="AO72" s="4"/>
      <c r="AP72" s="4"/>
      <c r="AQ72" s="2"/>
      <c r="AR72" s="2"/>
      <c r="AS72" s="5"/>
      <c r="AT72" s="2"/>
      <c r="AU72" s="2"/>
      <c r="AV72" s="2"/>
    </row>
    <row r="73" spans="1:48" ht="15.75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4"/>
      <c r="AL73" s="4"/>
      <c r="AM73" s="4"/>
      <c r="AN73" s="4"/>
      <c r="AO73" s="4"/>
      <c r="AP73" s="4"/>
      <c r="AQ73" s="2"/>
      <c r="AR73" s="2"/>
      <c r="AS73" s="5"/>
      <c r="AT73" s="2"/>
      <c r="AU73" s="2"/>
      <c r="AV73" s="2"/>
    </row>
    <row r="74" spans="1:48" ht="15.75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4"/>
      <c r="AL74" s="4"/>
      <c r="AM74" s="4"/>
      <c r="AN74" s="4"/>
      <c r="AO74" s="4"/>
      <c r="AP74" s="4"/>
      <c r="AQ74" s="2"/>
      <c r="AR74" s="2"/>
      <c r="AS74" s="5"/>
      <c r="AT74" s="2"/>
      <c r="AU74" s="2"/>
      <c r="AV74" s="2"/>
    </row>
    <row r="75" spans="1:48" ht="15.75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4"/>
      <c r="AL75" s="4"/>
      <c r="AM75" s="4"/>
      <c r="AN75" s="4"/>
      <c r="AO75" s="4"/>
      <c r="AP75" s="4"/>
      <c r="AQ75" s="2"/>
      <c r="AR75" s="2"/>
      <c r="AS75" s="5"/>
      <c r="AT75" s="2"/>
      <c r="AU75" s="2"/>
      <c r="AV75" s="2"/>
    </row>
    <row r="76" spans="1:48" ht="15.75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4"/>
      <c r="AL76" s="4"/>
      <c r="AM76" s="4"/>
      <c r="AN76" s="4"/>
      <c r="AO76" s="4"/>
      <c r="AP76" s="4"/>
      <c r="AQ76" s="2"/>
      <c r="AR76" s="2"/>
      <c r="AS76" s="5"/>
      <c r="AT76" s="2"/>
      <c r="AU76" s="2"/>
      <c r="AV76" s="2"/>
    </row>
    <row r="77" spans="1:48" ht="15.75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4"/>
      <c r="AL77" s="4"/>
      <c r="AM77" s="4"/>
      <c r="AN77" s="4"/>
      <c r="AO77" s="4"/>
      <c r="AP77" s="4"/>
      <c r="AQ77" s="2"/>
      <c r="AR77" s="2"/>
      <c r="AS77" s="5"/>
      <c r="AT77" s="2"/>
      <c r="AU77" s="2"/>
      <c r="AV77" s="2"/>
    </row>
    <row r="78" spans="1:48" ht="15.75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4"/>
      <c r="AL78" s="4"/>
      <c r="AM78" s="4"/>
      <c r="AN78" s="4"/>
      <c r="AO78" s="4"/>
      <c r="AP78" s="4"/>
      <c r="AQ78" s="2"/>
      <c r="AR78" s="2"/>
      <c r="AS78" s="5"/>
      <c r="AT78" s="2"/>
      <c r="AU78" s="2"/>
      <c r="AV78" s="2"/>
    </row>
    <row r="79" spans="1:48" ht="15.75" customHeight="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4"/>
      <c r="AL79" s="4"/>
      <c r="AM79" s="4"/>
      <c r="AN79" s="4"/>
      <c r="AO79" s="4"/>
      <c r="AP79" s="4"/>
      <c r="AQ79" s="2"/>
      <c r="AR79" s="2"/>
      <c r="AS79" s="5"/>
      <c r="AT79" s="2"/>
      <c r="AU79" s="2"/>
      <c r="AV79" s="2"/>
    </row>
    <row r="80" spans="1:48" ht="15.75" customHeight="1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4"/>
      <c r="AL80" s="4"/>
      <c r="AM80" s="4"/>
      <c r="AN80" s="4"/>
      <c r="AO80" s="4"/>
      <c r="AP80" s="4"/>
      <c r="AQ80" s="2"/>
      <c r="AR80" s="2"/>
      <c r="AS80" s="5"/>
      <c r="AT80" s="2"/>
      <c r="AU80" s="2"/>
      <c r="AV80" s="2"/>
    </row>
    <row r="81" spans="1:48" ht="15.75" customHeight="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4"/>
      <c r="AL81" s="4"/>
      <c r="AM81" s="4"/>
      <c r="AN81" s="4"/>
      <c r="AO81" s="4"/>
      <c r="AP81" s="4"/>
      <c r="AQ81" s="2"/>
      <c r="AR81" s="2"/>
      <c r="AS81" s="5"/>
      <c r="AT81" s="2"/>
      <c r="AU81" s="2"/>
      <c r="AV81" s="2"/>
    </row>
    <row r="82" spans="1:48" ht="15.75" customHeight="1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4"/>
      <c r="AL82" s="4"/>
      <c r="AM82" s="4"/>
      <c r="AN82" s="4"/>
      <c r="AO82" s="4"/>
      <c r="AP82" s="4"/>
      <c r="AQ82" s="2"/>
      <c r="AR82" s="2"/>
      <c r="AS82" s="5"/>
      <c r="AT82" s="2"/>
      <c r="AU82" s="2"/>
      <c r="AV82" s="2"/>
    </row>
    <row r="83" spans="1:48" ht="15.75" customHeight="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4"/>
      <c r="AL83" s="4"/>
      <c r="AM83" s="4"/>
      <c r="AN83" s="4"/>
      <c r="AO83" s="4"/>
      <c r="AP83" s="4"/>
      <c r="AQ83" s="2"/>
      <c r="AR83" s="2"/>
      <c r="AS83" s="5"/>
      <c r="AT83" s="2"/>
      <c r="AU83" s="2"/>
      <c r="AV83" s="2"/>
    </row>
    <row r="84" spans="1:48" ht="15.75" customHeight="1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4"/>
      <c r="AL84" s="4"/>
      <c r="AM84" s="4"/>
      <c r="AN84" s="4"/>
      <c r="AO84" s="4"/>
      <c r="AP84" s="4"/>
      <c r="AQ84" s="2"/>
      <c r="AR84" s="2"/>
      <c r="AS84" s="5"/>
      <c r="AT84" s="2"/>
      <c r="AU84" s="2"/>
      <c r="AV84" s="2"/>
    </row>
    <row r="85" spans="1:48" ht="15.75" customHeight="1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4"/>
      <c r="AL85" s="4"/>
      <c r="AM85" s="4"/>
      <c r="AN85" s="4"/>
      <c r="AO85" s="4"/>
      <c r="AP85" s="4"/>
      <c r="AQ85" s="2"/>
      <c r="AR85" s="2"/>
      <c r="AS85" s="5"/>
      <c r="AT85" s="2"/>
      <c r="AU85" s="2"/>
      <c r="AV85" s="2"/>
    </row>
    <row r="86" spans="1:48" ht="15.75" customHeight="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4"/>
      <c r="AL86" s="4"/>
      <c r="AM86" s="4"/>
      <c r="AN86" s="4"/>
      <c r="AO86" s="4"/>
      <c r="AP86" s="4"/>
      <c r="AQ86" s="2"/>
      <c r="AR86" s="2"/>
      <c r="AS86" s="5"/>
      <c r="AT86" s="2"/>
      <c r="AU86" s="2"/>
      <c r="AV86" s="2"/>
    </row>
    <row r="87" spans="1:48" ht="15.75" customHeight="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4"/>
      <c r="AL87" s="4"/>
      <c r="AM87" s="4"/>
      <c r="AN87" s="4"/>
      <c r="AO87" s="4"/>
      <c r="AP87" s="4"/>
      <c r="AQ87" s="2"/>
      <c r="AR87" s="2"/>
      <c r="AS87" s="5"/>
      <c r="AT87" s="2"/>
      <c r="AU87" s="2"/>
      <c r="AV87" s="2"/>
    </row>
    <row r="88" spans="1:48" ht="15.75" customHeight="1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4"/>
      <c r="AL88" s="4"/>
      <c r="AM88" s="4"/>
      <c r="AN88" s="4"/>
      <c r="AO88" s="4"/>
      <c r="AP88" s="4"/>
      <c r="AQ88" s="2"/>
      <c r="AR88" s="2"/>
      <c r="AS88" s="5"/>
      <c r="AT88" s="2"/>
      <c r="AU88" s="2"/>
      <c r="AV88" s="2"/>
    </row>
    <row r="89" spans="1:48" ht="15.75" customHeight="1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4"/>
      <c r="AL89" s="4"/>
      <c r="AM89" s="4"/>
      <c r="AN89" s="4"/>
      <c r="AO89" s="4"/>
      <c r="AP89" s="4"/>
      <c r="AQ89" s="2"/>
      <c r="AR89" s="2"/>
      <c r="AS89" s="5"/>
      <c r="AT89" s="2"/>
      <c r="AU89" s="2"/>
      <c r="AV89" s="2"/>
    </row>
    <row r="90" spans="1:48" ht="15.75" customHeight="1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4"/>
      <c r="AL90" s="4"/>
      <c r="AM90" s="4"/>
      <c r="AN90" s="4"/>
      <c r="AO90" s="4"/>
      <c r="AP90" s="4"/>
      <c r="AQ90" s="2"/>
      <c r="AR90" s="2"/>
      <c r="AS90" s="5"/>
      <c r="AT90" s="2"/>
      <c r="AU90" s="2"/>
      <c r="AV90" s="2"/>
    </row>
    <row r="91" spans="1:48" ht="15.75" customHeight="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4"/>
      <c r="AL91" s="4"/>
      <c r="AM91" s="4"/>
      <c r="AN91" s="4"/>
      <c r="AO91" s="4"/>
      <c r="AP91" s="4"/>
      <c r="AQ91" s="2"/>
      <c r="AR91" s="2"/>
      <c r="AS91" s="5"/>
      <c r="AT91" s="2"/>
      <c r="AU91" s="2"/>
      <c r="AV91" s="2"/>
    </row>
    <row r="92" spans="1:48" ht="15.75" customHeight="1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4"/>
      <c r="AL92" s="4"/>
      <c r="AM92" s="4"/>
      <c r="AN92" s="4"/>
      <c r="AO92" s="4"/>
      <c r="AP92" s="4"/>
      <c r="AQ92" s="2"/>
      <c r="AR92" s="2"/>
      <c r="AS92" s="5"/>
      <c r="AT92" s="2"/>
      <c r="AU92" s="2"/>
      <c r="AV92" s="2"/>
    </row>
    <row r="93" spans="1:48" ht="15.75" customHeight="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4"/>
      <c r="AL93" s="4"/>
      <c r="AM93" s="4"/>
      <c r="AN93" s="4"/>
      <c r="AO93" s="4"/>
      <c r="AP93" s="4"/>
      <c r="AQ93" s="2"/>
      <c r="AR93" s="2"/>
      <c r="AS93" s="5"/>
      <c r="AT93" s="2"/>
      <c r="AU93" s="2"/>
      <c r="AV93" s="2"/>
    </row>
    <row r="94" spans="1:48" ht="15.75" customHeight="1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4"/>
      <c r="AL94" s="4"/>
      <c r="AM94" s="4"/>
      <c r="AN94" s="4"/>
      <c r="AO94" s="4"/>
      <c r="AP94" s="4"/>
      <c r="AQ94" s="2"/>
      <c r="AR94" s="2"/>
      <c r="AS94" s="5"/>
      <c r="AT94" s="2"/>
      <c r="AU94" s="2"/>
      <c r="AV94" s="2"/>
    </row>
    <row r="95" spans="1:48" ht="15.75" customHeight="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4"/>
      <c r="AL95" s="4"/>
      <c r="AM95" s="4"/>
      <c r="AN95" s="4"/>
      <c r="AO95" s="4"/>
      <c r="AP95" s="4"/>
      <c r="AQ95" s="2"/>
      <c r="AR95" s="2"/>
      <c r="AS95" s="5"/>
      <c r="AT95" s="2"/>
      <c r="AU95" s="2"/>
      <c r="AV95" s="2"/>
    </row>
    <row r="96" spans="1:48" ht="15.75" customHeight="1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4"/>
      <c r="AL96" s="4"/>
      <c r="AM96" s="4"/>
      <c r="AN96" s="4"/>
      <c r="AO96" s="4"/>
      <c r="AP96" s="4"/>
      <c r="AQ96" s="2"/>
      <c r="AR96" s="2"/>
      <c r="AS96" s="5"/>
      <c r="AT96" s="2"/>
      <c r="AU96" s="2"/>
      <c r="AV96" s="2"/>
    </row>
    <row r="97" spans="1:48" ht="15.75" customHeight="1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4"/>
      <c r="AL97" s="4"/>
      <c r="AM97" s="4"/>
      <c r="AN97" s="4"/>
      <c r="AO97" s="4"/>
      <c r="AP97" s="4"/>
      <c r="AQ97" s="2"/>
      <c r="AR97" s="2"/>
      <c r="AS97" s="5"/>
      <c r="AT97" s="2"/>
      <c r="AU97" s="2"/>
      <c r="AV97" s="2"/>
    </row>
    <row r="98" spans="1:48" ht="15.75" customHeight="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4"/>
      <c r="AL98" s="4"/>
      <c r="AM98" s="4"/>
      <c r="AN98" s="4"/>
      <c r="AO98" s="4"/>
      <c r="AP98" s="4"/>
      <c r="AQ98" s="2"/>
      <c r="AR98" s="2"/>
      <c r="AS98" s="5"/>
      <c r="AT98" s="2"/>
      <c r="AU98" s="2"/>
      <c r="AV98" s="2"/>
    </row>
    <row r="99" spans="1:48" ht="15.75" customHeight="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4"/>
      <c r="AL99" s="4"/>
      <c r="AM99" s="4"/>
      <c r="AN99" s="4"/>
      <c r="AO99" s="4"/>
      <c r="AP99" s="4"/>
      <c r="AQ99" s="2"/>
      <c r="AR99" s="2"/>
      <c r="AS99" s="5"/>
      <c r="AT99" s="2"/>
      <c r="AU99" s="2"/>
      <c r="AV99" s="2"/>
    </row>
    <row r="100" spans="1:48" ht="15.75" customHeight="1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4"/>
      <c r="AL100" s="4"/>
      <c r="AM100" s="4"/>
      <c r="AN100" s="4"/>
      <c r="AO100" s="4"/>
      <c r="AP100" s="4"/>
      <c r="AQ100" s="2"/>
      <c r="AR100" s="2"/>
      <c r="AS100" s="5"/>
      <c r="AT100" s="2"/>
      <c r="AU100" s="2"/>
      <c r="AV100" s="2"/>
    </row>
    <row r="101" spans="1:48" ht="15.75" customHeight="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4"/>
      <c r="AL101" s="4"/>
      <c r="AM101" s="4"/>
      <c r="AN101" s="4"/>
      <c r="AO101" s="4"/>
      <c r="AP101" s="4"/>
      <c r="AQ101" s="2"/>
      <c r="AR101" s="2"/>
      <c r="AS101" s="5"/>
      <c r="AT101" s="2"/>
      <c r="AU101" s="2"/>
      <c r="AV101" s="2"/>
    </row>
    <row r="102" spans="1:48" ht="15.75" customHeight="1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4"/>
      <c r="AL102" s="4"/>
      <c r="AM102" s="4"/>
      <c r="AN102" s="4"/>
      <c r="AO102" s="4"/>
      <c r="AP102" s="4"/>
      <c r="AQ102" s="2"/>
      <c r="AR102" s="2"/>
      <c r="AS102" s="5"/>
      <c r="AT102" s="2"/>
      <c r="AU102" s="2"/>
      <c r="AV102" s="2"/>
    </row>
    <row r="103" spans="1:48" ht="15.75" customHeight="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4"/>
      <c r="AL103" s="4"/>
      <c r="AM103" s="4"/>
      <c r="AN103" s="4"/>
      <c r="AO103" s="4"/>
      <c r="AP103" s="4"/>
      <c r="AQ103" s="2"/>
      <c r="AR103" s="2"/>
      <c r="AS103" s="5"/>
      <c r="AT103" s="2"/>
      <c r="AU103" s="2"/>
      <c r="AV103" s="2"/>
    </row>
    <row r="104" spans="1:48" ht="15.75" customHeight="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4"/>
      <c r="AL104" s="4"/>
      <c r="AM104" s="4"/>
      <c r="AN104" s="4"/>
      <c r="AO104" s="4"/>
      <c r="AP104" s="4"/>
      <c r="AQ104" s="2"/>
      <c r="AR104" s="2"/>
      <c r="AS104" s="5"/>
      <c r="AT104" s="2"/>
      <c r="AU104" s="2"/>
      <c r="AV104" s="2"/>
    </row>
    <row r="105" spans="1:48" ht="15.75" customHeight="1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4"/>
      <c r="AL105" s="4"/>
      <c r="AM105" s="4"/>
      <c r="AN105" s="4"/>
      <c r="AO105" s="4"/>
      <c r="AP105" s="4"/>
      <c r="AQ105" s="2"/>
      <c r="AR105" s="2"/>
      <c r="AS105" s="5"/>
      <c r="AT105" s="2"/>
      <c r="AU105" s="2"/>
      <c r="AV105" s="2"/>
    </row>
    <row r="106" spans="1:48" ht="15.75" customHeight="1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4"/>
      <c r="AL106" s="4"/>
      <c r="AM106" s="4"/>
      <c r="AN106" s="4"/>
      <c r="AO106" s="4"/>
      <c r="AP106" s="4"/>
      <c r="AQ106" s="2"/>
      <c r="AR106" s="2"/>
      <c r="AS106" s="5"/>
      <c r="AT106" s="2"/>
      <c r="AU106" s="2"/>
      <c r="AV106" s="2"/>
    </row>
    <row r="107" spans="1:48" ht="15.75" customHeight="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4"/>
      <c r="AL107" s="4"/>
      <c r="AM107" s="4"/>
      <c r="AN107" s="4"/>
      <c r="AO107" s="4"/>
      <c r="AP107" s="4"/>
      <c r="AQ107" s="2"/>
      <c r="AR107" s="2"/>
      <c r="AS107" s="5"/>
      <c r="AT107" s="2"/>
      <c r="AU107" s="2"/>
      <c r="AV107" s="2"/>
    </row>
    <row r="108" spans="1:48" ht="15.75" customHeight="1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4"/>
      <c r="AL108" s="4"/>
      <c r="AM108" s="4"/>
      <c r="AN108" s="4"/>
      <c r="AO108" s="4"/>
      <c r="AP108" s="4"/>
      <c r="AQ108" s="2"/>
      <c r="AR108" s="2"/>
      <c r="AS108" s="5"/>
      <c r="AT108" s="2"/>
      <c r="AU108" s="2"/>
      <c r="AV108" s="2"/>
    </row>
    <row r="109" spans="1:48" ht="15.75" customHeight="1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4"/>
      <c r="AL109" s="4"/>
      <c r="AM109" s="4"/>
      <c r="AN109" s="4"/>
      <c r="AO109" s="4"/>
      <c r="AP109" s="4"/>
      <c r="AQ109" s="2"/>
      <c r="AR109" s="2"/>
      <c r="AS109" s="5"/>
      <c r="AT109" s="2"/>
      <c r="AU109" s="2"/>
      <c r="AV109" s="2"/>
    </row>
    <row r="110" spans="1:48" ht="15.75" customHeight="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4"/>
      <c r="AL110" s="4"/>
      <c r="AM110" s="4"/>
      <c r="AN110" s="4"/>
      <c r="AO110" s="4"/>
      <c r="AP110" s="4"/>
      <c r="AQ110" s="2"/>
      <c r="AR110" s="2"/>
      <c r="AS110" s="5"/>
      <c r="AT110" s="2"/>
      <c r="AU110" s="2"/>
      <c r="AV110" s="2"/>
    </row>
    <row r="111" spans="1:48" ht="15.75" customHeight="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4"/>
      <c r="AL111" s="4"/>
      <c r="AM111" s="4"/>
      <c r="AN111" s="4"/>
      <c r="AO111" s="4"/>
      <c r="AP111" s="4"/>
      <c r="AQ111" s="2"/>
      <c r="AR111" s="2"/>
      <c r="AS111" s="5"/>
      <c r="AT111" s="2"/>
      <c r="AU111" s="2"/>
      <c r="AV111" s="2"/>
    </row>
    <row r="112" spans="1:48" ht="15.75" customHeight="1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4"/>
      <c r="AL112" s="4"/>
      <c r="AM112" s="4"/>
      <c r="AN112" s="4"/>
      <c r="AO112" s="4"/>
      <c r="AP112" s="4"/>
      <c r="AQ112" s="2"/>
      <c r="AR112" s="2"/>
      <c r="AS112" s="5"/>
      <c r="AT112" s="2"/>
      <c r="AU112" s="2"/>
      <c r="AV112" s="2"/>
    </row>
    <row r="113" spans="1:48" ht="15.75" customHeight="1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4"/>
      <c r="AL113" s="4"/>
      <c r="AM113" s="4"/>
      <c r="AN113" s="4"/>
      <c r="AO113" s="4"/>
      <c r="AP113" s="4"/>
      <c r="AQ113" s="2"/>
      <c r="AR113" s="2"/>
      <c r="AS113" s="5"/>
      <c r="AT113" s="2"/>
      <c r="AU113" s="2"/>
      <c r="AV113" s="2"/>
    </row>
    <row r="114" spans="1:48" ht="15.75" customHeight="1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4"/>
      <c r="AL114" s="4"/>
      <c r="AM114" s="4"/>
      <c r="AN114" s="4"/>
      <c r="AO114" s="4"/>
      <c r="AP114" s="4"/>
      <c r="AQ114" s="2"/>
      <c r="AR114" s="2"/>
      <c r="AS114" s="5"/>
      <c r="AT114" s="2"/>
      <c r="AU114" s="2"/>
      <c r="AV114" s="2"/>
    </row>
    <row r="115" spans="1:48" ht="15.75" customHeight="1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4"/>
      <c r="AL115" s="4"/>
      <c r="AM115" s="4"/>
      <c r="AN115" s="4"/>
      <c r="AO115" s="4"/>
      <c r="AP115" s="4"/>
      <c r="AQ115" s="2"/>
      <c r="AR115" s="2"/>
      <c r="AS115" s="5"/>
      <c r="AT115" s="2"/>
      <c r="AU115" s="2"/>
      <c r="AV115" s="2"/>
    </row>
    <row r="116" spans="1:48" ht="15.75" customHeight="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4"/>
      <c r="AL116" s="4"/>
      <c r="AM116" s="4"/>
      <c r="AN116" s="4"/>
      <c r="AO116" s="4"/>
      <c r="AP116" s="4"/>
      <c r="AQ116" s="2"/>
      <c r="AR116" s="2"/>
      <c r="AS116" s="5"/>
      <c r="AT116" s="2"/>
      <c r="AU116" s="2"/>
      <c r="AV116" s="2"/>
    </row>
    <row r="117" spans="1:48" ht="15.75" customHeight="1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4"/>
      <c r="AL117" s="4"/>
      <c r="AM117" s="4"/>
      <c r="AN117" s="4"/>
      <c r="AO117" s="4"/>
      <c r="AP117" s="4"/>
      <c r="AQ117" s="2"/>
      <c r="AR117" s="2"/>
      <c r="AS117" s="5"/>
      <c r="AT117" s="2"/>
      <c r="AU117" s="2"/>
      <c r="AV117" s="2"/>
    </row>
    <row r="118" spans="1:48" ht="15.75" customHeight="1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4"/>
      <c r="AL118" s="4"/>
      <c r="AM118" s="4"/>
      <c r="AN118" s="4"/>
      <c r="AO118" s="4"/>
      <c r="AP118" s="4"/>
      <c r="AQ118" s="2"/>
      <c r="AR118" s="2"/>
      <c r="AS118" s="5"/>
      <c r="AT118" s="2"/>
      <c r="AU118" s="2"/>
      <c r="AV118" s="2"/>
    </row>
    <row r="119" spans="1:48" ht="15.75" customHeight="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4"/>
      <c r="AL119" s="4"/>
      <c r="AM119" s="4"/>
      <c r="AN119" s="4"/>
      <c r="AO119" s="4"/>
      <c r="AP119" s="4"/>
      <c r="AQ119" s="2"/>
      <c r="AR119" s="2"/>
      <c r="AS119" s="5"/>
      <c r="AT119" s="2"/>
      <c r="AU119" s="2"/>
      <c r="AV119" s="2"/>
    </row>
    <row r="120" spans="1:48" ht="15.75" customHeight="1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4"/>
      <c r="AL120" s="4"/>
      <c r="AM120" s="4"/>
      <c r="AN120" s="4"/>
      <c r="AO120" s="4"/>
      <c r="AP120" s="4"/>
      <c r="AQ120" s="2"/>
      <c r="AR120" s="2"/>
      <c r="AS120" s="5"/>
      <c r="AT120" s="2"/>
      <c r="AU120" s="2"/>
      <c r="AV120" s="2"/>
    </row>
    <row r="121" spans="1:48" ht="15.75" customHeight="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4"/>
      <c r="AL121" s="4"/>
      <c r="AM121" s="4"/>
      <c r="AN121" s="4"/>
      <c r="AO121" s="4"/>
      <c r="AP121" s="4"/>
      <c r="AQ121" s="2"/>
      <c r="AR121" s="2"/>
      <c r="AS121" s="5"/>
      <c r="AT121" s="2"/>
      <c r="AU121" s="2"/>
      <c r="AV121" s="2"/>
    </row>
    <row r="122" spans="1:48" ht="15.75" customHeight="1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4"/>
      <c r="AL122" s="4"/>
      <c r="AM122" s="4"/>
      <c r="AN122" s="4"/>
      <c r="AO122" s="4"/>
      <c r="AP122" s="4"/>
      <c r="AQ122" s="2"/>
      <c r="AR122" s="2"/>
      <c r="AS122" s="5"/>
      <c r="AT122" s="2"/>
      <c r="AU122" s="2"/>
      <c r="AV122" s="2"/>
    </row>
    <row r="123" spans="1:48" ht="15.75" customHeight="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4"/>
      <c r="AL123" s="4"/>
      <c r="AM123" s="4"/>
      <c r="AN123" s="4"/>
      <c r="AO123" s="4"/>
      <c r="AP123" s="4"/>
      <c r="AQ123" s="2"/>
      <c r="AR123" s="2"/>
      <c r="AS123" s="5"/>
      <c r="AT123" s="2"/>
      <c r="AU123" s="2"/>
      <c r="AV123" s="2"/>
    </row>
    <row r="124" spans="1:48" ht="15.75" customHeight="1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4"/>
      <c r="AL124" s="4"/>
      <c r="AM124" s="4"/>
      <c r="AN124" s="4"/>
      <c r="AO124" s="4"/>
      <c r="AP124" s="4"/>
      <c r="AQ124" s="2"/>
      <c r="AR124" s="2"/>
      <c r="AS124" s="5"/>
      <c r="AT124" s="2"/>
      <c r="AU124" s="2"/>
      <c r="AV124" s="2"/>
    </row>
    <row r="125" spans="1:48" ht="15.75" customHeight="1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4"/>
      <c r="AL125" s="4"/>
      <c r="AM125" s="4"/>
      <c r="AN125" s="4"/>
      <c r="AO125" s="4"/>
      <c r="AP125" s="4"/>
      <c r="AQ125" s="2"/>
      <c r="AR125" s="2"/>
      <c r="AS125" s="5"/>
      <c r="AT125" s="2"/>
      <c r="AU125" s="2"/>
      <c r="AV125" s="2"/>
    </row>
    <row r="126" spans="1:48" ht="15.75" customHeight="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4"/>
      <c r="AL126" s="4"/>
      <c r="AM126" s="4"/>
      <c r="AN126" s="4"/>
      <c r="AO126" s="4"/>
      <c r="AP126" s="4"/>
      <c r="AQ126" s="2"/>
      <c r="AR126" s="2"/>
      <c r="AS126" s="5"/>
      <c r="AT126" s="2"/>
      <c r="AU126" s="2"/>
      <c r="AV126" s="2"/>
    </row>
    <row r="127" spans="1:48" ht="15.75" customHeight="1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4"/>
      <c r="AL127" s="4"/>
      <c r="AM127" s="4"/>
      <c r="AN127" s="4"/>
      <c r="AO127" s="4"/>
      <c r="AP127" s="4"/>
      <c r="AQ127" s="2"/>
      <c r="AR127" s="2"/>
      <c r="AS127" s="5"/>
      <c r="AT127" s="2"/>
      <c r="AU127" s="2"/>
      <c r="AV127" s="2"/>
    </row>
    <row r="128" spans="1:48" ht="15.75" customHeight="1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4"/>
      <c r="AL128" s="4"/>
      <c r="AM128" s="4"/>
      <c r="AN128" s="4"/>
      <c r="AO128" s="4"/>
      <c r="AP128" s="4"/>
      <c r="AQ128" s="2"/>
      <c r="AR128" s="2"/>
      <c r="AS128" s="5"/>
      <c r="AT128" s="2"/>
      <c r="AU128" s="2"/>
      <c r="AV128" s="2"/>
    </row>
    <row r="129" spans="1:48" ht="15.75" customHeight="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4"/>
      <c r="AL129" s="4"/>
      <c r="AM129" s="4"/>
      <c r="AN129" s="4"/>
      <c r="AO129" s="4"/>
      <c r="AP129" s="4"/>
      <c r="AQ129" s="2"/>
      <c r="AR129" s="2"/>
      <c r="AS129" s="5"/>
      <c r="AT129" s="2"/>
      <c r="AU129" s="2"/>
      <c r="AV129" s="2"/>
    </row>
    <row r="130" spans="1:48" ht="15.75" customHeight="1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4"/>
      <c r="AL130" s="4"/>
      <c r="AM130" s="4"/>
      <c r="AN130" s="4"/>
      <c r="AO130" s="4"/>
      <c r="AP130" s="4"/>
      <c r="AQ130" s="2"/>
      <c r="AR130" s="2"/>
      <c r="AS130" s="5"/>
      <c r="AT130" s="2"/>
      <c r="AU130" s="2"/>
      <c r="AV130" s="2"/>
    </row>
    <row r="131" spans="1:48" ht="15.75" customHeight="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4"/>
      <c r="AL131" s="4"/>
      <c r="AM131" s="4"/>
      <c r="AN131" s="4"/>
      <c r="AO131" s="4"/>
      <c r="AP131" s="4"/>
      <c r="AQ131" s="2"/>
      <c r="AR131" s="2"/>
      <c r="AS131" s="5"/>
      <c r="AT131" s="2"/>
      <c r="AU131" s="2"/>
      <c r="AV131" s="2"/>
    </row>
    <row r="132" spans="1:48" ht="15.75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4"/>
      <c r="AL132" s="4"/>
      <c r="AM132" s="4"/>
      <c r="AN132" s="4"/>
      <c r="AO132" s="4"/>
      <c r="AP132" s="4"/>
      <c r="AQ132" s="2"/>
      <c r="AR132" s="2"/>
      <c r="AS132" s="5"/>
      <c r="AT132" s="2"/>
      <c r="AU132" s="2"/>
      <c r="AV132" s="2"/>
    </row>
    <row r="133" spans="1:48" ht="15.75" customHeight="1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4"/>
      <c r="AL133" s="4"/>
      <c r="AM133" s="4"/>
      <c r="AN133" s="4"/>
      <c r="AO133" s="4"/>
      <c r="AP133" s="4"/>
      <c r="AQ133" s="2"/>
      <c r="AR133" s="2"/>
      <c r="AS133" s="5"/>
      <c r="AT133" s="2"/>
      <c r="AU133" s="2"/>
      <c r="AV133" s="2"/>
    </row>
    <row r="134" spans="1:48" ht="15.75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4"/>
      <c r="AL134" s="4"/>
      <c r="AM134" s="4"/>
      <c r="AN134" s="4"/>
      <c r="AO134" s="4"/>
      <c r="AP134" s="4"/>
      <c r="AQ134" s="2"/>
      <c r="AR134" s="2"/>
      <c r="AS134" s="5"/>
      <c r="AT134" s="2"/>
      <c r="AU134" s="2"/>
      <c r="AV134" s="2"/>
    </row>
    <row r="135" spans="1:48" ht="15.75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4"/>
      <c r="AL135" s="4"/>
      <c r="AM135" s="4"/>
      <c r="AN135" s="4"/>
      <c r="AO135" s="4"/>
      <c r="AP135" s="4"/>
      <c r="AQ135" s="2"/>
      <c r="AR135" s="2"/>
      <c r="AS135" s="5"/>
      <c r="AT135" s="2"/>
      <c r="AU135" s="2"/>
      <c r="AV135" s="2"/>
    </row>
    <row r="136" spans="1:48" ht="15.75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4"/>
      <c r="AL136" s="4"/>
      <c r="AM136" s="4"/>
      <c r="AN136" s="4"/>
      <c r="AO136" s="4"/>
      <c r="AP136" s="4"/>
      <c r="AQ136" s="2"/>
      <c r="AR136" s="2"/>
      <c r="AS136" s="5"/>
      <c r="AT136" s="2"/>
      <c r="AU136" s="2"/>
      <c r="AV136" s="2"/>
    </row>
    <row r="137" spans="1:48" ht="15.75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4"/>
      <c r="AL137" s="4"/>
      <c r="AM137" s="4"/>
      <c r="AN137" s="4"/>
      <c r="AO137" s="4"/>
      <c r="AP137" s="4"/>
      <c r="AQ137" s="2"/>
      <c r="AR137" s="2"/>
      <c r="AS137" s="5"/>
      <c r="AT137" s="2"/>
      <c r="AU137" s="2"/>
      <c r="AV137" s="2"/>
    </row>
    <row r="138" spans="1:48" ht="15.75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4"/>
      <c r="AL138" s="4"/>
      <c r="AM138" s="4"/>
      <c r="AN138" s="4"/>
      <c r="AO138" s="4"/>
      <c r="AP138" s="4"/>
      <c r="AQ138" s="2"/>
      <c r="AR138" s="2"/>
      <c r="AS138" s="5"/>
      <c r="AT138" s="2"/>
      <c r="AU138" s="2"/>
      <c r="AV138" s="2"/>
    </row>
    <row r="139" spans="1:48" ht="15.75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4"/>
      <c r="AL139" s="4"/>
      <c r="AM139" s="4"/>
      <c r="AN139" s="4"/>
      <c r="AO139" s="4"/>
      <c r="AP139" s="4"/>
      <c r="AQ139" s="2"/>
      <c r="AR139" s="2"/>
      <c r="AS139" s="5"/>
      <c r="AT139" s="2"/>
      <c r="AU139" s="2"/>
      <c r="AV139" s="2"/>
    </row>
    <row r="140" spans="1:48" ht="15.75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4"/>
      <c r="AL140" s="4"/>
      <c r="AM140" s="4"/>
      <c r="AN140" s="4"/>
      <c r="AO140" s="4"/>
      <c r="AP140" s="4"/>
      <c r="AQ140" s="2"/>
      <c r="AR140" s="2"/>
      <c r="AS140" s="5"/>
      <c r="AT140" s="2"/>
      <c r="AU140" s="2"/>
      <c r="AV140" s="2"/>
    </row>
    <row r="141" spans="1:48" ht="15.75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4"/>
      <c r="AL141" s="4"/>
      <c r="AM141" s="4"/>
      <c r="AN141" s="4"/>
      <c r="AO141" s="4"/>
      <c r="AP141" s="4"/>
      <c r="AQ141" s="2"/>
      <c r="AR141" s="2"/>
      <c r="AS141" s="5"/>
      <c r="AT141" s="2"/>
      <c r="AU141" s="2"/>
      <c r="AV141" s="2"/>
    </row>
    <row r="142" spans="1:48" ht="15.75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4"/>
      <c r="AL142" s="4"/>
      <c r="AM142" s="4"/>
      <c r="AN142" s="4"/>
      <c r="AO142" s="4"/>
      <c r="AP142" s="4"/>
      <c r="AQ142" s="2"/>
      <c r="AR142" s="2"/>
      <c r="AS142" s="5"/>
      <c r="AT142" s="2"/>
      <c r="AU142" s="2"/>
      <c r="AV142" s="2"/>
    </row>
    <row r="143" spans="1:48" ht="15.75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4"/>
      <c r="AL143" s="4"/>
      <c r="AM143" s="4"/>
      <c r="AN143" s="4"/>
      <c r="AO143" s="4"/>
      <c r="AP143" s="4"/>
      <c r="AQ143" s="2"/>
      <c r="AR143" s="2"/>
      <c r="AS143" s="5"/>
      <c r="AT143" s="2"/>
      <c r="AU143" s="2"/>
      <c r="AV143" s="2"/>
    </row>
    <row r="144" spans="1:48" ht="15.75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4"/>
      <c r="AL144" s="4"/>
      <c r="AM144" s="4"/>
      <c r="AN144" s="4"/>
      <c r="AO144" s="4"/>
      <c r="AP144" s="4"/>
      <c r="AQ144" s="2"/>
      <c r="AR144" s="2"/>
      <c r="AS144" s="5"/>
      <c r="AT144" s="2"/>
      <c r="AU144" s="2"/>
      <c r="AV144" s="2"/>
    </row>
    <row r="145" spans="1:48" ht="15.75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4"/>
      <c r="AL145" s="4"/>
      <c r="AM145" s="4"/>
      <c r="AN145" s="4"/>
      <c r="AO145" s="4"/>
      <c r="AP145" s="4"/>
      <c r="AQ145" s="2"/>
      <c r="AR145" s="2"/>
      <c r="AS145" s="5"/>
      <c r="AT145" s="2"/>
      <c r="AU145" s="2"/>
      <c r="AV145" s="2"/>
    </row>
    <row r="146" spans="1:48" ht="15.75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4"/>
      <c r="AL146" s="4"/>
      <c r="AM146" s="4"/>
      <c r="AN146" s="4"/>
      <c r="AO146" s="4"/>
      <c r="AP146" s="4"/>
      <c r="AQ146" s="2"/>
      <c r="AR146" s="2"/>
      <c r="AS146" s="5"/>
      <c r="AT146" s="2"/>
      <c r="AU146" s="2"/>
      <c r="AV146" s="2"/>
    </row>
    <row r="147" spans="1:48" ht="15.75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4"/>
      <c r="AL147" s="4"/>
      <c r="AM147" s="4"/>
      <c r="AN147" s="4"/>
      <c r="AO147" s="4"/>
      <c r="AP147" s="4"/>
      <c r="AQ147" s="2"/>
      <c r="AR147" s="2"/>
      <c r="AS147" s="5"/>
      <c r="AT147" s="2"/>
      <c r="AU147" s="2"/>
      <c r="AV147" s="2"/>
    </row>
    <row r="148" spans="1:48" ht="15.75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4"/>
      <c r="AL148" s="4"/>
      <c r="AM148" s="4"/>
      <c r="AN148" s="4"/>
      <c r="AO148" s="4"/>
      <c r="AP148" s="4"/>
      <c r="AQ148" s="2"/>
      <c r="AR148" s="2"/>
      <c r="AS148" s="5"/>
      <c r="AT148" s="2"/>
      <c r="AU148" s="2"/>
      <c r="AV148" s="2"/>
    </row>
    <row r="149" spans="1:48" ht="15.75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4"/>
      <c r="AL149" s="4"/>
      <c r="AM149" s="4"/>
      <c r="AN149" s="4"/>
      <c r="AO149" s="4"/>
      <c r="AP149" s="4"/>
      <c r="AQ149" s="2"/>
      <c r="AR149" s="2"/>
      <c r="AS149" s="5"/>
      <c r="AT149" s="2"/>
      <c r="AU149" s="2"/>
      <c r="AV149" s="2"/>
    </row>
    <row r="150" spans="1:48" ht="15.75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4"/>
      <c r="AL150" s="4"/>
      <c r="AM150" s="4"/>
      <c r="AN150" s="4"/>
      <c r="AO150" s="4"/>
      <c r="AP150" s="4"/>
      <c r="AQ150" s="2"/>
      <c r="AR150" s="2"/>
      <c r="AS150" s="5"/>
      <c r="AT150" s="2"/>
      <c r="AU150" s="2"/>
      <c r="AV150" s="2"/>
    </row>
    <row r="151" spans="1:48" ht="15.75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4"/>
      <c r="AL151" s="4"/>
      <c r="AM151" s="4"/>
      <c r="AN151" s="4"/>
      <c r="AO151" s="4"/>
      <c r="AP151" s="4"/>
      <c r="AQ151" s="2"/>
      <c r="AR151" s="2"/>
      <c r="AS151" s="5"/>
      <c r="AT151" s="2"/>
      <c r="AU151" s="2"/>
      <c r="AV151" s="2"/>
    </row>
    <row r="152" spans="1:48" ht="15.75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4"/>
      <c r="AL152" s="4"/>
      <c r="AM152" s="4"/>
      <c r="AN152" s="4"/>
      <c r="AO152" s="4"/>
      <c r="AP152" s="4"/>
      <c r="AQ152" s="2"/>
      <c r="AR152" s="2"/>
      <c r="AS152" s="5"/>
      <c r="AT152" s="2"/>
      <c r="AU152" s="2"/>
      <c r="AV152" s="2"/>
    </row>
    <row r="153" spans="1:48" ht="15.75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4"/>
      <c r="AL153" s="4"/>
      <c r="AM153" s="4"/>
      <c r="AN153" s="4"/>
      <c r="AO153" s="4"/>
      <c r="AP153" s="4"/>
      <c r="AQ153" s="2"/>
      <c r="AR153" s="2"/>
      <c r="AS153" s="5"/>
      <c r="AT153" s="2"/>
      <c r="AU153" s="2"/>
      <c r="AV153" s="2"/>
    </row>
    <row r="154" spans="1:48" ht="15.75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4"/>
      <c r="AL154" s="4"/>
      <c r="AM154" s="4"/>
      <c r="AN154" s="4"/>
      <c r="AO154" s="4"/>
      <c r="AP154" s="4"/>
      <c r="AQ154" s="2"/>
      <c r="AR154" s="2"/>
      <c r="AS154" s="5"/>
      <c r="AT154" s="2"/>
      <c r="AU154" s="2"/>
      <c r="AV154" s="2"/>
    </row>
    <row r="155" spans="1:48" ht="15.75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4"/>
      <c r="AL155" s="4"/>
      <c r="AM155" s="4"/>
      <c r="AN155" s="4"/>
      <c r="AO155" s="4"/>
      <c r="AP155" s="4"/>
      <c r="AQ155" s="2"/>
      <c r="AR155" s="2"/>
      <c r="AS155" s="5"/>
      <c r="AT155" s="2"/>
      <c r="AU155" s="2"/>
      <c r="AV155" s="2"/>
    </row>
    <row r="156" spans="1:48" ht="15.75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4"/>
      <c r="AL156" s="4"/>
      <c r="AM156" s="4"/>
      <c r="AN156" s="4"/>
      <c r="AO156" s="4"/>
      <c r="AP156" s="4"/>
      <c r="AQ156" s="2"/>
      <c r="AR156" s="2"/>
      <c r="AS156" s="5"/>
      <c r="AT156" s="2"/>
      <c r="AU156" s="2"/>
      <c r="AV156" s="2"/>
    </row>
    <row r="157" spans="1:48" ht="15.75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4"/>
      <c r="AL157" s="4"/>
      <c r="AM157" s="4"/>
      <c r="AN157" s="4"/>
      <c r="AO157" s="4"/>
      <c r="AP157" s="4"/>
      <c r="AQ157" s="2"/>
      <c r="AR157" s="2"/>
      <c r="AS157" s="5"/>
      <c r="AT157" s="2"/>
      <c r="AU157" s="2"/>
      <c r="AV157" s="2"/>
    </row>
    <row r="158" spans="1:48" ht="15.75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4"/>
      <c r="AL158" s="4"/>
      <c r="AM158" s="4"/>
      <c r="AN158" s="4"/>
      <c r="AO158" s="4"/>
      <c r="AP158" s="4"/>
      <c r="AQ158" s="2"/>
      <c r="AR158" s="2"/>
      <c r="AS158" s="5"/>
      <c r="AT158" s="2"/>
      <c r="AU158" s="2"/>
      <c r="AV158" s="2"/>
    </row>
    <row r="159" spans="1:48" ht="15.75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4"/>
      <c r="AL159" s="4"/>
      <c r="AM159" s="4"/>
      <c r="AN159" s="4"/>
      <c r="AO159" s="4"/>
      <c r="AP159" s="4"/>
      <c r="AQ159" s="2"/>
      <c r="AR159" s="2"/>
      <c r="AS159" s="5"/>
      <c r="AT159" s="2"/>
      <c r="AU159" s="2"/>
      <c r="AV159" s="2"/>
    </row>
    <row r="160" spans="1:48" ht="15.75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4"/>
      <c r="AL160" s="4"/>
      <c r="AM160" s="4"/>
      <c r="AN160" s="4"/>
      <c r="AO160" s="4"/>
      <c r="AP160" s="4"/>
      <c r="AQ160" s="2"/>
      <c r="AR160" s="2"/>
      <c r="AS160" s="5"/>
      <c r="AT160" s="2"/>
      <c r="AU160" s="2"/>
      <c r="AV160" s="2"/>
    </row>
    <row r="161" spans="1:48" ht="15.75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4"/>
      <c r="AL161" s="4"/>
      <c r="AM161" s="4"/>
      <c r="AN161" s="4"/>
      <c r="AO161" s="4"/>
      <c r="AP161" s="4"/>
      <c r="AQ161" s="2"/>
      <c r="AR161" s="2"/>
      <c r="AS161" s="5"/>
      <c r="AT161" s="2"/>
      <c r="AU161" s="2"/>
      <c r="AV161" s="2"/>
    </row>
    <row r="162" spans="1:48" ht="15.75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4"/>
      <c r="AL162" s="4"/>
      <c r="AM162" s="4"/>
      <c r="AN162" s="4"/>
      <c r="AO162" s="4"/>
      <c r="AP162" s="4"/>
      <c r="AQ162" s="2"/>
      <c r="AR162" s="2"/>
      <c r="AS162" s="5"/>
      <c r="AT162" s="2"/>
      <c r="AU162" s="2"/>
      <c r="AV162" s="2"/>
    </row>
    <row r="163" spans="1:48" ht="15.75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4"/>
      <c r="AL163" s="4"/>
      <c r="AM163" s="4"/>
      <c r="AN163" s="4"/>
      <c r="AO163" s="4"/>
      <c r="AP163" s="4"/>
      <c r="AQ163" s="2"/>
      <c r="AR163" s="2"/>
      <c r="AS163" s="5"/>
      <c r="AT163" s="2"/>
      <c r="AU163" s="2"/>
      <c r="AV163" s="2"/>
    </row>
    <row r="164" spans="1:48" ht="15.75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4"/>
      <c r="AL164" s="4"/>
      <c r="AM164" s="4"/>
      <c r="AN164" s="4"/>
      <c r="AO164" s="4"/>
      <c r="AP164" s="4"/>
      <c r="AQ164" s="2"/>
      <c r="AR164" s="2"/>
      <c r="AS164" s="5"/>
      <c r="AT164" s="2"/>
      <c r="AU164" s="2"/>
      <c r="AV164" s="2"/>
    </row>
    <row r="165" spans="1:48" ht="15.75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4"/>
      <c r="AL165" s="4"/>
      <c r="AM165" s="4"/>
      <c r="AN165" s="4"/>
      <c r="AO165" s="4"/>
      <c r="AP165" s="4"/>
      <c r="AQ165" s="2"/>
      <c r="AR165" s="2"/>
      <c r="AS165" s="5"/>
      <c r="AT165" s="2"/>
      <c r="AU165" s="2"/>
      <c r="AV165" s="2"/>
    </row>
    <row r="166" spans="1:48" ht="15.75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4"/>
      <c r="AL166" s="4"/>
      <c r="AM166" s="4"/>
      <c r="AN166" s="4"/>
      <c r="AO166" s="4"/>
      <c r="AP166" s="4"/>
      <c r="AQ166" s="2"/>
      <c r="AR166" s="2"/>
      <c r="AS166" s="5"/>
      <c r="AT166" s="2"/>
      <c r="AU166" s="2"/>
      <c r="AV166" s="2"/>
    </row>
    <row r="167" spans="1:48" ht="15.75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4"/>
      <c r="AL167" s="4"/>
      <c r="AM167" s="4"/>
      <c r="AN167" s="4"/>
      <c r="AO167" s="4"/>
      <c r="AP167" s="4"/>
      <c r="AQ167" s="2"/>
      <c r="AR167" s="2"/>
      <c r="AS167" s="5"/>
      <c r="AT167" s="2"/>
      <c r="AU167" s="2"/>
      <c r="AV167" s="2"/>
    </row>
    <row r="168" spans="1:48" ht="15.75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4"/>
      <c r="AL168" s="4"/>
      <c r="AM168" s="4"/>
      <c r="AN168" s="4"/>
      <c r="AO168" s="4"/>
      <c r="AP168" s="4"/>
      <c r="AQ168" s="2"/>
      <c r="AR168" s="2"/>
      <c r="AS168" s="5"/>
      <c r="AT168" s="2"/>
      <c r="AU168" s="2"/>
      <c r="AV168" s="2"/>
    </row>
    <row r="169" spans="1:48" ht="15.75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4"/>
      <c r="AL169" s="4"/>
      <c r="AM169" s="4"/>
      <c r="AN169" s="4"/>
      <c r="AO169" s="4"/>
      <c r="AP169" s="4"/>
      <c r="AQ169" s="2"/>
      <c r="AR169" s="2"/>
      <c r="AS169" s="5"/>
      <c r="AT169" s="2"/>
      <c r="AU169" s="2"/>
      <c r="AV169" s="2"/>
    </row>
    <row r="170" spans="1:48" ht="15.75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4"/>
      <c r="AL170" s="4"/>
      <c r="AM170" s="4"/>
      <c r="AN170" s="4"/>
      <c r="AO170" s="4"/>
      <c r="AP170" s="4"/>
      <c r="AQ170" s="2"/>
      <c r="AR170" s="2"/>
      <c r="AS170" s="5"/>
      <c r="AT170" s="2"/>
      <c r="AU170" s="2"/>
      <c r="AV170" s="2"/>
    </row>
    <row r="171" spans="1:48" ht="15.75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4"/>
      <c r="AL171" s="4"/>
      <c r="AM171" s="4"/>
      <c r="AN171" s="4"/>
      <c r="AO171" s="4"/>
      <c r="AP171" s="4"/>
      <c r="AQ171" s="2"/>
      <c r="AR171" s="2"/>
      <c r="AS171" s="5"/>
      <c r="AT171" s="2"/>
      <c r="AU171" s="2"/>
      <c r="AV171" s="2"/>
    </row>
    <row r="172" spans="1:48" ht="15.75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4"/>
      <c r="AL172" s="4"/>
      <c r="AM172" s="4"/>
      <c r="AN172" s="4"/>
      <c r="AO172" s="4"/>
      <c r="AP172" s="4"/>
      <c r="AQ172" s="2"/>
      <c r="AR172" s="2"/>
      <c r="AS172" s="5"/>
      <c r="AT172" s="2"/>
      <c r="AU172" s="2"/>
      <c r="AV172" s="2"/>
    </row>
    <row r="173" spans="1:48" ht="15.75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4"/>
      <c r="AL173" s="4"/>
      <c r="AM173" s="4"/>
      <c r="AN173" s="4"/>
      <c r="AO173" s="4"/>
      <c r="AP173" s="4"/>
      <c r="AQ173" s="2"/>
      <c r="AR173" s="2"/>
      <c r="AS173" s="5"/>
      <c r="AT173" s="2"/>
      <c r="AU173" s="2"/>
      <c r="AV173" s="2"/>
    </row>
    <row r="174" spans="1:48" ht="15.75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4"/>
      <c r="AL174" s="4"/>
      <c r="AM174" s="4"/>
      <c r="AN174" s="4"/>
      <c r="AO174" s="4"/>
      <c r="AP174" s="4"/>
      <c r="AQ174" s="2"/>
      <c r="AR174" s="2"/>
      <c r="AS174" s="5"/>
      <c r="AT174" s="2"/>
      <c r="AU174" s="2"/>
      <c r="AV174" s="2"/>
    </row>
    <row r="175" spans="1:48" ht="15.75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4"/>
      <c r="AL175" s="4"/>
      <c r="AM175" s="4"/>
      <c r="AN175" s="4"/>
      <c r="AO175" s="4"/>
      <c r="AP175" s="4"/>
      <c r="AQ175" s="2"/>
      <c r="AR175" s="2"/>
      <c r="AS175" s="5"/>
      <c r="AT175" s="2"/>
      <c r="AU175" s="2"/>
      <c r="AV175" s="2"/>
    </row>
    <row r="176" spans="1:48" ht="15.75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4"/>
      <c r="AL176" s="4"/>
      <c r="AM176" s="4"/>
      <c r="AN176" s="4"/>
      <c r="AO176" s="4"/>
      <c r="AP176" s="4"/>
      <c r="AQ176" s="2"/>
      <c r="AR176" s="2"/>
      <c r="AS176" s="5"/>
      <c r="AT176" s="2"/>
      <c r="AU176" s="2"/>
      <c r="AV176" s="2"/>
    </row>
    <row r="177" spans="1:48" ht="15.75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4"/>
      <c r="AL177" s="4"/>
      <c r="AM177" s="4"/>
      <c r="AN177" s="4"/>
      <c r="AO177" s="4"/>
      <c r="AP177" s="4"/>
      <c r="AQ177" s="2"/>
      <c r="AR177" s="2"/>
      <c r="AS177" s="5"/>
      <c r="AT177" s="2"/>
      <c r="AU177" s="2"/>
      <c r="AV177" s="2"/>
    </row>
    <row r="178" spans="1:48" ht="15.75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4"/>
      <c r="AL178" s="4"/>
      <c r="AM178" s="4"/>
      <c r="AN178" s="4"/>
      <c r="AO178" s="4"/>
      <c r="AP178" s="4"/>
      <c r="AQ178" s="2"/>
      <c r="AR178" s="2"/>
      <c r="AS178" s="5"/>
      <c r="AT178" s="2"/>
      <c r="AU178" s="2"/>
      <c r="AV178" s="2"/>
    </row>
    <row r="179" spans="1:48" ht="15.75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4"/>
      <c r="AL179" s="4"/>
      <c r="AM179" s="4"/>
      <c r="AN179" s="4"/>
      <c r="AO179" s="4"/>
      <c r="AP179" s="4"/>
      <c r="AQ179" s="2"/>
      <c r="AR179" s="2"/>
      <c r="AS179" s="5"/>
      <c r="AT179" s="2"/>
      <c r="AU179" s="2"/>
      <c r="AV179" s="2"/>
    </row>
    <row r="180" spans="1:48" ht="15.75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4"/>
      <c r="AL180" s="4"/>
      <c r="AM180" s="4"/>
      <c r="AN180" s="4"/>
      <c r="AO180" s="4"/>
      <c r="AP180" s="4"/>
      <c r="AQ180" s="2"/>
      <c r="AR180" s="2"/>
      <c r="AS180" s="5"/>
      <c r="AT180" s="2"/>
      <c r="AU180" s="2"/>
      <c r="AV180" s="2"/>
    </row>
    <row r="181" spans="1:48" ht="15.75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4"/>
      <c r="AL181" s="4"/>
      <c r="AM181" s="4"/>
      <c r="AN181" s="4"/>
      <c r="AO181" s="4"/>
      <c r="AP181" s="4"/>
      <c r="AQ181" s="2"/>
      <c r="AR181" s="2"/>
      <c r="AS181" s="5"/>
      <c r="AT181" s="2"/>
      <c r="AU181" s="2"/>
      <c r="AV181" s="2"/>
    </row>
    <row r="182" spans="1:48" ht="15.75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4"/>
      <c r="AL182" s="4"/>
      <c r="AM182" s="4"/>
      <c r="AN182" s="4"/>
      <c r="AO182" s="4"/>
      <c r="AP182" s="4"/>
      <c r="AQ182" s="2"/>
      <c r="AR182" s="2"/>
      <c r="AS182" s="5"/>
      <c r="AT182" s="2"/>
      <c r="AU182" s="2"/>
      <c r="AV182" s="2"/>
    </row>
    <row r="183" spans="1:48" ht="15.75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4"/>
      <c r="AL183" s="4"/>
      <c r="AM183" s="4"/>
      <c r="AN183" s="4"/>
      <c r="AO183" s="4"/>
      <c r="AP183" s="4"/>
      <c r="AQ183" s="2"/>
      <c r="AR183" s="2"/>
      <c r="AS183" s="5"/>
      <c r="AT183" s="2"/>
      <c r="AU183" s="2"/>
      <c r="AV183" s="2"/>
    </row>
    <row r="184" spans="1:48" ht="15.75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4"/>
      <c r="AL184" s="4"/>
      <c r="AM184" s="4"/>
      <c r="AN184" s="4"/>
      <c r="AO184" s="4"/>
      <c r="AP184" s="4"/>
      <c r="AQ184" s="2"/>
      <c r="AR184" s="2"/>
      <c r="AS184" s="5"/>
      <c r="AT184" s="2"/>
      <c r="AU184" s="2"/>
      <c r="AV184" s="2"/>
    </row>
    <row r="185" spans="1:48" ht="15.75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4"/>
      <c r="AL185" s="4"/>
      <c r="AM185" s="4"/>
      <c r="AN185" s="4"/>
      <c r="AO185" s="4"/>
      <c r="AP185" s="4"/>
      <c r="AQ185" s="2"/>
      <c r="AR185" s="2"/>
      <c r="AS185" s="5"/>
      <c r="AT185" s="2"/>
      <c r="AU185" s="2"/>
      <c r="AV185" s="2"/>
    </row>
    <row r="186" spans="1:48" ht="15.75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4"/>
      <c r="AL186" s="4"/>
      <c r="AM186" s="4"/>
      <c r="AN186" s="4"/>
      <c r="AO186" s="4"/>
      <c r="AP186" s="4"/>
      <c r="AQ186" s="2"/>
      <c r="AR186" s="2"/>
      <c r="AS186" s="5"/>
      <c r="AT186" s="2"/>
      <c r="AU186" s="2"/>
      <c r="AV186" s="2"/>
    </row>
    <row r="187" spans="1:48" ht="15.75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4"/>
      <c r="AL187" s="4"/>
      <c r="AM187" s="4"/>
      <c r="AN187" s="4"/>
      <c r="AO187" s="4"/>
      <c r="AP187" s="4"/>
      <c r="AQ187" s="2"/>
      <c r="AR187" s="2"/>
      <c r="AS187" s="5"/>
      <c r="AT187" s="2"/>
      <c r="AU187" s="2"/>
      <c r="AV187" s="2"/>
    </row>
    <row r="188" spans="1:48" ht="15.75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4"/>
      <c r="AL188" s="4"/>
      <c r="AM188" s="4"/>
      <c r="AN188" s="4"/>
      <c r="AO188" s="4"/>
      <c r="AP188" s="4"/>
      <c r="AQ188" s="2"/>
      <c r="AR188" s="2"/>
      <c r="AS188" s="5"/>
      <c r="AT188" s="2"/>
      <c r="AU188" s="2"/>
      <c r="AV188" s="2"/>
    </row>
    <row r="189" spans="1:48" ht="15.75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4"/>
      <c r="AL189" s="4"/>
      <c r="AM189" s="4"/>
      <c r="AN189" s="4"/>
      <c r="AO189" s="4"/>
      <c r="AP189" s="4"/>
      <c r="AQ189" s="2"/>
      <c r="AR189" s="2"/>
      <c r="AS189" s="5"/>
      <c r="AT189" s="2"/>
      <c r="AU189" s="2"/>
      <c r="AV189" s="2"/>
    </row>
    <row r="190" spans="1:48" ht="15.75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4"/>
      <c r="AL190" s="4"/>
      <c r="AM190" s="4"/>
      <c r="AN190" s="4"/>
      <c r="AO190" s="4"/>
      <c r="AP190" s="4"/>
      <c r="AQ190" s="2"/>
      <c r="AR190" s="2"/>
      <c r="AS190" s="5"/>
      <c r="AT190" s="2"/>
      <c r="AU190" s="2"/>
      <c r="AV190" s="2"/>
    </row>
    <row r="191" spans="1:48" ht="15.75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4"/>
      <c r="AL191" s="4"/>
      <c r="AM191" s="4"/>
      <c r="AN191" s="4"/>
      <c r="AO191" s="4"/>
      <c r="AP191" s="4"/>
      <c r="AQ191" s="2"/>
      <c r="AR191" s="2"/>
      <c r="AS191" s="5"/>
      <c r="AT191" s="2"/>
      <c r="AU191" s="2"/>
      <c r="AV191" s="2"/>
    </row>
    <row r="192" spans="1:48" ht="15.75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4"/>
      <c r="AL192" s="4"/>
      <c r="AM192" s="4"/>
      <c r="AN192" s="4"/>
      <c r="AO192" s="4"/>
      <c r="AP192" s="4"/>
      <c r="AQ192" s="2"/>
      <c r="AR192" s="2"/>
      <c r="AS192" s="5"/>
      <c r="AT192" s="2"/>
      <c r="AU192" s="2"/>
      <c r="AV192" s="2"/>
    </row>
    <row r="193" spans="1:48" ht="15.75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4"/>
      <c r="AL193" s="4"/>
      <c r="AM193" s="4"/>
      <c r="AN193" s="4"/>
      <c r="AO193" s="4"/>
      <c r="AP193" s="4"/>
      <c r="AQ193" s="2"/>
      <c r="AR193" s="2"/>
      <c r="AS193" s="5"/>
      <c r="AT193" s="2"/>
      <c r="AU193" s="2"/>
      <c r="AV193" s="2"/>
    </row>
    <row r="194" spans="1:48" ht="15.75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4"/>
      <c r="AL194" s="4"/>
      <c r="AM194" s="4"/>
      <c r="AN194" s="4"/>
      <c r="AO194" s="4"/>
      <c r="AP194" s="4"/>
      <c r="AQ194" s="2"/>
      <c r="AR194" s="2"/>
      <c r="AS194" s="5"/>
      <c r="AT194" s="2"/>
      <c r="AU194" s="2"/>
      <c r="AV194" s="2"/>
    </row>
    <row r="195" spans="1:48" ht="15.75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4"/>
      <c r="AL195" s="4"/>
      <c r="AM195" s="4"/>
      <c r="AN195" s="4"/>
      <c r="AO195" s="4"/>
      <c r="AP195" s="4"/>
      <c r="AQ195" s="2"/>
      <c r="AR195" s="2"/>
      <c r="AS195" s="5"/>
      <c r="AT195" s="2"/>
      <c r="AU195" s="2"/>
      <c r="AV195" s="2"/>
    </row>
    <row r="196" spans="1:48" ht="15.75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4"/>
      <c r="AL196" s="4"/>
      <c r="AM196" s="4"/>
      <c r="AN196" s="4"/>
      <c r="AO196" s="4"/>
      <c r="AP196" s="4"/>
      <c r="AQ196" s="2"/>
      <c r="AR196" s="2"/>
      <c r="AS196" s="5"/>
      <c r="AT196" s="2"/>
      <c r="AU196" s="2"/>
      <c r="AV196" s="2"/>
    </row>
    <row r="197" spans="1:48" ht="15.75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4"/>
      <c r="AL197" s="4"/>
      <c r="AM197" s="4"/>
      <c r="AN197" s="4"/>
      <c r="AO197" s="4"/>
      <c r="AP197" s="4"/>
      <c r="AQ197" s="2"/>
      <c r="AR197" s="2"/>
      <c r="AS197" s="5"/>
      <c r="AT197" s="2"/>
      <c r="AU197" s="2"/>
      <c r="AV197" s="2"/>
    </row>
    <row r="198" spans="1:48" ht="15.75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4"/>
      <c r="AL198" s="4"/>
      <c r="AM198" s="4"/>
      <c r="AN198" s="4"/>
      <c r="AO198" s="4"/>
      <c r="AP198" s="4"/>
      <c r="AQ198" s="2"/>
      <c r="AR198" s="2"/>
      <c r="AS198" s="5"/>
      <c r="AT198" s="2"/>
      <c r="AU198" s="2"/>
      <c r="AV198" s="2"/>
    </row>
    <row r="199" spans="1:48" ht="15.75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4"/>
      <c r="AL199" s="4"/>
      <c r="AM199" s="4"/>
      <c r="AN199" s="4"/>
      <c r="AO199" s="4"/>
      <c r="AP199" s="4"/>
      <c r="AQ199" s="2"/>
      <c r="AR199" s="2"/>
      <c r="AS199" s="5"/>
      <c r="AT199" s="2"/>
      <c r="AU199" s="2"/>
      <c r="AV199" s="2"/>
    </row>
    <row r="200" spans="1:48" ht="15.75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4"/>
      <c r="AL200" s="4"/>
      <c r="AM200" s="4"/>
      <c r="AN200" s="4"/>
      <c r="AO200" s="4"/>
      <c r="AP200" s="4"/>
      <c r="AQ200" s="2"/>
      <c r="AR200" s="2"/>
      <c r="AS200" s="5"/>
      <c r="AT200" s="2"/>
      <c r="AU200" s="2"/>
      <c r="AV200" s="2"/>
    </row>
    <row r="201" spans="1:48" ht="15.75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4"/>
      <c r="AL201" s="4"/>
      <c r="AM201" s="4"/>
      <c r="AN201" s="4"/>
      <c r="AO201" s="4"/>
      <c r="AP201" s="4"/>
      <c r="AQ201" s="2"/>
      <c r="AR201" s="2"/>
      <c r="AS201" s="5"/>
      <c r="AT201" s="2"/>
      <c r="AU201" s="2"/>
      <c r="AV201" s="2"/>
    </row>
    <row r="202" spans="1:48" ht="15.75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4"/>
      <c r="AL202" s="4"/>
      <c r="AM202" s="4"/>
      <c r="AN202" s="4"/>
      <c r="AO202" s="4"/>
      <c r="AP202" s="4"/>
      <c r="AQ202" s="2"/>
      <c r="AR202" s="2"/>
      <c r="AS202" s="5"/>
      <c r="AT202" s="2"/>
      <c r="AU202" s="2"/>
      <c r="AV202" s="2"/>
    </row>
    <row r="203" spans="1:48" ht="15.75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4"/>
      <c r="AL203" s="4"/>
      <c r="AM203" s="4"/>
      <c r="AN203" s="4"/>
      <c r="AO203" s="4"/>
      <c r="AP203" s="4"/>
      <c r="AQ203" s="2"/>
      <c r="AR203" s="2"/>
      <c r="AS203" s="5"/>
      <c r="AT203" s="2"/>
      <c r="AU203" s="2"/>
      <c r="AV203" s="2"/>
    </row>
    <row r="204" spans="1:48" ht="15.75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4"/>
      <c r="AL204" s="4"/>
      <c r="AM204" s="4"/>
      <c r="AN204" s="4"/>
      <c r="AO204" s="4"/>
      <c r="AP204" s="4"/>
      <c r="AQ204" s="2"/>
      <c r="AR204" s="2"/>
      <c r="AS204" s="5"/>
      <c r="AT204" s="2"/>
      <c r="AU204" s="2"/>
      <c r="AV204" s="2"/>
    </row>
    <row r="205" spans="1:48" ht="15.75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4"/>
      <c r="AL205" s="4"/>
      <c r="AM205" s="4"/>
      <c r="AN205" s="4"/>
      <c r="AO205" s="4"/>
      <c r="AP205" s="4"/>
      <c r="AQ205" s="2"/>
      <c r="AR205" s="2"/>
      <c r="AS205" s="5"/>
      <c r="AT205" s="2"/>
      <c r="AU205" s="2"/>
      <c r="AV205" s="2"/>
    </row>
    <row r="206" spans="1:48" ht="15.75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4"/>
      <c r="AL206" s="4"/>
      <c r="AM206" s="4"/>
      <c r="AN206" s="4"/>
      <c r="AO206" s="4"/>
      <c r="AP206" s="4"/>
      <c r="AQ206" s="2"/>
      <c r="AR206" s="2"/>
      <c r="AS206" s="5"/>
      <c r="AT206" s="2"/>
      <c r="AU206" s="2"/>
      <c r="AV206" s="2"/>
    </row>
    <row r="207" spans="1:48" ht="15.75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4"/>
      <c r="AL207" s="4"/>
      <c r="AM207" s="4"/>
      <c r="AN207" s="4"/>
      <c r="AO207" s="4"/>
      <c r="AP207" s="4"/>
      <c r="AQ207" s="2"/>
      <c r="AR207" s="2"/>
      <c r="AS207" s="5"/>
      <c r="AT207" s="2"/>
      <c r="AU207" s="2"/>
      <c r="AV207" s="2"/>
    </row>
    <row r="208" spans="1:48" ht="15.75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4"/>
      <c r="AL208" s="4"/>
      <c r="AM208" s="4"/>
      <c r="AN208" s="4"/>
      <c r="AO208" s="4"/>
      <c r="AP208" s="4"/>
      <c r="AQ208" s="2"/>
      <c r="AR208" s="2"/>
      <c r="AS208" s="5"/>
      <c r="AT208" s="2"/>
      <c r="AU208" s="2"/>
      <c r="AV208" s="2"/>
    </row>
    <row r="209" spans="1:48" ht="15.75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4"/>
      <c r="AL209" s="4"/>
      <c r="AM209" s="4"/>
      <c r="AN209" s="4"/>
      <c r="AO209" s="4"/>
      <c r="AP209" s="4"/>
      <c r="AQ209" s="2"/>
      <c r="AR209" s="2"/>
      <c r="AS209" s="5"/>
      <c r="AT209" s="2"/>
      <c r="AU209" s="2"/>
      <c r="AV209" s="2"/>
    </row>
    <row r="210" spans="1:48" ht="15.75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4"/>
      <c r="AL210" s="4"/>
      <c r="AM210" s="4"/>
      <c r="AN210" s="4"/>
      <c r="AO210" s="4"/>
      <c r="AP210" s="4"/>
      <c r="AQ210" s="2"/>
      <c r="AR210" s="2"/>
      <c r="AS210" s="5"/>
      <c r="AT210" s="2"/>
      <c r="AU210" s="2"/>
      <c r="AV210" s="2"/>
    </row>
    <row r="211" spans="1:48" ht="15.75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4"/>
      <c r="AL211" s="4"/>
      <c r="AM211" s="4"/>
      <c r="AN211" s="4"/>
      <c r="AO211" s="4"/>
      <c r="AP211" s="4"/>
      <c r="AQ211" s="2"/>
      <c r="AR211" s="2"/>
      <c r="AS211" s="5"/>
      <c r="AT211" s="2"/>
      <c r="AU211" s="2"/>
      <c r="AV211" s="2"/>
    </row>
    <row r="212" spans="1:48" ht="15.75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4"/>
      <c r="AL212" s="4"/>
      <c r="AM212" s="4"/>
      <c r="AN212" s="4"/>
      <c r="AO212" s="4"/>
      <c r="AP212" s="4"/>
      <c r="AQ212" s="2"/>
      <c r="AR212" s="2"/>
      <c r="AS212" s="5"/>
      <c r="AT212" s="2"/>
      <c r="AU212" s="2"/>
      <c r="AV212" s="2"/>
    </row>
    <row r="213" spans="1:48" ht="15.75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4"/>
      <c r="AL213" s="4"/>
      <c r="AM213" s="4"/>
      <c r="AN213" s="4"/>
      <c r="AO213" s="4"/>
      <c r="AP213" s="4"/>
      <c r="AQ213" s="2"/>
      <c r="AR213" s="2"/>
      <c r="AS213" s="5"/>
      <c r="AT213" s="2"/>
      <c r="AU213" s="2"/>
      <c r="AV213" s="2"/>
    </row>
    <row r="214" spans="1:48" ht="15.75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4"/>
      <c r="AL214" s="4"/>
      <c r="AM214" s="4"/>
      <c r="AN214" s="4"/>
      <c r="AO214" s="4"/>
      <c r="AP214" s="4"/>
      <c r="AQ214" s="2"/>
      <c r="AR214" s="2"/>
      <c r="AS214" s="5"/>
      <c r="AT214" s="2"/>
      <c r="AU214" s="2"/>
      <c r="AV214" s="2"/>
    </row>
    <row r="215" spans="1:48" ht="15.75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4"/>
      <c r="AL215" s="4"/>
      <c r="AM215" s="4"/>
      <c r="AN215" s="4"/>
      <c r="AO215" s="4"/>
      <c r="AP215" s="4"/>
      <c r="AQ215" s="2"/>
      <c r="AR215" s="2"/>
      <c r="AS215" s="5"/>
      <c r="AT215" s="2"/>
      <c r="AU215" s="2"/>
      <c r="AV215" s="2"/>
    </row>
    <row r="216" spans="1:48" ht="15.75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4"/>
      <c r="AL216" s="4"/>
      <c r="AM216" s="4"/>
      <c r="AN216" s="4"/>
      <c r="AO216" s="4"/>
      <c r="AP216" s="4"/>
      <c r="AQ216" s="2"/>
      <c r="AR216" s="2"/>
      <c r="AS216" s="5"/>
      <c r="AT216" s="2"/>
      <c r="AU216" s="2"/>
      <c r="AV216" s="2"/>
    </row>
    <row r="217" spans="1:48" ht="15.75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4"/>
      <c r="AL217" s="4"/>
      <c r="AM217" s="4"/>
      <c r="AN217" s="4"/>
      <c r="AO217" s="4"/>
      <c r="AP217" s="4"/>
      <c r="AQ217" s="2"/>
      <c r="AR217" s="2"/>
      <c r="AS217" s="5"/>
      <c r="AT217" s="2"/>
      <c r="AU217" s="2"/>
      <c r="AV217" s="2"/>
    </row>
    <row r="218" spans="1:48" ht="15.75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4"/>
      <c r="AL218" s="4"/>
      <c r="AM218" s="4"/>
      <c r="AN218" s="4"/>
      <c r="AO218" s="4"/>
      <c r="AP218" s="4"/>
      <c r="AQ218" s="2"/>
      <c r="AR218" s="2"/>
      <c r="AS218" s="5"/>
      <c r="AT218" s="2"/>
      <c r="AU218" s="2"/>
      <c r="AV218" s="2"/>
    </row>
    <row r="219" spans="1:48" ht="15.75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4"/>
      <c r="AL219" s="4"/>
      <c r="AM219" s="4"/>
      <c r="AN219" s="4"/>
      <c r="AO219" s="4"/>
      <c r="AP219" s="4"/>
      <c r="AQ219" s="2"/>
      <c r="AR219" s="2"/>
      <c r="AS219" s="5"/>
      <c r="AT219" s="2"/>
      <c r="AU219" s="2"/>
      <c r="AV219" s="2"/>
    </row>
    <row r="220" spans="1:48" ht="15.75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4"/>
      <c r="AL220" s="4"/>
      <c r="AM220" s="4"/>
      <c r="AN220" s="4"/>
      <c r="AO220" s="4"/>
      <c r="AP220" s="4"/>
      <c r="AQ220" s="2"/>
      <c r="AR220" s="2"/>
      <c r="AS220" s="5"/>
      <c r="AT220" s="2"/>
      <c r="AU220" s="2"/>
      <c r="AV220" s="2"/>
    </row>
    <row r="221" spans="1:48" ht="15.75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4"/>
      <c r="AL221" s="4"/>
      <c r="AM221" s="4"/>
      <c r="AN221" s="4"/>
      <c r="AO221" s="4"/>
      <c r="AP221" s="4"/>
      <c r="AQ221" s="2"/>
      <c r="AR221" s="2"/>
      <c r="AS221" s="5"/>
      <c r="AT221" s="2"/>
      <c r="AU221" s="2"/>
      <c r="AV221" s="2"/>
    </row>
    <row r="222" spans="1:48" ht="15.75" customHeight="1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4"/>
      <c r="AL222" s="4"/>
      <c r="AM222" s="4"/>
      <c r="AN222" s="4"/>
      <c r="AO222" s="4"/>
      <c r="AP222" s="4"/>
      <c r="AQ222" s="2"/>
      <c r="AR222" s="2"/>
      <c r="AS222" s="5"/>
      <c r="AT222" s="2"/>
      <c r="AU222" s="2"/>
      <c r="AV222" s="2"/>
    </row>
    <row r="223" spans="1:48" ht="15.75" customHeight="1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4"/>
      <c r="AL223" s="4"/>
      <c r="AM223" s="4"/>
      <c r="AN223" s="4"/>
      <c r="AO223" s="4"/>
      <c r="AP223" s="4"/>
      <c r="AQ223" s="2"/>
      <c r="AR223" s="2"/>
      <c r="AS223" s="5"/>
      <c r="AT223" s="2"/>
      <c r="AU223" s="2"/>
      <c r="AV223" s="2"/>
    </row>
    <row r="224" spans="1:48" ht="15.75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4"/>
      <c r="AL224" s="4"/>
      <c r="AM224" s="4"/>
      <c r="AN224" s="4"/>
      <c r="AO224" s="4"/>
      <c r="AP224" s="4"/>
      <c r="AQ224" s="2"/>
      <c r="AR224" s="2"/>
      <c r="AS224" s="5"/>
      <c r="AT224" s="2"/>
      <c r="AU224" s="2"/>
      <c r="AV224" s="2"/>
    </row>
    <row r="225" spans="1:48" ht="15.75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4"/>
      <c r="AL225" s="4"/>
      <c r="AM225" s="4"/>
      <c r="AN225" s="4"/>
      <c r="AO225" s="4"/>
      <c r="AP225" s="4"/>
      <c r="AQ225" s="2"/>
      <c r="AR225" s="2"/>
      <c r="AS225" s="5"/>
      <c r="AT225" s="2"/>
      <c r="AU225" s="2"/>
      <c r="AV225" s="2"/>
    </row>
    <row r="226" spans="1:48" ht="15.75" customHeight="1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4"/>
      <c r="AL226" s="4"/>
      <c r="AM226" s="4"/>
      <c r="AN226" s="4"/>
      <c r="AO226" s="4"/>
      <c r="AP226" s="4"/>
      <c r="AQ226" s="2"/>
      <c r="AR226" s="2"/>
      <c r="AS226" s="5"/>
      <c r="AT226" s="2"/>
      <c r="AU226" s="2"/>
      <c r="AV226" s="2"/>
    </row>
    <row r="227" spans="1:48" ht="15.75" customHeight="1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4"/>
      <c r="AL227" s="4"/>
      <c r="AM227" s="4"/>
      <c r="AN227" s="4"/>
      <c r="AO227" s="4"/>
      <c r="AP227" s="4"/>
      <c r="AQ227" s="2"/>
      <c r="AR227" s="2"/>
      <c r="AS227" s="5"/>
      <c r="AT227" s="2"/>
      <c r="AU227" s="2"/>
      <c r="AV227" s="2"/>
    </row>
    <row r="228" spans="1:48" ht="15.75" customHeight="1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4"/>
      <c r="AL228" s="4"/>
      <c r="AM228" s="4"/>
      <c r="AN228" s="4"/>
      <c r="AO228" s="4"/>
      <c r="AP228" s="4"/>
      <c r="AQ228" s="2"/>
      <c r="AR228" s="2"/>
      <c r="AS228" s="5"/>
      <c r="AT228" s="2"/>
      <c r="AU228" s="2"/>
      <c r="AV228" s="2"/>
    </row>
    <row r="229" spans="1:48" ht="15.75" customHeight="1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4"/>
      <c r="AL229" s="4"/>
      <c r="AM229" s="4"/>
      <c r="AN229" s="4"/>
      <c r="AO229" s="4"/>
      <c r="AP229" s="4"/>
      <c r="AQ229" s="2"/>
      <c r="AR229" s="2"/>
      <c r="AS229" s="5"/>
      <c r="AT229" s="2"/>
      <c r="AU229" s="2"/>
      <c r="AV229" s="2"/>
    </row>
    <row r="230" spans="1:48" ht="15.75" customHeight="1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4"/>
      <c r="AL230" s="4"/>
      <c r="AM230" s="4"/>
      <c r="AN230" s="4"/>
      <c r="AO230" s="4"/>
      <c r="AP230" s="4"/>
      <c r="AQ230" s="2"/>
      <c r="AR230" s="2"/>
      <c r="AS230" s="5"/>
      <c r="AT230" s="2"/>
      <c r="AU230" s="2"/>
      <c r="AV230" s="2"/>
    </row>
    <row r="231" spans="1:48" ht="15.75" customHeight="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4"/>
      <c r="AL231" s="4"/>
      <c r="AM231" s="4"/>
      <c r="AN231" s="4"/>
      <c r="AO231" s="4"/>
      <c r="AP231" s="4"/>
      <c r="AQ231" s="2"/>
      <c r="AR231" s="2"/>
      <c r="AS231" s="5"/>
      <c r="AT231" s="2"/>
      <c r="AU231" s="2"/>
      <c r="AV231" s="2"/>
    </row>
    <row r="232" spans="1:48" ht="15.75" customHeight="1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4"/>
      <c r="AL232" s="4"/>
      <c r="AM232" s="4"/>
      <c r="AN232" s="4"/>
      <c r="AO232" s="4"/>
      <c r="AP232" s="4"/>
      <c r="AQ232" s="2"/>
      <c r="AR232" s="2"/>
      <c r="AS232" s="5"/>
      <c r="AT232" s="2"/>
      <c r="AU232" s="2"/>
      <c r="AV232" s="2"/>
    </row>
    <row r="233" spans="1:48" ht="15.75" customHeight="1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4"/>
      <c r="AL233" s="4"/>
      <c r="AM233" s="4"/>
      <c r="AN233" s="4"/>
      <c r="AO233" s="4"/>
      <c r="AP233" s="4"/>
      <c r="AQ233" s="2"/>
      <c r="AR233" s="2"/>
      <c r="AS233" s="5"/>
      <c r="AT233" s="2"/>
      <c r="AU233" s="2"/>
      <c r="AV233" s="2"/>
    </row>
    <row r="234" spans="1:48" ht="15.75" customHeight="1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4"/>
      <c r="AL234" s="4"/>
      <c r="AM234" s="4"/>
      <c r="AN234" s="4"/>
      <c r="AO234" s="4"/>
      <c r="AP234" s="4"/>
      <c r="AQ234" s="2"/>
      <c r="AR234" s="2"/>
      <c r="AS234" s="5"/>
      <c r="AT234" s="2"/>
      <c r="AU234" s="2"/>
      <c r="AV234" s="2"/>
    </row>
    <row r="235" spans="1:48" ht="15.75" customHeight="1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4"/>
      <c r="AL235" s="4"/>
      <c r="AM235" s="4"/>
      <c r="AN235" s="4"/>
      <c r="AO235" s="4"/>
      <c r="AP235" s="4"/>
      <c r="AQ235" s="2"/>
      <c r="AR235" s="2"/>
      <c r="AS235" s="5"/>
      <c r="AT235" s="2"/>
      <c r="AU235" s="2"/>
      <c r="AV235" s="2"/>
    </row>
    <row r="236" spans="1:48" ht="15.75" customHeight="1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4"/>
      <c r="AL236" s="4"/>
      <c r="AM236" s="4"/>
      <c r="AN236" s="4"/>
      <c r="AO236" s="4"/>
      <c r="AP236" s="4"/>
      <c r="AQ236" s="2"/>
      <c r="AR236" s="2"/>
      <c r="AS236" s="5"/>
      <c r="AT236" s="2"/>
      <c r="AU236" s="2"/>
      <c r="AV236" s="2"/>
    </row>
    <row r="237" spans="1:48" ht="15.75" customHeight="1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4"/>
      <c r="AL237" s="4"/>
      <c r="AM237" s="4"/>
      <c r="AN237" s="4"/>
      <c r="AO237" s="4"/>
      <c r="AP237" s="4"/>
      <c r="AQ237" s="2"/>
      <c r="AR237" s="2"/>
      <c r="AS237" s="5"/>
      <c r="AT237" s="2"/>
      <c r="AU237" s="2"/>
      <c r="AV237" s="2"/>
    </row>
    <row r="238" spans="1:48" ht="15.75" customHeight="1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4"/>
      <c r="AL238" s="4"/>
      <c r="AM238" s="4"/>
      <c r="AN238" s="4"/>
      <c r="AO238" s="4"/>
      <c r="AP238" s="4"/>
      <c r="AQ238" s="2"/>
      <c r="AR238" s="2"/>
      <c r="AS238" s="5"/>
      <c r="AT238" s="2"/>
      <c r="AU238" s="2"/>
      <c r="AV238" s="2"/>
    </row>
    <row r="239" spans="1:48" ht="15.75" customHeight="1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4"/>
      <c r="AL239" s="4"/>
      <c r="AM239" s="4"/>
      <c r="AN239" s="4"/>
      <c r="AO239" s="4"/>
      <c r="AP239" s="4"/>
      <c r="AQ239" s="2"/>
      <c r="AR239" s="2"/>
      <c r="AS239" s="5"/>
      <c r="AT239" s="2"/>
      <c r="AU239" s="2"/>
      <c r="AV239" s="2"/>
    </row>
    <row r="240" spans="1:48" ht="15.75" customHeight="1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4"/>
      <c r="AL240" s="4"/>
      <c r="AM240" s="4"/>
      <c r="AN240" s="4"/>
      <c r="AO240" s="4"/>
      <c r="AP240" s="4"/>
      <c r="AQ240" s="2"/>
      <c r="AR240" s="2"/>
      <c r="AS240" s="5"/>
      <c r="AT240" s="2"/>
      <c r="AU240" s="2"/>
      <c r="AV240" s="2"/>
    </row>
    <row r="241" spans="1:48" ht="15.75" customHeight="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4"/>
      <c r="AL241" s="4"/>
      <c r="AM241" s="4"/>
      <c r="AN241" s="4"/>
      <c r="AO241" s="4"/>
      <c r="AP241" s="4"/>
      <c r="AQ241" s="2"/>
      <c r="AR241" s="2"/>
      <c r="AS241" s="5"/>
      <c r="AT241" s="2"/>
      <c r="AU241" s="2"/>
      <c r="AV241" s="2"/>
    </row>
    <row r="242" spans="1:48" ht="15.75" customHeight="1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4"/>
      <c r="AL242" s="4"/>
      <c r="AM242" s="4"/>
      <c r="AN242" s="4"/>
      <c r="AO242" s="4"/>
      <c r="AP242" s="4"/>
      <c r="AQ242" s="2"/>
      <c r="AR242" s="2"/>
      <c r="AS242" s="5"/>
      <c r="AT242" s="2"/>
      <c r="AU242" s="2"/>
      <c r="AV242" s="2"/>
    </row>
    <row r="243" spans="1:48" ht="15.75" customHeight="1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4"/>
      <c r="AL243" s="4"/>
      <c r="AM243" s="4"/>
      <c r="AN243" s="4"/>
      <c r="AO243" s="4"/>
      <c r="AP243" s="4"/>
      <c r="AQ243" s="2"/>
      <c r="AR243" s="2"/>
      <c r="AS243" s="5"/>
      <c r="AT243" s="2"/>
      <c r="AU243" s="2"/>
      <c r="AV243" s="2"/>
    </row>
    <row r="244" spans="1:48" ht="15.75" customHeight="1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4"/>
      <c r="AL244" s="4"/>
      <c r="AM244" s="4"/>
      <c r="AN244" s="4"/>
      <c r="AO244" s="4"/>
      <c r="AP244" s="4"/>
      <c r="AQ244" s="2"/>
      <c r="AR244" s="2"/>
      <c r="AS244" s="5"/>
      <c r="AT244" s="2"/>
      <c r="AU244" s="2"/>
      <c r="AV244" s="2"/>
    </row>
    <row r="245" spans="1:48" ht="15.75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4"/>
      <c r="AL245" s="4"/>
      <c r="AM245" s="4"/>
      <c r="AN245" s="4"/>
      <c r="AO245" s="4"/>
      <c r="AP245" s="4"/>
      <c r="AQ245" s="2"/>
      <c r="AR245" s="2"/>
      <c r="AS245" s="5"/>
      <c r="AT245" s="2"/>
      <c r="AU245" s="2"/>
      <c r="AV245" s="2"/>
    </row>
    <row r="246" spans="1:48" ht="15.75" customHeight="1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4"/>
      <c r="AL246" s="4"/>
      <c r="AM246" s="4"/>
      <c r="AN246" s="4"/>
      <c r="AO246" s="4"/>
      <c r="AP246" s="4"/>
      <c r="AQ246" s="2"/>
      <c r="AR246" s="2"/>
      <c r="AS246" s="5"/>
      <c r="AT246" s="2"/>
      <c r="AU246" s="2"/>
      <c r="AV246" s="2"/>
    </row>
    <row r="247" spans="1:48" ht="15.75" customHeight="1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4"/>
      <c r="AL247" s="4"/>
      <c r="AM247" s="4"/>
      <c r="AN247" s="4"/>
      <c r="AO247" s="4"/>
      <c r="AP247" s="4"/>
      <c r="AQ247" s="2"/>
      <c r="AR247" s="2"/>
      <c r="AS247" s="5"/>
      <c r="AT247" s="2"/>
      <c r="AU247" s="2"/>
      <c r="AV247" s="2"/>
    </row>
    <row r="248" spans="1:48" ht="15.75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4"/>
      <c r="AL248" s="4"/>
      <c r="AM248" s="4"/>
      <c r="AN248" s="4"/>
      <c r="AO248" s="4"/>
      <c r="AP248" s="4"/>
      <c r="AQ248" s="2"/>
      <c r="AR248" s="2"/>
      <c r="AS248" s="5"/>
      <c r="AT248" s="2"/>
      <c r="AU248" s="2"/>
      <c r="AV248" s="2"/>
    </row>
    <row r="249" spans="1:48" ht="15.75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4"/>
      <c r="AL249" s="4"/>
      <c r="AM249" s="4"/>
      <c r="AN249" s="4"/>
      <c r="AO249" s="4"/>
      <c r="AP249" s="4"/>
      <c r="AQ249" s="2"/>
      <c r="AR249" s="2"/>
      <c r="AS249" s="5"/>
      <c r="AT249" s="2"/>
      <c r="AU249" s="2"/>
      <c r="AV249" s="2"/>
    </row>
    <row r="250" spans="1:48" ht="15.75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4"/>
      <c r="AL250" s="4"/>
      <c r="AM250" s="4"/>
      <c r="AN250" s="4"/>
      <c r="AO250" s="4"/>
      <c r="AP250" s="4"/>
      <c r="AQ250" s="2"/>
      <c r="AR250" s="2"/>
      <c r="AS250" s="5"/>
      <c r="AT250" s="2"/>
      <c r="AU250" s="2"/>
      <c r="AV250" s="2"/>
    </row>
    <row r="251" spans="1:48" ht="15.75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4"/>
      <c r="AL251" s="4"/>
      <c r="AM251" s="4"/>
      <c r="AN251" s="4"/>
      <c r="AO251" s="4"/>
      <c r="AP251" s="4"/>
      <c r="AQ251" s="2"/>
      <c r="AR251" s="2"/>
      <c r="AS251" s="5"/>
      <c r="AT251" s="2"/>
      <c r="AU251" s="2"/>
      <c r="AV251" s="2"/>
    </row>
    <row r="252" spans="1:48" ht="15.75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4"/>
      <c r="AL252" s="4"/>
      <c r="AM252" s="4"/>
      <c r="AN252" s="4"/>
      <c r="AO252" s="4"/>
      <c r="AP252" s="4"/>
      <c r="AQ252" s="2"/>
      <c r="AR252" s="2"/>
      <c r="AS252" s="5"/>
      <c r="AT252" s="2"/>
      <c r="AU252" s="2"/>
      <c r="AV252" s="2"/>
    </row>
    <row r="253" spans="1:48" ht="15.75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4"/>
      <c r="AL253" s="4"/>
      <c r="AM253" s="4"/>
      <c r="AN253" s="4"/>
      <c r="AO253" s="4"/>
      <c r="AP253" s="4"/>
      <c r="AQ253" s="2"/>
      <c r="AR253" s="2"/>
      <c r="AS253" s="5"/>
      <c r="AT253" s="2"/>
      <c r="AU253" s="2"/>
      <c r="AV253" s="2"/>
    </row>
    <row r="254" spans="1:48" ht="15.75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4"/>
      <c r="AL254" s="4"/>
      <c r="AM254" s="4"/>
      <c r="AN254" s="4"/>
      <c r="AO254" s="4"/>
      <c r="AP254" s="4"/>
      <c r="AQ254" s="2"/>
      <c r="AR254" s="2"/>
      <c r="AS254" s="5"/>
      <c r="AT254" s="2"/>
      <c r="AU254" s="2"/>
      <c r="AV254" s="2"/>
    </row>
    <row r="255" spans="1:48" ht="15.75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4"/>
      <c r="AL255" s="4"/>
      <c r="AM255" s="4"/>
      <c r="AN255" s="4"/>
      <c r="AO255" s="4"/>
      <c r="AP255" s="4"/>
      <c r="AQ255" s="2"/>
      <c r="AR255" s="2"/>
      <c r="AS255" s="5"/>
      <c r="AT255" s="2"/>
      <c r="AU255" s="2"/>
      <c r="AV255" s="2"/>
    </row>
    <row r="256" spans="1:48" ht="15.75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4"/>
      <c r="AL256" s="4"/>
      <c r="AM256" s="4"/>
      <c r="AN256" s="4"/>
      <c r="AO256" s="4"/>
      <c r="AP256" s="4"/>
      <c r="AQ256" s="2"/>
      <c r="AR256" s="2"/>
      <c r="AS256" s="5"/>
      <c r="AT256" s="2"/>
      <c r="AU256" s="2"/>
      <c r="AV256" s="2"/>
    </row>
    <row r="257" spans="1:48" ht="15.75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4"/>
      <c r="AL257" s="4"/>
      <c r="AM257" s="4"/>
      <c r="AN257" s="4"/>
      <c r="AO257" s="4"/>
      <c r="AP257" s="4"/>
      <c r="AQ257" s="2"/>
      <c r="AR257" s="2"/>
      <c r="AS257" s="5"/>
      <c r="AT257" s="2"/>
      <c r="AU257" s="2"/>
      <c r="AV257" s="2"/>
    </row>
    <row r="258" spans="1:48" ht="15.75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4"/>
      <c r="AL258" s="4"/>
      <c r="AM258" s="4"/>
      <c r="AN258" s="4"/>
      <c r="AO258" s="4"/>
      <c r="AP258" s="4"/>
      <c r="AQ258" s="2"/>
      <c r="AR258" s="2"/>
      <c r="AS258" s="5"/>
      <c r="AT258" s="2"/>
      <c r="AU258" s="2"/>
      <c r="AV258" s="2"/>
    </row>
    <row r="259" spans="1:48" ht="15.75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4"/>
      <c r="AL259" s="4"/>
      <c r="AM259" s="4"/>
      <c r="AN259" s="4"/>
      <c r="AO259" s="4"/>
      <c r="AP259" s="4"/>
      <c r="AQ259" s="2"/>
      <c r="AR259" s="2"/>
      <c r="AS259" s="5"/>
      <c r="AT259" s="2"/>
      <c r="AU259" s="2"/>
      <c r="AV259" s="2"/>
    </row>
    <row r="260" spans="1:48" ht="15.75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4"/>
      <c r="AL260" s="4"/>
      <c r="AM260" s="4"/>
      <c r="AN260" s="4"/>
      <c r="AO260" s="4"/>
      <c r="AP260" s="4"/>
      <c r="AQ260" s="2"/>
      <c r="AR260" s="2"/>
      <c r="AS260" s="5"/>
      <c r="AT260" s="2"/>
      <c r="AU260" s="2"/>
      <c r="AV260" s="2"/>
    </row>
    <row r="261" spans="1:48" ht="15.75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4"/>
      <c r="AL261" s="4"/>
      <c r="AM261" s="4"/>
      <c r="AN261" s="4"/>
      <c r="AO261" s="4"/>
      <c r="AP261" s="4"/>
      <c r="AQ261" s="2"/>
      <c r="AR261" s="2"/>
      <c r="AS261" s="5"/>
      <c r="AT261" s="2"/>
      <c r="AU261" s="2"/>
      <c r="AV261" s="2"/>
    </row>
    <row r="262" spans="1:48" ht="15.75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4"/>
      <c r="AL262" s="4"/>
      <c r="AM262" s="4"/>
      <c r="AN262" s="4"/>
      <c r="AO262" s="4"/>
      <c r="AP262" s="4"/>
      <c r="AQ262" s="2"/>
      <c r="AR262" s="2"/>
      <c r="AS262" s="5"/>
      <c r="AT262" s="2"/>
      <c r="AU262" s="2"/>
      <c r="AV262" s="2"/>
    </row>
    <row r="263" spans="1:48" ht="15.75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4"/>
      <c r="AL263" s="4"/>
      <c r="AM263" s="4"/>
      <c r="AN263" s="4"/>
      <c r="AO263" s="4"/>
      <c r="AP263" s="4"/>
      <c r="AQ263" s="2"/>
      <c r="AR263" s="2"/>
      <c r="AS263" s="5"/>
      <c r="AT263" s="2"/>
      <c r="AU263" s="2"/>
      <c r="AV263" s="2"/>
    </row>
    <row r="264" spans="1:48" ht="15.75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4"/>
      <c r="AL264" s="4"/>
      <c r="AM264" s="4"/>
      <c r="AN264" s="4"/>
      <c r="AO264" s="4"/>
      <c r="AP264" s="4"/>
      <c r="AQ264" s="2"/>
      <c r="AR264" s="2"/>
      <c r="AS264" s="5"/>
      <c r="AT264" s="2"/>
      <c r="AU264" s="2"/>
      <c r="AV264" s="2"/>
    </row>
    <row r="265" spans="1:48" ht="15.75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4"/>
      <c r="AL265" s="4"/>
      <c r="AM265" s="4"/>
      <c r="AN265" s="4"/>
      <c r="AO265" s="4"/>
      <c r="AP265" s="4"/>
      <c r="AQ265" s="2"/>
      <c r="AR265" s="2"/>
      <c r="AS265" s="5"/>
      <c r="AT265" s="2"/>
      <c r="AU265" s="2"/>
      <c r="AV265" s="2"/>
    </row>
    <row r="266" spans="1:48" ht="15.75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4"/>
      <c r="AL266" s="4"/>
      <c r="AM266" s="4"/>
      <c r="AN266" s="4"/>
      <c r="AO266" s="4"/>
      <c r="AP266" s="4"/>
      <c r="AQ266" s="2"/>
      <c r="AR266" s="2"/>
      <c r="AS266" s="5"/>
      <c r="AT266" s="2"/>
      <c r="AU266" s="2"/>
      <c r="AV266" s="2"/>
    </row>
    <row r="267" spans="1:48" ht="15.75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4"/>
      <c r="AL267" s="4"/>
      <c r="AM267" s="4"/>
      <c r="AN267" s="4"/>
      <c r="AO267" s="4"/>
      <c r="AP267" s="4"/>
      <c r="AQ267" s="2"/>
      <c r="AR267" s="2"/>
      <c r="AS267" s="5"/>
      <c r="AT267" s="2"/>
      <c r="AU267" s="2"/>
      <c r="AV267" s="2"/>
    </row>
    <row r="268" spans="1:48" ht="15.75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4"/>
      <c r="AL268" s="4"/>
      <c r="AM268" s="4"/>
      <c r="AN268" s="4"/>
      <c r="AO268" s="4"/>
      <c r="AP268" s="4"/>
      <c r="AQ268" s="2"/>
      <c r="AR268" s="2"/>
      <c r="AS268" s="5"/>
      <c r="AT268" s="2"/>
      <c r="AU268" s="2"/>
      <c r="AV268" s="2"/>
    </row>
    <row r="269" spans="1:48" ht="15.75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4"/>
      <c r="AL269" s="4"/>
      <c r="AM269" s="4"/>
      <c r="AN269" s="4"/>
      <c r="AO269" s="4"/>
      <c r="AP269" s="4"/>
      <c r="AQ269" s="2"/>
      <c r="AR269" s="2"/>
      <c r="AS269" s="5"/>
      <c r="AT269" s="2"/>
      <c r="AU269" s="2"/>
      <c r="AV269" s="2"/>
    </row>
    <row r="270" spans="1:48" ht="15.75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4"/>
      <c r="AL270" s="4"/>
      <c r="AM270" s="4"/>
      <c r="AN270" s="4"/>
      <c r="AO270" s="4"/>
      <c r="AP270" s="4"/>
      <c r="AQ270" s="2"/>
      <c r="AR270" s="2"/>
      <c r="AS270" s="5"/>
      <c r="AT270" s="2"/>
      <c r="AU270" s="2"/>
      <c r="AV270" s="2"/>
    </row>
    <row r="271" spans="1:48" ht="15.75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4"/>
      <c r="AL271" s="4"/>
      <c r="AM271" s="4"/>
      <c r="AN271" s="4"/>
      <c r="AO271" s="4"/>
      <c r="AP271" s="4"/>
      <c r="AQ271" s="2"/>
      <c r="AR271" s="2"/>
      <c r="AS271" s="5"/>
      <c r="AT271" s="2"/>
      <c r="AU271" s="2"/>
      <c r="AV271" s="2"/>
    </row>
    <row r="272" spans="1:48" ht="15.75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4"/>
      <c r="AL272" s="4"/>
      <c r="AM272" s="4"/>
      <c r="AN272" s="4"/>
      <c r="AO272" s="4"/>
      <c r="AP272" s="4"/>
      <c r="AQ272" s="2"/>
      <c r="AR272" s="2"/>
      <c r="AS272" s="5"/>
      <c r="AT272" s="2"/>
      <c r="AU272" s="2"/>
      <c r="AV272" s="2"/>
    </row>
    <row r="273" spans="1:48" ht="15.75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4"/>
      <c r="AL273" s="4"/>
      <c r="AM273" s="4"/>
      <c r="AN273" s="4"/>
      <c r="AO273" s="4"/>
      <c r="AP273" s="4"/>
      <c r="AQ273" s="2"/>
      <c r="AR273" s="2"/>
      <c r="AS273" s="5"/>
      <c r="AT273" s="2"/>
      <c r="AU273" s="2"/>
      <c r="AV273" s="2"/>
    </row>
    <row r="274" spans="1:48" ht="15.75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4"/>
      <c r="AL274" s="4"/>
      <c r="AM274" s="4"/>
      <c r="AN274" s="4"/>
      <c r="AO274" s="4"/>
      <c r="AP274" s="4"/>
      <c r="AQ274" s="2"/>
      <c r="AR274" s="2"/>
      <c r="AS274" s="5"/>
      <c r="AT274" s="2"/>
      <c r="AU274" s="2"/>
      <c r="AV274" s="2"/>
    </row>
    <row r="275" spans="1:48" ht="15.75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4"/>
      <c r="AL275" s="4"/>
      <c r="AM275" s="4"/>
      <c r="AN275" s="4"/>
      <c r="AO275" s="4"/>
      <c r="AP275" s="4"/>
      <c r="AQ275" s="2"/>
      <c r="AR275" s="2"/>
      <c r="AS275" s="5"/>
      <c r="AT275" s="2"/>
      <c r="AU275" s="2"/>
      <c r="AV275" s="2"/>
    </row>
    <row r="276" spans="1:48" ht="15.75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4"/>
      <c r="AL276" s="4"/>
      <c r="AM276" s="4"/>
      <c r="AN276" s="4"/>
      <c r="AO276" s="4"/>
      <c r="AP276" s="4"/>
      <c r="AQ276" s="2"/>
      <c r="AR276" s="2"/>
      <c r="AS276" s="5"/>
      <c r="AT276" s="2"/>
      <c r="AU276" s="2"/>
      <c r="AV276" s="2"/>
    </row>
    <row r="277" spans="1:48" ht="15.75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4"/>
      <c r="AL277" s="4"/>
      <c r="AM277" s="4"/>
      <c r="AN277" s="4"/>
      <c r="AO277" s="4"/>
      <c r="AP277" s="4"/>
      <c r="AQ277" s="2"/>
      <c r="AR277" s="2"/>
      <c r="AS277" s="5"/>
      <c r="AT277" s="2"/>
      <c r="AU277" s="2"/>
      <c r="AV277" s="2"/>
    </row>
    <row r="278" spans="1:48" ht="15.75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4"/>
      <c r="AL278" s="4"/>
      <c r="AM278" s="4"/>
      <c r="AN278" s="4"/>
      <c r="AO278" s="4"/>
      <c r="AP278" s="4"/>
      <c r="AQ278" s="2"/>
      <c r="AR278" s="2"/>
      <c r="AS278" s="5"/>
      <c r="AT278" s="2"/>
      <c r="AU278" s="2"/>
      <c r="AV278" s="2"/>
    </row>
    <row r="279" spans="1:48" ht="15.75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4"/>
      <c r="AL279" s="4"/>
      <c r="AM279" s="4"/>
      <c r="AN279" s="4"/>
      <c r="AO279" s="4"/>
      <c r="AP279" s="4"/>
      <c r="AQ279" s="2"/>
      <c r="AR279" s="2"/>
      <c r="AS279" s="5"/>
      <c r="AT279" s="2"/>
      <c r="AU279" s="2"/>
      <c r="AV279" s="2"/>
    </row>
    <row r="280" spans="1:48" ht="15.75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4"/>
      <c r="AL280" s="4"/>
      <c r="AM280" s="4"/>
      <c r="AN280" s="4"/>
      <c r="AO280" s="4"/>
      <c r="AP280" s="4"/>
      <c r="AQ280" s="2"/>
      <c r="AR280" s="2"/>
      <c r="AS280" s="5"/>
      <c r="AT280" s="2"/>
      <c r="AU280" s="2"/>
      <c r="AV280" s="2"/>
    </row>
    <row r="281" spans="1:48" ht="15.75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4"/>
      <c r="AL281" s="4"/>
      <c r="AM281" s="4"/>
      <c r="AN281" s="4"/>
      <c r="AO281" s="4"/>
      <c r="AP281" s="4"/>
      <c r="AQ281" s="2"/>
      <c r="AR281" s="2"/>
      <c r="AS281" s="5"/>
      <c r="AT281" s="2"/>
      <c r="AU281" s="2"/>
      <c r="AV281" s="2"/>
    </row>
    <row r="282" spans="1:48" ht="15.75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4"/>
      <c r="AL282" s="4"/>
      <c r="AM282" s="4"/>
      <c r="AN282" s="4"/>
      <c r="AO282" s="4"/>
      <c r="AP282" s="4"/>
      <c r="AQ282" s="2"/>
      <c r="AR282" s="2"/>
      <c r="AS282" s="5"/>
      <c r="AT282" s="2"/>
      <c r="AU282" s="2"/>
      <c r="AV282" s="2"/>
    </row>
    <row r="283" spans="1:48" ht="15.75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4"/>
      <c r="AL283" s="4"/>
      <c r="AM283" s="4"/>
      <c r="AN283" s="4"/>
      <c r="AO283" s="4"/>
      <c r="AP283" s="4"/>
      <c r="AQ283" s="2"/>
      <c r="AR283" s="2"/>
      <c r="AS283" s="5"/>
      <c r="AT283" s="2"/>
      <c r="AU283" s="2"/>
      <c r="AV283" s="2"/>
    </row>
    <row r="284" spans="1:48" ht="15.75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4"/>
      <c r="AL284" s="4"/>
      <c r="AM284" s="4"/>
      <c r="AN284" s="4"/>
      <c r="AO284" s="4"/>
      <c r="AP284" s="4"/>
      <c r="AQ284" s="2"/>
      <c r="AR284" s="2"/>
      <c r="AS284" s="5"/>
      <c r="AT284" s="2"/>
      <c r="AU284" s="2"/>
      <c r="AV284" s="2"/>
    </row>
    <row r="285" spans="1:48" ht="15.75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4"/>
      <c r="AL285" s="4"/>
      <c r="AM285" s="4"/>
      <c r="AN285" s="4"/>
      <c r="AO285" s="4"/>
      <c r="AP285" s="4"/>
      <c r="AQ285" s="2"/>
      <c r="AR285" s="2"/>
      <c r="AS285" s="5"/>
      <c r="AT285" s="2"/>
      <c r="AU285" s="2"/>
      <c r="AV285" s="2"/>
    </row>
    <row r="286" spans="1:48" ht="15.75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4"/>
      <c r="AL286" s="4"/>
      <c r="AM286" s="4"/>
      <c r="AN286" s="4"/>
      <c r="AO286" s="4"/>
      <c r="AP286" s="4"/>
      <c r="AQ286" s="2"/>
      <c r="AR286" s="2"/>
      <c r="AS286" s="5"/>
      <c r="AT286" s="2"/>
      <c r="AU286" s="2"/>
      <c r="AV286" s="2"/>
    </row>
    <row r="287" spans="1:48" ht="15.75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4"/>
      <c r="AL287" s="4"/>
      <c r="AM287" s="4"/>
      <c r="AN287" s="4"/>
      <c r="AO287" s="4"/>
      <c r="AP287" s="4"/>
      <c r="AQ287" s="2"/>
      <c r="AR287" s="2"/>
      <c r="AS287" s="5"/>
      <c r="AT287" s="2"/>
      <c r="AU287" s="2"/>
      <c r="AV287" s="2"/>
    </row>
    <row r="288" spans="1:48" ht="15.75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4"/>
      <c r="AL288" s="4"/>
      <c r="AM288" s="4"/>
      <c r="AN288" s="4"/>
      <c r="AO288" s="4"/>
      <c r="AP288" s="4"/>
      <c r="AQ288" s="2"/>
      <c r="AR288" s="2"/>
      <c r="AS288" s="5"/>
      <c r="AT288" s="2"/>
      <c r="AU288" s="2"/>
      <c r="AV288" s="2"/>
    </row>
    <row r="289" spans="1:48" ht="15.75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4"/>
      <c r="AL289" s="4"/>
      <c r="AM289" s="4"/>
      <c r="AN289" s="4"/>
      <c r="AO289" s="4"/>
      <c r="AP289" s="4"/>
      <c r="AQ289" s="2"/>
      <c r="AR289" s="2"/>
      <c r="AS289" s="5"/>
      <c r="AT289" s="2"/>
      <c r="AU289" s="2"/>
      <c r="AV289" s="2"/>
    </row>
    <row r="290" spans="1:48" ht="15.75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4"/>
      <c r="AL290" s="4"/>
      <c r="AM290" s="4"/>
      <c r="AN290" s="4"/>
      <c r="AO290" s="4"/>
      <c r="AP290" s="4"/>
      <c r="AQ290" s="2"/>
      <c r="AR290" s="2"/>
      <c r="AS290" s="5"/>
      <c r="AT290" s="2"/>
      <c r="AU290" s="2"/>
      <c r="AV290" s="2"/>
    </row>
    <row r="291" spans="1:48" ht="15.75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4"/>
      <c r="AL291" s="4"/>
      <c r="AM291" s="4"/>
      <c r="AN291" s="4"/>
      <c r="AO291" s="4"/>
      <c r="AP291" s="4"/>
      <c r="AQ291" s="2"/>
      <c r="AR291" s="2"/>
      <c r="AS291" s="5"/>
      <c r="AT291" s="2"/>
      <c r="AU291" s="2"/>
      <c r="AV291" s="2"/>
    </row>
    <row r="292" spans="1:48" ht="15.75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4"/>
      <c r="AL292" s="4"/>
      <c r="AM292" s="4"/>
      <c r="AN292" s="4"/>
      <c r="AO292" s="4"/>
      <c r="AP292" s="4"/>
      <c r="AQ292" s="2"/>
      <c r="AR292" s="2"/>
      <c r="AS292" s="5"/>
      <c r="AT292" s="2"/>
      <c r="AU292" s="2"/>
      <c r="AV292" s="2"/>
    </row>
    <row r="293" spans="1:48" ht="15.75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4"/>
      <c r="AL293" s="4"/>
      <c r="AM293" s="4"/>
      <c r="AN293" s="4"/>
      <c r="AO293" s="4"/>
      <c r="AP293" s="4"/>
      <c r="AQ293" s="2"/>
      <c r="AR293" s="2"/>
      <c r="AS293" s="5"/>
      <c r="AT293" s="2"/>
      <c r="AU293" s="2"/>
      <c r="AV293" s="2"/>
    </row>
    <row r="294" spans="1:48" ht="15.75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4"/>
      <c r="AL294" s="4"/>
      <c r="AM294" s="4"/>
      <c r="AN294" s="4"/>
      <c r="AO294" s="4"/>
      <c r="AP294" s="4"/>
      <c r="AQ294" s="2"/>
      <c r="AR294" s="2"/>
      <c r="AS294" s="5"/>
      <c r="AT294" s="2"/>
      <c r="AU294" s="2"/>
      <c r="AV294" s="2"/>
    </row>
    <row r="295" spans="1:48" ht="15.75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4"/>
      <c r="AL295" s="4"/>
      <c r="AM295" s="4"/>
      <c r="AN295" s="4"/>
      <c r="AO295" s="4"/>
      <c r="AP295" s="4"/>
      <c r="AQ295" s="2"/>
      <c r="AR295" s="2"/>
      <c r="AS295" s="5"/>
      <c r="AT295" s="2"/>
      <c r="AU295" s="2"/>
      <c r="AV295" s="2"/>
    </row>
    <row r="296" spans="1:48" ht="15.75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4"/>
      <c r="AL296" s="4"/>
      <c r="AM296" s="4"/>
      <c r="AN296" s="4"/>
      <c r="AO296" s="4"/>
      <c r="AP296" s="4"/>
      <c r="AQ296" s="2"/>
      <c r="AR296" s="2"/>
      <c r="AS296" s="5"/>
      <c r="AT296" s="2"/>
      <c r="AU296" s="2"/>
      <c r="AV296" s="2"/>
    </row>
    <row r="297" spans="1:48" ht="15.75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4"/>
      <c r="AL297" s="4"/>
      <c r="AM297" s="4"/>
      <c r="AN297" s="4"/>
      <c r="AO297" s="4"/>
      <c r="AP297" s="4"/>
      <c r="AQ297" s="2"/>
      <c r="AR297" s="2"/>
      <c r="AS297" s="5"/>
      <c r="AT297" s="2"/>
      <c r="AU297" s="2"/>
      <c r="AV297" s="2"/>
    </row>
    <row r="298" spans="1:48" ht="15.75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4"/>
      <c r="AL298" s="4"/>
      <c r="AM298" s="4"/>
      <c r="AN298" s="4"/>
      <c r="AO298" s="4"/>
      <c r="AP298" s="4"/>
      <c r="AQ298" s="2"/>
      <c r="AR298" s="2"/>
      <c r="AS298" s="5"/>
      <c r="AT298" s="2"/>
      <c r="AU298" s="2"/>
      <c r="AV298" s="2"/>
    </row>
    <row r="299" spans="1:48" ht="15.75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4"/>
      <c r="AL299" s="4"/>
      <c r="AM299" s="4"/>
      <c r="AN299" s="4"/>
      <c r="AO299" s="4"/>
      <c r="AP299" s="4"/>
      <c r="AQ299" s="2"/>
      <c r="AR299" s="2"/>
      <c r="AS299" s="5"/>
      <c r="AT299" s="2"/>
      <c r="AU299" s="2"/>
      <c r="AV299" s="2"/>
    </row>
    <row r="300" spans="1:48" ht="15.75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4"/>
      <c r="AL300" s="4"/>
      <c r="AM300" s="4"/>
      <c r="AN300" s="4"/>
      <c r="AO300" s="4"/>
      <c r="AP300" s="4"/>
      <c r="AQ300" s="2"/>
      <c r="AR300" s="2"/>
      <c r="AS300" s="5"/>
      <c r="AT300" s="2"/>
      <c r="AU300" s="2"/>
      <c r="AV300" s="2"/>
    </row>
    <row r="301" spans="1:48" ht="15.7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4"/>
      <c r="AL301" s="4"/>
      <c r="AM301" s="4"/>
      <c r="AN301" s="4"/>
      <c r="AO301" s="4"/>
      <c r="AP301" s="4"/>
      <c r="AQ301" s="2"/>
      <c r="AR301" s="2"/>
      <c r="AS301" s="5"/>
      <c r="AT301" s="2"/>
      <c r="AU301" s="2"/>
      <c r="AV301" s="2"/>
    </row>
    <row r="302" spans="1:48" ht="15.75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4"/>
      <c r="AL302" s="4"/>
      <c r="AM302" s="4"/>
      <c r="AN302" s="4"/>
      <c r="AO302" s="4"/>
      <c r="AP302" s="4"/>
      <c r="AQ302" s="2"/>
      <c r="AR302" s="2"/>
      <c r="AS302" s="5"/>
      <c r="AT302" s="2"/>
      <c r="AU302" s="2"/>
      <c r="AV302" s="2"/>
    </row>
    <row r="303" spans="1:48" ht="15.75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4"/>
      <c r="AL303" s="4"/>
      <c r="AM303" s="4"/>
      <c r="AN303" s="4"/>
      <c r="AO303" s="4"/>
      <c r="AP303" s="4"/>
      <c r="AQ303" s="2"/>
      <c r="AR303" s="2"/>
      <c r="AS303" s="5"/>
      <c r="AT303" s="2"/>
      <c r="AU303" s="2"/>
      <c r="AV303" s="2"/>
    </row>
    <row r="304" spans="1:48" ht="15.75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4"/>
      <c r="AL304" s="4"/>
      <c r="AM304" s="4"/>
      <c r="AN304" s="4"/>
      <c r="AO304" s="4"/>
      <c r="AP304" s="4"/>
      <c r="AQ304" s="2"/>
      <c r="AR304" s="2"/>
      <c r="AS304" s="5"/>
      <c r="AT304" s="2"/>
      <c r="AU304" s="2"/>
      <c r="AV304" s="2"/>
    </row>
    <row r="305" spans="1:48" ht="15.75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4"/>
      <c r="AL305" s="4"/>
      <c r="AM305" s="4"/>
      <c r="AN305" s="4"/>
      <c r="AO305" s="4"/>
      <c r="AP305" s="4"/>
      <c r="AQ305" s="2"/>
      <c r="AR305" s="2"/>
      <c r="AS305" s="5"/>
      <c r="AT305" s="2"/>
      <c r="AU305" s="2"/>
      <c r="AV305" s="2"/>
    </row>
    <row r="306" spans="1:48" ht="15.75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4"/>
      <c r="AL306" s="4"/>
      <c r="AM306" s="4"/>
      <c r="AN306" s="4"/>
      <c r="AO306" s="4"/>
      <c r="AP306" s="4"/>
      <c r="AQ306" s="2"/>
      <c r="AR306" s="2"/>
      <c r="AS306" s="5"/>
      <c r="AT306" s="2"/>
      <c r="AU306" s="2"/>
      <c r="AV306" s="2"/>
    </row>
    <row r="307" spans="1:48" ht="15.75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4"/>
      <c r="AL307" s="4"/>
      <c r="AM307" s="4"/>
      <c r="AN307" s="4"/>
      <c r="AO307" s="4"/>
      <c r="AP307" s="4"/>
      <c r="AQ307" s="2"/>
      <c r="AR307" s="2"/>
      <c r="AS307" s="5"/>
      <c r="AT307" s="2"/>
      <c r="AU307" s="2"/>
      <c r="AV307" s="2"/>
    </row>
    <row r="308" spans="1:48" ht="15.75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4"/>
      <c r="AL308" s="4"/>
      <c r="AM308" s="4"/>
      <c r="AN308" s="4"/>
      <c r="AO308" s="4"/>
      <c r="AP308" s="4"/>
      <c r="AQ308" s="2"/>
      <c r="AR308" s="2"/>
      <c r="AS308" s="5"/>
      <c r="AT308" s="2"/>
      <c r="AU308" s="2"/>
      <c r="AV308" s="2"/>
    </row>
    <row r="309" spans="1:48" ht="15.75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4"/>
      <c r="AL309" s="4"/>
      <c r="AM309" s="4"/>
      <c r="AN309" s="4"/>
      <c r="AO309" s="4"/>
      <c r="AP309" s="4"/>
      <c r="AQ309" s="2"/>
      <c r="AR309" s="2"/>
      <c r="AS309" s="5"/>
      <c r="AT309" s="2"/>
      <c r="AU309" s="2"/>
      <c r="AV309" s="2"/>
    </row>
    <row r="310" spans="1:48" ht="15.75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4"/>
      <c r="AL310" s="4"/>
      <c r="AM310" s="4"/>
      <c r="AN310" s="4"/>
      <c r="AO310" s="4"/>
      <c r="AP310" s="4"/>
      <c r="AQ310" s="2"/>
      <c r="AR310" s="2"/>
      <c r="AS310" s="5"/>
      <c r="AT310" s="2"/>
      <c r="AU310" s="2"/>
      <c r="AV310" s="2"/>
    </row>
    <row r="311" spans="1:48" ht="15.75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4"/>
      <c r="AL311" s="4"/>
      <c r="AM311" s="4"/>
      <c r="AN311" s="4"/>
      <c r="AO311" s="4"/>
      <c r="AP311" s="4"/>
      <c r="AQ311" s="2"/>
      <c r="AR311" s="2"/>
      <c r="AS311" s="5"/>
      <c r="AT311" s="2"/>
      <c r="AU311" s="2"/>
      <c r="AV311" s="2"/>
    </row>
    <row r="312" spans="1:48" ht="15.75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4"/>
      <c r="AL312" s="4"/>
      <c r="AM312" s="4"/>
      <c r="AN312" s="4"/>
      <c r="AO312" s="4"/>
      <c r="AP312" s="4"/>
      <c r="AQ312" s="2"/>
      <c r="AR312" s="2"/>
      <c r="AS312" s="5"/>
      <c r="AT312" s="2"/>
      <c r="AU312" s="2"/>
      <c r="AV312" s="2"/>
    </row>
    <row r="313" spans="1:48" ht="15.75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4"/>
      <c r="AL313" s="4"/>
      <c r="AM313" s="4"/>
      <c r="AN313" s="4"/>
      <c r="AO313" s="4"/>
      <c r="AP313" s="4"/>
      <c r="AQ313" s="2"/>
      <c r="AR313" s="2"/>
      <c r="AS313" s="5"/>
      <c r="AT313" s="2"/>
      <c r="AU313" s="2"/>
      <c r="AV313" s="2"/>
    </row>
    <row r="314" spans="1:48" ht="15.75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4"/>
      <c r="AL314" s="4"/>
      <c r="AM314" s="4"/>
      <c r="AN314" s="4"/>
      <c r="AO314" s="4"/>
      <c r="AP314" s="4"/>
      <c r="AQ314" s="2"/>
      <c r="AR314" s="2"/>
      <c r="AS314" s="5"/>
      <c r="AT314" s="2"/>
      <c r="AU314" s="2"/>
      <c r="AV314" s="2"/>
    </row>
    <row r="315" spans="1:48" ht="15.75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4"/>
      <c r="AL315" s="4"/>
      <c r="AM315" s="4"/>
      <c r="AN315" s="4"/>
      <c r="AO315" s="4"/>
      <c r="AP315" s="4"/>
      <c r="AQ315" s="2"/>
      <c r="AR315" s="2"/>
      <c r="AS315" s="5"/>
      <c r="AT315" s="2"/>
      <c r="AU315" s="2"/>
      <c r="AV315" s="2"/>
    </row>
    <row r="316" spans="1:48" ht="15.75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4"/>
      <c r="AL316" s="4"/>
      <c r="AM316" s="4"/>
      <c r="AN316" s="4"/>
      <c r="AO316" s="4"/>
      <c r="AP316" s="4"/>
      <c r="AQ316" s="2"/>
      <c r="AR316" s="2"/>
      <c r="AS316" s="5"/>
      <c r="AT316" s="2"/>
      <c r="AU316" s="2"/>
      <c r="AV316" s="2"/>
    </row>
    <row r="317" spans="1:48" ht="15.75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4"/>
      <c r="AL317" s="4"/>
      <c r="AM317" s="4"/>
      <c r="AN317" s="4"/>
      <c r="AO317" s="4"/>
      <c r="AP317" s="4"/>
      <c r="AQ317" s="2"/>
      <c r="AR317" s="2"/>
      <c r="AS317" s="5"/>
      <c r="AT317" s="2"/>
      <c r="AU317" s="2"/>
      <c r="AV317" s="2"/>
    </row>
    <row r="318" spans="1:48" ht="15.75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4"/>
      <c r="AL318" s="4"/>
      <c r="AM318" s="4"/>
      <c r="AN318" s="4"/>
      <c r="AO318" s="4"/>
      <c r="AP318" s="4"/>
      <c r="AQ318" s="2"/>
      <c r="AR318" s="2"/>
      <c r="AS318" s="5"/>
      <c r="AT318" s="2"/>
      <c r="AU318" s="2"/>
      <c r="AV318" s="2"/>
    </row>
    <row r="319" spans="1:48" ht="15.75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4"/>
      <c r="AL319" s="4"/>
      <c r="AM319" s="4"/>
      <c r="AN319" s="4"/>
      <c r="AO319" s="4"/>
      <c r="AP319" s="4"/>
      <c r="AQ319" s="2"/>
      <c r="AR319" s="2"/>
      <c r="AS319" s="5"/>
      <c r="AT319" s="2"/>
      <c r="AU319" s="2"/>
      <c r="AV319" s="2"/>
    </row>
    <row r="320" spans="1:48" ht="15.75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4"/>
      <c r="AL320" s="4"/>
      <c r="AM320" s="4"/>
      <c r="AN320" s="4"/>
      <c r="AO320" s="4"/>
      <c r="AP320" s="4"/>
      <c r="AQ320" s="2"/>
      <c r="AR320" s="2"/>
      <c r="AS320" s="5"/>
      <c r="AT320" s="2"/>
      <c r="AU320" s="2"/>
      <c r="AV320" s="2"/>
    </row>
    <row r="321" spans="1:48" ht="15.75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4"/>
      <c r="AL321" s="4"/>
      <c r="AM321" s="4"/>
      <c r="AN321" s="4"/>
      <c r="AO321" s="4"/>
      <c r="AP321" s="4"/>
      <c r="AQ321" s="2"/>
      <c r="AR321" s="2"/>
      <c r="AS321" s="5"/>
      <c r="AT321" s="2"/>
      <c r="AU321" s="2"/>
      <c r="AV321" s="2"/>
    </row>
    <row r="322" spans="1:48" ht="15.75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4"/>
      <c r="AL322" s="4"/>
      <c r="AM322" s="4"/>
      <c r="AN322" s="4"/>
      <c r="AO322" s="4"/>
      <c r="AP322" s="4"/>
      <c r="AQ322" s="2"/>
      <c r="AR322" s="2"/>
      <c r="AS322" s="5"/>
      <c r="AT322" s="2"/>
      <c r="AU322" s="2"/>
      <c r="AV322" s="2"/>
    </row>
    <row r="323" spans="1:48" ht="15.75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4"/>
      <c r="AL323" s="4"/>
      <c r="AM323" s="4"/>
      <c r="AN323" s="4"/>
      <c r="AO323" s="4"/>
      <c r="AP323" s="4"/>
      <c r="AQ323" s="2"/>
      <c r="AR323" s="2"/>
      <c r="AS323" s="5"/>
      <c r="AT323" s="2"/>
      <c r="AU323" s="2"/>
      <c r="AV323" s="2"/>
    </row>
    <row r="324" spans="1:48" ht="15.75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4"/>
      <c r="AL324" s="4"/>
      <c r="AM324" s="4"/>
      <c r="AN324" s="4"/>
      <c r="AO324" s="4"/>
      <c r="AP324" s="4"/>
      <c r="AQ324" s="2"/>
      <c r="AR324" s="2"/>
      <c r="AS324" s="5"/>
      <c r="AT324" s="2"/>
      <c r="AU324" s="2"/>
      <c r="AV324" s="2"/>
    </row>
    <row r="325" spans="1:48" ht="15.75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4"/>
      <c r="AL325" s="4"/>
      <c r="AM325" s="4"/>
      <c r="AN325" s="4"/>
      <c r="AO325" s="4"/>
      <c r="AP325" s="4"/>
      <c r="AQ325" s="2"/>
      <c r="AR325" s="2"/>
      <c r="AS325" s="5"/>
      <c r="AT325" s="2"/>
      <c r="AU325" s="2"/>
      <c r="AV325" s="2"/>
    </row>
    <row r="326" spans="1:48" ht="15.75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4"/>
      <c r="AL326" s="4"/>
      <c r="AM326" s="4"/>
      <c r="AN326" s="4"/>
      <c r="AO326" s="4"/>
      <c r="AP326" s="4"/>
      <c r="AQ326" s="2"/>
      <c r="AR326" s="2"/>
      <c r="AS326" s="5"/>
      <c r="AT326" s="2"/>
      <c r="AU326" s="2"/>
      <c r="AV326" s="2"/>
    </row>
    <row r="327" spans="1:48" ht="15.75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4"/>
      <c r="AL327" s="4"/>
      <c r="AM327" s="4"/>
      <c r="AN327" s="4"/>
      <c r="AO327" s="4"/>
      <c r="AP327" s="4"/>
      <c r="AQ327" s="2"/>
      <c r="AR327" s="2"/>
      <c r="AS327" s="5"/>
      <c r="AT327" s="2"/>
      <c r="AU327" s="2"/>
      <c r="AV327" s="2"/>
    </row>
    <row r="328" spans="1:48" ht="15.75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4"/>
      <c r="AL328" s="4"/>
      <c r="AM328" s="4"/>
      <c r="AN328" s="4"/>
      <c r="AO328" s="4"/>
      <c r="AP328" s="4"/>
      <c r="AQ328" s="2"/>
      <c r="AR328" s="2"/>
      <c r="AS328" s="5"/>
      <c r="AT328" s="2"/>
      <c r="AU328" s="2"/>
      <c r="AV328" s="2"/>
    </row>
    <row r="329" spans="1:48" ht="15.75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4"/>
      <c r="AL329" s="4"/>
      <c r="AM329" s="4"/>
      <c r="AN329" s="4"/>
      <c r="AO329" s="4"/>
      <c r="AP329" s="4"/>
      <c r="AQ329" s="2"/>
      <c r="AR329" s="2"/>
      <c r="AS329" s="5"/>
      <c r="AT329" s="2"/>
      <c r="AU329" s="2"/>
      <c r="AV329" s="2"/>
    </row>
    <row r="330" spans="1:48" ht="15.75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4"/>
      <c r="AL330" s="4"/>
      <c r="AM330" s="4"/>
      <c r="AN330" s="4"/>
      <c r="AO330" s="4"/>
      <c r="AP330" s="4"/>
      <c r="AQ330" s="2"/>
      <c r="AR330" s="2"/>
      <c r="AS330" s="5"/>
      <c r="AT330" s="2"/>
      <c r="AU330" s="2"/>
      <c r="AV330" s="2"/>
    </row>
    <row r="331" spans="1:48" ht="15.75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4"/>
      <c r="AL331" s="4"/>
      <c r="AM331" s="4"/>
      <c r="AN331" s="4"/>
      <c r="AO331" s="4"/>
      <c r="AP331" s="4"/>
      <c r="AQ331" s="2"/>
      <c r="AR331" s="2"/>
      <c r="AS331" s="5"/>
      <c r="AT331" s="2"/>
      <c r="AU331" s="2"/>
      <c r="AV331" s="2"/>
    </row>
    <row r="332" spans="1:48" ht="15.75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4"/>
      <c r="AL332" s="4"/>
      <c r="AM332" s="4"/>
      <c r="AN332" s="4"/>
      <c r="AO332" s="4"/>
      <c r="AP332" s="4"/>
      <c r="AQ332" s="2"/>
      <c r="AR332" s="2"/>
      <c r="AS332" s="5"/>
      <c r="AT332" s="2"/>
      <c r="AU332" s="2"/>
      <c r="AV332" s="2"/>
    </row>
    <row r="333" spans="1:48" ht="15.75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4"/>
      <c r="AL333" s="4"/>
      <c r="AM333" s="4"/>
      <c r="AN333" s="4"/>
      <c r="AO333" s="4"/>
      <c r="AP333" s="4"/>
      <c r="AQ333" s="2"/>
      <c r="AR333" s="2"/>
      <c r="AS333" s="5"/>
      <c r="AT333" s="2"/>
      <c r="AU333" s="2"/>
      <c r="AV333" s="2"/>
    </row>
    <row r="334" spans="1:48" ht="15.75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4"/>
      <c r="AL334" s="4"/>
      <c r="AM334" s="4"/>
      <c r="AN334" s="4"/>
      <c r="AO334" s="4"/>
      <c r="AP334" s="4"/>
      <c r="AQ334" s="2"/>
      <c r="AR334" s="2"/>
      <c r="AS334" s="5"/>
      <c r="AT334" s="2"/>
      <c r="AU334" s="2"/>
      <c r="AV334" s="2"/>
    </row>
    <row r="335" spans="1:48" ht="15.75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4"/>
      <c r="AL335" s="4"/>
      <c r="AM335" s="4"/>
      <c r="AN335" s="4"/>
      <c r="AO335" s="4"/>
      <c r="AP335" s="4"/>
      <c r="AQ335" s="2"/>
      <c r="AR335" s="2"/>
      <c r="AS335" s="5"/>
      <c r="AT335" s="2"/>
      <c r="AU335" s="2"/>
      <c r="AV335" s="2"/>
    </row>
    <row r="336" spans="1:48" ht="15.7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4"/>
      <c r="AL336" s="4"/>
      <c r="AM336" s="4"/>
      <c r="AN336" s="4"/>
      <c r="AO336" s="4"/>
      <c r="AP336" s="4"/>
      <c r="AQ336" s="2"/>
      <c r="AR336" s="2"/>
      <c r="AS336" s="5"/>
      <c r="AT336" s="2"/>
      <c r="AU336" s="2"/>
      <c r="AV336" s="2"/>
    </row>
    <row r="337" spans="1:48" ht="15.75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4"/>
      <c r="AL337" s="4"/>
      <c r="AM337" s="4"/>
      <c r="AN337" s="4"/>
      <c r="AO337" s="4"/>
      <c r="AP337" s="4"/>
      <c r="AQ337" s="2"/>
      <c r="AR337" s="2"/>
      <c r="AS337" s="5"/>
      <c r="AT337" s="2"/>
      <c r="AU337" s="2"/>
      <c r="AV337" s="2"/>
    </row>
    <row r="338" spans="1:48" ht="15.75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4"/>
      <c r="AL338" s="4"/>
      <c r="AM338" s="4"/>
      <c r="AN338" s="4"/>
      <c r="AO338" s="4"/>
      <c r="AP338" s="4"/>
      <c r="AQ338" s="2"/>
      <c r="AR338" s="2"/>
      <c r="AS338" s="5"/>
      <c r="AT338" s="2"/>
      <c r="AU338" s="2"/>
      <c r="AV338" s="2"/>
    </row>
    <row r="339" spans="1:48" ht="15.75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4"/>
      <c r="AL339" s="4"/>
      <c r="AM339" s="4"/>
      <c r="AN339" s="4"/>
      <c r="AO339" s="4"/>
      <c r="AP339" s="4"/>
      <c r="AQ339" s="2"/>
      <c r="AR339" s="2"/>
      <c r="AS339" s="5"/>
      <c r="AT339" s="2"/>
      <c r="AU339" s="2"/>
      <c r="AV339" s="2"/>
    </row>
    <row r="340" spans="1:48" ht="15.75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4"/>
      <c r="AL340" s="4"/>
      <c r="AM340" s="4"/>
      <c r="AN340" s="4"/>
      <c r="AO340" s="4"/>
      <c r="AP340" s="4"/>
      <c r="AQ340" s="2"/>
      <c r="AR340" s="2"/>
      <c r="AS340" s="5"/>
      <c r="AT340" s="2"/>
      <c r="AU340" s="2"/>
      <c r="AV340" s="2"/>
    </row>
    <row r="341" spans="1:48" ht="15.75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4"/>
      <c r="AL341" s="4"/>
      <c r="AM341" s="4"/>
      <c r="AN341" s="4"/>
      <c r="AO341" s="4"/>
      <c r="AP341" s="4"/>
      <c r="AQ341" s="2"/>
      <c r="AR341" s="2"/>
      <c r="AS341" s="5"/>
      <c r="AT341" s="2"/>
      <c r="AU341" s="2"/>
      <c r="AV341" s="2"/>
    </row>
    <row r="342" spans="1:48" ht="15.75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4"/>
      <c r="AL342" s="4"/>
      <c r="AM342" s="4"/>
      <c r="AN342" s="4"/>
      <c r="AO342" s="4"/>
      <c r="AP342" s="4"/>
      <c r="AQ342" s="2"/>
      <c r="AR342" s="2"/>
      <c r="AS342" s="5"/>
      <c r="AT342" s="2"/>
      <c r="AU342" s="2"/>
      <c r="AV342" s="2"/>
    </row>
    <row r="343" spans="1:48" ht="15.75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4"/>
      <c r="AL343" s="4"/>
      <c r="AM343" s="4"/>
      <c r="AN343" s="4"/>
      <c r="AO343" s="4"/>
      <c r="AP343" s="4"/>
      <c r="AQ343" s="2"/>
      <c r="AR343" s="2"/>
      <c r="AS343" s="5"/>
      <c r="AT343" s="2"/>
      <c r="AU343" s="2"/>
      <c r="AV343" s="2"/>
    </row>
    <row r="344" spans="1:48" ht="15.75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4"/>
      <c r="AL344" s="4"/>
      <c r="AM344" s="4"/>
      <c r="AN344" s="4"/>
      <c r="AO344" s="4"/>
      <c r="AP344" s="4"/>
      <c r="AQ344" s="2"/>
      <c r="AR344" s="2"/>
      <c r="AS344" s="5"/>
      <c r="AT344" s="2"/>
      <c r="AU344" s="2"/>
      <c r="AV344" s="2"/>
    </row>
    <row r="345" spans="1:48" ht="15.75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4"/>
      <c r="AL345" s="4"/>
      <c r="AM345" s="4"/>
      <c r="AN345" s="4"/>
      <c r="AO345" s="4"/>
      <c r="AP345" s="4"/>
      <c r="AQ345" s="2"/>
      <c r="AR345" s="2"/>
      <c r="AS345" s="5"/>
      <c r="AT345" s="2"/>
      <c r="AU345" s="2"/>
      <c r="AV345" s="2"/>
    </row>
    <row r="346" spans="1:48" ht="15.75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4"/>
      <c r="AL346" s="4"/>
      <c r="AM346" s="4"/>
      <c r="AN346" s="4"/>
      <c r="AO346" s="4"/>
      <c r="AP346" s="4"/>
      <c r="AQ346" s="2"/>
      <c r="AR346" s="2"/>
      <c r="AS346" s="5"/>
      <c r="AT346" s="2"/>
      <c r="AU346" s="2"/>
      <c r="AV346" s="2"/>
    </row>
    <row r="347" spans="1:48" ht="15.7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4"/>
      <c r="AL347" s="4"/>
      <c r="AM347" s="4"/>
      <c r="AN347" s="4"/>
      <c r="AO347" s="4"/>
      <c r="AP347" s="4"/>
      <c r="AQ347" s="2"/>
      <c r="AR347" s="2"/>
      <c r="AS347" s="5"/>
      <c r="AT347" s="2"/>
      <c r="AU347" s="2"/>
      <c r="AV347" s="2"/>
    </row>
    <row r="348" spans="1:48" ht="15.7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4"/>
      <c r="AL348" s="4"/>
      <c r="AM348" s="4"/>
      <c r="AN348" s="4"/>
      <c r="AO348" s="4"/>
      <c r="AP348" s="4"/>
      <c r="AQ348" s="2"/>
      <c r="AR348" s="2"/>
      <c r="AS348" s="5"/>
      <c r="AT348" s="2"/>
      <c r="AU348" s="2"/>
      <c r="AV348" s="2"/>
    </row>
    <row r="349" spans="1:48" ht="15.7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4"/>
      <c r="AL349" s="4"/>
      <c r="AM349" s="4"/>
      <c r="AN349" s="4"/>
      <c r="AO349" s="4"/>
      <c r="AP349" s="4"/>
      <c r="AQ349" s="2"/>
      <c r="AR349" s="2"/>
      <c r="AS349" s="5"/>
      <c r="AT349" s="2"/>
      <c r="AU349" s="2"/>
      <c r="AV349" s="2"/>
    </row>
    <row r="350" spans="1:48" ht="15.7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4"/>
      <c r="AL350" s="4"/>
      <c r="AM350" s="4"/>
      <c r="AN350" s="4"/>
      <c r="AO350" s="4"/>
      <c r="AP350" s="4"/>
      <c r="AQ350" s="2"/>
      <c r="AR350" s="2"/>
      <c r="AS350" s="5"/>
      <c r="AT350" s="2"/>
      <c r="AU350" s="2"/>
      <c r="AV350" s="2"/>
    </row>
    <row r="351" spans="1:48" ht="15.7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4"/>
      <c r="AL351" s="4"/>
      <c r="AM351" s="4"/>
      <c r="AN351" s="4"/>
      <c r="AO351" s="4"/>
      <c r="AP351" s="4"/>
      <c r="AQ351" s="2"/>
      <c r="AR351" s="2"/>
      <c r="AS351" s="5"/>
      <c r="AT351" s="2"/>
      <c r="AU351" s="2"/>
      <c r="AV351" s="2"/>
    </row>
    <row r="352" spans="1:48" ht="15.7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4"/>
      <c r="AL352" s="4"/>
      <c r="AM352" s="4"/>
      <c r="AN352" s="4"/>
      <c r="AO352" s="4"/>
      <c r="AP352" s="4"/>
      <c r="AQ352" s="2"/>
      <c r="AR352" s="2"/>
      <c r="AS352" s="5"/>
      <c r="AT352" s="2"/>
      <c r="AU352" s="2"/>
      <c r="AV352" s="2"/>
    </row>
    <row r="353" spans="1:48" ht="15.7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4"/>
      <c r="AL353" s="4"/>
      <c r="AM353" s="4"/>
      <c r="AN353" s="4"/>
      <c r="AO353" s="4"/>
      <c r="AP353" s="4"/>
      <c r="AQ353" s="2"/>
      <c r="AR353" s="2"/>
      <c r="AS353" s="5"/>
      <c r="AT353" s="2"/>
      <c r="AU353" s="2"/>
      <c r="AV353" s="2"/>
    </row>
    <row r="354" spans="1:48" ht="15.7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4"/>
      <c r="AL354" s="4"/>
      <c r="AM354" s="4"/>
      <c r="AN354" s="4"/>
      <c r="AO354" s="4"/>
      <c r="AP354" s="4"/>
      <c r="AQ354" s="2"/>
      <c r="AR354" s="2"/>
      <c r="AS354" s="5"/>
      <c r="AT354" s="2"/>
      <c r="AU354" s="2"/>
      <c r="AV354" s="2"/>
    </row>
    <row r="355" spans="1:48" ht="15.7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4"/>
      <c r="AL355" s="4"/>
      <c r="AM355" s="4"/>
      <c r="AN355" s="4"/>
      <c r="AO355" s="4"/>
      <c r="AP355" s="4"/>
      <c r="AQ355" s="2"/>
      <c r="AR355" s="2"/>
      <c r="AS355" s="5"/>
      <c r="AT355" s="2"/>
      <c r="AU355" s="2"/>
      <c r="AV355" s="2"/>
    </row>
    <row r="356" spans="1:48" ht="15.7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4"/>
      <c r="AL356" s="4"/>
      <c r="AM356" s="4"/>
      <c r="AN356" s="4"/>
      <c r="AO356" s="4"/>
      <c r="AP356" s="4"/>
      <c r="AQ356" s="2"/>
      <c r="AR356" s="2"/>
      <c r="AS356" s="5"/>
      <c r="AT356" s="2"/>
      <c r="AU356" s="2"/>
      <c r="AV356" s="2"/>
    </row>
    <row r="357" spans="1:48" ht="15.7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4"/>
      <c r="AL357" s="4"/>
      <c r="AM357" s="4"/>
      <c r="AN357" s="4"/>
      <c r="AO357" s="4"/>
      <c r="AP357" s="4"/>
      <c r="AQ357" s="2"/>
      <c r="AR357" s="2"/>
      <c r="AS357" s="5"/>
      <c r="AT357" s="2"/>
      <c r="AU357" s="2"/>
      <c r="AV357" s="2"/>
    </row>
    <row r="358" spans="1:48" ht="15.7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4"/>
      <c r="AL358" s="4"/>
      <c r="AM358" s="4"/>
      <c r="AN358" s="4"/>
      <c r="AO358" s="4"/>
      <c r="AP358" s="4"/>
      <c r="AQ358" s="2"/>
      <c r="AR358" s="2"/>
      <c r="AS358" s="5"/>
      <c r="AT358" s="2"/>
      <c r="AU358" s="2"/>
      <c r="AV358" s="2"/>
    </row>
    <row r="359" spans="1:48" ht="15.7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4"/>
      <c r="AL359" s="4"/>
      <c r="AM359" s="4"/>
      <c r="AN359" s="4"/>
      <c r="AO359" s="4"/>
      <c r="AP359" s="4"/>
      <c r="AQ359" s="2"/>
      <c r="AR359" s="2"/>
      <c r="AS359" s="5"/>
      <c r="AT359" s="2"/>
      <c r="AU359" s="2"/>
      <c r="AV359" s="2"/>
    </row>
    <row r="360" spans="1:48" ht="15.7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4"/>
      <c r="AL360" s="4"/>
      <c r="AM360" s="4"/>
      <c r="AN360" s="4"/>
      <c r="AO360" s="4"/>
      <c r="AP360" s="4"/>
      <c r="AQ360" s="2"/>
      <c r="AR360" s="2"/>
      <c r="AS360" s="5"/>
      <c r="AT360" s="2"/>
      <c r="AU360" s="2"/>
      <c r="AV360" s="2"/>
    </row>
    <row r="361" spans="1:48" ht="15.7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4"/>
      <c r="AL361" s="4"/>
      <c r="AM361" s="4"/>
      <c r="AN361" s="4"/>
      <c r="AO361" s="4"/>
      <c r="AP361" s="4"/>
      <c r="AQ361" s="2"/>
      <c r="AR361" s="2"/>
      <c r="AS361" s="5"/>
      <c r="AT361" s="2"/>
      <c r="AU361" s="2"/>
      <c r="AV361" s="2"/>
    </row>
    <row r="362" spans="1:48" ht="15.7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4"/>
      <c r="AL362" s="4"/>
      <c r="AM362" s="4"/>
      <c r="AN362" s="4"/>
      <c r="AO362" s="4"/>
      <c r="AP362" s="4"/>
      <c r="AQ362" s="2"/>
      <c r="AR362" s="2"/>
      <c r="AS362" s="5"/>
      <c r="AT362" s="2"/>
      <c r="AU362" s="2"/>
      <c r="AV362" s="2"/>
    </row>
    <row r="363" spans="1:48" ht="15.7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4"/>
      <c r="AL363" s="4"/>
      <c r="AM363" s="4"/>
      <c r="AN363" s="4"/>
      <c r="AO363" s="4"/>
      <c r="AP363" s="4"/>
      <c r="AQ363" s="2"/>
      <c r="AR363" s="2"/>
      <c r="AS363" s="5"/>
      <c r="AT363" s="2"/>
      <c r="AU363" s="2"/>
      <c r="AV363" s="2"/>
    </row>
    <row r="364" spans="1:48" ht="15.75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4"/>
      <c r="AL364" s="4"/>
      <c r="AM364" s="4"/>
      <c r="AN364" s="4"/>
      <c r="AO364" s="4"/>
      <c r="AP364" s="4"/>
      <c r="AQ364" s="2"/>
      <c r="AR364" s="2"/>
      <c r="AS364" s="5"/>
      <c r="AT364" s="2"/>
      <c r="AU364" s="2"/>
      <c r="AV364" s="2"/>
    </row>
    <row r="365" spans="1:48" ht="15.75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4"/>
      <c r="AL365" s="4"/>
      <c r="AM365" s="4"/>
      <c r="AN365" s="4"/>
      <c r="AO365" s="4"/>
      <c r="AP365" s="4"/>
      <c r="AQ365" s="2"/>
      <c r="AR365" s="2"/>
      <c r="AS365" s="5"/>
      <c r="AT365" s="2"/>
      <c r="AU365" s="2"/>
      <c r="AV365" s="2"/>
    </row>
    <row r="366" spans="1:48" ht="15.75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4"/>
      <c r="AL366" s="4"/>
      <c r="AM366" s="4"/>
      <c r="AN366" s="4"/>
      <c r="AO366" s="4"/>
      <c r="AP366" s="4"/>
      <c r="AQ366" s="2"/>
      <c r="AR366" s="2"/>
      <c r="AS366" s="5"/>
      <c r="AT366" s="2"/>
      <c r="AU366" s="2"/>
      <c r="AV366" s="2"/>
    </row>
    <row r="367" spans="1:48" ht="15.75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4"/>
      <c r="AL367" s="4"/>
      <c r="AM367" s="4"/>
      <c r="AN367" s="4"/>
      <c r="AO367" s="4"/>
      <c r="AP367" s="4"/>
      <c r="AQ367" s="2"/>
      <c r="AR367" s="2"/>
      <c r="AS367" s="5"/>
      <c r="AT367" s="2"/>
      <c r="AU367" s="2"/>
      <c r="AV367" s="2"/>
    </row>
    <row r="368" spans="1:48" ht="15.75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4"/>
      <c r="AL368" s="4"/>
      <c r="AM368" s="4"/>
      <c r="AN368" s="4"/>
      <c r="AO368" s="4"/>
      <c r="AP368" s="4"/>
      <c r="AQ368" s="2"/>
      <c r="AR368" s="2"/>
      <c r="AS368" s="5"/>
      <c r="AT368" s="2"/>
      <c r="AU368" s="2"/>
      <c r="AV368" s="2"/>
    </row>
    <row r="369" spans="1:48" ht="15.75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4"/>
      <c r="AL369" s="4"/>
      <c r="AM369" s="4"/>
      <c r="AN369" s="4"/>
      <c r="AO369" s="4"/>
      <c r="AP369" s="4"/>
      <c r="AQ369" s="2"/>
      <c r="AR369" s="2"/>
      <c r="AS369" s="5"/>
      <c r="AT369" s="2"/>
      <c r="AU369" s="2"/>
      <c r="AV369" s="2"/>
    </row>
    <row r="370" spans="1:48" ht="15.75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4"/>
      <c r="AL370" s="4"/>
      <c r="AM370" s="4"/>
      <c r="AN370" s="4"/>
      <c r="AO370" s="4"/>
      <c r="AP370" s="4"/>
      <c r="AQ370" s="2"/>
      <c r="AR370" s="2"/>
      <c r="AS370" s="5"/>
      <c r="AT370" s="2"/>
      <c r="AU370" s="2"/>
      <c r="AV370" s="2"/>
    </row>
    <row r="371" spans="1:48" ht="15.75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4"/>
      <c r="AL371" s="4"/>
      <c r="AM371" s="4"/>
      <c r="AN371" s="4"/>
      <c r="AO371" s="4"/>
      <c r="AP371" s="4"/>
      <c r="AQ371" s="2"/>
      <c r="AR371" s="2"/>
      <c r="AS371" s="5"/>
      <c r="AT371" s="2"/>
      <c r="AU371" s="2"/>
      <c r="AV371" s="2"/>
    </row>
    <row r="372" spans="1:48" ht="15.75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4"/>
      <c r="AL372" s="4"/>
      <c r="AM372" s="4"/>
      <c r="AN372" s="4"/>
      <c r="AO372" s="4"/>
      <c r="AP372" s="4"/>
      <c r="AQ372" s="2"/>
      <c r="AR372" s="2"/>
      <c r="AS372" s="5"/>
      <c r="AT372" s="2"/>
      <c r="AU372" s="2"/>
      <c r="AV372" s="2"/>
    </row>
    <row r="373" spans="1:48" ht="15.75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4"/>
      <c r="AL373" s="4"/>
      <c r="AM373" s="4"/>
      <c r="AN373" s="4"/>
      <c r="AO373" s="4"/>
      <c r="AP373" s="4"/>
      <c r="AQ373" s="2"/>
      <c r="AR373" s="2"/>
      <c r="AS373" s="5"/>
      <c r="AT373" s="2"/>
      <c r="AU373" s="2"/>
      <c r="AV373" s="2"/>
    </row>
    <row r="374" spans="1:48" ht="15.75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4"/>
      <c r="AL374" s="4"/>
      <c r="AM374" s="4"/>
      <c r="AN374" s="4"/>
      <c r="AO374" s="4"/>
      <c r="AP374" s="4"/>
      <c r="AQ374" s="2"/>
      <c r="AR374" s="2"/>
      <c r="AS374" s="5"/>
      <c r="AT374" s="2"/>
      <c r="AU374" s="2"/>
      <c r="AV374" s="2"/>
    </row>
    <row r="375" spans="1:48" ht="15.75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4"/>
      <c r="AL375" s="4"/>
      <c r="AM375" s="4"/>
      <c r="AN375" s="4"/>
      <c r="AO375" s="4"/>
      <c r="AP375" s="4"/>
      <c r="AQ375" s="2"/>
      <c r="AR375" s="2"/>
      <c r="AS375" s="5"/>
      <c r="AT375" s="2"/>
      <c r="AU375" s="2"/>
      <c r="AV375" s="2"/>
    </row>
    <row r="376" spans="1:48" ht="15.75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4"/>
      <c r="AL376" s="4"/>
      <c r="AM376" s="4"/>
      <c r="AN376" s="4"/>
      <c r="AO376" s="4"/>
      <c r="AP376" s="4"/>
      <c r="AQ376" s="2"/>
      <c r="AR376" s="2"/>
      <c r="AS376" s="5"/>
      <c r="AT376" s="2"/>
      <c r="AU376" s="2"/>
      <c r="AV376" s="2"/>
    </row>
    <row r="377" spans="1:48" ht="15.75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4"/>
      <c r="AL377" s="4"/>
      <c r="AM377" s="4"/>
      <c r="AN377" s="4"/>
      <c r="AO377" s="4"/>
      <c r="AP377" s="4"/>
      <c r="AQ377" s="2"/>
      <c r="AR377" s="2"/>
      <c r="AS377" s="5"/>
      <c r="AT377" s="2"/>
      <c r="AU377" s="2"/>
      <c r="AV377" s="2"/>
    </row>
    <row r="378" spans="1:48" ht="15.75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4"/>
      <c r="AL378" s="4"/>
      <c r="AM378" s="4"/>
      <c r="AN378" s="4"/>
      <c r="AO378" s="4"/>
      <c r="AP378" s="4"/>
      <c r="AQ378" s="2"/>
      <c r="AR378" s="2"/>
      <c r="AS378" s="5"/>
      <c r="AT378" s="2"/>
      <c r="AU378" s="2"/>
      <c r="AV378" s="2"/>
    </row>
    <row r="379" spans="1:48" ht="15.75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4"/>
      <c r="AL379" s="4"/>
      <c r="AM379" s="4"/>
      <c r="AN379" s="4"/>
      <c r="AO379" s="4"/>
      <c r="AP379" s="4"/>
      <c r="AQ379" s="2"/>
      <c r="AR379" s="2"/>
      <c r="AS379" s="5"/>
      <c r="AT379" s="2"/>
      <c r="AU379" s="2"/>
      <c r="AV379" s="2"/>
    </row>
    <row r="380" spans="1:48" ht="15.75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4"/>
      <c r="AL380" s="4"/>
      <c r="AM380" s="4"/>
      <c r="AN380" s="4"/>
      <c r="AO380" s="4"/>
      <c r="AP380" s="4"/>
      <c r="AQ380" s="2"/>
      <c r="AR380" s="2"/>
      <c r="AS380" s="5"/>
      <c r="AT380" s="2"/>
      <c r="AU380" s="2"/>
      <c r="AV380" s="2"/>
    </row>
    <row r="381" spans="1:48" ht="15.75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4"/>
      <c r="AL381" s="4"/>
      <c r="AM381" s="4"/>
      <c r="AN381" s="4"/>
      <c r="AO381" s="4"/>
      <c r="AP381" s="4"/>
      <c r="AQ381" s="2"/>
      <c r="AR381" s="2"/>
      <c r="AS381" s="5"/>
      <c r="AT381" s="2"/>
      <c r="AU381" s="2"/>
      <c r="AV381" s="2"/>
    </row>
    <row r="382" spans="1:48" ht="15.75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4"/>
      <c r="AL382" s="4"/>
      <c r="AM382" s="4"/>
      <c r="AN382" s="4"/>
      <c r="AO382" s="4"/>
      <c r="AP382" s="4"/>
      <c r="AQ382" s="2"/>
      <c r="AR382" s="2"/>
      <c r="AS382" s="5"/>
      <c r="AT382" s="2"/>
      <c r="AU382" s="2"/>
      <c r="AV382" s="2"/>
    </row>
    <row r="383" spans="1:48" ht="15.75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4"/>
      <c r="AL383" s="4"/>
      <c r="AM383" s="4"/>
      <c r="AN383" s="4"/>
      <c r="AO383" s="4"/>
      <c r="AP383" s="4"/>
      <c r="AQ383" s="2"/>
      <c r="AR383" s="2"/>
      <c r="AS383" s="5"/>
      <c r="AT383" s="2"/>
      <c r="AU383" s="2"/>
      <c r="AV383" s="2"/>
    </row>
    <row r="384" spans="1:48" ht="15.75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4"/>
      <c r="AL384" s="4"/>
      <c r="AM384" s="4"/>
      <c r="AN384" s="4"/>
      <c r="AO384" s="4"/>
      <c r="AP384" s="4"/>
      <c r="AQ384" s="2"/>
      <c r="AR384" s="2"/>
      <c r="AS384" s="5"/>
      <c r="AT384" s="2"/>
      <c r="AU384" s="2"/>
      <c r="AV384" s="2"/>
    </row>
    <row r="385" spans="1:48" ht="15.75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4"/>
      <c r="AL385" s="4"/>
      <c r="AM385" s="4"/>
      <c r="AN385" s="4"/>
      <c r="AO385" s="4"/>
      <c r="AP385" s="4"/>
      <c r="AQ385" s="2"/>
      <c r="AR385" s="2"/>
      <c r="AS385" s="5"/>
      <c r="AT385" s="2"/>
      <c r="AU385" s="2"/>
      <c r="AV385" s="2"/>
    </row>
    <row r="386" spans="1:48" ht="15.75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4"/>
      <c r="AL386" s="4"/>
      <c r="AM386" s="4"/>
      <c r="AN386" s="4"/>
      <c r="AO386" s="4"/>
      <c r="AP386" s="4"/>
      <c r="AQ386" s="2"/>
      <c r="AR386" s="2"/>
      <c r="AS386" s="5"/>
      <c r="AT386" s="2"/>
      <c r="AU386" s="2"/>
      <c r="AV386" s="2"/>
    </row>
    <row r="387" spans="1:48" ht="15.75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4"/>
      <c r="AL387" s="4"/>
      <c r="AM387" s="4"/>
      <c r="AN387" s="4"/>
      <c r="AO387" s="4"/>
      <c r="AP387" s="4"/>
      <c r="AQ387" s="2"/>
      <c r="AR387" s="2"/>
      <c r="AS387" s="5"/>
      <c r="AT387" s="2"/>
      <c r="AU387" s="2"/>
      <c r="AV387" s="2"/>
    </row>
    <row r="388" spans="1:48" ht="15.75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4"/>
      <c r="AL388" s="4"/>
      <c r="AM388" s="4"/>
      <c r="AN388" s="4"/>
      <c r="AO388" s="4"/>
      <c r="AP388" s="4"/>
      <c r="AQ388" s="2"/>
      <c r="AR388" s="2"/>
      <c r="AS388" s="5"/>
      <c r="AT388" s="2"/>
      <c r="AU388" s="2"/>
      <c r="AV388" s="2"/>
    </row>
    <row r="389" spans="1:48" ht="15.75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4"/>
      <c r="AL389" s="4"/>
      <c r="AM389" s="4"/>
      <c r="AN389" s="4"/>
      <c r="AO389" s="4"/>
      <c r="AP389" s="4"/>
      <c r="AQ389" s="2"/>
      <c r="AR389" s="2"/>
      <c r="AS389" s="5"/>
      <c r="AT389" s="2"/>
      <c r="AU389" s="2"/>
      <c r="AV389" s="2"/>
    </row>
    <row r="390" spans="1:48" ht="15.75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4"/>
      <c r="AL390" s="4"/>
      <c r="AM390" s="4"/>
      <c r="AN390" s="4"/>
      <c r="AO390" s="4"/>
      <c r="AP390" s="4"/>
      <c r="AQ390" s="2"/>
      <c r="AR390" s="2"/>
      <c r="AS390" s="5"/>
      <c r="AT390" s="2"/>
      <c r="AU390" s="2"/>
      <c r="AV390" s="2"/>
    </row>
    <row r="391" spans="1:48" ht="15.75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4"/>
      <c r="AL391" s="4"/>
      <c r="AM391" s="4"/>
      <c r="AN391" s="4"/>
      <c r="AO391" s="4"/>
      <c r="AP391" s="4"/>
      <c r="AQ391" s="2"/>
      <c r="AR391" s="2"/>
      <c r="AS391" s="5"/>
      <c r="AT391" s="2"/>
      <c r="AU391" s="2"/>
      <c r="AV391" s="2"/>
    </row>
    <row r="392" spans="1:48" ht="15.75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4"/>
      <c r="AL392" s="4"/>
      <c r="AM392" s="4"/>
      <c r="AN392" s="4"/>
      <c r="AO392" s="4"/>
      <c r="AP392" s="4"/>
      <c r="AQ392" s="2"/>
      <c r="AR392" s="2"/>
      <c r="AS392" s="5"/>
      <c r="AT392" s="2"/>
      <c r="AU392" s="2"/>
      <c r="AV392" s="2"/>
    </row>
    <row r="393" spans="1:48" ht="15.75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4"/>
      <c r="AL393" s="4"/>
      <c r="AM393" s="4"/>
      <c r="AN393" s="4"/>
      <c r="AO393" s="4"/>
      <c r="AP393" s="4"/>
      <c r="AQ393" s="2"/>
      <c r="AR393" s="2"/>
      <c r="AS393" s="5"/>
      <c r="AT393" s="2"/>
      <c r="AU393" s="2"/>
      <c r="AV393" s="2"/>
    </row>
    <row r="394" spans="1:48" ht="15.75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4"/>
      <c r="AL394" s="4"/>
      <c r="AM394" s="4"/>
      <c r="AN394" s="4"/>
      <c r="AO394" s="4"/>
      <c r="AP394" s="4"/>
      <c r="AQ394" s="2"/>
      <c r="AR394" s="2"/>
      <c r="AS394" s="5"/>
      <c r="AT394" s="2"/>
      <c r="AU394" s="2"/>
      <c r="AV394" s="2"/>
    </row>
    <row r="395" spans="1:48" ht="15.75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4"/>
      <c r="AL395" s="4"/>
      <c r="AM395" s="4"/>
      <c r="AN395" s="4"/>
      <c r="AO395" s="4"/>
      <c r="AP395" s="4"/>
      <c r="AQ395" s="2"/>
      <c r="AR395" s="2"/>
      <c r="AS395" s="5"/>
      <c r="AT395" s="2"/>
      <c r="AU395" s="2"/>
      <c r="AV395" s="2"/>
    </row>
    <row r="396" spans="1:48" ht="15.75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4"/>
      <c r="AL396" s="4"/>
      <c r="AM396" s="4"/>
      <c r="AN396" s="4"/>
      <c r="AO396" s="4"/>
      <c r="AP396" s="4"/>
      <c r="AQ396" s="2"/>
      <c r="AR396" s="2"/>
      <c r="AS396" s="5"/>
      <c r="AT396" s="2"/>
      <c r="AU396" s="2"/>
      <c r="AV396" s="2"/>
    </row>
    <row r="397" spans="1:48" ht="15.75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4"/>
      <c r="AL397" s="4"/>
      <c r="AM397" s="4"/>
      <c r="AN397" s="4"/>
      <c r="AO397" s="4"/>
      <c r="AP397" s="4"/>
      <c r="AQ397" s="2"/>
      <c r="AR397" s="2"/>
      <c r="AS397" s="5"/>
      <c r="AT397" s="2"/>
      <c r="AU397" s="2"/>
      <c r="AV397" s="2"/>
    </row>
    <row r="398" spans="1:48" ht="15.75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4"/>
      <c r="AL398" s="4"/>
      <c r="AM398" s="4"/>
      <c r="AN398" s="4"/>
      <c r="AO398" s="4"/>
      <c r="AP398" s="4"/>
      <c r="AQ398" s="2"/>
      <c r="AR398" s="2"/>
      <c r="AS398" s="5"/>
      <c r="AT398" s="2"/>
      <c r="AU398" s="2"/>
      <c r="AV398" s="2"/>
    </row>
    <row r="399" spans="1:48" ht="15.75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4"/>
      <c r="AL399" s="4"/>
      <c r="AM399" s="4"/>
      <c r="AN399" s="4"/>
      <c r="AO399" s="4"/>
      <c r="AP399" s="4"/>
      <c r="AQ399" s="2"/>
      <c r="AR399" s="2"/>
      <c r="AS399" s="5"/>
      <c r="AT399" s="2"/>
      <c r="AU399" s="2"/>
      <c r="AV399" s="2"/>
    </row>
    <row r="400" spans="1:48" ht="15.75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4"/>
      <c r="AL400" s="4"/>
      <c r="AM400" s="4"/>
      <c r="AN400" s="4"/>
      <c r="AO400" s="4"/>
      <c r="AP400" s="4"/>
      <c r="AQ400" s="2"/>
      <c r="AR400" s="2"/>
      <c r="AS400" s="5"/>
      <c r="AT400" s="2"/>
      <c r="AU400" s="2"/>
      <c r="AV400" s="2"/>
    </row>
    <row r="401" spans="1:48" ht="15.75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4"/>
      <c r="AL401" s="4"/>
      <c r="AM401" s="4"/>
      <c r="AN401" s="4"/>
      <c r="AO401" s="4"/>
      <c r="AP401" s="4"/>
      <c r="AQ401" s="2"/>
      <c r="AR401" s="2"/>
      <c r="AS401" s="5"/>
      <c r="AT401" s="2"/>
      <c r="AU401" s="2"/>
      <c r="AV401" s="2"/>
    </row>
    <row r="402" spans="1:48" ht="15.75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4"/>
      <c r="AL402" s="4"/>
      <c r="AM402" s="4"/>
      <c r="AN402" s="4"/>
      <c r="AO402" s="4"/>
      <c r="AP402" s="4"/>
      <c r="AQ402" s="2"/>
      <c r="AR402" s="2"/>
      <c r="AS402" s="5"/>
      <c r="AT402" s="2"/>
      <c r="AU402" s="2"/>
      <c r="AV402" s="2"/>
    </row>
    <row r="403" spans="1:48" ht="15.75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4"/>
      <c r="AL403" s="4"/>
      <c r="AM403" s="4"/>
      <c r="AN403" s="4"/>
      <c r="AO403" s="4"/>
      <c r="AP403" s="4"/>
      <c r="AQ403" s="2"/>
      <c r="AR403" s="2"/>
      <c r="AS403" s="5"/>
      <c r="AT403" s="2"/>
      <c r="AU403" s="2"/>
      <c r="AV403" s="2"/>
    </row>
    <row r="404" spans="1:48" ht="15.75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4"/>
      <c r="AL404" s="4"/>
      <c r="AM404" s="4"/>
      <c r="AN404" s="4"/>
      <c r="AO404" s="4"/>
      <c r="AP404" s="4"/>
      <c r="AQ404" s="2"/>
      <c r="AR404" s="2"/>
      <c r="AS404" s="5"/>
      <c r="AT404" s="2"/>
      <c r="AU404" s="2"/>
      <c r="AV404" s="2"/>
    </row>
    <row r="405" spans="1:48" ht="15.75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4"/>
      <c r="AL405" s="4"/>
      <c r="AM405" s="4"/>
      <c r="AN405" s="4"/>
      <c r="AO405" s="4"/>
      <c r="AP405" s="4"/>
      <c r="AQ405" s="2"/>
      <c r="AR405" s="2"/>
      <c r="AS405" s="5"/>
      <c r="AT405" s="2"/>
      <c r="AU405" s="2"/>
      <c r="AV405" s="2"/>
    </row>
    <row r="406" spans="1:48" ht="15.75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4"/>
      <c r="AL406" s="4"/>
      <c r="AM406" s="4"/>
      <c r="AN406" s="4"/>
      <c r="AO406" s="4"/>
      <c r="AP406" s="4"/>
      <c r="AQ406" s="2"/>
      <c r="AR406" s="2"/>
      <c r="AS406" s="5"/>
      <c r="AT406" s="2"/>
      <c r="AU406" s="2"/>
      <c r="AV406" s="2"/>
    </row>
    <row r="407" spans="1:48" ht="15.75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4"/>
      <c r="AL407" s="4"/>
      <c r="AM407" s="4"/>
      <c r="AN407" s="4"/>
      <c r="AO407" s="4"/>
      <c r="AP407" s="4"/>
      <c r="AQ407" s="2"/>
      <c r="AR407" s="2"/>
      <c r="AS407" s="5"/>
      <c r="AT407" s="2"/>
      <c r="AU407" s="2"/>
      <c r="AV407" s="2"/>
    </row>
    <row r="408" spans="1:48" ht="15.75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4"/>
      <c r="AL408" s="4"/>
      <c r="AM408" s="4"/>
      <c r="AN408" s="4"/>
      <c r="AO408" s="4"/>
      <c r="AP408" s="4"/>
      <c r="AQ408" s="2"/>
      <c r="AR408" s="2"/>
      <c r="AS408" s="5"/>
      <c r="AT408" s="2"/>
      <c r="AU408" s="2"/>
      <c r="AV408" s="2"/>
    </row>
    <row r="409" spans="1:48" ht="15.75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4"/>
      <c r="AL409" s="4"/>
      <c r="AM409" s="4"/>
      <c r="AN409" s="4"/>
      <c r="AO409" s="4"/>
      <c r="AP409" s="4"/>
      <c r="AQ409" s="2"/>
      <c r="AR409" s="2"/>
      <c r="AS409" s="5"/>
      <c r="AT409" s="2"/>
      <c r="AU409" s="2"/>
      <c r="AV409" s="2"/>
    </row>
    <row r="410" spans="1:48" ht="15.75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4"/>
      <c r="AL410" s="4"/>
      <c r="AM410" s="4"/>
      <c r="AN410" s="4"/>
      <c r="AO410" s="4"/>
      <c r="AP410" s="4"/>
      <c r="AQ410" s="2"/>
      <c r="AR410" s="2"/>
      <c r="AS410" s="5"/>
      <c r="AT410" s="2"/>
      <c r="AU410" s="2"/>
      <c r="AV410" s="2"/>
    </row>
    <row r="411" spans="1:48" ht="15.75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4"/>
      <c r="AL411" s="4"/>
      <c r="AM411" s="4"/>
      <c r="AN411" s="4"/>
      <c r="AO411" s="4"/>
      <c r="AP411" s="4"/>
      <c r="AQ411" s="2"/>
      <c r="AR411" s="2"/>
      <c r="AS411" s="5"/>
      <c r="AT411" s="2"/>
      <c r="AU411" s="2"/>
      <c r="AV411" s="2"/>
    </row>
    <row r="412" spans="1:48" ht="15.75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4"/>
      <c r="AL412" s="4"/>
      <c r="AM412" s="4"/>
      <c r="AN412" s="4"/>
      <c r="AO412" s="4"/>
      <c r="AP412" s="4"/>
      <c r="AQ412" s="2"/>
      <c r="AR412" s="2"/>
      <c r="AS412" s="5"/>
      <c r="AT412" s="2"/>
      <c r="AU412" s="2"/>
      <c r="AV412" s="2"/>
    </row>
    <row r="413" spans="1:48" ht="15.75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4"/>
      <c r="AL413" s="4"/>
      <c r="AM413" s="4"/>
      <c r="AN413" s="4"/>
      <c r="AO413" s="4"/>
      <c r="AP413" s="4"/>
      <c r="AQ413" s="2"/>
      <c r="AR413" s="2"/>
      <c r="AS413" s="5"/>
      <c r="AT413" s="2"/>
      <c r="AU413" s="2"/>
      <c r="AV413" s="2"/>
    </row>
    <row r="414" spans="1:48" ht="15.75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4"/>
      <c r="AL414" s="4"/>
      <c r="AM414" s="4"/>
      <c r="AN414" s="4"/>
      <c r="AO414" s="4"/>
      <c r="AP414" s="4"/>
      <c r="AQ414" s="2"/>
      <c r="AR414" s="2"/>
      <c r="AS414" s="5"/>
      <c r="AT414" s="2"/>
      <c r="AU414" s="2"/>
      <c r="AV414" s="2"/>
    </row>
    <row r="415" spans="1:48" ht="15.75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4"/>
      <c r="AL415" s="4"/>
      <c r="AM415" s="4"/>
      <c r="AN415" s="4"/>
      <c r="AO415" s="4"/>
      <c r="AP415" s="4"/>
      <c r="AQ415" s="2"/>
      <c r="AR415" s="2"/>
      <c r="AS415" s="5"/>
      <c r="AT415" s="2"/>
      <c r="AU415" s="2"/>
      <c r="AV415" s="2"/>
    </row>
    <row r="416" spans="1:48" ht="15.75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4"/>
      <c r="AL416" s="4"/>
      <c r="AM416" s="4"/>
      <c r="AN416" s="4"/>
      <c r="AO416" s="4"/>
      <c r="AP416" s="4"/>
      <c r="AQ416" s="2"/>
      <c r="AR416" s="2"/>
      <c r="AS416" s="5"/>
      <c r="AT416" s="2"/>
      <c r="AU416" s="2"/>
      <c r="AV416" s="2"/>
    </row>
    <row r="417" spans="1:48" ht="15.75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4"/>
      <c r="AL417" s="4"/>
      <c r="AM417" s="4"/>
      <c r="AN417" s="4"/>
      <c r="AO417" s="4"/>
      <c r="AP417" s="4"/>
      <c r="AQ417" s="2"/>
      <c r="AR417" s="2"/>
      <c r="AS417" s="5"/>
      <c r="AT417" s="2"/>
      <c r="AU417" s="2"/>
      <c r="AV417" s="2"/>
    </row>
    <row r="418" spans="1:48" ht="15.75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4"/>
      <c r="AL418" s="4"/>
      <c r="AM418" s="4"/>
      <c r="AN418" s="4"/>
      <c r="AO418" s="4"/>
      <c r="AP418" s="4"/>
      <c r="AQ418" s="2"/>
      <c r="AR418" s="2"/>
      <c r="AS418" s="5"/>
      <c r="AT418" s="2"/>
      <c r="AU418" s="2"/>
      <c r="AV418" s="2"/>
    </row>
    <row r="419" spans="1:48" ht="15.75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4"/>
      <c r="AL419" s="4"/>
      <c r="AM419" s="4"/>
      <c r="AN419" s="4"/>
      <c r="AO419" s="4"/>
      <c r="AP419" s="4"/>
      <c r="AQ419" s="2"/>
      <c r="AR419" s="2"/>
      <c r="AS419" s="5"/>
      <c r="AT419" s="2"/>
      <c r="AU419" s="2"/>
      <c r="AV419" s="2"/>
    </row>
    <row r="420" spans="1:48" ht="15.75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4"/>
      <c r="AL420" s="4"/>
      <c r="AM420" s="4"/>
      <c r="AN420" s="4"/>
      <c r="AO420" s="4"/>
      <c r="AP420" s="4"/>
      <c r="AQ420" s="2"/>
      <c r="AR420" s="2"/>
      <c r="AS420" s="5"/>
      <c r="AT420" s="2"/>
      <c r="AU420" s="2"/>
      <c r="AV420" s="2"/>
    </row>
    <row r="421" spans="1:48" ht="15.75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4"/>
      <c r="AL421" s="4"/>
      <c r="AM421" s="4"/>
      <c r="AN421" s="4"/>
      <c r="AO421" s="4"/>
      <c r="AP421" s="4"/>
      <c r="AQ421" s="2"/>
      <c r="AR421" s="2"/>
      <c r="AS421" s="5"/>
      <c r="AT421" s="2"/>
      <c r="AU421" s="2"/>
      <c r="AV421" s="2"/>
    </row>
    <row r="422" spans="1:48" ht="15.75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4"/>
      <c r="AL422" s="4"/>
      <c r="AM422" s="4"/>
      <c r="AN422" s="4"/>
      <c r="AO422" s="4"/>
      <c r="AP422" s="4"/>
      <c r="AQ422" s="2"/>
      <c r="AR422" s="2"/>
      <c r="AS422" s="5"/>
      <c r="AT422" s="2"/>
      <c r="AU422" s="2"/>
      <c r="AV422" s="2"/>
    </row>
    <row r="423" spans="1:48" ht="15.75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4"/>
      <c r="AL423" s="4"/>
      <c r="AM423" s="4"/>
      <c r="AN423" s="4"/>
      <c r="AO423" s="4"/>
      <c r="AP423" s="4"/>
      <c r="AQ423" s="2"/>
      <c r="AR423" s="2"/>
      <c r="AS423" s="5"/>
      <c r="AT423" s="2"/>
      <c r="AU423" s="2"/>
      <c r="AV423" s="2"/>
    </row>
    <row r="424" spans="1:48" ht="15.75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4"/>
      <c r="AL424" s="4"/>
      <c r="AM424" s="4"/>
      <c r="AN424" s="4"/>
      <c r="AO424" s="4"/>
      <c r="AP424" s="4"/>
      <c r="AQ424" s="2"/>
      <c r="AR424" s="2"/>
      <c r="AS424" s="5"/>
      <c r="AT424" s="2"/>
      <c r="AU424" s="2"/>
      <c r="AV424" s="2"/>
    </row>
    <row r="425" spans="1:48" ht="15.75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4"/>
      <c r="AL425" s="4"/>
      <c r="AM425" s="4"/>
      <c r="AN425" s="4"/>
      <c r="AO425" s="4"/>
      <c r="AP425" s="4"/>
      <c r="AQ425" s="2"/>
      <c r="AR425" s="2"/>
      <c r="AS425" s="5"/>
      <c r="AT425" s="2"/>
      <c r="AU425" s="2"/>
      <c r="AV425" s="2"/>
    </row>
    <row r="426" spans="1:48" ht="15.75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4"/>
      <c r="AL426" s="4"/>
      <c r="AM426" s="4"/>
      <c r="AN426" s="4"/>
      <c r="AO426" s="4"/>
      <c r="AP426" s="4"/>
      <c r="AQ426" s="2"/>
      <c r="AR426" s="2"/>
      <c r="AS426" s="5"/>
      <c r="AT426" s="2"/>
      <c r="AU426" s="2"/>
      <c r="AV426" s="2"/>
    </row>
    <row r="427" spans="1:48" ht="15.75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4"/>
      <c r="AL427" s="4"/>
      <c r="AM427" s="4"/>
      <c r="AN427" s="4"/>
      <c r="AO427" s="4"/>
      <c r="AP427" s="4"/>
      <c r="AQ427" s="2"/>
      <c r="AR427" s="2"/>
      <c r="AS427" s="5"/>
      <c r="AT427" s="2"/>
      <c r="AU427" s="2"/>
      <c r="AV427" s="2"/>
    </row>
    <row r="428" spans="1:48" ht="15.75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4"/>
      <c r="AL428" s="4"/>
      <c r="AM428" s="4"/>
      <c r="AN428" s="4"/>
      <c r="AO428" s="4"/>
      <c r="AP428" s="4"/>
      <c r="AQ428" s="2"/>
      <c r="AR428" s="2"/>
      <c r="AS428" s="5"/>
      <c r="AT428" s="2"/>
      <c r="AU428" s="2"/>
      <c r="AV428" s="2"/>
    </row>
    <row r="429" spans="1:48" ht="15.75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4"/>
      <c r="AL429" s="4"/>
      <c r="AM429" s="4"/>
      <c r="AN429" s="4"/>
      <c r="AO429" s="4"/>
      <c r="AP429" s="4"/>
      <c r="AQ429" s="2"/>
      <c r="AR429" s="2"/>
      <c r="AS429" s="5"/>
      <c r="AT429" s="2"/>
      <c r="AU429" s="2"/>
      <c r="AV429" s="2"/>
    </row>
    <row r="430" spans="1:48" ht="15.75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4"/>
      <c r="AL430" s="4"/>
      <c r="AM430" s="4"/>
      <c r="AN430" s="4"/>
      <c r="AO430" s="4"/>
      <c r="AP430" s="4"/>
      <c r="AQ430" s="2"/>
      <c r="AR430" s="2"/>
      <c r="AS430" s="5"/>
      <c r="AT430" s="2"/>
      <c r="AU430" s="2"/>
      <c r="AV430" s="2"/>
    </row>
    <row r="431" spans="1:48" ht="15.75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4"/>
      <c r="AL431" s="4"/>
      <c r="AM431" s="4"/>
      <c r="AN431" s="4"/>
      <c r="AO431" s="4"/>
      <c r="AP431" s="4"/>
      <c r="AQ431" s="2"/>
      <c r="AR431" s="2"/>
      <c r="AS431" s="5"/>
      <c r="AT431" s="2"/>
      <c r="AU431" s="2"/>
      <c r="AV431" s="2"/>
    </row>
    <row r="432" spans="1:48" ht="15.75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4"/>
      <c r="AL432" s="4"/>
      <c r="AM432" s="4"/>
      <c r="AN432" s="4"/>
      <c r="AO432" s="4"/>
      <c r="AP432" s="4"/>
      <c r="AQ432" s="2"/>
      <c r="AR432" s="2"/>
      <c r="AS432" s="5"/>
      <c r="AT432" s="2"/>
      <c r="AU432" s="2"/>
      <c r="AV432" s="2"/>
    </row>
    <row r="433" spans="1:48" ht="15.75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4"/>
      <c r="AL433" s="4"/>
      <c r="AM433" s="4"/>
      <c r="AN433" s="4"/>
      <c r="AO433" s="4"/>
      <c r="AP433" s="4"/>
      <c r="AQ433" s="2"/>
      <c r="AR433" s="2"/>
      <c r="AS433" s="5"/>
      <c r="AT433" s="2"/>
      <c r="AU433" s="2"/>
      <c r="AV433" s="2"/>
    </row>
    <row r="434" spans="1:48" ht="15.75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4"/>
      <c r="AL434" s="4"/>
      <c r="AM434" s="4"/>
      <c r="AN434" s="4"/>
      <c r="AO434" s="4"/>
      <c r="AP434" s="4"/>
      <c r="AQ434" s="2"/>
      <c r="AR434" s="2"/>
      <c r="AS434" s="5"/>
      <c r="AT434" s="2"/>
      <c r="AU434" s="2"/>
      <c r="AV434" s="2"/>
    </row>
    <row r="435" spans="1:48" ht="15.75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4"/>
      <c r="AL435" s="4"/>
      <c r="AM435" s="4"/>
      <c r="AN435" s="4"/>
      <c r="AO435" s="4"/>
      <c r="AP435" s="4"/>
      <c r="AQ435" s="2"/>
      <c r="AR435" s="2"/>
      <c r="AS435" s="5"/>
      <c r="AT435" s="2"/>
      <c r="AU435" s="2"/>
      <c r="AV435" s="2"/>
    </row>
    <row r="436" spans="1:48" ht="15.75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4"/>
      <c r="AL436" s="4"/>
      <c r="AM436" s="4"/>
      <c r="AN436" s="4"/>
      <c r="AO436" s="4"/>
      <c r="AP436" s="4"/>
      <c r="AQ436" s="2"/>
      <c r="AR436" s="2"/>
      <c r="AS436" s="5"/>
      <c r="AT436" s="2"/>
      <c r="AU436" s="2"/>
      <c r="AV436" s="2"/>
    </row>
    <row r="437" spans="1:48" ht="15.75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4"/>
      <c r="AL437" s="4"/>
      <c r="AM437" s="4"/>
      <c r="AN437" s="4"/>
      <c r="AO437" s="4"/>
      <c r="AP437" s="4"/>
      <c r="AQ437" s="2"/>
      <c r="AR437" s="2"/>
      <c r="AS437" s="5"/>
      <c r="AT437" s="2"/>
      <c r="AU437" s="2"/>
      <c r="AV437" s="2"/>
    </row>
    <row r="438" spans="1:48" ht="15.75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4"/>
      <c r="AL438" s="4"/>
      <c r="AM438" s="4"/>
      <c r="AN438" s="4"/>
      <c r="AO438" s="4"/>
      <c r="AP438" s="4"/>
      <c r="AQ438" s="2"/>
      <c r="AR438" s="2"/>
      <c r="AS438" s="5"/>
      <c r="AT438" s="2"/>
      <c r="AU438" s="2"/>
      <c r="AV438" s="2"/>
    </row>
    <row r="439" spans="1:48" ht="15.75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4"/>
      <c r="AL439" s="4"/>
      <c r="AM439" s="4"/>
      <c r="AN439" s="4"/>
      <c r="AO439" s="4"/>
      <c r="AP439" s="4"/>
      <c r="AQ439" s="2"/>
      <c r="AR439" s="2"/>
      <c r="AS439" s="5"/>
      <c r="AT439" s="2"/>
      <c r="AU439" s="2"/>
      <c r="AV439" s="2"/>
    </row>
    <row r="440" spans="1:48" ht="15.75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4"/>
      <c r="AL440" s="4"/>
      <c r="AM440" s="4"/>
      <c r="AN440" s="4"/>
      <c r="AO440" s="4"/>
      <c r="AP440" s="4"/>
      <c r="AQ440" s="2"/>
      <c r="AR440" s="2"/>
      <c r="AS440" s="5"/>
      <c r="AT440" s="2"/>
      <c r="AU440" s="2"/>
      <c r="AV440" s="2"/>
    </row>
    <row r="441" spans="1:48" ht="15.75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4"/>
      <c r="AL441" s="4"/>
      <c r="AM441" s="4"/>
      <c r="AN441" s="4"/>
      <c r="AO441" s="4"/>
      <c r="AP441" s="4"/>
      <c r="AQ441" s="2"/>
      <c r="AR441" s="2"/>
      <c r="AS441" s="5"/>
      <c r="AT441" s="2"/>
      <c r="AU441" s="2"/>
      <c r="AV441" s="2"/>
    </row>
    <row r="442" spans="1:48" ht="15.75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4"/>
      <c r="AL442" s="4"/>
      <c r="AM442" s="4"/>
      <c r="AN442" s="4"/>
      <c r="AO442" s="4"/>
      <c r="AP442" s="4"/>
      <c r="AQ442" s="2"/>
      <c r="AR442" s="2"/>
      <c r="AS442" s="5"/>
      <c r="AT442" s="2"/>
      <c r="AU442" s="2"/>
      <c r="AV442" s="2"/>
    </row>
    <row r="443" spans="1:48" ht="15.75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4"/>
      <c r="AL443" s="4"/>
      <c r="AM443" s="4"/>
      <c r="AN443" s="4"/>
      <c r="AO443" s="4"/>
      <c r="AP443" s="4"/>
      <c r="AQ443" s="2"/>
      <c r="AR443" s="2"/>
      <c r="AS443" s="5"/>
      <c r="AT443" s="2"/>
      <c r="AU443" s="2"/>
      <c r="AV443" s="2"/>
    </row>
    <row r="444" spans="1:48" ht="15.75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4"/>
      <c r="AL444" s="4"/>
      <c r="AM444" s="4"/>
      <c r="AN444" s="4"/>
      <c r="AO444" s="4"/>
      <c r="AP444" s="4"/>
      <c r="AQ444" s="2"/>
      <c r="AR444" s="2"/>
      <c r="AS444" s="5"/>
      <c r="AT444" s="2"/>
      <c r="AU444" s="2"/>
      <c r="AV444" s="2"/>
    </row>
    <row r="445" spans="1:48" ht="15.75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4"/>
      <c r="AL445" s="4"/>
      <c r="AM445" s="4"/>
      <c r="AN445" s="4"/>
      <c r="AO445" s="4"/>
      <c r="AP445" s="4"/>
      <c r="AQ445" s="2"/>
      <c r="AR445" s="2"/>
      <c r="AS445" s="5"/>
      <c r="AT445" s="2"/>
      <c r="AU445" s="2"/>
      <c r="AV445" s="2"/>
    </row>
    <row r="446" spans="1:48" ht="15.75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4"/>
      <c r="AL446" s="4"/>
      <c r="AM446" s="4"/>
      <c r="AN446" s="4"/>
      <c r="AO446" s="4"/>
      <c r="AP446" s="4"/>
      <c r="AQ446" s="2"/>
      <c r="AR446" s="2"/>
      <c r="AS446" s="5"/>
      <c r="AT446" s="2"/>
      <c r="AU446" s="2"/>
      <c r="AV446" s="2"/>
    </row>
    <row r="447" spans="1:48" ht="15.75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4"/>
      <c r="AL447" s="4"/>
      <c r="AM447" s="4"/>
      <c r="AN447" s="4"/>
      <c r="AO447" s="4"/>
      <c r="AP447" s="4"/>
      <c r="AQ447" s="2"/>
      <c r="AR447" s="2"/>
      <c r="AS447" s="5"/>
      <c r="AT447" s="2"/>
      <c r="AU447" s="2"/>
      <c r="AV447" s="2"/>
    </row>
    <row r="448" spans="1:48" ht="15.75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4"/>
      <c r="AL448" s="4"/>
      <c r="AM448" s="4"/>
      <c r="AN448" s="4"/>
      <c r="AO448" s="4"/>
      <c r="AP448" s="4"/>
      <c r="AQ448" s="2"/>
      <c r="AR448" s="2"/>
      <c r="AS448" s="5"/>
      <c r="AT448" s="2"/>
      <c r="AU448" s="2"/>
      <c r="AV448" s="2"/>
    </row>
    <row r="449" spans="1:48" ht="15.75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4"/>
      <c r="AL449" s="4"/>
      <c r="AM449" s="4"/>
      <c r="AN449" s="4"/>
      <c r="AO449" s="4"/>
      <c r="AP449" s="4"/>
      <c r="AQ449" s="2"/>
      <c r="AR449" s="2"/>
      <c r="AS449" s="5"/>
      <c r="AT449" s="2"/>
      <c r="AU449" s="2"/>
      <c r="AV449" s="2"/>
    </row>
    <row r="450" spans="1:48" ht="15.75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4"/>
      <c r="AL450" s="4"/>
      <c r="AM450" s="4"/>
      <c r="AN450" s="4"/>
      <c r="AO450" s="4"/>
      <c r="AP450" s="4"/>
      <c r="AQ450" s="2"/>
      <c r="AR450" s="2"/>
      <c r="AS450" s="5"/>
      <c r="AT450" s="2"/>
      <c r="AU450" s="2"/>
      <c r="AV450" s="2"/>
    </row>
    <row r="451" spans="1:48" ht="15.75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4"/>
      <c r="AL451" s="4"/>
      <c r="AM451" s="4"/>
      <c r="AN451" s="4"/>
      <c r="AO451" s="4"/>
      <c r="AP451" s="4"/>
      <c r="AQ451" s="2"/>
      <c r="AR451" s="2"/>
      <c r="AS451" s="5"/>
      <c r="AT451" s="2"/>
      <c r="AU451" s="2"/>
      <c r="AV451" s="2"/>
    </row>
    <row r="452" spans="1:48" ht="15.75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4"/>
      <c r="AL452" s="4"/>
      <c r="AM452" s="4"/>
      <c r="AN452" s="4"/>
      <c r="AO452" s="4"/>
      <c r="AP452" s="4"/>
      <c r="AQ452" s="2"/>
      <c r="AR452" s="2"/>
      <c r="AS452" s="5"/>
      <c r="AT452" s="2"/>
      <c r="AU452" s="2"/>
      <c r="AV452" s="2"/>
    </row>
    <row r="453" spans="1:48" ht="15.75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4"/>
      <c r="AL453" s="4"/>
      <c r="AM453" s="4"/>
      <c r="AN453" s="4"/>
      <c r="AO453" s="4"/>
      <c r="AP453" s="4"/>
      <c r="AQ453" s="2"/>
      <c r="AR453" s="2"/>
      <c r="AS453" s="5"/>
      <c r="AT453" s="2"/>
      <c r="AU453" s="2"/>
      <c r="AV453" s="2"/>
    </row>
    <row r="454" spans="1:48" ht="15.75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4"/>
      <c r="AL454" s="4"/>
      <c r="AM454" s="4"/>
      <c r="AN454" s="4"/>
      <c r="AO454" s="4"/>
      <c r="AP454" s="4"/>
      <c r="AQ454" s="2"/>
      <c r="AR454" s="2"/>
      <c r="AS454" s="5"/>
      <c r="AT454" s="2"/>
      <c r="AU454" s="2"/>
      <c r="AV454" s="2"/>
    </row>
    <row r="455" spans="1:48" ht="15.75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4"/>
      <c r="AL455" s="4"/>
      <c r="AM455" s="4"/>
      <c r="AN455" s="4"/>
      <c r="AO455" s="4"/>
      <c r="AP455" s="4"/>
      <c r="AQ455" s="2"/>
      <c r="AR455" s="2"/>
      <c r="AS455" s="5"/>
      <c r="AT455" s="2"/>
      <c r="AU455" s="2"/>
      <c r="AV455" s="2"/>
    </row>
    <row r="456" spans="1:48" ht="15.75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4"/>
      <c r="AL456" s="4"/>
      <c r="AM456" s="4"/>
      <c r="AN456" s="4"/>
      <c r="AO456" s="4"/>
      <c r="AP456" s="4"/>
      <c r="AQ456" s="2"/>
      <c r="AR456" s="2"/>
      <c r="AS456" s="5"/>
      <c r="AT456" s="2"/>
      <c r="AU456" s="2"/>
      <c r="AV456" s="2"/>
    </row>
    <row r="457" spans="1:48" ht="15.75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4"/>
      <c r="AL457" s="4"/>
      <c r="AM457" s="4"/>
      <c r="AN457" s="4"/>
      <c r="AO457" s="4"/>
      <c r="AP457" s="4"/>
      <c r="AQ457" s="2"/>
      <c r="AR457" s="2"/>
      <c r="AS457" s="5"/>
      <c r="AT457" s="2"/>
      <c r="AU457" s="2"/>
      <c r="AV457" s="2"/>
    </row>
    <row r="458" spans="1:48" ht="15.75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4"/>
      <c r="AL458" s="4"/>
      <c r="AM458" s="4"/>
      <c r="AN458" s="4"/>
      <c r="AO458" s="4"/>
      <c r="AP458" s="4"/>
      <c r="AQ458" s="2"/>
      <c r="AR458" s="2"/>
      <c r="AS458" s="5"/>
      <c r="AT458" s="2"/>
      <c r="AU458" s="2"/>
      <c r="AV458" s="2"/>
    </row>
    <row r="459" spans="1:48" ht="15.75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4"/>
      <c r="AL459" s="4"/>
      <c r="AM459" s="4"/>
      <c r="AN459" s="4"/>
      <c r="AO459" s="4"/>
      <c r="AP459" s="4"/>
      <c r="AQ459" s="2"/>
      <c r="AR459" s="2"/>
      <c r="AS459" s="5"/>
      <c r="AT459" s="2"/>
      <c r="AU459" s="2"/>
      <c r="AV459" s="2"/>
    </row>
    <row r="460" spans="1:48" ht="15.75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4"/>
      <c r="AL460" s="4"/>
      <c r="AM460" s="4"/>
      <c r="AN460" s="4"/>
      <c r="AO460" s="4"/>
      <c r="AP460" s="4"/>
      <c r="AQ460" s="2"/>
      <c r="AR460" s="2"/>
      <c r="AS460" s="5"/>
      <c r="AT460" s="2"/>
      <c r="AU460" s="2"/>
      <c r="AV460" s="2"/>
    </row>
    <row r="461" spans="1:48" ht="15.75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4"/>
      <c r="AL461" s="4"/>
      <c r="AM461" s="4"/>
      <c r="AN461" s="4"/>
      <c r="AO461" s="4"/>
      <c r="AP461" s="4"/>
      <c r="AQ461" s="2"/>
      <c r="AR461" s="2"/>
      <c r="AS461" s="5"/>
      <c r="AT461" s="2"/>
      <c r="AU461" s="2"/>
      <c r="AV461" s="2"/>
    </row>
    <row r="462" spans="1:48" ht="15.75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4"/>
      <c r="AL462" s="4"/>
      <c r="AM462" s="4"/>
      <c r="AN462" s="4"/>
      <c r="AO462" s="4"/>
      <c r="AP462" s="4"/>
      <c r="AQ462" s="2"/>
      <c r="AR462" s="2"/>
      <c r="AS462" s="5"/>
      <c r="AT462" s="2"/>
      <c r="AU462" s="2"/>
      <c r="AV462" s="2"/>
    </row>
    <row r="463" spans="1:48" ht="15.75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4"/>
      <c r="AL463" s="4"/>
      <c r="AM463" s="4"/>
      <c r="AN463" s="4"/>
      <c r="AO463" s="4"/>
      <c r="AP463" s="4"/>
      <c r="AQ463" s="2"/>
      <c r="AR463" s="2"/>
      <c r="AS463" s="5"/>
      <c r="AT463" s="2"/>
      <c r="AU463" s="2"/>
      <c r="AV463" s="2"/>
    </row>
    <row r="464" spans="1:48" ht="15.75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4"/>
      <c r="AL464" s="4"/>
      <c r="AM464" s="4"/>
      <c r="AN464" s="4"/>
      <c r="AO464" s="4"/>
      <c r="AP464" s="4"/>
      <c r="AQ464" s="2"/>
      <c r="AR464" s="2"/>
      <c r="AS464" s="5"/>
      <c r="AT464" s="2"/>
      <c r="AU464" s="2"/>
      <c r="AV464" s="2"/>
    </row>
    <row r="465" spans="1:48" ht="15.75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4"/>
      <c r="AL465" s="4"/>
      <c r="AM465" s="4"/>
      <c r="AN465" s="4"/>
      <c r="AO465" s="4"/>
      <c r="AP465" s="4"/>
      <c r="AQ465" s="2"/>
      <c r="AR465" s="2"/>
      <c r="AS465" s="5"/>
      <c r="AT465" s="2"/>
      <c r="AU465" s="2"/>
      <c r="AV465" s="2"/>
    </row>
    <row r="466" spans="1:48" ht="15.75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4"/>
      <c r="AL466" s="4"/>
      <c r="AM466" s="4"/>
      <c r="AN466" s="4"/>
      <c r="AO466" s="4"/>
      <c r="AP466" s="4"/>
      <c r="AQ466" s="2"/>
      <c r="AR466" s="2"/>
      <c r="AS466" s="5"/>
      <c r="AT466" s="2"/>
      <c r="AU466" s="2"/>
      <c r="AV466" s="2"/>
    </row>
    <row r="467" spans="1:48" ht="15.75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4"/>
      <c r="AL467" s="4"/>
      <c r="AM467" s="4"/>
      <c r="AN467" s="4"/>
      <c r="AO467" s="4"/>
      <c r="AP467" s="4"/>
      <c r="AQ467" s="2"/>
      <c r="AR467" s="2"/>
      <c r="AS467" s="5"/>
      <c r="AT467" s="2"/>
      <c r="AU467" s="2"/>
      <c r="AV467" s="2"/>
    </row>
    <row r="468" spans="1:48" ht="15.75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4"/>
      <c r="AL468" s="4"/>
      <c r="AM468" s="4"/>
      <c r="AN468" s="4"/>
      <c r="AO468" s="4"/>
      <c r="AP468" s="4"/>
      <c r="AQ468" s="2"/>
      <c r="AR468" s="2"/>
      <c r="AS468" s="5"/>
      <c r="AT468" s="2"/>
      <c r="AU468" s="2"/>
      <c r="AV468" s="2"/>
    </row>
    <row r="469" spans="1:48" ht="15.75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4"/>
      <c r="AL469" s="4"/>
      <c r="AM469" s="4"/>
      <c r="AN469" s="4"/>
      <c r="AO469" s="4"/>
      <c r="AP469" s="4"/>
      <c r="AQ469" s="2"/>
      <c r="AR469" s="2"/>
      <c r="AS469" s="5"/>
      <c r="AT469" s="2"/>
      <c r="AU469" s="2"/>
      <c r="AV469" s="2"/>
    </row>
    <row r="470" spans="1:48" ht="15.75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4"/>
      <c r="AL470" s="4"/>
      <c r="AM470" s="4"/>
      <c r="AN470" s="4"/>
      <c r="AO470" s="4"/>
      <c r="AP470" s="4"/>
      <c r="AQ470" s="2"/>
      <c r="AR470" s="2"/>
      <c r="AS470" s="5"/>
      <c r="AT470" s="2"/>
      <c r="AU470" s="2"/>
      <c r="AV470" s="2"/>
    </row>
    <row r="471" spans="1:48" ht="15.75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4"/>
      <c r="AL471" s="4"/>
      <c r="AM471" s="4"/>
      <c r="AN471" s="4"/>
      <c r="AO471" s="4"/>
      <c r="AP471" s="4"/>
      <c r="AQ471" s="2"/>
      <c r="AR471" s="2"/>
      <c r="AS471" s="5"/>
      <c r="AT471" s="2"/>
      <c r="AU471" s="2"/>
      <c r="AV471" s="2"/>
    </row>
    <row r="472" spans="1:48" ht="15.75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4"/>
      <c r="AL472" s="4"/>
      <c r="AM472" s="4"/>
      <c r="AN472" s="4"/>
      <c r="AO472" s="4"/>
      <c r="AP472" s="4"/>
      <c r="AQ472" s="2"/>
      <c r="AR472" s="2"/>
      <c r="AS472" s="5"/>
      <c r="AT472" s="2"/>
      <c r="AU472" s="2"/>
      <c r="AV472" s="2"/>
    </row>
    <row r="473" spans="1:48" ht="15.75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4"/>
      <c r="AL473" s="4"/>
      <c r="AM473" s="4"/>
      <c r="AN473" s="4"/>
      <c r="AO473" s="4"/>
      <c r="AP473" s="4"/>
      <c r="AQ473" s="2"/>
      <c r="AR473" s="2"/>
      <c r="AS473" s="5"/>
      <c r="AT473" s="2"/>
      <c r="AU473" s="2"/>
      <c r="AV473" s="2"/>
    </row>
    <row r="474" spans="1:48" ht="15.75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4"/>
      <c r="AL474" s="4"/>
      <c r="AM474" s="4"/>
      <c r="AN474" s="4"/>
      <c r="AO474" s="4"/>
      <c r="AP474" s="4"/>
      <c r="AQ474" s="2"/>
      <c r="AR474" s="2"/>
      <c r="AS474" s="5"/>
      <c r="AT474" s="2"/>
      <c r="AU474" s="2"/>
      <c r="AV474" s="2"/>
    </row>
    <row r="475" spans="1:48" ht="15.75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4"/>
      <c r="AL475" s="4"/>
      <c r="AM475" s="4"/>
      <c r="AN475" s="4"/>
      <c r="AO475" s="4"/>
      <c r="AP475" s="4"/>
      <c r="AQ475" s="2"/>
      <c r="AR475" s="2"/>
      <c r="AS475" s="5"/>
      <c r="AT475" s="2"/>
      <c r="AU475" s="2"/>
      <c r="AV475" s="2"/>
    </row>
    <row r="476" spans="1:48" ht="15.75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4"/>
      <c r="AL476" s="4"/>
      <c r="AM476" s="4"/>
      <c r="AN476" s="4"/>
      <c r="AO476" s="4"/>
      <c r="AP476" s="4"/>
      <c r="AQ476" s="2"/>
      <c r="AR476" s="2"/>
      <c r="AS476" s="5"/>
      <c r="AT476" s="2"/>
      <c r="AU476" s="2"/>
      <c r="AV476" s="2"/>
    </row>
    <row r="477" spans="1:48" ht="15.75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4"/>
      <c r="AL477" s="4"/>
      <c r="AM477" s="4"/>
      <c r="AN477" s="4"/>
      <c r="AO477" s="4"/>
      <c r="AP477" s="4"/>
      <c r="AQ477" s="2"/>
      <c r="AR477" s="2"/>
      <c r="AS477" s="5"/>
      <c r="AT477" s="2"/>
      <c r="AU477" s="2"/>
      <c r="AV477" s="2"/>
    </row>
    <row r="478" spans="1:48" ht="15.75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4"/>
      <c r="AL478" s="4"/>
      <c r="AM478" s="4"/>
      <c r="AN478" s="4"/>
      <c r="AO478" s="4"/>
      <c r="AP478" s="4"/>
      <c r="AQ478" s="2"/>
      <c r="AR478" s="2"/>
      <c r="AS478" s="5"/>
      <c r="AT478" s="2"/>
      <c r="AU478" s="2"/>
      <c r="AV478" s="2"/>
    </row>
    <row r="479" spans="1:48" ht="15.75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4"/>
      <c r="AL479" s="4"/>
      <c r="AM479" s="4"/>
      <c r="AN479" s="4"/>
      <c r="AO479" s="4"/>
      <c r="AP479" s="4"/>
      <c r="AQ479" s="2"/>
      <c r="AR479" s="2"/>
      <c r="AS479" s="5"/>
      <c r="AT479" s="2"/>
      <c r="AU479" s="2"/>
      <c r="AV479" s="2"/>
    </row>
    <row r="480" spans="1:48" ht="15.75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4"/>
      <c r="AL480" s="4"/>
      <c r="AM480" s="4"/>
      <c r="AN480" s="4"/>
      <c r="AO480" s="4"/>
      <c r="AP480" s="4"/>
      <c r="AQ480" s="2"/>
      <c r="AR480" s="2"/>
      <c r="AS480" s="5"/>
      <c r="AT480" s="2"/>
      <c r="AU480" s="2"/>
      <c r="AV480" s="2"/>
    </row>
    <row r="481" spans="1:48" ht="15.75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4"/>
      <c r="AL481" s="4"/>
      <c r="AM481" s="4"/>
      <c r="AN481" s="4"/>
      <c r="AO481" s="4"/>
      <c r="AP481" s="4"/>
      <c r="AQ481" s="2"/>
      <c r="AR481" s="2"/>
      <c r="AS481" s="5"/>
      <c r="AT481" s="2"/>
      <c r="AU481" s="2"/>
      <c r="AV481" s="2"/>
    </row>
    <row r="482" spans="1:48" ht="15.75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4"/>
      <c r="AL482" s="4"/>
      <c r="AM482" s="4"/>
      <c r="AN482" s="4"/>
      <c r="AO482" s="4"/>
      <c r="AP482" s="4"/>
      <c r="AQ482" s="2"/>
      <c r="AR482" s="2"/>
      <c r="AS482" s="5"/>
      <c r="AT482" s="2"/>
      <c r="AU482" s="2"/>
      <c r="AV482" s="2"/>
    </row>
    <row r="483" spans="1:48" ht="15.75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4"/>
      <c r="AL483" s="4"/>
      <c r="AM483" s="4"/>
      <c r="AN483" s="4"/>
      <c r="AO483" s="4"/>
      <c r="AP483" s="4"/>
      <c r="AQ483" s="2"/>
      <c r="AR483" s="2"/>
      <c r="AS483" s="5"/>
      <c r="AT483" s="2"/>
      <c r="AU483" s="2"/>
      <c r="AV483" s="2"/>
    </row>
    <row r="484" spans="1:48" ht="15.75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4"/>
      <c r="AL484" s="4"/>
      <c r="AM484" s="4"/>
      <c r="AN484" s="4"/>
      <c r="AO484" s="4"/>
      <c r="AP484" s="4"/>
      <c r="AQ484" s="2"/>
      <c r="AR484" s="2"/>
      <c r="AS484" s="5"/>
      <c r="AT484" s="2"/>
      <c r="AU484" s="2"/>
      <c r="AV484" s="2"/>
    </row>
    <row r="485" spans="1:48" ht="15.75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4"/>
      <c r="AL485" s="4"/>
      <c r="AM485" s="4"/>
      <c r="AN485" s="4"/>
      <c r="AO485" s="4"/>
      <c r="AP485" s="4"/>
      <c r="AQ485" s="2"/>
      <c r="AR485" s="2"/>
      <c r="AS485" s="5"/>
      <c r="AT485" s="2"/>
      <c r="AU485" s="2"/>
      <c r="AV485" s="2"/>
    </row>
    <row r="486" spans="1:48" ht="15.75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4"/>
      <c r="AL486" s="4"/>
      <c r="AM486" s="4"/>
      <c r="AN486" s="4"/>
      <c r="AO486" s="4"/>
      <c r="AP486" s="4"/>
      <c r="AQ486" s="2"/>
      <c r="AR486" s="2"/>
      <c r="AS486" s="5"/>
      <c r="AT486" s="2"/>
      <c r="AU486" s="2"/>
      <c r="AV486" s="2"/>
    </row>
    <row r="487" spans="1:48" ht="15.75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4"/>
      <c r="AL487" s="4"/>
      <c r="AM487" s="4"/>
      <c r="AN487" s="4"/>
      <c r="AO487" s="4"/>
      <c r="AP487" s="4"/>
      <c r="AQ487" s="2"/>
      <c r="AR487" s="2"/>
      <c r="AS487" s="5"/>
      <c r="AT487" s="2"/>
      <c r="AU487" s="2"/>
      <c r="AV487" s="2"/>
    </row>
    <row r="488" spans="1:48" ht="15.75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4"/>
      <c r="AL488" s="4"/>
      <c r="AM488" s="4"/>
      <c r="AN488" s="4"/>
      <c r="AO488" s="4"/>
      <c r="AP488" s="4"/>
      <c r="AQ488" s="2"/>
      <c r="AR488" s="2"/>
      <c r="AS488" s="5"/>
      <c r="AT488" s="2"/>
      <c r="AU488" s="2"/>
      <c r="AV488" s="2"/>
    </row>
    <row r="489" spans="1:48" ht="15.75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4"/>
      <c r="AL489" s="4"/>
      <c r="AM489" s="4"/>
      <c r="AN489" s="4"/>
      <c r="AO489" s="4"/>
      <c r="AP489" s="4"/>
      <c r="AQ489" s="2"/>
      <c r="AR489" s="2"/>
      <c r="AS489" s="5"/>
      <c r="AT489" s="2"/>
      <c r="AU489" s="2"/>
      <c r="AV489" s="2"/>
    </row>
    <row r="490" spans="1:48" ht="15.75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4"/>
      <c r="AL490" s="4"/>
      <c r="AM490" s="4"/>
      <c r="AN490" s="4"/>
      <c r="AO490" s="4"/>
      <c r="AP490" s="4"/>
      <c r="AQ490" s="2"/>
      <c r="AR490" s="2"/>
      <c r="AS490" s="5"/>
      <c r="AT490" s="2"/>
      <c r="AU490" s="2"/>
      <c r="AV490" s="2"/>
    </row>
    <row r="491" spans="1:48" ht="15.75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4"/>
      <c r="AL491" s="4"/>
      <c r="AM491" s="4"/>
      <c r="AN491" s="4"/>
      <c r="AO491" s="4"/>
      <c r="AP491" s="4"/>
      <c r="AQ491" s="2"/>
      <c r="AR491" s="2"/>
      <c r="AS491" s="5"/>
      <c r="AT491" s="2"/>
      <c r="AU491" s="2"/>
      <c r="AV491" s="2"/>
    </row>
    <row r="492" spans="1:48" ht="15.75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4"/>
      <c r="AL492" s="4"/>
      <c r="AM492" s="4"/>
      <c r="AN492" s="4"/>
      <c r="AO492" s="4"/>
      <c r="AP492" s="4"/>
      <c r="AQ492" s="2"/>
      <c r="AR492" s="2"/>
      <c r="AS492" s="5"/>
      <c r="AT492" s="2"/>
      <c r="AU492" s="2"/>
      <c r="AV492" s="2"/>
    </row>
    <row r="493" spans="1:48" ht="15.75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4"/>
      <c r="AL493" s="4"/>
      <c r="AM493" s="4"/>
      <c r="AN493" s="4"/>
      <c r="AO493" s="4"/>
      <c r="AP493" s="4"/>
      <c r="AQ493" s="2"/>
      <c r="AR493" s="2"/>
      <c r="AS493" s="5"/>
      <c r="AT493" s="2"/>
      <c r="AU493" s="2"/>
      <c r="AV493" s="2"/>
    </row>
    <row r="494" spans="1:48" ht="15.75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4"/>
      <c r="AL494" s="4"/>
      <c r="AM494" s="4"/>
      <c r="AN494" s="4"/>
      <c r="AO494" s="4"/>
      <c r="AP494" s="4"/>
      <c r="AQ494" s="2"/>
      <c r="AR494" s="2"/>
      <c r="AS494" s="5"/>
      <c r="AT494" s="2"/>
      <c r="AU494" s="2"/>
      <c r="AV494" s="2"/>
    </row>
    <row r="495" spans="1:48" ht="15.75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4"/>
      <c r="AL495" s="4"/>
      <c r="AM495" s="4"/>
      <c r="AN495" s="4"/>
      <c r="AO495" s="4"/>
      <c r="AP495" s="4"/>
      <c r="AQ495" s="2"/>
      <c r="AR495" s="2"/>
      <c r="AS495" s="5"/>
      <c r="AT495" s="2"/>
      <c r="AU495" s="2"/>
      <c r="AV495" s="2"/>
    </row>
    <row r="496" spans="1:48" ht="15.75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4"/>
      <c r="AL496" s="4"/>
      <c r="AM496" s="4"/>
      <c r="AN496" s="4"/>
      <c r="AO496" s="4"/>
      <c r="AP496" s="4"/>
      <c r="AQ496" s="2"/>
      <c r="AR496" s="2"/>
      <c r="AS496" s="5"/>
      <c r="AT496" s="2"/>
      <c r="AU496" s="2"/>
      <c r="AV496" s="2"/>
    </row>
    <row r="497" spans="1:48" ht="15.75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4"/>
      <c r="AL497" s="4"/>
      <c r="AM497" s="4"/>
      <c r="AN497" s="4"/>
      <c r="AO497" s="4"/>
      <c r="AP497" s="4"/>
      <c r="AQ497" s="2"/>
      <c r="AR497" s="2"/>
      <c r="AS497" s="5"/>
      <c r="AT497" s="2"/>
      <c r="AU497" s="2"/>
      <c r="AV497" s="2"/>
    </row>
    <row r="498" spans="1:48" ht="15.75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4"/>
      <c r="AL498" s="4"/>
      <c r="AM498" s="4"/>
      <c r="AN498" s="4"/>
      <c r="AO498" s="4"/>
      <c r="AP498" s="4"/>
      <c r="AQ498" s="2"/>
      <c r="AR498" s="2"/>
      <c r="AS498" s="5"/>
      <c r="AT498" s="2"/>
      <c r="AU498" s="2"/>
      <c r="AV498" s="2"/>
    </row>
    <row r="499" spans="1:48" ht="15.75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4"/>
      <c r="AL499" s="4"/>
      <c r="AM499" s="4"/>
      <c r="AN499" s="4"/>
      <c r="AO499" s="4"/>
      <c r="AP499" s="4"/>
      <c r="AQ499" s="2"/>
      <c r="AR499" s="2"/>
      <c r="AS499" s="5"/>
      <c r="AT499" s="2"/>
      <c r="AU499" s="2"/>
      <c r="AV499" s="2"/>
    </row>
    <row r="500" spans="1:48" ht="15.75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4"/>
      <c r="AL500" s="4"/>
      <c r="AM500" s="4"/>
      <c r="AN500" s="4"/>
      <c r="AO500" s="4"/>
      <c r="AP500" s="4"/>
      <c r="AQ500" s="2"/>
      <c r="AR500" s="2"/>
      <c r="AS500" s="5"/>
      <c r="AT500" s="2"/>
      <c r="AU500" s="2"/>
      <c r="AV500" s="2"/>
    </row>
    <row r="501" spans="1:48" ht="15.75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4"/>
      <c r="AL501" s="4"/>
      <c r="AM501" s="4"/>
      <c r="AN501" s="4"/>
      <c r="AO501" s="4"/>
      <c r="AP501" s="4"/>
      <c r="AQ501" s="2"/>
      <c r="AR501" s="2"/>
      <c r="AS501" s="5"/>
      <c r="AT501" s="2"/>
      <c r="AU501" s="2"/>
      <c r="AV501" s="2"/>
    </row>
    <row r="502" spans="1:48" ht="15.75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4"/>
      <c r="AL502" s="4"/>
      <c r="AM502" s="4"/>
      <c r="AN502" s="4"/>
      <c r="AO502" s="4"/>
      <c r="AP502" s="4"/>
      <c r="AQ502" s="2"/>
      <c r="AR502" s="2"/>
      <c r="AS502" s="5"/>
      <c r="AT502" s="2"/>
      <c r="AU502" s="2"/>
      <c r="AV502" s="2"/>
    </row>
    <row r="503" spans="1:48" ht="15.75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4"/>
      <c r="AL503" s="4"/>
      <c r="AM503" s="4"/>
      <c r="AN503" s="4"/>
      <c r="AO503" s="4"/>
      <c r="AP503" s="4"/>
      <c r="AQ503" s="2"/>
      <c r="AR503" s="2"/>
      <c r="AS503" s="5"/>
      <c r="AT503" s="2"/>
      <c r="AU503" s="2"/>
      <c r="AV503" s="2"/>
    </row>
    <row r="504" spans="1:48" ht="15.75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4"/>
      <c r="AL504" s="4"/>
      <c r="AM504" s="4"/>
      <c r="AN504" s="4"/>
      <c r="AO504" s="4"/>
      <c r="AP504" s="4"/>
      <c r="AQ504" s="2"/>
      <c r="AR504" s="2"/>
      <c r="AS504" s="5"/>
      <c r="AT504" s="2"/>
      <c r="AU504" s="2"/>
      <c r="AV504" s="2"/>
    </row>
    <row r="505" spans="1:48" ht="15.75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4"/>
      <c r="AL505" s="4"/>
      <c r="AM505" s="4"/>
      <c r="AN505" s="4"/>
      <c r="AO505" s="4"/>
      <c r="AP505" s="4"/>
      <c r="AQ505" s="2"/>
      <c r="AR505" s="2"/>
      <c r="AS505" s="5"/>
      <c r="AT505" s="2"/>
      <c r="AU505" s="2"/>
      <c r="AV505" s="2"/>
    </row>
    <row r="506" spans="1:48" ht="15.75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4"/>
      <c r="AL506" s="4"/>
      <c r="AM506" s="4"/>
      <c r="AN506" s="4"/>
      <c r="AO506" s="4"/>
      <c r="AP506" s="4"/>
      <c r="AQ506" s="2"/>
      <c r="AR506" s="2"/>
      <c r="AS506" s="5"/>
      <c r="AT506" s="2"/>
      <c r="AU506" s="2"/>
      <c r="AV506" s="2"/>
    </row>
    <row r="507" spans="1:48" ht="15.75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4"/>
      <c r="AL507" s="4"/>
      <c r="AM507" s="4"/>
      <c r="AN507" s="4"/>
      <c r="AO507" s="4"/>
      <c r="AP507" s="4"/>
      <c r="AQ507" s="2"/>
      <c r="AR507" s="2"/>
      <c r="AS507" s="5"/>
      <c r="AT507" s="2"/>
      <c r="AU507" s="2"/>
      <c r="AV507" s="2"/>
    </row>
    <row r="508" spans="1:48" ht="15.75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4"/>
      <c r="AL508" s="4"/>
      <c r="AM508" s="4"/>
      <c r="AN508" s="4"/>
      <c r="AO508" s="4"/>
      <c r="AP508" s="4"/>
      <c r="AQ508" s="2"/>
      <c r="AR508" s="2"/>
      <c r="AS508" s="5"/>
      <c r="AT508" s="2"/>
      <c r="AU508" s="2"/>
      <c r="AV508" s="2"/>
    </row>
    <row r="509" spans="1:48" ht="15.75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4"/>
      <c r="AL509" s="4"/>
      <c r="AM509" s="4"/>
      <c r="AN509" s="4"/>
      <c r="AO509" s="4"/>
      <c r="AP509" s="4"/>
      <c r="AQ509" s="2"/>
      <c r="AR509" s="2"/>
      <c r="AS509" s="5"/>
      <c r="AT509" s="2"/>
      <c r="AU509" s="2"/>
      <c r="AV509" s="2"/>
    </row>
    <row r="510" spans="1:48" ht="15.75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4"/>
      <c r="AL510" s="4"/>
      <c r="AM510" s="4"/>
      <c r="AN510" s="4"/>
      <c r="AO510" s="4"/>
      <c r="AP510" s="4"/>
      <c r="AQ510" s="2"/>
      <c r="AR510" s="2"/>
      <c r="AS510" s="5"/>
      <c r="AT510" s="2"/>
      <c r="AU510" s="2"/>
      <c r="AV510" s="2"/>
    </row>
    <row r="511" spans="1:48" ht="15.75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4"/>
      <c r="AL511" s="4"/>
      <c r="AM511" s="4"/>
      <c r="AN511" s="4"/>
      <c r="AO511" s="4"/>
      <c r="AP511" s="4"/>
      <c r="AQ511" s="2"/>
      <c r="AR511" s="2"/>
      <c r="AS511" s="5"/>
      <c r="AT511" s="2"/>
      <c r="AU511" s="2"/>
      <c r="AV511" s="2"/>
    </row>
    <row r="512" spans="1:48" ht="15.75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4"/>
      <c r="AL512" s="4"/>
      <c r="AM512" s="4"/>
      <c r="AN512" s="4"/>
      <c r="AO512" s="4"/>
      <c r="AP512" s="4"/>
      <c r="AQ512" s="2"/>
      <c r="AR512" s="2"/>
      <c r="AS512" s="5"/>
      <c r="AT512" s="2"/>
      <c r="AU512" s="2"/>
      <c r="AV512" s="2"/>
    </row>
    <row r="513" spans="1:48" ht="15.75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4"/>
      <c r="AL513" s="4"/>
      <c r="AM513" s="4"/>
      <c r="AN513" s="4"/>
      <c r="AO513" s="4"/>
      <c r="AP513" s="4"/>
      <c r="AQ513" s="2"/>
      <c r="AR513" s="2"/>
      <c r="AS513" s="5"/>
      <c r="AT513" s="2"/>
      <c r="AU513" s="2"/>
      <c r="AV513" s="2"/>
    </row>
    <row r="514" spans="1:48" ht="15.75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4"/>
      <c r="AL514" s="4"/>
      <c r="AM514" s="4"/>
      <c r="AN514" s="4"/>
      <c r="AO514" s="4"/>
      <c r="AP514" s="4"/>
      <c r="AQ514" s="2"/>
      <c r="AR514" s="2"/>
      <c r="AS514" s="5"/>
      <c r="AT514" s="2"/>
      <c r="AU514" s="2"/>
      <c r="AV514" s="2"/>
    </row>
    <row r="515" spans="1:48" ht="15.75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4"/>
      <c r="AL515" s="4"/>
      <c r="AM515" s="4"/>
      <c r="AN515" s="4"/>
      <c r="AO515" s="4"/>
      <c r="AP515" s="4"/>
      <c r="AQ515" s="2"/>
      <c r="AR515" s="2"/>
      <c r="AS515" s="5"/>
      <c r="AT515" s="2"/>
      <c r="AU515" s="2"/>
      <c r="AV515" s="2"/>
    </row>
    <row r="516" spans="1:48" ht="15.75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4"/>
      <c r="AL516" s="4"/>
      <c r="AM516" s="4"/>
      <c r="AN516" s="4"/>
      <c r="AO516" s="4"/>
      <c r="AP516" s="4"/>
      <c r="AQ516" s="2"/>
      <c r="AR516" s="2"/>
      <c r="AS516" s="5"/>
      <c r="AT516" s="2"/>
      <c r="AU516" s="2"/>
      <c r="AV516" s="2"/>
    </row>
    <row r="517" spans="1:48" ht="15.75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4"/>
      <c r="AL517" s="4"/>
      <c r="AM517" s="4"/>
      <c r="AN517" s="4"/>
      <c r="AO517" s="4"/>
      <c r="AP517" s="4"/>
      <c r="AQ517" s="2"/>
      <c r="AR517" s="2"/>
      <c r="AS517" s="5"/>
      <c r="AT517" s="2"/>
      <c r="AU517" s="2"/>
      <c r="AV517" s="2"/>
    </row>
    <row r="518" spans="1:48" ht="15.75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4"/>
      <c r="AL518" s="4"/>
      <c r="AM518" s="4"/>
      <c r="AN518" s="4"/>
      <c r="AO518" s="4"/>
      <c r="AP518" s="4"/>
      <c r="AQ518" s="2"/>
      <c r="AR518" s="2"/>
      <c r="AS518" s="5"/>
      <c r="AT518" s="2"/>
      <c r="AU518" s="2"/>
      <c r="AV518" s="2"/>
    </row>
    <row r="519" spans="1:48" ht="15.75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4"/>
      <c r="AL519" s="4"/>
      <c r="AM519" s="4"/>
      <c r="AN519" s="4"/>
      <c r="AO519" s="4"/>
      <c r="AP519" s="4"/>
      <c r="AQ519" s="2"/>
      <c r="AR519" s="2"/>
      <c r="AS519" s="5"/>
      <c r="AT519" s="2"/>
      <c r="AU519" s="2"/>
      <c r="AV519" s="2"/>
    </row>
    <row r="520" spans="1:48" ht="15.75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4"/>
      <c r="AL520" s="4"/>
      <c r="AM520" s="4"/>
      <c r="AN520" s="4"/>
      <c r="AO520" s="4"/>
      <c r="AP520" s="4"/>
      <c r="AQ520" s="2"/>
      <c r="AR520" s="2"/>
      <c r="AS520" s="5"/>
      <c r="AT520" s="2"/>
      <c r="AU520" s="2"/>
      <c r="AV520" s="2"/>
    </row>
    <row r="521" spans="1:48" ht="15.75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4"/>
      <c r="AL521" s="4"/>
      <c r="AM521" s="4"/>
      <c r="AN521" s="4"/>
      <c r="AO521" s="4"/>
      <c r="AP521" s="4"/>
      <c r="AQ521" s="2"/>
      <c r="AR521" s="2"/>
      <c r="AS521" s="5"/>
      <c r="AT521" s="2"/>
      <c r="AU521" s="2"/>
      <c r="AV521" s="2"/>
    </row>
    <row r="522" spans="1:48" ht="15.75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4"/>
      <c r="AL522" s="4"/>
      <c r="AM522" s="4"/>
      <c r="AN522" s="4"/>
      <c r="AO522" s="4"/>
      <c r="AP522" s="4"/>
      <c r="AQ522" s="2"/>
      <c r="AR522" s="2"/>
      <c r="AS522" s="5"/>
      <c r="AT522" s="2"/>
      <c r="AU522" s="2"/>
      <c r="AV522" s="2"/>
    </row>
    <row r="523" spans="1:48" ht="15.75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4"/>
      <c r="AL523" s="4"/>
      <c r="AM523" s="4"/>
      <c r="AN523" s="4"/>
      <c r="AO523" s="4"/>
      <c r="AP523" s="4"/>
      <c r="AQ523" s="2"/>
      <c r="AR523" s="2"/>
      <c r="AS523" s="5"/>
      <c r="AT523" s="2"/>
      <c r="AU523" s="2"/>
      <c r="AV523" s="2"/>
    </row>
    <row r="524" spans="1:48" ht="15.75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4"/>
      <c r="AL524" s="4"/>
      <c r="AM524" s="4"/>
      <c r="AN524" s="4"/>
      <c r="AO524" s="4"/>
      <c r="AP524" s="4"/>
      <c r="AQ524" s="2"/>
      <c r="AR524" s="2"/>
      <c r="AS524" s="5"/>
      <c r="AT524" s="2"/>
      <c r="AU524" s="2"/>
      <c r="AV524" s="2"/>
    </row>
    <row r="525" spans="1:48" ht="15.75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4"/>
      <c r="AL525" s="4"/>
      <c r="AM525" s="4"/>
      <c r="AN525" s="4"/>
      <c r="AO525" s="4"/>
      <c r="AP525" s="4"/>
      <c r="AQ525" s="2"/>
      <c r="AR525" s="2"/>
      <c r="AS525" s="5"/>
      <c r="AT525" s="2"/>
      <c r="AU525" s="2"/>
      <c r="AV525" s="2"/>
    </row>
    <row r="526" spans="1:48" ht="15.75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4"/>
      <c r="AL526" s="4"/>
      <c r="AM526" s="4"/>
      <c r="AN526" s="4"/>
      <c r="AO526" s="4"/>
      <c r="AP526" s="4"/>
      <c r="AQ526" s="2"/>
      <c r="AR526" s="2"/>
      <c r="AS526" s="5"/>
      <c r="AT526" s="2"/>
      <c r="AU526" s="2"/>
      <c r="AV526" s="2"/>
    </row>
    <row r="527" spans="1:48" ht="15.75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4"/>
      <c r="AL527" s="4"/>
      <c r="AM527" s="4"/>
      <c r="AN527" s="4"/>
      <c r="AO527" s="4"/>
      <c r="AP527" s="4"/>
      <c r="AQ527" s="2"/>
      <c r="AR527" s="2"/>
      <c r="AS527" s="5"/>
      <c r="AT527" s="2"/>
      <c r="AU527" s="2"/>
      <c r="AV527" s="2"/>
    </row>
    <row r="528" spans="1:48" ht="15.75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4"/>
      <c r="AL528" s="4"/>
      <c r="AM528" s="4"/>
      <c r="AN528" s="4"/>
      <c r="AO528" s="4"/>
      <c r="AP528" s="4"/>
      <c r="AQ528" s="2"/>
      <c r="AR528" s="2"/>
      <c r="AS528" s="5"/>
      <c r="AT528" s="2"/>
      <c r="AU528" s="2"/>
      <c r="AV528" s="2"/>
    </row>
    <row r="529" spans="1:48" ht="15.75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4"/>
      <c r="AL529" s="4"/>
      <c r="AM529" s="4"/>
      <c r="AN529" s="4"/>
      <c r="AO529" s="4"/>
      <c r="AP529" s="4"/>
      <c r="AQ529" s="2"/>
      <c r="AR529" s="2"/>
      <c r="AS529" s="5"/>
      <c r="AT529" s="2"/>
      <c r="AU529" s="2"/>
      <c r="AV529" s="2"/>
    </row>
    <row r="530" spans="1:48" ht="15.75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4"/>
      <c r="AL530" s="4"/>
      <c r="AM530" s="4"/>
      <c r="AN530" s="4"/>
      <c r="AO530" s="4"/>
      <c r="AP530" s="4"/>
      <c r="AQ530" s="2"/>
      <c r="AR530" s="2"/>
      <c r="AS530" s="5"/>
      <c r="AT530" s="2"/>
      <c r="AU530" s="2"/>
      <c r="AV530" s="2"/>
    </row>
    <row r="531" spans="1:48" ht="15.75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4"/>
      <c r="AL531" s="4"/>
      <c r="AM531" s="4"/>
      <c r="AN531" s="4"/>
      <c r="AO531" s="4"/>
      <c r="AP531" s="4"/>
      <c r="AQ531" s="2"/>
      <c r="AR531" s="2"/>
      <c r="AS531" s="5"/>
      <c r="AT531" s="2"/>
      <c r="AU531" s="2"/>
      <c r="AV531" s="2"/>
    </row>
    <row r="532" spans="1:48" ht="15.75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4"/>
      <c r="AL532" s="4"/>
      <c r="AM532" s="4"/>
      <c r="AN532" s="4"/>
      <c r="AO532" s="4"/>
      <c r="AP532" s="4"/>
      <c r="AQ532" s="2"/>
      <c r="AR532" s="2"/>
      <c r="AS532" s="5"/>
      <c r="AT532" s="2"/>
      <c r="AU532" s="2"/>
      <c r="AV532" s="2"/>
    </row>
    <row r="533" spans="1:48" ht="15.75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4"/>
      <c r="AL533" s="4"/>
      <c r="AM533" s="4"/>
      <c r="AN533" s="4"/>
      <c r="AO533" s="4"/>
      <c r="AP533" s="4"/>
      <c r="AQ533" s="2"/>
      <c r="AR533" s="2"/>
      <c r="AS533" s="5"/>
      <c r="AT533" s="2"/>
      <c r="AU533" s="2"/>
      <c r="AV533" s="2"/>
    </row>
    <row r="534" spans="1:48" ht="15.75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4"/>
      <c r="AL534" s="4"/>
      <c r="AM534" s="4"/>
      <c r="AN534" s="4"/>
      <c r="AO534" s="4"/>
      <c r="AP534" s="4"/>
      <c r="AQ534" s="2"/>
      <c r="AR534" s="2"/>
      <c r="AS534" s="5"/>
      <c r="AT534" s="2"/>
      <c r="AU534" s="2"/>
      <c r="AV534" s="2"/>
    </row>
    <row r="535" spans="1:48" ht="15.75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4"/>
      <c r="AL535" s="4"/>
      <c r="AM535" s="4"/>
      <c r="AN535" s="4"/>
      <c r="AO535" s="4"/>
      <c r="AP535" s="4"/>
      <c r="AQ535" s="2"/>
      <c r="AR535" s="2"/>
      <c r="AS535" s="5"/>
      <c r="AT535" s="2"/>
      <c r="AU535" s="2"/>
      <c r="AV535" s="2"/>
    </row>
    <row r="536" spans="1:48" ht="15.75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4"/>
      <c r="AL536" s="4"/>
      <c r="AM536" s="4"/>
      <c r="AN536" s="4"/>
      <c r="AO536" s="4"/>
      <c r="AP536" s="4"/>
      <c r="AQ536" s="2"/>
      <c r="AR536" s="2"/>
      <c r="AS536" s="5"/>
      <c r="AT536" s="2"/>
      <c r="AU536" s="2"/>
      <c r="AV536" s="2"/>
    </row>
    <row r="537" spans="1:48" ht="15.75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4"/>
      <c r="AL537" s="4"/>
      <c r="AM537" s="4"/>
      <c r="AN537" s="4"/>
      <c r="AO537" s="4"/>
      <c r="AP537" s="4"/>
      <c r="AQ537" s="2"/>
      <c r="AR537" s="2"/>
      <c r="AS537" s="5"/>
      <c r="AT537" s="2"/>
      <c r="AU537" s="2"/>
      <c r="AV537" s="2"/>
    </row>
    <row r="538" spans="1:48" ht="15.75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4"/>
      <c r="AL538" s="4"/>
      <c r="AM538" s="4"/>
      <c r="AN538" s="4"/>
      <c r="AO538" s="4"/>
      <c r="AP538" s="4"/>
      <c r="AQ538" s="2"/>
      <c r="AR538" s="2"/>
      <c r="AS538" s="5"/>
      <c r="AT538" s="2"/>
      <c r="AU538" s="2"/>
      <c r="AV538" s="2"/>
    </row>
    <row r="539" spans="1:48" ht="15.75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4"/>
      <c r="AL539" s="4"/>
      <c r="AM539" s="4"/>
      <c r="AN539" s="4"/>
      <c r="AO539" s="4"/>
      <c r="AP539" s="4"/>
      <c r="AQ539" s="2"/>
      <c r="AR539" s="2"/>
      <c r="AS539" s="5"/>
      <c r="AT539" s="2"/>
      <c r="AU539" s="2"/>
      <c r="AV539" s="2"/>
    </row>
    <row r="540" spans="1:48" ht="15.75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4"/>
      <c r="AL540" s="4"/>
      <c r="AM540" s="4"/>
      <c r="AN540" s="4"/>
      <c r="AO540" s="4"/>
      <c r="AP540" s="4"/>
      <c r="AQ540" s="2"/>
      <c r="AR540" s="2"/>
      <c r="AS540" s="5"/>
      <c r="AT540" s="2"/>
      <c r="AU540" s="2"/>
      <c r="AV540" s="2"/>
    </row>
    <row r="541" spans="1:48" ht="15.75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4"/>
      <c r="AL541" s="4"/>
      <c r="AM541" s="4"/>
      <c r="AN541" s="4"/>
      <c r="AO541" s="4"/>
      <c r="AP541" s="4"/>
      <c r="AQ541" s="2"/>
      <c r="AR541" s="2"/>
      <c r="AS541" s="5"/>
      <c r="AT541" s="2"/>
      <c r="AU541" s="2"/>
      <c r="AV541" s="2"/>
    </row>
    <row r="542" spans="1:48" ht="15.75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4"/>
      <c r="AL542" s="4"/>
      <c r="AM542" s="4"/>
      <c r="AN542" s="4"/>
      <c r="AO542" s="4"/>
      <c r="AP542" s="4"/>
      <c r="AQ542" s="2"/>
      <c r="AR542" s="2"/>
      <c r="AS542" s="5"/>
      <c r="AT542" s="2"/>
      <c r="AU542" s="2"/>
      <c r="AV542" s="2"/>
    </row>
    <row r="543" spans="1:48" ht="15.75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4"/>
      <c r="AL543" s="4"/>
      <c r="AM543" s="4"/>
      <c r="AN543" s="4"/>
      <c r="AO543" s="4"/>
      <c r="AP543" s="4"/>
      <c r="AQ543" s="2"/>
      <c r="AR543" s="2"/>
      <c r="AS543" s="5"/>
      <c r="AT543" s="2"/>
      <c r="AU543" s="2"/>
      <c r="AV543" s="2"/>
    </row>
    <row r="544" spans="1:48" ht="15.75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4"/>
      <c r="AL544" s="4"/>
      <c r="AM544" s="4"/>
      <c r="AN544" s="4"/>
      <c r="AO544" s="4"/>
      <c r="AP544" s="4"/>
      <c r="AQ544" s="2"/>
      <c r="AR544" s="2"/>
      <c r="AS544" s="5"/>
      <c r="AT544" s="2"/>
      <c r="AU544" s="2"/>
      <c r="AV544" s="2"/>
    </row>
    <row r="545" spans="1:48" ht="15.75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4"/>
      <c r="AL545" s="4"/>
      <c r="AM545" s="4"/>
      <c r="AN545" s="4"/>
      <c r="AO545" s="4"/>
      <c r="AP545" s="4"/>
      <c r="AQ545" s="2"/>
      <c r="AR545" s="2"/>
      <c r="AS545" s="5"/>
      <c r="AT545" s="2"/>
      <c r="AU545" s="2"/>
      <c r="AV545" s="2"/>
    </row>
    <row r="546" spans="1:48" ht="15.75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4"/>
      <c r="AL546" s="4"/>
      <c r="AM546" s="4"/>
      <c r="AN546" s="4"/>
      <c r="AO546" s="4"/>
      <c r="AP546" s="4"/>
      <c r="AQ546" s="2"/>
      <c r="AR546" s="2"/>
      <c r="AS546" s="5"/>
      <c r="AT546" s="2"/>
      <c r="AU546" s="2"/>
      <c r="AV546" s="2"/>
    </row>
    <row r="547" spans="1:48" ht="15.75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4"/>
      <c r="AL547" s="4"/>
      <c r="AM547" s="4"/>
      <c r="AN547" s="4"/>
      <c r="AO547" s="4"/>
      <c r="AP547" s="4"/>
      <c r="AQ547" s="2"/>
      <c r="AR547" s="2"/>
      <c r="AS547" s="5"/>
      <c r="AT547" s="2"/>
      <c r="AU547" s="2"/>
      <c r="AV547" s="2"/>
    </row>
    <row r="548" spans="1:48" ht="15.75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4"/>
      <c r="AL548" s="4"/>
      <c r="AM548" s="4"/>
      <c r="AN548" s="4"/>
      <c r="AO548" s="4"/>
      <c r="AP548" s="4"/>
      <c r="AQ548" s="2"/>
      <c r="AR548" s="2"/>
      <c r="AS548" s="5"/>
      <c r="AT548" s="2"/>
      <c r="AU548" s="2"/>
      <c r="AV548" s="2"/>
    </row>
    <row r="549" spans="1:48" ht="15.75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4"/>
      <c r="AL549" s="4"/>
      <c r="AM549" s="4"/>
      <c r="AN549" s="4"/>
      <c r="AO549" s="4"/>
      <c r="AP549" s="4"/>
      <c r="AQ549" s="2"/>
      <c r="AR549" s="2"/>
      <c r="AS549" s="5"/>
      <c r="AT549" s="2"/>
      <c r="AU549" s="2"/>
      <c r="AV549" s="2"/>
    </row>
    <row r="550" spans="1:48" ht="15.75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4"/>
      <c r="AL550" s="4"/>
      <c r="AM550" s="4"/>
      <c r="AN550" s="4"/>
      <c r="AO550" s="4"/>
      <c r="AP550" s="4"/>
      <c r="AQ550" s="2"/>
      <c r="AR550" s="2"/>
      <c r="AS550" s="5"/>
      <c r="AT550" s="2"/>
      <c r="AU550" s="2"/>
      <c r="AV550" s="2"/>
    </row>
    <row r="551" spans="1:48" ht="15.75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4"/>
      <c r="AL551" s="4"/>
      <c r="AM551" s="4"/>
      <c r="AN551" s="4"/>
      <c r="AO551" s="4"/>
      <c r="AP551" s="4"/>
      <c r="AQ551" s="2"/>
      <c r="AR551" s="2"/>
      <c r="AS551" s="5"/>
      <c r="AT551" s="2"/>
      <c r="AU551" s="2"/>
      <c r="AV551" s="2"/>
    </row>
    <row r="552" spans="1:48" ht="15.75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4"/>
      <c r="AL552" s="4"/>
      <c r="AM552" s="4"/>
      <c r="AN552" s="4"/>
      <c r="AO552" s="4"/>
      <c r="AP552" s="4"/>
      <c r="AQ552" s="2"/>
      <c r="AR552" s="2"/>
      <c r="AS552" s="5"/>
      <c r="AT552" s="2"/>
      <c r="AU552" s="2"/>
      <c r="AV552" s="2"/>
    </row>
    <row r="553" spans="1:48" ht="15.75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4"/>
      <c r="AL553" s="4"/>
      <c r="AM553" s="4"/>
      <c r="AN553" s="4"/>
      <c r="AO553" s="4"/>
      <c r="AP553" s="4"/>
      <c r="AQ553" s="2"/>
      <c r="AR553" s="2"/>
      <c r="AS553" s="5"/>
      <c r="AT553" s="2"/>
      <c r="AU553" s="2"/>
      <c r="AV553" s="2"/>
    </row>
    <row r="554" spans="1:48" ht="15.75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4"/>
      <c r="AL554" s="4"/>
      <c r="AM554" s="4"/>
      <c r="AN554" s="4"/>
      <c r="AO554" s="4"/>
      <c r="AP554" s="4"/>
      <c r="AQ554" s="2"/>
      <c r="AR554" s="2"/>
      <c r="AS554" s="5"/>
      <c r="AT554" s="2"/>
      <c r="AU554" s="2"/>
      <c r="AV554" s="2"/>
    </row>
    <row r="555" spans="1:48" ht="15.75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4"/>
      <c r="AL555" s="4"/>
      <c r="AM555" s="4"/>
      <c r="AN555" s="4"/>
      <c r="AO555" s="4"/>
      <c r="AP555" s="4"/>
      <c r="AQ555" s="2"/>
      <c r="AR555" s="2"/>
      <c r="AS555" s="5"/>
      <c r="AT555" s="2"/>
      <c r="AU555" s="2"/>
      <c r="AV555" s="2"/>
    </row>
    <row r="556" spans="1:48" ht="15.75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4"/>
      <c r="AL556" s="4"/>
      <c r="AM556" s="4"/>
      <c r="AN556" s="4"/>
      <c r="AO556" s="4"/>
      <c r="AP556" s="4"/>
      <c r="AQ556" s="2"/>
      <c r="AR556" s="2"/>
      <c r="AS556" s="5"/>
      <c r="AT556" s="2"/>
      <c r="AU556" s="2"/>
      <c r="AV556" s="2"/>
    </row>
    <row r="557" spans="1:48" ht="15.75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4"/>
      <c r="AL557" s="4"/>
      <c r="AM557" s="4"/>
      <c r="AN557" s="4"/>
      <c r="AO557" s="4"/>
      <c r="AP557" s="4"/>
      <c r="AQ557" s="2"/>
      <c r="AR557" s="2"/>
      <c r="AS557" s="5"/>
      <c r="AT557" s="2"/>
      <c r="AU557" s="2"/>
      <c r="AV557" s="2"/>
    </row>
    <row r="558" spans="1:48" ht="15.75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4"/>
      <c r="AL558" s="4"/>
      <c r="AM558" s="4"/>
      <c r="AN558" s="4"/>
      <c r="AO558" s="4"/>
      <c r="AP558" s="4"/>
      <c r="AQ558" s="2"/>
      <c r="AR558" s="2"/>
      <c r="AS558" s="5"/>
      <c r="AT558" s="2"/>
      <c r="AU558" s="2"/>
      <c r="AV558" s="2"/>
    </row>
    <row r="559" spans="1:48" ht="15.75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4"/>
      <c r="AL559" s="4"/>
      <c r="AM559" s="4"/>
      <c r="AN559" s="4"/>
      <c r="AO559" s="4"/>
      <c r="AP559" s="4"/>
      <c r="AQ559" s="2"/>
      <c r="AR559" s="2"/>
      <c r="AS559" s="5"/>
      <c r="AT559" s="2"/>
      <c r="AU559" s="2"/>
      <c r="AV559" s="2"/>
    </row>
    <row r="560" spans="1:48" ht="15.75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4"/>
      <c r="AL560" s="4"/>
      <c r="AM560" s="4"/>
      <c r="AN560" s="4"/>
      <c r="AO560" s="4"/>
      <c r="AP560" s="4"/>
      <c r="AQ560" s="2"/>
      <c r="AR560" s="2"/>
      <c r="AS560" s="5"/>
      <c r="AT560" s="2"/>
      <c r="AU560" s="2"/>
      <c r="AV560" s="2"/>
    </row>
    <row r="561" spans="1:48" ht="15.75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4"/>
      <c r="AL561" s="4"/>
      <c r="AM561" s="4"/>
      <c r="AN561" s="4"/>
      <c r="AO561" s="4"/>
      <c r="AP561" s="4"/>
      <c r="AQ561" s="2"/>
      <c r="AR561" s="2"/>
      <c r="AS561" s="5"/>
      <c r="AT561" s="2"/>
      <c r="AU561" s="2"/>
      <c r="AV561" s="2"/>
    </row>
    <row r="562" spans="1:48" ht="15.75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4"/>
      <c r="AL562" s="4"/>
      <c r="AM562" s="4"/>
      <c r="AN562" s="4"/>
      <c r="AO562" s="4"/>
      <c r="AP562" s="4"/>
      <c r="AQ562" s="2"/>
      <c r="AR562" s="2"/>
      <c r="AS562" s="5"/>
      <c r="AT562" s="2"/>
      <c r="AU562" s="2"/>
      <c r="AV562" s="2"/>
    </row>
    <row r="563" spans="1:48" ht="15.75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4"/>
      <c r="AL563" s="4"/>
      <c r="AM563" s="4"/>
      <c r="AN563" s="4"/>
      <c r="AO563" s="4"/>
      <c r="AP563" s="4"/>
      <c r="AQ563" s="2"/>
      <c r="AR563" s="2"/>
      <c r="AS563" s="5"/>
      <c r="AT563" s="2"/>
      <c r="AU563" s="2"/>
      <c r="AV563" s="2"/>
    </row>
    <row r="564" spans="1:48" ht="15.75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4"/>
      <c r="AL564" s="4"/>
      <c r="AM564" s="4"/>
      <c r="AN564" s="4"/>
      <c r="AO564" s="4"/>
      <c r="AP564" s="4"/>
      <c r="AQ564" s="2"/>
      <c r="AR564" s="2"/>
      <c r="AS564" s="5"/>
      <c r="AT564" s="2"/>
      <c r="AU564" s="2"/>
      <c r="AV564" s="2"/>
    </row>
    <row r="565" spans="1:48" ht="15.75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4"/>
      <c r="AL565" s="4"/>
      <c r="AM565" s="4"/>
      <c r="AN565" s="4"/>
      <c r="AO565" s="4"/>
      <c r="AP565" s="4"/>
      <c r="AQ565" s="2"/>
      <c r="AR565" s="2"/>
      <c r="AS565" s="5"/>
      <c r="AT565" s="2"/>
      <c r="AU565" s="2"/>
      <c r="AV565" s="2"/>
    </row>
    <row r="566" spans="1:48" ht="15.75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4"/>
      <c r="AL566" s="4"/>
      <c r="AM566" s="4"/>
      <c r="AN566" s="4"/>
      <c r="AO566" s="4"/>
      <c r="AP566" s="4"/>
      <c r="AQ566" s="2"/>
      <c r="AR566" s="2"/>
      <c r="AS566" s="5"/>
      <c r="AT566" s="2"/>
      <c r="AU566" s="2"/>
      <c r="AV566" s="2"/>
    </row>
    <row r="567" spans="1:48" ht="15.75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4"/>
      <c r="AL567" s="4"/>
      <c r="AM567" s="4"/>
      <c r="AN567" s="4"/>
      <c r="AO567" s="4"/>
      <c r="AP567" s="4"/>
      <c r="AQ567" s="2"/>
      <c r="AR567" s="2"/>
      <c r="AS567" s="5"/>
      <c r="AT567" s="2"/>
      <c r="AU567" s="2"/>
      <c r="AV567" s="2"/>
    </row>
    <row r="568" spans="1:48" ht="15.75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4"/>
      <c r="AL568" s="4"/>
      <c r="AM568" s="4"/>
      <c r="AN568" s="4"/>
      <c r="AO568" s="4"/>
      <c r="AP568" s="4"/>
      <c r="AQ568" s="2"/>
      <c r="AR568" s="2"/>
      <c r="AS568" s="5"/>
      <c r="AT568" s="2"/>
      <c r="AU568" s="2"/>
      <c r="AV568" s="2"/>
    </row>
    <row r="569" spans="1:48" ht="15.75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4"/>
      <c r="AL569" s="4"/>
      <c r="AM569" s="4"/>
      <c r="AN569" s="4"/>
      <c r="AO569" s="4"/>
      <c r="AP569" s="4"/>
      <c r="AQ569" s="2"/>
      <c r="AR569" s="2"/>
      <c r="AS569" s="5"/>
      <c r="AT569" s="2"/>
      <c r="AU569" s="2"/>
      <c r="AV569" s="2"/>
    </row>
    <row r="570" spans="1:48" ht="15.75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4"/>
      <c r="AL570" s="4"/>
      <c r="AM570" s="4"/>
      <c r="AN570" s="4"/>
      <c r="AO570" s="4"/>
      <c r="AP570" s="4"/>
      <c r="AQ570" s="2"/>
      <c r="AR570" s="2"/>
      <c r="AS570" s="5"/>
      <c r="AT570" s="2"/>
      <c r="AU570" s="2"/>
      <c r="AV570" s="2"/>
    </row>
    <row r="571" spans="1:48" ht="15.75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4"/>
      <c r="AL571" s="4"/>
      <c r="AM571" s="4"/>
      <c r="AN571" s="4"/>
      <c r="AO571" s="4"/>
      <c r="AP571" s="4"/>
      <c r="AQ571" s="2"/>
      <c r="AR571" s="2"/>
      <c r="AS571" s="5"/>
      <c r="AT571" s="2"/>
      <c r="AU571" s="2"/>
      <c r="AV571" s="2"/>
    </row>
    <row r="572" spans="1:48" ht="15.75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4"/>
      <c r="AL572" s="4"/>
      <c r="AM572" s="4"/>
      <c r="AN572" s="4"/>
      <c r="AO572" s="4"/>
      <c r="AP572" s="4"/>
      <c r="AQ572" s="2"/>
      <c r="AR572" s="2"/>
      <c r="AS572" s="5"/>
      <c r="AT572" s="2"/>
      <c r="AU572" s="2"/>
      <c r="AV572" s="2"/>
    </row>
    <row r="573" spans="1:48" ht="15.75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4"/>
      <c r="AL573" s="4"/>
      <c r="AM573" s="4"/>
      <c r="AN573" s="4"/>
      <c r="AO573" s="4"/>
      <c r="AP573" s="4"/>
      <c r="AQ573" s="2"/>
      <c r="AR573" s="2"/>
      <c r="AS573" s="5"/>
      <c r="AT573" s="2"/>
      <c r="AU573" s="2"/>
      <c r="AV573" s="2"/>
    </row>
    <row r="574" spans="1:48" ht="15.75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4"/>
      <c r="AL574" s="4"/>
      <c r="AM574" s="4"/>
      <c r="AN574" s="4"/>
      <c r="AO574" s="4"/>
      <c r="AP574" s="4"/>
      <c r="AQ574" s="2"/>
      <c r="AR574" s="2"/>
      <c r="AS574" s="5"/>
      <c r="AT574" s="2"/>
      <c r="AU574" s="2"/>
      <c r="AV574" s="2"/>
    </row>
    <row r="575" spans="1:48" ht="15.75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4"/>
      <c r="AL575" s="4"/>
      <c r="AM575" s="4"/>
      <c r="AN575" s="4"/>
      <c r="AO575" s="4"/>
      <c r="AP575" s="4"/>
      <c r="AQ575" s="2"/>
      <c r="AR575" s="2"/>
      <c r="AS575" s="5"/>
      <c r="AT575" s="2"/>
      <c r="AU575" s="2"/>
      <c r="AV575" s="2"/>
    </row>
    <row r="576" spans="1:48" ht="15.75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4"/>
      <c r="AL576" s="4"/>
      <c r="AM576" s="4"/>
      <c r="AN576" s="4"/>
      <c r="AO576" s="4"/>
      <c r="AP576" s="4"/>
      <c r="AQ576" s="2"/>
      <c r="AR576" s="2"/>
      <c r="AS576" s="5"/>
      <c r="AT576" s="2"/>
      <c r="AU576" s="2"/>
      <c r="AV576" s="2"/>
    </row>
    <row r="577" spans="1:48" ht="15.75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4"/>
      <c r="AL577" s="4"/>
      <c r="AM577" s="4"/>
      <c r="AN577" s="4"/>
      <c r="AO577" s="4"/>
      <c r="AP577" s="4"/>
      <c r="AQ577" s="2"/>
      <c r="AR577" s="2"/>
      <c r="AS577" s="5"/>
      <c r="AT577" s="2"/>
      <c r="AU577" s="2"/>
      <c r="AV577" s="2"/>
    </row>
    <row r="578" spans="1:48" ht="15.75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4"/>
      <c r="AL578" s="4"/>
      <c r="AM578" s="4"/>
      <c r="AN578" s="4"/>
      <c r="AO578" s="4"/>
      <c r="AP578" s="4"/>
      <c r="AQ578" s="2"/>
      <c r="AR578" s="2"/>
      <c r="AS578" s="5"/>
      <c r="AT578" s="2"/>
      <c r="AU578" s="2"/>
      <c r="AV578" s="2"/>
    </row>
    <row r="579" spans="1:48" ht="15.75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4"/>
      <c r="AL579" s="4"/>
      <c r="AM579" s="4"/>
      <c r="AN579" s="4"/>
      <c r="AO579" s="4"/>
      <c r="AP579" s="4"/>
      <c r="AQ579" s="2"/>
      <c r="AR579" s="2"/>
      <c r="AS579" s="5"/>
      <c r="AT579" s="2"/>
      <c r="AU579" s="2"/>
      <c r="AV579" s="2"/>
    </row>
    <row r="580" spans="1:48" ht="15.75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4"/>
      <c r="AL580" s="4"/>
      <c r="AM580" s="4"/>
      <c r="AN580" s="4"/>
      <c r="AO580" s="4"/>
      <c r="AP580" s="4"/>
      <c r="AQ580" s="2"/>
      <c r="AR580" s="2"/>
      <c r="AS580" s="5"/>
      <c r="AT580" s="2"/>
      <c r="AU580" s="2"/>
      <c r="AV580" s="2"/>
    </row>
    <row r="581" spans="1:48" ht="15.75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4"/>
      <c r="AL581" s="4"/>
      <c r="AM581" s="4"/>
      <c r="AN581" s="4"/>
      <c r="AO581" s="4"/>
      <c r="AP581" s="4"/>
      <c r="AQ581" s="2"/>
      <c r="AR581" s="2"/>
      <c r="AS581" s="5"/>
      <c r="AT581" s="2"/>
      <c r="AU581" s="2"/>
      <c r="AV581" s="2"/>
    </row>
    <row r="582" spans="1:48" ht="15.75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4"/>
      <c r="AL582" s="4"/>
      <c r="AM582" s="4"/>
      <c r="AN582" s="4"/>
      <c r="AO582" s="4"/>
      <c r="AP582" s="4"/>
      <c r="AQ582" s="2"/>
      <c r="AR582" s="2"/>
      <c r="AS582" s="5"/>
      <c r="AT582" s="2"/>
      <c r="AU582" s="2"/>
      <c r="AV582" s="2"/>
    </row>
    <row r="583" spans="1:48" ht="15.75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4"/>
      <c r="AL583" s="4"/>
      <c r="AM583" s="4"/>
      <c r="AN583" s="4"/>
      <c r="AO583" s="4"/>
      <c r="AP583" s="4"/>
      <c r="AQ583" s="2"/>
      <c r="AR583" s="2"/>
      <c r="AS583" s="5"/>
      <c r="AT583" s="2"/>
      <c r="AU583" s="2"/>
      <c r="AV583" s="2"/>
    </row>
    <row r="584" spans="1:48" ht="15.75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4"/>
      <c r="AL584" s="4"/>
      <c r="AM584" s="4"/>
      <c r="AN584" s="4"/>
      <c r="AO584" s="4"/>
      <c r="AP584" s="4"/>
      <c r="AQ584" s="2"/>
      <c r="AR584" s="2"/>
      <c r="AS584" s="5"/>
      <c r="AT584" s="2"/>
      <c r="AU584" s="2"/>
      <c r="AV584" s="2"/>
    </row>
    <row r="585" spans="1:48" ht="15.75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4"/>
      <c r="AL585" s="4"/>
      <c r="AM585" s="4"/>
      <c r="AN585" s="4"/>
      <c r="AO585" s="4"/>
      <c r="AP585" s="4"/>
      <c r="AQ585" s="2"/>
      <c r="AR585" s="2"/>
      <c r="AS585" s="5"/>
      <c r="AT585" s="2"/>
      <c r="AU585" s="2"/>
      <c r="AV585" s="2"/>
    </row>
    <row r="586" spans="1:48" ht="15.75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4"/>
      <c r="AL586" s="4"/>
      <c r="AM586" s="4"/>
      <c r="AN586" s="4"/>
      <c r="AO586" s="4"/>
      <c r="AP586" s="4"/>
      <c r="AQ586" s="2"/>
      <c r="AR586" s="2"/>
      <c r="AS586" s="5"/>
      <c r="AT586" s="2"/>
      <c r="AU586" s="2"/>
      <c r="AV586" s="2"/>
    </row>
    <row r="587" spans="1:48" ht="15.75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4"/>
      <c r="AL587" s="4"/>
      <c r="AM587" s="4"/>
      <c r="AN587" s="4"/>
      <c r="AO587" s="4"/>
      <c r="AP587" s="4"/>
      <c r="AQ587" s="2"/>
      <c r="AR587" s="2"/>
      <c r="AS587" s="5"/>
      <c r="AT587" s="2"/>
      <c r="AU587" s="2"/>
      <c r="AV587" s="2"/>
    </row>
    <row r="588" spans="1:48" ht="15.75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4"/>
      <c r="AL588" s="4"/>
      <c r="AM588" s="4"/>
      <c r="AN588" s="4"/>
      <c r="AO588" s="4"/>
      <c r="AP588" s="4"/>
      <c r="AQ588" s="2"/>
      <c r="AR588" s="2"/>
      <c r="AS588" s="5"/>
      <c r="AT588" s="2"/>
      <c r="AU588" s="2"/>
      <c r="AV588" s="2"/>
    </row>
    <row r="589" spans="1:48" ht="15.75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4"/>
      <c r="AL589" s="4"/>
      <c r="AM589" s="4"/>
      <c r="AN589" s="4"/>
      <c r="AO589" s="4"/>
      <c r="AP589" s="4"/>
      <c r="AQ589" s="2"/>
      <c r="AR589" s="2"/>
      <c r="AS589" s="5"/>
      <c r="AT589" s="2"/>
      <c r="AU589" s="2"/>
      <c r="AV589" s="2"/>
    </row>
    <row r="590" spans="1:48" ht="15.75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4"/>
      <c r="AL590" s="4"/>
      <c r="AM590" s="4"/>
      <c r="AN590" s="4"/>
      <c r="AO590" s="4"/>
      <c r="AP590" s="4"/>
      <c r="AQ590" s="2"/>
      <c r="AR590" s="2"/>
      <c r="AS590" s="5"/>
      <c r="AT590" s="2"/>
      <c r="AU590" s="2"/>
      <c r="AV590" s="2"/>
    </row>
    <row r="591" spans="1:48" ht="15.75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4"/>
      <c r="AL591" s="4"/>
      <c r="AM591" s="4"/>
      <c r="AN591" s="4"/>
      <c r="AO591" s="4"/>
      <c r="AP591" s="4"/>
      <c r="AQ591" s="2"/>
      <c r="AR591" s="2"/>
      <c r="AS591" s="5"/>
      <c r="AT591" s="2"/>
      <c r="AU591" s="2"/>
      <c r="AV591" s="2"/>
    </row>
    <row r="592" spans="1:48" ht="15.75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4"/>
      <c r="AL592" s="4"/>
      <c r="AM592" s="4"/>
      <c r="AN592" s="4"/>
      <c r="AO592" s="4"/>
      <c r="AP592" s="4"/>
      <c r="AQ592" s="2"/>
      <c r="AR592" s="2"/>
      <c r="AS592" s="5"/>
      <c r="AT592" s="2"/>
      <c r="AU592" s="2"/>
      <c r="AV592" s="2"/>
    </row>
    <row r="593" spans="1:48" ht="15.75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4"/>
      <c r="AL593" s="4"/>
      <c r="AM593" s="4"/>
      <c r="AN593" s="4"/>
      <c r="AO593" s="4"/>
      <c r="AP593" s="4"/>
      <c r="AQ593" s="2"/>
      <c r="AR593" s="2"/>
      <c r="AS593" s="5"/>
      <c r="AT593" s="2"/>
      <c r="AU593" s="2"/>
      <c r="AV593" s="2"/>
    </row>
    <row r="594" spans="1:48" ht="15.75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4"/>
      <c r="AL594" s="4"/>
      <c r="AM594" s="4"/>
      <c r="AN594" s="4"/>
      <c r="AO594" s="4"/>
      <c r="AP594" s="4"/>
      <c r="AQ594" s="2"/>
      <c r="AR594" s="2"/>
      <c r="AS594" s="5"/>
      <c r="AT594" s="2"/>
      <c r="AU594" s="2"/>
      <c r="AV594" s="2"/>
    </row>
    <row r="595" spans="1:48" ht="15.75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4"/>
      <c r="AL595" s="4"/>
      <c r="AM595" s="4"/>
      <c r="AN595" s="4"/>
      <c r="AO595" s="4"/>
      <c r="AP595" s="4"/>
      <c r="AQ595" s="2"/>
      <c r="AR595" s="2"/>
      <c r="AS595" s="5"/>
      <c r="AT595" s="2"/>
      <c r="AU595" s="2"/>
      <c r="AV595" s="2"/>
    </row>
    <row r="596" spans="1:48" ht="15.75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4"/>
      <c r="AL596" s="4"/>
      <c r="AM596" s="4"/>
      <c r="AN596" s="4"/>
      <c r="AO596" s="4"/>
      <c r="AP596" s="4"/>
      <c r="AQ596" s="2"/>
      <c r="AR596" s="2"/>
      <c r="AS596" s="5"/>
      <c r="AT596" s="2"/>
      <c r="AU596" s="2"/>
      <c r="AV596" s="2"/>
    </row>
    <row r="597" spans="1:48" ht="15.75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4"/>
      <c r="AL597" s="4"/>
      <c r="AM597" s="4"/>
      <c r="AN597" s="4"/>
      <c r="AO597" s="4"/>
      <c r="AP597" s="4"/>
      <c r="AQ597" s="2"/>
      <c r="AR597" s="2"/>
      <c r="AS597" s="5"/>
      <c r="AT597" s="2"/>
      <c r="AU597" s="2"/>
      <c r="AV597" s="2"/>
    </row>
    <row r="598" spans="1:48" ht="15.75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4"/>
      <c r="AL598" s="4"/>
      <c r="AM598" s="4"/>
      <c r="AN598" s="4"/>
      <c r="AO598" s="4"/>
      <c r="AP598" s="4"/>
      <c r="AQ598" s="2"/>
      <c r="AR598" s="2"/>
      <c r="AS598" s="5"/>
      <c r="AT598" s="2"/>
      <c r="AU598" s="2"/>
      <c r="AV598" s="2"/>
    </row>
    <row r="599" spans="1:48" ht="15.75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4"/>
      <c r="AL599" s="4"/>
      <c r="AM599" s="4"/>
      <c r="AN599" s="4"/>
      <c r="AO599" s="4"/>
      <c r="AP599" s="4"/>
      <c r="AQ599" s="2"/>
      <c r="AR599" s="2"/>
      <c r="AS599" s="5"/>
      <c r="AT599" s="2"/>
      <c r="AU599" s="2"/>
      <c r="AV599" s="2"/>
    </row>
    <row r="600" spans="1:48" ht="15.75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4"/>
      <c r="AL600" s="4"/>
      <c r="AM600" s="4"/>
      <c r="AN600" s="4"/>
      <c r="AO600" s="4"/>
      <c r="AP600" s="4"/>
      <c r="AQ600" s="2"/>
      <c r="AR600" s="2"/>
      <c r="AS600" s="5"/>
      <c r="AT600" s="2"/>
      <c r="AU600" s="2"/>
      <c r="AV600" s="2"/>
    </row>
    <row r="601" spans="1:48" ht="15.75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4"/>
      <c r="AL601" s="4"/>
      <c r="AM601" s="4"/>
      <c r="AN601" s="4"/>
      <c r="AO601" s="4"/>
      <c r="AP601" s="4"/>
      <c r="AQ601" s="2"/>
      <c r="AR601" s="2"/>
      <c r="AS601" s="5"/>
      <c r="AT601" s="2"/>
      <c r="AU601" s="2"/>
      <c r="AV601" s="2"/>
    </row>
    <row r="602" spans="1:48" ht="15.75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4"/>
      <c r="AL602" s="4"/>
      <c r="AM602" s="4"/>
      <c r="AN602" s="4"/>
      <c r="AO602" s="4"/>
      <c r="AP602" s="4"/>
      <c r="AQ602" s="2"/>
      <c r="AR602" s="2"/>
      <c r="AS602" s="5"/>
      <c r="AT602" s="2"/>
      <c r="AU602" s="2"/>
      <c r="AV602" s="2"/>
    </row>
    <row r="603" spans="1:48" ht="15.75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4"/>
      <c r="AL603" s="4"/>
      <c r="AM603" s="4"/>
      <c r="AN603" s="4"/>
      <c r="AO603" s="4"/>
      <c r="AP603" s="4"/>
      <c r="AQ603" s="2"/>
      <c r="AR603" s="2"/>
      <c r="AS603" s="5"/>
      <c r="AT603" s="2"/>
      <c r="AU603" s="2"/>
      <c r="AV603" s="2"/>
    </row>
    <row r="604" spans="1:48" ht="15.75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4"/>
      <c r="AL604" s="4"/>
      <c r="AM604" s="4"/>
      <c r="AN604" s="4"/>
      <c r="AO604" s="4"/>
      <c r="AP604" s="4"/>
      <c r="AQ604" s="2"/>
      <c r="AR604" s="2"/>
      <c r="AS604" s="5"/>
      <c r="AT604" s="2"/>
      <c r="AU604" s="2"/>
      <c r="AV604" s="2"/>
    </row>
    <row r="605" spans="1:48" ht="15.75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4"/>
      <c r="AL605" s="4"/>
      <c r="AM605" s="4"/>
      <c r="AN605" s="4"/>
      <c r="AO605" s="4"/>
      <c r="AP605" s="4"/>
      <c r="AQ605" s="2"/>
      <c r="AR605" s="2"/>
      <c r="AS605" s="5"/>
      <c r="AT605" s="2"/>
      <c r="AU605" s="2"/>
      <c r="AV605" s="2"/>
    </row>
    <row r="606" spans="1:48" ht="15.75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4"/>
      <c r="AL606" s="4"/>
      <c r="AM606" s="4"/>
      <c r="AN606" s="4"/>
      <c r="AO606" s="4"/>
      <c r="AP606" s="4"/>
      <c r="AQ606" s="2"/>
      <c r="AR606" s="2"/>
      <c r="AS606" s="5"/>
      <c r="AT606" s="2"/>
      <c r="AU606" s="2"/>
      <c r="AV606" s="2"/>
    </row>
    <row r="607" spans="1:48" ht="15.75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4"/>
      <c r="AL607" s="4"/>
      <c r="AM607" s="4"/>
      <c r="AN607" s="4"/>
      <c r="AO607" s="4"/>
      <c r="AP607" s="4"/>
      <c r="AQ607" s="2"/>
      <c r="AR607" s="2"/>
      <c r="AS607" s="5"/>
      <c r="AT607" s="2"/>
      <c r="AU607" s="2"/>
      <c r="AV607" s="2"/>
    </row>
    <row r="608" spans="1:48" ht="15.75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4"/>
      <c r="AL608" s="4"/>
      <c r="AM608" s="4"/>
      <c r="AN608" s="4"/>
      <c r="AO608" s="4"/>
      <c r="AP608" s="4"/>
      <c r="AQ608" s="2"/>
      <c r="AR608" s="2"/>
      <c r="AS608" s="5"/>
      <c r="AT608" s="2"/>
      <c r="AU608" s="2"/>
      <c r="AV608" s="2"/>
    </row>
    <row r="609" spans="1:48" ht="15.75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4"/>
      <c r="AL609" s="4"/>
      <c r="AM609" s="4"/>
      <c r="AN609" s="4"/>
      <c r="AO609" s="4"/>
      <c r="AP609" s="4"/>
      <c r="AQ609" s="2"/>
      <c r="AR609" s="2"/>
      <c r="AS609" s="5"/>
      <c r="AT609" s="2"/>
      <c r="AU609" s="2"/>
      <c r="AV609" s="2"/>
    </row>
    <row r="610" spans="1:48" ht="15.75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4"/>
      <c r="AL610" s="4"/>
      <c r="AM610" s="4"/>
      <c r="AN610" s="4"/>
      <c r="AO610" s="4"/>
      <c r="AP610" s="4"/>
      <c r="AQ610" s="2"/>
      <c r="AR610" s="2"/>
      <c r="AS610" s="5"/>
      <c r="AT610" s="2"/>
      <c r="AU610" s="2"/>
      <c r="AV610" s="2"/>
    </row>
    <row r="611" spans="1:48" ht="15.75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4"/>
      <c r="AL611" s="4"/>
      <c r="AM611" s="4"/>
      <c r="AN611" s="4"/>
      <c r="AO611" s="4"/>
      <c r="AP611" s="4"/>
      <c r="AQ611" s="2"/>
      <c r="AR611" s="2"/>
      <c r="AS611" s="5"/>
      <c r="AT611" s="2"/>
      <c r="AU611" s="2"/>
      <c r="AV611" s="2"/>
    </row>
    <row r="612" spans="1:48" ht="15.75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4"/>
      <c r="AL612" s="4"/>
      <c r="AM612" s="4"/>
      <c r="AN612" s="4"/>
      <c r="AO612" s="4"/>
      <c r="AP612" s="4"/>
      <c r="AQ612" s="2"/>
      <c r="AR612" s="2"/>
      <c r="AS612" s="5"/>
      <c r="AT612" s="2"/>
      <c r="AU612" s="2"/>
      <c r="AV612" s="2"/>
    </row>
    <row r="613" spans="1:48" ht="15.75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4"/>
      <c r="AL613" s="4"/>
      <c r="AM613" s="4"/>
      <c r="AN613" s="4"/>
      <c r="AO613" s="4"/>
      <c r="AP613" s="4"/>
      <c r="AQ613" s="2"/>
      <c r="AR613" s="2"/>
      <c r="AS613" s="5"/>
      <c r="AT613" s="2"/>
      <c r="AU613" s="2"/>
      <c r="AV613" s="2"/>
    </row>
    <row r="614" spans="1:48" ht="15.75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4"/>
      <c r="AL614" s="4"/>
      <c r="AM614" s="4"/>
      <c r="AN614" s="4"/>
      <c r="AO614" s="4"/>
      <c r="AP614" s="4"/>
      <c r="AQ614" s="2"/>
      <c r="AR614" s="2"/>
      <c r="AS614" s="5"/>
      <c r="AT614" s="2"/>
      <c r="AU614" s="2"/>
      <c r="AV614" s="2"/>
    </row>
    <row r="615" spans="1:48" ht="15.75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4"/>
      <c r="AL615" s="4"/>
      <c r="AM615" s="4"/>
      <c r="AN615" s="4"/>
      <c r="AO615" s="4"/>
      <c r="AP615" s="4"/>
      <c r="AQ615" s="2"/>
      <c r="AR615" s="2"/>
      <c r="AS615" s="5"/>
      <c r="AT615" s="2"/>
      <c r="AU615" s="2"/>
      <c r="AV615" s="2"/>
    </row>
    <row r="616" spans="1:48" ht="15.75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4"/>
      <c r="AL616" s="4"/>
      <c r="AM616" s="4"/>
      <c r="AN616" s="4"/>
      <c r="AO616" s="4"/>
      <c r="AP616" s="4"/>
      <c r="AQ616" s="2"/>
      <c r="AR616" s="2"/>
      <c r="AS616" s="5"/>
      <c r="AT616" s="2"/>
      <c r="AU616" s="2"/>
      <c r="AV616" s="2"/>
    </row>
    <row r="617" spans="1:48" ht="15.75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4"/>
      <c r="AL617" s="4"/>
      <c r="AM617" s="4"/>
      <c r="AN617" s="4"/>
      <c r="AO617" s="4"/>
      <c r="AP617" s="4"/>
      <c r="AQ617" s="2"/>
      <c r="AR617" s="2"/>
      <c r="AS617" s="5"/>
      <c r="AT617" s="2"/>
      <c r="AU617" s="2"/>
      <c r="AV617" s="2"/>
    </row>
    <row r="618" spans="1:48" ht="15.75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4"/>
      <c r="AL618" s="4"/>
      <c r="AM618" s="4"/>
      <c r="AN618" s="4"/>
      <c r="AO618" s="4"/>
      <c r="AP618" s="4"/>
      <c r="AQ618" s="2"/>
      <c r="AR618" s="2"/>
      <c r="AS618" s="5"/>
      <c r="AT618" s="2"/>
      <c r="AU618" s="2"/>
      <c r="AV618" s="2"/>
    </row>
    <row r="619" spans="1:48" ht="15.75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4"/>
      <c r="AL619" s="4"/>
      <c r="AM619" s="4"/>
      <c r="AN619" s="4"/>
      <c r="AO619" s="4"/>
      <c r="AP619" s="4"/>
      <c r="AQ619" s="2"/>
      <c r="AR619" s="2"/>
      <c r="AS619" s="5"/>
      <c r="AT619" s="2"/>
      <c r="AU619" s="2"/>
      <c r="AV619" s="2"/>
    </row>
    <row r="620" spans="1:48" ht="15.75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4"/>
      <c r="AL620" s="4"/>
      <c r="AM620" s="4"/>
      <c r="AN620" s="4"/>
      <c r="AO620" s="4"/>
      <c r="AP620" s="4"/>
      <c r="AQ620" s="2"/>
      <c r="AR620" s="2"/>
      <c r="AS620" s="5"/>
      <c r="AT620" s="2"/>
      <c r="AU620" s="2"/>
      <c r="AV620" s="2"/>
    </row>
    <row r="621" spans="1:48" ht="15.75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4"/>
      <c r="AL621" s="4"/>
      <c r="AM621" s="4"/>
      <c r="AN621" s="4"/>
      <c r="AO621" s="4"/>
      <c r="AP621" s="4"/>
      <c r="AQ621" s="2"/>
      <c r="AR621" s="2"/>
      <c r="AS621" s="5"/>
      <c r="AT621" s="2"/>
      <c r="AU621" s="2"/>
      <c r="AV621" s="2"/>
    </row>
    <row r="622" spans="1:48" ht="15.75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4"/>
      <c r="AL622" s="4"/>
      <c r="AM622" s="4"/>
      <c r="AN622" s="4"/>
      <c r="AO622" s="4"/>
      <c r="AP622" s="4"/>
      <c r="AQ622" s="2"/>
      <c r="AR622" s="2"/>
      <c r="AS622" s="5"/>
      <c r="AT622" s="2"/>
      <c r="AU622" s="2"/>
      <c r="AV622" s="2"/>
    </row>
    <row r="623" spans="1:48" ht="15.75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4"/>
      <c r="AL623" s="4"/>
      <c r="AM623" s="4"/>
      <c r="AN623" s="4"/>
      <c r="AO623" s="4"/>
      <c r="AP623" s="4"/>
      <c r="AQ623" s="2"/>
      <c r="AR623" s="2"/>
      <c r="AS623" s="5"/>
      <c r="AT623" s="2"/>
      <c r="AU623" s="2"/>
      <c r="AV623" s="2"/>
    </row>
    <row r="624" spans="1:48" ht="15.75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4"/>
      <c r="AL624" s="4"/>
      <c r="AM624" s="4"/>
      <c r="AN624" s="4"/>
      <c r="AO624" s="4"/>
      <c r="AP624" s="4"/>
      <c r="AQ624" s="2"/>
      <c r="AR624" s="2"/>
      <c r="AS624" s="5"/>
      <c r="AT624" s="2"/>
      <c r="AU624" s="2"/>
      <c r="AV624" s="2"/>
    </row>
    <row r="625" spans="1:48" ht="15.75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4"/>
      <c r="AL625" s="4"/>
      <c r="AM625" s="4"/>
      <c r="AN625" s="4"/>
      <c r="AO625" s="4"/>
      <c r="AP625" s="4"/>
      <c r="AQ625" s="2"/>
      <c r="AR625" s="2"/>
      <c r="AS625" s="5"/>
      <c r="AT625" s="2"/>
      <c r="AU625" s="2"/>
      <c r="AV625" s="2"/>
    </row>
    <row r="626" spans="1:48" ht="15.75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4"/>
      <c r="AL626" s="4"/>
      <c r="AM626" s="4"/>
      <c r="AN626" s="4"/>
      <c r="AO626" s="4"/>
      <c r="AP626" s="4"/>
      <c r="AQ626" s="2"/>
      <c r="AR626" s="2"/>
      <c r="AS626" s="5"/>
      <c r="AT626" s="2"/>
      <c r="AU626" s="2"/>
      <c r="AV626" s="2"/>
    </row>
    <row r="627" spans="1:48" ht="15.75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4"/>
      <c r="AL627" s="4"/>
      <c r="AM627" s="4"/>
      <c r="AN627" s="4"/>
      <c r="AO627" s="4"/>
      <c r="AP627" s="4"/>
      <c r="AQ627" s="2"/>
      <c r="AR627" s="2"/>
      <c r="AS627" s="5"/>
      <c r="AT627" s="2"/>
      <c r="AU627" s="2"/>
      <c r="AV627" s="2"/>
    </row>
    <row r="628" spans="1:48" ht="15.75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4"/>
      <c r="AL628" s="4"/>
      <c r="AM628" s="4"/>
      <c r="AN628" s="4"/>
      <c r="AO628" s="4"/>
      <c r="AP628" s="4"/>
      <c r="AQ628" s="2"/>
      <c r="AR628" s="2"/>
      <c r="AS628" s="5"/>
      <c r="AT628" s="2"/>
      <c r="AU628" s="2"/>
      <c r="AV628" s="2"/>
    </row>
    <row r="629" spans="1:48" ht="15.75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4"/>
      <c r="AL629" s="4"/>
      <c r="AM629" s="4"/>
      <c r="AN629" s="4"/>
      <c r="AO629" s="4"/>
      <c r="AP629" s="4"/>
      <c r="AQ629" s="2"/>
      <c r="AR629" s="2"/>
      <c r="AS629" s="5"/>
      <c r="AT629" s="2"/>
      <c r="AU629" s="2"/>
      <c r="AV629" s="2"/>
    </row>
    <row r="630" spans="1:48" ht="15.75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4"/>
      <c r="AL630" s="4"/>
      <c r="AM630" s="4"/>
      <c r="AN630" s="4"/>
      <c r="AO630" s="4"/>
      <c r="AP630" s="4"/>
      <c r="AQ630" s="2"/>
      <c r="AR630" s="2"/>
      <c r="AS630" s="5"/>
      <c r="AT630" s="2"/>
      <c r="AU630" s="2"/>
      <c r="AV630" s="2"/>
    </row>
    <row r="631" spans="1:48" ht="15.75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4"/>
      <c r="AL631" s="4"/>
      <c r="AM631" s="4"/>
      <c r="AN631" s="4"/>
      <c r="AO631" s="4"/>
      <c r="AP631" s="4"/>
      <c r="AQ631" s="2"/>
      <c r="AR631" s="2"/>
      <c r="AS631" s="5"/>
      <c r="AT631" s="2"/>
      <c r="AU631" s="2"/>
      <c r="AV631" s="2"/>
    </row>
    <row r="632" spans="1:48" ht="15.75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4"/>
      <c r="AL632" s="4"/>
      <c r="AM632" s="4"/>
      <c r="AN632" s="4"/>
      <c r="AO632" s="4"/>
      <c r="AP632" s="4"/>
      <c r="AQ632" s="2"/>
      <c r="AR632" s="2"/>
      <c r="AS632" s="5"/>
      <c r="AT632" s="2"/>
      <c r="AU632" s="2"/>
      <c r="AV632" s="2"/>
    </row>
    <row r="633" spans="1:48" ht="15.75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4"/>
      <c r="AL633" s="4"/>
      <c r="AM633" s="4"/>
      <c r="AN633" s="4"/>
      <c r="AO633" s="4"/>
      <c r="AP633" s="4"/>
      <c r="AQ633" s="2"/>
      <c r="AR633" s="2"/>
      <c r="AS633" s="5"/>
      <c r="AT633" s="2"/>
      <c r="AU633" s="2"/>
      <c r="AV633" s="2"/>
    </row>
    <row r="634" spans="1:48" ht="15.75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4"/>
      <c r="AL634" s="4"/>
      <c r="AM634" s="4"/>
      <c r="AN634" s="4"/>
      <c r="AO634" s="4"/>
      <c r="AP634" s="4"/>
      <c r="AQ634" s="2"/>
      <c r="AR634" s="2"/>
      <c r="AS634" s="5"/>
      <c r="AT634" s="2"/>
      <c r="AU634" s="2"/>
      <c r="AV634" s="2"/>
    </row>
    <row r="635" spans="1:48" ht="15.75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4"/>
      <c r="AL635" s="4"/>
      <c r="AM635" s="4"/>
      <c r="AN635" s="4"/>
      <c r="AO635" s="4"/>
      <c r="AP635" s="4"/>
      <c r="AQ635" s="2"/>
      <c r="AR635" s="2"/>
      <c r="AS635" s="5"/>
      <c r="AT635" s="2"/>
      <c r="AU635" s="2"/>
      <c r="AV635" s="2"/>
    </row>
    <row r="636" spans="1:48" ht="15.75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4"/>
      <c r="AL636" s="4"/>
      <c r="AM636" s="4"/>
      <c r="AN636" s="4"/>
      <c r="AO636" s="4"/>
      <c r="AP636" s="4"/>
      <c r="AQ636" s="2"/>
      <c r="AR636" s="2"/>
      <c r="AS636" s="5"/>
      <c r="AT636" s="2"/>
      <c r="AU636" s="2"/>
      <c r="AV636" s="2"/>
    </row>
    <row r="637" spans="1:48" ht="15.75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4"/>
      <c r="AL637" s="4"/>
      <c r="AM637" s="4"/>
      <c r="AN637" s="4"/>
      <c r="AO637" s="4"/>
      <c r="AP637" s="4"/>
      <c r="AQ637" s="2"/>
      <c r="AR637" s="2"/>
      <c r="AS637" s="5"/>
      <c r="AT637" s="2"/>
      <c r="AU637" s="2"/>
      <c r="AV637" s="2"/>
    </row>
    <row r="638" spans="1:48" ht="15.75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4"/>
      <c r="AL638" s="4"/>
      <c r="AM638" s="4"/>
      <c r="AN638" s="4"/>
      <c r="AO638" s="4"/>
      <c r="AP638" s="4"/>
      <c r="AQ638" s="2"/>
      <c r="AR638" s="2"/>
      <c r="AS638" s="5"/>
      <c r="AT638" s="2"/>
      <c r="AU638" s="2"/>
      <c r="AV638" s="2"/>
    </row>
    <row r="639" spans="1:48" ht="15.75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4"/>
      <c r="AL639" s="4"/>
      <c r="AM639" s="4"/>
      <c r="AN639" s="4"/>
      <c r="AO639" s="4"/>
      <c r="AP639" s="4"/>
      <c r="AQ639" s="2"/>
      <c r="AR639" s="2"/>
      <c r="AS639" s="5"/>
      <c r="AT639" s="2"/>
      <c r="AU639" s="2"/>
      <c r="AV639" s="2"/>
    </row>
    <row r="640" spans="1:48" ht="15.75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4"/>
      <c r="AL640" s="4"/>
      <c r="AM640" s="4"/>
      <c r="AN640" s="4"/>
      <c r="AO640" s="4"/>
      <c r="AP640" s="4"/>
      <c r="AQ640" s="2"/>
      <c r="AR640" s="2"/>
      <c r="AS640" s="5"/>
      <c r="AT640" s="2"/>
      <c r="AU640" s="2"/>
      <c r="AV640" s="2"/>
    </row>
    <row r="641" spans="1:48" ht="15.75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4"/>
      <c r="AL641" s="4"/>
      <c r="AM641" s="4"/>
      <c r="AN641" s="4"/>
      <c r="AO641" s="4"/>
      <c r="AP641" s="4"/>
      <c r="AQ641" s="2"/>
      <c r="AR641" s="2"/>
      <c r="AS641" s="5"/>
      <c r="AT641" s="2"/>
      <c r="AU641" s="2"/>
      <c r="AV641" s="2"/>
    </row>
    <row r="642" spans="1:48" ht="15.75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4"/>
      <c r="AL642" s="4"/>
      <c r="AM642" s="4"/>
      <c r="AN642" s="4"/>
      <c r="AO642" s="4"/>
      <c r="AP642" s="4"/>
      <c r="AQ642" s="2"/>
      <c r="AR642" s="2"/>
      <c r="AS642" s="5"/>
      <c r="AT642" s="2"/>
      <c r="AU642" s="2"/>
      <c r="AV642" s="2"/>
    </row>
    <row r="643" spans="1:48" ht="15.75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4"/>
      <c r="AL643" s="4"/>
      <c r="AM643" s="4"/>
      <c r="AN643" s="4"/>
      <c r="AO643" s="4"/>
      <c r="AP643" s="4"/>
      <c r="AQ643" s="2"/>
      <c r="AR643" s="2"/>
      <c r="AS643" s="5"/>
      <c r="AT643" s="2"/>
      <c r="AU643" s="2"/>
      <c r="AV643" s="2"/>
    </row>
    <row r="644" spans="1:48" ht="15.75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4"/>
      <c r="AL644" s="4"/>
      <c r="AM644" s="4"/>
      <c r="AN644" s="4"/>
      <c r="AO644" s="4"/>
      <c r="AP644" s="4"/>
      <c r="AQ644" s="2"/>
      <c r="AR644" s="2"/>
      <c r="AS644" s="5"/>
      <c r="AT644" s="2"/>
      <c r="AU644" s="2"/>
      <c r="AV644" s="2"/>
    </row>
    <row r="645" spans="1:48" ht="15.75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4"/>
      <c r="AL645" s="4"/>
      <c r="AM645" s="4"/>
      <c r="AN645" s="4"/>
      <c r="AO645" s="4"/>
      <c r="AP645" s="4"/>
      <c r="AQ645" s="2"/>
      <c r="AR645" s="2"/>
      <c r="AS645" s="5"/>
      <c r="AT645" s="2"/>
      <c r="AU645" s="2"/>
      <c r="AV645" s="2"/>
    </row>
    <row r="646" spans="1:48" ht="15.75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4"/>
      <c r="AL646" s="4"/>
      <c r="AM646" s="4"/>
      <c r="AN646" s="4"/>
      <c r="AO646" s="4"/>
      <c r="AP646" s="4"/>
      <c r="AQ646" s="2"/>
      <c r="AR646" s="2"/>
      <c r="AS646" s="5"/>
      <c r="AT646" s="2"/>
      <c r="AU646" s="2"/>
      <c r="AV646" s="2"/>
    </row>
    <row r="647" spans="1:48" ht="15.75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4"/>
      <c r="AL647" s="4"/>
      <c r="AM647" s="4"/>
      <c r="AN647" s="4"/>
      <c r="AO647" s="4"/>
      <c r="AP647" s="4"/>
      <c r="AQ647" s="2"/>
      <c r="AR647" s="2"/>
      <c r="AS647" s="5"/>
      <c r="AT647" s="2"/>
      <c r="AU647" s="2"/>
      <c r="AV647" s="2"/>
    </row>
    <row r="648" spans="1:48" ht="15.75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4"/>
      <c r="AL648" s="4"/>
      <c r="AM648" s="4"/>
      <c r="AN648" s="4"/>
      <c r="AO648" s="4"/>
      <c r="AP648" s="4"/>
      <c r="AQ648" s="2"/>
      <c r="AR648" s="2"/>
      <c r="AS648" s="5"/>
      <c r="AT648" s="2"/>
      <c r="AU648" s="2"/>
      <c r="AV648" s="2"/>
    </row>
    <row r="649" spans="1:48" ht="15.75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4"/>
      <c r="AL649" s="4"/>
      <c r="AM649" s="4"/>
      <c r="AN649" s="4"/>
      <c r="AO649" s="4"/>
      <c r="AP649" s="4"/>
      <c r="AQ649" s="2"/>
      <c r="AR649" s="2"/>
      <c r="AS649" s="5"/>
      <c r="AT649" s="2"/>
      <c r="AU649" s="2"/>
      <c r="AV649" s="2"/>
    </row>
    <row r="650" spans="1:48" ht="15.75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4"/>
      <c r="AL650" s="4"/>
      <c r="AM650" s="4"/>
      <c r="AN650" s="4"/>
      <c r="AO650" s="4"/>
      <c r="AP650" s="4"/>
      <c r="AQ650" s="2"/>
      <c r="AR650" s="2"/>
      <c r="AS650" s="5"/>
      <c r="AT650" s="2"/>
      <c r="AU650" s="2"/>
      <c r="AV650" s="2"/>
    </row>
    <row r="651" spans="1:48" ht="15.75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4"/>
      <c r="AL651" s="4"/>
      <c r="AM651" s="4"/>
      <c r="AN651" s="4"/>
      <c r="AO651" s="4"/>
      <c r="AP651" s="4"/>
      <c r="AQ651" s="2"/>
      <c r="AR651" s="2"/>
      <c r="AS651" s="5"/>
      <c r="AT651" s="2"/>
      <c r="AU651" s="2"/>
      <c r="AV651" s="2"/>
    </row>
    <row r="652" spans="1:48" ht="15.75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4"/>
      <c r="AL652" s="4"/>
      <c r="AM652" s="4"/>
      <c r="AN652" s="4"/>
      <c r="AO652" s="4"/>
      <c r="AP652" s="4"/>
      <c r="AQ652" s="2"/>
      <c r="AR652" s="2"/>
      <c r="AS652" s="5"/>
      <c r="AT652" s="2"/>
      <c r="AU652" s="2"/>
      <c r="AV652" s="2"/>
    </row>
    <row r="653" spans="1:48" ht="15.75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4"/>
      <c r="AL653" s="4"/>
      <c r="AM653" s="4"/>
      <c r="AN653" s="4"/>
      <c r="AO653" s="4"/>
      <c r="AP653" s="4"/>
      <c r="AQ653" s="2"/>
      <c r="AR653" s="2"/>
      <c r="AS653" s="5"/>
      <c r="AT653" s="2"/>
      <c r="AU653" s="2"/>
      <c r="AV653" s="2"/>
    </row>
    <row r="654" spans="1:48" ht="15.75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4"/>
      <c r="AL654" s="4"/>
      <c r="AM654" s="4"/>
      <c r="AN654" s="4"/>
      <c r="AO654" s="4"/>
      <c r="AP654" s="4"/>
      <c r="AQ654" s="2"/>
      <c r="AR654" s="2"/>
      <c r="AS654" s="5"/>
      <c r="AT654" s="2"/>
      <c r="AU654" s="2"/>
      <c r="AV654" s="2"/>
    </row>
    <row r="655" spans="1:48" ht="15.75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4"/>
      <c r="AL655" s="4"/>
      <c r="AM655" s="4"/>
      <c r="AN655" s="4"/>
      <c r="AO655" s="4"/>
      <c r="AP655" s="4"/>
      <c r="AQ655" s="2"/>
      <c r="AR655" s="2"/>
      <c r="AS655" s="5"/>
      <c r="AT655" s="2"/>
      <c r="AU655" s="2"/>
      <c r="AV655" s="2"/>
    </row>
    <row r="656" spans="1:48" ht="15.75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4"/>
      <c r="AL656" s="4"/>
      <c r="AM656" s="4"/>
      <c r="AN656" s="4"/>
      <c r="AO656" s="4"/>
      <c r="AP656" s="4"/>
      <c r="AQ656" s="2"/>
      <c r="AR656" s="2"/>
      <c r="AS656" s="5"/>
      <c r="AT656" s="2"/>
      <c r="AU656" s="2"/>
      <c r="AV656" s="2"/>
    </row>
    <row r="657" spans="1:48" ht="15.75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4"/>
      <c r="AL657" s="4"/>
      <c r="AM657" s="4"/>
      <c r="AN657" s="4"/>
      <c r="AO657" s="4"/>
      <c r="AP657" s="4"/>
      <c r="AQ657" s="2"/>
      <c r="AR657" s="2"/>
      <c r="AS657" s="5"/>
      <c r="AT657" s="2"/>
      <c r="AU657" s="2"/>
      <c r="AV657" s="2"/>
    </row>
    <row r="658" spans="1:48" ht="15.75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4"/>
      <c r="AL658" s="4"/>
      <c r="AM658" s="4"/>
      <c r="AN658" s="4"/>
      <c r="AO658" s="4"/>
      <c r="AP658" s="4"/>
      <c r="AQ658" s="2"/>
      <c r="AR658" s="2"/>
      <c r="AS658" s="5"/>
      <c r="AT658" s="2"/>
      <c r="AU658" s="2"/>
      <c r="AV658" s="2"/>
    </row>
    <row r="659" spans="1:48" ht="15.75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4"/>
      <c r="AL659" s="4"/>
      <c r="AM659" s="4"/>
      <c r="AN659" s="4"/>
      <c r="AO659" s="4"/>
      <c r="AP659" s="4"/>
      <c r="AQ659" s="2"/>
      <c r="AR659" s="2"/>
      <c r="AS659" s="5"/>
      <c r="AT659" s="2"/>
      <c r="AU659" s="2"/>
      <c r="AV659" s="2"/>
    </row>
    <row r="660" spans="1:48" ht="15.75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4"/>
      <c r="AL660" s="4"/>
      <c r="AM660" s="4"/>
      <c r="AN660" s="4"/>
      <c r="AO660" s="4"/>
      <c r="AP660" s="4"/>
      <c r="AQ660" s="2"/>
      <c r="AR660" s="2"/>
      <c r="AS660" s="5"/>
      <c r="AT660" s="2"/>
      <c r="AU660" s="2"/>
      <c r="AV660" s="2"/>
    </row>
    <row r="661" spans="1:48" ht="15.75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4"/>
      <c r="AL661" s="4"/>
      <c r="AM661" s="4"/>
      <c r="AN661" s="4"/>
      <c r="AO661" s="4"/>
      <c r="AP661" s="4"/>
      <c r="AQ661" s="2"/>
      <c r="AR661" s="2"/>
      <c r="AS661" s="5"/>
      <c r="AT661" s="2"/>
      <c r="AU661" s="2"/>
      <c r="AV661" s="2"/>
    </row>
    <row r="662" spans="1:48" ht="15.75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4"/>
      <c r="AL662" s="4"/>
      <c r="AM662" s="4"/>
      <c r="AN662" s="4"/>
      <c r="AO662" s="4"/>
      <c r="AP662" s="4"/>
      <c r="AQ662" s="2"/>
      <c r="AR662" s="2"/>
      <c r="AS662" s="5"/>
      <c r="AT662" s="2"/>
      <c r="AU662" s="2"/>
      <c r="AV662" s="2"/>
    </row>
    <row r="663" spans="1:48" ht="15.75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4"/>
      <c r="AL663" s="4"/>
      <c r="AM663" s="4"/>
      <c r="AN663" s="4"/>
      <c r="AO663" s="4"/>
      <c r="AP663" s="4"/>
      <c r="AQ663" s="2"/>
      <c r="AR663" s="2"/>
      <c r="AS663" s="5"/>
      <c r="AT663" s="2"/>
      <c r="AU663" s="2"/>
      <c r="AV663" s="2"/>
    </row>
    <row r="664" spans="1:48" ht="15.75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4"/>
      <c r="AL664" s="4"/>
      <c r="AM664" s="4"/>
      <c r="AN664" s="4"/>
      <c r="AO664" s="4"/>
      <c r="AP664" s="4"/>
      <c r="AQ664" s="2"/>
      <c r="AR664" s="2"/>
      <c r="AS664" s="5"/>
      <c r="AT664" s="2"/>
      <c r="AU664" s="2"/>
      <c r="AV664" s="2"/>
    </row>
    <row r="665" spans="1:48" ht="15.75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4"/>
      <c r="AL665" s="4"/>
      <c r="AM665" s="4"/>
      <c r="AN665" s="4"/>
      <c r="AO665" s="4"/>
      <c r="AP665" s="4"/>
      <c r="AQ665" s="2"/>
      <c r="AR665" s="2"/>
      <c r="AS665" s="5"/>
      <c r="AT665" s="2"/>
      <c r="AU665" s="2"/>
      <c r="AV665" s="2"/>
    </row>
    <row r="666" spans="1:48" ht="15.75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4"/>
      <c r="AL666" s="4"/>
      <c r="AM666" s="4"/>
      <c r="AN666" s="4"/>
      <c r="AO666" s="4"/>
      <c r="AP666" s="4"/>
      <c r="AQ666" s="2"/>
      <c r="AR666" s="2"/>
      <c r="AS666" s="5"/>
      <c r="AT666" s="2"/>
      <c r="AU666" s="2"/>
      <c r="AV666" s="2"/>
    </row>
    <row r="667" spans="1:48" ht="15.75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4"/>
      <c r="AL667" s="4"/>
      <c r="AM667" s="4"/>
      <c r="AN667" s="4"/>
      <c r="AO667" s="4"/>
      <c r="AP667" s="4"/>
      <c r="AQ667" s="2"/>
      <c r="AR667" s="2"/>
      <c r="AS667" s="5"/>
      <c r="AT667" s="2"/>
      <c r="AU667" s="2"/>
      <c r="AV667" s="2"/>
    </row>
    <row r="668" spans="1:48" ht="15.75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4"/>
      <c r="AL668" s="4"/>
      <c r="AM668" s="4"/>
      <c r="AN668" s="4"/>
      <c r="AO668" s="4"/>
      <c r="AP668" s="4"/>
      <c r="AQ668" s="2"/>
      <c r="AR668" s="2"/>
      <c r="AS668" s="5"/>
      <c r="AT668" s="2"/>
      <c r="AU668" s="2"/>
      <c r="AV668" s="2"/>
    </row>
    <row r="669" spans="1:48" ht="15.75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4"/>
      <c r="AL669" s="4"/>
      <c r="AM669" s="4"/>
      <c r="AN669" s="4"/>
      <c r="AO669" s="4"/>
      <c r="AP669" s="4"/>
      <c r="AQ669" s="2"/>
      <c r="AR669" s="2"/>
      <c r="AS669" s="5"/>
      <c r="AT669" s="2"/>
      <c r="AU669" s="2"/>
      <c r="AV669" s="2"/>
    </row>
    <row r="670" spans="1:48" ht="15.75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4"/>
      <c r="AL670" s="4"/>
      <c r="AM670" s="4"/>
      <c r="AN670" s="4"/>
      <c r="AO670" s="4"/>
      <c r="AP670" s="4"/>
      <c r="AQ670" s="2"/>
      <c r="AR670" s="2"/>
      <c r="AS670" s="5"/>
      <c r="AT670" s="2"/>
      <c r="AU670" s="2"/>
      <c r="AV670" s="2"/>
    </row>
    <row r="671" spans="1:48" ht="15.75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4"/>
      <c r="AL671" s="4"/>
      <c r="AM671" s="4"/>
      <c r="AN671" s="4"/>
      <c r="AO671" s="4"/>
      <c r="AP671" s="4"/>
      <c r="AQ671" s="2"/>
      <c r="AR671" s="2"/>
      <c r="AS671" s="5"/>
      <c r="AT671" s="2"/>
      <c r="AU671" s="2"/>
      <c r="AV671" s="2"/>
    </row>
    <row r="672" spans="1:48" ht="15.75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4"/>
      <c r="AL672" s="4"/>
      <c r="AM672" s="4"/>
      <c r="AN672" s="4"/>
      <c r="AO672" s="4"/>
      <c r="AP672" s="4"/>
      <c r="AQ672" s="2"/>
      <c r="AR672" s="2"/>
      <c r="AS672" s="5"/>
      <c r="AT672" s="2"/>
      <c r="AU672" s="2"/>
      <c r="AV672" s="2"/>
    </row>
    <row r="673" spans="1:48" ht="15.75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4"/>
      <c r="AL673" s="4"/>
      <c r="AM673" s="4"/>
      <c r="AN673" s="4"/>
      <c r="AO673" s="4"/>
      <c r="AP673" s="4"/>
      <c r="AQ673" s="2"/>
      <c r="AR673" s="2"/>
      <c r="AS673" s="5"/>
      <c r="AT673" s="2"/>
      <c r="AU673" s="2"/>
      <c r="AV673" s="2"/>
    </row>
    <row r="674" spans="1:48" ht="15.75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4"/>
      <c r="AL674" s="4"/>
      <c r="AM674" s="4"/>
      <c r="AN674" s="4"/>
      <c r="AO674" s="4"/>
      <c r="AP674" s="4"/>
      <c r="AQ674" s="2"/>
      <c r="AR674" s="2"/>
      <c r="AS674" s="5"/>
      <c r="AT674" s="2"/>
      <c r="AU674" s="2"/>
      <c r="AV674" s="2"/>
    </row>
    <row r="675" spans="1:48" ht="15.75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4"/>
      <c r="AL675" s="4"/>
      <c r="AM675" s="4"/>
      <c r="AN675" s="4"/>
      <c r="AO675" s="4"/>
      <c r="AP675" s="4"/>
      <c r="AQ675" s="2"/>
      <c r="AR675" s="2"/>
      <c r="AS675" s="5"/>
      <c r="AT675" s="2"/>
      <c r="AU675" s="2"/>
      <c r="AV675" s="2"/>
    </row>
    <row r="676" spans="1:48" ht="15.75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4"/>
      <c r="AL676" s="4"/>
      <c r="AM676" s="4"/>
      <c r="AN676" s="4"/>
      <c r="AO676" s="4"/>
      <c r="AP676" s="4"/>
      <c r="AQ676" s="2"/>
      <c r="AR676" s="2"/>
      <c r="AS676" s="5"/>
      <c r="AT676" s="2"/>
      <c r="AU676" s="2"/>
      <c r="AV676" s="2"/>
    </row>
    <row r="677" spans="1:48" ht="15.75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4"/>
      <c r="AL677" s="4"/>
      <c r="AM677" s="4"/>
      <c r="AN677" s="4"/>
      <c r="AO677" s="4"/>
      <c r="AP677" s="4"/>
      <c r="AQ677" s="2"/>
      <c r="AR677" s="2"/>
      <c r="AS677" s="5"/>
      <c r="AT677" s="2"/>
      <c r="AU677" s="2"/>
      <c r="AV677" s="2"/>
    </row>
    <row r="678" spans="1:48" ht="15.75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4"/>
      <c r="AL678" s="4"/>
      <c r="AM678" s="4"/>
      <c r="AN678" s="4"/>
      <c r="AO678" s="4"/>
      <c r="AP678" s="4"/>
      <c r="AQ678" s="2"/>
      <c r="AR678" s="2"/>
      <c r="AS678" s="5"/>
      <c r="AT678" s="2"/>
      <c r="AU678" s="2"/>
      <c r="AV678" s="2"/>
    </row>
    <row r="679" spans="1:48" ht="15.75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4"/>
      <c r="AL679" s="4"/>
      <c r="AM679" s="4"/>
      <c r="AN679" s="4"/>
      <c r="AO679" s="4"/>
      <c r="AP679" s="4"/>
      <c r="AQ679" s="2"/>
      <c r="AR679" s="2"/>
      <c r="AS679" s="5"/>
      <c r="AT679" s="2"/>
      <c r="AU679" s="2"/>
      <c r="AV679" s="2"/>
    </row>
    <row r="680" spans="1:48" ht="15.75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4"/>
      <c r="AL680" s="4"/>
      <c r="AM680" s="4"/>
      <c r="AN680" s="4"/>
      <c r="AO680" s="4"/>
      <c r="AP680" s="4"/>
      <c r="AQ680" s="2"/>
      <c r="AR680" s="2"/>
      <c r="AS680" s="5"/>
      <c r="AT680" s="2"/>
      <c r="AU680" s="2"/>
      <c r="AV680" s="2"/>
    </row>
    <row r="681" spans="1:48" ht="15.75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4"/>
      <c r="AL681" s="4"/>
      <c r="AM681" s="4"/>
      <c r="AN681" s="4"/>
      <c r="AO681" s="4"/>
      <c r="AP681" s="4"/>
      <c r="AQ681" s="2"/>
      <c r="AR681" s="2"/>
      <c r="AS681" s="5"/>
      <c r="AT681" s="2"/>
      <c r="AU681" s="2"/>
      <c r="AV681" s="2"/>
    </row>
    <row r="682" spans="1:48" ht="15.75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4"/>
      <c r="AL682" s="4"/>
      <c r="AM682" s="4"/>
      <c r="AN682" s="4"/>
      <c r="AO682" s="4"/>
      <c r="AP682" s="4"/>
      <c r="AQ682" s="2"/>
      <c r="AR682" s="2"/>
      <c r="AS682" s="5"/>
      <c r="AT682" s="2"/>
      <c r="AU682" s="2"/>
      <c r="AV682" s="2"/>
    </row>
    <row r="683" spans="1:48" ht="15.75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4"/>
      <c r="AL683" s="4"/>
      <c r="AM683" s="4"/>
      <c r="AN683" s="4"/>
      <c r="AO683" s="4"/>
      <c r="AP683" s="4"/>
      <c r="AQ683" s="2"/>
      <c r="AR683" s="2"/>
      <c r="AS683" s="5"/>
      <c r="AT683" s="2"/>
      <c r="AU683" s="2"/>
      <c r="AV683" s="2"/>
    </row>
    <row r="684" spans="1:48" ht="15.75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4"/>
      <c r="AL684" s="4"/>
      <c r="AM684" s="4"/>
      <c r="AN684" s="4"/>
      <c r="AO684" s="4"/>
      <c r="AP684" s="4"/>
      <c r="AQ684" s="2"/>
      <c r="AR684" s="2"/>
      <c r="AS684" s="5"/>
      <c r="AT684" s="2"/>
      <c r="AU684" s="2"/>
      <c r="AV684" s="2"/>
    </row>
    <row r="685" spans="1:48" ht="15.75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4"/>
      <c r="AL685" s="4"/>
      <c r="AM685" s="4"/>
      <c r="AN685" s="4"/>
      <c r="AO685" s="4"/>
      <c r="AP685" s="4"/>
      <c r="AQ685" s="2"/>
      <c r="AR685" s="2"/>
      <c r="AS685" s="5"/>
      <c r="AT685" s="2"/>
      <c r="AU685" s="2"/>
      <c r="AV685" s="2"/>
    </row>
    <row r="686" spans="1:48" ht="15.75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4"/>
      <c r="AL686" s="4"/>
      <c r="AM686" s="4"/>
      <c r="AN686" s="4"/>
      <c r="AO686" s="4"/>
      <c r="AP686" s="4"/>
      <c r="AQ686" s="2"/>
      <c r="AR686" s="2"/>
      <c r="AS686" s="5"/>
      <c r="AT686" s="2"/>
      <c r="AU686" s="2"/>
      <c r="AV686" s="2"/>
    </row>
    <row r="687" spans="1:48" ht="15.75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4"/>
      <c r="AL687" s="4"/>
      <c r="AM687" s="4"/>
      <c r="AN687" s="4"/>
      <c r="AO687" s="4"/>
      <c r="AP687" s="4"/>
      <c r="AQ687" s="2"/>
      <c r="AR687" s="2"/>
      <c r="AS687" s="5"/>
      <c r="AT687" s="2"/>
      <c r="AU687" s="2"/>
      <c r="AV687" s="2"/>
    </row>
    <row r="688" spans="1:48" ht="15.75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4"/>
      <c r="AL688" s="4"/>
      <c r="AM688" s="4"/>
      <c r="AN688" s="4"/>
      <c r="AO688" s="4"/>
      <c r="AP688" s="4"/>
      <c r="AQ688" s="2"/>
      <c r="AR688" s="2"/>
      <c r="AS688" s="5"/>
      <c r="AT688" s="2"/>
      <c r="AU688" s="2"/>
      <c r="AV688" s="2"/>
    </row>
    <row r="689" spans="1:48" ht="15.75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4"/>
      <c r="AL689" s="4"/>
      <c r="AM689" s="4"/>
      <c r="AN689" s="4"/>
      <c r="AO689" s="4"/>
      <c r="AP689" s="4"/>
      <c r="AQ689" s="2"/>
      <c r="AR689" s="2"/>
      <c r="AS689" s="5"/>
      <c r="AT689" s="2"/>
      <c r="AU689" s="2"/>
      <c r="AV689" s="2"/>
    </row>
    <row r="690" spans="1:48" ht="15.75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4"/>
      <c r="AL690" s="4"/>
      <c r="AM690" s="4"/>
      <c r="AN690" s="4"/>
      <c r="AO690" s="4"/>
      <c r="AP690" s="4"/>
      <c r="AQ690" s="2"/>
      <c r="AR690" s="2"/>
      <c r="AS690" s="5"/>
      <c r="AT690" s="2"/>
      <c r="AU690" s="2"/>
      <c r="AV690" s="2"/>
    </row>
    <row r="691" spans="1:48" ht="15.75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4"/>
      <c r="AL691" s="4"/>
      <c r="AM691" s="4"/>
      <c r="AN691" s="4"/>
      <c r="AO691" s="4"/>
      <c r="AP691" s="4"/>
      <c r="AQ691" s="2"/>
      <c r="AR691" s="2"/>
      <c r="AS691" s="5"/>
      <c r="AT691" s="2"/>
      <c r="AU691" s="2"/>
      <c r="AV691" s="2"/>
    </row>
    <row r="692" spans="1:48" ht="15.75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4"/>
      <c r="AL692" s="4"/>
      <c r="AM692" s="4"/>
      <c r="AN692" s="4"/>
      <c r="AO692" s="4"/>
      <c r="AP692" s="4"/>
      <c r="AQ692" s="2"/>
      <c r="AR692" s="2"/>
      <c r="AS692" s="5"/>
      <c r="AT692" s="2"/>
      <c r="AU692" s="2"/>
      <c r="AV692" s="2"/>
    </row>
    <row r="693" spans="1:48" ht="15.75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4"/>
      <c r="AL693" s="4"/>
      <c r="AM693" s="4"/>
      <c r="AN693" s="4"/>
      <c r="AO693" s="4"/>
      <c r="AP693" s="4"/>
      <c r="AQ693" s="2"/>
      <c r="AR693" s="2"/>
      <c r="AS693" s="5"/>
      <c r="AT693" s="2"/>
      <c r="AU693" s="2"/>
      <c r="AV693" s="2"/>
    </row>
    <row r="694" spans="1:48" ht="15.75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4"/>
      <c r="AL694" s="4"/>
      <c r="AM694" s="4"/>
      <c r="AN694" s="4"/>
      <c r="AO694" s="4"/>
      <c r="AP694" s="4"/>
      <c r="AQ694" s="2"/>
      <c r="AR694" s="2"/>
      <c r="AS694" s="5"/>
      <c r="AT694" s="2"/>
      <c r="AU694" s="2"/>
      <c r="AV694" s="2"/>
    </row>
    <row r="695" spans="1:48" ht="15.75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4"/>
      <c r="AL695" s="4"/>
      <c r="AM695" s="4"/>
      <c r="AN695" s="4"/>
      <c r="AO695" s="4"/>
      <c r="AP695" s="4"/>
      <c r="AQ695" s="2"/>
      <c r="AR695" s="2"/>
      <c r="AS695" s="5"/>
      <c r="AT695" s="2"/>
      <c r="AU695" s="2"/>
      <c r="AV695" s="2"/>
    </row>
    <row r="696" spans="1:48" ht="15.75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4"/>
      <c r="AL696" s="4"/>
      <c r="AM696" s="4"/>
      <c r="AN696" s="4"/>
      <c r="AO696" s="4"/>
      <c r="AP696" s="4"/>
      <c r="AQ696" s="2"/>
      <c r="AR696" s="2"/>
      <c r="AS696" s="5"/>
      <c r="AT696" s="2"/>
      <c r="AU696" s="2"/>
      <c r="AV696" s="2"/>
    </row>
    <row r="697" spans="1:48" ht="15.75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4"/>
      <c r="AL697" s="4"/>
      <c r="AM697" s="4"/>
      <c r="AN697" s="4"/>
      <c r="AO697" s="4"/>
      <c r="AP697" s="4"/>
      <c r="AQ697" s="2"/>
      <c r="AR697" s="2"/>
      <c r="AS697" s="5"/>
      <c r="AT697" s="2"/>
      <c r="AU697" s="2"/>
      <c r="AV697" s="2"/>
    </row>
    <row r="698" spans="1:48" ht="15.75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4"/>
      <c r="AL698" s="4"/>
      <c r="AM698" s="4"/>
      <c r="AN698" s="4"/>
      <c r="AO698" s="4"/>
      <c r="AP698" s="4"/>
      <c r="AQ698" s="2"/>
      <c r="AR698" s="2"/>
      <c r="AS698" s="5"/>
      <c r="AT698" s="2"/>
      <c r="AU698" s="2"/>
      <c r="AV698" s="2"/>
    </row>
    <row r="699" spans="1:48" ht="15.75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4"/>
      <c r="AL699" s="4"/>
      <c r="AM699" s="4"/>
      <c r="AN699" s="4"/>
      <c r="AO699" s="4"/>
      <c r="AP699" s="4"/>
      <c r="AQ699" s="2"/>
      <c r="AR699" s="2"/>
      <c r="AS699" s="5"/>
      <c r="AT699" s="2"/>
      <c r="AU699" s="2"/>
      <c r="AV699" s="2"/>
    </row>
    <row r="700" spans="1:48" ht="15.75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4"/>
      <c r="AL700" s="4"/>
      <c r="AM700" s="4"/>
      <c r="AN700" s="4"/>
      <c r="AO700" s="4"/>
      <c r="AP700" s="4"/>
      <c r="AQ700" s="2"/>
      <c r="AR700" s="2"/>
      <c r="AS700" s="5"/>
      <c r="AT700" s="2"/>
      <c r="AU700" s="2"/>
      <c r="AV700" s="2"/>
    </row>
    <row r="701" spans="1:48" ht="15.75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4"/>
      <c r="AL701" s="4"/>
      <c r="AM701" s="4"/>
      <c r="AN701" s="4"/>
      <c r="AO701" s="4"/>
      <c r="AP701" s="4"/>
      <c r="AQ701" s="2"/>
      <c r="AR701" s="2"/>
      <c r="AS701" s="5"/>
      <c r="AT701" s="2"/>
      <c r="AU701" s="2"/>
      <c r="AV701" s="2"/>
    </row>
    <row r="702" spans="1:48" ht="15.75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4"/>
      <c r="AL702" s="4"/>
      <c r="AM702" s="4"/>
      <c r="AN702" s="4"/>
      <c r="AO702" s="4"/>
      <c r="AP702" s="4"/>
      <c r="AQ702" s="2"/>
      <c r="AR702" s="2"/>
      <c r="AS702" s="5"/>
      <c r="AT702" s="2"/>
      <c r="AU702" s="2"/>
      <c r="AV702" s="2"/>
    </row>
    <row r="703" spans="1:48" ht="15.75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4"/>
      <c r="AL703" s="4"/>
      <c r="AM703" s="4"/>
      <c r="AN703" s="4"/>
      <c r="AO703" s="4"/>
      <c r="AP703" s="4"/>
      <c r="AQ703" s="2"/>
      <c r="AR703" s="2"/>
      <c r="AS703" s="5"/>
      <c r="AT703" s="2"/>
      <c r="AU703" s="2"/>
      <c r="AV703" s="2"/>
    </row>
    <row r="704" spans="1:48" ht="15.75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4"/>
      <c r="AL704" s="4"/>
      <c r="AM704" s="4"/>
      <c r="AN704" s="4"/>
      <c r="AO704" s="4"/>
      <c r="AP704" s="4"/>
      <c r="AQ704" s="2"/>
      <c r="AR704" s="2"/>
      <c r="AS704" s="5"/>
      <c r="AT704" s="2"/>
      <c r="AU704" s="2"/>
      <c r="AV704" s="2"/>
    </row>
    <row r="705" spans="1:48" ht="15.75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4"/>
      <c r="AL705" s="4"/>
      <c r="AM705" s="4"/>
      <c r="AN705" s="4"/>
      <c r="AO705" s="4"/>
      <c r="AP705" s="4"/>
      <c r="AQ705" s="2"/>
      <c r="AR705" s="2"/>
      <c r="AS705" s="5"/>
      <c r="AT705" s="2"/>
      <c r="AU705" s="2"/>
      <c r="AV705" s="2"/>
    </row>
    <row r="706" spans="1:48" ht="15.75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4"/>
      <c r="AL706" s="4"/>
      <c r="AM706" s="4"/>
      <c r="AN706" s="4"/>
      <c r="AO706" s="4"/>
      <c r="AP706" s="4"/>
      <c r="AQ706" s="2"/>
      <c r="AR706" s="2"/>
      <c r="AS706" s="5"/>
      <c r="AT706" s="2"/>
      <c r="AU706" s="2"/>
      <c r="AV706" s="2"/>
    </row>
    <row r="707" spans="1:48" ht="15.75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4"/>
      <c r="AL707" s="4"/>
      <c r="AM707" s="4"/>
      <c r="AN707" s="4"/>
      <c r="AO707" s="4"/>
      <c r="AP707" s="4"/>
      <c r="AQ707" s="2"/>
      <c r="AR707" s="2"/>
      <c r="AS707" s="5"/>
      <c r="AT707" s="2"/>
      <c r="AU707" s="2"/>
      <c r="AV707" s="2"/>
    </row>
    <row r="708" spans="1:48" ht="15.75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4"/>
      <c r="AL708" s="4"/>
      <c r="AM708" s="4"/>
      <c r="AN708" s="4"/>
      <c r="AO708" s="4"/>
      <c r="AP708" s="4"/>
      <c r="AQ708" s="2"/>
      <c r="AR708" s="2"/>
      <c r="AS708" s="5"/>
      <c r="AT708" s="2"/>
      <c r="AU708" s="2"/>
      <c r="AV708" s="2"/>
    </row>
    <row r="709" spans="1:48" ht="15.75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4"/>
      <c r="AL709" s="4"/>
      <c r="AM709" s="4"/>
      <c r="AN709" s="4"/>
      <c r="AO709" s="4"/>
      <c r="AP709" s="4"/>
      <c r="AQ709" s="2"/>
      <c r="AR709" s="2"/>
      <c r="AS709" s="5"/>
      <c r="AT709" s="2"/>
      <c r="AU709" s="2"/>
      <c r="AV709" s="2"/>
    </row>
    <row r="710" spans="1:48" ht="15.75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4"/>
      <c r="AL710" s="4"/>
      <c r="AM710" s="4"/>
      <c r="AN710" s="4"/>
      <c r="AO710" s="4"/>
      <c r="AP710" s="4"/>
      <c r="AQ710" s="2"/>
      <c r="AR710" s="2"/>
      <c r="AS710" s="5"/>
      <c r="AT710" s="2"/>
      <c r="AU710" s="2"/>
      <c r="AV710" s="2"/>
    </row>
    <row r="711" spans="1:48" ht="15.75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4"/>
      <c r="AL711" s="4"/>
      <c r="AM711" s="4"/>
      <c r="AN711" s="4"/>
      <c r="AO711" s="4"/>
      <c r="AP711" s="4"/>
      <c r="AQ711" s="2"/>
      <c r="AR711" s="2"/>
      <c r="AS711" s="5"/>
      <c r="AT711" s="2"/>
      <c r="AU711" s="2"/>
      <c r="AV711" s="2"/>
    </row>
    <row r="712" spans="1:48" ht="15.75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4"/>
      <c r="AL712" s="4"/>
      <c r="AM712" s="4"/>
      <c r="AN712" s="4"/>
      <c r="AO712" s="4"/>
      <c r="AP712" s="4"/>
      <c r="AQ712" s="2"/>
      <c r="AR712" s="2"/>
      <c r="AS712" s="5"/>
      <c r="AT712" s="2"/>
      <c r="AU712" s="2"/>
      <c r="AV712" s="2"/>
    </row>
    <row r="713" spans="1:48" ht="15.75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4"/>
      <c r="AL713" s="4"/>
      <c r="AM713" s="4"/>
      <c r="AN713" s="4"/>
      <c r="AO713" s="4"/>
      <c r="AP713" s="4"/>
      <c r="AQ713" s="2"/>
      <c r="AR713" s="2"/>
      <c r="AS713" s="5"/>
      <c r="AT713" s="2"/>
      <c r="AU713" s="2"/>
      <c r="AV713" s="2"/>
    </row>
    <row r="714" spans="1:48" ht="15.75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4"/>
      <c r="AL714" s="4"/>
      <c r="AM714" s="4"/>
      <c r="AN714" s="4"/>
      <c r="AO714" s="4"/>
      <c r="AP714" s="4"/>
      <c r="AQ714" s="2"/>
      <c r="AR714" s="2"/>
      <c r="AS714" s="5"/>
      <c r="AT714" s="2"/>
      <c r="AU714" s="2"/>
      <c r="AV714" s="2"/>
    </row>
    <row r="715" spans="1:48" ht="15.75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4"/>
      <c r="AL715" s="4"/>
      <c r="AM715" s="4"/>
      <c r="AN715" s="4"/>
      <c r="AO715" s="4"/>
      <c r="AP715" s="4"/>
      <c r="AQ715" s="2"/>
      <c r="AR715" s="2"/>
      <c r="AS715" s="5"/>
      <c r="AT715" s="2"/>
      <c r="AU715" s="2"/>
      <c r="AV715" s="2"/>
    </row>
    <row r="716" spans="1:48" ht="15.75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4"/>
      <c r="AL716" s="4"/>
      <c r="AM716" s="4"/>
      <c r="AN716" s="4"/>
      <c r="AO716" s="4"/>
      <c r="AP716" s="4"/>
      <c r="AQ716" s="2"/>
      <c r="AR716" s="2"/>
      <c r="AS716" s="5"/>
      <c r="AT716" s="2"/>
      <c r="AU716" s="2"/>
      <c r="AV716" s="2"/>
    </row>
    <row r="717" spans="1:48" ht="15.75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4"/>
      <c r="AL717" s="4"/>
      <c r="AM717" s="4"/>
      <c r="AN717" s="4"/>
      <c r="AO717" s="4"/>
      <c r="AP717" s="4"/>
      <c r="AQ717" s="2"/>
      <c r="AR717" s="2"/>
      <c r="AS717" s="5"/>
      <c r="AT717" s="2"/>
      <c r="AU717" s="2"/>
      <c r="AV717" s="2"/>
    </row>
    <row r="718" spans="1:48" ht="15.75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4"/>
      <c r="AL718" s="4"/>
      <c r="AM718" s="4"/>
      <c r="AN718" s="4"/>
      <c r="AO718" s="4"/>
      <c r="AP718" s="4"/>
      <c r="AQ718" s="2"/>
      <c r="AR718" s="2"/>
      <c r="AS718" s="5"/>
      <c r="AT718" s="2"/>
      <c r="AU718" s="2"/>
      <c r="AV718" s="2"/>
    </row>
    <row r="719" spans="1:48" ht="15.75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4"/>
      <c r="AL719" s="4"/>
      <c r="AM719" s="4"/>
      <c r="AN719" s="4"/>
      <c r="AO719" s="4"/>
      <c r="AP719" s="4"/>
      <c r="AQ719" s="2"/>
      <c r="AR719" s="2"/>
      <c r="AS719" s="5"/>
      <c r="AT719" s="2"/>
      <c r="AU719" s="2"/>
      <c r="AV719" s="2"/>
    </row>
    <row r="720" spans="1:48" ht="15.75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4"/>
      <c r="AL720" s="4"/>
      <c r="AM720" s="4"/>
      <c r="AN720" s="4"/>
      <c r="AO720" s="4"/>
      <c r="AP720" s="4"/>
      <c r="AQ720" s="2"/>
      <c r="AR720" s="2"/>
      <c r="AS720" s="5"/>
      <c r="AT720" s="2"/>
      <c r="AU720" s="2"/>
      <c r="AV720" s="2"/>
    </row>
    <row r="721" spans="1:48" ht="15.75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4"/>
      <c r="AL721" s="4"/>
      <c r="AM721" s="4"/>
      <c r="AN721" s="4"/>
      <c r="AO721" s="4"/>
      <c r="AP721" s="4"/>
      <c r="AQ721" s="2"/>
      <c r="AR721" s="2"/>
      <c r="AS721" s="5"/>
      <c r="AT721" s="2"/>
      <c r="AU721" s="2"/>
      <c r="AV721" s="2"/>
    </row>
    <row r="722" spans="1:48" ht="15.75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4"/>
      <c r="AL722" s="4"/>
      <c r="AM722" s="4"/>
      <c r="AN722" s="4"/>
      <c r="AO722" s="4"/>
      <c r="AP722" s="4"/>
      <c r="AQ722" s="2"/>
      <c r="AR722" s="2"/>
      <c r="AS722" s="5"/>
      <c r="AT722" s="2"/>
      <c r="AU722" s="2"/>
      <c r="AV722" s="2"/>
    </row>
    <row r="723" spans="1:48" ht="15.75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4"/>
      <c r="AL723" s="4"/>
      <c r="AM723" s="4"/>
      <c r="AN723" s="4"/>
      <c r="AO723" s="4"/>
      <c r="AP723" s="4"/>
      <c r="AQ723" s="2"/>
      <c r="AR723" s="2"/>
      <c r="AS723" s="5"/>
      <c r="AT723" s="2"/>
      <c r="AU723" s="2"/>
      <c r="AV723" s="2"/>
    </row>
    <row r="724" spans="1:48" ht="15.75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4"/>
      <c r="AL724" s="4"/>
      <c r="AM724" s="4"/>
      <c r="AN724" s="4"/>
      <c r="AO724" s="4"/>
      <c r="AP724" s="4"/>
      <c r="AQ724" s="2"/>
      <c r="AR724" s="2"/>
      <c r="AS724" s="5"/>
      <c r="AT724" s="2"/>
      <c r="AU724" s="2"/>
      <c r="AV724" s="2"/>
    </row>
    <row r="725" spans="1:48" ht="15.75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4"/>
      <c r="AL725" s="4"/>
      <c r="AM725" s="4"/>
      <c r="AN725" s="4"/>
      <c r="AO725" s="4"/>
      <c r="AP725" s="4"/>
      <c r="AQ725" s="2"/>
      <c r="AR725" s="2"/>
      <c r="AS725" s="5"/>
      <c r="AT725" s="2"/>
      <c r="AU725" s="2"/>
      <c r="AV725" s="2"/>
    </row>
    <row r="726" spans="1:48" ht="15.75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4"/>
      <c r="AL726" s="4"/>
      <c r="AM726" s="4"/>
      <c r="AN726" s="4"/>
      <c r="AO726" s="4"/>
      <c r="AP726" s="4"/>
      <c r="AQ726" s="2"/>
      <c r="AR726" s="2"/>
      <c r="AS726" s="5"/>
      <c r="AT726" s="2"/>
      <c r="AU726" s="2"/>
      <c r="AV726" s="2"/>
    </row>
    <row r="727" spans="1:48" ht="15.75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4"/>
      <c r="AL727" s="4"/>
      <c r="AM727" s="4"/>
      <c r="AN727" s="4"/>
      <c r="AO727" s="4"/>
      <c r="AP727" s="4"/>
      <c r="AQ727" s="2"/>
      <c r="AR727" s="2"/>
      <c r="AS727" s="5"/>
      <c r="AT727" s="2"/>
      <c r="AU727" s="2"/>
      <c r="AV727" s="2"/>
    </row>
    <row r="728" spans="1:48" ht="15.75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4"/>
      <c r="AL728" s="4"/>
      <c r="AM728" s="4"/>
      <c r="AN728" s="4"/>
      <c r="AO728" s="4"/>
      <c r="AP728" s="4"/>
      <c r="AQ728" s="2"/>
      <c r="AR728" s="2"/>
      <c r="AS728" s="5"/>
      <c r="AT728" s="2"/>
      <c r="AU728" s="2"/>
      <c r="AV728" s="2"/>
    </row>
    <row r="729" spans="1:48" ht="15.75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4"/>
      <c r="AL729" s="4"/>
      <c r="AM729" s="4"/>
      <c r="AN729" s="4"/>
      <c r="AO729" s="4"/>
      <c r="AP729" s="4"/>
      <c r="AQ729" s="2"/>
      <c r="AR729" s="2"/>
      <c r="AS729" s="5"/>
      <c r="AT729" s="2"/>
      <c r="AU729" s="2"/>
      <c r="AV729" s="2"/>
    </row>
    <row r="730" spans="1:48" ht="15.75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4"/>
      <c r="AL730" s="4"/>
      <c r="AM730" s="4"/>
      <c r="AN730" s="4"/>
      <c r="AO730" s="4"/>
      <c r="AP730" s="4"/>
      <c r="AQ730" s="2"/>
      <c r="AR730" s="2"/>
      <c r="AS730" s="5"/>
      <c r="AT730" s="2"/>
      <c r="AU730" s="2"/>
      <c r="AV730" s="2"/>
    </row>
    <row r="731" spans="1:48" ht="15.75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4"/>
      <c r="AL731" s="4"/>
      <c r="AM731" s="4"/>
      <c r="AN731" s="4"/>
      <c r="AO731" s="4"/>
      <c r="AP731" s="4"/>
      <c r="AQ731" s="2"/>
      <c r="AR731" s="2"/>
      <c r="AS731" s="5"/>
      <c r="AT731" s="2"/>
      <c r="AU731" s="2"/>
      <c r="AV731" s="2"/>
    </row>
    <row r="732" spans="1:48" ht="15.75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4"/>
      <c r="AL732" s="4"/>
      <c r="AM732" s="4"/>
      <c r="AN732" s="4"/>
      <c r="AO732" s="4"/>
      <c r="AP732" s="4"/>
      <c r="AQ732" s="2"/>
      <c r="AR732" s="2"/>
      <c r="AS732" s="5"/>
      <c r="AT732" s="2"/>
      <c r="AU732" s="2"/>
      <c r="AV732" s="2"/>
    </row>
    <row r="733" spans="1:48" ht="15.75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4"/>
      <c r="AL733" s="4"/>
      <c r="AM733" s="4"/>
      <c r="AN733" s="4"/>
      <c r="AO733" s="4"/>
      <c r="AP733" s="4"/>
      <c r="AQ733" s="2"/>
      <c r="AR733" s="2"/>
      <c r="AS733" s="5"/>
      <c r="AT733" s="2"/>
      <c r="AU733" s="2"/>
      <c r="AV733" s="2"/>
    </row>
    <row r="734" spans="1:48" ht="15.75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4"/>
      <c r="AL734" s="4"/>
      <c r="AM734" s="4"/>
      <c r="AN734" s="4"/>
      <c r="AO734" s="4"/>
      <c r="AP734" s="4"/>
      <c r="AQ734" s="2"/>
      <c r="AR734" s="2"/>
      <c r="AS734" s="5"/>
      <c r="AT734" s="2"/>
      <c r="AU734" s="2"/>
      <c r="AV734" s="2"/>
    </row>
    <row r="735" spans="1:48" ht="15.75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4"/>
      <c r="AL735" s="4"/>
      <c r="AM735" s="4"/>
      <c r="AN735" s="4"/>
      <c r="AO735" s="4"/>
      <c r="AP735" s="4"/>
      <c r="AQ735" s="2"/>
      <c r="AR735" s="2"/>
      <c r="AS735" s="5"/>
      <c r="AT735" s="2"/>
      <c r="AU735" s="2"/>
      <c r="AV735" s="2"/>
    </row>
    <row r="736" spans="1:48" ht="15.75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4"/>
      <c r="AL736" s="4"/>
      <c r="AM736" s="4"/>
      <c r="AN736" s="4"/>
      <c r="AO736" s="4"/>
      <c r="AP736" s="4"/>
      <c r="AQ736" s="2"/>
      <c r="AR736" s="2"/>
      <c r="AS736" s="5"/>
      <c r="AT736" s="2"/>
      <c r="AU736" s="2"/>
      <c r="AV736" s="2"/>
    </row>
    <row r="737" spans="1:48" ht="15.75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4"/>
      <c r="AL737" s="4"/>
      <c r="AM737" s="4"/>
      <c r="AN737" s="4"/>
      <c r="AO737" s="4"/>
      <c r="AP737" s="4"/>
      <c r="AQ737" s="2"/>
      <c r="AR737" s="2"/>
      <c r="AS737" s="5"/>
      <c r="AT737" s="2"/>
      <c r="AU737" s="2"/>
      <c r="AV737" s="2"/>
    </row>
    <row r="738" spans="1:48" ht="15.75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4"/>
      <c r="AL738" s="4"/>
      <c r="AM738" s="4"/>
      <c r="AN738" s="4"/>
      <c r="AO738" s="4"/>
      <c r="AP738" s="4"/>
      <c r="AQ738" s="2"/>
      <c r="AR738" s="2"/>
      <c r="AS738" s="5"/>
      <c r="AT738" s="2"/>
      <c r="AU738" s="2"/>
      <c r="AV738" s="2"/>
    </row>
    <row r="739" spans="1:48" ht="15.75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4"/>
      <c r="AL739" s="4"/>
      <c r="AM739" s="4"/>
      <c r="AN739" s="4"/>
      <c r="AO739" s="4"/>
      <c r="AP739" s="4"/>
      <c r="AQ739" s="2"/>
      <c r="AR739" s="2"/>
      <c r="AS739" s="5"/>
      <c r="AT739" s="2"/>
      <c r="AU739" s="2"/>
      <c r="AV739" s="2"/>
    </row>
    <row r="740" spans="1:48" ht="15.75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4"/>
      <c r="AL740" s="4"/>
      <c r="AM740" s="4"/>
      <c r="AN740" s="4"/>
      <c r="AO740" s="4"/>
      <c r="AP740" s="4"/>
      <c r="AQ740" s="2"/>
      <c r="AR740" s="2"/>
      <c r="AS740" s="5"/>
      <c r="AT740" s="2"/>
      <c r="AU740" s="2"/>
      <c r="AV740" s="2"/>
    </row>
    <row r="741" spans="1:48" ht="15.75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4"/>
      <c r="AL741" s="4"/>
      <c r="AM741" s="4"/>
      <c r="AN741" s="4"/>
      <c r="AO741" s="4"/>
      <c r="AP741" s="4"/>
      <c r="AQ741" s="2"/>
      <c r="AR741" s="2"/>
      <c r="AS741" s="5"/>
      <c r="AT741" s="2"/>
      <c r="AU741" s="2"/>
      <c r="AV741" s="2"/>
    </row>
    <row r="742" spans="1:48" ht="15.75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4"/>
      <c r="AL742" s="4"/>
      <c r="AM742" s="4"/>
      <c r="AN742" s="4"/>
      <c r="AO742" s="4"/>
      <c r="AP742" s="4"/>
      <c r="AQ742" s="2"/>
      <c r="AR742" s="2"/>
      <c r="AS742" s="5"/>
      <c r="AT742" s="2"/>
      <c r="AU742" s="2"/>
      <c r="AV742" s="2"/>
    </row>
    <row r="743" spans="1:48" ht="15.75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4"/>
      <c r="AL743" s="4"/>
      <c r="AM743" s="4"/>
      <c r="AN743" s="4"/>
      <c r="AO743" s="4"/>
      <c r="AP743" s="4"/>
      <c r="AQ743" s="2"/>
      <c r="AR743" s="2"/>
      <c r="AS743" s="5"/>
      <c r="AT743" s="2"/>
      <c r="AU743" s="2"/>
      <c r="AV743" s="2"/>
    </row>
    <row r="744" spans="1:48" ht="15.75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4"/>
      <c r="AL744" s="4"/>
      <c r="AM744" s="4"/>
      <c r="AN744" s="4"/>
      <c r="AO744" s="4"/>
      <c r="AP744" s="4"/>
      <c r="AQ744" s="2"/>
      <c r="AR744" s="2"/>
      <c r="AS744" s="5"/>
      <c r="AT744" s="2"/>
      <c r="AU744" s="2"/>
      <c r="AV744" s="2"/>
    </row>
    <row r="745" spans="1:48" ht="15.75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4"/>
      <c r="AL745" s="4"/>
      <c r="AM745" s="4"/>
      <c r="AN745" s="4"/>
      <c r="AO745" s="4"/>
      <c r="AP745" s="4"/>
      <c r="AQ745" s="2"/>
      <c r="AR745" s="2"/>
      <c r="AS745" s="5"/>
      <c r="AT745" s="2"/>
      <c r="AU745" s="2"/>
      <c r="AV745" s="2"/>
    </row>
    <row r="746" spans="1:48" ht="15.75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4"/>
      <c r="AL746" s="4"/>
      <c r="AM746" s="4"/>
      <c r="AN746" s="4"/>
      <c r="AO746" s="4"/>
      <c r="AP746" s="4"/>
      <c r="AQ746" s="2"/>
      <c r="AR746" s="2"/>
      <c r="AS746" s="5"/>
      <c r="AT746" s="2"/>
      <c r="AU746" s="2"/>
      <c r="AV746" s="2"/>
    </row>
    <row r="747" spans="1:48" ht="15.75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4"/>
      <c r="AL747" s="4"/>
      <c r="AM747" s="4"/>
      <c r="AN747" s="4"/>
      <c r="AO747" s="4"/>
      <c r="AP747" s="4"/>
      <c r="AQ747" s="2"/>
      <c r="AR747" s="2"/>
      <c r="AS747" s="5"/>
      <c r="AT747" s="2"/>
      <c r="AU747" s="2"/>
      <c r="AV747" s="2"/>
    </row>
    <row r="748" spans="1:48" ht="15.75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4"/>
      <c r="AL748" s="4"/>
      <c r="AM748" s="4"/>
      <c r="AN748" s="4"/>
      <c r="AO748" s="4"/>
      <c r="AP748" s="4"/>
      <c r="AQ748" s="2"/>
      <c r="AR748" s="2"/>
      <c r="AS748" s="5"/>
      <c r="AT748" s="2"/>
      <c r="AU748" s="2"/>
      <c r="AV748" s="2"/>
    </row>
    <row r="749" spans="1:48" ht="15.75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4"/>
      <c r="AL749" s="4"/>
      <c r="AM749" s="4"/>
      <c r="AN749" s="4"/>
      <c r="AO749" s="4"/>
      <c r="AP749" s="4"/>
      <c r="AQ749" s="2"/>
      <c r="AR749" s="2"/>
      <c r="AS749" s="5"/>
      <c r="AT749" s="2"/>
      <c r="AU749" s="2"/>
      <c r="AV749" s="2"/>
    </row>
    <row r="750" spans="1:48" ht="15.75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4"/>
      <c r="AL750" s="4"/>
      <c r="AM750" s="4"/>
      <c r="AN750" s="4"/>
      <c r="AO750" s="4"/>
      <c r="AP750" s="4"/>
      <c r="AQ750" s="2"/>
      <c r="AR750" s="2"/>
      <c r="AS750" s="5"/>
      <c r="AT750" s="2"/>
      <c r="AU750" s="2"/>
      <c r="AV750" s="2"/>
    </row>
    <row r="751" spans="1:48" ht="15.75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4"/>
      <c r="AL751" s="4"/>
      <c r="AM751" s="4"/>
      <c r="AN751" s="4"/>
      <c r="AO751" s="4"/>
      <c r="AP751" s="4"/>
      <c r="AQ751" s="2"/>
      <c r="AR751" s="2"/>
      <c r="AS751" s="5"/>
      <c r="AT751" s="2"/>
      <c r="AU751" s="2"/>
      <c r="AV751" s="2"/>
    </row>
    <row r="752" spans="1:48" ht="15.75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4"/>
      <c r="AL752" s="4"/>
      <c r="AM752" s="4"/>
      <c r="AN752" s="4"/>
      <c r="AO752" s="4"/>
      <c r="AP752" s="4"/>
      <c r="AQ752" s="2"/>
      <c r="AR752" s="2"/>
      <c r="AS752" s="5"/>
      <c r="AT752" s="2"/>
      <c r="AU752" s="2"/>
      <c r="AV752" s="2"/>
    </row>
    <row r="753" spans="1:48" ht="15.75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4"/>
      <c r="AL753" s="4"/>
      <c r="AM753" s="4"/>
      <c r="AN753" s="4"/>
      <c r="AO753" s="4"/>
      <c r="AP753" s="4"/>
      <c r="AQ753" s="2"/>
      <c r="AR753" s="2"/>
      <c r="AS753" s="5"/>
      <c r="AT753" s="2"/>
      <c r="AU753" s="2"/>
      <c r="AV753" s="2"/>
    </row>
    <row r="754" spans="1:48" ht="15.75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4"/>
      <c r="AL754" s="4"/>
      <c r="AM754" s="4"/>
      <c r="AN754" s="4"/>
      <c r="AO754" s="4"/>
      <c r="AP754" s="4"/>
      <c r="AQ754" s="2"/>
      <c r="AR754" s="2"/>
      <c r="AS754" s="5"/>
      <c r="AT754" s="2"/>
      <c r="AU754" s="2"/>
      <c r="AV754" s="2"/>
    </row>
    <row r="755" spans="1:48" ht="15.75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4"/>
      <c r="AL755" s="4"/>
      <c r="AM755" s="4"/>
      <c r="AN755" s="4"/>
      <c r="AO755" s="4"/>
      <c r="AP755" s="4"/>
      <c r="AQ755" s="2"/>
      <c r="AR755" s="2"/>
      <c r="AS755" s="5"/>
      <c r="AT755" s="2"/>
      <c r="AU755" s="2"/>
      <c r="AV755" s="2"/>
    </row>
    <row r="756" spans="1:48" ht="15.75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4"/>
      <c r="AL756" s="4"/>
      <c r="AM756" s="4"/>
      <c r="AN756" s="4"/>
      <c r="AO756" s="4"/>
      <c r="AP756" s="4"/>
      <c r="AQ756" s="2"/>
      <c r="AR756" s="2"/>
      <c r="AS756" s="5"/>
      <c r="AT756" s="2"/>
      <c r="AU756" s="2"/>
      <c r="AV756" s="2"/>
    </row>
    <row r="757" spans="1:48" ht="15.75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4"/>
      <c r="AL757" s="4"/>
      <c r="AM757" s="4"/>
      <c r="AN757" s="4"/>
      <c r="AO757" s="4"/>
      <c r="AP757" s="4"/>
      <c r="AQ757" s="2"/>
      <c r="AR757" s="2"/>
      <c r="AS757" s="5"/>
      <c r="AT757" s="2"/>
      <c r="AU757" s="2"/>
      <c r="AV757" s="2"/>
    </row>
    <row r="758" spans="1:48" ht="15.75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4"/>
      <c r="AL758" s="4"/>
      <c r="AM758" s="4"/>
      <c r="AN758" s="4"/>
      <c r="AO758" s="4"/>
      <c r="AP758" s="4"/>
      <c r="AQ758" s="2"/>
      <c r="AR758" s="2"/>
      <c r="AS758" s="5"/>
      <c r="AT758" s="2"/>
      <c r="AU758" s="2"/>
      <c r="AV758" s="2"/>
    </row>
    <row r="759" spans="1:48" ht="15.75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4"/>
      <c r="AL759" s="4"/>
      <c r="AM759" s="4"/>
      <c r="AN759" s="4"/>
      <c r="AO759" s="4"/>
      <c r="AP759" s="4"/>
      <c r="AQ759" s="2"/>
      <c r="AR759" s="2"/>
      <c r="AS759" s="5"/>
      <c r="AT759" s="2"/>
      <c r="AU759" s="2"/>
      <c r="AV759" s="2"/>
    </row>
    <row r="760" spans="1:48" ht="15.75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4"/>
      <c r="AL760" s="4"/>
      <c r="AM760" s="4"/>
      <c r="AN760" s="4"/>
      <c r="AO760" s="4"/>
      <c r="AP760" s="4"/>
      <c r="AQ760" s="2"/>
      <c r="AR760" s="2"/>
      <c r="AS760" s="5"/>
      <c r="AT760" s="2"/>
      <c r="AU760" s="2"/>
      <c r="AV760" s="2"/>
    </row>
    <row r="761" spans="1:48" ht="15.75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4"/>
      <c r="AL761" s="4"/>
      <c r="AM761" s="4"/>
      <c r="AN761" s="4"/>
      <c r="AO761" s="4"/>
      <c r="AP761" s="4"/>
      <c r="AQ761" s="2"/>
      <c r="AR761" s="2"/>
      <c r="AS761" s="5"/>
      <c r="AT761" s="2"/>
      <c r="AU761" s="2"/>
      <c r="AV761" s="2"/>
    </row>
    <row r="762" spans="1:48" ht="15.75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4"/>
      <c r="AL762" s="4"/>
      <c r="AM762" s="4"/>
      <c r="AN762" s="4"/>
      <c r="AO762" s="4"/>
      <c r="AP762" s="4"/>
      <c r="AQ762" s="2"/>
      <c r="AR762" s="2"/>
      <c r="AS762" s="5"/>
      <c r="AT762" s="2"/>
      <c r="AU762" s="2"/>
      <c r="AV762" s="2"/>
    </row>
    <row r="763" spans="1:48" ht="15.75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4"/>
      <c r="AL763" s="4"/>
      <c r="AM763" s="4"/>
      <c r="AN763" s="4"/>
      <c r="AO763" s="4"/>
      <c r="AP763" s="4"/>
      <c r="AQ763" s="2"/>
      <c r="AR763" s="2"/>
      <c r="AS763" s="5"/>
      <c r="AT763" s="2"/>
      <c r="AU763" s="2"/>
      <c r="AV763" s="2"/>
    </row>
    <row r="764" spans="1:48" ht="15.75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4"/>
      <c r="AL764" s="4"/>
      <c r="AM764" s="4"/>
      <c r="AN764" s="4"/>
      <c r="AO764" s="4"/>
      <c r="AP764" s="4"/>
      <c r="AQ764" s="2"/>
      <c r="AR764" s="2"/>
      <c r="AS764" s="5"/>
      <c r="AT764" s="2"/>
      <c r="AU764" s="2"/>
      <c r="AV764" s="2"/>
    </row>
    <row r="765" spans="1:48" ht="15.75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4"/>
      <c r="AL765" s="4"/>
      <c r="AM765" s="4"/>
      <c r="AN765" s="4"/>
      <c r="AO765" s="4"/>
      <c r="AP765" s="4"/>
      <c r="AQ765" s="2"/>
      <c r="AR765" s="2"/>
      <c r="AS765" s="5"/>
      <c r="AT765" s="2"/>
      <c r="AU765" s="2"/>
      <c r="AV765" s="2"/>
    </row>
    <row r="766" spans="1:48" ht="15.75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4"/>
      <c r="AL766" s="4"/>
      <c r="AM766" s="4"/>
      <c r="AN766" s="4"/>
      <c r="AO766" s="4"/>
      <c r="AP766" s="4"/>
      <c r="AQ766" s="2"/>
      <c r="AR766" s="2"/>
      <c r="AS766" s="5"/>
      <c r="AT766" s="2"/>
      <c r="AU766" s="2"/>
      <c r="AV766" s="2"/>
    </row>
    <row r="767" spans="1:48" ht="15.75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4"/>
      <c r="AL767" s="4"/>
      <c r="AM767" s="4"/>
      <c r="AN767" s="4"/>
      <c r="AO767" s="4"/>
      <c r="AP767" s="4"/>
      <c r="AQ767" s="2"/>
      <c r="AR767" s="2"/>
      <c r="AS767" s="5"/>
      <c r="AT767" s="2"/>
      <c r="AU767" s="2"/>
      <c r="AV767" s="2"/>
    </row>
    <row r="768" spans="1:48" ht="15.75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4"/>
      <c r="AL768" s="4"/>
      <c r="AM768" s="4"/>
      <c r="AN768" s="4"/>
      <c r="AO768" s="4"/>
      <c r="AP768" s="4"/>
      <c r="AQ768" s="2"/>
      <c r="AR768" s="2"/>
      <c r="AS768" s="5"/>
      <c r="AT768" s="2"/>
      <c r="AU768" s="2"/>
      <c r="AV768" s="2"/>
    </row>
    <row r="769" spans="1:48" ht="15.75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4"/>
      <c r="AL769" s="4"/>
      <c r="AM769" s="4"/>
      <c r="AN769" s="4"/>
      <c r="AO769" s="4"/>
      <c r="AP769" s="4"/>
      <c r="AQ769" s="2"/>
      <c r="AR769" s="2"/>
      <c r="AS769" s="5"/>
      <c r="AT769" s="2"/>
      <c r="AU769" s="2"/>
      <c r="AV769" s="2"/>
    </row>
    <row r="770" spans="1:48" ht="15.75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4"/>
      <c r="AL770" s="4"/>
      <c r="AM770" s="4"/>
      <c r="AN770" s="4"/>
      <c r="AO770" s="4"/>
      <c r="AP770" s="4"/>
      <c r="AQ770" s="2"/>
      <c r="AR770" s="2"/>
      <c r="AS770" s="5"/>
      <c r="AT770" s="2"/>
      <c r="AU770" s="2"/>
      <c r="AV770" s="2"/>
    </row>
    <row r="771" spans="1:48" ht="15.75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4"/>
      <c r="AL771" s="4"/>
      <c r="AM771" s="4"/>
      <c r="AN771" s="4"/>
      <c r="AO771" s="4"/>
      <c r="AP771" s="4"/>
      <c r="AQ771" s="2"/>
      <c r="AR771" s="2"/>
      <c r="AS771" s="5"/>
      <c r="AT771" s="2"/>
      <c r="AU771" s="2"/>
      <c r="AV771" s="2"/>
    </row>
    <row r="772" spans="1:48" ht="15.75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4"/>
      <c r="AL772" s="4"/>
      <c r="AM772" s="4"/>
      <c r="AN772" s="4"/>
      <c r="AO772" s="4"/>
      <c r="AP772" s="4"/>
      <c r="AQ772" s="2"/>
      <c r="AR772" s="2"/>
      <c r="AS772" s="5"/>
      <c r="AT772" s="2"/>
      <c r="AU772" s="2"/>
      <c r="AV772" s="2"/>
    </row>
    <row r="773" spans="1:48" ht="15.75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4"/>
      <c r="AL773" s="4"/>
      <c r="AM773" s="4"/>
      <c r="AN773" s="4"/>
      <c r="AO773" s="4"/>
      <c r="AP773" s="4"/>
      <c r="AQ773" s="2"/>
      <c r="AR773" s="2"/>
      <c r="AS773" s="5"/>
      <c r="AT773" s="2"/>
      <c r="AU773" s="2"/>
      <c r="AV773" s="2"/>
    </row>
    <row r="774" spans="1:48" ht="15.75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4"/>
      <c r="AL774" s="4"/>
      <c r="AM774" s="4"/>
      <c r="AN774" s="4"/>
      <c r="AO774" s="4"/>
      <c r="AP774" s="4"/>
      <c r="AQ774" s="2"/>
      <c r="AR774" s="2"/>
      <c r="AS774" s="5"/>
      <c r="AT774" s="2"/>
      <c r="AU774" s="2"/>
      <c r="AV774" s="2"/>
    </row>
    <row r="775" spans="1:48" ht="15.75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4"/>
      <c r="AL775" s="4"/>
      <c r="AM775" s="4"/>
      <c r="AN775" s="4"/>
      <c r="AO775" s="4"/>
      <c r="AP775" s="4"/>
      <c r="AQ775" s="2"/>
      <c r="AR775" s="2"/>
      <c r="AS775" s="5"/>
      <c r="AT775" s="2"/>
      <c r="AU775" s="2"/>
      <c r="AV775" s="2"/>
    </row>
    <row r="776" spans="1:48" ht="15.75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4"/>
      <c r="AL776" s="4"/>
      <c r="AM776" s="4"/>
      <c r="AN776" s="4"/>
      <c r="AO776" s="4"/>
      <c r="AP776" s="4"/>
      <c r="AQ776" s="2"/>
      <c r="AR776" s="2"/>
      <c r="AS776" s="5"/>
      <c r="AT776" s="2"/>
      <c r="AU776" s="2"/>
      <c r="AV776" s="2"/>
    </row>
    <row r="777" spans="1:48" ht="15.75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4"/>
      <c r="AL777" s="4"/>
      <c r="AM777" s="4"/>
      <c r="AN777" s="4"/>
      <c r="AO777" s="4"/>
      <c r="AP777" s="4"/>
      <c r="AQ777" s="2"/>
      <c r="AR777" s="2"/>
      <c r="AS777" s="5"/>
      <c r="AT777" s="2"/>
      <c r="AU777" s="2"/>
      <c r="AV777" s="2"/>
    </row>
    <row r="778" spans="1:48" ht="15.75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4"/>
      <c r="AL778" s="4"/>
      <c r="AM778" s="4"/>
      <c r="AN778" s="4"/>
      <c r="AO778" s="4"/>
      <c r="AP778" s="4"/>
      <c r="AQ778" s="2"/>
      <c r="AR778" s="2"/>
      <c r="AS778" s="5"/>
      <c r="AT778" s="2"/>
      <c r="AU778" s="2"/>
      <c r="AV778" s="2"/>
    </row>
    <row r="779" spans="1:48" ht="15.75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4"/>
      <c r="AL779" s="4"/>
      <c r="AM779" s="4"/>
      <c r="AN779" s="4"/>
      <c r="AO779" s="4"/>
      <c r="AP779" s="4"/>
      <c r="AQ779" s="2"/>
      <c r="AR779" s="2"/>
      <c r="AS779" s="5"/>
      <c r="AT779" s="2"/>
      <c r="AU779" s="2"/>
      <c r="AV779" s="2"/>
    </row>
    <row r="780" spans="1:48" ht="15.75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4"/>
      <c r="AL780" s="4"/>
      <c r="AM780" s="4"/>
      <c r="AN780" s="4"/>
      <c r="AO780" s="4"/>
      <c r="AP780" s="4"/>
      <c r="AQ780" s="2"/>
      <c r="AR780" s="2"/>
      <c r="AS780" s="5"/>
      <c r="AT780" s="2"/>
      <c r="AU780" s="2"/>
      <c r="AV780" s="2"/>
    </row>
    <row r="781" spans="1:48" ht="15.75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4"/>
      <c r="AL781" s="4"/>
      <c r="AM781" s="4"/>
      <c r="AN781" s="4"/>
      <c r="AO781" s="4"/>
      <c r="AP781" s="4"/>
      <c r="AQ781" s="2"/>
      <c r="AR781" s="2"/>
      <c r="AS781" s="5"/>
      <c r="AT781" s="2"/>
      <c r="AU781" s="2"/>
      <c r="AV781" s="2"/>
    </row>
    <row r="782" spans="1:48" ht="15.75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4"/>
      <c r="AL782" s="4"/>
      <c r="AM782" s="4"/>
      <c r="AN782" s="4"/>
      <c r="AO782" s="4"/>
      <c r="AP782" s="4"/>
      <c r="AQ782" s="2"/>
      <c r="AR782" s="2"/>
      <c r="AS782" s="5"/>
      <c r="AT782" s="2"/>
      <c r="AU782" s="2"/>
      <c r="AV782" s="2"/>
    </row>
    <row r="783" spans="1:48" ht="15.75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4"/>
      <c r="AL783" s="4"/>
      <c r="AM783" s="4"/>
      <c r="AN783" s="4"/>
      <c r="AO783" s="4"/>
      <c r="AP783" s="4"/>
      <c r="AQ783" s="2"/>
      <c r="AR783" s="2"/>
      <c r="AS783" s="5"/>
      <c r="AT783" s="2"/>
      <c r="AU783" s="2"/>
      <c r="AV783" s="2"/>
    </row>
    <row r="784" spans="1:48" ht="15.75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4"/>
      <c r="AL784" s="4"/>
      <c r="AM784" s="4"/>
      <c r="AN784" s="4"/>
      <c r="AO784" s="4"/>
      <c r="AP784" s="4"/>
      <c r="AQ784" s="2"/>
      <c r="AR784" s="2"/>
      <c r="AS784" s="5"/>
      <c r="AT784" s="2"/>
      <c r="AU784" s="2"/>
      <c r="AV784" s="2"/>
    </row>
    <row r="785" spans="1:48" ht="15.75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4"/>
      <c r="AL785" s="4"/>
      <c r="AM785" s="4"/>
      <c r="AN785" s="4"/>
      <c r="AO785" s="4"/>
      <c r="AP785" s="4"/>
      <c r="AQ785" s="2"/>
      <c r="AR785" s="2"/>
      <c r="AS785" s="5"/>
      <c r="AT785" s="2"/>
      <c r="AU785" s="2"/>
      <c r="AV785" s="2"/>
    </row>
    <row r="786" spans="1:48" ht="15.75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4"/>
      <c r="AL786" s="4"/>
      <c r="AM786" s="4"/>
      <c r="AN786" s="4"/>
      <c r="AO786" s="4"/>
      <c r="AP786" s="4"/>
      <c r="AQ786" s="2"/>
      <c r="AR786" s="2"/>
      <c r="AS786" s="5"/>
      <c r="AT786" s="2"/>
      <c r="AU786" s="2"/>
      <c r="AV786" s="2"/>
    </row>
    <row r="787" spans="1:48" ht="15.75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4"/>
      <c r="AL787" s="4"/>
      <c r="AM787" s="4"/>
      <c r="AN787" s="4"/>
      <c r="AO787" s="4"/>
      <c r="AP787" s="4"/>
      <c r="AQ787" s="2"/>
      <c r="AR787" s="2"/>
      <c r="AS787" s="5"/>
      <c r="AT787" s="2"/>
      <c r="AU787" s="2"/>
      <c r="AV787" s="2"/>
    </row>
    <row r="788" spans="1:48" ht="15.75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4"/>
      <c r="AL788" s="4"/>
      <c r="AM788" s="4"/>
      <c r="AN788" s="4"/>
      <c r="AO788" s="4"/>
      <c r="AP788" s="4"/>
      <c r="AQ788" s="2"/>
      <c r="AR788" s="2"/>
      <c r="AS788" s="5"/>
      <c r="AT788" s="2"/>
      <c r="AU788" s="2"/>
      <c r="AV788" s="2"/>
    </row>
    <row r="789" spans="1:48" ht="15.75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4"/>
      <c r="AL789" s="4"/>
      <c r="AM789" s="4"/>
      <c r="AN789" s="4"/>
      <c r="AO789" s="4"/>
      <c r="AP789" s="4"/>
      <c r="AQ789" s="2"/>
      <c r="AR789" s="2"/>
      <c r="AS789" s="5"/>
      <c r="AT789" s="2"/>
      <c r="AU789" s="2"/>
      <c r="AV789" s="2"/>
    </row>
    <row r="790" spans="1:48" ht="15.75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4"/>
      <c r="AL790" s="4"/>
      <c r="AM790" s="4"/>
      <c r="AN790" s="4"/>
      <c r="AO790" s="4"/>
      <c r="AP790" s="4"/>
      <c r="AQ790" s="2"/>
      <c r="AR790" s="2"/>
      <c r="AS790" s="5"/>
      <c r="AT790" s="2"/>
      <c r="AU790" s="2"/>
      <c r="AV790" s="2"/>
    </row>
    <row r="791" spans="1:48" ht="15.75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4"/>
      <c r="AL791" s="4"/>
      <c r="AM791" s="4"/>
      <c r="AN791" s="4"/>
      <c r="AO791" s="4"/>
      <c r="AP791" s="4"/>
      <c r="AQ791" s="2"/>
      <c r="AR791" s="2"/>
      <c r="AS791" s="5"/>
      <c r="AT791" s="2"/>
      <c r="AU791" s="2"/>
      <c r="AV791" s="2"/>
    </row>
    <row r="792" spans="1:48" ht="15.75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4"/>
      <c r="AL792" s="4"/>
      <c r="AM792" s="4"/>
      <c r="AN792" s="4"/>
      <c r="AO792" s="4"/>
      <c r="AP792" s="4"/>
      <c r="AQ792" s="2"/>
      <c r="AR792" s="2"/>
      <c r="AS792" s="5"/>
      <c r="AT792" s="2"/>
      <c r="AU792" s="2"/>
      <c r="AV792" s="2"/>
    </row>
    <row r="793" spans="1:48" ht="15.75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4"/>
      <c r="AL793" s="4"/>
      <c r="AM793" s="4"/>
      <c r="AN793" s="4"/>
      <c r="AO793" s="4"/>
      <c r="AP793" s="4"/>
      <c r="AQ793" s="2"/>
      <c r="AR793" s="2"/>
      <c r="AS793" s="5"/>
      <c r="AT793" s="2"/>
      <c r="AU793" s="2"/>
      <c r="AV793" s="2"/>
    </row>
    <row r="794" spans="1:48" ht="15.75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4"/>
      <c r="AL794" s="4"/>
      <c r="AM794" s="4"/>
      <c r="AN794" s="4"/>
      <c r="AO794" s="4"/>
      <c r="AP794" s="4"/>
      <c r="AQ794" s="2"/>
      <c r="AR794" s="2"/>
      <c r="AS794" s="5"/>
      <c r="AT794" s="2"/>
      <c r="AU794" s="2"/>
      <c r="AV794" s="2"/>
    </row>
    <row r="795" spans="1:48" ht="15.75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4"/>
      <c r="AL795" s="4"/>
      <c r="AM795" s="4"/>
      <c r="AN795" s="4"/>
      <c r="AO795" s="4"/>
      <c r="AP795" s="4"/>
      <c r="AQ795" s="2"/>
      <c r="AR795" s="2"/>
      <c r="AS795" s="5"/>
      <c r="AT795" s="2"/>
      <c r="AU795" s="2"/>
      <c r="AV795" s="2"/>
    </row>
    <row r="796" spans="1:48" ht="15.75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4"/>
      <c r="AL796" s="4"/>
      <c r="AM796" s="4"/>
      <c r="AN796" s="4"/>
      <c r="AO796" s="4"/>
      <c r="AP796" s="4"/>
      <c r="AQ796" s="2"/>
      <c r="AR796" s="2"/>
      <c r="AS796" s="5"/>
      <c r="AT796" s="2"/>
      <c r="AU796" s="2"/>
      <c r="AV796" s="2"/>
    </row>
    <row r="797" spans="1:48" ht="15.75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4"/>
      <c r="AL797" s="4"/>
      <c r="AM797" s="4"/>
      <c r="AN797" s="4"/>
      <c r="AO797" s="4"/>
      <c r="AP797" s="4"/>
      <c r="AQ797" s="2"/>
      <c r="AR797" s="2"/>
      <c r="AS797" s="5"/>
      <c r="AT797" s="2"/>
      <c r="AU797" s="2"/>
      <c r="AV797" s="2"/>
    </row>
    <row r="798" spans="1:48" ht="15.75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4"/>
      <c r="AL798" s="4"/>
      <c r="AM798" s="4"/>
      <c r="AN798" s="4"/>
      <c r="AO798" s="4"/>
      <c r="AP798" s="4"/>
      <c r="AQ798" s="2"/>
      <c r="AR798" s="2"/>
      <c r="AS798" s="5"/>
      <c r="AT798" s="2"/>
      <c r="AU798" s="2"/>
      <c r="AV798" s="2"/>
    </row>
    <row r="799" spans="1:48" ht="15.75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4"/>
      <c r="AL799" s="4"/>
      <c r="AM799" s="4"/>
      <c r="AN799" s="4"/>
      <c r="AO799" s="4"/>
      <c r="AP799" s="4"/>
      <c r="AQ799" s="2"/>
      <c r="AR799" s="2"/>
      <c r="AS799" s="5"/>
      <c r="AT799" s="2"/>
      <c r="AU799" s="2"/>
      <c r="AV799" s="2"/>
    </row>
    <row r="800" spans="1:48" ht="15.75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4"/>
      <c r="AL800" s="4"/>
      <c r="AM800" s="4"/>
      <c r="AN800" s="4"/>
      <c r="AO800" s="4"/>
      <c r="AP800" s="4"/>
      <c r="AQ800" s="2"/>
      <c r="AR800" s="2"/>
      <c r="AS800" s="5"/>
      <c r="AT800" s="2"/>
      <c r="AU800" s="2"/>
      <c r="AV800" s="2"/>
    </row>
    <row r="801" spans="1:48" ht="15.75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4"/>
      <c r="AL801" s="4"/>
      <c r="AM801" s="4"/>
      <c r="AN801" s="4"/>
      <c r="AO801" s="4"/>
      <c r="AP801" s="4"/>
      <c r="AQ801" s="2"/>
      <c r="AR801" s="2"/>
      <c r="AS801" s="5"/>
      <c r="AT801" s="2"/>
      <c r="AU801" s="2"/>
      <c r="AV801" s="2"/>
    </row>
    <row r="802" spans="1:48" ht="15.75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4"/>
      <c r="AL802" s="4"/>
      <c r="AM802" s="4"/>
      <c r="AN802" s="4"/>
      <c r="AO802" s="4"/>
      <c r="AP802" s="4"/>
      <c r="AQ802" s="2"/>
      <c r="AR802" s="2"/>
      <c r="AS802" s="5"/>
      <c r="AT802" s="2"/>
      <c r="AU802" s="2"/>
      <c r="AV802" s="2"/>
    </row>
    <row r="803" spans="1:48" ht="15.75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4"/>
      <c r="AL803" s="4"/>
      <c r="AM803" s="4"/>
      <c r="AN803" s="4"/>
      <c r="AO803" s="4"/>
      <c r="AP803" s="4"/>
      <c r="AQ803" s="2"/>
      <c r="AR803" s="2"/>
      <c r="AS803" s="5"/>
      <c r="AT803" s="2"/>
      <c r="AU803" s="2"/>
      <c r="AV803" s="2"/>
    </row>
    <row r="804" spans="1:48" ht="15.75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4"/>
      <c r="AL804" s="4"/>
      <c r="AM804" s="4"/>
      <c r="AN804" s="4"/>
      <c r="AO804" s="4"/>
      <c r="AP804" s="4"/>
      <c r="AQ804" s="2"/>
      <c r="AR804" s="2"/>
      <c r="AS804" s="5"/>
      <c r="AT804" s="2"/>
      <c r="AU804" s="2"/>
      <c r="AV804" s="2"/>
    </row>
    <row r="805" spans="1:48" ht="15.75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4"/>
      <c r="AL805" s="4"/>
      <c r="AM805" s="4"/>
      <c r="AN805" s="4"/>
      <c r="AO805" s="4"/>
      <c r="AP805" s="4"/>
      <c r="AQ805" s="2"/>
      <c r="AR805" s="2"/>
      <c r="AS805" s="5"/>
      <c r="AT805" s="2"/>
      <c r="AU805" s="2"/>
      <c r="AV805" s="2"/>
    </row>
    <row r="806" spans="1:48" ht="15.75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4"/>
      <c r="AL806" s="4"/>
      <c r="AM806" s="4"/>
      <c r="AN806" s="4"/>
      <c r="AO806" s="4"/>
      <c r="AP806" s="4"/>
      <c r="AQ806" s="2"/>
      <c r="AR806" s="2"/>
      <c r="AS806" s="5"/>
      <c r="AT806" s="2"/>
      <c r="AU806" s="2"/>
      <c r="AV806" s="2"/>
    </row>
    <row r="807" spans="1:48" ht="15.75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4"/>
      <c r="AL807" s="4"/>
      <c r="AM807" s="4"/>
      <c r="AN807" s="4"/>
      <c r="AO807" s="4"/>
      <c r="AP807" s="4"/>
      <c r="AQ807" s="2"/>
      <c r="AR807" s="2"/>
      <c r="AS807" s="5"/>
      <c r="AT807" s="2"/>
      <c r="AU807" s="2"/>
      <c r="AV807" s="2"/>
    </row>
    <row r="808" spans="1:48" ht="15.75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4"/>
      <c r="AL808" s="4"/>
      <c r="AM808" s="4"/>
      <c r="AN808" s="4"/>
      <c r="AO808" s="4"/>
      <c r="AP808" s="4"/>
      <c r="AQ808" s="2"/>
      <c r="AR808" s="2"/>
      <c r="AS808" s="5"/>
      <c r="AT808" s="2"/>
      <c r="AU808" s="2"/>
      <c r="AV808" s="2"/>
    </row>
    <row r="809" spans="1:48" ht="15.75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4"/>
      <c r="AL809" s="4"/>
      <c r="AM809" s="4"/>
      <c r="AN809" s="4"/>
      <c r="AO809" s="4"/>
      <c r="AP809" s="4"/>
      <c r="AQ809" s="2"/>
      <c r="AR809" s="2"/>
      <c r="AS809" s="5"/>
      <c r="AT809" s="2"/>
      <c r="AU809" s="2"/>
      <c r="AV809" s="2"/>
    </row>
    <row r="810" spans="1:48" ht="15.75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4"/>
      <c r="AL810" s="4"/>
      <c r="AM810" s="4"/>
      <c r="AN810" s="4"/>
      <c r="AO810" s="4"/>
      <c r="AP810" s="4"/>
      <c r="AQ810" s="2"/>
      <c r="AR810" s="2"/>
      <c r="AS810" s="5"/>
      <c r="AT810" s="2"/>
      <c r="AU810" s="2"/>
      <c r="AV810" s="2"/>
    </row>
    <row r="811" spans="1:48" ht="15.75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4"/>
      <c r="AL811" s="4"/>
      <c r="AM811" s="4"/>
      <c r="AN811" s="4"/>
      <c r="AO811" s="4"/>
      <c r="AP811" s="4"/>
      <c r="AQ811" s="2"/>
      <c r="AR811" s="2"/>
      <c r="AS811" s="5"/>
      <c r="AT811" s="2"/>
      <c r="AU811" s="2"/>
      <c r="AV811" s="2"/>
    </row>
    <row r="812" spans="1:48" ht="15.75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4"/>
      <c r="AL812" s="4"/>
      <c r="AM812" s="4"/>
      <c r="AN812" s="4"/>
      <c r="AO812" s="4"/>
      <c r="AP812" s="4"/>
      <c r="AQ812" s="2"/>
      <c r="AR812" s="2"/>
      <c r="AS812" s="5"/>
      <c r="AT812" s="2"/>
      <c r="AU812" s="2"/>
      <c r="AV812" s="2"/>
    </row>
    <row r="813" spans="1:48" ht="15.75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4"/>
      <c r="AL813" s="4"/>
      <c r="AM813" s="4"/>
      <c r="AN813" s="4"/>
      <c r="AO813" s="4"/>
      <c r="AP813" s="4"/>
      <c r="AQ813" s="2"/>
      <c r="AR813" s="2"/>
      <c r="AS813" s="5"/>
      <c r="AT813" s="2"/>
      <c r="AU813" s="2"/>
      <c r="AV813" s="2"/>
    </row>
    <row r="814" spans="1:48" ht="15.75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4"/>
      <c r="AL814" s="4"/>
      <c r="AM814" s="4"/>
      <c r="AN814" s="4"/>
      <c r="AO814" s="4"/>
      <c r="AP814" s="4"/>
      <c r="AQ814" s="2"/>
      <c r="AR814" s="2"/>
      <c r="AS814" s="5"/>
      <c r="AT814" s="2"/>
      <c r="AU814" s="2"/>
      <c r="AV814" s="2"/>
    </row>
    <row r="815" spans="1:48" ht="15.75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4"/>
      <c r="AL815" s="4"/>
      <c r="AM815" s="4"/>
      <c r="AN815" s="4"/>
      <c r="AO815" s="4"/>
      <c r="AP815" s="4"/>
      <c r="AQ815" s="2"/>
      <c r="AR815" s="2"/>
      <c r="AS815" s="5"/>
      <c r="AT815" s="2"/>
      <c r="AU815" s="2"/>
      <c r="AV815" s="2"/>
    </row>
    <row r="816" spans="1:48" ht="15.75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4"/>
      <c r="AL816" s="4"/>
      <c r="AM816" s="4"/>
      <c r="AN816" s="4"/>
      <c r="AO816" s="4"/>
      <c r="AP816" s="4"/>
      <c r="AQ816" s="2"/>
      <c r="AR816" s="2"/>
      <c r="AS816" s="5"/>
      <c r="AT816" s="2"/>
      <c r="AU816" s="2"/>
      <c r="AV816" s="2"/>
    </row>
    <row r="817" spans="1:48" ht="15.75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4"/>
      <c r="AL817" s="4"/>
      <c r="AM817" s="4"/>
      <c r="AN817" s="4"/>
      <c r="AO817" s="4"/>
      <c r="AP817" s="4"/>
      <c r="AQ817" s="2"/>
      <c r="AR817" s="2"/>
      <c r="AS817" s="5"/>
      <c r="AT817" s="2"/>
      <c r="AU817" s="2"/>
      <c r="AV817" s="2"/>
    </row>
    <row r="818" spans="1:48" ht="15.75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4"/>
      <c r="AL818" s="4"/>
      <c r="AM818" s="4"/>
      <c r="AN818" s="4"/>
      <c r="AO818" s="4"/>
      <c r="AP818" s="4"/>
      <c r="AQ818" s="2"/>
      <c r="AR818" s="2"/>
      <c r="AS818" s="5"/>
      <c r="AT818" s="2"/>
      <c r="AU818" s="2"/>
      <c r="AV818" s="2"/>
    </row>
    <row r="819" spans="1:48" ht="15.75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4"/>
      <c r="AL819" s="4"/>
      <c r="AM819" s="4"/>
      <c r="AN819" s="4"/>
      <c r="AO819" s="4"/>
      <c r="AP819" s="4"/>
      <c r="AQ819" s="2"/>
      <c r="AR819" s="2"/>
      <c r="AS819" s="5"/>
      <c r="AT819" s="2"/>
      <c r="AU819" s="2"/>
      <c r="AV819" s="2"/>
    </row>
    <row r="820" spans="1:48" ht="15.75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4"/>
      <c r="AL820" s="4"/>
      <c r="AM820" s="4"/>
      <c r="AN820" s="4"/>
      <c r="AO820" s="4"/>
      <c r="AP820" s="4"/>
      <c r="AQ820" s="2"/>
      <c r="AR820" s="2"/>
      <c r="AS820" s="5"/>
      <c r="AT820" s="2"/>
      <c r="AU820" s="2"/>
      <c r="AV820" s="2"/>
    </row>
    <row r="821" spans="1:48" ht="15.75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4"/>
      <c r="AL821" s="4"/>
      <c r="AM821" s="4"/>
      <c r="AN821" s="4"/>
      <c r="AO821" s="4"/>
      <c r="AP821" s="4"/>
      <c r="AQ821" s="2"/>
      <c r="AR821" s="2"/>
      <c r="AS821" s="5"/>
      <c r="AT821" s="2"/>
      <c r="AU821" s="2"/>
      <c r="AV821" s="2"/>
    </row>
    <row r="822" spans="1:48" ht="15.75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4"/>
      <c r="AL822" s="4"/>
      <c r="AM822" s="4"/>
      <c r="AN822" s="4"/>
      <c r="AO822" s="4"/>
      <c r="AP822" s="4"/>
      <c r="AQ822" s="2"/>
      <c r="AR822" s="2"/>
      <c r="AS822" s="5"/>
      <c r="AT822" s="2"/>
      <c r="AU822" s="2"/>
      <c r="AV822" s="2"/>
    </row>
    <row r="823" spans="1:48" ht="15.75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4"/>
      <c r="AL823" s="4"/>
      <c r="AM823" s="4"/>
      <c r="AN823" s="4"/>
      <c r="AO823" s="4"/>
      <c r="AP823" s="4"/>
      <c r="AQ823" s="2"/>
      <c r="AR823" s="2"/>
      <c r="AS823" s="5"/>
      <c r="AT823" s="2"/>
      <c r="AU823" s="2"/>
      <c r="AV823" s="2"/>
    </row>
    <row r="824" spans="1:48" ht="15.75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4"/>
      <c r="AL824" s="4"/>
      <c r="AM824" s="4"/>
      <c r="AN824" s="4"/>
      <c r="AO824" s="4"/>
      <c r="AP824" s="4"/>
      <c r="AQ824" s="2"/>
      <c r="AR824" s="2"/>
      <c r="AS824" s="5"/>
      <c r="AT824" s="2"/>
      <c r="AU824" s="2"/>
      <c r="AV824" s="2"/>
    </row>
    <row r="825" spans="1:48" ht="15.75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4"/>
      <c r="AL825" s="4"/>
      <c r="AM825" s="4"/>
      <c r="AN825" s="4"/>
      <c r="AO825" s="4"/>
      <c r="AP825" s="4"/>
      <c r="AQ825" s="2"/>
      <c r="AR825" s="2"/>
      <c r="AS825" s="5"/>
      <c r="AT825" s="2"/>
      <c r="AU825" s="2"/>
      <c r="AV825" s="2"/>
    </row>
    <row r="826" spans="1:48" ht="15.75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4"/>
      <c r="AL826" s="4"/>
      <c r="AM826" s="4"/>
      <c r="AN826" s="4"/>
      <c r="AO826" s="4"/>
      <c r="AP826" s="4"/>
      <c r="AQ826" s="2"/>
      <c r="AR826" s="2"/>
      <c r="AS826" s="5"/>
      <c r="AT826" s="2"/>
      <c r="AU826" s="2"/>
      <c r="AV826" s="2"/>
    </row>
    <row r="827" spans="1:48" ht="15.75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4"/>
      <c r="AL827" s="4"/>
      <c r="AM827" s="4"/>
      <c r="AN827" s="4"/>
      <c r="AO827" s="4"/>
      <c r="AP827" s="4"/>
      <c r="AQ827" s="2"/>
      <c r="AR827" s="2"/>
      <c r="AS827" s="5"/>
      <c r="AT827" s="2"/>
      <c r="AU827" s="2"/>
      <c r="AV827" s="2"/>
    </row>
    <row r="828" spans="1:48" ht="15.75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4"/>
      <c r="AL828" s="4"/>
      <c r="AM828" s="4"/>
      <c r="AN828" s="4"/>
      <c r="AO828" s="4"/>
      <c r="AP828" s="4"/>
      <c r="AQ828" s="2"/>
      <c r="AR828" s="2"/>
      <c r="AS828" s="5"/>
      <c r="AT828" s="2"/>
      <c r="AU828" s="2"/>
      <c r="AV828" s="2"/>
    </row>
    <row r="829" spans="1:48" ht="15.75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4"/>
      <c r="AL829" s="4"/>
      <c r="AM829" s="4"/>
      <c r="AN829" s="4"/>
      <c r="AO829" s="4"/>
      <c r="AP829" s="4"/>
      <c r="AQ829" s="2"/>
      <c r="AR829" s="2"/>
      <c r="AS829" s="5"/>
      <c r="AT829" s="2"/>
      <c r="AU829" s="2"/>
      <c r="AV829" s="2"/>
    </row>
    <row r="830" spans="1:48" ht="15.75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4"/>
      <c r="AL830" s="4"/>
      <c r="AM830" s="4"/>
      <c r="AN830" s="4"/>
      <c r="AO830" s="4"/>
      <c r="AP830" s="4"/>
      <c r="AQ830" s="2"/>
      <c r="AR830" s="2"/>
      <c r="AS830" s="5"/>
      <c r="AT830" s="2"/>
      <c r="AU830" s="2"/>
      <c r="AV830" s="2"/>
    </row>
    <row r="831" spans="1:48" ht="15.75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4"/>
      <c r="AL831" s="4"/>
      <c r="AM831" s="4"/>
      <c r="AN831" s="4"/>
      <c r="AO831" s="4"/>
      <c r="AP831" s="4"/>
      <c r="AQ831" s="2"/>
      <c r="AR831" s="2"/>
      <c r="AS831" s="5"/>
      <c r="AT831" s="2"/>
      <c r="AU831" s="2"/>
      <c r="AV831" s="2"/>
    </row>
    <row r="832" spans="1:48" ht="15.75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4"/>
      <c r="AL832" s="4"/>
      <c r="AM832" s="4"/>
      <c r="AN832" s="4"/>
      <c r="AO832" s="4"/>
      <c r="AP832" s="4"/>
      <c r="AQ832" s="2"/>
      <c r="AR832" s="2"/>
      <c r="AS832" s="5"/>
      <c r="AT832" s="2"/>
      <c r="AU832" s="2"/>
      <c r="AV832" s="2"/>
    </row>
    <row r="833" spans="1:48" ht="15.75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4"/>
      <c r="AL833" s="4"/>
      <c r="AM833" s="4"/>
      <c r="AN833" s="4"/>
      <c r="AO833" s="4"/>
      <c r="AP833" s="4"/>
      <c r="AQ833" s="2"/>
      <c r="AR833" s="2"/>
      <c r="AS833" s="5"/>
      <c r="AT833" s="2"/>
      <c r="AU833" s="2"/>
      <c r="AV833" s="2"/>
    </row>
    <row r="834" spans="1:48" ht="15.75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4"/>
      <c r="AL834" s="4"/>
      <c r="AM834" s="4"/>
      <c r="AN834" s="4"/>
      <c r="AO834" s="4"/>
      <c r="AP834" s="4"/>
      <c r="AQ834" s="2"/>
      <c r="AR834" s="2"/>
      <c r="AS834" s="5"/>
      <c r="AT834" s="2"/>
      <c r="AU834" s="2"/>
      <c r="AV834" s="2"/>
    </row>
    <row r="835" spans="1:48" ht="15.75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4"/>
      <c r="AL835" s="4"/>
      <c r="AM835" s="4"/>
      <c r="AN835" s="4"/>
      <c r="AO835" s="4"/>
      <c r="AP835" s="4"/>
      <c r="AQ835" s="2"/>
      <c r="AR835" s="2"/>
      <c r="AS835" s="5"/>
      <c r="AT835" s="2"/>
      <c r="AU835" s="2"/>
      <c r="AV835" s="2"/>
    </row>
    <row r="836" spans="1:48" ht="15.75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4"/>
      <c r="AL836" s="4"/>
      <c r="AM836" s="4"/>
      <c r="AN836" s="4"/>
      <c r="AO836" s="4"/>
      <c r="AP836" s="4"/>
      <c r="AQ836" s="2"/>
      <c r="AR836" s="2"/>
      <c r="AS836" s="5"/>
      <c r="AT836" s="2"/>
      <c r="AU836" s="2"/>
      <c r="AV836" s="2"/>
    </row>
    <row r="837" spans="1:48" ht="15.75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4"/>
      <c r="AL837" s="4"/>
      <c r="AM837" s="4"/>
      <c r="AN837" s="4"/>
      <c r="AO837" s="4"/>
      <c r="AP837" s="4"/>
      <c r="AQ837" s="2"/>
      <c r="AR837" s="2"/>
      <c r="AS837" s="5"/>
      <c r="AT837" s="2"/>
      <c r="AU837" s="2"/>
      <c r="AV837" s="2"/>
    </row>
    <row r="838" spans="1:48" ht="15.75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4"/>
      <c r="AL838" s="4"/>
      <c r="AM838" s="4"/>
      <c r="AN838" s="4"/>
      <c r="AO838" s="4"/>
      <c r="AP838" s="4"/>
      <c r="AQ838" s="2"/>
      <c r="AR838" s="2"/>
      <c r="AS838" s="5"/>
      <c r="AT838" s="2"/>
      <c r="AU838" s="2"/>
      <c r="AV838" s="2"/>
    </row>
    <row r="839" spans="1:48" ht="15.75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4"/>
      <c r="AL839" s="4"/>
      <c r="AM839" s="4"/>
      <c r="AN839" s="4"/>
      <c r="AO839" s="4"/>
      <c r="AP839" s="4"/>
      <c r="AQ839" s="2"/>
      <c r="AR839" s="2"/>
      <c r="AS839" s="5"/>
      <c r="AT839" s="2"/>
      <c r="AU839" s="2"/>
      <c r="AV839" s="2"/>
    </row>
    <row r="840" spans="1:48" ht="15.75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4"/>
      <c r="AL840" s="4"/>
      <c r="AM840" s="4"/>
      <c r="AN840" s="4"/>
      <c r="AO840" s="4"/>
      <c r="AP840" s="4"/>
      <c r="AQ840" s="2"/>
      <c r="AR840" s="2"/>
      <c r="AS840" s="5"/>
      <c r="AT840" s="2"/>
      <c r="AU840" s="2"/>
      <c r="AV840" s="2"/>
    </row>
    <row r="841" spans="1:48" ht="15.75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4"/>
      <c r="AL841" s="4"/>
      <c r="AM841" s="4"/>
      <c r="AN841" s="4"/>
      <c r="AO841" s="4"/>
      <c r="AP841" s="4"/>
      <c r="AQ841" s="2"/>
      <c r="AR841" s="2"/>
      <c r="AS841" s="5"/>
      <c r="AT841" s="2"/>
      <c r="AU841" s="2"/>
      <c r="AV841" s="2"/>
    </row>
    <row r="842" spans="1:48" ht="15.75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4"/>
      <c r="AL842" s="4"/>
      <c r="AM842" s="4"/>
      <c r="AN842" s="4"/>
      <c r="AO842" s="4"/>
      <c r="AP842" s="4"/>
      <c r="AQ842" s="2"/>
      <c r="AR842" s="2"/>
      <c r="AS842" s="5"/>
      <c r="AT842" s="2"/>
      <c r="AU842" s="2"/>
      <c r="AV842" s="2"/>
    </row>
    <row r="843" spans="1:48" ht="15.75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4"/>
      <c r="AL843" s="4"/>
      <c r="AM843" s="4"/>
      <c r="AN843" s="4"/>
      <c r="AO843" s="4"/>
      <c r="AP843" s="4"/>
      <c r="AQ843" s="2"/>
      <c r="AR843" s="2"/>
      <c r="AS843" s="5"/>
      <c r="AT843" s="2"/>
      <c r="AU843" s="2"/>
      <c r="AV843" s="2"/>
    </row>
    <row r="844" spans="1:48" ht="15.75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4"/>
      <c r="AL844" s="4"/>
      <c r="AM844" s="4"/>
      <c r="AN844" s="4"/>
      <c r="AO844" s="4"/>
      <c r="AP844" s="4"/>
      <c r="AQ844" s="2"/>
      <c r="AR844" s="2"/>
      <c r="AS844" s="5"/>
      <c r="AT844" s="2"/>
      <c r="AU844" s="2"/>
      <c r="AV844" s="2"/>
    </row>
    <row r="845" spans="1:48" ht="15.75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4"/>
      <c r="AL845" s="4"/>
      <c r="AM845" s="4"/>
      <c r="AN845" s="4"/>
      <c r="AO845" s="4"/>
      <c r="AP845" s="4"/>
      <c r="AQ845" s="2"/>
      <c r="AR845" s="2"/>
      <c r="AS845" s="5"/>
      <c r="AT845" s="2"/>
      <c r="AU845" s="2"/>
      <c r="AV845" s="2"/>
    </row>
    <row r="846" spans="1:48" ht="15.75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4"/>
      <c r="AL846" s="4"/>
      <c r="AM846" s="4"/>
      <c r="AN846" s="4"/>
      <c r="AO846" s="4"/>
      <c r="AP846" s="4"/>
      <c r="AQ846" s="2"/>
      <c r="AR846" s="2"/>
      <c r="AS846" s="5"/>
      <c r="AT846" s="2"/>
      <c r="AU846" s="2"/>
      <c r="AV846" s="2"/>
    </row>
    <row r="847" spans="1:48" ht="15.75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4"/>
      <c r="AL847" s="4"/>
      <c r="AM847" s="4"/>
      <c r="AN847" s="4"/>
      <c r="AO847" s="4"/>
      <c r="AP847" s="4"/>
      <c r="AQ847" s="2"/>
      <c r="AR847" s="2"/>
      <c r="AS847" s="5"/>
      <c r="AT847" s="2"/>
      <c r="AU847" s="2"/>
      <c r="AV847" s="2"/>
    </row>
    <row r="848" spans="1:48" ht="15.75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4"/>
      <c r="AL848" s="4"/>
      <c r="AM848" s="4"/>
      <c r="AN848" s="4"/>
      <c r="AO848" s="4"/>
      <c r="AP848" s="4"/>
      <c r="AQ848" s="2"/>
      <c r="AR848" s="2"/>
      <c r="AS848" s="5"/>
      <c r="AT848" s="2"/>
      <c r="AU848" s="2"/>
      <c r="AV848" s="2"/>
    </row>
    <row r="849" spans="1:48" ht="15.75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4"/>
      <c r="AL849" s="4"/>
      <c r="AM849" s="4"/>
      <c r="AN849" s="4"/>
      <c r="AO849" s="4"/>
      <c r="AP849" s="4"/>
      <c r="AQ849" s="2"/>
      <c r="AR849" s="2"/>
      <c r="AS849" s="5"/>
      <c r="AT849" s="2"/>
      <c r="AU849" s="2"/>
      <c r="AV849" s="2"/>
    </row>
    <row r="850" spans="1:48" ht="15.75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4"/>
      <c r="AL850" s="4"/>
      <c r="AM850" s="4"/>
      <c r="AN850" s="4"/>
      <c r="AO850" s="4"/>
      <c r="AP850" s="4"/>
      <c r="AQ850" s="2"/>
      <c r="AR850" s="2"/>
      <c r="AS850" s="5"/>
      <c r="AT850" s="2"/>
      <c r="AU850" s="2"/>
      <c r="AV850" s="2"/>
    </row>
    <row r="851" spans="1:48" ht="15.75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4"/>
      <c r="AL851" s="4"/>
      <c r="AM851" s="4"/>
      <c r="AN851" s="4"/>
      <c r="AO851" s="4"/>
      <c r="AP851" s="4"/>
      <c r="AQ851" s="2"/>
      <c r="AR851" s="2"/>
      <c r="AS851" s="5"/>
      <c r="AT851" s="2"/>
      <c r="AU851" s="2"/>
      <c r="AV851" s="2"/>
    </row>
    <row r="852" spans="1:48" ht="15.75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4"/>
      <c r="AL852" s="4"/>
      <c r="AM852" s="4"/>
      <c r="AN852" s="4"/>
      <c r="AO852" s="4"/>
      <c r="AP852" s="4"/>
      <c r="AQ852" s="2"/>
      <c r="AR852" s="2"/>
      <c r="AS852" s="5"/>
      <c r="AT852" s="2"/>
      <c r="AU852" s="2"/>
      <c r="AV852" s="2"/>
    </row>
    <row r="853" spans="1:48" ht="15.75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4"/>
      <c r="AL853" s="4"/>
      <c r="AM853" s="4"/>
      <c r="AN853" s="4"/>
      <c r="AO853" s="4"/>
      <c r="AP853" s="4"/>
      <c r="AQ853" s="2"/>
      <c r="AR853" s="2"/>
      <c r="AS853" s="5"/>
      <c r="AT853" s="2"/>
      <c r="AU853" s="2"/>
      <c r="AV853" s="2"/>
    </row>
    <row r="854" spans="1:48" ht="15.75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4"/>
      <c r="AL854" s="4"/>
      <c r="AM854" s="4"/>
      <c r="AN854" s="4"/>
      <c r="AO854" s="4"/>
      <c r="AP854" s="4"/>
      <c r="AQ854" s="2"/>
      <c r="AR854" s="2"/>
      <c r="AS854" s="5"/>
      <c r="AT854" s="2"/>
      <c r="AU854" s="2"/>
      <c r="AV854" s="2"/>
    </row>
    <row r="855" spans="1:48" ht="15.75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4"/>
      <c r="AL855" s="4"/>
      <c r="AM855" s="4"/>
      <c r="AN855" s="4"/>
      <c r="AO855" s="4"/>
      <c r="AP855" s="4"/>
      <c r="AQ855" s="2"/>
      <c r="AR855" s="2"/>
      <c r="AS855" s="5"/>
      <c r="AT855" s="2"/>
      <c r="AU855" s="2"/>
      <c r="AV855" s="2"/>
    </row>
    <row r="856" spans="1:48" ht="15.75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4"/>
      <c r="AL856" s="4"/>
      <c r="AM856" s="4"/>
      <c r="AN856" s="4"/>
      <c r="AO856" s="4"/>
      <c r="AP856" s="4"/>
      <c r="AQ856" s="2"/>
      <c r="AR856" s="2"/>
      <c r="AS856" s="5"/>
      <c r="AT856" s="2"/>
      <c r="AU856" s="2"/>
      <c r="AV856" s="2"/>
    </row>
    <row r="857" spans="1:48" ht="15.75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4"/>
      <c r="AL857" s="4"/>
      <c r="AM857" s="4"/>
      <c r="AN857" s="4"/>
      <c r="AO857" s="4"/>
      <c r="AP857" s="4"/>
      <c r="AQ857" s="2"/>
      <c r="AR857" s="2"/>
      <c r="AS857" s="5"/>
      <c r="AT857" s="2"/>
      <c r="AU857" s="2"/>
      <c r="AV857" s="2"/>
    </row>
    <row r="858" spans="1:48" ht="15.75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4"/>
      <c r="AL858" s="4"/>
      <c r="AM858" s="4"/>
      <c r="AN858" s="4"/>
      <c r="AO858" s="4"/>
      <c r="AP858" s="4"/>
      <c r="AQ858" s="2"/>
      <c r="AR858" s="2"/>
      <c r="AS858" s="5"/>
      <c r="AT858" s="2"/>
      <c r="AU858" s="2"/>
      <c r="AV858" s="2"/>
    </row>
    <row r="859" spans="1:48" ht="15.75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4"/>
      <c r="AL859" s="4"/>
      <c r="AM859" s="4"/>
      <c r="AN859" s="4"/>
      <c r="AO859" s="4"/>
      <c r="AP859" s="4"/>
      <c r="AQ859" s="2"/>
      <c r="AR859" s="2"/>
      <c r="AS859" s="5"/>
      <c r="AT859" s="2"/>
      <c r="AU859" s="2"/>
      <c r="AV859" s="2"/>
    </row>
    <row r="860" spans="1:48" ht="15.75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4"/>
      <c r="AL860" s="4"/>
      <c r="AM860" s="4"/>
      <c r="AN860" s="4"/>
      <c r="AO860" s="4"/>
      <c r="AP860" s="4"/>
      <c r="AQ860" s="2"/>
      <c r="AR860" s="2"/>
      <c r="AS860" s="5"/>
      <c r="AT860" s="2"/>
      <c r="AU860" s="2"/>
      <c r="AV860" s="2"/>
    </row>
    <row r="861" spans="1:48" ht="15.75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4"/>
      <c r="AL861" s="4"/>
      <c r="AM861" s="4"/>
      <c r="AN861" s="4"/>
      <c r="AO861" s="4"/>
      <c r="AP861" s="4"/>
      <c r="AQ861" s="2"/>
      <c r="AR861" s="2"/>
      <c r="AS861" s="5"/>
      <c r="AT861" s="2"/>
      <c r="AU861" s="2"/>
      <c r="AV861" s="2"/>
    </row>
    <row r="862" spans="1:48" ht="15.75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4"/>
      <c r="AL862" s="4"/>
      <c r="AM862" s="4"/>
      <c r="AN862" s="4"/>
      <c r="AO862" s="4"/>
      <c r="AP862" s="4"/>
      <c r="AQ862" s="2"/>
      <c r="AR862" s="2"/>
      <c r="AS862" s="5"/>
      <c r="AT862" s="2"/>
      <c r="AU862" s="2"/>
      <c r="AV862" s="2"/>
    </row>
    <row r="863" spans="1:48" ht="15.75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4"/>
      <c r="AL863" s="4"/>
      <c r="AM863" s="4"/>
      <c r="AN863" s="4"/>
      <c r="AO863" s="4"/>
      <c r="AP863" s="4"/>
      <c r="AQ863" s="2"/>
      <c r="AR863" s="2"/>
      <c r="AS863" s="5"/>
      <c r="AT863" s="2"/>
      <c r="AU863" s="2"/>
      <c r="AV863" s="2"/>
    </row>
    <row r="864" spans="1:48" ht="15.75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4"/>
      <c r="AL864" s="4"/>
      <c r="AM864" s="4"/>
      <c r="AN864" s="4"/>
      <c r="AO864" s="4"/>
      <c r="AP864" s="4"/>
      <c r="AQ864" s="2"/>
      <c r="AR864" s="2"/>
      <c r="AS864" s="5"/>
      <c r="AT864" s="2"/>
      <c r="AU864" s="2"/>
      <c r="AV864" s="2"/>
    </row>
    <row r="865" spans="1:48" ht="15.75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4"/>
      <c r="AL865" s="4"/>
      <c r="AM865" s="4"/>
      <c r="AN865" s="4"/>
      <c r="AO865" s="4"/>
      <c r="AP865" s="4"/>
      <c r="AQ865" s="2"/>
      <c r="AR865" s="2"/>
      <c r="AS865" s="5"/>
      <c r="AT865" s="2"/>
      <c r="AU865" s="2"/>
      <c r="AV865" s="2"/>
    </row>
    <row r="866" spans="1:48" ht="15.75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4"/>
      <c r="AL866" s="4"/>
      <c r="AM866" s="4"/>
      <c r="AN866" s="4"/>
      <c r="AO866" s="4"/>
      <c r="AP866" s="4"/>
      <c r="AQ866" s="2"/>
      <c r="AR866" s="2"/>
      <c r="AS866" s="5"/>
      <c r="AT866" s="2"/>
      <c r="AU866" s="2"/>
      <c r="AV866" s="2"/>
    </row>
    <row r="867" spans="1:48" ht="15.75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4"/>
      <c r="AL867" s="4"/>
      <c r="AM867" s="4"/>
      <c r="AN867" s="4"/>
      <c r="AO867" s="4"/>
      <c r="AP867" s="4"/>
      <c r="AQ867" s="2"/>
      <c r="AR867" s="2"/>
      <c r="AS867" s="5"/>
      <c r="AT867" s="2"/>
      <c r="AU867" s="2"/>
      <c r="AV867" s="2"/>
    </row>
    <row r="868" spans="1:48" ht="15.75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4"/>
      <c r="AL868" s="4"/>
      <c r="AM868" s="4"/>
      <c r="AN868" s="4"/>
      <c r="AO868" s="4"/>
      <c r="AP868" s="4"/>
      <c r="AQ868" s="2"/>
      <c r="AR868" s="2"/>
      <c r="AS868" s="5"/>
      <c r="AT868" s="2"/>
      <c r="AU868" s="2"/>
      <c r="AV868" s="2"/>
    </row>
    <row r="869" spans="1:48" ht="15.75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4"/>
      <c r="AL869" s="4"/>
      <c r="AM869" s="4"/>
      <c r="AN869" s="4"/>
      <c r="AO869" s="4"/>
      <c r="AP869" s="4"/>
      <c r="AQ869" s="2"/>
      <c r="AR869" s="2"/>
      <c r="AS869" s="5"/>
      <c r="AT869" s="2"/>
      <c r="AU869" s="2"/>
      <c r="AV869" s="2"/>
    </row>
    <row r="870" spans="1:48" ht="15.75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4"/>
      <c r="AL870" s="4"/>
      <c r="AM870" s="4"/>
      <c r="AN870" s="4"/>
      <c r="AO870" s="4"/>
      <c r="AP870" s="4"/>
      <c r="AQ870" s="2"/>
      <c r="AR870" s="2"/>
      <c r="AS870" s="5"/>
      <c r="AT870" s="2"/>
      <c r="AU870" s="2"/>
      <c r="AV870" s="2"/>
    </row>
    <row r="871" spans="1:48" ht="15.75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4"/>
      <c r="AL871" s="4"/>
      <c r="AM871" s="4"/>
      <c r="AN871" s="4"/>
      <c r="AO871" s="4"/>
      <c r="AP871" s="4"/>
      <c r="AQ871" s="2"/>
      <c r="AR871" s="2"/>
      <c r="AS871" s="5"/>
      <c r="AT871" s="2"/>
      <c r="AU871" s="2"/>
      <c r="AV871" s="2"/>
    </row>
    <row r="872" spans="1:48" ht="15.75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4"/>
      <c r="AL872" s="4"/>
      <c r="AM872" s="4"/>
      <c r="AN872" s="4"/>
      <c r="AO872" s="4"/>
      <c r="AP872" s="4"/>
      <c r="AQ872" s="2"/>
      <c r="AR872" s="2"/>
      <c r="AS872" s="5"/>
      <c r="AT872" s="2"/>
      <c r="AU872" s="2"/>
      <c r="AV872" s="2"/>
    </row>
    <row r="873" spans="1:48" ht="15.75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4"/>
      <c r="AL873" s="4"/>
      <c r="AM873" s="4"/>
      <c r="AN873" s="4"/>
      <c r="AO873" s="4"/>
      <c r="AP873" s="4"/>
      <c r="AQ873" s="2"/>
      <c r="AR873" s="2"/>
      <c r="AS873" s="5"/>
      <c r="AT873" s="2"/>
      <c r="AU873" s="2"/>
      <c r="AV873" s="2"/>
    </row>
    <row r="874" spans="1:48" ht="15.75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4"/>
      <c r="AL874" s="4"/>
      <c r="AM874" s="4"/>
      <c r="AN874" s="4"/>
      <c r="AO874" s="4"/>
      <c r="AP874" s="4"/>
      <c r="AQ874" s="2"/>
      <c r="AR874" s="2"/>
      <c r="AS874" s="5"/>
      <c r="AT874" s="2"/>
      <c r="AU874" s="2"/>
      <c r="AV874" s="2"/>
    </row>
    <row r="875" spans="1:48" ht="15.75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4"/>
      <c r="AL875" s="4"/>
      <c r="AM875" s="4"/>
      <c r="AN875" s="4"/>
      <c r="AO875" s="4"/>
      <c r="AP875" s="4"/>
      <c r="AQ875" s="2"/>
      <c r="AR875" s="2"/>
      <c r="AS875" s="5"/>
      <c r="AT875" s="2"/>
      <c r="AU875" s="2"/>
      <c r="AV875" s="2"/>
    </row>
    <row r="876" spans="1:48" ht="15.75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4"/>
      <c r="AL876" s="4"/>
      <c r="AM876" s="4"/>
      <c r="AN876" s="4"/>
      <c r="AO876" s="4"/>
      <c r="AP876" s="4"/>
      <c r="AQ876" s="2"/>
      <c r="AR876" s="2"/>
      <c r="AS876" s="5"/>
      <c r="AT876" s="2"/>
      <c r="AU876" s="2"/>
      <c r="AV876" s="2"/>
    </row>
    <row r="877" spans="1:48" ht="15.75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4"/>
      <c r="AL877" s="4"/>
      <c r="AM877" s="4"/>
      <c r="AN877" s="4"/>
      <c r="AO877" s="4"/>
      <c r="AP877" s="4"/>
      <c r="AQ877" s="2"/>
      <c r="AR877" s="2"/>
      <c r="AS877" s="5"/>
      <c r="AT877" s="2"/>
      <c r="AU877" s="2"/>
      <c r="AV877" s="2"/>
    </row>
    <row r="878" spans="1:48" ht="15.75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4"/>
      <c r="AL878" s="4"/>
      <c r="AM878" s="4"/>
      <c r="AN878" s="4"/>
      <c r="AO878" s="4"/>
      <c r="AP878" s="4"/>
      <c r="AQ878" s="2"/>
      <c r="AR878" s="2"/>
      <c r="AS878" s="5"/>
      <c r="AT878" s="2"/>
      <c r="AU878" s="2"/>
      <c r="AV878" s="2"/>
    </row>
    <row r="879" spans="1:48" ht="15.75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4"/>
      <c r="AL879" s="4"/>
      <c r="AM879" s="4"/>
      <c r="AN879" s="4"/>
      <c r="AO879" s="4"/>
      <c r="AP879" s="4"/>
      <c r="AQ879" s="2"/>
      <c r="AR879" s="2"/>
      <c r="AS879" s="5"/>
      <c r="AT879" s="2"/>
      <c r="AU879" s="2"/>
      <c r="AV879" s="2"/>
    </row>
    <row r="880" spans="1:48" ht="15.75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4"/>
      <c r="AL880" s="4"/>
      <c r="AM880" s="4"/>
      <c r="AN880" s="4"/>
      <c r="AO880" s="4"/>
      <c r="AP880" s="4"/>
      <c r="AQ880" s="2"/>
      <c r="AR880" s="2"/>
      <c r="AS880" s="5"/>
      <c r="AT880" s="2"/>
      <c r="AU880" s="2"/>
      <c r="AV880" s="2"/>
    </row>
    <row r="881" spans="1:48" ht="15.75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4"/>
      <c r="AL881" s="4"/>
      <c r="AM881" s="4"/>
      <c r="AN881" s="4"/>
      <c r="AO881" s="4"/>
      <c r="AP881" s="4"/>
      <c r="AQ881" s="2"/>
      <c r="AR881" s="2"/>
      <c r="AS881" s="5"/>
      <c r="AT881" s="2"/>
      <c r="AU881" s="2"/>
      <c r="AV881" s="2"/>
    </row>
    <row r="882" spans="1:48" ht="15.75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4"/>
      <c r="AL882" s="4"/>
      <c r="AM882" s="4"/>
      <c r="AN882" s="4"/>
      <c r="AO882" s="4"/>
      <c r="AP882" s="4"/>
      <c r="AQ882" s="2"/>
      <c r="AR882" s="2"/>
      <c r="AS882" s="5"/>
      <c r="AT882" s="2"/>
      <c r="AU882" s="2"/>
      <c r="AV882" s="2"/>
    </row>
    <row r="883" spans="1:48" ht="15.75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4"/>
      <c r="AL883" s="4"/>
      <c r="AM883" s="4"/>
      <c r="AN883" s="4"/>
      <c r="AO883" s="4"/>
      <c r="AP883" s="4"/>
      <c r="AQ883" s="2"/>
      <c r="AR883" s="2"/>
      <c r="AS883" s="5"/>
      <c r="AT883" s="2"/>
      <c r="AU883" s="2"/>
      <c r="AV883" s="2"/>
    </row>
    <row r="884" spans="1:48" ht="15.75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4"/>
      <c r="AL884" s="4"/>
      <c r="AM884" s="4"/>
      <c r="AN884" s="4"/>
      <c r="AO884" s="4"/>
      <c r="AP884" s="4"/>
      <c r="AQ884" s="2"/>
      <c r="AR884" s="2"/>
      <c r="AS884" s="5"/>
      <c r="AT884" s="2"/>
      <c r="AU884" s="2"/>
      <c r="AV884" s="2"/>
    </row>
    <row r="885" spans="1:48" ht="15.75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4"/>
      <c r="AL885" s="4"/>
      <c r="AM885" s="4"/>
      <c r="AN885" s="4"/>
      <c r="AO885" s="4"/>
      <c r="AP885" s="4"/>
      <c r="AQ885" s="2"/>
      <c r="AR885" s="2"/>
      <c r="AS885" s="5"/>
      <c r="AT885" s="2"/>
      <c r="AU885" s="2"/>
      <c r="AV885" s="2"/>
    </row>
    <row r="886" spans="1:48" ht="15.75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4"/>
      <c r="AL886" s="4"/>
      <c r="AM886" s="4"/>
      <c r="AN886" s="4"/>
      <c r="AO886" s="4"/>
      <c r="AP886" s="4"/>
      <c r="AQ886" s="2"/>
      <c r="AR886" s="2"/>
      <c r="AS886" s="5"/>
      <c r="AT886" s="2"/>
      <c r="AU886" s="2"/>
      <c r="AV886" s="2"/>
    </row>
    <row r="887" spans="1:48" ht="15.75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4"/>
      <c r="AL887" s="4"/>
      <c r="AM887" s="4"/>
      <c r="AN887" s="4"/>
      <c r="AO887" s="4"/>
      <c r="AP887" s="4"/>
      <c r="AQ887" s="2"/>
      <c r="AR887" s="2"/>
      <c r="AS887" s="5"/>
      <c r="AT887" s="2"/>
      <c r="AU887" s="2"/>
      <c r="AV887" s="2"/>
    </row>
    <row r="888" spans="1:48" ht="15.75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4"/>
      <c r="AL888" s="4"/>
      <c r="AM888" s="4"/>
      <c r="AN888" s="4"/>
      <c r="AO888" s="4"/>
      <c r="AP888" s="4"/>
      <c r="AQ888" s="2"/>
      <c r="AR888" s="2"/>
      <c r="AS888" s="5"/>
      <c r="AT888" s="2"/>
      <c r="AU888" s="2"/>
      <c r="AV888" s="2"/>
    </row>
    <row r="889" spans="1:48" ht="15.75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4"/>
      <c r="AL889" s="4"/>
      <c r="AM889" s="4"/>
      <c r="AN889" s="4"/>
      <c r="AO889" s="4"/>
      <c r="AP889" s="4"/>
      <c r="AQ889" s="2"/>
      <c r="AR889" s="2"/>
      <c r="AS889" s="5"/>
      <c r="AT889" s="2"/>
      <c r="AU889" s="2"/>
      <c r="AV889" s="2"/>
    </row>
    <row r="890" spans="1:48" ht="15.75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4"/>
      <c r="AL890" s="4"/>
      <c r="AM890" s="4"/>
      <c r="AN890" s="4"/>
      <c r="AO890" s="4"/>
      <c r="AP890" s="4"/>
      <c r="AQ890" s="2"/>
      <c r="AR890" s="2"/>
      <c r="AS890" s="5"/>
      <c r="AT890" s="2"/>
      <c r="AU890" s="2"/>
      <c r="AV890" s="2"/>
    </row>
    <row r="891" spans="1:48" ht="15.75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4"/>
      <c r="AL891" s="4"/>
      <c r="AM891" s="4"/>
      <c r="AN891" s="4"/>
      <c r="AO891" s="4"/>
      <c r="AP891" s="4"/>
      <c r="AQ891" s="2"/>
      <c r="AR891" s="2"/>
      <c r="AS891" s="5"/>
      <c r="AT891" s="2"/>
      <c r="AU891" s="2"/>
      <c r="AV891" s="2"/>
    </row>
    <row r="892" spans="1:48" ht="15.75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4"/>
      <c r="AL892" s="4"/>
      <c r="AM892" s="4"/>
      <c r="AN892" s="4"/>
      <c r="AO892" s="4"/>
      <c r="AP892" s="4"/>
      <c r="AQ892" s="2"/>
      <c r="AR892" s="2"/>
      <c r="AS892" s="5"/>
      <c r="AT892" s="2"/>
      <c r="AU892" s="2"/>
      <c r="AV892" s="2"/>
    </row>
    <row r="893" spans="1:48" ht="15.75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4"/>
      <c r="AL893" s="4"/>
      <c r="AM893" s="4"/>
      <c r="AN893" s="4"/>
      <c r="AO893" s="4"/>
      <c r="AP893" s="4"/>
      <c r="AQ893" s="2"/>
      <c r="AR893" s="2"/>
      <c r="AS893" s="5"/>
      <c r="AT893" s="2"/>
      <c r="AU893" s="2"/>
      <c r="AV893" s="2"/>
    </row>
    <row r="894" spans="1:48" ht="15.75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4"/>
      <c r="AL894" s="4"/>
      <c r="AM894" s="4"/>
      <c r="AN894" s="4"/>
      <c r="AO894" s="4"/>
      <c r="AP894" s="4"/>
      <c r="AQ894" s="2"/>
      <c r="AR894" s="2"/>
      <c r="AS894" s="5"/>
      <c r="AT894" s="2"/>
      <c r="AU894" s="2"/>
      <c r="AV894" s="2"/>
    </row>
    <row r="895" spans="1:48" ht="15.75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4"/>
      <c r="AL895" s="4"/>
      <c r="AM895" s="4"/>
      <c r="AN895" s="4"/>
      <c r="AO895" s="4"/>
      <c r="AP895" s="4"/>
      <c r="AQ895" s="2"/>
      <c r="AR895" s="2"/>
      <c r="AS895" s="5"/>
      <c r="AT895" s="2"/>
      <c r="AU895" s="2"/>
      <c r="AV895" s="2"/>
    </row>
    <row r="896" spans="1:48" ht="15.75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4"/>
      <c r="AL896" s="4"/>
      <c r="AM896" s="4"/>
      <c r="AN896" s="4"/>
      <c r="AO896" s="4"/>
      <c r="AP896" s="4"/>
      <c r="AQ896" s="2"/>
      <c r="AR896" s="2"/>
      <c r="AS896" s="5"/>
      <c r="AT896" s="2"/>
      <c r="AU896" s="2"/>
      <c r="AV896" s="2"/>
    </row>
    <row r="897" spans="1:48" ht="15.75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4"/>
      <c r="AL897" s="4"/>
      <c r="AM897" s="4"/>
      <c r="AN897" s="4"/>
      <c r="AO897" s="4"/>
      <c r="AP897" s="4"/>
      <c r="AQ897" s="2"/>
      <c r="AR897" s="2"/>
      <c r="AS897" s="5"/>
      <c r="AT897" s="2"/>
      <c r="AU897" s="2"/>
      <c r="AV897" s="2"/>
    </row>
    <row r="898" spans="1:48" ht="15.75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4"/>
      <c r="AL898" s="4"/>
      <c r="AM898" s="4"/>
      <c r="AN898" s="4"/>
      <c r="AO898" s="4"/>
      <c r="AP898" s="4"/>
      <c r="AQ898" s="2"/>
      <c r="AR898" s="2"/>
      <c r="AS898" s="5"/>
      <c r="AT898" s="2"/>
      <c r="AU898" s="2"/>
      <c r="AV898" s="2"/>
    </row>
    <row r="899" spans="1:48" ht="15.75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4"/>
      <c r="AL899" s="4"/>
      <c r="AM899" s="4"/>
      <c r="AN899" s="4"/>
      <c r="AO899" s="4"/>
      <c r="AP899" s="4"/>
      <c r="AQ899" s="2"/>
      <c r="AR899" s="2"/>
      <c r="AS899" s="5"/>
      <c r="AT899" s="2"/>
      <c r="AU899" s="2"/>
      <c r="AV899" s="2"/>
    </row>
    <row r="900" spans="1:48" ht="15.75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4"/>
      <c r="AL900" s="4"/>
      <c r="AM900" s="4"/>
      <c r="AN900" s="4"/>
      <c r="AO900" s="4"/>
      <c r="AP900" s="4"/>
      <c r="AQ900" s="2"/>
      <c r="AR900" s="2"/>
      <c r="AS900" s="5"/>
      <c r="AT900" s="2"/>
      <c r="AU900" s="2"/>
      <c r="AV900" s="2"/>
    </row>
    <row r="901" spans="1:48" ht="15.75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4"/>
      <c r="AL901" s="4"/>
      <c r="AM901" s="4"/>
      <c r="AN901" s="4"/>
      <c r="AO901" s="4"/>
      <c r="AP901" s="4"/>
      <c r="AQ901" s="2"/>
      <c r="AR901" s="2"/>
      <c r="AS901" s="5"/>
      <c r="AT901" s="2"/>
      <c r="AU901" s="2"/>
      <c r="AV901" s="2"/>
    </row>
    <row r="902" spans="1:48" ht="15.75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4"/>
      <c r="AL902" s="4"/>
      <c r="AM902" s="4"/>
      <c r="AN902" s="4"/>
      <c r="AO902" s="4"/>
      <c r="AP902" s="4"/>
      <c r="AQ902" s="2"/>
      <c r="AR902" s="2"/>
      <c r="AS902" s="5"/>
      <c r="AT902" s="2"/>
      <c r="AU902" s="2"/>
      <c r="AV902" s="2"/>
    </row>
    <row r="903" spans="1:48" ht="15.75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4"/>
      <c r="AL903" s="4"/>
      <c r="AM903" s="4"/>
      <c r="AN903" s="4"/>
      <c r="AO903" s="4"/>
      <c r="AP903" s="4"/>
      <c r="AQ903" s="2"/>
      <c r="AR903" s="2"/>
      <c r="AS903" s="5"/>
      <c r="AT903" s="2"/>
      <c r="AU903" s="2"/>
      <c r="AV903" s="2"/>
    </row>
    <row r="904" spans="1:48" ht="15.75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4"/>
      <c r="AL904" s="4"/>
      <c r="AM904" s="4"/>
      <c r="AN904" s="4"/>
      <c r="AO904" s="4"/>
      <c r="AP904" s="4"/>
      <c r="AQ904" s="2"/>
      <c r="AR904" s="2"/>
      <c r="AS904" s="5"/>
      <c r="AT904" s="2"/>
      <c r="AU904" s="2"/>
      <c r="AV904" s="2"/>
    </row>
    <row r="905" spans="1:48" ht="15.75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4"/>
      <c r="AL905" s="4"/>
      <c r="AM905" s="4"/>
      <c r="AN905" s="4"/>
      <c r="AO905" s="4"/>
      <c r="AP905" s="4"/>
      <c r="AQ905" s="2"/>
      <c r="AR905" s="2"/>
      <c r="AS905" s="5"/>
      <c r="AT905" s="2"/>
      <c r="AU905" s="2"/>
      <c r="AV905" s="2"/>
    </row>
    <row r="906" spans="1:48" ht="15.75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4"/>
      <c r="AL906" s="4"/>
      <c r="AM906" s="4"/>
      <c r="AN906" s="4"/>
      <c r="AO906" s="4"/>
      <c r="AP906" s="4"/>
      <c r="AQ906" s="2"/>
      <c r="AR906" s="2"/>
      <c r="AS906" s="5"/>
      <c r="AT906" s="2"/>
      <c r="AU906" s="2"/>
      <c r="AV906" s="2"/>
    </row>
    <row r="907" spans="1:48" ht="15.75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4"/>
      <c r="AL907" s="4"/>
      <c r="AM907" s="4"/>
      <c r="AN907" s="4"/>
      <c r="AO907" s="4"/>
      <c r="AP907" s="4"/>
      <c r="AQ907" s="2"/>
      <c r="AR907" s="2"/>
      <c r="AS907" s="5"/>
      <c r="AT907" s="2"/>
      <c r="AU907" s="2"/>
      <c r="AV907" s="2"/>
    </row>
    <row r="908" spans="1:48" ht="15.75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4"/>
      <c r="AL908" s="4"/>
      <c r="AM908" s="4"/>
      <c r="AN908" s="4"/>
      <c r="AO908" s="4"/>
      <c r="AP908" s="4"/>
      <c r="AQ908" s="2"/>
      <c r="AR908" s="2"/>
      <c r="AS908" s="5"/>
      <c r="AT908" s="2"/>
      <c r="AU908" s="2"/>
      <c r="AV908" s="2"/>
    </row>
    <row r="909" spans="1:48" ht="15.75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4"/>
      <c r="AL909" s="4"/>
      <c r="AM909" s="4"/>
      <c r="AN909" s="4"/>
      <c r="AO909" s="4"/>
      <c r="AP909" s="4"/>
      <c r="AQ909" s="2"/>
      <c r="AR909" s="2"/>
      <c r="AS909" s="5"/>
      <c r="AT909" s="2"/>
      <c r="AU909" s="2"/>
      <c r="AV909" s="2"/>
    </row>
    <row r="910" spans="1:48" ht="15.75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4"/>
      <c r="AL910" s="4"/>
      <c r="AM910" s="4"/>
      <c r="AN910" s="4"/>
      <c r="AO910" s="4"/>
      <c r="AP910" s="4"/>
      <c r="AQ910" s="2"/>
      <c r="AR910" s="2"/>
      <c r="AS910" s="5"/>
      <c r="AT910" s="2"/>
      <c r="AU910" s="2"/>
      <c r="AV910" s="2"/>
    </row>
    <row r="911" spans="1:48" ht="15.75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4"/>
      <c r="AL911" s="4"/>
      <c r="AM911" s="4"/>
      <c r="AN911" s="4"/>
      <c r="AO911" s="4"/>
      <c r="AP911" s="4"/>
      <c r="AQ911" s="2"/>
      <c r="AR911" s="2"/>
      <c r="AS911" s="5"/>
      <c r="AT911" s="2"/>
      <c r="AU911" s="2"/>
      <c r="AV911" s="2"/>
    </row>
    <row r="912" spans="1:48" ht="15.75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4"/>
      <c r="AL912" s="4"/>
      <c r="AM912" s="4"/>
      <c r="AN912" s="4"/>
      <c r="AO912" s="4"/>
      <c r="AP912" s="4"/>
      <c r="AQ912" s="2"/>
      <c r="AR912" s="2"/>
      <c r="AS912" s="5"/>
      <c r="AT912" s="2"/>
      <c r="AU912" s="2"/>
      <c r="AV912" s="2"/>
    </row>
    <row r="913" spans="1:48" ht="15.75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4"/>
      <c r="AL913" s="4"/>
      <c r="AM913" s="4"/>
      <c r="AN913" s="4"/>
      <c r="AO913" s="4"/>
      <c r="AP913" s="4"/>
      <c r="AQ913" s="2"/>
      <c r="AR913" s="2"/>
      <c r="AS913" s="5"/>
      <c r="AT913" s="2"/>
      <c r="AU913" s="2"/>
      <c r="AV913" s="2"/>
    </row>
    <row r="914" spans="1:48" ht="15.75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4"/>
      <c r="AL914" s="4"/>
      <c r="AM914" s="4"/>
      <c r="AN914" s="4"/>
      <c r="AO914" s="4"/>
      <c r="AP914" s="4"/>
      <c r="AQ914" s="2"/>
      <c r="AR914" s="2"/>
      <c r="AS914" s="5"/>
      <c r="AT914" s="2"/>
      <c r="AU914" s="2"/>
      <c r="AV914" s="2"/>
    </row>
    <row r="915" spans="1:48" ht="15.75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4"/>
      <c r="AL915" s="4"/>
      <c r="AM915" s="4"/>
      <c r="AN915" s="4"/>
      <c r="AO915" s="4"/>
      <c r="AP915" s="4"/>
      <c r="AQ915" s="2"/>
      <c r="AR915" s="2"/>
      <c r="AS915" s="5"/>
      <c r="AT915" s="2"/>
      <c r="AU915" s="2"/>
      <c r="AV915" s="2"/>
    </row>
    <row r="916" spans="1:48" ht="15.75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4"/>
      <c r="AL916" s="4"/>
      <c r="AM916" s="4"/>
      <c r="AN916" s="4"/>
      <c r="AO916" s="4"/>
      <c r="AP916" s="4"/>
      <c r="AQ916" s="2"/>
      <c r="AR916" s="2"/>
      <c r="AS916" s="5"/>
      <c r="AT916" s="2"/>
      <c r="AU916" s="2"/>
      <c r="AV916" s="2"/>
    </row>
    <row r="917" spans="1:48" ht="15.75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4"/>
      <c r="AL917" s="4"/>
      <c r="AM917" s="4"/>
      <c r="AN917" s="4"/>
      <c r="AO917" s="4"/>
      <c r="AP917" s="4"/>
      <c r="AQ917" s="2"/>
      <c r="AR917" s="2"/>
      <c r="AS917" s="5"/>
      <c r="AT917" s="2"/>
      <c r="AU917" s="2"/>
      <c r="AV917" s="2"/>
    </row>
    <row r="918" spans="1:48" ht="15.75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4"/>
      <c r="AL918" s="4"/>
      <c r="AM918" s="4"/>
      <c r="AN918" s="4"/>
      <c r="AO918" s="4"/>
      <c r="AP918" s="4"/>
      <c r="AQ918" s="2"/>
      <c r="AR918" s="2"/>
      <c r="AS918" s="5"/>
      <c r="AT918" s="2"/>
      <c r="AU918" s="2"/>
      <c r="AV918" s="2"/>
    </row>
    <row r="919" spans="1:48" ht="15.75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4"/>
      <c r="AL919" s="4"/>
      <c r="AM919" s="4"/>
      <c r="AN919" s="4"/>
      <c r="AO919" s="4"/>
      <c r="AP919" s="4"/>
      <c r="AQ919" s="2"/>
      <c r="AR919" s="2"/>
      <c r="AS919" s="5"/>
      <c r="AT919" s="2"/>
      <c r="AU919" s="2"/>
      <c r="AV919" s="2"/>
    </row>
    <row r="920" spans="1:48" ht="15.75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4"/>
      <c r="AL920" s="4"/>
      <c r="AM920" s="4"/>
      <c r="AN920" s="4"/>
      <c r="AO920" s="4"/>
      <c r="AP920" s="4"/>
      <c r="AQ920" s="2"/>
      <c r="AR920" s="2"/>
      <c r="AS920" s="5"/>
      <c r="AT920" s="2"/>
      <c r="AU920" s="2"/>
      <c r="AV920" s="2"/>
    </row>
    <row r="921" spans="1:48" ht="15.75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4"/>
      <c r="AL921" s="4"/>
      <c r="AM921" s="4"/>
      <c r="AN921" s="4"/>
      <c r="AO921" s="4"/>
      <c r="AP921" s="4"/>
      <c r="AQ921" s="2"/>
      <c r="AR921" s="2"/>
      <c r="AS921" s="5"/>
      <c r="AT921" s="2"/>
      <c r="AU921" s="2"/>
      <c r="AV921" s="2"/>
    </row>
    <row r="922" spans="1:48" ht="15.75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4"/>
      <c r="AL922" s="4"/>
      <c r="AM922" s="4"/>
      <c r="AN922" s="4"/>
      <c r="AO922" s="4"/>
      <c r="AP922" s="4"/>
      <c r="AQ922" s="2"/>
      <c r="AR922" s="2"/>
      <c r="AS922" s="5"/>
      <c r="AT922" s="2"/>
      <c r="AU922" s="2"/>
      <c r="AV922" s="2"/>
    </row>
    <row r="923" spans="1:48" ht="15.75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4"/>
      <c r="AL923" s="4"/>
      <c r="AM923" s="4"/>
      <c r="AN923" s="4"/>
      <c r="AO923" s="4"/>
      <c r="AP923" s="4"/>
      <c r="AQ923" s="2"/>
      <c r="AR923" s="2"/>
      <c r="AS923" s="5"/>
      <c r="AT923" s="2"/>
      <c r="AU923" s="2"/>
      <c r="AV923" s="2"/>
    </row>
    <row r="924" spans="1:48" ht="15.75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4"/>
      <c r="AL924" s="4"/>
      <c r="AM924" s="4"/>
      <c r="AN924" s="4"/>
      <c r="AO924" s="4"/>
      <c r="AP924" s="4"/>
      <c r="AQ924" s="2"/>
      <c r="AR924" s="2"/>
      <c r="AS924" s="5"/>
      <c r="AT924" s="2"/>
      <c r="AU924" s="2"/>
      <c r="AV924" s="2"/>
    </row>
    <row r="925" spans="1:48" ht="15.75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4"/>
      <c r="AL925" s="4"/>
      <c r="AM925" s="4"/>
      <c r="AN925" s="4"/>
      <c r="AO925" s="4"/>
      <c r="AP925" s="4"/>
      <c r="AQ925" s="2"/>
      <c r="AR925" s="2"/>
      <c r="AS925" s="5"/>
      <c r="AT925" s="2"/>
      <c r="AU925" s="2"/>
      <c r="AV925" s="2"/>
    </row>
    <row r="926" spans="1:48" ht="15.75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4"/>
      <c r="AL926" s="4"/>
      <c r="AM926" s="4"/>
      <c r="AN926" s="4"/>
      <c r="AO926" s="4"/>
      <c r="AP926" s="4"/>
      <c r="AQ926" s="2"/>
      <c r="AR926" s="2"/>
      <c r="AS926" s="5"/>
      <c r="AT926" s="2"/>
      <c r="AU926" s="2"/>
      <c r="AV926" s="2"/>
    </row>
    <row r="927" spans="1:48" ht="15.75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4"/>
      <c r="AL927" s="4"/>
      <c r="AM927" s="4"/>
      <c r="AN927" s="4"/>
      <c r="AO927" s="4"/>
      <c r="AP927" s="4"/>
      <c r="AQ927" s="2"/>
      <c r="AR927" s="2"/>
      <c r="AS927" s="5"/>
      <c r="AT927" s="2"/>
      <c r="AU927" s="2"/>
      <c r="AV927" s="2"/>
    </row>
    <row r="928" spans="1:48" ht="15.75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4"/>
      <c r="AL928" s="4"/>
      <c r="AM928" s="4"/>
      <c r="AN928" s="4"/>
      <c r="AO928" s="4"/>
      <c r="AP928" s="4"/>
      <c r="AQ928" s="2"/>
      <c r="AR928" s="2"/>
      <c r="AS928" s="5"/>
      <c r="AT928" s="2"/>
      <c r="AU928" s="2"/>
      <c r="AV928" s="2"/>
    </row>
    <row r="929" spans="1:48" ht="15.75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4"/>
      <c r="AL929" s="4"/>
      <c r="AM929" s="4"/>
      <c r="AN929" s="4"/>
      <c r="AO929" s="4"/>
      <c r="AP929" s="4"/>
      <c r="AQ929" s="2"/>
      <c r="AR929" s="2"/>
      <c r="AS929" s="5"/>
      <c r="AT929" s="2"/>
      <c r="AU929" s="2"/>
      <c r="AV929" s="2"/>
    </row>
    <row r="930" spans="1:48" ht="15.75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4"/>
      <c r="AL930" s="4"/>
      <c r="AM930" s="4"/>
      <c r="AN930" s="4"/>
      <c r="AO930" s="4"/>
      <c r="AP930" s="4"/>
      <c r="AQ930" s="2"/>
      <c r="AR930" s="2"/>
      <c r="AS930" s="5"/>
      <c r="AT930" s="2"/>
      <c r="AU930" s="2"/>
      <c r="AV930" s="2"/>
    </row>
    <row r="931" spans="1:48" ht="15.75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4"/>
      <c r="AL931" s="4"/>
      <c r="AM931" s="4"/>
      <c r="AN931" s="4"/>
      <c r="AO931" s="4"/>
      <c r="AP931" s="4"/>
      <c r="AQ931" s="2"/>
      <c r="AR931" s="2"/>
      <c r="AS931" s="5"/>
      <c r="AT931" s="2"/>
      <c r="AU931" s="2"/>
      <c r="AV931" s="2"/>
    </row>
    <row r="932" spans="1:48" ht="15.75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4"/>
      <c r="AL932" s="4"/>
      <c r="AM932" s="4"/>
      <c r="AN932" s="4"/>
      <c r="AO932" s="4"/>
      <c r="AP932" s="4"/>
      <c r="AQ932" s="2"/>
      <c r="AR932" s="2"/>
      <c r="AS932" s="5"/>
      <c r="AT932" s="2"/>
      <c r="AU932" s="2"/>
      <c r="AV932" s="2"/>
    </row>
    <row r="933" spans="1:48" ht="15.75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4"/>
      <c r="AL933" s="4"/>
      <c r="AM933" s="4"/>
      <c r="AN933" s="4"/>
      <c r="AO933" s="4"/>
      <c r="AP933" s="4"/>
      <c r="AQ933" s="2"/>
      <c r="AR933" s="2"/>
      <c r="AS933" s="5"/>
      <c r="AT933" s="2"/>
      <c r="AU933" s="2"/>
      <c r="AV933" s="2"/>
    </row>
    <row r="934" spans="1:48" ht="15.75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4"/>
      <c r="AL934" s="4"/>
      <c r="AM934" s="4"/>
      <c r="AN934" s="4"/>
      <c r="AO934" s="4"/>
      <c r="AP934" s="4"/>
      <c r="AQ934" s="2"/>
      <c r="AR934" s="2"/>
      <c r="AS934" s="5"/>
      <c r="AT934" s="2"/>
      <c r="AU934" s="2"/>
      <c r="AV934" s="2"/>
    </row>
    <row r="935" spans="1:48" ht="15.75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4"/>
      <c r="AL935" s="4"/>
      <c r="AM935" s="4"/>
      <c r="AN935" s="4"/>
      <c r="AO935" s="4"/>
      <c r="AP935" s="4"/>
      <c r="AQ935" s="2"/>
      <c r="AR935" s="2"/>
      <c r="AS935" s="5"/>
      <c r="AT935" s="2"/>
      <c r="AU935" s="2"/>
      <c r="AV935" s="2"/>
    </row>
    <row r="936" spans="1:48" ht="15.75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4"/>
      <c r="AL936" s="4"/>
      <c r="AM936" s="4"/>
      <c r="AN936" s="4"/>
      <c r="AO936" s="4"/>
      <c r="AP936" s="4"/>
      <c r="AQ936" s="2"/>
      <c r="AR936" s="2"/>
      <c r="AS936" s="5"/>
      <c r="AT936" s="2"/>
      <c r="AU936" s="2"/>
      <c r="AV936" s="2"/>
    </row>
    <row r="937" spans="1:48" ht="15.75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4"/>
      <c r="AL937" s="4"/>
      <c r="AM937" s="4"/>
      <c r="AN937" s="4"/>
      <c r="AO937" s="4"/>
      <c r="AP937" s="4"/>
      <c r="AQ937" s="2"/>
      <c r="AR937" s="2"/>
      <c r="AS937" s="5"/>
      <c r="AT937" s="2"/>
      <c r="AU937" s="2"/>
      <c r="AV937" s="2"/>
    </row>
    <row r="938" spans="1:48" ht="15.75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4"/>
      <c r="AL938" s="4"/>
      <c r="AM938" s="4"/>
      <c r="AN938" s="4"/>
      <c r="AO938" s="4"/>
      <c r="AP938" s="4"/>
      <c r="AQ938" s="2"/>
      <c r="AR938" s="2"/>
      <c r="AS938" s="5"/>
      <c r="AT938" s="2"/>
      <c r="AU938" s="2"/>
      <c r="AV938" s="2"/>
    </row>
    <row r="939" spans="1:48" ht="15.75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4"/>
      <c r="AL939" s="4"/>
      <c r="AM939" s="4"/>
      <c r="AN939" s="4"/>
      <c r="AO939" s="4"/>
      <c r="AP939" s="4"/>
      <c r="AQ939" s="2"/>
      <c r="AR939" s="2"/>
      <c r="AS939" s="5"/>
      <c r="AT939" s="2"/>
      <c r="AU939" s="2"/>
      <c r="AV939" s="2"/>
    </row>
    <row r="940" spans="1:48" ht="15.75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4"/>
      <c r="AL940" s="4"/>
      <c r="AM940" s="4"/>
      <c r="AN940" s="4"/>
      <c r="AO940" s="4"/>
      <c r="AP940" s="4"/>
      <c r="AQ940" s="2"/>
      <c r="AR940" s="2"/>
      <c r="AS940" s="5"/>
      <c r="AT940" s="2"/>
      <c r="AU940" s="2"/>
      <c r="AV940" s="2"/>
    </row>
    <row r="941" spans="1:48" ht="15.75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4"/>
      <c r="AL941" s="4"/>
      <c r="AM941" s="4"/>
      <c r="AN941" s="4"/>
      <c r="AO941" s="4"/>
      <c r="AP941" s="4"/>
      <c r="AQ941" s="2"/>
      <c r="AR941" s="2"/>
      <c r="AS941" s="5"/>
      <c r="AT941" s="2"/>
      <c r="AU941" s="2"/>
      <c r="AV941" s="2"/>
    </row>
    <row r="942" spans="1:48" ht="15.75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4"/>
      <c r="AL942" s="4"/>
      <c r="AM942" s="4"/>
      <c r="AN942" s="4"/>
      <c r="AO942" s="4"/>
      <c r="AP942" s="4"/>
      <c r="AQ942" s="2"/>
      <c r="AR942" s="2"/>
      <c r="AS942" s="5"/>
      <c r="AT942" s="2"/>
      <c r="AU942" s="2"/>
      <c r="AV942" s="2"/>
    </row>
    <row r="943" spans="1:48" ht="15.75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4"/>
      <c r="AL943" s="4"/>
      <c r="AM943" s="4"/>
      <c r="AN943" s="4"/>
      <c r="AO943" s="4"/>
      <c r="AP943" s="4"/>
      <c r="AQ943" s="2"/>
      <c r="AR943" s="2"/>
      <c r="AS943" s="5"/>
      <c r="AT943" s="2"/>
      <c r="AU943" s="2"/>
      <c r="AV943" s="2"/>
    </row>
    <row r="944" spans="1:48" ht="15.75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4"/>
      <c r="AL944" s="4"/>
      <c r="AM944" s="4"/>
      <c r="AN944" s="4"/>
      <c r="AO944" s="4"/>
      <c r="AP944" s="4"/>
      <c r="AQ944" s="2"/>
      <c r="AR944" s="2"/>
      <c r="AS944" s="5"/>
      <c r="AT944" s="2"/>
      <c r="AU944" s="2"/>
      <c r="AV944" s="2"/>
    </row>
    <row r="945" spans="1:48" ht="15.75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4"/>
      <c r="AL945" s="4"/>
      <c r="AM945" s="4"/>
      <c r="AN945" s="4"/>
      <c r="AO945" s="4"/>
      <c r="AP945" s="4"/>
      <c r="AQ945" s="2"/>
      <c r="AR945" s="2"/>
      <c r="AS945" s="5"/>
      <c r="AT945" s="2"/>
      <c r="AU945" s="2"/>
      <c r="AV945" s="2"/>
    </row>
    <row r="946" spans="1:48" ht="15.75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4"/>
      <c r="AL946" s="4"/>
      <c r="AM946" s="4"/>
      <c r="AN946" s="4"/>
      <c r="AO946" s="4"/>
      <c r="AP946" s="4"/>
      <c r="AQ946" s="2"/>
      <c r="AR946" s="2"/>
      <c r="AS946" s="5"/>
      <c r="AT946" s="2"/>
      <c r="AU946" s="2"/>
      <c r="AV946" s="2"/>
    </row>
    <row r="947" spans="1:48" ht="15.75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4"/>
      <c r="AL947" s="4"/>
      <c r="AM947" s="4"/>
      <c r="AN947" s="4"/>
      <c r="AO947" s="4"/>
      <c r="AP947" s="4"/>
      <c r="AQ947" s="2"/>
      <c r="AR947" s="2"/>
      <c r="AS947" s="5"/>
      <c r="AT947" s="2"/>
      <c r="AU947" s="2"/>
      <c r="AV947" s="2"/>
    </row>
    <row r="948" spans="1:48" ht="15.75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4"/>
      <c r="AL948" s="4"/>
      <c r="AM948" s="4"/>
      <c r="AN948" s="4"/>
      <c r="AO948" s="4"/>
      <c r="AP948" s="4"/>
      <c r="AQ948" s="2"/>
      <c r="AR948" s="2"/>
      <c r="AS948" s="5"/>
      <c r="AT948" s="2"/>
      <c r="AU948" s="2"/>
      <c r="AV948" s="2"/>
    </row>
    <row r="949" spans="1:48" ht="15.75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4"/>
      <c r="AL949" s="4"/>
      <c r="AM949" s="4"/>
      <c r="AN949" s="4"/>
      <c r="AO949" s="4"/>
      <c r="AP949" s="4"/>
      <c r="AQ949" s="2"/>
      <c r="AR949" s="2"/>
      <c r="AS949" s="5"/>
      <c r="AT949" s="2"/>
      <c r="AU949" s="2"/>
      <c r="AV949" s="2"/>
    </row>
    <row r="950" spans="1:48" ht="15.75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4"/>
      <c r="AL950" s="4"/>
      <c r="AM950" s="4"/>
      <c r="AN950" s="4"/>
      <c r="AO950" s="4"/>
      <c r="AP950" s="4"/>
      <c r="AQ950" s="2"/>
      <c r="AR950" s="2"/>
      <c r="AS950" s="5"/>
      <c r="AT950" s="2"/>
      <c r="AU950" s="2"/>
      <c r="AV950" s="2"/>
    </row>
    <row r="951" spans="1:48" ht="15.75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4"/>
      <c r="AL951" s="4"/>
      <c r="AM951" s="4"/>
      <c r="AN951" s="4"/>
      <c r="AO951" s="4"/>
      <c r="AP951" s="4"/>
      <c r="AQ951" s="2"/>
      <c r="AR951" s="2"/>
      <c r="AS951" s="5"/>
      <c r="AT951" s="2"/>
      <c r="AU951" s="2"/>
      <c r="AV951" s="2"/>
    </row>
    <row r="952" spans="1:48" ht="15.75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4"/>
      <c r="AL952" s="4"/>
      <c r="AM952" s="4"/>
      <c r="AN952" s="4"/>
      <c r="AO952" s="4"/>
      <c r="AP952" s="4"/>
      <c r="AQ952" s="2"/>
      <c r="AR952" s="2"/>
      <c r="AS952" s="5"/>
      <c r="AT952" s="2"/>
      <c r="AU952" s="2"/>
      <c r="AV952" s="2"/>
    </row>
    <row r="953" spans="1:48" ht="15.75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4"/>
      <c r="AL953" s="4"/>
      <c r="AM953" s="4"/>
      <c r="AN953" s="4"/>
      <c r="AO953" s="4"/>
      <c r="AP953" s="4"/>
      <c r="AQ953" s="2"/>
      <c r="AR953" s="2"/>
      <c r="AS953" s="5"/>
      <c r="AT953" s="2"/>
      <c r="AU953" s="2"/>
      <c r="AV953" s="2"/>
    </row>
    <row r="954" spans="1:48" ht="15.75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4"/>
      <c r="AL954" s="4"/>
      <c r="AM954" s="4"/>
      <c r="AN954" s="4"/>
      <c r="AO954" s="4"/>
      <c r="AP954" s="4"/>
      <c r="AQ954" s="2"/>
      <c r="AR954" s="2"/>
      <c r="AS954" s="5"/>
      <c r="AT954" s="2"/>
      <c r="AU954" s="2"/>
      <c r="AV954" s="2"/>
    </row>
    <row r="955" spans="1:48" ht="15.75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4"/>
      <c r="AL955" s="4"/>
      <c r="AM955" s="4"/>
      <c r="AN955" s="4"/>
      <c r="AO955" s="4"/>
      <c r="AP955" s="4"/>
      <c r="AQ955" s="2"/>
      <c r="AR955" s="2"/>
      <c r="AS955" s="5"/>
      <c r="AT955" s="2"/>
      <c r="AU955" s="2"/>
      <c r="AV955" s="2"/>
    </row>
    <row r="956" spans="1:48" ht="15.75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4"/>
      <c r="AL956" s="4"/>
      <c r="AM956" s="4"/>
      <c r="AN956" s="4"/>
      <c r="AO956" s="4"/>
      <c r="AP956" s="4"/>
      <c r="AQ956" s="2"/>
      <c r="AR956" s="2"/>
      <c r="AS956" s="5"/>
      <c r="AT956" s="2"/>
      <c r="AU956" s="2"/>
      <c r="AV956" s="2"/>
    </row>
    <row r="957" spans="1:48" ht="15.75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4"/>
      <c r="AL957" s="4"/>
      <c r="AM957" s="4"/>
      <c r="AN957" s="4"/>
      <c r="AO957" s="4"/>
      <c r="AP957" s="4"/>
      <c r="AQ957" s="2"/>
      <c r="AR957" s="2"/>
      <c r="AS957" s="5"/>
      <c r="AT957" s="2"/>
      <c r="AU957" s="2"/>
      <c r="AV957" s="2"/>
    </row>
    <row r="958" spans="1:48" ht="15.75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4"/>
      <c r="AL958" s="4"/>
      <c r="AM958" s="4"/>
      <c r="AN958" s="4"/>
      <c r="AO958" s="4"/>
      <c r="AP958" s="4"/>
      <c r="AQ958" s="2"/>
      <c r="AR958" s="2"/>
      <c r="AS958" s="5"/>
      <c r="AT958" s="2"/>
      <c r="AU958" s="2"/>
      <c r="AV958" s="2"/>
    </row>
    <row r="959" spans="1:48" ht="15.75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4"/>
      <c r="AL959" s="4"/>
      <c r="AM959" s="4"/>
      <c r="AN959" s="4"/>
      <c r="AO959" s="4"/>
      <c r="AP959" s="4"/>
      <c r="AQ959" s="2"/>
      <c r="AR959" s="2"/>
      <c r="AS959" s="5"/>
      <c r="AT959" s="2"/>
      <c r="AU959" s="2"/>
      <c r="AV959" s="2"/>
    </row>
    <row r="960" spans="1:48" ht="15.75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4"/>
      <c r="AL960" s="4"/>
      <c r="AM960" s="4"/>
      <c r="AN960" s="4"/>
      <c r="AO960" s="4"/>
      <c r="AP960" s="4"/>
      <c r="AQ960" s="2"/>
      <c r="AR960" s="2"/>
      <c r="AS960" s="5"/>
      <c r="AT960" s="2"/>
      <c r="AU960" s="2"/>
      <c r="AV960" s="2"/>
    </row>
    <row r="961" spans="1:48" ht="15.75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4"/>
      <c r="AL961" s="4"/>
      <c r="AM961" s="4"/>
      <c r="AN961" s="4"/>
      <c r="AO961" s="4"/>
      <c r="AP961" s="4"/>
      <c r="AQ961" s="2"/>
      <c r="AR961" s="2"/>
      <c r="AS961" s="5"/>
      <c r="AT961" s="2"/>
      <c r="AU961" s="2"/>
      <c r="AV961" s="2"/>
    </row>
    <row r="962" spans="1:48" ht="15.75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4"/>
      <c r="AL962" s="4"/>
      <c r="AM962" s="4"/>
      <c r="AN962" s="4"/>
      <c r="AO962" s="4"/>
      <c r="AP962" s="4"/>
      <c r="AQ962" s="2"/>
      <c r="AR962" s="2"/>
      <c r="AS962" s="5"/>
      <c r="AT962" s="2"/>
      <c r="AU962" s="2"/>
      <c r="AV962" s="2"/>
    </row>
    <row r="963" spans="1:48" ht="15.75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4"/>
      <c r="AL963" s="4"/>
      <c r="AM963" s="4"/>
      <c r="AN963" s="4"/>
      <c r="AO963" s="4"/>
      <c r="AP963" s="4"/>
      <c r="AQ963" s="2"/>
      <c r="AR963" s="2"/>
      <c r="AS963" s="5"/>
      <c r="AT963" s="2"/>
      <c r="AU963" s="2"/>
      <c r="AV963" s="2"/>
    </row>
    <row r="964" spans="1:48" ht="15.75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4"/>
      <c r="AL964" s="4"/>
      <c r="AM964" s="4"/>
      <c r="AN964" s="4"/>
      <c r="AO964" s="4"/>
      <c r="AP964" s="4"/>
      <c r="AQ964" s="2"/>
      <c r="AR964" s="2"/>
      <c r="AS964" s="5"/>
      <c r="AT964" s="2"/>
      <c r="AU964" s="2"/>
      <c r="AV964" s="2"/>
    </row>
    <row r="965" spans="1:48" ht="15.75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4"/>
      <c r="AL965" s="4"/>
      <c r="AM965" s="4"/>
      <c r="AN965" s="4"/>
      <c r="AO965" s="4"/>
      <c r="AP965" s="4"/>
      <c r="AQ965" s="2"/>
      <c r="AR965" s="2"/>
      <c r="AS965" s="5"/>
      <c r="AT965" s="2"/>
      <c r="AU965" s="2"/>
      <c r="AV965" s="2"/>
    </row>
    <row r="966" spans="1:48" ht="15.75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4"/>
      <c r="AL966" s="4"/>
      <c r="AM966" s="4"/>
      <c r="AN966" s="4"/>
      <c r="AO966" s="4"/>
      <c r="AP966" s="4"/>
      <c r="AQ966" s="2"/>
      <c r="AR966" s="2"/>
      <c r="AS966" s="5"/>
      <c r="AT966" s="2"/>
      <c r="AU966" s="2"/>
      <c r="AV966" s="2"/>
    </row>
    <row r="967" spans="1:48" ht="15.75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4"/>
      <c r="AL967" s="4"/>
      <c r="AM967" s="4"/>
      <c r="AN967" s="4"/>
      <c r="AO967" s="4"/>
      <c r="AP967" s="4"/>
      <c r="AQ967" s="2"/>
      <c r="AR967" s="2"/>
      <c r="AS967" s="5"/>
      <c r="AT967" s="2"/>
      <c r="AU967" s="2"/>
      <c r="AV967" s="2"/>
    </row>
    <row r="968" spans="1:48" ht="15.75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4"/>
      <c r="AL968" s="4"/>
      <c r="AM968" s="4"/>
      <c r="AN968" s="4"/>
      <c r="AO968" s="4"/>
      <c r="AP968" s="4"/>
      <c r="AQ968" s="2"/>
      <c r="AR968" s="2"/>
      <c r="AS968" s="5"/>
      <c r="AT968" s="2"/>
      <c r="AU968" s="2"/>
      <c r="AV968" s="2"/>
    </row>
    <row r="969" spans="1:48" ht="15.75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4"/>
      <c r="AL969" s="4"/>
      <c r="AM969" s="4"/>
      <c r="AN969" s="4"/>
      <c r="AO969" s="4"/>
      <c r="AP969" s="4"/>
      <c r="AQ969" s="2"/>
      <c r="AR969" s="2"/>
      <c r="AS969" s="5"/>
      <c r="AT969" s="2"/>
      <c r="AU969" s="2"/>
      <c r="AV969" s="2"/>
    </row>
    <row r="970" spans="1:48" ht="15.75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4"/>
      <c r="AL970" s="4"/>
      <c r="AM970" s="4"/>
      <c r="AN970" s="4"/>
      <c r="AO970" s="4"/>
      <c r="AP970" s="4"/>
      <c r="AQ970" s="2"/>
      <c r="AR970" s="2"/>
      <c r="AS970" s="5"/>
      <c r="AT970" s="2"/>
      <c r="AU970" s="2"/>
      <c r="AV970" s="2"/>
    </row>
    <row r="971" spans="1:48" ht="15.75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4"/>
      <c r="AL971" s="4"/>
      <c r="AM971" s="4"/>
      <c r="AN971" s="4"/>
      <c r="AO971" s="4"/>
      <c r="AP971" s="4"/>
      <c r="AQ971" s="2"/>
      <c r="AR971" s="2"/>
      <c r="AS971" s="5"/>
      <c r="AT971" s="2"/>
      <c r="AU971" s="2"/>
      <c r="AV971" s="2"/>
    </row>
    <row r="972" spans="1:48" ht="15.75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4"/>
      <c r="AL972" s="4"/>
      <c r="AM972" s="4"/>
      <c r="AN972" s="4"/>
      <c r="AO972" s="4"/>
      <c r="AP972" s="4"/>
      <c r="AQ972" s="2"/>
      <c r="AR972" s="2"/>
      <c r="AS972" s="5"/>
      <c r="AT972" s="2"/>
      <c r="AU972" s="2"/>
      <c r="AV972" s="2"/>
    </row>
    <row r="973" spans="1:48" ht="15.75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4"/>
      <c r="AL973" s="4"/>
      <c r="AM973" s="4"/>
      <c r="AN973" s="4"/>
      <c r="AO973" s="4"/>
      <c r="AP973" s="4"/>
      <c r="AQ973" s="2"/>
      <c r="AR973" s="2"/>
      <c r="AS973" s="5"/>
      <c r="AT973" s="2"/>
      <c r="AU973" s="2"/>
      <c r="AV973" s="2"/>
    </row>
    <row r="974" spans="1:48" ht="15.75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4"/>
      <c r="AL974" s="4"/>
      <c r="AM974" s="4"/>
      <c r="AN974" s="4"/>
      <c r="AO974" s="4"/>
      <c r="AP974" s="4"/>
      <c r="AQ974" s="2"/>
      <c r="AR974" s="2"/>
      <c r="AS974" s="5"/>
      <c r="AT974" s="2"/>
      <c r="AU974" s="2"/>
      <c r="AV974" s="2"/>
    </row>
    <row r="975" spans="1:48" ht="15.75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4"/>
      <c r="AL975" s="4"/>
      <c r="AM975" s="4"/>
      <c r="AN975" s="4"/>
      <c r="AO975" s="4"/>
      <c r="AP975" s="4"/>
      <c r="AQ975" s="2"/>
      <c r="AR975" s="2"/>
      <c r="AS975" s="5"/>
      <c r="AT975" s="2"/>
      <c r="AU975" s="2"/>
      <c r="AV975" s="2"/>
    </row>
    <row r="976" spans="1:48" ht="15.75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4"/>
      <c r="AL976" s="4"/>
      <c r="AM976" s="4"/>
      <c r="AN976" s="4"/>
      <c r="AO976" s="4"/>
      <c r="AP976" s="4"/>
      <c r="AQ976" s="2"/>
      <c r="AR976" s="2"/>
      <c r="AS976" s="5"/>
      <c r="AT976" s="2"/>
      <c r="AU976" s="2"/>
      <c r="AV976" s="2"/>
    </row>
    <row r="977" spans="1:48" ht="15.75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4"/>
      <c r="AL977" s="4"/>
      <c r="AM977" s="4"/>
      <c r="AN977" s="4"/>
      <c r="AO977" s="4"/>
      <c r="AP977" s="4"/>
      <c r="AQ977" s="2"/>
      <c r="AR977" s="2"/>
      <c r="AS977" s="5"/>
      <c r="AT977" s="2"/>
      <c r="AU977" s="2"/>
      <c r="AV977" s="2"/>
    </row>
    <row r="978" spans="1:48" ht="15.75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4"/>
      <c r="AL978" s="4"/>
      <c r="AM978" s="4"/>
      <c r="AN978" s="4"/>
      <c r="AO978" s="4"/>
      <c r="AP978" s="4"/>
      <c r="AQ978" s="2"/>
      <c r="AR978" s="2"/>
      <c r="AS978" s="5"/>
      <c r="AT978" s="2"/>
      <c r="AU978" s="2"/>
      <c r="AV978" s="2"/>
    </row>
    <row r="979" spans="1:48" ht="15.75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4"/>
      <c r="AL979" s="4"/>
      <c r="AM979" s="4"/>
      <c r="AN979" s="4"/>
      <c r="AO979" s="4"/>
      <c r="AP979" s="4"/>
      <c r="AQ979" s="2"/>
      <c r="AR979" s="2"/>
      <c r="AS979" s="5"/>
      <c r="AT979" s="2"/>
      <c r="AU979" s="2"/>
      <c r="AV979" s="2"/>
    </row>
    <row r="980" spans="1:48" ht="15.75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4"/>
      <c r="AL980" s="4"/>
      <c r="AM980" s="4"/>
      <c r="AN980" s="4"/>
      <c r="AO980" s="4"/>
      <c r="AP980" s="4"/>
      <c r="AQ980" s="2"/>
      <c r="AR980" s="2"/>
      <c r="AS980" s="5"/>
      <c r="AT980" s="2"/>
      <c r="AU980" s="2"/>
      <c r="AV980" s="2"/>
    </row>
    <row r="981" spans="1:48" ht="15.75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4"/>
      <c r="AL981" s="4"/>
      <c r="AM981" s="4"/>
      <c r="AN981" s="4"/>
      <c r="AO981" s="4"/>
      <c r="AP981" s="4"/>
      <c r="AQ981" s="2"/>
      <c r="AR981" s="2"/>
      <c r="AS981" s="5"/>
      <c r="AT981" s="2"/>
      <c r="AU981" s="2"/>
      <c r="AV981" s="2"/>
    </row>
    <row r="982" spans="1:48" ht="15.75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4"/>
      <c r="AL982" s="4"/>
      <c r="AM982" s="4"/>
      <c r="AN982" s="4"/>
      <c r="AO982" s="4"/>
      <c r="AP982" s="4"/>
      <c r="AQ982" s="2"/>
      <c r="AR982" s="2"/>
      <c r="AS982" s="5"/>
      <c r="AT982" s="2"/>
      <c r="AU982" s="2"/>
      <c r="AV982" s="2"/>
    </row>
    <row r="983" spans="1:48" ht="15.75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4"/>
      <c r="AL983" s="4"/>
      <c r="AM983" s="4"/>
      <c r="AN983" s="4"/>
      <c r="AO983" s="4"/>
      <c r="AP983" s="4"/>
      <c r="AQ983" s="2"/>
      <c r="AR983" s="2"/>
      <c r="AS983" s="5"/>
      <c r="AT983" s="2"/>
      <c r="AU983" s="2"/>
      <c r="AV983" s="2"/>
    </row>
    <row r="984" spans="1:48" ht="15.75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4"/>
      <c r="AL984" s="4"/>
      <c r="AM984" s="4"/>
      <c r="AN984" s="4"/>
      <c r="AO984" s="4"/>
      <c r="AP984" s="4"/>
      <c r="AQ984" s="2"/>
      <c r="AR984" s="2"/>
      <c r="AS984" s="5"/>
      <c r="AT984" s="2"/>
      <c r="AU984" s="2"/>
      <c r="AV984" s="2"/>
    </row>
    <row r="985" spans="1:48" ht="15.75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4"/>
      <c r="AL985" s="4"/>
      <c r="AM985" s="4"/>
      <c r="AN985" s="4"/>
      <c r="AO985" s="4"/>
      <c r="AP985" s="4"/>
      <c r="AQ985" s="2"/>
      <c r="AR985" s="2"/>
      <c r="AS985" s="5"/>
      <c r="AT985" s="2"/>
      <c r="AU985" s="2"/>
      <c r="AV985" s="2"/>
    </row>
    <row r="986" spans="1:48" ht="15.75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4"/>
      <c r="AL986" s="4"/>
      <c r="AM986" s="4"/>
      <c r="AN986" s="4"/>
      <c r="AO986" s="4"/>
      <c r="AP986" s="4"/>
      <c r="AQ986" s="2"/>
      <c r="AR986" s="2"/>
      <c r="AS986" s="5"/>
      <c r="AT986" s="2"/>
      <c r="AU986" s="2"/>
      <c r="AV986" s="2"/>
    </row>
    <row r="987" spans="1:48" ht="15.75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4"/>
      <c r="AL987" s="4"/>
      <c r="AM987" s="4"/>
      <c r="AN987" s="4"/>
      <c r="AO987" s="4"/>
      <c r="AP987" s="4"/>
      <c r="AQ987" s="2"/>
      <c r="AR987" s="2"/>
      <c r="AS987" s="5"/>
      <c r="AT987" s="2"/>
      <c r="AU987" s="2"/>
      <c r="AV987" s="2"/>
    </row>
    <row r="988" spans="1:48" ht="15.75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4"/>
      <c r="AL988" s="4"/>
      <c r="AM988" s="4"/>
      <c r="AN988" s="4"/>
      <c r="AO988" s="4"/>
      <c r="AP988" s="4"/>
      <c r="AQ988" s="2"/>
      <c r="AR988" s="2"/>
      <c r="AS988" s="5"/>
      <c r="AT988" s="2"/>
      <c r="AU988" s="2"/>
      <c r="AV988" s="2"/>
    </row>
    <row r="989" spans="1:48" ht="15.75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4"/>
      <c r="AL989" s="4"/>
      <c r="AM989" s="4"/>
      <c r="AN989" s="4"/>
      <c r="AO989" s="4"/>
      <c r="AP989" s="4"/>
      <c r="AQ989" s="2"/>
      <c r="AR989" s="2"/>
      <c r="AS989" s="5"/>
      <c r="AT989" s="2"/>
      <c r="AU989" s="2"/>
      <c r="AV989" s="2"/>
    </row>
    <row r="990" spans="1:48" ht="15.75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4"/>
      <c r="AL990" s="4"/>
      <c r="AM990" s="4"/>
      <c r="AN990" s="4"/>
      <c r="AO990" s="4"/>
      <c r="AP990" s="4"/>
      <c r="AQ990" s="2"/>
      <c r="AR990" s="2"/>
      <c r="AS990" s="5"/>
      <c r="AT990" s="2"/>
      <c r="AU990" s="2"/>
      <c r="AV990" s="2"/>
    </row>
    <row r="991" spans="1:48" ht="15.75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4"/>
      <c r="AL991" s="4"/>
      <c r="AM991" s="4"/>
      <c r="AN991" s="4"/>
      <c r="AO991" s="4"/>
      <c r="AP991" s="4"/>
      <c r="AQ991" s="2"/>
      <c r="AR991" s="2"/>
      <c r="AS991" s="5"/>
      <c r="AT991" s="2"/>
      <c r="AU991" s="2"/>
      <c r="AV991" s="2"/>
    </row>
    <row r="992" spans="1:48" ht="15.75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4"/>
      <c r="AL992" s="4"/>
      <c r="AM992" s="4"/>
      <c r="AN992" s="4"/>
      <c r="AO992" s="4"/>
      <c r="AP992" s="4"/>
      <c r="AQ992" s="2"/>
      <c r="AR992" s="2"/>
      <c r="AS992" s="5"/>
      <c r="AT992" s="2"/>
      <c r="AU992" s="2"/>
      <c r="AV992" s="2"/>
    </row>
    <row r="993" spans="1:48" ht="15.75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4"/>
      <c r="AL993" s="4"/>
      <c r="AM993" s="4"/>
      <c r="AN993" s="4"/>
      <c r="AO993" s="4"/>
      <c r="AP993" s="4"/>
      <c r="AQ993" s="2"/>
      <c r="AR993" s="2"/>
      <c r="AS993" s="5"/>
      <c r="AT993" s="2"/>
      <c r="AU993" s="2"/>
      <c r="AV993" s="2"/>
    </row>
    <row r="994" spans="1:48" ht="15.75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4"/>
      <c r="AL994" s="4"/>
      <c r="AM994" s="4"/>
      <c r="AN994" s="4"/>
      <c r="AO994" s="4"/>
      <c r="AP994" s="4"/>
      <c r="AQ994" s="2"/>
      <c r="AR994" s="2"/>
      <c r="AS994" s="5"/>
      <c r="AT994" s="2"/>
      <c r="AU994" s="2"/>
      <c r="AV994" s="2"/>
    </row>
    <row r="995" spans="1:48" ht="15.75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4"/>
      <c r="AL995" s="4"/>
      <c r="AM995" s="4"/>
      <c r="AN995" s="4"/>
      <c r="AO995" s="4"/>
      <c r="AP995" s="4"/>
      <c r="AQ995" s="2"/>
      <c r="AR995" s="2"/>
      <c r="AS995" s="5"/>
      <c r="AT995" s="2"/>
      <c r="AU995" s="2"/>
      <c r="AV995" s="2"/>
    </row>
    <row r="996" spans="1:48" ht="15.75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4"/>
      <c r="AL996" s="4"/>
      <c r="AM996" s="4"/>
      <c r="AN996" s="4"/>
      <c r="AO996" s="4"/>
      <c r="AP996" s="4"/>
      <c r="AQ996" s="2"/>
      <c r="AR996" s="2"/>
      <c r="AS996" s="5"/>
      <c r="AT996" s="2"/>
      <c r="AU996" s="2"/>
      <c r="AV996" s="2"/>
    </row>
    <row r="997" spans="1:48" ht="15.75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4"/>
      <c r="AL997" s="4"/>
      <c r="AM997" s="4"/>
      <c r="AN997" s="4"/>
      <c r="AO997" s="4"/>
      <c r="AP997" s="4"/>
      <c r="AQ997" s="2"/>
      <c r="AR997" s="2"/>
      <c r="AS997" s="5"/>
      <c r="AT997" s="2"/>
      <c r="AU997" s="2"/>
      <c r="AV997" s="2"/>
    </row>
    <row r="998" spans="1:48" ht="15.75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4"/>
      <c r="AL998" s="4"/>
      <c r="AM998" s="4"/>
      <c r="AN998" s="4"/>
      <c r="AO998" s="4"/>
      <c r="AP998" s="4"/>
      <c r="AQ998" s="2"/>
      <c r="AR998" s="2"/>
      <c r="AS998" s="5"/>
      <c r="AT998" s="2"/>
      <c r="AU998" s="2"/>
      <c r="AV998" s="2"/>
    </row>
    <row r="999" spans="1:48" ht="15.75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4"/>
      <c r="AL999" s="4"/>
      <c r="AM999" s="4"/>
      <c r="AN999" s="4"/>
      <c r="AO999" s="4"/>
      <c r="AP999" s="4"/>
      <c r="AQ999" s="2"/>
      <c r="AR999" s="2"/>
      <c r="AS999" s="5"/>
      <c r="AT999" s="2"/>
      <c r="AU999" s="2"/>
      <c r="AV999" s="2"/>
    </row>
    <row r="1000" spans="1:48" ht="15.75" customHeight="1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4"/>
      <c r="AL1000" s="4"/>
      <c r="AM1000" s="4"/>
      <c r="AN1000" s="4"/>
      <c r="AO1000" s="4"/>
      <c r="AP1000" s="4"/>
      <c r="AQ1000" s="2"/>
      <c r="AR1000" s="2"/>
      <c r="AS1000" s="5"/>
      <c r="AT1000" s="2"/>
      <c r="AU1000" s="2"/>
      <c r="AV1000" s="2"/>
    </row>
  </sheetData>
  <mergeCells count="18">
    <mergeCell ref="F3:AJ3"/>
    <mergeCell ref="AK3:AK4"/>
    <mergeCell ref="B15:E15"/>
    <mergeCell ref="B26:E26"/>
    <mergeCell ref="A3:A4"/>
    <mergeCell ref="B3:B4"/>
    <mergeCell ref="C3:C4"/>
    <mergeCell ref="D3:D4"/>
    <mergeCell ref="E3:E4"/>
    <mergeCell ref="AS3:AS4"/>
    <mergeCell ref="AT3:AT4"/>
    <mergeCell ref="AL3:AL4"/>
    <mergeCell ref="AM3:AM4"/>
    <mergeCell ref="AN3:AN4"/>
    <mergeCell ref="AO3:AO4"/>
    <mergeCell ref="AP3:AP4"/>
    <mergeCell ref="AQ3:AQ4"/>
    <mergeCell ref="AR3:AR4"/>
  </mergeCells>
  <pageMargins left="0.196850393700787" right="0.196850393700787" top="0.74803149606299202" bottom="0.511811023622047" header="0" footer="0"/>
  <pageSetup paperSize="8" scale="70" orientation="landscape"/>
  <headerFooter>
    <oddFooter>&amp;LDoc. No.: EC1.TR.FO.13:4:22.2&amp;RPage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workbookViewId="0"/>
  </sheetViews>
  <sheetFormatPr defaultColWidth="14.42578125" defaultRowHeight="15" customHeight="1"/>
  <cols>
    <col min="1" max="1" width="9" customWidth="1"/>
    <col min="2" max="2" width="16.28515625" customWidth="1"/>
    <col min="3" max="3" width="9" customWidth="1"/>
    <col min="4" max="4" width="14.7109375" customWidth="1"/>
    <col min="5" max="5" width="9" customWidth="1"/>
    <col min="6" max="36" width="9.140625" customWidth="1"/>
    <col min="37" max="37" width="9" customWidth="1"/>
    <col min="38" max="38" width="11.42578125" customWidth="1"/>
    <col min="39" max="39" width="15.28515625" customWidth="1"/>
    <col min="40" max="41" width="15.42578125" customWidth="1"/>
    <col min="42" max="42" width="15" customWidth="1"/>
    <col min="43" max="43" width="12.42578125" customWidth="1"/>
    <col min="44" max="44" width="11.7109375" hidden="1" customWidth="1"/>
    <col min="45" max="45" width="11.85546875" customWidth="1"/>
    <col min="46" max="46" width="13.5703125" customWidth="1"/>
  </cols>
  <sheetData>
    <row r="1" spans="1:46" ht="15.75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"/>
      <c r="AL1" s="4"/>
      <c r="AM1" s="4"/>
      <c r="AN1" s="4"/>
      <c r="AO1" s="4"/>
      <c r="AP1" s="4"/>
      <c r="AQ1" s="2"/>
      <c r="AR1" s="2"/>
      <c r="AS1" s="5"/>
      <c r="AT1" s="2"/>
    </row>
    <row r="2" spans="1:46" ht="15.75">
      <c r="A2" s="1" t="s">
        <v>2</v>
      </c>
      <c r="B2" s="2"/>
      <c r="C2" s="2"/>
      <c r="D2" s="2"/>
      <c r="E2" s="3" t="s">
        <v>44</v>
      </c>
      <c r="F2" s="2"/>
      <c r="G2" s="2"/>
      <c r="H2" s="39" t="s">
        <v>45</v>
      </c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4"/>
      <c r="AM2" s="4"/>
      <c r="AN2" s="4"/>
      <c r="AO2" s="4"/>
      <c r="AP2" s="4"/>
      <c r="AQ2" s="2"/>
      <c r="AR2" s="2"/>
      <c r="AS2" s="5"/>
      <c r="AT2" s="2"/>
    </row>
    <row r="3" spans="1:46" ht="15.75">
      <c r="A3" s="153" t="s">
        <v>6</v>
      </c>
      <c r="B3" s="153" t="s">
        <v>7</v>
      </c>
      <c r="C3" s="153" t="s">
        <v>8</v>
      </c>
      <c r="D3" s="153" t="s">
        <v>46</v>
      </c>
      <c r="E3" s="153" t="s">
        <v>10</v>
      </c>
      <c r="F3" s="165" t="s">
        <v>11</v>
      </c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7"/>
      <c r="AK3" s="153" t="s">
        <v>12</v>
      </c>
      <c r="AL3" s="153" t="s">
        <v>13</v>
      </c>
      <c r="AM3" s="153" t="s">
        <v>14</v>
      </c>
      <c r="AN3" s="153" t="s">
        <v>15</v>
      </c>
      <c r="AO3" s="153" t="s">
        <v>16</v>
      </c>
      <c r="AP3" s="153" t="s">
        <v>17</v>
      </c>
      <c r="AQ3" s="153" t="s">
        <v>18</v>
      </c>
      <c r="AR3" s="153" t="s">
        <v>19</v>
      </c>
      <c r="AS3" s="151" t="s">
        <v>20</v>
      </c>
      <c r="AT3" s="153" t="s">
        <v>21</v>
      </c>
    </row>
    <row r="4" spans="1:46">
      <c r="A4" s="152"/>
      <c r="B4" s="152"/>
      <c r="C4" s="152"/>
      <c r="D4" s="152"/>
      <c r="E4" s="152"/>
      <c r="F4" s="7">
        <v>1</v>
      </c>
      <c r="G4" s="7">
        <v>2</v>
      </c>
      <c r="H4" s="7">
        <v>3</v>
      </c>
      <c r="I4" s="7">
        <v>4</v>
      </c>
      <c r="J4" s="7">
        <v>5</v>
      </c>
      <c r="K4" s="7">
        <v>6</v>
      </c>
      <c r="L4" s="7">
        <v>7</v>
      </c>
      <c r="M4" s="7">
        <v>8</v>
      </c>
      <c r="N4" s="7">
        <v>9</v>
      </c>
      <c r="O4" s="7">
        <v>10</v>
      </c>
      <c r="P4" s="7">
        <v>11</v>
      </c>
      <c r="Q4" s="7">
        <v>12</v>
      </c>
      <c r="R4" s="7">
        <v>13</v>
      </c>
      <c r="S4" s="7">
        <v>14</v>
      </c>
      <c r="T4" s="7">
        <v>15</v>
      </c>
      <c r="U4" s="7">
        <v>16</v>
      </c>
      <c r="V4" s="7">
        <v>17</v>
      </c>
      <c r="W4" s="7">
        <v>18</v>
      </c>
      <c r="X4" s="7">
        <v>19</v>
      </c>
      <c r="Y4" s="7">
        <v>20</v>
      </c>
      <c r="Z4" s="7">
        <v>21</v>
      </c>
      <c r="AA4" s="7">
        <v>22</v>
      </c>
      <c r="AB4" s="7">
        <v>23</v>
      </c>
      <c r="AC4" s="7">
        <v>24</v>
      </c>
      <c r="AD4" s="7">
        <v>25</v>
      </c>
      <c r="AE4" s="7">
        <v>26</v>
      </c>
      <c r="AF4" s="7">
        <v>27</v>
      </c>
      <c r="AG4" s="7">
        <v>28</v>
      </c>
      <c r="AH4" s="7">
        <v>29</v>
      </c>
      <c r="AI4" s="7">
        <v>30</v>
      </c>
      <c r="AJ4" s="7">
        <v>31</v>
      </c>
      <c r="AK4" s="152"/>
      <c r="AL4" s="152"/>
      <c r="AM4" s="152"/>
      <c r="AN4" s="152"/>
      <c r="AO4" s="152"/>
      <c r="AP4" s="152"/>
      <c r="AQ4" s="152"/>
      <c r="AR4" s="152"/>
      <c r="AS4" s="152"/>
      <c r="AT4" s="152"/>
    </row>
    <row r="5" spans="1:46">
      <c r="A5" s="9">
        <v>1</v>
      </c>
      <c r="B5" s="10" t="s">
        <v>22</v>
      </c>
      <c r="C5" s="10"/>
      <c r="D5" s="10" t="s">
        <v>23</v>
      </c>
      <c r="E5" s="10"/>
      <c r="F5" s="9"/>
      <c r="G5" s="9"/>
      <c r="H5" s="9">
        <v>57</v>
      </c>
      <c r="I5" s="9"/>
      <c r="J5" s="9"/>
      <c r="K5" s="9"/>
      <c r="L5" s="9"/>
      <c r="M5" s="9"/>
      <c r="N5" s="9"/>
      <c r="O5" s="9">
        <v>50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69</v>
      </c>
      <c r="AB5" s="9"/>
      <c r="AC5" s="9"/>
      <c r="AD5" s="9"/>
      <c r="AE5" s="9">
        <v>50</v>
      </c>
      <c r="AF5" s="9"/>
      <c r="AG5" s="9"/>
      <c r="AH5" s="9"/>
      <c r="AI5" s="9"/>
      <c r="AJ5" s="9"/>
      <c r="AK5" s="9">
        <f t="shared" ref="AK5:AK9" si="0">SUM(F5:AJ5)</f>
        <v>226</v>
      </c>
      <c r="AL5" s="9"/>
      <c r="AM5" s="9">
        <f>SUM(AK5:AL5)</f>
        <v>226</v>
      </c>
      <c r="AN5" s="9"/>
      <c r="AO5" s="9"/>
      <c r="AP5" s="9">
        <f>AO5-AN5</f>
        <v>0</v>
      </c>
      <c r="AQ5" s="10">
        <f>AP5/AM5</f>
        <v>0</v>
      </c>
      <c r="AR5" s="10"/>
      <c r="AS5" s="11">
        <v>274</v>
      </c>
      <c r="AT5" s="11">
        <v>55822</v>
      </c>
    </row>
    <row r="6" spans="1:46">
      <c r="A6" s="13">
        <v>2</v>
      </c>
      <c r="B6" s="14" t="s">
        <v>47</v>
      </c>
      <c r="C6" s="14"/>
      <c r="D6" s="14" t="s">
        <v>26</v>
      </c>
      <c r="E6" s="14"/>
      <c r="F6" s="13"/>
      <c r="G6" s="13"/>
      <c r="H6" s="13"/>
      <c r="I6" s="13"/>
      <c r="J6" s="13"/>
      <c r="K6" s="13"/>
      <c r="L6" s="13"/>
      <c r="M6" s="13">
        <v>10</v>
      </c>
      <c r="N6" s="13">
        <v>10</v>
      </c>
      <c r="O6" s="13"/>
      <c r="P6" s="13">
        <v>10</v>
      </c>
      <c r="Q6" s="13"/>
      <c r="R6" s="13">
        <v>20</v>
      </c>
      <c r="S6" s="13"/>
      <c r="T6" s="13">
        <v>20</v>
      </c>
      <c r="U6" s="13"/>
      <c r="V6" s="13">
        <v>20</v>
      </c>
      <c r="W6" s="13"/>
      <c r="X6" s="13">
        <v>20</v>
      </c>
      <c r="Y6" s="13"/>
      <c r="Z6" s="13"/>
      <c r="AA6" s="13">
        <v>20</v>
      </c>
      <c r="AB6" s="13">
        <v>30</v>
      </c>
      <c r="AC6" s="13"/>
      <c r="AD6" s="13">
        <v>20</v>
      </c>
      <c r="AE6" s="13"/>
      <c r="AF6" s="13">
        <v>20</v>
      </c>
      <c r="AG6" s="13"/>
      <c r="AH6" s="13">
        <v>40</v>
      </c>
      <c r="AI6" s="40"/>
      <c r="AJ6" s="13">
        <v>30</v>
      </c>
      <c r="AK6" s="9">
        <f t="shared" si="0"/>
        <v>270</v>
      </c>
      <c r="AL6" s="13"/>
      <c r="AM6" s="13">
        <v>270</v>
      </c>
      <c r="AN6" s="13"/>
      <c r="AO6" s="13"/>
      <c r="AP6" s="13"/>
      <c r="AQ6" s="15"/>
      <c r="AR6" s="14"/>
      <c r="AS6" s="11">
        <v>274</v>
      </c>
      <c r="AT6" s="11">
        <v>73980</v>
      </c>
    </row>
    <row r="7" spans="1:46">
      <c r="A7" s="13">
        <v>3</v>
      </c>
      <c r="B7" s="14" t="s">
        <v>48</v>
      </c>
      <c r="C7" s="14"/>
      <c r="D7" s="14" t="s">
        <v>49</v>
      </c>
      <c r="E7" s="14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40"/>
      <c r="AI7" s="13"/>
      <c r="AJ7" s="13">
        <v>30</v>
      </c>
      <c r="AK7" s="9">
        <f t="shared" si="0"/>
        <v>30</v>
      </c>
      <c r="AL7" s="13">
        <v>0</v>
      </c>
      <c r="AM7" s="13">
        <f t="shared" ref="AM7:AM9" si="1">AL7+AK7</f>
        <v>30</v>
      </c>
      <c r="AN7" s="13"/>
      <c r="AO7" s="13"/>
      <c r="AP7" s="13">
        <f>AO7-AN7</f>
        <v>0</v>
      </c>
      <c r="AQ7" s="15"/>
      <c r="AR7" s="14"/>
      <c r="AS7" s="11"/>
      <c r="AT7" s="16">
        <f>AS7*AM7</f>
        <v>0</v>
      </c>
    </row>
    <row r="8" spans="1:46">
      <c r="A8" s="13">
        <v>4</v>
      </c>
      <c r="B8" s="14"/>
      <c r="C8" s="14"/>
      <c r="D8" s="14"/>
      <c r="E8" s="14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9">
        <f t="shared" si="0"/>
        <v>0</v>
      </c>
      <c r="AL8" s="13"/>
      <c r="AM8" s="13">
        <f t="shared" si="1"/>
        <v>0</v>
      </c>
      <c r="AN8" s="13"/>
      <c r="AO8" s="13"/>
      <c r="AP8" s="13"/>
      <c r="AQ8" s="15"/>
      <c r="AR8" s="14"/>
      <c r="AS8" s="11"/>
      <c r="AT8" s="16"/>
    </row>
    <row r="9" spans="1:46">
      <c r="A9" s="13">
        <v>5</v>
      </c>
      <c r="B9" s="14"/>
      <c r="C9" s="14"/>
      <c r="D9" s="14"/>
      <c r="E9" s="14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0"/>
      <c r="AI9" s="13"/>
      <c r="AJ9" s="13"/>
      <c r="AK9" s="9">
        <f t="shared" si="0"/>
        <v>0</v>
      </c>
      <c r="AL9" s="13"/>
      <c r="AM9" s="13">
        <f t="shared" si="1"/>
        <v>0</v>
      </c>
      <c r="AN9" s="13">
        <v>0</v>
      </c>
      <c r="AO9" s="13">
        <v>0</v>
      </c>
      <c r="AP9" s="13">
        <f>AO9-AN9</f>
        <v>0</v>
      </c>
      <c r="AQ9" s="15" t="e">
        <f>AP9/AM9</f>
        <v>#DIV/0!</v>
      </c>
      <c r="AR9" s="14"/>
      <c r="AS9" s="11"/>
      <c r="AT9" s="16">
        <f>AS9*AM9</f>
        <v>0</v>
      </c>
    </row>
    <row r="10" spans="1:46">
      <c r="A10" s="13"/>
      <c r="B10" s="164" t="s">
        <v>27</v>
      </c>
      <c r="C10" s="155"/>
      <c r="D10" s="155"/>
      <c r="E10" s="156"/>
      <c r="F10" s="41">
        <f t="shared" ref="F10:AN10" si="2">SUM(F5:F9)</f>
        <v>0</v>
      </c>
      <c r="G10" s="41">
        <f t="shared" si="2"/>
        <v>0</v>
      </c>
      <c r="H10" s="41">
        <f t="shared" si="2"/>
        <v>57</v>
      </c>
      <c r="I10" s="41">
        <f t="shared" si="2"/>
        <v>0</v>
      </c>
      <c r="J10" s="41">
        <f t="shared" si="2"/>
        <v>0</v>
      </c>
      <c r="K10" s="41">
        <f t="shared" si="2"/>
        <v>0</v>
      </c>
      <c r="L10" s="41">
        <f t="shared" si="2"/>
        <v>0</v>
      </c>
      <c r="M10" s="41">
        <f t="shared" si="2"/>
        <v>10</v>
      </c>
      <c r="N10" s="41">
        <f t="shared" si="2"/>
        <v>10</v>
      </c>
      <c r="O10" s="41">
        <f t="shared" si="2"/>
        <v>50</v>
      </c>
      <c r="P10" s="41">
        <f t="shared" si="2"/>
        <v>10</v>
      </c>
      <c r="Q10" s="41">
        <f t="shared" si="2"/>
        <v>0</v>
      </c>
      <c r="R10" s="41">
        <f t="shared" si="2"/>
        <v>20</v>
      </c>
      <c r="S10" s="41">
        <f t="shared" si="2"/>
        <v>0</v>
      </c>
      <c r="T10" s="41">
        <f t="shared" si="2"/>
        <v>20</v>
      </c>
      <c r="U10" s="41">
        <f t="shared" si="2"/>
        <v>0</v>
      </c>
      <c r="V10" s="41">
        <f t="shared" si="2"/>
        <v>20</v>
      </c>
      <c r="W10" s="41">
        <f t="shared" si="2"/>
        <v>0</v>
      </c>
      <c r="X10" s="41">
        <f t="shared" si="2"/>
        <v>20</v>
      </c>
      <c r="Y10" s="41">
        <f t="shared" si="2"/>
        <v>0</v>
      </c>
      <c r="Z10" s="41">
        <f t="shared" si="2"/>
        <v>0</v>
      </c>
      <c r="AA10" s="41">
        <f t="shared" si="2"/>
        <v>89</v>
      </c>
      <c r="AB10" s="41">
        <f t="shared" si="2"/>
        <v>30</v>
      </c>
      <c r="AC10" s="41">
        <f t="shared" si="2"/>
        <v>0</v>
      </c>
      <c r="AD10" s="41">
        <f t="shared" si="2"/>
        <v>20</v>
      </c>
      <c r="AE10" s="41">
        <f t="shared" si="2"/>
        <v>50</v>
      </c>
      <c r="AF10" s="41">
        <f t="shared" si="2"/>
        <v>20</v>
      </c>
      <c r="AG10" s="41">
        <f t="shared" si="2"/>
        <v>0</v>
      </c>
      <c r="AH10" s="41">
        <f t="shared" si="2"/>
        <v>40</v>
      </c>
      <c r="AI10" s="41">
        <f t="shared" si="2"/>
        <v>0</v>
      </c>
      <c r="AJ10" s="41">
        <f t="shared" si="2"/>
        <v>60</v>
      </c>
      <c r="AK10" s="42">
        <f t="shared" si="2"/>
        <v>526</v>
      </c>
      <c r="AL10" s="41">
        <f t="shared" si="2"/>
        <v>0</v>
      </c>
      <c r="AM10" s="41">
        <f t="shared" si="2"/>
        <v>526</v>
      </c>
      <c r="AN10" s="41">
        <f t="shared" si="2"/>
        <v>0</v>
      </c>
      <c r="AO10" s="41"/>
      <c r="AP10" s="41">
        <f t="shared" ref="AP10:AR10" si="3">SUM(AP5:AP9)</f>
        <v>0</v>
      </c>
      <c r="AQ10" s="41" t="e">
        <f t="shared" si="3"/>
        <v>#DIV/0!</v>
      </c>
      <c r="AR10" s="41">
        <f t="shared" si="3"/>
        <v>0</v>
      </c>
      <c r="AS10" s="41"/>
      <c r="AT10" s="43">
        <f>SUM(AT5:AT9)</f>
        <v>129802</v>
      </c>
    </row>
    <row r="11" spans="1:46">
      <c r="A11" s="13"/>
      <c r="B11" s="14"/>
      <c r="C11" s="14"/>
      <c r="D11" s="14"/>
      <c r="E11" s="14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13"/>
      <c r="AO11" s="13"/>
      <c r="AP11" s="13"/>
      <c r="AQ11" s="15"/>
      <c r="AR11" s="14"/>
      <c r="AS11" s="16"/>
      <c r="AT11" s="22"/>
    </row>
    <row r="12" spans="1:46">
      <c r="A12" s="13">
        <v>11</v>
      </c>
      <c r="B12" s="14" t="s">
        <v>28</v>
      </c>
      <c r="C12" s="14"/>
      <c r="D12" s="14" t="s">
        <v>29</v>
      </c>
      <c r="E12" s="14"/>
      <c r="F12" s="13"/>
      <c r="G12" s="13"/>
      <c r="H12" s="13"/>
      <c r="I12" s="13"/>
      <c r="J12" s="13"/>
      <c r="K12" s="13"/>
      <c r="L12" s="13"/>
      <c r="M12" s="13">
        <v>0</v>
      </c>
      <c r="N12" s="13">
        <v>20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30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f t="shared" ref="AK12:AK16" si="4">SUM(F12:AJ12)</f>
        <v>50</v>
      </c>
      <c r="AL12" s="13"/>
      <c r="AM12" s="13">
        <f t="shared" ref="AM12:AM20" si="5">AL12+AK12</f>
        <v>50</v>
      </c>
      <c r="AN12" s="13">
        <v>0</v>
      </c>
      <c r="AO12" s="13">
        <v>0</v>
      </c>
      <c r="AP12" s="13">
        <f t="shared" ref="AP12:AP19" si="6">AO12-AN12</f>
        <v>0</v>
      </c>
      <c r="AQ12" s="15">
        <v>0</v>
      </c>
      <c r="AR12" s="14"/>
      <c r="AS12" s="16">
        <v>274</v>
      </c>
      <c r="AT12" s="16">
        <f t="shared" ref="AT12:AT19" si="7">AS12*AM12</f>
        <v>13700</v>
      </c>
    </row>
    <row r="13" spans="1:46" hidden="1">
      <c r="A13" s="13">
        <v>12</v>
      </c>
      <c r="B13" s="14"/>
      <c r="C13" s="14"/>
      <c r="D13" s="14"/>
      <c r="E13" s="14"/>
      <c r="F13" s="13"/>
      <c r="G13" s="13"/>
      <c r="H13" s="13"/>
      <c r="I13" s="13"/>
      <c r="J13" s="13"/>
      <c r="K13" s="13"/>
      <c r="L13" s="13"/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f t="shared" si="4"/>
        <v>0</v>
      </c>
      <c r="AL13" s="13"/>
      <c r="AM13" s="13">
        <f t="shared" si="5"/>
        <v>0</v>
      </c>
      <c r="AN13" s="13">
        <v>0</v>
      </c>
      <c r="AO13" s="13">
        <v>0</v>
      </c>
      <c r="AP13" s="13">
        <f t="shared" si="6"/>
        <v>0</v>
      </c>
      <c r="AQ13" s="15">
        <v>0</v>
      </c>
      <c r="AR13" s="14"/>
      <c r="AS13" s="16"/>
      <c r="AT13" s="16">
        <f t="shared" si="7"/>
        <v>0</v>
      </c>
    </row>
    <row r="14" spans="1:46" hidden="1">
      <c r="A14" s="13">
        <v>13</v>
      </c>
      <c r="B14" s="14"/>
      <c r="C14" s="14"/>
      <c r="D14" s="14"/>
      <c r="E14" s="14"/>
      <c r="F14" s="13"/>
      <c r="G14" s="13"/>
      <c r="H14" s="13"/>
      <c r="I14" s="13"/>
      <c r="J14" s="13"/>
      <c r="K14" s="13"/>
      <c r="L14" s="13"/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f t="shared" si="4"/>
        <v>0</v>
      </c>
      <c r="AL14" s="13"/>
      <c r="AM14" s="13">
        <f t="shared" si="5"/>
        <v>0</v>
      </c>
      <c r="AN14" s="13">
        <v>0</v>
      </c>
      <c r="AO14" s="13">
        <v>0</v>
      </c>
      <c r="AP14" s="13">
        <f t="shared" si="6"/>
        <v>0</v>
      </c>
      <c r="AQ14" s="15">
        <v>0</v>
      </c>
      <c r="AR14" s="14"/>
      <c r="AS14" s="16"/>
      <c r="AT14" s="16">
        <f t="shared" si="7"/>
        <v>0</v>
      </c>
    </row>
    <row r="15" spans="1:46" hidden="1">
      <c r="A15" s="13">
        <v>14</v>
      </c>
      <c r="B15" s="14"/>
      <c r="C15" s="14"/>
      <c r="D15" s="14"/>
      <c r="E15" s="14"/>
      <c r="F15" s="13"/>
      <c r="G15" s="13"/>
      <c r="H15" s="13"/>
      <c r="I15" s="13"/>
      <c r="J15" s="13"/>
      <c r="K15" s="13"/>
      <c r="L15" s="13"/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f t="shared" si="4"/>
        <v>0</v>
      </c>
      <c r="AL15" s="13"/>
      <c r="AM15" s="13">
        <f t="shared" si="5"/>
        <v>0</v>
      </c>
      <c r="AN15" s="13">
        <v>0</v>
      </c>
      <c r="AO15" s="13">
        <v>0</v>
      </c>
      <c r="AP15" s="13">
        <f t="shared" si="6"/>
        <v>0</v>
      </c>
      <c r="AQ15" s="15">
        <v>0</v>
      </c>
      <c r="AR15" s="14"/>
      <c r="AS15" s="16"/>
      <c r="AT15" s="16">
        <f t="shared" si="7"/>
        <v>0</v>
      </c>
    </row>
    <row r="16" spans="1:46" hidden="1">
      <c r="A16" s="13">
        <v>15</v>
      </c>
      <c r="B16" s="14"/>
      <c r="C16" s="14"/>
      <c r="D16" s="14"/>
      <c r="E16" s="14"/>
      <c r="F16" s="13"/>
      <c r="G16" s="13"/>
      <c r="H16" s="13"/>
      <c r="I16" s="13"/>
      <c r="J16" s="13"/>
      <c r="K16" s="13"/>
      <c r="L16" s="13"/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f t="shared" si="4"/>
        <v>0</v>
      </c>
      <c r="AL16" s="13"/>
      <c r="AM16" s="13">
        <f t="shared" si="5"/>
        <v>0</v>
      </c>
      <c r="AN16" s="13">
        <v>0</v>
      </c>
      <c r="AO16" s="13">
        <v>0</v>
      </c>
      <c r="AP16" s="13">
        <f t="shared" si="6"/>
        <v>0</v>
      </c>
      <c r="AQ16" s="15">
        <v>0</v>
      </c>
      <c r="AR16" s="14"/>
      <c r="AS16" s="16"/>
      <c r="AT16" s="16">
        <f t="shared" si="7"/>
        <v>0</v>
      </c>
    </row>
    <row r="17" spans="1:46" hidden="1">
      <c r="A17" s="13">
        <v>16</v>
      </c>
      <c r="B17" s="14"/>
      <c r="C17" s="14"/>
      <c r="D17" s="14"/>
      <c r="E17" s="14"/>
      <c r="F17" s="13"/>
      <c r="G17" s="13"/>
      <c r="H17" s="13"/>
      <c r="I17" s="13"/>
      <c r="J17" s="13"/>
      <c r="K17" s="13"/>
      <c r="L17" s="13"/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/>
      <c r="AL17" s="13"/>
      <c r="AM17" s="13">
        <f t="shared" si="5"/>
        <v>0</v>
      </c>
      <c r="AN17" s="13">
        <v>0</v>
      </c>
      <c r="AO17" s="13">
        <v>0</v>
      </c>
      <c r="AP17" s="13">
        <f t="shared" si="6"/>
        <v>0</v>
      </c>
      <c r="AQ17" s="15">
        <v>0</v>
      </c>
      <c r="AR17" s="14"/>
      <c r="AS17" s="16"/>
      <c r="AT17" s="16">
        <f t="shared" si="7"/>
        <v>0</v>
      </c>
    </row>
    <row r="18" spans="1:46" hidden="1">
      <c r="A18" s="13">
        <v>17</v>
      </c>
      <c r="B18" s="14"/>
      <c r="C18" s="14"/>
      <c r="D18" s="14"/>
      <c r="E18" s="14"/>
      <c r="F18" s="13"/>
      <c r="G18" s="13"/>
      <c r="H18" s="13"/>
      <c r="I18" s="13"/>
      <c r="J18" s="13"/>
      <c r="K18" s="13"/>
      <c r="L18" s="13"/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f t="shared" ref="AK18:AK20" si="8">SUM(F18:AJ18)</f>
        <v>0</v>
      </c>
      <c r="AL18" s="13"/>
      <c r="AM18" s="13">
        <f t="shared" si="5"/>
        <v>0</v>
      </c>
      <c r="AN18" s="13">
        <v>0</v>
      </c>
      <c r="AO18" s="13">
        <v>0</v>
      </c>
      <c r="AP18" s="13">
        <f t="shared" si="6"/>
        <v>0</v>
      </c>
      <c r="AQ18" s="15">
        <v>0</v>
      </c>
      <c r="AR18" s="14"/>
      <c r="AS18" s="16"/>
      <c r="AT18" s="16">
        <f t="shared" si="7"/>
        <v>0</v>
      </c>
    </row>
    <row r="19" spans="1:46" hidden="1">
      <c r="A19" s="13">
        <v>18</v>
      </c>
      <c r="B19" s="14"/>
      <c r="C19" s="14"/>
      <c r="D19" s="14"/>
      <c r="E19" s="14"/>
      <c r="F19" s="13"/>
      <c r="G19" s="13"/>
      <c r="H19" s="13"/>
      <c r="I19" s="13"/>
      <c r="J19" s="13"/>
      <c r="K19" s="13"/>
      <c r="L19" s="13"/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f t="shared" si="8"/>
        <v>0</v>
      </c>
      <c r="AL19" s="13"/>
      <c r="AM19" s="13">
        <f t="shared" si="5"/>
        <v>0</v>
      </c>
      <c r="AN19" s="13">
        <v>0</v>
      </c>
      <c r="AO19" s="13">
        <v>0</v>
      </c>
      <c r="AP19" s="13">
        <f t="shared" si="6"/>
        <v>0</v>
      </c>
      <c r="AQ19" s="15">
        <v>0</v>
      </c>
      <c r="AR19" s="14"/>
      <c r="AS19" s="16"/>
      <c r="AT19" s="16">
        <f t="shared" si="7"/>
        <v>0</v>
      </c>
    </row>
    <row r="20" spans="1:46" hidden="1">
      <c r="A20" s="13">
        <v>19</v>
      </c>
      <c r="B20" s="14"/>
      <c r="C20" s="14"/>
      <c r="D20" s="14"/>
      <c r="E20" s="14"/>
      <c r="F20" s="17"/>
      <c r="G20" s="17"/>
      <c r="H20" s="17"/>
      <c r="I20" s="17"/>
      <c r="J20" s="17"/>
      <c r="K20" s="17"/>
      <c r="L20" s="17"/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f t="shared" si="8"/>
        <v>0</v>
      </c>
      <c r="AL20" s="17"/>
      <c r="AM20" s="17">
        <f t="shared" si="5"/>
        <v>0</v>
      </c>
      <c r="AN20" s="13"/>
      <c r="AO20" s="13"/>
      <c r="AP20" s="13"/>
      <c r="AQ20" s="14"/>
      <c r="AR20" s="14"/>
      <c r="AS20" s="16"/>
      <c r="AT20" s="23"/>
    </row>
    <row r="21" spans="1:46" ht="15.75" customHeight="1">
      <c r="A21" s="24">
        <v>20</v>
      </c>
      <c r="B21" s="157" t="s">
        <v>30</v>
      </c>
      <c r="C21" s="158"/>
      <c r="D21" s="158"/>
      <c r="E21" s="159"/>
      <c r="F21" s="25">
        <f t="shared" ref="F21:AT21" si="9">SUM(F12:F20)</f>
        <v>0</v>
      </c>
      <c r="G21" s="25">
        <f t="shared" si="9"/>
        <v>0</v>
      </c>
      <c r="H21" s="25">
        <f t="shared" si="9"/>
        <v>0</v>
      </c>
      <c r="I21" s="25">
        <f t="shared" si="9"/>
        <v>0</v>
      </c>
      <c r="J21" s="25">
        <f t="shared" si="9"/>
        <v>0</v>
      </c>
      <c r="K21" s="25">
        <f t="shared" si="9"/>
        <v>0</v>
      </c>
      <c r="L21" s="25">
        <f t="shared" si="9"/>
        <v>0</v>
      </c>
      <c r="M21" s="25">
        <f t="shared" si="9"/>
        <v>0</v>
      </c>
      <c r="N21" s="25">
        <f t="shared" si="9"/>
        <v>20</v>
      </c>
      <c r="O21" s="25">
        <f t="shared" si="9"/>
        <v>0</v>
      </c>
      <c r="P21" s="25">
        <f t="shared" si="9"/>
        <v>0</v>
      </c>
      <c r="Q21" s="25">
        <f t="shared" si="9"/>
        <v>0</v>
      </c>
      <c r="R21" s="25">
        <f t="shared" si="9"/>
        <v>0</v>
      </c>
      <c r="S21" s="25">
        <f t="shared" si="9"/>
        <v>0</v>
      </c>
      <c r="T21" s="25">
        <f t="shared" si="9"/>
        <v>0</v>
      </c>
      <c r="U21" s="25">
        <f t="shared" si="9"/>
        <v>0</v>
      </c>
      <c r="V21" s="25">
        <f t="shared" si="9"/>
        <v>0</v>
      </c>
      <c r="W21" s="25">
        <f t="shared" si="9"/>
        <v>0</v>
      </c>
      <c r="X21" s="25">
        <f t="shared" si="9"/>
        <v>0</v>
      </c>
      <c r="Y21" s="25">
        <f t="shared" si="9"/>
        <v>0</v>
      </c>
      <c r="Z21" s="25">
        <f t="shared" si="9"/>
        <v>0</v>
      </c>
      <c r="AA21" s="25">
        <f t="shared" si="9"/>
        <v>0</v>
      </c>
      <c r="AB21" s="25">
        <f t="shared" si="9"/>
        <v>0</v>
      </c>
      <c r="AC21" s="25">
        <f t="shared" si="9"/>
        <v>0</v>
      </c>
      <c r="AD21" s="25">
        <f t="shared" si="9"/>
        <v>0</v>
      </c>
      <c r="AE21" s="25">
        <f t="shared" si="9"/>
        <v>30</v>
      </c>
      <c r="AF21" s="25">
        <f t="shared" si="9"/>
        <v>0</v>
      </c>
      <c r="AG21" s="25">
        <f t="shared" si="9"/>
        <v>0</v>
      </c>
      <c r="AH21" s="25">
        <f t="shared" si="9"/>
        <v>0</v>
      </c>
      <c r="AI21" s="25">
        <f t="shared" si="9"/>
        <v>0</v>
      </c>
      <c r="AJ21" s="25">
        <f t="shared" si="9"/>
        <v>0</v>
      </c>
      <c r="AK21" s="25">
        <f t="shared" si="9"/>
        <v>50</v>
      </c>
      <c r="AL21" s="25">
        <f t="shared" si="9"/>
        <v>0</v>
      </c>
      <c r="AM21" s="25">
        <f t="shared" si="9"/>
        <v>50</v>
      </c>
      <c r="AN21" s="26">
        <f t="shared" si="9"/>
        <v>0</v>
      </c>
      <c r="AO21" s="26">
        <f t="shared" si="9"/>
        <v>0</v>
      </c>
      <c r="AP21" s="26">
        <f t="shared" si="9"/>
        <v>0</v>
      </c>
      <c r="AQ21" s="44">
        <f t="shared" si="9"/>
        <v>0</v>
      </c>
      <c r="AR21" s="26">
        <f t="shared" si="9"/>
        <v>0</v>
      </c>
      <c r="AS21" s="27">
        <f t="shared" si="9"/>
        <v>274</v>
      </c>
      <c r="AT21" s="20">
        <f t="shared" si="9"/>
        <v>13700</v>
      </c>
    </row>
    <row r="22" spans="1:46" ht="15.75" customHeight="1">
      <c r="A22" s="28"/>
      <c r="B22" s="29"/>
      <c r="C22" s="29"/>
      <c r="D22" s="29"/>
      <c r="E22" s="2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ht="15.75" customHeight="1">
      <c r="A23" s="28"/>
      <c r="B23" s="30" t="s">
        <v>32</v>
      </c>
      <c r="C23" s="29"/>
      <c r="D23" s="29"/>
      <c r="E23" s="29"/>
      <c r="F23" s="45"/>
      <c r="G23" s="45"/>
      <c r="H23" s="45">
        <v>57</v>
      </c>
      <c r="I23" s="45"/>
      <c r="J23" s="45"/>
      <c r="K23" s="45"/>
      <c r="L23" s="45"/>
      <c r="M23" s="45">
        <v>10</v>
      </c>
      <c r="N23" s="45">
        <v>30</v>
      </c>
      <c r="O23" s="45">
        <v>50</v>
      </c>
      <c r="P23" s="45">
        <v>10</v>
      </c>
      <c r="Q23" s="45"/>
      <c r="R23" s="45">
        <v>20</v>
      </c>
      <c r="S23" s="45"/>
      <c r="T23" s="45">
        <v>20</v>
      </c>
      <c r="U23" s="45"/>
      <c r="V23" s="45">
        <v>20</v>
      </c>
      <c r="W23" s="45"/>
      <c r="X23" s="45">
        <v>20</v>
      </c>
      <c r="Y23" s="45"/>
      <c r="Z23" s="45"/>
      <c r="AA23" s="45">
        <v>89</v>
      </c>
      <c r="AB23" s="45">
        <v>30</v>
      </c>
      <c r="AC23" s="45"/>
      <c r="AD23" s="45">
        <v>20</v>
      </c>
      <c r="AE23" s="45">
        <v>80</v>
      </c>
      <c r="AF23" s="45">
        <v>20</v>
      </c>
      <c r="AG23" s="45"/>
      <c r="AH23" s="45">
        <v>40</v>
      </c>
      <c r="AI23" s="45"/>
      <c r="AJ23" s="45">
        <v>60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ht="15.75" customHeight="1">
      <c r="A24" s="28"/>
      <c r="B24" s="30" t="s">
        <v>31</v>
      </c>
      <c r="C24" s="29"/>
      <c r="D24" s="29"/>
      <c r="E24" s="2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ht="15.75" customHeight="1">
      <c r="A25" s="28"/>
      <c r="B25" s="12" t="s">
        <v>33</v>
      </c>
      <c r="C25" s="2"/>
      <c r="D25" s="2"/>
      <c r="E25" s="12"/>
      <c r="F25" s="12">
        <f t="shared" ref="F25:AM25" si="10">F21+F10</f>
        <v>0</v>
      </c>
      <c r="G25" s="12">
        <f t="shared" si="10"/>
        <v>0</v>
      </c>
      <c r="H25" s="12">
        <f t="shared" si="10"/>
        <v>57</v>
      </c>
      <c r="I25" s="12">
        <f t="shared" si="10"/>
        <v>0</v>
      </c>
      <c r="J25" s="12">
        <f t="shared" si="10"/>
        <v>0</v>
      </c>
      <c r="K25" s="12">
        <f t="shared" si="10"/>
        <v>0</v>
      </c>
      <c r="L25" s="12">
        <f t="shared" si="10"/>
        <v>0</v>
      </c>
      <c r="M25" s="12">
        <f t="shared" si="10"/>
        <v>10</v>
      </c>
      <c r="N25" s="12">
        <f t="shared" si="10"/>
        <v>30</v>
      </c>
      <c r="O25" s="12">
        <f t="shared" si="10"/>
        <v>50</v>
      </c>
      <c r="P25" s="12">
        <f t="shared" si="10"/>
        <v>10</v>
      </c>
      <c r="Q25" s="12">
        <f t="shared" si="10"/>
        <v>0</v>
      </c>
      <c r="R25" s="12">
        <f t="shared" si="10"/>
        <v>20</v>
      </c>
      <c r="S25" s="12">
        <f t="shared" si="10"/>
        <v>0</v>
      </c>
      <c r="T25" s="12">
        <f t="shared" si="10"/>
        <v>20</v>
      </c>
      <c r="U25" s="12">
        <f t="shared" si="10"/>
        <v>0</v>
      </c>
      <c r="V25" s="12">
        <f t="shared" si="10"/>
        <v>20</v>
      </c>
      <c r="W25" s="12">
        <f t="shared" si="10"/>
        <v>0</v>
      </c>
      <c r="X25" s="12">
        <f t="shared" si="10"/>
        <v>20</v>
      </c>
      <c r="Y25" s="12">
        <f t="shared" si="10"/>
        <v>0</v>
      </c>
      <c r="Z25" s="12">
        <f t="shared" si="10"/>
        <v>0</v>
      </c>
      <c r="AA25" s="12">
        <f t="shared" si="10"/>
        <v>89</v>
      </c>
      <c r="AB25" s="12">
        <f t="shared" si="10"/>
        <v>30</v>
      </c>
      <c r="AC25" s="12">
        <f t="shared" si="10"/>
        <v>0</v>
      </c>
      <c r="AD25" s="12">
        <f t="shared" si="10"/>
        <v>20</v>
      </c>
      <c r="AE25" s="12">
        <f t="shared" si="10"/>
        <v>80</v>
      </c>
      <c r="AF25" s="12">
        <f t="shared" si="10"/>
        <v>20</v>
      </c>
      <c r="AG25" s="12">
        <f t="shared" si="10"/>
        <v>0</v>
      </c>
      <c r="AH25" s="12">
        <f t="shared" si="10"/>
        <v>40</v>
      </c>
      <c r="AI25" s="12">
        <f t="shared" si="10"/>
        <v>0</v>
      </c>
      <c r="AJ25" s="12">
        <f t="shared" si="10"/>
        <v>60</v>
      </c>
      <c r="AK25" s="12">
        <f t="shared" si="10"/>
        <v>576</v>
      </c>
      <c r="AL25" s="12">
        <f t="shared" si="10"/>
        <v>0</v>
      </c>
      <c r="AM25" s="12">
        <f t="shared" si="10"/>
        <v>576</v>
      </c>
      <c r="AN25" s="12"/>
      <c r="AO25" s="12">
        <f t="shared" ref="AO25:AP25" si="11">AO21+AO10</f>
        <v>0</v>
      </c>
      <c r="AP25" s="12">
        <f t="shared" si="11"/>
        <v>0</v>
      </c>
      <c r="AQ25" s="12"/>
      <c r="AR25" s="12">
        <f t="shared" ref="AR25:AT25" si="12">AR21+AR10</f>
        <v>0</v>
      </c>
      <c r="AS25" s="32">
        <f t="shared" si="12"/>
        <v>274</v>
      </c>
      <c r="AT25" s="32">
        <f t="shared" si="12"/>
        <v>143502</v>
      </c>
    </row>
    <row r="26" spans="1:46" ht="15.75" customHeight="1">
      <c r="A26" s="28"/>
      <c r="B26" s="12" t="s">
        <v>34</v>
      </c>
      <c r="C26" s="2"/>
      <c r="D26" s="2"/>
      <c r="E26" s="12"/>
      <c r="F26" s="12">
        <f t="shared" ref="F26:AJ26" si="13">(F23+F24)-F25</f>
        <v>0</v>
      </c>
      <c r="G26" s="12">
        <f t="shared" si="13"/>
        <v>0</v>
      </c>
      <c r="H26" s="12">
        <f t="shared" si="13"/>
        <v>0</v>
      </c>
      <c r="I26" s="12">
        <f t="shared" si="13"/>
        <v>0</v>
      </c>
      <c r="J26" s="12">
        <f t="shared" si="13"/>
        <v>0</v>
      </c>
      <c r="K26" s="12">
        <f t="shared" si="13"/>
        <v>0</v>
      </c>
      <c r="L26" s="12">
        <f t="shared" si="13"/>
        <v>0</v>
      </c>
      <c r="M26" s="12">
        <f t="shared" si="13"/>
        <v>0</v>
      </c>
      <c r="N26" s="12">
        <f t="shared" si="13"/>
        <v>0</v>
      </c>
      <c r="O26" s="12">
        <f t="shared" si="13"/>
        <v>0</v>
      </c>
      <c r="P26" s="12">
        <f t="shared" si="13"/>
        <v>0</v>
      </c>
      <c r="Q26" s="12">
        <f t="shared" si="13"/>
        <v>0</v>
      </c>
      <c r="R26" s="12">
        <f t="shared" si="13"/>
        <v>0</v>
      </c>
      <c r="S26" s="12">
        <f t="shared" si="13"/>
        <v>0</v>
      </c>
      <c r="T26" s="12">
        <f t="shared" si="13"/>
        <v>0</v>
      </c>
      <c r="U26" s="12">
        <f t="shared" si="13"/>
        <v>0</v>
      </c>
      <c r="V26" s="12">
        <f t="shared" si="13"/>
        <v>0</v>
      </c>
      <c r="W26" s="12">
        <f t="shared" si="13"/>
        <v>0</v>
      </c>
      <c r="X26" s="12">
        <f t="shared" si="13"/>
        <v>0</v>
      </c>
      <c r="Y26" s="12">
        <f t="shared" si="13"/>
        <v>0</v>
      </c>
      <c r="Z26" s="12">
        <f t="shared" si="13"/>
        <v>0</v>
      </c>
      <c r="AA26" s="12">
        <f t="shared" si="13"/>
        <v>0</v>
      </c>
      <c r="AB26" s="12">
        <f t="shared" si="13"/>
        <v>0</v>
      </c>
      <c r="AC26" s="12">
        <f t="shared" si="13"/>
        <v>0</v>
      </c>
      <c r="AD26" s="12">
        <f t="shared" si="13"/>
        <v>0</v>
      </c>
      <c r="AE26" s="12">
        <f t="shared" si="13"/>
        <v>0</v>
      </c>
      <c r="AF26" s="12">
        <f t="shared" si="13"/>
        <v>0</v>
      </c>
      <c r="AG26" s="12">
        <f t="shared" si="13"/>
        <v>0</v>
      </c>
      <c r="AH26" s="12">
        <f t="shared" si="13"/>
        <v>0</v>
      </c>
      <c r="AI26" s="12">
        <f t="shared" si="13"/>
        <v>0</v>
      </c>
      <c r="AJ26" s="12">
        <f t="shared" si="13"/>
        <v>0</v>
      </c>
      <c r="AK26" s="12"/>
      <c r="AL26" s="12"/>
      <c r="AM26" s="28"/>
      <c r="AN26" s="28"/>
      <c r="AO26" s="28"/>
      <c r="AP26" s="28"/>
      <c r="AQ26" s="12"/>
      <c r="AR26" s="12"/>
      <c r="AS26" s="32"/>
      <c r="AT26" s="12"/>
    </row>
    <row r="27" spans="1:46" ht="15.75" customHeight="1">
      <c r="A27" s="28"/>
      <c r="B27" s="12" t="s">
        <v>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28"/>
      <c r="AL27" s="28"/>
      <c r="AM27" s="28"/>
      <c r="AN27" s="28"/>
      <c r="AO27" s="28"/>
      <c r="AP27" s="28"/>
      <c r="AQ27" s="12"/>
      <c r="AR27" s="12"/>
      <c r="AS27" s="32"/>
      <c r="AT27" s="12"/>
    </row>
    <row r="28" spans="1:46" ht="15.75" customHeight="1">
      <c r="A28" s="28"/>
      <c r="B28" s="12" t="s">
        <v>35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2"/>
      <c r="AL28" s="2"/>
      <c r="AM28" s="2"/>
      <c r="AN28" s="2"/>
      <c r="AO28" s="28"/>
      <c r="AP28" s="28"/>
      <c r="AQ28" s="2" t="s">
        <v>36</v>
      </c>
      <c r="AR28" s="28"/>
      <c r="AS28" s="28"/>
      <c r="AT28" s="33">
        <v>0</v>
      </c>
    </row>
    <row r="29" spans="1:46" ht="15.75" customHeight="1">
      <c r="A29" s="28"/>
      <c r="B29" s="12" t="s">
        <v>37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2"/>
      <c r="AL29" s="2"/>
      <c r="AM29" s="2"/>
      <c r="AN29" s="30"/>
      <c r="AO29" s="28"/>
      <c r="AP29" s="28"/>
      <c r="AQ29" s="2" t="s">
        <v>38</v>
      </c>
      <c r="AR29" s="28"/>
      <c r="AS29" s="28"/>
      <c r="AT29" s="34">
        <f>AT25-AT28</f>
        <v>143502</v>
      </c>
    </row>
    <row r="30" spans="1:46" ht="15.75" customHeight="1">
      <c r="A30" s="28"/>
      <c r="B30" s="12" t="s">
        <v>39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28"/>
      <c r="AL30" s="28"/>
      <c r="AM30" s="28"/>
      <c r="AN30" s="28"/>
      <c r="AO30" s="28"/>
      <c r="AP30" s="28"/>
      <c r="AQ30" s="12"/>
      <c r="AR30" s="12"/>
      <c r="AS30" s="32"/>
      <c r="AT30" s="12"/>
    </row>
    <row r="31" spans="1:46" ht="15.75" customHeight="1">
      <c r="A31" s="28"/>
      <c r="B31" s="12" t="s">
        <v>40</v>
      </c>
      <c r="C31" s="12"/>
      <c r="D31" s="12"/>
      <c r="E31" s="35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28"/>
      <c r="AL31" s="28"/>
      <c r="AM31" s="28"/>
      <c r="AN31" s="28"/>
      <c r="AO31" s="28"/>
      <c r="AP31" s="28"/>
      <c r="AQ31" s="12"/>
      <c r="AR31" s="12"/>
      <c r="AS31" s="32"/>
      <c r="AT31" s="12"/>
    </row>
    <row r="32" spans="1:46" ht="15.75" customHeight="1">
      <c r="A32" s="28"/>
      <c r="B32" s="2"/>
      <c r="C32" s="2"/>
      <c r="D32" s="2"/>
      <c r="E32" s="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28"/>
      <c r="AL32" s="28"/>
      <c r="AM32" s="28"/>
      <c r="AN32" s="28"/>
      <c r="AO32" s="28"/>
      <c r="AP32" s="28"/>
      <c r="AQ32" s="12"/>
      <c r="AR32" s="12"/>
      <c r="AS32" s="32"/>
      <c r="AT32" s="12"/>
    </row>
    <row r="33" spans="1:46" ht="15.75" customHeight="1">
      <c r="A33" s="36" t="s">
        <v>41</v>
      </c>
      <c r="B33" s="2"/>
      <c r="C33" s="12"/>
      <c r="D33" s="12"/>
      <c r="E33" s="37"/>
      <c r="F33" s="2"/>
      <c r="G33" s="2"/>
      <c r="H33" s="2"/>
      <c r="I33" s="2"/>
      <c r="J33" s="2"/>
      <c r="K33" s="12"/>
      <c r="L33" s="2"/>
      <c r="M33" s="38"/>
      <c r="N33" s="12"/>
      <c r="O33" s="2"/>
      <c r="P33" s="12"/>
      <c r="Q33" s="12"/>
      <c r="R33" s="12"/>
      <c r="S33" s="2"/>
      <c r="T33" s="2"/>
      <c r="U33" s="38"/>
      <c r="V33" s="12"/>
      <c r="W33" s="12"/>
      <c r="X33" s="12"/>
      <c r="Y33" s="12"/>
      <c r="Z33" s="12"/>
      <c r="AA33" s="12"/>
      <c r="AB33" s="38"/>
      <c r="AC33" s="12"/>
      <c r="AD33" s="12"/>
      <c r="AE33" s="12"/>
      <c r="AF33" s="12"/>
      <c r="AG33" s="12"/>
      <c r="AH33" s="38"/>
      <c r="AI33" s="12"/>
      <c r="AJ33" s="12"/>
      <c r="AK33" s="12"/>
      <c r="AL33" s="28"/>
      <c r="AM33" s="28"/>
      <c r="AN33" s="28"/>
      <c r="AO33" s="28"/>
      <c r="AP33" s="28"/>
      <c r="AQ33" s="12"/>
      <c r="AR33" s="12"/>
      <c r="AS33" s="32"/>
      <c r="AT33" s="12"/>
    </row>
    <row r="34" spans="1:46" ht="15.75" customHeight="1">
      <c r="A34" s="12" t="s">
        <v>42</v>
      </c>
      <c r="B34" s="2"/>
      <c r="C34" s="12"/>
      <c r="D34" s="12"/>
      <c r="E34" s="37"/>
      <c r="F34" s="2"/>
      <c r="G34" s="2"/>
      <c r="H34" s="2"/>
      <c r="I34" s="2"/>
      <c r="J34" s="2"/>
      <c r="K34" s="12"/>
      <c r="L34" s="2"/>
      <c r="M34" s="38"/>
      <c r="N34" s="12"/>
      <c r="O34" s="2"/>
      <c r="P34" s="12"/>
      <c r="Q34" s="12"/>
      <c r="R34" s="12"/>
      <c r="S34" s="2"/>
      <c r="T34" s="2"/>
      <c r="U34" s="38"/>
      <c r="V34" s="12"/>
      <c r="W34" s="12"/>
      <c r="X34" s="12"/>
      <c r="Y34" s="12"/>
      <c r="Z34" s="12"/>
      <c r="AA34" s="12"/>
      <c r="AB34" s="38"/>
      <c r="AC34" s="12"/>
      <c r="AD34" s="12"/>
      <c r="AE34" s="12"/>
      <c r="AF34" s="12"/>
      <c r="AG34" s="12"/>
      <c r="AH34" s="38"/>
      <c r="AI34" s="12"/>
      <c r="AJ34" s="12"/>
      <c r="AK34" s="12"/>
      <c r="AL34" s="28"/>
      <c r="AM34" s="28"/>
      <c r="AN34" s="28"/>
      <c r="AO34" s="28"/>
      <c r="AP34" s="28"/>
      <c r="AQ34" s="12"/>
      <c r="AR34" s="12"/>
      <c r="AS34" s="32"/>
      <c r="AT34" s="12"/>
    </row>
    <row r="35" spans="1:46" ht="15.75" customHeight="1">
      <c r="A35" s="12" t="s">
        <v>43</v>
      </c>
      <c r="B35" s="2"/>
      <c r="C35" s="12"/>
      <c r="D35" s="12"/>
      <c r="E35" s="37"/>
      <c r="F35" s="2"/>
      <c r="G35" s="2"/>
      <c r="H35" s="2"/>
      <c r="I35" s="2"/>
      <c r="J35" s="2"/>
      <c r="K35" s="12"/>
      <c r="L35" s="2"/>
      <c r="M35" s="38"/>
      <c r="N35" s="12"/>
      <c r="O35" s="2"/>
      <c r="P35" s="12"/>
      <c r="Q35" s="12"/>
      <c r="R35" s="12"/>
      <c r="S35" s="2"/>
      <c r="T35" s="2"/>
      <c r="U35" s="38"/>
      <c r="V35" s="12"/>
      <c r="W35" s="12"/>
      <c r="X35" s="12"/>
      <c r="Y35" s="12"/>
      <c r="Z35" s="12"/>
      <c r="AA35" s="12"/>
      <c r="AB35" s="38"/>
      <c r="AC35" s="12"/>
      <c r="AD35" s="12"/>
      <c r="AE35" s="12"/>
      <c r="AF35" s="12"/>
      <c r="AG35" s="12"/>
      <c r="AH35" s="38"/>
      <c r="AI35" s="12"/>
      <c r="AJ35" s="12"/>
      <c r="AK35" s="12"/>
      <c r="AL35" s="28"/>
      <c r="AM35" s="28"/>
      <c r="AN35" s="28"/>
      <c r="AO35" s="28"/>
      <c r="AP35" s="28"/>
      <c r="AQ35" s="12"/>
      <c r="AR35" s="12"/>
      <c r="AS35" s="32"/>
      <c r="AT35" s="12"/>
    </row>
    <row r="36" spans="1:46" ht="15.75" customHeight="1">
      <c r="A36" s="12" t="s">
        <v>5</v>
      </c>
      <c r="B36" s="2"/>
      <c r="C36" s="12"/>
      <c r="D36" s="12"/>
      <c r="E36" s="37"/>
      <c r="F36" s="2"/>
      <c r="G36" s="2"/>
      <c r="H36" s="2"/>
      <c r="I36" s="2"/>
      <c r="J36" s="2"/>
      <c r="K36" s="12"/>
      <c r="L36" s="2"/>
      <c r="M36" s="38"/>
      <c r="N36" s="12"/>
      <c r="O36" s="2"/>
      <c r="P36" s="12"/>
      <c r="Q36" s="12"/>
      <c r="R36" s="12"/>
      <c r="S36" s="2"/>
      <c r="T36" s="2"/>
      <c r="U36" s="38"/>
      <c r="V36" s="12"/>
      <c r="W36" s="12"/>
      <c r="X36" s="12"/>
      <c r="Y36" s="12"/>
      <c r="Z36" s="12"/>
      <c r="AA36" s="12"/>
      <c r="AB36" s="38"/>
      <c r="AC36" s="12"/>
      <c r="AD36" s="12"/>
      <c r="AE36" s="12"/>
      <c r="AF36" s="12"/>
      <c r="AG36" s="12"/>
      <c r="AH36" s="38"/>
      <c r="AI36" s="12"/>
      <c r="AJ36" s="12"/>
      <c r="AK36" s="12"/>
      <c r="AL36" s="28"/>
      <c r="AM36" s="28"/>
      <c r="AN36" s="28"/>
      <c r="AO36" s="28"/>
      <c r="AP36" s="28"/>
      <c r="AQ36" s="12"/>
      <c r="AR36" s="12"/>
      <c r="AS36" s="32"/>
      <c r="AT36" s="12"/>
    </row>
    <row r="37" spans="1:46" ht="15.75" customHeight="1"/>
    <row r="38" spans="1:46" ht="15.75" customHeight="1"/>
    <row r="39" spans="1:46" ht="15.75" customHeight="1"/>
    <row r="40" spans="1:46" ht="15.75" customHeight="1"/>
    <row r="41" spans="1:46" ht="15.75" customHeight="1"/>
    <row r="42" spans="1:46" ht="15.75" customHeight="1"/>
    <row r="43" spans="1:46" ht="15.75" customHeight="1"/>
    <row r="44" spans="1:46" ht="15.75" customHeight="1"/>
    <row r="45" spans="1:46" ht="15.75" customHeight="1"/>
    <row r="46" spans="1:46" ht="15.75" customHeight="1"/>
    <row r="47" spans="1:46" ht="15.75" customHeight="1"/>
    <row r="48" spans="1:4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F3:AJ3"/>
    <mergeCell ref="AK3:AK4"/>
    <mergeCell ref="B10:E10"/>
    <mergeCell ref="B21:E21"/>
    <mergeCell ref="A3:A4"/>
    <mergeCell ref="B3:B4"/>
    <mergeCell ref="C3:C4"/>
    <mergeCell ref="D3:D4"/>
    <mergeCell ref="E3:E4"/>
    <mergeCell ref="AS3:AS4"/>
    <mergeCell ref="AT3:AT4"/>
    <mergeCell ref="AL3:AL4"/>
    <mergeCell ref="AM3:AM4"/>
    <mergeCell ref="AN3:AN4"/>
    <mergeCell ref="AO3:AO4"/>
    <mergeCell ref="AP3:AP4"/>
    <mergeCell ref="AQ3:AQ4"/>
    <mergeCell ref="AR3:AR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workbookViewId="0"/>
  </sheetViews>
  <sheetFormatPr defaultColWidth="14.42578125" defaultRowHeight="15" customHeight="1"/>
  <cols>
    <col min="1" max="1" width="9" customWidth="1"/>
    <col min="2" max="2" width="14.85546875" customWidth="1"/>
    <col min="3" max="3" width="9" customWidth="1"/>
    <col min="4" max="4" width="15.140625" customWidth="1"/>
    <col min="5" max="5" width="9" customWidth="1"/>
    <col min="6" max="31" width="9.140625" customWidth="1"/>
    <col min="32" max="46" width="9" customWidth="1"/>
  </cols>
  <sheetData>
    <row r="1" spans="1:46" ht="15.75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"/>
      <c r="AL1" s="4"/>
      <c r="AM1" s="4"/>
      <c r="AN1" s="4"/>
      <c r="AO1" s="4"/>
      <c r="AP1" s="4"/>
      <c r="AQ1" s="2"/>
      <c r="AR1" s="2"/>
      <c r="AS1" s="5"/>
      <c r="AT1" s="2"/>
    </row>
    <row r="2" spans="1:46" ht="15.75">
      <c r="A2" s="1" t="s">
        <v>50</v>
      </c>
      <c r="B2" s="2"/>
      <c r="C2" s="2"/>
      <c r="D2" s="2"/>
      <c r="E2" s="3" t="s">
        <v>51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4"/>
      <c r="AM2" s="4"/>
      <c r="AN2" s="4"/>
      <c r="AO2" s="4"/>
      <c r="AP2" s="4"/>
      <c r="AQ2" s="2"/>
      <c r="AR2" s="2"/>
      <c r="AS2" s="5"/>
      <c r="AT2" s="2"/>
    </row>
    <row r="3" spans="1:46" ht="15.75">
      <c r="A3" s="1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/>
      <c r="AL3" s="4"/>
      <c r="AM3" s="4"/>
      <c r="AN3" s="4"/>
      <c r="AO3" s="4"/>
      <c r="AP3" s="4"/>
      <c r="AQ3" s="2"/>
      <c r="AR3" s="2"/>
      <c r="AS3" s="5"/>
      <c r="AT3" s="2"/>
    </row>
    <row r="4" spans="1:46" ht="22.5">
      <c r="A4" s="1"/>
      <c r="B4" s="2"/>
      <c r="C4" s="2"/>
      <c r="D4" s="46" t="s">
        <v>52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"/>
      <c r="AL4" s="4"/>
      <c r="AM4" s="4"/>
      <c r="AN4" s="4"/>
      <c r="AO4" s="4"/>
      <c r="AP4" s="4"/>
      <c r="AQ4" s="2"/>
      <c r="AR4" s="2"/>
      <c r="AS4" s="5"/>
      <c r="AT4" s="2"/>
    </row>
    <row r="5" spans="1:46" ht="15.75">
      <c r="A5" s="153" t="s">
        <v>6</v>
      </c>
      <c r="B5" s="153" t="s">
        <v>7</v>
      </c>
      <c r="C5" s="153" t="s">
        <v>8</v>
      </c>
      <c r="D5" s="153" t="s">
        <v>46</v>
      </c>
      <c r="E5" s="153" t="s">
        <v>10</v>
      </c>
      <c r="F5" s="165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7"/>
      <c r="AK5" s="153" t="s">
        <v>12</v>
      </c>
      <c r="AL5" s="153" t="s">
        <v>13</v>
      </c>
      <c r="AM5" s="153" t="s">
        <v>14</v>
      </c>
      <c r="AN5" s="153" t="s">
        <v>15</v>
      </c>
      <c r="AO5" s="153" t="s">
        <v>16</v>
      </c>
      <c r="AP5" s="153" t="s">
        <v>17</v>
      </c>
      <c r="AQ5" s="153" t="s">
        <v>18</v>
      </c>
      <c r="AR5" s="153" t="s">
        <v>19</v>
      </c>
      <c r="AS5" s="151" t="s">
        <v>20</v>
      </c>
      <c r="AT5" s="153" t="s">
        <v>21</v>
      </c>
    </row>
    <row r="6" spans="1:46">
      <c r="A6" s="152"/>
      <c r="B6" s="152"/>
      <c r="C6" s="152"/>
      <c r="D6" s="152"/>
      <c r="E6" s="152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152"/>
      <c r="AL6" s="152"/>
      <c r="AM6" s="152"/>
      <c r="AN6" s="152"/>
      <c r="AO6" s="152"/>
      <c r="AP6" s="152"/>
      <c r="AQ6" s="152"/>
      <c r="AR6" s="152"/>
      <c r="AS6" s="152"/>
      <c r="AT6" s="152"/>
    </row>
    <row r="7" spans="1:46">
      <c r="A7" s="47">
        <v>1</v>
      </c>
      <c r="B7" s="10" t="s">
        <v>22</v>
      </c>
      <c r="C7" s="48"/>
      <c r="D7" s="48" t="s">
        <v>53</v>
      </c>
      <c r="E7" s="48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9"/>
      <c r="S7" s="49"/>
      <c r="T7" s="47"/>
      <c r="U7" s="47"/>
      <c r="V7" s="47"/>
      <c r="W7" s="47">
        <v>30</v>
      </c>
      <c r="X7" s="47"/>
      <c r="Y7" s="47"/>
      <c r="Z7" s="47"/>
      <c r="AA7" s="47">
        <v>43.71</v>
      </c>
      <c r="AB7" s="47"/>
      <c r="AC7" s="47"/>
      <c r="AD7" s="47"/>
      <c r="AE7" s="47"/>
      <c r="AF7" s="47">
        <v>44.8</v>
      </c>
      <c r="AG7" s="47"/>
      <c r="AH7" s="47"/>
      <c r="AI7" s="47"/>
      <c r="AJ7" s="47"/>
      <c r="AK7" s="47">
        <f t="shared" ref="AK7:AK15" si="0">SUM(F7:AJ7)</f>
        <v>118.51</v>
      </c>
      <c r="AL7" s="47"/>
      <c r="AM7" s="47">
        <f t="shared" ref="AM7:AM15" si="1">SUM(AK7:AL7)</f>
        <v>118.51</v>
      </c>
      <c r="AN7" s="47"/>
      <c r="AO7" s="47"/>
      <c r="AP7" s="47">
        <f t="shared" ref="AP7:AP15" si="2">AO7-AN7</f>
        <v>0</v>
      </c>
      <c r="AQ7" s="48">
        <f t="shared" ref="AQ7:AQ10" si="3">AP7/AM7</f>
        <v>0</v>
      </c>
      <c r="AR7" s="48"/>
      <c r="AS7" s="50">
        <v>283</v>
      </c>
      <c r="AT7" s="50">
        <f t="shared" ref="AT7:AT15" si="4">AS7*AM7</f>
        <v>33538.33</v>
      </c>
    </row>
    <row r="8" spans="1:46">
      <c r="A8" s="47">
        <v>2</v>
      </c>
      <c r="B8" s="14" t="s">
        <v>47</v>
      </c>
      <c r="C8" s="48"/>
      <c r="D8" s="48" t="s">
        <v>54</v>
      </c>
      <c r="E8" s="48"/>
      <c r="F8" s="47"/>
      <c r="G8" s="47"/>
      <c r="H8" s="49">
        <v>30</v>
      </c>
      <c r="I8" s="47">
        <v>30</v>
      </c>
      <c r="J8" s="47">
        <v>35</v>
      </c>
      <c r="K8" s="47"/>
      <c r="L8" s="47"/>
      <c r="M8" s="47"/>
      <c r="N8" s="47"/>
      <c r="O8" s="47"/>
      <c r="P8" s="49"/>
      <c r="Q8" s="47">
        <v>20</v>
      </c>
      <c r="R8" s="49">
        <v>20</v>
      </c>
      <c r="S8" s="49">
        <v>40</v>
      </c>
      <c r="T8" s="49"/>
      <c r="U8" s="49"/>
      <c r="V8" s="47">
        <v>20</v>
      </c>
      <c r="W8" s="47"/>
      <c r="X8" s="47">
        <v>20</v>
      </c>
      <c r="Y8" s="47">
        <v>30</v>
      </c>
      <c r="Z8" s="47"/>
      <c r="AA8" s="47"/>
      <c r="AB8" s="47">
        <v>20</v>
      </c>
      <c r="AC8" s="47">
        <v>40.33</v>
      </c>
      <c r="AD8" s="47"/>
      <c r="AE8" s="47"/>
      <c r="AF8" s="47"/>
      <c r="AG8" s="47">
        <v>40</v>
      </c>
      <c r="AH8" s="47">
        <v>24</v>
      </c>
      <c r="AI8" s="47"/>
      <c r="AJ8" s="47"/>
      <c r="AK8" s="47">
        <f t="shared" si="0"/>
        <v>369.33</v>
      </c>
      <c r="AL8" s="47"/>
      <c r="AM8" s="47">
        <f t="shared" si="1"/>
        <v>369.33</v>
      </c>
      <c r="AN8" s="47"/>
      <c r="AO8" s="47"/>
      <c r="AP8" s="47">
        <f t="shared" si="2"/>
        <v>0</v>
      </c>
      <c r="AQ8" s="48">
        <f t="shared" si="3"/>
        <v>0</v>
      </c>
      <c r="AR8" s="48"/>
      <c r="AS8" s="50">
        <v>283</v>
      </c>
      <c r="AT8" s="50">
        <f t="shared" si="4"/>
        <v>104520.39</v>
      </c>
    </row>
    <row r="9" spans="1:46">
      <c r="A9" s="47">
        <v>3</v>
      </c>
      <c r="B9" s="14" t="s">
        <v>48</v>
      </c>
      <c r="C9" s="48"/>
      <c r="D9" s="48" t="s">
        <v>55</v>
      </c>
      <c r="E9" s="48"/>
      <c r="F9" s="47">
        <v>30</v>
      </c>
      <c r="G9" s="47"/>
      <c r="H9" s="47"/>
      <c r="I9" s="47"/>
      <c r="J9" s="47">
        <v>30</v>
      </c>
      <c r="K9" s="47"/>
      <c r="L9" s="47">
        <v>10</v>
      </c>
      <c r="M9" s="47"/>
      <c r="N9" s="47"/>
      <c r="O9" s="47"/>
      <c r="P9" s="47"/>
      <c r="Q9" s="47">
        <v>40</v>
      </c>
      <c r="R9" s="49"/>
      <c r="S9" s="49"/>
      <c r="T9" s="49"/>
      <c r="U9" s="47">
        <v>40</v>
      </c>
      <c r="V9" s="47"/>
      <c r="W9" s="47"/>
      <c r="X9" s="47"/>
      <c r="Y9" s="47">
        <v>20</v>
      </c>
      <c r="Z9" s="47">
        <v>20</v>
      </c>
      <c r="AA9" s="47"/>
      <c r="AB9" s="47"/>
      <c r="AC9" s="47">
        <v>25</v>
      </c>
      <c r="AD9" s="47">
        <v>30</v>
      </c>
      <c r="AE9" s="47"/>
      <c r="AF9" s="47">
        <v>20</v>
      </c>
      <c r="AG9" s="47">
        <v>20</v>
      </c>
      <c r="AH9" s="47">
        <v>20</v>
      </c>
      <c r="AI9" s="47"/>
      <c r="AJ9" s="47"/>
      <c r="AK9" s="47">
        <f t="shared" si="0"/>
        <v>305</v>
      </c>
      <c r="AL9" s="47"/>
      <c r="AM9" s="47">
        <f t="shared" si="1"/>
        <v>305</v>
      </c>
      <c r="AN9" s="47"/>
      <c r="AO9" s="47"/>
      <c r="AP9" s="47">
        <f t="shared" si="2"/>
        <v>0</v>
      </c>
      <c r="AQ9" s="48">
        <f t="shared" si="3"/>
        <v>0</v>
      </c>
      <c r="AR9" s="48"/>
      <c r="AS9" s="50">
        <v>283</v>
      </c>
      <c r="AT9" s="50">
        <f t="shared" si="4"/>
        <v>86315</v>
      </c>
    </row>
    <row r="10" spans="1:46">
      <c r="A10" s="47">
        <v>4</v>
      </c>
      <c r="B10" s="48" t="s">
        <v>56</v>
      </c>
      <c r="C10" s="48"/>
      <c r="D10" s="48" t="s">
        <v>57</v>
      </c>
      <c r="E10" s="48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9">
        <v>5</v>
      </c>
      <c r="S10" s="49"/>
      <c r="T10" s="49"/>
      <c r="U10" s="47"/>
      <c r="V10" s="47"/>
      <c r="W10" s="47">
        <v>5</v>
      </c>
      <c r="X10" s="47"/>
      <c r="Y10" s="47">
        <v>5</v>
      </c>
      <c r="Z10" s="47"/>
      <c r="AA10" s="47">
        <v>6</v>
      </c>
      <c r="AB10" s="47"/>
      <c r="AC10" s="47">
        <v>6</v>
      </c>
      <c r="AD10" s="47"/>
      <c r="AE10" s="47"/>
      <c r="AF10" s="47"/>
      <c r="AG10" s="47"/>
      <c r="AH10" s="47"/>
      <c r="AI10" s="47"/>
      <c r="AJ10" s="47"/>
      <c r="AK10" s="47">
        <f t="shared" si="0"/>
        <v>27</v>
      </c>
      <c r="AL10" s="47"/>
      <c r="AM10" s="47">
        <f t="shared" si="1"/>
        <v>27</v>
      </c>
      <c r="AN10" s="47"/>
      <c r="AO10" s="47"/>
      <c r="AP10" s="47">
        <f t="shared" si="2"/>
        <v>0</v>
      </c>
      <c r="AQ10" s="48">
        <f t="shared" si="3"/>
        <v>0</v>
      </c>
      <c r="AR10" s="48"/>
      <c r="AS10" s="50">
        <v>283</v>
      </c>
      <c r="AT10" s="50">
        <f t="shared" si="4"/>
        <v>7641</v>
      </c>
    </row>
    <row r="11" spans="1:46">
      <c r="A11" s="47">
        <v>5</v>
      </c>
      <c r="B11" s="48" t="s">
        <v>58</v>
      </c>
      <c r="C11" s="48"/>
      <c r="D11" s="48" t="s">
        <v>59</v>
      </c>
      <c r="E11" s="48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9"/>
      <c r="S11" s="49"/>
      <c r="T11" s="49"/>
      <c r="U11" s="47"/>
      <c r="V11" s="47"/>
      <c r="W11" s="47">
        <v>10</v>
      </c>
      <c r="X11" s="47">
        <v>20</v>
      </c>
      <c r="Y11" s="47"/>
      <c r="Z11" s="47"/>
      <c r="AA11" s="47">
        <v>12.5</v>
      </c>
      <c r="AB11" s="47">
        <v>20</v>
      </c>
      <c r="AC11" s="47"/>
      <c r="AD11" s="47"/>
      <c r="AE11" s="47">
        <v>20</v>
      </c>
      <c r="AF11" s="47"/>
      <c r="AG11" s="47">
        <v>20</v>
      </c>
      <c r="AH11" s="47"/>
      <c r="AI11" s="47"/>
      <c r="AJ11" s="47"/>
      <c r="AK11" s="47">
        <f t="shared" si="0"/>
        <v>102.5</v>
      </c>
      <c r="AL11" s="47"/>
      <c r="AM11" s="47">
        <f t="shared" si="1"/>
        <v>102.5</v>
      </c>
      <c r="AN11" s="47"/>
      <c r="AO11" s="47"/>
      <c r="AP11" s="47">
        <f t="shared" si="2"/>
        <v>0</v>
      </c>
      <c r="AQ11" s="48"/>
      <c r="AR11" s="48"/>
      <c r="AS11" s="50">
        <v>283</v>
      </c>
      <c r="AT11" s="50">
        <f t="shared" si="4"/>
        <v>29007.5</v>
      </c>
    </row>
    <row r="12" spans="1:46">
      <c r="A12" s="47">
        <v>6</v>
      </c>
      <c r="B12" s="48" t="s">
        <v>60</v>
      </c>
      <c r="C12" s="48"/>
      <c r="D12" s="48" t="s">
        <v>59</v>
      </c>
      <c r="E12" s="48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9"/>
      <c r="S12" s="49"/>
      <c r="T12" s="49"/>
      <c r="U12" s="47"/>
      <c r="V12" s="47"/>
      <c r="W12" s="47"/>
      <c r="X12" s="47"/>
      <c r="Y12" s="47"/>
      <c r="Z12" s="47"/>
      <c r="AA12" s="47"/>
      <c r="AB12" s="47">
        <v>20</v>
      </c>
      <c r="AC12" s="47"/>
      <c r="AD12" s="47"/>
      <c r="AE12" s="47"/>
      <c r="AF12" s="47"/>
      <c r="AG12" s="47">
        <v>20</v>
      </c>
      <c r="AH12" s="47"/>
      <c r="AI12" s="47">
        <v>20</v>
      </c>
      <c r="AJ12" s="47"/>
      <c r="AK12" s="47">
        <f t="shared" si="0"/>
        <v>60</v>
      </c>
      <c r="AL12" s="47"/>
      <c r="AM12" s="47">
        <f t="shared" si="1"/>
        <v>60</v>
      </c>
      <c r="AN12" s="47"/>
      <c r="AO12" s="47"/>
      <c r="AP12" s="47">
        <f t="shared" si="2"/>
        <v>0</v>
      </c>
      <c r="AQ12" s="48"/>
      <c r="AR12" s="48"/>
      <c r="AS12" s="50">
        <v>283</v>
      </c>
      <c r="AT12" s="50">
        <f t="shared" si="4"/>
        <v>16980</v>
      </c>
    </row>
    <row r="13" spans="1:46">
      <c r="A13" s="47">
        <v>7</v>
      </c>
      <c r="B13" s="48"/>
      <c r="C13" s="48"/>
      <c r="D13" s="48"/>
      <c r="E13" s="4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9"/>
      <c r="S13" s="49"/>
      <c r="T13" s="49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>
        <f t="shared" si="0"/>
        <v>0</v>
      </c>
      <c r="AL13" s="47"/>
      <c r="AM13" s="47">
        <f t="shared" si="1"/>
        <v>0</v>
      </c>
      <c r="AN13" s="47"/>
      <c r="AO13" s="47"/>
      <c r="AP13" s="47">
        <f t="shared" si="2"/>
        <v>0</v>
      </c>
      <c r="AQ13" s="48"/>
      <c r="AR13" s="48"/>
      <c r="AS13" s="50">
        <v>283</v>
      </c>
      <c r="AT13" s="50">
        <f t="shared" si="4"/>
        <v>0</v>
      </c>
    </row>
    <row r="14" spans="1:46">
      <c r="A14" s="47">
        <v>8</v>
      </c>
      <c r="B14" s="48"/>
      <c r="C14" s="48"/>
      <c r="D14" s="48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9"/>
      <c r="S14" s="49"/>
      <c r="T14" s="49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>
        <f t="shared" si="0"/>
        <v>0</v>
      </c>
      <c r="AL14" s="47"/>
      <c r="AM14" s="47">
        <f t="shared" si="1"/>
        <v>0</v>
      </c>
      <c r="AN14" s="47"/>
      <c r="AO14" s="47"/>
      <c r="AP14" s="47">
        <f t="shared" si="2"/>
        <v>0</v>
      </c>
      <c r="AQ14" s="48"/>
      <c r="AR14" s="48"/>
      <c r="AS14" s="50">
        <v>283</v>
      </c>
      <c r="AT14" s="50">
        <f t="shared" si="4"/>
        <v>0</v>
      </c>
    </row>
    <row r="15" spans="1:46">
      <c r="A15" s="47">
        <v>9</v>
      </c>
      <c r="B15" s="48"/>
      <c r="C15" s="48"/>
      <c r="D15" s="48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9"/>
      <c r="T15" s="49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>
        <f t="shared" si="0"/>
        <v>0</v>
      </c>
      <c r="AL15" s="47"/>
      <c r="AM15" s="47">
        <f t="shared" si="1"/>
        <v>0</v>
      </c>
      <c r="AN15" s="47"/>
      <c r="AO15" s="47"/>
      <c r="AP15" s="47">
        <f t="shared" si="2"/>
        <v>0</v>
      </c>
      <c r="AQ15" s="48"/>
      <c r="AR15" s="48"/>
      <c r="AS15" s="50">
        <v>283</v>
      </c>
      <c r="AT15" s="50">
        <f t="shared" si="4"/>
        <v>0</v>
      </c>
    </row>
    <row r="16" spans="1:46">
      <c r="A16" s="47"/>
      <c r="B16" s="48"/>
      <c r="C16" s="48"/>
      <c r="D16" s="48"/>
      <c r="E16" s="48"/>
      <c r="F16" s="51">
        <f t="shared" ref="F16:AJ16" si="5">SUM(F7:F15)</f>
        <v>30</v>
      </c>
      <c r="G16" s="51">
        <f t="shared" si="5"/>
        <v>0</v>
      </c>
      <c r="H16" s="51">
        <f t="shared" si="5"/>
        <v>30</v>
      </c>
      <c r="I16" s="51">
        <f t="shared" si="5"/>
        <v>30</v>
      </c>
      <c r="J16" s="51">
        <f t="shared" si="5"/>
        <v>65</v>
      </c>
      <c r="K16" s="51">
        <f t="shared" si="5"/>
        <v>0</v>
      </c>
      <c r="L16" s="51">
        <f t="shared" si="5"/>
        <v>10</v>
      </c>
      <c r="M16" s="51">
        <f t="shared" si="5"/>
        <v>0</v>
      </c>
      <c r="N16" s="51">
        <f t="shared" si="5"/>
        <v>0</v>
      </c>
      <c r="O16" s="51">
        <f t="shared" si="5"/>
        <v>0</v>
      </c>
      <c r="P16" s="51">
        <f t="shared" si="5"/>
        <v>0</v>
      </c>
      <c r="Q16" s="51">
        <f t="shared" si="5"/>
        <v>60</v>
      </c>
      <c r="R16" s="51">
        <f t="shared" si="5"/>
        <v>25</v>
      </c>
      <c r="S16" s="51">
        <f t="shared" si="5"/>
        <v>40</v>
      </c>
      <c r="T16" s="51">
        <f t="shared" si="5"/>
        <v>0</v>
      </c>
      <c r="U16" s="51">
        <f t="shared" si="5"/>
        <v>40</v>
      </c>
      <c r="V16" s="51">
        <f t="shared" si="5"/>
        <v>20</v>
      </c>
      <c r="W16" s="51">
        <f t="shared" si="5"/>
        <v>45</v>
      </c>
      <c r="X16" s="51">
        <f t="shared" si="5"/>
        <v>40</v>
      </c>
      <c r="Y16" s="51">
        <f t="shared" si="5"/>
        <v>55</v>
      </c>
      <c r="Z16" s="51">
        <f t="shared" si="5"/>
        <v>20</v>
      </c>
      <c r="AA16" s="51">
        <f t="shared" si="5"/>
        <v>62.21</v>
      </c>
      <c r="AB16" s="51">
        <f t="shared" si="5"/>
        <v>60</v>
      </c>
      <c r="AC16" s="51">
        <f t="shared" si="5"/>
        <v>71.33</v>
      </c>
      <c r="AD16" s="51">
        <f t="shared" si="5"/>
        <v>30</v>
      </c>
      <c r="AE16" s="51">
        <f t="shared" si="5"/>
        <v>20</v>
      </c>
      <c r="AF16" s="51">
        <f t="shared" si="5"/>
        <v>64.8</v>
      </c>
      <c r="AG16" s="51">
        <f t="shared" si="5"/>
        <v>100</v>
      </c>
      <c r="AH16" s="51">
        <f t="shared" si="5"/>
        <v>44</v>
      </c>
      <c r="AI16" s="51">
        <f t="shared" si="5"/>
        <v>20</v>
      </c>
      <c r="AJ16" s="51">
        <f t="shared" si="5"/>
        <v>0</v>
      </c>
      <c r="AK16" s="51">
        <f>SUM(AK7:AK13)</f>
        <v>982.33999999999992</v>
      </c>
      <c r="AL16" s="47"/>
      <c r="AM16" s="51">
        <f>SUM(AM7:AM13)</f>
        <v>982.33999999999992</v>
      </c>
      <c r="AN16" s="47"/>
      <c r="AO16" s="47"/>
      <c r="AP16" s="47"/>
      <c r="AQ16" s="48"/>
      <c r="AR16" s="48"/>
      <c r="AS16" s="50"/>
      <c r="AT16" s="52">
        <f>SUM(AT7:AT13)</f>
        <v>278002.21999999997</v>
      </c>
    </row>
    <row r="17" spans="1:46" ht="22.5">
      <c r="A17" s="53" t="s">
        <v>61</v>
      </c>
      <c r="B17" s="54"/>
      <c r="C17" s="54"/>
      <c r="D17" s="46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</row>
    <row r="18" spans="1:46">
      <c r="A18" s="47">
        <v>1</v>
      </c>
      <c r="B18" s="48" t="s">
        <v>28</v>
      </c>
      <c r="C18" s="48"/>
      <c r="D18" s="48" t="s">
        <v>29</v>
      </c>
      <c r="E18" s="48"/>
      <c r="F18" s="49">
        <v>30</v>
      </c>
      <c r="G18" s="49"/>
      <c r="H18" s="49">
        <v>30</v>
      </c>
      <c r="I18" s="49"/>
      <c r="J18" s="49"/>
      <c r="K18" s="49"/>
      <c r="L18" s="49">
        <v>15</v>
      </c>
      <c r="M18" s="49"/>
      <c r="N18" s="49"/>
      <c r="O18" s="55"/>
      <c r="P18" s="49">
        <v>35</v>
      </c>
      <c r="Q18" s="49">
        <v>130</v>
      </c>
      <c r="R18" s="55"/>
      <c r="S18" s="49"/>
      <c r="T18" s="49"/>
      <c r="U18" s="49"/>
      <c r="V18" s="49"/>
      <c r="W18" s="49"/>
      <c r="X18" s="49"/>
      <c r="Y18" s="49"/>
      <c r="Z18" s="49">
        <v>100</v>
      </c>
      <c r="AA18" s="49"/>
      <c r="AB18" s="49"/>
      <c r="AC18" s="49">
        <v>70</v>
      </c>
      <c r="AD18" s="49"/>
      <c r="AE18" s="49"/>
      <c r="AF18" s="49"/>
      <c r="AG18" s="47">
        <v>60</v>
      </c>
      <c r="AH18" s="47"/>
      <c r="AI18" s="47">
        <v>50</v>
      </c>
      <c r="AJ18" s="47"/>
      <c r="AK18" s="47">
        <f t="shared" ref="AK18:AK24" si="6">SUM(F18:AJ18)</f>
        <v>520</v>
      </c>
      <c r="AL18" s="47">
        <v>0</v>
      </c>
      <c r="AM18" s="47">
        <f t="shared" ref="AM18:AM24" si="7">AL18+AK18</f>
        <v>520</v>
      </c>
      <c r="AN18" s="47"/>
      <c r="AO18" s="47"/>
      <c r="AP18" s="47">
        <f t="shared" ref="AP18:AP24" si="8">AO18-AN18</f>
        <v>0</v>
      </c>
      <c r="AQ18" s="48" t="e">
        <f t="shared" ref="AQ18:AQ21" si="9">AM18/AP18</f>
        <v>#DIV/0!</v>
      </c>
      <c r="AR18" s="48"/>
      <c r="AS18" s="50">
        <v>283</v>
      </c>
      <c r="AT18" s="50">
        <f t="shared" ref="AT18:AT24" si="10">AS18*AM18</f>
        <v>147160</v>
      </c>
    </row>
    <row r="19" spans="1:46">
      <c r="A19" s="47">
        <v>2</v>
      </c>
      <c r="B19" s="48" t="s">
        <v>62</v>
      </c>
      <c r="C19" s="48"/>
      <c r="D19" s="48"/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>
        <v>20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7"/>
      <c r="AH19" s="47"/>
      <c r="AI19" s="49"/>
      <c r="AJ19" s="47"/>
      <c r="AK19" s="47">
        <f t="shared" si="6"/>
        <v>20</v>
      </c>
      <c r="AL19" s="47"/>
      <c r="AM19" s="47">
        <f t="shared" si="7"/>
        <v>20</v>
      </c>
      <c r="AN19" s="47"/>
      <c r="AO19" s="47"/>
      <c r="AP19" s="47">
        <f t="shared" si="8"/>
        <v>0</v>
      </c>
      <c r="AQ19" s="48" t="e">
        <f t="shared" si="9"/>
        <v>#DIV/0!</v>
      </c>
      <c r="AR19" s="48"/>
      <c r="AS19" s="50">
        <v>283</v>
      </c>
      <c r="AT19" s="50">
        <f t="shared" si="10"/>
        <v>5660</v>
      </c>
    </row>
    <row r="20" spans="1:46">
      <c r="A20" s="47">
        <v>3</v>
      </c>
      <c r="B20" s="48" t="s">
        <v>63</v>
      </c>
      <c r="C20" s="48"/>
      <c r="D20" s="48" t="s">
        <v>64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>
        <v>12</v>
      </c>
      <c r="W20" s="49">
        <v>10</v>
      </c>
      <c r="X20" s="49">
        <v>25</v>
      </c>
      <c r="Y20" s="49">
        <v>25</v>
      </c>
      <c r="Z20" s="49">
        <v>12.5</v>
      </c>
      <c r="AA20" s="49">
        <v>12.5</v>
      </c>
      <c r="AB20" s="49">
        <f>SUM(12+25)</f>
        <v>37</v>
      </c>
      <c r="AC20" s="49">
        <f>SUM(12+10+12)</f>
        <v>34</v>
      </c>
      <c r="AD20" s="49">
        <f>SUM(10+25)</f>
        <v>35</v>
      </c>
      <c r="AE20" s="49">
        <v>10</v>
      </c>
      <c r="AF20" s="49">
        <v>25</v>
      </c>
      <c r="AG20" s="47">
        <v>25</v>
      </c>
      <c r="AH20" s="47">
        <f>SUM(20+20)</f>
        <v>40</v>
      </c>
      <c r="AI20" s="49">
        <v>20</v>
      </c>
      <c r="AJ20" s="47"/>
      <c r="AK20" s="47">
        <f t="shared" si="6"/>
        <v>323</v>
      </c>
      <c r="AL20" s="47"/>
      <c r="AM20" s="47">
        <f t="shared" si="7"/>
        <v>323</v>
      </c>
      <c r="AN20" s="47"/>
      <c r="AO20" s="47"/>
      <c r="AP20" s="47">
        <f t="shared" si="8"/>
        <v>0</v>
      </c>
      <c r="AQ20" s="48" t="e">
        <f t="shared" si="9"/>
        <v>#DIV/0!</v>
      </c>
      <c r="AR20" s="48"/>
      <c r="AS20" s="50">
        <v>283</v>
      </c>
      <c r="AT20" s="50">
        <f t="shared" si="10"/>
        <v>91409</v>
      </c>
    </row>
    <row r="21" spans="1:46" ht="15.75" customHeight="1">
      <c r="A21" s="47">
        <v>4</v>
      </c>
      <c r="B21" s="48" t="s">
        <v>65</v>
      </c>
      <c r="C21" s="48"/>
      <c r="D21" s="48" t="s">
        <v>66</v>
      </c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>
        <v>50</v>
      </c>
      <c r="Y21" s="49">
        <v>50</v>
      </c>
      <c r="Z21" s="49"/>
      <c r="AA21" s="49">
        <v>25</v>
      </c>
      <c r="AB21" s="49">
        <v>50</v>
      </c>
      <c r="AC21" s="49">
        <v>50</v>
      </c>
      <c r="AD21" s="49"/>
      <c r="AE21" s="49"/>
      <c r="AF21" s="49"/>
      <c r="AG21" s="47">
        <v>50</v>
      </c>
      <c r="AH21" s="47">
        <v>50</v>
      </c>
      <c r="AI21" s="49">
        <v>50</v>
      </c>
      <c r="AJ21" s="47"/>
      <c r="AK21" s="47">
        <f t="shared" si="6"/>
        <v>375</v>
      </c>
      <c r="AL21" s="47"/>
      <c r="AM21" s="47">
        <f t="shared" si="7"/>
        <v>375</v>
      </c>
      <c r="AN21" s="47"/>
      <c r="AO21" s="47"/>
      <c r="AP21" s="47">
        <f t="shared" si="8"/>
        <v>0</v>
      </c>
      <c r="AQ21" s="48" t="e">
        <f t="shared" si="9"/>
        <v>#DIV/0!</v>
      </c>
      <c r="AR21" s="48"/>
      <c r="AS21" s="50">
        <v>283</v>
      </c>
      <c r="AT21" s="50">
        <f t="shared" si="10"/>
        <v>106125</v>
      </c>
    </row>
    <row r="22" spans="1:46" ht="15.75" customHeight="1">
      <c r="A22" s="47">
        <v>6</v>
      </c>
      <c r="B22" s="48" t="s">
        <v>67</v>
      </c>
      <c r="C22" s="48"/>
      <c r="D22" s="48" t="s">
        <v>68</v>
      </c>
      <c r="E22" s="48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9"/>
      <c r="Q22" s="47"/>
      <c r="R22" s="47"/>
      <c r="S22" s="47"/>
      <c r="T22" s="49"/>
      <c r="U22" s="49"/>
      <c r="V22" s="49"/>
      <c r="W22" s="47"/>
      <c r="X22" s="47">
        <v>25</v>
      </c>
      <c r="Y22" s="47">
        <v>25</v>
      </c>
      <c r="Z22" s="47">
        <v>12.5</v>
      </c>
      <c r="AA22" s="47">
        <v>12.5</v>
      </c>
      <c r="AB22" s="47">
        <v>25</v>
      </c>
      <c r="AC22" s="47">
        <f>SUM(10+10+10)</f>
        <v>30</v>
      </c>
      <c r="AD22" s="47">
        <v>9</v>
      </c>
      <c r="AE22" s="47">
        <v>25</v>
      </c>
      <c r="AF22" s="47">
        <v>25</v>
      </c>
      <c r="AG22" s="47">
        <v>25</v>
      </c>
      <c r="AH22" s="47">
        <v>20</v>
      </c>
      <c r="AI22" s="49"/>
      <c r="AJ22" s="47"/>
      <c r="AK22" s="47">
        <f t="shared" si="6"/>
        <v>234</v>
      </c>
      <c r="AL22" s="47"/>
      <c r="AM22" s="47">
        <f t="shared" si="7"/>
        <v>234</v>
      </c>
      <c r="AN22" s="47"/>
      <c r="AO22" s="47"/>
      <c r="AP22" s="47">
        <f t="shared" si="8"/>
        <v>0</v>
      </c>
      <c r="AQ22" s="48">
        <f t="shared" ref="AQ22:AQ24" si="11">AP22/AM22</f>
        <v>0</v>
      </c>
      <c r="AR22" s="48"/>
      <c r="AS22" s="50">
        <v>283</v>
      </c>
      <c r="AT22" s="50">
        <f t="shared" si="10"/>
        <v>66222</v>
      </c>
    </row>
    <row r="23" spans="1:46" ht="15.75" customHeight="1">
      <c r="A23" s="47"/>
      <c r="B23" s="48"/>
      <c r="C23" s="48"/>
      <c r="D23" s="48"/>
      <c r="E23" s="48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9"/>
      <c r="Q23" s="47"/>
      <c r="R23" s="47"/>
      <c r="S23" s="47"/>
      <c r="T23" s="49"/>
      <c r="U23" s="49"/>
      <c r="V23" s="49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9"/>
      <c r="AJ23" s="47"/>
      <c r="AK23" s="47">
        <f t="shared" si="6"/>
        <v>0</v>
      </c>
      <c r="AL23" s="47"/>
      <c r="AM23" s="47">
        <f t="shared" si="7"/>
        <v>0</v>
      </c>
      <c r="AN23" s="47"/>
      <c r="AO23" s="47"/>
      <c r="AP23" s="47">
        <f t="shared" si="8"/>
        <v>0</v>
      </c>
      <c r="AQ23" s="48" t="e">
        <f t="shared" si="11"/>
        <v>#DIV/0!</v>
      </c>
      <c r="AR23" s="48"/>
      <c r="AS23" s="50">
        <v>283</v>
      </c>
      <c r="AT23" s="50">
        <f t="shared" si="10"/>
        <v>0</v>
      </c>
    </row>
    <row r="24" spans="1:46" ht="15.75" customHeight="1">
      <c r="A24" s="47"/>
      <c r="B24" s="48"/>
      <c r="C24" s="48"/>
      <c r="D24" s="48"/>
      <c r="E24" s="48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9"/>
      <c r="Q24" s="47"/>
      <c r="R24" s="47"/>
      <c r="S24" s="47"/>
      <c r="T24" s="49"/>
      <c r="U24" s="49"/>
      <c r="V24" s="49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>
        <f t="shared" si="6"/>
        <v>0</v>
      </c>
      <c r="AL24" s="47"/>
      <c r="AM24" s="47">
        <f t="shared" si="7"/>
        <v>0</v>
      </c>
      <c r="AN24" s="47"/>
      <c r="AO24" s="47"/>
      <c r="AP24" s="47">
        <f t="shared" si="8"/>
        <v>0</v>
      </c>
      <c r="AQ24" s="48" t="e">
        <f t="shared" si="11"/>
        <v>#DIV/0!</v>
      </c>
      <c r="AR24" s="48"/>
      <c r="AS24" s="50">
        <v>283</v>
      </c>
      <c r="AT24" s="50">
        <f t="shared" si="10"/>
        <v>0</v>
      </c>
    </row>
    <row r="25" spans="1:46" ht="15.75" customHeight="1">
      <c r="A25" s="21"/>
      <c r="B25" s="168" t="s">
        <v>27</v>
      </c>
      <c r="C25" s="169"/>
      <c r="D25" s="169"/>
      <c r="E25" s="170"/>
      <c r="F25" s="56">
        <f t="shared" ref="F25:AK25" si="12">SUM(F18:F24)</f>
        <v>30</v>
      </c>
      <c r="G25" s="56">
        <f t="shared" si="12"/>
        <v>0</v>
      </c>
      <c r="H25" s="56">
        <f t="shared" si="12"/>
        <v>30</v>
      </c>
      <c r="I25" s="56">
        <f t="shared" si="12"/>
        <v>0</v>
      </c>
      <c r="J25" s="56">
        <f t="shared" si="12"/>
        <v>0</v>
      </c>
      <c r="K25" s="56">
        <f t="shared" si="12"/>
        <v>0</v>
      </c>
      <c r="L25" s="56">
        <f t="shared" si="12"/>
        <v>15</v>
      </c>
      <c r="M25" s="56">
        <f t="shared" si="12"/>
        <v>0</v>
      </c>
      <c r="N25" s="56">
        <f t="shared" si="12"/>
        <v>0</v>
      </c>
      <c r="O25" s="56">
        <f t="shared" si="12"/>
        <v>0</v>
      </c>
      <c r="P25" s="56">
        <f t="shared" si="12"/>
        <v>35</v>
      </c>
      <c r="Q25" s="56">
        <f t="shared" si="12"/>
        <v>150</v>
      </c>
      <c r="R25" s="56">
        <f t="shared" si="12"/>
        <v>0</v>
      </c>
      <c r="S25" s="56">
        <f t="shared" si="12"/>
        <v>0</v>
      </c>
      <c r="T25" s="56">
        <f t="shared" si="12"/>
        <v>0</v>
      </c>
      <c r="U25" s="56">
        <f t="shared" si="12"/>
        <v>0</v>
      </c>
      <c r="V25" s="56">
        <f t="shared" si="12"/>
        <v>12</v>
      </c>
      <c r="W25" s="56">
        <f t="shared" si="12"/>
        <v>10</v>
      </c>
      <c r="X25" s="56">
        <f t="shared" si="12"/>
        <v>100</v>
      </c>
      <c r="Y25" s="56">
        <f t="shared" si="12"/>
        <v>100</v>
      </c>
      <c r="Z25" s="56">
        <f t="shared" si="12"/>
        <v>125</v>
      </c>
      <c r="AA25" s="56">
        <f t="shared" si="12"/>
        <v>50</v>
      </c>
      <c r="AB25" s="56">
        <f t="shared" si="12"/>
        <v>112</v>
      </c>
      <c r="AC25" s="56">
        <f t="shared" si="12"/>
        <v>184</v>
      </c>
      <c r="AD25" s="56">
        <f t="shared" si="12"/>
        <v>44</v>
      </c>
      <c r="AE25" s="56">
        <f t="shared" si="12"/>
        <v>35</v>
      </c>
      <c r="AF25" s="56">
        <f t="shared" si="12"/>
        <v>50</v>
      </c>
      <c r="AG25" s="56">
        <f t="shared" si="12"/>
        <v>160</v>
      </c>
      <c r="AH25" s="56">
        <f t="shared" si="12"/>
        <v>110</v>
      </c>
      <c r="AI25" s="56">
        <f t="shared" si="12"/>
        <v>120</v>
      </c>
      <c r="AJ25" s="56">
        <f t="shared" si="12"/>
        <v>0</v>
      </c>
      <c r="AK25" s="57">
        <f t="shared" si="12"/>
        <v>1472</v>
      </c>
      <c r="AL25" s="57"/>
      <c r="AM25" s="57">
        <f>SUM(AM18:AM24)</f>
        <v>1472</v>
      </c>
      <c r="AN25" s="21"/>
      <c r="AO25" s="21"/>
      <c r="AP25" s="21"/>
      <c r="AQ25" s="58"/>
      <c r="AR25" s="59"/>
      <c r="AS25" s="22"/>
      <c r="AT25" s="60">
        <f>SUM(AT7:AT24)</f>
        <v>972580.44</v>
      </c>
    </row>
    <row r="26" spans="1:46" ht="15.75" customHeight="1">
      <c r="A26" s="28"/>
      <c r="B26" s="29"/>
      <c r="C26" s="29"/>
      <c r="D26" s="29"/>
      <c r="E26" s="2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ht="15.75" customHeight="1">
      <c r="A27" s="28"/>
      <c r="B27" s="30" t="s">
        <v>31</v>
      </c>
      <c r="C27" s="29"/>
      <c r="D27" s="29"/>
      <c r="E27" s="29"/>
      <c r="F27" s="61">
        <f>MAY!AJ26</f>
        <v>0</v>
      </c>
      <c r="G27" s="61">
        <f t="shared" ref="G27:AJ27" si="13">F30</f>
        <v>-30</v>
      </c>
      <c r="H27" s="61">
        <f t="shared" si="13"/>
        <v>-30</v>
      </c>
      <c r="I27" s="61">
        <f t="shared" si="13"/>
        <v>-30</v>
      </c>
      <c r="J27" s="61">
        <f t="shared" si="13"/>
        <v>-30</v>
      </c>
      <c r="K27" s="61">
        <f t="shared" si="13"/>
        <v>-30</v>
      </c>
      <c r="L27" s="61">
        <f t="shared" si="13"/>
        <v>-30</v>
      </c>
      <c r="M27" s="61">
        <f t="shared" si="13"/>
        <v>-30</v>
      </c>
      <c r="N27" s="61">
        <f t="shared" si="13"/>
        <v>-30</v>
      </c>
      <c r="O27" s="61">
        <f t="shared" si="13"/>
        <v>-30</v>
      </c>
      <c r="P27" s="61">
        <f t="shared" si="13"/>
        <v>-30</v>
      </c>
      <c r="Q27" s="61">
        <f t="shared" si="13"/>
        <v>-30</v>
      </c>
      <c r="R27" s="61">
        <f t="shared" si="13"/>
        <v>40</v>
      </c>
      <c r="S27" s="61">
        <f t="shared" si="13"/>
        <v>15</v>
      </c>
      <c r="T27" s="61">
        <f t="shared" si="13"/>
        <v>15</v>
      </c>
      <c r="U27" s="61">
        <f t="shared" si="13"/>
        <v>15</v>
      </c>
      <c r="V27" s="61">
        <f t="shared" si="13"/>
        <v>15</v>
      </c>
      <c r="W27" s="61">
        <f t="shared" si="13"/>
        <v>-17</v>
      </c>
      <c r="X27" s="61">
        <f t="shared" si="13"/>
        <v>158</v>
      </c>
      <c r="Y27" s="61">
        <f t="shared" si="13"/>
        <v>58</v>
      </c>
      <c r="Z27" s="61">
        <f t="shared" si="13"/>
        <v>128</v>
      </c>
      <c r="AA27" s="61">
        <f t="shared" si="13"/>
        <v>140</v>
      </c>
      <c r="AB27" s="61">
        <f t="shared" si="13"/>
        <v>71.5</v>
      </c>
      <c r="AC27" s="61">
        <f t="shared" si="13"/>
        <v>9.5</v>
      </c>
      <c r="AD27" s="61">
        <f t="shared" si="13"/>
        <v>512.49</v>
      </c>
      <c r="AE27" s="61">
        <f t="shared" si="13"/>
        <v>468.49</v>
      </c>
      <c r="AF27" s="61">
        <f t="shared" si="13"/>
        <v>590.49</v>
      </c>
      <c r="AG27" s="61">
        <f t="shared" si="13"/>
        <v>540.49</v>
      </c>
      <c r="AH27" s="61">
        <f t="shared" si="13"/>
        <v>440.49</v>
      </c>
      <c r="AI27" s="61">
        <f t="shared" si="13"/>
        <v>310.49</v>
      </c>
      <c r="AJ27" s="61">
        <f t="shared" si="13"/>
        <v>170.49</v>
      </c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ht="15.75" customHeight="1">
      <c r="A28" s="28"/>
      <c r="B28" s="30" t="s">
        <v>32</v>
      </c>
      <c r="C28" s="29"/>
      <c r="D28" s="29"/>
      <c r="E28" s="29"/>
      <c r="F28" s="62">
        <v>30</v>
      </c>
      <c r="G28" s="62"/>
      <c r="H28" s="62">
        <v>60</v>
      </c>
      <c r="I28" s="62">
        <v>30</v>
      </c>
      <c r="J28" s="62">
        <v>65</v>
      </c>
      <c r="K28" s="62"/>
      <c r="L28" s="62">
        <v>25</v>
      </c>
      <c r="M28" s="62"/>
      <c r="N28" s="62"/>
      <c r="O28" s="62"/>
      <c r="P28" s="62">
        <v>35</v>
      </c>
      <c r="Q28" s="62">
        <v>280</v>
      </c>
      <c r="R28" s="62"/>
      <c r="S28" s="62">
        <v>40</v>
      </c>
      <c r="T28" s="62"/>
      <c r="U28" s="62">
        <v>40</v>
      </c>
      <c r="V28" s="62"/>
      <c r="W28" s="62">
        <v>230</v>
      </c>
      <c r="X28" s="62">
        <v>40</v>
      </c>
      <c r="Y28" s="62">
        <f>SUM(205+20)</f>
        <v>225</v>
      </c>
      <c r="Z28" s="62">
        <v>157</v>
      </c>
      <c r="AA28" s="62">
        <v>43.71</v>
      </c>
      <c r="AB28" s="62">
        <v>110</v>
      </c>
      <c r="AC28" s="62">
        <f>SUM(251.32+507)</f>
        <v>758.31999999999994</v>
      </c>
      <c r="AD28" s="62">
        <v>30</v>
      </c>
      <c r="AE28" s="62">
        <f>SUM(137+40)</f>
        <v>177</v>
      </c>
      <c r="AF28" s="62">
        <f>SUM(44.8+20)</f>
        <v>64.8</v>
      </c>
      <c r="AG28" s="62">
        <f>SUM(100+60)</f>
        <v>160</v>
      </c>
      <c r="AH28" s="62">
        <v>24</v>
      </c>
      <c r="AI28" s="62"/>
      <c r="AJ28" s="6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ht="15.75" customHeight="1">
      <c r="A29" s="28"/>
      <c r="B29" s="12" t="s">
        <v>33</v>
      </c>
      <c r="C29" s="2"/>
      <c r="D29" s="2"/>
      <c r="E29" s="12"/>
      <c r="F29" s="12">
        <f t="shared" ref="F29:AJ29" si="14">SUM(F16+F25)</f>
        <v>60</v>
      </c>
      <c r="G29" s="12">
        <f t="shared" si="14"/>
        <v>0</v>
      </c>
      <c r="H29" s="12">
        <f t="shared" si="14"/>
        <v>60</v>
      </c>
      <c r="I29" s="12">
        <f t="shared" si="14"/>
        <v>30</v>
      </c>
      <c r="J29" s="12">
        <f t="shared" si="14"/>
        <v>65</v>
      </c>
      <c r="K29" s="12">
        <f t="shared" si="14"/>
        <v>0</v>
      </c>
      <c r="L29" s="12">
        <f t="shared" si="14"/>
        <v>25</v>
      </c>
      <c r="M29" s="12">
        <f t="shared" si="14"/>
        <v>0</v>
      </c>
      <c r="N29" s="12">
        <f t="shared" si="14"/>
        <v>0</v>
      </c>
      <c r="O29" s="12">
        <f t="shared" si="14"/>
        <v>0</v>
      </c>
      <c r="P29" s="12">
        <f t="shared" si="14"/>
        <v>35</v>
      </c>
      <c r="Q29" s="12">
        <f t="shared" si="14"/>
        <v>210</v>
      </c>
      <c r="R29" s="12">
        <f t="shared" si="14"/>
        <v>25</v>
      </c>
      <c r="S29" s="12">
        <f t="shared" si="14"/>
        <v>40</v>
      </c>
      <c r="T29" s="12">
        <f t="shared" si="14"/>
        <v>0</v>
      </c>
      <c r="U29" s="12">
        <f t="shared" si="14"/>
        <v>40</v>
      </c>
      <c r="V29" s="12">
        <f t="shared" si="14"/>
        <v>32</v>
      </c>
      <c r="W29" s="12">
        <f t="shared" si="14"/>
        <v>55</v>
      </c>
      <c r="X29" s="12">
        <f t="shared" si="14"/>
        <v>140</v>
      </c>
      <c r="Y29" s="12">
        <f t="shared" si="14"/>
        <v>155</v>
      </c>
      <c r="Z29" s="12">
        <f t="shared" si="14"/>
        <v>145</v>
      </c>
      <c r="AA29" s="12">
        <f t="shared" si="14"/>
        <v>112.21000000000001</v>
      </c>
      <c r="AB29" s="12">
        <f t="shared" si="14"/>
        <v>172</v>
      </c>
      <c r="AC29" s="12">
        <f t="shared" si="14"/>
        <v>255.32999999999998</v>
      </c>
      <c r="AD29" s="12">
        <f t="shared" si="14"/>
        <v>74</v>
      </c>
      <c r="AE29" s="12">
        <f t="shared" si="14"/>
        <v>55</v>
      </c>
      <c r="AF29" s="12">
        <f t="shared" si="14"/>
        <v>114.8</v>
      </c>
      <c r="AG29" s="12">
        <f t="shared" si="14"/>
        <v>260</v>
      </c>
      <c r="AH29" s="12">
        <f t="shared" si="14"/>
        <v>154</v>
      </c>
      <c r="AI29" s="12">
        <f t="shared" si="14"/>
        <v>140</v>
      </c>
      <c r="AJ29" s="12">
        <f t="shared" si="14"/>
        <v>0</v>
      </c>
      <c r="AK29" s="12">
        <f>SUM(AK25+AK16)</f>
        <v>2454.34</v>
      </c>
      <c r="AL29" s="12"/>
      <c r="AM29" s="12">
        <f>SUM(AM25+AM16)</f>
        <v>2454.34</v>
      </c>
      <c r="AN29" s="12"/>
      <c r="AO29" s="12"/>
      <c r="AP29" s="12"/>
      <c r="AQ29" s="12"/>
      <c r="AR29" s="12"/>
      <c r="AS29" s="12"/>
      <c r="AT29" s="32">
        <f>SUM(AT25+AT16)</f>
        <v>1250582.6599999999</v>
      </c>
    </row>
    <row r="30" spans="1:46" ht="15.75" customHeight="1">
      <c r="A30" s="28"/>
      <c r="B30" s="12" t="s">
        <v>34</v>
      </c>
      <c r="C30" s="2"/>
      <c r="D30" s="2"/>
      <c r="E30" s="12"/>
      <c r="F30" s="12">
        <f>SUM(F27+F28-F29)</f>
        <v>-30</v>
      </c>
      <c r="G30" s="12">
        <f>(G27+G28)-G29</f>
        <v>-30</v>
      </c>
      <c r="H30" s="12">
        <f>SUM(H27+H28-H29)</f>
        <v>-30</v>
      </c>
      <c r="I30" s="12">
        <f t="shared" ref="I30:AJ30" si="15">(I27+I28)-I29</f>
        <v>-30</v>
      </c>
      <c r="J30" s="12">
        <f t="shared" si="15"/>
        <v>-30</v>
      </c>
      <c r="K30" s="12">
        <f t="shared" si="15"/>
        <v>-30</v>
      </c>
      <c r="L30" s="12">
        <f t="shared" si="15"/>
        <v>-30</v>
      </c>
      <c r="M30" s="12">
        <f t="shared" si="15"/>
        <v>-30</v>
      </c>
      <c r="N30" s="12">
        <f t="shared" si="15"/>
        <v>-30</v>
      </c>
      <c r="O30" s="12">
        <f t="shared" si="15"/>
        <v>-30</v>
      </c>
      <c r="P30" s="12">
        <f t="shared" si="15"/>
        <v>-30</v>
      </c>
      <c r="Q30" s="12">
        <f t="shared" si="15"/>
        <v>40</v>
      </c>
      <c r="R30" s="12">
        <f t="shared" si="15"/>
        <v>15</v>
      </c>
      <c r="S30" s="12">
        <f t="shared" si="15"/>
        <v>15</v>
      </c>
      <c r="T30" s="12">
        <f t="shared" si="15"/>
        <v>15</v>
      </c>
      <c r="U30" s="12">
        <f t="shared" si="15"/>
        <v>15</v>
      </c>
      <c r="V30" s="12">
        <f t="shared" si="15"/>
        <v>-17</v>
      </c>
      <c r="W30" s="12">
        <f t="shared" si="15"/>
        <v>158</v>
      </c>
      <c r="X30" s="12">
        <f t="shared" si="15"/>
        <v>58</v>
      </c>
      <c r="Y30" s="12">
        <f t="shared" si="15"/>
        <v>128</v>
      </c>
      <c r="Z30" s="12">
        <f t="shared" si="15"/>
        <v>140</v>
      </c>
      <c r="AA30" s="12">
        <f t="shared" si="15"/>
        <v>71.5</v>
      </c>
      <c r="AB30" s="12">
        <f t="shared" si="15"/>
        <v>9.5</v>
      </c>
      <c r="AC30" s="12">
        <f t="shared" si="15"/>
        <v>512.49</v>
      </c>
      <c r="AD30" s="12">
        <f t="shared" si="15"/>
        <v>468.49</v>
      </c>
      <c r="AE30" s="12">
        <f t="shared" si="15"/>
        <v>590.49</v>
      </c>
      <c r="AF30" s="12">
        <f t="shared" si="15"/>
        <v>540.49</v>
      </c>
      <c r="AG30" s="12">
        <f t="shared" si="15"/>
        <v>440.49</v>
      </c>
      <c r="AH30" s="12">
        <f t="shared" si="15"/>
        <v>310.49</v>
      </c>
      <c r="AI30" s="12">
        <f t="shared" si="15"/>
        <v>170.49</v>
      </c>
      <c r="AJ30" s="12">
        <f t="shared" si="15"/>
        <v>170.49</v>
      </c>
      <c r="AK30" s="12"/>
      <c r="AL30" s="12"/>
      <c r="AM30" s="28"/>
      <c r="AN30" s="28"/>
      <c r="AO30" s="28"/>
      <c r="AP30" s="28"/>
      <c r="AQ30" s="12"/>
      <c r="AR30" s="12"/>
      <c r="AS30" s="32"/>
      <c r="AT30" s="12"/>
    </row>
    <row r="31" spans="1:46" ht="15.75" customHeight="1">
      <c r="A31" s="28"/>
      <c r="B31" s="12" t="s">
        <v>5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28"/>
      <c r="AL31" s="28"/>
      <c r="AM31" s="28"/>
      <c r="AN31" s="28"/>
      <c r="AO31" s="28"/>
      <c r="AP31" s="28"/>
      <c r="AQ31" s="12"/>
      <c r="AR31" s="12"/>
      <c r="AS31" s="32"/>
      <c r="AT31" s="12"/>
    </row>
    <row r="32" spans="1:46" ht="15.75" customHeight="1">
      <c r="A32" s="28"/>
      <c r="B32" s="12" t="s">
        <v>35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2"/>
      <c r="AL32" s="2"/>
      <c r="AM32" s="2"/>
      <c r="AN32" s="2"/>
      <c r="AO32" s="28"/>
      <c r="AP32" s="28"/>
      <c r="AQ32" s="2" t="s">
        <v>36</v>
      </c>
      <c r="AR32" s="28"/>
      <c r="AS32" s="28"/>
      <c r="AT32" s="33">
        <v>0</v>
      </c>
    </row>
    <row r="33" spans="1:46" ht="15.75" customHeight="1">
      <c r="A33" s="28"/>
      <c r="B33" s="12" t="s">
        <v>37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2"/>
      <c r="AL33" s="2"/>
      <c r="AM33" s="2"/>
      <c r="AN33" s="30"/>
      <c r="AO33" s="28"/>
      <c r="AP33" s="28"/>
      <c r="AQ33" s="2" t="s">
        <v>38</v>
      </c>
      <c r="AR33" s="28"/>
      <c r="AS33" s="28"/>
      <c r="AT33" s="34">
        <f>AT29-AT32</f>
        <v>1250582.6599999999</v>
      </c>
    </row>
    <row r="34" spans="1:46" ht="15.75" customHeight="1">
      <c r="A34" s="28"/>
      <c r="B34" s="12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28"/>
      <c r="AL34" s="28"/>
      <c r="AM34" s="28"/>
      <c r="AN34" s="28"/>
      <c r="AO34" s="28"/>
      <c r="AP34" s="28"/>
      <c r="AQ34" s="12"/>
      <c r="AR34" s="12"/>
      <c r="AS34" s="32"/>
      <c r="AT34" s="12"/>
    </row>
    <row r="35" spans="1:46" ht="15.75" customHeight="1"/>
    <row r="36" spans="1:46" ht="15.75" customHeight="1"/>
    <row r="37" spans="1:46" ht="15.75" customHeight="1"/>
    <row r="38" spans="1:46" ht="15.75" customHeight="1"/>
    <row r="39" spans="1:46" ht="15.75" customHeight="1"/>
    <row r="40" spans="1:46" ht="15.75" customHeight="1"/>
    <row r="41" spans="1:46" ht="15.75" customHeight="1"/>
    <row r="42" spans="1:46" ht="15.75" customHeight="1"/>
    <row r="43" spans="1:46" ht="15.75" customHeight="1"/>
    <row r="44" spans="1:46" ht="15.75" customHeight="1"/>
    <row r="45" spans="1:46" ht="15.75" customHeight="1"/>
    <row r="46" spans="1:46" ht="15.75" customHeight="1"/>
    <row r="47" spans="1:46" ht="15.75" customHeight="1"/>
    <row r="48" spans="1:4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5:AJ5"/>
    <mergeCell ref="AK5:AK6"/>
    <mergeCell ref="B25:E25"/>
    <mergeCell ref="AS5:AS6"/>
    <mergeCell ref="AT5:AT6"/>
    <mergeCell ref="AL5:AL6"/>
    <mergeCell ref="AM5:AM6"/>
    <mergeCell ref="AN5:AN6"/>
    <mergeCell ref="AO5:AO6"/>
    <mergeCell ref="AP5:AP6"/>
    <mergeCell ref="AQ5:AQ6"/>
    <mergeCell ref="AR5:AR6"/>
    <mergeCell ref="A5:A6"/>
    <mergeCell ref="B5:B6"/>
    <mergeCell ref="C5:C6"/>
    <mergeCell ref="D5:D6"/>
    <mergeCell ref="E5:E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workbookViewId="0"/>
  </sheetViews>
  <sheetFormatPr defaultColWidth="14.42578125" defaultRowHeight="15" customHeight="1"/>
  <cols>
    <col min="1" max="3" width="9" customWidth="1"/>
    <col min="4" max="4" width="14.28515625" customWidth="1"/>
    <col min="5" max="5" width="9" customWidth="1"/>
    <col min="6" max="16" width="9.140625" customWidth="1"/>
    <col min="17" max="46" width="9" customWidth="1"/>
  </cols>
  <sheetData>
    <row r="1" spans="1:46" ht="15.75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"/>
      <c r="AL1" s="4"/>
      <c r="AM1" s="4"/>
      <c r="AN1" s="4"/>
      <c r="AO1" s="4"/>
      <c r="AP1" s="4"/>
      <c r="AQ1" s="2"/>
      <c r="AR1" s="2"/>
      <c r="AS1" s="5"/>
      <c r="AT1" s="2"/>
    </row>
    <row r="2" spans="1:46" ht="15.75">
      <c r="A2" s="1" t="s">
        <v>50</v>
      </c>
      <c r="B2" s="2"/>
      <c r="C2" s="2"/>
      <c r="D2" s="2"/>
      <c r="E2" s="3" t="s">
        <v>51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4"/>
      <c r="AM2" s="4"/>
      <c r="AN2" s="4"/>
      <c r="AO2" s="4"/>
      <c r="AP2" s="4"/>
      <c r="AQ2" s="2"/>
      <c r="AR2" s="2"/>
      <c r="AS2" s="5"/>
      <c r="AT2" s="2"/>
    </row>
    <row r="3" spans="1:46" ht="15.75">
      <c r="A3" s="1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/>
      <c r="AL3" s="4"/>
      <c r="AM3" s="4"/>
      <c r="AN3" s="4"/>
      <c r="AO3" s="4"/>
      <c r="AP3" s="4"/>
      <c r="AQ3" s="2"/>
      <c r="AR3" s="2"/>
      <c r="AS3" s="5"/>
      <c r="AT3" s="2"/>
    </row>
    <row r="4" spans="1:46" ht="22.5">
      <c r="A4" s="1"/>
      <c r="B4" s="2"/>
      <c r="C4" s="2"/>
      <c r="D4" s="46" t="s">
        <v>52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"/>
      <c r="AL4" s="4"/>
      <c r="AM4" s="4"/>
      <c r="AN4" s="4"/>
      <c r="AO4" s="4"/>
      <c r="AP4" s="4"/>
      <c r="AQ4" s="2"/>
      <c r="AR4" s="2"/>
      <c r="AS4" s="5"/>
      <c r="AT4" s="2"/>
    </row>
    <row r="5" spans="1:46" ht="15.75">
      <c r="A5" s="153" t="s">
        <v>6</v>
      </c>
      <c r="B5" s="153" t="s">
        <v>7</v>
      </c>
      <c r="C5" s="153" t="s">
        <v>8</v>
      </c>
      <c r="D5" s="153" t="s">
        <v>46</v>
      </c>
      <c r="E5" s="153" t="s">
        <v>10</v>
      </c>
      <c r="F5" s="165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7"/>
      <c r="AK5" s="153" t="s">
        <v>12</v>
      </c>
      <c r="AL5" s="153" t="s">
        <v>13</v>
      </c>
      <c r="AM5" s="153" t="s">
        <v>14</v>
      </c>
      <c r="AN5" s="153" t="s">
        <v>15</v>
      </c>
      <c r="AO5" s="153" t="s">
        <v>16</v>
      </c>
      <c r="AP5" s="153" t="s">
        <v>17</v>
      </c>
      <c r="AQ5" s="153" t="s">
        <v>18</v>
      </c>
      <c r="AR5" s="153" t="s">
        <v>19</v>
      </c>
      <c r="AS5" s="151" t="s">
        <v>20</v>
      </c>
      <c r="AT5" s="153" t="s">
        <v>21</v>
      </c>
    </row>
    <row r="6" spans="1:46">
      <c r="A6" s="152"/>
      <c r="B6" s="152"/>
      <c r="C6" s="152"/>
      <c r="D6" s="152"/>
      <c r="E6" s="152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152"/>
      <c r="AL6" s="152"/>
      <c r="AM6" s="152"/>
      <c r="AN6" s="152"/>
      <c r="AO6" s="152"/>
      <c r="AP6" s="152"/>
      <c r="AQ6" s="152"/>
      <c r="AR6" s="152"/>
      <c r="AS6" s="152"/>
      <c r="AT6" s="152"/>
    </row>
    <row r="7" spans="1:46">
      <c r="A7" s="47">
        <v>1</v>
      </c>
      <c r="B7" s="10" t="s">
        <v>22</v>
      </c>
      <c r="C7" s="48"/>
      <c r="D7" s="48" t="s">
        <v>53</v>
      </c>
      <c r="E7" s="48"/>
      <c r="F7" s="47"/>
      <c r="G7" s="47"/>
      <c r="H7" s="47"/>
      <c r="I7" s="47"/>
      <c r="J7" s="47"/>
      <c r="K7" s="47"/>
      <c r="L7" s="47">
        <v>67.72</v>
      </c>
      <c r="M7" s="47"/>
      <c r="N7" s="47"/>
      <c r="O7" s="47"/>
      <c r="P7" s="47"/>
      <c r="Q7" s="47"/>
      <c r="R7" s="49"/>
      <c r="S7" s="49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>
        <v>52</v>
      </c>
      <c r="AI7" s="47"/>
      <c r="AJ7" s="47">
        <v>60</v>
      </c>
      <c r="AK7" s="47">
        <f t="shared" ref="AK7:AK15" si="0">SUM(F7:AJ7)</f>
        <v>179.72</v>
      </c>
      <c r="AL7" s="47"/>
      <c r="AM7" s="47">
        <f t="shared" ref="AM7:AM15" si="1">SUM(AK7:AL7)</f>
        <v>179.72</v>
      </c>
      <c r="AN7" s="47"/>
      <c r="AO7" s="47"/>
      <c r="AP7" s="47">
        <f t="shared" ref="AP7:AP15" si="2">AO7-AN7</f>
        <v>0</v>
      </c>
      <c r="AQ7" s="48">
        <f t="shared" ref="AQ7:AQ10" si="3">AP7/AM7</f>
        <v>0</v>
      </c>
      <c r="AR7" s="48"/>
      <c r="AS7" s="50">
        <v>283</v>
      </c>
      <c r="AT7" s="50">
        <f t="shared" ref="AT7:AT15" si="4">AS7*AM7</f>
        <v>50860.76</v>
      </c>
    </row>
    <row r="8" spans="1:46">
      <c r="A8" s="47">
        <v>2</v>
      </c>
      <c r="B8" s="14" t="s">
        <v>47</v>
      </c>
      <c r="C8" s="48"/>
      <c r="D8" s="48" t="s">
        <v>54</v>
      </c>
      <c r="E8" s="48"/>
      <c r="F8" s="47"/>
      <c r="G8" s="47"/>
      <c r="H8" s="49"/>
      <c r="I8" s="47"/>
      <c r="J8" s="47">
        <v>20</v>
      </c>
      <c r="K8" s="47"/>
      <c r="L8" s="47">
        <v>20</v>
      </c>
      <c r="M8" s="47">
        <v>10</v>
      </c>
      <c r="N8" s="47">
        <v>25</v>
      </c>
      <c r="O8" s="47"/>
      <c r="P8" s="49">
        <v>20</v>
      </c>
      <c r="Q8" s="47"/>
      <c r="R8" s="49">
        <v>20</v>
      </c>
      <c r="S8" s="49">
        <v>20</v>
      </c>
      <c r="T8" s="49"/>
      <c r="U8" s="49">
        <v>20</v>
      </c>
      <c r="V8" s="47">
        <v>25</v>
      </c>
      <c r="W8" s="47"/>
      <c r="X8" s="47">
        <v>20</v>
      </c>
      <c r="Y8" s="47"/>
      <c r="Z8" s="47">
        <v>20</v>
      </c>
      <c r="AA8" s="47">
        <v>20</v>
      </c>
      <c r="AB8" s="47"/>
      <c r="AC8" s="47"/>
      <c r="AD8" s="47"/>
      <c r="AE8" s="47"/>
      <c r="AF8" s="47"/>
      <c r="AG8" s="47"/>
      <c r="AH8" s="47"/>
      <c r="AI8" s="47"/>
      <c r="AJ8" s="47"/>
      <c r="AK8" s="47">
        <f t="shared" si="0"/>
        <v>240</v>
      </c>
      <c r="AL8" s="47"/>
      <c r="AM8" s="47">
        <f t="shared" si="1"/>
        <v>240</v>
      </c>
      <c r="AN8" s="47"/>
      <c r="AO8" s="47"/>
      <c r="AP8" s="47">
        <f t="shared" si="2"/>
        <v>0</v>
      </c>
      <c r="AQ8" s="48">
        <f t="shared" si="3"/>
        <v>0</v>
      </c>
      <c r="AR8" s="48"/>
      <c r="AS8" s="50">
        <v>283</v>
      </c>
      <c r="AT8" s="50">
        <f t="shared" si="4"/>
        <v>67920</v>
      </c>
    </row>
    <row r="9" spans="1:46">
      <c r="A9" s="47">
        <v>3</v>
      </c>
      <c r="B9" s="14" t="s">
        <v>48</v>
      </c>
      <c r="C9" s="48"/>
      <c r="D9" s="48" t="s">
        <v>55</v>
      </c>
      <c r="E9" s="48"/>
      <c r="F9" s="47">
        <v>20</v>
      </c>
      <c r="G9" s="47"/>
      <c r="H9" s="47">
        <v>25</v>
      </c>
      <c r="I9" s="47"/>
      <c r="J9" s="47">
        <v>25</v>
      </c>
      <c r="K9" s="47"/>
      <c r="L9" s="47">
        <v>18.489999999999998</v>
      </c>
      <c r="M9" s="47">
        <v>25</v>
      </c>
      <c r="N9" s="47">
        <v>25</v>
      </c>
      <c r="O9" s="47"/>
      <c r="P9" s="47"/>
      <c r="Q9" s="47"/>
      <c r="R9" s="49">
        <v>20</v>
      </c>
      <c r="S9" s="49"/>
      <c r="T9" s="49"/>
      <c r="U9" s="47">
        <v>20</v>
      </c>
      <c r="V9" s="47">
        <v>10</v>
      </c>
      <c r="W9" s="47"/>
      <c r="X9" s="47">
        <v>20</v>
      </c>
      <c r="Y9" s="47">
        <v>20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>
        <f t="shared" si="0"/>
        <v>228.49</v>
      </c>
      <c r="AL9" s="47"/>
      <c r="AM9" s="47">
        <f t="shared" si="1"/>
        <v>228.49</v>
      </c>
      <c r="AN9" s="47"/>
      <c r="AO9" s="47"/>
      <c r="AP9" s="47">
        <f t="shared" si="2"/>
        <v>0</v>
      </c>
      <c r="AQ9" s="48">
        <f t="shared" si="3"/>
        <v>0</v>
      </c>
      <c r="AR9" s="48"/>
      <c r="AS9" s="50">
        <v>283</v>
      </c>
      <c r="AT9" s="50">
        <f t="shared" si="4"/>
        <v>64662.670000000006</v>
      </c>
    </row>
    <row r="10" spans="1:46">
      <c r="A10" s="47">
        <v>4</v>
      </c>
      <c r="B10" s="48" t="s">
        <v>56</v>
      </c>
      <c r="C10" s="48"/>
      <c r="D10" s="48" t="s">
        <v>57</v>
      </c>
      <c r="E10" s="48"/>
      <c r="F10" s="47"/>
      <c r="G10" s="47"/>
      <c r="H10" s="47"/>
      <c r="I10" s="47"/>
      <c r="J10" s="47">
        <v>6</v>
      </c>
      <c r="K10" s="47"/>
      <c r="L10" s="47">
        <v>6</v>
      </c>
      <c r="M10" s="47"/>
      <c r="N10" s="47">
        <v>6</v>
      </c>
      <c r="O10" s="47"/>
      <c r="P10" s="47"/>
      <c r="Q10" s="47"/>
      <c r="R10" s="49">
        <v>7</v>
      </c>
      <c r="S10" s="49"/>
      <c r="T10" s="49">
        <v>6</v>
      </c>
      <c r="U10" s="47">
        <v>6</v>
      </c>
      <c r="V10" s="47">
        <v>10</v>
      </c>
      <c r="W10" s="47"/>
      <c r="X10" s="47"/>
      <c r="Y10" s="47">
        <v>10</v>
      </c>
      <c r="Z10" s="47"/>
      <c r="AA10" s="47">
        <v>10</v>
      </c>
      <c r="AB10" s="47"/>
      <c r="AC10" s="47"/>
      <c r="AD10" s="47"/>
      <c r="AE10" s="47"/>
      <c r="AF10" s="47"/>
      <c r="AG10" s="47"/>
      <c r="AH10" s="47"/>
      <c r="AI10" s="47"/>
      <c r="AJ10" s="47"/>
      <c r="AK10" s="47">
        <f t="shared" si="0"/>
        <v>67</v>
      </c>
      <c r="AL10" s="47"/>
      <c r="AM10" s="47">
        <f t="shared" si="1"/>
        <v>67</v>
      </c>
      <c r="AN10" s="47"/>
      <c r="AO10" s="47"/>
      <c r="AP10" s="47">
        <f t="shared" si="2"/>
        <v>0</v>
      </c>
      <c r="AQ10" s="48">
        <f t="shared" si="3"/>
        <v>0</v>
      </c>
      <c r="AR10" s="48"/>
      <c r="AS10" s="50">
        <v>283</v>
      </c>
      <c r="AT10" s="50">
        <f t="shared" si="4"/>
        <v>18961</v>
      </c>
    </row>
    <row r="11" spans="1:46">
      <c r="A11" s="47">
        <v>5</v>
      </c>
      <c r="B11" s="48" t="s">
        <v>58</v>
      </c>
      <c r="C11" s="48"/>
      <c r="D11" s="48" t="s">
        <v>59</v>
      </c>
      <c r="E11" s="48"/>
      <c r="F11" s="47">
        <v>20</v>
      </c>
      <c r="G11" s="47"/>
      <c r="H11" s="47"/>
      <c r="I11" s="47">
        <v>20</v>
      </c>
      <c r="J11" s="47"/>
      <c r="K11" s="47"/>
      <c r="L11" s="47">
        <v>10</v>
      </c>
      <c r="M11" s="47"/>
      <c r="N11" s="47">
        <v>25</v>
      </c>
      <c r="O11" s="47"/>
      <c r="P11" s="47">
        <v>20</v>
      </c>
      <c r="Q11" s="47"/>
      <c r="R11" s="49"/>
      <c r="S11" s="49">
        <v>20</v>
      </c>
      <c r="T11" s="49">
        <v>25</v>
      </c>
      <c r="U11" s="47"/>
      <c r="V11" s="47">
        <v>10</v>
      </c>
      <c r="W11" s="47">
        <v>40</v>
      </c>
      <c r="X11" s="47">
        <v>20</v>
      </c>
      <c r="Y11" s="47"/>
      <c r="Z11" s="47">
        <v>25</v>
      </c>
      <c r="AA11" s="47">
        <v>20</v>
      </c>
      <c r="AB11" s="47"/>
      <c r="AC11" s="47"/>
      <c r="AD11" s="47"/>
      <c r="AE11" s="47"/>
      <c r="AF11" s="47"/>
      <c r="AG11" s="47"/>
      <c r="AH11" s="47"/>
      <c r="AI11" s="47"/>
      <c r="AJ11" s="47"/>
      <c r="AK11" s="47">
        <f t="shared" si="0"/>
        <v>255</v>
      </c>
      <c r="AL11" s="47"/>
      <c r="AM11" s="47">
        <f t="shared" si="1"/>
        <v>255</v>
      </c>
      <c r="AN11" s="47"/>
      <c r="AO11" s="47"/>
      <c r="AP11" s="47">
        <f t="shared" si="2"/>
        <v>0</v>
      </c>
      <c r="AQ11" s="48"/>
      <c r="AR11" s="48"/>
      <c r="AS11" s="50">
        <v>283</v>
      </c>
      <c r="AT11" s="50">
        <f t="shared" si="4"/>
        <v>72165</v>
      </c>
    </row>
    <row r="12" spans="1:46">
      <c r="A12" s="47">
        <v>6</v>
      </c>
      <c r="B12" s="48" t="s">
        <v>60</v>
      </c>
      <c r="C12" s="48"/>
      <c r="D12" s="48" t="s">
        <v>59</v>
      </c>
      <c r="E12" s="48"/>
      <c r="F12" s="47"/>
      <c r="G12" s="47">
        <v>25</v>
      </c>
      <c r="H12" s="47"/>
      <c r="I12" s="47">
        <v>20</v>
      </c>
      <c r="J12" s="47"/>
      <c r="K12" s="47">
        <v>20</v>
      </c>
      <c r="L12" s="47"/>
      <c r="M12" s="47">
        <v>25</v>
      </c>
      <c r="N12" s="47"/>
      <c r="O12" s="47">
        <v>20</v>
      </c>
      <c r="P12" s="47"/>
      <c r="Q12" s="47">
        <v>20</v>
      </c>
      <c r="R12" s="49">
        <v>20</v>
      </c>
      <c r="S12" s="49">
        <v>20</v>
      </c>
      <c r="T12" s="49"/>
      <c r="U12" s="47"/>
      <c r="V12" s="47"/>
      <c r="W12" s="47">
        <v>40</v>
      </c>
      <c r="X12" s="47">
        <v>20</v>
      </c>
      <c r="Y12" s="47"/>
      <c r="Z12" s="47">
        <v>25</v>
      </c>
      <c r="AA12" s="47">
        <v>20</v>
      </c>
      <c r="AB12" s="47"/>
      <c r="AC12" s="47"/>
      <c r="AD12" s="47"/>
      <c r="AE12" s="47"/>
      <c r="AF12" s="47"/>
      <c r="AG12" s="47"/>
      <c r="AH12" s="47"/>
      <c r="AI12" s="47"/>
      <c r="AJ12" s="47"/>
      <c r="AK12" s="47">
        <f t="shared" si="0"/>
        <v>275</v>
      </c>
      <c r="AL12" s="47"/>
      <c r="AM12" s="47">
        <f t="shared" si="1"/>
        <v>275</v>
      </c>
      <c r="AN12" s="47"/>
      <c r="AO12" s="47"/>
      <c r="AP12" s="47">
        <f t="shared" si="2"/>
        <v>0</v>
      </c>
      <c r="AQ12" s="48"/>
      <c r="AR12" s="48"/>
      <c r="AS12" s="50">
        <v>283</v>
      </c>
      <c r="AT12" s="50">
        <f t="shared" si="4"/>
        <v>77825</v>
      </c>
    </row>
    <row r="13" spans="1:46">
      <c r="A13" s="47">
        <v>7</v>
      </c>
      <c r="B13" s="48" t="s">
        <v>69</v>
      </c>
      <c r="C13" s="48"/>
      <c r="D13" s="48"/>
      <c r="E13" s="4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9"/>
      <c r="S13" s="49"/>
      <c r="T13" s="49">
        <v>25</v>
      </c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>
        <f t="shared" si="0"/>
        <v>25</v>
      </c>
      <c r="AL13" s="47"/>
      <c r="AM13" s="47">
        <f t="shared" si="1"/>
        <v>25</v>
      </c>
      <c r="AN13" s="47"/>
      <c r="AO13" s="47"/>
      <c r="AP13" s="47">
        <f t="shared" si="2"/>
        <v>0</v>
      </c>
      <c r="AQ13" s="48"/>
      <c r="AR13" s="48"/>
      <c r="AS13" s="50">
        <v>283</v>
      </c>
      <c r="AT13" s="50">
        <f t="shared" si="4"/>
        <v>7075</v>
      </c>
    </row>
    <row r="14" spans="1:46">
      <c r="A14" s="47">
        <v>8</v>
      </c>
      <c r="B14" s="48"/>
      <c r="C14" s="48"/>
      <c r="D14" s="48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9"/>
      <c r="S14" s="49"/>
      <c r="T14" s="49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>
        <f t="shared" si="0"/>
        <v>0</v>
      </c>
      <c r="AL14" s="47"/>
      <c r="AM14" s="47">
        <f t="shared" si="1"/>
        <v>0</v>
      </c>
      <c r="AN14" s="47"/>
      <c r="AO14" s="47"/>
      <c r="AP14" s="47">
        <f t="shared" si="2"/>
        <v>0</v>
      </c>
      <c r="AQ14" s="48"/>
      <c r="AR14" s="48"/>
      <c r="AS14" s="50">
        <v>283</v>
      </c>
      <c r="AT14" s="50">
        <f t="shared" si="4"/>
        <v>0</v>
      </c>
    </row>
    <row r="15" spans="1:46">
      <c r="A15" s="47">
        <v>9</v>
      </c>
      <c r="B15" s="48"/>
      <c r="C15" s="48"/>
      <c r="D15" s="48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9"/>
      <c r="T15" s="49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>
        <f t="shared" si="0"/>
        <v>0</v>
      </c>
      <c r="AL15" s="47"/>
      <c r="AM15" s="47">
        <f t="shared" si="1"/>
        <v>0</v>
      </c>
      <c r="AN15" s="47"/>
      <c r="AO15" s="47"/>
      <c r="AP15" s="47">
        <f t="shared" si="2"/>
        <v>0</v>
      </c>
      <c r="AQ15" s="48"/>
      <c r="AR15" s="48"/>
      <c r="AS15" s="50">
        <v>283</v>
      </c>
      <c r="AT15" s="50">
        <f t="shared" si="4"/>
        <v>0</v>
      </c>
    </row>
    <row r="16" spans="1:46">
      <c r="A16" s="47"/>
      <c r="B16" s="48"/>
      <c r="C16" s="48"/>
      <c r="D16" s="48"/>
      <c r="E16" s="48"/>
      <c r="F16" s="51">
        <f t="shared" ref="F16:AJ16" si="5">SUM(F7:F15)</f>
        <v>40</v>
      </c>
      <c r="G16" s="51">
        <f t="shared" si="5"/>
        <v>25</v>
      </c>
      <c r="H16" s="51">
        <f t="shared" si="5"/>
        <v>25</v>
      </c>
      <c r="I16" s="51">
        <f t="shared" si="5"/>
        <v>40</v>
      </c>
      <c r="J16" s="51">
        <f t="shared" si="5"/>
        <v>51</v>
      </c>
      <c r="K16" s="51">
        <f t="shared" si="5"/>
        <v>20</v>
      </c>
      <c r="L16" s="51">
        <f t="shared" si="5"/>
        <v>122.21</v>
      </c>
      <c r="M16" s="51">
        <f t="shared" si="5"/>
        <v>60</v>
      </c>
      <c r="N16" s="51">
        <f t="shared" si="5"/>
        <v>81</v>
      </c>
      <c r="O16" s="51">
        <f t="shared" si="5"/>
        <v>20</v>
      </c>
      <c r="P16" s="51">
        <f t="shared" si="5"/>
        <v>40</v>
      </c>
      <c r="Q16" s="51">
        <f t="shared" si="5"/>
        <v>20</v>
      </c>
      <c r="R16" s="51">
        <f t="shared" si="5"/>
        <v>67</v>
      </c>
      <c r="S16" s="51">
        <f t="shared" si="5"/>
        <v>60</v>
      </c>
      <c r="T16" s="51">
        <f t="shared" si="5"/>
        <v>56</v>
      </c>
      <c r="U16" s="51">
        <f t="shared" si="5"/>
        <v>46</v>
      </c>
      <c r="V16" s="51">
        <f t="shared" si="5"/>
        <v>55</v>
      </c>
      <c r="W16" s="51">
        <f t="shared" si="5"/>
        <v>80</v>
      </c>
      <c r="X16" s="51">
        <f t="shared" si="5"/>
        <v>80</v>
      </c>
      <c r="Y16" s="51">
        <f t="shared" si="5"/>
        <v>30</v>
      </c>
      <c r="Z16" s="51">
        <f t="shared" si="5"/>
        <v>70</v>
      </c>
      <c r="AA16" s="51">
        <f t="shared" si="5"/>
        <v>70</v>
      </c>
      <c r="AB16" s="51">
        <f t="shared" si="5"/>
        <v>0</v>
      </c>
      <c r="AC16" s="51">
        <f t="shared" si="5"/>
        <v>0</v>
      </c>
      <c r="AD16" s="51">
        <f t="shared" si="5"/>
        <v>0</v>
      </c>
      <c r="AE16" s="51">
        <f t="shared" si="5"/>
        <v>0</v>
      </c>
      <c r="AF16" s="51">
        <f t="shared" si="5"/>
        <v>0</v>
      </c>
      <c r="AG16" s="51">
        <f t="shared" si="5"/>
        <v>0</v>
      </c>
      <c r="AH16" s="51">
        <f t="shared" si="5"/>
        <v>52</v>
      </c>
      <c r="AI16" s="51">
        <f t="shared" si="5"/>
        <v>0</v>
      </c>
      <c r="AJ16" s="51">
        <f t="shared" si="5"/>
        <v>60</v>
      </c>
      <c r="AK16" s="51">
        <f>SUM(AK7:AK13)</f>
        <v>1270.21</v>
      </c>
      <c r="AL16" s="47"/>
      <c r="AM16" s="51">
        <f>SUM(AM7:AM13)</f>
        <v>1270.21</v>
      </c>
      <c r="AN16" s="47"/>
      <c r="AO16" s="47"/>
      <c r="AP16" s="47"/>
      <c r="AQ16" s="48"/>
      <c r="AR16" s="48"/>
      <c r="AS16" s="50"/>
      <c r="AT16" s="52">
        <f>SUM(AT7:AT13)</f>
        <v>359469.43000000005</v>
      </c>
    </row>
    <row r="17" spans="1:46" ht="22.5">
      <c r="A17" s="53" t="s">
        <v>61</v>
      </c>
      <c r="B17" s="54"/>
      <c r="C17" s="54"/>
      <c r="D17" s="46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</row>
    <row r="18" spans="1:46">
      <c r="A18" s="47">
        <v>1</v>
      </c>
      <c r="B18" s="48" t="s">
        <v>28</v>
      </c>
      <c r="C18" s="48"/>
      <c r="D18" s="48" t="s">
        <v>29</v>
      </c>
      <c r="E18" s="48"/>
      <c r="F18" s="49"/>
      <c r="G18" s="49"/>
      <c r="H18" s="49">
        <v>75</v>
      </c>
      <c r="I18" s="49">
        <v>30</v>
      </c>
      <c r="J18" s="49">
        <v>130</v>
      </c>
      <c r="K18" s="49"/>
      <c r="L18" s="49"/>
      <c r="M18" s="49"/>
      <c r="N18" s="49"/>
      <c r="O18" s="49">
        <v>100</v>
      </c>
      <c r="P18" s="49"/>
      <c r="Q18" s="49">
        <v>20</v>
      </c>
      <c r="R18" s="49">
        <v>100</v>
      </c>
      <c r="S18" s="49"/>
      <c r="T18" s="49"/>
      <c r="U18" s="49">
        <v>130</v>
      </c>
      <c r="V18" s="49"/>
      <c r="W18" s="49"/>
      <c r="X18" s="49"/>
      <c r="Y18" s="49"/>
      <c r="Z18" s="49">
        <v>131</v>
      </c>
      <c r="AA18" s="49"/>
      <c r="AB18" s="49"/>
      <c r="AC18" s="49"/>
      <c r="AD18" s="49"/>
      <c r="AE18" s="49"/>
      <c r="AF18" s="49"/>
      <c r="AG18" s="47"/>
      <c r="AH18" s="47"/>
      <c r="AI18" s="47"/>
      <c r="AJ18" s="47"/>
      <c r="AK18" s="47">
        <f t="shared" ref="AK18:AK23" si="6">SUM(F18:AJ18)</f>
        <v>716</v>
      </c>
      <c r="AL18" s="47">
        <v>0</v>
      </c>
      <c r="AM18" s="47">
        <f t="shared" ref="AM18:AM23" si="7">AL18+AK18</f>
        <v>716</v>
      </c>
      <c r="AN18" s="47"/>
      <c r="AO18" s="47"/>
      <c r="AP18" s="47">
        <f t="shared" ref="AP18:AP23" si="8">AO18-AN18</f>
        <v>0</v>
      </c>
      <c r="AQ18" s="48" t="e">
        <f t="shared" ref="AQ18:AQ21" si="9">AM18/AP18</f>
        <v>#DIV/0!</v>
      </c>
      <c r="AR18" s="48"/>
      <c r="AS18" s="50">
        <v>283</v>
      </c>
      <c r="AT18" s="50">
        <f t="shared" ref="AT18:AT23" si="10">AS18*AM18</f>
        <v>202628</v>
      </c>
    </row>
    <row r="19" spans="1:46">
      <c r="A19" s="47">
        <v>2</v>
      </c>
      <c r="B19" s="48" t="s">
        <v>62</v>
      </c>
      <c r="C19" s="48"/>
      <c r="D19" s="48"/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>
        <v>20</v>
      </c>
      <c r="X19" s="49"/>
      <c r="Y19" s="49"/>
      <c r="Z19" s="49"/>
      <c r="AA19" s="49"/>
      <c r="AB19" s="49"/>
      <c r="AC19" s="49"/>
      <c r="AD19" s="49"/>
      <c r="AE19" s="49"/>
      <c r="AF19" s="49"/>
      <c r="AG19" s="47"/>
      <c r="AH19" s="47"/>
      <c r="AI19" s="49"/>
      <c r="AJ19" s="47"/>
      <c r="AK19" s="47">
        <f t="shared" si="6"/>
        <v>20</v>
      </c>
      <c r="AL19" s="47"/>
      <c r="AM19" s="47">
        <f t="shared" si="7"/>
        <v>20</v>
      </c>
      <c r="AN19" s="47"/>
      <c r="AO19" s="47"/>
      <c r="AP19" s="47">
        <f t="shared" si="8"/>
        <v>0</v>
      </c>
      <c r="AQ19" s="48" t="e">
        <f t="shared" si="9"/>
        <v>#DIV/0!</v>
      </c>
      <c r="AR19" s="48"/>
      <c r="AS19" s="50">
        <v>283</v>
      </c>
      <c r="AT19" s="50">
        <f t="shared" si="10"/>
        <v>5660</v>
      </c>
    </row>
    <row r="20" spans="1:46">
      <c r="A20" s="47">
        <v>3</v>
      </c>
      <c r="B20" s="48" t="s">
        <v>63</v>
      </c>
      <c r="C20" s="48"/>
      <c r="D20" s="48" t="s">
        <v>64</v>
      </c>
      <c r="E20" s="48"/>
      <c r="F20" s="49">
        <f>SUM(10+10)</f>
        <v>20</v>
      </c>
      <c r="G20" s="49">
        <v>25</v>
      </c>
      <c r="H20" s="49">
        <v>20</v>
      </c>
      <c r="I20" s="49"/>
      <c r="J20" s="49">
        <v>20</v>
      </c>
      <c r="K20" s="49">
        <v>20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7"/>
      <c r="AH20" s="47"/>
      <c r="AI20" s="49"/>
      <c r="AJ20" s="47"/>
      <c r="AK20" s="47">
        <f t="shared" si="6"/>
        <v>105</v>
      </c>
      <c r="AL20" s="47"/>
      <c r="AM20" s="47">
        <f t="shared" si="7"/>
        <v>105</v>
      </c>
      <c r="AN20" s="47"/>
      <c r="AO20" s="47"/>
      <c r="AP20" s="47">
        <f t="shared" si="8"/>
        <v>0</v>
      </c>
      <c r="AQ20" s="48" t="e">
        <f t="shared" si="9"/>
        <v>#DIV/0!</v>
      </c>
      <c r="AR20" s="48"/>
      <c r="AS20" s="50">
        <v>283</v>
      </c>
      <c r="AT20" s="50">
        <f t="shared" si="10"/>
        <v>29715</v>
      </c>
    </row>
    <row r="21" spans="1:46" ht="15.75" customHeight="1">
      <c r="A21" s="47">
        <v>4</v>
      </c>
      <c r="B21" s="48" t="s">
        <v>65</v>
      </c>
      <c r="C21" s="48"/>
      <c r="D21" s="48" t="s">
        <v>66</v>
      </c>
      <c r="E21" s="48"/>
      <c r="F21" s="49">
        <v>50</v>
      </c>
      <c r="G21" s="49">
        <f>SUM(30+25)</f>
        <v>55</v>
      </c>
      <c r="H21" s="49"/>
      <c r="I21" s="49"/>
      <c r="J21" s="49">
        <v>40</v>
      </c>
      <c r="K21" s="49">
        <v>45</v>
      </c>
      <c r="L21" s="49">
        <v>50</v>
      </c>
      <c r="M21" s="49">
        <v>25</v>
      </c>
      <c r="N21" s="49">
        <v>50</v>
      </c>
      <c r="O21" s="49">
        <v>50</v>
      </c>
      <c r="P21" s="49">
        <v>63</v>
      </c>
      <c r="Q21" s="49">
        <v>50</v>
      </c>
      <c r="R21" s="49">
        <v>40</v>
      </c>
      <c r="S21" s="49">
        <v>80</v>
      </c>
      <c r="T21" s="49">
        <v>50</v>
      </c>
      <c r="U21" s="49">
        <v>70</v>
      </c>
      <c r="V21" s="49"/>
      <c r="W21" s="49"/>
      <c r="X21" s="49">
        <v>60</v>
      </c>
      <c r="Y21" s="49">
        <v>70</v>
      </c>
      <c r="Z21" s="49">
        <v>70</v>
      </c>
      <c r="AA21" s="49">
        <v>70</v>
      </c>
      <c r="AB21" s="49"/>
      <c r="AC21" s="49"/>
      <c r="AD21" s="49"/>
      <c r="AE21" s="49"/>
      <c r="AF21" s="49"/>
      <c r="AG21" s="47"/>
      <c r="AH21" s="47"/>
      <c r="AI21" s="49"/>
      <c r="AJ21" s="47"/>
      <c r="AK21" s="47">
        <f t="shared" si="6"/>
        <v>988</v>
      </c>
      <c r="AL21" s="47"/>
      <c r="AM21" s="47">
        <f t="shared" si="7"/>
        <v>988</v>
      </c>
      <c r="AN21" s="47"/>
      <c r="AO21" s="47"/>
      <c r="AP21" s="47">
        <f t="shared" si="8"/>
        <v>0</v>
      </c>
      <c r="AQ21" s="48" t="e">
        <f t="shared" si="9"/>
        <v>#DIV/0!</v>
      </c>
      <c r="AR21" s="48"/>
      <c r="AS21" s="50">
        <v>283</v>
      </c>
      <c r="AT21" s="50">
        <f t="shared" si="10"/>
        <v>279604</v>
      </c>
    </row>
    <row r="22" spans="1:46" ht="15.75" customHeight="1">
      <c r="A22" s="47">
        <v>6</v>
      </c>
      <c r="B22" s="48" t="s">
        <v>67</v>
      </c>
      <c r="C22" s="48"/>
      <c r="D22" s="48" t="s">
        <v>68</v>
      </c>
      <c r="E22" s="48"/>
      <c r="F22" s="47">
        <f>SUM(20+20)</f>
        <v>40</v>
      </c>
      <c r="G22" s="47">
        <v>25</v>
      </c>
      <c r="H22" s="47">
        <v>20</v>
      </c>
      <c r="I22" s="47">
        <v>15</v>
      </c>
      <c r="J22" s="47">
        <v>20</v>
      </c>
      <c r="K22" s="47"/>
      <c r="L22" s="47"/>
      <c r="M22" s="47">
        <v>25</v>
      </c>
      <c r="N22" s="47"/>
      <c r="O22" s="47">
        <v>10</v>
      </c>
      <c r="P22" s="49">
        <v>10</v>
      </c>
      <c r="Q22" s="47">
        <v>10</v>
      </c>
      <c r="R22" s="47">
        <v>10</v>
      </c>
      <c r="S22" s="47">
        <v>10</v>
      </c>
      <c r="T22" s="49">
        <v>10</v>
      </c>
      <c r="U22" s="49">
        <f>SUM(10+10)</f>
        <v>20</v>
      </c>
      <c r="V22" s="49">
        <v>10</v>
      </c>
      <c r="W22" s="47">
        <v>10</v>
      </c>
      <c r="X22" s="47">
        <v>10</v>
      </c>
      <c r="Y22" s="47"/>
      <c r="Z22" s="47">
        <v>20</v>
      </c>
      <c r="AA22" s="47">
        <v>25</v>
      </c>
      <c r="AB22" s="47"/>
      <c r="AC22" s="47"/>
      <c r="AD22" s="47"/>
      <c r="AE22" s="47"/>
      <c r="AF22" s="47"/>
      <c r="AG22" s="47"/>
      <c r="AH22" s="47"/>
      <c r="AI22" s="49"/>
      <c r="AJ22" s="47"/>
      <c r="AK22" s="47">
        <f t="shared" si="6"/>
        <v>300</v>
      </c>
      <c r="AL22" s="47"/>
      <c r="AM22" s="47">
        <f t="shared" si="7"/>
        <v>300</v>
      </c>
      <c r="AN22" s="47"/>
      <c r="AO22" s="47"/>
      <c r="AP22" s="47">
        <f t="shared" si="8"/>
        <v>0</v>
      </c>
      <c r="AQ22" s="48">
        <f t="shared" ref="AQ22:AQ23" si="11">AP22/AM22</f>
        <v>0</v>
      </c>
      <c r="AR22" s="48"/>
      <c r="AS22" s="50">
        <v>283</v>
      </c>
      <c r="AT22" s="50">
        <f t="shared" si="10"/>
        <v>84900</v>
      </c>
    </row>
    <row r="23" spans="1:46" ht="15.75" customHeight="1">
      <c r="A23" s="47"/>
      <c r="B23" s="48" t="s">
        <v>70</v>
      </c>
      <c r="C23" s="48"/>
      <c r="D23" s="48"/>
      <c r="E23" s="48"/>
      <c r="F23" s="47"/>
      <c r="G23" s="47"/>
      <c r="H23" s="47"/>
      <c r="I23" s="47"/>
      <c r="J23" s="47"/>
      <c r="K23" s="47"/>
      <c r="L23" s="47"/>
      <c r="M23" s="47">
        <v>25</v>
      </c>
      <c r="N23" s="47"/>
      <c r="O23" s="47">
        <v>20</v>
      </c>
      <c r="P23" s="49">
        <v>20</v>
      </c>
      <c r="Q23" s="47">
        <v>20</v>
      </c>
      <c r="R23" s="47"/>
      <c r="S23" s="47">
        <v>25</v>
      </c>
      <c r="T23" s="49">
        <v>20</v>
      </c>
      <c r="U23" s="49"/>
      <c r="V23" s="49">
        <v>25</v>
      </c>
      <c r="W23" s="47"/>
      <c r="X23" s="47">
        <v>20</v>
      </c>
      <c r="Y23" s="47"/>
      <c r="Z23" s="47"/>
      <c r="AA23" s="47">
        <v>20</v>
      </c>
      <c r="AB23" s="47"/>
      <c r="AC23" s="47"/>
      <c r="AD23" s="47"/>
      <c r="AE23" s="47"/>
      <c r="AF23" s="47"/>
      <c r="AG23" s="47"/>
      <c r="AH23" s="47"/>
      <c r="AI23" s="49"/>
      <c r="AJ23" s="47"/>
      <c r="AK23" s="47">
        <f t="shared" si="6"/>
        <v>195</v>
      </c>
      <c r="AL23" s="47"/>
      <c r="AM23" s="47">
        <f t="shared" si="7"/>
        <v>195</v>
      </c>
      <c r="AN23" s="47"/>
      <c r="AO23" s="47"/>
      <c r="AP23" s="47">
        <f t="shared" si="8"/>
        <v>0</v>
      </c>
      <c r="AQ23" s="48">
        <f t="shared" si="11"/>
        <v>0</v>
      </c>
      <c r="AR23" s="48"/>
      <c r="AS23" s="50">
        <v>283</v>
      </c>
      <c r="AT23" s="50">
        <f t="shared" si="10"/>
        <v>55185</v>
      </c>
    </row>
    <row r="24" spans="1:46" ht="15.75" customHeight="1">
      <c r="A24" s="47"/>
      <c r="B24" s="48" t="s">
        <v>71</v>
      </c>
      <c r="C24" s="48"/>
      <c r="D24" s="48"/>
      <c r="E24" s="48"/>
      <c r="F24" s="47"/>
      <c r="G24" s="47"/>
      <c r="H24" s="47"/>
      <c r="I24" s="47"/>
      <c r="J24" s="47"/>
      <c r="K24" s="47"/>
      <c r="L24" s="47"/>
      <c r="M24" s="47">
        <v>10</v>
      </c>
      <c r="N24" s="47"/>
      <c r="O24" s="47">
        <v>20</v>
      </c>
      <c r="P24" s="49">
        <v>10</v>
      </c>
      <c r="Q24" s="47">
        <v>10</v>
      </c>
      <c r="R24" s="47">
        <v>10</v>
      </c>
      <c r="S24" s="47"/>
      <c r="T24" s="49"/>
      <c r="U24" s="49">
        <v>10</v>
      </c>
      <c r="V24" s="49">
        <v>10</v>
      </c>
      <c r="W24" s="47"/>
      <c r="X24" s="47"/>
      <c r="Y24" s="47">
        <v>20</v>
      </c>
      <c r="Z24" s="47">
        <v>20</v>
      </c>
      <c r="AA24" s="47"/>
      <c r="AB24" s="47"/>
      <c r="AC24" s="47"/>
      <c r="AD24" s="47"/>
      <c r="AE24" s="47"/>
      <c r="AF24" s="47"/>
      <c r="AG24" s="47"/>
      <c r="AH24" s="47"/>
      <c r="AI24" s="49"/>
      <c r="AJ24" s="47"/>
      <c r="AK24" s="47"/>
      <c r="AL24" s="47"/>
      <c r="AM24" s="47"/>
      <c r="AN24" s="47"/>
      <c r="AO24" s="47"/>
      <c r="AP24" s="47"/>
      <c r="AQ24" s="48"/>
      <c r="AR24" s="48"/>
      <c r="AS24" s="50"/>
      <c r="AT24" s="50"/>
    </row>
    <row r="25" spans="1:46" ht="15.75" customHeight="1">
      <c r="A25" s="47"/>
      <c r="B25" s="48" t="s">
        <v>72</v>
      </c>
      <c r="C25" s="48"/>
      <c r="D25" s="48"/>
      <c r="E25" s="48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9"/>
      <c r="Q25" s="47"/>
      <c r="R25" s="47"/>
      <c r="S25" s="47"/>
      <c r="T25" s="49"/>
      <c r="U25" s="49">
        <v>40</v>
      </c>
      <c r="V25" s="49">
        <v>25</v>
      </c>
      <c r="W25" s="47"/>
      <c r="X25" s="47">
        <v>25</v>
      </c>
      <c r="Y25" s="47">
        <v>7</v>
      </c>
      <c r="Z25" s="47">
        <v>40</v>
      </c>
      <c r="AA25" s="47">
        <v>20</v>
      </c>
      <c r="AB25" s="47"/>
      <c r="AC25" s="47"/>
      <c r="AD25" s="47"/>
      <c r="AE25" s="47"/>
      <c r="AF25" s="47"/>
      <c r="AG25" s="47"/>
      <c r="AH25" s="47"/>
      <c r="AI25" s="49"/>
      <c r="AJ25" s="47"/>
      <c r="AK25" s="47"/>
      <c r="AL25" s="47"/>
      <c r="AM25" s="47"/>
      <c r="AN25" s="47"/>
      <c r="AO25" s="47"/>
      <c r="AP25" s="47"/>
      <c r="AQ25" s="48"/>
      <c r="AR25" s="48"/>
      <c r="AS25" s="50"/>
      <c r="AT25" s="50"/>
    </row>
    <row r="26" spans="1:46" ht="15.75" customHeight="1">
      <c r="A26" s="47"/>
      <c r="B26" s="48" t="s">
        <v>73</v>
      </c>
      <c r="C26" s="48"/>
      <c r="D26" s="48"/>
      <c r="E26" s="48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9"/>
      <c r="Q26" s="47"/>
      <c r="R26" s="47"/>
      <c r="S26" s="47"/>
      <c r="T26" s="49"/>
      <c r="U26" s="49"/>
      <c r="V26" s="49"/>
      <c r="W26" s="47"/>
      <c r="X26" s="47"/>
      <c r="Y26" s="47"/>
      <c r="Z26" s="47"/>
      <c r="AA26" s="47">
        <v>10</v>
      </c>
      <c r="AB26" s="47"/>
      <c r="AC26" s="47"/>
      <c r="AD26" s="47"/>
      <c r="AE26" s="47"/>
      <c r="AF26" s="47"/>
      <c r="AG26" s="47"/>
      <c r="AH26" s="47"/>
      <c r="AI26" s="49"/>
      <c r="AJ26" s="47"/>
      <c r="AK26" s="47"/>
      <c r="AL26" s="47"/>
      <c r="AM26" s="47"/>
      <c r="AN26" s="47"/>
      <c r="AO26" s="47"/>
      <c r="AP26" s="47"/>
      <c r="AQ26" s="48"/>
      <c r="AR26" s="48"/>
      <c r="AS26" s="50"/>
      <c r="AT26" s="50"/>
    </row>
    <row r="27" spans="1:46" ht="15.75" customHeight="1">
      <c r="A27" s="47"/>
      <c r="B27" s="48"/>
      <c r="C27" s="48"/>
      <c r="D27" s="48"/>
      <c r="E27" s="48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9"/>
      <c r="Q27" s="47"/>
      <c r="R27" s="47"/>
      <c r="S27" s="47"/>
      <c r="T27" s="49"/>
      <c r="U27" s="49"/>
      <c r="V27" s="49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>
        <f>SUM(F27:AJ27)</f>
        <v>0</v>
      </c>
      <c r="AL27" s="47"/>
      <c r="AM27" s="47">
        <f>AL27+AK27</f>
        <v>0</v>
      </c>
      <c r="AN27" s="47"/>
      <c r="AO27" s="47"/>
      <c r="AP27" s="47">
        <f>AO27-AN27</f>
        <v>0</v>
      </c>
      <c r="AQ27" s="48" t="e">
        <f>AP27/AM27</f>
        <v>#DIV/0!</v>
      </c>
      <c r="AR27" s="48"/>
      <c r="AS27" s="50">
        <v>283</v>
      </c>
      <c r="AT27" s="50">
        <f>AS27*AM27</f>
        <v>0</v>
      </c>
    </row>
    <row r="28" spans="1:46" ht="15.75" customHeight="1">
      <c r="A28" s="21"/>
      <c r="B28" s="168" t="s">
        <v>27</v>
      </c>
      <c r="C28" s="169"/>
      <c r="D28" s="169"/>
      <c r="E28" s="170"/>
      <c r="F28" s="56">
        <f t="shared" ref="F28:AK28" si="12">SUM(F18:F27)</f>
        <v>110</v>
      </c>
      <c r="G28" s="56">
        <f t="shared" si="12"/>
        <v>105</v>
      </c>
      <c r="H28" s="56">
        <f t="shared" si="12"/>
        <v>115</v>
      </c>
      <c r="I28" s="56">
        <f t="shared" si="12"/>
        <v>45</v>
      </c>
      <c r="J28" s="56">
        <f t="shared" si="12"/>
        <v>210</v>
      </c>
      <c r="K28" s="56">
        <f t="shared" si="12"/>
        <v>65</v>
      </c>
      <c r="L28" s="56">
        <f t="shared" si="12"/>
        <v>50</v>
      </c>
      <c r="M28" s="56">
        <f t="shared" si="12"/>
        <v>85</v>
      </c>
      <c r="N28" s="56">
        <f t="shared" si="12"/>
        <v>50</v>
      </c>
      <c r="O28" s="56">
        <f t="shared" si="12"/>
        <v>200</v>
      </c>
      <c r="P28" s="56">
        <f t="shared" si="12"/>
        <v>103</v>
      </c>
      <c r="Q28" s="56">
        <f t="shared" si="12"/>
        <v>110</v>
      </c>
      <c r="R28" s="56">
        <f t="shared" si="12"/>
        <v>160</v>
      </c>
      <c r="S28" s="56">
        <f t="shared" si="12"/>
        <v>115</v>
      </c>
      <c r="T28" s="56">
        <f t="shared" si="12"/>
        <v>80</v>
      </c>
      <c r="U28" s="56">
        <f t="shared" si="12"/>
        <v>270</v>
      </c>
      <c r="V28" s="56">
        <f t="shared" si="12"/>
        <v>70</v>
      </c>
      <c r="W28" s="56">
        <f t="shared" si="12"/>
        <v>30</v>
      </c>
      <c r="X28" s="56">
        <f t="shared" si="12"/>
        <v>115</v>
      </c>
      <c r="Y28" s="56">
        <f t="shared" si="12"/>
        <v>97</v>
      </c>
      <c r="Z28" s="56">
        <f t="shared" si="12"/>
        <v>281</v>
      </c>
      <c r="AA28" s="56">
        <f t="shared" si="12"/>
        <v>145</v>
      </c>
      <c r="AB28" s="56">
        <f t="shared" si="12"/>
        <v>0</v>
      </c>
      <c r="AC28" s="56">
        <f t="shared" si="12"/>
        <v>0</v>
      </c>
      <c r="AD28" s="56">
        <f t="shared" si="12"/>
        <v>0</v>
      </c>
      <c r="AE28" s="56">
        <f t="shared" si="12"/>
        <v>0</v>
      </c>
      <c r="AF28" s="56">
        <f t="shared" si="12"/>
        <v>0</v>
      </c>
      <c r="AG28" s="56">
        <f t="shared" si="12"/>
        <v>0</v>
      </c>
      <c r="AH28" s="56">
        <f t="shared" si="12"/>
        <v>0</v>
      </c>
      <c r="AI28" s="56">
        <f t="shared" si="12"/>
        <v>0</v>
      </c>
      <c r="AJ28" s="56">
        <f t="shared" si="12"/>
        <v>0</v>
      </c>
      <c r="AK28" s="57">
        <f t="shared" si="12"/>
        <v>2324</v>
      </c>
      <c r="AL28" s="57"/>
      <c r="AM28" s="57">
        <f>SUM(AM18:AM27)</f>
        <v>2324</v>
      </c>
      <c r="AN28" s="21"/>
      <c r="AO28" s="21"/>
      <c r="AP28" s="21"/>
      <c r="AQ28" s="58"/>
      <c r="AR28" s="59"/>
      <c r="AS28" s="22"/>
      <c r="AT28" s="60">
        <f>SUM(AT7:AT27)</f>
        <v>1376630.86</v>
      </c>
    </row>
    <row r="29" spans="1:46" ht="15.75" customHeight="1">
      <c r="A29" s="28"/>
      <c r="B29" s="29"/>
      <c r="C29" s="29"/>
      <c r="D29" s="29"/>
      <c r="E29" s="2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ht="15.75" customHeight="1">
      <c r="A30" s="28"/>
      <c r="B30" s="30" t="s">
        <v>31</v>
      </c>
      <c r="C30" s="29"/>
      <c r="D30" s="29"/>
      <c r="E30" s="29"/>
      <c r="F30" s="61">
        <f>MAY!AJ26</f>
        <v>0</v>
      </c>
      <c r="G30" s="61">
        <f t="shared" ref="G30:AJ30" si="13">F33</f>
        <v>-120</v>
      </c>
      <c r="H30" s="61">
        <f t="shared" si="13"/>
        <v>-250</v>
      </c>
      <c r="I30" s="61">
        <f t="shared" si="13"/>
        <v>-330</v>
      </c>
      <c r="J30" s="61">
        <f t="shared" si="13"/>
        <v>-385</v>
      </c>
      <c r="K30" s="61">
        <f t="shared" si="13"/>
        <v>-581</v>
      </c>
      <c r="L30" s="61">
        <f t="shared" si="13"/>
        <v>-666</v>
      </c>
      <c r="M30" s="61">
        <f t="shared" si="13"/>
        <v>-813.21</v>
      </c>
      <c r="N30" s="61">
        <f t="shared" si="13"/>
        <v>-958.21</v>
      </c>
      <c r="O30" s="61">
        <f t="shared" si="13"/>
        <v>-1089.21</v>
      </c>
      <c r="P30" s="61">
        <f t="shared" si="13"/>
        <v>-1309.21</v>
      </c>
      <c r="Q30" s="61">
        <f t="shared" si="13"/>
        <v>-1417.21</v>
      </c>
      <c r="R30" s="61">
        <f t="shared" si="13"/>
        <v>-1267.21</v>
      </c>
      <c r="S30" s="61">
        <f t="shared" si="13"/>
        <v>-1494.21</v>
      </c>
      <c r="T30" s="61">
        <f t="shared" si="13"/>
        <v>-1629.21</v>
      </c>
      <c r="U30" s="61">
        <f t="shared" si="13"/>
        <v>-1765.21</v>
      </c>
      <c r="V30" s="61">
        <f t="shared" si="13"/>
        <v>-2041.21</v>
      </c>
      <c r="W30" s="61">
        <f t="shared" si="13"/>
        <v>-2166.21</v>
      </c>
      <c r="X30" s="61">
        <f t="shared" si="13"/>
        <v>-2046.21</v>
      </c>
      <c r="Y30" s="61">
        <f t="shared" si="13"/>
        <v>-2201.21</v>
      </c>
      <c r="Z30" s="61">
        <f t="shared" si="13"/>
        <v>-2103.21</v>
      </c>
      <c r="AA30" s="61">
        <f t="shared" si="13"/>
        <v>-2297.21</v>
      </c>
      <c r="AB30" s="61">
        <f t="shared" si="13"/>
        <v>-2468.5</v>
      </c>
      <c r="AC30" s="61">
        <f t="shared" si="13"/>
        <v>-2358.5</v>
      </c>
      <c r="AD30" s="61">
        <f t="shared" si="13"/>
        <v>-1600.18</v>
      </c>
      <c r="AE30" s="61">
        <f t="shared" si="13"/>
        <v>-1570.18</v>
      </c>
      <c r="AF30" s="61">
        <f t="shared" si="13"/>
        <v>-1393.18</v>
      </c>
      <c r="AG30" s="61">
        <f t="shared" si="13"/>
        <v>-1328.38</v>
      </c>
      <c r="AH30" s="61">
        <f t="shared" si="13"/>
        <v>-1168.3800000000001</v>
      </c>
      <c r="AI30" s="61">
        <f t="shared" si="13"/>
        <v>-1196.3800000000001</v>
      </c>
      <c r="AJ30" s="61">
        <f t="shared" si="13"/>
        <v>-1196.3800000000001</v>
      </c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46" ht="15.75" customHeight="1">
      <c r="A31" s="28"/>
      <c r="B31" s="30" t="s">
        <v>32</v>
      </c>
      <c r="C31" s="29"/>
      <c r="D31" s="29"/>
      <c r="E31" s="29"/>
      <c r="F31" s="62">
        <v>30</v>
      </c>
      <c r="G31" s="62"/>
      <c r="H31" s="62">
        <v>60</v>
      </c>
      <c r="I31" s="62">
        <v>30</v>
      </c>
      <c r="J31" s="62">
        <v>65</v>
      </c>
      <c r="K31" s="62"/>
      <c r="L31" s="62">
        <v>25</v>
      </c>
      <c r="M31" s="62"/>
      <c r="N31" s="62"/>
      <c r="O31" s="62"/>
      <c r="P31" s="62">
        <v>35</v>
      </c>
      <c r="Q31" s="62">
        <v>280</v>
      </c>
      <c r="R31" s="62"/>
      <c r="S31" s="62">
        <v>40</v>
      </c>
      <c r="T31" s="62"/>
      <c r="U31" s="62">
        <v>40</v>
      </c>
      <c r="V31" s="62"/>
      <c r="W31" s="62">
        <v>230</v>
      </c>
      <c r="X31" s="62">
        <v>40</v>
      </c>
      <c r="Y31" s="62">
        <f>SUM(205+20)</f>
        <v>225</v>
      </c>
      <c r="Z31" s="62">
        <v>157</v>
      </c>
      <c r="AA31" s="62">
        <v>43.71</v>
      </c>
      <c r="AB31" s="62">
        <v>110</v>
      </c>
      <c r="AC31" s="62">
        <f>SUM(251.32+507)</f>
        <v>758.31999999999994</v>
      </c>
      <c r="AD31" s="62">
        <v>30</v>
      </c>
      <c r="AE31" s="62">
        <f>SUM(137+40)</f>
        <v>177</v>
      </c>
      <c r="AF31" s="62">
        <f>SUM(44.8+20)</f>
        <v>64.8</v>
      </c>
      <c r="AG31" s="62">
        <f>SUM(100+60)</f>
        <v>160</v>
      </c>
      <c r="AH31" s="62">
        <v>24</v>
      </c>
      <c r="AI31" s="62"/>
      <c r="AJ31" s="6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 ht="15.75" customHeight="1">
      <c r="A32" s="28"/>
      <c r="B32" s="12" t="s">
        <v>33</v>
      </c>
      <c r="C32" s="2"/>
      <c r="D32" s="2"/>
      <c r="E32" s="12"/>
      <c r="F32" s="12">
        <f t="shared" ref="F32:AJ32" si="14">SUM(F16+F28)</f>
        <v>150</v>
      </c>
      <c r="G32" s="12">
        <f t="shared" si="14"/>
        <v>130</v>
      </c>
      <c r="H32" s="12">
        <f t="shared" si="14"/>
        <v>140</v>
      </c>
      <c r="I32" s="12">
        <f t="shared" si="14"/>
        <v>85</v>
      </c>
      <c r="J32" s="12">
        <f t="shared" si="14"/>
        <v>261</v>
      </c>
      <c r="K32" s="12">
        <f t="shared" si="14"/>
        <v>85</v>
      </c>
      <c r="L32" s="12">
        <f t="shared" si="14"/>
        <v>172.20999999999998</v>
      </c>
      <c r="M32" s="12">
        <f t="shared" si="14"/>
        <v>145</v>
      </c>
      <c r="N32" s="12">
        <f t="shared" si="14"/>
        <v>131</v>
      </c>
      <c r="O32" s="12">
        <f t="shared" si="14"/>
        <v>220</v>
      </c>
      <c r="P32" s="12">
        <f t="shared" si="14"/>
        <v>143</v>
      </c>
      <c r="Q32" s="12">
        <f t="shared" si="14"/>
        <v>130</v>
      </c>
      <c r="R32" s="12">
        <f t="shared" si="14"/>
        <v>227</v>
      </c>
      <c r="S32" s="12">
        <f t="shared" si="14"/>
        <v>175</v>
      </c>
      <c r="T32" s="12">
        <f t="shared" si="14"/>
        <v>136</v>
      </c>
      <c r="U32" s="12">
        <f t="shared" si="14"/>
        <v>316</v>
      </c>
      <c r="V32" s="12">
        <f t="shared" si="14"/>
        <v>125</v>
      </c>
      <c r="W32" s="12">
        <f t="shared" si="14"/>
        <v>110</v>
      </c>
      <c r="X32" s="12">
        <f t="shared" si="14"/>
        <v>195</v>
      </c>
      <c r="Y32" s="12">
        <f t="shared" si="14"/>
        <v>127</v>
      </c>
      <c r="Z32" s="12">
        <f t="shared" si="14"/>
        <v>351</v>
      </c>
      <c r="AA32" s="12">
        <f t="shared" si="14"/>
        <v>215</v>
      </c>
      <c r="AB32" s="12">
        <f t="shared" si="14"/>
        <v>0</v>
      </c>
      <c r="AC32" s="12">
        <f t="shared" si="14"/>
        <v>0</v>
      </c>
      <c r="AD32" s="12">
        <f t="shared" si="14"/>
        <v>0</v>
      </c>
      <c r="AE32" s="12">
        <f t="shared" si="14"/>
        <v>0</v>
      </c>
      <c r="AF32" s="12">
        <f t="shared" si="14"/>
        <v>0</v>
      </c>
      <c r="AG32" s="12">
        <f t="shared" si="14"/>
        <v>0</v>
      </c>
      <c r="AH32" s="12">
        <f t="shared" si="14"/>
        <v>52</v>
      </c>
      <c r="AI32" s="12">
        <f t="shared" si="14"/>
        <v>0</v>
      </c>
      <c r="AJ32" s="12">
        <f t="shared" si="14"/>
        <v>60</v>
      </c>
      <c r="AK32" s="12">
        <f>SUM(AK28+AK16)</f>
        <v>3594.21</v>
      </c>
      <c r="AL32" s="12"/>
      <c r="AM32" s="12">
        <f>SUM(AM28+AM16)</f>
        <v>3594.21</v>
      </c>
      <c r="AN32" s="12"/>
      <c r="AO32" s="12"/>
      <c r="AP32" s="12"/>
      <c r="AQ32" s="12"/>
      <c r="AR32" s="12"/>
      <c r="AS32" s="12"/>
      <c r="AT32" s="32">
        <f>SUM(AT28+AT16)</f>
        <v>1736100.29</v>
      </c>
    </row>
    <row r="33" spans="1:46" ht="15.75" customHeight="1">
      <c r="A33" s="28"/>
      <c r="B33" s="12" t="s">
        <v>34</v>
      </c>
      <c r="C33" s="2"/>
      <c r="D33" s="2"/>
      <c r="E33" s="12"/>
      <c r="F33" s="12">
        <f>SUM(F30+F31-F32)</f>
        <v>-120</v>
      </c>
      <c r="G33" s="12">
        <f>(G30+G31)-G32</f>
        <v>-250</v>
      </c>
      <c r="H33" s="12">
        <f>SUM(H30+H31-H32)</f>
        <v>-330</v>
      </c>
      <c r="I33" s="12">
        <f t="shared" ref="I33:AJ33" si="15">(I30+I31)-I32</f>
        <v>-385</v>
      </c>
      <c r="J33" s="12">
        <f t="shared" si="15"/>
        <v>-581</v>
      </c>
      <c r="K33" s="12">
        <f t="shared" si="15"/>
        <v>-666</v>
      </c>
      <c r="L33" s="12">
        <f t="shared" si="15"/>
        <v>-813.21</v>
      </c>
      <c r="M33" s="12">
        <f t="shared" si="15"/>
        <v>-958.21</v>
      </c>
      <c r="N33" s="12">
        <f t="shared" si="15"/>
        <v>-1089.21</v>
      </c>
      <c r="O33" s="12">
        <f t="shared" si="15"/>
        <v>-1309.21</v>
      </c>
      <c r="P33" s="12">
        <f t="shared" si="15"/>
        <v>-1417.21</v>
      </c>
      <c r="Q33" s="12">
        <f t="shared" si="15"/>
        <v>-1267.21</v>
      </c>
      <c r="R33" s="12">
        <f t="shared" si="15"/>
        <v>-1494.21</v>
      </c>
      <c r="S33" s="12">
        <f t="shared" si="15"/>
        <v>-1629.21</v>
      </c>
      <c r="T33" s="12">
        <f t="shared" si="15"/>
        <v>-1765.21</v>
      </c>
      <c r="U33" s="12">
        <f t="shared" si="15"/>
        <v>-2041.21</v>
      </c>
      <c r="V33" s="12">
        <f t="shared" si="15"/>
        <v>-2166.21</v>
      </c>
      <c r="W33" s="12">
        <f t="shared" si="15"/>
        <v>-2046.21</v>
      </c>
      <c r="X33" s="12">
        <f t="shared" si="15"/>
        <v>-2201.21</v>
      </c>
      <c r="Y33" s="12">
        <f t="shared" si="15"/>
        <v>-2103.21</v>
      </c>
      <c r="Z33" s="12">
        <f t="shared" si="15"/>
        <v>-2297.21</v>
      </c>
      <c r="AA33" s="12">
        <f t="shared" si="15"/>
        <v>-2468.5</v>
      </c>
      <c r="AB33" s="12">
        <f t="shared" si="15"/>
        <v>-2358.5</v>
      </c>
      <c r="AC33" s="12">
        <f t="shared" si="15"/>
        <v>-1600.18</v>
      </c>
      <c r="AD33" s="12">
        <f t="shared" si="15"/>
        <v>-1570.18</v>
      </c>
      <c r="AE33" s="12">
        <f t="shared" si="15"/>
        <v>-1393.18</v>
      </c>
      <c r="AF33" s="12">
        <f t="shared" si="15"/>
        <v>-1328.38</v>
      </c>
      <c r="AG33" s="12">
        <f t="shared" si="15"/>
        <v>-1168.3800000000001</v>
      </c>
      <c r="AH33" s="12">
        <f t="shared" si="15"/>
        <v>-1196.3800000000001</v>
      </c>
      <c r="AI33" s="12">
        <f t="shared" si="15"/>
        <v>-1196.3800000000001</v>
      </c>
      <c r="AJ33" s="12">
        <f t="shared" si="15"/>
        <v>-1256.3800000000001</v>
      </c>
      <c r="AK33" s="12"/>
      <c r="AL33" s="12"/>
      <c r="AM33" s="28"/>
      <c r="AN33" s="28"/>
      <c r="AO33" s="28"/>
      <c r="AP33" s="28"/>
      <c r="AQ33" s="12"/>
      <c r="AR33" s="12"/>
      <c r="AS33" s="32"/>
      <c r="AT33" s="12"/>
    </row>
    <row r="34" spans="1:46" ht="15.75" customHeight="1"/>
    <row r="35" spans="1:46" ht="15.75" customHeight="1"/>
    <row r="36" spans="1:46" ht="15.75" customHeight="1"/>
    <row r="37" spans="1:46" ht="15.75" customHeight="1"/>
    <row r="38" spans="1:46" ht="15.75" customHeight="1"/>
    <row r="39" spans="1:46" ht="15.75" customHeight="1"/>
    <row r="40" spans="1:46" ht="15.75" customHeight="1"/>
    <row r="41" spans="1:46" ht="15.75" customHeight="1"/>
    <row r="42" spans="1:46" ht="15.75" customHeight="1"/>
    <row r="43" spans="1:46" ht="15.75" customHeight="1"/>
    <row r="44" spans="1:46" ht="15.75" customHeight="1"/>
    <row r="45" spans="1:46" ht="15.75" customHeight="1"/>
    <row r="46" spans="1:46" ht="15.75" customHeight="1"/>
    <row r="47" spans="1:46" ht="15.75" customHeight="1"/>
    <row r="48" spans="1:4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5:AJ5"/>
    <mergeCell ref="AK5:AK6"/>
    <mergeCell ref="B28:E28"/>
    <mergeCell ref="AS5:AS6"/>
    <mergeCell ref="AT5:AT6"/>
    <mergeCell ref="AL5:AL6"/>
    <mergeCell ref="AM5:AM6"/>
    <mergeCell ref="AN5:AN6"/>
    <mergeCell ref="AO5:AO6"/>
    <mergeCell ref="AP5:AP6"/>
    <mergeCell ref="AQ5:AQ6"/>
    <mergeCell ref="AR5:AR6"/>
    <mergeCell ref="A5:A6"/>
    <mergeCell ref="B5:B6"/>
    <mergeCell ref="C5:C6"/>
    <mergeCell ref="D5:D6"/>
    <mergeCell ref="E5:E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workbookViewId="0"/>
  </sheetViews>
  <sheetFormatPr defaultColWidth="14.42578125" defaultRowHeight="15" customHeight="1"/>
  <cols>
    <col min="1" max="1" width="9" customWidth="1"/>
    <col min="2" max="2" width="14.140625" customWidth="1"/>
    <col min="3" max="3" width="9" customWidth="1"/>
    <col min="4" max="4" width="14.5703125" customWidth="1"/>
    <col min="5" max="5" width="11.28515625" customWidth="1"/>
    <col min="6" max="46" width="9" customWidth="1"/>
  </cols>
  <sheetData>
    <row r="1" spans="1:46" ht="15.75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"/>
      <c r="AL1" s="4"/>
      <c r="AM1" s="4"/>
      <c r="AN1" s="4"/>
      <c r="AO1" s="4"/>
      <c r="AP1" s="4"/>
      <c r="AQ1" s="2"/>
      <c r="AR1" s="2"/>
      <c r="AS1" s="5"/>
      <c r="AT1" s="2"/>
    </row>
    <row r="2" spans="1:46" ht="15.75">
      <c r="A2" s="1" t="s">
        <v>50</v>
      </c>
      <c r="B2" s="2"/>
      <c r="C2" s="2"/>
      <c r="D2" s="2"/>
      <c r="E2" s="3" t="s">
        <v>51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4"/>
      <c r="AM2" s="4"/>
      <c r="AN2" s="4"/>
      <c r="AO2" s="4"/>
      <c r="AP2" s="4"/>
      <c r="AQ2" s="2"/>
      <c r="AR2" s="2"/>
      <c r="AS2" s="5"/>
      <c r="AT2" s="2"/>
    </row>
    <row r="3" spans="1:46" ht="15.75">
      <c r="A3" s="1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/>
      <c r="AL3" s="4"/>
      <c r="AM3" s="4"/>
      <c r="AN3" s="4"/>
      <c r="AO3" s="4"/>
      <c r="AP3" s="4"/>
      <c r="AQ3" s="2"/>
      <c r="AR3" s="2"/>
      <c r="AS3" s="5"/>
      <c r="AT3" s="2"/>
    </row>
    <row r="4" spans="1:46" ht="22.5">
      <c r="A4" s="1"/>
      <c r="B4" s="2"/>
      <c r="C4" s="2"/>
      <c r="D4" s="46" t="s">
        <v>52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"/>
      <c r="AL4" s="4"/>
      <c r="AM4" s="4"/>
      <c r="AN4" s="4"/>
      <c r="AO4" s="4"/>
      <c r="AP4" s="4"/>
      <c r="AQ4" s="2"/>
      <c r="AR4" s="2"/>
      <c r="AS4" s="5"/>
      <c r="AT4" s="2"/>
    </row>
    <row r="5" spans="1:46" ht="15.75">
      <c r="A5" s="153" t="s">
        <v>6</v>
      </c>
      <c r="B5" s="153" t="s">
        <v>7</v>
      </c>
      <c r="C5" s="153" t="s">
        <v>8</v>
      </c>
      <c r="D5" s="153" t="s">
        <v>46</v>
      </c>
      <c r="E5" s="153" t="s">
        <v>10</v>
      </c>
      <c r="F5" s="165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7"/>
      <c r="AK5" s="153" t="s">
        <v>12</v>
      </c>
      <c r="AL5" s="153" t="s">
        <v>13</v>
      </c>
      <c r="AM5" s="153" t="s">
        <v>14</v>
      </c>
      <c r="AN5" s="153" t="s">
        <v>15</v>
      </c>
      <c r="AO5" s="153" t="s">
        <v>16</v>
      </c>
      <c r="AP5" s="153" t="s">
        <v>17</v>
      </c>
      <c r="AQ5" s="153" t="s">
        <v>18</v>
      </c>
      <c r="AR5" s="153" t="s">
        <v>19</v>
      </c>
      <c r="AS5" s="151" t="s">
        <v>20</v>
      </c>
      <c r="AT5" s="153" t="s">
        <v>21</v>
      </c>
    </row>
    <row r="6" spans="1:46">
      <c r="A6" s="152"/>
      <c r="B6" s="152"/>
      <c r="C6" s="152"/>
      <c r="D6" s="152"/>
      <c r="E6" s="152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152"/>
      <c r="AL6" s="152"/>
      <c r="AM6" s="152"/>
      <c r="AN6" s="152"/>
      <c r="AO6" s="152"/>
      <c r="AP6" s="152"/>
      <c r="AQ6" s="152"/>
      <c r="AR6" s="152"/>
      <c r="AS6" s="152"/>
      <c r="AT6" s="152"/>
    </row>
    <row r="7" spans="1:46">
      <c r="A7" s="47">
        <v>1</v>
      </c>
      <c r="B7" s="10" t="s">
        <v>22</v>
      </c>
      <c r="C7" s="48"/>
      <c r="D7" s="48" t="s">
        <v>53</v>
      </c>
      <c r="E7" s="48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9"/>
      <c r="S7" s="49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>
        <f t="shared" ref="AK7:AK15" si="0">SUM(F7:AJ7)</f>
        <v>0</v>
      </c>
      <c r="AL7" s="47"/>
      <c r="AM7" s="47">
        <f t="shared" ref="AM7:AM15" si="1">SUM(AK7:AL7)</f>
        <v>0</v>
      </c>
      <c r="AN7" s="47"/>
      <c r="AO7" s="47"/>
      <c r="AP7" s="47">
        <f t="shared" ref="AP7:AP15" si="2">AO7-AN7</f>
        <v>0</v>
      </c>
      <c r="AQ7" s="48" t="e">
        <f t="shared" ref="AQ7:AQ10" si="3">AP7/AM7</f>
        <v>#DIV/0!</v>
      </c>
      <c r="AR7" s="48"/>
      <c r="AS7" s="50">
        <v>283</v>
      </c>
      <c r="AT7" s="50">
        <f t="shared" ref="AT7:AT15" si="4">AS7*AM7</f>
        <v>0</v>
      </c>
    </row>
    <row r="8" spans="1:46">
      <c r="A8" s="47">
        <v>2</v>
      </c>
      <c r="B8" s="14" t="s">
        <v>47</v>
      </c>
      <c r="C8" s="48"/>
      <c r="D8" s="48" t="s">
        <v>54</v>
      </c>
      <c r="E8" s="48"/>
      <c r="F8" s="47">
        <v>20</v>
      </c>
      <c r="G8" s="47">
        <v>10</v>
      </c>
      <c r="H8" s="49">
        <v>20</v>
      </c>
      <c r="I8" s="47">
        <v>25</v>
      </c>
      <c r="J8" s="47">
        <v>10</v>
      </c>
      <c r="K8" s="47"/>
      <c r="L8" s="47"/>
      <c r="M8" s="47"/>
      <c r="N8" s="47"/>
      <c r="O8" s="47"/>
      <c r="P8" s="49"/>
      <c r="Q8" s="47"/>
      <c r="R8" s="49"/>
      <c r="S8" s="49"/>
      <c r="T8" s="49"/>
      <c r="U8" s="49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>
        <f t="shared" si="0"/>
        <v>85</v>
      </c>
      <c r="AL8" s="47"/>
      <c r="AM8" s="47">
        <f t="shared" si="1"/>
        <v>85</v>
      </c>
      <c r="AN8" s="47"/>
      <c r="AO8" s="47"/>
      <c r="AP8" s="47">
        <f t="shared" si="2"/>
        <v>0</v>
      </c>
      <c r="AQ8" s="48">
        <f t="shared" si="3"/>
        <v>0</v>
      </c>
      <c r="AR8" s="48"/>
      <c r="AS8" s="50">
        <v>283</v>
      </c>
      <c r="AT8" s="50">
        <f t="shared" si="4"/>
        <v>24055</v>
      </c>
    </row>
    <row r="9" spans="1:46">
      <c r="A9" s="47">
        <v>3</v>
      </c>
      <c r="B9" s="14" t="s">
        <v>48</v>
      </c>
      <c r="C9" s="48"/>
      <c r="D9" s="48" t="s">
        <v>55</v>
      </c>
      <c r="E9" s="48"/>
      <c r="F9" s="47"/>
      <c r="G9" s="47"/>
      <c r="H9" s="47">
        <v>20</v>
      </c>
      <c r="I9" s="47"/>
      <c r="J9" s="47">
        <v>20</v>
      </c>
      <c r="K9" s="47"/>
      <c r="L9" s="47"/>
      <c r="M9" s="47"/>
      <c r="N9" s="47"/>
      <c r="O9" s="47"/>
      <c r="P9" s="47"/>
      <c r="Q9" s="47"/>
      <c r="R9" s="49"/>
      <c r="S9" s="49"/>
      <c r="T9" s="49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>
        <f t="shared" si="0"/>
        <v>40</v>
      </c>
      <c r="AL9" s="47"/>
      <c r="AM9" s="47">
        <f t="shared" si="1"/>
        <v>40</v>
      </c>
      <c r="AN9" s="47"/>
      <c r="AO9" s="47"/>
      <c r="AP9" s="47">
        <f t="shared" si="2"/>
        <v>0</v>
      </c>
      <c r="AQ9" s="48">
        <f t="shared" si="3"/>
        <v>0</v>
      </c>
      <c r="AR9" s="48"/>
      <c r="AS9" s="50">
        <v>283</v>
      </c>
      <c r="AT9" s="50">
        <f t="shared" si="4"/>
        <v>11320</v>
      </c>
    </row>
    <row r="10" spans="1:46">
      <c r="A10" s="47">
        <v>4</v>
      </c>
      <c r="B10" s="48" t="s">
        <v>56</v>
      </c>
      <c r="C10" s="48"/>
      <c r="D10" s="48" t="s">
        <v>57</v>
      </c>
      <c r="E10" s="48"/>
      <c r="F10" s="47"/>
      <c r="G10" s="47">
        <v>10</v>
      </c>
      <c r="H10" s="47"/>
      <c r="I10" s="47"/>
      <c r="J10" s="47">
        <v>5</v>
      </c>
      <c r="K10" s="47"/>
      <c r="L10" s="47"/>
      <c r="M10" s="47"/>
      <c r="N10" s="47"/>
      <c r="O10" s="47"/>
      <c r="P10" s="47"/>
      <c r="Q10" s="47"/>
      <c r="R10" s="49"/>
      <c r="S10" s="49"/>
      <c r="T10" s="49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>
        <f t="shared" si="0"/>
        <v>15</v>
      </c>
      <c r="AL10" s="47"/>
      <c r="AM10" s="47">
        <f t="shared" si="1"/>
        <v>15</v>
      </c>
      <c r="AN10" s="47"/>
      <c r="AO10" s="47"/>
      <c r="AP10" s="47">
        <f t="shared" si="2"/>
        <v>0</v>
      </c>
      <c r="AQ10" s="48">
        <f t="shared" si="3"/>
        <v>0</v>
      </c>
      <c r="AR10" s="48"/>
      <c r="AS10" s="50">
        <v>283</v>
      </c>
      <c r="AT10" s="50">
        <f t="shared" si="4"/>
        <v>4245</v>
      </c>
    </row>
    <row r="11" spans="1:46">
      <c r="A11" s="47">
        <v>5</v>
      </c>
      <c r="B11" s="48" t="s">
        <v>58</v>
      </c>
      <c r="C11" s="48"/>
      <c r="D11" s="48" t="s">
        <v>59</v>
      </c>
      <c r="E11" s="48"/>
      <c r="F11" s="47"/>
      <c r="G11" s="47">
        <v>20</v>
      </c>
      <c r="H11" s="47">
        <v>20</v>
      </c>
      <c r="I11" s="47">
        <v>20</v>
      </c>
      <c r="J11" s="47">
        <v>40</v>
      </c>
      <c r="K11" s="47"/>
      <c r="L11" s="47"/>
      <c r="M11" s="47"/>
      <c r="N11" s="47"/>
      <c r="O11" s="47"/>
      <c r="P11" s="47"/>
      <c r="Q11" s="47"/>
      <c r="R11" s="49"/>
      <c r="S11" s="49"/>
      <c r="T11" s="4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>
        <f t="shared" si="0"/>
        <v>100</v>
      </c>
      <c r="AL11" s="47"/>
      <c r="AM11" s="47">
        <f t="shared" si="1"/>
        <v>100</v>
      </c>
      <c r="AN11" s="47"/>
      <c r="AO11" s="47"/>
      <c r="AP11" s="47">
        <f t="shared" si="2"/>
        <v>0</v>
      </c>
      <c r="AQ11" s="48"/>
      <c r="AR11" s="48"/>
      <c r="AS11" s="50">
        <v>283</v>
      </c>
      <c r="AT11" s="50">
        <f t="shared" si="4"/>
        <v>28300</v>
      </c>
    </row>
    <row r="12" spans="1:46">
      <c r="A12" s="47">
        <v>6</v>
      </c>
      <c r="B12" s="48" t="s">
        <v>60</v>
      </c>
      <c r="C12" s="48"/>
      <c r="D12" s="48" t="s">
        <v>59</v>
      </c>
      <c r="E12" s="48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9"/>
      <c r="S12" s="49"/>
      <c r="T12" s="49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>
        <f t="shared" si="0"/>
        <v>0</v>
      </c>
      <c r="AL12" s="47"/>
      <c r="AM12" s="47">
        <f t="shared" si="1"/>
        <v>0</v>
      </c>
      <c r="AN12" s="47"/>
      <c r="AO12" s="47"/>
      <c r="AP12" s="47">
        <f t="shared" si="2"/>
        <v>0</v>
      </c>
      <c r="AQ12" s="48"/>
      <c r="AR12" s="48"/>
      <c r="AS12" s="50">
        <v>283</v>
      </c>
      <c r="AT12" s="50">
        <f t="shared" si="4"/>
        <v>0</v>
      </c>
    </row>
    <row r="13" spans="1:46">
      <c r="A13" s="47">
        <v>7</v>
      </c>
      <c r="B13" s="48" t="s">
        <v>69</v>
      </c>
      <c r="C13" s="48"/>
      <c r="D13" s="48"/>
      <c r="E13" s="4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9"/>
      <c r="S13" s="49"/>
      <c r="T13" s="49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>
        <f t="shared" si="0"/>
        <v>0</v>
      </c>
      <c r="AL13" s="47"/>
      <c r="AM13" s="47">
        <f t="shared" si="1"/>
        <v>0</v>
      </c>
      <c r="AN13" s="47"/>
      <c r="AO13" s="47"/>
      <c r="AP13" s="47">
        <f t="shared" si="2"/>
        <v>0</v>
      </c>
      <c r="AQ13" s="48"/>
      <c r="AR13" s="48"/>
      <c r="AS13" s="50">
        <v>283</v>
      </c>
      <c r="AT13" s="50">
        <f t="shared" si="4"/>
        <v>0</v>
      </c>
    </row>
    <row r="14" spans="1:46">
      <c r="A14" s="47">
        <v>8</v>
      </c>
      <c r="B14" s="48" t="s">
        <v>74</v>
      </c>
      <c r="C14" s="48"/>
      <c r="D14" s="48"/>
      <c r="E14" s="48"/>
      <c r="F14" s="47">
        <v>30</v>
      </c>
      <c r="G14" s="47">
        <v>10</v>
      </c>
      <c r="H14" s="47">
        <v>20</v>
      </c>
      <c r="I14" s="47">
        <v>20</v>
      </c>
      <c r="J14" s="47">
        <v>40</v>
      </c>
      <c r="K14" s="47"/>
      <c r="L14" s="47"/>
      <c r="M14" s="47"/>
      <c r="N14" s="47"/>
      <c r="O14" s="47"/>
      <c r="P14" s="47"/>
      <c r="Q14" s="47"/>
      <c r="R14" s="49"/>
      <c r="S14" s="49"/>
      <c r="T14" s="49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>
        <f t="shared" si="0"/>
        <v>120</v>
      </c>
      <c r="AL14" s="47"/>
      <c r="AM14" s="47">
        <f t="shared" si="1"/>
        <v>120</v>
      </c>
      <c r="AN14" s="47"/>
      <c r="AO14" s="47"/>
      <c r="AP14" s="47">
        <f t="shared" si="2"/>
        <v>0</v>
      </c>
      <c r="AQ14" s="48"/>
      <c r="AR14" s="48"/>
      <c r="AS14" s="50">
        <v>283</v>
      </c>
      <c r="AT14" s="50">
        <f t="shared" si="4"/>
        <v>33960</v>
      </c>
    </row>
    <row r="15" spans="1:46">
      <c r="A15" s="47">
        <v>9</v>
      </c>
      <c r="B15" s="48"/>
      <c r="C15" s="48"/>
      <c r="D15" s="48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9"/>
      <c r="T15" s="49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>
        <f t="shared" si="0"/>
        <v>0</v>
      </c>
      <c r="AL15" s="47"/>
      <c r="AM15" s="47">
        <f t="shared" si="1"/>
        <v>0</v>
      </c>
      <c r="AN15" s="47"/>
      <c r="AO15" s="47"/>
      <c r="AP15" s="47">
        <f t="shared" si="2"/>
        <v>0</v>
      </c>
      <c r="AQ15" s="48"/>
      <c r="AR15" s="48"/>
      <c r="AS15" s="50">
        <v>283</v>
      </c>
      <c r="AT15" s="50">
        <f t="shared" si="4"/>
        <v>0</v>
      </c>
    </row>
    <row r="16" spans="1:46">
      <c r="A16" s="47"/>
      <c r="B16" s="48"/>
      <c r="C16" s="48"/>
      <c r="D16" s="48"/>
      <c r="E16" s="48"/>
      <c r="F16" s="51">
        <f t="shared" ref="F16:AJ16" si="5">SUM(F7:F15)</f>
        <v>50</v>
      </c>
      <c r="G16" s="51">
        <f t="shared" si="5"/>
        <v>50</v>
      </c>
      <c r="H16" s="51">
        <f t="shared" si="5"/>
        <v>80</v>
      </c>
      <c r="I16" s="51">
        <f t="shared" si="5"/>
        <v>65</v>
      </c>
      <c r="J16" s="51">
        <f t="shared" si="5"/>
        <v>115</v>
      </c>
      <c r="K16" s="51">
        <f t="shared" si="5"/>
        <v>0</v>
      </c>
      <c r="L16" s="51">
        <f t="shared" si="5"/>
        <v>0</v>
      </c>
      <c r="M16" s="51">
        <f t="shared" si="5"/>
        <v>0</v>
      </c>
      <c r="N16" s="51">
        <f t="shared" si="5"/>
        <v>0</v>
      </c>
      <c r="O16" s="51">
        <f t="shared" si="5"/>
        <v>0</v>
      </c>
      <c r="P16" s="51">
        <f t="shared" si="5"/>
        <v>0</v>
      </c>
      <c r="Q16" s="51">
        <f t="shared" si="5"/>
        <v>0</v>
      </c>
      <c r="R16" s="51">
        <f t="shared" si="5"/>
        <v>0</v>
      </c>
      <c r="S16" s="51">
        <f t="shared" si="5"/>
        <v>0</v>
      </c>
      <c r="T16" s="51">
        <f t="shared" si="5"/>
        <v>0</v>
      </c>
      <c r="U16" s="51">
        <f t="shared" si="5"/>
        <v>0</v>
      </c>
      <c r="V16" s="51">
        <f t="shared" si="5"/>
        <v>0</v>
      </c>
      <c r="W16" s="51">
        <f t="shared" si="5"/>
        <v>0</v>
      </c>
      <c r="X16" s="51">
        <f t="shared" si="5"/>
        <v>0</v>
      </c>
      <c r="Y16" s="51">
        <f t="shared" si="5"/>
        <v>0</v>
      </c>
      <c r="Z16" s="51">
        <f t="shared" si="5"/>
        <v>0</v>
      </c>
      <c r="AA16" s="51">
        <f t="shared" si="5"/>
        <v>0</v>
      </c>
      <c r="AB16" s="51">
        <f t="shared" si="5"/>
        <v>0</v>
      </c>
      <c r="AC16" s="51">
        <f t="shared" si="5"/>
        <v>0</v>
      </c>
      <c r="AD16" s="51">
        <f t="shared" si="5"/>
        <v>0</v>
      </c>
      <c r="AE16" s="51">
        <f t="shared" si="5"/>
        <v>0</v>
      </c>
      <c r="AF16" s="51">
        <f t="shared" si="5"/>
        <v>0</v>
      </c>
      <c r="AG16" s="51">
        <f t="shared" si="5"/>
        <v>0</v>
      </c>
      <c r="AH16" s="51">
        <f t="shared" si="5"/>
        <v>0</v>
      </c>
      <c r="AI16" s="51">
        <f t="shared" si="5"/>
        <v>0</v>
      </c>
      <c r="AJ16" s="51">
        <f t="shared" si="5"/>
        <v>0</v>
      </c>
      <c r="AK16" s="51">
        <f>SUM(AK7:AK13)</f>
        <v>240</v>
      </c>
      <c r="AL16" s="47"/>
      <c r="AM16" s="51">
        <f>SUM(AM7:AM13)</f>
        <v>240</v>
      </c>
      <c r="AN16" s="47"/>
      <c r="AO16" s="47"/>
      <c r="AP16" s="47"/>
      <c r="AQ16" s="48"/>
      <c r="AR16" s="48"/>
      <c r="AS16" s="50"/>
      <c r="AT16" s="52">
        <f>SUM(AT7:AT13)</f>
        <v>67920</v>
      </c>
    </row>
    <row r="17" spans="1:46" ht="22.5">
      <c r="A17" s="53" t="s">
        <v>61</v>
      </c>
      <c r="B17" s="54"/>
      <c r="C17" s="54"/>
      <c r="D17" s="46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</row>
    <row r="18" spans="1:46">
      <c r="A18" s="47">
        <v>1</v>
      </c>
      <c r="B18" s="48" t="s">
        <v>28</v>
      </c>
      <c r="C18" s="48"/>
      <c r="D18" s="48" t="s">
        <v>29</v>
      </c>
      <c r="E18" s="4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7"/>
      <c r="AH18" s="47"/>
      <c r="AI18" s="47"/>
      <c r="AJ18" s="47"/>
      <c r="AK18" s="47">
        <f t="shared" ref="AK18:AK23" si="6">SUM(F18:AJ18)</f>
        <v>0</v>
      </c>
      <c r="AL18" s="47">
        <v>0</v>
      </c>
      <c r="AM18" s="47">
        <f t="shared" ref="AM18:AM23" si="7">AL18+AK18</f>
        <v>0</v>
      </c>
      <c r="AN18" s="47"/>
      <c r="AO18" s="47"/>
      <c r="AP18" s="47">
        <f t="shared" ref="AP18:AP23" si="8">AO18-AN18</f>
        <v>0</v>
      </c>
      <c r="AQ18" s="48" t="e">
        <f t="shared" ref="AQ18:AQ21" si="9">AM18/AP18</f>
        <v>#DIV/0!</v>
      </c>
      <c r="AR18" s="48"/>
      <c r="AS18" s="50">
        <v>283</v>
      </c>
      <c r="AT18" s="50">
        <f t="shared" ref="AT18:AT23" si="10">AS18*AM18</f>
        <v>0</v>
      </c>
    </row>
    <row r="19" spans="1:46">
      <c r="A19" s="47">
        <v>2</v>
      </c>
      <c r="B19" s="48" t="s">
        <v>62</v>
      </c>
      <c r="C19" s="48"/>
      <c r="D19" s="48"/>
      <c r="E19" s="48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7"/>
      <c r="AH19" s="47"/>
      <c r="AI19" s="49"/>
      <c r="AJ19" s="47"/>
      <c r="AK19" s="47">
        <f t="shared" si="6"/>
        <v>0</v>
      </c>
      <c r="AL19" s="47"/>
      <c r="AM19" s="47">
        <f t="shared" si="7"/>
        <v>0</v>
      </c>
      <c r="AN19" s="47"/>
      <c r="AO19" s="47"/>
      <c r="AP19" s="47">
        <f t="shared" si="8"/>
        <v>0</v>
      </c>
      <c r="AQ19" s="48" t="e">
        <f t="shared" si="9"/>
        <v>#DIV/0!</v>
      </c>
      <c r="AR19" s="48"/>
      <c r="AS19" s="50">
        <v>283</v>
      </c>
      <c r="AT19" s="50">
        <f t="shared" si="10"/>
        <v>0</v>
      </c>
    </row>
    <row r="20" spans="1:46">
      <c r="A20" s="47">
        <v>3</v>
      </c>
      <c r="B20" s="48" t="s">
        <v>63</v>
      </c>
      <c r="C20" s="48"/>
      <c r="D20" s="48" t="s">
        <v>64</v>
      </c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7"/>
      <c r="AH20" s="47"/>
      <c r="AI20" s="49"/>
      <c r="AJ20" s="47"/>
      <c r="AK20" s="47">
        <f t="shared" si="6"/>
        <v>0</v>
      </c>
      <c r="AL20" s="47"/>
      <c r="AM20" s="47">
        <f t="shared" si="7"/>
        <v>0</v>
      </c>
      <c r="AN20" s="47"/>
      <c r="AO20" s="47"/>
      <c r="AP20" s="47">
        <f t="shared" si="8"/>
        <v>0</v>
      </c>
      <c r="AQ20" s="48" t="e">
        <f t="shared" si="9"/>
        <v>#DIV/0!</v>
      </c>
      <c r="AR20" s="48"/>
      <c r="AS20" s="50">
        <v>283</v>
      </c>
      <c r="AT20" s="50">
        <f t="shared" si="10"/>
        <v>0</v>
      </c>
    </row>
    <row r="21" spans="1:46" ht="15.75" customHeight="1">
      <c r="A21" s="47">
        <v>4</v>
      </c>
      <c r="B21" s="48" t="s">
        <v>65</v>
      </c>
      <c r="C21" s="48"/>
      <c r="D21" s="48" t="s">
        <v>66</v>
      </c>
      <c r="E21" s="48"/>
      <c r="F21" s="49">
        <f>SUM(70+10+25)</f>
        <v>105</v>
      </c>
      <c r="G21" s="49">
        <v>60</v>
      </c>
      <c r="H21" s="49">
        <v>75</v>
      </c>
      <c r="I21" s="49">
        <v>70</v>
      </c>
      <c r="J21" s="49">
        <v>135</v>
      </c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7"/>
      <c r="AH21" s="47"/>
      <c r="AI21" s="49"/>
      <c r="AJ21" s="47"/>
      <c r="AK21" s="47">
        <f t="shared" si="6"/>
        <v>445</v>
      </c>
      <c r="AL21" s="47"/>
      <c r="AM21" s="47">
        <f t="shared" si="7"/>
        <v>445</v>
      </c>
      <c r="AN21" s="47"/>
      <c r="AO21" s="47"/>
      <c r="AP21" s="47">
        <f t="shared" si="8"/>
        <v>0</v>
      </c>
      <c r="AQ21" s="48" t="e">
        <f t="shared" si="9"/>
        <v>#DIV/0!</v>
      </c>
      <c r="AR21" s="48"/>
      <c r="AS21" s="50">
        <v>283</v>
      </c>
      <c r="AT21" s="50">
        <f t="shared" si="10"/>
        <v>125935</v>
      </c>
    </row>
    <row r="22" spans="1:46" ht="15.75" customHeight="1">
      <c r="A22" s="47">
        <v>6</v>
      </c>
      <c r="B22" s="48" t="s">
        <v>67</v>
      </c>
      <c r="C22" s="48"/>
      <c r="D22" s="48" t="s">
        <v>68</v>
      </c>
      <c r="E22" s="48"/>
      <c r="F22" s="47"/>
      <c r="G22" s="47"/>
      <c r="H22" s="47">
        <v>10</v>
      </c>
      <c r="I22" s="47"/>
      <c r="J22" s="47"/>
      <c r="K22" s="47"/>
      <c r="L22" s="47"/>
      <c r="M22" s="47"/>
      <c r="N22" s="47"/>
      <c r="O22" s="47"/>
      <c r="P22" s="49"/>
      <c r="Q22" s="47"/>
      <c r="R22" s="47"/>
      <c r="S22" s="47"/>
      <c r="T22" s="49"/>
      <c r="U22" s="49"/>
      <c r="V22" s="49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9"/>
      <c r="AJ22" s="47"/>
      <c r="AK22" s="47">
        <f t="shared" si="6"/>
        <v>10</v>
      </c>
      <c r="AL22" s="47"/>
      <c r="AM22" s="47">
        <f t="shared" si="7"/>
        <v>10</v>
      </c>
      <c r="AN22" s="47"/>
      <c r="AO22" s="47"/>
      <c r="AP22" s="47">
        <f t="shared" si="8"/>
        <v>0</v>
      </c>
      <c r="AQ22" s="48">
        <f t="shared" ref="AQ22:AQ23" si="11">AP22/AM22</f>
        <v>0</v>
      </c>
      <c r="AR22" s="48"/>
      <c r="AS22" s="50">
        <v>283</v>
      </c>
      <c r="AT22" s="50">
        <f t="shared" si="10"/>
        <v>2830</v>
      </c>
    </row>
    <row r="23" spans="1:46" ht="15.75" customHeight="1">
      <c r="A23" s="47"/>
      <c r="B23" s="48" t="s">
        <v>70</v>
      </c>
      <c r="C23" s="48"/>
      <c r="D23" s="48"/>
      <c r="E23" s="48"/>
      <c r="F23" s="47">
        <f>SUM(20+20)</f>
        <v>40</v>
      </c>
      <c r="G23" s="47">
        <v>40</v>
      </c>
      <c r="H23" s="47">
        <v>20</v>
      </c>
      <c r="I23" s="47">
        <v>25</v>
      </c>
      <c r="J23" s="47">
        <v>40</v>
      </c>
      <c r="K23" s="47"/>
      <c r="L23" s="47"/>
      <c r="M23" s="47"/>
      <c r="N23" s="47"/>
      <c r="O23" s="47"/>
      <c r="P23" s="49"/>
      <c r="Q23" s="47"/>
      <c r="R23" s="47"/>
      <c r="S23" s="47"/>
      <c r="T23" s="49"/>
      <c r="U23" s="49"/>
      <c r="V23" s="49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9"/>
      <c r="AJ23" s="47"/>
      <c r="AK23" s="47">
        <f t="shared" si="6"/>
        <v>165</v>
      </c>
      <c r="AL23" s="47"/>
      <c r="AM23" s="47">
        <f t="shared" si="7"/>
        <v>165</v>
      </c>
      <c r="AN23" s="47"/>
      <c r="AO23" s="47"/>
      <c r="AP23" s="47">
        <f t="shared" si="8"/>
        <v>0</v>
      </c>
      <c r="AQ23" s="48">
        <f t="shared" si="11"/>
        <v>0</v>
      </c>
      <c r="AR23" s="48"/>
      <c r="AS23" s="50">
        <v>283</v>
      </c>
      <c r="AT23" s="50">
        <f t="shared" si="10"/>
        <v>46695</v>
      </c>
    </row>
    <row r="24" spans="1:46" ht="15.75" customHeight="1">
      <c r="A24" s="47"/>
      <c r="B24" s="48" t="s">
        <v>71</v>
      </c>
      <c r="C24" s="48"/>
      <c r="D24" s="48"/>
      <c r="E24" s="48"/>
      <c r="F24" s="47">
        <v>20</v>
      </c>
      <c r="G24" s="47"/>
      <c r="H24" s="47">
        <v>20</v>
      </c>
      <c r="I24" s="47">
        <v>10</v>
      </c>
      <c r="J24" s="47">
        <v>40</v>
      </c>
      <c r="K24" s="47"/>
      <c r="L24" s="47"/>
      <c r="M24" s="47"/>
      <c r="N24" s="47"/>
      <c r="O24" s="47"/>
      <c r="P24" s="49"/>
      <c r="Q24" s="47"/>
      <c r="R24" s="47"/>
      <c r="S24" s="47"/>
      <c r="T24" s="49"/>
      <c r="U24" s="49"/>
      <c r="V24" s="49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9"/>
      <c r="AJ24" s="47"/>
      <c r="AK24" s="47"/>
      <c r="AL24" s="47"/>
      <c r="AM24" s="47"/>
      <c r="AN24" s="47"/>
      <c r="AO24" s="47"/>
      <c r="AP24" s="47"/>
      <c r="AQ24" s="48"/>
      <c r="AR24" s="48"/>
      <c r="AS24" s="50"/>
      <c r="AT24" s="50"/>
    </row>
    <row r="25" spans="1:46" ht="15.75" customHeight="1">
      <c r="A25" s="47"/>
      <c r="B25" s="48" t="s">
        <v>72</v>
      </c>
      <c r="C25" s="48"/>
      <c r="D25" s="48"/>
      <c r="E25" s="48"/>
      <c r="F25" s="47">
        <f>SUM(30+20)</f>
        <v>50</v>
      </c>
      <c r="G25" s="47">
        <v>40</v>
      </c>
      <c r="H25" s="47">
        <v>45</v>
      </c>
      <c r="I25" s="47">
        <v>40</v>
      </c>
      <c r="J25" s="47">
        <v>80</v>
      </c>
      <c r="K25" s="47"/>
      <c r="L25" s="47"/>
      <c r="M25" s="47"/>
      <c r="N25" s="47"/>
      <c r="O25" s="47"/>
      <c r="P25" s="49"/>
      <c r="Q25" s="47"/>
      <c r="R25" s="47"/>
      <c r="S25" s="47"/>
      <c r="T25" s="49"/>
      <c r="U25" s="49"/>
      <c r="V25" s="49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9"/>
      <c r="AJ25" s="47"/>
      <c r="AK25" s="47"/>
      <c r="AL25" s="47"/>
      <c r="AM25" s="47"/>
      <c r="AN25" s="47"/>
      <c r="AO25" s="47"/>
      <c r="AP25" s="47"/>
      <c r="AQ25" s="48"/>
      <c r="AR25" s="48"/>
      <c r="AS25" s="50"/>
      <c r="AT25" s="50"/>
    </row>
    <row r="26" spans="1:46" ht="15.75" customHeight="1">
      <c r="A26" s="47"/>
      <c r="B26" s="48" t="s">
        <v>75</v>
      </c>
      <c r="C26" s="48"/>
      <c r="D26" s="48"/>
      <c r="E26" s="48"/>
      <c r="F26" s="47">
        <v>10</v>
      </c>
      <c r="G26" s="47">
        <v>10</v>
      </c>
      <c r="H26" s="47"/>
      <c r="I26" s="47">
        <v>10</v>
      </c>
      <c r="J26" s="47"/>
      <c r="K26" s="47"/>
      <c r="L26" s="47"/>
      <c r="M26" s="47"/>
      <c r="N26" s="47"/>
      <c r="O26" s="47"/>
      <c r="P26" s="49"/>
      <c r="Q26" s="47"/>
      <c r="R26" s="47"/>
      <c r="S26" s="47"/>
      <c r="T26" s="49"/>
      <c r="U26" s="49"/>
      <c r="V26" s="49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9"/>
      <c r="AJ26" s="47"/>
      <c r="AK26" s="47"/>
      <c r="AL26" s="47"/>
      <c r="AM26" s="47"/>
      <c r="AN26" s="47"/>
      <c r="AO26" s="47"/>
      <c r="AP26" s="47"/>
      <c r="AQ26" s="48"/>
      <c r="AR26" s="48"/>
      <c r="AS26" s="50"/>
      <c r="AT26" s="50"/>
    </row>
    <row r="27" spans="1:46" ht="15.75" customHeight="1">
      <c r="A27" s="47"/>
      <c r="B27" s="48" t="s">
        <v>76</v>
      </c>
      <c r="C27" s="48"/>
      <c r="D27" s="48"/>
      <c r="E27" s="48"/>
      <c r="F27" s="47">
        <v>15</v>
      </c>
      <c r="G27" s="47">
        <v>15</v>
      </c>
      <c r="H27" s="47">
        <v>15</v>
      </c>
      <c r="I27" s="47"/>
      <c r="J27" s="47">
        <v>20</v>
      </c>
      <c r="K27" s="47"/>
      <c r="L27" s="47"/>
      <c r="M27" s="47"/>
      <c r="N27" s="47"/>
      <c r="O27" s="47"/>
      <c r="P27" s="49"/>
      <c r="Q27" s="47"/>
      <c r="R27" s="47"/>
      <c r="S27" s="47"/>
      <c r="T27" s="49"/>
      <c r="U27" s="49"/>
      <c r="V27" s="49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9"/>
      <c r="AJ27" s="47"/>
      <c r="AK27" s="47"/>
      <c r="AL27" s="47"/>
      <c r="AM27" s="47"/>
      <c r="AN27" s="47"/>
      <c r="AO27" s="47"/>
      <c r="AP27" s="47"/>
      <c r="AQ27" s="48"/>
      <c r="AR27" s="48"/>
      <c r="AS27" s="50"/>
      <c r="AT27" s="50"/>
    </row>
    <row r="28" spans="1:46" ht="15.75" customHeight="1">
      <c r="A28" s="47"/>
      <c r="B28" s="48" t="s">
        <v>77</v>
      </c>
      <c r="C28" s="48"/>
      <c r="D28" s="48"/>
      <c r="E28" s="48"/>
      <c r="F28" s="47"/>
      <c r="G28" s="47"/>
      <c r="H28" s="47">
        <v>25</v>
      </c>
      <c r="I28" s="47">
        <v>20</v>
      </c>
      <c r="J28" s="47"/>
      <c r="K28" s="47"/>
      <c r="L28" s="47"/>
      <c r="M28" s="47"/>
      <c r="N28" s="47"/>
      <c r="O28" s="47"/>
      <c r="P28" s="49"/>
      <c r="Q28" s="47"/>
      <c r="R28" s="47"/>
      <c r="S28" s="47"/>
      <c r="T28" s="49"/>
      <c r="U28" s="49"/>
      <c r="V28" s="49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9"/>
      <c r="AJ28" s="47"/>
      <c r="AK28" s="47"/>
      <c r="AL28" s="47"/>
      <c r="AM28" s="47"/>
      <c r="AN28" s="47"/>
      <c r="AO28" s="47"/>
      <c r="AP28" s="47"/>
      <c r="AQ28" s="48"/>
      <c r="AR28" s="48"/>
      <c r="AS28" s="50"/>
      <c r="AT28" s="50"/>
    </row>
    <row r="29" spans="1:46" ht="15.75" customHeight="1">
      <c r="A29" s="47"/>
      <c r="B29" s="48"/>
      <c r="C29" s="48"/>
      <c r="D29" s="48"/>
      <c r="E29" s="48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9"/>
      <c r="Q29" s="47"/>
      <c r="R29" s="47"/>
      <c r="S29" s="47"/>
      <c r="T29" s="49"/>
      <c r="U29" s="49"/>
      <c r="V29" s="49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9"/>
      <c r="AJ29" s="47"/>
      <c r="AK29" s="47"/>
      <c r="AL29" s="47"/>
      <c r="AM29" s="47"/>
      <c r="AN29" s="47"/>
      <c r="AO29" s="47"/>
      <c r="AP29" s="47"/>
      <c r="AQ29" s="48"/>
      <c r="AR29" s="48"/>
      <c r="AS29" s="50"/>
      <c r="AT29" s="50"/>
    </row>
    <row r="30" spans="1:46" ht="15.75" customHeight="1">
      <c r="A30" s="47"/>
      <c r="B30" s="48"/>
      <c r="C30" s="48"/>
      <c r="D30" s="48"/>
      <c r="E30" s="48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9"/>
      <c r="Q30" s="47"/>
      <c r="R30" s="47"/>
      <c r="S30" s="47"/>
      <c r="T30" s="49"/>
      <c r="U30" s="49"/>
      <c r="V30" s="49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>
        <f>SUM(F30:AJ30)</f>
        <v>0</v>
      </c>
      <c r="AL30" s="47"/>
      <c r="AM30" s="47">
        <f>AL30+AK30</f>
        <v>0</v>
      </c>
      <c r="AN30" s="47"/>
      <c r="AO30" s="47"/>
      <c r="AP30" s="47">
        <f>AO30-AN30</f>
        <v>0</v>
      </c>
      <c r="AQ30" s="48" t="e">
        <f>AP30/AM30</f>
        <v>#DIV/0!</v>
      </c>
      <c r="AR30" s="48"/>
      <c r="AS30" s="50">
        <v>283</v>
      </c>
      <c r="AT30" s="50">
        <f>AS30*AM30</f>
        <v>0</v>
      </c>
    </row>
    <row r="31" spans="1:46" ht="15.75" customHeight="1">
      <c r="A31" s="21"/>
      <c r="B31" s="168" t="s">
        <v>27</v>
      </c>
      <c r="C31" s="169"/>
      <c r="D31" s="169"/>
      <c r="E31" s="170"/>
      <c r="F31" s="56">
        <f t="shared" ref="F31:AK31" si="12">SUM(F18:F30)</f>
        <v>240</v>
      </c>
      <c r="G31" s="56">
        <f t="shared" si="12"/>
        <v>165</v>
      </c>
      <c r="H31" s="56">
        <f t="shared" si="12"/>
        <v>210</v>
      </c>
      <c r="I31" s="56">
        <f t="shared" si="12"/>
        <v>175</v>
      </c>
      <c r="J31" s="56">
        <f t="shared" si="12"/>
        <v>315</v>
      </c>
      <c r="K31" s="56">
        <f t="shared" si="12"/>
        <v>0</v>
      </c>
      <c r="L31" s="56">
        <f t="shared" si="12"/>
        <v>0</v>
      </c>
      <c r="M31" s="56">
        <f t="shared" si="12"/>
        <v>0</v>
      </c>
      <c r="N31" s="56">
        <f t="shared" si="12"/>
        <v>0</v>
      </c>
      <c r="O31" s="56">
        <f t="shared" si="12"/>
        <v>0</v>
      </c>
      <c r="P31" s="56">
        <f t="shared" si="12"/>
        <v>0</v>
      </c>
      <c r="Q31" s="56">
        <f t="shared" si="12"/>
        <v>0</v>
      </c>
      <c r="R31" s="56">
        <f t="shared" si="12"/>
        <v>0</v>
      </c>
      <c r="S31" s="56">
        <f t="shared" si="12"/>
        <v>0</v>
      </c>
      <c r="T31" s="56">
        <f t="shared" si="12"/>
        <v>0</v>
      </c>
      <c r="U31" s="56">
        <f t="shared" si="12"/>
        <v>0</v>
      </c>
      <c r="V31" s="56">
        <f t="shared" si="12"/>
        <v>0</v>
      </c>
      <c r="W31" s="56">
        <f t="shared" si="12"/>
        <v>0</v>
      </c>
      <c r="X31" s="56">
        <f t="shared" si="12"/>
        <v>0</v>
      </c>
      <c r="Y31" s="56">
        <f t="shared" si="12"/>
        <v>0</v>
      </c>
      <c r="Z31" s="56">
        <f t="shared" si="12"/>
        <v>0</v>
      </c>
      <c r="AA31" s="56">
        <f t="shared" si="12"/>
        <v>0</v>
      </c>
      <c r="AB31" s="56">
        <f t="shared" si="12"/>
        <v>0</v>
      </c>
      <c r="AC31" s="56">
        <f t="shared" si="12"/>
        <v>0</v>
      </c>
      <c r="AD31" s="56">
        <f t="shared" si="12"/>
        <v>0</v>
      </c>
      <c r="AE31" s="56">
        <f t="shared" si="12"/>
        <v>0</v>
      </c>
      <c r="AF31" s="56">
        <f t="shared" si="12"/>
        <v>0</v>
      </c>
      <c r="AG31" s="56">
        <f t="shared" si="12"/>
        <v>0</v>
      </c>
      <c r="AH31" s="56">
        <f t="shared" si="12"/>
        <v>0</v>
      </c>
      <c r="AI31" s="56">
        <f t="shared" si="12"/>
        <v>0</v>
      </c>
      <c r="AJ31" s="56">
        <f t="shared" si="12"/>
        <v>0</v>
      </c>
      <c r="AK31" s="57">
        <f t="shared" si="12"/>
        <v>620</v>
      </c>
      <c r="AL31" s="57"/>
      <c r="AM31" s="57">
        <f>SUM(AM18:AM30)</f>
        <v>620</v>
      </c>
      <c r="AN31" s="21"/>
      <c r="AO31" s="21"/>
      <c r="AP31" s="21"/>
      <c r="AQ31" s="58"/>
      <c r="AR31" s="59"/>
      <c r="AS31" s="22"/>
      <c r="AT31" s="60">
        <f>SUM(AT7:AT30)</f>
        <v>345260</v>
      </c>
    </row>
    <row r="32" spans="1:46" ht="15.75" customHeight="1">
      <c r="A32" s="28"/>
      <c r="B32" s="29"/>
      <c r="C32" s="29"/>
      <c r="D32" s="29"/>
      <c r="E32" s="2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ht="15.75" customHeight="1">
      <c r="A33" s="28"/>
      <c r="B33" s="30" t="s">
        <v>31</v>
      </c>
      <c r="C33" s="29"/>
      <c r="D33" s="29"/>
      <c r="E33" s="29"/>
      <c r="F33" s="61">
        <v>517</v>
      </c>
      <c r="G33" s="61">
        <f t="shared" ref="G33:AJ33" si="13">F36</f>
        <v>227</v>
      </c>
      <c r="H33" s="61">
        <f t="shared" si="13"/>
        <v>12</v>
      </c>
      <c r="I33" s="61">
        <f t="shared" si="13"/>
        <v>477</v>
      </c>
      <c r="J33" s="61">
        <f t="shared" si="13"/>
        <v>237</v>
      </c>
      <c r="K33" s="61">
        <f t="shared" si="13"/>
        <v>-128</v>
      </c>
      <c r="L33" s="61">
        <f t="shared" si="13"/>
        <v>-128</v>
      </c>
      <c r="M33" s="61">
        <f t="shared" si="13"/>
        <v>-103</v>
      </c>
      <c r="N33" s="61">
        <f t="shared" si="13"/>
        <v>-103</v>
      </c>
      <c r="O33" s="61">
        <f t="shared" si="13"/>
        <v>-103</v>
      </c>
      <c r="P33" s="61">
        <f t="shared" si="13"/>
        <v>-103</v>
      </c>
      <c r="Q33" s="61">
        <f t="shared" si="13"/>
        <v>-68</v>
      </c>
      <c r="R33" s="61">
        <f t="shared" si="13"/>
        <v>212</v>
      </c>
      <c r="S33" s="61">
        <f t="shared" si="13"/>
        <v>212</v>
      </c>
      <c r="T33" s="61">
        <f t="shared" si="13"/>
        <v>252</v>
      </c>
      <c r="U33" s="61">
        <f t="shared" si="13"/>
        <v>252</v>
      </c>
      <c r="V33" s="61">
        <f t="shared" si="13"/>
        <v>292</v>
      </c>
      <c r="W33" s="61">
        <f t="shared" si="13"/>
        <v>292</v>
      </c>
      <c r="X33" s="61">
        <f t="shared" si="13"/>
        <v>522</v>
      </c>
      <c r="Y33" s="61">
        <f t="shared" si="13"/>
        <v>562</v>
      </c>
      <c r="Z33" s="61">
        <f t="shared" si="13"/>
        <v>787</v>
      </c>
      <c r="AA33" s="61">
        <f t="shared" si="13"/>
        <v>944</v>
      </c>
      <c r="AB33" s="61">
        <f t="shared" si="13"/>
        <v>987.71</v>
      </c>
      <c r="AC33" s="61">
        <f t="shared" si="13"/>
        <v>1097.71</v>
      </c>
      <c r="AD33" s="61">
        <f t="shared" si="13"/>
        <v>1856.03</v>
      </c>
      <c r="AE33" s="61">
        <f t="shared" si="13"/>
        <v>1886.03</v>
      </c>
      <c r="AF33" s="61">
        <f t="shared" si="13"/>
        <v>2063.0299999999997</v>
      </c>
      <c r="AG33" s="61">
        <f t="shared" si="13"/>
        <v>2127.83</v>
      </c>
      <c r="AH33" s="61">
        <f t="shared" si="13"/>
        <v>2287.83</v>
      </c>
      <c r="AI33" s="61">
        <f t="shared" si="13"/>
        <v>2311.83</v>
      </c>
      <c r="AJ33" s="61">
        <f t="shared" si="13"/>
        <v>2311.83</v>
      </c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spans="1:46" ht="15.75" customHeight="1">
      <c r="A34" s="28"/>
      <c r="B34" s="30" t="s">
        <v>32</v>
      </c>
      <c r="C34" s="29"/>
      <c r="D34" s="29"/>
      <c r="E34" s="29"/>
      <c r="F34" s="62"/>
      <c r="G34" s="62"/>
      <c r="H34" s="62">
        <v>755</v>
      </c>
      <c r="I34" s="62"/>
      <c r="J34" s="62">
        <v>65</v>
      </c>
      <c r="K34" s="62"/>
      <c r="L34" s="62">
        <v>25</v>
      </c>
      <c r="M34" s="62"/>
      <c r="N34" s="62"/>
      <c r="O34" s="62"/>
      <c r="P34" s="62">
        <v>35</v>
      </c>
      <c r="Q34" s="62">
        <v>280</v>
      </c>
      <c r="R34" s="62"/>
      <c r="S34" s="62">
        <v>40</v>
      </c>
      <c r="T34" s="62"/>
      <c r="U34" s="62">
        <v>40</v>
      </c>
      <c r="V34" s="62"/>
      <c r="W34" s="62">
        <v>230</v>
      </c>
      <c r="X34" s="62">
        <v>40</v>
      </c>
      <c r="Y34" s="62">
        <f>SUM(205+20)</f>
        <v>225</v>
      </c>
      <c r="Z34" s="62">
        <v>157</v>
      </c>
      <c r="AA34" s="62">
        <v>43.71</v>
      </c>
      <c r="AB34" s="62">
        <v>110</v>
      </c>
      <c r="AC34" s="62">
        <f>SUM(251.32+507)</f>
        <v>758.31999999999994</v>
      </c>
      <c r="AD34" s="62">
        <v>30</v>
      </c>
      <c r="AE34" s="62">
        <f>SUM(137+40)</f>
        <v>177</v>
      </c>
      <c r="AF34" s="62">
        <f>SUM(44.8+20)</f>
        <v>64.8</v>
      </c>
      <c r="AG34" s="62">
        <f>SUM(100+60)</f>
        <v>160</v>
      </c>
      <c r="AH34" s="62">
        <v>24</v>
      </c>
      <c r="AI34" s="62"/>
      <c r="AJ34" s="6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 ht="15.75" customHeight="1">
      <c r="A35" s="28"/>
      <c r="B35" s="12" t="s">
        <v>33</v>
      </c>
      <c r="C35" s="2"/>
      <c r="D35" s="2"/>
      <c r="E35" s="12"/>
      <c r="F35" s="12">
        <f t="shared" ref="F35:AJ35" si="14">SUM(F16+F31)</f>
        <v>290</v>
      </c>
      <c r="G35" s="12">
        <f t="shared" si="14"/>
        <v>215</v>
      </c>
      <c r="H35" s="12">
        <f t="shared" si="14"/>
        <v>290</v>
      </c>
      <c r="I35" s="12">
        <f t="shared" si="14"/>
        <v>240</v>
      </c>
      <c r="J35" s="12">
        <f t="shared" si="14"/>
        <v>430</v>
      </c>
      <c r="K35" s="12">
        <f t="shared" si="14"/>
        <v>0</v>
      </c>
      <c r="L35" s="12">
        <f t="shared" si="14"/>
        <v>0</v>
      </c>
      <c r="M35" s="12">
        <f t="shared" si="14"/>
        <v>0</v>
      </c>
      <c r="N35" s="12">
        <f t="shared" si="14"/>
        <v>0</v>
      </c>
      <c r="O35" s="12">
        <f t="shared" si="14"/>
        <v>0</v>
      </c>
      <c r="P35" s="12">
        <f t="shared" si="14"/>
        <v>0</v>
      </c>
      <c r="Q35" s="12">
        <f t="shared" si="14"/>
        <v>0</v>
      </c>
      <c r="R35" s="12">
        <f t="shared" si="14"/>
        <v>0</v>
      </c>
      <c r="S35" s="12">
        <f t="shared" si="14"/>
        <v>0</v>
      </c>
      <c r="T35" s="12">
        <f t="shared" si="14"/>
        <v>0</v>
      </c>
      <c r="U35" s="12">
        <f t="shared" si="14"/>
        <v>0</v>
      </c>
      <c r="V35" s="12">
        <f t="shared" si="14"/>
        <v>0</v>
      </c>
      <c r="W35" s="12">
        <f t="shared" si="14"/>
        <v>0</v>
      </c>
      <c r="X35" s="12">
        <f t="shared" si="14"/>
        <v>0</v>
      </c>
      <c r="Y35" s="12">
        <f t="shared" si="14"/>
        <v>0</v>
      </c>
      <c r="Z35" s="12">
        <f t="shared" si="14"/>
        <v>0</v>
      </c>
      <c r="AA35" s="12">
        <f t="shared" si="14"/>
        <v>0</v>
      </c>
      <c r="AB35" s="12">
        <f t="shared" si="14"/>
        <v>0</v>
      </c>
      <c r="AC35" s="12">
        <f t="shared" si="14"/>
        <v>0</v>
      </c>
      <c r="AD35" s="12">
        <f t="shared" si="14"/>
        <v>0</v>
      </c>
      <c r="AE35" s="12">
        <f t="shared" si="14"/>
        <v>0</v>
      </c>
      <c r="AF35" s="12">
        <f t="shared" si="14"/>
        <v>0</v>
      </c>
      <c r="AG35" s="12">
        <f t="shared" si="14"/>
        <v>0</v>
      </c>
      <c r="AH35" s="12">
        <f t="shared" si="14"/>
        <v>0</v>
      </c>
      <c r="AI35" s="12">
        <f t="shared" si="14"/>
        <v>0</v>
      </c>
      <c r="AJ35" s="12">
        <f t="shared" si="14"/>
        <v>0</v>
      </c>
      <c r="AK35" s="12">
        <f>SUM(AK31+AK16)</f>
        <v>860</v>
      </c>
      <c r="AL35" s="12"/>
      <c r="AM35" s="12">
        <f>SUM(AM31+AM16)</f>
        <v>860</v>
      </c>
      <c r="AN35" s="12"/>
      <c r="AO35" s="12"/>
      <c r="AP35" s="12"/>
      <c r="AQ35" s="12"/>
      <c r="AR35" s="12"/>
      <c r="AS35" s="12"/>
      <c r="AT35" s="32">
        <f>SUM(AT31+AT16)</f>
        <v>413180</v>
      </c>
    </row>
    <row r="36" spans="1:46" ht="15.75" customHeight="1">
      <c r="A36" s="28"/>
      <c r="B36" s="12" t="s">
        <v>34</v>
      </c>
      <c r="C36" s="2"/>
      <c r="D36" s="2"/>
      <c r="E36" s="12"/>
      <c r="F36" s="12">
        <f>SUM(F33+F34-F35)</f>
        <v>227</v>
      </c>
      <c r="G36" s="12">
        <f>(G33+G34)-G35</f>
        <v>12</v>
      </c>
      <c r="H36" s="12">
        <f>SUM(H33+H34-H35)</f>
        <v>477</v>
      </c>
      <c r="I36" s="12">
        <f t="shared" ref="I36:AJ36" si="15">(I33+I34)-I35</f>
        <v>237</v>
      </c>
      <c r="J36" s="12">
        <f t="shared" si="15"/>
        <v>-128</v>
      </c>
      <c r="K36" s="12">
        <f t="shared" si="15"/>
        <v>-128</v>
      </c>
      <c r="L36" s="12">
        <f t="shared" si="15"/>
        <v>-103</v>
      </c>
      <c r="M36" s="12">
        <f t="shared" si="15"/>
        <v>-103</v>
      </c>
      <c r="N36" s="12">
        <f t="shared" si="15"/>
        <v>-103</v>
      </c>
      <c r="O36" s="12">
        <f t="shared" si="15"/>
        <v>-103</v>
      </c>
      <c r="P36" s="12">
        <f t="shared" si="15"/>
        <v>-68</v>
      </c>
      <c r="Q36" s="12">
        <f t="shared" si="15"/>
        <v>212</v>
      </c>
      <c r="R36" s="12">
        <f t="shared" si="15"/>
        <v>212</v>
      </c>
      <c r="S36" s="12">
        <f t="shared" si="15"/>
        <v>252</v>
      </c>
      <c r="T36" s="12">
        <f t="shared" si="15"/>
        <v>252</v>
      </c>
      <c r="U36" s="12">
        <f t="shared" si="15"/>
        <v>292</v>
      </c>
      <c r="V36" s="12">
        <f t="shared" si="15"/>
        <v>292</v>
      </c>
      <c r="W36" s="12">
        <f t="shared" si="15"/>
        <v>522</v>
      </c>
      <c r="X36" s="12">
        <f t="shared" si="15"/>
        <v>562</v>
      </c>
      <c r="Y36" s="12">
        <f t="shared" si="15"/>
        <v>787</v>
      </c>
      <c r="Z36" s="12">
        <f t="shared" si="15"/>
        <v>944</v>
      </c>
      <c r="AA36" s="12">
        <f t="shared" si="15"/>
        <v>987.71</v>
      </c>
      <c r="AB36" s="12">
        <f t="shared" si="15"/>
        <v>1097.71</v>
      </c>
      <c r="AC36" s="12">
        <f t="shared" si="15"/>
        <v>1856.03</v>
      </c>
      <c r="AD36" s="12">
        <f t="shared" si="15"/>
        <v>1886.03</v>
      </c>
      <c r="AE36" s="12">
        <f t="shared" si="15"/>
        <v>2063.0299999999997</v>
      </c>
      <c r="AF36" s="12">
        <f t="shared" si="15"/>
        <v>2127.83</v>
      </c>
      <c r="AG36" s="12">
        <f t="shared" si="15"/>
        <v>2287.83</v>
      </c>
      <c r="AH36" s="12">
        <f t="shared" si="15"/>
        <v>2311.83</v>
      </c>
      <c r="AI36" s="12">
        <f t="shared" si="15"/>
        <v>2311.83</v>
      </c>
      <c r="AJ36" s="12">
        <f t="shared" si="15"/>
        <v>2311.83</v>
      </c>
      <c r="AK36" s="12"/>
      <c r="AL36" s="12"/>
      <c r="AM36" s="28"/>
      <c r="AN36" s="28"/>
      <c r="AO36" s="28"/>
      <c r="AP36" s="28"/>
      <c r="AQ36" s="12"/>
      <c r="AR36" s="12"/>
      <c r="AS36" s="32"/>
      <c r="AT36" s="12"/>
    </row>
    <row r="37" spans="1:46" ht="15.75" customHeight="1"/>
    <row r="38" spans="1:46" ht="15.75" customHeight="1"/>
    <row r="39" spans="1:46" ht="15.75" customHeight="1"/>
    <row r="40" spans="1:46" ht="15.75" customHeight="1"/>
    <row r="41" spans="1:46" ht="15.75" customHeight="1"/>
    <row r="42" spans="1:46" ht="15.75" customHeight="1"/>
    <row r="43" spans="1:46" ht="15.75" customHeight="1"/>
    <row r="44" spans="1:46" ht="15.75" customHeight="1"/>
    <row r="45" spans="1:46" ht="15.75" customHeight="1"/>
    <row r="46" spans="1:46" ht="15.75" customHeight="1"/>
    <row r="47" spans="1:46" ht="15.75" customHeight="1"/>
    <row r="48" spans="1:4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5:AJ5"/>
    <mergeCell ref="AK5:AK6"/>
    <mergeCell ref="B31:E31"/>
    <mergeCell ref="AS5:AS6"/>
    <mergeCell ref="AT5:AT6"/>
    <mergeCell ref="AL5:AL6"/>
    <mergeCell ref="AM5:AM6"/>
    <mergeCell ref="AN5:AN6"/>
    <mergeCell ref="AO5:AO6"/>
    <mergeCell ref="AP5:AP6"/>
    <mergeCell ref="AQ5:AQ6"/>
    <mergeCell ref="AR5:AR6"/>
    <mergeCell ref="A5:A6"/>
    <mergeCell ref="B5:B6"/>
    <mergeCell ref="C5:C6"/>
    <mergeCell ref="D5:D6"/>
    <mergeCell ref="E5:E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9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9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3" width="9" customWidth="1"/>
    <col min="4" max="4" width="14.5703125" customWidth="1"/>
    <col min="5" max="5" width="9" customWidth="1"/>
    <col min="6" max="6" width="6" customWidth="1"/>
    <col min="7" max="7" width="6.140625" customWidth="1"/>
    <col min="8" max="8" width="5.7109375" customWidth="1"/>
    <col min="9" max="10" width="4.7109375" customWidth="1"/>
    <col min="11" max="11" width="4.28515625" customWidth="1"/>
    <col min="12" max="12" width="4.5703125" customWidth="1"/>
    <col min="13" max="13" width="3.85546875" customWidth="1"/>
    <col min="14" max="14" width="4.7109375" customWidth="1"/>
    <col min="15" max="15" width="4.140625" customWidth="1"/>
    <col min="16" max="16" width="4.7109375" customWidth="1"/>
    <col min="17" max="18" width="4.140625" customWidth="1"/>
    <col min="19" max="19" width="4" customWidth="1"/>
    <col min="20" max="20" width="4.140625" customWidth="1"/>
    <col min="21" max="21" width="4.85546875" customWidth="1"/>
    <col min="22" max="22" width="4.140625" customWidth="1"/>
    <col min="23" max="23" width="6.85546875" customWidth="1"/>
    <col min="24" max="24" width="6" customWidth="1"/>
    <col min="25" max="25" width="6.140625" customWidth="1"/>
    <col min="26" max="26" width="4.85546875" customWidth="1"/>
    <col min="27" max="27" width="5.140625" customWidth="1"/>
    <col min="28" max="28" width="4.5703125" customWidth="1"/>
    <col min="29" max="29" width="4.28515625" customWidth="1"/>
    <col min="30" max="30" width="4.7109375" customWidth="1"/>
    <col min="31" max="31" width="5.5703125" customWidth="1"/>
    <col min="32" max="32" width="6" customWidth="1"/>
    <col min="33" max="33" width="6.85546875" customWidth="1"/>
    <col min="34" max="34" width="5.28515625" customWidth="1"/>
    <col min="35" max="35" width="5.140625" customWidth="1"/>
    <col min="36" max="45" width="9" customWidth="1"/>
    <col min="46" max="46" width="12.85546875" customWidth="1"/>
  </cols>
  <sheetData>
    <row r="1" spans="1:46" ht="15.75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"/>
      <c r="AL1" s="4"/>
      <c r="AM1" s="4"/>
      <c r="AN1" s="4"/>
      <c r="AO1" s="4"/>
      <c r="AP1" s="4"/>
      <c r="AQ1" s="2"/>
      <c r="AR1" s="2"/>
      <c r="AS1" s="5"/>
      <c r="AT1" s="2"/>
    </row>
    <row r="2" spans="1:46" ht="15.75">
      <c r="A2" s="1" t="s">
        <v>50</v>
      </c>
      <c r="B2" s="2"/>
      <c r="C2" s="2"/>
      <c r="D2" s="2"/>
      <c r="E2" s="3" t="s">
        <v>78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4"/>
      <c r="AM2" s="4"/>
      <c r="AN2" s="4"/>
      <c r="AO2" s="4"/>
      <c r="AP2" s="4"/>
      <c r="AQ2" s="2"/>
      <c r="AR2" s="2"/>
      <c r="AS2" s="5"/>
      <c r="AT2" s="2"/>
    </row>
    <row r="3" spans="1:46" ht="15.75">
      <c r="A3" s="1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/>
      <c r="AL3" s="4"/>
      <c r="AM3" s="4"/>
      <c r="AN3" s="4"/>
      <c r="AO3" s="4"/>
      <c r="AP3" s="4"/>
      <c r="AQ3" s="2"/>
      <c r="AR3" s="2"/>
      <c r="AS3" s="5"/>
      <c r="AT3" s="2"/>
    </row>
    <row r="4" spans="1:46" ht="22.5">
      <c r="A4" s="1"/>
      <c r="B4" s="2"/>
      <c r="C4" s="2"/>
      <c r="D4" s="46" t="s">
        <v>52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"/>
      <c r="AL4" s="4"/>
      <c r="AM4" s="4"/>
      <c r="AN4" s="4"/>
      <c r="AO4" s="4"/>
      <c r="AP4" s="4"/>
      <c r="AQ4" s="2"/>
      <c r="AR4" s="2"/>
      <c r="AS4" s="5"/>
      <c r="AT4" s="2"/>
    </row>
    <row r="5" spans="1:46" ht="15.75">
      <c r="A5" s="153" t="s">
        <v>6</v>
      </c>
      <c r="B5" s="153" t="s">
        <v>7</v>
      </c>
      <c r="C5" s="153" t="s">
        <v>8</v>
      </c>
      <c r="D5" s="153" t="s">
        <v>46</v>
      </c>
      <c r="E5" s="153" t="s">
        <v>10</v>
      </c>
      <c r="F5" s="165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7"/>
      <c r="AK5" s="153" t="s">
        <v>12</v>
      </c>
      <c r="AL5" s="153" t="s">
        <v>13</v>
      </c>
      <c r="AM5" s="153" t="s">
        <v>14</v>
      </c>
      <c r="AN5" s="153" t="s">
        <v>15</v>
      </c>
      <c r="AO5" s="153" t="s">
        <v>16</v>
      </c>
      <c r="AP5" s="153" t="s">
        <v>17</v>
      </c>
      <c r="AQ5" s="153" t="s">
        <v>18</v>
      </c>
      <c r="AR5" s="153" t="s">
        <v>19</v>
      </c>
      <c r="AS5" s="151" t="s">
        <v>20</v>
      </c>
      <c r="AT5" s="153" t="s">
        <v>21</v>
      </c>
    </row>
    <row r="6" spans="1:46">
      <c r="A6" s="152"/>
      <c r="B6" s="152"/>
      <c r="C6" s="152"/>
      <c r="D6" s="152"/>
      <c r="E6" s="152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152"/>
      <c r="AL6" s="152"/>
      <c r="AM6" s="152"/>
      <c r="AN6" s="152"/>
      <c r="AO6" s="152"/>
      <c r="AP6" s="152"/>
      <c r="AQ6" s="152"/>
      <c r="AR6" s="152"/>
      <c r="AS6" s="152"/>
      <c r="AT6" s="152"/>
    </row>
    <row r="7" spans="1:46">
      <c r="A7" s="47">
        <v>1</v>
      </c>
      <c r="B7" s="10"/>
      <c r="C7" s="48"/>
      <c r="D7" s="48" t="s">
        <v>22</v>
      </c>
      <c r="E7" s="48" t="s">
        <v>79</v>
      </c>
      <c r="F7" s="47">
        <v>0</v>
      </c>
      <c r="G7" s="47">
        <v>0</v>
      </c>
      <c r="H7" s="47">
        <v>30</v>
      </c>
      <c r="I7" s="47">
        <v>0</v>
      </c>
      <c r="J7" s="47">
        <v>70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62</v>
      </c>
      <c r="Q7" s="47">
        <v>0</v>
      </c>
      <c r="R7" s="49">
        <v>0</v>
      </c>
      <c r="S7" s="49">
        <v>0</v>
      </c>
      <c r="T7" s="47">
        <v>0</v>
      </c>
      <c r="U7" s="47">
        <v>41</v>
      </c>
      <c r="V7" s="47">
        <v>0</v>
      </c>
      <c r="W7" s="47">
        <v>0</v>
      </c>
      <c r="X7" s="47">
        <v>55</v>
      </c>
      <c r="Y7" s="47">
        <v>0</v>
      </c>
      <c r="Z7" s="47">
        <v>0</v>
      </c>
      <c r="AA7" s="47">
        <v>50</v>
      </c>
      <c r="AB7" s="47">
        <v>0</v>
      </c>
      <c r="AC7" s="47">
        <v>0</v>
      </c>
      <c r="AD7" s="47">
        <v>0</v>
      </c>
      <c r="AE7" s="47">
        <v>46.03</v>
      </c>
      <c r="AF7" s="47"/>
      <c r="AG7" s="47"/>
      <c r="AH7" s="47"/>
      <c r="AI7" s="47"/>
      <c r="AJ7" s="47">
        <v>68.27</v>
      </c>
      <c r="AK7" s="47">
        <f t="shared" ref="AK7:AK32" si="0">SUM(F7:AJ7)</f>
        <v>422.29999999999995</v>
      </c>
      <c r="AL7" s="47"/>
      <c r="AM7" s="47">
        <f t="shared" ref="AM7:AM32" si="1">SUM(AK7:AL7)</f>
        <v>422.29999999999995</v>
      </c>
      <c r="AN7" s="47"/>
      <c r="AO7" s="47"/>
      <c r="AP7" s="47">
        <f t="shared" ref="AP7:AP14" si="2">AO7-AN7</f>
        <v>0</v>
      </c>
      <c r="AQ7" s="48">
        <f t="shared" ref="AQ7:AQ10" si="3">AP7/AM7</f>
        <v>0</v>
      </c>
      <c r="AR7" s="48"/>
      <c r="AS7" s="50">
        <v>277</v>
      </c>
      <c r="AT7" s="50">
        <f t="shared" ref="AT7:AT32" si="4">AS7*AM7</f>
        <v>116977.09999999999</v>
      </c>
    </row>
    <row r="8" spans="1:46">
      <c r="A8" s="47">
        <v>2</v>
      </c>
      <c r="B8" s="14"/>
      <c r="C8" s="48"/>
      <c r="D8" s="48" t="s">
        <v>47</v>
      </c>
      <c r="E8" s="48"/>
      <c r="F8" s="47">
        <v>20</v>
      </c>
      <c r="G8" s="47">
        <v>0</v>
      </c>
      <c r="H8" s="49">
        <v>0</v>
      </c>
      <c r="I8" s="47">
        <v>0</v>
      </c>
      <c r="J8" s="47">
        <v>0</v>
      </c>
      <c r="K8" s="47">
        <v>10</v>
      </c>
      <c r="L8" s="47">
        <v>10</v>
      </c>
      <c r="M8" s="47">
        <v>20</v>
      </c>
      <c r="N8" s="47">
        <v>15</v>
      </c>
      <c r="O8" s="47">
        <v>20</v>
      </c>
      <c r="P8" s="49">
        <v>0</v>
      </c>
      <c r="Q8" s="47">
        <v>0</v>
      </c>
      <c r="R8" s="49">
        <v>25</v>
      </c>
      <c r="S8" s="63">
        <v>25</v>
      </c>
      <c r="T8" s="49">
        <v>25</v>
      </c>
      <c r="U8" s="49">
        <v>25</v>
      </c>
      <c r="V8" s="47">
        <v>0</v>
      </c>
      <c r="W8" s="47">
        <v>20</v>
      </c>
      <c r="X8" s="47">
        <v>0</v>
      </c>
      <c r="Y8" s="47">
        <v>25</v>
      </c>
      <c r="Z8" s="47">
        <v>0</v>
      </c>
      <c r="AA8" s="47">
        <v>40</v>
      </c>
      <c r="AB8" s="47">
        <v>0</v>
      </c>
      <c r="AC8" s="47">
        <v>0</v>
      </c>
      <c r="AD8" s="47">
        <v>0</v>
      </c>
      <c r="AE8" s="47"/>
      <c r="AF8" s="47"/>
      <c r="AG8" s="47">
        <v>20</v>
      </c>
      <c r="AH8" s="64">
        <v>25</v>
      </c>
      <c r="AI8" s="64">
        <v>20</v>
      </c>
      <c r="AJ8" s="47"/>
      <c r="AK8" s="47">
        <f t="shared" si="0"/>
        <v>345</v>
      </c>
      <c r="AL8" s="47"/>
      <c r="AM8" s="47">
        <f t="shared" si="1"/>
        <v>345</v>
      </c>
      <c r="AN8" s="47"/>
      <c r="AO8" s="47"/>
      <c r="AP8" s="47">
        <f t="shared" si="2"/>
        <v>0</v>
      </c>
      <c r="AQ8" s="48">
        <f t="shared" si="3"/>
        <v>0</v>
      </c>
      <c r="AR8" s="48"/>
      <c r="AS8" s="50">
        <v>277</v>
      </c>
      <c r="AT8" s="50">
        <f t="shared" si="4"/>
        <v>95565</v>
      </c>
    </row>
    <row r="9" spans="1:46">
      <c r="A9" s="47">
        <v>3</v>
      </c>
      <c r="B9" s="14"/>
      <c r="C9" s="48"/>
      <c r="D9" s="48" t="s">
        <v>80</v>
      </c>
      <c r="E9" s="48"/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25</v>
      </c>
      <c r="O9" s="47">
        <v>0</v>
      </c>
      <c r="P9" s="47">
        <v>0</v>
      </c>
      <c r="Q9" s="47">
        <v>0</v>
      </c>
      <c r="R9" s="49">
        <v>0</v>
      </c>
      <c r="S9" s="49">
        <v>10</v>
      </c>
      <c r="T9" s="49">
        <v>0</v>
      </c>
      <c r="U9" s="47">
        <v>0</v>
      </c>
      <c r="V9" s="47">
        <v>0</v>
      </c>
      <c r="W9" s="47">
        <v>0</v>
      </c>
      <c r="X9" s="47">
        <v>40</v>
      </c>
      <c r="Y9" s="47">
        <v>0</v>
      </c>
      <c r="Z9" s="47">
        <v>25</v>
      </c>
      <c r="AA9" s="47">
        <v>0</v>
      </c>
      <c r="AB9" s="47">
        <v>40</v>
      </c>
      <c r="AC9" s="47">
        <v>20</v>
      </c>
      <c r="AD9" s="47">
        <v>40</v>
      </c>
      <c r="AE9" s="47">
        <v>30</v>
      </c>
      <c r="AF9" s="47"/>
      <c r="AG9" s="47"/>
      <c r="AH9" s="47"/>
      <c r="AI9" s="47"/>
      <c r="AJ9" s="47"/>
      <c r="AK9" s="47">
        <f t="shared" si="0"/>
        <v>230</v>
      </c>
      <c r="AL9" s="47"/>
      <c r="AM9" s="47">
        <f t="shared" si="1"/>
        <v>230</v>
      </c>
      <c r="AN9" s="47"/>
      <c r="AO9" s="47"/>
      <c r="AP9" s="47">
        <f t="shared" si="2"/>
        <v>0</v>
      </c>
      <c r="AQ9" s="48">
        <f t="shared" si="3"/>
        <v>0</v>
      </c>
      <c r="AR9" s="48"/>
      <c r="AS9" s="50">
        <v>277</v>
      </c>
      <c r="AT9" s="50">
        <f t="shared" si="4"/>
        <v>63710</v>
      </c>
    </row>
    <row r="10" spans="1:46">
      <c r="A10" s="47">
        <v>4</v>
      </c>
      <c r="B10" s="48"/>
      <c r="C10" s="48"/>
      <c r="D10" s="48" t="s">
        <v>58</v>
      </c>
      <c r="E10" s="48"/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30</v>
      </c>
      <c r="R10" s="49">
        <v>0</v>
      </c>
      <c r="S10" s="49">
        <v>0</v>
      </c>
      <c r="T10" s="49">
        <v>0</v>
      </c>
      <c r="U10" s="47">
        <v>0</v>
      </c>
      <c r="V10" s="47">
        <v>40</v>
      </c>
      <c r="W10" s="47">
        <v>0</v>
      </c>
      <c r="X10" s="47">
        <v>0</v>
      </c>
      <c r="Y10" s="47">
        <v>55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/>
      <c r="AF10" s="47"/>
      <c r="AG10" s="47"/>
      <c r="AH10" s="47"/>
      <c r="AI10" s="47"/>
      <c r="AJ10" s="47"/>
      <c r="AK10" s="47">
        <f t="shared" si="0"/>
        <v>125</v>
      </c>
      <c r="AL10" s="47"/>
      <c r="AM10" s="47">
        <f t="shared" si="1"/>
        <v>125</v>
      </c>
      <c r="AN10" s="47"/>
      <c r="AO10" s="47"/>
      <c r="AP10" s="47">
        <f t="shared" si="2"/>
        <v>0</v>
      </c>
      <c r="AQ10" s="48">
        <f t="shared" si="3"/>
        <v>0</v>
      </c>
      <c r="AR10" s="48"/>
      <c r="AS10" s="50">
        <v>277</v>
      </c>
      <c r="AT10" s="50">
        <f t="shared" si="4"/>
        <v>34625</v>
      </c>
    </row>
    <row r="11" spans="1:46">
      <c r="A11" s="47">
        <v>5</v>
      </c>
      <c r="B11" s="48"/>
      <c r="C11" s="48"/>
      <c r="D11" s="48" t="s">
        <v>69</v>
      </c>
      <c r="E11" s="48"/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9">
        <v>0</v>
      </c>
      <c r="S11" s="49">
        <v>0</v>
      </c>
      <c r="T11" s="49">
        <v>40</v>
      </c>
      <c r="U11" s="47">
        <v>40</v>
      </c>
      <c r="V11" s="47">
        <v>0</v>
      </c>
      <c r="W11" s="47">
        <v>40</v>
      </c>
      <c r="X11" s="47">
        <v>40</v>
      </c>
      <c r="Y11" s="47">
        <v>35</v>
      </c>
      <c r="Z11" s="47">
        <v>0</v>
      </c>
      <c r="AA11" s="47">
        <v>0</v>
      </c>
      <c r="AB11" s="47">
        <v>40</v>
      </c>
      <c r="AC11" s="47">
        <v>0</v>
      </c>
      <c r="AD11" s="47">
        <v>0</v>
      </c>
      <c r="AE11" s="47">
        <v>20</v>
      </c>
      <c r="AF11" s="47">
        <v>70</v>
      </c>
      <c r="AG11" s="47">
        <v>40</v>
      </c>
      <c r="AH11" s="47"/>
      <c r="AI11" s="47"/>
      <c r="AJ11" s="47"/>
      <c r="AK11" s="47">
        <f t="shared" si="0"/>
        <v>365</v>
      </c>
      <c r="AL11" s="47"/>
      <c r="AM11" s="47">
        <f t="shared" si="1"/>
        <v>365</v>
      </c>
      <c r="AN11" s="47"/>
      <c r="AO11" s="47"/>
      <c r="AP11" s="47">
        <f t="shared" si="2"/>
        <v>0</v>
      </c>
      <c r="AQ11" s="48"/>
      <c r="AR11" s="48"/>
      <c r="AS11" s="50">
        <v>277</v>
      </c>
      <c r="AT11" s="50">
        <f t="shared" si="4"/>
        <v>101105</v>
      </c>
    </row>
    <row r="12" spans="1:46">
      <c r="A12" s="47">
        <v>6</v>
      </c>
      <c r="B12" s="48"/>
      <c r="C12" s="48"/>
      <c r="D12" s="48" t="s">
        <v>81</v>
      </c>
      <c r="E12" s="48"/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20</v>
      </c>
      <c r="P12" s="47">
        <v>10</v>
      </c>
      <c r="Q12" s="47">
        <v>0</v>
      </c>
      <c r="R12" s="49">
        <v>10</v>
      </c>
      <c r="S12" s="49">
        <v>0</v>
      </c>
      <c r="T12" s="49">
        <v>0</v>
      </c>
      <c r="U12" s="47">
        <v>10</v>
      </c>
      <c r="V12" s="47">
        <v>10</v>
      </c>
      <c r="W12" s="47">
        <v>20</v>
      </c>
      <c r="X12" s="47">
        <v>0</v>
      </c>
      <c r="Y12" s="47">
        <v>10</v>
      </c>
      <c r="Z12" s="47">
        <v>0</v>
      </c>
      <c r="AA12" s="47">
        <v>10</v>
      </c>
      <c r="AB12" s="47">
        <v>25</v>
      </c>
      <c r="AC12" s="47">
        <v>0</v>
      </c>
      <c r="AD12" s="47">
        <v>0</v>
      </c>
      <c r="AE12" s="47"/>
      <c r="AF12" s="47">
        <v>5</v>
      </c>
      <c r="AG12" s="47"/>
      <c r="AH12" s="47">
        <v>10</v>
      </c>
      <c r="AI12" s="47"/>
      <c r="AJ12" s="47"/>
      <c r="AK12" s="47">
        <f t="shared" si="0"/>
        <v>140</v>
      </c>
      <c r="AL12" s="47"/>
      <c r="AM12" s="47">
        <f t="shared" si="1"/>
        <v>140</v>
      </c>
      <c r="AN12" s="47"/>
      <c r="AO12" s="47"/>
      <c r="AP12" s="47">
        <f t="shared" si="2"/>
        <v>0</v>
      </c>
      <c r="AQ12" s="48"/>
      <c r="AR12" s="48"/>
      <c r="AS12" s="50">
        <v>277</v>
      </c>
      <c r="AT12" s="50">
        <f t="shared" si="4"/>
        <v>38780</v>
      </c>
    </row>
    <row r="13" spans="1:46">
      <c r="A13" s="47">
        <v>7</v>
      </c>
      <c r="B13" s="48"/>
      <c r="C13" s="48"/>
      <c r="D13" s="48" t="s">
        <v>60</v>
      </c>
      <c r="E13" s="48"/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9">
        <v>10</v>
      </c>
      <c r="S13" s="49">
        <v>0</v>
      </c>
      <c r="T13" s="49">
        <v>0</v>
      </c>
      <c r="U13" s="47">
        <v>0</v>
      </c>
      <c r="V13" s="47">
        <v>70</v>
      </c>
      <c r="W13" s="47">
        <v>10</v>
      </c>
      <c r="X13" s="47">
        <v>40</v>
      </c>
      <c r="Y13" s="47">
        <v>75</v>
      </c>
      <c r="Z13" s="47">
        <v>45</v>
      </c>
      <c r="AA13" s="47">
        <v>40</v>
      </c>
      <c r="AB13" s="47">
        <v>0</v>
      </c>
      <c r="AC13" s="47">
        <v>0</v>
      </c>
      <c r="AD13" s="47">
        <v>0</v>
      </c>
      <c r="AE13" s="47"/>
      <c r="AF13" s="47">
        <v>70</v>
      </c>
      <c r="AG13" s="47">
        <v>40</v>
      </c>
      <c r="AH13" s="47"/>
      <c r="AI13" s="47"/>
      <c r="AJ13" s="47"/>
      <c r="AK13" s="47">
        <f t="shared" si="0"/>
        <v>400</v>
      </c>
      <c r="AL13" s="47"/>
      <c r="AM13" s="47">
        <f t="shared" si="1"/>
        <v>400</v>
      </c>
      <c r="AN13" s="47"/>
      <c r="AO13" s="47"/>
      <c r="AP13" s="47">
        <f t="shared" si="2"/>
        <v>0</v>
      </c>
      <c r="AQ13" s="48"/>
      <c r="AR13" s="48"/>
      <c r="AS13" s="50">
        <v>277</v>
      </c>
      <c r="AT13" s="50">
        <f t="shared" si="4"/>
        <v>110800</v>
      </c>
    </row>
    <row r="14" spans="1:46">
      <c r="A14" s="47">
        <v>8</v>
      </c>
      <c r="B14" s="48"/>
      <c r="C14" s="48"/>
      <c r="D14" s="48" t="s">
        <v>48</v>
      </c>
      <c r="E14" s="48"/>
      <c r="F14" s="47">
        <v>0</v>
      </c>
      <c r="G14" s="47">
        <v>0</v>
      </c>
      <c r="H14" s="47">
        <v>0</v>
      </c>
      <c r="I14" s="47">
        <v>0</v>
      </c>
      <c r="J14" s="47">
        <v>20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20</v>
      </c>
      <c r="Q14" s="47">
        <v>20</v>
      </c>
      <c r="R14" s="49">
        <v>0</v>
      </c>
      <c r="S14" s="49">
        <v>0</v>
      </c>
      <c r="T14" s="49">
        <v>0</v>
      </c>
      <c r="U14" s="47">
        <v>0</v>
      </c>
      <c r="V14" s="47">
        <v>0</v>
      </c>
      <c r="W14" s="47">
        <v>10</v>
      </c>
      <c r="X14" s="47">
        <v>20</v>
      </c>
      <c r="Y14" s="47">
        <v>0</v>
      </c>
      <c r="Z14" s="47">
        <v>20</v>
      </c>
      <c r="AA14" s="47">
        <v>0</v>
      </c>
      <c r="AB14" s="47">
        <v>0</v>
      </c>
      <c r="AC14" s="47">
        <v>0</v>
      </c>
      <c r="AD14" s="47">
        <v>0</v>
      </c>
      <c r="AE14" s="47">
        <v>20</v>
      </c>
      <c r="AF14" s="47"/>
      <c r="AG14" s="47">
        <v>20</v>
      </c>
      <c r="AH14" s="47"/>
      <c r="AI14" s="47"/>
      <c r="AJ14" s="47"/>
      <c r="AK14" s="47">
        <f t="shared" si="0"/>
        <v>150</v>
      </c>
      <c r="AL14" s="47"/>
      <c r="AM14" s="47">
        <f t="shared" si="1"/>
        <v>150</v>
      </c>
      <c r="AN14" s="47"/>
      <c r="AO14" s="47"/>
      <c r="AP14" s="47">
        <f t="shared" si="2"/>
        <v>0</v>
      </c>
      <c r="AQ14" s="48"/>
      <c r="AR14" s="48"/>
      <c r="AS14" s="50">
        <v>277</v>
      </c>
      <c r="AT14" s="50">
        <f t="shared" si="4"/>
        <v>41550</v>
      </c>
    </row>
    <row r="15" spans="1:46">
      <c r="A15" s="47">
        <v>9</v>
      </c>
      <c r="B15" s="48"/>
      <c r="C15" s="48"/>
      <c r="D15" s="48" t="s">
        <v>82</v>
      </c>
      <c r="E15" s="48"/>
      <c r="F15" s="47">
        <v>20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20</v>
      </c>
      <c r="O15" s="47">
        <v>25</v>
      </c>
      <c r="P15" s="47">
        <v>20</v>
      </c>
      <c r="Q15" s="47">
        <v>20</v>
      </c>
      <c r="R15" s="49">
        <v>20</v>
      </c>
      <c r="S15" s="49">
        <v>20</v>
      </c>
      <c r="T15" s="49">
        <v>20</v>
      </c>
      <c r="U15" s="47">
        <v>20</v>
      </c>
      <c r="V15" s="47">
        <v>25</v>
      </c>
      <c r="W15" s="47">
        <v>25</v>
      </c>
      <c r="X15" s="47">
        <v>0</v>
      </c>
      <c r="Y15" s="47">
        <v>25</v>
      </c>
      <c r="Z15" s="47">
        <v>25</v>
      </c>
      <c r="AA15" s="47">
        <v>25</v>
      </c>
      <c r="AB15" s="47">
        <v>25</v>
      </c>
      <c r="AC15" s="47">
        <v>0</v>
      </c>
      <c r="AD15" s="47">
        <v>0</v>
      </c>
      <c r="AE15" s="47">
        <v>20</v>
      </c>
      <c r="AF15" s="47"/>
      <c r="AG15" s="47">
        <v>50</v>
      </c>
      <c r="AH15" s="47">
        <v>25</v>
      </c>
      <c r="AI15" s="47"/>
      <c r="AJ15" s="47"/>
      <c r="AK15" s="47">
        <f t="shared" si="0"/>
        <v>430</v>
      </c>
      <c r="AL15" s="47"/>
      <c r="AM15" s="47">
        <f t="shared" si="1"/>
        <v>430</v>
      </c>
      <c r="AN15" s="47"/>
      <c r="AO15" s="47"/>
      <c r="AP15" s="47"/>
      <c r="AQ15" s="48"/>
      <c r="AR15" s="48"/>
      <c r="AS15" s="50">
        <v>277</v>
      </c>
      <c r="AT15" s="50">
        <f t="shared" si="4"/>
        <v>119110</v>
      </c>
    </row>
    <row r="16" spans="1:46">
      <c r="A16" s="47">
        <v>10</v>
      </c>
      <c r="B16" s="48"/>
      <c r="C16" s="48"/>
      <c r="D16" s="48" t="s">
        <v>83</v>
      </c>
      <c r="E16" s="48"/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9">
        <v>0</v>
      </c>
      <c r="S16" s="49">
        <v>0</v>
      </c>
      <c r="T16" s="49">
        <v>20</v>
      </c>
      <c r="U16" s="47">
        <v>20</v>
      </c>
      <c r="V16" s="47">
        <v>20</v>
      </c>
      <c r="W16" s="47">
        <v>20</v>
      </c>
      <c r="X16" s="47">
        <v>0</v>
      </c>
      <c r="Y16" s="47">
        <v>30</v>
      </c>
      <c r="Z16" s="47">
        <v>20</v>
      </c>
      <c r="AA16" s="47">
        <v>20</v>
      </c>
      <c r="AB16" s="47">
        <v>20</v>
      </c>
      <c r="AC16" s="47">
        <v>0</v>
      </c>
      <c r="AD16" s="47">
        <v>0</v>
      </c>
      <c r="AE16" s="47"/>
      <c r="AF16" s="47">
        <v>20</v>
      </c>
      <c r="AG16" s="47">
        <v>20</v>
      </c>
      <c r="AH16" s="47">
        <v>20</v>
      </c>
      <c r="AI16" s="47">
        <v>20</v>
      </c>
      <c r="AJ16" s="47"/>
      <c r="AK16" s="47">
        <f t="shared" si="0"/>
        <v>250</v>
      </c>
      <c r="AL16" s="47"/>
      <c r="AM16" s="47">
        <f t="shared" si="1"/>
        <v>250</v>
      </c>
      <c r="AN16" s="47"/>
      <c r="AO16" s="47"/>
      <c r="AP16" s="47"/>
      <c r="AQ16" s="48"/>
      <c r="AR16" s="48"/>
      <c r="AS16" s="50">
        <v>277</v>
      </c>
      <c r="AT16" s="50">
        <f t="shared" si="4"/>
        <v>69250</v>
      </c>
    </row>
    <row r="17" spans="1:46">
      <c r="A17" s="47">
        <v>11</v>
      </c>
      <c r="B17" s="48"/>
      <c r="C17" s="48"/>
      <c r="D17" s="48" t="s">
        <v>84</v>
      </c>
      <c r="E17" s="48"/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15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9">
        <v>0</v>
      </c>
      <c r="S17" s="49">
        <v>0</v>
      </c>
      <c r="T17" s="49">
        <v>0</v>
      </c>
      <c r="U17" s="47">
        <v>0</v>
      </c>
      <c r="V17" s="47">
        <v>0</v>
      </c>
      <c r="W17" s="47">
        <v>0</v>
      </c>
      <c r="X17" s="47">
        <v>35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/>
      <c r="AF17" s="47"/>
      <c r="AG17" s="47"/>
      <c r="AH17" s="47"/>
      <c r="AI17" s="47"/>
      <c r="AJ17" s="47"/>
      <c r="AK17" s="47">
        <f t="shared" si="0"/>
        <v>50</v>
      </c>
      <c r="AL17" s="47"/>
      <c r="AM17" s="47">
        <f t="shared" si="1"/>
        <v>50</v>
      </c>
      <c r="AN17" s="47"/>
      <c r="AO17" s="47"/>
      <c r="AP17" s="47"/>
      <c r="AQ17" s="48"/>
      <c r="AR17" s="48"/>
      <c r="AS17" s="50">
        <v>277</v>
      </c>
      <c r="AT17" s="50">
        <f t="shared" si="4"/>
        <v>13850</v>
      </c>
    </row>
    <row r="18" spans="1:46">
      <c r="A18" s="47">
        <v>12</v>
      </c>
      <c r="B18" s="48"/>
      <c r="C18" s="48"/>
      <c r="D18" s="48" t="s">
        <v>85</v>
      </c>
      <c r="E18" s="48"/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9">
        <v>0</v>
      </c>
      <c r="S18" s="49">
        <v>0</v>
      </c>
      <c r="T18" s="49">
        <v>0</v>
      </c>
      <c r="U18" s="47">
        <v>35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/>
      <c r="AF18" s="47"/>
      <c r="AG18" s="47"/>
      <c r="AH18" s="47"/>
      <c r="AI18" s="47"/>
      <c r="AJ18" s="47"/>
      <c r="AK18" s="47">
        <f t="shared" si="0"/>
        <v>35</v>
      </c>
      <c r="AL18" s="47"/>
      <c r="AM18" s="47">
        <f t="shared" si="1"/>
        <v>35</v>
      </c>
      <c r="AN18" s="47"/>
      <c r="AO18" s="47"/>
      <c r="AP18" s="47"/>
      <c r="AQ18" s="48"/>
      <c r="AR18" s="48"/>
      <c r="AS18" s="50">
        <v>277</v>
      </c>
      <c r="AT18" s="50">
        <f t="shared" si="4"/>
        <v>9695</v>
      </c>
    </row>
    <row r="19" spans="1:46">
      <c r="A19" s="47">
        <v>13</v>
      </c>
      <c r="B19" s="48"/>
      <c r="C19" s="48"/>
      <c r="D19" s="48" t="s">
        <v>74</v>
      </c>
      <c r="E19" s="48"/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9">
        <v>0</v>
      </c>
      <c r="S19" s="49">
        <v>0</v>
      </c>
      <c r="T19" s="49">
        <v>40</v>
      </c>
      <c r="U19" s="47">
        <v>40</v>
      </c>
      <c r="V19" s="47">
        <v>0</v>
      </c>
      <c r="W19" s="47">
        <v>45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/>
      <c r="AF19" s="47"/>
      <c r="AG19" s="47"/>
      <c r="AH19" s="47"/>
      <c r="AI19" s="47"/>
      <c r="AJ19" s="47"/>
      <c r="AK19" s="47">
        <f t="shared" si="0"/>
        <v>125</v>
      </c>
      <c r="AL19" s="47"/>
      <c r="AM19" s="47">
        <f t="shared" si="1"/>
        <v>125</v>
      </c>
      <c r="AN19" s="47"/>
      <c r="AO19" s="47"/>
      <c r="AP19" s="47"/>
      <c r="AQ19" s="48"/>
      <c r="AR19" s="48"/>
      <c r="AS19" s="50">
        <v>277</v>
      </c>
      <c r="AT19" s="50">
        <f t="shared" si="4"/>
        <v>34625</v>
      </c>
    </row>
    <row r="20" spans="1:46">
      <c r="A20" s="47">
        <v>14</v>
      </c>
      <c r="B20" s="48"/>
      <c r="C20" s="48"/>
      <c r="D20" s="48" t="s">
        <v>86</v>
      </c>
      <c r="E20" s="48"/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9">
        <v>0</v>
      </c>
      <c r="S20" s="49">
        <v>0</v>
      </c>
      <c r="T20" s="49">
        <v>40</v>
      </c>
      <c r="U20" s="47">
        <v>40</v>
      </c>
      <c r="V20" s="47">
        <v>0</v>
      </c>
      <c r="W20" s="47">
        <v>0</v>
      </c>
      <c r="X20" s="47">
        <v>0</v>
      </c>
      <c r="Y20" s="47">
        <v>55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70</v>
      </c>
      <c r="AF20" s="47">
        <v>15</v>
      </c>
      <c r="AG20" s="47"/>
      <c r="AH20" s="47"/>
      <c r="AI20" s="47"/>
      <c r="AJ20" s="47"/>
      <c r="AK20" s="47">
        <f t="shared" si="0"/>
        <v>220</v>
      </c>
      <c r="AL20" s="47"/>
      <c r="AM20" s="47">
        <f t="shared" si="1"/>
        <v>220</v>
      </c>
      <c r="AN20" s="47"/>
      <c r="AO20" s="47"/>
      <c r="AP20" s="47"/>
      <c r="AQ20" s="48"/>
      <c r="AR20" s="48"/>
      <c r="AS20" s="50">
        <v>277</v>
      </c>
      <c r="AT20" s="50">
        <f t="shared" si="4"/>
        <v>60940</v>
      </c>
    </row>
    <row r="21" spans="1:46" ht="15.75" customHeight="1">
      <c r="A21" s="47">
        <v>15</v>
      </c>
      <c r="B21" s="48"/>
      <c r="C21" s="48"/>
      <c r="D21" s="48" t="s">
        <v>87</v>
      </c>
      <c r="E21" s="48"/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9">
        <v>0</v>
      </c>
      <c r="S21" s="49">
        <v>0</v>
      </c>
      <c r="T21" s="49">
        <v>40</v>
      </c>
      <c r="U21" s="47">
        <v>40</v>
      </c>
      <c r="V21" s="47">
        <v>40</v>
      </c>
      <c r="W21" s="47">
        <v>15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/>
      <c r="AF21" s="47"/>
      <c r="AG21" s="47"/>
      <c r="AH21" s="47"/>
      <c r="AI21" s="47"/>
      <c r="AJ21" s="47"/>
      <c r="AK21" s="47">
        <f t="shared" si="0"/>
        <v>135</v>
      </c>
      <c r="AL21" s="47"/>
      <c r="AM21" s="47">
        <f t="shared" si="1"/>
        <v>135</v>
      </c>
      <c r="AN21" s="47"/>
      <c r="AO21" s="47"/>
      <c r="AP21" s="47"/>
      <c r="AQ21" s="48"/>
      <c r="AR21" s="48"/>
      <c r="AS21" s="50">
        <v>277</v>
      </c>
      <c r="AT21" s="50">
        <f t="shared" si="4"/>
        <v>37395</v>
      </c>
    </row>
    <row r="22" spans="1:46" ht="15.75" customHeight="1">
      <c r="A22" s="47">
        <v>16</v>
      </c>
      <c r="B22" s="48"/>
      <c r="C22" s="48"/>
      <c r="D22" s="48" t="s">
        <v>88</v>
      </c>
      <c r="E22" s="48"/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7"/>
      <c r="AF22" s="47"/>
      <c r="AG22" s="47"/>
      <c r="AH22" s="47"/>
      <c r="AI22" s="47"/>
      <c r="AJ22" s="47"/>
      <c r="AK22" s="47">
        <f t="shared" si="0"/>
        <v>0</v>
      </c>
      <c r="AL22" s="47"/>
      <c r="AM22" s="47">
        <f t="shared" si="1"/>
        <v>0</v>
      </c>
      <c r="AN22" s="47"/>
      <c r="AO22" s="47"/>
      <c r="AP22" s="47"/>
      <c r="AQ22" s="48"/>
      <c r="AR22" s="48"/>
      <c r="AS22" s="50">
        <v>277</v>
      </c>
      <c r="AT22" s="50">
        <f t="shared" si="4"/>
        <v>0</v>
      </c>
    </row>
    <row r="23" spans="1:46" ht="15.75" customHeight="1">
      <c r="A23" s="47">
        <v>17</v>
      </c>
      <c r="B23" s="48"/>
      <c r="C23" s="48"/>
      <c r="D23" s="48" t="s">
        <v>89</v>
      </c>
      <c r="E23" s="48"/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9">
        <v>0</v>
      </c>
      <c r="S23" s="49">
        <v>0</v>
      </c>
      <c r="T23" s="49">
        <v>40</v>
      </c>
      <c r="U23" s="47">
        <v>75</v>
      </c>
      <c r="V23" s="47">
        <v>40</v>
      </c>
      <c r="W23" s="47">
        <v>0</v>
      </c>
      <c r="X23" s="47">
        <v>0</v>
      </c>
      <c r="Y23" s="47">
        <v>55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70</v>
      </c>
      <c r="AF23" s="47">
        <v>15</v>
      </c>
      <c r="AG23" s="47"/>
      <c r="AH23" s="47"/>
      <c r="AI23" s="47"/>
      <c r="AJ23" s="47"/>
      <c r="AK23" s="47">
        <f t="shared" si="0"/>
        <v>295</v>
      </c>
      <c r="AL23" s="47"/>
      <c r="AM23" s="47">
        <f t="shared" si="1"/>
        <v>295</v>
      </c>
      <c r="AN23" s="47"/>
      <c r="AO23" s="47"/>
      <c r="AP23" s="47"/>
      <c r="AQ23" s="48"/>
      <c r="AR23" s="48"/>
      <c r="AS23" s="50">
        <v>277</v>
      </c>
      <c r="AT23" s="50">
        <f t="shared" si="4"/>
        <v>81715</v>
      </c>
    </row>
    <row r="24" spans="1:46" ht="15.75" customHeight="1">
      <c r="A24" s="47">
        <v>18</v>
      </c>
      <c r="B24" s="48"/>
      <c r="C24" s="48"/>
      <c r="D24" s="48" t="s">
        <v>90</v>
      </c>
      <c r="E24" s="48"/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9">
        <v>0</v>
      </c>
      <c r="S24" s="49">
        <v>0</v>
      </c>
      <c r="T24" s="49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/>
      <c r="AF24" s="47"/>
      <c r="AG24" s="47"/>
      <c r="AH24" s="47"/>
      <c r="AI24" s="47"/>
      <c r="AJ24" s="47"/>
      <c r="AK24" s="47">
        <f t="shared" si="0"/>
        <v>0</v>
      </c>
      <c r="AL24" s="47"/>
      <c r="AM24" s="47">
        <f t="shared" si="1"/>
        <v>0</v>
      </c>
      <c r="AN24" s="47"/>
      <c r="AO24" s="47"/>
      <c r="AP24" s="47"/>
      <c r="AQ24" s="48"/>
      <c r="AR24" s="48"/>
      <c r="AS24" s="50">
        <v>277</v>
      </c>
      <c r="AT24" s="50">
        <f t="shared" si="4"/>
        <v>0</v>
      </c>
    </row>
    <row r="25" spans="1:46" ht="15.75" customHeight="1">
      <c r="A25" s="47">
        <v>19</v>
      </c>
      <c r="B25" s="48"/>
      <c r="C25" s="48"/>
      <c r="D25" s="48" t="s">
        <v>91</v>
      </c>
      <c r="E25" s="48"/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9">
        <v>0</v>
      </c>
      <c r="S25" s="49">
        <v>0</v>
      </c>
      <c r="T25" s="49">
        <v>40</v>
      </c>
      <c r="U25" s="47">
        <v>75</v>
      </c>
      <c r="V25" s="47">
        <v>40</v>
      </c>
      <c r="W25" s="47">
        <v>15</v>
      </c>
      <c r="X25" s="47">
        <v>0</v>
      </c>
      <c r="Y25" s="47">
        <v>55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70</v>
      </c>
      <c r="AF25" s="47">
        <v>15</v>
      </c>
      <c r="AG25" s="47"/>
      <c r="AH25" s="47"/>
      <c r="AI25" s="47"/>
      <c r="AJ25" s="47"/>
      <c r="AK25" s="47">
        <f t="shared" si="0"/>
        <v>310</v>
      </c>
      <c r="AL25" s="47"/>
      <c r="AM25" s="47">
        <f t="shared" si="1"/>
        <v>310</v>
      </c>
      <c r="AN25" s="47"/>
      <c r="AO25" s="47"/>
      <c r="AP25" s="47"/>
      <c r="AQ25" s="48"/>
      <c r="AR25" s="48"/>
      <c r="AS25" s="50">
        <v>277</v>
      </c>
      <c r="AT25" s="50">
        <f t="shared" si="4"/>
        <v>85870</v>
      </c>
    </row>
    <row r="26" spans="1:46" ht="15.75" customHeight="1">
      <c r="A26" s="47">
        <v>20</v>
      </c>
      <c r="B26" s="48"/>
      <c r="C26" s="48"/>
      <c r="D26" s="48" t="s">
        <v>92</v>
      </c>
      <c r="E26" s="48"/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9">
        <v>0</v>
      </c>
      <c r="S26" s="49">
        <v>0</v>
      </c>
      <c r="T26" s="49">
        <v>40</v>
      </c>
      <c r="U26" s="47">
        <v>40</v>
      </c>
      <c r="V26" s="47">
        <v>40</v>
      </c>
      <c r="W26" s="47">
        <v>40</v>
      </c>
      <c r="X26" s="47">
        <v>55</v>
      </c>
      <c r="Y26" s="47">
        <v>55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/>
      <c r="AF26" s="47"/>
      <c r="AG26" s="47"/>
      <c r="AH26" s="47"/>
      <c r="AI26" s="47"/>
      <c r="AJ26" s="47"/>
      <c r="AK26" s="47">
        <f t="shared" si="0"/>
        <v>270</v>
      </c>
      <c r="AL26" s="47"/>
      <c r="AM26" s="47">
        <f t="shared" si="1"/>
        <v>270</v>
      </c>
      <c r="AN26" s="47"/>
      <c r="AO26" s="47"/>
      <c r="AP26" s="47"/>
      <c r="AQ26" s="48"/>
      <c r="AR26" s="48"/>
      <c r="AS26" s="50">
        <v>277</v>
      </c>
      <c r="AT26" s="50">
        <f t="shared" si="4"/>
        <v>74790</v>
      </c>
    </row>
    <row r="27" spans="1:46" ht="15.75" customHeight="1">
      <c r="A27" s="47">
        <v>21</v>
      </c>
      <c r="B27" s="48"/>
      <c r="C27" s="48"/>
      <c r="D27" s="48" t="s">
        <v>93</v>
      </c>
      <c r="E27" s="48"/>
      <c r="F27" s="47" t="s">
        <v>94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9"/>
      <c r="S27" s="49"/>
      <c r="T27" s="49">
        <v>40</v>
      </c>
      <c r="U27" s="47"/>
      <c r="V27" s="47"/>
      <c r="W27" s="47">
        <v>15</v>
      </c>
      <c r="X27" s="47"/>
      <c r="Y27" s="47">
        <v>55</v>
      </c>
      <c r="Z27" s="47"/>
      <c r="AA27" s="47"/>
      <c r="AB27" s="47"/>
      <c r="AC27" s="47"/>
      <c r="AD27" s="47"/>
      <c r="AE27" s="47">
        <v>70</v>
      </c>
      <c r="AF27" s="47"/>
      <c r="AG27" s="47"/>
      <c r="AH27" s="47"/>
      <c r="AI27" s="47"/>
      <c r="AJ27" s="47"/>
      <c r="AK27" s="47">
        <f t="shared" si="0"/>
        <v>180</v>
      </c>
      <c r="AL27" s="47"/>
      <c r="AM27" s="47">
        <f t="shared" si="1"/>
        <v>180</v>
      </c>
      <c r="AN27" s="47"/>
      <c r="AO27" s="47"/>
      <c r="AP27" s="47"/>
      <c r="AQ27" s="48"/>
      <c r="AR27" s="48"/>
      <c r="AS27" s="50">
        <v>277</v>
      </c>
      <c r="AT27" s="50">
        <f t="shared" si="4"/>
        <v>49860</v>
      </c>
    </row>
    <row r="28" spans="1:46" ht="15.75" customHeight="1">
      <c r="A28" s="47">
        <v>22</v>
      </c>
      <c r="B28" s="48"/>
      <c r="C28" s="48"/>
      <c r="D28" s="48" t="s">
        <v>95</v>
      </c>
      <c r="E28" s="48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9"/>
      <c r="S28" s="49"/>
      <c r="T28" s="49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>
        <f t="shared" si="0"/>
        <v>0</v>
      </c>
      <c r="AL28" s="47"/>
      <c r="AM28" s="47">
        <f t="shared" si="1"/>
        <v>0</v>
      </c>
      <c r="AN28" s="47"/>
      <c r="AO28" s="47"/>
      <c r="AP28" s="47"/>
      <c r="AQ28" s="48"/>
      <c r="AR28" s="48"/>
      <c r="AS28" s="50">
        <v>277</v>
      </c>
      <c r="AT28" s="50">
        <f t="shared" si="4"/>
        <v>0</v>
      </c>
    </row>
    <row r="29" spans="1:46" ht="15.75" customHeight="1">
      <c r="A29" s="47">
        <v>23</v>
      </c>
      <c r="B29" s="48"/>
      <c r="C29" s="48"/>
      <c r="D29" s="48" t="s">
        <v>96</v>
      </c>
      <c r="E29" s="48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>
        <v>15</v>
      </c>
      <c r="R29" s="49">
        <v>10</v>
      </c>
      <c r="S29" s="49">
        <v>10</v>
      </c>
      <c r="T29" s="49"/>
      <c r="U29" s="47">
        <v>10</v>
      </c>
      <c r="V29" s="47">
        <v>20</v>
      </c>
      <c r="W29" s="47">
        <v>10</v>
      </c>
      <c r="X29" s="47"/>
      <c r="Y29" s="47">
        <v>20</v>
      </c>
      <c r="Z29" s="47">
        <v>20</v>
      </c>
      <c r="AA29" s="47">
        <v>20</v>
      </c>
      <c r="AB29" s="47">
        <v>20</v>
      </c>
      <c r="AC29" s="47"/>
      <c r="AD29" s="47"/>
      <c r="AE29" s="47">
        <v>20</v>
      </c>
      <c r="AF29" s="47">
        <v>40</v>
      </c>
      <c r="AG29" s="47"/>
      <c r="AH29" s="47">
        <v>20</v>
      </c>
      <c r="AI29" s="47"/>
      <c r="AJ29" s="47"/>
      <c r="AK29" s="47">
        <f t="shared" si="0"/>
        <v>235</v>
      </c>
      <c r="AL29" s="47"/>
      <c r="AM29" s="47">
        <f t="shared" si="1"/>
        <v>235</v>
      </c>
      <c r="AN29" s="47"/>
      <c r="AO29" s="47"/>
      <c r="AP29" s="47"/>
      <c r="AQ29" s="48"/>
      <c r="AR29" s="48"/>
      <c r="AS29" s="50">
        <v>277</v>
      </c>
      <c r="AT29" s="50">
        <f t="shared" si="4"/>
        <v>65095</v>
      </c>
    </row>
    <row r="30" spans="1:46" ht="15.75" customHeight="1">
      <c r="A30" s="47">
        <v>24</v>
      </c>
      <c r="B30" s="48"/>
      <c r="C30" s="48"/>
      <c r="D30" s="48" t="s">
        <v>97</v>
      </c>
      <c r="E30" s="48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9"/>
      <c r="S30" s="49"/>
      <c r="T30" s="49">
        <v>40</v>
      </c>
      <c r="U30" s="47">
        <v>40</v>
      </c>
      <c r="V30" s="47">
        <v>40</v>
      </c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>
        <f t="shared" si="0"/>
        <v>120</v>
      </c>
      <c r="AL30" s="47"/>
      <c r="AM30" s="47">
        <f t="shared" si="1"/>
        <v>120</v>
      </c>
      <c r="AN30" s="47"/>
      <c r="AO30" s="47"/>
      <c r="AP30" s="47"/>
      <c r="AQ30" s="48"/>
      <c r="AR30" s="48"/>
      <c r="AS30" s="50">
        <v>277</v>
      </c>
      <c r="AT30" s="50">
        <f t="shared" si="4"/>
        <v>33240</v>
      </c>
    </row>
    <row r="31" spans="1:46" ht="15.75" customHeight="1">
      <c r="A31" s="47">
        <v>25</v>
      </c>
      <c r="B31" s="48"/>
      <c r="C31" s="48"/>
      <c r="D31" s="48" t="s">
        <v>98</v>
      </c>
      <c r="E31" s="48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9"/>
      <c r="S31" s="49"/>
      <c r="T31" s="49">
        <v>40</v>
      </c>
      <c r="U31" s="47">
        <v>40</v>
      </c>
      <c r="V31" s="47"/>
      <c r="W31" s="47">
        <v>40</v>
      </c>
      <c r="X31" s="47">
        <v>55</v>
      </c>
      <c r="Y31" s="47">
        <v>55</v>
      </c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>
        <f t="shared" si="0"/>
        <v>230</v>
      </c>
      <c r="AL31" s="47"/>
      <c r="AM31" s="47">
        <f t="shared" si="1"/>
        <v>230</v>
      </c>
      <c r="AN31" s="47"/>
      <c r="AO31" s="47"/>
      <c r="AP31" s="47"/>
      <c r="AQ31" s="48"/>
      <c r="AR31" s="48"/>
      <c r="AS31" s="50">
        <v>277</v>
      </c>
      <c r="AT31" s="50">
        <f t="shared" si="4"/>
        <v>63710</v>
      </c>
    </row>
    <row r="32" spans="1:46" ht="15.75" customHeight="1">
      <c r="A32" s="47">
        <v>26</v>
      </c>
      <c r="B32" s="48"/>
      <c r="C32" s="48"/>
      <c r="D32" s="48" t="s">
        <v>99</v>
      </c>
      <c r="E32" s="48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9"/>
      <c r="S32" s="49"/>
      <c r="T32" s="49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>
        <f t="shared" si="0"/>
        <v>0</v>
      </c>
      <c r="AL32" s="47"/>
      <c r="AM32" s="47">
        <f t="shared" si="1"/>
        <v>0</v>
      </c>
      <c r="AN32" s="47"/>
      <c r="AO32" s="47"/>
      <c r="AP32" s="47"/>
      <c r="AQ32" s="48"/>
      <c r="AR32" s="48"/>
      <c r="AS32" s="50">
        <v>277</v>
      </c>
      <c r="AT32" s="50">
        <f t="shared" si="4"/>
        <v>0</v>
      </c>
    </row>
    <row r="33" spans="1:46" ht="15.75" customHeight="1">
      <c r="A33" s="47"/>
      <c r="B33" s="48"/>
      <c r="C33" s="48"/>
      <c r="D33" s="48" t="s">
        <v>100</v>
      </c>
      <c r="E33" s="48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9"/>
      <c r="S33" s="49"/>
      <c r="T33" s="49"/>
      <c r="U33" s="47"/>
      <c r="V33" s="47"/>
      <c r="W33" s="47"/>
      <c r="X33" s="47"/>
      <c r="Y33" s="47">
        <v>55</v>
      </c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8"/>
      <c r="AR33" s="48"/>
      <c r="AS33" s="50"/>
      <c r="AT33" s="50"/>
    </row>
    <row r="34" spans="1:46" ht="15.75" customHeight="1">
      <c r="A34" s="47"/>
      <c r="B34" s="48"/>
      <c r="C34" s="48"/>
      <c r="D34" s="48"/>
      <c r="E34" s="48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9"/>
      <c r="S34" s="49"/>
      <c r="T34" s="49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8"/>
      <c r="AR34" s="48"/>
      <c r="AS34" s="50"/>
      <c r="AT34" s="50"/>
    </row>
    <row r="35" spans="1:46" ht="15.75" customHeight="1">
      <c r="A35" s="47"/>
      <c r="B35" s="48"/>
      <c r="C35" s="48"/>
      <c r="D35" s="48" t="s">
        <v>101</v>
      </c>
      <c r="E35" s="48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9"/>
      <c r="S35" s="49"/>
      <c r="T35" s="49"/>
      <c r="U35" s="47">
        <v>40</v>
      </c>
      <c r="V35" s="47">
        <v>40</v>
      </c>
      <c r="W35" s="47"/>
      <c r="X35" s="47"/>
      <c r="Y35" s="47">
        <v>55</v>
      </c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8"/>
      <c r="AR35" s="48"/>
      <c r="AS35" s="50"/>
      <c r="AT35" s="50"/>
    </row>
    <row r="36" spans="1:46" ht="15.75" customHeight="1">
      <c r="A36" s="47">
        <v>9</v>
      </c>
      <c r="B36" s="48"/>
      <c r="C36" s="48"/>
      <c r="D36" s="48" t="s">
        <v>102</v>
      </c>
      <c r="E36" s="48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9"/>
      <c r="T36" s="49"/>
      <c r="U36" s="47"/>
      <c r="V36" s="47"/>
      <c r="W36" s="47">
        <v>20</v>
      </c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>
        <f>SUM(F36:AJ36)</f>
        <v>20</v>
      </c>
      <c r="AL36" s="47"/>
      <c r="AM36" s="47">
        <f>SUM(AK36:AL36)</f>
        <v>20</v>
      </c>
      <c r="AN36" s="47"/>
      <c r="AO36" s="47"/>
      <c r="AP36" s="47">
        <f>AO36-AN36</f>
        <v>0</v>
      </c>
      <c r="AQ36" s="48"/>
      <c r="AR36" s="48"/>
      <c r="AS36" s="50"/>
      <c r="AT36" s="50">
        <f>AS36*AM36</f>
        <v>0</v>
      </c>
    </row>
    <row r="37" spans="1:46" ht="15.75" customHeight="1">
      <c r="A37" s="47"/>
      <c r="B37" s="48"/>
      <c r="C37" s="48"/>
      <c r="D37" s="48"/>
      <c r="E37" s="48"/>
      <c r="F37" s="51">
        <f t="shared" ref="F37:AJ37" si="5">SUM(F7:F36)</f>
        <v>40</v>
      </c>
      <c r="G37" s="51">
        <f t="shared" si="5"/>
        <v>0</v>
      </c>
      <c r="H37" s="51">
        <f t="shared" si="5"/>
        <v>30</v>
      </c>
      <c r="I37" s="51">
        <f t="shared" si="5"/>
        <v>0</v>
      </c>
      <c r="J37" s="51">
        <f t="shared" si="5"/>
        <v>90</v>
      </c>
      <c r="K37" s="51">
        <f t="shared" si="5"/>
        <v>25</v>
      </c>
      <c r="L37" s="51">
        <f t="shared" si="5"/>
        <v>10</v>
      </c>
      <c r="M37" s="51">
        <f t="shared" si="5"/>
        <v>20</v>
      </c>
      <c r="N37" s="51">
        <f t="shared" si="5"/>
        <v>60</v>
      </c>
      <c r="O37" s="51">
        <f t="shared" si="5"/>
        <v>65</v>
      </c>
      <c r="P37" s="51">
        <f t="shared" si="5"/>
        <v>112</v>
      </c>
      <c r="Q37" s="51">
        <f t="shared" si="5"/>
        <v>85</v>
      </c>
      <c r="R37" s="51">
        <f t="shared" si="5"/>
        <v>75</v>
      </c>
      <c r="S37" s="51">
        <f t="shared" si="5"/>
        <v>65</v>
      </c>
      <c r="T37" s="51">
        <f t="shared" si="5"/>
        <v>465</v>
      </c>
      <c r="U37" s="51">
        <f t="shared" si="5"/>
        <v>631</v>
      </c>
      <c r="V37" s="51">
        <f t="shared" si="5"/>
        <v>425</v>
      </c>
      <c r="W37" s="51">
        <f t="shared" si="5"/>
        <v>345</v>
      </c>
      <c r="X37" s="51">
        <f t="shared" si="5"/>
        <v>340</v>
      </c>
      <c r="Y37" s="51">
        <f t="shared" si="5"/>
        <v>715</v>
      </c>
      <c r="Z37" s="51">
        <f t="shared" si="5"/>
        <v>155</v>
      </c>
      <c r="AA37" s="51">
        <f t="shared" si="5"/>
        <v>205</v>
      </c>
      <c r="AB37" s="51">
        <f t="shared" si="5"/>
        <v>170</v>
      </c>
      <c r="AC37" s="51">
        <f t="shared" si="5"/>
        <v>20</v>
      </c>
      <c r="AD37" s="51">
        <f t="shared" si="5"/>
        <v>40</v>
      </c>
      <c r="AE37" s="51">
        <f t="shared" si="5"/>
        <v>436.03</v>
      </c>
      <c r="AF37" s="51">
        <f t="shared" si="5"/>
        <v>250</v>
      </c>
      <c r="AG37" s="51">
        <f t="shared" si="5"/>
        <v>190</v>
      </c>
      <c r="AH37" s="51">
        <f t="shared" si="5"/>
        <v>100</v>
      </c>
      <c r="AI37" s="51">
        <f t="shared" si="5"/>
        <v>40</v>
      </c>
      <c r="AJ37" s="51">
        <f t="shared" si="5"/>
        <v>68.27</v>
      </c>
      <c r="AK37" s="51">
        <f>SUM(AK7:AK13)</f>
        <v>2027.3</v>
      </c>
      <c r="AL37" s="47"/>
      <c r="AM37" s="51">
        <f>SUM(AM7:AM13)</f>
        <v>2027.3</v>
      </c>
      <c r="AN37" s="47"/>
      <c r="AO37" s="47"/>
      <c r="AP37" s="47"/>
      <c r="AQ37" s="48"/>
      <c r="AR37" s="48"/>
      <c r="AS37" s="50"/>
      <c r="AT37" s="52">
        <f>SUM(AT7:AT13)</f>
        <v>561562.1</v>
      </c>
    </row>
    <row r="38" spans="1:46" ht="15.75" customHeight="1">
      <c r="A38" s="53" t="s">
        <v>61</v>
      </c>
      <c r="B38" s="54"/>
      <c r="C38" s="54"/>
      <c r="D38" s="46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</row>
    <row r="39" spans="1:46" ht="15.75" customHeight="1">
      <c r="A39" s="47">
        <v>1</v>
      </c>
      <c r="B39" s="48"/>
      <c r="C39" s="48"/>
      <c r="D39" s="48" t="s">
        <v>103</v>
      </c>
      <c r="E39" s="48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>
        <v>15</v>
      </c>
      <c r="AC39" s="49"/>
      <c r="AD39" s="49"/>
      <c r="AE39" s="49"/>
      <c r="AF39" s="49"/>
      <c r="AG39" s="47"/>
      <c r="AH39" s="47"/>
      <c r="AI39" s="47"/>
      <c r="AJ39" s="47"/>
      <c r="AK39" s="47">
        <f t="shared" ref="AK39:AK65" si="6">SUM(F39:AJ39)</f>
        <v>15</v>
      </c>
      <c r="AL39" s="47">
        <v>0</v>
      </c>
      <c r="AM39" s="47">
        <f t="shared" ref="AM39:AM65" si="7">AL39+AK39</f>
        <v>15</v>
      </c>
      <c r="AN39" s="47"/>
      <c r="AO39" s="47"/>
      <c r="AP39" s="47">
        <f t="shared" ref="AP39:AP41" si="8">AO39-AN39</f>
        <v>0</v>
      </c>
      <c r="AQ39" s="48" t="e">
        <f t="shared" ref="AQ39:AQ41" si="9">AM39/AP39</f>
        <v>#DIV/0!</v>
      </c>
      <c r="AR39" s="48"/>
      <c r="AS39" s="50">
        <v>277</v>
      </c>
      <c r="AT39" s="50">
        <f t="shared" ref="AT39:AT65" si="10">AS39*AM39</f>
        <v>4155</v>
      </c>
    </row>
    <row r="40" spans="1:46" ht="15.75" customHeight="1">
      <c r="A40" s="47">
        <v>2</v>
      </c>
      <c r="B40" s="48"/>
      <c r="C40" s="48"/>
      <c r="D40" s="48" t="s">
        <v>56</v>
      </c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7"/>
      <c r="AH40" s="47"/>
      <c r="AI40" s="49"/>
      <c r="AJ40" s="47"/>
      <c r="AK40" s="47">
        <f t="shared" si="6"/>
        <v>0</v>
      </c>
      <c r="AL40" s="47"/>
      <c r="AM40" s="47">
        <f t="shared" si="7"/>
        <v>0</v>
      </c>
      <c r="AN40" s="47"/>
      <c r="AO40" s="47"/>
      <c r="AP40" s="47">
        <f t="shared" si="8"/>
        <v>0</v>
      </c>
      <c r="AQ40" s="48" t="e">
        <f t="shared" si="9"/>
        <v>#DIV/0!</v>
      </c>
      <c r="AR40" s="48"/>
      <c r="AS40" s="50">
        <v>277</v>
      </c>
      <c r="AT40" s="50">
        <f t="shared" si="10"/>
        <v>0</v>
      </c>
    </row>
    <row r="41" spans="1:46" ht="15.75" customHeight="1">
      <c r="A41" s="47">
        <v>3</v>
      </c>
      <c r="B41" s="48"/>
      <c r="C41" s="48"/>
      <c r="D41" s="48" t="s">
        <v>104</v>
      </c>
      <c r="E41" s="48"/>
      <c r="F41" s="49"/>
      <c r="G41" s="49"/>
      <c r="H41" s="49"/>
      <c r="I41" s="49"/>
      <c r="J41" s="49"/>
      <c r="K41" s="49"/>
      <c r="L41" s="49"/>
      <c r="M41" s="49"/>
      <c r="N41" s="49">
        <v>20</v>
      </c>
      <c r="O41" s="49">
        <v>25</v>
      </c>
      <c r="P41" s="49">
        <v>20</v>
      </c>
      <c r="Q41" s="49">
        <v>15</v>
      </c>
      <c r="R41" s="49">
        <v>20</v>
      </c>
      <c r="S41" s="49">
        <v>20</v>
      </c>
      <c r="T41" s="49">
        <v>20</v>
      </c>
      <c r="U41" s="49">
        <v>20</v>
      </c>
      <c r="V41" s="49">
        <v>20</v>
      </c>
      <c r="W41" s="49">
        <v>20</v>
      </c>
      <c r="X41" s="49">
        <v>15</v>
      </c>
      <c r="Y41" s="49">
        <v>20</v>
      </c>
      <c r="Z41" s="49">
        <v>25</v>
      </c>
      <c r="AA41" s="49">
        <v>30</v>
      </c>
      <c r="AB41" s="49">
        <v>20</v>
      </c>
      <c r="AC41" s="49">
        <v>20</v>
      </c>
      <c r="AD41" s="49"/>
      <c r="AE41" s="49"/>
      <c r="AF41" s="49"/>
      <c r="AG41" s="47"/>
      <c r="AH41" s="47"/>
      <c r="AI41" s="49">
        <v>15</v>
      </c>
      <c r="AJ41" s="47"/>
      <c r="AK41" s="47">
        <f t="shared" si="6"/>
        <v>345</v>
      </c>
      <c r="AL41" s="47"/>
      <c r="AM41" s="47">
        <f t="shared" si="7"/>
        <v>345</v>
      </c>
      <c r="AN41" s="47"/>
      <c r="AO41" s="47"/>
      <c r="AP41" s="47">
        <f t="shared" si="8"/>
        <v>0</v>
      </c>
      <c r="AQ41" s="48" t="e">
        <f t="shared" si="9"/>
        <v>#DIV/0!</v>
      </c>
      <c r="AR41" s="48"/>
      <c r="AS41" s="50">
        <v>277</v>
      </c>
      <c r="AT41" s="50">
        <f t="shared" si="10"/>
        <v>95565</v>
      </c>
    </row>
    <row r="42" spans="1:46" ht="16.5" customHeight="1">
      <c r="A42" s="47">
        <v>4</v>
      </c>
      <c r="B42" s="48"/>
      <c r="C42" s="48"/>
      <c r="D42" s="48" t="s">
        <v>105</v>
      </c>
      <c r="E42" s="48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7"/>
      <c r="AH42" s="47"/>
      <c r="AI42" s="49"/>
      <c r="AJ42" s="47"/>
      <c r="AK42" s="47">
        <f t="shared" si="6"/>
        <v>0</v>
      </c>
      <c r="AL42" s="47"/>
      <c r="AM42" s="47">
        <f t="shared" si="7"/>
        <v>0</v>
      </c>
      <c r="AN42" s="47"/>
      <c r="AO42" s="47"/>
      <c r="AP42" s="47"/>
      <c r="AQ42" s="48"/>
      <c r="AR42" s="48"/>
      <c r="AS42" s="50">
        <v>277</v>
      </c>
      <c r="AT42" s="50">
        <f t="shared" si="10"/>
        <v>0</v>
      </c>
    </row>
    <row r="43" spans="1:46" ht="15.75" customHeight="1">
      <c r="A43" s="47">
        <v>5</v>
      </c>
      <c r="B43" s="48"/>
      <c r="C43" s="48"/>
      <c r="D43" s="48" t="s">
        <v>106</v>
      </c>
      <c r="E43" s="48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>
        <v>30</v>
      </c>
      <c r="S43" s="49">
        <v>20</v>
      </c>
      <c r="T43" s="49">
        <v>30</v>
      </c>
      <c r="U43" s="49">
        <v>30</v>
      </c>
      <c r="V43" s="49">
        <v>30</v>
      </c>
      <c r="W43" s="49"/>
      <c r="X43" s="49">
        <v>30</v>
      </c>
      <c r="Y43" s="49">
        <v>40</v>
      </c>
      <c r="Z43" s="49">
        <v>40</v>
      </c>
      <c r="AA43" s="49">
        <v>40</v>
      </c>
      <c r="AB43" s="49">
        <v>40</v>
      </c>
      <c r="AC43" s="49"/>
      <c r="AD43" s="49"/>
      <c r="AE43" s="49"/>
      <c r="AF43" s="49"/>
      <c r="AG43" s="47"/>
      <c r="AH43" s="47">
        <v>40</v>
      </c>
      <c r="AI43" s="49"/>
      <c r="AJ43" s="47"/>
      <c r="AK43" s="47">
        <f t="shared" si="6"/>
        <v>370</v>
      </c>
      <c r="AL43" s="47"/>
      <c r="AM43" s="47">
        <f t="shared" si="7"/>
        <v>370</v>
      </c>
      <c r="AN43" s="47"/>
      <c r="AO43" s="47"/>
      <c r="AP43" s="47"/>
      <c r="AQ43" s="48"/>
      <c r="AR43" s="48"/>
      <c r="AS43" s="50">
        <v>277</v>
      </c>
      <c r="AT43" s="50">
        <f t="shared" si="10"/>
        <v>102490</v>
      </c>
    </row>
    <row r="44" spans="1:46" ht="15.75" customHeight="1">
      <c r="A44" s="47">
        <v>6</v>
      </c>
      <c r="B44" s="48"/>
      <c r="C44" s="48"/>
      <c r="D44" s="48" t="s">
        <v>107</v>
      </c>
      <c r="E44" s="48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>
        <v>40</v>
      </c>
      <c r="R44" s="49"/>
      <c r="S44" s="49">
        <v>40</v>
      </c>
      <c r="T44" s="49">
        <v>40</v>
      </c>
      <c r="U44" s="49">
        <v>40</v>
      </c>
      <c r="V44" s="49">
        <v>40</v>
      </c>
      <c r="W44" s="49">
        <v>40</v>
      </c>
      <c r="X44" s="49"/>
      <c r="Y44" s="49">
        <v>40</v>
      </c>
      <c r="Z44" s="49">
        <v>40</v>
      </c>
      <c r="AA44" s="49">
        <v>40</v>
      </c>
      <c r="AB44" s="49">
        <v>40</v>
      </c>
      <c r="AC44" s="49"/>
      <c r="AD44" s="49"/>
      <c r="AE44" s="49"/>
      <c r="AF44" s="49"/>
      <c r="AG44" s="47"/>
      <c r="AH44" s="47">
        <v>40</v>
      </c>
      <c r="AI44" s="49"/>
      <c r="AJ44" s="47"/>
      <c r="AK44" s="47">
        <f t="shared" si="6"/>
        <v>440</v>
      </c>
      <c r="AL44" s="47"/>
      <c r="AM44" s="47">
        <f t="shared" si="7"/>
        <v>440</v>
      </c>
      <c r="AN44" s="47"/>
      <c r="AO44" s="47"/>
      <c r="AP44" s="47"/>
      <c r="AQ44" s="48"/>
      <c r="AR44" s="48"/>
      <c r="AS44" s="50">
        <v>277</v>
      </c>
      <c r="AT44" s="50">
        <f t="shared" si="10"/>
        <v>121880</v>
      </c>
    </row>
    <row r="45" spans="1:46" ht="15.75" customHeight="1">
      <c r="A45" s="47">
        <v>7</v>
      </c>
      <c r="B45" s="48"/>
      <c r="C45" s="48"/>
      <c r="D45" s="48" t="s">
        <v>108</v>
      </c>
      <c r="E45" s="48"/>
      <c r="F45" s="49"/>
      <c r="G45" s="49"/>
      <c r="H45" s="49"/>
      <c r="I45" s="49"/>
      <c r="J45" s="49"/>
      <c r="K45" s="49"/>
      <c r="L45" s="49"/>
      <c r="M45" s="49"/>
      <c r="N45" s="49">
        <v>5</v>
      </c>
      <c r="O45" s="49"/>
      <c r="P45" s="49">
        <v>5</v>
      </c>
      <c r="Q45" s="49">
        <v>5</v>
      </c>
      <c r="R45" s="49">
        <v>5</v>
      </c>
      <c r="S45" s="49">
        <v>5</v>
      </c>
      <c r="T45" s="49"/>
      <c r="U45" s="49"/>
      <c r="V45" s="49">
        <v>5</v>
      </c>
      <c r="W45" s="49">
        <v>5</v>
      </c>
      <c r="X45" s="49">
        <v>5</v>
      </c>
      <c r="Y45" s="49">
        <v>5</v>
      </c>
      <c r="Z45" s="49">
        <v>5</v>
      </c>
      <c r="AA45" s="49"/>
      <c r="AB45" s="49">
        <v>5</v>
      </c>
      <c r="AC45" s="49"/>
      <c r="AD45" s="49"/>
      <c r="AE45" s="49">
        <v>5</v>
      </c>
      <c r="AF45" s="49"/>
      <c r="AG45" s="47">
        <v>5</v>
      </c>
      <c r="AH45" s="47">
        <v>5</v>
      </c>
      <c r="AI45" s="49"/>
      <c r="AJ45" s="47"/>
      <c r="AK45" s="47">
        <f t="shared" si="6"/>
        <v>70</v>
      </c>
      <c r="AL45" s="47"/>
      <c r="AM45" s="47">
        <f t="shared" si="7"/>
        <v>70</v>
      </c>
      <c r="AN45" s="47"/>
      <c r="AO45" s="47"/>
      <c r="AP45" s="47"/>
      <c r="AQ45" s="48"/>
      <c r="AR45" s="48"/>
      <c r="AS45" s="50">
        <v>277</v>
      </c>
      <c r="AT45" s="50">
        <f t="shared" si="10"/>
        <v>19390</v>
      </c>
    </row>
    <row r="46" spans="1:46" ht="15.75" customHeight="1">
      <c r="A46" s="47">
        <v>8</v>
      </c>
      <c r="B46" s="48"/>
      <c r="C46" s="48"/>
      <c r="D46" s="48" t="s">
        <v>63</v>
      </c>
      <c r="E46" s="48"/>
      <c r="F46" s="49"/>
      <c r="G46" s="49"/>
      <c r="H46" s="49"/>
      <c r="I46" s="49"/>
      <c r="J46" s="49"/>
      <c r="K46" s="49"/>
      <c r="L46" s="49"/>
      <c r="M46" s="49"/>
      <c r="N46" s="49"/>
      <c r="O46" s="49">
        <v>30</v>
      </c>
      <c r="P46" s="49">
        <v>20</v>
      </c>
      <c r="Q46" s="49">
        <v>20</v>
      </c>
      <c r="R46" s="49"/>
      <c r="S46" s="49">
        <v>15</v>
      </c>
      <c r="T46" s="49">
        <v>30</v>
      </c>
      <c r="U46" s="49">
        <v>20</v>
      </c>
      <c r="V46" s="49"/>
      <c r="W46" s="49"/>
      <c r="X46" s="49"/>
      <c r="Y46" s="49">
        <v>20</v>
      </c>
      <c r="Z46" s="49">
        <v>25</v>
      </c>
      <c r="AA46" s="49">
        <v>20</v>
      </c>
      <c r="AB46" s="49">
        <v>20</v>
      </c>
      <c r="AC46" s="49"/>
      <c r="AD46" s="49"/>
      <c r="AE46" s="49">
        <v>20</v>
      </c>
      <c r="AF46" s="49"/>
      <c r="AG46" s="47"/>
      <c r="AH46" s="47">
        <v>20</v>
      </c>
      <c r="AI46" s="49"/>
      <c r="AJ46" s="47"/>
      <c r="AK46" s="47">
        <f t="shared" si="6"/>
        <v>260</v>
      </c>
      <c r="AL46" s="47"/>
      <c r="AM46" s="47">
        <f t="shared" si="7"/>
        <v>260</v>
      </c>
      <c r="AN46" s="47"/>
      <c r="AO46" s="47"/>
      <c r="AP46" s="47"/>
      <c r="AQ46" s="48"/>
      <c r="AR46" s="48"/>
      <c r="AS46" s="50">
        <v>277</v>
      </c>
      <c r="AT46" s="50">
        <f t="shared" si="10"/>
        <v>72020</v>
      </c>
    </row>
    <row r="47" spans="1:46" ht="15.75" customHeight="1">
      <c r="A47" s="47">
        <v>9</v>
      </c>
      <c r="B47" s="48"/>
      <c r="C47" s="48"/>
      <c r="D47" s="48" t="s">
        <v>28</v>
      </c>
      <c r="E47" s="48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>
        <v>40</v>
      </c>
      <c r="R47" s="49"/>
      <c r="S47" s="49"/>
      <c r="T47" s="49">
        <v>130</v>
      </c>
      <c r="U47" s="49"/>
      <c r="V47" s="49"/>
      <c r="W47" s="49"/>
      <c r="X47" s="49"/>
      <c r="Y47" s="49"/>
      <c r="Z47" s="49">
        <v>130</v>
      </c>
      <c r="AA47" s="49"/>
      <c r="AB47" s="49"/>
      <c r="AC47" s="49"/>
      <c r="AD47" s="49"/>
      <c r="AE47" s="49"/>
      <c r="AF47" s="49">
        <v>130</v>
      </c>
      <c r="AG47" s="47"/>
      <c r="AH47" s="47"/>
      <c r="AI47" s="49"/>
      <c r="AJ47" s="64">
        <v>25</v>
      </c>
      <c r="AK47" s="47">
        <f t="shared" si="6"/>
        <v>455</v>
      </c>
      <c r="AL47" s="47"/>
      <c r="AM47" s="47">
        <f t="shared" si="7"/>
        <v>455</v>
      </c>
      <c r="AN47" s="47"/>
      <c r="AO47" s="47"/>
      <c r="AP47" s="47"/>
      <c r="AQ47" s="48"/>
      <c r="AR47" s="48"/>
      <c r="AS47" s="50">
        <v>277</v>
      </c>
      <c r="AT47" s="50">
        <f t="shared" si="10"/>
        <v>126035</v>
      </c>
    </row>
    <row r="48" spans="1:46" ht="15.75" customHeight="1">
      <c r="A48" s="47">
        <v>10</v>
      </c>
      <c r="B48" s="48"/>
      <c r="C48" s="48"/>
      <c r="D48" s="48" t="s">
        <v>109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>
        <v>20</v>
      </c>
      <c r="Q48" s="49"/>
      <c r="R48" s="49">
        <v>25</v>
      </c>
      <c r="S48" s="49"/>
      <c r="T48" s="49"/>
      <c r="U48" s="49">
        <v>20</v>
      </c>
      <c r="V48" s="49">
        <v>25</v>
      </c>
      <c r="W48" s="49">
        <v>20</v>
      </c>
      <c r="X48" s="49"/>
      <c r="Y48" s="49"/>
      <c r="Z48" s="49"/>
      <c r="AA48" s="49"/>
      <c r="AB48" s="49"/>
      <c r="AC48" s="49"/>
      <c r="AD48" s="49"/>
      <c r="AE48" s="49"/>
      <c r="AF48" s="49"/>
      <c r="AG48" s="47"/>
      <c r="AH48" s="47"/>
      <c r="AI48" s="49"/>
      <c r="AJ48" s="47"/>
      <c r="AK48" s="47">
        <f t="shared" si="6"/>
        <v>110</v>
      </c>
      <c r="AL48" s="47"/>
      <c r="AM48" s="47">
        <f t="shared" si="7"/>
        <v>110</v>
      </c>
      <c r="AN48" s="47"/>
      <c r="AO48" s="47"/>
      <c r="AP48" s="47"/>
      <c r="AQ48" s="48"/>
      <c r="AR48" s="48"/>
      <c r="AS48" s="50">
        <v>277</v>
      </c>
      <c r="AT48" s="50">
        <f t="shared" si="10"/>
        <v>30470</v>
      </c>
    </row>
    <row r="49" spans="1:46" ht="15.75" customHeight="1">
      <c r="A49" s="47">
        <v>11</v>
      </c>
      <c r="B49" s="48"/>
      <c r="C49" s="48"/>
      <c r="D49" s="48" t="s">
        <v>110</v>
      </c>
      <c r="E49" s="48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>
        <v>20</v>
      </c>
      <c r="Q49" s="49"/>
      <c r="R49" s="49">
        <v>25</v>
      </c>
      <c r="S49" s="49"/>
      <c r="T49" s="49"/>
      <c r="U49" s="49">
        <v>20</v>
      </c>
      <c r="V49" s="49">
        <v>25</v>
      </c>
      <c r="W49" s="49">
        <v>20</v>
      </c>
      <c r="X49" s="49"/>
      <c r="Y49" s="49"/>
      <c r="Z49" s="49"/>
      <c r="AA49" s="49"/>
      <c r="AB49" s="49"/>
      <c r="AC49" s="49"/>
      <c r="AD49" s="49"/>
      <c r="AE49" s="49"/>
      <c r="AF49" s="49"/>
      <c r="AG49" s="47"/>
      <c r="AH49" s="47"/>
      <c r="AI49" s="49"/>
      <c r="AJ49" s="47"/>
      <c r="AK49" s="47">
        <f t="shared" si="6"/>
        <v>110</v>
      </c>
      <c r="AL49" s="47"/>
      <c r="AM49" s="47">
        <f t="shared" si="7"/>
        <v>110</v>
      </c>
      <c r="AN49" s="47"/>
      <c r="AO49" s="47"/>
      <c r="AP49" s="47"/>
      <c r="AQ49" s="48"/>
      <c r="AR49" s="48"/>
      <c r="AS49" s="50">
        <v>277</v>
      </c>
      <c r="AT49" s="50">
        <f t="shared" si="10"/>
        <v>30470</v>
      </c>
    </row>
    <row r="50" spans="1:46" ht="15.75" customHeight="1">
      <c r="A50" s="47">
        <v>12</v>
      </c>
      <c r="B50" s="48"/>
      <c r="C50" s="48"/>
      <c r="D50" s="48" t="s">
        <v>111</v>
      </c>
      <c r="E50" s="48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>
        <v>20</v>
      </c>
      <c r="Q50" s="49"/>
      <c r="R50" s="49">
        <v>25</v>
      </c>
      <c r="S50" s="49"/>
      <c r="T50" s="49"/>
      <c r="U50" s="49">
        <v>20</v>
      </c>
      <c r="V50" s="49">
        <v>25</v>
      </c>
      <c r="W50" s="49">
        <v>20</v>
      </c>
      <c r="X50" s="49"/>
      <c r="Y50" s="49"/>
      <c r="Z50" s="49">
        <v>10</v>
      </c>
      <c r="AA50" s="49">
        <v>10</v>
      </c>
      <c r="AB50" s="49">
        <v>10</v>
      </c>
      <c r="AC50" s="49"/>
      <c r="AD50" s="49"/>
      <c r="AE50" s="49"/>
      <c r="AF50" s="49"/>
      <c r="AG50" s="47"/>
      <c r="AH50" s="47"/>
      <c r="AI50" s="49"/>
      <c r="AJ50" s="47"/>
      <c r="AK50" s="47">
        <f t="shared" si="6"/>
        <v>140</v>
      </c>
      <c r="AL50" s="47"/>
      <c r="AM50" s="47">
        <f t="shared" si="7"/>
        <v>140</v>
      </c>
      <c r="AN50" s="47"/>
      <c r="AO50" s="47"/>
      <c r="AP50" s="47"/>
      <c r="AQ50" s="48"/>
      <c r="AR50" s="48"/>
      <c r="AS50" s="50">
        <v>277</v>
      </c>
      <c r="AT50" s="50">
        <f t="shared" si="10"/>
        <v>38780</v>
      </c>
    </row>
    <row r="51" spans="1:46" ht="15.75" customHeight="1">
      <c r="A51" s="47">
        <v>13</v>
      </c>
      <c r="B51" s="48"/>
      <c r="C51" s="48"/>
      <c r="D51" s="48" t="s">
        <v>112</v>
      </c>
      <c r="E51" s="48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>
        <v>40</v>
      </c>
      <c r="AA51" s="49"/>
      <c r="AB51" s="49"/>
      <c r="AC51" s="49"/>
      <c r="AD51" s="49"/>
      <c r="AE51" s="49"/>
      <c r="AF51" s="49"/>
      <c r="AG51" s="47"/>
      <c r="AH51" s="47"/>
      <c r="AI51" s="49"/>
      <c r="AJ51" s="47"/>
      <c r="AK51" s="47">
        <f t="shared" si="6"/>
        <v>40</v>
      </c>
      <c r="AL51" s="47"/>
      <c r="AM51" s="47">
        <f t="shared" si="7"/>
        <v>40</v>
      </c>
      <c r="AN51" s="47"/>
      <c r="AO51" s="47"/>
      <c r="AP51" s="47"/>
      <c r="AQ51" s="48"/>
      <c r="AR51" s="48"/>
      <c r="AS51" s="50">
        <v>277</v>
      </c>
      <c r="AT51" s="50">
        <f t="shared" si="10"/>
        <v>11080</v>
      </c>
    </row>
    <row r="52" spans="1:46" ht="15.75" customHeight="1">
      <c r="A52" s="47">
        <v>14</v>
      </c>
      <c r="B52" s="48"/>
      <c r="C52" s="48"/>
      <c r="D52" s="48" t="s">
        <v>113</v>
      </c>
      <c r="E52" s="48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>
        <v>15</v>
      </c>
      <c r="Q52" s="49"/>
      <c r="R52" s="49">
        <v>15</v>
      </c>
      <c r="S52" s="49"/>
      <c r="T52" s="49"/>
      <c r="U52" s="49">
        <v>15</v>
      </c>
      <c r="V52" s="49">
        <v>15</v>
      </c>
      <c r="W52" s="49">
        <v>10</v>
      </c>
      <c r="X52" s="49"/>
      <c r="Y52" s="49"/>
      <c r="Z52" s="49">
        <v>5</v>
      </c>
      <c r="AA52" s="49">
        <v>5</v>
      </c>
      <c r="AB52" s="49"/>
      <c r="AC52" s="49"/>
      <c r="AD52" s="49"/>
      <c r="AE52" s="49"/>
      <c r="AF52" s="49"/>
      <c r="AG52" s="47"/>
      <c r="AH52" s="47"/>
      <c r="AI52" s="49"/>
      <c r="AJ52" s="47"/>
      <c r="AK52" s="47">
        <f t="shared" si="6"/>
        <v>80</v>
      </c>
      <c r="AL52" s="47"/>
      <c r="AM52" s="47">
        <f t="shared" si="7"/>
        <v>80</v>
      </c>
      <c r="AN52" s="47"/>
      <c r="AO52" s="47"/>
      <c r="AP52" s="47"/>
      <c r="AQ52" s="48"/>
      <c r="AR52" s="48"/>
      <c r="AS52" s="50">
        <v>277</v>
      </c>
      <c r="AT52" s="50">
        <f t="shared" si="10"/>
        <v>22160</v>
      </c>
    </row>
    <row r="53" spans="1:46" ht="15.75" customHeight="1">
      <c r="A53" s="47">
        <v>15</v>
      </c>
      <c r="B53" s="48"/>
      <c r="C53" s="48"/>
      <c r="D53" s="48" t="s">
        <v>114</v>
      </c>
      <c r="E53" s="48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>
        <v>20</v>
      </c>
      <c r="S53" s="49">
        <v>10</v>
      </c>
      <c r="T53" s="49"/>
      <c r="U53" s="49">
        <v>10</v>
      </c>
      <c r="V53" s="49">
        <v>15</v>
      </c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7"/>
      <c r="AH53" s="47"/>
      <c r="AI53" s="49"/>
      <c r="AJ53" s="47"/>
      <c r="AK53" s="47">
        <f t="shared" si="6"/>
        <v>55</v>
      </c>
      <c r="AL53" s="47"/>
      <c r="AM53" s="47">
        <f t="shared" si="7"/>
        <v>55</v>
      </c>
      <c r="AN53" s="47"/>
      <c r="AO53" s="47"/>
      <c r="AP53" s="47"/>
      <c r="AQ53" s="48"/>
      <c r="AR53" s="48"/>
      <c r="AS53" s="50">
        <v>277</v>
      </c>
      <c r="AT53" s="50">
        <f t="shared" si="10"/>
        <v>15235</v>
      </c>
    </row>
    <row r="54" spans="1:46" ht="15.75" customHeight="1">
      <c r="A54" s="47">
        <v>16</v>
      </c>
      <c r="B54" s="48"/>
      <c r="C54" s="48"/>
      <c r="D54" s="48" t="s">
        <v>71</v>
      </c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>
        <v>20</v>
      </c>
      <c r="V54" s="49">
        <v>20</v>
      </c>
      <c r="W54" s="49">
        <v>10</v>
      </c>
      <c r="X54" s="49">
        <v>20</v>
      </c>
      <c r="Y54" s="49">
        <v>20</v>
      </c>
      <c r="Z54" s="49">
        <v>20</v>
      </c>
      <c r="AA54" s="49">
        <v>20</v>
      </c>
      <c r="AB54" s="49">
        <v>20</v>
      </c>
      <c r="AC54" s="49">
        <v>20</v>
      </c>
      <c r="AD54" s="49"/>
      <c r="AE54" s="49">
        <v>10</v>
      </c>
      <c r="AF54" s="49">
        <v>20</v>
      </c>
      <c r="AG54" s="47">
        <v>20</v>
      </c>
      <c r="AH54" s="47">
        <v>20</v>
      </c>
      <c r="AI54" s="49">
        <v>20</v>
      </c>
      <c r="AJ54" s="47"/>
      <c r="AK54" s="47">
        <f t="shared" si="6"/>
        <v>260</v>
      </c>
      <c r="AL54" s="47"/>
      <c r="AM54" s="47">
        <f t="shared" si="7"/>
        <v>260</v>
      </c>
      <c r="AN54" s="47"/>
      <c r="AO54" s="47"/>
      <c r="AP54" s="47"/>
      <c r="AQ54" s="48"/>
      <c r="AR54" s="48"/>
      <c r="AS54" s="50">
        <v>277</v>
      </c>
      <c r="AT54" s="50">
        <f t="shared" si="10"/>
        <v>72020</v>
      </c>
    </row>
    <row r="55" spans="1:46" ht="15.75" customHeight="1">
      <c r="A55" s="47">
        <v>17</v>
      </c>
      <c r="B55" s="48"/>
      <c r="C55" s="48"/>
      <c r="D55" s="48" t="s">
        <v>115</v>
      </c>
      <c r="E55" s="48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>
        <v>40</v>
      </c>
      <c r="Z55" s="49">
        <v>40</v>
      </c>
      <c r="AA55" s="49">
        <v>40</v>
      </c>
      <c r="AB55" s="49">
        <v>40</v>
      </c>
      <c r="AC55" s="49">
        <v>40</v>
      </c>
      <c r="AD55" s="49"/>
      <c r="AE55" s="49">
        <v>40</v>
      </c>
      <c r="AF55" s="49">
        <v>40</v>
      </c>
      <c r="AG55" s="47">
        <v>40</v>
      </c>
      <c r="AH55" s="47">
        <v>40</v>
      </c>
      <c r="AI55" s="49"/>
      <c r="AJ55" s="47"/>
      <c r="AK55" s="47">
        <f t="shared" si="6"/>
        <v>360</v>
      </c>
      <c r="AL55" s="47"/>
      <c r="AM55" s="47">
        <f t="shared" si="7"/>
        <v>360</v>
      </c>
      <c r="AN55" s="47"/>
      <c r="AO55" s="47"/>
      <c r="AP55" s="47"/>
      <c r="AQ55" s="48"/>
      <c r="AR55" s="48"/>
      <c r="AS55" s="50">
        <v>277</v>
      </c>
      <c r="AT55" s="50">
        <f t="shared" si="10"/>
        <v>99720</v>
      </c>
    </row>
    <row r="56" spans="1:46" ht="15.75" customHeight="1">
      <c r="A56" s="47">
        <v>18</v>
      </c>
      <c r="B56" s="48"/>
      <c r="C56" s="48"/>
      <c r="D56" s="48" t="s">
        <v>116</v>
      </c>
      <c r="E56" s="48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7"/>
      <c r="AH56" s="47"/>
      <c r="AI56" s="49"/>
      <c r="AJ56" s="47"/>
      <c r="AK56" s="47">
        <f t="shared" si="6"/>
        <v>0</v>
      </c>
      <c r="AL56" s="47"/>
      <c r="AM56" s="47">
        <f t="shared" si="7"/>
        <v>0</v>
      </c>
      <c r="AN56" s="47"/>
      <c r="AO56" s="47"/>
      <c r="AP56" s="47"/>
      <c r="AQ56" s="48"/>
      <c r="AR56" s="48"/>
      <c r="AS56" s="50">
        <v>277</v>
      </c>
      <c r="AT56" s="50">
        <f t="shared" si="10"/>
        <v>0</v>
      </c>
    </row>
    <row r="57" spans="1:46" ht="15.75" customHeight="1">
      <c r="A57" s="47">
        <v>19</v>
      </c>
      <c r="B57" s="48"/>
      <c r="C57" s="48"/>
      <c r="D57" s="48" t="s">
        <v>117</v>
      </c>
      <c r="E57" s="48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7"/>
      <c r="AH57" s="47"/>
      <c r="AI57" s="49"/>
      <c r="AJ57" s="47"/>
      <c r="AK57" s="47">
        <f t="shared" si="6"/>
        <v>0</v>
      </c>
      <c r="AL57" s="47"/>
      <c r="AM57" s="47">
        <f t="shared" si="7"/>
        <v>0</v>
      </c>
      <c r="AN57" s="47"/>
      <c r="AO57" s="47"/>
      <c r="AP57" s="47"/>
      <c r="AQ57" s="48"/>
      <c r="AR57" s="48"/>
      <c r="AS57" s="50">
        <v>277</v>
      </c>
      <c r="AT57" s="50">
        <f t="shared" si="10"/>
        <v>0</v>
      </c>
    </row>
    <row r="58" spans="1:46" ht="15.75" customHeight="1">
      <c r="A58" s="47">
        <v>20</v>
      </c>
      <c r="B58" s="48"/>
      <c r="C58" s="48"/>
      <c r="D58" s="48" t="s">
        <v>118</v>
      </c>
      <c r="E58" s="4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>
        <v>20</v>
      </c>
      <c r="R58" s="49"/>
      <c r="S58" s="49">
        <v>20</v>
      </c>
      <c r="T58" s="49"/>
      <c r="U58" s="49"/>
      <c r="V58" s="49"/>
      <c r="W58" s="49"/>
      <c r="X58" s="49"/>
      <c r="Y58" s="49"/>
      <c r="Z58" s="49">
        <v>15</v>
      </c>
      <c r="AA58" s="49">
        <v>20</v>
      </c>
      <c r="AB58" s="49">
        <v>10</v>
      </c>
      <c r="AC58" s="49"/>
      <c r="AD58" s="49"/>
      <c r="AE58" s="49"/>
      <c r="AF58" s="49"/>
      <c r="AG58" s="47"/>
      <c r="AH58" s="47"/>
      <c r="AI58" s="49"/>
      <c r="AJ58" s="47"/>
      <c r="AK58" s="47">
        <f t="shared" si="6"/>
        <v>85</v>
      </c>
      <c r="AL58" s="47"/>
      <c r="AM58" s="47">
        <f t="shared" si="7"/>
        <v>85</v>
      </c>
      <c r="AN58" s="47"/>
      <c r="AO58" s="47"/>
      <c r="AP58" s="47"/>
      <c r="AQ58" s="48"/>
      <c r="AR58" s="48"/>
      <c r="AS58" s="50">
        <v>277</v>
      </c>
      <c r="AT58" s="50">
        <f t="shared" si="10"/>
        <v>23545</v>
      </c>
    </row>
    <row r="59" spans="1:46" ht="15.75" customHeight="1">
      <c r="A59" s="47">
        <v>21</v>
      </c>
      <c r="B59" s="48"/>
      <c r="C59" s="48"/>
      <c r="D59" s="48" t="s">
        <v>76</v>
      </c>
      <c r="E59" s="48"/>
      <c r="F59" s="49"/>
      <c r="G59" s="49"/>
      <c r="H59" s="49"/>
      <c r="I59" s="49"/>
      <c r="J59" s="49"/>
      <c r="K59" s="49"/>
      <c r="L59" s="49"/>
      <c r="M59" s="49"/>
      <c r="N59" s="49"/>
      <c r="O59" s="49">
        <v>40</v>
      </c>
      <c r="P59" s="49">
        <v>40</v>
      </c>
      <c r="Q59" s="49"/>
      <c r="R59" s="49"/>
      <c r="S59" s="49"/>
      <c r="T59" s="49">
        <v>40</v>
      </c>
      <c r="U59" s="49"/>
      <c r="V59" s="49"/>
      <c r="W59" s="49"/>
      <c r="X59" s="49"/>
      <c r="Y59" s="49"/>
      <c r="Z59" s="49">
        <v>20</v>
      </c>
      <c r="AA59" s="49"/>
      <c r="AB59" s="49"/>
      <c r="AC59" s="49"/>
      <c r="AD59" s="49"/>
      <c r="AE59" s="49"/>
      <c r="AF59" s="49"/>
      <c r="AG59" s="47"/>
      <c r="AH59" s="47">
        <v>40</v>
      </c>
      <c r="AI59" s="49"/>
      <c r="AJ59" s="47"/>
      <c r="AK59" s="47">
        <f t="shared" si="6"/>
        <v>180</v>
      </c>
      <c r="AL59" s="47"/>
      <c r="AM59" s="47">
        <f t="shared" si="7"/>
        <v>180</v>
      </c>
      <c r="AN59" s="47"/>
      <c r="AO59" s="47"/>
      <c r="AP59" s="47"/>
      <c r="AQ59" s="48"/>
      <c r="AR59" s="48"/>
      <c r="AS59" s="50">
        <v>277</v>
      </c>
      <c r="AT59" s="50">
        <f t="shared" si="10"/>
        <v>49860</v>
      </c>
    </row>
    <row r="60" spans="1:46" ht="15.75" customHeight="1">
      <c r="A60" s="47">
        <v>22</v>
      </c>
      <c r="B60" s="48"/>
      <c r="C60" s="48"/>
      <c r="D60" s="48" t="s">
        <v>70</v>
      </c>
      <c r="E60" s="48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>
        <v>40</v>
      </c>
      <c r="Z60" s="49">
        <v>50</v>
      </c>
      <c r="AA60" s="49">
        <v>40</v>
      </c>
      <c r="AB60" s="49">
        <v>40</v>
      </c>
      <c r="AC60" s="49">
        <v>20</v>
      </c>
      <c r="AD60" s="49"/>
      <c r="AE60" s="49">
        <v>40</v>
      </c>
      <c r="AF60" s="49">
        <v>40</v>
      </c>
      <c r="AG60" s="47">
        <v>40</v>
      </c>
      <c r="AH60" s="47">
        <v>40</v>
      </c>
      <c r="AI60" s="49">
        <v>40</v>
      </c>
      <c r="AJ60" s="47"/>
      <c r="AK60" s="47">
        <f t="shared" si="6"/>
        <v>390</v>
      </c>
      <c r="AL60" s="47"/>
      <c r="AM60" s="47">
        <f t="shared" si="7"/>
        <v>390</v>
      </c>
      <c r="AN60" s="47"/>
      <c r="AO60" s="47"/>
      <c r="AP60" s="47"/>
      <c r="AQ60" s="48"/>
      <c r="AR60" s="48"/>
      <c r="AS60" s="50">
        <v>277</v>
      </c>
      <c r="AT60" s="50">
        <f t="shared" si="10"/>
        <v>108030</v>
      </c>
    </row>
    <row r="61" spans="1:46" ht="15.75" customHeight="1">
      <c r="A61" s="47">
        <v>23</v>
      </c>
      <c r="B61" s="48"/>
      <c r="C61" s="48"/>
      <c r="D61" s="48" t="s">
        <v>119</v>
      </c>
      <c r="E61" s="48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7"/>
      <c r="AH61" s="47"/>
      <c r="AI61" s="49"/>
      <c r="AJ61" s="47"/>
      <c r="AK61" s="47">
        <f t="shared" si="6"/>
        <v>0</v>
      </c>
      <c r="AL61" s="47"/>
      <c r="AM61" s="47">
        <f t="shared" si="7"/>
        <v>0</v>
      </c>
      <c r="AN61" s="47"/>
      <c r="AO61" s="47"/>
      <c r="AP61" s="47">
        <f t="shared" ref="AP61:AP63" si="11">AO61-AN61</f>
        <v>0</v>
      </c>
      <c r="AQ61" s="48" t="e">
        <f>AM61/AP61</f>
        <v>#DIV/0!</v>
      </c>
      <c r="AR61" s="48"/>
      <c r="AS61" s="50">
        <v>277</v>
      </c>
      <c r="AT61" s="50">
        <f t="shared" si="10"/>
        <v>0</v>
      </c>
    </row>
    <row r="62" spans="1:46" ht="15.75" customHeight="1">
      <c r="A62" s="47">
        <v>24</v>
      </c>
      <c r="B62" s="48"/>
      <c r="C62" s="48"/>
      <c r="D62" s="48" t="s">
        <v>67</v>
      </c>
      <c r="E62" s="48"/>
      <c r="F62" s="47"/>
      <c r="G62" s="47"/>
      <c r="H62" s="47"/>
      <c r="I62" s="47"/>
      <c r="J62" s="47"/>
      <c r="K62" s="47"/>
      <c r="L62" s="47"/>
      <c r="M62" s="47">
        <v>10</v>
      </c>
      <c r="N62" s="47"/>
      <c r="O62" s="47"/>
      <c r="P62" s="49"/>
      <c r="Q62" s="47"/>
      <c r="R62" s="47"/>
      <c r="S62" s="47"/>
      <c r="T62" s="49"/>
      <c r="U62" s="49"/>
      <c r="V62" s="49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9"/>
      <c r="AJ62" s="47"/>
      <c r="AK62" s="47">
        <f t="shared" si="6"/>
        <v>10</v>
      </c>
      <c r="AL62" s="47"/>
      <c r="AM62" s="47">
        <f t="shared" si="7"/>
        <v>10</v>
      </c>
      <c r="AN62" s="47"/>
      <c r="AO62" s="47"/>
      <c r="AP62" s="47">
        <f t="shared" si="11"/>
        <v>0</v>
      </c>
      <c r="AQ62" s="48">
        <f t="shared" ref="AQ62:AQ63" si="12">AP62/AM62</f>
        <v>0</v>
      </c>
      <c r="AR62" s="48"/>
      <c r="AS62" s="50">
        <v>277</v>
      </c>
      <c r="AT62" s="50">
        <f t="shared" si="10"/>
        <v>2770</v>
      </c>
    </row>
    <row r="63" spans="1:46" ht="15.75" customHeight="1">
      <c r="A63" s="47">
        <v>25</v>
      </c>
      <c r="B63" s="48"/>
      <c r="C63" s="48"/>
      <c r="D63" s="48" t="s">
        <v>120</v>
      </c>
      <c r="E63" s="48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9">
        <v>40</v>
      </c>
      <c r="Q63" s="47"/>
      <c r="R63" s="47"/>
      <c r="S63" s="47"/>
      <c r="T63" s="49"/>
      <c r="U63" s="49"/>
      <c r="V63" s="49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9"/>
      <c r="AJ63" s="47"/>
      <c r="AK63" s="47">
        <f t="shared" si="6"/>
        <v>40</v>
      </c>
      <c r="AL63" s="47"/>
      <c r="AM63" s="47">
        <f t="shared" si="7"/>
        <v>40</v>
      </c>
      <c r="AN63" s="47"/>
      <c r="AO63" s="47"/>
      <c r="AP63" s="47">
        <f t="shared" si="11"/>
        <v>0</v>
      </c>
      <c r="AQ63" s="48">
        <f t="shared" si="12"/>
        <v>0</v>
      </c>
      <c r="AR63" s="48"/>
      <c r="AS63" s="50">
        <v>277</v>
      </c>
      <c r="AT63" s="50">
        <f t="shared" si="10"/>
        <v>11080</v>
      </c>
    </row>
    <row r="64" spans="1:46" ht="15.75" customHeight="1">
      <c r="A64" s="47">
        <v>26</v>
      </c>
      <c r="B64" s="48"/>
      <c r="C64" s="48"/>
      <c r="D64" s="48" t="s">
        <v>121</v>
      </c>
      <c r="E64" s="48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9">
        <v>20</v>
      </c>
      <c r="Q64" s="47"/>
      <c r="R64" s="47">
        <v>20</v>
      </c>
      <c r="S64" s="47"/>
      <c r="T64" s="49"/>
      <c r="U64" s="49">
        <v>20</v>
      </c>
      <c r="V64" s="49">
        <v>20</v>
      </c>
      <c r="W64" s="47">
        <v>20</v>
      </c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9"/>
      <c r="AJ64" s="47"/>
      <c r="AK64" s="47">
        <f t="shared" si="6"/>
        <v>100</v>
      </c>
      <c r="AL64" s="47"/>
      <c r="AM64" s="47">
        <f t="shared" si="7"/>
        <v>100</v>
      </c>
      <c r="AN64" s="47"/>
      <c r="AO64" s="47"/>
      <c r="AP64" s="47"/>
      <c r="AQ64" s="48"/>
      <c r="AR64" s="48"/>
      <c r="AS64" s="50">
        <v>277</v>
      </c>
      <c r="AT64" s="50">
        <f t="shared" si="10"/>
        <v>27700</v>
      </c>
    </row>
    <row r="65" spans="1:46" ht="15.75" customHeight="1">
      <c r="A65" s="47">
        <v>27</v>
      </c>
      <c r="B65" s="48"/>
      <c r="C65" s="48"/>
      <c r="D65" s="48" t="s">
        <v>122</v>
      </c>
      <c r="E65" s="48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9">
        <v>87</v>
      </c>
      <c r="Q65" s="47"/>
      <c r="R65" s="47">
        <v>128</v>
      </c>
      <c r="S65" s="47"/>
      <c r="T65" s="49"/>
      <c r="U65" s="49">
        <v>121.71</v>
      </c>
      <c r="V65" s="49"/>
      <c r="W65" s="47"/>
      <c r="X65" s="47"/>
      <c r="Y65" s="47">
        <v>121</v>
      </c>
      <c r="Z65" s="47"/>
      <c r="AA65" s="47"/>
      <c r="AB65" s="47">
        <v>129</v>
      </c>
      <c r="AC65" s="47"/>
      <c r="AD65" s="47"/>
      <c r="AE65" s="47"/>
      <c r="AF65" s="47">
        <v>118</v>
      </c>
      <c r="AG65" s="47"/>
      <c r="AH65" s="47"/>
      <c r="AI65" s="49"/>
      <c r="AJ65" s="47"/>
      <c r="AK65" s="47">
        <f t="shared" si="6"/>
        <v>704.71</v>
      </c>
      <c r="AL65" s="47"/>
      <c r="AM65" s="47">
        <f t="shared" si="7"/>
        <v>704.71</v>
      </c>
      <c r="AN65" s="47"/>
      <c r="AO65" s="47"/>
      <c r="AP65" s="47"/>
      <c r="AQ65" s="48"/>
      <c r="AR65" s="48"/>
      <c r="AS65" s="50">
        <v>277</v>
      </c>
      <c r="AT65" s="50">
        <f t="shared" si="10"/>
        <v>195204.67</v>
      </c>
    </row>
    <row r="66" spans="1:46" ht="15.75" customHeight="1">
      <c r="A66" s="47"/>
      <c r="B66" s="48"/>
      <c r="C66" s="48"/>
      <c r="D66" s="48" t="s">
        <v>123</v>
      </c>
      <c r="E66" s="48"/>
      <c r="F66" s="47"/>
      <c r="G66" s="47"/>
      <c r="H66" s="47"/>
      <c r="I66" s="47"/>
      <c r="J66" s="47"/>
      <c r="K66" s="47"/>
      <c r="L66" s="47"/>
      <c r="M66" s="47"/>
      <c r="N66" s="47">
        <v>40</v>
      </c>
      <c r="O66" s="47"/>
      <c r="P66" s="49">
        <v>25</v>
      </c>
      <c r="Q66" s="47"/>
      <c r="R66" s="47"/>
      <c r="S66" s="47"/>
      <c r="T66" s="49"/>
      <c r="U66" s="49"/>
      <c r="V66" s="49"/>
      <c r="W66" s="47">
        <v>5</v>
      </c>
      <c r="X66" s="47">
        <v>15</v>
      </c>
      <c r="Y66" s="47">
        <v>15</v>
      </c>
      <c r="Z66" s="47">
        <v>25</v>
      </c>
      <c r="AA66" s="47"/>
      <c r="AB66" s="47">
        <v>10</v>
      </c>
      <c r="AC66" s="47"/>
      <c r="AD66" s="47"/>
      <c r="AE66" s="47">
        <v>15</v>
      </c>
      <c r="AF66" s="47"/>
      <c r="AG66" s="47">
        <v>10</v>
      </c>
      <c r="AH66" s="47">
        <v>10</v>
      </c>
      <c r="AI66" s="49"/>
      <c r="AJ66" s="47"/>
      <c r="AK66" s="47"/>
      <c r="AL66" s="47"/>
      <c r="AM66" s="47"/>
      <c r="AN66" s="47"/>
      <c r="AO66" s="47"/>
      <c r="AP66" s="47"/>
      <c r="AQ66" s="48"/>
      <c r="AR66" s="48"/>
      <c r="AS66" s="50"/>
      <c r="AT66" s="50"/>
    </row>
    <row r="67" spans="1:46" ht="15.75" customHeight="1">
      <c r="A67" s="47"/>
      <c r="B67" s="48"/>
      <c r="C67" s="48"/>
      <c r="D67" s="48"/>
      <c r="E67" s="48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9"/>
      <c r="Q67" s="47"/>
      <c r="R67" s="47"/>
      <c r="S67" s="47"/>
      <c r="T67" s="49"/>
      <c r="U67" s="49"/>
      <c r="V67" s="49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9"/>
      <c r="AJ67" s="47"/>
      <c r="AK67" s="47"/>
      <c r="AL67" s="47"/>
      <c r="AM67" s="47"/>
      <c r="AN67" s="47"/>
      <c r="AO67" s="47"/>
      <c r="AP67" s="47"/>
      <c r="AQ67" s="48"/>
      <c r="AR67" s="48"/>
      <c r="AS67" s="50"/>
      <c r="AT67" s="50"/>
    </row>
    <row r="68" spans="1:46" ht="15.75" customHeight="1">
      <c r="A68" s="47"/>
      <c r="B68" s="48"/>
      <c r="C68" s="48"/>
      <c r="D68" s="48"/>
      <c r="E68" s="48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9"/>
      <c r="Q68" s="47"/>
      <c r="R68" s="47"/>
      <c r="S68" s="47"/>
      <c r="T68" s="49"/>
      <c r="U68" s="49"/>
      <c r="V68" s="49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9"/>
      <c r="AJ68" s="47"/>
      <c r="AK68" s="47"/>
      <c r="AL68" s="47"/>
      <c r="AM68" s="47"/>
      <c r="AN68" s="47"/>
      <c r="AO68" s="47"/>
      <c r="AP68" s="47"/>
      <c r="AQ68" s="48"/>
      <c r="AR68" s="48"/>
      <c r="AS68" s="50"/>
      <c r="AT68" s="50"/>
    </row>
    <row r="69" spans="1:46" ht="15.75" customHeight="1">
      <c r="A69" s="47"/>
      <c r="B69" s="48"/>
      <c r="C69" s="48"/>
      <c r="D69" s="48"/>
      <c r="E69" s="48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9"/>
      <c r="Q69" s="47"/>
      <c r="R69" s="47"/>
      <c r="S69" s="47"/>
      <c r="T69" s="49"/>
      <c r="U69" s="49"/>
      <c r="V69" s="49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9"/>
      <c r="AJ69" s="47"/>
      <c r="AK69" s="47"/>
      <c r="AL69" s="47"/>
      <c r="AM69" s="47"/>
      <c r="AN69" s="47"/>
      <c r="AO69" s="47"/>
      <c r="AP69" s="47"/>
      <c r="AQ69" s="48"/>
      <c r="AR69" s="48"/>
      <c r="AS69" s="50"/>
      <c r="AT69" s="50"/>
    </row>
    <row r="70" spans="1:46" ht="15.75" customHeight="1">
      <c r="A70" s="47"/>
      <c r="B70" s="48"/>
      <c r="C70" s="48"/>
      <c r="D70" s="48"/>
      <c r="E70" s="48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9"/>
      <c r="Q70" s="47"/>
      <c r="R70" s="47"/>
      <c r="S70" s="47"/>
      <c r="T70" s="49"/>
      <c r="U70" s="49"/>
      <c r="V70" s="49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>
        <f>SUM(F70:AJ70)</f>
        <v>0</v>
      </c>
      <c r="AL70" s="47"/>
      <c r="AM70" s="47">
        <f>AL70+AK70</f>
        <v>0</v>
      </c>
      <c r="AN70" s="47"/>
      <c r="AO70" s="47"/>
      <c r="AP70" s="47">
        <f>AO70-AN70</f>
        <v>0</v>
      </c>
      <c r="AQ70" s="48" t="e">
        <f>AP70/AM70</f>
        <v>#DIV/0!</v>
      </c>
      <c r="AR70" s="48"/>
      <c r="AS70" s="50">
        <v>283</v>
      </c>
      <c r="AT70" s="50">
        <f>AS70*AM70</f>
        <v>0</v>
      </c>
    </row>
    <row r="71" spans="1:46" ht="15.75" customHeight="1">
      <c r="A71" s="21"/>
      <c r="B71" s="168" t="s">
        <v>27</v>
      </c>
      <c r="C71" s="169"/>
      <c r="D71" s="169"/>
      <c r="E71" s="170"/>
      <c r="F71" s="56">
        <f t="shared" ref="F71:AK71" si="13">SUM(F39:F70)</f>
        <v>0</v>
      </c>
      <c r="G71" s="56">
        <f t="shared" si="13"/>
        <v>0</v>
      </c>
      <c r="H71" s="56">
        <f t="shared" si="13"/>
        <v>0</v>
      </c>
      <c r="I71" s="56">
        <f t="shared" si="13"/>
        <v>0</v>
      </c>
      <c r="J71" s="56">
        <f t="shared" si="13"/>
        <v>0</v>
      </c>
      <c r="K71" s="56">
        <f t="shared" si="13"/>
        <v>0</v>
      </c>
      <c r="L71" s="56">
        <f t="shared" si="13"/>
        <v>0</v>
      </c>
      <c r="M71" s="56">
        <f t="shared" si="13"/>
        <v>10</v>
      </c>
      <c r="N71" s="56">
        <f t="shared" si="13"/>
        <v>65</v>
      </c>
      <c r="O71" s="56">
        <f t="shared" si="13"/>
        <v>95</v>
      </c>
      <c r="P71" s="56">
        <f t="shared" si="13"/>
        <v>332</v>
      </c>
      <c r="Q71" s="56">
        <f t="shared" si="13"/>
        <v>140</v>
      </c>
      <c r="R71" s="56">
        <f t="shared" si="13"/>
        <v>313</v>
      </c>
      <c r="S71" s="56">
        <f t="shared" si="13"/>
        <v>130</v>
      </c>
      <c r="T71" s="56">
        <f t="shared" si="13"/>
        <v>290</v>
      </c>
      <c r="U71" s="56">
        <f t="shared" si="13"/>
        <v>356.71</v>
      </c>
      <c r="V71" s="56">
        <f t="shared" si="13"/>
        <v>240</v>
      </c>
      <c r="W71" s="56">
        <f t="shared" si="13"/>
        <v>170</v>
      </c>
      <c r="X71" s="56">
        <f t="shared" si="13"/>
        <v>85</v>
      </c>
      <c r="Y71" s="56">
        <f t="shared" si="13"/>
        <v>361</v>
      </c>
      <c r="Z71" s="56">
        <f t="shared" si="13"/>
        <v>490</v>
      </c>
      <c r="AA71" s="56">
        <f t="shared" si="13"/>
        <v>265</v>
      </c>
      <c r="AB71" s="56">
        <f t="shared" si="13"/>
        <v>399</v>
      </c>
      <c r="AC71" s="56">
        <f t="shared" si="13"/>
        <v>100</v>
      </c>
      <c r="AD71" s="56">
        <f t="shared" si="13"/>
        <v>0</v>
      </c>
      <c r="AE71" s="56">
        <f t="shared" si="13"/>
        <v>130</v>
      </c>
      <c r="AF71" s="56">
        <f t="shared" si="13"/>
        <v>348</v>
      </c>
      <c r="AG71" s="56">
        <f t="shared" si="13"/>
        <v>115</v>
      </c>
      <c r="AH71" s="56">
        <f t="shared" si="13"/>
        <v>255</v>
      </c>
      <c r="AI71" s="56">
        <f t="shared" si="13"/>
        <v>75</v>
      </c>
      <c r="AJ71" s="56">
        <f t="shared" si="13"/>
        <v>25</v>
      </c>
      <c r="AK71" s="57">
        <f t="shared" si="13"/>
        <v>4619.71</v>
      </c>
      <c r="AL71" s="57"/>
      <c r="AM71" s="57">
        <f>SUM(AM39:AM70)</f>
        <v>4619.71</v>
      </c>
      <c r="AN71" s="21"/>
      <c r="AO71" s="21"/>
      <c r="AP71" s="21"/>
      <c r="AQ71" s="58"/>
      <c r="AR71" s="59"/>
      <c r="AS71" s="22"/>
      <c r="AT71" s="60">
        <f>SUM(AT7:AT70)</f>
        <v>3243478.87</v>
      </c>
    </row>
    <row r="72" spans="1:46" ht="15.75" customHeight="1">
      <c r="A72" s="28"/>
      <c r="B72" s="29"/>
      <c r="C72" s="29"/>
      <c r="D72" s="29"/>
      <c r="E72" s="29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</row>
    <row r="73" spans="1:46" ht="15.75" customHeight="1">
      <c r="A73" s="28"/>
      <c r="B73" s="30" t="s">
        <v>31</v>
      </c>
      <c r="C73" s="29"/>
      <c r="D73" s="29"/>
      <c r="E73" s="29"/>
      <c r="F73" s="61">
        <f>MAY!AJ26</f>
        <v>0</v>
      </c>
      <c r="G73" s="61">
        <f t="shared" ref="G73:AJ73" si="14">F76</f>
        <v>-10</v>
      </c>
      <c r="H73" s="61">
        <f t="shared" si="14"/>
        <v>-10</v>
      </c>
      <c r="I73" s="61">
        <f t="shared" si="14"/>
        <v>20</v>
      </c>
      <c r="J73" s="61">
        <f t="shared" si="14"/>
        <v>50</v>
      </c>
      <c r="K73" s="61">
        <f t="shared" si="14"/>
        <v>25</v>
      </c>
      <c r="L73" s="61">
        <f t="shared" si="14"/>
        <v>0</v>
      </c>
      <c r="M73" s="61">
        <f t="shared" si="14"/>
        <v>15</v>
      </c>
      <c r="N73" s="61">
        <f t="shared" si="14"/>
        <v>-15</v>
      </c>
      <c r="O73" s="61">
        <f t="shared" si="14"/>
        <v>-140</v>
      </c>
      <c r="P73" s="61">
        <f t="shared" si="14"/>
        <v>-300</v>
      </c>
      <c r="Q73" s="61">
        <f t="shared" si="14"/>
        <v>-709</v>
      </c>
      <c r="R73" s="61">
        <f t="shared" si="14"/>
        <v>-654</v>
      </c>
      <c r="S73" s="61">
        <f t="shared" si="14"/>
        <v>-1042</v>
      </c>
      <c r="T73" s="61">
        <f t="shared" si="14"/>
        <v>-1197</v>
      </c>
      <c r="U73" s="61">
        <f t="shared" si="14"/>
        <v>-1952</v>
      </c>
      <c r="V73" s="61">
        <f t="shared" si="14"/>
        <v>-2899.71</v>
      </c>
      <c r="W73" s="61">
        <f t="shared" si="14"/>
        <v>-3564.71</v>
      </c>
      <c r="X73" s="61">
        <f t="shared" si="14"/>
        <v>-3849.71</v>
      </c>
      <c r="Y73" s="61" t="e">
        <f t="shared" si="14"/>
        <v>#NAME?</v>
      </c>
      <c r="Z73" s="61" t="e">
        <f t="shared" si="14"/>
        <v>#NAME?</v>
      </c>
      <c r="AA73" s="61" t="e">
        <f t="shared" si="14"/>
        <v>#NAME?</v>
      </c>
      <c r="AB73" s="61" t="e">
        <f t="shared" si="14"/>
        <v>#NAME?</v>
      </c>
      <c r="AC73" s="61" t="e">
        <f t="shared" si="14"/>
        <v>#NAME?</v>
      </c>
      <c r="AD73" s="61" t="e">
        <f t="shared" si="14"/>
        <v>#NAME?</v>
      </c>
      <c r="AE73" s="61" t="e">
        <f t="shared" si="14"/>
        <v>#NAME?</v>
      </c>
      <c r="AF73" s="61" t="e">
        <f t="shared" si="14"/>
        <v>#NAME?</v>
      </c>
      <c r="AG73" s="61" t="e">
        <f t="shared" si="14"/>
        <v>#NAME?</v>
      </c>
      <c r="AH73" s="61" t="e">
        <f t="shared" si="14"/>
        <v>#NAME?</v>
      </c>
      <c r="AI73" s="61" t="e">
        <f t="shared" si="14"/>
        <v>#NAME?</v>
      </c>
      <c r="AJ73" s="61" t="e">
        <f t="shared" si="14"/>
        <v>#NAME?</v>
      </c>
      <c r="AK73" s="12"/>
      <c r="AL73" s="12"/>
      <c r="AM73" s="12"/>
      <c r="AN73" s="12"/>
      <c r="AO73" s="12"/>
      <c r="AP73" s="12"/>
      <c r="AQ73" s="12"/>
      <c r="AR73" s="12"/>
      <c r="AS73" s="12"/>
      <c r="AT73" s="12"/>
    </row>
    <row r="74" spans="1:46" ht="15.75" customHeight="1">
      <c r="A74" s="28"/>
      <c r="B74" s="30" t="s">
        <v>32</v>
      </c>
      <c r="C74" s="29"/>
      <c r="D74" s="29"/>
      <c r="E74" s="29"/>
      <c r="F74" s="62">
        <v>30</v>
      </c>
      <c r="G74" s="62"/>
      <c r="H74" s="62">
        <v>60</v>
      </c>
      <c r="I74" s="62">
        <v>30</v>
      </c>
      <c r="J74" s="62">
        <v>65</v>
      </c>
      <c r="K74" s="62"/>
      <c r="L74" s="62">
        <v>25</v>
      </c>
      <c r="M74" s="62"/>
      <c r="N74" s="62"/>
      <c r="O74" s="62"/>
      <c r="P74" s="62">
        <v>35</v>
      </c>
      <c r="Q74" s="62">
        <v>280</v>
      </c>
      <c r="R74" s="62"/>
      <c r="S74" s="62">
        <v>40</v>
      </c>
      <c r="T74" s="62"/>
      <c r="U74" s="62">
        <v>40</v>
      </c>
      <c r="V74" s="62"/>
      <c r="W74" s="62">
        <v>230</v>
      </c>
      <c r="X74" s="62">
        <v>40</v>
      </c>
      <c r="Y74" s="62">
        <f>SUM(205+20)</f>
        <v>225</v>
      </c>
      <c r="Z74" s="62">
        <v>157</v>
      </c>
      <c r="AA74" s="62">
        <v>43.71</v>
      </c>
      <c r="AB74" s="62">
        <v>110</v>
      </c>
      <c r="AC74" s="62">
        <f>SUM(251.32+507)</f>
        <v>758.31999999999994</v>
      </c>
      <c r="AD74" s="62">
        <v>30</v>
      </c>
      <c r="AE74" s="62">
        <f>SUM(137+40)</f>
        <v>177</v>
      </c>
      <c r="AF74" s="62">
        <f>SUM(44.8+20)</f>
        <v>64.8</v>
      </c>
      <c r="AG74" s="62">
        <f>SUM(100+60)</f>
        <v>160</v>
      </c>
      <c r="AH74" s="62">
        <v>24</v>
      </c>
      <c r="AI74" s="62"/>
      <c r="AJ74" s="62"/>
      <c r="AK74" s="12"/>
      <c r="AL74" s="12"/>
      <c r="AM74" s="12"/>
      <c r="AN74" s="12"/>
      <c r="AO74" s="12"/>
      <c r="AP74" s="12"/>
      <c r="AQ74" s="12"/>
      <c r="AR74" s="12"/>
      <c r="AS74" s="12"/>
      <c r="AT74" s="12"/>
    </row>
    <row r="75" spans="1:46" ht="15.75" customHeight="1">
      <c r="A75" s="28"/>
      <c r="B75" s="12" t="s">
        <v>33</v>
      </c>
      <c r="C75" s="2"/>
      <c r="D75" s="2"/>
      <c r="E75" s="12"/>
      <c r="F75" s="12">
        <f t="shared" ref="F75:AJ75" si="15">SUM(F37+F71)</f>
        <v>40</v>
      </c>
      <c r="G75" s="12">
        <f t="shared" si="15"/>
        <v>0</v>
      </c>
      <c r="H75" s="12">
        <f t="shared" si="15"/>
        <v>30</v>
      </c>
      <c r="I75" s="12">
        <f t="shared" si="15"/>
        <v>0</v>
      </c>
      <c r="J75" s="12">
        <f t="shared" si="15"/>
        <v>90</v>
      </c>
      <c r="K75" s="12">
        <f t="shared" si="15"/>
        <v>25</v>
      </c>
      <c r="L75" s="12">
        <f t="shared" si="15"/>
        <v>10</v>
      </c>
      <c r="M75" s="12">
        <f t="shared" si="15"/>
        <v>30</v>
      </c>
      <c r="N75" s="12">
        <f t="shared" si="15"/>
        <v>125</v>
      </c>
      <c r="O75" s="12">
        <f t="shared" si="15"/>
        <v>160</v>
      </c>
      <c r="P75" s="12">
        <f t="shared" si="15"/>
        <v>444</v>
      </c>
      <c r="Q75" s="12">
        <f t="shared" si="15"/>
        <v>225</v>
      </c>
      <c r="R75" s="12">
        <f t="shared" si="15"/>
        <v>388</v>
      </c>
      <c r="S75" s="12">
        <f t="shared" si="15"/>
        <v>195</v>
      </c>
      <c r="T75" s="12">
        <f t="shared" si="15"/>
        <v>755</v>
      </c>
      <c r="U75" s="12">
        <f t="shared" si="15"/>
        <v>987.71</v>
      </c>
      <c r="V75" s="12">
        <f t="shared" si="15"/>
        <v>665</v>
      </c>
      <c r="W75" s="12">
        <f t="shared" si="15"/>
        <v>515</v>
      </c>
      <c r="X75" s="12">
        <f t="shared" si="15"/>
        <v>425</v>
      </c>
      <c r="Y75" s="12">
        <f t="shared" si="15"/>
        <v>1076</v>
      </c>
      <c r="Z75" s="12">
        <f t="shared" si="15"/>
        <v>645</v>
      </c>
      <c r="AA75" s="12">
        <f t="shared" si="15"/>
        <v>470</v>
      </c>
      <c r="AB75" s="12">
        <f t="shared" si="15"/>
        <v>569</v>
      </c>
      <c r="AC75" s="12">
        <f t="shared" si="15"/>
        <v>120</v>
      </c>
      <c r="AD75" s="12">
        <f t="shared" si="15"/>
        <v>40</v>
      </c>
      <c r="AE75" s="12">
        <f t="shared" si="15"/>
        <v>566.03</v>
      </c>
      <c r="AF75" s="12">
        <f t="shared" si="15"/>
        <v>598</v>
      </c>
      <c r="AG75" s="12">
        <f t="shared" si="15"/>
        <v>305</v>
      </c>
      <c r="AH75" s="12">
        <f t="shared" si="15"/>
        <v>355</v>
      </c>
      <c r="AI75" s="12">
        <f t="shared" si="15"/>
        <v>115</v>
      </c>
      <c r="AJ75" s="12">
        <f t="shared" si="15"/>
        <v>93.27</v>
      </c>
      <c r="AK75" s="12">
        <f>SUM(AK71+AK37)</f>
        <v>6647.01</v>
      </c>
      <c r="AL75" s="12"/>
      <c r="AM75" s="12">
        <f>SUM(AM71+AM37)</f>
        <v>6647.01</v>
      </c>
      <c r="AN75" s="12"/>
      <c r="AO75" s="12"/>
      <c r="AP75" s="12"/>
      <c r="AQ75" s="12"/>
      <c r="AR75" s="12"/>
      <c r="AS75" s="12"/>
      <c r="AT75" s="32">
        <f>SUM(AT71+AT37)</f>
        <v>3805040.97</v>
      </c>
    </row>
    <row r="76" spans="1:46" ht="15.75" customHeight="1">
      <c r="A76" s="28"/>
      <c r="B76" s="12" t="s">
        <v>34</v>
      </c>
      <c r="C76" s="2"/>
      <c r="D76" s="2"/>
      <c r="E76" s="12"/>
      <c r="F76" s="12">
        <f>SUM(F73+F74-F75)</f>
        <v>-10</v>
      </c>
      <c r="G76" s="12">
        <f>(G73+G74)-G75</f>
        <v>-10</v>
      </c>
      <c r="H76" s="12">
        <f>SUM(H73+H74-H75)</f>
        <v>20</v>
      </c>
      <c r="I76" s="12">
        <f t="shared" ref="I76:W76" si="16">(I73+I74)-I75</f>
        <v>50</v>
      </c>
      <c r="J76" s="12">
        <f t="shared" si="16"/>
        <v>25</v>
      </c>
      <c r="K76" s="12">
        <f t="shared" si="16"/>
        <v>0</v>
      </c>
      <c r="L76" s="12">
        <f t="shared" si="16"/>
        <v>15</v>
      </c>
      <c r="M76" s="12">
        <f t="shared" si="16"/>
        <v>-15</v>
      </c>
      <c r="N76" s="12">
        <f t="shared" si="16"/>
        <v>-140</v>
      </c>
      <c r="O76" s="12">
        <f t="shared" si="16"/>
        <v>-300</v>
      </c>
      <c r="P76" s="12">
        <f t="shared" si="16"/>
        <v>-709</v>
      </c>
      <c r="Q76" s="12">
        <f t="shared" si="16"/>
        <v>-654</v>
      </c>
      <c r="R76" s="12">
        <f t="shared" si="16"/>
        <v>-1042</v>
      </c>
      <c r="S76" s="12">
        <f t="shared" si="16"/>
        <v>-1197</v>
      </c>
      <c r="T76" s="12">
        <f t="shared" si="16"/>
        <v>-1952</v>
      </c>
      <c r="U76" s="12">
        <f t="shared" si="16"/>
        <v>-2899.71</v>
      </c>
      <c r="V76" s="12">
        <f t="shared" si="16"/>
        <v>-3564.71</v>
      </c>
      <c r="W76" s="12">
        <f t="shared" si="16"/>
        <v>-3849.71</v>
      </c>
      <c r="X76" s="12" t="e">
        <f>(Z78X73+X74)-X75</f>
        <v>#NAME?</v>
      </c>
      <c r="Y76" s="12" t="e">
        <f t="shared" ref="Y76:AJ76" si="17">(Y73+Y74)-Y75</f>
        <v>#NAME?</v>
      </c>
      <c r="Z76" s="12" t="e">
        <f t="shared" si="17"/>
        <v>#NAME?</v>
      </c>
      <c r="AA76" s="12" t="e">
        <f t="shared" si="17"/>
        <v>#NAME?</v>
      </c>
      <c r="AB76" s="12" t="e">
        <f t="shared" si="17"/>
        <v>#NAME?</v>
      </c>
      <c r="AC76" s="12" t="e">
        <f t="shared" si="17"/>
        <v>#NAME?</v>
      </c>
      <c r="AD76" s="12" t="e">
        <f t="shared" si="17"/>
        <v>#NAME?</v>
      </c>
      <c r="AE76" s="12" t="e">
        <f t="shared" si="17"/>
        <v>#NAME?</v>
      </c>
      <c r="AF76" s="12" t="e">
        <f t="shared" si="17"/>
        <v>#NAME?</v>
      </c>
      <c r="AG76" s="12" t="e">
        <f t="shared" si="17"/>
        <v>#NAME?</v>
      </c>
      <c r="AH76" s="12" t="e">
        <f t="shared" si="17"/>
        <v>#NAME?</v>
      </c>
      <c r="AI76" s="12" t="e">
        <f t="shared" si="17"/>
        <v>#NAME?</v>
      </c>
      <c r="AJ76" s="12" t="e">
        <f t="shared" si="17"/>
        <v>#NAME?</v>
      </c>
      <c r="AK76" s="12"/>
      <c r="AL76" s="12"/>
      <c r="AM76" s="28"/>
      <c r="AN76" s="28"/>
      <c r="AO76" s="28"/>
      <c r="AP76" s="28"/>
      <c r="AQ76" s="12"/>
      <c r="AR76" s="12"/>
      <c r="AS76" s="32"/>
      <c r="AT76" s="12"/>
    </row>
    <row r="77" spans="1:46" ht="15.75" customHeight="1"/>
    <row r="78" spans="1:46" ht="15.75" customHeight="1"/>
    <row r="79" spans="1:46" ht="15.75" customHeight="1"/>
    <row r="80" spans="1:4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5:AJ5"/>
    <mergeCell ref="AK5:AK6"/>
    <mergeCell ref="B71:E71"/>
    <mergeCell ref="AS5:AS6"/>
    <mergeCell ref="AT5:AT6"/>
    <mergeCell ref="AL5:AL6"/>
    <mergeCell ref="AM5:AM6"/>
    <mergeCell ref="AN5:AN6"/>
    <mergeCell ref="AO5:AO6"/>
    <mergeCell ref="AP5:AP6"/>
    <mergeCell ref="AQ5:AQ6"/>
    <mergeCell ref="AR5:AR6"/>
    <mergeCell ref="A5:A6"/>
    <mergeCell ref="B5:B6"/>
    <mergeCell ref="C5:C6"/>
    <mergeCell ref="D5:D6"/>
    <mergeCell ref="E5:E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workbookViewId="0"/>
  </sheetViews>
  <sheetFormatPr defaultColWidth="14.42578125" defaultRowHeight="15" customHeight="1"/>
  <cols>
    <col min="1" max="3" width="9" customWidth="1"/>
    <col min="4" max="4" width="15.28515625" customWidth="1"/>
    <col min="5" max="5" width="9" customWidth="1"/>
    <col min="6" max="26" width="9.140625" customWidth="1"/>
    <col min="27" max="45" width="9" customWidth="1"/>
    <col min="46" max="46" width="13" customWidth="1"/>
  </cols>
  <sheetData>
    <row r="1" spans="1:46" ht="15.75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"/>
      <c r="AL1" s="4"/>
      <c r="AM1" s="4"/>
      <c r="AN1" s="4"/>
      <c r="AO1" s="4"/>
      <c r="AP1" s="4"/>
      <c r="AQ1" s="2"/>
      <c r="AR1" s="2"/>
      <c r="AS1" s="5"/>
      <c r="AT1" s="2"/>
    </row>
    <row r="2" spans="1:46" ht="15.75">
      <c r="A2" s="1" t="s">
        <v>50</v>
      </c>
      <c r="B2" s="2"/>
      <c r="C2" s="2"/>
      <c r="D2" s="2"/>
      <c r="E2" s="3" t="s">
        <v>124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4"/>
      <c r="AM2" s="4"/>
      <c r="AN2" s="4"/>
      <c r="AO2" s="4"/>
      <c r="AP2" s="4"/>
      <c r="AQ2" s="2"/>
      <c r="AR2" s="2"/>
      <c r="AS2" s="5"/>
      <c r="AT2" s="2"/>
    </row>
    <row r="3" spans="1:46" ht="15.75">
      <c r="A3" s="1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/>
      <c r="AL3" s="4"/>
      <c r="AM3" s="4"/>
      <c r="AN3" s="4"/>
      <c r="AO3" s="4"/>
      <c r="AP3" s="4"/>
      <c r="AQ3" s="2"/>
      <c r="AR3" s="2"/>
      <c r="AS3" s="5"/>
      <c r="AT3" s="2"/>
    </row>
    <row r="4" spans="1:46" ht="22.5">
      <c r="A4" s="1">
        <v>6</v>
      </c>
      <c r="B4" s="2"/>
      <c r="C4" s="2"/>
      <c r="D4" s="46" t="s">
        <v>52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"/>
      <c r="AL4" s="4"/>
      <c r="AM4" s="4"/>
      <c r="AN4" s="4"/>
      <c r="AO4" s="4"/>
      <c r="AP4" s="4"/>
      <c r="AQ4" s="2"/>
      <c r="AR4" s="2"/>
      <c r="AS4" s="5"/>
      <c r="AT4" s="2"/>
    </row>
    <row r="5" spans="1:46" ht="15.75">
      <c r="A5" s="153" t="s">
        <v>6</v>
      </c>
      <c r="B5" s="153" t="s">
        <v>7</v>
      </c>
      <c r="C5" s="153" t="s">
        <v>8</v>
      </c>
      <c r="D5" s="153" t="s">
        <v>46</v>
      </c>
      <c r="E5" s="153" t="s">
        <v>10</v>
      </c>
      <c r="F5" s="165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7"/>
      <c r="AK5" s="153" t="s">
        <v>12</v>
      </c>
      <c r="AL5" s="153" t="s">
        <v>13</v>
      </c>
      <c r="AM5" s="153" t="s">
        <v>14</v>
      </c>
      <c r="AN5" s="153" t="s">
        <v>15</v>
      </c>
      <c r="AO5" s="153" t="s">
        <v>16</v>
      </c>
      <c r="AP5" s="153" t="s">
        <v>17</v>
      </c>
      <c r="AQ5" s="153" t="s">
        <v>18</v>
      </c>
      <c r="AR5" s="153" t="s">
        <v>19</v>
      </c>
      <c r="AS5" s="151" t="s">
        <v>20</v>
      </c>
      <c r="AT5" s="153" t="s">
        <v>21</v>
      </c>
    </row>
    <row r="6" spans="1:46">
      <c r="A6" s="152"/>
      <c r="B6" s="152"/>
      <c r="C6" s="152"/>
      <c r="D6" s="152"/>
      <c r="E6" s="152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152"/>
      <c r="AL6" s="152"/>
      <c r="AM6" s="152"/>
      <c r="AN6" s="152"/>
      <c r="AO6" s="152"/>
      <c r="AP6" s="152"/>
      <c r="AQ6" s="152"/>
      <c r="AR6" s="152"/>
      <c r="AS6" s="152"/>
      <c r="AT6" s="152"/>
    </row>
    <row r="7" spans="1:46">
      <c r="A7" s="47">
        <v>1</v>
      </c>
      <c r="B7" s="10"/>
      <c r="C7" s="48"/>
      <c r="D7" s="48" t="s">
        <v>22</v>
      </c>
      <c r="E7" s="48"/>
      <c r="F7" s="47">
        <v>55</v>
      </c>
      <c r="G7" s="47">
        <v>0</v>
      </c>
      <c r="H7" s="47">
        <v>0</v>
      </c>
      <c r="I7" s="47">
        <v>0</v>
      </c>
      <c r="J7" s="47">
        <v>0</v>
      </c>
      <c r="K7" s="47">
        <v>70</v>
      </c>
      <c r="L7" s="47">
        <v>0</v>
      </c>
      <c r="M7" s="47">
        <v>0</v>
      </c>
      <c r="N7" s="47">
        <v>0</v>
      </c>
      <c r="O7" s="47">
        <v>71</v>
      </c>
      <c r="P7" s="47">
        <v>0</v>
      </c>
      <c r="Q7" s="47">
        <v>0</v>
      </c>
      <c r="R7" s="49">
        <v>64.599999999999994</v>
      </c>
      <c r="S7" s="49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53.58</v>
      </c>
      <c r="AE7" s="47">
        <v>0</v>
      </c>
      <c r="AF7" s="47">
        <v>30</v>
      </c>
      <c r="AG7" s="47">
        <v>0</v>
      </c>
      <c r="AH7" s="47">
        <v>0</v>
      </c>
      <c r="AI7" s="47">
        <v>0</v>
      </c>
      <c r="AJ7" s="47"/>
      <c r="AK7" s="47">
        <f t="shared" ref="AK7:AK32" si="0">SUM(F7:AJ7)</f>
        <v>344.18</v>
      </c>
      <c r="AL7" s="47"/>
      <c r="AM7" s="47">
        <f t="shared" ref="AM7:AM32" si="1">SUM(AK7:AL7)</f>
        <v>344.18</v>
      </c>
      <c r="AN7" s="47"/>
      <c r="AO7" s="47"/>
      <c r="AP7" s="47">
        <f t="shared" ref="AP7:AP14" si="2">AO7-AN7</f>
        <v>0</v>
      </c>
      <c r="AQ7" s="48">
        <f t="shared" ref="AQ7:AQ10" si="3">AP7/AM7</f>
        <v>0</v>
      </c>
      <c r="AR7" s="48"/>
      <c r="AS7" s="50">
        <v>277</v>
      </c>
      <c r="AT7" s="50">
        <f t="shared" ref="AT7:AT32" si="4">AS7*AM7</f>
        <v>95337.86</v>
      </c>
    </row>
    <row r="8" spans="1:46">
      <c r="A8" s="47">
        <v>2</v>
      </c>
      <c r="B8" s="14"/>
      <c r="C8" s="48"/>
      <c r="D8" s="48" t="s">
        <v>47</v>
      </c>
      <c r="E8" s="48"/>
      <c r="F8" s="47">
        <v>20</v>
      </c>
      <c r="G8" s="47">
        <v>0</v>
      </c>
      <c r="H8" s="49">
        <v>20</v>
      </c>
      <c r="I8" s="47">
        <v>25</v>
      </c>
      <c r="J8" s="47">
        <v>20</v>
      </c>
      <c r="K8" s="47">
        <v>0</v>
      </c>
      <c r="L8" s="47">
        <v>25</v>
      </c>
      <c r="M8" s="47">
        <v>0</v>
      </c>
      <c r="N8" s="47">
        <v>20</v>
      </c>
      <c r="O8" s="47">
        <v>0</v>
      </c>
      <c r="P8" s="49">
        <v>0</v>
      </c>
      <c r="Q8" s="47">
        <v>25</v>
      </c>
      <c r="R8" s="49">
        <v>25</v>
      </c>
      <c r="S8" s="49">
        <v>20</v>
      </c>
      <c r="T8" s="49">
        <v>0</v>
      </c>
      <c r="U8" s="49">
        <v>20</v>
      </c>
      <c r="V8" s="47">
        <v>0</v>
      </c>
      <c r="W8" s="47">
        <v>0</v>
      </c>
      <c r="X8" s="47">
        <v>25</v>
      </c>
      <c r="Y8" s="47">
        <v>0</v>
      </c>
      <c r="Z8" s="47">
        <v>25</v>
      </c>
      <c r="AA8" s="47">
        <v>0</v>
      </c>
      <c r="AB8" s="47">
        <v>30</v>
      </c>
      <c r="AC8" s="47">
        <v>30</v>
      </c>
      <c r="AD8" s="47">
        <v>10</v>
      </c>
      <c r="AE8" s="47">
        <v>20</v>
      </c>
      <c r="AF8" s="47">
        <v>10</v>
      </c>
      <c r="AG8" s="47">
        <v>10</v>
      </c>
      <c r="AH8" s="47">
        <v>20</v>
      </c>
      <c r="AI8" s="47">
        <v>10</v>
      </c>
      <c r="AJ8" s="47"/>
      <c r="AK8" s="47">
        <f t="shared" si="0"/>
        <v>410</v>
      </c>
      <c r="AL8" s="47"/>
      <c r="AM8" s="47">
        <f t="shared" si="1"/>
        <v>410</v>
      </c>
      <c r="AN8" s="47"/>
      <c r="AO8" s="47"/>
      <c r="AP8" s="47">
        <f t="shared" si="2"/>
        <v>0</v>
      </c>
      <c r="AQ8" s="48">
        <f t="shared" si="3"/>
        <v>0</v>
      </c>
      <c r="AR8" s="48"/>
      <c r="AS8" s="50">
        <v>277</v>
      </c>
      <c r="AT8" s="50">
        <f t="shared" si="4"/>
        <v>113570</v>
      </c>
    </row>
    <row r="9" spans="1:46">
      <c r="A9" s="47">
        <v>3</v>
      </c>
      <c r="B9" s="14"/>
      <c r="C9" s="48"/>
      <c r="D9" s="48" t="s">
        <v>80</v>
      </c>
      <c r="E9" s="48"/>
      <c r="F9" s="47">
        <v>40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f>SUM(20+10)</f>
        <v>30</v>
      </c>
      <c r="M9" s="47">
        <v>0</v>
      </c>
      <c r="N9" s="47">
        <v>0</v>
      </c>
      <c r="O9" s="47">
        <v>0</v>
      </c>
      <c r="P9" s="47">
        <v>0</v>
      </c>
      <c r="Q9" s="47">
        <v>40</v>
      </c>
      <c r="R9" s="49">
        <v>0</v>
      </c>
      <c r="S9" s="49">
        <v>0</v>
      </c>
      <c r="T9" s="49">
        <v>40</v>
      </c>
      <c r="U9" s="47">
        <v>0</v>
      </c>
      <c r="V9" s="47">
        <v>0</v>
      </c>
      <c r="W9" s="47">
        <v>0</v>
      </c>
      <c r="X9" s="47">
        <v>20</v>
      </c>
      <c r="Y9" s="47">
        <v>0</v>
      </c>
      <c r="Z9" s="47">
        <v>0</v>
      </c>
      <c r="AA9" s="47">
        <v>50</v>
      </c>
      <c r="AB9" s="47">
        <v>0</v>
      </c>
      <c r="AC9" s="47">
        <v>0</v>
      </c>
      <c r="AD9" s="47">
        <v>20</v>
      </c>
      <c r="AE9" s="47">
        <v>0</v>
      </c>
      <c r="AF9" s="47">
        <v>0</v>
      </c>
      <c r="AG9" s="47">
        <v>0</v>
      </c>
      <c r="AH9" s="47">
        <v>0</v>
      </c>
      <c r="AI9" s="47">
        <v>0</v>
      </c>
      <c r="AJ9" s="47"/>
      <c r="AK9" s="47">
        <f t="shared" si="0"/>
        <v>240</v>
      </c>
      <c r="AL9" s="47"/>
      <c r="AM9" s="47">
        <f t="shared" si="1"/>
        <v>240</v>
      </c>
      <c r="AN9" s="47"/>
      <c r="AO9" s="47"/>
      <c r="AP9" s="47">
        <f t="shared" si="2"/>
        <v>0</v>
      </c>
      <c r="AQ9" s="48">
        <f t="shared" si="3"/>
        <v>0</v>
      </c>
      <c r="AR9" s="48"/>
      <c r="AS9" s="50">
        <v>277</v>
      </c>
      <c r="AT9" s="50">
        <f t="shared" si="4"/>
        <v>66480</v>
      </c>
    </row>
    <row r="10" spans="1:46">
      <c r="A10" s="47">
        <v>4</v>
      </c>
      <c r="B10" s="48"/>
      <c r="C10" s="48"/>
      <c r="D10" s="48" t="s">
        <v>58</v>
      </c>
      <c r="E10" s="48"/>
      <c r="F10" s="47">
        <v>20</v>
      </c>
      <c r="G10" s="47">
        <v>0</v>
      </c>
      <c r="H10" s="47">
        <v>20</v>
      </c>
      <c r="I10" s="47">
        <v>20</v>
      </c>
      <c r="J10" s="47">
        <v>20</v>
      </c>
      <c r="K10" s="47">
        <v>0</v>
      </c>
      <c r="L10" s="47">
        <v>20</v>
      </c>
      <c r="M10" s="47">
        <v>20</v>
      </c>
      <c r="N10" s="47">
        <v>20</v>
      </c>
      <c r="O10" s="47">
        <v>0</v>
      </c>
      <c r="P10" s="47">
        <v>20</v>
      </c>
      <c r="Q10" s="47">
        <v>0</v>
      </c>
      <c r="R10" s="49">
        <v>10</v>
      </c>
      <c r="S10" s="49">
        <v>10</v>
      </c>
      <c r="T10" s="49">
        <v>20</v>
      </c>
      <c r="U10" s="47">
        <v>20</v>
      </c>
      <c r="V10" s="47">
        <v>20</v>
      </c>
      <c r="W10" s="47">
        <v>20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7">
        <v>0</v>
      </c>
      <c r="AI10" s="47">
        <v>0</v>
      </c>
      <c r="AJ10" s="47"/>
      <c r="AK10" s="47">
        <f t="shared" si="0"/>
        <v>260</v>
      </c>
      <c r="AL10" s="47"/>
      <c r="AM10" s="47">
        <f t="shared" si="1"/>
        <v>260</v>
      </c>
      <c r="AN10" s="47"/>
      <c r="AO10" s="47"/>
      <c r="AP10" s="47">
        <f t="shared" si="2"/>
        <v>0</v>
      </c>
      <c r="AQ10" s="48">
        <f t="shared" si="3"/>
        <v>0</v>
      </c>
      <c r="AR10" s="48"/>
      <c r="AS10" s="50">
        <v>277</v>
      </c>
      <c r="AT10" s="50">
        <f t="shared" si="4"/>
        <v>72020</v>
      </c>
    </row>
    <row r="11" spans="1:46">
      <c r="A11" s="47">
        <v>5</v>
      </c>
      <c r="B11" s="48"/>
      <c r="C11" s="48"/>
      <c r="D11" s="48" t="s">
        <v>69</v>
      </c>
      <c r="E11" s="48"/>
      <c r="F11" s="47">
        <v>20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35</v>
      </c>
      <c r="P11" s="47">
        <v>70</v>
      </c>
      <c r="Q11" s="47">
        <f>SUM(70+70)</f>
        <v>140</v>
      </c>
      <c r="R11" s="49">
        <v>0</v>
      </c>
      <c r="S11" s="49">
        <f>SUM(70+70)</f>
        <v>140</v>
      </c>
      <c r="T11" s="49">
        <v>0</v>
      </c>
      <c r="U11" s="47">
        <v>20</v>
      </c>
      <c r="V11" s="47">
        <v>20</v>
      </c>
      <c r="W11" s="47">
        <v>20</v>
      </c>
      <c r="X11" s="47">
        <v>15</v>
      </c>
      <c r="Y11" s="47">
        <v>20</v>
      </c>
      <c r="Z11" s="47">
        <v>0</v>
      </c>
      <c r="AA11" s="47">
        <v>0</v>
      </c>
      <c r="AB11" s="47">
        <v>0</v>
      </c>
      <c r="AC11" s="47">
        <v>70</v>
      </c>
      <c r="AD11" s="47">
        <v>105</v>
      </c>
      <c r="AE11" s="47">
        <v>0</v>
      </c>
      <c r="AF11" s="47">
        <v>0</v>
      </c>
      <c r="AG11" s="47">
        <v>0</v>
      </c>
      <c r="AH11" s="47">
        <v>40</v>
      </c>
      <c r="AI11" s="47">
        <v>0</v>
      </c>
      <c r="AJ11" s="47"/>
      <c r="AK11" s="47">
        <f t="shared" si="0"/>
        <v>715</v>
      </c>
      <c r="AL11" s="47"/>
      <c r="AM11" s="47">
        <f t="shared" si="1"/>
        <v>715</v>
      </c>
      <c r="AN11" s="47"/>
      <c r="AO11" s="47"/>
      <c r="AP11" s="47">
        <f t="shared" si="2"/>
        <v>0</v>
      </c>
      <c r="AQ11" s="48"/>
      <c r="AR11" s="48"/>
      <c r="AS11" s="50">
        <v>277</v>
      </c>
      <c r="AT11" s="50">
        <f t="shared" si="4"/>
        <v>198055</v>
      </c>
    </row>
    <row r="12" spans="1:46">
      <c r="A12" s="47">
        <v>6</v>
      </c>
      <c r="B12" s="48"/>
      <c r="C12" s="48"/>
      <c r="D12" s="48" t="s">
        <v>81</v>
      </c>
      <c r="E12" s="48"/>
      <c r="F12" s="47">
        <v>20</v>
      </c>
      <c r="G12" s="47">
        <v>20</v>
      </c>
      <c r="H12" s="47">
        <v>0</v>
      </c>
      <c r="I12" s="47">
        <v>10</v>
      </c>
      <c r="J12" s="47">
        <v>0</v>
      </c>
      <c r="K12" s="47">
        <v>0</v>
      </c>
      <c r="L12" s="47">
        <v>10</v>
      </c>
      <c r="M12" s="47">
        <v>0</v>
      </c>
      <c r="N12" s="47">
        <v>20</v>
      </c>
      <c r="O12" s="47">
        <v>20</v>
      </c>
      <c r="P12" s="47">
        <v>10</v>
      </c>
      <c r="Q12" s="47">
        <v>15</v>
      </c>
      <c r="R12" s="49">
        <v>0</v>
      </c>
      <c r="S12" s="49">
        <v>0</v>
      </c>
      <c r="T12" s="49">
        <v>0</v>
      </c>
      <c r="U12" s="47">
        <v>0</v>
      </c>
      <c r="V12" s="47">
        <v>20</v>
      </c>
      <c r="W12" s="47">
        <v>0</v>
      </c>
      <c r="X12" s="47">
        <v>0</v>
      </c>
      <c r="Y12" s="47">
        <v>10</v>
      </c>
      <c r="Z12" s="47">
        <v>10</v>
      </c>
      <c r="AA12" s="47">
        <v>5</v>
      </c>
      <c r="AB12" s="47">
        <v>10</v>
      </c>
      <c r="AC12" s="47">
        <v>15</v>
      </c>
      <c r="AD12" s="47">
        <v>20</v>
      </c>
      <c r="AE12" s="47">
        <v>0</v>
      </c>
      <c r="AF12" s="47">
        <v>0</v>
      </c>
      <c r="AG12" s="47">
        <v>0</v>
      </c>
      <c r="AH12" s="47">
        <v>0</v>
      </c>
      <c r="AI12" s="47">
        <v>0</v>
      </c>
      <c r="AJ12" s="47"/>
      <c r="AK12" s="47">
        <f t="shared" si="0"/>
        <v>215</v>
      </c>
      <c r="AL12" s="47"/>
      <c r="AM12" s="47">
        <f t="shared" si="1"/>
        <v>215</v>
      </c>
      <c r="AN12" s="47"/>
      <c r="AO12" s="47"/>
      <c r="AP12" s="47">
        <f t="shared" si="2"/>
        <v>0</v>
      </c>
      <c r="AQ12" s="48"/>
      <c r="AR12" s="48"/>
      <c r="AS12" s="50">
        <v>277</v>
      </c>
      <c r="AT12" s="50">
        <f t="shared" si="4"/>
        <v>59555</v>
      </c>
    </row>
    <row r="13" spans="1:46">
      <c r="A13" s="47">
        <v>7</v>
      </c>
      <c r="B13" s="48"/>
      <c r="C13" s="48"/>
      <c r="D13" s="48" t="s">
        <v>60</v>
      </c>
      <c r="E13" s="48"/>
      <c r="F13" s="47">
        <v>0</v>
      </c>
      <c r="G13" s="47">
        <v>20</v>
      </c>
      <c r="H13" s="47">
        <v>20</v>
      </c>
      <c r="I13" s="47">
        <v>30</v>
      </c>
      <c r="J13" s="47">
        <v>20</v>
      </c>
      <c r="K13" s="47">
        <v>70</v>
      </c>
      <c r="L13" s="47">
        <v>20</v>
      </c>
      <c r="M13" s="47">
        <v>10</v>
      </c>
      <c r="N13" s="47">
        <v>20</v>
      </c>
      <c r="O13" s="47">
        <v>75</v>
      </c>
      <c r="P13" s="47">
        <v>70</v>
      </c>
      <c r="Q13" s="47">
        <v>20</v>
      </c>
      <c r="R13" s="49">
        <v>70</v>
      </c>
      <c r="S13" s="49">
        <f>SUM(70+70)</f>
        <v>140</v>
      </c>
      <c r="T13" s="49">
        <v>0</v>
      </c>
      <c r="U13" s="47">
        <v>20</v>
      </c>
      <c r="V13" s="47">
        <v>20</v>
      </c>
      <c r="W13" s="47">
        <v>20</v>
      </c>
      <c r="X13" s="47">
        <v>0</v>
      </c>
      <c r="Y13" s="47">
        <v>70</v>
      </c>
      <c r="Z13" s="47">
        <v>0</v>
      </c>
      <c r="AA13" s="47">
        <v>0</v>
      </c>
      <c r="AB13" s="47">
        <f>SUM(10+10)</f>
        <v>20</v>
      </c>
      <c r="AC13" s="47">
        <f>SUM(10+70+10)</f>
        <v>90</v>
      </c>
      <c r="AD13" s="47">
        <v>115.01</v>
      </c>
      <c r="AE13" s="47">
        <v>0</v>
      </c>
      <c r="AF13" s="47">
        <v>0</v>
      </c>
      <c r="AG13" s="47">
        <v>0</v>
      </c>
      <c r="AH13" s="47">
        <v>0</v>
      </c>
      <c r="AI13" s="47">
        <v>0</v>
      </c>
      <c r="AJ13" s="47"/>
      <c r="AK13" s="47">
        <f t="shared" si="0"/>
        <v>940.01</v>
      </c>
      <c r="AL13" s="47"/>
      <c r="AM13" s="47">
        <f t="shared" si="1"/>
        <v>940.01</v>
      </c>
      <c r="AN13" s="47"/>
      <c r="AO13" s="47"/>
      <c r="AP13" s="47">
        <f t="shared" si="2"/>
        <v>0</v>
      </c>
      <c r="AQ13" s="48"/>
      <c r="AR13" s="48"/>
      <c r="AS13" s="50">
        <v>277</v>
      </c>
      <c r="AT13" s="50">
        <f t="shared" si="4"/>
        <v>260382.77</v>
      </c>
    </row>
    <row r="14" spans="1:46">
      <c r="A14" s="47">
        <v>8</v>
      </c>
      <c r="B14" s="48"/>
      <c r="C14" s="48"/>
      <c r="D14" s="48" t="s">
        <v>48</v>
      </c>
      <c r="E14" s="48"/>
      <c r="F14" s="47">
        <v>0</v>
      </c>
      <c r="G14" s="47">
        <v>20</v>
      </c>
      <c r="H14" s="47">
        <v>0</v>
      </c>
      <c r="I14" s="47">
        <v>20</v>
      </c>
      <c r="J14" s="47">
        <v>0</v>
      </c>
      <c r="K14" s="47">
        <v>20</v>
      </c>
      <c r="L14" s="47">
        <v>30</v>
      </c>
      <c r="M14" s="47">
        <v>0</v>
      </c>
      <c r="N14" s="47">
        <v>20</v>
      </c>
      <c r="O14" s="47">
        <v>0</v>
      </c>
      <c r="P14" s="47">
        <v>0</v>
      </c>
      <c r="Q14" s="47">
        <v>20</v>
      </c>
      <c r="R14" s="49">
        <v>0</v>
      </c>
      <c r="S14" s="49">
        <f>SUM(20+20)</f>
        <v>40</v>
      </c>
      <c r="T14" s="49">
        <v>0</v>
      </c>
      <c r="U14" s="47">
        <v>0</v>
      </c>
      <c r="V14" s="47">
        <v>20</v>
      </c>
      <c r="W14" s="47">
        <v>20</v>
      </c>
      <c r="X14" s="47">
        <v>0</v>
      </c>
      <c r="Y14" s="47">
        <v>0</v>
      </c>
      <c r="Z14" s="47">
        <v>20</v>
      </c>
      <c r="AA14" s="47">
        <v>0</v>
      </c>
      <c r="AB14" s="47">
        <v>0</v>
      </c>
      <c r="AC14" s="47">
        <v>20</v>
      </c>
      <c r="AD14" s="47">
        <v>20</v>
      </c>
      <c r="AE14" s="47">
        <v>0</v>
      </c>
      <c r="AF14" s="47">
        <v>0</v>
      </c>
      <c r="AG14" s="47">
        <v>10</v>
      </c>
      <c r="AH14" s="47">
        <v>0</v>
      </c>
      <c r="AI14" s="47">
        <v>10</v>
      </c>
      <c r="AJ14" s="47"/>
      <c r="AK14" s="47">
        <f t="shared" si="0"/>
        <v>290</v>
      </c>
      <c r="AL14" s="47"/>
      <c r="AM14" s="47">
        <f t="shared" si="1"/>
        <v>290</v>
      </c>
      <c r="AN14" s="47"/>
      <c r="AO14" s="47"/>
      <c r="AP14" s="47">
        <f t="shared" si="2"/>
        <v>0</v>
      </c>
      <c r="AQ14" s="48"/>
      <c r="AR14" s="48"/>
      <c r="AS14" s="50">
        <v>277</v>
      </c>
      <c r="AT14" s="50">
        <f t="shared" si="4"/>
        <v>80330</v>
      </c>
    </row>
    <row r="15" spans="1:46">
      <c r="A15" s="47">
        <v>9</v>
      </c>
      <c r="B15" s="48"/>
      <c r="C15" s="48"/>
      <c r="D15" s="48" t="s">
        <v>125</v>
      </c>
      <c r="E15" s="48"/>
      <c r="F15" s="47">
        <v>20</v>
      </c>
      <c r="G15" s="47">
        <v>0</v>
      </c>
      <c r="H15" s="47">
        <v>20</v>
      </c>
      <c r="I15" s="47">
        <v>20</v>
      </c>
      <c r="J15" s="47">
        <v>0</v>
      </c>
      <c r="K15" s="47">
        <v>20</v>
      </c>
      <c r="L15" s="47">
        <v>20</v>
      </c>
      <c r="M15" s="47">
        <v>0</v>
      </c>
      <c r="N15" s="47">
        <v>20</v>
      </c>
      <c r="O15" s="47">
        <v>20</v>
      </c>
      <c r="P15" s="47">
        <v>0</v>
      </c>
      <c r="Q15" s="47">
        <v>20</v>
      </c>
      <c r="R15" s="49">
        <v>20</v>
      </c>
      <c r="S15" s="49">
        <v>20</v>
      </c>
      <c r="T15" s="49">
        <v>0</v>
      </c>
      <c r="U15" s="47">
        <v>20</v>
      </c>
      <c r="V15" s="47">
        <v>0</v>
      </c>
      <c r="W15" s="47">
        <v>20</v>
      </c>
      <c r="X15" s="47">
        <v>20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/>
      <c r="AK15" s="47">
        <f t="shared" si="0"/>
        <v>260</v>
      </c>
      <c r="AL15" s="47"/>
      <c r="AM15" s="47">
        <f t="shared" si="1"/>
        <v>260</v>
      </c>
      <c r="AN15" s="47"/>
      <c r="AO15" s="47"/>
      <c r="AP15" s="47"/>
      <c r="AQ15" s="48"/>
      <c r="AR15" s="48"/>
      <c r="AS15" s="50">
        <v>277</v>
      </c>
      <c r="AT15" s="50">
        <f t="shared" si="4"/>
        <v>72020</v>
      </c>
    </row>
    <row r="16" spans="1:46">
      <c r="A16" s="47">
        <v>10</v>
      </c>
      <c r="B16" s="48"/>
      <c r="C16" s="48"/>
      <c r="D16" s="48" t="s">
        <v>83</v>
      </c>
      <c r="E16" s="48"/>
      <c r="F16" s="47">
        <v>0</v>
      </c>
      <c r="G16" s="47">
        <v>0</v>
      </c>
      <c r="H16" s="47">
        <v>20</v>
      </c>
      <c r="I16" s="47">
        <v>20</v>
      </c>
      <c r="J16" s="47">
        <v>20</v>
      </c>
      <c r="K16" s="47">
        <v>20</v>
      </c>
      <c r="L16" s="47">
        <v>20</v>
      </c>
      <c r="M16" s="47">
        <v>20</v>
      </c>
      <c r="N16" s="47">
        <v>20</v>
      </c>
      <c r="O16" s="47">
        <v>10</v>
      </c>
      <c r="P16" s="47">
        <v>20</v>
      </c>
      <c r="Q16" s="47">
        <v>20</v>
      </c>
      <c r="R16" s="49">
        <v>10</v>
      </c>
      <c r="S16" s="49">
        <v>20</v>
      </c>
      <c r="T16" s="49">
        <v>20</v>
      </c>
      <c r="U16" s="47">
        <v>20</v>
      </c>
      <c r="V16" s="47">
        <v>20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/>
      <c r="AK16" s="47">
        <f t="shared" si="0"/>
        <v>280</v>
      </c>
      <c r="AL16" s="47"/>
      <c r="AM16" s="47">
        <f t="shared" si="1"/>
        <v>280</v>
      </c>
      <c r="AN16" s="47"/>
      <c r="AO16" s="47"/>
      <c r="AP16" s="47"/>
      <c r="AQ16" s="48"/>
      <c r="AR16" s="48"/>
      <c r="AS16" s="50">
        <v>277</v>
      </c>
      <c r="AT16" s="50">
        <f t="shared" si="4"/>
        <v>77560</v>
      </c>
    </row>
    <row r="17" spans="1:46">
      <c r="A17" s="47">
        <v>11</v>
      </c>
      <c r="B17" s="48"/>
      <c r="C17" s="48"/>
      <c r="D17" s="48" t="s">
        <v>84</v>
      </c>
      <c r="E17" s="48"/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35</v>
      </c>
      <c r="L17" s="47">
        <f>SUM(35+35)</f>
        <v>70</v>
      </c>
      <c r="M17" s="47">
        <v>35</v>
      </c>
      <c r="N17" s="47">
        <v>0</v>
      </c>
      <c r="O17" s="47">
        <v>0</v>
      </c>
      <c r="P17" s="47">
        <v>0</v>
      </c>
      <c r="Q17" s="47">
        <v>0</v>
      </c>
      <c r="R17" s="49">
        <v>70</v>
      </c>
      <c r="S17" s="49">
        <v>70</v>
      </c>
      <c r="T17" s="49">
        <v>0</v>
      </c>
      <c r="U17" s="47">
        <v>35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35</v>
      </c>
      <c r="AE17" s="47">
        <v>35</v>
      </c>
      <c r="AF17" s="47">
        <v>0</v>
      </c>
      <c r="AG17" s="47">
        <v>0</v>
      </c>
      <c r="AH17" s="47">
        <v>0</v>
      </c>
      <c r="AI17" s="47">
        <v>0</v>
      </c>
      <c r="AJ17" s="47"/>
      <c r="AK17" s="47">
        <f t="shared" si="0"/>
        <v>385</v>
      </c>
      <c r="AL17" s="47"/>
      <c r="AM17" s="47">
        <f t="shared" si="1"/>
        <v>385</v>
      </c>
      <c r="AN17" s="47"/>
      <c r="AO17" s="47"/>
      <c r="AP17" s="47"/>
      <c r="AQ17" s="48"/>
      <c r="AR17" s="48"/>
      <c r="AS17" s="50">
        <v>277</v>
      </c>
      <c r="AT17" s="50">
        <f t="shared" si="4"/>
        <v>106645</v>
      </c>
    </row>
    <row r="18" spans="1:46">
      <c r="A18" s="47">
        <v>12</v>
      </c>
      <c r="B18" s="48"/>
      <c r="C18" s="48"/>
      <c r="D18" s="48" t="s">
        <v>85</v>
      </c>
      <c r="E18" s="48"/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35</v>
      </c>
      <c r="L18" s="47">
        <v>0</v>
      </c>
      <c r="M18" s="47">
        <v>0</v>
      </c>
      <c r="N18" s="47">
        <v>0</v>
      </c>
      <c r="O18" s="47">
        <v>0</v>
      </c>
      <c r="P18" s="47">
        <v>35</v>
      </c>
      <c r="Q18" s="47">
        <v>35</v>
      </c>
      <c r="R18" s="49">
        <v>35</v>
      </c>
      <c r="S18" s="49">
        <v>0</v>
      </c>
      <c r="T18" s="49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/>
      <c r="AK18" s="47">
        <f t="shared" si="0"/>
        <v>140</v>
      </c>
      <c r="AL18" s="47"/>
      <c r="AM18" s="47">
        <f t="shared" si="1"/>
        <v>140</v>
      </c>
      <c r="AN18" s="47"/>
      <c r="AO18" s="47"/>
      <c r="AP18" s="47"/>
      <c r="AQ18" s="48"/>
      <c r="AR18" s="48"/>
      <c r="AS18" s="50">
        <v>277</v>
      </c>
      <c r="AT18" s="50">
        <f t="shared" si="4"/>
        <v>38780</v>
      </c>
    </row>
    <row r="19" spans="1:46">
      <c r="A19" s="47">
        <v>13</v>
      </c>
      <c r="B19" s="48"/>
      <c r="C19" s="48"/>
      <c r="D19" s="48" t="s">
        <v>74</v>
      </c>
      <c r="E19" s="48"/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55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9">
        <v>0</v>
      </c>
      <c r="S19" s="49">
        <v>0</v>
      </c>
      <c r="T19" s="49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/>
      <c r="AK19" s="47">
        <f t="shared" si="0"/>
        <v>55</v>
      </c>
      <c r="AL19" s="47"/>
      <c r="AM19" s="47">
        <f t="shared" si="1"/>
        <v>55</v>
      </c>
      <c r="AN19" s="47"/>
      <c r="AO19" s="47"/>
      <c r="AP19" s="47"/>
      <c r="AQ19" s="48"/>
      <c r="AR19" s="48"/>
      <c r="AS19" s="50">
        <v>277</v>
      </c>
      <c r="AT19" s="50">
        <f t="shared" si="4"/>
        <v>15235</v>
      </c>
    </row>
    <row r="20" spans="1:46">
      <c r="A20" s="47">
        <v>14</v>
      </c>
      <c r="B20" s="48"/>
      <c r="C20" s="48"/>
      <c r="D20" s="48" t="s">
        <v>86</v>
      </c>
      <c r="E20" s="48"/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70</v>
      </c>
      <c r="L20" s="47">
        <v>0</v>
      </c>
      <c r="M20" s="47">
        <v>80</v>
      </c>
      <c r="N20" s="47">
        <v>35</v>
      </c>
      <c r="O20" s="47">
        <v>0</v>
      </c>
      <c r="P20" s="47">
        <v>0</v>
      </c>
      <c r="Q20" s="47">
        <v>35</v>
      </c>
      <c r="R20" s="49">
        <f>SUM(20+35)</f>
        <v>55</v>
      </c>
      <c r="S20" s="49">
        <v>70</v>
      </c>
      <c r="T20" s="49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/>
      <c r="AK20" s="47">
        <f t="shared" si="0"/>
        <v>345</v>
      </c>
      <c r="AL20" s="47"/>
      <c r="AM20" s="47">
        <f t="shared" si="1"/>
        <v>345</v>
      </c>
      <c r="AN20" s="47"/>
      <c r="AO20" s="47"/>
      <c r="AP20" s="47"/>
      <c r="AQ20" s="48"/>
      <c r="AR20" s="48"/>
      <c r="AS20" s="50">
        <v>277</v>
      </c>
      <c r="AT20" s="50">
        <f t="shared" si="4"/>
        <v>95565</v>
      </c>
    </row>
    <row r="21" spans="1:46" ht="15.75" customHeight="1">
      <c r="A21" s="47">
        <v>15</v>
      </c>
      <c r="B21" s="48"/>
      <c r="C21" s="48"/>
      <c r="D21" s="48" t="s">
        <v>87</v>
      </c>
      <c r="E21" s="48"/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70</v>
      </c>
      <c r="L21" s="47">
        <v>0</v>
      </c>
      <c r="M21" s="47">
        <v>80</v>
      </c>
      <c r="N21" s="47">
        <v>35</v>
      </c>
      <c r="O21" s="47">
        <v>0</v>
      </c>
      <c r="P21" s="47">
        <v>0</v>
      </c>
      <c r="Q21" s="47">
        <v>35</v>
      </c>
      <c r="R21" s="49">
        <f>SUM(35+35)</f>
        <v>70</v>
      </c>
      <c r="S21" s="49">
        <v>70</v>
      </c>
      <c r="T21" s="49">
        <v>15</v>
      </c>
      <c r="U21" s="47">
        <v>0</v>
      </c>
      <c r="V21" s="47">
        <v>0</v>
      </c>
      <c r="W21" s="47">
        <v>0</v>
      </c>
      <c r="X21" s="47">
        <v>50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45</v>
      </c>
      <c r="AG21" s="47">
        <v>0</v>
      </c>
      <c r="AH21" s="47">
        <v>0</v>
      </c>
      <c r="AI21" s="47">
        <v>0</v>
      </c>
      <c r="AJ21" s="47"/>
      <c r="AK21" s="47">
        <f t="shared" si="0"/>
        <v>470</v>
      </c>
      <c r="AL21" s="47"/>
      <c r="AM21" s="47">
        <f t="shared" si="1"/>
        <v>470</v>
      </c>
      <c r="AN21" s="47"/>
      <c r="AO21" s="47"/>
      <c r="AP21" s="47"/>
      <c r="AQ21" s="48"/>
      <c r="AR21" s="48"/>
      <c r="AS21" s="50">
        <v>277</v>
      </c>
      <c r="AT21" s="50">
        <f t="shared" si="4"/>
        <v>130190</v>
      </c>
    </row>
    <row r="22" spans="1:46" ht="15.75" customHeight="1">
      <c r="A22" s="47">
        <v>16</v>
      </c>
      <c r="B22" s="48"/>
      <c r="C22" s="48"/>
      <c r="D22" s="48" t="s">
        <v>88</v>
      </c>
      <c r="E22" s="48"/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70</v>
      </c>
      <c r="L22" s="47">
        <v>0</v>
      </c>
      <c r="M22" s="47">
        <v>80</v>
      </c>
      <c r="N22" s="47">
        <v>35</v>
      </c>
      <c r="O22" s="47">
        <v>0</v>
      </c>
      <c r="P22" s="47">
        <v>35</v>
      </c>
      <c r="Q22" s="47">
        <v>35</v>
      </c>
      <c r="R22" s="49">
        <v>35</v>
      </c>
      <c r="S22" s="49">
        <v>35</v>
      </c>
      <c r="T22" s="49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45</v>
      </c>
      <c r="AG22" s="47">
        <v>0</v>
      </c>
      <c r="AH22" s="47">
        <v>0</v>
      </c>
      <c r="AI22" s="47">
        <v>0</v>
      </c>
      <c r="AJ22" s="47"/>
      <c r="AK22" s="47">
        <f t="shared" si="0"/>
        <v>370</v>
      </c>
      <c r="AL22" s="47"/>
      <c r="AM22" s="47">
        <f t="shared" si="1"/>
        <v>370</v>
      </c>
      <c r="AN22" s="47"/>
      <c r="AO22" s="47"/>
      <c r="AP22" s="47"/>
      <c r="AQ22" s="48"/>
      <c r="AR22" s="48"/>
      <c r="AS22" s="50">
        <v>277</v>
      </c>
      <c r="AT22" s="50">
        <f t="shared" si="4"/>
        <v>102490</v>
      </c>
    </row>
    <row r="23" spans="1:46" ht="15.75" customHeight="1">
      <c r="A23" s="47">
        <v>17</v>
      </c>
      <c r="B23" s="48"/>
      <c r="C23" s="48"/>
      <c r="D23" s="48" t="s">
        <v>89</v>
      </c>
      <c r="E23" s="48"/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70</v>
      </c>
      <c r="L23" s="47">
        <v>0</v>
      </c>
      <c r="M23" s="47">
        <v>80</v>
      </c>
      <c r="N23" s="47">
        <v>0</v>
      </c>
      <c r="O23" s="47">
        <v>0</v>
      </c>
      <c r="P23" s="47">
        <v>0</v>
      </c>
      <c r="Q23" s="47">
        <v>0</v>
      </c>
      <c r="R23" s="49">
        <v>0</v>
      </c>
      <c r="S23" s="49">
        <v>70</v>
      </c>
      <c r="T23" s="49">
        <v>15</v>
      </c>
      <c r="U23" s="47">
        <v>0</v>
      </c>
      <c r="V23" s="47">
        <v>0</v>
      </c>
      <c r="W23" s="47">
        <v>0</v>
      </c>
      <c r="X23" s="47">
        <v>50</v>
      </c>
      <c r="Y23" s="47">
        <v>50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/>
      <c r="AK23" s="47">
        <f t="shared" si="0"/>
        <v>335</v>
      </c>
      <c r="AL23" s="47"/>
      <c r="AM23" s="47">
        <f t="shared" si="1"/>
        <v>335</v>
      </c>
      <c r="AN23" s="47"/>
      <c r="AO23" s="47"/>
      <c r="AP23" s="47"/>
      <c r="AQ23" s="48"/>
      <c r="AR23" s="48"/>
      <c r="AS23" s="50">
        <v>277</v>
      </c>
      <c r="AT23" s="50">
        <f t="shared" si="4"/>
        <v>92795</v>
      </c>
    </row>
    <row r="24" spans="1:46" ht="15.75" customHeight="1">
      <c r="A24" s="47">
        <v>18</v>
      </c>
      <c r="B24" s="48"/>
      <c r="C24" s="48"/>
      <c r="D24" s="48" t="s">
        <v>90</v>
      </c>
      <c r="E24" s="48"/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40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9">
        <v>0</v>
      </c>
      <c r="S24" s="49">
        <v>0</v>
      </c>
      <c r="T24" s="49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/>
      <c r="AK24" s="47">
        <f t="shared" si="0"/>
        <v>40</v>
      </c>
      <c r="AL24" s="47"/>
      <c r="AM24" s="47">
        <f t="shared" si="1"/>
        <v>40</v>
      </c>
      <c r="AN24" s="47"/>
      <c r="AO24" s="47"/>
      <c r="AP24" s="47"/>
      <c r="AQ24" s="48"/>
      <c r="AR24" s="48"/>
      <c r="AS24" s="50">
        <v>277</v>
      </c>
      <c r="AT24" s="50">
        <f t="shared" si="4"/>
        <v>11080</v>
      </c>
    </row>
    <row r="25" spans="1:46" ht="15.75" customHeight="1">
      <c r="A25" s="47">
        <v>19</v>
      </c>
      <c r="B25" s="48"/>
      <c r="C25" s="48"/>
      <c r="D25" s="48" t="s">
        <v>91</v>
      </c>
      <c r="E25" s="48"/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80</v>
      </c>
      <c r="N25" s="47">
        <v>35</v>
      </c>
      <c r="O25" s="47">
        <v>0</v>
      </c>
      <c r="P25" s="47">
        <v>0</v>
      </c>
      <c r="Q25" s="47">
        <v>35</v>
      </c>
      <c r="R25" s="49">
        <v>0</v>
      </c>
      <c r="S25" s="49">
        <v>0</v>
      </c>
      <c r="T25" s="49">
        <v>20</v>
      </c>
      <c r="U25" s="47">
        <v>0</v>
      </c>
      <c r="V25" s="47">
        <v>0</v>
      </c>
      <c r="W25" s="47">
        <v>0</v>
      </c>
      <c r="X25" s="47">
        <v>0</v>
      </c>
      <c r="Y25" s="47">
        <v>50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/>
      <c r="AK25" s="47">
        <f t="shared" si="0"/>
        <v>220</v>
      </c>
      <c r="AL25" s="47"/>
      <c r="AM25" s="47">
        <f t="shared" si="1"/>
        <v>220</v>
      </c>
      <c r="AN25" s="47"/>
      <c r="AO25" s="47"/>
      <c r="AP25" s="47"/>
      <c r="AQ25" s="48"/>
      <c r="AR25" s="48"/>
      <c r="AS25" s="50">
        <v>277</v>
      </c>
      <c r="AT25" s="50">
        <f t="shared" si="4"/>
        <v>60940</v>
      </c>
    </row>
    <row r="26" spans="1:46" ht="15.75" customHeight="1">
      <c r="A26" s="47">
        <v>20</v>
      </c>
      <c r="B26" s="48"/>
      <c r="C26" s="48"/>
      <c r="D26" s="48" t="s">
        <v>92</v>
      </c>
      <c r="E26" s="48"/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80</v>
      </c>
      <c r="N26" s="47">
        <v>35</v>
      </c>
      <c r="O26" s="47">
        <v>0</v>
      </c>
      <c r="P26" s="47">
        <v>35</v>
      </c>
      <c r="Q26" s="47">
        <v>0</v>
      </c>
      <c r="R26" s="49">
        <v>35</v>
      </c>
      <c r="S26" s="49">
        <v>70</v>
      </c>
      <c r="T26" s="49">
        <v>15</v>
      </c>
      <c r="U26" s="47">
        <v>0</v>
      </c>
      <c r="V26" s="47">
        <v>0</v>
      </c>
      <c r="W26" s="47">
        <v>0</v>
      </c>
      <c r="X26" s="47">
        <v>50</v>
      </c>
      <c r="Y26" s="47">
        <v>50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45</v>
      </c>
      <c r="AG26" s="47">
        <v>0</v>
      </c>
      <c r="AH26" s="47">
        <v>0</v>
      </c>
      <c r="AI26" s="47">
        <v>0</v>
      </c>
      <c r="AJ26" s="47"/>
      <c r="AK26" s="47">
        <f t="shared" si="0"/>
        <v>415</v>
      </c>
      <c r="AL26" s="47"/>
      <c r="AM26" s="47">
        <f t="shared" si="1"/>
        <v>415</v>
      </c>
      <c r="AN26" s="47"/>
      <c r="AO26" s="47"/>
      <c r="AP26" s="47"/>
      <c r="AQ26" s="48"/>
      <c r="AR26" s="48"/>
      <c r="AS26" s="50">
        <v>277</v>
      </c>
      <c r="AT26" s="50">
        <f t="shared" si="4"/>
        <v>114955</v>
      </c>
    </row>
    <row r="27" spans="1:46" ht="15.75" customHeight="1">
      <c r="A27" s="47">
        <v>21</v>
      </c>
      <c r="B27" s="48"/>
      <c r="C27" s="48"/>
      <c r="D27" s="48" t="s">
        <v>93</v>
      </c>
      <c r="E27" s="48"/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80</v>
      </c>
      <c r="N27" s="47">
        <v>0</v>
      </c>
      <c r="O27" s="47">
        <v>0</v>
      </c>
      <c r="P27" s="47">
        <v>0</v>
      </c>
      <c r="Q27" s="47">
        <v>0</v>
      </c>
      <c r="R27" s="49">
        <v>0</v>
      </c>
      <c r="S27" s="49">
        <v>0</v>
      </c>
      <c r="T27" s="49">
        <v>0</v>
      </c>
      <c r="U27" s="47">
        <v>0</v>
      </c>
      <c r="V27" s="47">
        <v>0</v>
      </c>
      <c r="W27" s="47">
        <v>0</v>
      </c>
      <c r="X27" s="47">
        <v>50</v>
      </c>
      <c r="Y27" s="47">
        <v>50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45</v>
      </c>
      <c r="AG27" s="47">
        <v>0</v>
      </c>
      <c r="AH27" s="47">
        <v>0</v>
      </c>
      <c r="AI27" s="47">
        <v>0</v>
      </c>
      <c r="AJ27" s="47"/>
      <c r="AK27" s="47">
        <f t="shared" si="0"/>
        <v>225</v>
      </c>
      <c r="AL27" s="47"/>
      <c r="AM27" s="47">
        <f t="shared" si="1"/>
        <v>225</v>
      </c>
      <c r="AN27" s="47"/>
      <c r="AO27" s="47"/>
      <c r="AP27" s="47"/>
      <c r="AQ27" s="48"/>
      <c r="AR27" s="48"/>
      <c r="AS27" s="50">
        <v>277</v>
      </c>
      <c r="AT27" s="50">
        <f t="shared" si="4"/>
        <v>62325</v>
      </c>
    </row>
    <row r="28" spans="1:46" ht="15.75" customHeight="1">
      <c r="A28" s="47">
        <v>22</v>
      </c>
      <c r="B28" s="48"/>
      <c r="C28" s="48"/>
      <c r="D28" s="48" t="s">
        <v>95</v>
      </c>
      <c r="E28" s="48"/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35</v>
      </c>
      <c r="Q28" s="47">
        <v>35</v>
      </c>
      <c r="R28" s="49">
        <v>0</v>
      </c>
      <c r="S28" s="49">
        <v>70</v>
      </c>
      <c r="T28" s="49">
        <v>15</v>
      </c>
      <c r="U28" s="47">
        <v>0</v>
      </c>
      <c r="V28" s="47">
        <v>0</v>
      </c>
      <c r="W28" s="47">
        <v>0</v>
      </c>
      <c r="X28" s="47">
        <v>50</v>
      </c>
      <c r="Y28" s="47">
        <v>50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/>
      <c r="AK28" s="47">
        <f t="shared" si="0"/>
        <v>255</v>
      </c>
      <c r="AL28" s="47"/>
      <c r="AM28" s="47">
        <f t="shared" si="1"/>
        <v>255</v>
      </c>
      <c r="AN28" s="47"/>
      <c r="AO28" s="47"/>
      <c r="AP28" s="47"/>
      <c r="AQ28" s="48"/>
      <c r="AR28" s="48"/>
      <c r="AS28" s="50">
        <v>277</v>
      </c>
      <c r="AT28" s="50">
        <f t="shared" si="4"/>
        <v>70635</v>
      </c>
    </row>
    <row r="29" spans="1:46" ht="15.75" customHeight="1">
      <c r="A29" s="47">
        <v>23</v>
      </c>
      <c r="B29" s="48"/>
      <c r="C29" s="48"/>
      <c r="D29" s="48" t="s">
        <v>96</v>
      </c>
      <c r="E29" s="48"/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15</v>
      </c>
      <c r="R29" s="49">
        <v>0</v>
      </c>
      <c r="S29" s="49">
        <v>0</v>
      </c>
      <c r="T29" s="49">
        <v>0</v>
      </c>
      <c r="U29" s="47">
        <v>0</v>
      </c>
      <c r="V29" s="47">
        <v>0</v>
      </c>
      <c r="W29" s="47">
        <v>20</v>
      </c>
      <c r="X29" s="47">
        <v>0</v>
      </c>
      <c r="Y29" s="47">
        <v>20</v>
      </c>
      <c r="Z29" s="47">
        <v>0</v>
      </c>
      <c r="AA29" s="47">
        <v>20</v>
      </c>
      <c r="AB29" s="47">
        <v>20</v>
      </c>
      <c r="AC29" s="47">
        <v>0</v>
      </c>
      <c r="AD29" s="47">
        <v>10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/>
      <c r="AK29" s="47">
        <f t="shared" si="0"/>
        <v>105</v>
      </c>
      <c r="AL29" s="47"/>
      <c r="AM29" s="47">
        <f t="shared" si="1"/>
        <v>105</v>
      </c>
      <c r="AN29" s="47"/>
      <c r="AO29" s="47"/>
      <c r="AP29" s="47"/>
      <c r="AQ29" s="48"/>
      <c r="AR29" s="48"/>
      <c r="AS29" s="50">
        <v>277</v>
      </c>
      <c r="AT29" s="50">
        <f t="shared" si="4"/>
        <v>29085</v>
      </c>
    </row>
    <row r="30" spans="1:46" ht="15.75" customHeight="1">
      <c r="A30" s="47">
        <v>24</v>
      </c>
      <c r="B30" s="48"/>
      <c r="C30" s="48"/>
      <c r="D30" s="48" t="s">
        <v>97</v>
      </c>
      <c r="E30" s="48"/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35</v>
      </c>
      <c r="R30" s="49">
        <v>0</v>
      </c>
      <c r="S30" s="49">
        <v>0</v>
      </c>
      <c r="T30" s="49">
        <v>15</v>
      </c>
      <c r="U30" s="47">
        <v>0</v>
      </c>
      <c r="V30" s="47">
        <v>0</v>
      </c>
      <c r="W30" s="47">
        <v>0</v>
      </c>
      <c r="X30" s="47">
        <v>50</v>
      </c>
      <c r="Y30" s="47">
        <v>50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/>
      <c r="AK30" s="47">
        <f t="shared" si="0"/>
        <v>150</v>
      </c>
      <c r="AL30" s="47"/>
      <c r="AM30" s="47">
        <f t="shared" si="1"/>
        <v>150</v>
      </c>
      <c r="AN30" s="47"/>
      <c r="AO30" s="47"/>
      <c r="AP30" s="47"/>
      <c r="AQ30" s="48"/>
      <c r="AR30" s="48"/>
      <c r="AS30" s="50">
        <v>277</v>
      </c>
      <c r="AT30" s="50">
        <f t="shared" si="4"/>
        <v>41550</v>
      </c>
    </row>
    <row r="31" spans="1:46" ht="15.75" customHeight="1">
      <c r="A31" s="47">
        <v>25</v>
      </c>
      <c r="B31" s="48"/>
      <c r="C31" s="48"/>
      <c r="D31" s="48" t="s">
        <v>98</v>
      </c>
      <c r="E31" s="48"/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35</v>
      </c>
      <c r="R31" s="49">
        <v>0</v>
      </c>
      <c r="S31" s="49">
        <v>0</v>
      </c>
      <c r="T31" s="49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45</v>
      </c>
      <c r="AG31" s="47">
        <v>0</v>
      </c>
      <c r="AH31" s="47">
        <v>0</v>
      </c>
      <c r="AI31" s="47">
        <v>0</v>
      </c>
      <c r="AJ31" s="47"/>
      <c r="AK31" s="47">
        <f t="shared" si="0"/>
        <v>80</v>
      </c>
      <c r="AL31" s="47"/>
      <c r="AM31" s="47">
        <f t="shared" si="1"/>
        <v>80</v>
      </c>
      <c r="AN31" s="47"/>
      <c r="AO31" s="47"/>
      <c r="AP31" s="47"/>
      <c r="AQ31" s="48"/>
      <c r="AR31" s="48"/>
      <c r="AS31" s="50">
        <v>277</v>
      </c>
      <c r="AT31" s="50">
        <f t="shared" si="4"/>
        <v>22160</v>
      </c>
    </row>
    <row r="32" spans="1:46" ht="15.75" customHeight="1">
      <c r="A32" s="47">
        <v>26</v>
      </c>
      <c r="B32" s="48"/>
      <c r="C32" s="48"/>
      <c r="D32" s="48" t="s">
        <v>99</v>
      </c>
      <c r="E32" s="48"/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9">
        <v>0</v>
      </c>
      <c r="S32" s="49">
        <v>0</v>
      </c>
      <c r="T32" s="49">
        <v>0</v>
      </c>
      <c r="U32" s="47">
        <v>0</v>
      </c>
      <c r="V32" s="47">
        <v>0</v>
      </c>
      <c r="W32" s="47">
        <v>0</v>
      </c>
      <c r="X32" s="47">
        <v>50</v>
      </c>
      <c r="Y32" s="47">
        <v>50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45</v>
      </c>
      <c r="AG32" s="47">
        <v>0</v>
      </c>
      <c r="AH32" s="47">
        <v>0</v>
      </c>
      <c r="AI32" s="47">
        <v>0</v>
      </c>
      <c r="AJ32" s="47"/>
      <c r="AK32" s="47">
        <f t="shared" si="0"/>
        <v>145</v>
      </c>
      <c r="AL32" s="47"/>
      <c r="AM32" s="47">
        <f t="shared" si="1"/>
        <v>145</v>
      </c>
      <c r="AN32" s="47"/>
      <c r="AO32" s="47"/>
      <c r="AP32" s="47"/>
      <c r="AQ32" s="48"/>
      <c r="AR32" s="48"/>
      <c r="AS32" s="50">
        <v>277</v>
      </c>
      <c r="AT32" s="50">
        <f t="shared" si="4"/>
        <v>40165</v>
      </c>
    </row>
    <row r="33" spans="1:46" ht="15.75" customHeight="1">
      <c r="A33" s="47"/>
      <c r="B33" s="48"/>
      <c r="C33" s="48"/>
      <c r="D33" s="48"/>
      <c r="E33" s="48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9"/>
      <c r="S33" s="49"/>
      <c r="T33" s="49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8"/>
      <c r="AR33" s="48"/>
      <c r="AS33" s="50"/>
      <c r="AT33" s="50"/>
    </row>
    <row r="34" spans="1:46" ht="15.75" customHeight="1">
      <c r="A34" s="47">
        <v>9</v>
      </c>
      <c r="B34" s="48"/>
      <c r="C34" s="48"/>
      <c r="D34" s="48"/>
      <c r="E34" s="48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9"/>
      <c r="T34" s="49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>
        <f>SUM(F34:AJ34)</f>
        <v>0</v>
      </c>
      <c r="AL34" s="47"/>
      <c r="AM34" s="47">
        <f>SUM(AK34:AL34)</f>
        <v>0</v>
      </c>
      <c r="AN34" s="47"/>
      <c r="AO34" s="47"/>
      <c r="AP34" s="47">
        <f>AO34-AN34</f>
        <v>0</v>
      </c>
      <c r="AQ34" s="48"/>
      <c r="AR34" s="48"/>
      <c r="AS34" s="50"/>
      <c r="AT34" s="50">
        <f>AS34*AM34</f>
        <v>0</v>
      </c>
    </row>
    <row r="35" spans="1:46" ht="15.75" customHeight="1">
      <c r="A35" s="47"/>
      <c r="B35" s="48"/>
      <c r="C35" s="48"/>
      <c r="D35" s="48"/>
      <c r="E35" s="48"/>
      <c r="F35" s="51">
        <f t="shared" ref="F35:AJ35" si="5">SUM(F7:F34)</f>
        <v>195</v>
      </c>
      <c r="G35" s="51">
        <f t="shared" si="5"/>
        <v>60</v>
      </c>
      <c r="H35" s="51">
        <f t="shared" si="5"/>
        <v>100</v>
      </c>
      <c r="I35" s="51">
        <f t="shared" si="5"/>
        <v>145</v>
      </c>
      <c r="J35" s="51">
        <f t="shared" si="5"/>
        <v>80</v>
      </c>
      <c r="K35" s="51">
        <f t="shared" si="5"/>
        <v>605</v>
      </c>
      <c r="L35" s="51">
        <f t="shared" si="5"/>
        <v>285</v>
      </c>
      <c r="M35" s="51">
        <f t="shared" si="5"/>
        <v>645</v>
      </c>
      <c r="N35" s="51">
        <f t="shared" si="5"/>
        <v>315</v>
      </c>
      <c r="O35" s="51">
        <f t="shared" si="5"/>
        <v>231</v>
      </c>
      <c r="P35" s="51">
        <f t="shared" si="5"/>
        <v>330</v>
      </c>
      <c r="Q35" s="51">
        <f t="shared" si="5"/>
        <v>595</v>
      </c>
      <c r="R35" s="51">
        <f t="shared" si="5"/>
        <v>499.6</v>
      </c>
      <c r="S35" s="51">
        <f t="shared" si="5"/>
        <v>845</v>
      </c>
      <c r="T35" s="51">
        <f t="shared" si="5"/>
        <v>175</v>
      </c>
      <c r="U35" s="51">
        <f t="shared" si="5"/>
        <v>155</v>
      </c>
      <c r="V35" s="51">
        <f t="shared" si="5"/>
        <v>120</v>
      </c>
      <c r="W35" s="51">
        <f t="shared" si="5"/>
        <v>120</v>
      </c>
      <c r="X35" s="51">
        <f t="shared" si="5"/>
        <v>430</v>
      </c>
      <c r="Y35" s="51">
        <f t="shared" si="5"/>
        <v>470</v>
      </c>
      <c r="Z35" s="51">
        <f t="shared" si="5"/>
        <v>55</v>
      </c>
      <c r="AA35" s="51">
        <f t="shared" si="5"/>
        <v>75</v>
      </c>
      <c r="AB35" s="51">
        <f t="shared" si="5"/>
        <v>80</v>
      </c>
      <c r="AC35" s="51">
        <f t="shared" si="5"/>
        <v>225</v>
      </c>
      <c r="AD35" s="51">
        <f t="shared" si="5"/>
        <v>388.59</v>
      </c>
      <c r="AE35" s="51">
        <f t="shared" si="5"/>
        <v>55</v>
      </c>
      <c r="AF35" s="51">
        <f t="shared" si="5"/>
        <v>310</v>
      </c>
      <c r="AG35" s="51">
        <f t="shared" si="5"/>
        <v>20</v>
      </c>
      <c r="AH35" s="51">
        <f t="shared" si="5"/>
        <v>60</v>
      </c>
      <c r="AI35" s="51">
        <f t="shared" si="5"/>
        <v>20</v>
      </c>
      <c r="AJ35" s="51">
        <f t="shared" si="5"/>
        <v>0</v>
      </c>
      <c r="AK35" s="51">
        <f>SUM(AK7:AK13)</f>
        <v>3124.1900000000005</v>
      </c>
      <c r="AL35" s="47"/>
      <c r="AM35" s="51">
        <f>SUM(AM7:AM13)</f>
        <v>3124.1900000000005</v>
      </c>
      <c r="AN35" s="47"/>
      <c r="AO35" s="47"/>
      <c r="AP35" s="47"/>
      <c r="AQ35" s="48"/>
      <c r="AR35" s="48"/>
      <c r="AS35" s="50"/>
      <c r="AT35" s="52">
        <f>SUM(AT7:AT13)</f>
        <v>865400.63</v>
      </c>
    </row>
    <row r="36" spans="1:46" ht="15.75" customHeight="1">
      <c r="A36" s="53" t="s">
        <v>61</v>
      </c>
      <c r="B36" s="54"/>
      <c r="C36" s="54"/>
      <c r="D36" s="46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</row>
    <row r="37" spans="1:46" ht="15.75" customHeight="1">
      <c r="A37" s="47">
        <v>1</v>
      </c>
      <c r="B37" s="48"/>
      <c r="C37" s="48"/>
      <c r="D37" s="48" t="s">
        <v>103</v>
      </c>
      <c r="E37" s="48"/>
      <c r="F37" s="49">
        <v>20</v>
      </c>
      <c r="G37" s="49">
        <f>SUM(10+15)</f>
        <v>25</v>
      </c>
      <c r="H37" s="49">
        <v>15</v>
      </c>
      <c r="I37" s="49">
        <v>20</v>
      </c>
      <c r="J37" s="49">
        <v>20</v>
      </c>
      <c r="K37" s="49">
        <v>10</v>
      </c>
      <c r="L37" s="49">
        <v>20</v>
      </c>
      <c r="M37" s="49">
        <f>SUM(15+20)</f>
        <v>35</v>
      </c>
      <c r="N37" s="49">
        <v>10</v>
      </c>
      <c r="O37" s="49">
        <v>20</v>
      </c>
      <c r="P37" s="49">
        <v>20</v>
      </c>
      <c r="Q37" s="49">
        <v>20</v>
      </c>
      <c r="R37" s="49">
        <v>15</v>
      </c>
      <c r="S37" s="49">
        <f>SUM(20+10)</f>
        <v>30</v>
      </c>
      <c r="T37" s="49">
        <v>20</v>
      </c>
      <c r="U37" s="49">
        <v>15</v>
      </c>
      <c r="V37" s="49">
        <v>20</v>
      </c>
      <c r="W37" s="49">
        <v>0</v>
      </c>
      <c r="X37" s="49">
        <v>5</v>
      </c>
      <c r="Y37" s="49">
        <v>10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47">
        <v>0</v>
      </c>
      <c r="AH37" s="47">
        <v>0</v>
      </c>
      <c r="AI37" s="47">
        <v>0</v>
      </c>
      <c r="AJ37" s="47"/>
      <c r="AK37" s="47">
        <f t="shared" ref="AK37:AK63" si="6">SUM(F37:AJ37)</f>
        <v>350</v>
      </c>
      <c r="AL37" s="47">
        <v>0</v>
      </c>
      <c r="AM37" s="47">
        <f t="shared" ref="AM37:AM63" si="7">AL37+AK37</f>
        <v>350</v>
      </c>
      <c r="AN37" s="47"/>
      <c r="AO37" s="47"/>
      <c r="AP37" s="47">
        <f t="shared" ref="AP37:AP39" si="8">AO37-AN37</f>
        <v>0</v>
      </c>
      <c r="AQ37" s="48" t="e">
        <f t="shared" ref="AQ37:AQ39" si="9">AM37/AP37</f>
        <v>#DIV/0!</v>
      </c>
      <c r="AR37" s="48"/>
      <c r="AS37" s="50">
        <v>277</v>
      </c>
      <c r="AT37" s="50">
        <f t="shared" ref="AT37:AT63" si="10">AS37*AM37</f>
        <v>96950</v>
      </c>
    </row>
    <row r="38" spans="1:46" ht="15.75" customHeight="1">
      <c r="A38" s="47">
        <v>2</v>
      </c>
      <c r="B38" s="48"/>
      <c r="C38" s="48"/>
      <c r="D38" s="48" t="s">
        <v>56</v>
      </c>
      <c r="E38" s="48"/>
      <c r="F38" s="49">
        <v>5</v>
      </c>
      <c r="G38" s="49">
        <v>5</v>
      </c>
      <c r="H38" s="49">
        <v>5</v>
      </c>
      <c r="I38" s="49">
        <v>5</v>
      </c>
      <c r="J38" s="49">
        <v>5</v>
      </c>
      <c r="K38" s="49">
        <v>5</v>
      </c>
      <c r="L38" s="49">
        <v>5</v>
      </c>
      <c r="M38" s="49">
        <v>5</v>
      </c>
      <c r="N38" s="49">
        <v>5</v>
      </c>
      <c r="O38" s="49">
        <v>0</v>
      </c>
      <c r="P38" s="49">
        <v>5</v>
      </c>
      <c r="Q38" s="49">
        <v>5</v>
      </c>
      <c r="R38" s="49">
        <v>5</v>
      </c>
      <c r="S38" s="49">
        <v>5</v>
      </c>
      <c r="T38" s="49">
        <f>SUM(5+5)</f>
        <v>10</v>
      </c>
      <c r="U38" s="49">
        <v>5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A38" s="49">
        <v>0</v>
      </c>
      <c r="AB38" s="49">
        <v>0</v>
      </c>
      <c r="AC38" s="49">
        <v>0</v>
      </c>
      <c r="AD38" s="49">
        <v>0</v>
      </c>
      <c r="AE38" s="49">
        <v>0</v>
      </c>
      <c r="AF38" s="49">
        <v>0</v>
      </c>
      <c r="AG38" s="47">
        <v>0</v>
      </c>
      <c r="AH38" s="47">
        <v>0</v>
      </c>
      <c r="AI38" s="49">
        <v>0</v>
      </c>
      <c r="AJ38" s="47"/>
      <c r="AK38" s="47">
        <f t="shared" si="6"/>
        <v>80</v>
      </c>
      <c r="AL38" s="47"/>
      <c r="AM38" s="47">
        <f t="shared" si="7"/>
        <v>80</v>
      </c>
      <c r="AN38" s="47"/>
      <c r="AO38" s="47"/>
      <c r="AP38" s="47">
        <f t="shared" si="8"/>
        <v>0</v>
      </c>
      <c r="AQ38" s="48" t="e">
        <f t="shared" si="9"/>
        <v>#DIV/0!</v>
      </c>
      <c r="AR38" s="48"/>
      <c r="AS38" s="50">
        <v>277</v>
      </c>
      <c r="AT38" s="50">
        <f t="shared" si="10"/>
        <v>22160</v>
      </c>
    </row>
    <row r="39" spans="1:46" ht="15.75" customHeight="1">
      <c r="A39" s="47">
        <v>3</v>
      </c>
      <c r="B39" s="48"/>
      <c r="C39" s="48"/>
      <c r="D39" s="48" t="s">
        <v>104</v>
      </c>
      <c r="E39" s="48"/>
      <c r="F39" s="49">
        <v>20</v>
      </c>
      <c r="G39" s="49">
        <f>SUM(20+10)</f>
        <v>30</v>
      </c>
      <c r="H39" s="49">
        <v>20</v>
      </c>
      <c r="I39" s="49">
        <f>SUM(20+15)</f>
        <v>35</v>
      </c>
      <c r="J39" s="49">
        <f>SUM(20+10)</f>
        <v>30</v>
      </c>
      <c r="K39" s="49">
        <v>20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30</v>
      </c>
      <c r="U39" s="49">
        <f>SUM(20+20)</f>
        <v>40</v>
      </c>
      <c r="V39" s="49">
        <v>40</v>
      </c>
      <c r="W39" s="49">
        <v>0</v>
      </c>
      <c r="X39" s="49">
        <v>10</v>
      </c>
      <c r="Y39" s="49">
        <v>20</v>
      </c>
      <c r="Z39" s="49">
        <v>10</v>
      </c>
      <c r="AA39" s="49">
        <f>SUM(10+10)</f>
        <v>20</v>
      </c>
      <c r="AB39" s="49">
        <v>15</v>
      </c>
      <c r="AC39" s="49">
        <v>10</v>
      </c>
      <c r="AD39" s="49">
        <f>SUM(20+15)</f>
        <v>35</v>
      </c>
      <c r="AE39" s="49">
        <v>0</v>
      </c>
      <c r="AF39" s="49">
        <v>0</v>
      </c>
      <c r="AG39" s="47">
        <v>0</v>
      </c>
      <c r="AH39" s="47">
        <v>0</v>
      </c>
      <c r="AI39" s="49">
        <v>0</v>
      </c>
      <c r="AJ39" s="47"/>
      <c r="AK39" s="47">
        <f t="shared" si="6"/>
        <v>385</v>
      </c>
      <c r="AL39" s="47"/>
      <c r="AM39" s="47">
        <f t="shared" si="7"/>
        <v>385</v>
      </c>
      <c r="AN39" s="47"/>
      <c r="AO39" s="47"/>
      <c r="AP39" s="47">
        <f t="shared" si="8"/>
        <v>0</v>
      </c>
      <c r="AQ39" s="48" t="e">
        <f t="shared" si="9"/>
        <v>#DIV/0!</v>
      </c>
      <c r="AR39" s="48"/>
      <c r="AS39" s="50">
        <v>277</v>
      </c>
      <c r="AT39" s="50">
        <f t="shared" si="10"/>
        <v>106645</v>
      </c>
    </row>
    <row r="40" spans="1:46" ht="15.75" customHeight="1">
      <c r="A40" s="47"/>
      <c r="B40" s="48"/>
      <c r="C40" s="48"/>
      <c r="D40" s="48" t="s">
        <v>105</v>
      </c>
      <c r="E40" s="48"/>
      <c r="F40" s="49">
        <v>100</v>
      </c>
      <c r="G40" s="49">
        <v>20</v>
      </c>
      <c r="H40" s="49">
        <f>SUM(40+40)</f>
        <v>80</v>
      </c>
      <c r="I40" s="49">
        <f>SUM(60+20)</f>
        <v>80</v>
      </c>
      <c r="J40" s="49">
        <v>60</v>
      </c>
      <c r="K40" s="49">
        <v>60</v>
      </c>
      <c r="L40" s="49">
        <v>60</v>
      </c>
      <c r="M40" s="49">
        <v>40</v>
      </c>
      <c r="N40" s="49">
        <v>40</v>
      </c>
      <c r="O40" s="49">
        <v>20</v>
      </c>
      <c r="P40" s="49">
        <v>40</v>
      </c>
      <c r="Q40" s="49">
        <v>0</v>
      </c>
      <c r="R40" s="49">
        <v>10</v>
      </c>
      <c r="S40" s="49">
        <v>10</v>
      </c>
      <c r="T40" s="49">
        <v>40</v>
      </c>
      <c r="U40" s="49">
        <f>SUM(20+10)</f>
        <v>30</v>
      </c>
      <c r="V40" s="49">
        <f>SUM(20+20)</f>
        <v>40</v>
      </c>
      <c r="W40" s="49">
        <v>0</v>
      </c>
      <c r="X40" s="49">
        <v>40</v>
      </c>
      <c r="Y40" s="49">
        <v>0</v>
      </c>
      <c r="Z40" s="49">
        <v>0</v>
      </c>
      <c r="AA40" s="49">
        <v>0</v>
      </c>
      <c r="AB40" s="49">
        <v>0</v>
      </c>
      <c r="AC40" s="49">
        <v>0</v>
      </c>
      <c r="AD40" s="49">
        <v>0</v>
      </c>
      <c r="AE40" s="49">
        <v>0</v>
      </c>
      <c r="AF40" s="49">
        <v>0</v>
      </c>
      <c r="AG40" s="47">
        <v>0</v>
      </c>
      <c r="AH40" s="47">
        <v>0</v>
      </c>
      <c r="AI40" s="49">
        <v>0</v>
      </c>
      <c r="AJ40" s="47"/>
      <c r="AK40" s="47">
        <f t="shared" si="6"/>
        <v>770</v>
      </c>
      <c r="AL40" s="47"/>
      <c r="AM40" s="47">
        <f t="shared" si="7"/>
        <v>770</v>
      </c>
      <c r="AN40" s="47"/>
      <c r="AO40" s="47"/>
      <c r="AP40" s="47"/>
      <c r="AQ40" s="48"/>
      <c r="AR40" s="48"/>
      <c r="AS40" s="50">
        <v>277</v>
      </c>
      <c r="AT40" s="50">
        <f t="shared" si="10"/>
        <v>213290</v>
      </c>
    </row>
    <row r="41" spans="1:46" ht="15.75" customHeight="1">
      <c r="A41" s="47"/>
      <c r="B41" s="48"/>
      <c r="C41" s="48"/>
      <c r="D41" s="48" t="s">
        <v>106</v>
      </c>
      <c r="E41" s="48"/>
      <c r="F41" s="49">
        <v>40</v>
      </c>
      <c r="G41" s="49">
        <v>20</v>
      </c>
      <c r="H41" s="49">
        <v>0</v>
      </c>
      <c r="I41" s="49">
        <v>0</v>
      </c>
      <c r="J41" s="49">
        <v>40</v>
      </c>
      <c r="K41" s="49">
        <v>20</v>
      </c>
      <c r="L41" s="49">
        <v>40</v>
      </c>
      <c r="M41" s="49">
        <v>30</v>
      </c>
      <c r="N41" s="49">
        <v>20</v>
      </c>
      <c r="O41" s="49">
        <v>20</v>
      </c>
      <c r="P41" s="49">
        <v>20</v>
      </c>
      <c r="Q41" s="49">
        <v>0</v>
      </c>
      <c r="R41" s="49">
        <v>20</v>
      </c>
      <c r="S41" s="49">
        <v>20</v>
      </c>
      <c r="T41" s="49">
        <v>30</v>
      </c>
      <c r="U41" s="49">
        <f>SUM(30+20)</f>
        <v>50</v>
      </c>
      <c r="V41" s="49">
        <v>30</v>
      </c>
      <c r="W41" s="49">
        <v>30</v>
      </c>
      <c r="X41" s="49">
        <v>20</v>
      </c>
      <c r="Y41" s="49">
        <f>SUM(20+20)</f>
        <v>40</v>
      </c>
      <c r="Z41" s="49">
        <f>SUM(30+20)</f>
        <v>50</v>
      </c>
      <c r="AA41" s="49">
        <v>20</v>
      </c>
      <c r="AB41" s="49">
        <v>30</v>
      </c>
      <c r="AC41" s="49">
        <v>20</v>
      </c>
      <c r="AD41" s="49">
        <f>SUM(30+20)</f>
        <v>50</v>
      </c>
      <c r="AE41" s="49">
        <v>0</v>
      </c>
      <c r="AF41" s="49">
        <v>0</v>
      </c>
      <c r="AG41" s="47">
        <v>0</v>
      </c>
      <c r="AH41" s="47">
        <v>0</v>
      </c>
      <c r="AI41" s="49">
        <v>0</v>
      </c>
      <c r="AJ41" s="47"/>
      <c r="AK41" s="47">
        <f t="shared" si="6"/>
        <v>660</v>
      </c>
      <c r="AL41" s="47"/>
      <c r="AM41" s="47">
        <f t="shared" si="7"/>
        <v>660</v>
      </c>
      <c r="AN41" s="47"/>
      <c r="AO41" s="47"/>
      <c r="AP41" s="47"/>
      <c r="AQ41" s="48"/>
      <c r="AR41" s="48"/>
      <c r="AS41" s="50">
        <v>277</v>
      </c>
      <c r="AT41" s="50">
        <f t="shared" si="10"/>
        <v>182820</v>
      </c>
    </row>
    <row r="42" spans="1:46" ht="15.75" customHeight="1">
      <c r="A42" s="47"/>
      <c r="B42" s="48"/>
      <c r="C42" s="48"/>
      <c r="D42" s="48" t="s">
        <v>107</v>
      </c>
      <c r="E42" s="48"/>
      <c r="F42" s="49">
        <v>40</v>
      </c>
      <c r="G42" s="49">
        <v>40</v>
      </c>
      <c r="H42" s="49">
        <v>40</v>
      </c>
      <c r="I42" s="49">
        <v>40</v>
      </c>
      <c r="J42" s="49">
        <v>40</v>
      </c>
      <c r="K42" s="49">
        <v>40</v>
      </c>
      <c r="L42" s="49">
        <v>40</v>
      </c>
      <c r="M42" s="49">
        <v>40</v>
      </c>
      <c r="N42" s="49">
        <v>40</v>
      </c>
      <c r="O42" s="49">
        <v>40</v>
      </c>
      <c r="P42" s="49">
        <v>40</v>
      </c>
      <c r="Q42" s="49">
        <v>40</v>
      </c>
      <c r="R42" s="49">
        <v>20</v>
      </c>
      <c r="S42" s="49">
        <v>40</v>
      </c>
      <c r="T42" s="49">
        <v>40</v>
      </c>
      <c r="U42" s="49">
        <v>40</v>
      </c>
      <c r="V42" s="49">
        <v>40</v>
      </c>
      <c r="W42" s="49">
        <v>40</v>
      </c>
      <c r="X42" s="49">
        <v>20</v>
      </c>
      <c r="Y42" s="49">
        <v>40</v>
      </c>
      <c r="Z42" s="49">
        <v>40</v>
      </c>
      <c r="AA42" s="49">
        <v>40</v>
      </c>
      <c r="AB42" s="49">
        <v>40</v>
      </c>
      <c r="AC42" s="49">
        <v>40</v>
      </c>
      <c r="AD42" s="49">
        <v>40</v>
      </c>
      <c r="AE42" s="49">
        <v>0</v>
      </c>
      <c r="AF42" s="49">
        <v>0</v>
      </c>
      <c r="AG42" s="47">
        <v>0</v>
      </c>
      <c r="AH42" s="47">
        <v>0</v>
      </c>
      <c r="AI42" s="49">
        <v>0</v>
      </c>
      <c r="AJ42" s="47"/>
      <c r="AK42" s="47">
        <f t="shared" si="6"/>
        <v>960</v>
      </c>
      <c r="AL42" s="47"/>
      <c r="AM42" s="47">
        <f t="shared" si="7"/>
        <v>960</v>
      </c>
      <c r="AN42" s="47"/>
      <c r="AO42" s="47"/>
      <c r="AP42" s="47"/>
      <c r="AQ42" s="48"/>
      <c r="AR42" s="48"/>
      <c r="AS42" s="50">
        <v>277</v>
      </c>
      <c r="AT42" s="50">
        <f t="shared" si="10"/>
        <v>265920</v>
      </c>
    </row>
    <row r="43" spans="1:46" ht="15.75" customHeight="1">
      <c r="A43" s="47"/>
      <c r="B43" s="48"/>
      <c r="C43" s="48"/>
      <c r="D43" s="48" t="s">
        <v>108</v>
      </c>
      <c r="E43" s="48"/>
      <c r="F43" s="49">
        <v>5</v>
      </c>
      <c r="G43" s="49">
        <v>5</v>
      </c>
      <c r="H43" s="49">
        <v>0</v>
      </c>
      <c r="I43" s="49">
        <v>0</v>
      </c>
      <c r="J43" s="49">
        <v>0</v>
      </c>
      <c r="K43" s="49">
        <v>0</v>
      </c>
      <c r="L43" s="49">
        <v>5</v>
      </c>
      <c r="M43" s="49">
        <v>0</v>
      </c>
      <c r="N43" s="49">
        <v>0</v>
      </c>
      <c r="O43" s="49">
        <v>5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5</v>
      </c>
      <c r="Y43" s="49">
        <v>5</v>
      </c>
      <c r="Z43" s="49">
        <v>5</v>
      </c>
      <c r="AA43" s="49">
        <v>0</v>
      </c>
      <c r="AB43" s="49">
        <v>0</v>
      </c>
      <c r="AC43" s="49">
        <v>5</v>
      </c>
      <c r="AD43" s="49">
        <v>0</v>
      </c>
      <c r="AE43" s="49">
        <v>0</v>
      </c>
      <c r="AF43" s="49">
        <v>0</v>
      </c>
      <c r="AG43" s="47">
        <v>0</v>
      </c>
      <c r="AH43" s="47">
        <v>0</v>
      </c>
      <c r="AI43" s="49">
        <v>0</v>
      </c>
      <c r="AJ43" s="47"/>
      <c r="AK43" s="47">
        <f t="shared" si="6"/>
        <v>40</v>
      </c>
      <c r="AL43" s="47"/>
      <c r="AM43" s="47">
        <f t="shared" si="7"/>
        <v>40</v>
      </c>
      <c r="AN43" s="47"/>
      <c r="AO43" s="47"/>
      <c r="AP43" s="47"/>
      <c r="AQ43" s="48"/>
      <c r="AR43" s="48"/>
      <c r="AS43" s="50">
        <v>277</v>
      </c>
      <c r="AT43" s="50">
        <f t="shared" si="10"/>
        <v>11080</v>
      </c>
    </row>
    <row r="44" spans="1:46" ht="15.75" customHeight="1">
      <c r="A44" s="47"/>
      <c r="B44" s="48"/>
      <c r="C44" s="48"/>
      <c r="D44" s="48" t="s">
        <v>63</v>
      </c>
      <c r="E44" s="48"/>
      <c r="F44" s="49">
        <v>20</v>
      </c>
      <c r="G44" s="49">
        <v>20</v>
      </c>
      <c r="H44" s="49">
        <v>15</v>
      </c>
      <c r="I44" s="49">
        <v>15</v>
      </c>
      <c r="J44" s="49">
        <v>0</v>
      </c>
      <c r="K44" s="49">
        <v>20</v>
      </c>
      <c r="L44" s="49">
        <v>10</v>
      </c>
      <c r="M44" s="49">
        <v>0</v>
      </c>
      <c r="N44" s="49">
        <v>20</v>
      </c>
      <c r="O44" s="49">
        <v>0</v>
      </c>
      <c r="P44" s="49">
        <v>10</v>
      </c>
      <c r="Q44" s="49">
        <v>0</v>
      </c>
      <c r="R44" s="49">
        <v>0</v>
      </c>
      <c r="S44" s="49">
        <v>15</v>
      </c>
      <c r="T44" s="49">
        <v>10</v>
      </c>
      <c r="U44" s="49">
        <v>15</v>
      </c>
      <c r="V44" s="49">
        <v>20</v>
      </c>
      <c r="W44" s="49">
        <v>20</v>
      </c>
      <c r="X44" s="49">
        <v>0</v>
      </c>
      <c r="Y44" s="49">
        <v>0</v>
      </c>
      <c r="Z44" s="49">
        <v>20</v>
      </c>
      <c r="AA44" s="49">
        <v>20</v>
      </c>
      <c r="AB44" s="49">
        <v>15</v>
      </c>
      <c r="AC44" s="49">
        <v>0</v>
      </c>
      <c r="AD44" s="49">
        <v>0</v>
      </c>
      <c r="AE44" s="49">
        <v>0</v>
      </c>
      <c r="AF44" s="49">
        <v>0</v>
      </c>
      <c r="AG44" s="47">
        <v>0</v>
      </c>
      <c r="AH44" s="47">
        <v>0</v>
      </c>
      <c r="AI44" s="49">
        <v>0</v>
      </c>
      <c r="AJ44" s="47"/>
      <c r="AK44" s="47">
        <f t="shared" si="6"/>
        <v>265</v>
      </c>
      <c r="AL44" s="47"/>
      <c r="AM44" s="47">
        <f t="shared" si="7"/>
        <v>265</v>
      </c>
      <c r="AN44" s="47"/>
      <c r="AO44" s="47"/>
      <c r="AP44" s="47"/>
      <c r="AQ44" s="48"/>
      <c r="AR44" s="48"/>
      <c r="AS44" s="50">
        <v>277</v>
      </c>
      <c r="AT44" s="50">
        <f t="shared" si="10"/>
        <v>73405</v>
      </c>
    </row>
    <row r="45" spans="1:46" ht="15.75" customHeight="1">
      <c r="A45" s="47"/>
      <c r="B45" s="48"/>
      <c r="C45" s="48"/>
      <c r="D45" s="48" t="s">
        <v>28</v>
      </c>
      <c r="E45" s="48"/>
      <c r="F45" s="49">
        <v>130</v>
      </c>
      <c r="G45" s="49">
        <v>0</v>
      </c>
      <c r="H45" s="49">
        <v>0</v>
      </c>
      <c r="I45" s="49">
        <v>130</v>
      </c>
      <c r="J45" s="49">
        <v>0</v>
      </c>
      <c r="K45" s="49">
        <v>0</v>
      </c>
      <c r="L45" s="49">
        <v>130</v>
      </c>
      <c r="M45" s="49">
        <v>0</v>
      </c>
      <c r="N45" s="49">
        <v>0</v>
      </c>
      <c r="O45" s="49">
        <v>0</v>
      </c>
      <c r="P45" s="49">
        <v>127</v>
      </c>
      <c r="Q45" s="49">
        <v>0</v>
      </c>
      <c r="R45" s="49">
        <v>0</v>
      </c>
      <c r="S45" s="49">
        <v>0</v>
      </c>
      <c r="T45" s="49">
        <v>0</v>
      </c>
      <c r="U45" s="49">
        <v>115</v>
      </c>
      <c r="V45" s="49">
        <v>0</v>
      </c>
      <c r="W45" s="49">
        <v>0</v>
      </c>
      <c r="X45" s="49">
        <v>120</v>
      </c>
      <c r="Y45" s="49">
        <v>0</v>
      </c>
      <c r="Z45" s="49">
        <v>0</v>
      </c>
      <c r="AA45" s="49">
        <v>0</v>
      </c>
      <c r="AB45" s="49">
        <v>0</v>
      </c>
      <c r="AC45" s="49">
        <v>0</v>
      </c>
      <c r="AD45" s="49">
        <v>0</v>
      </c>
      <c r="AE45" s="49">
        <v>0</v>
      </c>
      <c r="AF45" s="49">
        <v>0</v>
      </c>
      <c r="AG45" s="47">
        <v>0</v>
      </c>
      <c r="AH45" s="47">
        <v>0</v>
      </c>
      <c r="AI45" s="49">
        <v>0</v>
      </c>
      <c r="AJ45" s="47"/>
      <c r="AK45" s="47">
        <f t="shared" si="6"/>
        <v>752</v>
      </c>
      <c r="AL45" s="47"/>
      <c r="AM45" s="47">
        <f t="shared" si="7"/>
        <v>752</v>
      </c>
      <c r="AN45" s="47"/>
      <c r="AO45" s="47"/>
      <c r="AP45" s="47"/>
      <c r="AQ45" s="48"/>
      <c r="AR45" s="48"/>
      <c r="AS45" s="50">
        <v>277</v>
      </c>
      <c r="AT45" s="50">
        <f t="shared" si="10"/>
        <v>208304</v>
      </c>
    </row>
    <row r="46" spans="1:46" ht="15.75" customHeight="1">
      <c r="A46" s="47"/>
      <c r="B46" s="48"/>
      <c r="C46" s="48"/>
      <c r="D46" s="48" t="s">
        <v>109</v>
      </c>
      <c r="E46" s="48"/>
      <c r="F46" s="49">
        <v>20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20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20</v>
      </c>
      <c r="Z46" s="49">
        <v>20</v>
      </c>
      <c r="AA46" s="49">
        <v>0</v>
      </c>
      <c r="AB46" s="49">
        <v>0</v>
      </c>
      <c r="AC46" s="49">
        <v>20</v>
      </c>
      <c r="AD46" s="49">
        <v>20</v>
      </c>
      <c r="AE46" s="49">
        <v>0</v>
      </c>
      <c r="AF46" s="49">
        <v>0</v>
      </c>
      <c r="AG46" s="47">
        <v>0</v>
      </c>
      <c r="AH46" s="47">
        <v>0</v>
      </c>
      <c r="AI46" s="49">
        <v>0</v>
      </c>
      <c r="AJ46" s="47"/>
      <c r="AK46" s="47">
        <f t="shared" si="6"/>
        <v>120</v>
      </c>
      <c r="AL46" s="47"/>
      <c r="AM46" s="47">
        <f t="shared" si="7"/>
        <v>120</v>
      </c>
      <c r="AN46" s="47"/>
      <c r="AO46" s="47"/>
      <c r="AP46" s="47"/>
      <c r="AQ46" s="48"/>
      <c r="AR46" s="48"/>
      <c r="AS46" s="50">
        <v>277</v>
      </c>
      <c r="AT46" s="50">
        <f t="shared" si="10"/>
        <v>33240</v>
      </c>
    </row>
    <row r="47" spans="1:46" ht="15.75" customHeight="1">
      <c r="A47" s="47"/>
      <c r="B47" s="48"/>
      <c r="C47" s="48"/>
      <c r="D47" s="48" t="s">
        <v>110</v>
      </c>
      <c r="E47" s="48"/>
      <c r="F47" s="49">
        <v>20</v>
      </c>
      <c r="G47" s="49">
        <v>20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20</v>
      </c>
      <c r="O47" s="49">
        <v>20</v>
      </c>
      <c r="P47" s="49">
        <v>20</v>
      </c>
      <c r="Q47" s="49">
        <v>20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  <c r="W47" s="49">
        <v>0</v>
      </c>
      <c r="X47" s="49">
        <v>0</v>
      </c>
      <c r="Y47" s="49">
        <v>20</v>
      </c>
      <c r="Z47" s="49">
        <v>20</v>
      </c>
      <c r="AA47" s="49">
        <v>0</v>
      </c>
      <c r="AB47" s="49">
        <v>0</v>
      </c>
      <c r="AC47" s="49">
        <v>20</v>
      </c>
      <c r="AD47" s="49">
        <v>20</v>
      </c>
      <c r="AE47" s="49">
        <v>0</v>
      </c>
      <c r="AF47" s="49">
        <v>0</v>
      </c>
      <c r="AG47" s="47">
        <v>0</v>
      </c>
      <c r="AH47" s="47">
        <v>0</v>
      </c>
      <c r="AI47" s="49">
        <v>0</v>
      </c>
      <c r="AJ47" s="47"/>
      <c r="AK47" s="47">
        <f t="shared" si="6"/>
        <v>200</v>
      </c>
      <c r="AL47" s="47"/>
      <c r="AM47" s="47">
        <f t="shared" si="7"/>
        <v>200</v>
      </c>
      <c r="AN47" s="47"/>
      <c r="AO47" s="47"/>
      <c r="AP47" s="47"/>
      <c r="AQ47" s="48"/>
      <c r="AR47" s="48"/>
      <c r="AS47" s="50">
        <v>277</v>
      </c>
      <c r="AT47" s="50">
        <f t="shared" si="10"/>
        <v>55400</v>
      </c>
    </row>
    <row r="48" spans="1:46" ht="15.75" customHeight="1">
      <c r="A48" s="47"/>
      <c r="B48" s="48"/>
      <c r="C48" s="48"/>
      <c r="D48" s="48" t="s">
        <v>111</v>
      </c>
      <c r="E48" s="48"/>
      <c r="F48" s="49">
        <v>20</v>
      </c>
      <c r="G48" s="49">
        <v>20</v>
      </c>
      <c r="H48" s="49">
        <v>0</v>
      </c>
      <c r="I48" s="49">
        <v>0</v>
      </c>
      <c r="J48" s="49">
        <v>0</v>
      </c>
      <c r="K48" s="49">
        <v>0</v>
      </c>
      <c r="L48" s="49">
        <v>0</v>
      </c>
      <c r="M48" s="49">
        <v>0</v>
      </c>
      <c r="N48" s="49">
        <v>20</v>
      </c>
      <c r="O48" s="49">
        <v>20</v>
      </c>
      <c r="P48" s="49">
        <v>20</v>
      </c>
      <c r="Q48" s="49">
        <v>20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  <c r="W48" s="49">
        <v>0</v>
      </c>
      <c r="X48" s="49">
        <v>0</v>
      </c>
      <c r="Y48" s="49">
        <v>20</v>
      </c>
      <c r="Z48" s="49">
        <v>20</v>
      </c>
      <c r="AA48" s="49">
        <v>0</v>
      </c>
      <c r="AB48" s="49">
        <v>0</v>
      </c>
      <c r="AC48" s="49">
        <v>20</v>
      </c>
      <c r="AD48" s="49">
        <v>20</v>
      </c>
      <c r="AE48" s="49">
        <v>0</v>
      </c>
      <c r="AF48" s="49">
        <v>0</v>
      </c>
      <c r="AG48" s="47">
        <v>0</v>
      </c>
      <c r="AH48" s="47">
        <v>0</v>
      </c>
      <c r="AI48" s="49">
        <v>0</v>
      </c>
      <c r="AJ48" s="47"/>
      <c r="AK48" s="47">
        <f t="shared" si="6"/>
        <v>200</v>
      </c>
      <c r="AL48" s="47"/>
      <c r="AM48" s="47">
        <f t="shared" si="7"/>
        <v>200</v>
      </c>
      <c r="AN48" s="47"/>
      <c r="AO48" s="47"/>
      <c r="AP48" s="47"/>
      <c r="AQ48" s="48"/>
      <c r="AR48" s="48"/>
      <c r="AS48" s="50">
        <v>277</v>
      </c>
      <c r="AT48" s="50">
        <f t="shared" si="10"/>
        <v>55400</v>
      </c>
    </row>
    <row r="49" spans="1:46" ht="15.75" customHeight="1">
      <c r="A49" s="47"/>
      <c r="B49" s="48"/>
      <c r="C49" s="48"/>
      <c r="D49" s="48" t="s">
        <v>112</v>
      </c>
      <c r="E49" s="48"/>
      <c r="F49" s="49">
        <v>20</v>
      </c>
      <c r="G49" s="49">
        <v>20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20</v>
      </c>
      <c r="O49" s="49">
        <v>20</v>
      </c>
      <c r="P49" s="49">
        <v>20</v>
      </c>
      <c r="Q49" s="49">
        <v>20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49">
        <v>0</v>
      </c>
      <c r="AA49" s="49">
        <v>0</v>
      </c>
      <c r="AB49" s="49">
        <v>0</v>
      </c>
      <c r="AC49" s="49">
        <v>0</v>
      </c>
      <c r="AD49" s="49">
        <v>0</v>
      </c>
      <c r="AE49" s="49">
        <v>0</v>
      </c>
      <c r="AF49" s="49">
        <v>0</v>
      </c>
      <c r="AG49" s="47">
        <v>0</v>
      </c>
      <c r="AH49" s="47">
        <v>0</v>
      </c>
      <c r="AI49" s="49">
        <v>0</v>
      </c>
      <c r="AJ49" s="47"/>
      <c r="AK49" s="47">
        <f t="shared" si="6"/>
        <v>120</v>
      </c>
      <c r="AL49" s="47"/>
      <c r="AM49" s="47">
        <f t="shared" si="7"/>
        <v>120</v>
      </c>
      <c r="AN49" s="47"/>
      <c r="AO49" s="47"/>
      <c r="AP49" s="47"/>
      <c r="AQ49" s="48"/>
      <c r="AR49" s="48"/>
      <c r="AS49" s="50">
        <v>277</v>
      </c>
      <c r="AT49" s="50">
        <f t="shared" si="10"/>
        <v>33240</v>
      </c>
    </row>
    <row r="50" spans="1:46" ht="15.75" customHeight="1">
      <c r="A50" s="47"/>
      <c r="B50" s="48"/>
      <c r="C50" s="48"/>
      <c r="D50" s="48" t="s">
        <v>113</v>
      </c>
      <c r="E50" s="48"/>
      <c r="F50" s="49">
        <f>SUM(10+5)</f>
        <v>15</v>
      </c>
      <c r="G50" s="49">
        <v>15</v>
      </c>
      <c r="H50" s="49">
        <v>0</v>
      </c>
      <c r="I50" s="49">
        <v>0</v>
      </c>
      <c r="J50" s="49">
        <v>0</v>
      </c>
      <c r="K50" s="49">
        <v>0</v>
      </c>
      <c r="L50" s="49">
        <v>0</v>
      </c>
      <c r="M50" s="49">
        <v>0</v>
      </c>
      <c r="N50" s="49">
        <v>15</v>
      </c>
      <c r="O50" s="49">
        <v>15</v>
      </c>
      <c r="P50" s="49">
        <v>15</v>
      </c>
      <c r="Q50" s="49">
        <v>10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15</v>
      </c>
      <c r="Z50" s="49">
        <v>15</v>
      </c>
      <c r="AA50" s="49">
        <v>0</v>
      </c>
      <c r="AB50" s="49">
        <v>0</v>
      </c>
      <c r="AC50" s="49">
        <v>15</v>
      </c>
      <c r="AD50" s="49">
        <v>10</v>
      </c>
      <c r="AE50" s="49">
        <v>0</v>
      </c>
      <c r="AF50" s="49">
        <v>0</v>
      </c>
      <c r="AG50" s="47">
        <v>0</v>
      </c>
      <c r="AH50" s="47">
        <v>0</v>
      </c>
      <c r="AI50" s="49">
        <v>0</v>
      </c>
      <c r="AJ50" s="47"/>
      <c r="AK50" s="47">
        <f t="shared" si="6"/>
        <v>140</v>
      </c>
      <c r="AL50" s="47"/>
      <c r="AM50" s="47">
        <f t="shared" si="7"/>
        <v>140</v>
      </c>
      <c r="AN50" s="47"/>
      <c r="AO50" s="47"/>
      <c r="AP50" s="47"/>
      <c r="AQ50" s="48"/>
      <c r="AR50" s="48"/>
      <c r="AS50" s="50">
        <v>277</v>
      </c>
      <c r="AT50" s="50">
        <f t="shared" si="10"/>
        <v>38780</v>
      </c>
    </row>
    <row r="51" spans="1:46" ht="15.75" customHeight="1">
      <c r="A51" s="47"/>
      <c r="B51" s="48"/>
      <c r="C51" s="48"/>
      <c r="D51" s="48" t="s">
        <v>114</v>
      </c>
      <c r="E51" s="48"/>
      <c r="F51" s="49">
        <v>20</v>
      </c>
      <c r="G51" s="49">
        <v>10</v>
      </c>
      <c r="H51" s="49">
        <v>0</v>
      </c>
      <c r="I51" s="49">
        <v>0</v>
      </c>
      <c r="J51" s="49">
        <v>0</v>
      </c>
      <c r="K51" s="49">
        <v>20</v>
      </c>
      <c r="L51" s="49">
        <v>15</v>
      </c>
      <c r="M51" s="49">
        <v>0</v>
      </c>
      <c r="N51" s="49">
        <v>10</v>
      </c>
      <c r="O51" s="49">
        <v>30</v>
      </c>
      <c r="P51" s="49">
        <v>0</v>
      </c>
      <c r="Q51" s="49">
        <f>SUM(10+10+10)</f>
        <v>30</v>
      </c>
      <c r="R51" s="49">
        <v>0</v>
      </c>
      <c r="S51" s="49">
        <v>0</v>
      </c>
      <c r="T51" s="49">
        <f>SUM(15+5)</f>
        <v>20</v>
      </c>
      <c r="U51" s="49">
        <v>0</v>
      </c>
      <c r="V51" s="49">
        <v>0</v>
      </c>
      <c r="W51" s="49">
        <v>0</v>
      </c>
      <c r="X51" s="49">
        <v>15</v>
      </c>
      <c r="Y51" s="49">
        <v>10</v>
      </c>
      <c r="Z51" s="49">
        <v>20</v>
      </c>
      <c r="AA51" s="49">
        <v>10</v>
      </c>
      <c r="AB51" s="49">
        <v>0</v>
      </c>
      <c r="AC51" s="49">
        <v>15</v>
      </c>
      <c r="AD51" s="49">
        <v>15</v>
      </c>
      <c r="AE51" s="49">
        <v>0</v>
      </c>
      <c r="AF51" s="49">
        <v>0</v>
      </c>
      <c r="AG51" s="47">
        <v>0</v>
      </c>
      <c r="AH51" s="47">
        <v>0</v>
      </c>
      <c r="AI51" s="49">
        <v>0</v>
      </c>
      <c r="AJ51" s="47"/>
      <c r="AK51" s="47">
        <f t="shared" si="6"/>
        <v>240</v>
      </c>
      <c r="AL51" s="47"/>
      <c r="AM51" s="47">
        <f t="shared" si="7"/>
        <v>240</v>
      </c>
      <c r="AN51" s="47"/>
      <c r="AO51" s="47"/>
      <c r="AP51" s="47"/>
      <c r="AQ51" s="48"/>
      <c r="AR51" s="48"/>
      <c r="AS51" s="50">
        <v>277</v>
      </c>
      <c r="AT51" s="50">
        <f t="shared" si="10"/>
        <v>66480</v>
      </c>
    </row>
    <row r="52" spans="1:46" ht="15.75" customHeight="1">
      <c r="A52" s="47"/>
      <c r="B52" s="48"/>
      <c r="C52" s="48"/>
      <c r="D52" s="48" t="s">
        <v>71</v>
      </c>
      <c r="E52" s="48"/>
      <c r="F52" s="49">
        <v>0</v>
      </c>
      <c r="G52" s="49">
        <v>20</v>
      </c>
      <c r="H52" s="49">
        <v>20</v>
      </c>
      <c r="I52" s="49">
        <v>10</v>
      </c>
      <c r="J52" s="49">
        <v>20</v>
      </c>
      <c r="K52" s="49">
        <f>SUM(20+10)</f>
        <v>30</v>
      </c>
      <c r="L52" s="49">
        <v>20</v>
      </c>
      <c r="M52" s="49">
        <v>20</v>
      </c>
      <c r="N52" s="49">
        <v>20</v>
      </c>
      <c r="O52" s="49">
        <v>0</v>
      </c>
      <c r="P52" s="49">
        <v>10</v>
      </c>
      <c r="Q52" s="49">
        <v>20</v>
      </c>
      <c r="R52" s="49">
        <v>0</v>
      </c>
      <c r="S52" s="49">
        <v>0</v>
      </c>
      <c r="T52" s="49">
        <v>20</v>
      </c>
      <c r="U52" s="49">
        <v>20</v>
      </c>
      <c r="V52" s="49">
        <v>20</v>
      </c>
      <c r="W52" s="49">
        <v>0</v>
      </c>
      <c r="X52" s="49">
        <v>0</v>
      </c>
      <c r="Y52" s="49">
        <v>20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47">
        <v>0</v>
      </c>
      <c r="AH52" s="47">
        <v>0</v>
      </c>
      <c r="AI52" s="49">
        <v>0</v>
      </c>
      <c r="AJ52" s="47"/>
      <c r="AK52" s="47">
        <f t="shared" si="6"/>
        <v>270</v>
      </c>
      <c r="AL52" s="47"/>
      <c r="AM52" s="47">
        <f t="shared" si="7"/>
        <v>270</v>
      </c>
      <c r="AN52" s="47"/>
      <c r="AO52" s="47"/>
      <c r="AP52" s="47"/>
      <c r="AQ52" s="48"/>
      <c r="AR52" s="48"/>
      <c r="AS52" s="50">
        <v>277</v>
      </c>
      <c r="AT52" s="50">
        <f t="shared" si="10"/>
        <v>74790</v>
      </c>
    </row>
    <row r="53" spans="1:46" ht="15.75" customHeight="1">
      <c r="A53" s="47"/>
      <c r="B53" s="48"/>
      <c r="C53" s="48"/>
      <c r="D53" s="48" t="s">
        <v>115</v>
      </c>
      <c r="E53" s="48"/>
      <c r="F53" s="49">
        <v>0</v>
      </c>
      <c r="G53" s="49">
        <f>SUM(20+20)</f>
        <v>40</v>
      </c>
      <c r="H53" s="49">
        <v>20</v>
      </c>
      <c r="I53" s="49">
        <v>40</v>
      </c>
      <c r="J53" s="49">
        <f>SUM(20+20)</f>
        <v>40</v>
      </c>
      <c r="K53" s="49">
        <v>40</v>
      </c>
      <c r="L53" s="49">
        <v>0</v>
      </c>
      <c r="M53" s="49">
        <v>0</v>
      </c>
      <c r="N53" s="49">
        <v>0</v>
      </c>
      <c r="O53" s="49">
        <v>20</v>
      </c>
      <c r="P53" s="49">
        <v>40</v>
      </c>
      <c r="Q53" s="49">
        <v>30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40</v>
      </c>
      <c r="AA53" s="49">
        <v>0</v>
      </c>
      <c r="AB53" s="49">
        <v>0</v>
      </c>
      <c r="AC53" s="49">
        <v>0</v>
      </c>
      <c r="AD53" s="49">
        <v>0</v>
      </c>
      <c r="AE53" s="49">
        <v>0</v>
      </c>
      <c r="AF53" s="49">
        <v>0</v>
      </c>
      <c r="AG53" s="47">
        <v>0</v>
      </c>
      <c r="AH53" s="47">
        <v>0</v>
      </c>
      <c r="AI53" s="49">
        <v>0</v>
      </c>
      <c r="AJ53" s="47"/>
      <c r="AK53" s="47">
        <f t="shared" si="6"/>
        <v>310</v>
      </c>
      <c r="AL53" s="47"/>
      <c r="AM53" s="47">
        <f t="shared" si="7"/>
        <v>310</v>
      </c>
      <c r="AN53" s="47"/>
      <c r="AO53" s="47"/>
      <c r="AP53" s="47"/>
      <c r="AQ53" s="48"/>
      <c r="AR53" s="48"/>
      <c r="AS53" s="50">
        <v>277</v>
      </c>
      <c r="AT53" s="50">
        <f t="shared" si="10"/>
        <v>85870</v>
      </c>
    </row>
    <row r="54" spans="1:46" ht="15.75" customHeight="1">
      <c r="A54" s="47"/>
      <c r="B54" s="48"/>
      <c r="C54" s="48"/>
      <c r="D54" s="48" t="s">
        <v>116</v>
      </c>
      <c r="E54" s="48"/>
      <c r="F54" s="49">
        <v>0</v>
      </c>
      <c r="G54" s="49">
        <v>20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20</v>
      </c>
      <c r="O54" s="49">
        <v>20</v>
      </c>
      <c r="P54" s="49">
        <v>20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0</v>
      </c>
      <c r="AB54" s="49">
        <v>0</v>
      </c>
      <c r="AC54" s="49">
        <v>0</v>
      </c>
      <c r="AD54" s="49">
        <v>0</v>
      </c>
      <c r="AE54" s="49">
        <v>0</v>
      </c>
      <c r="AF54" s="49">
        <v>0</v>
      </c>
      <c r="AG54" s="47">
        <v>0</v>
      </c>
      <c r="AH54" s="47">
        <v>0</v>
      </c>
      <c r="AI54" s="49">
        <v>0</v>
      </c>
      <c r="AJ54" s="47"/>
      <c r="AK54" s="47">
        <f t="shared" si="6"/>
        <v>80</v>
      </c>
      <c r="AL54" s="47"/>
      <c r="AM54" s="47">
        <f t="shared" si="7"/>
        <v>80</v>
      </c>
      <c r="AN54" s="47"/>
      <c r="AO54" s="47"/>
      <c r="AP54" s="47"/>
      <c r="AQ54" s="48"/>
      <c r="AR54" s="48"/>
      <c r="AS54" s="50">
        <v>277</v>
      </c>
      <c r="AT54" s="50">
        <f t="shared" si="10"/>
        <v>22160</v>
      </c>
    </row>
    <row r="55" spans="1:46" ht="15.75" customHeight="1">
      <c r="A55" s="47"/>
      <c r="B55" s="48"/>
      <c r="C55" s="48"/>
      <c r="D55" s="48" t="s">
        <v>117</v>
      </c>
      <c r="E55" s="48"/>
      <c r="F55" s="49">
        <v>0</v>
      </c>
      <c r="G55" s="49">
        <v>0</v>
      </c>
      <c r="H55" s="49">
        <f>SUM(40+60)</f>
        <v>100</v>
      </c>
      <c r="I55" s="49">
        <v>100</v>
      </c>
      <c r="J55" s="49">
        <v>100</v>
      </c>
      <c r="K55" s="49">
        <v>100</v>
      </c>
      <c r="L55" s="49">
        <v>100</v>
      </c>
      <c r="M55" s="49">
        <v>80</v>
      </c>
      <c r="N55" s="49">
        <v>100</v>
      </c>
      <c r="O55" s="49">
        <v>0</v>
      </c>
      <c r="P55" s="49">
        <v>60</v>
      </c>
      <c r="Q55" s="49">
        <v>0</v>
      </c>
      <c r="R55" s="49">
        <v>0</v>
      </c>
      <c r="S55" s="49">
        <v>80</v>
      </c>
      <c r="T55" s="49">
        <v>60</v>
      </c>
      <c r="U55" s="49">
        <v>100</v>
      </c>
      <c r="V55" s="49">
        <v>120</v>
      </c>
      <c r="W55" s="49">
        <v>80</v>
      </c>
      <c r="X55" s="49">
        <v>0</v>
      </c>
      <c r="Y55" s="49">
        <v>0</v>
      </c>
      <c r="Z55" s="49">
        <v>20</v>
      </c>
      <c r="AA55" s="49">
        <v>0</v>
      </c>
      <c r="AB55" s="49">
        <f>SUM(20+20)</f>
        <v>40</v>
      </c>
      <c r="AC55" s="49">
        <v>0</v>
      </c>
      <c r="AD55" s="49">
        <v>0</v>
      </c>
      <c r="AE55" s="49">
        <v>0</v>
      </c>
      <c r="AF55" s="49">
        <v>0</v>
      </c>
      <c r="AG55" s="47">
        <v>0</v>
      </c>
      <c r="AH55" s="47">
        <v>0</v>
      </c>
      <c r="AI55" s="49">
        <v>0</v>
      </c>
      <c r="AJ55" s="47"/>
      <c r="AK55" s="47">
        <f t="shared" si="6"/>
        <v>1240</v>
      </c>
      <c r="AL55" s="47"/>
      <c r="AM55" s="47">
        <f t="shared" si="7"/>
        <v>1240</v>
      </c>
      <c r="AN55" s="47"/>
      <c r="AO55" s="47"/>
      <c r="AP55" s="47"/>
      <c r="AQ55" s="48"/>
      <c r="AR55" s="48"/>
      <c r="AS55" s="50">
        <v>277</v>
      </c>
      <c r="AT55" s="50">
        <f t="shared" si="10"/>
        <v>343480</v>
      </c>
    </row>
    <row r="56" spans="1:46" ht="15.75" customHeight="1">
      <c r="A56" s="47"/>
      <c r="B56" s="48"/>
      <c r="C56" s="48"/>
      <c r="D56" s="48" t="s">
        <v>118</v>
      </c>
      <c r="E56" s="48"/>
      <c r="F56" s="49">
        <v>0</v>
      </c>
      <c r="G56" s="49">
        <v>0</v>
      </c>
      <c r="H56" s="49">
        <v>20</v>
      </c>
      <c r="I56" s="49">
        <v>20</v>
      </c>
      <c r="J56" s="49">
        <v>20</v>
      </c>
      <c r="K56" s="49">
        <v>0</v>
      </c>
      <c r="L56" s="49">
        <v>20</v>
      </c>
      <c r="M56" s="49">
        <v>20</v>
      </c>
      <c r="N56" s="49">
        <v>20</v>
      </c>
      <c r="O56" s="49">
        <v>20</v>
      </c>
      <c r="P56" s="49">
        <v>20</v>
      </c>
      <c r="Q56" s="49">
        <v>20</v>
      </c>
      <c r="R56" s="49">
        <v>20</v>
      </c>
      <c r="S56" s="49">
        <f>SUM(20+20)</f>
        <v>40</v>
      </c>
      <c r="T56" s="49">
        <v>20</v>
      </c>
      <c r="U56" s="49">
        <v>10</v>
      </c>
      <c r="V56" s="49">
        <v>0</v>
      </c>
      <c r="W56" s="49">
        <v>0</v>
      </c>
      <c r="X56" s="49">
        <v>0</v>
      </c>
      <c r="Y56" s="49">
        <v>0</v>
      </c>
      <c r="Z56" s="49">
        <v>20</v>
      </c>
      <c r="AA56" s="49">
        <v>20</v>
      </c>
      <c r="AB56" s="49">
        <v>0</v>
      </c>
      <c r="AC56" s="49">
        <v>0</v>
      </c>
      <c r="AD56" s="49">
        <v>0</v>
      </c>
      <c r="AE56" s="49">
        <v>0</v>
      </c>
      <c r="AF56" s="49">
        <v>0</v>
      </c>
      <c r="AG56" s="47">
        <v>0</v>
      </c>
      <c r="AH56" s="47">
        <v>0</v>
      </c>
      <c r="AI56" s="49">
        <v>0</v>
      </c>
      <c r="AJ56" s="47"/>
      <c r="AK56" s="47">
        <f t="shared" si="6"/>
        <v>310</v>
      </c>
      <c r="AL56" s="47"/>
      <c r="AM56" s="47">
        <f t="shared" si="7"/>
        <v>310</v>
      </c>
      <c r="AN56" s="47"/>
      <c r="AO56" s="47"/>
      <c r="AP56" s="47"/>
      <c r="AQ56" s="48"/>
      <c r="AR56" s="48"/>
      <c r="AS56" s="50">
        <v>277</v>
      </c>
      <c r="AT56" s="50">
        <f t="shared" si="10"/>
        <v>85870</v>
      </c>
    </row>
    <row r="57" spans="1:46" ht="15.75" customHeight="1">
      <c r="A57" s="47"/>
      <c r="B57" s="48"/>
      <c r="C57" s="48"/>
      <c r="D57" s="48" t="s">
        <v>76</v>
      </c>
      <c r="E57" s="48"/>
      <c r="F57" s="49">
        <v>0</v>
      </c>
      <c r="G57" s="49">
        <v>0</v>
      </c>
      <c r="H57" s="49">
        <v>60</v>
      </c>
      <c r="I57" s="49">
        <v>60</v>
      </c>
      <c r="J57" s="49">
        <v>20</v>
      </c>
      <c r="K57" s="49">
        <v>20</v>
      </c>
      <c r="L57" s="49">
        <v>40</v>
      </c>
      <c r="M57" s="49">
        <v>60</v>
      </c>
      <c r="N57" s="49">
        <v>50</v>
      </c>
      <c r="O57" s="49">
        <v>0</v>
      </c>
      <c r="P57" s="49">
        <v>60</v>
      </c>
      <c r="Q57" s="49">
        <v>60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  <c r="W57" s="49">
        <v>0</v>
      </c>
      <c r="X57" s="49">
        <v>0</v>
      </c>
      <c r="Y57" s="49">
        <v>0</v>
      </c>
      <c r="Z57" s="49">
        <v>0</v>
      </c>
      <c r="AA57" s="49">
        <v>0</v>
      </c>
      <c r="AB57" s="49">
        <v>0</v>
      </c>
      <c r="AC57" s="49">
        <v>10</v>
      </c>
      <c r="AD57" s="49">
        <v>0</v>
      </c>
      <c r="AE57" s="49">
        <v>0</v>
      </c>
      <c r="AF57" s="49">
        <v>0</v>
      </c>
      <c r="AG57" s="47">
        <v>0</v>
      </c>
      <c r="AH57" s="47">
        <v>0</v>
      </c>
      <c r="AI57" s="49">
        <v>0</v>
      </c>
      <c r="AJ57" s="47"/>
      <c r="AK57" s="47">
        <f t="shared" si="6"/>
        <v>440</v>
      </c>
      <c r="AL57" s="47"/>
      <c r="AM57" s="47">
        <f t="shared" si="7"/>
        <v>440</v>
      </c>
      <c r="AN57" s="47"/>
      <c r="AO57" s="47"/>
      <c r="AP57" s="47"/>
      <c r="AQ57" s="48"/>
      <c r="AR57" s="48"/>
      <c r="AS57" s="50">
        <v>277</v>
      </c>
      <c r="AT57" s="50">
        <f t="shared" si="10"/>
        <v>121880</v>
      </c>
    </row>
    <row r="58" spans="1:46" ht="15.75" customHeight="1">
      <c r="A58" s="47"/>
      <c r="B58" s="48"/>
      <c r="C58" s="48"/>
      <c r="D58" s="48" t="s">
        <v>70</v>
      </c>
      <c r="E58" s="48"/>
      <c r="F58" s="49">
        <v>0</v>
      </c>
      <c r="G58" s="49">
        <v>10</v>
      </c>
      <c r="H58" s="49">
        <v>0</v>
      </c>
      <c r="I58" s="49">
        <v>40</v>
      </c>
      <c r="J58" s="49">
        <f>SUM(20+20)</f>
        <v>40</v>
      </c>
      <c r="K58" s="49">
        <f>SUM(20+10)</f>
        <v>30</v>
      </c>
      <c r="L58" s="49">
        <v>0</v>
      </c>
      <c r="M58" s="49">
        <v>20</v>
      </c>
      <c r="N58" s="49">
        <v>0</v>
      </c>
      <c r="O58" s="49">
        <v>0</v>
      </c>
      <c r="P58" s="49">
        <v>20</v>
      </c>
      <c r="Q58" s="49">
        <v>0</v>
      </c>
      <c r="R58" s="49">
        <v>0</v>
      </c>
      <c r="S58" s="49">
        <v>0</v>
      </c>
      <c r="T58" s="49">
        <v>20</v>
      </c>
      <c r="U58" s="49">
        <v>20</v>
      </c>
      <c r="V58" s="49">
        <v>20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47">
        <v>0</v>
      </c>
      <c r="AH58" s="47">
        <v>0</v>
      </c>
      <c r="AI58" s="49">
        <v>0</v>
      </c>
      <c r="AJ58" s="47"/>
      <c r="AK58" s="47">
        <f t="shared" si="6"/>
        <v>220</v>
      </c>
      <c r="AL58" s="47"/>
      <c r="AM58" s="47">
        <f t="shared" si="7"/>
        <v>220</v>
      </c>
      <c r="AN58" s="47"/>
      <c r="AO58" s="47"/>
      <c r="AP58" s="47"/>
      <c r="AQ58" s="48"/>
      <c r="AR58" s="48"/>
      <c r="AS58" s="50">
        <v>277</v>
      </c>
      <c r="AT58" s="50">
        <f t="shared" si="10"/>
        <v>60940</v>
      </c>
    </row>
    <row r="59" spans="1:46" ht="15.75" customHeight="1">
      <c r="A59" s="47">
        <v>4</v>
      </c>
      <c r="B59" s="48"/>
      <c r="C59" s="48"/>
      <c r="D59" s="48" t="s">
        <v>119</v>
      </c>
      <c r="E59" s="48"/>
      <c r="F59" s="49">
        <v>0</v>
      </c>
      <c r="G59" s="49">
        <v>0</v>
      </c>
      <c r="H59" s="49">
        <v>0</v>
      </c>
      <c r="I59" s="49">
        <v>10</v>
      </c>
      <c r="J59" s="49">
        <v>10</v>
      </c>
      <c r="K59" s="49">
        <v>10</v>
      </c>
      <c r="L59" s="49">
        <v>10</v>
      </c>
      <c r="M59" s="49">
        <v>10</v>
      </c>
      <c r="N59" s="49">
        <v>0</v>
      </c>
      <c r="O59" s="49">
        <v>0</v>
      </c>
      <c r="P59" s="49">
        <v>0</v>
      </c>
      <c r="Q59" s="49">
        <v>10</v>
      </c>
      <c r="R59" s="49">
        <v>0</v>
      </c>
      <c r="S59" s="49">
        <v>15</v>
      </c>
      <c r="T59" s="49">
        <v>0</v>
      </c>
      <c r="U59" s="49">
        <v>10</v>
      </c>
      <c r="V59" s="49">
        <v>10</v>
      </c>
      <c r="W59" s="49">
        <v>0</v>
      </c>
      <c r="X59" s="49">
        <v>0</v>
      </c>
      <c r="Y59" s="49">
        <v>0</v>
      </c>
      <c r="Z59" s="49">
        <v>0</v>
      </c>
      <c r="AA59" s="49">
        <v>0</v>
      </c>
      <c r="AB59" s="49">
        <v>0</v>
      </c>
      <c r="AC59" s="49">
        <v>0</v>
      </c>
      <c r="AD59" s="49">
        <v>0</v>
      </c>
      <c r="AE59" s="49">
        <v>0</v>
      </c>
      <c r="AF59" s="49">
        <v>0</v>
      </c>
      <c r="AG59" s="47">
        <v>0</v>
      </c>
      <c r="AH59" s="47">
        <v>0</v>
      </c>
      <c r="AI59" s="49">
        <v>0</v>
      </c>
      <c r="AJ59" s="47"/>
      <c r="AK59" s="47">
        <f t="shared" si="6"/>
        <v>95</v>
      </c>
      <c r="AL59" s="47"/>
      <c r="AM59" s="47">
        <f t="shared" si="7"/>
        <v>95</v>
      </c>
      <c r="AN59" s="47"/>
      <c r="AO59" s="47"/>
      <c r="AP59" s="47">
        <f t="shared" ref="AP59:AP61" si="11">AO59-AN59</f>
        <v>0</v>
      </c>
      <c r="AQ59" s="48" t="e">
        <f>AM59/AP59</f>
        <v>#DIV/0!</v>
      </c>
      <c r="AR59" s="48"/>
      <c r="AS59" s="50">
        <v>277</v>
      </c>
      <c r="AT59" s="50">
        <f t="shared" si="10"/>
        <v>26315</v>
      </c>
    </row>
    <row r="60" spans="1:46" ht="15.75" customHeight="1">
      <c r="A60" s="47">
        <v>6</v>
      </c>
      <c r="B60" s="48"/>
      <c r="C60" s="48"/>
      <c r="D60" s="48" t="s">
        <v>67</v>
      </c>
      <c r="E60" s="48"/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20</v>
      </c>
      <c r="L60" s="47">
        <v>20</v>
      </c>
      <c r="M60" s="47">
        <v>0</v>
      </c>
      <c r="N60" s="47">
        <v>20</v>
      </c>
      <c r="O60" s="47">
        <v>0</v>
      </c>
      <c r="P60" s="49">
        <v>15</v>
      </c>
      <c r="Q60" s="47">
        <v>15</v>
      </c>
      <c r="R60" s="47">
        <v>15</v>
      </c>
      <c r="S60" s="47">
        <v>10</v>
      </c>
      <c r="T60" s="49">
        <v>10</v>
      </c>
      <c r="U60" s="49">
        <f>SUM(10+10)</f>
        <v>20</v>
      </c>
      <c r="V60" s="49">
        <v>0</v>
      </c>
      <c r="W60" s="47">
        <f>SUM(10+10)</f>
        <v>20</v>
      </c>
      <c r="X60" s="47">
        <v>0</v>
      </c>
      <c r="Y60" s="47">
        <v>0</v>
      </c>
      <c r="Z60" s="47">
        <v>15</v>
      </c>
      <c r="AA60" s="47">
        <v>5</v>
      </c>
      <c r="AB60" s="47">
        <v>15</v>
      </c>
      <c r="AC60" s="47">
        <f>SUM(10+10)</f>
        <v>20</v>
      </c>
      <c r="AD60" s="47">
        <v>20</v>
      </c>
      <c r="AE60" s="47">
        <v>0</v>
      </c>
      <c r="AF60" s="47">
        <v>0</v>
      </c>
      <c r="AG60" s="47">
        <v>0</v>
      </c>
      <c r="AH60" s="47">
        <v>0</v>
      </c>
      <c r="AI60" s="49">
        <v>0</v>
      </c>
      <c r="AJ60" s="47"/>
      <c r="AK60" s="47">
        <f t="shared" si="6"/>
        <v>240</v>
      </c>
      <c r="AL60" s="47"/>
      <c r="AM60" s="47">
        <f t="shared" si="7"/>
        <v>240</v>
      </c>
      <c r="AN60" s="47"/>
      <c r="AO60" s="47"/>
      <c r="AP60" s="47">
        <f t="shared" si="11"/>
        <v>0</v>
      </c>
      <c r="AQ60" s="48">
        <f t="shared" ref="AQ60:AQ61" si="12">AP60/AM60</f>
        <v>0</v>
      </c>
      <c r="AR60" s="48"/>
      <c r="AS60" s="50">
        <v>277</v>
      </c>
      <c r="AT60" s="50">
        <f t="shared" si="10"/>
        <v>66480</v>
      </c>
    </row>
    <row r="61" spans="1:46" ht="15.75" customHeight="1">
      <c r="A61" s="47"/>
      <c r="B61" s="48"/>
      <c r="C61" s="48"/>
      <c r="D61" s="48" t="s">
        <v>126</v>
      </c>
      <c r="E61" s="48"/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9">
        <v>0</v>
      </c>
      <c r="Q61" s="47">
        <v>0</v>
      </c>
      <c r="R61" s="47">
        <v>30</v>
      </c>
      <c r="S61" s="47">
        <v>0</v>
      </c>
      <c r="T61" s="49">
        <v>0</v>
      </c>
      <c r="U61" s="49">
        <v>0</v>
      </c>
      <c r="V61" s="49">
        <v>0</v>
      </c>
      <c r="W61" s="47">
        <v>0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9">
        <v>0</v>
      </c>
      <c r="AJ61" s="47"/>
      <c r="AK61" s="47">
        <f t="shared" si="6"/>
        <v>30</v>
      </c>
      <c r="AL61" s="47"/>
      <c r="AM61" s="47">
        <f t="shared" si="7"/>
        <v>30</v>
      </c>
      <c r="AN61" s="47"/>
      <c r="AO61" s="47"/>
      <c r="AP61" s="47">
        <f t="shared" si="11"/>
        <v>0</v>
      </c>
      <c r="AQ61" s="48">
        <f t="shared" si="12"/>
        <v>0</v>
      </c>
      <c r="AR61" s="48"/>
      <c r="AS61" s="50">
        <v>277</v>
      </c>
      <c r="AT61" s="50">
        <f t="shared" si="10"/>
        <v>8310</v>
      </c>
    </row>
    <row r="62" spans="1:46" ht="15.75" customHeight="1">
      <c r="A62" s="47"/>
      <c r="B62" s="48"/>
      <c r="C62" s="48"/>
      <c r="D62" s="48" t="s">
        <v>121</v>
      </c>
      <c r="E62" s="48"/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9">
        <v>0</v>
      </c>
      <c r="Q62" s="47">
        <v>0</v>
      </c>
      <c r="R62" s="47">
        <v>0</v>
      </c>
      <c r="S62" s="47">
        <v>0</v>
      </c>
      <c r="T62" s="49">
        <v>0</v>
      </c>
      <c r="U62" s="49">
        <v>0</v>
      </c>
      <c r="V62" s="49">
        <v>0</v>
      </c>
      <c r="W62" s="47">
        <v>0</v>
      </c>
      <c r="X62" s="47">
        <v>0</v>
      </c>
      <c r="Y62" s="47">
        <v>20</v>
      </c>
      <c r="Z62" s="47">
        <v>0</v>
      </c>
      <c r="AA62" s="47">
        <v>0</v>
      </c>
      <c r="AB62" s="47">
        <v>0</v>
      </c>
      <c r="AC62" s="47">
        <v>20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9">
        <v>0</v>
      </c>
      <c r="AJ62" s="47"/>
      <c r="AK62" s="47">
        <f t="shared" si="6"/>
        <v>40</v>
      </c>
      <c r="AL62" s="47"/>
      <c r="AM62" s="47">
        <f t="shared" si="7"/>
        <v>40</v>
      </c>
      <c r="AN62" s="47"/>
      <c r="AO62" s="47"/>
      <c r="AP62" s="47"/>
      <c r="AQ62" s="48"/>
      <c r="AR62" s="48"/>
      <c r="AS62" s="50">
        <v>277</v>
      </c>
      <c r="AT62" s="50">
        <f t="shared" si="10"/>
        <v>11080</v>
      </c>
    </row>
    <row r="63" spans="1:46" ht="15.75" customHeight="1">
      <c r="A63" s="47"/>
      <c r="B63" s="48"/>
      <c r="C63" s="48"/>
      <c r="D63" s="48" t="s">
        <v>122</v>
      </c>
      <c r="E63" s="48"/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40</v>
      </c>
      <c r="AE63" s="47">
        <v>0</v>
      </c>
      <c r="AF63" s="47">
        <v>0</v>
      </c>
      <c r="AG63" s="47">
        <v>0</v>
      </c>
      <c r="AH63" s="47">
        <v>0</v>
      </c>
      <c r="AI63" s="49">
        <v>0</v>
      </c>
      <c r="AJ63" s="47"/>
      <c r="AK63" s="47">
        <f t="shared" si="6"/>
        <v>40</v>
      </c>
      <c r="AL63" s="47"/>
      <c r="AM63" s="47">
        <f t="shared" si="7"/>
        <v>40</v>
      </c>
      <c r="AN63" s="47"/>
      <c r="AO63" s="47"/>
      <c r="AP63" s="47"/>
      <c r="AQ63" s="48"/>
      <c r="AR63" s="48"/>
      <c r="AS63" s="50">
        <v>277</v>
      </c>
      <c r="AT63" s="50">
        <f t="shared" si="10"/>
        <v>11080</v>
      </c>
    </row>
    <row r="64" spans="1:46" ht="15.75" customHeight="1">
      <c r="A64" s="47"/>
      <c r="B64" s="48"/>
      <c r="C64" s="48"/>
      <c r="D64" s="48"/>
      <c r="E64" s="48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9"/>
      <c r="Q64" s="47"/>
      <c r="R64" s="47"/>
      <c r="S64" s="47"/>
      <c r="T64" s="49"/>
      <c r="U64" s="49"/>
      <c r="V64" s="49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9"/>
      <c r="AJ64" s="47"/>
      <c r="AK64" s="47"/>
      <c r="AL64" s="47"/>
      <c r="AM64" s="47"/>
      <c r="AN64" s="47"/>
      <c r="AO64" s="47"/>
      <c r="AP64" s="47"/>
      <c r="AQ64" s="48"/>
      <c r="AR64" s="48"/>
      <c r="AS64" s="50"/>
      <c r="AT64" s="50"/>
    </row>
    <row r="65" spans="1:46" ht="15.75" customHeight="1">
      <c r="A65" s="47"/>
      <c r="B65" s="48"/>
      <c r="C65" s="48"/>
      <c r="D65" s="48"/>
      <c r="E65" s="48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9"/>
      <c r="Q65" s="47"/>
      <c r="R65" s="47"/>
      <c r="S65" s="47"/>
      <c r="T65" s="49"/>
      <c r="U65" s="49"/>
      <c r="V65" s="49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9"/>
      <c r="AJ65" s="47"/>
      <c r="AK65" s="47"/>
      <c r="AL65" s="47"/>
      <c r="AM65" s="47"/>
      <c r="AN65" s="47"/>
      <c r="AO65" s="47"/>
      <c r="AP65" s="47"/>
      <c r="AQ65" s="48"/>
      <c r="AR65" s="48"/>
      <c r="AS65" s="50"/>
      <c r="AT65" s="50"/>
    </row>
    <row r="66" spans="1:46" ht="15.75" customHeight="1">
      <c r="A66" s="47"/>
      <c r="B66" s="48"/>
      <c r="C66" s="48"/>
      <c r="D66" s="48"/>
      <c r="E66" s="48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9"/>
      <c r="Q66" s="47"/>
      <c r="R66" s="47"/>
      <c r="S66" s="47"/>
      <c r="T66" s="49"/>
      <c r="U66" s="49"/>
      <c r="V66" s="49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9"/>
      <c r="AJ66" s="47"/>
      <c r="AK66" s="47"/>
      <c r="AL66" s="47"/>
      <c r="AM66" s="47"/>
      <c r="AN66" s="47"/>
      <c r="AO66" s="47"/>
      <c r="AP66" s="47"/>
      <c r="AQ66" s="48"/>
      <c r="AR66" s="48"/>
      <c r="AS66" s="50"/>
      <c r="AT66" s="50"/>
    </row>
    <row r="67" spans="1:46" ht="15.75" customHeight="1">
      <c r="A67" s="47"/>
      <c r="B67" s="48"/>
      <c r="C67" s="48"/>
      <c r="D67" s="48"/>
      <c r="E67" s="48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9"/>
      <c r="Q67" s="47"/>
      <c r="R67" s="47"/>
      <c r="S67" s="47"/>
      <c r="T67" s="49"/>
      <c r="U67" s="49"/>
      <c r="V67" s="49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9"/>
      <c r="AJ67" s="47"/>
      <c r="AK67" s="47"/>
      <c r="AL67" s="47"/>
      <c r="AM67" s="47"/>
      <c r="AN67" s="47"/>
      <c r="AO67" s="47"/>
      <c r="AP67" s="47"/>
      <c r="AQ67" s="48"/>
      <c r="AR67" s="48"/>
      <c r="AS67" s="50"/>
      <c r="AT67" s="50"/>
    </row>
    <row r="68" spans="1:46" ht="15.75" customHeight="1">
      <c r="A68" s="47"/>
      <c r="B68" s="48"/>
      <c r="C68" s="48"/>
      <c r="D68" s="48"/>
      <c r="E68" s="48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9"/>
      <c r="Q68" s="47"/>
      <c r="R68" s="47"/>
      <c r="S68" s="47"/>
      <c r="T68" s="49"/>
      <c r="U68" s="49"/>
      <c r="V68" s="49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>
        <f>SUM(F68:AJ68)</f>
        <v>0</v>
      </c>
      <c r="AL68" s="47"/>
      <c r="AM68" s="47">
        <f>AL68+AK68</f>
        <v>0</v>
      </c>
      <c r="AN68" s="47"/>
      <c r="AO68" s="47"/>
      <c r="AP68" s="47">
        <f>AO68-AN68</f>
        <v>0</v>
      </c>
      <c r="AQ68" s="48" t="e">
        <f>AP68/AM68</f>
        <v>#DIV/0!</v>
      </c>
      <c r="AR68" s="48"/>
      <c r="AS68" s="50">
        <v>283</v>
      </c>
      <c r="AT68" s="50">
        <f>AS68*AM68</f>
        <v>0</v>
      </c>
    </row>
    <row r="69" spans="1:46" ht="15.75" customHeight="1">
      <c r="A69" s="21"/>
      <c r="B69" s="168" t="s">
        <v>27</v>
      </c>
      <c r="C69" s="169"/>
      <c r="D69" s="169"/>
      <c r="E69" s="170"/>
      <c r="F69" s="56">
        <f t="shared" ref="F69:AK69" si="13">SUM(F37:F68)</f>
        <v>495</v>
      </c>
      <c r="G69" s="56">
        <f t="shared" si="13"/>
        <v>340</v>
      </c>
      <c r="H69" s="56">
        <f t="shared" si="13"/>
        <v>395</v>
      </c>
      <c r="I69" s="56">
        <f t="shared" si="13"/>
        <v>605</v>
      </c>
      <c r="J69" s="56">
        <f t="shared" si="13"/>
        <v>445</v>
      </c>
      <c r="K69" s="56">
        <f t="shared" si="13"/>
        <v>445</v>
      </c>
      <c r="L69" s="56">
        <f t="shared" si="13"/>
        <v>535</v>
      </c>
      <c r="M69" s="56">
        <f t="shared" si="13"/>
        <v>360</v>
      </c>
      <c r="N69" s="56">
        <f t="shared" si="13"/>
        <v>450</v>
      </c>
      <c r="O69" s="56">
        <f t="shared" si="13"/>
        <v>270</v>
      </c>
      <c r="P69" s="56">
        <f t="shared" si="13"/>
        <v>582</v>
      </c>
      <c r="Q69" s="56">
        <f t="shared" si="13"/>
        <v>340</v>
      </c>
      <c r="R69" s="56">
        <f t="shared" si="13"/>
        <v>135</v>
      </c>
      <c r="S69" s="56">
        <f t="shared" si="13"/>
        <v>265</v>
      </c>
      <c r="T69" s="56">
        <f t="shared" si="13"/>
        <v>330</v>
      </c>
      <c r="U69" s="56">
        <f t="shared" si="13"/>
        <v>490</v>
      </c>
      <c r="V69" s="56">
        <f t="shared" si="13"/>
        <v>360</v>
      </c>
      <c r="W69" s="56">
        <f t="shared" si="13"/>
        <v>190</v>
      </c>
      <c r="X69" s="56">
        <f t="shared" si="13"/>
        <v>235</v>
      </c>
      <c r="Y69" s="56">
        <f t="shared" si="13"/>
        <v>240</v>
      </c>
      <c r="Z69" s="56">
        <f t="shared" si="13"/>
        <v>315</v>
      </c>
      <c r="AA69" s="56">
        <f t="shared" si="13"/>
        <v>135</v>
      </c>
      <c r="AB69" s="56">
        <f t="shared" si="13"/>
        <v>155</v>
      </c>
      <c r="AC69" s="56">
        <f t="shared" si="13"/>
        <v>215</v>
      </c>
      <c r="AD69" s="56">
        <f t="shared" si="13"/>
        <v>270</v>
      </c>
      <c r="AE69" s="56">
        <f t="shared" si="13"/>
        <v>0</v>
      </c>
      <c r="AF69" s="56">
        <f t="shared" si="13"/>
        <v>0</v>
      </c>
      <c r="AG69" s="56">
        <f t="shared" si="13"/>
        <v>0</v>
      </c>
      <c r="AH69" s="56">
        <f t="shared" si="13"/>
        <v>0</v>
      </c>
      <c r="AI69" s="56">
        <f t="shared" si="13"/>
        <v>0</v>
      </c>
      <c r="AJ69" s="56">
        <f t="shared" si="13"/>
        <v>0</v>
      </c>
      <c r="AK69" s="57">
        <f t="shared" si="13"/>
        <v>8597</v>
      </c>
      <c r="AL69" s="57"/>
      <c r="AM69" s="57">
        <f>SUM(AM37:AM68)</f>
        <v>8597</v>
      </c>
      <c r="AN69" s="21"/>
      <c r="AO69" s="21"/>
      <c r="AP69" s="21"/>
      <c r="AQ69" s="58"/>
      <c r="AR69" s="59"/>
      <c r="AS69" s="22"/>
      <c r="AT69" s="60">
        <f>SUM(AT7:AT68)</f>
        <v>5376675.2599999998</v>
      </c>
    </row>
    <row r="70" spans="1:46" ht="15.75" customHeight="1">
      <c r="A70" s="28"/>
      <c r="B70" s="29"/>
      <c r="C70" s="29"/>
      <c r="D70" s="29"/>
      <c r="E70" s="29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</row>
    <row r="71" spans="1:46" ht="15.75" customHeight="1">
      <c r="A71" s="28"/>
      <c r="B71" s="30" t="s">
        <v>31</v>
      </c>
      <c r="C71" s="29"/>
      <c r="D71" s="29"/>
      <c r="E71" s="29"/>
      <c r="F71" s="61">
        <f>MAY!AJ26</f>
        <v>0</v>
      </c>
      <c r="G71" s="61">
        <f t="shared" ref="G71:AJ71" si="14">F74</f>
        <v>-660</v>
      </c>
      <c r="H71" s="61">
        <f t="shared" si="14"/>
        <v>-1060</v>
      </c>
      <c r="I71" s="61">
        <f t="shared" si="14"/>
        <v>-1495</v>
      </c>
      <c r="J71" s="61">
        <f t="shared" si="14"/>
        <v>-2215</v>
      </c>
      <c r="K71" s="61">
        <f t="shared" si="14"/>
        <v>-2675</v>
      </c>
      <c r="L71" s="61">
        <f t="shared" si="14"/>
        <v>-3725</v>
      </c>
      <c r="M71" s="61">
        <f t="shared" si="14"/>
        <v>-4520</v>
      </c>
      <c r="N71" s="61">
        <f t="shared" si="14"/>
        <v>-5525</v>
      </c>
      <c r="O71" s="61">
        <f t="shared" si="14"/>
        <v>-6290</v>
      </c>
      <c r="P71" s="61">
        <f t="shared" si="14"/>
        <v>-6791</v>
      </c>
      <c r="Q71" s="61">
        <f t="shared" si="14"/>
        <v>-7668</v>
      </c>
      <c r="R71" s="61">
        <f t="shared" si="14"/>
        <v>-8323</v>
      </c>
      <c r="S71" s="61">
        <f t="shared" si="14"/>
        <v>-8957.6</v>
      </c>
      <c r="T71" s="61">
        <f t="shared" si="14"/>
        <v>-10027.6</v>
      </c>
      <c r="U71" s="61">
        <f t="shared" si="14"/>
        <v>-10532.6</v>
      </c>
      <c r="V71" s="61">
        <f t="shared" si="14"/>
        <v>-11137.6</v>
      </c>
      <c r="W71" s="61">
        <f t="shared" si="14"/>
        <v>-11617.6</v>
      </c>
      <c r="X71" s="61">
        <f t="shared" si="14"/>
        <v>-11697.6</v>
      </c>
      <c r="Y71" s="61">
        <f t="shared" si="14"/>
        <v>-12322.6</v>
      </c>
      <c r="Z71" s="61">
        <f t="shared" si="14"/>
        <v>-12807.6</v>
      </c>
      <c r="AA71" s="61">
        <f t="shared" si="14"/>
        <v>-13020.6</v>
      </c>
      <c r="AB71" s="61">
        <f t="shared" si="14"/>
        <v>-13186.890000000001</v>
      </c>
      <c r="AC71" s="61">
        <f t="shared" si="14"/>
        <v>-13311.890000000001</v>
      </c>
      <c r="AD71" s="61">
        <f t="shared" si="14"/>
        <v>-12993.570000000002</v>
      </c>
      <c r="AE71" s="61">
        <f t="shared" si="14"/>
        <v>-13622.160000000002</v>
      </c>
      <c r="AF71" s="61">
        <f t="shared" si="14"/>
        <v>-13500.160000000002</v>
      </c>
      <c r="AG71" s="61">
        <f t="shared" si="14"/>
        <v>-13745.360000000002</v>
      </c>
      <c r="AH71" s="61">
        <f t="shared" si="14"/>
        <v>-13605.360000000002</v>
      </c>
      <c r="AI71" s="61">
        <f t="shared" si="14"/>
        <v>-13641.360000000002</v>
      </c>
      <c r="AJ71" s="61">
        <f t="shared" si="14"/>
        <v>-13661.360000000002</v>
      </c>
      <c r="AK71" s="12"/>
      <c r="AL71" s="12"/>
      <c r="AM71" s="12"/>
      <c r="AN71" s="12"/>
      <c r="AO71" s="12"/>
      <c r="AP71" s="12"/>
      <c r="AQ71" s="12"/>
      <c r="AR71" s="12"/>
      <c r="AS71" s="12"/>
      <c r="AT71" s="12"/>
    </row>
    <row r="72" spans="1:46" ht="15.75" customHeight="1">
      <c r="A72" s="28"/>
      <c r="B72" s="30" t="s">
        <v>32</v>
      </c>
      <c r="C72" s="29"/>
      <c r="D72" s="29"/>
      <c r="E72" s="29"/>
      <c r="F72" s="62">
        <v>30</v>
      </c>
      <c r="G72" s="62"/>
      <c r="H72" s="62">
        <v>60</v>
      </c>
      <c r="I72" s="62">
        <v>30</v>
      </c>
      <c r="J72" s="62">
        <v>65</v>
      </c>
      <c r="K72" s="62"/>
      <c r="L72" s="62">
        <v>25</v>
      </c>
      <c r="M72" s="62"/>
      <c r="N72" s="62"/>
      <c r="O72" s="62"/>
      <c r="P72" s="62">
        <v>35</v>
      </c>
      <c r="Q72" s="62">
        <v>280</v>
      </c>
      <c r="R72" s="62"/>
      <c r="S72" s="62">
        <v>40</v>
      </c>
      <c r="T72" s="62"/>
      <c r="U72" s="62">
        <v>40</v>
      </c>
      <c r="V72" s="62"/>
      <c r="W72" s="62">
        <v>230</v>
      </c>
      <c r="X72" s="62">
        <v>40</v>
      </c>
      <c r="Y72" s="62">
        <f>SUM(205+20)</f>
        <v>225</v>
      </c>
      <c r="Z72" s="62">
        <v>157</v>
      </c>
      <c r="AA72" s="62">
        <v>43.71</v>
      </c>
      <c r="AB72" s="62">
        <v>110</v>
      </c>
      <c r="AC72" s="62">
        <f>SUM(251.32+507)</f>
        <v>758.31999999999994</v>
      </c>
      <c r="AD72" s="62">
        <v>30</v>
      </c>
      <c r="AE72" s="62">
        <f>SUM(137+40)</f>
        <v>177</v>
      </c>
      <c r="AF72" s="62">
        <f>SUM(44.8+20)</f>
        <v>64.8</v>
      </c>
      <c r="AG72" s="62">
        <f>SUM(100+60)</f>
        <v>160</v>
      </c>
      <c r="AH72" s="62">
        <v>24</v>
      </c>
      <c r="AI72" s="62"/>
      <c r="AJ72" s="62"/>
      <c r="AK72" s="12"/>
      <c r="AL72" s="12"/>
      <c r="AM72" s="12"/>
      <c r="AN72" s="12"/>
      <c r="AO72" s="12"/>
      <c r="AP72" s="12"/>
      <c r="AQ72" s="12"/>
      <c r="AR72" s="12"/>
      <c r="AS72" s="12"/>
      <c r="AT72" s="12"/>
    </row>
    <row r="73" spans="1:46" ht="15.75" customHeight="1">
      <c r="A73" s="28"/>
      <c r="B73" s="12" t="s">
        <v>33</v>
      </c>
      <c r="C73" s="2"/>
      <c r="D73" s="2"/>
      <c r="E73" s="12"/>
      <c r="F73" s="12">
        <f t="shared" ref="F73:AJ73" si="15">SUM(F35+F69)</f>
        <v>690</v>
      </c>
      <c r="G73" s="12">
        <f t="shared" si="15"/>
        <v>400</v>
      </c>
      <c r="H73" s="12">
        <f t="shared" si="15"/>
        <v>495</v>
      </c>
      <c r="I73" s="12">
        <f t="shared" si="15"/>
        <v>750</v>
      </c>
      <c r="J73" s="12">
        <f t="shared" si="15"/>
        <v>525</v>
      </c>
      <c r="K73" s="12">
        <f t="shared" si="15"/>
        <v>1050</v>
      </c>
      <c r="L73" s="12">
        <f t="shared" si="15"/>
        <v>820</v>
      </c>
      <c r="M73" s="12">
        <f t="shared" si="15"/>
        <v>1005</v>
      </c>
      <c r="N73" s="12">
        <f t="shared" si="15"/>
        <v>765</v>
      </c>
      <c r="O73" s="12">
        <f t="shared" si="15"/>
        <v>501</v>
      </c>
      <c r="P73" s="12">
        <f t="shared" si="15"/>
        <v>912</v>
      </c>
      <c r="Q73" s="12">
        <f t="shared" si="15"/>
        <v>935</v>
      </c>
      <c r="R73" s="12">
        <f t="shared" si="15"/>
        <v>634.6</v>
      </c>
      <c r="S73" s="12">
        <f t="shared" si="15"/>
        <v>1110</v>
      </c>
      <c r="T73" s="12">
        <f t="shared" si="15"/>
        <v>505</v>
      </c>
      <c r="U73" s="12">
        <f t="shared" si="15"/>
        <v>645</v>
      </c>
      <c r="V73" s="12">
        <f t="shared" si="15"/>
        <v>480</v>
      </c>
      <c r="W73" s="12">
        <f t="shared" si="15"/>
        <v>310</v>
      </c>
      <c r="X73" s="12">
        <f t="shared" si="15"/>
        <v>665</v>
      </c>
      <c r="Y73" s="12">
        <f t="shared" si="15"/>
        <v>710</v>
      </c>
      <c r="Z73" s="12">
        <f t="shared" si="15"/>
        <v>370</v>
      </c>
      <c r="AA73" s="12">
        <f t="shared" si="15"/>
        <v>210</v>
      </c>
      <c r="AB73" s="12">
        <f t="shared" si="15"/>
        <v>235</v>
      </c>
      <c r="AC73" s="12">
        <f t="shared" si="15"/>
        <v>440</v>
      </c>
      <c r="AD73" s="12">
        <f t="shared" si="15"/>
        <v>658.58999999999992</v>
      </c>
      <c r="AE73" s="12">
        <f t="shared" si="15"/>
        <v>55</v>
      </c>
      <c r="AF73" s="12">
        <f t="shared" si="15"/>
        <v>310</v>
      </c>
      <c r="AG73" s="12">
        <f t="shared" si="15"/>
        <v>20</v>
      </c>
      <c r="AH73" s="12">
        <f t="shared" si="15"/>
        <v>60</v>
      </c>
      <c r="AI73" s="12">
        <f t="shared" si="15"/>
        <v>20</v>
      </c>
      <c r="AJ73" s="12">
        <f t="shared" si="15"/>
        <v>0</v>
      </c>
      <c r="AK73" s="12">
        <f>SUM(AK69+AK35)</f>
        <v>11721.19</v>
      </c>
      <c r="AL73" s="12"/>
      <c r="AM73" s="12">
        <f>SUM(AM69+AM35)</f>
        <v>11721.19</v>
      </c>
      <c r="AN73" s="12"/>
      <c r="AO73" s="12"/>
      <c r="AP73" s="12"/>
      <c r="AQ73" s="12"/>
      <c r="AR73" s="12"/>
      <c r="AS73" s="12"/>
      <c r="AT73" s="32">
        <f>SUM(AT69+AT35)</f>
        <v>6242075.8899999997</v>
      </c>
    </row>
    <row r="74" spans="1:46" ht="15.75" customHeight="1">
      <c r="A74" s="28"/>
      <c r="B74" s="12" t="s">
        <v>34</v>
      </c>
      <c r="C74" s="2"/>
      <c r="D74" s="2"/>
      <c r="E74" s="12"/>
      <c r="F74" s="12">
        <f>SUM(F71+F72-F73)</f>
        <v>-660</v>
      </c>
      <c r="G74" s="12">
        <f>(G71+G72)-G73</f>
        <v>-1060</v>
      </c>
      <c r="H74" s="12">
        <f>SUM(H71+H72-H73)</f>
        <v>-1495</v>
      </c>
      <c r="I74" s="12">
        <f t="shared" ref="I74:AJ74" si="16">(I71+I72)-I73</f>
        <v>-2215</v>
      </c>
      <c r="J74" s="12">
        <f t="shared" si="16"/>
        <v>-2675</v>
      </c>
      <c r="K74" s="12">
        <f t="shared" si="16"/>
        <v>-3725</v>
      </c>
      <c r="L74" s="12">
        <f t="shared" si="16"/>
        <v>-4520</v>
      </c>
      <c r="M74" s="12">
        <f t="shared" si="16"/>
        <v>-5525</v>
      </c>
      <c r="N74" s="12">
        <f t="shared" si="16"/>
        <v>-6290</v>
      </c>
      <c r="O74" s="12">
        <f t="shared" si="16"/>
        <v>-6791</v>
      </c>
      <c r="P74" s="12">
        <f t="shared" si="16"/>
        <v>-7668</v>
      </c>
      <c r="Q74" s="12">
        <f t="shared" si="16"/>
        <v>-8323</v>
      </c>
      <c r="R74" s="12">
        <f t="shared" si="16"/>
        <v>-8957.6</v>
      </c>
      <c r="S74" s="12">
        <f t="shared" si="16"/>
        <v>-10027.6</v>
      </c>
      <c r="T74" s="12">
        <f t="shared" si="16"/>
        <v>-10532.6</v>
      </c>
      <c r="U74" s="12">
        <f t="shared" si="16"/>
        <v>-11137.6</v>
      </c>
      <c r="V74" s="12">
        <f t="shared" si="16"/>
        <v>-11617.6</v>
      </c>
      <c r="W74" s="12">
        <f t="shared" si="16"/>
        <v>-11697.6</v>
      </c>
      <c r="X74" s="12">
        <f t="shared" si="16"/>
        <v>-12322.6</v>
      </c>
      <c r="Y74" s="12">
        <f t="shared" si="16"/>
        <v>-12807.6</v>
      </c>
      <c r="Z74" s="12">
        <f t="shared" si="16"/>
        <v>-13020.6</v>
      </c>
      <c r="AA74" s="12">
        <f t="shared" si="16"/>
        <v>-13186.890000000001</v>
      </c>
      <c r="AB74" s="12">
        <f t="shared" si="16"/>
        <v>-13311.890000000001</v>
      </c>
      <c r="AC74" s="12">
        <f t="shared" si="16"/>
        <v>-12993.570000000002</v>
      </c>
      <c r="AD74" s="12">
        <f t="shared" si="16"/>
        <v>-13622.160000000002</v>
      </c>
      <c r="AE74" s="12">
        <f t="shared" si="16"/>
        <v>-13500.160000000002</v>
      </c>
      <c r="AF74" s="12">
        <f t="shared" si="16"/>
        <v>-13745.360000000002</v>
      </c>
      <c r="AG74" s="12">
        <f t="shared" si="16"/>
        <v>-13605.360000000002</v>
      </c>
      <c r="AH74" s="12">
        <f t="shared" si="16"/>
        <v>-13641.360000000002</v>
      </c>
      <c r="AI74" s="12">
        <f t="shared" si="16"/>
        <v>-13661.360000000002</v>
      </c>
      <c r="AJ74" s="12">
        <f t="shared" si="16"/>
        <v>-13661.360000000002</v>
      </c>
      <c r="AK74" s="12"/>
      <c r="AL74" s="12"/>
      <c r="AM74" s="28"/>
      <c r="AN74" s="28"/>
      <c r="AO74" s="28"/>
      <c r="AP74" s="28"/>
      <c r="AQ74" s="12"/>
      <c r="AR74" s="12"/>
      <c r="AS74" s="32"/>
      <c r="AT74" s="12"/>
    </row>
    <row r="75" spans="1:46" ht="15.75" customHeight="1"/>
    <row r="76" spans="1:46" ht="15.75" customHeight="1"/>
    <row r="77" spans="1:46" ht="15.75" customHeight="1"/>
    <row r="78" spans="1:46" ht="15.75" customHeight="1"/>
    <row r="79" spans="1:46" ht="15.75" customHeight="1"/>
    <row r="80" spans="1:4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AT32"/>
  <mergeCells count="17">
    <mergeCell ref="F5:AJ5"/>
    <mergeCell ref="AK5:AK6"/>
    <mergeCell ref="B69:E69"/>
    <mergeCell ref="AS5:AS6"/>
    <mergeCell ref="AT5:AT6"/>
    <mergeCell ref="AL5:AL6"/>
    <mergeCell ref="AM5:AM6"/>
    <mergeCell ref="AN5:AN6"/>
    <mergeCell ref="AO5:AO6"/>
    <mergeCell ref="AP5:AP6"/>
    <mergeCell ref="AQ5:AQ6"/>
    <mergeCell ref="AR5:AR6"/>
    <mergeCell ref="A5:A6"/>
    <mergeCell ref="B5:B6"/>
    <mergeCell ref="C5:C6"/>
    <mergeCell ref="D5:D6"/>
    <mergeCell ref="E5:E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F5" sqref="F5:AJ5"/>
    </sheetView>
  </sheetViews>
  <sheetFormatPr defaultColWidth="14.42578125" defaultRowHeight="15" customHeight="1"/>
  <cols>
    <col min="1" max="3" width="9" customWidth="1"/>
    <col min="4" max="4" width="23" customWidth="1"/>
    <col min="5" max="5" width="15.7109375" customWidth="1"/>
    <col min="6" max="14" width="9" customWidth="1"/>
    <col min="15" max="20" width="9.5703125" customWidth="1"/>
    <col min="21" max="36" width="10.5703125" customWidth="1"/>
    <col min="37" max="37" width="9.5703125" customWidth="1"/>
    <col min="38" max="38" width="9" customWidth="1"/>
    <col min="39" max="39" width="9.5703125" customWidth="1"/>
    <col min="40" max="41" width="9" customWidth="1"/>
    <col min="42" max="42" width="9.5703125" customWidth="1"/>
    <col min="43" max="43" width="10.140625" customWidth="1"/>
    <col min="44" max="44" width="9.7109375" customWidth="1"/>
    <col min="45" max="45" width="10.5703125" customWidth="1"/>
    <col min="46" max="46" width="13.42578125" customWidth="1"/>
  </cols>
  <sheetData>
    <row r="1" spans="1:46" ht="15.75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"/>
      <c r="AL1" s="4"/>
      <c r="AM1" s="4"/>
      <c r="AN1" s="4"/>
      <c r="AO1" s="4"/>
      <c r="AP1" s="4"/>
      <c r="AQ1" s="2"/>
      <c r="AR1" s="2"/>
      <c r="AS1" s="65"/>
      <c r="AT1" s="2"/>
    </row>
    <row r="2" spans="1:46" ht="15.75">
      <c r="A2" s="1" t="s">
        <v>50</v>
      </c>
      <c r="B2" s="2"/>
      <c r="C2" s="2"/>
      <c r="D2" s="2"/>
      <c r="E2" s="171" t="s">
        <v>127</v>
      </c>
      <c r="F2" s="172"/>
      <c r="G2" s="172"/>
      <c r="H2" s="172"/>
      <c r="I2" s="172"/>
      <c r="J2" s="172"/>
      <c r="K2" s="172"/>
      <c r="L2" s="172"/>
      <c r="M2" s="2"/>
      <c r="N2" s="2"/>
      <c r="O2" s="2"/>
      <c r="P2" s="2"/>
      <c r="Q2" s="2"/>
      <c r="R2" s="3" t="s">
        <v>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/>
      <c r="AL2" s="4"/>
      <c r="AM2" s="4"/>
      <c r="AN2" s="4"/>
      <c r="AO2" s="4"/>
      <c r="AP2" s="4"/>
      <c r="AQ2" s="2"/>
      <c r="AR2" s="2"/>
      <c r="AS2" s="65"/>
      <c r="AT2" s="2"/>
    </row>
    <row r="3" spans="1:46" ht="15.75">
      <c r="A3" s="1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/>
      <c r="AL3" s="4"/>
      <c r="AM3" s="4"/>
      <c r="AN3" s="4"/>
      <c r="AO3" s="4"/>
      <c r="AP3" s="4"/>
      <c r="AQ3" s="2"/>
      <c r="AR3" s="2"/>
      <c r="AS3" s="65"/>
      <c r="AT3" s="2"/>
    </row>
    <row r="4" spans="1:46" ht="22.5">
      <c r="A4" s="1"/>
      <c r="B4" s="2"/>
      <c r="C4" s="2"/>
      <c r="D4" s="46" t="s">
        <v>52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"/>
      <c r="AL4" s="4"/>
      <c r="AM4" s="4"/>
      <c r="AN4" s="4"/>
      <c r="AO4" s="4"/>
      <c r="AP4" s="4"/>
      <c r="AQ4" s="2"/>
      <c r="AR4" s="2"/>
      <c r="AS4" s="65"/>
      <c r="AT4" s="2"/>
    </row>
    <row r="5" spans="1:46" ht="15.75">
      <c r="A5" s="153" t="s">
        <v>6</v>
      </c>
      <c r="B5" s="153" t="s">
        <v>7</v>
      </c>
      <c r="C5" s="153" t="s">
        <v>8</v>
      </c>
      <c r="D5" s="153" t="s">
        <v>46</v>
      </c>
      <c r="E5" s="153" t="s">
        <v>10</v>
      </c>
      <c r="F5" s="165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7"/>
      <c r="AK5" s="153" t="s">
        <v>12</v>
      </c>
      <c r="AL5" s="153" t="s">
        <v>13</v>
      </c>
      <c r="AM5" s="153" t="s">
        <v>14</v>
      </c>
      <c r="AN5" s="153" t="s">
        <v>15</v>
      </c>
      <c r="AO5" s="153" t="s">
        <v>16</v>
      </c>
      <c r="AP5" s="153" t="s">
        <v>17</v>
      </c>
      <c r="AQ5" s="153" t="s">
        <v>18</v>
      </c>
      <c r="AR5" s="153" t="s">
        <v>19</v>
      </c>
      <c r="AS5" s="173" t="s">
        <v>20</v>
      </c>
      <c r="AT5" s="153" t="s">
        <v>21</v>
      </c>
    </row>
    <row r="6" spans="1:46">
      <c r="A6" s="152"/>
      <c r="B6" s="152"/>
      <c r="C6" s="152"/>
      <c r="D6" s="152"/>
      <c r="E6" s="152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152"/>
      <c r="AL6" s="152"/>
      <c r="AM6" s="152"/>
      <c r="AN6" s="152"/>
      <c r="AO6" s="152"/>
      <c r="AP6" s="152"/>
      <c r="AQ6" s="152"/>
      <c r="AR6" s="152"/>
      <c r="AS6" s="152"/>
      <c r="AT6" s="152"/>
    </row>
    <row r="7" spans="1:46">
      <c r="A7" s="47">
        <v>1</v>
      </c>
      <c r="B7" s="10"/>
      <c r="C7" s="48"/>
      <c r="D7" s="48" t="s">
        <v>22</v>
      </c>
      <c r="E7" s="48" t="s">
        <v>79</v>
      </c>
      <c r="F7" s="47" t="s">
        <v>5</v>
      </c>
      <c r="G7" s="47">
        <v>0</v>
      </c>
      <c r="H7" s="47">
        <v>60</v>
      </c>
      <c r="I7" s="47">
        <v>0</v>
      </c>
      <c r="J7" s="47">
        <v>30</v>
      </c>
      <c r="K7" s="66">
        <v>40</v>
      </c>
      <c r="L7" s="47"/>
      <c r="M7" s="49">
        <v>70</v>
      </c>
      <c r="N7" s="49"/>
      <c r="O7" s="49">
        <v>67</v>
      </c>
      <c r="P7" s="49"/>
      <c r="Q7" s="49"/>
      <c r="R7" s="49"/>
      <c r="S7" s="49"/>
      <c r="T7" s="49"/>
      <c r="U7" s="49">
        <v>40</v>
      </c>
      <c r="V7" s="49"/>
      <c r="W7" s="49"/>
      <c r="X7" s="49"/>
      <c r="Y7" s="49"/>
      <c r="Z7" s="49">
        <v>55</v>
      </c>
      <c r="AA7" s="49"/>
      <c r="AB7" s="49"/>
      <c r="AC7" s="49"/>
      <c r="AD7" s="49"/>
      <c r="AE7" s="49"/>
      <c r="AF7" s="49"/>
      <c r="AG7" s="49"/>
      <c r="AH7" s="49">
        <v>30</v>
      </c>
      <c r="AI7" s="49"/>
      <c r="AJ7" s="49"/>
      <c r="AK7" s="47">
        <f t="shared" ref="AK7:AK59" si="0">SUM(F7:AJ7)</f>
        <v>392</v>
      </c>
      <c r="AL7" s="47"/>
      <c r="AM7" s="47">
        <f t="shared" ref="AM7:AM59" si="1">AL7+AK7</f>
        <v>392</v>
      </c>
      <c r="AN7" s="47"/>
      <c r="AO7" s="47"/>
      <c r="AP7" s="47"/>
      <c r="AQ7" s="47"/>
      <c r="AR7" s="48"/>
      <c r="AS7" s="67">
        <v>279</v>
      </c>
      <c r="AT7" s="67">
        <f t="shared" ref="AT7:AT59" si="2">AK7*AS7</f>
        <v>109368</v>
      </c>
    </row>
    <row r="8" spans="1:46">
      <c r="A8" s="47">
        <v>2</v>
      </c>
      <c r="B8" s="68"/>
      <c r="C8" s="48"/>
      <c r="D8" s="48" t="s">
        <v>47</v>
      </c>
      <c r="E8" s="48"/>
      <c r="F8" s="47"/>
      <c r="G8" s="47">
        <v>20</v>
      </c>
      <c r="H8" s="49">
        <v>0</v>
      </c>
      <c r="I8" s="47">
        <v>50</v>
      </c>
      <c r="J8" s="47">
        <v>0</v>
      </c>
      <c r="K8" s="66">
        <v>20</v>
      </c>
      <c r="L8" s="47">
        <v>25</v>
      </c>
      <c r="M8" s="49">
        <v>25</v>
      </c>
      <c r="N8" s="49"/>
      <c r="O8" s="49">
        <v>25</v>
      </c>
      <c r="P8" s="49">
        <v>20</v>
      </c>
      <c r="Q8" s="69">
        <v>40</v>
      </c>
      <c r="R8" s="49">
        <v>30</v>
      </c>
      <c r="S8" s="49"/>
      <c r="T8" s="49">
        <v>25</v>
      </c>
      <c r="U8" s="49">
        <v>20</v>
      </c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>
        <v>20</v>
      </c>
      <c r="AG8" s="49">
        <v>10</v>
      </c>
      <c r="AH8" s="49">
        <v>25</v>
      </c>
      <c r="AI8" s="49"/>
      <c r="AJ8" s="49">
        <v>20</v>
      </c>
      <c r="AK8" s="47">
        <f t="shared" si="0"/>
        <v>375</v>
      </c>
      <c r="AL8" s="47"/>
      <c r="AM8" s="47">
        <f t="shared" si="1"/>
        <v>375</v>
      </c>
      <c r="AN8" s="47"/>
      <c r="AO8" s="47"/>
      <c r="AP8" s="47"/>
      <c r="AQ8" s="47"/>
      <c r="AR8" s="48"/>
      <c r="AS8" s="67">
        <v>279</v>
      </c>
      <c r="AT8" s="67">
        <f t="shared" si="2"/>
        <v>104625</v>
      </c>
    </row>
    <row r="9" spans="1:46">
      <c r="A9" s="47">
        <v>3</v>
      </c>
      <c r="B9" s="59"/>
      <c r="C9" s="48"/>
      <c r="D9" s="48" t="s">
        <v>80</v>
      </c>
      <c r="E9" s="48"/>
      <c r="F9" s="47"/>
      <c r="G9" s="47">
        <v>40</v>
      </c>
      <c r="H9" s="47">
        <v>30</v>
      </c>
      <c r="I9" s="47">
        <v>0</v>
      </c>
      <c r="J9" s="47">
        <v>0</v>
      </c>
      <c r="K9" s="47"/>
      <c r="L9" s="47"/>
      <c r="M9" s="49">
        <v>20</v>
      </c>
      <c r="N9" s="49">
        <v>20</v>
      </c>
      <c r="O9" s="49">
        <v>30</v>
      </c>
      <c r="P9" s="49">
        <v>40</v>
      </c>
      <c r="Q9" s="49"/>
      <c r="R9" s="49"/>
      <c r="S9" s="49">
        <v>20</v>
      </c>
      <c r="T9" s="49">
        <v>20</v>
      </c>
      <c r="U9" s="49">
        <v>20</v>
      </c>
      <c r="V9" s="49"/>
      <c r="W9" s="49">
        <v>30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>
        <v>10</v>
      </c>
      <c r="AI9" s="49"/>
      <c r="AJ9" s="49"/>
      <c r="AK9" s="47">
        <f t="shared" si="0"/>
        <v>280</v>
      </c>
      <c r="AL9" s="47"/>
      <c r="AM9" s="47">
        <f t="shared" si="1"/>
        <v>280</v>
      </c>
      <c r="AN9" s="47"/>
      <c r="AO9" s="47"/>
      <c r="AP9" s="47"/>
      <c r="AQ9" s="47"/>
      <c r="AR9" s="48"/>
      <c r="AS9" s="67">
        <v>279</v>
      </c>
      <c r="AT9" s="67">
        <f t="shared" si="2"/>
        <v>78120</v>
      </c>
    </row>
    <row r="10" spans="1:46">
      <c r="A10" s="47">
        <v>4</v>
      </c>
      <c r="B10" s="48"/>
      <c r="C10" s="48"/>
      <c r="D10" s="48" t="s">
        <v>58</v>
      </c>
      <c r="E10" s="48"/>
      <c r="F10" s="47"/>
      <c r="G10" s="47">
        <v>0</v>
      </c>
      <c r="H10" s="47">
        <v>0</v>
      </c>
      <c r="I10" s="47">
        <v>0</v>
      </c>
      <c r="J10" s="47">
        <v>0</v>
      </c>
      <c r="K10" s="47"/>
      <c r="L10" s="47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>
        <v>30</v>
      </c>
      <c r="AC10" s="49"/>
      <c r="AD10" s="49">
        <v>65</v>
      </c>
      <c r="AE10" s="49">
        <v>30</v>
      </c>
      <c r="AF10" s="49">
        <v>30</v>
      </c>
      <c r="AG10" s="49"/>
      <c r="AH10" s="49">
        <v>30</v>
      </c>
      <c r="AI10" s="49">
        <v>40</v>
      </c>
      <c r="AJ10" s="49">
        <v>30</v>
      </c>
      <c r="AK10" s="47">
        <f t="shared" si="0"/>
        <v>255</v>
      </c>
      <c r="AL10" s="47"/>
      <c r="AM10" s="47">
        <f t="shared" si="1"/>
        <v>255</v>
      </c>
      <c r="AN10" s="47"/>
      <c r="AO10" s="47"/>
      <c r="AP10" s="47"/>
      <c r="AQ10" s="47"/>
      <c r="AR10" s="48"/>
      <c r="AS10" s="67">
        <v>279</v>
      </c>
      <c r="AT10" s="67">
        <f t="shared" si="2"/>
        <v>71145</v>
      </c>
    </row>
    <row r="11" spans="1:46">
      <c r="A11" s="47">
        <v>5</v>
      </c>
      <c r="B11" s="48"/>
      <c r="C11" s="48"/>
      <c r="D11" s="48" t="s">
        <v>69</v>
      </c>
      <c r="E11" s="48"/>
      <c r="F11" s="47"/>
      <c r="G11" s="47">
        <v>30</v>
      </c>
      <c r="H11" s="47">
        <v>0</v>
      </c>
      <c r="I11" s="47">
        <v>0</v>
      </c>
      <c r="J11" s="47">
        <v>0</v>
      </c>
      <c r="K11" s="47"/>
      <c r="L11" s="47"/>
      <c r="M11" s="49"/>
      <c r="N11" s="49"/>
      <c r="O11" s="49"/>
      <c r="P11" s="49">
        <v>60</v>
      </c>
      <c r="Q11" s="49"/>
      <c r="R11" s="49">
        <v>60</v>
      </c>
      <c r="S11" s="49"/>
      <c r="T11" s="49"/>
      <c r="U11" s="49"/>
      <c r="V11" s="49">
        <v>20</v>
      </c>
      <c r="W11" s="49">
        <v>20</v>
      </c>
      <c r="X11" s="49">
        <v>20</v>
      </c>
      <c r="Y11" s="49"/>
      <c r="Z11" s="49">
        <v>20</v>
      </c>
      <c r="AA11" s="49">
        <v>20</v>
      </c>
      <c r="AB11" s="49">
        <v>20</v>
      </c>
      <c r="AC11" s="49">
        <v>20</v>
      </c>
      <c r="AD11" s="49"/>
      <c r="AE11" s="49">
        <v>40</v>
      </c>
      <c r="AF11" s="49">
        <v>25</v>
      </c>
      <c r="AG11" s="49">
        <v>90</v>
      </c>
      <c r="AH11" s="49">
        <v>40</v>
      </c>
      <c r="AI11" s="49"/>
      <c r="AJ11" s="49">
        <v>30</v>
      </c>
      <c r="AK11" s="47">
        <f t="shared" si="0"/>
        <v>515</v>
      </c>
      <c r="AL11" s="47"/>
      <c r="AM11" s="47">
        <f t="shared" si="1"/>
        <v>515</v>
      </c>
      <c r="AN11" s="47"/>
      <c r="AO11" s="47"/>
      <c r="AP11" s="47"/>
      <c r="AQ11" s="48"/>
      <c r="AR11" s="48"/>
      <c r="AS11" s="67">
        <v>279</v>
      </c>
      <c r="AT11" s="67">
        <f t="shared" si="2"/>
        <v>143685</v>
      </c>
    </row>
    <row r="12" spans="1:46">
      <c r="A12" s="47">
        <v>6</v>
      </c>
      <c r="B12" s="48"/>
      <c r="C12" s="48"/>
      <c r="D12" s="48" t="s">
        <v>81</v>
      </c>
      <c r="E12" s="48"/>
      <c r="F12" s="47"/>
      <c r="G12" s="49">
        <v>10</v>
      </c>
      <c r="H12" s="49">
        <v>15</v>
      </c>
      <c r="I12" s="49">
        <v>10</v>
      </c>
      <c r="J12" s="49">
        <v>10</v>
      </c>
      <c r="K12" s="69">
        <v>10</v>
      </c>
      <c r="L12" s="49">
        <v>10</v>
      </c>
      <c r="M12" s="49"/>
      <c r="N12" s="49">
        <v>10</v>
      </c>
      <c r="O12" s="49">
        <v>10</v>
      </c>
      <c r="P12" s="49">
        <v>10</v>
      </c>
      <c r="Q12" s="49">
        <v>10</v>
      </c>
      <c r="R12" s="49">
        <v>10</v>
      </c>
      <c r="S12" s="49"/>
      <c r="T12" s="49">
        <v>10</v>
      </c>
      <c r="U12" s="49">
        <v>10</v>
      </c>
      <c r="V12" s="49">
        <v>5</v>
      </c>
      <c r="W12" s="49"/>
      <c r="X12" s="49">
        <v>20</v>
      </c>
      <c r="Y12" s="49">
        <v>15</v>
      </c>
      <c r="Z12" s="49">
        <v>10</v>
      </c>
      <c r="AA12" s="49"/>
      <c r="AB12" s="49">
        <v>10</v>
      </c>
      <c r="AC12" s="49"/>
      <c r="AD12" s="49">
        <v>15</v>
      </c>
      <c r="AE12" s="49">
        <v>10</v>
      </c>
      <c r="AF12" s="49">
        <v>15</v>
      </c>
      <c r="AG12" s="49">
        <v>15</v>
      </c>
      <c r="AH12" s="49"/>
      <c r="AI12" s="49">
        <v>15</v>
      </c>
      <c r="AJ12" s="49"/>
      <c r="AK12" s="47">
        <f t="shared" si="0"/>
        <v>265</v>
      </c>
      <c r="AL12" s="47"/>
      <c r="AM12" s="47">
        <f t="shared" si="1"/>
        <v>265</v>
      </c>
      <c r="AN12" s="47"/>
      <c r="AO12" s="47"/>
      <c r="AP12" s="47"/>
      <c r="AQ12" s="48"/>
      <c r="AR12" s="48"/>
      <c r="AS12" s="67">
        <v>279</v>
      </c>
      <c r="AT12" s="67">
        <f t="shared" si="2"/>
        <v>73935</v>
      </c>
    </row>
    <row r="13" spans="1:46">
      <c r="A13" s="47">
        <v>7</v>
      </c>
      <c r="B13" s="48"/>
      <c r="C13" s="48"/>
      <c r="D13" s="48" t="s">
        <v>60</v>
      </c>
      <c r="E13" s="48"/>
      <c r="F13" s="47"/>
      <c r="G13" s="49">
        <v>0</v>
      </c>
      <c r="H13" s="49">
        <v>30</v>
      </c>
      <c r="I13" s="49">
        <v>30</v>
      </c>
      <c r="J13" s="49">
        <v>30</v>
      </c>
      <c r="K13" s="69">
        <v>30</v>
      </c>
      <c r="L13" s="49"/>
      <c r="M13" s="49"/>
      <c r="N13" s="49">
        <v>65</v>
      </c>
      <c r="O13" s="49">
        <v>30</v>
      </c>
      <c r="P13" s="49">
        <v>60</v>
      </c>
      <c r="Q13" s="49">
        <v>30</v>
      </c>
      <c r="R13" s="49">
        <v>30</v>
      </c>
      <c r="S13" s="49"/>
      <c r="T13" s="49">
        <v>60</v>
      </c>
      <c r="U13" s="49">
        <v>60</v>
      </c>
      <c r="V13" s="49">
        <v>30</v>
      </c>
      <c r="W13" s="49"/>
      <c r="X13" s="49"/>
      <c r="Y13" s="49">
        <v>30</v>
      </c>
      <c r="Z13" s="49">
        <v>30</v>
      </c>
      <c r="AA13" s="49"/>
      <c r="AB13" s="49"/>
      <c r="AC13" s="49"/>
      <c r="AD13" s="49"/>
      <c r="AE13" s="49">
        <v>40</v>
      </c>
      <c r="AF13" s="49"/>
      <c r="AG13" s="49"/>
      <c r="AH13" s="49">
        <v>40</v>
      </c>
      <c r="AI13" s="49">
        <v>40</v>
      </c>
      <c r="AJ13" s="49">
        <v>30</v>
      </c>
      <c r="AK13" s="47">
        <f t="shared" si="0"/>
        <v>695</v>
      </c>
      <c r="AL13" s="47"/>
      <c r="AM13" s="47">
        <f t="shared" si="1"/>
        <v>695</v>
      </c>
      <c r="AN13" s="47"/>
      <c r="AO13" s="47"/>
      <c r="AP13" s="47"/>
      <c r="AQ13" s="48"/>
      <c r="AR13" s="48"/>
      <c r="AS13" s="67">
        <v>279</v>
      </c>
      <c r="AT13" s="67">
        <f t="shared" si="2"/>
        <v>193905</v>
      </c>
    </row>
    <row r="14" spans="1:46">
      <c r="A14" s="47">
        <v>8</v>
      </c>
      <c r="B14" s="48"/>
      <c r="C14" s="48"/>
      <c r="D14" s="48" t="s">
        <v>48</v>
      </c>
      <c r="E14" s="48"/>
      <c r="F14" s="47"/>
      <c r="G14" s="49">
        <v>0</v>
      </c>
      <c r="H14" s="49">
        <v>0</v>
      </c>
      <c r="I14" s="49">
        <v>0</v>
      </c>
      <c r="J14" s="49">
        <v>0</v>
      </c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7">
        <f t="shared" si="0"/>
        <v>0</v>
      </c>
      <c r="AL14" s="47"/>
      <c r="AM14" s="47">
        <f t="shared" si="1"/>
        <v>0</v>
      </c>
      <c r="AN14" s="47"/>
      <c r="AO14" s="47"/>
      <c r="AP14" s="47"/>
      <c r="AQ14" s="48"/>
      <c r="AR14" s="48"/>
      <c r="AS14" s="67">
        <v>279</v>
      </c>
      <c r="AT14" s="67">
        <f t="shared" si="2"/>
        <v>0</v>
      </c>
    </row>
    <row r="15" spans="1:46">
      <c r="A15" s="47">
        <v>9</v>
      </c>
      <c r="B15" s="48"/>
      <c r="C15" s="48"/>
      <c r="D15" s="48" t="s">
        <v>82</v>
      </c>
      <c r="E15" s="48"/>
      <c r="F15" s="47"/>
      <c r="G15" s="49">
        <v>0</v>
      </c>
      <c r="H15" s="49">
        <v>25</v>
      </c>
      <c r="I15" s="49">
        <v>25</v>
      </c>
      <c r="J15" s="49">
        <v>25</v>
      </c>
      <c r="K15" s="69">
        <v>25</v>
      </c>
      <c r="L15" s="49">
        <v>25</v>
      </c>
      <c r="M15" s="49"/>
      <c r="N15" s="49">
        <v>25</v>
      </c>
      <c r="O15" s="49">
        <v>25</v>
      </c>
      <c r="P15" s="49">
        <v>25</v>
      </c>
      <c r="Q15" s="69">
        <v>20</v>
      </c>
      <c r="R15" s="49">
        <v>30</v>
      </c>
      <c r="S15" s="49">
        <v>30</v>
      </c>
      <c r="T15" s="49">
        <v>25</v>
      </c>
      <c r="U15" s="49">
        <v>30</v>
      </c>
      <c r="V15" s="49">
        <v>25</v>
      </c>
      <c r="W15" s="49">
        <v>25</v>
      </c>
      <c r="X15" s="49">
        <v>25</v>
      </c>
      <c r="Y15" s="49">
        <v>25</v>
      </c>
      <c r="Z15" s="49"/>
      <c r="AA15" s="49">
        <v>25</v>
      </c>
      <c r="AB15" s="49">
        <v>20</v>
      </c>
      <c r="AC15" s="49">
        <v>20</v>
      </c>
      <c r="AD15" s="49">
        <v>25</v>
      </c>
      <c r="AE15" s="49">
        <v>25</v>
      </c>
      <c r="AF15" s="49">
        <v>25</v>
      </c>
      <c r="AG15" s="49">
        <v>25</v>
      </c>
      <c r="AH15" s="49">
        <v>20</v>
      </c>
      <c r="AI15" s="49">
        <v>25</v>
      </c>
      <c r="AJ15" s="49"/>
      <c r="AK15" s="47">
        <f t="shared" si="0"/>
        <v>645</v>
      </c>
      <c r="AL15" s="47"/>
      <c r="AM15" s="47">
        <f t="shared" si="1"/>
        <v>645</v>
      </c>
      <c r="AN15" s="47"/>
      <c r="AO15" s="47"/>
      <c r="AP15" s="47"/>
      <c r="AQ15" s="48"/>
      <c r="AR15" s="48"/>
      <c r="AS15" s="67">
        <v>279</v>
      </c>
      <c r="AT15" s="67">
        <f t="shared" si="2"/>
        <v>179955</v>
      </c>
    </row>
    <row r="16" spans="1:46">
      <c r="A16" s="47">
        <v>10</v>
      </c>
      <c r="B16" s="48"/>
      <c r="C16" s="48"/>
      <c r="D16" s="48" t="s">
        <v>83</v>
      </c>
      <c r="E16" s="48"/>
      <c r="F16" s="47"/>
      <c r="G16" s="49">
        <v>0</v>
      </c>
      <c r="H16" s="49">
        <v>20</v>
      </c>
      <c r="I16" s="49">
        <v>20</v>
      </c>
      <c r="J16" s="49">
        <v>20</v>
      </c>
      <c r="K16" s="69">
        <v>20</v>
      </c>
      <c r="L16" s="49">
        <v>20</v>
      </c>
      <c r="M16" s="49">
        <v>10</v>
      </c>
      <c r="N16" s="49">
        <v>20</v>
      </c>
      <c r="O16" s="49">
        <v>10</v>
      </c>
      <c r="P16" s="49">
        <v>20</v>
      </c>
      <c r="Q16" s="49"/>
      <c r="R16" s="49">
        <v>20</v>
      </c>
      <c r="S16" s="49">
        <v>20</v>
      </c>
      <c r="T16" s="49"/>
      <c r="U16" s="49">
        <v>20</v>
      </c>
      <c r="V16" s="49"/>
      <c r="W16" s="49"/>
      <c r="X16" s="49"/>
      <c r="Y16" s="49"/>
      <c r="Z16" s="49"/>
      <c r="AA16" s="49"/>
      <c r="AB16" s="49">
        <v>20</v>
      </c>
      <c r="AC16" s="49">
        <v>20</v>
      </c>
      <c r="AD16" s="49"/>
      <c r="AE16" s="49"/>
      <c r="AF16" s="49">
        <v>20</v>
      </c>
      <c r="AG16" s="49">
        <v>20</v>
      </c>
      <c r="AH16" s="49">
        <v>20</v>
      </c>
      <c r="AI16" s="49"/>
      <c r="AJ16" s="49">
        <v>20</v>
      </c>
      <c r="AK16" s="47">
        <f t="shared" si="0"/>
        <v>340</v>
      </c>
      <c r="AL16" s="47"/>
      <c r="AM16" s="47">
        <f t="shared" si="1"/>
        <v>340</v>
      </c>
      <c r="AN16" s="47"/>
      <c r="AO16" s="47"/>
      <c r="AP16" s="47"/>
      <c r="AQ16" s="48"/>
      <c r="AR16" s="48"/>
      <c r="AS16" s="67">
        <v>279</v>
      </c>
      <c r="AT16" s="67">
        <f t="shared" si="2"/>
        <v>94860</v>
      </c>
    </row>
    <row r="17" spans="1:46">
      <c r="A17" s="47">
        <v>11</v>
      </c>
      <c r="B17" s="48"/>
      <c r="C17" s="48"/>
      <c r="D17" s="48" t="s">
        <v>84</v>
      </c>
      <c r="E17" s="48"/>
      <c r="F17" s="47"/>
      <c r="G17" s="49">
        <v>0</v>
      </c>
      <c r="H17" s="49">
        <v>15</v>
      </c>
      <c r="I17" s="49">
        <v>45</v>
      </c>
      <c r="J17" s="49">
        <v>0</v>
      </c>
      <c r="K17" s="49"/>
      <c r="L17" s="49">
        <v>30</v>
      </c>
      <c r="M17" s="49"/>
      <c r="N17" s="49">
        <v>30</v>
      </c>
      <c r="O17" s="49">
        <v>30</v>
      </c>
      <c r="P17" s="49">
        <v>30</v>
      </c>
      <c r="Q17" s="49"/>
      <c r="R17" s="49"/>
      <c r="S17" s="49">
        <v>30</v>
      </c>
      <c r="T17" s="49">
        <v>30</v>
      </c>
      <c r="U17" s="49">
        <v>30</v>
      </c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7">
        <f t="shared" si="0"/>
        <v>270</v>
      </c>
      <c r="AL17" s="47"/>
      <c r="AM17" s="47">
        <f t="shared" si="1"/>
        <v>270</v>
      </c>
      <c r="AN17" s="47"/>
      <c r="AO17" s="47"/>
      <c r="AP17" s="47"/>
      <c r="AQ17" s="48"/>
      <c r="AR17" s="48"/>
      <c r="AS17" s="67">
        <v>279</v>
      </c>
      <c r="AT17" s="67">
        <f t="shared" si="2"/>
        <v>75330</v>
      </c>
    </row>
    <row r="18" spans="1:46">
      <c r="A18" s="47">
        <v>12</v>
      </c>
      <c r="B18" s="48"/>
      <c r="C18" s="48"/>
      <c r="D18" s="48" t="s">
        <v>85</v>
      </c>
      <c r="E18" s="48"/>
      <c r="F18" s="47"/>
      <c r="G18" s="49">
        <v>0</v>
      </c>
      <c r="H18" s="49">
        <v>0</v>
      </c>
      <c r="I18" s="49">
        <v>0</v>
      </c>
      <c r="J18" s="49">
        <v>0</v>
      </c>
      <c r="K18" s="49"/>
      <c r="L18" s="49"/>
      <c r="M18" s="49"/>
      <c r="N18" s="49"/>
      <c r="O18" s="49"/>
      <c r="P18" s="49"/>
      <c r="Q18" s="49"/>
      <c r="R18" s="49"/>
      <c r="S18" s="49"/>
      <c r="T18" s="49">
        <v>30</v>
      </c>
      <c r="U18" s="49"/>
      <c r="V18" s="49">
        <v>30</v>
      </c>
      <c r="W18" s="49"/>
      <c r="X18" s="49"/>
      <c r="Y18" s="49">
        <v>30</v>
      </c>
      <c r="Z18" s="49"/>
      <c r="AA18" s="49"/>
      <c r="AB18" s="49"/>
      <c r="AC18" s="49"/>
      <c r="AD18" s="49">
        <v>60</v>
      </c>
      <c r="AE18" s="49">
        <v>70</v>
      </c>
      <c r="AF18" s="49">
        <v>30</v>
      </c>
      <c r="AG18" s="49">
        <v>40</v>
      </c>
      <c r="AH18" s="49">
        <v>40</v>
      </c>
      <c r="AI18" s="49">
        <v>40</v>
      </c>
      <c r="AJ18" s="49">
        <v>30</v>
      </c>
      <c r="AK18" s="47">
        <f t="shared" si="0"/>
        <v>400</v>
      </c>
      <c r="AL18" s="47"/>
      <c r="AM18" s="47">
        <f t="shared" si="1"/>
        <v>400</v>
      </c>
      <c r="AN18" s="47"/>
      <c r="AO18" s="47"/>
      <c r="AP18" s="47"/>
      <c r="AQ18" s="48"/>
      <c r="AR18" s="48"/>
      <c r="AS18" s="67">
        <v>279</v>
      </c>
      <c r="AT18" s="67">
        <f t="shared" si="2"/>
        <v>111600</v>
      </c>
    </row>
    <row r="19" spans="1:46">
      <c r="A19" s="47">
        <v>13</v>
      </c>
      <c r="B19" s="48"/>
      <c r="C19" s="48"/>
      <c r="D19" s="48" t="s">
        <v>74</v>
      </c>
      <c r="E19" s="48"/>
      <c r="F19" s="47"/>
      <c r="G19" s="49">
        <v>0</v>
      </c>
      <c r="H19" s="49">
        <v>40</v>
      </c>
      <c r="I19" s="49">
        <v>40</v>
      </c>
      <c r="J19" s="49">
        <v>30</v>
      </c>
      <c r="K19" s="69">
        <v>40</v>
      </c>
      <c r="L19" s="49">
        <v>80</v>
      </c>
      <c r="M19" s="49"/>
      <c r="N19" s="49">
        <v>80</v>
      </c>
      <c r="O19" s="49">
        <v>40</v>
      </c>
      <c r="P19" s="49">
        <v>40</v>
      </c>
      <c r="Q19" s="49">
        <v>40</v>
      </c>
      <c r="R19" s="49">
        <v>40</v>
      </c>
      <c r="S19" s="49"/>
      <c r="T19" s="49">
        <v>40</v>
      </c>
      <c r="U19" s="49">
        <v>40</v>
      </c>
      <c r="V19" s="49"/>
      <c r="W19" s="49"/>
      <c r="X19" s="49"/>
      <c r="Y19" s="49">
        <v>40</v>
      </c>
      <c r="Z19" s="49">
        <v>40</v>
      </c>
      <c r="AA19" s="49"/>
      <c r="AB19" s="49">
        <v>80</v>
      </c>
      <c r="AC19" s="49"/>
      <c r="AD19" s="49">
        <v>75</v>
      </c>
      <c r="AE19" s="49">
        <v>40</v>
      </c>
      <c r="AF19" s="49">
        <v>45</v>
      </c>
      <c r="AG19" s="49">
        <v>50</v>
      </c>
      <c r="AH19" s="49">
        <v>50</v>
      </c>
      <c r="AI19" s="49">
        <v>50</v>
      </c>
      <c r="AJ19" s="49">
        <v>50</v>
      </c>
      <c r="AK19" s="47">
        <f t="shared" si="0"/>
        <v>1070</v>
      </c>
      <c r="AL19" s="47"/>
      <c r="AM19" s="47">
        <f t="shared" si="1"/>
        <v>1070</v>
      </c>
      <c r="AN19" s="47"/>
      <c r="AO19" s="47"/>
      <c r="AP19" s="47"/>
      <c r="AQ19" s="48"/>
      <c r="AR19" s="48"/>
      <c r="AS19" s="67">
        <v>279</v>
      </c>
      <c r="AT19" s="67">
        <f t="shared" si="2"/>
        <v>298530</v>
      </c>
    </row>
    <row r="20" spans="1:46">
      <c r="A20" s="47">
        <v>14</v>
      </c>
      <c r="B20" s="48"/>
      <c r="C20" s="48"/>
      <c r="D20" s="48" t="s">
        <v>86</v>
      </c>
      <c r="E20" s="48"/>
      <c r="F20" s="47"/>
      <c r="G20" s="49">
        <v>60</v>
      </c>
      <c r="H20" s="49">
        <v>30</v>
      </c>
      <c r="I20" s="49">
        <v>45</v>
      </c>
      <c r="J20" s="49">
        <v>30</v>
      </c>
      <c r="K20" s="69">
        <v>30</v>
      </c>
      <c r="L20" s="49">
        <v>60</v>
      </c>
      <c r="M20" s="49"/>
      <c r="N20" s="49">
        <v>60</v>
      </c>
      <c r="O20" s="49">
        <v>30</v>
      </c>
      <c r="P20" s="49">
        <v>60</v>
      </c>
      <c r="Q20" s="49">
        <v>30</v>
      </c>
      <c r="R20" s="49"/>
      <c r="S20" s="49">
        <v>30</v>
      </c>
      <c r="T20" s="49">
        <v>60</v>
      </c>
      <c r="U20" s="49">
        <v>30</v>
      </c>
      <c r="V20" s="49">
        <v>30</v>
      </c>
      <c r="W20" s="49"/>
      <c r="X20" s="49"/>
      <c r="Y20" s="49">
        <v>30</v>
      </c>
      <c r="Z20" s="49">
        <v>60</v>
      </c>
      <c r="AA20" s="49"/>
      <c r="AB20" s="49"/>
      <c r="AC20" s="49"/>
      <c r="AD20" s="49"/>
      <c r="AE20" s="49"/>
      <c r="AF20" s="49">
        <v>30</v>
      </c>
      <c r="AG20" s="49">
        <v>40</v>
      </c>
      <c r="AH20" s="49">
        <v>40</v>
      </c>
      <c r="AI20" s="49">
        <v>30</v>
      </c>
      <c r="AJ20" s="49">
        <v>30</v>
      </c>
      <c r="AK20" s="47">
        <f t="shared" si="0"/>
        <v>845</v>
      </c>
      <c r="AL20" s="47"/>
      <c r="AM20" s="47">
        <f t="shared" si="1"/>
        <v>845</v>
      </c>
      <c r="AN20" s="47"/>
      <c r="AO20" s="47"/>
      <c r="AP20" s="47"/>
      <c r="AQ20" s="48"/>
      <c r="AR20" s="48"/>
      <c r="AS20" s="67">
        <v>279</v>
      </c>
      <c r="AT20" s="67">
        <f t="shared" si="2"/>
        <v>235755</v>
      </c>
    </row>
    <row r="21" spans="1:46" ht="15.75" customHeight="1">
      <c r="A21" s="47">
        <v>15</v>
      </c>
      <c r="B21" s="48"/>
      <c r="C21" s="48"/>
      <c r="D21" s="48" t="s">
        <v>87</v>
      </c>
      <c r="E21" s="48"/>
      <c r="F21" s="47"/>
      <c r="G21" s="49">
        <v>60</v>
      </c>
      <c r="H21" s="49">
        <v>30</v>
      </c>
      <c r="I21" s="49">
        <v>45</v>
      </c>
      <c r="J21" s="49">
        <v>30</v>
      </c>
      <c r="K21" s="69">
        <v>30</v>
      </c>
      <c r="L21" s="49">
        <v>60</v>
      </c>
      <c r="M21" s="49"/>
      <c r="N21" s="49">
        <v>60</v>
      </c>
      <c r="O21" s="49">
        <v>60</v>
      </c>
      <c r="P21" s="49">
        <v>30</v>
      </c>
      <c r="Q21" s="49">
        <v>30</v>
      </c>
      <c r="R21" s="49">
        <v>30</v>
      </c>
      <c r="S21" s="49"/>
      <c r="T21" s="49">
        <v>30</v>
      </c>
      <c r="U21" s="49">
        <v>30</v>
      </c>
      <c r="V21" s="49">
        <v>30</v>
      </c>
      <c r="W21" s="49"/>
      <c r="X21" s="49"/>
      <c r="Y21" s="49">
        <v>30</v>
      </c>
      <c r="Z21" s="49">
        <v>30</v>
      </c>
      <c r="AA21" s="49"/>
      <c r="AB21" s="49">
        <v>60</v>
      </c>
      <c r="AC21" s="49"/>
      <c r="AD21" s="49">
        <v>40</v>
      </c>
      <c r="AE21" s="49">
        <v>40</v>
      </c>
      <c r="AF21" s="49">
        <v>30</v>
      </c>
      <c r="AG21" s="49">
        <v>40</v>
      </c>
      <c r="AH21" s="49">
        <v>40</v>
      </c>
      <c r="AI21" s="49">
        <v>30</v>
      </c>
      <c r="AJ21" s="49">
        <v>30</v>
      </c>
      <c r="AK21" s="47">
        <f t="shared" si="0"/>
        <v>925</v>
      </c>
      <c r="AL21" s="47"/>
      <c r="AM21" s="47">
        <f t="shared" si="1"/>
        <v>925</v>
      </c>
      <c r="AN21" s="47"/>
      <c r="AO21" s="47"/>
      <c r="AP21" s="47"/>
      <c r="AQ21" s="48"/>
      <c r="AR21" s="48"/>
      <c r="AS21" s="67">
        <v>279</v>
      </c>
      <c r="AT21" s="67">
        <f t="shared" si="2"/>
        <v>258075</v>
      </c>
    </row>
    <row r="22" spans="1:46" ht="15.75" customHeight="1">
      <c r="A22" s="47">
        <v>16</v>
      </c>
      <c r="B22" s="48"/>
      <c r="C22" s="48"/>
      <c r="D22" s="48" t="s">
        <v>88</v>
      </c>
      <c r="E22" s="48"/>
      <c r="F22" s="47"/>
      <c r="G22" s="49">
        <v>0</v>
      </c>
      <c r="H22" s="49">
        <v>0</v>
      </c>
      <c r="I22" s="49">
        <v>0</v>
      </c>
      <c r="J22" s="49">
        <v>0</v>
      </c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7">
        <f t="shared" si="0"/>
        <v>0</v>
      </c>
      <c r="AL22" s="47"/>
      <c r="AM22" s="47">
        <f t="shared" si="1"/>
        <v>0</v>
      </c>
      <c r="AN22" s="47"/>
      <c r="AO22" s="47"/>
      <c r="AP22" s="47"/>
      <c r="AQ22" s="48"/>
      <c r="AR22" s="48"/>
      <c r="AS22" s="67">
        <v>279</v>
      </c>
      <c r="AT22" s="67">
        <f t="shared" si="2"/>
        <v>0</v>
      </c>
    </row>
    <row r="23" spans="1:46" ht="15.75" customHeight="1">
      <c r="A23" s="47">
        <v>17</v>
      </c>
      <c r="B23" s="48"/>
      <c r="C23" s="48"/>
      <c r="D23" s="48" t="s">
        <v>89</v>
      </c>
      <c r="E23" s="48"/>
      <c r="F23" s="47"/>
      <c r="G23" s="49">
        <v>0</v>
      </c>
      <c r="H23" s="49">
        <v>60</v>
      </c>
      <c r="I23" s="49">
        <v>45</v>
      </c>
      <c r="J23" s="49">
        <v>30</v>
      </c>
      <c r="K23" s="69">
        <v>30</v>
      </c>
      <c r="L23" s="49">
        <v>60</v>
      </c>
      <c r="M23" s="49"/>
      <c r="N23" s="49"/>
      <c r="O23" s="49"/>
      <c r="P23" s="49"/>
      <c r="Q23" s="49"/>
      <c r="R23" s="49"/>
      <c r="S23" s="49"/>
      <c r="T23" s="49">
        <v>60</v>
      </c>
      <c r="U23" s="49">
        <v>30</v>
      </c>
      <c r="V23" s="49">
        <v>30</v>
      </c>
      <c r="W23" s="49"/>
      <c r="X23" s="49"/>
      <c r="Y23" s="49">
        <v>30</v>
      </c>
      <c r="Z23" s="49"/>
      <c r="AA23" s="49"/>
      <c r="AB23" s="49">
        <v>60</v>
      </c>
      <c r="AC23" s="49"/>
      <c r="AD23" s="49">
        <v>40</v>
      </c>
      <c r="AE23" s="49">
        <v>70</v>
      </c>
      <c r="AF23" s="49">
        <v>30</v>
      </c>
      <c r="AG23" s="49">
        <v>40</v>
      </c>
      <c r="AH23" s="49">
        <v>40</v>
      </c>
      <c r="AI23" s="49">
        <v>30</v>
      </c>
      <c r="AJ23" s="49">
        <v>30</v>
      </c>
      <c r="AK23" s="47">
        <f t="shared" si="0"/>
        <v>715</v>
      </c>
      <c r="AL23" s="47"/>
      <c r="AM23" s="47">
        <f t="shared" si="1"/>
        <v>715</v>
      </c>
      <c r="AN23" s="47"/>
      <c r="AO23" s="47"/>
      <c r="AP23" s="47"/>
      <c r="AQ23" s="48"/>
      <c r="AR23" s="48"/>
      <c r="AS23" s="67">
        <v>279</v>
      </c>
      <c r="AT23" s="67">
        <f t="shared" si="2"/>
        <v>199485</v>
      </c>
    </row>
    <row r="24" spans="1:46" ht="15.75" customHeight="1">
      <c r="A24" s="47">
        <v>18</v>
      </c>
      <c r="B24" s="48"/>
      <c r="C24" s="48"/>
      <c r="D24" s="48" t="s">
        <v>90</v>
      </c>
      <c r="E24" s="48"/>
      <c r="F24" s="47"/>
      <c r="G24" s="49">
        <v>0</v>
      </c>
      <c r="H24" s="49">
        <v>0</v>
      </c>
      <c r="I24" s="49">
        <v>0</v>
      </c>
      <c r="J24" s="49">
        <v>0</v>
      </c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7">
        <f t="shared" si="0"/>
        <v>0</v>
      </c>
      <c r="AL24" s="47"/>
      <c r="AM24" s="47">
        <f t="shared" si="1"/>
        <v>0</v>
      </c>
      <c r="AN24" s="47"/>
      <c r="AO24" s="47"/>
      <c r="AP24" s="47"/>
      <c r="AQ24" s="48"/>
      <c r="AR24" s="48"/>
      <c r="AS24" s="67">
        <v>279</v>
      </c>
      <c r="AT24" s="67">
        <f t="shared" si="2"/>
        <v>0</v>
      </c>
    </row>
    <row r="25" spans="1:46" ht="15.75" customHeight="1">
      <c r="A25" s="47">
        <v>19</v>
      </c>
      <c r="B25" s="48"/>
      <c r="C25" s="48"/>
      <c r="D25" s="70" t="s">
        <v>91</v>
      </c>
      <c r="E25" s="48"/>
      <c r="F25" s="47"/>
      <c r="G25" s="49">
        <v>0</v>
      </c>
      <c r="H25" s="49">
        <v>45</v>
      </c>
      <c r="I25" s="49">
        <v>30</v>
      </c>
      <c r="J25" s="49">
        <v>30</v>
      </c>
      <c r="K25" s="69">
        <v>30</v>
      </c>
      <c r="L25" s="49">
        <v>60</v>
      </c>
      <c r="M25" s="49"/>
      <c r="N25" s="49"/>
      <c r="O25" s="49">
        <v>30</v>
      </c>
      <c r="P25" s="49">
        <v>30</v>
      </c>
      <c r="Q25" s="49">
        <v>30</v>
      </c>
      <c r="R25" s="49">
        <v>30</v>
      </c>
      <c r="S25" s="49"/>
      <c r="T25" s="49">
        <v>60</v>
      </c>
      <c r="U25" s="49">
        <v>30</v>
      </c>
      <c r="V25" s="49">
        <v>30</v>
      </c>
      <c r="W25" s="49"/>
      <c r="X25" s="49"/>
      <c r="Y25" s="49">
        <v>30</v>
      </c>
      <c r="Z25" s="49">
        <v>30</v>
      </c>
      <c r="AA25" s="49"/>
      <c r="AB25" s="49">
        <v>60</v>
      </c>
      <c r="AC25" s="49"/>
      <c r="AD25" s="49">
        <v>30</v>
      </c>
      <c r="AE25" s="49">
        <v>80</v>
      </c>
      <c r="AF25" s="49">
        <v>30</v>
      </c>
      <c r="AG25" s="49">
        <v>40</v>
      </c>
      <c r="AH25" s="49">
        <v>40</v>
      </c>
      <c r="AI25" s="49">
        <v>45</v>
      </c>
      <c r="AJ25" s="49">
        <v>20</v>
      </c>
      <c r="AK25" s="47">
        <f t="shared" si="0"/>
        <v>840</v>
      </c>
      <c r="AL25" s="47"/>
      <c r="AM25" s="47">
        <f t="shared" si="1"/>
        <v>840</v>
      </c>
      <c r="AN25" s="47"/>
      <c r="AO25" s="47"/>
      <c r="AP25" s="47"/>
      <c r="AQ25" s="48"/>
      <c r="AR25" s="48"/>
      <c r="AS25" s="67">
        <v>279</v>
      </c>
      <c r="AT25" s="67">
        <f t="shared" si="2"/>
        <v>234360</v>
      </c>
    </row>
    <row r="26" spans="1:46" ht="15.75" customHeight="1">
      <c r="A26" s="47">
        <v>20</v>
      </c>
      <c r="B26" s="48"/>
      <c r="C26" s="48"/>
      <c r="D26" s="48" t="s">
        <v>92</v>
      </c>
      <c r="E26" s="48"/>
      <c r="F26" s="47"/>
      <c r="G26" s="47">
        <v>60</v>
      </c>
      <c r="H26" s="47">
        <v>0</v>
      </c>
      <c r="I26" s="47">
        <v>30</v>
      </c>
      <c r="J26" s="47">
        <v>30</v>
      </c>
      <c r="K26" s="47"/>
      <c r="L26" s="47">
        <v>60</v>
      </c>
      <c r="M26" s="49"/>
      <c r="N26" s="49"/>
      <c r="O26" s="49">
        <v>30</v>
      </c>
      <c r="P26" s="49">
        <v>60</v>
      </c>
      <c r="Q26" s="49">
        <v>30</v>
      </c>
      <c r="R26" s="49"/>
      <c r="S26" s="49">
        <v>30</v>
      </c>
      <c r="T26" s="49">
        <v>60</v>
      </c>
      <c r="U26" s="49">
        <v>30</v>
      </c>
      <c r="V26" s="49">
        <v>30</v>
      </c>
      <c r="W26" s="49"/>
      <c r="X26" s="49"/>
      <c r="Y26" s="49">
        <v>30</v>
      </c>
      <c r="Z26" s="49"/>
      <c r="AA26" s="49"/>
      <c r="AB26" s="49">
        <v>60</v>
      </c>
      <c r="AC26" s="49"/>
      <c r="AD26" s="49">
        <v>30</v>
      </c>
      <c r="AE26" s="49">
        <v>70</v>
      </c>
      <c r="AF26" s="49">
        <v>30</v>
      </c>
      <c r="AG26" s="49">
        <v>40</v>
      </c>
      <c r="AH26" s="49"/>
      <c r="AI26" s="49">
        <v>40</v>
      </c>
      <c r="AJ26" s="49">
        <v>30</v>
      </c>
      <c r="AK26" s="47">
        <f t="shared" si="0"/>
        <v>780</v>
      </c>
      <c r="AL26" s="47"/>
      <c r="AM26" s="47">
        <f t="shared" si="1"/>
        <v>780</v>
      </c>
      <c r="AN26" s="47"/>
      <c r="AO26" s="47"/>
      <c r="AP26" s="47"/>
      <c r="AQ26" s="48"/>
      <c r="AR26" s="48"/>
      <c r="AS26" s="67">
        <v>279</v>
      </c>
      <c r="AT26" s="67">
        <f t="shared" si="2"/>
        <v>217620</v>
      </c>
    </row>
    <row r="27" spans="1:46" ht="15.75" customHeight="1">
      <c r="A27" s="47">
        <v>21</v>
      </c>
      <c r="B27" s="48"/>
      <c r="C27" s="48"/>
      <c r="D27" s="48" t="s">
        <v>93</v>
      </c>
      <c r="E27" s="48"/>
      <c r="F27" s="47"/>
      <c r="G27" s="47">
        <v>60</v>
      </c>
      <c r="H27" s="47">
        <v>0</v>
      </c>
      <c r="I27" s="47">
        <v>30</v>
      </c>
      <c r="J27" s="47">
        <v>0</v>
      </c>
      <c r="K27" s="47"/>
      <c r="L27" s="47">
        <v>45</v>
      </c>
      <c r="M27" s="49"/>
      <c r="N27" s="49">
        <v>30</v>
      </c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7">
        <f t="shared" si="0"/>
        <v>165</v>
      </c>
      <c r="AL27" s="47"/>
      <c r="AM27" s="47">
        <f t="shared" si="1"/>
        <v>165</v>
      </c>
      <c r="AN27" s="47"/>
      <c r="AO27" s="47"/>
      <c r="AP27" s="47"/>
      <c r="AQ27" s="48"/>
      <c r="AR27" s="48"/>
      <c r="AS27" s="67">
        <v>279</v>
      </c>
      <c r="AT27" s="67">
        <f t="shared" si="2"/>
        <v>46035</v>
      </c>
    </row>
    <row r="28" spans="1:46" ht="15.75" customHeight="1">
      <c r="A28" s="47">
        <v>22</v>
      </c>
      <c r="B28" s="48"/>
      <c r="C28" s="48"/>
      <c r="D28" s="48" t="s">
        <v>95</v>
      </c>
      <c r="E28" s="48"/>
      <c r="F28" s="47"/>
      <c r="G28" s="47">
        <v>0</v>
      </c>
      <c r="H28" s="49">
        <v>0</v>
      </c>
      <c r="I28" s="49"/>
      <c r="J28" s="49">
        <v>0</v>
      </c>
      <c r="K28" s="49"/>
      <c r="L28" s="4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7">
        <f t="shared" si="0"/>
        <v>0</v>
      </c>
      <c r="AL28" s="47"/>
      <c r="AM28" s="47">
        <f t="shared" si="1"/>
        <v>0</v>
      </c>
      <c r="AN28" s="47"/>
      <c r="AO28" s="47"/>
      <c r="AP28" s="47"/>
      <c r="AQ28" s="48"/>
      <c r="AR28" s="48"/>
      <c r="AS28" s="67">
        <v>279</v>
      </c>
      <c r="AT28" s="67">
        <f t="shared" si="2"/>
        <v>0</v>
      </c>
    </row>
    <row r="29" spans="1:46" ht="15.75" customHeight="1">
      <c r="A29" s="47">
        <v>23</v>
      </c>
      <c r="B29" s="48"/>
      <c r="C29" s="48"/>
      <c r="D29" s="48" t="s">
        <v>96</v>
      </c>
      <c r="E29" s="48"/>
      <c r="F29" s="47"/>
      <c r="G29" s="47">
        <v>0</v>
      </c>
      <c r="H29" s="49">
        <v>20</v>
      </c>
      <c r="I29" s="49">
        <v>30</v>
      </c>
      <c r="J29" s="49">
        <v>20</v>
      </c>
      <c r="K29" s="69">
        <v>20</v>
      </c>
      <c r="L29" s="47">
        <v>20</v>
      </c>
      <c r="M29" s="49">
        <v>20</v>
      </c>
      <c r="N29" s="49">
        <v>20</v>
      </c>
      <c r="O29" s="49">
        <v>20</v>
      </c>
      <c r="P29" s="49">
        <v>20</v>
      </c>
      <c r="Q29" s="49"/>
      <c r="R29" s="49">
        <v>30</v>
      </c>
      <c r="S29" s="49"/>
      <c r="T29" s="49">
        <v>30</v>
      </c>
      <c r="U29" s="49">
        <v>30</v>
      </c>
      <c r="V29" s="49">
        <v>20</v>
      </c>
      <c r="W29" s="49">
        <v>30</v>
      </c>
      <c r="X29" s="49"/>
      <c r="Y29" s="49"/>
      <c r="Z29" s="49">
        <v>20</v>
      </c>
      <c r="AA29" s="49"/>
      <c r="AB29" s="49">
        <v>20</v>
      </c>
      <c r="AC29" s="49">
        <v>15</v>
      </c>
      <c r="AD29" s="49">
        <v>20</v>
      </c>
      <c r="AE29" s="49">
        <v>20</v>
      </c>
      <c r="AF29" s="49">
        <v>15</v>
      </c>
      <c r="AG29" s="49">
        <v>20</v>
      </c>
      <c r="AH29" s="49">
        <v>20</v>
      </c>
      <c r="AI29" s="49"/>
      <c r="AJ29" s="49"/>
      <c r="AK29" s="47">
        <f t="shared" si="0"/>
        <v>480</v>
      </c>
      <c r="AL29" s="47"/>
      <c r="AM29" s="47">
        <f t="shared" si="1"/>
        <v>480</v>
      </c>
      <c r="AN29" s="47"/>
      <c r="AO29" s="47"/>
      <c r="AP29" s="47"/>
      <c r="AQ29" s="48"/>
      <c r="AR29" s="48"/>
      <c r="AS29" s="67">
        <v>279</v>
      </c>
      <c r="AT29" s="67">
        <f t="shared" si="2"/>
        <v>133920</v>
      </c>
    </row>
    <row r="30" spans="1:46" ht="15.75" customHeight="1">
      <c r="A30" s="47">
        <v>24</v>
      </c>
      <c r="B30" s="48"/>
      <c r="C30" s="48"/>
      <c r="D30" s="48" t="s">
        <v>97</v>
      </c>
      <c r="E30" s="48"/>
      <c r="F30" s="47"/>
      <c r="G30" s="47">
        <v>0</v>
      </c>
      <c r="H30" s="49">
        <v>0</v>
      </c>
      <c r="I30" s="49">
        <v>0</v>
      </c>
      <c r="J30" s="49">
        <v>0</v>
      </c>
      <c r="K30" s="49"/>
      <c r="L30" s="47"/>
      <c r="M30" s="49"/>
      <c r="N30" s="49"/>
      <c r="O30" s="49"/>
      <c r="P30" s="49"/>
      <c r="Q30" s="49"/>
      <c r="R30" s="49"/>
      <c r="S30" s="49"/>
      <c r="T30" s="49"/>
      <c r="U30" s="49">
        <v>30</v>
      </c>
      <c r="V30" s="49">
        <v>30</v>
      </c>
      <c r="W30" s="49"/>
      <c r="X30" s="49"/>
      <c r="Y30" s="49">
        <v>30</v>
      </c>
      <c r="Z30" s="49">
        <v>30</v>
      </c>
      <c r="AA30" s="49"/>
      <c r="AB30" s="49">
        <v>60</v>
      </c>
      <c r="AC30" s="49"/>
      <c r="AD30" s="49">
        <v>80</v>
      </c>
      <c r="AE30" s="49">
        <v>40</v>
      </c>
      <c r="AF30" s="49">
        <v>30</v>
      </c>
      <c r="AG30" s="49"/>
      <c r="AH30" s="49">
        <v>40</v>
      </c>
      <c r="AI30" s="49">
        <v>30</v>
      </c>
      <c r="AJ30" s="49">
        <v>30</v>
      </c>
      <c r="AK30" s="47">
        <f t="shared" si="0"/>
        <v>430</v>
      </c>
      <c r="AL30" s="47"/>
      <c r="AM30" s="47">
        <f t="shared" si="1"/>
        <v>430</v>
      </c>
      <c r="AN30" s="47"/>
      <c r="AO30" s="47"/>
      <c r="AP30" s="47"/>
      <c r="AQ30" s="48"/>
      <c r="AR30" s="48"/>
      <c r="AS30" s="67">
        <v>279</v>
      </c>
      <c r="AT30" s="67">
        <f t="shared" si="2"/>
        <v>119970</v>
      </c>
    </row>
    <row r="31" spans="1:46" ht="15.75" customHeight="1">
      <c r="A31" s="47">
        <v>25</v>
      </c>
      <c r="B31" s="48"/>
      <c r="C31" s="48"/>
      <c r="D31" s="48" t="s">
        <v>98</v>
      </c>
      <c r="E31" s="48"/>
      <c r="F31" s="47"/>
      <c r="G31" s="47">
        <v>0</v>
      </c>
      <c r="H31" s="49">
        <v>45</v>
      </c>
      <c r="I31" s="49">
        <v>30</v>
      </c>
      <c r="J31" s="49">
        <v>30</v>
      </c>
      <c r="K31" s="69">
        <v>30</v>
      </c>
      <c r="L31" s="47">
        <v>30</v>
      </c>
      <c r="M31" s="49"/>
      <c r="N31" s="49">
        <v>60</v>
      </c>
      <c r="O31" s="49"/>
      <c r="P31" s="49">
        <v>30</v>
      </c>
      <c r="Q31" s="49">
        <v>30</v>
      </c>
      <c r="R31" s="49"/>
      <c r="S31" s="49"/>
      <c r="T31" s="49">
        <v>60</v>
      </c>
      <c r="U31" s="49">
        <v>30</v>
      </c>
      <c r="V31" s="49">
        <v>30</v>
      </c>
      <c r="W31" s="49"/>
      <c r="X31" s="49"/>
      <c r="Y31" s="49">
        <v>30</v>
      </c>
      <c r="Z31" s="49">
        <v>30</v>
      </c>
      <c r="AA31" s="49"/>
      <c r="AB31" s="49">
        <v>60</v>
      </c>
      <c r="AC31" s="49"/>
      <c r="AD31" s="49">
        <v>40</v>
      </c>
      <c r="AE31" s="49"/>
      <c r="AF31" s="49"/>
      <c r="AG31" s="49"/>
      <c r="AH31" s="49">
        <v>30</v>
      </c>
      <c r="AI31" s="49">
        <v>40</v>
      </c>
      <c r="AJ31" s="49">
        <v>30</v>
      </c>
      <c r="AK31" s="47">
        <f t="shared" si="0"/>
        <v>665</v>
      </c>
      <c r="AL31" s="47"/>
      <c r="AM31" s="47">
        <f t="shared" si="1"/>
        <v>665</v>
      </c>
      <c r="AN31" s="47"/>
      <c r="AO31" s="47"/>
      <c r="AP31" s="47"/>
      <c r="AQ31" s="48"/>
      <c r="AR31" s="48"/>
      <c r="AS31" s="67">
        <v>279</v>
      </c>
      <c r="AT31" s="67">
        <f t="shared" si="2"/>
        <v>185535</v>
      </c>
    </row>
    <row r="32" spans="1:46" ht="15.75" customHeight="1">
      <c r="A32" s="47">
        <v>26</v>
      </c>
      <c r="B32" s="48"/>
      <c r="C32" s="48"/>
      <c r="D32" s="48" t="s">
        <v>128</v>
      </c>
      <c r="E32" s="48"/>
      <c r="F32" s="47"/>
      <c r="G32" s="47">
        <v>0</v>
      </c>
      <c r="H32" s="49">
        <v>0</v>
      </c>
      <c r="I32" s="49">
        <v>0</v>
      </c>
      <c r="J32" s="49">
        <v>0</v>
      </c>
      <c r="K32" s="49"/>
      <c r="L32" s="47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>
        <v>30</v>
      </c>
      <c r="Z32" s="49">
        <v>30</v>
      </c>
      <c r="AA32" s="49"/>
      <c r="AB32" s="49">
        <v>60</v>
      </c>
      <c r="AC32" s="49"/>
      <c r="AD32" s="49">
        <v>60</v>
      </c>
      <c r="AE32" s="49">
        <v>70</v>
      </c>
      <c r="AF32" s="49">
        <v>30</v>
      </c>
      <c r="AG32" s="49">
        <v>40</v>
      </c>
      <c r="AH32" s="49">
        <v>40</v>
      </c>
      <c r="AI32" s="49">
        <v>30</v>
      </c>
      <c r="AJ32" s="49">
        <v>30</v>
      </c>
      <c r="AK32" s="47">
        <f t="shared" si="0"/>
        <v>420</v>
      </c>
      <c r="AL32" s="47"/>
      <c r="AM32" s="47">
        <f t="shared" si="1"/>
        <v>420</v>
      </c>
      <c r="AN32" s="47"/>
      <c r="AO32" s="47"/>
      <c r="AP32" s="47"/>
      <c r="AQ32" s="48"/>
      <c r="AR32" s="48"/>
      <c r="AS32" s="67">
        <v>279</v>
      </c>
      <c r="AT32" s="67">
        <f t="shared" si="2"/>
        <v>117180</v>
      </c>
    </row>
    <row r="33" spans="1:46" ht="15.75" customHeight="1">
      <c r="A33" s="47">
        <v>27</v>
      </c>
      <c r="B33" s="48"/>
      <c r="C33" s="48"/>
      <c r="D33" s="48" t="s">
        <v>100</v>
      </c>
      <c r="E33" s="48"/>
      <c r="F33" s="47"/>
      <c r="G33" s="47">
        <v>0</v>
      </c>
      <c r="H33" s="47">
        <v>0</v>
      </c>
      <c r="I33" s="47">
        <v>0</v>
      </c>
      <c r="J33" s="47">
        <v>0</v>
      </c>
      <c r="K33" s="47"/>
      <c r="L33" s="47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7">
        <f t="shared" si="0"/>
        <v>0</v>
      </c>
      <c r="AL33" s="47"/>
      <c r="AM33" s="47">
        <f t="shared" si="1"/>
        <v>0</v>
      </c>
      <c r="AN33" s="47"/>
      <c r="AO33" s="47"/>
      <c r="AP33" s="47"/>
      <c r="AQ33" s="48"/>
      <c r="AR33" s="48"/>
      <c r="AS33" s="67">
        <v>279</v>
      </c>
      <c r="AT33" s="67">
        <f t="shared" si="2"/>
        <v>0</v>
      </c>
    </row>
    <row r="34" spans="1:46" ht="15.75" customHeight="1">
      <c r="A34" s="47">
        <v>28</v>
      </c>
      <c r="B34" s="48"/>
      <c r="C34" s="48"/>
      <c r="D34" s="48" t="s">
        <v>101</v>
      </c>
      <c r="E34" s="48"/>
      <c r="F34" s="47"/>
      <c r="G34" s="47">
        <v>0</v>
      </c>
      <c r="H34" s="47">
        <v>0</v>
      </c>
      <c r="I34" s="47">
        <v>0</v>
      </c>
      <c r="J34" s="47">
        <v>0</v>
      </c>
      <c r="K34" s="66">
        <v>30</v>
      </c>
      <c r="L34" s="47">
        <v>60</v>
      </c>
      <c r="M34" s="49"/>
      <c r="N34" s="49">
        <v>30</v>
      </c>
      <c r="O34" s="49">
        <v>30</v>
      </c>
      <c r="P34" s="49">
        <v>30</v>
      </c>
      <c r="Q34" s="49"/>
      <c r="R34" s="49">
        <v>58</v>
      </c>
      <c r="S34" s="49"/>
      <c r="T34" s="49"/>
      <c r="U34" s="49"/>
      <c r="V34" s="49"/>
      <c r="W34" s="49"/>
      <c r="X34" s="49"/>
      <c r="Y34" s="49">
        <v>30</v>
      </c>
      <c r="Z34" s="49"/>
      <c r="AA34" s="49"/>
      <c r="AB34" s="49">
        <v>60</v>
      </c>
      <c r="AC34" s="49"/>
      <c r="AD34" s="49">
        <v>40</v>
      </c>
      <c r="AE34" s="49">
        <v>70</v>
      </c>
      <c r="AF34" s="49">
        <v>30</v>
      </c>
      <c r="AG34" s="49">
        <v>40</v>
      </c>
      <c r="AH34" s="49">
        <v>40</v>
      </c>
      <c r="AI34" s="49">
        <v>40</v>
      </c>
      <c r="AJ34" s="49"/>
      <c r="AK34" s="47">
        <f t="shared" si="0"/>
        <v>588</v>
      </c>
      <c r="AL34" s="47"/>
      <c r="AM34" s="47">
        <f t="shared" si="1"/>
        <v>588</v>
      </c>
      <c r="AN34" s="47"/>
      <c r="AO34" s="47"/>
      <c r="AP34" s="47"/>
      <c r="AQ34" s="48"/>
      <c r="AR34" s="48"/>
      <c r="AS34" s="67">
        <v>279</v>
      </c>
      <c r="AT34" s="67">
        <f t="shared" si="2"/>
        <v>164052</v>
      </c>
    </row>
    <row r="35" spans="1:46" ht="15.75" customHeight="1">
      <c r="A35" s="47">
        <v>29</v>
      </c>
      <c r="B35" s="48"/>
      <c r="C35" s="48"/>
      <c r="D35" s="48" t="s">
        <v>129</v>
      </c>
      <c r="E35" s="48"/>
      <c r="F35" s="47"/>
      <c r="G35" s="47">
        <v>0</v>
      </c>
      <c r="H35" s="47">
        <v>0</v>
      </c>
      <c r="I35" s="47">
        <v>0</v>
      </c>
      <c r="J35" s="47">
        <v>0</v>
      </c>
      <c r="K35" s="47"/>
      <c r="L35" s="47">
        <v>15</v>
      </c>
      <c r="M35" s="49"/>
      <c r="N35" s="49">
        <v>60</v>
      </c>
      <c r="O35" s="49">
        <v>30</v>
      </c>
      <c r="P35" s="49"/>
      <c r="Q35" s="49"/>
      <c r="R35" s="49">
        <v>30</v>
      </c>
      <c r="S35" s="49"/>
      <c r="T35" s="49"/>
      <c r="U35" s="49"/>
      <c r="V35" s="49"/>
      <c r="W35" s="49"/>
      <c r="X35" s="49"/>
      <c r="Y35" s="49">
        <v>30</v>
      </c>
      <c r="Z35" s="49">
        <v>30</v>
      </c>
      <c r="AA35" s="49"/>
      <c r="AB35" s="49">
        <v>60</v>
      </c>
      <c r="AC35" s="49"/>
      <c r="AD35" s="49">
        <v>60</v>
      </c>
      <c r="AE35" s="49">
        <v>70</v>
      </c>
      <c r="AF35" s="49">
        <v>30</v>
      </c>
      <c r="AG35" s="49"/>
      <c r="AH35" s="49"/>
      <c r="AI35" s="49"/>
      <c r="AJ35" s="49"/>
      <c r="AK35" s="47">
        <f t="shared" si="0"/>
        <v>415</v>
      </c>
      <c r="AL35" s="47"/>
      <c r="AM35" s="47">
        <f t="shared" si="1"/>
        <v>415</v>
      </c>
      <c r="AN35" s="47"/>
      <c r="AO35" s="47"/>
      <c r="AP35" s="47"/>
      <c r="AQ35" s="48"/>
      <c r="AR35" s="48"/>
      <c r="AS35" s="67">
        <v>279</v>
      </c>
      <c r="AT35" s="67">
        <f t="shared" si="2"/>
        <v>115785</v>
      </c>
    </row>
    <row r="36" spans="1:46" ht="15.75" customHeight="1">
      <c r="A36" s="47">
        <v>30</v>
      </c>
      <c r="B36" s="48"/>
      <c r="C36" s="48"/>
      <c r="D36" s="48" t="s">
        <v>130</v>
      </c>
      <c r="E36" s="48"/>
      <c r="F36" s="47"/>
      <c r="G36" s="47">
        <v>0</v>
      </c>
      <c r="H36" s="47">
        <v>0</v>
      </c>
      <c r="I36" s="47">
        <v>0</v>
      </c>
      <c r="J36" s="47">
        <v>0</v>
      </c>
      <c r="K36" s="47"/>
      <c r="L36" s="47">
        <v>30</v>
      </c>
      <c r="M36" s="49"/>
      <c r="N36" s="49">
        <v>30</v>
      </c>
      <c r="O36" s="49">
        <v>30</v>
      </c>
      <c r="P36" s="49">
        <v>30</v>
      </c>
      <c r="Q36" s="49"/>
      <c r="R36" s="49"/>
      <c r="S36" s="49">
        <v>30</v>
      </c>
      <c r="T36" s="49"/>
      <c r="U36" s="49"/>
      <c r="V36" s="49">
        <v>30</v>
      </c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7">
        <f t="shared" si="0"/>
        <v>180</v>
      </c>
      <c r="AL36" s="47"/>
      <c r="AM36" s="47">
        <f t="shared" si="1"/>
        <v>180</v>
      </c>
      <c r="AN36" s="47"/>
      <c r="AO36" s="47"/>
      <c r="AP36" s="47"/>
      <c r="AQ36" s="48"/>
      <c r="AR36" s="48"/>
      <c r="AS36" s="67">
        <v>279</v>
      </c>
      <c r="AT36" s="67">
        <f t="shared" si="2"/>
        <v>50220</v>
      </c>
    </row>
    <row r="37" spans="1:46" ht="15.75" customHeight="1">
      <c r="A37" s="47">
        <v>31</v>
      </c>
      <c r="B37" s="48"/>
      <c r="C37" s="48"/>
      <c r="D37" s="48" t="s">
        <v>131</v>
      </c>
      <c r="E37" s="48"/>
      <c r="F37" s="47"/>
      <c r="G37" s="47">
        <v>0</v>
      </c>
      <c r="H37" s="47">
        <v>0</v>
      </c>
      <c r="I37" s="47">
        <v>0</v>
      </c>
      <c r="J37" s="47">
        <v>0</v>
      </c>
      <c r="K37" s="47"/>
      <c r="L37" s="47">
        <v>30</v>
      </c>
      <c r="M37" s="49"/>
      <c r="N37" s="49">
        <v>30</v>
      </c>
      <c r="O37" s="49">
        <v>30</v>
      </c>
      <c r="P37" s="49">
        <v>30</v>
      </c>
      <c r="Q37" s="49"/>
      <c r="R37" s="49"/>
      <c r="S37" s="49">
        <v>30</v>
      </c>
      <c r="T37" s="49">
        <v>30</v>
      </c>
      <c r="U37" s="49">
        <v>30</v>
      </c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7">
        <f t="shared" si="0"/>
        <v>210</v>
      </c>
      <c r="AL37" s="47"/>
      <c r="AM37" s="47">
        <f t="shared" si="1"/>
        <v>210</v>
      </c>
      <c r="AN37" s="47"/>
      <c r="AO37" s="47"/>
      <c r="AP37" s="47"/>
      <c r="AQ37" s="48"/>
      <c r="AR37" s="48"/>
      <c r="AS37" s="67">
        <v>279</v>
      </c>
      <c r="AT37" s="67">
        <f t="shared" si="2"/>
        <v>58590</v>
      </c>
    </row>
    <row r="38" spans="1:46" ht="15.75" customHeight="1">
      <c r="A38" s="47">
        <v>32</v>
      </c>
      <c r="B38" s="48"/>
      <c r="C38" s="48"/>
      <c r="D38" s="48" t="s">
        <v>132</v>
      </c>
      <c r="E38" s="48"/>
      <c r="F38" s="47"/>
      <c r="G38" s="47">
        <v>0</v>
      </c>
      <c r="H38" s="47">
        <v>60</v>
      </c>
      <c r="I38" s="47">
        <v>0</v>
      </c>
      <c r="J38" s="47">
        <v>30</v>
      </c>
      <c r="K38" s="66">
        <v>30</v>
      </c>
      <c r="L38" s="47">
        <v>60</v>
      </c>
      <c r="M38" s="49"/>
      <c r="N38" s="49">
        <v>65</v>
      </c>
      <c r="O38" s="49">
        <v>65</v>
      </c>
      <c r="P38" s="49">
        <v>60</v>
      </c>
      <c r="Q38" s="49"/>
      <c r="R38" s="49">
        <v>60</v>
      </c>
      <c r="S38" s="49"/>
      <c r="T38" s="49">
        <v>30</v>
      </c>
      <c r="U38" s="49">
        <v>60</v>
      </c>
      <c r="V38" s="49">
        <v>60</v>
      </c>
      <c r="W38" s="49"/>
      <c r="X38" s="49"/>
      <c r="Y38" s="49">
        <v>30</v>
      </c>
      <c r="Z38" s="49"/>
      <c r="AA38" s="49"/>
      <c r="AB38" s="49">
        <v>60</v>
      </c>
      <c r="AC38" s="49"/>
      <c r="AD38" s="49">
        <v>30</v>
      </c>
      <c r="AE38" s="49">
        <v>80</v>
      </c>
      <c r="AF38" s="49">
        <v>70</v>
      </c>
      <c r="AG38" s="49"/>
      <c r="AH38" s="49">
        <v>40</v>
      </c>
      <c r="AI38" s="49"/>
      <c r="AJ38" s="49"/>
      <c r="AK38" s="47">
        <f t="shared" si="0"/>
        <v>890</v>
      </c>
      <c r="AL38" s="47"/>
      <c r="AM38" s="47">
        <f t="shared" si="1"/>
        <v>890</v>
      </c>
      <c r="AN38" s="47"/>
      <c r="AO38" s="47"/>
      <c r="AP38" s="47"/>
      <c r="AQ38" s="48"/>
      <c r="AR38" s="48"/>
      <c r="AS38" s="67">
        <v>279</v>
      </c>
      <c r="AT38" s="67">
        <f t="shared" si="2"/>
        <v>248310</v>
      </c>
    </row>
    <row r="39" spans="1:46" ht="15.75" customHeight="1">
      <c r="A39" s="47">
        <v>33</v>
      </c>
      <c r="B39" s="48"/>
      <c r="C39" s="48"/>
      <c r="D39" s="48" t="s">
        <v>133</v>
      </c>
      <c r="E39" s="48"/>
      <c r="F39" s="47"/>
      <c r="G39" s="47">
        <v>0</v>
      </c>
      <c r="H39" s="47">
        <v>0</v>
      </c>
      <c r="I39" s="47">
        <v>0</v>
      </c>
      <c r="J39" s="49">
        <v>0</v>
      </c>
      <c r="K39" s="49"/>
      <c r="L39" s="47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7">
        <f t="shared" si="0"/>
        <v>0</v>
      </c>
      <c r="AL39" s="47"/>
      <c r="AM39" s="47">
        <f t="shared" si="1"/>
        <v>0</v>
      </c>
      <c r="AN39" s="47"/>
      <c r="AO39" s="47"/>
      <c r="AP39" s="47"/>
      <c r="AQ39" s="48"/>
      <c r="AR39" s="48"/>
      <c r="AS39" s="67">
        <v>279</v>
      </c>
      <c r="AT39" s="67">
        <f t="shared" si="2"/>
        <v>0</v>
      </c>
    </row>
    <row r="40" spans="1:46" ht="15.75" customHeight="1">
      <c r="A40" s="47">
        <v>34</v>
      </c>
      <c r="B40" s="48"/>
      <c r="C40" s="48"/>
      <c r="D40" s="48" t="s">
        <v>134</v>
      </c>
      <c r="E40" s="48"/>
      <c r="F40" s="47"/>
      <c r="G40" s="47">
        <v>0</v>
      </c>
      <c r="H40" s="47">
        <v>0</v>
      </c>
      <c r="I40" s="47">
        <v>0</v>
      </c>
      <c r="J40" s="49">
        <v>30</v>
      </c>
      <c r="K40" s="69">
        <v>45</v>
      </c>
      <c r="L40" s="47">
        <v>30</v>
      </c>
      <c r="M40" s="49"/>
      <c r="N40" s="49">
        <v>30</v>
      </c>
      <c r="O40" s="49">
        <v>30</v>
      </c>
      <c r="P40" s="49">
        <v>60</v>
      </c>
      <c r="Q40" s="49">
        <v>30</v>
      </c>
      <c r="R40" s="49"/>
      <c r="S40" s="49">
        <v>30</v>
      </c>
      <c r="T40" s="49">
        <v>30</v>
      </c>
      <c r="U40" s="49">
        <v>30</v>
      </c>
      <c r="V40" s="49">
        <v>30</v>
      </c>
      <c r="W40" s="49"/>
      <c r="X40" s="49"/>
      <c r="Y40" s="49"/>
      <c r="Z40" s="49"/>
      <c r="AA40" s="49"/>
      <c r="AB40" s="49">
        <v>60</v>
      </c>
      <c r="AC40" s="49"/>
      <c r="AD40" s="49">
        <v>40</v>
      </c>
      <c r="AE40" s="49"/>
      <c r="AF40" s="49">
        <v>40</v>
      </c>
      <c r="AG40" s="49">
        <v>40</v>
      </c>
      <c r="AH40" s="49">
        <v>20</v>
      </c>
      <c r="AI40" s="49">
        <v>40</v>
      </c>
      <c r="AJ40" s="49"/>
      <c r="AK40" s="47">
        <f t="shared" si="0"/>
        <v>615</v>
      </c>
      <c r="AL40" s="47"/>
      <c r="AM40" s="47">
        <f t="shared" si="1"/>
        <v>615</v>
      </c>
      <c r="AN40" s="47"/>
      <c r="AO40" s="47"/>
      <c r="AP40" s="47"/>
      <c r="AQ40" s="48"/>
      <c r="AR40" s="48"/>
      <c r="AS40" s="67">
        <v>279</v>
      </c>
      <c r="AT40" s="67">
        <f t="shared" si="2"/>
        <v>171585</v>
      </c>
    </row>
    <row r="41" spans="1:46" ht="15.75" customHeight="1">
      <c r="A41" s="47">
        <v>35</v>
      </c>
      <c r="B41" s="48"/>
      <c r="C41" s="48"/>
      <c r="D41" s="48" t="s">
        <v>135</v>
      </c>
      <c r="E41" s="48"/>
      <c r="F41" s="47"/>
      <c r="G41" s="47">
        <v>0</v>
      </c>
      <c r="H41" s="47">
        <v>0</v>
      </c>
      <c r="I41" s="47">
        <v>0</v>
      </c>
      <c r="J41" s="49">
        <v>0</v>
      </c>
      <c r="K41" s="49"/>
      <c r="L41" s="47">
        <v>5</v>
      </c>
      <c r="M41" s="49"/>
      <c r="N41" s="49">
        <v>10</v>
      </c>
      <c r="O41" s="49">
        <v>20</v>
      </c>
      <c r="P41" s="49">
        <v>30</v>
      </c>
      <c r="Q41" s="49"/>
      <c r="R41" s="49"/>
      <c r="S41" s="49">
        <v>10</v>
      </c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>
        <v>50</v>
      </c>
      <c r="AI41" s="49"/>
      <c r="AJ41" s="49"/>
      <c r="AK41" s="47">
        <f t="shared" si="0"/>
        <v>125</v>
      </c>
      <c r="AL41" s="47"/>
      <c r="AM41" s="47">
        <f t="shared" si="1"/>
        <v>125</v>
      </c>
      <c r="AN41" s="47"/>
      <c r="AO41" s="47"/>
      <c r="AP41" s="47"/>
      <c r="AQ41" s="48"/>
      <c r="AR41" s="48"/>
      <c r="AS41" s="67">
        <v>279</v>
      </c>
      <c r="AT41" s="67">
        <f t="shared" si="2"/>
        <v>34875</v>
      </c>
    </row>
    <row r="42" spans="1:46" ht="15.75" customHeight="1">
      <c r="A42" s="47">
        <v>36</v>
      </c>
      <c r="B42" s="48"/>
      <c r="C42" s="48"/>
      <c r="D42" s="48" t="s">
        <v>136</v>
      </c>
      <c r="E42" s="48"/>
      <c r="F42" s="47"/>
      <c r="G42" s="47">
        <v>0</v>
      </c>
      <c r="H42" s="47">
        <v>0</v>
      </c>
      <c r="I42" s="47">
        <v>0</v>
      </c>
      <c r="J42" s="47">
        <v>0</v>
      </c>
      <c r="K42" s="47"/>
      <c r="L42" s="47"/>
      <c r="M42" s="49"/>
      <c r="N42" s="49">
        <v>20</v>
      </c>
      <c r="O42" s="49"/>
      <c r="P42" s="49">
        <v>30</v>
      </c>
      <c r="Q42" s="49">
        <v>20</v>
      </c>
      <c r="R42" s="49"/>
      <c r="S42" s="49">
        <v>15</v>
      </c>
      <c r="T42" s="49">
        <v>20</v>
      </c>
      <c r="U42" s="49">
        <v>20</v>
      </c>
      <c r="V42" s="49">
        <v>35</v>
      </c>
      <c r="W42" s="49"/>
      <c r="X42" s="49">
        <v>20</v>
      </c>
      <c r="Y42" s="49">
        <v>20</v>
      </c>
      <c r="Z42" s="49">
        <v>20</v>
      </c>
      <c r="AA42" s="49">
        <v>20</v>
      </c>
      <c r="AB42" s="49"/>
      <c r="AC42" s="49">
        <v>20</v>
      </c>
      <c r="AD42" s="49">
        <v>20</v>
      </c>
      <c r="AE42" s="49">
        <v>20</v>
      </c>
      <c r="AF42" s="49">
        <v>20</v>
      </c>
      <c r="AG42" s="49">
        <v>25</v>
      </c>
      <c r="AH42" s="49"/>
      <c r="AI42" s="49">
        <v>20</v>
      </c>
      <c r="AJ42" s="49"/>
      <c r="AK42" s="47">
        <f t="shared" si="0"/>
        <v>365</v>
      </c>
      <c r="AL42" s="47"/>
      <c r="AM42" s="47">
        <f t="shared" si="1"/>
        <v>365</v>
      </c>
      <c r="AN42" s="47"/>
      <c r="AO42" s="47"/>
      <c r="AP42" s="47"/>
      <c r="AQ42" s="48"/>
      <c r="AR42" s="48"/>
      <c r="AS42" s="67">
        <v>279</v>
      </c>
      <c r="AT42" s="67">
        <f t="shared" si="2"/>
        <v>101835</v>
      </c>
    </row>
    <row r="43" spans="1:46" ht="15.75" customHeight="1">
      <c r="A43" s="47">
        <v>37</v>
      </c>
      <c r="B43" s="48"/>
      <c r="C43" s="48"/>
      <c r="D43" s="48" t="s">
        <v>137</v>
      </c>
      <c r="E43" s="48"/>
      <c r="F43" s="47"/>
      <c r="G43" s="47">
        <v>0</v>
      </c>
      <c r="H43" s="47">
        <v>0</v>
      </c>
      <c r="I43" s="47">
        <v>0</v>
      </c>
      <c r="J43" s="47">
        <v>0</v>
      </c>
      <c r="K43" s="47"/>
      <c r="L43" s="47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7">
        <f t="shared" si="0"/>
        <v>0</v>
      </c>
      <c r="AL43" s="47"/>
      <c r="AM43" s="47">
        <f t="shared" si="1"/>
        <v>0</v>
      </c>
      <c r="AN43" s="47"/>
      <c r="AO43" s="47"/>
      <c r="AP43" s="47"/>
      <c r="AQ43" s="48"/>
      <c r="AR43" s="48"/>
      <c r="AS43" s="67">
        <v>279</v>
      </c>
      <c r="AT43" s="67">
        <f t="shared" si="2"/>
        <v>0</v>
      </c>
    </row>
    <row r="44" spans="1:46" ht="15.75" customHeight="1">
      <c r="A44" s="47">
        <v>38</v>
      </c>
      <c r="B44" s="48"/>
      <c r="C44" s="48"/>
      <c r="D44" s="48" t="s">
        <v>138</v>
      </c>
      <c r="E44" s="48"/>
      <c r="F44" s="47"/>
      <c r="G44" s="47">
        <v>0</v>
      </c>
      <c r="H44" s="47">
        <v>0</v>
      </c>
      <c r="I44" s="47">
        <v>0</v>
      </c>
      <c r="J44" s="47">
        <v>0</v>
      </c>
      <c r="K44" s="47"/>
      <c r="L44" s="47"/>
      <c r="M44" s="49"/>
      <c r="N44" s="49"/>
      <c r="O44" s="49">
        <v>160</v>
      </c>
      <c r="P44" s="49"/>
      <c r="Q44" s="49"/>
      <c r="R44" s="49"/>
      <c r="S44" s="49"/>
      <c r="T44" s="49"/>
      <c r="U44" s="49"/>
      <c r="V44" s="71">
        <v>90</v>
      </c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7">
        <f t="shared" si="0"/>
        <v>250</v>
      </c>
      <c r="AL44" s="47"/>
      <c r="AM44" s="47">
        <f t="shared" si="1"/>
        <v>250</v>
      </c>
      <c r="AN44" s="47"/>
      <c r="AO44" s="47"/>
      <c r="AP44" s="47"/>
      <c r="AQ44" s="48"/>
      <c r="AR44" s="48"/>
      <c r="AS44" s="67">
        <v>279</v>
      </c>
      <c r="AT44" s="67">
        <f t="shared" si="2"/>
        <v>69750</v>
      </c>
    </row>
    <row r="45" spans="1:46" ht="15.75" customHeight="1">
      <c r="A45" s="47">
        <v>39</v>
      </c>
      <c r="B45" s="48"/>
      <c r="C45" s="48"/>
      <c r="D45" s="48" t="s">
        <v>139</v>
      </c>
      <c r="E45" s="48"/>
      <c r="F45" s="47"/>
      <c r="G45" s="47">
        <v>0</v>
      </c>
      <c r="H45" s="47">
        <v>0</v>
      </c>
      <c r="I45" s="47">
        <v>0</v>
      </c>
      <c r="J45" s="47">
        <v>0</v>
      </c>
      <c r="K45" s="47"/>
      <c r="L45" s="47"/>
      <c r="M45" s="49"/>
      <c r="N45" s="49"/>
      <c r="O45" s="49">
        <v>120</v>
      </c>
      <c r="P45" s="49"/>
      <c r="Q45" s="49"/>
      <c r="R45" s="49"/>
      <c r="S45" s="49"/>
      <c r="T45" s="49">
        <v>300</v>
      </c>
      <c r="U45" s="49"/>
      <c r="V45" s="49">
        <v>30</v>
      </c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7">
        <f t="shared" si="0"/>
        <v>450</v>
      </c>
      <c r="AL45" s="47"/>
      <c r="AM45" s="47">
        <f t="shared" si="1"/>
        <v>450</v>
      </c>
      <c r="AN45" s="47"/>
      <c r="AO45" s="47"/>
      <c r="AP45" s="47"/>
      <c r="AQ45" s="48"/>
      <c r="AR45" s="48"/>
      <c r="AS45" s="67">
        <v>279</v>
      </c>
      <c r="AT45" s="67">
        <f t="shared" si="2"/>
        <v>125550</v>
      </c>
    </row>
    <row r="46" spans="1:46" ht="15.75" customHeight="1">
      <c r="A46" s="47">
        <v>40</v>
      </c>
      <c r="B46" s="48"/>
      <c r="C46" s="48"/>
      <c r="D46" s="72" t="s">
        <v>140</v>
      </c>
      <c r="E46" s="48"/>
      <c r="F46" s="47"/>
      <c r="G46" s="47">
        <v>0</v>
      </c>
      <c r="H46" s="47">
        <v>0</v>
      </c>
      <c r="I46" s="47">
        <v>0</v>
      </c>
      <c r="J46" s="47">
        <v>0</v>
      </c>
      <c r="K46" s="47"/>
      <c r="L46" s="47"/>
      <c r="M46" s="49"/>
      <c r="N46" s="49"/>
      <c r="O46" s="49"/>
      <c r="P46" s="49"/>
      <c r="Q46" s="49">
        <v>20</v>
      </c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7">
        <f t="shared" si="0"/>
        <v>20</v>
      </c>
      <c r="AL46" s="47"/>
      <c r="AM46" s="47">
        <f t="shared" si="1"/>
        <v>20</v>
      </c>
      <c r="AN46" s="47"/>
      <c r="AO46" s="47"/>
      <c r="AP46" s="47"/>
      <c r="AQ46" s="48"/>
      <c r="AR46" s="48"/>
      <c r="AS46" s="67">
        <v>279</v>
      </c>
      <c r="AT46" s="67">
        <f t="shared" si="2"/>
        <v>5580</v>
      </c>
    </row>
    <row r="47" spans="1:46" ht="15.75" customHeight="1">
      <c r="A47" s="47">
        <v>41</v>
      </c>
      <c r="B47" s="48"/>
      <c r="C47" s="48"/>
      <c r="D47" s="70" t="s">
        <v>141</v>
      </c>
      <c r="E47" s="48"/>
      <c r="F47" s="47"/>
      <c r="G47" s="47">
        <v>0</v>
      </c>
      <c r="H47" s="47">
        <v>0</v>
      </c>
      <c r="I47" s="47">
        <v>0</v>
      </c>
      <c r="J47" s="47">
        <v>0</v>
      </c>
      <c r="K47" s="47"/>
      <c r="L47" s="47"/>
      <c r="M47" s="47"/>
      <c r="N47" s="47"/>
      <c r="O47" s="47"/>
      <c r="P47" s="47"/>
      <c r="Q47" s="47"/>
      <c r="R47" s="47">
        <v>60</v>
      </c>
      <c r="S47" s="47"/>
      <c r="T47" s="47">
        <v>40</v>
      </c>
      <c r="U47" s="47">
        <v>30</v>
      </c>
      <c r="V47" s="47">
        <v>30</v>
      </c>
      <c r="W47" s="47"/>
      <c r="X47" s="47"/>
      <c r="Y47" s="47">
        <v>30</v>
      </c>
      <c r="Z47" s="47">
        <v>30</v>
      </c>
      <c r="AA47" s="47"/>
      <c r="AB47" s="47">
        <v>60</v>
      </c>
      <c r="AC47" s="47"/>
      <c r="AD47" s="47">
        <v>60</v>
      </c>
      <c r="AE47" s="47">
        <v>70</v>
      </c>
      <c r="AF47" s="49">
        <v>30</v>
      </c>
      <c r="AG47" s="47">
        <v>40</v>
      </c>
      <c r="AH47" s="47"/>
      <c r="AI47" s="47"/>
      <c r="AJ47" s="47">
        <v>30</v>
      </c>
      <c r="AK47" s="47">
        <f t="shared" si="0"/>
        <v>510</v>
      </c>
      <c r="AL47" s="47"/>
      <c r="AM47" s="47">
        <f t="shared" si="1"/>
        <v>510</v>
      </c>
      <c r="AN47" s="47"/>
      <c r="AO47" s="47"/>
      <c r="AP47" s="47"/>
      <c r="AQ47" s="48"/>
      <c r="AR47" s="48"/>
      <c r="AS47" s="67">
        <v>279</v>
      </c>
      <c r="AT47" s="67">
        <f t="shared" si="2"/>
        <v>142290</v>
      </c>
    </row>
    <row r="48" spans="1:46" ht="15.75" customHeight="1">
      <c r="A48" s="47">
        <v>42</v>
      </c>
      <c r="B48" s="48"/>
      <c r="C48" s="48"/>
      <c r="D48" s="70" t="s">
        <v>142</v>
      </c>
      <c r="E48" s="48"/>
      <c r="F48" s="47"/>
      <c r="G48" s="47">
        <v>0</v>
      </c>
      <c r="H48" s="47">
        <v>0</v>
      </c>
      <c r="I48" s="47">
        <v>0</v>
      </c>
      <c r="J48" s="47">
        <v>0</v>
      </c>
      <c r="K48" s="47"/>
      <c r="L48" s="47"/>
      <c r="M48" s="47"/>
      <c r="N48" s="47"/>
      <c r="O48" s="47"/>
      <c r="P48" s="47"/>
      <c r="Q48" s="47"/>
      <c r="R48" s="47">
        <v>30</v>
      </c>
      <c r="S48" s="47"/>
      <c r="T48" s="47">
        <v>40</v>
      </c>
      <c r="U48" s="47">
        <v>30</v>
      </c>
      <c r="V48" s="47">
        <v>30</v>
      </c>
      <c r="W48" s="47"/>
      <c r="X48" s="47"/>
      <c r="Y48" s="47">
        <v>30</v>
      </c>
      <c r="Z48" s="47"/>
      <c r="AA48" s="47"/>
      <c r="AB48" s="47">
        <v>60</v>
      </c>
      <c r="AC48" s="47"/>
      <c r="AD48" s="47">
        <v>60</v>
      </c>
      <c r="AE48" s="47"/>
      <c r="AF48" s="49"/>
      <c r="AG48" s="47"/>
      <c r="AH48" s="47"/>
      <c r="AI48" s="47"/>
      <c r="AJ48" s="47"/>
      <c r="AK48" s="47">
        <f t="shared" si="0"/>
        <v>280</v>
      </c>
      <c r="AL48" s="47"/>
      <c r="AM48" s="47">
        <f t="shared" si="1"/>
        <v>280</v>
      </c>
      <c r="AN48" s="47"/>
      <c r="AO48" s="47"/>
      <c r="AP48" s="47"/>
      <c r="AQ48" s="48"/>
      <c r="AR48" s="48"/>
      <c r="AS48" s="67">
        <v>279</v>
      </c>
      <c r="AT48" s="67">
        <f t="shared" si="2"/>
        <v>78120</v>
      </c>
    </row>
    <row r="49" spans="1:46" ht="15.75" customHeight="1">
      <c r="A49" s="47">
        <v>43</v>
      </c>
      <c r="B49" s="48"/>
      <c r="C49" s="48"/>
      <c r="D49" s="70" t="s">
        <v>143</v>
      </c>
      <c r="E49" s="48"/>
      <c r="F49" s="47"/>
      <c r="G49" s="47">
        <v>0</v>
      </c>
      <c r="H49" s="47">
        <v>0</v>
      </c>
      <c r="I49" s="47">
        <v>0</v>
      </c>
      <c r="J49" s="47">
        <v>0</v>
      </c>
      <c r="K49" s="47"/>
      <c r="L49" s="47"/>
      <c r="M49" s="49"/>
      <c r="N49" s="49"/>
      <c r="O49" s="49"/>
      <c r="P49" s="49"/>
      <c r="Q49" s="49"/>
      <c r="R49" s="49">
        <v>10</v>
      </c>
      <c r="S49" s="49"/>
      <c r="T49" s="49">
        <v>20</v>
      </c>
      <c r="U49" s="49"/>
      <c r="V49" s="49"/>
      <c r="W49" s="49"/>
      <c r="X49" s="49"/>
      <c r="Y49" s="49">
        <v>20</v>
      </c>
      <c r="Z49" s="49"/>
      <c r="AA49" s="49"/>
      <c r="AB49" s="49"/>
      <c r="AC49" s="49"/>
      <c r="AD49" s="49">
        <v>20</v>
      </c>
      <c r="AE49" s="49"/>
      <c r="AF49" s="49">
        <v>20</v>
      </c>
      <c r="AG49" s="49"/>
      <c r="AH49" s="49"/>
      <c r="AI49" s="49">
        <v>20</v>
      </c>
      <c r="AJ49" s="49"/>
      <c r="AK49" s="47">
        <f t="shared" si="0"/>
        <v>110</v>
      </c>
      <c r="AL49" s="47"/>
      <c r="AM49" s="47">
        <f t="shared" si="1"/>
        <v>110</v>
      </c>
      <c r="AN49" s="47"/>
      <c r="AO49" s="47"/>
      <c r="AP49" s="47"/>
      <c r="AQ49" s="48"/>
      <c r="AR49" s="48"/>
      <c r="AS49" s="67">
        <v>279</v>
      </c>
      <c r="AT49" s="67">
        <f t="shared" si="2"/>
        <v>30690</v>
      </c>
    </row>
    <row r="50" spans="1:46" ht="15.75" customHeight="1">
      <c r="A50" s="47"/>
      <c r="B50" s="48"/>
      <c r="C50" s="48"/>
      <c r="D50" s="70" t="s">
        <v>144</v>
      </c>
      <c r="E50" s="48"/>
      <c r="F50" s="47"/>
      <c r="G50" s="47">
        <v>0</v>
      </c>
      <c r="H50" s="47">
        <v>0</v>
      </c>
      <c r="I50" s="47">
        <v>0</v>
      </c>
      <c r="J50" s="47">
        <v>0</v>
      </c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>
        <v>30</v>
      </c>
      <c r="AA50" s="47"/>
      <c r="AB50" s="47">
        <v>30</v>
      </c>
      <c r="AC50" s="47"/>
      <c r="AD50" s="47">
        <v>60</v>
      </c>
      <c r="AE50" s="47">
        <v>40</v>
      </c>
      <c r="AF50" s="49">
        <v>40</v>
      </c>
      <c r="AG50" s="47">
        <v>40</v>
      </c>
      <c r="AH50" s="47">
        <v>40</v>
      </c>
      <c r="AI50" s="47">
        <v>40</v>
      </c>
      <c r="AJ50" s="47">
        <v>35</v>
      </c>
      <c r="AK50" s="47">
        <f t="shared" si="0"/>
        <v>355</v>
      </c>
      <c r="AL50" s="47"/>
      <c r="AM50" s="47">
        <f t="shared" si="1"/>
        <v>355</v>
      </c>
      <c r="AN50" s="47"/>
      <c r="AO50" s="47"/>
      <c r="AP50" s="47"/>
      <c r="AQ50" s="48"/>
      <c r="AR50" s="48"/>
      <c r="AS50" s="67">
        <v>279</v>
      </c>
      <c r="AT50" s="67">
        <f t="shared" si="2"/>
        <v>99045</v>
      </c>
    </row>
    <row r="51" spans="1:46" ht="15.75" customHeight="1">
      <c r="A51" s="47">
        <v>44</v>
      </c>
      <c r="B51" s="48"/>
      <c r="C51" s="48"/>
      <c r="D51" s="48" t="s">
        <v>102</v>
      </c>
      <c r="E51" s="48"/>
      <c r="F51" s="47"/>
      <c r="G51" s="47">
        <v>0</v>
      </c>
      <c r="H51" s="47">
        <v>0</v>
      </c>
      <c r="I51" s="47">
        <v>0</v>
      </c>
      <c r="J51" s="47">
        <v>0</v>
      </c>
      <c r="K51" s="47"/>
      <c r="L51" s="47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7">
        <f t="shared" si="0"/>
        <v>0</v>
      </c>
      <c r="AL51" s="47"/>
      <c r="AM51" s="47">
        <f t="shared" si="1"/>
        <v>0</v>
      </c>
      <c r="AN51" s="47"/>
      <c r="AO51" s="47"/>
      <c r="AP51" s="47"/>
      <c r="AQ51" s="48"/>
      <c r="AR51" s="48"/>
      <c r="AS51" s="67">
        <v>279</v>
      </c>
      <c r="AT51" s="67">
        <f t="shared" si="2"/>
        <v>0</v>
      </c>
    </row>
    <row r="52" spans="1:46" ht="15.75" customHeight="1">
      <c r="A52" s="47"/>
      <c r="B52" s="48"/>
      <c r="C52" s="48"/>
      <c r="D52" s="48" t="s">
        <v>145</v>
      </c>
      <c r="E52" s="48"/>
      <c r="F52" s="47"/>
      <c r="G52" s="47">
        <v>0</v>
      </c>
      <c r="H52" s="47">
        <v>0</v>
      </c>
      <c r="I52" s="47">
        <v>0</v>
      </c>
      <c r="J52" s="47">
        <v>0</v>
      </c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>
        <v>30</v>
      </c>
      <c r="AC52" s="47"/>
      <c r="AD52" s="47">
        <v>60</v>
      </c>
      <c r="AE52" s="47">
        <v>70</v>
      </c>
      <c r="AF52" s="49">
        <v>30</v>
      </c>
      <c r="AG52" s="47">
        <v>40</v>
      </c>
      <c r="AH52" s="47">
        <v>40</v>
      </c>
      <c r="AI52" s="47">
        <v>40</v>
      </c>
      <c r="AJ52" s="47"/>
      <c r="AK52" s="47">
        <f t="shared" si="0"/>
        <v>310</v>
      </c>
      <c r="AL52" s="47"/>
      <c r="AM52" s="47">
        <f t="shared" si="1"/>
        <v>310</v>
      </c>
      <c r="AN52" s="47"/>
      <c r="AO52" s="47"/>
      <c r="AP52" s="47"/>
      <c r="AQ52" s="48"/>
      <c r="AR52" s="48"/>
      <c r="AS52" s="67">
        <v>279</v>
      </c>
      <c r="AT52" s="67">
        <f t="shared" si="2"/>
        <v>86490</v>
      </c>
    </row>
    <row r="53" spans="1:46" ht="15.75" customHeight="1">
      <c r="A53" s="47"/>
      <c r="B53" s="48"/>
      <c r="C53" s="48"/>
      <c r="D53" s="48" t="s">
        <v>146</v>
      </c>
      <c r="E53" s="48"/>
      <c r="F53" s="47"/>
      <c r="G53" s="47">
        <v>0</v>
      </c>
      <c r="H53" s="47">
        <v>0</v>
      </c>
      <c r="I53" s="47">
        <v>0</v>
      </c>
      <c r="J53" s="47">
        <v>0</v>
      </c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>
        <v>30</v>
      </c>
      <c r="AC53" s="47"/>
      <c r="AD53" s="47">
        <v>30</v>
      </c>
      <c r="AE53" s="47">
        <v>40</v>
      </c>
      <c r="AF53" s="49">
        <v>30</v>
      </c>
      <c r="AG53" s="47">
        <v>40</v>
      </c>
      <c r="AH53" s="47">
        <v>40</v>
      </c>
      <c r="AI53" s="47">
        <v>40</v>
      </c>
      <c r="AJ53" s="47"/>
      <c r="AK53" s="47">
        <f t="shared" si="0"/>
        <v>250</v>
      </c>
      <c r="AL53" s="47"/>
      <c r="AM53" s="47">
        <f t="shared" si="1"/>
        <v>250</v>
      </c>
      <c r="AN53" s="47"/>
      <c r="AO53" s="47"/>
      <c r="AP53" s="47"/>
      <c r="AQ53" s="48"/>
      <c r="AR53" s="48"/>
      <c r="AS53" s="67">
        <v>279</v>
      </c>
      <c r="AT53" s="67">
        <f t="shared" si="2"/>
        <v>69750</v>
      </c>
    </row>
    <row r="54" spans="1:46" ht="15.75" customHeight="1">
      <c r="A54" s="47"/>
      <c r="B54" s="48"/>
      <c r="C54" s="48"/>
      <c r="D54" s="48" t="s">
        <v>147</v>
      </c>
      <c r="E54" s="48"/>
      <c r="F54" s="47"/>
      <c r="G54" s="47">
        <v>0</v>
      </c>
      <c r="H54" s="47">
        <v>0</v>
      </c>
      <c r="I54" s="47">
        <v>0</v>
      </c>
      <c r="J54" s="47">
        <v>0</v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>
        <v>60</v>
      </c>
      <c r="AC54" s="47"/>
      <c r="AD54" s="47">
        <v>40</v>
      </c>
      <c r="AE54" s="47">
        <v>70</v>
      </c>
      <c r="AF54" s="49"/>
      <c r="AG54" s="47">
        <v>40</v>
      </c>
      <c r="AH54" s="47">
        <v>40</v>
      </c>
      <c r="AI54" s="47">
        <v>40</v>
      </c>
      <c r="AJ54" s="47">
        <v>30</v>
      </c>
      <c r="AK54" s="47">
        <f t="shared" si="0"/>
        <v>320</v>
      </c>
      <c r="AL54" s="47"/>
      <c r="AM54" s="47">
        <f t="shared" si="1"/>
        <v>320</v>
      </c>
      <c r="AN54" s="47"/>
      <c r="AO54" s="47"/>
      <c r="AP54" s="47"/>
      <c r="AQ54" s="48"/>
      <c r="AR54" s="48"/>
      <c r="AS54" s="67">
        <v>279</v>
      </c>
      <c r="AT54" s="67">
        <f t="shared" si="2"/>
        <v>89280</v>
      </c>
    </row>
    <row r="55" spans="1:46" ht="15.75" customHeight="1">
      <c r="A55" s="47"/>
      <c r="B55" s="48"/>
      <c r="C55" s="48"/>
      <c r="D55" s="48" t="s">
        <v>148</v>
      </c>
      <c r="E55" s="48"/>
      <c r="F55" s="47"/>
      <c r="G55" s="47">
        <v>0</v>
      </c>
      <c r="H55" s="47">
        <v>0</v>
      </c>
      <c r="I55" s="47">
        <v>0</v>
      </c>
      <c r="J55" s="47">
        <v>0</v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>
        <v>100</v>
      </c>
      <c r="AC55" s="47"/>
      <c r="AD55" s="47"/>
      <c r="AE55" s="47"/>
      <c r="AF55" s="49"/>
      <c r="AG55" s="47"/>
      <c r="AH55" s="47"/>
      <c r="AI55" s="47"/>
      <c r="AJ55" s="47"/>
      <c r="AK55" s="47">
        <f t="shared" si="0"/>
        <v>100</v>
      </c>
      <c r="AL55" s="47"/>
      <c r="AM55" s="47">
        <f t="shared" si="1"/>
        <v>100</v>
      </c>
      <c r="AN55" s="47"/>
      <c r="AO55" s="47"/>
      <c r="AP55" s="47"/>
      <c r="AQ55" s="48"/>
      <c r="AR55" s="48"/>
      <c r="AS55" s="67">
        <v>279</v>
      </c>
      <c r="AT55" s="67">
        <f t="shared" si="2"/>
        <v>27900</v>
      </c>
    </row>
    <row r="56" spans="1:46" ht="15.75" customHeight="1">
      <c r="A56" s="47"/>
      <c r="B56" s="48"/>
      <c r="C56" s="48"/>
      <c r="D56" s="48" t="s">
        <v>149</v>
      </c>
      <c r="E56" s="48"/>
      <c r="F56" s="47"/>
      <c r="G56" s="47">
        <v>0</v>
      </c>
      <c r="H56" s="47">
        <v>0</v>
      </c>
      <c r="I56" s="47">
        <v>0</v>
      </c>
      <c r="J56" s="47">
        <v>0</v>
      </c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>
        <v>20</v>
      </c>
      <c r="AE56" s="47"/>
      <c r="AF56" s="49"/>
      <c r="AG56" s="47"/>
      <c r="AH56" s="47"/>
      <c r="AI56" s="47"/>
      <c r="AJ56" s="47"/>
      <c r="AK56" s="47">
        <f t="shared" si="0"/>
        <v>20</v>
      </c>
      <c r="AL56" s="47"/>
      <c r="AM56" s="47">
        <f t="shared" si="1"/>
        <v>20</v>
      </c>
      <c r="AN56" s="47"/>
      <c r="AO56" s="47"/>
      <c r="AP56" s="47"/>
      <c r="AQ56" s="48"/>
      <c r="AR56" s="48"/>
      <c r="AS56" s="67">
        <v>279</v>
      </c>
      <c r="AT56" s="67">
        <f t="shared" si="2"/>
        <v>5580</v>
      </c>
    </row>
    <row r="57" spans="1:46" ht="15.75" customHeight="1">
      <c r="A57" s="47"/>
      <c r="B57" s="48"/>
      <c r="C57" s="48"/>
      <c r="D57" s="48" t="s">
        <v>150</v>
      </c>
      <c r="E57" s="48"/>
      <c r="F57" s="47"/>
      <c r="G57" s="47">
        <v>0</v>
      </c>
      <c r="H57" s="47">
        <v>0</v>
      </c>
      <c r="I57" s="47">
        <v>0</v>
      </c>
      <c r="J57" s="47">
        <v>0</v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9">
        <v>10</v>
      </c>
      <c r="AG57" s="47"/>
      <c r="AH57" s="47"/>
      <c r="AI57" s="47"/>
      <c r="AJ57" s="47"/>
      <c r="AK57" s="47">
        <f t="shared" si="0"/>
        <v>10</v>
      </c>
      <c r="AL57" s="47"/>
      <c r="AM57" s="47">
        <f t="shared" si="1"/>
        <v>10</v>
      </c>
      <c r="AN57" s="47"/>
      <c r="AO57" s="47"/>
      <c r="AP57" s="47"/>
      <c r="AQ57" s="48"/>
      <c r="AR57" s="48"/>
      <c r="AS57" s="67">
        <v>279</v>
      </c>
      <c r="AT57" s="67">
        <f t="shared" si="2"/>
        <v>2790</v>
      </c>
    </row>
    <row r="58" spans="1:46" ht="15.75" customHeight="1">
      <c r="A58" s="47"/>
      <c r="B58" s="48"/>
      <c r="C58" s="48"/>
      <c r="D58" s="48" t="s">
        <v>151</v>
      </c>
      <c r="E58" s="48"/>
      <c r="F58" s="47"/>
      <c r="G58" s="47">
        <v>0</v>
      </c>
      <c r="H58" s="47">
        <v>0</v>
      </c>
      <c r="I58" s="47">
        <v>0</v>
      </c>
      <c r="J58" s="47">
        <v>0</v>
      </c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>
        <v>40</v>
      </c>
      <c r="AA58" s="47">
        <v>20</v>
      </c>
      <c r="AB58" s="47">
        <v>60</v>
      </c>
      <c r="AC58" s="47">
        <v>40</v>
      </c>
      <c r="AD58" s="47">
        <v>40</v>
      </c>
      <c r="AE58" s="47">
        <v>40</v>
      </c>
      <c r="AF58" s="49">
        <v>20</v>
      </c>
      <c r="AG58" s="47">
        <v>15</v>
      </c>
      <c r="AH58" s="47"/>
      <c r="AI58" s="47"/>
      <c r="AJ58" s="47"/>
      <c r="AK58" s="47">
        <f t="shared" si="0"/>
        <v>275</v>
      </c>
      <c r="AL58" s="47"/>
      <c r="AM58" s="47">
        <f t="shared" si="1"/>
        <v>275</v>
      </c>
      <c r="AN58" s="47"/>
      <c r="AO58" s="47"/>
      <c r="AP58" s="47"/>
      <c r="AQ58" s="48"/>
      <c r="AR58" s="48"/>
      <c r="AS58" s="67">
        <v>279</v>
      </c>
      <c r="AT58" s="67">
        <f t="shared" si="2"/>
        <v>76725</v>
      </c>
    </row>
    <row r="59" spans="1:46" ht="15.75" customHeight="1">
      <c r="A59" s="47"/>
      <c r="B59" s="48"/>
      <c r="C59" s="48"/>
      <c r="D59" s="48" t="s">
        <v>152</v>
      </c>
      <c r="E59" s="48"/>
      <c r="F59" s="47"/>
      <c r="G59" s="47">
        <v>0</v>
      </c>
      <c r="H59" s="47">
        <v>0</v>
      </c>
      <c r="I59" s="47">
        <v>0</v>
      </c>
      <c r="J59" s="47">
        <v>0</v>
      </c>
      <c r="K59" s="49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9"/>
      <c r="AG59" s="47">
        <v>15</v>
      </c>
      <c r="AH59" s="47"/>
      <c r="AI59" s="47"/>
      <c r="AJ59" s="47"/>
      <c r="AK59" s="47">
        <f t="shared" si="0"/>
        <v>15</v>
      </c>
      <c r="AL59" s="47"/>
      <c r="AM59" s="47">
        <f t="shared" si="1"/>
        <v>15</v>
      </c>
      <c r="AN59" s="47"/>
      <c r="AO59" s="47"/>
      <c r="AP59" s="47"/>
      <c r="AQ59" s="48"/>
      <c r="AR59" s="48"/>
      <c r="AS59" s="67">
        <v>279</v>
      </c>
      <c r="AT59" s="67">
        <f t="shared" si="2"/>
        <v>4185</v>
      </c>
    </row>
    <row r="60" spans="1:46" ht="15.75" customHeight="1">
      <c r="A60" s="47"/>
      <c r="B60" s="48"/>
      <c r="C60" s="48"/>
      <c r="D60" s="48"/>
      <c r="E60" s="48"/>
      <c r="F60" s="51">
        <f t="shared" ref="F60:AJ60" si="3">SUM(F7:F59)</f>
        <v>0</v>
      </c>
      <c r="G60" s="51">
        <f t="shared" si="3"/>
        <v>340</v>
      </c>
      <c r="H60" s="51">
        <f t="shared" si="3"/>
        <v>525</v>
      </c>
      <c r="I60" s="51">
        <f t="shared" si="3"/>
        <v>505</v>
      </c>
      <c r="J60" s="51">
        <f t="shared" si="3"/>
        <v>405</v>
      </c>
      <c r="K60" s="51">
        <f t="shared" si="3"/>
        <v>460</v>
      </c>
      <c r="L60" s="51">
        <f t="shared" si="3"/>
        <v>815</v>
      </c>
      <c r="M60" s="51">
        <f t="shared" si="3"/>
        <v>145</v>
      </c>
      <c r="N60" s="51">
        <f t="shared" si="3"/>
        <v>755</v>
      </c>
      <c r="O60" s="51">
        <f t="shared" si="3"/>
        <v>952</v>
      </c>
      <c r="P60" s="51">
        <f t="shared" si="3"/>
        <v>805</v>
      </c>
      <c r="Q60" s="51">
        <f t="shared" si="3"/>
        <v>360</v>
      </c>
      <c r="R60" s="51">
        <f t="shared" si="3"/>
        <v>558</v>
      </c>
      <c r="S60" s="51">
        <f t="shared" si="3"/>
        <v>275</v>
      </c>
      <c r="T60" s="51">
        <f t="shared" si="3"/>
        <v>1110</v>
      </c>
      <c r="U60" s="51">
        <f t="shared" si="3"/>
        <v>710</v>
      </c>
      <c r="V60" s="51">
        <f t="shared" si="3"/>
        <v>675</v>
      </c>
      <c r="W60" s="51">
        <f t="shared" si="3"/>
        <v>105</v>
      </c>
      <c r="X60" s="51">
        <f t="shared" si="3"/>
        <v>85</v>
      </c>
      <c r="Y60" s="51">
        <f t="shared" si="3"/>
        <v>570</v>
      </c>
      <c r="Z60" s="51">
        <f t="shared" si="3"/>
        <v>535</v>
      </c>
      <c r="AA60" s="51">
        <f t="shared" si="3"/>
        <v>85</v>
      </c>
      <c r="AB60" s="51">
        <f t="shared" si="3"/>
        <v>1290</v>
      </c>
      <c r="AC60" s="51">
        <f t="shared" si="3"/>
        <v>135</v>
      </c>
      <c r="AD60" s="51">
        <f t="shared" si="3"/>
        <v>1160</v>
      </c>
      <c r="AE60" s="51">
        <f t="shared" si="3"/>
        <v>1215</v>
      </c>
      <c r="AF60" s="51">
        <f t="shared" si="3"/>
        <v>805</v>
      </c>
      <c r="AG60" s="51">
        <f t="shared" si="3"/>
        <v>845</v>
      </c>
      <c r="AH60" s="51">
        <f t="shared" si="3"/>
        <v>905</v>
      </c>
      <c r="AI60" s="51">
        <f t="shared" si="3"/>
        <v>765</v>
      </c>
      <c r="AJ60" s="51">
        <f t="shared" si="3"/>
        <v>535</v>
      </c>
      <c r="AK60" s="69">
        <f>SUM(AK7:AK55)</f>
        <v>18110</v>
      </c>
      <c r="AL60" s="69"/>
      <c r="AM60" s="69">
        <f>SUM(AM7:AM56)</f>
        <v>18130</v>
      </c>
      <c r="AN60" s="47"/>
      <c r="AO60" s="47"/>
      <c r="AP60" s="47"/>
      <c r="AQ60" s="48"/>
      <c r="AR60" s="48"/>
      <c r="AS60" s="67"/>
      <c r="AT60" s="73">
        <f>SUM(AT7:AT51)</f>
        <v>4779270</v>
      </c>
    </row>
    <row r="61" spans="1:46" ht="15.75" customHeight="1">
      <c r="A61" s="53" t="s">
        <v>61</v>
      </c>
      <c r="B61" s="54"/>
      <c r="C61" s="54"/>
      <c r="D61" s="46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</row>
    <row r="62" spans="1:46" ht="15.75" customHeight="1">
      <c r="A62" s="47">
        <v>1</v>
      </c>
      <c r="B62" s="48"/>
      <c r="C62" s="48"/>
      <c r="D62" s="48" t="s">
        <v>103</v>
      </c>
      <c r="E62" s="48"/>
      <c r="F62" s="49"/>
      <c r="G62" s="49">
        <v>0</v>
      </c>
      <c r="H62" s="49">
        <v>15</v>
      </c>
      <c r="I62" s="49">
        <v>15</v>
      </c>
      <c r="J62" s="49">
        <v>20</v>
      </c>
      <c r="K62" s="69">
        <v>15</v>
      </c>
      <c r="L62" s="49">
        <v>20</v>
      </c>
      <c r="M62" s="49">
        <v>10</v>
      </c>
      <c r="N62" s="49">
        <v>10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>
        <v>20</v>
      </c>
      <c r="AD62" s="49">
        <v>30</v>
      </c>
      <c r="AE62" s="49">
        <v>15</v>
      </c>
      <c r="AF62" s="49">
        <v>15</v>
      </c>
      <c r="AG62" s="49">
        <v>25</v>
      </c>
      <c r="AH62" s="49">
        <v>10</v>
      </c>
      <c r="AI62" s="49"/>
      <c r="AJ62" s="49">
        <v>15</v>
      </c>
      <c r="AK62" s="47"/>
      <c r="AL62" s="47"/>
      <c r="AM62" s="47"/>
      <c r="AN62" s="47"/>
      <c r="AO62" s="47"/>
      <c r="AP62" s="47"/>
      <c r="AQ62" s="48"/>
      <c r="AR62" s="48"/>
      <c r="AS62" s="67">
        <v>279</v>
      </c>
      <c r="AT62" s="74">
        <f t="shared" ref="AT62:AT86" si="4">AS62*AM62</f>
        <v>0</v>
      </c>
    </row>
    <row r="63" spans="1:46" ht="15.75" customHeight="1">
      <c r="A63" s="47">
        <v>2</v>
      </c>
      <c r="B63" s="48"/>
      <c r="C63" s="48"/>
      <c r="D63" s="48" t="s">
        <v>56</v>
      </c>
      <c r="E63" s="48"/>
      <c r="F63" s="49"/>
      <c r="G63" s="49">
        <v>0</v>
      </c>
      <c r="H63" s="49">
        <v>0</v>
      </c>
      <c r="I63" s="49">
        <v>0</v>
      </c>
      <c r="J63" s="49">
        <v>0</v>
      </c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7"/>
      <c r="AL63" s="47"/>
      <c r="AM63" s="47"/>
      <c r="AN63" s="47"/>
      <c r="AO63" s="47"/>
      <c r="AP63" s="47"/>
      <c r="AQ63" s="48"/>
      <c r="AR63" s="48"/>
      <c r="AS63" s="67">
        <v>279</v>
      </c>
      <c r="AT63" s="74">
        <f t="shared" si="4"/>
        <v>0</v>
      </c>
    </row>
    <row r="64" spans="1:46" ht="15.75" customHeight="1">
      <c r="A64" s="47">
        <v>3</v>
      </c>
      <c r="B64" s="48"/>
      <c r="C64" s="48"/>
      <c r="D64" s="48" t="s">
        <v>104</v>
      </c>
      <c r="E64" s="48"/>
      <c r="F64" s="49"/>
      <c r="G64" s="49">
        <v>15</v>
      </c>
      <c r="H64" s="49">
        <v>0</v>
      </c>
      <c r="I64" s="49">
        <v>0</v>
      </c>
      <c r="J64" s="49">
        <v>0</v>
      </c>
      <c r="K64" s="69">
        <v>10</v>
      </c>
      <c r="L64" s="49"/>
      <c r="M64" s="49">
        <v>10</v>
      </c>
      <c r="N64" s="49">
        <v>20</v>
      </c>
      <c r="O64" s="49">
        <v>20</v>
      </c>
      <c r="P64" s="49">
        <v>20</v>
      </c>
      <c r="Q64" s="49">
        <v>10</v>
      </c>
      <c r="R64" s="49">
        <v>15</v>
      </c>
      <c r="S64" s="49">
        <v>10</v>
      </c>
      <c r="T64" s="49">
        <v>10</v>
      </c>
      <c r="U64" s="49"/>
      <c r="V64" s="49">
        <v>20</v>
      </c>
      <c r="W64" s="49">
        <v>20</v>
      </c>
      <c r="X64" s="71">
        <v>25</v>
      </c>
      <c r="Y64" s="49">
        <v>10</v>
      </c>
      <c r="Z64" s="49"/>
      <c r="AA64" s="49">
        <v>20</v>
      </c>
      <c r="AB64" s="49">
        <v>30</v>
      </c>
      <c r="AC64" s="49">
        <v>20</v>
      </c>
      <c r="AD64" s="49"/>
      <c r="AE64" s="49">
        <v>20</v>
      </c>
      <c r="AF64" s="49">
        <v>20</v>
      </c>
      <c r="AG64" s="49">
        <v>10</v>
      </c>
      <c r="AH64" s="49">
        <v>10</v>
      </c>
      <c r="AI64" s="49"/>
      <c r="AJ64" s="49">
        <v>20</v>
      </c>
      <c r="AK64" s="47"/>
      <c r="AL64" s="47"/>
      <c r="AM64" s="47"/>
      <c r="AN64" s="47"/>
      <c r="AO64" s="47"/>
      <c r="AP64" s="47"/>
      <c r="AQ64" s="48"/>
      <c r="AR64" s="48"/>
      <c r="AS64" s="67">
        <v>279</v>
      </c>
      <c r="AT64" s="74">
        <f t="shared" si="4"/>
        <v>0</v>
      </c>
    </row>
    <row r="65" spans="1:46" ht="15.75" customHeight="1">
      <c r="A65" s="47">
        <v>4</v>
      </c>
      <c r="B65" s="48"/>
      <c r="C65" s="48"/>
      <c r="D65" s="48" t="s">
        <v>105</v>
      </c>
      <c r="E65" s="48"/>
      <c r="F65" s="49"/>
      <c r="G65" s="49">
        <v>0</v>
      </c>
      <c r="H65" s="49">
        <v>0</v>
      </c>
      <c r="I65" s="49">
        <v>0</v>
      </c>
      <c r="J65" s="49">
        <v>0</v>
      </c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7"/>
      <c r="AL65" s="47"/>
      <c r="AM65" s="47"/>
      <c r="AN65" s="47"/>
      <c r="AO65" s="47"/>
      <c r="AP65" s="47"/>
      <c r="AQ65" s="48"/>
      <c r="AR65" s="48"/>
      <c r="AS65" s="67">
        <v>279</v>
      </c>
      <c r="AT65" s="74">
        <f t="shared" si="4"/>
        <v>0</v>
      </c>
    </row>
    <row r="66" spans="1:46" ht="15.75" customHeight="1">
      <c r="A66" s="47">
        <v>5</v>
      </c>
      <c r="B66" s="48"/>
      <c r="C66" s="48"/>
      <c r="D66" s="48" t="s">
        <v>106</v>
      </c>
      <c r="E66" s="48"/>
      <c r="F66" s="49"/>
      <c r="G66" s="49">
        <v>0</v>
      </c>
      <c r="H66" s="49">
        <v>30</v>
      </c>
      <c r="I66" s="49">
        <v>40</v>
      </c>
      <c r="J66" s="49">
        <v>0</v>
      </c>
      <c r="K66" s="49">
        <v>40</v>
      </c>
      <c r="L66" s="49">
        <v>40</v>
      </c>
      <c r="M66" s="49">
        <v>40</v>
      </c>
      <c r="N66" s="49">
        <v>40</v>
      </c>
      <c r="O66" s="49">
        <v>60</v>
      </c>
      <c r="P66" s="49">
        <v>30</v>
      </c>
      <c r="Q66" s="49"/>
      <c r="R66" s="49">
        <v>20</v>
      </c>
      <c r="S66" s="49"/>
      <c r="T66" s="49">
        <v>40</v>
      </c>
      <c r="U66" s="49">
        <v>40</v>
      </c>
      <c r="V66" s="49">
        <v>40</v>
      </c>
      <c r="W66" s="49">
        <v>20</v>
      </c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7"/>
      <c r="AL66" s="47"/>
      <c r="AM66" s="47"/>
      <c r="AN66" s="47"/>
      <c r="AO66" s="47"/>
      <c r="AP66" s="47"/>
      <c r="AQ66" s="48"/>
      <c r="AR66" s="48"/>
      <c r="AS66" s="67">
        <v>279</v>
      </c>
      <c r="AT66" s="74">
        <f t="shared" si="4"/>
        <v>0</v>
      </c>
    </row>
    <row r="67" spans="1:46" ht="15.75" customHeight="1">
      <c r="A67" s="47">
        <v>6</v>
      </c>
      <c r="B67" s="48"/>
      <c r="C67" s="48"/>
      <c r="D67" s="48" t="s">
        <v>107</v>
      </c>
      <c r="E67" s="48"/>
      <c r="F67" s="49"/>
      <c r="G67" s="49">
        <v>0</v>
      </c>
      <c r="H67" s="49">
        <v>40</v>
      </c>
      <c r="I67" s="49">
        <v>30</v>
      </c>
      <c r="J67" s="49">
        <v>30</v>
      </c>
      <c r="K67" s="49">
        <v>40</v>
      </c>
      <c r="L67" s="49">
        <v>40</v>
      </c>
      <c r="M67" s="49">
        <v>40</v>
      </c>
      <c r="N67" s="49"/>
      <c r="O67" s="49">
        <v>60</v>
      </c>
      <c r="P67" s="49">
        <v>30</v>
      </c>
      <c r="Q67" s="49">
        <v>15</v>
      </c>
      <c r="R67" s="49">
        <v>20</v>
      </c>
      <c r="S67" s="49"/>
      <c r="T67" s="49">
        <v>40</v>
      </c>
      <c r="U67" s="49">
        <v>40</v>
      </c>
      <c r="V67" s="49">
        <v>40</v>
      </c>
      <c r="W67" s="49">
        <v>20</v>
      </c>
      <c r="X67" s="49"/>
      <c r="Y67" s="49"/>
      <c r="Z67" s="49">
        <v>30</v>
      </c>
      <c r="AA67" s="49">
        <v>20</v>
      </c>
      <c r="AB67" s="49"/>
      <c r="AC67" s="49">
        <v>30</v>
      </c>
      <c r="AD67" s="49"/>
      <c r="AE67" s="49"/>
      <c r="AF67" s="49"/>
      <c r="AG67" s="49">
        <v>30</v>
      </c>
      <c r="AH67" s="49"/>
      <c r="AI67" s="49"/>
      <c r="AJ67" s="49"/>
      <c r="AK67" s="47"/>
      <c r="AL67" s="47"/>
      <c r="AM67" s="47"/>
      <c r="AN67" s="47"/>
      <c r="AO67" s="47"/>
      <c r="AP67" s="47"/>
      <c r="AQ67" s="48"/>
      <c r="AR67" s="48"/>
      <c r="AS67" s="67">
        <v>279</v>
      </c>
      <c r="AT67" s="74">
        <f t="shared" si="4"/>
        <v>0</v>
      </c>
    </row>
    <row r="68" spans="1:46" ht="15.75" customHeight="1">
      <c r="A68" s="47">
        <v>7</v>
      </c>
      <c r="B68" s="48"/>
      <c r="C68" s="48"/>
      <c r="D68" s="48" t="s">
        <v>108</v>
      </c>
      <c r="E68" s="48"/>
      <c r="F68" s="49"/>
      <c r="G68" s="49">
        <v>5</v>
      </c>
      <c r="H68" s="49">
        <v>5</v>
      </c>
      <c r="I68" s="49">
        <v>5</v>
      </c>
      <c r="J68" s="49">
        <v>10</v>
      </c>
      <c r="K68" s="69">
        <v>10</v>
      </c>
      <c r="L68" s="49">
        <v>10</v>
      </c>
      <c r="M68" s="49"/>
      <c r="N68" s="49"/>
      <c r="O68" s="49">
        <v>5</v>
      </c>
      <c r="P68" s="49">
        <v>10</v>
      </c>
      <c r="Q68" s="49"/>
      <c r="R68" s="49"/>
      <c r="S68" s="49"/>
      <c r="T68" s="49">
        <v>5</v>
      </c>
      <c r="U68" s="49">
        <v>5</v>
      </c>
      <c r="V68" s="49">
        <v>5</v>
      </c>
      <c r="W68" s="49">
        <v>5</v>
      </c>
      <c r="X68" s="71">
        <v>5</v>
      </c>
      <c r="Y68" s="49">
        <v>5</v>
      </c>
      <c r="Z68" s="49"/>
      <c r="AA68" s="49"/>
      <c r="AB68" s="49"/>
      <c r="AC68" s="49"/>
      <c r="AD68" s="49">
        <v>5</v>
      </c>
      <c r="AE68" s="49">
        <v>5</v>
      </c>
      <c r="AF68" s="49">
        <v>5</v>
      </c>
      <c r="AG68" s="49"/>
      <c r="AH68" s="49"/>
      <c r="AI68" s="49">
        <v>5</v>
      </c>
      <c r="AJ68" s="49"/>
      <c r="AK68" s="47"/>
      <c r="AL68" s="47"/>
      <c r="AM68" s="47"/>
      <c r="AN68" s="47"/>
      <c r="AO68" s="47"/>
      <c r="AP68" s="47"/>
      <c r="AQ68" s="48"/>
      <c r="AR68" s="48"/>
      <c r="AS68" s="67">
        <v>279</v>
      </c>
      <c r="AT68" s="74">
        <f t="shared" si="4"/>
        <v>0</v>
      </c>
    </row>
    <row r="69" spans="1:46" ht="15.75" customHeight="1">
      <c r="A69" s="47">
        <v>8</v>
      </c>
      <c r="B69" s="48"/>
      <c r="C69" s="48"/>
      <c r="D69" s="48" t="s">
        <v>63</v>
      </c>
      <c r="E69" s="48"/>
      <c r="F69" s="49"/>
      <c r="G69" s="49">
        <v>0</v>
      </c>
      <c r="H69" s="49">
        <v>0</v>
      </c>
      <c r="I69" s="49">
        <v>0</v>
      </c>
      <c r="J69" s="49">
        <v>20</v>
      </c>
      <c r="K69" s="49">
        <v>30</v>
      </c>
      <c r="L69" s="49">
        <v>20</v>
      </c>
      <c r="M69" s="49">
        <v>20</v>
      </c>
      <c r="N69" s="49">
        <v>20</v>
      </c>
      <c r="O69" s="49">
        <v>20</v>
      </c>
      <c r="P69" s="49">
        <v>20</v>
      </c>
      <c r="Q69" s="49"/>
      <c r="R69" s="49"/>
      <c r="S69" s="49"/>
      <c r="T69" s="49"/>
      <c r="U69" s="49">
        <v>20</v>
      </c>
      <c r="V69" s="49">
        <v>20</v>
      </c>
      <c r="W69" s="49"/>
      <c r="X69" s="49"/>
      <c r="Y69" s="49"/>
      <c r="Z69" s="49"/>
      <c r="AA69" s="49">
        <v>10</v>
      </c>
      <c r="AB69" s="49">
        <v>20</v>
      </c>
      <c r="AC69" s="49">
        <v>10</v>
      </c>
      <c r="AD69" s="49">
        <v>20</v>
      </c>
      <c r="AE69" s="49">
        <v>25</v>
      </c>
      <c r="AF69" s="49">
        <v>10</v>
      </c>
      <c r="AG69" s="49"/>
      <c r="AH69" s="49"/>
      <c r="AI69" s="49"/>
      <c r="AJ69" s="49"/>
      <c r="AK69" s="47"/>
      <c r="AL69" s="47"/>
      <c r="AM69" s="47"/>
      <c r="AN69" s="47"/>
      <c r="AO69" s="47"/>
      <c r="AP69" s="47"/>
      <c r="AQ69" s="48"/>
      <c r="AR69" s="48"/>
      <c r="AS69" s="67">
        <v>279</v>
      </c>
      <c r="AT69" s="74">
        <f t="shared" si="4"/>
        <v>0</v>
      </c>
    </row>
    <row r="70" spans="1:46" ht="15.75" customHeight="1">
      <c r="A70" s="47">
        <v>9</v>
      </c>
      <c r="B70" s="48"/>
      <c r="C70" s="48"/>
      <c r="D70" s="48" t="s">
        <v>28</v>
      </c>
      <c r="E70" s="48"/>
      <c r="F70" s="49"/>
      <c r="G70" s="49">
        <v>0</v>
      </c>
      <c r="H70" s="49">
        <v>0</v>
      </c>
      <c r="I70" s="49">
        <v>120</v>
      </c>
      <c r="J70" s="49">
        <v>0</v>
      </c>
      <c r="K70" s="69">
        <v>124</v>
      </c>
      <c r="L70" s="49"/>
      <c r="M70" s="49"/>
      <c r="N70" s="49"/>
      <c r="O70" s="49">
        <v>130</v>
      </c>
      <c r="P70" s="49"/>
      <c r="Q70" s="49"/>
      <c r="R70" s="49"/>
      <c r="S70" s="49"/>
      <c r="T70" s="49"/>
      <c r="U70" s="49"/>
      <c r="V70" s="49">
        <v>131</v>
      </c>
      <c r="W70" s="49"/>
      <c r="X70" s="49"/>
      <c r="Y70" s="49"/>
      <c r="Z70" s="49"/>
      <c r="AA70" s="49">
        <v>120</v>
      </c>
      <c r="AB70" s="49"/>
      <c r="AC70" s="49"/>
      <c r="AD70" s="49"/>
      <c r="AE70" s="49">
        <v>40</v>
      </c>
      <c r="AF70" s="49">
        <v>20</v>
      </c>
      <c r="AG70" s="49"/>
      <c r="AH70" s="49">
        <v>30</v>
      </c>
      <c r="AI70" s="49"/>
      <c r="AJ70" s="49">
        <v>100</v>
      </c>
      <c r="AK70" s="47"/>
      <c r="AL70" s="47"/>
      <c r="AM70" s="47"/>
      <c r="AN70" s="47"/>
      <c r="AO70" s="47"/>
      <c r="AP70" s="47"/>
      <c r="AQ70" s="48"/>
      <c r="AR70" s="48"/>
      <c r="AS70" s="67">
        <v>279</v>
      </c>
      <c r="AT70" s="74">
        <f t="shared" si="4"/>
        <v>0</v>
      </c>
    </row>
    <row r="71" spans="1:46" ht="15.75" customHeight="1">
      <c r="A71" s="47">
        <v>10</v>
      </c>
      <c r="B71" s="48"/>
      <c r="C71" s="48"/>
      <c r="D71" s="48" t="s">
        <v>109</v>
      </c>
      <c r="E71" s="48"/>
      <c r="F71" s="49"/>
      <c r="G71" s="49">
        <v>15</v>
      </c>
      <c r="H71" s="49">
        <v>25</v>
      </c>
      <c r="I71" s="49">
        <v>20</v>
      </c>
      <c r="J71" s="49">
        <v>20</v>
      </c>
      <c r="K71" s="69">
        <v>20</v>
      </c>
      <c r="L71" s="49">
        <v>25</v>
      </c>
      <c r="M71" s="49">
        <v>15</v>
      </c>
      <c r="N71" s="49">
        <v>25</v>
      </c>
      <c r="O71" s="49">
        <v>30</v>
      </c>
      <c r="P71" s="49">
        <v>40</v>
      </c>
      <c r="Q71" s="49">
        <v>10</v>
      </c>
      <c r="R71" s="49">
        <v>25</v>
      </c>
      <c r="S71" s="49"/>
      <c r="T71" s="49">
        <v>25</v>
      </c>
      <c r="U71" s="49">
        <v>25</v>
      </c>
      <c r="V71" s="49">
        <v>20</v>
      </c>
      <c r="W71" s="49"/>
      <c r="X71" s="49"/>
      <c r="Y71" s="49">
        <v>25</v>
      </c>
      <c r="Z71" s="49">
        <v>20</v>
      </c>
      <c r="AA71" s="49"/>
      <c r="AB71" s="49">
        <v>35</v>
      </c>
      <c r="AC71" s="49"/>
      <c r="AD71" s="49">
        <v>25</v>
      </c>
      <c r="AE71" s="49">
        <v>20</v>
      </c>
      <c r="AF71" s="49">
        <v>35</v>
      </c>
      <c r="AG71" s="49">
        <v>20</v>
      </c>
      <c r="AH71" s="49"/>
      <c r="AI71" s="49">
        <v>25</v>
      </c>
      <c r="AJ71" s="49"/>
      <c r="AK71" s="47"/>
      <c r="AL71" s="47"/>
      <c r="AM71" s="47"/>
      <c r="AN71" s="47"/>
      <c r="AO71" s="47"/>
      <c r="AP71" s="47"/>
      <c r="AQ71" s="48"/>
      <c r="AR71" s="48"/>
      <c r="AS71" s="67">
        <v>279</v>
      </c>
      <c r="AT71" s="74">
        <f t="shared" si="4"/>
        <v>0</v>
      </c>
    </row>
    <row r="72" spans="1:46" ht="15.75" customHeight="1">
      <c r="A72" s="47">
        <v>11</v>
      </c>
      <c r="B72" s="48"/>
      <c r="C72" s="48"/>
      <c r="D72" s="48" t="s">
        <v>110</v>
      </c>
      <c r="E72" s="48"/>
      <c r="F72" s="49"/>
      <c r="G72" s="49">
        <v>15</v>
      </c>
      <c r="H72" s="49">
        <v>25</v>
      </c>
      <c r="I72" s="49">
        <v>20</v>
      </c>
      <c r="J72" s="49">
        <v>20</v>
      </c>
      <c r="K72" s="69">
        <v>20</v>
      </c>
      <c r="L72" s="49">
        <v>20</v>
      </c>
      <c r="M72" s="49">
        <v>15</v>
      </c>
      <c r="N72" s="49">
        <v>20</v>
      </c>
      <c r="O72" s="49">
        <v>30</v>
      </c>
      <c r="P72" s="49">
        <v>25</v>
      </c>
      <c r="Q72" s="49">
        <v>10</v>
      </c>
      <c r="R72" s="49">
        <v>20</v>
      </c>
      <c r="S72" s="49"/>
      <c r="T72" s="49">
        <v>25</v>
      </c>
      <c r="U72" s="49">
        <v>25</v>
      </c>
      <c r="V72" s="49">
        <v>20</v>
      </c>
      <c r="W72" s="49"/>
      <c r="X72" s="49"/>
      <c r="Y72" s="49">
        <v>20</v>
      </c>
      <c r="Z72" s="49">
        <v>15</v>
      </c>
      <c r="AA72" s="49"/>
      <c r="AB72" s="49">
        <v>20</v>
      </c>
      <c r="AC72" s="49"/>
      <c r="AD72" s="49">
        <v>25</v>
      </c>
      <c r="AE72" s="49">
        <v>20</v>
      </c>
      <c r="AF72" s="49">
        <v>35</v>
      </c>
      <c r="AG72" s="49">
        <v>20</v>
      </c>
      <c r="AH72" s="49"/>
      <c r="AI72" s="49">
        <v>25</v>
      </c>
      <c r="AJ72" s="49">
        <v>20</v>
      </c>
      <c r="AK72" s="47"/>
      <c r="AL72" s="47"/>
      <c r="AM72" s="47"/>
      <c r="AN72" s="47"/>
      <c r="AO72" s="47"/>
      <c r="AP72" s="47"/>
      <c r="AQ72" s="48"/>
      <c r="AR72" s="48"/>
      <c r="AS72" s="67">
        <v>279</v>
      </c>
      <c r="AT72" s="74">
        <f t="shared" si="4"/>
        <v>0</v>
      </c>
    </row>
    <row r="73" spans="1:46" ht="15.75" customHeight="1">
      <c r="A73" s="47">
        <v>12</v>
      </c>
      <c r="B73" s="48"/>
      <c r="C73" s="48"/>
      <c r="D73" s="48" t="s">
        <v>111</v>
      </c>
      <c r="E73" s="48"/>
      <c r="F73" s="49"/>
      <c r="G73" s="49">
        <v>15</v>
      </c>
      <c r="H73" s="49">
        <v>25</v>
      </c>
      <c r="I73" s="49">
        <v>20</v>
      </c>
      <c r="J73" s="49">
        <v>20</v>
      </c>
      <c r="K73" s="69">
        <v>15</v>
      </c>
      <c r="L73" s="49">
        <v>25</v>
      </c>
      <c r="M73" s="49"/>
      <c r="N73" s="49">
        <v>25</v>
      </c>
      <c r="O73" s="49">
        <v>25</v>
      </c>
      <c r="P73" s="49">
        <v>40</v>
      </c>
      <c r="Q73" s="49">
        <v>10</v>
      </c>
      <c r="R73" s="49">
        <v>25</v>
      </c>
      <c r="S73" s="49"/>
      <c r="T73" s="49">
        <v>25</v>
      </c>
      <c r="U73" s="49">
        <v>25</v>
      </c>
      <c r="V73" s="49">
        <v>20</v>
      </c>
      <c r="W73" s="49"/>
      <c r="X73" s="49"/>
      <c r="Y73" s="49">
        <v>25</v>
      </c>
      <c r="Z73" s="49">
        <v>20</v>
      </c>
      <c r="AA73" s="49"/>
      <c r="AB73" s="49">
        <v>35</v>
      </c>
      <c r="AC73" s="49"/>
      <c r="AD73" s="49">
        <v>25</v>
      </c>
      <c r="AE73" s="49">
        <v>20</v>
      </c>
      <c r="AF73" s="49">
        <v>45</v>
      </c>
      <c r="AG73" s="49">
        <v>20</v>
      </c>
      <c r="AH73" s="49"/>
      <c r="AI73" s="49">
        <v>25</v>
      </c>
      <c r="AJ73" s="49"/>
      <c r="AK73" s="47"/>
      <c r="AL73" s="47"/>
      <c r="AM73" s="47"/>
      <c r="AN73" s="47"/>
      <c r="AO73" s="47"/>
      <c r="AP73" s="47"/>
      <c r="AQ73" s="48"/>
      <c r="AR73" s="48"/>
      <c r="AS73" s="67">
        <v>279</v>
      </c>
      <c r="AT73" s="74">
        <f t="shared" si="4"/>
        <v>0</v>
      </c>
    </row>
    <row r="74" spans="1:46" ht="15.75" customHeight="1">
      <c r="A74" s="47">
        <v>13</v>
      </c>
      <c r="B74" s="48"/>
      <c r="C74" s="48"/>
      <c r="D74" s="48" t="s">
        <v>112</v>
      </c>
      <c r="E74" s="48"/>
      <c r="F74" s="49"/>
      <c r="G74" s="49">
        <v>0</v>
      </c>
      <c r="H74" s="49">
        <v>30</v>
      </c>
      <c r="I74" s="49">
        <v>40</v>
      </c>
      <c r="J74" s="49">
        <v>0</v>
      </c>
      <c r="K74" s="49"/>
      <c r="L74" s="49"/>
      <c r="M74" s="49"/>
      <c r="N74" s="49"/>
      <c r="O74" s="49"/>
      <c r="P74" s="49"/>
      <c r="Q74" s="49"/>
      <c r="R74" s="49"/>
      <c r="S74" s="49">
        <v>15</v>
      </c>
      <c r="T74" s="49">
        <v>30</v>
      </c>
      <c r="U74" s="49">
        <v>25</v>
      </c>
      <c r="V74" s="49">
        <v>20</v>
      </c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7"/>
      <c r="AL74" s="47"/>
      <c r="AM74" s="47"/>
      <c r="AN74" s="47"/>
      <c r="AO74" s="47"/>
      <c r="AP74" s="47"/>
      <c r="AQ74" s="48"/>
      <c r="AR74" s="48"/>
      <c r="AS74" s="67">
        <v>279</v>
      </c>
      <c r="AT74" s="74">
        <f t="shared" si="4"/>
        <v>0</v>
      </c>
    </row>
    <row r="75" spans="1:46" ht="15.75" customHeight="1">
      <c r="A75" s="47">
        <v>14</v>
      </c>
      <c r="B75" s="48"/>
      <c r="C75" s="48"/>
      <c r="D75" s="48" t="s">
        <v>113</v>
      </c>
      <c r="E75" s="48"/>
      <c r="F75" s="49"/>
      <c r="G75" s="49">
        <v>15</v>
      </c>
      <c r="H75" s="49">
        <v>15</v>
      </c>
      <c r="I75" s="49">
        <v>10</v>
      </c>
      <c r="J75" s="49">
        <v>0</v>
      </c>
      <c r="K75" s="69">
        <v>15</v>
      </c>
      <c r="L75" s="49">
        <v>15</v>
      </c>
      <c r="M75" s="49"/>
      <c r="N75" s="49">
        <v>10</v>
      </c>
      <c r="O75" s="49">
        <v>30</v>
      </c>
      <c r="P75" s="49">
        <v>20</v>
      </c>
      <c r="Q75" s="49">
        <v>10</v>
      </c>
      <c r="R75" s="49">
        <v>20</v>
      </c>
      <c r="S75" s="49"/>
      <c r="T75" s="49">
        <v>20</v>
      </c>
      <c r="U75" s="49">
        <v>20</v>
      </c>
      <c r="V75" s="49">
        <v>20</v>
      </c>
      <c r="W75" s="49"/>
      <c r="X75" s="49"/>
      <c r="Y75" s="49">
        <v>20</v>
      </c>
      <c r="Z75" s="71">
        <v>20</v>
      </c>
      <c r="AA75" s="49"/>
      <c r="AB75" s="49">
        <v>20</v>
      </c>
      <c r="AC75" s="49"/>
      <c r="AD75" s="49">
        <v>20</v>
      </c>
      <c r="AE75" s="49">
        <v>20</v>
      </c>
      <c r="AF75" s="49">
        <v>30</v>
      </c>
      <c r="AG75" s="49">
        <v>20</v>
      </c>
      <c r="AH75" s="49"/>
      <c r="AI75" s="49">
        <v>20</v>
      </c>
      <c r="AJ75" s="49"/>
      <c r="AK75" s="47"/>
      <c r="AL75" s="47"/>
      <c r="AM75" s="47"/>
      <c r="AN75" s="47"/>
      <c r="AO75" s="47"/>
      <c r="AP75" s="47"/>
      <c r="AQ75" s="48"/>
      <c r="AR75" s="48"/>
      <c r="AS75" s="67">
        <v>279</v>
      </c>
      <c r="AT75" s="74">
        <f t="shared" si="4"/>
        <v>0</v>
      </c>
    </row>
    <row r="76" spans="1:46" ht="15.75" customHeight="1">
      <c r="A76" s="47">
        <v>15</v>
      </c>
      <c r="B76" s="48"/>
      <c r="C76" s="48"/>
      <c r="D76" s="48" t="s">
        <v>114</v>
      </c>
      <c r="E76" s="48"/>
      <c r="F76" s="49"/>
      <c r="G76" s="49">
        <v>25</v>
      </c>
      <c r="H76" s="49">
        <v>0</v>
      </c>
      <c r="I76" s="49">
        <v>0</v>
      </c>
      <c r="J76" s="49">
        <v>0</v>
      </c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7"/>
      <c r="AL76" s="47"/>
      <c r="AM76" s="47"/>
      <c r="AN76" s="47"/>
      <c r="AO76" s="47"/>
      <c r="AP76" s="47"/>
      <c r="AQ76" s="48"/>
      <c r="AR76" s="48"/>
      <c r="AS76" s="67">
        <v>279</v>
      </c>
      <c r="AT76" s="74">
        <f t="shared" si="4"/>
        <v>0</v>
      </c>
    </row>
    <row r="77" spans="1:46">
      <c r="A77" s="47">
        <v>16</v>
      </c>
      <c r="B77" s="48"/>
      <c r="C77" s="48"/>
      <c r="D77" s="48" t="s">
        <v>71</v>
      </c>
      <c r="E77" s="48"/>
      <c r="F77" s="49"/>
      <c r="G77" s="49">
        <v>0</v>
      </c>
      <c r="H77" s="49">
        <v>20</v>
      </c>
      <c r="I77" s="49">
        <v>0</v>
      </c>
      <c r="J77" s="49">
        <v>30</v>
      </c>
      <c r="K77" s="49">
        <v>20</v>
      </c>
      <c r="L77" s="49">
        <v>20</v>
      </c>
      <c r="M77" s="49">
        <v>10</v>
      </c>
      <c r="N77" s="49">
        <v>20</v>
      </c>
      <c r="O77" s="49"/>
      <c r="P77" s="49"/>
      <c r="Q77" s="49"/>
      <c r="R77" s="49">
        <v>10</v>
      </c>
      <c r="S77" s="49">
        <v>15</v>
      </c>
      <c r="T77" s="49">
        <v>30</v>
      </c>
      <c r="U77" s="49">
        <v>20</v>
      </c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7"/>
      <c r="AL77" s="47"/>
      <c r="AM77" s="47"/>
      <c r="AN77" s="47"/>
      <c r="AO77" s="47"/>
      <c r="AP77" s="47"/>
      <c r="AQ77" s="48"/>
      <c r="AR77" s="48"/>
      <c r="AS77" s="67">
        <v>279</v>
      </c>
      <c r="AT77" s="74">
        <f t="shared" si="4"/>
        <v>0</v>
      </c>
    </row>
    <row r="78" spans="1:46" ht="15.75" customHeight="1">
      <c r="A78" s="47">
        <v>17</v>
      </c>
      <c r="B78" s="48"/>
      <c r="C78" s="48"/>
      <c r="D78" s="48" t="s">
        <v>115</v>
      </c>
      <c r="E78" s="48"/>
      <c r="F78" s="49"/>
      <c r="G78" s="49">
        <v>0</v>
      </c>
      <c r="H78" s="49">
        <v>0</v>
      </c>
      <c r="I78" s="49">
        <v>0</v>
      </c>
      <c r="J78" s="49">
        <v>40</v>
      </c>
      <c r="K78" s="49">
        <v>40</v>
      </c>
      <c r="L78" s="49">
        <v>40</v>
      </c>
      <c r="M78" s="49"/>
      <c r="N78" s="49"/>
      <c r="O78" s="49"/>
      <c r="P78" s="49"/>
      <c r="Q78" s="49"/>
      <c r="R78" s="49"/>
      <c r="S78" s="49"/>
      <c r="T78" s="49"/>
      <c r="U78" s="49">
        <v>40</v>
      </c>
      <c r="V78" s="49"/>
      <c r="W78" s="49"/>
      <c r="X78" s="49">
        <v>20</v>
      </c>
      <c r="Y78" s="49"/>
      <c r="Z78" s="49"/>
      <c r="AA78" s="49"/>
      <c r="AB78" s="49"/>
      <c r="AC78" s="49"/>
      <c r="AD78" s="49">
        <v>25</v>
      </c>
      <c r="AE78" s="49"/>
      <c r="AF78" s="49"/>
      <c r="AG78" s="49"/>
      <c r="AH78" s="49">
        <v>20</v>
      </c>
      <c r="AI78" s="49"/>
      <c r="AJ78" s="49"/>
      <c r="AK78" s="47"/>
      <c r="AL78" s="47"/>
      <c r="AM78" s="47"/>
      <c r="AN78" s="47"/>
      <c r="AO78" s="47"/>
      <c r="AP78" s="47"/>
      <c r="AQ78" s="48"/>
      <c r="AR78" s="48"/>
      <c r="AS78" s="67">
        <v>279</v>
      </c>
      <c r="AT78" s="74">
        <f t="shared" si="4"/>
        <v>0</v>
      </c>
    </row>
    <row r="79" spans="1:46" ht="15.75" customHeight="1">
      <c r="A79" s="47">
        <v>18</v>
      </c>
      <c r="B79" s="48"/>
      <c r="C79" s="48"/>
      <c r="D79" s="48" t="s">
        <v>116</v>
      </c>
      <c r="E79" s="48"/>
      <c r="F79" s="49"/>
      <c r="G79" s="49">
        <v>0</v>
      </c>
      <c r="H79" s="49">
        <v>0</v>
      </c>
      <c r="I79" s="49">
        <v>0</v>
      </c>
      <c r="J79" s="49">
        <v>0</v>
      </c>
      <c r="K79" s="49"/>
      <c r="L79" s="49"/>
      <c r="M79" s="49"/>
      <c r="N79" s="49"/>
      <c r="O79" s="49">
        <v>30</v>
      </c>
      <c r="P79" s="49">
        <v>40</v>
      </c>
      <c r="Q79" s="49">
        <v>10</v>
      </c>
      <c r="R79" s="49">
        <v>25</v>
      </c>
      <c r="S79" s="49"/>
      <c r="T79" s="49">
        <v>25</v>
      </c>
      <c r="U79" s="71">
        <v>25</v>
      </c>
      <c r="V79" s="49">
        <v>20</v>
      </c>
      <c r="W79" s="49"/>
      <c r="X79" s="49"/>
      <c r="Y79" s="49">
        <v>25</v>
      </c>
      <c r="Z79" s="49">
        <v>20</v>
      </c>
      <c r="AA79" s="49"/>
      <c r="AB79" s="49">
        <v>35</v>
      </c>
      <c r="AC79" s="49"/>
      <c r="AD79" s="49"/>
      <c r="AE79" s="49">
        <v>20</v>
      </c>
      <c r="AF79" s="49">
        <v>35</v>
      </c>
      <c r="AG79" s="49">
        <v>20</v>
      </c>
      <c r="AH79" s="49"/>
      <c r="AI79" s="49">
        <v>25</v>
      </c>
      <c r="AJ79" s="49">
        <v>20</v>
      </c>
      <c r="AK79" s="47"/>
      <c r="AL79" s="47"/>
      <c r="AM79" s="47"/>
      <c r="AN79" s="47"/>
      <c r="AO79" s="47"/>
      <c r="AP79" s="47"/>
      <c r="AQ79" s="48"/>
      <c r="AR79" s="48"/>
      <c r="AS79" s="67">
        <v>279</v>
      </c>
      <c r="AT79" s="74">
        <f t="shared" si="4"/>
        <v>0</v>
      </c>
    </row>
    <row r="80" spans="1:46" ht="15.75" customHeight="1">
      <c r="A80" s="47">
        <v>19</v>
      </c>
      <c r="B80" s="48"/>
      <c r="C80" s="48"/>
      <c r="D80" s="48" t="s">
        <v>117</v>
      </c>
      <c r="E80" s="48"/>
      <c r="F80" s="49"/>
      <c r="G80" s="49">
        <v>0</v>
      </c>
      <c r="H80" s="49">
        <v>0</v>
      </c>
      <c r="I80" s="49">
        <v>0</v>
      </c>
      <c r="J80" s="49">
        <v>0</v>
      </c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7"/>
      <c r="AL80" s="47"/>
      <c r="AM80" s="47"/>
      <c r="AN80" s="47"/>
      <c r="AO80" s="47"/>
      <c r="AP80" s="47"/>
      <c r="AQ80" s="48"/>
      <c r="AR80" s="48"/>
      <c r="AS80" s="67">
        <v>279</v>
      </c>
      <c r="AT80" s="74">
        <f t="shared" si="4"/>
        <v>0</v>
      </c>
    </row>
    <row r="81" spans="1:46" ht="15.75" customHeight="1">
      <c r="A81" s="47">
        <v>20</v>
      </c>
      <c r="B81" s="48"/>
      <c r="C81" s="48"/>
      <c r="D81" s="48" t="s">
        <v>118</v>
      </c>
      <c r="E81" s="48"/>
      <c r="F81" s="49"/>
      <c r="G81" s="49">
        <v>0</v>
      </c>
      <c r="H81" s="49">
        <v>0</v>
      </c>
      <c r="I81" s="49">
        <v>0</v>
      </c>
      <c r="J81" s="49">
        <v>0</v>
      </c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7"/>
      <c r="AL81" s="47"/>
      <c r="AM81" s="47"/>
      <c r="AN81" s="47"/>
      <c r="AO81" s="47"/>
      <c r="AP81" s="47"/>
      <c r="AQ81" s="48"/>
      <c r="AR81" s="48"/>
      <c r="AS81" s="67">
        <v>279</v>
      </c>
      <c r="AT81" s="74">
        <f t="shared" si="4"/>
        <v>0</v>
      </c>
    </row>
    <row r="82" spans="1:46" ht="15.75" customHeight="1">
      <c r="A82" s="47">
        <v>21</v>
      </c>
      <c r="B82" s="48"/>
      <c r="C82" s="48"/>
      <c r="D82" s="48" t="s">
        <v>76</v>
      </c>
      <c r="E82" s="48"/>
      <c r="F82" s="49"/>
      <c r="G82" s="49">
        <v>0</v>
      </c>
      <c r="H82" s="49">
        <v>0</v>
      </c>
      <c r="I82" s="49">
        <v>0</v>
      </c>
      <c r="J82" s="49">
        <v>20</v>
      </c>
      <c r="K82" s="49"/>
      <c r="L82" s="49">
        <v>40</v>
      </c>
      <c r="M82" s="49"/>
      <c r="N82" s="49"/>
      <c r="O82" s="49"/>
      <c r="P82" s="49"/>
      <c r="Q82" s="49"/>
      <c r="R82" s="49"/>
      <c r="S82" s="49"/>
      <c r="T82" s="49">
        <v>20</v>
      </c>
      <c r="U82" s="49">
        <v>30</v>
      </c>
      <c r="V82" s="49"/>
      <c r="W82" s="49"/>
      <c r="X82" s="49">
        <v>10</v>
      </c>
      <c r="Y82" s="49"/>
      <c r="Z82" s="49">
        <v>40</v>
      </c>
      <c r="AA82" s="49"/>
      <c r="AB82" s="49">
        <v>30</v>
      </c>
      <c r="AC82" s="49">
        <v>20</v>
      </c>
      <c r="AD82" s="49">
        <v>30</v>
      </c>
      <c r="AE82" s="49"/>
      <c r="AF82" s="49">
        <v>20</v>
      </c>
      <c r="AG82" s="49">
        <v>20</v>
      </c>
      <c r="AH82" s="49">
        <v>20</v>
      </c>
      <c r="AI82" s="49"/>
      <c r="AJ82" s="49"/>
      <c r="AK82" s="47"/>
      <c r="AL82" s="47"/>
      <c r="AM82" s="47"/>
      <c r="AN82" s="47"/>
      <c r="AO82" s="47"/>
      <c r="AP82" s="47"/>
      <c r="AQ82" s="48"/>
      <c r="AR82" s="48"/>
      <c r="AS82" s="67">
        <v>279</v>
      </c>
      <c r="AT82" s="74">
        <f t="shared" si="4"/>
        <v>0</v>
      </c>
    </row>
    <row r="83" spans="1:46" ht="15.75" customHeight="1">
      <c r="A83" s="47">
        <v>22</v>
      </c>
      <c r="B83" s="48"/>
      <c r="C83" s="48"/>
      <c r="D83" s="48" t="s">
        <v>70</v>
      </c>
      <c r="E83" s="48"/>
      <c r="F83" s="49"/>
      <c r="G83" s="49">
        <v>0</v>
      </c>
      <c r="H83" s="49">
        <v>30</v>
      </c>
      <c r="I83" s="49">
        <v>40</v>
      </c>
      <c r="J83" s="49">
        <v>70</v>
      </c>
      <c r="K83" s="69">
        <v>40</v>
      </c>
      <c r="L83" s="49">
        <v>30</v>
      </c>
      <c r="M83" s="49"/>
      <c r="N83" s="49"/>
      <c r="O83" s="49"/>
      <c r="P83" s="49"/>
      <c r="Q83" s="49"/>
      <c r="R83" s="49"/>
      <c r="S83" s="49"/>
      <c r="T83" s="49"/>
      <c r="U83" s="71">
        <v>30</v>
      </c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>
        <v>20</v>
      </c>
      <c r="AG83" s="49">
        <v>40</v>
      </c>
      <c r="AH83" s="49"/>
      <c r="AI83" s="49"/>
      <c r="AJ83" s="49"/>
      <c r="AK83" s="47"/>
      <c r="AL83" s="47"/>
      <c r="AM83" s="47"/>
      <c r="AN83" s="47"/>
      <c r="AO83" s="47"/>
      <c r="AP83" s="47"/>
      <c r="AQ83" s="48"/>
      <c r="AR83" s="48"/>
      <c r="AS83" s="67">
        <v>279</v>
      </c>
      <c r="AT83" s="74">
        <f t="shared" si="4"/>
        <v>0</v>
      </c>
    </row>
    <row r="84" spans="1:46" ht="15.75" customHeight="1">
      <c r="A84" s="47">
        <v>23</v>
      </c>
      <c r="B84" s="48"/>
      <c r="C84" s="48"/>
      <c r="D84" s="48" t="s">
        <v>119</v>
      </c>
      <c r="E84" s="48"/>
      <c r="F84" s="49"/>
      <c r="G84" s="49">
        <v>0</v>
      </c>
      <c r="H84" s="49">
        <v>0</v>
      </c>
      <c r="I84" s="49">
        <v>0</v>
      </c>
      <c r="J84" s="49">
        <v>0</v>
      </c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7"/>
      <c r="AL84" s="47"/>
      <c r="AM84" s="47"/>
      <c r="AN84" s="47"/>
      <c r="AO84" s="47"/>
      <c r="AP84" s="47"/>
      <c r="AQ84" s="48"/>
      <c r="AR84" s="48"/>
      <c r="AS84" s="67">
        <v>279</v>
      </c>
      <c r="AT84" s="74">
        <f t="shared" si="4"/>
        <v>0</v>
      </c>
    </row>
    <row r="85" spans="1:46" ht="15.75" customHeight="1">
      <c r="A85" s="47">
        <v>24</v>
      </c>
      <c r="B85" s="48"/>
      <c r="C85" s="48"/>
      <c r="D85" s="48" t="s">
        <v>67</v>
      </c>
      <c r="E85" s="48"/>
      <c r="F85" s="49"/>
      <c r="G85" s="47">
        <v>0</v>
      </c>
      <c r="H85" s="47">
        <v>0</v>
      </c>
      <c r="I85" s="47">
        <v>0</v>
      </c>
      <c r="J85" s="49">
        <v>0</v>
      </c>
      <c r="K85" s="66">
        <v>5</v>
      </c>
      <c r="L85" s="47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7"/>
      <c r="AL85" s="47"/>
      <c r="AM85" s="47"/>
      <c r="AN85" s="47"/>
      <c r="AO85" s="47"/>
      <c r="AP85" s="47"/>
      <c r="AQ85" s="48"/>
      <c r="AR85" s="48"/>
      <c r="AS85" s="67">
        <v>279</v>
      </c>
      <c r="AT85" s="74">
        <f t="shared" si="4"/>
        <v>0</v>
      </c>
    </row>
    <row r="86" spans="1:46" ht="15.75" customHeight="1">
      <c r="A86" s="47">
        <v>25</v>
      </c>
      <c r="B86" s="48"/>
      <c r="C86" s="48"/>
      <c r="D86" s="48" t="s">
        <v>120</v>
      </c>
      <c r="E86" s="48"/>
      <c r="F86" s="49"/>
      <c r="G86" s="47">
        <v>0</v>
      </c>
      <c r="H86" s="47">
        <v>0</v>
      </c>
      <c r="I86" s="47">
        <v>0</v>
      </c>
      <c r="J86" s="47">
        <v>75</v>
      </c>
      <c r="K86" s="66">
        <v>10</v>
      </c>
      <c r="L86" s="47"/>
      <c r="M86" s="47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>
        <v>20</v>
      </c>
      <c r="AK86" s="47"/>
      <c r="AL86" s="47"/>
      <c r="AM86" s="47"/>
      <c r="AN86" s="47"/>
      <c r="AO86" s="47"/>
      <c r="AP86" s="47"/>
      <c r="AQ86" s="48"/>
      <c r="AR86" s="48"/>
      <c r="AS86" s="67">
        <v>279</v>
      </c>
      <c r="AT86" s="74">
        <f t="shared" si="4"/>
        <v>0</v>
      </c>
    </row>
    <row r="87" spans="1:46" ht="15.75" customHeight="1">
      <c r="A87" s="47">
        <v>26</v>
      </c>
      <c r="B87" s="48"/>
      <c r="C87" s="48"/>
      <c r="D87" s="48" t="s">
        <v>153</v>
      </c>
      <c r="E87" s="48"/>
      <c r="F87" s="49"/>
      <c r="G87" s="49">
        <v>0</v>
      </c>
      <c r="H87" s="49">
        <v>0</v>
      </c>
      <c r="I87" s="49">
        <v>0</v>
      </c>
      <c r="J87" s="49">
        <v>0</v>
      </c>
      <c r="K87" s="49"/>
      <c r="L87" s="49"/>
      <c r="M87" s="49"/>
      <c r="N87" s="49"/>
      <c r="O87" s="49"/>
      <c r="P87" s="49"/>
      <c r="Q87" s="49"/>
      <c r="R87" s="49"/>
      <c r="S87" s="49"/>
      <c r="T87" s="49">
        <v>15</v>
      </c>
      <c r="U87" s="49">
        <v>10</v>
      </c>
      <c r="V87" s="49"/>
      <c r="W87" s="49">
        <v>20</v>
      </c>
      <c r="X87" s="71">
        <v>20</v>
      </c>
      <c r="Y87" s="49">
        <v>15</v>
      </c>
      <c r="Z87" s="49">
        <v>20</v>
      </c>
      <c r="AA87" s="49">
        <v>20</v>
      </c>
      <c r="AB87" s="49">
        <v>15</v>
      </c>
      <c r="AC87" s="49">
        <v>50</v>
      </c>
      <c r="AD87" s="49">
        <v>35</v>
      </c>
      <c r="AE87" s="49">
        <v>20</v>
      </c>
      <c r="AF87" s="49">
        <v>20</v>
      </c>
      <c r="AG87" s="49">
        <v>40</v>
      </c>
      <c r="AH87" s="49">
        <v>20</v>
      </c>
      <c r="AI87" s="49"/>
      <c r="AJ87" s="49">
        <v>20</v>
      </c>
      <c r="AK87" s="47"/>
      <c r="AL87" s="47"/>
      <c r="AM87" s="47"/>
      <c r="AN87" s="47"/>
      <c r="AO87" s="47"/>
      <c r="AP87" s="47"/>
      <c r="AQ87" s="48"/>
      <c r="AR87" s="48"/>
      <c r="AS87" s="67">
        <v>279</v>
      </c>
      <c r="AT87" s="74"/>
    </row>
    <row r="88" spans="1:46" ht="15.75" customHeight="1">
      <c r="A88" s="47">
        <v>27</v>
      </c>
      <c r="B88" s="48"/>
      <c r="C88" s="48"/>
      <c r="D88" s="48" t="s">
        <v>121</v>
      </c>
      <c r="E88" s="48"/>
      <c r="F88" s="49"/>
      <c r="G88" s="47">
        <v>15</v>
      </c>
      <c r="H88" s="47">
        <v>20</v>
      </c>
      <c r="I88" s="47">
        <v>20</v>
      </c>
      <c r="J88" s="47">
        <v>20</v>
      </c>
      <c r="K88" s="66">
        <v>20</v>
      </c>
      <c r="L88" s="47">
        <v>20</v>
      </c>
      <c r="M88" s="47"/>
      <c r="N88" s="49">
        <v>35</v>
      </c>
      <c r="O88" s="49">
        <v>25</v>
      </c>
      <c r="P88" s="49">
        <v>35</v>
      </c>
      <c r="Q88" s="49">
        <v>10</v>
      </c>
      <c r="R88" s="49">
        <v>20</v>
      </c>
      <c r="S88" s="49"/>
      <c r="T88" s="75">
        <v>25</v>
      </c>
      <c r="U88" s="49"/>
      <c r="V88" s="49"/>
      <c r="W88" s="49"/>
      <c r="X88" s="49"/>
      <c r="Y88" s="49">
        <v>10</v>
      </c>
      <c r="Z88" s="49">
        <v>20</v>
      </c>
      <c r="AA88" s="49"/>
      <c r="AB88" s="49">
        <v>35</v>
      </c>
      <c r="AC88" s="49"/>
      <c r="AD88" s="49">
        <v>35</v>
      </c>
      <c r="AE88" s="49">
        <v>20</v>
      </c>
      <c r="AF88" s="49">
        <v>35</v>
      </c>
      <c r="AG88" s="49">
        <v>20</v>
      </c>
      <c r="AH88" s="49"/>
      <c r="AI88" s="49">
        <v>25</v>
      </c>
      <c r="AJ88" s="49"/>
      <c r="AK88" s="47"/>
      <c r="AL88" s="47"/>
      <c r="AM88" s="47"/>
      <c r="AN88" s="47"/>
      <c r="AO88" s="47"/>
      <c r="AP88" s="47"/>
      <c r="AQ88" s="48"/>
      <c r="AR88" s="48"/>
      <c r="AS88" s="67">
        <v>279</v>
      </c>
      <c r="AT88" s="74">
        <f t="shared" ref="AT88:AT98" si="5">AS88*AM88</f>
        <v>0</v>
      </c>
    </row>
    <row r="89" spans="1:46" ht="15.75" customHeight="1">
      <c r="A89" s="47">
        <v>28</v>
      </c>
      <c r="B89" s="48"/>
      <c r="C89" s="48"/>
      <c r="D89" s="48" t="s">
        <v>154</v>
      </c>
      <c r="E89" s="48"/>
      <c r="F89" s="49"/>
      <c r="G89" s="47">
        <v>0</v>
      </c>
      <c r="H89" s="47">
        <v>25</v>
      </c>
      <c r="I89" s="47">
        <v>25</v>
      </c>
      <c r="J89" s="47">
        <v>15</v>
      </c>
      <c r="K89" s="66">
        <v>15</v>
      </c>
      <c r="L89" s="47">
        <v>20</v>
      </c>
      <c r="M89" s="47">
        <v>10</v>
      </c>
      <c r="N89" s="49">
        <v>15</v>
      </c>
      <c r="O89" s="49">
        <v>15</v>
      </c>
      <c r="P89" s="49">
        <v>30</v>
      </c>
      <c r="Q89" s="49">
        <v>10</v>
      </c>
      <c r="R89" s="49">
        <v>15</v>
      </c>
      <c r="S89" s="49">
        <v>10</v>
      </c>
      <c r="T89" s="49"/>
      <c r="U89" s="49">
        <v>10</v>
      </c>
      <c r="V89" s="71">
        <v>15</v>
      </c>
      <c r="W89" s="49">
        <v>20</v>
      </c>
      <c r="X89" s="71">
        <v>10</v>
      </c>
      <c r="Y89" s="49">
        <v>20</v>
      </c>
      <c r="Z89" s="49">
        <v>15</v>
      </c>
      <c r="AA89" s="49"/>
      <c r="AB89" s="49">
        <v>40</v>
      </c>
      <c r="AC89" s="49"/>
      <c r="AD89" s="49">
        <v>20</v>
      </c>
      <c r="AE89" s="49">
        <v>20</v>
      </c>
      <c r="AF89" s="49">
        <v>30</v>
      </c>
      <c r="AG89" s="49">
        <v>20</v>
      </c>
      <c r="AH89" s="49"/>
      <c r="AI89" s="49"/>
      <c r="AJ89" s="49"/>
      <c r="AK89" s="47"/>
      <c r="AL89" s="47"/>
      <c r="AM89" s="47"/>
      <c r="AN89" s="47"/>
      <c r="AO89" s="47"/>
      <c r="AP89" s="47"/>
      <c r="AQ89" s="48"/>
      <c r="AR89" s="48"/>
      <c r="AS89" s="67">
        <v>279</v>
      </c>
      <c r="AT89" s="74">
        <f t="shared" si="5"/>
        <v>0</v>
      </c>
    </row>
    <row r="90" spans="1:46" ht="15.75" customHeight="1">
      <c r="A90" s="47">
        <v>29</v>
      </c>
      <c r="B90" s="48"/>
      <c r="C90" s="48"/>
      <c r="D90" s="72" t="s">
        <v>155</v>
      </c>
      <c r="E90" s="48"/>
      <c r="F90" s="49"/>
      <c r="G90" s="47">
        <v>0</v>
      </c>
      <c r="H90" s="47">
        <v>0</v>
      </c>
      <c r="I90" s="47">
        <v>0</v>
      </c>
      <c r="J90" s="47">
        <v>0</v>
      </c>
      <c r="K90" s="47"/>
      <c r="L90" s="47"/>
      <c r="M90" s="47"/>
      <c r="N90" s="49"/>
      <c r="O90" s="49"/>
      <c r="P90" s="49"/>
      <c r="Q90" s="49">
        <v>60</v>
      </c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7"/>
      <c r="AL90" s="47"/>
      <c r="AM90" s="47"/>
      <c r="AN90" s="47"/>
      <c r="AO90" s="47"/>
      <c r="AP90" s="47"/>
      <c r="AQ90" s="48"/>
      <c r="AR90" s="48"/>
      <c r="AS90" s="67">
        <v>279</v>
      </c>
      <c r="AT90" s="74">
        <f t="shared" si="5"/>
        <v>0</v>
      </c>
    </row>
    <row r="91" spans="1:46" ht="15.75" customHeight="1">
      <c r="A91" s="47">
        <v>30</v>
      </c>
      <c r="B91" s="48"/>
      <c r="C91" s="48"/>
      <c r="D91" s="72" t="s">
        <v>156</v>
      </c>
      <c r="E91" s="48"/>
      <c r="F91" s="49"/>
      <c r="G91" s="47">
        <v>0</v>
      </c>
      <c r="H91" s="47">
        <v>0</v>
      </c>
      <c r="I91" s="47">
        <v>0</v>
      </c>
      <c r="J91" s="47">
        <v>0</v>
      </c>
      <c r="K91" s="47"/>
      <c r="L91" s="47"/>
      <c r="M91" s="47"/>
      <c r="N91" s="49"/>
      <c r="O91" s="49"/>
      <c r="P91" s="49"/>
      <c r="Q91" s="49">
        <v>20</v>
      </c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7"/>
      <c r="AL91" s="47"/>
      <c r="AM91" s="47"/>
      <c r="AN91" s="47"/>
      <c r="AO91" s="47"/>
      <c r="AP91" s="47"/>
      <c r="AQ91" s="48"/>
      <c r="AR91" s="48"/>
      <c r="AS91" s="67">
        <v>279</v>
      </c>
      <c r="AT91" s="74">
        <f t="shared" si="5"/>
        <v>0</v>
      </c>
    </row>
    <row r="92" spans="1:46" ht="15.75" customHeight="1">
      <c r="A92" s="47">
        <v>31</v>
      </c>
      <c r="B92" s="48"/>
      <c r="C92" s="48"/>
      <c r="D92" s="72" t="s">
        <v>157</v>
      </c>
      <c r="E92" s="48"/>
      <c r="F92" s="49"/>
      <c r="G92" s="47">
        <v>0</v>
      </c>
      <c r="H92" s="47">
        <v>0</v>
      </c>
      <c r="I92" s="47">
        <v>0</v>
      </c>
      <c r="J92" s="47">
        <v>0</v>
      </c>
      <c r="K92" s="47"/>
      <c r="L92" s="47"/>
      <c r="M92" s="47"/>
      <c r="N92" s="49"/>
      <c r="O92" s="49"/>
      <c r="P92" s="49"/>
      <c r="Q92" s="49">
        <v>40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7"/>
      <c r="AL92" s="47"/>
      <c r="AM92" s="47"/>
      <c r="AN92" s="47"/>
      <c r="AO92" s="47"/>
      <c r="AP92" s="47"/>
      <c r="AQ92" s="48"/>
      <c r="AR92" s="48"/>
      <c r="AS92" s="67">
        <v>279</v>
      </c>
      <c r="AT92" s="74">
        <f t="shared" si="5"/>
        <v>0</v>
      </c>
    </row>
    <row r="93" spans="1:46" ht="15.75" customHeight="1">
      <c r="A93" s="47">
        <v>32</v>
      </c>
      <c r="B93" s="48"/>
      <c r="C93" s="48"/>
      <c r="D93" s="72" t="s">
        <v>158</v>
      </c>
      <c r="E93" s="48"/>
      <c r="F93" s="49"/>
      <c r="G93" s="47">
        <v>0</v>
      </c>
      <c r="H93" s="47">
        <v>0</v>
      </c>
      <c r="I93" s="47">
        <v>0</v>
      </c>
      <c r="J93" s="47">
        <v>0</v>
      </c>
      <c r="K93" s="49"/>
      <c r="L93" s="47"/>
      <c r="M93" s="47"/>
      <c r="N93" s="49"/>
      <c r="O93" s="49"/>
      <c r="P93" s="49"/>
      <c r="Q93" s="49">
        <v>40</v>
      </c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7"/>
      <c r="AL93" s="47"/>
      <c r="AM93" s="47"/>
      <c r="AN93" s="47"/>
      <c r="AO93" s="47"/>
      <c r="AP93" s="47"/>
      <c r="AQ93" s="48"/>
      <c r="AR93" s="48"/>
      <c r="AS93" s="67">
        <v>279</v>
      </c>
      <c r="AT93" s="74">
        <f t="shared" si="5"/>
        <v>0</v>
      </c>
    </row>
    <row r="94" spans="1:46" ht="15.75" customHeight="1">
      <c r="A94" s="47">
        <v>33</v>
      </c>
      <c r="B94" s="48"/>
      <c r="C94" s="48"/>
      <c r="D94" s="72" t="s">
        <v>159</v>
      </c>
      <c r="E94" s="48"/>
      <c r="F94" s="49"/>
      <c r="G94" s="47">
        <v>0</v>
      </c>
      <c r="H94" s="47">
        <v>0</v>
      </c>
      <c r="I94" s="47">
        <v>0</v>
      </c>
      <c r="J94" s="47">
        <v>0</v>
      </c>
      <c r="K94" s="47"/>
      <c r="L94" s="47"/>
      <c r="M94" s="47"/>
      <c r="N94" s="49"/>
      <c r="O94" s="49"/>
      <c r="P94" s="49"/>
      <c r="Q94" s="49">
        <v>20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7"/>
      <c r="AL94" s="47"/>
      <c r="AM94" s="47"/>
      <c r="AN94" s="47"/>
      <c r="AO94" s="47"/>
      <c r="AP94" s="47"/>
      <c r="AQ94" s="48"/>
      <c r="AR94" s="48"/>
      <c r="AS94" s="67">
        <v>279</v>
      </c>
      <c r="AT94" s="74">
        <f t="shared" si="5"/>
        <v>0</v>
      </c>
    </row>
    <row r="95" spans="1:46" ht="15.75" customHeight="1">
      <c r="A95" s="47">
        <v>34</v>
      </c>
      <c r="B95" s="48"/>
      <c r="C95" s="48"/>
      <c r="D95" s="48" t="s">
        <v>122</v>
      </c>
      <c r="E95" s="48"/>
      <c r="F95" s="49"/>
      <c r="G95" s="47">
        <v>0</v>
      </c>
      <c r="H95" s="47">
        <v>107</v>
      </c>
      <c r="I95" s="47">
        <v>0</v>
      </c>
      <c r="J95" s="47">
        <v>0</v>
      </c>
      <c r="K95" s="47">
        <v>100</v>
      </c>
      <c r="L95" s="47"/>
      <c r="M95" s="47"/>
      <c r="N95" s="49">
        <v>119</v>
      </c>
      <c r="O95" s="49"/>
      <c r="P95" s="49"/>
      <c r="Q95" s="69">
        <v>125</v>
      </c>
      <c r="R95" s="49"/>
      <c r="S95" s="49"/>
      <c r="T95" s="49"/>
      <c r="U95" s="49">
        <v>128</v>
      </c>
      <c r="V95" s="49"/>
      <c r="W95" s="49"/>
      <c r="X95" s="49"/>
      <c r="Y95" s="49">
        <v>127</v>
      </c>
      <c r="Z95" s="49"/>
      <c r="AA95" s="49"/>
      <c r="AB95" s="49">
        <v>99.4</v>
      </c>
      <c r="AC95" s="49"/>
      <c r="AD95" s="49">
        <v>60</v>
      </c>
      <c r="AE95" s="49">
        <v>30</v>
      </c>
      <c r="AF95" s="49"/>
      <c r="AG95" s="49">
        <v>20</v>
      </c>
      <c r="AH95" s="49"/>
      <c r="AI95" s="49"/>
      <c r="AJ95" s="49">
        <v>30</v>
      </c>
      <c r="AK95" s="47"/>
      <c r="AL95" s="47"/>
      <c r="AM95" s="47"/>
      <c r="AN95" s="47"/>
      <c r="AO95" s="47"/>
      <c r="AP95" s="47"/>
      <c r="AQ95" s="48"/>
      <c r="AR95" s="48"/>
      <c r="AS95" s="67">
        <v>279</v>
      </c>
      <c r="AT95" s="74">
        <f t="shared" si="5"/>
        <v>0</v>
      </c>
    </row>
    <row r="96" spans="1:46" ht="15.75" customHeight="1">
      <c r="A96" s="47">
        <v>35</v>
      </c>
      <c r="B96" s="48"/>
      <c r="C96" s="48"/>
      <c r="D96" s="76" t="s">
        <v>160</v>
      </c>
      <c r="E96" s="77"/>
      <c r="F96" s="49"/>
      <c r="G96" s="47">
        <v>0</v>
      </c>
      <c r="H96" s="47">
        <v>0</v>
      </c>
      <c r="I96" s="47">
        <v>0</v>
      </c>
      <c r="J96" s="47">
        <v>0</v>
      </c>
      <c r="K96" s="47"/>
      <c r="L96" s="47"/>
      <c r="M96" s="47">
        <v>5</v>
      </c>
      <c r="N96" s="49"/>
      <c r="O96" s="49"/>
      <c r="P96" s="49"/>
      <c r="Q96" s="49">
        <v>10</v>
      </c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>
        <v>5</v>
      </c>
      <c r="AD96" s="49"/>
      <c r="AE96" s="49"/>
      <c r="AF96" s="49"/>
      <c r="AG96" s="49"/>
      <c r="AH96" s="49"/>
      <c r="AI96" s="49"/>
      <c r="AJ96" s="49"/>
      <c r="AK96" s="47"/>
      <c r="AL96" s="47"/>
      <c r="AM96" s="47"/>
      <c r="AN96" s="47"/>
      <c r="AO96" s="47"/>
      <c r="AP96" s="47"/>
      <c r="AQ96" s="48"/>
      <c r="AR96" s="48"/>
      <c r="AS96" s="67">
        <v>279</v>
      </c>
      <c r="AT96" s="74">
        <f t="shared" si="5"/>
        <v>0</v>
      </c>
    </row>
    <row r="97" spans="1:46" ht="15.75" customHeight="1">
      <c r="A97" s="47"/>
      <c r="B97" s="48"/>
      <c r="C97" s="48"/>
      <c r="D97" s="76" t="s">
        <v>151</v>
      </c>
      <c r="E97" s="77"/>
      <c r="F97" s="49"/>
      <c r="G97" s="47">
        <v>0</v>
      </c>
      <c r="H97" s="47">
        <v>0</v>
      </c>
      <c r="I97" s="47">
        <v>0</v>
      </c>
      <c r="J97" s="47">
        <v>0</v>
      </c>
      <c r="K97" s="47"/>
      <c r="L97" s="47"/>
      <c r="M97" s="47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71"/>
      <c r="AG97" s="49"/>
      <c r="AH97" s="49"/>
      <c r="AI97" s="49"/>
      <c r="AJ97" s="49">
        <v>0</v>
      </c>
      <c r="AK97" s="47"/>
      <c r="AL97" s="47"/>
      <c r="AM97" s="47"/>
      <c r="AN97" s="47"/>
      <c r="AO97" s="47"/>
      <c r="AP97" s="47"/>
      <c r="AQ97" s="48"/>
      <c r="AR97" s="48"/>
      <c r="AS97" s="67">
        <v>279</v>
      </c>
      <c r="AT97" s="74">
        <f t="shared" si="5"/>
        <v>0</v>
      </c>
    </row>
    <row r="98" spans="1:46" ht="15.75" customHeight="1">
      <c r="A98" s="47"/>
      <c r="B98" s="48"/>
      <c r="C98" s="48"/>
      <c r="D98" s="76" t="s">
        <v>161</v>
      </c>
      <c r="E98" s="77"/>
      <c r="F98" s="49"/>
      <c r="G98" s="49">
        <v>0</v>
      </c>
      <c r="H98" s="49">
        <v>0</v>
      </c>
      <c r="I98" s="49">
        <v>0</v>
      </c>
      <c r="J98" s="49">
        <v>0</v>
      </c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>
        <v>30</v>
      </c>
      <c r="AC98" s="49"/>
      <c r="AD98" s="49">
        <v>20</v>
      </c>
      <c r="AE98" s="49">
        <v>20</v>
      </c>
      <c r="AF98" s="49">
        <v>20</v>
      </c>
      <c r="AG98" s="49"/>
      <c r="AH98" s="49"/>
      <c r="AI98" s="49">
        <v>20</v>
      </c>
      <c r="AJ98" s="49">
        <v>20</v>
      </c>
      <c r="AK98" s="47"/>
      <c r="AL98" s="47"/>
      <c r="AM98" s="47"/>
      <c r="AN98" s="47"/>
      <c r="AO98" s="47"/>
      <c r="AP98" s="47"/>
      <c r="AQ98" s="48"/>
      <c r="AR98" s="48"/>
      <c r="AS98" s="67">
        <v>279</v>
      </c>
      <c r="AT98" s="74">
        <f t="shared" si="5"/>
        <v>0</v>
      </c>
    </row>
    <row r="99" spans="1:46" ht="15.75" customHeight="1">
      <c r="A99" s="47"/>
      <c r="B99" s="48"/>
      <c r="C99" s="48"/>
      <c r="D99" s="76" t="s">
        <v>162</v>
      </c>
      <c r="E99" s="77"/>
      <c r="F99" s="49"/>
      <c r="G99" s="47"/>
      <c r="H99" s="47"/>
      <c r="I99" s="47"/>
      <c r="J99" s="47"/>
      <c r="K99" s="47"/>
      <c r="L99" s="47"/>
      <c r="M99" s="47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>
        <v>20</v>
      </c>
      <c r="AJ99" s="49"/>
      <c r="AK99" s="47"/>
      <c r="AL99" s="47"/>
      <c r="AM99" s="47"/>
      <c r="AN99" s="47"/>
      <c r="AO99" s="47"/>
      <c r="AP99" s="47"/>
      <c r="AQ99" s="48"/>
      <c r="AR99" s="48"/>
      <c r="AS99" s="67"/>
      <c r="AT99" s="74"/>
    </row>
    <row r="100" spans="1:46" ht="15.75" customHeight="1">
      <c r="A100" s="47"/>
      <c r="B100" s="48"/>
      <c r="C100" s="48"/>
      <c r="D100" s="48" t="s">
        <v>163</v>
      </c>
      <c r="E100" s="48" t="s">
        <v>48</v>
      </c>
      <c r="F100" s="49"/>
      <c r="G100" s="47">
        <v>0</v>
      </c>
      <c r="H100" s="47">
        <v>0</v>
      </c>
      <c r="I100" s="47">
        <v>0</v>
      </c>
      <c r="J100" s="47">
        <v>0</v>
      </c>
      <c r="K100" s="47"/>
      <c r="L100" s="47"/>
      <c r="M100" s="47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7"/>
      <c r="AL100" s="47"/>
      <c r="AM100" s="47"/>
      <c r="AN100" s="47"/>
      <c r="AO100" s="47"/>
      <c r="AP100" s="47"/>
      <c r="AQ100" s="48"/>
      <c r="AR100" s="48"/>
      <c r="AS100" s="67">
        <v>279</v>
      </c>
      <c r="AT100" s="74">
        <f t="shared" ref="AT100:AT103" si="6">AS100*AM100</f>
        <v>0</v>
      </c>
    </row>
    <row r="101" spans="1:46" ht="15.75" customHeight="1">
      <c r="A101" s="47"/>
      <c r="B101" s="48"/>
      <c r="C101" s="48"/>
      <c r="D101" s="48" t="s">
        <v>164</v>
      </c>
      <c r="E101" s="48"/>
      <c r="F101" s="49"/>
      <c r="G101" s="47">
        <v>0</v>
      </c>
      <c r="H101" s="47">
        <v>0</v>
      </c>
      <c r="I101" s="47">
        <v>0</v>
      </c>
      <c r="J101" s="47">
        <v>0</v>
      </c>
      <c r="K101" s="47"/>
      <c r="L101" s="47"/>
      <c r="M101" s="47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7"/>
      <c r="AL101" s="47"/>
      <c r="AM101" s="47"/>
      <c r="AN101" s="47"/>
      <c r="AO101" s="47"/>
      <c r="AP101" s="47"/>
      <c r="AQ101" s="48"/>
      <c r="AR101" s="48"/>
      <c r="AS101" s="67">
        <v>279</v>
      </c>
      <c r="AT101" s="74">
        <f t="shared" si="6"/>
        <v>0</v>
      </c>
    </row>
    <row r="102" spans="1:46" ht="15.75" customHeight="1">
      <c r="A102" s="47"/>
      <c r="B102" s="48"/>
      <c r="C102" s="48"/>
      <c r="D102" s="48" t="s">
        <v>165</v>
      </c>
      <c r="E102" s="48"/>
      <c r="F102" s="49"/>
      <c r="G102" s="47">
        <v>0</v>
      </c>
      <c r="H102" s="47">
        <v>0</v>
      </c>
      <c r="I102" s="47">
        <v>0</v>
      </c>
      <c r="J102" s="47">
        <v>0</v>
      </c>
      <c r="K102" s="49"/>
      <c r="L102" s="47"/>
      <c r="M102" s="47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7"/>
      <c r="AL102" s="47"/>
      <c r="AM102" s="47"/>
      <c r="AN102" s="47"/>
      <c r="AO102" s="47"/>
      <c r="AP102" s="47"/>
      <c r="AQ102" s="48"/>
      <c r="AR102" s="48"/>
      <c r="AS102" s="67">
        <v>279</v>
      </c>
      <c r="AT102" s="74">
        <f t="shared" si="6"/>
        <v>0</v>
      </c>
    </row>
    <row r="103" spans="1:46" ht="15.75" customHeight="1">
      <c r="A103" s="47"/>
      <c r="B103" s="48"/>
      <c r="C103" s="48"/>
      <c r="D103" s="48" t="s">
        <v>166</v>
      </c>
      <c r="E103" s="48"/>
      <c r="F103" s="49"/>
      <c r="G103" s="47">
        <v>0</v>
      </c>
      <c r="H103" s="47">
        <v>0</v>
      </c>
      <c r="I103" s="47">
        <v>0</v>
      </c>
      <c r="J103" s="47">
        <v>0</v>
      </c>
      <c r="K103" s="47"/>
      <c r="L103" s="47"/>
      <c r="M103" s="47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>
        <v>20</v>
      </c>
      <c r="AF103" s="49"/>
      <c r="AG103" s="49"/>
      <c r="AH103" s="49"/>
      <c r="AI103" s="49">
        <v>30</v>
      </c>
      <c r="AJ103" s="49"/>
      <c r="AK103" s="47"/>
      <c r="AL103" s="47"/>
      <c r="AM103" s="47"/>
      <c r="AN103" s="47"/>
      <c r="AO103" s="47"/>
      <c r="AP103" s="47"/>
      <c r="AQ103" s="48"/>
      <c r="AR103" s="48"/>
      <c r="AS103" s="67">
        <v>279</v>
      </c>
      <c r="AT103" s="74">
        <f t="shared" si="6"/>
        <v>0</v>
      </c>
    </row>
    <row r="104" spans="1:46" ht="15.75" customHeight="1">
      <c r="A104" s="21"/>
      <c r="B104" s="168" t="s">
        <v>27</v>
      </c>
      <c r="C104" s="169"/>
      <c r="D104" s="169"/>
      <c r="E104" s="170"/>
      <c r="F104" s="56">
        <f t="shared" ref="F104:AK104" si="7">SUM(F62:F103)</f>
        <v>0</v>
      </c>
      <c r="G104" s="56">
        <f t="shared" si="7"/>
        <v>120</v>
      </c>
      <c r="H104" s="56">
        <f t="shared" si="7"/>
        <v>412</v>
      </c>
      <c r="I104" s="56">
        <f t="shared" si="7"/>
        <v>405</v>
      </c>
      <c r="J104" s="56">
        <f t="shared" si="7"/>
        <v>410</v>
      </c>
      <c r="K104" s="56">
        <f t="shared" si="7"/>
        <v>589</v>
      </c>
      <c r="L104" s="56">
        <f t="shared" si="7"/>
        <v>385</v>
      </c>
      <c r="M104" s="56">
        <f t="shared" si="7"/>
        <v>175</v>
      </c>
      <c r="N104" s="56">
        <f t="shared" si="7"/>
        <v>359</v>
      </c>
      <c r="O104" s="56">
        <f t="shared" si="7"/>
        <v>480</v>
      </c>
      <c r="P104" s="56">
        <f t="shared" si="7"/>
        <v>340</v>
      </c>
      <c r="Q104" s="56">
        <f t="shared" si="7"/>
        <v>410</v>
      </c>
      <c r="R104" s="56">
        <f t="shared" si="7"/>
        <v>215</v>
      </c>
      <c r="S104" s="56">
        <f t="shared" si="7"/>
        <v>50</v>
      </c>
      <c r="T104" s="56">
        <f t="shared" si="7"/>
        <v>335</v>
      </c>
      <c r="U104" s="56">
        <f t="shared" si="7"/>
        <v>518</v>
      </c>
      <c r="V104" s="56">
        <f t="shared" si="7"/>
        <v>391</v>
      </c>
      <c r="W104" s="56">
        <f t="shared" si="7"/>
        <v>105</v>
      </c>
      <c r="X104" s="56">
        <f t="shared" si="7"/>
        <v>90</v>
      </c>
      <c r="Y104" s="56">
        <f t="shared" si="7"/>
        <v>302</v>
      </c>
      <c r="Z104" s="56">
        <f t="shared" si="7"/>
        <v>220</v>
      </c>
      <c r="AA104" s="56">
        <f t="shared" si="7"/>
        <v>190</v>
      </c>
      <c r="AB104" s="56">
        <f t="shared" si="7"/>
        <v>444.4</v>
      </c>
      <c r="AC104" s="56">
        <f t="shared" si="7"/>
        <v>155</v>
      </c>
      <c r="AD104" s="56">
        <f t="shared" si="7"/>
        <v>375</v>
      </c>
      <c r="AE104" s="56">
        <f t="shared" si="7"/>
        <v>335</v>
      </c>
      <c r="AF104" s="56">
        <f t="shared" si="7"/>
        <v>395</v>
      </c>
      <c r="AG104" s="56">
        <f t="shared" si="7"/>
        <v>325</v>
      </c>
      <c r="AH104" s="56">
        <f t="shared" si="7"/>
        <v>110</v>
      </c>
      <c r="AI104" s="56">
        <f t="shared" si="7"/>
        <v>220</v>
      </c>
      <c r="AJ104" s="56">
        <f t="shared" si="7"/>
        <v>265</v>
      </c>
      <c r="AK104" s="57">
        <f t="shared" si="7"/>
        <v>0</v>
      </c>
      <c r="AL104" s="57"/>
      <c r="AM104" s="57"/>
      <c r="AN104" s="19"/>
      <c r="AO104" s="19"/>
      <c r="AP104" s="19"/>
      <c r="AQ104" s="78"/>
      <c r="AR104" s="25"/>
      <c r="AS104" s="79"/>
      <c r="AT104" s="80">
        <f>SUM(AT62:AT103)</f>
        <v>0</v>
      </c>
    </row>
    <row r="105" spans="1:46" ht="15.75" customHeight="1">
      <c r="A105" s="28"/>
      <c r="B105" s="29"/>
      <c r="C105" s="29"/>
      <c r="D105" s="29"/>
      <c r="E105" s="29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ht="15.75" customHeight="1">
      <c r="A106" s="28"/>
      <c r="B106" s="30" t="s">
        <v>31</v>
      </c>
      <c r="C106" s="29"/>
      <c r="D106" s="29"/>
      <c r="E106" s="29"/>
      <c r="F106" s="81">
        <v>0</v>
      </c>
      <c r="G106" s="81">
        <f>F106+F107-F108</f>
        <v>0</v>
      </c>
      <c r="H106" s="81">
        <f t="shared" ref="H106:AJ106" si="8">G109+G110</f>
        <v>20</v>
      </c>
      <c r="I106" s="81">
        <f t="shared" si="8"/>
        <v>165</v>
      </c>
      <c r="J106" s="81">
        <f t="shared" si="8"/>
        <v>215</v>
      </c>
      <c r="K106" s="81">
        <f t="shared" si="8"/>
        <v>0</v>
      </c>
      <c r="L106" s="81">
        <f t="shared" si="8"/>
        <v>270</v>
      </c>
      <c r="M106" s="81">
        <f t="shared" si="8"/>
        <v>35.009999999999991</v>
      </c>
      <c r="N106" s="81">
        <f t="shared" si="8"/>
        <v>255.01</v>
      </c>
      <c r="O106" s="81">
        <f t="shared" si="8"/>
        <v>145.01</v>
      </c>
      <c r="P106" s="81">
        <f t="shared" si="8"/>
        <v>235.5</v>
      </c>
      <c r="Q106" s="81">
        <f t="shared" si="8"/>
        <v>220.5</v>
      </c>
      <c r="R106" s="81">
        <f t="shared" si="8"/>
        <v>145.5</v>
      </c>
      <c r="S106" s="81">
        <f t="shared" si="8"/>
        <v>60.5</v>
      </c>
      <c r="T106" s="81">
        <f t="shared" si="8"/>
        <v>415.5</v>
      </c>
      <c r="U106" s="81">
        <f t="shared" si="8"/>
        <v>280.01</v>
      </c>
      <c r="V106" s="81">
        <f t="shared" si="8"/>
        <v>70.009999999999991</v>
      </c>
      <c r="W106" s="81">
        <f t="shared" si="8"/>
        <v>55.009999999999991</v>
      </c>
      <c r="X106" s="81">
        <f t="shared" si="8"/>
        <v>645.01</v>
      </c>
      <c r="Y106" s="81">
        <f t="shared" si="8"/>
        <v>470.01</v>
      </c>
      <c r="Z106" s="81">
        <f t="shared" si="8"/>
        <v>75.009999999999991</v>
      </c>
      <c r="AA106" s="81">
        <f t="shared" si="8"/>
        <v>120.00999999999999</v>
      </c>
      <c r="AB106" s="81">
        <f t="shared" si="8"/>
        <v>758.34000000000015</v>
      </c>
      <c r="AC106" s="81">
        <f t="shared" si="8"/>
        <v>523.34000000000015</v>
      </c>
      <c r="AD106" s="81">
        <f t="shared" si="8"/>
        <v>253.34000000000015</v>
      </c>
      <c r="AE106" s="81">
        <f t="shared" si="8"/>
        <v>178.34000000000015</v>
      </c>
      <c r="AF106" s="81">
        <f t="shared" si="8"/>
        <v>328.34000000000015</v>
      </c>
      <c r="AG106" s="81">
        <f t="shared" si="8"/>
        <v>168.34000000000015</v>
      </c>
      <c r="AH106" s="81">
        <f t="shared" si="8"/>
        <v>198.34000000000015</v>
      </c>
      <c r="AI106" s="81">
        <f t="shared" si="8"/>
        <v>113.34000000000015</v>
      </c>
      <c r="AJ106" s="81">
        <f t="shared" si="8"/>
        <v>845.34000000000015</v>
      </c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ht="15.75" customHeight="1">
      <c r="A107" s="28"/>
      <c r="B107" s="30" t="s">
        <v>32</v>
      </c>
      <c r="C107" s="29"/>
      <c r="D107" s="29"/>
      <c r="E107" s="29"/>
      <c r="F107" s="82">
        <v>0</v>
      </c>
      <c r="G107" s="82">
        <v>480</v>
      </c>
      <c r="H107" s="82">
        <v>1082</v>
      </c>
      <c r="I107" s="82">
        <v>960</v>
      </c>
      <c r="J107" s="82">
        <v>600</v>
      </c>
      <c r="K107" s="83">
        <v>1319</v>
      </c>
      <c r="L107" s="82">
        <v>965.01</v>
      </c>
      <c r="M107" s="82">
        <v>540</v>
      </c>
      <c r="N107" s="82">
        <v>1004</v>
      </c>
      <c r="O107" s="82">
        <v>1522.49</v>
      </c>
      <c r="P107" s="83">
        <v>1130</v>
      </c>
      <c r="Q107" s="82">
        <v>695</v>
      </c>
      <c r="R107" s="82">
        <v>688</v>
      </c>
      <c r="S107" s="82">
        <v>680</v>
      </c>
      <c r="T107" s="82">
        <v>1280</v>
      </c>
      <c r="U107" s="82">
        <v>1018</v>
      </c>
      <c r="V107" s="82">
        <v>1051</v>
      </c>
      <c r="W107" s="82">
        <v>800</v>
      </c>
      <c r="X107" s="83"/>
      <c r="Y107" s="82">
        <v>477</v>
      </c>
      <c r="Z107" s="82">
        <v>800</v>
      </c>
      <c r="AA107" s="82">
        <v>913.33</v>
      </c>
      <c r="AB107" s="82">
        <v>1499.4</v>
      </c>
      <c r="AC107" s="82">
        <v>20</v>
      </c>
      <c r="AD107" s="82">
        <v>1460</v>
      </c>
      <c r="AE107" s="82">
        <v>1700</v>
      </c>
      <c r="AF107" s="82">
        <v>1040</v>
      </c>
      <c r="AG107" s="82">
        <v>1200</v>
      </c>
      <c r="AH107" s="82">
        <v>930</v>
      </c>
      <c r="AI107" s="82">
        <v>1717</v>
      </c>
      <c r="AJ107" s="82">
        <v>220</v>
      </c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ht="15.75" customHeight="1">
      <c r="A108" s="28"/>
      <c r="B108" s="12" t="s">
        <v>33</v>
      </c>
      <c r="C108" s="2"/>
      <c r="D108" s="2"/>
      <c r="E108" s="12"/>
      <c r="F108" s="84">
        <f t="shared" ref="F108:AJ108" si="9">SUM(F104+F60)</f>
        <v>0</v>
      </c>
      <c r="G108" s="84">
        <f t="shared" si="9"/>
        <v>460</v>
      </c>
      <c r="H108" s="84">
        <f t="shared" si="9"/>
        <v>937</v>
      </c>
      <c r="I108" s="84">
        <f t="shared" si="9"/>
        <v>910</v>
      </c>
      <c r="J108" s="84">
        <f t="shared" si="9"/>
        <v>815</v>
      </c>
      <c r="K108" s="84">
        <f t="shared" si="9"/>
        <v>1049</v>
      </c>
      <c r="L108" s="84">
        <f t="shared" si="9"/>
        <v>1200</v>
      </c>
      <c r="M108" s="84">
        <f t="shared" si="9"/>
        <v>320</v>
      </c>
      <c r="N108" s="84">
        <f t="shared" si="9"/>
        <v>1114</v>
      </c>
      <c r="O108" s="84">
        <f t="shared" si="9"/>
        <v>1432</v>
      </c>
      <c r="P108" s="84">
        <f t="shared" si="9"/>
        <v>1145</v>
      </c>
      <c r="Q108" s="84">
        <f t="shared" si="9"/>
        <v>770</v>
      </c>
      <c r="R108" s="84">
        <f t="shared" si="9"/>
        <v>773</v>
      </c>
      <c r="S108" s="84">
        <f t="shared" si="9"/>
        <v>325</v>
      </c>
      <c r="T108" s="84">
        <f t="shared" si="9"/>
        <v>1445</v>
      </c>
      <c r="U108" s="84">
        <f t="shared" si="9"/>
        <v>1228</v>
      </c>
      <c r="V108" s="84">
        <f t="shared" si="9"/>
        <v>1066</v>
      </c>
      <c r="W108" s="84">
        <f t="shared" si="9"/>
        <v>210</v>
      </c>
      <c r="X108" s="84">
        <f t="shared" si="9"/>
        <v>175</v>
      </c>
      <c r="Y108" s="84">
        <f t="shared" si="9"/>
        <v>872</v>
      </c>
      <c r="Z108" s="84">
        <f t="shared" si="9"/>
        <v>755</v>
      </c>
      <c r="AA108" s="84">
        <f t="shared" si="9"/>
        <v>275</v>
      </c>
      <c r="AB108" s="84">
        <f t="shared" si="9"/>
        <v>1734.4</v>
      </c>
      <c r="AC108" s="84">
        <f t="shared" si="9"/>
        <v>290</v>
      </c>
      <c r="AD108" s="84">
        <f t="shared" si="9"/>
        <v>1535</v>
      </c>
      <c r="AE108" s="84">
        <f t="shared" si="9"/>
        <v>1550</v>
      </c>
      <c r="AF108" s="84">
        <f t="shared" si="9"/>
        <v>1200</v>
      </c>
      <c r="AG108" s="84">
        <f t="shared" si="9"/>
        <v>1170</v>
      </c>
      <c r="AH108" s="84">
        <f t="shared" si="9"/>
        <v>1015</v>
      </c>
      <c r="AI108" s="84">
        <f t="shared" si="9"/>
        <v>985</v>
      </c>
      <c r="AJ108" s="84">
        <f t="shared" si="9"/>
        <v>800</v>
      </c>
      <c r="AK108" s="12"/>
      <c r="AL108" s="12"/>
      <c r="AM108" s="12"/>
      <c r="AN108" s="12"/>
      <c r="AO108" s="12"/>
      <c r="AP108" s="12"/>
      <c r="AQ108" s="12"/>
      <c r="AR108" s="12"/>
      <c r="AS108" s="12"/>
      <c r="AT108" s="85"/>
    </row>
    <row r="109" spans="1:46" ht="15.75" customHeight="1">
      <c r="A109" s="28"/>
      <c r="B109" s="12" t="s">
        <v>34</v>
      </c>
      <c r="C109" s="2"/>
      <c r="D109" s="2"/>
      <c r="E109" s="12"/>
      <c r="F109" s="84">
        <f>SUM(F104+F60)</f>
        <v>0</v>
      </c>
      <c r="G109" s="84">
        <f t="shared" ref="G109:S109" si="10">G106+G107-G108</f>
        <v>20</v>
      </c>
      <c r="H109" s="84">
        <f t="shared" si="10"/>
        <v>165</v>
      </c>
      <c r="I109" s="84">
        <f t="shared" si="10"/>
        <v>215</v>
      </c>
      <c r="J109" s="84">
        <f t="shared" si="10"/>
        <v>0</v>
      </c>
      <c r="K109" s="84">
        <f t="shared" si="10"/>
        <v>270</v>
      </c>
      <c r="L109" s="84">
        <f t="shared" si="10"/>
        <v>35.009999999999991</v>
      </c>
      <c r="M109" s="84">
        <f t="shared" si="10"/>
        <v>255.01</v>
      </c>
      <c r="N109" s="84">
        <f t="shared" si="10"/>
        <v>145.01</v>
      </c>
      <c r="O109" s="84">
        <f t="shared" si="10"/>
        <v>235.5</v>
      </c>
      <c r="P109" s="84">
        <f t="shared" si="10"/>
        <v>220.5</v>
      </c>
      <c r="Q109" s="84">
        <f t="shared" si="10"/>
        <v>145.5</v>
      </c>
      <c r="R109" s="84">
        <f t="shared" si="10"/>
        <v>60.5</v>
      </c>
      <c r="S109" s="84">
        <f t="shared" si="10"/>
        <v>415.5</v>
      </c>
      <c r="T109" s="84">
        <v>280.01</v>
      </c>
      <c r="U109" s="84">
        <f t="shared" ref="U109:AJ109" si="11">U106+U107-U108</f>
        <v>70.009999999999991</v>
      </c>
      <c r="V109" s="84">
        <f t="shared" si="11"/>
        <v>55.009999999999991</v>
      </c>
      <c r="W109" s="84">
        <f t="shared" si="11"/>
        <v>645.01</v>
      </c>
      <c r="X109" s="84">
        <f t="shared" si="11"/>
        <v>470.01</v>
      </c>
      <c r="Y109" s="84">
        <f t="shared" si="11"/>
        <v>75.009999999999991</v>
      </c>
      <c r="Z109" s="84">
        <f t="shared" si="11"/>
        <v>120.00999999999999</v>
      </c>
      <c r="AA109" s="84">
        <f t="shared" si="11"/>
        <v>758.34000000000015</v>
      </c>
      <c r="AB109" s="84">
        <f t="shared" si="11"/>
        <v>523.34000000000015</v>
      </c>
      <c r="AC109" s="84">
        <f t="shared" si="11"/>
        <v>253.34000000000015</v>
      </c>
      <c r="AD109" s="84">
        <f t="shared" si="11"/>
        <v>178.34000000000015</v>
      </c>
      <c r="AE109" s="84">
        <f t="shared" si="11"/>
        <v>328.34000000000015</v>
      </c>
      <c r="AF109" s="84">
        <f t="shared" si="11"/>
        <v>168.34000000000015</v>
      </c>
      <c r="AG109" s="84">
        <f t="shared" si="11"/>
        <v>198.34000000000015</v>
      </c>
      <c r="AH109" s="84">
        <f t="shared" si="11"/>
        <v>113.34000000000015</v>
      </c>
      <c r="AI109" s="84">
        <f t="shared" si="11"/>
        <v>845.34000000000015</v>
      </c>
      <c r="AJ109" s="84">
        <f t="shared" si="11"/>
        <v>265.34000000000015</v>
      </c>
      <c r="AK109" s="12"/>
      <c r="AL109" s="12"/>
      <c r="AM109" s="28"/>
      <c r="AN109" s="28"/>
      <c r="AO109" s="28"/>
      <c r="AP109" s="28"/>
      <c r="AQ109" s="12"/>
      <c r="AR109" s="12"/>
      <c r="AS109" s="85"/>
      <c r="AT109" s="12"/>
    </row>
    <row r="110" spans="1:46" ht="15.75" customHeight="1"/>
    <row r="111" spans="1:46" ht="15.75" customHeight="1"/>
    <row r="112" spans="1:46" ht="15.75" customHeight="1"/>
    <row r="113" spans="13:13" ht="15.75" customHeight="1"/>
    <row r="114" spans="13:13" ht="15.75" customHeight="1"/>
    <row r="115" spans="13:13" ht="15.75" customHeight="1"/>
    <row r="116" spans="13:13" ht="15.75" customHeight="1"/>
    <row r="117" spans="13:13" ht="15.75" customHeight="1"/>
    <row r="118" spans="13:13" ht="15.75" customHeight="1"/>
    <row r="119" spans="13:13" ht="15.75" customHeight="1"/>
    <row r="120" spans="13:13" ht="15.75" customHeight="1">
      <c r="M120" s="86" t="s">
        <v>167</v>
      </c>
    </row>
    <row r="121" spans="13:13" ht="15.75" customHeight="1"/>
    <row r="122" spans="13:13" ht="15.75" customHeight="1"/>
    <row r="123" spans="13:13" ht="15.75" customHeight="1"/>
    <row r="124" spans="13:13" ht="15.75" customHeight="1"/>
    <row r="125" spans="13:13" ht="15.75" customHeight="1"/>
    <row r="126" spans="13:13" ht="15.75" customHeight="1"/>
    <row r="127" spans="13:13" ht="15.75" customHeight="1"/>
    <row r="128" spans="13:1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04:E104"/>
    <mergeCell ref="AR5:AR6"/>
    <mergeCell ref="AS5:AS6"/>
    <mergeCell ref="AT5:AT6"/>
    <mergeCell ref="AK5:AK6"/>
    <mergeCell ref="AL5:AL6"/>
    <mergeCell ref="AM5:AM6"/>
    <mergeCell ref="AN5:AN6"/>
    <mergeCell ref="AO5:AO6"/>
    <mergeCell ref="AP5:AP6"/>
    <mergeCell ref="AQ5:AQ6"/>
    <mergeCell ref="E2:L2"/>
    <mergeCell ref="A5:A6"/>
    <mergeCell ref="B5:B6"/>
    <mergeCell ref="C5:C6"/>
    <mergeCell ref="D5:D6"/>
    <mergeCell ref="E5:E6"/>
    <mergeCell ref="F5:AJ5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5"/>
  <sheetViews>
    <sheetView tabSelected="1" workbookViewId="0">
      <pane xSplit="4" ySplit="6" topLeftCell="U91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ColWidth="14.42578125" defaultRowHeight="15" customHeight="1"/>
  <cols>
    <col min="1" max="1" width="9" customWidth="1"/>
    <col min="2" max="2" width="13.28515625" customWidth="1"/>
    <col min="3" max="3" width="9.5703125" customWidth="1"/>
    <col min="4" max="4" width="10.7109375" customWidth="1"/>
    <col min="5" max="5" width="8.42578125" customWidth="1"/>
    <col min="6" max="33" width="7" customWidth="1"/>
    <col min="34" max="37" width="9" customWidth="1"/>
    <col min="38" max="38" width="14.140625" customWidth="1"/>
    <col min="39" max="56" width="10.85546875" customWidth="1"/>
  </cols>
  <sheetData>
    <row r="1" spans="1:56" ht="15.75">
      <c r="A1" s="87" t="s">
        <v>0</v>
      </c>
      <c r="B1" s="88"/>
      <c r="C1" s="88"/>
      <c r="D1" s="88"/>
      <c r="E1" s="89" t="s">
        <v>1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9"/>
      <c r="S1" s="88"/>
      <c r="T1" s="88"/>
      <c r="U1" s="88"/>
      <c r="V1" s="87"/>
      <c r="W1" s="88"/>
      <c r="X1" s="88"/>
      <c r="Y1" s="88"/>
      <c r="Z1" s="89"/>
      <c r="AA1" s="88"/>
      <c r="AB1" s="88"/>
      <c r="AC1" s="88"/>
      <c r="AD1" s="88"/>
      <c r="AE1" s="88"/>
      <c r="AF1" s="88"/>
      <c r="AG1" s="88"/>
      <c r="AH1" s="90"/>
      <c r="AI1" s="90"/>
      <c r="AJ1" s="90"/>
      <c r="AK1" s="91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</row>
    <row r="2" spans="1:56" ht="15.75">
      <c r="A2" s="87" t="s">
        <v>50</v>
      </c>
      <c r="B2" s="88"/>
      <c r="C2" s="88"/>
      <c r="D2" s="88"/>
      <c r="E2" s="89" t="s">
        <v>78</v>
      </c>
      <c r="F2" s="88"/>
      <c r="G2" s="88"/>
      <c r="H2" s="88"/>
      <c r="I2" s="88"/>
      <c r="J2" s="89" t="s">
        <v>168</v>
      </c>
      <c r="K2" s="88"/>
      <c r="L2" s="88"/>
      <c r="M2" s="88"/>
      <c r="N2" s="88"/>
      <c r="O2" s="88"/>
      <c r="P2" s="88"/>
      <c r="Q2" s="88"/>
      <c r="R2" s="89" t="s">
        <v>5</v>
      </c>
      <c r="S2" s="88"/>
      <c r="T2" s="88"/>
      <c r="U2" s="88"/>
      <c r="V2" s="87"/>
      <c r="W2" s="88"/>
      <c r="X2" s="88"/>
      <c r="Y2" s="88"/>
      <c r="Z2" s="182"/>
      <c r="AA2" s="172"/>
      <c r="AB2" s="172"/>
      <c r="AC2" s="172"/>
      <c r="AD2" s="172"/>
      <c r="AE2" s="172"/>
      <c r="AF2" s="172"/>
      <c r="AG2" s="172"/>
      <c r="AH2" s="90"/>
      <c r="AI2" s="90"/>
      <c r="AJ2" s="90"/>
      <c r="AK2" s="91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</row>
    <row r="3" spans="1:56" ht="15.75">
      <c r="A3" s="87"/>
      <c r="B3" s="88"/>
      <c r="C3" s="88"/>
      <c r="D3" s="88"/>
      <c r="E3" s="89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S3" s="88"/>
      <c r="T3" s="88"/>
      <c r="U3" s="88"/>
      <c r="V3" s="87"/>
      <c r="W3" s="88"/>
      <c r="X3" s="88"/>
      <c r="Y3" s="88"/>
      <c r="Z3" s="89"/>
      <c r="AA3" s="88"/>
      <c r="AB3" s="88"/>
      <c r="AC3" s="88"/>
      <c r="AD3" s="88"/>
      <c r="AE3" s="88"/>
      <c r="AF3" s="88"/>
      <c r="AG3" s="88"/>
      <c r="AH3" s="90"/>
      <c r="AI3" s="90"/>
      <c r="AJ3" s="90"/>
      <c r="AK3" s="91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</row>
    <row r="4" spans="1:56" ht="22.5">
      <c r="A4" s="87"/>
      <c r="B4" s="88"/>
      <c r="C4" s="88"/>
      <c r="D4" s="93" t="s">
        <v>52</v>
      </c>
      <c r="E4" s="89"/>
      <c r="F4" s="88"/>
      <c r="G4" s="88"/>
      <c r="H4" s="94"/>
      <c r="I4" s="88"/>
      <c r="J4" s="88"/>
      <c r="K4" s="88"/>
      <c r="L4" s="88"/>
      <c r="M4" s="88"/>
      <c r="N4" s="88"/>
      <c r="O4" s="88"/>
      <c r="P4" s="88"/>
      <c r="Q4" s="88"/>
      <c r="R4" s="89"/>
      <c r="S4" s="88"/>
      <c r="T4" s="88"/>
      <c r="U4" s="88"/>
      <c r="V4" s="87"/>
      <c r="W4" s="88"/>
      <c r="X4" s="88"/>
      <c r="Y4" s="93"/>
      <c r="Z4" s="89"/>
      <c r="AA4" s="88"/>
      <c r="AB4" s="88"/>
      <c r="AC4" s="88"/>
      <c r="AD4" s="88"/>
      <c r="AE4" s="88"/>
      <c r="AF4" s="88"/>
      <c r="AG4" s="88"/>
      <c r="AH4" s="90"/>
      <c r="AI4" s="90"/>
      <c r="AJ4" s="90"/>
      <c r="AK4" s="91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</row>
    <row r="5" spans="1:56" ht="15.75">
      <c r="A5" s="174" t="s">
        <v>6</v>
      </c>
      <c r="B5" s="174" t="s">
        <v>7</v>
      </c>
      <c r="C5" s="174" t="s">
        <v>8</v>
      </c>
      <c r="D5" s="174" t="s">
        <v>46</v>
      </c>
      <c r="E5" s="174" t="s">
        <v>10</v>
      </c>
      <c r="F5" s="183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84"/>
      <c r="AH5" s="174" t="s">
        <v>12</v>
      </c>
      <c r="AI5" s="174" t="s">
        <v>13</v>
      </c>
      <c r="AJ5" s="174" t="s">
        <v>14</v>
      </c>
      <c r="AK5" s="175" t="s">
        <v>20</v>
      </c>
      <c r="AL5" s="174" t="s">
        <v>21</v>
      </c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</row>
    <row r="6" spans="1:56" ht="31.5" customHeight="1">
      <c r="A6" s="152"/>
      <c r="B6" s="152"/>
      <c r="C6" s="152"/>
      <c r="D6" s="152"/>
      <c r="E6" s="152"/>
      <c r="F6" s="97">
        <v>1</v>
      </c>
      <c r="G6" s="97">
        <v>2</v>
      </c>
      <c r="H6" s="97">
        <v>3</v>
      </c>
      <c r="I6" s="97">
        <v>4</v>
      </c>
      <c r="J6" s="97">
        <v>5</v>
      </c>
      <c r="K6" s="97">
        <v>6</v>
      </c>
      <c r="L6" s="97">
        <v>7</v>
      </c>
      <c r="M6" s="97">
        <v>8</v>
      </c>
      <c r="N6" s="97">
        <v>9</v>
      </c>
      <c r="O6" s="97">
        <v>10</v>
      </c>
      <c r="P6" s="97">
        <v>11</v>
      </c>
      <c r="Q6" s="97">
        <v>12</v>
      </c>
      <c r="R6" s="97">
        <v>13</v>
      </c>
      <c r="S6" s="97">
        <v>14</v>
      </c>
      <c r="T6" s="97">
        <v>15</v>
      </c>
      <c r="U6" s="97">
        <v>16</v>
      </c>
      <c r="V6" s="97">
        <v>17</v>
      </c>
      <c r="W6" s="97">
        <v>18</v>
      </c>
      <c r="X6" s="97">
        <v>19</v>
      </c>
      <c r="Y6" s="97">
        <v>20</v>
      </c>
      <c r="Z6" s="97">
        <v>21</v>
      </c>
      <c r="AA6" s="97">
        <v>22</v>
      </c>
      <c r="AB6" s="97">
        <v>23</v>
      </c>
      <c r="AC6" s="97">
        <v>24</v>
      </c>
      <c r="AD6" s="97">
        <v>25</v>
      </c>
      <c r="AE6" s="97">
        <v>26</v>
      </c>
      <c r="AF6" s="97">
        <v>27</v>
      </c>
      <c r="AG6" s="97">
        <v>28</v>
      </c>
      <c r="AH6" s="152"/>
      <c r="AI6" s="152"/>
      <c r="AJ6" s="152"/>
      <c r="AK6" s="152"/>
      <c r="AL6" s="152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</row>
    <row r="7" spans="1:56">
      <c r="A7" s="98">
        <v>1</v>
      </c>
      <c r="B7" s="99" t="s">
        <v>22</v>
      </c>
      <c r="C7" s="99"/>
      <c r="D7" s="100" t="s">
        <v>169</v>
      </c>
      <c r="E7" s="99" t="s">
        <v>79</v>
      </c>
      <c r="F7" s="98">
        <v>0</v>
      </c>
      <c r="G7" s="98">
        <v>70</v>
      </c>
      <c r="H7" s="98">
        <v>0</v>
      </c>
      <c r="I7" s="98">
        <v>0</v>
      </c>
      <c r="J7" s="98">
        <v>20</v>
      </c>
      <c r="K7" s="98">
        <v>0</v>
      </c>
      <c r="L7" s="98">
        <v>0</v>
      </c>
      <c r="M7" s="98">
        <v>0</v>
      </c>
      <c r="N7" s="98">
        <v>70</v>
      </c>
      <c r="O7" s="98">
        <v>0</v>
      </c>
      <c r="P7" s="98">
        <v>51</v>
      </c>
      <c r="Q7" s="98">
        <v>0</v>
      </c>
      <c r="R7" s="98">
        <v>0</v>
      </c>
      <c r="S7" s="98">
        <v>0</v>
      </c>
      <c r="T7" s="98">
        <v>0</v>
      </c>
      <c r="U7" s="98">
        <v>50</v>
      </c>
      <c r="V7" s="98">
        <v>0</v>
      </c>
      <c r="W7" s="98">
        <v>0</v>
      </c>
      <c r="X7" s="98">
        <v>0</v>
      </c>
      <c r="Y7" s="98">
        <v>70</v>
      </c>
      <c r="Z7" s="98">
        <v>0</v>
      </c>
      <c r="AA7" s="98">
        <v>50</v>
      </c>
      <c r="AB7" s="98">
        <v>0</v>
      </c>
      <c r="AC7" s="98">
        <v>0</v>
      </c>
      <c r="AD7" s="98">
        <v>0</v>
      </c>
      <c r="AE7" s="98">
        <v>0</v>
      </c>
      <c r="AF7" s="98">
        <v>30</v>
      </c>
      <c r="AG7" s="98">
        <v>0</v>
      </c>
      <c r="AH7" s="98">
        <f t="shared" ref="AH7:AH52" si="0">SUM(F7:AG7)</f>
        <v>411</v>
      </c>
      <c r="AI7" s="98"/>
      <c r="AJ7" s="98">
        <f t="shared" ref="AJ7:AJ52" si="1">AI7+AH7</f>
        <v>411</v>
      </c>
      <c r="AK7" s="101">
        <v>277</v>
      </c>
      <c r="AL7" s="102">
        <f t="shared" ref="AL7:AL52" si="2">AH7*AK7</f>
        <v>113847</v>
      </c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</row>
    <row r="8" spans="1:56">
      <c r="A8" s="98">
        <v>2</v>
      </c>
      <c r="B8" s="99" t="s">
        <v>47</v>
      </c>
      <c r="C8" s="99"/>
      <c r="D8" s="100" t="s">
        <v>170</v>
      </c>
      <c r="E8" s="99" t="s">
        <v>79</v>
      </c>
      <c r="F8" s="98">
        <v>0</v>
      </c>
      <c r="G8" s="98">
        <v>0</v>
      </c>
      <c r="H8" s="104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Z8" s="98">
        <v>0</v>
      </c>
      <c r="AA8" s="98">
        <v>0</v>
      </c>
      <c r="AB8" s="98">
        <v>0</v>
      </c>
      <c r="AC8" s="98">
        <v>0</v>
      </c>
      <c r="AD8" s="98">
        <v>0</v>
      </c>
      <c r="AE8" s="98">
        <v>0</v>
      </c>
      <c r="AF8" s="98">
        <v>0</v>
      </c>
      <c r="AG8" s="98">
        <v>0</v>
      </c>
      <c r="AH8" s="98">
        <f t="shared" si="0"/>
        <v>0</v>
      </c>
      <c r="AI8" s="98"/>
      <c r="AJ8" s="98">
        <f t="shared" si="1"/>
        <v>0</v>
      </c>
      <c r="AK8" s="101">
        <v>277</v>
      </c>
      <c r="AL8" s="102">
        <f t="shared" si="2"/>
        <v>0</v>
      </c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</row>
    <row r="9" spans="1:56">
      <c r="A9" s="98">
        <v>3</v>
      </c>
      <c r="B9" s="99" t="s">
        <v>80</v>
      </c>
      <c r="C9" s="99"/>
      <c r="D9" s="100" t="s">
        <v>59</v>
      </c>
      <c r="E9" s="99" t="s">
        <v>79</v>
      </c>
      <c r="F9" s="98">
        <v>0</v>
      </c>
      <c r="G9" s="98">
        <v>20</v>
      </c>
      <c r="H9" s="98">
        <v>20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98">
        <v>0</v>
      </c>
      <c r="P9" s="98">
        <v>0</v>
      </c>
      <c r="Q9" s="98">
        <v>0</v>
      </c>
      <c r="R9" s="98">
        <v>0</v>
      </c>
      <c r="S9" s="98">
        <v>0</v>
      </c>
      <c r="T9" s="98">
        <v>0</v>
      </c>
      <c r="U9" s="98">
        <v>0</v>
      </c>
      <c r="V9" s="98">
        <v>0</v>
      </c>
      <c r="W9" s="98">
        <v>0</v>
      </c>
      <c r="X9" s="98">
        <v>0</v>
      </c>
      <c r="Y9" s="98">
        <v>0</v>
      </c>
      <c r="Z9" s="98">
        <v>0</v>
      </c>
      <c r="AA9" s="98">
        <v>0</v>
      </c>
      <c r="AB9" s="98">
        <v>0</v>
      </c>
      <c r="AC9" s="98">
        <v>0</v>
      </c>
      <c r="AD9" s="98">
        <v>0</v>
      </c>
      <c r="AE9" s="98">
        <v>0</v>
      </c>
      <c r="AF9" s="98">
        <v>0</v>
      </c>
      <c r="AG9" s="98">
        <v>0</v>
      </c>
      <c r="AH9" s="98">
        <f t="shared" si="0"/>
        <v>40</v>
      </c>
      <c r="AI9" s="98"/>
      <c r="AJ9" s="98">
        <f t="shared" si="1"/>
        <v>40</v>
      </c>
      <c r="AK9" s="101">
        <v>277</v>
      </c>
      <c r="AL9" s="102">
        <f t="shared" si="2"/>
        <v>11080</v>
      </c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</row>
    <row r="10" spans="1:56">
      <c r="A10" s="98">
        <v>4</v>
      </c>
      <c r="B10" s="99" t="s">
        <v>58</v>
      </c>
      <c r="C10" s="99"/>
      <c r="D10" s="100" t="s">
        <v>59</v>
      </c>
      <c r="E10" s="99" t="s">
        <v>79</v>
      </c>
      <c r="F10" s="98">
        <v>30</v>
      </c>
      <c r="G10" s="98">
        <v>30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20</v>
      </c>
      <c r="U10" s="98">
        <v>10</v>
      </c>
      <c r="V10" s="98">
        <v>0</v>
      </c>
      <c r="W10" s="98">
        <v>15</v>
      </c>
      <c r="X10" s="98">
        <v>20</v>
      </c>
      <c r="Y10" s="98">
        <v>20</v>
      </c>
      <c r="Z10" s="98">
        <v>20</v>
      </c>
      <c r="AA10" s="98">
        <v>20</v>
      </c>
      <c r="AB10" s="98">
        <v>20</v>
      </c>
      <c r="AC10" s="98">
        <v>20</v>
      </c>
      <c r="AD10" s="98">
        <v>20</v>
      </c>
      <c r="AE10" s="98">
        <v>20</v>
      </c>
      <c r="AF10" s="98">
        <v>20</v>
      </c>
      <c r="AG10" s="98">
        <v>20</v>
      </c>
      <c r="AH10" s="98">
        <f t="shared" si="0"/>
        <v>305</v>
      </c>
      <c r="AI10" s="98"/>
      <c r="AJ10" s="98">
        <f t="shared" si="1"/>
        <v>305</v>
      </c>
      <c r="AK10" s="101">
        <v>277</v>
      </c>
      <c r="AL10" s="102">
        <f t="shared" si="2"/>
        <v>84485</v>
      </c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</row>
    <row r="11" spans="1:56">
      <c r="A11" s="98">
        <v>5</v>
      </c>
      <c r="B11" s="99" t="s">
        <v>69</v>
      </c>
      <c r="C11" s="99"/>
      <c r="D11" s="100" t="s">
        <v>59</v>
      </c>
      <c r="E11" s="99" t="s">
        <v>79</v>
      </c>
      <c r="F11" s="98">
        <v>30</v>
      </c>
      <c r="G11" s="98">
        <v>15</v>
      </c>
      <c r="H11" s="98">
        <v>0</v>
      </c>
      <c r="I11" s="98">
        <v>0</v>
      </c>
      <c r="J11" s="98">
        <v>95</v>
      </c>
      <c r="K11" s="98">
        <v>20</v>
      </c>
      <c r="L11" s="98">
        <v>70</v>
      </c>
      <c r="M11" s="98">
        <v>35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15</v>
      </c>
      <c r="Z11" s="98">
        <v>0</v>
      </c>
      <c r="AA11" s="98">
        <v>0</v>
      </c>
      <c r="AB11" s="98">
        <v>0</v>
      </c>
      <c r="AC11" s="98">
        <v>0</v>
      </c>
      <c r="AD11" s="98">
        <v>0</v>
      </c>
      <c r="AE11" s="98">
        <v>0</v>
      </c>
      <c r="AF11" s="98">
        <v>0</v>
      </c>
      <c r="AG11" s="98">
        <v>0</v>
      </c>
      <c r="AH11" s="98">
        <f t="shared" si="0"/>
        <v>280</v>
      </c>
      <c r="AI11" s="98"/>
      <c r="AJ11" s="98">
        <f t="shared" si="1"/>
        <v>280</v>
      </c>
      <c r="AK11" s="101">
        <v>277</v>
      </c>
      <c r="AL11" s="102">
        <f t="shared" si="2"/>
        <v>77560</v>
      </c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</row>
    <row r="12" spans="1:56">
      <c r="A12" s="98">
        <v>6</v>
      </c>
      <c r="B12" s="99" t="s">
        <v>81</v>
      </c>
      <c r="C12" s="99"/>
      <c r="D12" s="100" t="s">
        <v>170</v>
      </c>
      <c r="E12" s="99" t="s">
        <v>79</v>
      </c>
      <c r="F12" s="98">
        <v>10</v>
      </c>
      <c r="G12" s="98">
        <v>0</v>
      </c>
      <c r="H12" s="98">
        <v>0</v>
      </c>
      <c r="I12" s="98">
        <v>14</v>
      </c>
      <c r="J12" s="98">
        <v>0</v>
      </c>
      <c r="K12" s="98">
        <v>45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25</v>
      </c>
      <c r="Z12" s="98">
        <v>0</v>
      </c>
      <c r="AA12" s="98">
        <v>0</v>
      </c>
      <c r="AB12" s="98">
        <v>0</v>
      </c>
      <c r="AC12" s="98">
        <v>0</v>
      </c>
      <c r="AD12" s="98">
        <v>0</v>
      </c>
      <c r="AE12" s="98">
        <v>0</v>
      </c>
      <c r="AF12" s="98">
        <v>0</v>
      </c>
      <c r="AG12" s="98">
        <v>0</v>
      </c>
      <c r="AH12" s="98">
        <f t="shared" si="0"/>
        <v>94</v>
      </c>
      <c r="AI12" s="98"/>
      <c r="AJ12" s="98">
        <f t="shared" si="1"/>
        <v>94</v>
      </c>
      <c r="AK12" s="101">
        <v>277</v>
      </c>
      <c r="AL12" s="102">
        <f t="shared" si="2"/>
        <v>26038</v>
      </c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</row>
    <row r="13" spans="1:56">
      <c r="A13" s="98">
        <v>7</v>
      </c>
      <c r="B13" s="99" t="s">
        <v>60</v>
      </c>
      <c r="C13" s="99"/>
      <c r="D13" s="100" t="s">
        <v>59</v>
      </c>
      <c r="E13" s="99" t="s">
        <v>79</v>
      </c>
      <c r="F13" s="98">
        <v>30</v>
      </c>
      <c r="G13" s="98">
        <v>15</v>
      </c>
      <c r="H13" s="98">
        <v>0</v>
      </c>
      <c r="I13" s="98">
        <v>0</v>
      </c>
      <c r="J13" s="98">
        <v>0</v>
      </c>
      <c r="K13" s="98">
        <v>0</v>
      </c>
      <c r="L13" s="98">
        <v>0</v>
      </c>
      <c r="M13" s="98">
        <v>0</v>
      </c>
      <c r="N13" s="98">
        <v>0</v>
      </c>
      <c r="O13" s="98">
        <v>0</v>
      </c>
      <c r="P13" s="98">
        <v>0</v>
      </c>
      <c r="Q13" s="98">
        <v>0</v>
      </c>
      <c r="R13" s="98">
        <v>0</v>
      </c>
      <c r="S13" s="98">
        <v>0</v>
      </c>
      <c r="T13" s="98">
        <v>0</v>
      </c>
      <c r="U13" s="98">
        <v>0</v>
      </c>
      <c r="V13" s="98">
        <v>0</v>
      </c>
      <c r="W13" s="98">
        <v>0</v>
      </c>
      <c r="X13" s="98">
        <v>0</v>
      </c>
      <c r="Y13" s="98">
        <v>0</v>
      </c>
      <c r="Z13" s="98">
        <v>0</v>
      </c>
      <c r="AA13" s="98">
        <v>0</v>
      </c>
      <c r="AB13" s="98">
        <v>0</v>
      </c>
      <c r="AC13" s="98">
        <v>0</v>
      </c>
      <c r="AD13" s="98">
        <v>20</v>
      </c>
      <c r="AE13" s="98">
        <v>20</v>
      </c>
      <c r="AF13" s="98">
        <v>20</v>
      </c>
      <c r="AG13" s="98">
        <v>20</v>
      </c>
      <c r="AH13" s="98">
        <f t="shared" si="0"/>
        <v>125</v>
      </c>
      <c r="AI13" s="98"/>
      <c r="AJ13" s="98">
        <f t="shared" si="1"/>
        <v>125</v>
      </c>
      <c r="AK13" s="101">
        <v>277</v>
      </c>
      <c r="AL13" s="102">
        <f t="shared" si="2"/>
        <v>34625</v>
      </c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</row>
    <row r="14" spans="1:56">
      <c r="A14" s="98">
        <v>8</v>
      </c>
      <c r="B14" s="99" t="s">
        <v>48</v>
      </c>
      <c r="C14" s="99"/>
      <c r="D14" s="100" t="s">
        <v>170</v>
      </c>
      <c r="E14" s="99" t="s">
        <v>79</v>
      </c>
      <c r="F14" s="98">
        <v>0</v>
      </c>
      <c r="G14" s="98">
        <v>0</v>
      </c>
      <c r="H14" s="98">
        <v>0</v>
      </c>
      <c r="I14" s="98">
        <v>0</v>
      </c>
      <c r="J14" s="98">
        <v>0</v>
      </c>
      <c r="K14" s="98">
        <v>0</v>
      </c>
      <c r="L14" s="98">
        <v>0</v>
      </c>
      <c r="M14" s="98">
        <v>0</v>
      </c>
      <c r="N14" s="98">
        <v>0</v>
      </c>
      <c r="O14" s="98">
        <v>0</v>
      </c>
      <c r="P14" s="98">
        <v>0</v>
      </c>
      <c r="Q14" s="98">
        <v>0</v>
      </c>
      <c r="R14" s="98">
        <v>0</v>
      </c>
      <c r="S14" s="98">
        <v>0</v>
      </c>
      <c r="T14" s="98">
        <v>0</v>
      </c>
      <c r="U14" s="98">
        <v>0</v>
      </c>
      <c r="V14" s="98">
        <v>0</v>
      </c>
      <c r="W14" s="98">
        <v>0</v>
      </c>
      <c r="X14" s="98">
        <v>0</v>
      </c>
      <c r="Y14" s="98">
        <v>0</v>
      </c>
      <c r="Z14" s="98">
        <v>0</v>
      </c>
      <c r="AA14" s="98">
        <v>0</v>
      </c>
      <c r="AB14" s="98">
        <v>0</v>
      </c>
      <c r="AC14" s="98">
        <v>0</v>
      </c>
      <c r="AD14" s="98">
        <v>0</v>
      </c>
      <c r="AE14" s="98">
        <v>0</v>
      </c>
      <c r="AF14" s="98">
        <v>0</v>
      </c>
      <c r="AG14" s="98">
        <v>0</v>
      </c>
      <c r="AH14" s="98">
        <f t="shared" si="0"/>
        <v>0</v>
      </c>
      <c r="AI14" s="98"/>
      <c r="AJ14" s="98">
        <f t="shared" si="1"/>
        <v>0</v>
      </c>
      <c r="AK14" s="101">
        <v>277</v>
      </c>
      <c r="AL14" s="102">
        <f t="shared" si="2"/>
        <v>0</v>
      </c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</row>
    <row r="15" spans="1:56">
      <c r="A15" s="98">
        <v>9</v>
      </c>
      <c r="B15" s="99" t="s">
        <v>82</v>
      </c>
      <c r="C15" s="99"/>
      <c r="D15" s="100" t="s">
        <v>170</v>
      </c>
      <c r="E15" s="99" t="s">
        <v>79</v>
      </c>
      <c r="F15" s="98">
        <v>25</v>
      </c>
      <c r="G15" s="98">
        <v>25</v>
      </c>
      <c r="H15" s="98">
        <v>25</v>
      </c>
      <c r="I15" s="98">
        <v>25</v>
      </c>
      <c r="J15" s="98">
        <v>20</v>
      </c>
      <c r="K15" s="98">
        <v>0</v>
      </c>
      <c r="L15" s="98">
        <v>0</v>
      </c>
      <c r="M15" s="98">
        <v>25</v>
      </c>
      <c r="N15" s="98">
        <v>25</v>
      </c>
      <c r="O15" s="98">
        <v>40</v>
      </c>
      <c r="P15" s="98">
        <v>35</v>
      </c>
      <c r="Q15" s="98">
        <v>50</v>
      </c>
      <c r="R15" s="98">
        <v>40</v>
      </c>
      <c r="S15" s="98">
        <f>SUM(25+20)</f>
        <v>45</v>
      </c>
      <c r="T15" s="98">
        <v>25</v>
      </c>
      <c r="U15" s="98">
        <v>25</v>
      </c>
      <c r="V15" s="98">
        <v>25</v>
      </c>
      <c r="W15" s="98">
        <v>30</v>
      </c>
      <c r="X15" s="98">
        <v>30</v>
      </c>
      <c r="Y15" s="98">
        <v>25</v>
      </c>
      <c r="Z15" s="98">
        <v>25</v>
      </c>
      <c r="AA15" s="98">
        <v>25</v>
      </c>
      <c r="AB15" s="98">
        <v>40</v>
      </c>
      <c r="AC15" s="98">
        <v>30</v>
      </c>
      <c r="AD15" s="98">
        <v>30</v>
      </c>
      <c r="AE15" s="98">
        <v>30</v>
      </c>
      <c r="AF15" s="98">
        <v>30</v>
      </c>
      <c r="AG15" s="98">
        <v>30</v>
      </c>
      <c r="AH15" s="98">
        <f t="shared" si="0"/>
        <v>780</v>
      </c>
      <c r="AI15" s="98"/>
      <c r="AJ15" s="98">
        <f t="shared" si="1"/>
        <v>780</v>
      </c>
      <c r="AK15" s="101">
        <v>277</v>
      </c>
      <c r="AL15" s="102">
        <f t="shared" si="2"/>
        <v>216060</v>
      </c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</row>
    <row r="16" spans="1:56">
      <c r="A16" s="98">
        <v>10</v>
      </c>
      <c r="B16" s="99" t="s">
        <v>83</v>
      </c>
      <c r="C16" s="99"/>
      <c r="D16" s="100" t="s">
        <v>59</v>
      </c>
      <c r="E16" s="99" t="s">
        <v>79</v>
      </c>
      <c r="F16" s="98">
        <v>20</v>
      </c>
      <c r="G16" s="98">
        <v>0</v>
      </c>
      <c r="H16" s="98">
        <v>20</v>
      </c>
      <c r="I16" s="98">
        <v>0</v>
      </c>
      <c r="J16" s="98">
        <v>0</v>
      </c>
      <c r="K16" s="98">
        <v>20</v>
      </c>
      <c r="L16" s="98">
        <v>20</v>
      </c>
      <c r="M16" s="98">
        <v>20</v>
      </c>
      <c r="N16" s="98">
        <v>20</v>
      </c>
      <c r="O16" s="98">
        <v>15</v>
      </c>
      <c r="P16" s="98">
        <v>15</v>
      </c>
      <c r="Q16" s="98">
        <v>20</v>
      </c>
      <c r="R16" s="98">
        <v>20</v>
      </c>
      <c r="S16" s="98">
        <v>5</v>
      </c>
      <c r="T16" s="98">
        <v>15</v>
      </c>
      <c r="U16" s="98">
        <v>10</v>
      </c>
      <c r="V16" s="98">
        <v>10</v>
      </c>
      <c r="W16" s="98">
        <v>15</v>
      </c>
      <c r="X16" s="98">
        <v>20</v>
      </c>
      <c r="Y16" s="98">
        <v>20</v>
      </c>
      <c r="Z16" s="98">
        <v>20</v>
      </c>
      <c r="AA16" s="98">
        <v>20</v>
      </c>
      <c r="AB16" s="98">
        <v>20</v>
      </c>
      <c r="AC16" s="98">
        <v>20</v>
      </c>
      <c r="AD16" s="98">
        <v>20</v>
      </c>
      <c r="AE16" s="98">
        <v>20</v>
      </c>
      <c r="AF16" s="98">
        <v>20</v>
      </c>
      <c r="AG16" s="98">
        <v>20</v>
      </c>
      <c r="AH16" s="98">
        <f t="shared" si="0"/>
        <v>445</v>
      </c>
      <c r="AI16" s="98"/>
      <c r="AJ16" s="98">
        <f t="shared" si="1"/>
        <v>445</v>
      </c>
      <c r="AK16" s="101">
        <v>277</v>
      </c>
      <c r="AL16" s="102">
        <f t="shared" si="2"/>
        <v>123265</v>
      </c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</row>
    <row r="17" spans="1:56">
      <c r="A17" s="98">
        <v>11</v>
      </c>
      <c r="B17" s="99" t="s">
        <v>84</v>
      </c>
      <c r="C17" s="99"/>
      <c r="D17" s="100" t="s">
        <v>59</v>
      </c>
      <c r="E17" s="99" t="s">
        <v>79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Z17" s="98">
        <v>0</v>
      </c>
      <c r="AA17" s="98">
        <v>0</v>
      </c>
      <c r="AB17" s="98">
        <v>0</v>
      </c>
      <c r="AC17" s="98">
        <v>0</v>
      </c>
      <c r="AD17" s="98">
        <v>0</v>
      </c>
      <c r="AE17" s="98">
        <v>0</v>
      </c>
      <c r="AF17" s="98">
        <v>0</v>
      </c>
      <c r="AG17" s="98">
        <v>0</v>
      </c>
      <c r="AH17" s="98">
        <f t="shared" si="0"/>
        <v>0</v>
      </c>
      <c r="AI17" s="98"/>
      <c r="AJ17" s="98">
        <f t="shared" si="1"/>
        <v>0</v>
      </c>
      <c r="AK17" s="101">
        <v>277</v>
      </c>
      <c r="AL17" s="102">
        <f t="shared" si="2"/>
        <v>0</v>
      </c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</row>
    <row r="18" spans="1:56">
      <c r="A18" s="98">
        <v>12</v>
      </c>
      <c r="B18" s="99" t="s">
        <v>85</v>
      </c>
      <c r="C18" s="99"/>
      <c r="D18" s="100" t="s">
        <v>59</v>
      </c>
      <c r="E18" s="99" t="s">
        <v>79</v>
      </c>
      <c r="F18" s="98">
        <v>0</v>
      </c>
      <c r="G18" s="98">
        <v>15</v>
      </c>
      <c r="H18" s="98">
        <v>5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Z18" s="98">
        <v>0</v>
      </c>
      <c r="AA18" s="98">
        <v>0</v>
      </c>
      <c r="AB18" s="98">
        <v>0</v>
      </c>
      <c r="AC18" s="98">
        <v>0</v>
      </c>
      <c r="AD18" s="98">
        <v>0</v>
      </c>
      <c r="AE18" s="98">
        <v>0</v>
      </c>
      <c r="AF18" s="98">
        <v>0</v>
      </c>
      <c r="AG18" s="98">
        <v>0</v>
      </c>
      <c r="AH18" s="98">
        <f t="shared" si="0"/>
        <v>20</v>
      </c>
      <c r="AI18" s="98"/>
      <c r="AJ18" s="98">
        <f t="shared" si="1"/>
        <v>20</v>
      </c>
      <c r="AK18" s="101">
        <v>277</v>
      </c>
      <c r="AL18" s="102">
        <f t="shared" si="2"/>
        <v>5540</v>
      </c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</row>
    <row r="19" spans="1:56">
      <c r="A19" s="98">
        <v>13</v>
      </c>
      <c r="B19" s="99" t="s">
        <v>74</v>
      </c>
      <c r="C19" s="99"/>
      <c r="D19" s="100" t="s">
        <v>59</v>
      </c>
      <c r="E19" s="99" t="s">
        <v>79</v>
      </c>
      <c r="F19" s="98">
        <v>80</v>
      </c>
      <c r="G19" s="98">
        <v>10</v>
      </c>
      <c r="H19" s="98">
        <v>0</v>
      </c>
      <c r="I19" s="98">
        <v>0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  <c r="Q19" s="98">
        <v>0</v>
      </c>
      <c r="R19" s="98">
        <v>0</v>
      </c>
      <c r="S19" s="98">
        <v>0</v>
      </c>
      <c r="T19" s="98">
        <v>0</v>
      </c>
      <c r="U19" s="98">
        <v>0</v>
      </c>
      <c r="V19" s="98">
        <v>0</v>
      </c>
      <c r="W19" s="98">
        <v>0</v>
      </c>
      <c r="X19" s="98">
        <v>0</v>
      </c>
      <c r="Y19" s="98">
        <v>0</v>
      </c>
      <c r="Z19" s="98">
        <v>0</v>
      </c>
      <c r="AA19" s="98">
        <v>0</v>
      </c>
      <c r="AB19" s="98">
        <v>0</v>
      </c>
      <c r="AC19" s="98">
        <v>0</v>
      </c>
      <c r="AD19" s="98">
        <v>0</v>
      </c>
      <c r="AE19" s="98">
        <v>0</v>
      </c>
      <c r="AF19" s="98">
        <v>0</v>
      </c>
      <c r="AG19" s="98">
        <v>0</v>
      </c>
      <c r="AH19" s="98">
        <f t="shared" si="0"/>
        <v>90</v>
      </c>
      <c r="AI19" s="98"/>
      <c r="AJ19" s="98">
        <f t="shared" si="1"/>
        <v>90</v>
      </c>
      <c r="AK19" s="101">
        <v>277</v>
      </c>
      <c r="AL19" s="102">
        <f t="shared" si="2"/>
        <v>24930</v>
      </c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</row>
    <row r="20" spans="1:56">
      <c r="A20" s="98">
        <v>14</v>
      </c>
      <c r="B20" s="99" t="s">
        <v>86</v>
      </c>
      <c r="C20" s="99"/>
      <c r="D20" s="100" t="s">
        <v>59</v>
      </c>
      <c r="E20" s="99" t="s">
        <v>79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Z20" s="98">
        <v>0</v>
      </c>
      <c r="AA20" s="98">
        <v>0</v>
      </c>
      <c r="AB20" s="98">
        <v>0</v>
      </c>
      <c r="AC20" s="98">
        <v>0</v>
      </c>
      <c r="AD20" s="98">
        <v>0</v>
      </c>
      <c r="AE20" s="98">
        <v>0</v>
      </c>
      <c r="AF20" s="98">
        <v>0</v>
      </c>
      <c r="AG20" s="98">
        <v>0</v>
      </c>
      <c r="AH20" s="98">
        <f t="shared" si="0"/>
        <v>0</v>
      </c>
      <c r="AI20" s="98"/>
      <c r="AJ20" s="98">
        <f t="shared" si="1"/>
        <v>0</v>
      </c>
      <c r="AK20" s="101">
        <v>277</v>
      </c>
      <c r="AL20" s="102">
        <f t="shared" si="2"/>
        <v>0</v>
      </c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</row>
    <row r="21" spans="1:56" ht="15.75" customHeight="1">
      <c r="A21" s="98">
        <v>15</v>
      </c>
      <c r="B21" s="99" t="s">
        <v>87</v>
      </c>
      <c r="C21" s="99"/>
      <c r="D21" s="100" t="s">
        <v>59</v>
      </c>
      <c r="E21" s="99" t="s">
        <v>79</v>
      </c>
      <c r="F21" s="98">
        <v>30</v>
      </c>
      <c r="G21" s="98">
        <v>15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Z21" s="98">
        <v>0</v>
      </c>
      <c r="AA21" s="98">
        <v>0</v>
      </c>
      <c r="AB21" s="98">
        <v>0</v>
      </c>
      <c r="AC21" s="98">
        <v>0</v>
      </c>
      <c r="AD21" s="98">
        <v>0</v>
      </c>
      <c r="AE21" s="98">
        <v>0</v>
      </c>
      <c r="AF21" s="98">
        <v>0</v>
      </c>
      <c r="AG21" s="98">
        <v>0</v>
      </c>
      <c r="AH21" s="98">
        <f t="shared" si="0"/>
        <v>45</v>
      </c>
      <c r="AI21" s="98"/>
      <c r="AJ21" s="98">
        <f t="shared" si="1"/>
        <v>45</v>
      </c>
      <c r="AK21" s="101">
        <v>277</v>
      </c>
      <c r="AL21" s="102">
        <f t="shared" si="2"/>
        <v>12465</v>
      </c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</row>
    <row r="22" spans="1:56" ht="15.75" customHeight="1">
      <c r="A22" s="98">
        <v>16</v>
      </c>
      <c r="B22" s="99" t="s">
        <v>88</v>
      </c>
      <c r="C22" s="99"/>
      <c r="D22" s="100" t="s">
        <v>59</v>
      </c>
      <c r="E22" s="99" t="s">
        <v>79</v>
      </c>
      <c r="F22" s="98">
        <v>0</v>
      </c>
      <c r="G22" s="98">
        <v>0</v>
      </c>
      <c r="H22" s="98">
        <v>0</v>
      </c>
      <c r="I22" s="98">
        <v>0</v>
      </c>
      <c r="J22" s="98">
        <v>0</v>
      </c>
      <c r="K22" s="98">
        <v>0</v>
      </c>
      <c r="L22" s="98">
        <v>0</v>
      </c>
      <c r="M22" s="98">
        <v>0</v>
      </c>
      <c r="N22" s="98">
        <v>0</v>
      </c>
      <c r="O22" s="98">
        <v>0</v>
      </c>
      <c r="P22" s="98">
        <v>0</v>
      </c>
      <c r="Q22" s="98">
        <v>0</v>
      </c>
      <c r="R22" s="98">
        <v>0</v>
      </c>
      <c r="S22" s="98">
        <v>0</v>
      </c>
      <c r="T22" s="98">
        <v>0</v>
      </c>
      <c r="U22" s="98">
        <v>0</v>
      </c>
      <c r="V22" s="98">
        <v>0</v>
      </c>
      <c r="W22" s="98">
        <v>0</v>
      </c>
      <c r="X22" s="98">
        <v>0</v>
      </c>
      <c r="Y22" s="98">
        <v>0</v>
      </c>
      <c r="Z22" s="98">
        <v>0</v>
      </c>
      <c r="AA22" s="98">
        <v>0</v>
      </c>
      <c r="AB22" s="98">
        <v>0</v>
      </c>
      <c r="AC22" s="98">
        <v>0</v>
      </c>
      <c r="AD22" s="98">
        <v>0</v>
      </c>
      <c r="AE22" s="98">
        <v>0</v>
      </c>
      <c r="AF22" s="98">
        <v>0</v>
      </c>
      <c r="AG22" s="98">
        <v>0</v>
      </c>
      <c r="AH22" s="98">
        <f t="shared" si="0"/>
        <v>0</v>
      </c>
      <c r="AI22" s="98"/>
      <c r="AJ22" s="98">
        <f t="shared" si="1"/>
        <v>0</v>
      </c>
      <c r="AK22" s="101">
        <v>277</v>
      </c>
      <c r="AL22" s="102">
        <f t="shared" si="2"/>
        <v>0</v>
      </c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</row>
    <row r="23" spans="1:56" ht="15.75" customHeight="1">
      <c r="A23" s="98">
        <v>17</v>
      </c>
      <c r="B23" s="99" t="s">
        <v>89</v>
      </c>
      <c r="C23" s="99"/>
      <c r="D23" s="100" t="s">
        <v>59</v>
      </c>
      <c r="E23" s="99" t="s">
        <v>79</v>
      </c>
      <c r="F23" s="98">
        <v>30</v>
      </c>
      <c r="G23" s="98">
        <v>15</v>
      </c>
      <c r="H23" s="98">
        <v>5</v>
      </c>
      <c r="I23" s="98">
        <v>0</v>
      </c>
      <c r="J23" s="98">
        <v>0</v>
      </c>
      <c r="K23" s="98">
        <v>0</v>
      </c>
      <c r="L23" s="98">
        <v>0</v>
      </c>
      <c r="M23" s="98">
        <v>0</v>
      </c>
      <c r="N23" s="98">
        <v>0</v>
      </c>
      <c r="O23" s="98">
        <v>0</v>
      </c>
      <c r="P23" s="98">
        <v>0</v>
      </c>
      <c r="Q23" s="98">
        <v>0</v>
      </c>
      <c r="R23" s="98">
        <v>0</v>
      </c>
      <c r="S23" s="98">
        <v>0</v>
      </c>
      <c r="T23" s="98">
        <v>0</v>
      </c>
      <c r="U23" s="98">
        <v>0</v>
      </c>
      <c r="V23" s="98">
        <v>0</v>
      </c>
      <c r="W23" s="98">
        <v>0</v>
      </c>
      <c r="X23" s="98">
        <v>0</v>
      </c>
      <c r="Y23" s="98">
        <v>0</v>
      </c>
      <c r="Z23" s="98">
        <v>0</v>
      </c>
      <c r="AA23" s="98">
        <v>0</v>
      </c>
      <c r="AB23" s="98">
        <v>0</v>
      </c>
      <c r="AC23" s="98">
        <v>0</v>
      </c>
      <c r="AD23" s="98">
        <v>0</v>
      </c>
      <c r="AE23" s="98">
        <v>0</v>
      </c>
      <c r="AF23" s="98">
        <v>0</v>
      </c>
      <c r="AG23" s="98">
        <v>0</v>
      </c>
      <c r="AH23" s="98">
        <f t="shared" si="0"/>
        <v>50</v>
      </c>
      <c r="AI23" s="98"/>
      <c r="AJ23" s="98">
        <f t="shared" si="1"/>
        <v>50</v>
      </c>
      <c r="AK23" s="101">
        <v>277</v>
      </c>
      <c r="AL23" s="102">
        <f t="shared" si="2"/>
        <v>13850</v>
      </c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</row>
    <row r="24" spans="1:56" ht="15.75" customHeight="1">
      <c r="A24" s="98">
        <v>18</v>
      </c>
      <c r="B24" s="99" t="s">
        <v>90</v>
      </c>
      <c r="C24" s="99"/>
      <c r="D24" s="100" t="s">
        <v>59</v>
      </c>
      <c r="E24" s="99" t="s">
        <v>79</v>
      </c>
      <c r="F24" s="98">
        <v>0</v>
      </c>
      <c r="G24" s="98">
        <v>0</v>
      </c>
      <c r="H24" s="98">
        <v>0</v>
      </c>
      <c r="I24" s="98">
        <v>0</v>
      </c>
      <c r="J24" s="98">
        <v>0</v>
      </c>
      <c r="K24" s="98">
        <v>0</v>
      </c>
      <c r="L24" s="98">
        <v>0</v>
      </c>
      <c r="M24" s="98">
        <v>0</v>
      </c>
      <c r="N24" s="98">
        <v>0</v>
      </c>
      <c r="O24" s="98">
        <v>0</v>
      </c>
      <c r="P24" s="98">
        <v>0</v>
      </c>
      <c r="Q24" s="98">
        <v>0</v>
      </c>
      <c r="R24" s="98">
        <v>0</v>
      </c>
      <c r="S24" s="98">
        <v>0</v>
      </c>
      <c r="T24" s="98">
        <v>0</v>
      </c>
      <c r="U24" s="98">
        <v>0</v>
      </c>
      <c r="V24" s="98">
        <v>0</v>
      </c>
      <c r="W24" s="98">
        <v>0</v>
      </c>
      <c r="X24" s="98">
        <v>0</v>
      </c>
      <c r="Y24" s="98">
        <v>0</v>
      </c>
      <c r="Z24" s="98">
        <v>0</v>
      </c>
      <c r="AA24" s="98">
        <v>0</v>
      </c>
      <c r="AB24" s="98">
        <v>0</v>
      </c>
      <c r="AC24" s="98">
        <v>0</v>
      </c>
      <c r="AD24" s="98">
        <v>0</v>
      </c>
      <c r="AE24" s="98">
        <v>0</v>
      </c>
      <c r="AF24" s="98">
        <v>0</v>
      </c>
      <c r="AG24" s="98">
        <v>0</v>
      </c>
      <c r="AH24" s="98">
        <f t="shared" si="0"/>
        <v>0</v>
      </c>
      <c r="AI24" s="98"/>
      <c r="AJ24" s="98">
        <f t="shared" si="1"/>
        <v>0</v>
      </c>
      <c r="AK24" s="101">
        <v>277</v>
      </c>
      <c r="AL24" s="102">
        <f t="shared" si="2"/>
        <v>0</v>
      </c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</row>
    <row r="25" spans="1:56" ht="15.75" customHeight="1">
      <c r="A25" s="98">
        <v>19</v>
      </c>
      <c r="B25" s="99" t="s">
        <v>91</v>
      </c>
      <c r="C25" s="99"/>
      <c r="D25" s="100" t="s">
        <v>59</v>
      </c>
      <c r="E25" s="99" t="s">
        <v>79</v>
      </c>
      <c r="F25" s="98">
        <v>30</v>
      </c>
      <c r="G25" s="98">
        <v>15</v>
      </c>
      <c r="H25" s="98">
        <v>0</v>
      </c>
      <c r="I25" s="98">
        <v>0</v>
      </c>
      <c r="J25" s="98">
        <v>20</v>
      </c>
      <c r="K25" s="98">
        <v>0</v>
      </c>
      <c r="L25" s="98">
        <v>0</v>
      </c>
      <c r="M25" s="98">
        <v>0</v>
      </c>
      <c r="N25" s="98">
        <v>0</v>
      </c>
      <c r="O25" s="98">
        <v>0</v>
      </c>
      <c r="P25" s="98">
        <v>0</v>
      </c>
      <c r="Q25" s="98">
        <v>0</v>
      </c>
      <c r="R25" s="98">
        <v>0</v>
      </c>
      <c r="S25" s="98">
        <v>0</v>
      </c>
      <c r="T25" s="98">
        <v>0</v>
      </c>
      <c r="U25" s="98">
        <v>0</v>
      </c>
      <c r="V25" s="98">
        <v>0</v>
      </c>
      <c r="W25" s="98">
        <v>0</v>
      </c>
      <c r="X25" s="98">
        <v>0</v>
      </c>
      <c r="Y25" s="98">
        <v>0</v>
      </c>
      <c r="Z25" s="98">
        <v>0</v>
      </c>
      <c r="AA25" s="98">
        <v>0</v>
      </c>
      <c r="AB25" s="98">
        <v>0</v>
      </c>
      <c r="AC25" s="98">
        <v>0</v>
      </c>
      <c r="AD25" s="98">
        <v>0</v>
      </c>
      <c r="AE25" s="98">
        <v>0</v>
      </c>
      <c r="AF25" s="98">
        <v>0</v>
      </c>
      <c r="AG25" s="98">
        <v>0</v>
      </c>
      <c r="AH25" s="98">
        <f t="shared" si="0"/>
        <v>65</v>
      </c>
      <c r="AI25" s="98"/>
      <c r="AJ25" s="98">
        <f t="shared" si="1"/>
        <v>65</v>
      </c>
      <c r="AK25" s="101">
        <v>277</v>
      </c>
      <c r="AL25" s="102">
        <f t="shared" si="2"/>
        <v>18005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</row>
    <row r="26" spans="1:56" ht="15.75" customHeight="1">
      <c r="A26" s="98">
        <v>20</v>
      </c>
      <c r="B26" s="99" t="s">
        <v>92</v>
      </c>
      <c r="C26" s="99"/>
      <c r="D26" s="100" t="s">
        <v>59</v>
      </c>
      <c r="E26" s="99" t="s">
        <v>79</v>
      </c>
      <c r="F26" s="98">
        <v>30</v>
      </c>
      <c r="G26" s="98">
        <v>30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Z26" s="98">
        <v>0</v>
      </c>
      <c r="AA26" s="98">
        <v>0</v>
      </c>
      <c r="AB26" s="98">
        <v>0</v>
      </c>
      <c r="AC26" s="98">
        <v>0</v>
      </c>
      <c r="AD26" s="98">
        <v>0</v>
      </c>
      <c r="AE26" s="98">
        <v>0</v>
      </c>
      <c r="AF26" s="98">
        <v>0</v>
      </c>
      <c r="AG26" s="98">
        <v>0</v>
      </c>
      <c r="AH26" s="98">
        <f t="shared" si="0"/>
        <v>60</v>
      </c>
      <c r="AI26" s="98"/>
      <c r="AJ26" s="98">
        <f t="shared" si="1"/>
        <v>60</v>
      </c>
      <c r="AK26" s="101">
        <v>277</v>
      </c>
      <c r="AL26" s="102">
        <f t="shared" si="2"/>
        <v>16620</v>
      </c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</row>
    <row r="27" spans="1:56" ht="15.75" customHeight="1">
      <c r="A27" s="98">
        <v>21</v>
      </c>
      <c r="B27" s="99" t="s">
        <v>147</v>
      </c>
      <c r="C27" s="99"/>
      <c r="D27" s="100" t="s">
        <v>59</v>
      </c>
      <c r="E27" s="99" t="s">
        <v>79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f>SUM(35+80)</f>
        <v>115</v>
      </c>
      <c r="X27" s="98">
        <v>80</v>
      </c>
      <c r="Y27" s="98">
        <v>80</v>
      </c>
      <c r="Z27" s="98">
        <v>80</v>
      </c>
      <c r="AA27" s="98">
        <v>0</v>
      </c>
      <c r="AB27" s="98">
        <v>80</v>
      </c>
      <c r="AC27" s="98">
        <v>80</v>
      </c>
      <c r="AD27" s="98">
        <v>0</v>
      </c>
      <c r="AE27" s="98">
        <v>80</v>
      </c>
      <c r="AF27" s="98">
        <v>20</v>
      </c>
      <c r="AG27" s="98">
        <v>0</v>
      </c>
      <c r="AH27" s="98">
        <f t="shared" si="0"/>
        <v>615</v>
      </c>
      <c r="AI27" s="98"/>
      <c r="AJ27" s="98">
        <f t="shared" si="1"/>
        <v>615</v>
      </c>
      <c r="AK27" s="101">
        <v>277</v>
      </c>
      <c r="AL27" s="102">
        <f t="shared" si="2"/>
        <v>170355</v>
      </c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</row>
    <row r="28" spans="1:56" ht="15.75" customHeight="1">
      <c r="A28" s="98">
        <v>22</v>
      </c>
      <c r="B28" s="99" t="s">
        <v>144</v>
      </c>
      <c r="C28" s="99"/>
      <c r="D28" s="100" t="s">
        <v>59</v>
      </c>
      <c r="E28" s="99" t="s">
        <v>79</v>
      </c>
      <c r="F28" s="98">
        <v>0</v>
      </c>
      <c r="G28" s="98">
        <v>30</v>
      </c>
      <c r="H28" s="98">
        <v>0</v>
      </c>
      <c r="I28" s="98">
        <v>0</v>
      </c>
      <c r="J28" s="98">
        <v>0</v>
      </c>
      <c r="K28" s="98">
        <v>0</v>
      </c>
      <c r="L28" s="98">
        <v>0</v>
      </c>
      <c r="M28" s="98">
        <v>0</v>
      </c>
      <c r="N28" s="98">
        <v>0</v>
      </c>
      <c r="O28" s="98">
        <v>0</v>
      </c>
      <c r="P28" s="98">
        <v>0</v>
      </c>
      <c r="Q28" s="98">
        <v>0</v>
      </c>
      <c r="R28" s="98">
        <v>0</v>
      </c>
      <c r="S28" s="98">
        <v>0</v>
      </c>
      <c r="T28" s="98">
        <v>0</v>
      </c>
      <c r="U28" s="98">
        <v>0</v>
      </c>
      <c r="V28" s="98">
        <v>0</v>
      </c>
      <c r="W28" s="98">
        <f>SUM(35+34)</f>
        <v>69</v>
      </c>
      <c r="X28" s="98">
        <v>67</v>
      </c>
      <c r="Y28" s="98">
        <v>67</v>
      </c>
      <c r="Z28" s="98">
        <v>65</v>
      </c>
      <c r="AA28" s="98">
        <v>0</v>
      </c>
      <c r="AB28" s="98">
        <v>67</v>
      </c>
      <c r="AC28" s="98">
        <v>69</v>
      </c>
      <c r="AD28" s="98">
        <v>67</v>
      </c>
      <c r="AE28" s="98">
        <v>65</v>
      </c>
      <c r="AF28" s="98">
        <v>40</v>
      </c>
      <c r="AG28" s="98">
        <v>20</v>
      </c>
      <c r="AH28" s="98">
        <f t="shared" si="0"/>
        <v>626</v>
      </c>
      <c r="AI28" s="98"/>
      <c r="AJ28" s="98">
        <f t="shared" si="1"/>
        <v>626</v>
      </c>
      <c r="AK28" s="101">
        <v>277</v>
      </c>
      <c r="AL28" s="102">
        <f t="shared" si="2"/>
        <v>173402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</row>
    <row r="29" spans="1:56" ht="15.75" customHeight="1">
      <c r="A29" s="98">
        <v>23</v>
      </c>
      <c r="B29" s="99" t="s">
        <v>96</v>
      </c>
      <c r="C29" s="99"/>
      <c r="D29" s="100" t="s">
        <v>171</v>
      </c>
      <c r="E29" s="99" t="s">
        <v>79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Z29" s="98">
        <v>0</v>
      </c>
      <c r="AA29" s="98">
        <v>0</v>
      </c>
      <c r="AB29" s="98">
        <v>0</v>
      </c>
      <c r="AC29" s="98">
        <v>0</v>
      </c>
      <c r="AD29" s="98">
        <v>0</v>
      </c>
      <c r="AE29" s="98">
        <v>0</v>
      </c>
      <c r="AF29" s="98">
        <v>0</v>
      </c>
      <c r="AG29" s="98">
        <v>0</v>
      </c>
      <c r="AH29" s="98">
        <f t="shared" si="0"/>
        <v>0</v>
      </c>
      <c r="AI29" s="98"/>
      <c r="AJ29" s="98">
        <f t="shared" si="1"/>
        <v>0</v>
      </c>
      <c r="AK29" s="101">
        <v>277</v>
      </c>
      <c r="AL29" s="102">
        <f t="shared" si="2"/>
        <v>0</v>
      </c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</row>
    <row r="30" spans="1:56" ht="15.75" customHeight="1">
      <c r="A30" s="98">
        <v>24</v>
      </c>
      <c r="B30" s="99" t="s">
        <v>97</v>
      </c>
      <c r="C30" s="99"/>
      <c r="D30" s="100" t="s">
        <v>59</v>
      </c>
      <c r="E30" s="99" t="s">
        <v>79</v>
      </c>
      <c r="F30" s="98">
        <v>30</v>
      </c>
      <c r="G30" s="98">
        <v>30</v>
      </c>
      <c r="H30" s="98">
        <v>0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8">
        <v>0</v>
      </c>
      <c r="O30" s="98">
        <v>0</v>
      </c>
      <c r="P30" s="98">
        <v>0</v>
      </c>
      <c r="Q30" s="98">
        <v>0</v>
      </c>
      <c r="R30" s="98">
        <v>0</v>
      </c>
      <c r="S30" s="98">
        <v>0</v>
      </c>
      <c r="T30" s="98">
        <v>0</v>
      </c>
      <c r="U30" s="98">
        <v>0</v>
      </c>
      <c r="V30" s="98">
        <v>0</v>
      </c>
      <c r="W30" s="98">
        <v>0</v>
      </c>
      <c r="X30" s="98">
        <v>0</v>
      </c>
      <c r="Y30" s="98">
        <v>0</v>
      </c>
      <c r="Z30" s="98">
        <v>0</v>
      </c>
      <c r="AA30" s="98">
        <v>0</v>
      </c>
      <c r="AB30" s="98">
        <v>0</v>
      </c>
      <c r="AC30" s="98">
        <v>0</v>
      </c>
      <c r="AD30" s="98">
        <v>0</v>
      </c>
      <c r="AE30" s="98">
        <v>0</v>
      </c>
      <c r="AF30" s="98">
        <v>0</v>
      </c>
      <c r="AG30" s="98">
        <v>0</v>
      </c>
      <c r="AH30" s="98">
        <f t="shared" si="0"/>
        <v>60</v>
      </c>
      <c r="AI30" s="98"/>
      <c r="AJ30" s="98">
        <f t="shared" si="1"/>
        <v>60</v>
      </c>
      <c r="AK30" s="101">
        <v>277</v>
      </c>
      <c r="AL30" s="102">
        <f t="shared" si="2"/>
        <v>16620</v>
      </c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</row>
    <row r="31" spans="1:56" ht="15.75" customHeight="1">
      <c r="A31" s="98">
        <v>25</v>
      </c>
      <c r="B31" s="99" t="s">
        <v>98</v>
      </c>
      <c r="C31" s="99"/>
      <c r="D31" s="100" t="s">
        <v>59</v>
      </c>
      <c r="E31" s="99" t="s">
        <v>79</v>
      </c>
      <c r="F31" s="98">
        <v>30</v>
      </c>
      <c r="G31" s="98">
        <v>30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Z31" s="98">
        <v>0</v>
      </c>
      <c r="AA31" s="98">
        <v>0</v>
      </c>
      <c r="AB31" s="98">
        <v>0</v>
      </c>
      <c r="AC31" s="98">
        <v>0</v>
      </c>
      <c r="AD31" s="98">
        <v>0</v>
      </c>
      <c r="AE31" s="98">
        <v>0</v>
      </c>
      <c r="AF31" s="98">
        <v>0</v>
      </c>
      <c r="AG31" s="98">
        <v>0</v>
      </c>
      <c r="AH31" s="98">
        <f t="shared" si="0"/>
        <v>60</v>
      </c>
      <c r="AI31" s="98"/>
      <c r="AJ31" s="98">
        <f t="shared" si="1"/>
        <v>60</v>
      </c>
      <c r="AK31" s="101">
        <v>277</v>
      </c>
      <c r="AL31" s="102">
        <f t="shared" si="2"/>
        <v>16620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</row>
    <row r="32" spans="1:56" ht="15.75" customHeight="1">
      <c r="A32" s="98">
        <v>26</v>
      </c>
      <c r="B32" s="99" t="s">
        <v>99</v>
      </c>
      <c r="C32" s="99"/>
      <c r="D32" s="100" t="s">
        <v>59</v>
      </c>
      <c r="E32" s="99" t="s">
        <v>79</v>
      </c>
      <c r="F32" s="98">
        <v>30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Z32" s="98">
        <v>0</v>
      </c>
      <c r="AA32" s="98">
        <v>0</v>
      </c>
      <c r="AB32" s="98">
        <v>0</v>
      </c>
      <c r="AC32" s="98">
        <v>0</v>
      </c>
      <c r="AD32" s="98">
        <v>0</v>
      </c>
      <c r="AE32" s="98">
        <v>0</v>
      </c>
      <c r="AF32" s="98">
        <v>0</v>
      </c>
      <c r="AG32" s="98">
        <v>0</v>
      </c>
      <c r="AH32" s="98">
        <f t="shared" si="0"/>
        <v>30</v>
      </c>
      <c r="AI32" s="98"/>
      <c r="AJ32" s="98">
        <f t="shared" si="1"/>
        <v>30</v>
      </c>
      <c r="AK32" s="101">
        <v>277</v>
      </c>
      <c r="AL32" s="102">
        <f t="shared" si="2"/>
        <v>8310</v>
      </c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</row>
    <row r="33" spans="1:56" ht="15.75" customHeight="1">
      <c r="A33" s="98">
        <v>27</v>
      </c>
      <c r="B33" s="99" t="s">
        <v>172</v>
      </c>
      <c r="C33" s="99"/>
      <c r="D33" s="100" t="s">
        <v>59</v>
      </c>
      <c r="E33" s="99" t="s">
        <v>79</v>
      </c>
      <c r="F33" s="98">
        <v>30</v>
      </c>
      <c r="G33" s="98">
        <v>30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98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f>SUM(35+80)</f>
        <v>115</v>
      </c>
      <c r="X33" s="98">
        <v>80</v>
      </c>
      <c r="Y33" s="98">
        <v>80</v>
      </c>
      <c r="Z33" s="98">
        <v>80</v>
      </c>
      <c r="AA33" s="98">
        <v>0</v>
      </c>
      <c r="AB33" s="98">
        <v>80</v>
      </c>
      <c r="AC33" s="98">
        <v>80</v>
      </c>
      <c r="AD33" s="98">
        <v>0</v>
      </c>
      <c r="AE33" s="98">
        <v>0</v>
      </c>
      <c r="AF33" s="98">
        <v>0</v>
      </c>
      <c r="AG33" s="98">
        <v>0</v>
      </c>
      <c r="AH33" s="98">
        <f t="shared" si="0"/>
        <v>575</v>
      </c>
      <c r="AI33" s="98"/>
      <c r="AJ33" s="98">
        <f t="shared" si="1"/>
        <v>575</v>
      </c>
      <c r="AK33" s="101">
        <v>277</v>
      </c>
      <c r="AL33" s="102">
        <f t="shared" si="2"/>
        <v>159275</v>
      </c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</row>
    <row r="34" spans="1:56" ht="15.75" customHeight="1">
      <c r="A34" s="98">
        <v>28</v>
      </c>
      <c r="B34" s="99" t="s">
        <v>101</v>
      </c>
      <c r="C34" s="99"/>
      <c r="D34" s="100" t="s">
        <v>59</v>
      </c>
      <c r="E34" s="99" t="s">
        <v>79</v>
      </c>
      <c r="F34" s="98">
        <v>30</v>
      </c>
      <c r="G34" s="98">
        <v>15</v>
      </c>
      <c r="H34" s="98">
        <v>0</v>
      </c>
      <c r="I34" s="98">
        <v>0</v>
      </c>
      <c r="J34" s="98">
        <v>0</v>
      </c>
      <c r="K34" s="98">
        <v>0</v>
      </c>
      <c r="L34" s="98">
        <v>0</v>
      </c>
      <c r="M34" s="98">
        <v>0</v>
      </c>
      <c r="N34" s="98">
        <v>0</v>
      </c>
      <c r="O34" s="98">
        <v>0</v>
      </c>
      <c r="P34" s="98">
        <v>0</v>
      </c>
      <c r="Q34" s="98">
        <v>0</v>
      </c>
      <c r="R34" s="98">
        <v>0</v>
      </c>
      <c r="S34" s="98">
        <v>0</v>
      </c>
      <c r="T34" s="98">
        <v>0</v>
      </c>
      <c r="U34" s="98">
        <v>0</v>
      </c>
      <c r="V34" s="98">
        <v>0</v>
      </c>
      <c r="W34" s="98">
        <v>0</v>
      </c>
      <c r="X34" s="98">
        <v>0</v>
      </c>
      <c r="Y34" s="98">
        <v>0</v>
      </c>
      <c r="Z34" s="98">
        <v>0</v>
      </c>
      <c r="AA34" s="98">
        <v>0</v>
      </c>
      <c r="AB34" s="98">
        <v>0</v>
      </c>
      <c r="AC34" s="98">
        <v>0</v>
      </c>
      <c r="AD34" s="98">
        <v>0</v>
      </c>
      <c r="AE34" s="98">
        <v>0</v>
      </c>
      <c r="AF34" s="98">
        <v>0</v>
      </c>
      <c r="AG34" s="98">
        <v>0</v>
      </c>
      <c r="AH34" s="98">
        <f t="shared" si="0"/>
        <v>45</v>
      </c>
      <c r="AI34" s="98"/>
      <c r="AJ34" s="98">
        <f t="shared" si="1"/>
        <v>45</v>
      </c>
      <c r="AK34" s="101">
        <v>277</v>
      </c>
      <c r="AL34" s="102">
        <f t="shared" si="2"/>
        <v>12465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</row>
    <row r="35" spans="1:56" ht="15.75" customHeight="1">
      <c r="A35" s="98">
        <v>29</v>
      </c>
      <c r="B35" s="99" t="s">
        <v>129</v>
      </c>
      <c r="C35" s="99"/>
      <c r="D35" s="100" t="s">
        <v>59</v>
      </c>
      <c r="E35" s="99" t="s">
        <v>79</v>
      </c>
      <c r="F35" s="98">
        <v>30</v>
      </c>
      <c r="G35" s="98">
        <v>0</v>
      </c>
      <c r="H35" s="98">
        <v>0</v>
      </c>
      <c r="I35" s="98">
        <v>0</v>
      </c>
      <c r="J35" s="98">
        <v>0</v>
      </c>
      <c r="K35" s="98">
        <v>0</v>
      </c>
      <c r="L35" s="98">
        <v>0</v>
      </c>
      <c r="M35" s="98">
        <v>0</v>
      </c>
      <c r="N35" s="98">
        <v>0</v>
      </c>
      <c r="O35" s="98">
        <v>0</v>
      </c>
      <c r="P35" s="98">
        <v>0</v>
      </c>
      <c r="Q35" s="98">
        <v>0</v>
      </c>
      <c r="R35" s="98">
        <v>0</v>
      </c>
      <c r="S35" s="98">
        <v>0</v>
      </c>
      <c r="T35" s="98">
        <v>0</v>
      </c>
      <c r="U35" s="98">
        <v>0</v>
      </c>
      <c r="V35" s="98">
        <v>0</v>
      </c>
      <c r="W35" s="98">
        <v>0</v>
      </c>
      <c r="X35" s="98">
        <v>0</v>
      </c>
      <c r="Y35" s="98">
        <v>0</v>
      </c>
      <c r="Z35" s="98">
        <v>0</v>
      </c>
      <c r="AA35" s="98">
        <v>0</v>
      </c>
      <c r="AB35" s="98">
        <v>0</v>
      </c>
      <c r="AC35" s="98">
        <v>0</v>
      </c>
      <c r="AD35" s="98">
        <v>0</v>
      </c>
      <c r="AE35" s="98">
        <v>0</v>
      </c>
      <c r="AF35" s="98">
        <v>0</v>
      </c>
      <c r="AG35" s="98">
        <v>0</v>
      </c>
      <c r="AH35" s="98">
        <f t="shared" si="0"/>
        <v>30</v>
      </c>
      <c r="AI35" s="98"/>
      <c r="AJ35" s="98">
        <f t="shared" si="1"/>
        <v>30</v>
      </c>
      <c r="AK35" s="101">
        <v>277</v>
      </c>
      <c r="AL35" s="102">
        <f t="shared" si="2"/>
        <v>8310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</row>
    <row r="36" spans="1:56" ht="15.75" customHeight="1">
      <c r="A36" s="98">
        <v>30</v>
      </c>
      <c r="B36" s="99" t="s">
        <v>130</v>
      </c>
      <c r="C36" s="99"/>
      <c r="D36" s="100" t="s">
        <v>59</v>
      </c>
      <c r="E36" s="99" t="s">
        <v>79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Z36" s="98">
        <v>0</v>
      </c>
      <c r="AA36" s="98">
        <v>0</v>
      </c>
      <c r="AB36" s="98">
        <v>0</v>
      </c>
      <c r="AC36" s="98">
        <v>0</v>
      </c>
      <c r="AD36" s="98">
        <v>0</v>
      </c>
      <c r="AE36" s="98">
        <v>0</v>
      </c>
      <c r="AF36" s="98">
        <v>0</v>
      </c>
      <c r="AG36" s="98">
        <v>0</v>
      </c>
      <c r="AH36" s="98">
        <f t="shared" si="0"/>
        <v>0</v>
      </c>
      <c r="AI36" s="98"/>
      <c r="AJ36" s="98">
        <f t="shared" si="1"/>
        <v>0</v>
      </c>
      <c r="AK36" s="101">
        <v>277</v>
      </c>
      <c r="AL36" s="102">
        <f t="shared" si="2"/>
        <v>0</v>
      </c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</row>
    <row r="37" spans="1:56" ht="15.75" customHeight="1">
      <c r="A37" s="98">
        <v>31</v>
      </c>
      <c r="B37" s="99" t="s">
        <v>131</v>
      </c>
      <c r="C37" s="99"/>
      <c r="D37" s="100" t="s">
        <v>59</v>
      </c>
      <c r="E37" s="99" t="s">
        <v>79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Z37" s="98">
        <v>0</v>
      </c>
      <c r="AA37" s="98">
        <v>0</v>
      </c>
      <c r="AB37" s="98">
        <v>0</v>
      </c>
      <c r="AC37" s="98">
        <v>0</v>
      </c>
      <c r="AD37" s="98">
        <v>0</v>
      </c>
      <c r="AE37" s="98">
        <v>0</v>
      </c>
      <c r="AF37" s="98">
        <v>0</v>
      </c>
      <c r="AG37" s="98">
        <v>0</v>
      </c>
      <c r="AH37" s="98">
        <f t="shared" si="0"/>
        <v>0</v>
      </c>
      <c r="AI37" s="98"/>
      <c r="AJ37" s="98">
        <f t="shared" si="1"/>
        <v>0</v>
      </c>
      <c r="AK37" s="101">
        <v>277</v>
      </c>
      <c r="AL37" s="102">
        <f t="shared" si="2"/>
        <v>0</v>
      </c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</row>
    <row r="38" spans="1:56" ht="15.75" customHeight="1">
      <c r="A38" s="98">
        <v>32</v>
      </c>
      <c r="B38" s="99" t="s">
        <v>132</v>
      </c>
      <c r="C38" s="99"/>
      <c r="D38" s="100" t="s">
        <v>59</v>
      </c>
      <c r="E38" s="99" t="s">
        <v>79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Z38" s="98">
        <v>0</v>
      </c>
      <c r="AA38" s="98">
        <v>0</v>
      </c>
      <c r="AB38" s="98">
        <v>0</v>
      </c>
      <c r="AC38" s="98">
        <v>0</v>
      </c>
      <c r="AD38" s="98">
        <v>0</v>
      </c>
      <c r="AE38" s="98">
        <v>0</v>
      </c>
      <c r="AF38" s="98">
        <v>0</v>
      </c>
      <c r="AG38" s="98">
        <v>0</v>
      </c>
      <c r="AH38" s="98">
        <f t="shared" si="0"/>
        <v>30</v>
      </c>
      <c r="AI38" s="98"/>
      <c r="AJ38" s="98">
        <f t="shared" si="1"/>
        <v>30</v>
      </c>
      <c r="AK38" s="101">
        <v>277</v>
      </c>
      <c r="AL38" s="102">
        <f t="shared" si="2"/>
        <v>8310</v>
      </c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</row>
    <row r="39" spans="1:56" ht="15.75" customHeight="1">
      <c r="A39" s="98">
        <v>33</v>
      </c>
      <c r="B39" s="99" t="s">
        <v>133</v>
      </c>
      <c r="C39" s="99"/>
      <c r="D39" s="100" t="s">
        <v>59</v>
      </c>
      <c r="E39" s="99" t="s">
        <v>79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Z39" s="98">
        <v>0</v>
      </c>
      <c r="AA39" s="98">
        <v>0</v>
      </c>
      <c r="AB39" s="98">
        <v>0</v>
      </c>
      <c r="AC39" s="98">
        <v>0</v>
      </c>
      <c r="AD39" s="98">
        <v>0</v>
      </c>
      <c r="AE39" s="98">
        <v>0</v>
      </c>
      <c r="AF39" s="98">
        <v>0</v>
      </c>
      <c r="AG39" s="98">
        <v>0</v>
      </c>
      <c r="AH39" s="98">
        <f t="shared" si="0"/>
        <v>0</v>
      </c>
      <c r="AI39" s="98"/>
      <c r="AJ39" s="98">
        <f t="shared" si="1"/>
        <v>0</v>
      </c>
      <c r="AK39" s="101">
        <v>277</v>
      </c>
      <c r="AL39" s="102">
        <f t="shared" si="2"/>
        <v>0</v>
      </c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</row>
    <row r="40" spans="1:56" ht="15.75" customHeight="1">
      <c r="A40" s="98">
        <v>34</v>
      </c>
      <c r="B40" s="99" t="s">
        <v>134</v>
      </c>
      <c r="C40" s="99"/>
      <c r="D40" s="100" t="s">
        <v>59</v>
      </c>
      <c r="E40" s="99" t="s">
        <v>79</v>
      </c>
      <c r="F40" s="98">
        <v>30</v>
      </c>
      <c r="G40" s="98">
        <v>30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Z40" s="98">
        <v>0</v>
      </c>
      <c r="AA40" s="98">
        <v>0</v>
      </c>
      <c r="AB40" s="98">
        <v>0</v>
      </c>
      <c r="AC40" s="98">
        <v>0</v>
      </c>
      <c r="AD40" s="98">
        <v>0</v>
      </c>
      <c r="AE40" s="98">
        <v>0</v>
      </c>
      <c r="AF40" s="98">
        <v>0</v>
      </c>
      <c r="AG40" s="98">
        <v>0</v>
      </c>
      <c r="AH40" s="98">
        <f t="shared" si="0"/>
        <v>60</v>
      </c>
      <c r="AI40" s="98"/>
      <c r="AJ40" s="98">
        <f t="shared" si="1"/>
        <v>60</v>
      </c>
      <c r="AK40" s="101">
        <v>277</v>
      </c>
      <c r="AL40" s="102">
        <f t="shared" si="2"/>
        <v>16620</v>
      </c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</row>
    <row r="41" spans="1:56" ht="15.75" customHeight="1">
      <c r="A41" s="98">
        <v>35</v>
      </c>
      <c r="B41" s="99" t="s">
        <v>135</v>
      </c>
      <c r="C41" s="99"/>
      <c r="D41" s="100" t="s">
        <v>59</v>
      </c>
      <c r="E41" s="99" t="s">
        <v>79</v>
      </c>
      <c r="F41" s="98">
        <v>0</v>
      </c>
      <c r="G41" s="98">
        <v>20</v>
      </c>
      <c r="H41" s="98">
        <v>0</v>
      </c>
      <c r="I41" s="98">
        <v>20</v>
      </c>
      <c r="J41" s="98">
        <v>0</v>
      </c>
      <c r="K41" s="98">
        <v>20</v>
      </c>
      <c r="L41" s="98">
        <v>20</v>
      </c>
      <c r="M41" s="98">
        <v>20</v>
      </c>
      <c r="N41" s="98">
        <v>20</v>
      </c>
      <c r="O41" s="98">
        <v>20</v>
      </c>
      <c r="P41" s="98">
        <v>0</v>
      </c>
      <c r="Q41" s="98">
        <v>50</v>
      </c>
      <c r="R41" s="98">
        <v>0</v>
      </c>
      <c r="S41" s="98">
        <v>20</v>
      </c>
      <c r="T41" s="98">
        <v>20</v>
      </c>
      <c r="U41" s="98">
        <v>0</v>
      </c>
      <c r="V41" s="98">
        <v>10</v>
      </c>
      <c r="W41" s="98">
        <v>20</v>
      </c>
      <c r="X41" s="98">
        <v>0</v>
      </c>
      <c r="Y41" s="98">
        <v>20</v>
      </c>
      <c r="Z41" s="98">
        <v>20</v>
      </c>
      <c r="AA41" s="98">
        <v>0</v>
      </c>
      <c r="AB41" s="98">
        <v>20</v>
      </c>
      <c r="AC41" s="98">
        <v>20</v>
      </c>
      <c r="AD41" s="98">
        <v>20</v>
      </c>
      <c r="AE41" s="98">
        <v>20</v>
      </c>
      <c r="AF41" s="98">
        <v>20</v>
      </c>
      <c r="AG41" s="98">
        <v>0</v>
      </c>
      <c r="AH41" s="98">
        <f t="shared" si="0"/>
        <v>400</v>
      </c>
      <c r="AI41" s="98"/>
      <c r="AJ41" s="98">
        <f t="shared" si="1"/>
        <v>400</v>
      </c>
      <c r="AK41" s="101">
        <v>277</v>
      </c>
      <c r="AL41" s="102">
        <f t="shared" si="2"/>
        <v>110800</v>
      </c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</row>
    <row r="42" spans="1:56" ht="15.75" customHeight="1">
      <c r="A42" s="98">
        <v>36</v>
      </c>
      <c r="B42" s="99" t="s">
        <v>136</v>
      </c>
      <c r="C42" s="99"/>
      <c r="D42" s="100" t="s">
        <v>170</v>
      </c>
      <c r="E42" s="99" t="s">
        <v>79</v>
      </c>
      <c r="F42" s="98">
        <v>20</v>
      </c>
      <c r="G42" s="98">
        <v>25</v>
      </c>
      <c r="H42" s="98">
        <v>25</v>
      </c>
      <c r="I42" s="98">
        <v>20</v>
      </c>
      <c r="J42" s="98">
        <v>25</v>
      </c>
      <c r="K42" s="98">
        <v>20</v>
      </c>
      <c r="L42" s="98">
        <v>20</v>
      </c>
      <c r="M42" s="98">
        <v>25</v>
      </c>
      <c r="N42" s="98">
        <v>25</v>
      </c>
      <c r="O42" s="98">
        <v>15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X42" s="98">
        <v>0</v>
      </c>
      <c r="Y42" s="98">
        <v>0</v>
      </c>
      <c r="Z42" s="98">
        <v>0</v>
      </c>
      <c r="AA42" s="98">
        <v>0</v>
      </c>
      <c r="AB42" s="98">
        <v>0</v>
      </c>
      <c r="AC42" s="98">
        <v>0</v>
      </c>
      <c r="AD42" s="98">
        <v>0</v>
      </c>
      <c r="AE42" s="98">
        <v>0</v>
      </c>
      <c r="AF42" s="98">
        <v>0</v>
      </c>
      <c r="AG42" s="98">
        <v>0</v>
      </c>
      <c r="AH42" s="98">
        <f t="shared" si="0"/>
        <v>220</v>
      </c>
      <c r="AI42" s="98"/>
      <c r="AJ42" s="98">
        <f t="shared" si="1"/>
        <v>220</v>
      </c>
      <c r="AK42" s="101">
        <v>277</v>
      </c>
      <c r="AL42" s="102">
        <f t="shared" si="2"/>
        <v>60940</v>
      </c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</row>
    <row r="43" spans="1:56" ht="15.75" customHeight="1">
      <c r="A43" s="98">
        <v>37</v>
      </c>
      <c r="B43" s="99" t="s">
        <v>95</v>
      </c>
      <c r="C43" s="99"/>
      <c r="D43" s="100" t="s">
        <v>59</v>
      </c>
      <c r="E43" s="99" t="s">
        <v>79</v>
      </c>
      <c r="F43" s="98">
        <v>0</v>
      </c>
      <c r="G43" s="98">
        <v>0</v>
      </c>
      <c r="H43" s="98">
        <v>0</v>
      </c>
      <c r="I43" s="98">
        <v>0</v>
      </c>
      <c r="J43" s="98">
        <v>0</v>
      </c>
      <c r="K43" s="98">
        <v>0</v>
      </c>
      <c r="L43" s="98">
        <v>0</v>
      </c>
      <c r="M43" s="98">
        <v>0</v>
      </c>
      <c r="N43" s="98">
        <v>0</v>
      </c>
      <c r="O43" s="98">
        <v>0</v>
      </c>
      <c r="P43" s="98">
        <v>0</v>
      </c>
      <c r="Q43" s="98">
        <v>0</v>
      </c>
      <c r="R43" s="98">
        <v>0</v>
      </c>
      <c r="S43" s="98">
        <v>0</v>
      </c>
      <c r="T43" s="98">
        <v>0</v>
      </c>
      <c r="U43" s="98">
        <v>0</v>
      </c>
      <c r="V43" s="98">
        <v>0</v>
      </c>
      <c r="W43" s="98">
        <f>SUM(35+80)</f>
        <v>115</v>
      </c>
      <c r="X43" s="98">
        <v>80</v>
      </c>
      <c r="Y43" s="98">
        <v>80</v>
      </c>
      <c r="Z43" s="98">
        <v>80</v>
      </c>
      <c r="AA43" s="98">
        <v>0</v>
      </c>
      <c r="AB43" s="98">
        <v>80</v>
      </c>
      <c r="AC43" s="98">
        <v>80</v>
      </c>
      <c r="AD43" s="98">
        <v>0</v>
      </c>
      <c r="AE43" s="98">
        <v>120</v>
      </c>
      <c r="AF43" s="98">
        <v>20</v>
      </c>
      <c r="AG43" s="98">
        <v>0</v>
      </c>
      <c r="AH43" s="98">
        <f t="shared" si="0"/>
        <v>655</v>
      </c>
      <c r="AI43" s="98"/>
      <c r="AJ43" s="98">
        <f t="shared" si="1"/>
        <v>655</v>
      </c>
      <c r="AK43" s="101">
        <v>277</v>
      </c>
      <c r="AL43" s="102">
        <f t="shared" si="2"/>
        <v>181435</v>
      </c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</row>
    <row r="44" spans="1:56" ht="15.75" customHeight="1">
      <c r="A44" s="98">
        <v>38</v>
      </c>
      <c r="B44" s="99" t="s">
        <v>138</v>
      </c>
      <c r="C44" s="99"/>
      <c r="D44" s="100" t="s">
        <v>173</v>
      </c>
      <c r="E44" s="99" t="s">
        <v>79</v>
      </c>
      <c r="F44" s="98">
        <v>0</v>
      </c>
      <c r="G44" s="98">
        <v>10</v>
      </c>
      <c r="H44" s="98">
        <v>0</v>
      </c>
      <c r="I44" s="98">
        <v>0</v>
      </c>
      <c r="J44" s="98">
        <v>0</v>
      </c>
      <c r="K44" s="98">
        <v>0</v>
      </c>
      <c r="L44" s="98">
        <v>0</v>
      </c>
      <c r="M44" s="98">
        <v>0</v>
      </c>
      <c r="N44" s="98">
        <v>0</v>
      </c>
      <c r="O44" s="98">
        <v>0</v>
      </c>
      <c r="P44" s="98">
        <v>0</v>
      </c>
      <c r="Q44" s="98">
        <v>0</v>
      </c>
      <c r="R44" s="98">
        <v>0</v>
      </c>
      <c r="S44" s="98">
        <v>0</v>
      </c>
      <c r="T44" s="98">
        <v>0</v>
      </c>
      <c r="U44" s="98">
        <v>0</v>
      </c>
      <c r="V44" s="98">
        <v>0</v>
      </c>
      <c r="W44" s="98">
        <v>0</v>
      </c>
      <c r="X44" s="98">
        <v>0</v>
      </c>
      <c r="Y44" s="98">
        <v>0</v>
      </c>
      <c r="Z44" s="98">
        <v>0</v>
      </c>
      <c r="AA44" s="98">
        <v>0</v>
      </c>
      <c r="AB44" s="98">
        <v>0</v>
      </c>
      <c r="AC44" s="98">
        <v>0</v>
      </c>
      <c r="AD44" s="98">
        <v>0</v>
      </c>
      <c r="AE44" s="98">
        <v>0</v>
      </c>
      <c r="AF44" s="98">
        <v>0</v>
      </c>
      <c r="AG44" s="98">
        <v>0</v>
      </c>
      <c r="AH44" s="98">
        <f t="shared" si="0"/>
        <v>10</v>
      </c>
      <c r="AI44" s="98"/>
      <c r="AJ44" s="98">
        <f t="shared" si="1"/>
        <v>10</v>
      </c>
      <c r="AK44" s="101">
        <v>277</v>
      </c>
      <c r="AL44" s="102">
        <f t="shared" si="2"/>
        <v>2770</v>
      </c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</row>
    <row r="45" spans="1:56" ht="15.75" customHeight="1">
      <c r="A45" s="98">
        <v>39</v>
      </c>
      <c r="B45" s="99" t="s">
        <v>139</v>
      </c>
      <c r="C45" s="99"/>
      <c r="D45" s="100" t="s">
        <v>173</v>
      </c>
      <c r="E45" s="99" t="s">
        <v>79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Z45" s="98">
        <v>0</v>
      </c>
      <c r="AA45" s="98">
        <v>0</v>
      </c>
      <c r="AB45" s="98">
        <v>0</v>
      </c>
      <c r="AC45" s="98">
        <v>0</v>
      </c>
      <c r="AD45" s="98">
        <v>0</v>
      </c>
      <c r="AE45" s="98">
        <v>0</v>
      </c>
      <c r="AF45" s="98">
        <v>0</v>
      </c>
      <c r="AG45" s="98">
        <v>0</v>
      </c>
      <c r="AH45" s="98">
        <f t="shared" si="0"/>
        <v>0</v>
      </c>
      <c r="AI45" s="98"/>
      <c r="AJ45" s="98">
        <f t="shared" si="1"/>
        <v>0</v>
      </c>
      <c r="AK45" s="101">
        <v>277</v>
      </c>
      <c r="AL45" s="102">
        <f t="shared" si="2"/>
        <v>0</v>
      </c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</row>
    <row r="46" spans="1:56" ht="15.75" customHeight="1">
      <c r="A46" s="98">
        <v>40</v>
      </c>
      <c r="B46" s="99" t="s">
        <v>140</v>
      </c>
      <c r="C46" s="99"/>
      <c r="D46" s="100" t="s">
        <v>170</v>
      </c>
      <c r="E46" s="99" t="s">
        <v>79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Z46" s="98">
        <v>0</v>
      </c>
      <c r="AA46" s="98">
        <v>0</v>
      </c>
      <c r="AB46" s="98">
        <v>0</v>
      </c>
      <c r="AC46" s="98">
        <v>0</v>
      </c>
      <c r="AD46" s="98">
        <v>0</v>
      </c>
      <c r="AE46" s="98">
        <v>0</v>
      </c>
      <c r="AF46" s="98">
        <v>0</v>
      </c>
      <c r="AG46" s="98">
        <v>0</v>
      </c>
      <c r="AH46" s="98">
        <f t="shared" si="0"/>
        <v>0</v>
      </c>
      <c r="AI46" s="98"/>
      <c r="AJ46" s="98">
        <f t="shared" si="1"/>
        <v>0</v>
      </c>
      <c r="AK46" s="101">
        <v>277</v>
      </c>
      <c r="AL46" s="102">
        <f t="shared" si="2"/>
        <v>0</v>
      </c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</row>
    <row r="47" spans="1:56" ht="15.75" customHeight="1">
      <c r="A47" s="98">
        <v>41</v>
      </c>
      <c r="B47" s="99" t="s">
        <v>141</v>
      </c>
      <c r="C47" s="99"/>
      <c r="D47" s="100" t="s">
        <v>59</v>
      </c>
      <c r="E47" s="99" t="s">
        <v>79</v>
      </c>
      <c r="F47" s="98">
        <v>0</v>
      </c>
      <c r="G47" s="98">
        <v>15</v>
      </c>
      <c r="H47" s="98">
        <v>5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>
        <v>0</v>
      </c>
      <c r="O47" s="98">
        <v>0</v>
      </c>
      <c r="P47" s="98">
        <v>0</v>
      </c>
      <c r="Q47" s="98">
        <v>0</v>
      </c>
      <c r="R47" s="98">
        <v>0</v>
      </c>
      <c r="S47" s="98">
        <v>0</v>
      </c>
      <c r="T47" s="98">
        <v>0</v>
      </c>
      <c r="U47" s="98">
        <v>0</v>
      </c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8">
        <v>0</v>
      </c>
      <c r="AE47" s="98">
        <v>0</v>
      </c>
      <c r="AF47" s="98">
        <v>0</v>
      </c>
      <c r="AG47" s="98">
        <v>0</v>
      </c>
      <c r="AH47" s="98">
        <f t="shared" si="0"/>
        <v>20</v>
      </c>
      <c r="AI47" s="98"/>
      <c r="AJ47" s="98">
        <f t="shared" si="1"/>
        <v>20</v>
      </c>
      <c r="AK47" s="101">
        <v>277</v>
      </c>
      <c r="AL47" s="102">
        <f t="shared" si="2"/>
        <v>5540</v>
      </c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</row>
    <row r="48" spans="1:56" ht="15.75" customHeight="1">
      <c r="A48" s="98">
        <v>42</v>
      </c>
      <c r="B48" s="99" t="s">
        <v>142</v>
      </c>
      <c r="C48" s="99"/>
      <c r="D48" s="100" t="s">
        <v>59</v>
      </c>
      <c r="E48" s="99" t="s">
        <v>79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f>SUM(35+80)</f>
        <v>115</v>
      </c>
      <c r="X48" s="98">
        <v>80</v>
      </c>
      <c r="Y48" s="98">
        <v>80</v>
      </c>
      <c r="Z48" s="98">
        <v>0</v>
      </c>
      <c r="AA48" s="98">
        <v>0</v>
      </c>
      <c r="AB48" s="98">
        <v>80</v>
      </c>
      <c r="AC48" s="98">
        <v>80</v>
      </c>
      <c r="AD48" s="98">
        <v>0</v>
      </c>
      <c r="AE48" s="98">
        <v>120</v>
      </c>
      <c r="AF48" s="98">
        <v>20</v>
      </c>
      <c r="AG48" s="98">
        <v>0</v>
      </c>
      <c r="AH48" s="98">
        <f t="shared" si="0"/>
        <v>575</v>
      </c>
      <c r="AI48" s="98"/>
      <c r="AJ48" s="98">
        <f t="shared" si="1"/>
        <v>575</v>
      </c>
      <c r="AK48" s="101">
        <v>277</v>
      </c>
      <c r="AL48" s="102">
        <f t="shared" si="2"/>
        <v>159275</v>
      </c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</row>
    <row r="49" spans="1:56" ht="15.75" customHeight="1">
      <c r="A49" s="98">
        <v>43</v>
      </c>
      <c r="B49" s="99" t="s">
        <v>143</v>
      </c>
      <c r="C49" s="99"/>
      <c r="D49" s="100" t="s">
        <v>174</v>
      </c>
      <c r="E49" s="99" t="s">
        <v>79</v>
      </c>
      <c r="F49" s="98">
        <v>0</v>
      </c>
      <c r="G49" s="98">
        <v>0</v>
      </c>
      <c r="H49" s="98">
        <v>0</v>
      </c>
      <c r="I49" s="98">
        <v>0</v>
      </c>
      <c r="J49" s="98">
        <v>0</v>
      </c>
      <c r="K49" s="98">
        <v>0</v>
      </c>
      <c r="L49" s="98">
        <v>0</v>
      </c>
      <c r="M49" s="98">
        <v>20</v>
      </c>
      <c r="N49" s="98">
        <v>20</v>
      </c>
      <c r="O49" s="98">
        <v>0</v>
      </c>
      <c r="P49" s="98">
        <v>0</v>
      </c>
      <c r="Q49" s="98">
        <v>20</v>
      </c>
      <c r="R49" s="98">
        <v>0</v>
      </c>
      <c r="S49" s="98">
        <v>0</v>
      </c>
      <c r="T49" s="98">
        <v>0</v>
      </c>
      <c r="U49" s="98">
        <v>20</v>
      </c>
      <c r="V49" s="98">
        <v>0</v>
      </c>
      <c r="W49" s="98">
        <v>0</v>
      </c>
      <c r="X49" s="98">
        <v>0</v>
      </c>
      <c r="Y49" s="98">
        <v>20</v>
      </c>
      <c r="Z49" s="98">
        <v>0</v>
      </c>
      <c r="AA49" s="98">
        <v>0</v>
      </c>
      <c r="AB49" s="98">
        <v>0</v>
      </c>
      <c r="AC49" s="98">
        <v>20</v>
      </c>
      <c r="AD49" s="98">
        <v>0</v>
      </c>
      <c r="AE49" s="98">
        <v>0</v>
      </c>
      <c r="AF49" s="98">
        <v>0</v>
      </c>
      <c r="AG49" s="98">
        <v>20</v>
      </c>
      <c r="AH49" s="98">
        <f t="shared" si="0"/>
        <v>140</v>
      </c>
      <c r="AI49" s="98"/>
      <c r="AJ49" s="98">
        <f t="shared" si="1"/>
        <v>140</v>
      </c>
      <c r="AK49" s="101">
        <v>277</v>
      </c>
      <c r="AL49" s="102">
        <f t="shared" si="2"/>
        <v>38780</v>
      </c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</row>
    <row r="50" spans="1:56" ht="15.75" customHeight="1">
      <c r="A50" s="105">
        <v>44</v>
      </c>
      <c r="B50" s="99" t="s">
        <v>175</v>
      </c>
      <c r="C50" s="99"/>
      <c r="D50" s="100" t="s">
        <v>170</v>
      </c>
      <c r="E50" s="99" t="s">
        <v>79</v>
      </c>
      <c r="F50" s="98"/>
      <c r="G50" s="98"/>
      <c r="H50" s="98"/>
      <c r="I50" s="98"/>
      <c r="J50" s="98"/>
      <c r="K50" s="98"/>
      <c r="L50" s="98"/>
      <c r="M50" s="98"/>
      <c r="N50" s="98">
        <v>10</v>
      </c>
      <c r="O50" s="98">
        <v>10</v>
      </c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>
        <f t="shared" si="0"/>
        <v>20</v>
      </c>
      <c r="AI50" s="98"/>
      <c r="AJ50" s="98">
        <f t="shared" si="1"/>
        <v>20</v>
      </c>
      <c r="AK50" s="101">
        <v>277</v>
      </c>
      <c r="AL50" s="102">
        <f t="shared" si="2"/>
        <v>5540</v>
      </c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</row>
    <row r="51" spans="1:56" ht="15.75" customHeight="1">
      <c r="A51" s="105">
        <v>45</v>
      </c>
      <c r="B51" s="99" t="s">
        <v>176</v>
      </c>
      <c r="C51" s="99"/>
      <c r="D51" s="100" t="s">
        <v>177</v>
      </c>
      <c r="E51" s="99" t="s">
        <v>79</v>
      </c>
      <c r="F51" s="98"/>
      <c r="G51" s="98"/>
      <c r="H51" s="98"/>
      <c r="I51" s="98"/>
      <c r="J51" s="98"/>
      <c r="K51" s="98"/>
      <c r="L51" s="98"/>
      <c r="M51" s="98">
        <v>80</v>
      </c>
      <c r="N51" s="98"/>
      <c r="O51" s="98">
        <v>80</v>
      </c>
      <c r="P51" s="98"/>
      <c r="Q51" s="98"/>
      <c r="R51" s="98"/>
      <c r="S51" s="98">
        <v>80</v>
      </c>
      <c r="T51" s="98"/>
      <c r="U51" s="98"/>
      <c r="V51" s="98"/>
      <c r="W51" s="98">
        <v>80</v>
      </c>
      <c r="X51" s="98"/>
      <c r="Y51" s="98"/>
      <c r="Z51" s="98">
        <v>80</v>
      </c>
      <c r="AA51" s="98"/>
      <c r="AB51" s="98"/>
      <c r="AC51" s="98"/>
      <c r="AD51" s="98"/>
      <c r="AE51" s="98"/>
      <c r="AF51" s="98">
        <v>80</v>
      </c>
      <c r="AG51" s="98"/>
      <c r="AH51" s="98">
        <f t="shared" si="0"/>
        <v>480</v>
      </c>
      <c r="AI51" s="98"/>
      <c r="AJ51" s="98">
        <f t="shared" si="1"/>
        <v>480</v>
      </c>
      <c r="AK51" s="101">
        <v>277</v>
      </c>
      <c r="AL51" s="102">
        <f t="shared" si="2"/>
        <v>132960</v>
      </c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</row>
    <row r="52" spans="1:56" ht="15.75" customHeight="1">
      <c r="A52" s="105">
        <v>46</v>
      </c>
      <c r="B52" s="99" t="s">
        <v>146</v>
      </c>
      <c r="C52" s="99"/>
      <c r="D52" s="100" t="s">
        <v>59</v>
      </c>
      <c r="E52" s="99" t="s">
        <v>79</v>
      </c>
      <c r="F52" s="98">
        <v>30</v>
      </c>
      <c r="G52" s="98">
        <v>15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15</v>
      </c>
      <c r="O52" s="98">
        <v>15</v>
      </c>
      <c r="P52" s="98">
        <v>15</v>
      </c>
      <c r="Q52" s="98">
        <v>20</v>
      </c>
      <c r="R52" s="98">
        <v>20</v>
      </c>
      <c r="S52" s="98">
        <v>0</v>
      </c>
      <c r="T52" s="98">
        <v>0</v>
      </c>
      <c r="U52" s="98">
        <v>0</v>
      </c>
      <c r="V52" s="98">
        <v>0</v>
      </c>
      <c r="W52" s="98">
        <v>10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8">
        <v>0</v>
      </c>
      <c r="AE52" s="98">
        <v>0</v>
      </c>
      <c r="AF52" s="98">
        <v>0</v>
      </c>
      <c r="AG52" s="98">
        <v>0</v>
      </c>
      <c r="AH52" s="98">
        <f t="shared" si="0"/>
        <v>140</v>
      </c>
      <c r="AI52" s="98"/>
      <c r="AJ52" s="98">
        <f t="shared" si="1"/>
        <v>140</v>
      </c>
      <c r="AK52" s="101">
        <v>277</v>
      </c>
      <c r="AL52" s="102">
        <f t="shared" si="2"/>
        <v>38780</v>
      </c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</row>
    <row r="53" spans="1:56" ht="15.75" customHeight="1">
      <c r="A53" s="106"/>
      <c r="B53" s="107"/>
      <c r="C53" s="107"/>
      <c r="D53" s="107"/>
      <c r="E53" s="107" t="s">
        <v>79</v>
      </c>
      <c r="F53" s="108">
        <f t="shared" ref="F53:AH53" si="3">SUM(F7:F52)</f>
        <v>605</v>
      </c>
      <c r="G53" s="108">
        <f t="shared" si="3"/>
        <v>525</v>
      </c>
      <c r="H53" s="108">
        <f t="shared" si="3"/>
        <v>105</v>
      </c>
      <c r="I53" s="108">
        <f t="shared" si="3"/>
        <v>79</v>
      </c>
      <c r="J53" s="108">
        <f t="shared" si="3"/>
        <v>180</v>
      </c>
      <c r="K53" s="108">
        <f t="shared" si="3"/>
        <v>125</v>
      </c>
      <c r="L53" s="108">
        <f t="shared" si="3"/>
        <v>160</v>
      </c>
      <c r="M53" s="108">
        <f t="shared" si="3"/>
        <v>225</v>
      </c>
      <c r="N53" s="108">
        <f t="shared" si="3"/>
        <v>205</v>
      </c>
      <c r="O53" s="108">
        <f t="shared" si="3"/>
        <v>195</v>
      </c>
      <c r="P53" s="108">
        <f t="shared" si="3"/>
        <v>116</v>
      </c>
      <c r="Q53" s="108">
        <f t="shared" si="3"/>
        <v>160</v>
      </c>
      <c r="R53" s="108">
        <f t="shared" si="3"/>
        <v>80</v>
      </c>
      <c r="S53" s="108">
        <f t="shared" si="3"/>
        <v>150</v>
      </c>
      <c r="T53" s="108">
        <f t="shared" si="3"/>
        <v>80</v>
      </c>
      <c r="U53" s="108">
        <f t="shared" si="3"/>
        <v>115</v>
      </c>
      <c r="V53" s="108">
        <f t="shared" si="3"/>
        <v>45</v>
      </c>
      <c r="W53" s="108">
        <f t="shared" si="3"/>
        <v>699</v>
      </c>
      <c r="X53" s="108">
        <f t="shared" si="3"/>
        <v>457</v>
      </c>
      <c r="Y53" s="108">
        <f t="shared" si="3"/>
        <v>602</v>
      </c>
      <c r="Z53" s="108">
        <f t="shared" si="3"/>
        <v>470</v>
      </c>
      <c r="AA53" s="108">
        <f t="shared" si="3"/>
        <v>115</v>
      </c>
      <c r="AB53" s="108">
        <f t="shared" si="3"/>
        <v>487</v>
      </c>
      <c r="AC53" s="108">
        <f t="shared" si="3"/>
        <v>499</v>
      </c>
      <c r="AD53" s="108">
        <f t="shared" si="3"/>
        <v>177</v>
      </c>
      <c r="AE53" s="108">
        <f t="shared" si="3"/>
        <v>495</v>
      </c>
      <c r="AF53" s="108">
        <f t="shared" si="3"/>
        <v>320</v>
      </c>
      <c r="AG53" s="108">
        <f t="shared" si="3"/>
        <v>130</v>
      </c>
      <c r="AH53" s="108">
        <f t="shared" si="3"/>
        <v>7601</v>
      </c>
      <c r="AI53" s="108"/>
      <c r="AJ53" s="108">
        <f>SUM(AJ7:AJ52)</f>
        <v>7601</v>
      </c>
      <c r="AK53" s="109"/>
      <c r="AL53" s="110">
        <f>SUM(AL7:AL52)</f>
        <v>2105477</v>
      </c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</row>
    <row r="54" spans="1:56" ht="15.75" customHeight="1">
      <c r="A54" s="112" t="s">
        <v>178</v>
      </c>
      <c r="B54" s="113"/>
      <c r="C54" s="113"/>
      <c r="D54" s="113"/>
      <c r="E54" s="114" t="s">
        <v>79</v>
      </c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5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</row>
    <row r="55" spans="1:56" ht="15.75" customHeight="1">
      <c r="A55" s="98">
        <v>1</v>
      </c>
      <c r="B55" s="99" t="s">
        <v>103</v>
      </c>
      <c r="C55" s="99"/>
      <c r="D55" s="100" t="s">
        <v>179</v>
      </c>
      <c r="E55" s="99" t="s">
        <v>79</v>
      </c>
      <c r="F55" s="98">
        <v>20</v>
      </c>
      <c r="G55" s="98">
        <v>40</v>
      </c>
      <c r="H55" s="98">
        <v>15</v>
      </c>
      <c r="I55" s="98">
        <v>0</v>
      </c>
      <c r="J55" s="98">
        <v>25</v>
      </c>
      <c r="K55" s="98">
        <v>20</v>
      </c>
      <c r="L55" s="98">
        <v>15</v>
      </c>
      <c r="M55" s="98">
        <v>15</v>
      </c>
      <c r="N55" s="98">
        <v>15</v>
      </c>
      <c r="O55" s="98">
        <v>15</v>
      </c>
      <c r="P55" s="98">
        <v>0</v>
      </c>
      <c r="Q55" s="98">
        <v>0</v>
      </c>
      <c r="R55" s="98">
        <v>0</v>
      </c>
      <c r="S55" s="98">
        <v>0</v>
      </c>
      <c r="T55" s="98">
        <v>0</v>
      </c>
      <c r="U55" s="98">
        <v>0</v>
      </c>
      <c r="V55" s="98">
        <v>10</v>
      </c>
      <c r="W55" s="98">
        <v>10</v>
      </c>
      <c r="X55" s="98">
        <v>10</v>
      </c>
      <c r="Y55" s="98">
        <v>10</v>
      </c>
      <c r="Z55" s="98">
        <v>20</v>
      </c>
      <c r="AA55" s="98">
        <v>25</v>
      </c>
      <c r="AB55" s="98">
        <v>15</v>
      </c>
      <c r="AC55" s="98">
        <v>15</v>
      </c>
      <c r="AD55" s="98">
        <v>10</v>
      </c>
      <c r="AE55" s="98">
        <v>15</v>
      </c>
      <c r="AF55" s="98">
        <v>15</v>
      </c>
      <c r="AG55" s="98">
        <v>0</v>
      </c>
      <c r="AH55" s="98">
        <f t="shared" ref="AH55:AH94" si="4">SUM(F55:AG55)</f>
        <v>335</v>
      </c>
      <c r="AI55" s="98"/>
      <c r="AJ55" s="98">
        <f t="shared" ref="AJ55:AJ95" si="5">AH55+AI55</f>
        <v>335</v>
      </c>
      <c r="AK55" s="101">
        <v>277</v>
      </c>
      <c r="AL55" s="116">
        <f t="shared" ref="AL55:AL94" si="6">AK55*AJ55</f>
        <v>92795</v>
      </c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</row>
    <row r="56" spans="1:56" ht="15.75" customHeight="1">
      <c r="A56" s="98">
        <v>2</v>
      </c>
      <c r="B56" s="99" t="s">
        <v>56</v>
      </c>
      <c r="C56" s="99"/>
      <c r="D56" s="100" t="s">
        <v>180</v>
      </c>
      <c r="E56" s="99" t="s">
        <v>79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Z56" s="98">
        <v>0</v>
      </c>
      <c r="AA56" s="98">
        <v>0</v>
      </c>
      <c r="AB56" s="98">
        <v>0</v>
      </c>
      <c r="AC56" s="98">
        <v>0</v>
      </c>
      <c r="AD56" s="98">
        <v>0</v>
      </c>
      <c r="AE56" s="98">
        <v>0</v>
      </c>
      <c r="AF56" s="98">
        <v>0</v>
      </c>
      <c r="AG56" s="98">
        <v>0</v>
      </c>
      <c r="AH56" s="98">
        <f t="shared" si="4"/>
        <v>0</v>
      </c>
      <c r="AI56" s="98"/>
      <c r="AJ56" s="98">
        <f t="shared" si="5"/>
        <v>0</v>
      </c>
      <c r="AK56" s="101">
        <v>277</v>
      </c>
      <c r="AL56" s="116">
        <f t="shared" si="6"/>
        <v>0</v>
      </c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</row>
    <row r="57" spans="1:56" ht="15.75" customHeight="1">
      <c r="A57" s="98">
        <v>3</v>
      </c>
      <c r="B57" s="99" t="s">
        <v>104</v>
      </c>
      <c r="C57" s="99"/>
      <c r="D57" s="100" t="s">
        <v>179</v>
      </c>
      <c r="E57" s="99" t="s">
        <v>79</v>
      </c>
      <c r="F57" s="98">
        <v>0</v>
      </c>
      <c r="G57" s="98">
        <v>10</v>
      </c>
      <c r="H57" s="98">
        <v>10</v>
      </c>
      <c r="I57" s="98">
        <v>0</v>
      </c>
      <c r="J57" s="98">
        <v>0</v>
      </c>
      <c r="K57" s="98">
        <v>20</v>
      </c>
      <c r="L57" s="98">
        <v>20</v>
      </c>
      <c r="M57" s="98">
        <v>20</v>
      </c>
      <c r="N57" s="98">
        <v>15</v>
      </c>
      <c r="O57" s="98">
        <v>15</v>
      </c>
      <c r="P57" s="98">
        <v>10</v>
      </c>
      <c r="Q57" s="98">
        <v>0</v>
      </c>
      <c r="R57" s="98">
        <v>0</v>
      </c>
      <c r="S57" s="98">
        <v>20</v>
      </c>
      <c r="T57" s="98">
        <v>10</v>
      </c>
      <c r="U57" s="98">
        <v>0</v>
      </c>
      <c r="V57" s="98">
        <v>0</v>
      </c>
      <c r="W57" s="98">
        <v>0</v>
      </c>
      <c r="X57" s="98">
        <v>20</v>
      </c>
      <c r="Y57" s="98">
        <v>0</v>
      </c>
      <c r="Z57" s="98">
        <v>0</v>
      </c>
      <c r="AA57" s="98">
        <v>0</v>
      </c>
      <c r="AB57" s="98">
        <v>0</v>
      </c>
      <c r="AC57" s="98">
        <v>0</v>
      </c>
      <c r="AD57" s="98">
        <v>0</v>
      </c>
      <c r="AE57" s="98">
        <v>45</v>
      </c>
      <c r="AF57" s="98">
        <v>35</v>
      </c>
      <c r="AG57" s="98">
        <v>40</v>
      </c>
      <c r="AH57" s="98">
        <f t="shared" si="4"/>
        <v>290</v>
      </c>
      <c r="AI57" s="98"/>
      <c r="AJ57" s="98">
        <f t="shared" si="5"/>
        <v>290</v>
      </c>
      <c r="AK57" s="101">
        <v>277</v>
      </c>
      <c r="AL57" s="116">
        <f t="shared" si="6"/>
        <v>80330</v>
      </c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</row>
    <row r="58" spans="1:56" ht="15.75" customHeight="1">
      <c r="A58" s="98">
        <v>4</v>
      </c>
      <c r="B58" s="99" t="s">
        <v>105</v>
      </c>
      <c r="C58" s="99"/>
      <c r="D58" s="100" t="s">
        <v>66</v>
      </c>
      <c r="E58" s="99" t="s">
        <v>79</v>
      </c>
      <c r="F58" s="98">
        <v>0</v>
      </c>
      <c r="G58" s="98">
        <v>0</v>
      </c>
      <c r="H58" s="98">
        <v>0</v>
      </c>
      <c r="I58" s="98">
        <v>0</v>
      </c>
      <c r="J58" s="98">
        <v>0</v>
      </c>
      <c r="K58" s="98">
        <v>0</v>
      </c>
      <c r="L58" s="98">
        <v>0</v>
      </c>
      <c r="M58" s="98">
        <v>0</v>
      </c>
      <c r="N58" s="98">
        <v>0</v>
      </c>
      <c r="O58" s="98">
        <v>0</v>
      </c>
      <c r="P58" s="98">
        <v>0</v>
      </c>
      <c r="Q58" s="98">
        <v>0</v>
      </c>
      <c r="R58" s="98">
        <v>0</v>
      </c>
      <c r="S58" s="98">
        <v>0</v>
      </c>
      <c r="T58" s="98">
        <v>0</v>
      </c>
      <c r="U58" s="98">
        <v>0</v>
      </c>
      <c r="V58" s="98">
        <v>0</v>
      </c>
      <c r="W58" s="98">
        <v>0</v>
      </c>
      <c r="X58" s="98">
        <v>0</v>
      </c>
      <c r="Y58" s="98">
        <v>0</v>
      </c>
      <c r="Z58" s="98">
        <v>0</v>
      </c>
      <c r="AA58" s="98">
        <v>0</v>
      </c>
      <c r="AB58" s="98">
        <v>0</v>
      </c>
      <c r="AC58" s="98">
        <v>0</v>
      </c>
      <c r="AD58" s="98">
        <v>0</v>
      </c>
      <c r="AE58" s="98">
        <v>0</v>
      </c>
      <c r="AF58" s="98">
        <v>0</v>
      </c>
      <c r="AG58" s="98">
        <v>0</v>
      </c>
      <c r="AH58" s="98">
        <f t="shared" si="4"/>
        <v>0</v>
      </c>
      <c r="AI58" s="98"/>
      <c r="AJ58" s="98">
        <f t="shared" si="5"/>
        <v>0</v>
      </c>
      <c r="AK58" s="101">
        <v>277</v>
      </c>
      <c r="AL58" s="116">
        <f t="shared" si="6"/>
        <v>0</v>
      </c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</row>
    <row r="59" spans="1:56" ht="15.75" customHeight="1">
      <c r="A59" s="98">
        <v>5</v>
      </c>
      <c r="B59" s="99" t="s">
        <v>106</v>
      </c>
      <c r="C59" s="99"/>
      <c r="D59" s="100" t="s">
        <v>181</v>
      </c>
      <c r="E59" s="99" t="s">
        <v>79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Z59" s="98">
        <v>0</v>
      </c>
      <c r="AA59" s="98">
        <v>0</v>
      </c>
      <c r="AB59" s="98">
        <v>0</v>
      </c>
      <c r="AC59" s="98">
        <v>0</v>
      </c>
      <c r="AD59" s="98">
        <v>0</v>
      </c>
      <c r="AE59" s="98">
        <v>0</v>
      </c>
      <c r="AF59" s="98">
        <v>0</v>
      </c>
      <c r="AG59" s="98">
        <v>0</v>
      </c>
      <c r="AH59" s="98">
        <f t="shared" si="4"/>
        <v>0</v>
      </c>
      <c r="AI59" s="98"/>
      <c r="AJ59" s="98">
        <f t="shared" si="5"/>
        <v>0</v>
      </c>
      <c r="AK59" s="101">
        <v>277</v>
      </c>
      <c r="AL59" s="116">
        <f t="shared" si="6"/>
        <v>0</v>
      </c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</row>
    <row r="60" spans="1:56" ht="15.75" customHeight="1">
      <c r="A60" s="98">
        <v>6</v>
      </c>
      <c r="B60" s="99" t="s">
        <v>107</v>
      </c>
      <c r="C60" s="99"/>
      <c r="D60" s="100" t="s">
        <v>182</v>
      </c>
      <c r="E60" s="99" t="s">
        <v>79</v>
      </c>
      <c r="F60" s="98">
        <v>30</v>
      </c>
      <c r="G60" s="98">
        <v>0</v>
      </c>
      <c r="H60" s="98">
        <v>20</v>
      </c>
      <c r="I60" s="98">
        <v>0</v>
      </c>
      <c r="J60" s="98">
        <v>0</v>
      </c>
      <c r="K60" s="98">
        <v>30</v>
      </c>
      <c r="L60" s="98">
        <v>30</v>
      </c>
      <c r="M60" s="98">
        <v>30</v>
      </c>
      <c r="N60" s="98">
        <v>30</v>
      </c>
      <c r="O60" s="98">
        <v>30</v>
      </c>
      <c r="P60" s="98">
        <v>20</v>
      </c>
      <c r="Q60" s="98">
        <v>20</v>
      </c>
      <c r="R60" s="98">
        <v>20</v>
      </c>
      <c r="S60" s="98">
        <v>10</v>
      </c>
      <c r="T60" s="98">
        <v>30</v>
      </c>
      <c r="U60" s="98">
        <v>30</v>
      </c>
      <c r="V60" s="98">
        <v>30</v>
      </c>
      <c r="W60" s="98">
        <v>30</v>
      </c>
      <c r="X60" s="98">
        <v>50</v>
      </c>
      <c r="Y60" s="98">
        <v>50</v>
      </c>
      <c r="Z60" s="98">
        <v>30</v>
      </c>
      <c r="AA60" s="98">
        <v>20</v>
      </c>
      <c r="AB60" s="98">
        <v>40</v>
      </c>
      <c r="AC60" s="98">
        <v>20</v>
      </c>
      <c r="AD60" s="98">
        <v>40</v>
      </c>
      <c r="AE60" s="98">
        <v>0</v>
      </c>
      <c r="AF60" s="98">
        <v>0</v>
      </c>
      <c r="AG60" s="98">
        <v>0</v>
      </c>
      <c r="AH60" s="98">
        <f t="shared" si="4"/>
        <v>640</v>
      </c>
      <c r="AI60" s="98"/>
      <c r="AJ60" s="98">
        <f t="shared" si="5"/>
        <v>640</v>
      </c>
      <c r="AK60" s="101">
        <v>277</v>
      </c>
      <c r="AL60" s="116">
        <f t="shared" si="6"/>
        <v>177280</v>
      </c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</row>
    <row r="61" spans="1:56" ht="15.75" customHeight="1">
      <c r="A61" s="98">
        <v>7</v>
      </c>
      <c r="B61" s="99" t="s">
        <v>108</v>
      </c>
      <c r="C61" s="99"/>
      <c r="D61" s="100" t="s">
        <v>180</v>
      </c>
      <c r="E61" s="99" t="s">
        <v>79</v>
      </c>
      <c r="F61" s="98">
        <v>0</v>
      </c>
      <c r="G61" s="98">
        <v>5</v>
      </c>
      <c r="H61" s="98">
        <v>0</v>
      </c>
      <c r="I61" s="98">
        <v>0</v>
      </c>
      <c r="J61" s="98">
        <v>10</v>
      </c>
      <c r="K61" s="98">
        <v>20</v>
      </c>
      <c r="L61" s="98">
        <v>10</v>
      </c>
      <c r="M61" s="98">
        <v>10</v>
      </c>
      <c r="N61" s="98">
        <v>20</v>
      </c>
      <c r="O61" s="98">
        <v>10</v>
      </c>
      <c r="P61" s="98">
        <v>5</v>
      </c>
      <c r="Q61" s="98">
        <v>5</v>
      </c>
      <c r="R61" s="98">
        <v>5</v>
      </c>
      <c r="S61" s="98">
        <v>5</v>
      </c>
      <c r="T61" s="98">
        <v>0</v>
      </c>
      <c r="U61" s="98">
        <v>5</v>
      </c>
      <c r="V61" s="98">
        <v>10</v>
      </c>
      <c r="W61" s="98">
        <v>5</v>
      </c>
      <c r="X61" s="98">
        <v>10</v>
      </c>
      <c r="Y61" s="98">
        <v>10</v>
      </c>
      <c r="Z61" s="98">
        <v>10</v>
      </c>
      <c r="AA61" s="98">
        <v>10</v>
      </c>
      <c r="AB61" s="98">
        <v>10</v>
      </c>
      <c r="AC61" s="98">
        <v>10</v>
      </c>
      <c r="AD61" s="98">
        <v>10</v>
      </c>
      <c r="AE61" s="98">
        <v>15</v>
      </c>
      <c r="AF61" s="98">
        <v>10</v>
      </c>
      <c r="AG61" s="98">
        <v>15</v>
      </c>
      <c r="AH61" s="98">
        <f t="shared" si="4"/>
        <v>235</v>
      </c>
      <c r="AI61" s="98"/>
      <c r="AJ61" s="98">
        <f t="shared" si="5"/>
        <v>235</v>
      </c>
      <c r="AK61" s="101">
        <v>277</v>
      </c>
      <c r="AL61" s="116">
        <f t="shared" si="6"/>
        <v>65095</v>
      </c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</row>
    <row r="62" spans="1:56" ht="15.75" customHeight="1">
      <c r="A62" s="98">
        <v>8</v>
      </c>
      <c r="B62" s="99" t="s">
        <v>63</v>
      </c>
      <c r="C62" s="99"/>
      <c r="D62" s="100" t="s">
        <v>183</v>
      </c>
      <c r="E62" s="99" t="s">
        <v>79</v>
      </c>
      <c r="F62" s="98">
        <v>0</v>
      </c>
      <c r="G62" s="98">
        <v>0</v>
      </c>
      <c r="H62" s="98">
        <v>20</v>
      </c>
      <c r="I62" s="98">
        <v>0</v>
      </c>
      <c r="J62" s="98">
        <v>0</v>
      </c>
      <c r="K62" s="98">
        <v>0</v>
      </c>
      <c r="L62" s="98">
        <v>0</v>
      </c>
      <c r="M62" s="98">
        <v>0</v>
      </c>
      <c r="N62" s="98">
        <v>0</v>
      </c>
      <c r="O62" s="98">
        <v>0</v>
      </c>
      <c r="P62" s="98">
        <v>0</v>
      </c>
      <c r="Q62" s="98">
        <v>0</v>
      </c>
      <c r="R62" s="98">
        <v>0</v>
      </c>
      <c r="S62" s="98">
        <v>0</v>
      </c>
      <c r="T62" s="98">
        <v>0</v>
      </c>
      <c r="U62" s="98">
        <v>0</v>
      </c>
      <c r="V62" s="98">
        <v>0</v>
      </c>
      <c r="W62" s="98">
        <v>0</v>
      </c>
      <c r="X62" s="98">
        <v>0</v>
      </c>
      <c r="Y62" s="98">
        <v>0</v>
      </c>
      <c r="Z62" s="98">
        <v>0</v>
      </c>
      <c r="AA62" s="98">
        <v>0</v>
      </c>
      <c r="AB62" s="98">
        <v>0</v>
      </c>
      <c r="AC62" s="98">
        <v>0</v>
      </c>
      <c r="AD62" s="98">
        <v>0</v>
      </c>
      <c r="AE62" s="98">
        <v>0</v>
      </c>
      <c r="AF62" s="98">
        <v>0</v>
      </c>
      <c r="AG62" s="98">
        <v>0</v>
      </c>
      <c r="AH62" s="98">
        <f t="shared" si="4"/>
        <v>20</v>
      </c>
      <c r="AI62" s="98"/>
      <c r="AJ62" s="98">
        <f t="shared" si="5"/>
        <v>20</v>
      </c>
      <c r="AK62" s="101">
        <v>277</v>
      </c>
      <c r="AL62" s="116">
        <f t="shared" si="6"/>
        <v>5540</v>
      </c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</row>
    <row r="63" spans="1:56" ht="15.75" customHeight="1">
      <c r="A63" s="98">
        <v>9</v>
      </c>
      <c r="B63" s="99" t="s">
        <v>28</v>
      </c>
      <c r="C63" s="99"/>
      <c r="D63" s="100" t="s">
        <v>29</v>
      </c>
      <c r="E63" s="99" t="s">
        <v>79</v>
      </c>
      <c r="F63" s="98">
        <v>50</v>
      </c>
      <c r="G63" s="98">
        <v>0</v>
      </c>
      <c r="H63" s="98">
        <v>0</v>
      </c>
      <c r="I63" s="98">
        <v>20</v>
      </c>
      <c r="J63" s="98">
        <v>0</v>
      </c>
      <c r="K63" s="98">
        <v>119</v>
      </c>
      <c r="L63" s="98">
        <v>0</v>
      </c>
      <c r="M63" s="98">
        <v>50</v>
      </c>
      <c r="N63" s="98">
        <v>74</v>
      </c>
      <c r="O63" s="98">
        <v>0</v>
      </c>
      <c r="P63" s="98">
        <v>94</v>
      </c>
      <c r="Q63" s="98">
        <v>0</v>
      </c>
      <c r="R63" s="98">
        <v>0</v>
      </c>
      <c r="S63" s="98">
        <v>0</v>
      </c>
      <c r="T63" s="98">
        <v>130</v>
      </c>
      <c r="U63" s="98">
        <v>0</v>
      </c>
      <c r="V63" s="98">
        <v>0</v>
      </c>
      <c r="W63" s="98">
        <v>40</v>
      </c>
      <c r="X63" s="98">
        <v>40</v>
      </c>
      <c r="Y63" s="98">
        <v>40</v>
      </c>
      <c r="Z63" s="98">
        <v>40</v>
      </c>
      <c r="AA63" s="98">
        <v>40</v>
      </c>
      <c r="AB63" s="98">
        <v>40</v>
      </c>
      <c r="AC63" s="98">
        <v>40</v>
      </c>
      <c r="AD63" s="98">
        <v>40</v>
      </c>
      <c r="AE63" s="98">
        <v>40</v>
      </c>
      <c r="AF63" s="98">
        <v>30</v>
      </c>
      <c r="AG63" s="98">
        <v>40</v>
      </c>
      <c r="AH63" s="98">
        <f t="shared" si="4"/>
        <v>967</v>
      </c>
      <c r="AI63" s="98"/>
      <c r="AJ63" s="98">
        <f t="shared" si="5"/>
        <v>967</v>
      </c>
      <c r="AK63" s="101">
        <v>277</v>
      </c>
      <c r="AL63" s="116">
        <f t="shared" si="6"/>
        <v>267859</v>
      </c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</row>
    <row r="64" spans="1:56" ht="15.75" customHeight="1">
      <c r="A64" s="98">
        <v>10</v>
      </c>
      <c r="B64" s="99" t="s">
        <v>109</v>
      </c>
      <c r="C64" s="99"/>
      <c r="D64" s="100" t="s">
        <v>184</v>
      </c>
      <c r="E64" s="99" t="s">
        <v>79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</v>
      </c>
      <c r="Y64" s="98">
        <v>0</v>
      </c>
      <c r="Z64" s="98">
        <v>0</v>
      </c>
      <c r="AA64" s="98">
        <v>0</v>
      </c>
      <c r="AB64" s="98">
        <v>0</v>
      </c>
      <c r="AC64" s="98">
        <v>0</v>
      </c>
      <c r="AD64" s="98">
        <v>0</v>
      </c>
      <c r="AE64" s="98">
        <v>0</v>
      </c>
      <c r="AF64" s="98">
        <v>0</v>
      </c>
      <c r="AG64" s="98">
        <v>0</v>
      </c>
      <c r="AH64" s="98">
        <f t="shared" si="4"/>
        <v>0</v>
      </c>
      <c r="AI64" s="98"/>
      <c r="AJ64" s="98">
        <f t="shared" si="5"/>
        <v>0</v>
      </c>
      <c r="AK64" s="101">
        <v>277</v>
      </c>
      <c r="AL64" s="116">
        <f t="shared" si="6"/>
        <v>0</v>
      </c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</row>
    <row r="65" spans="1:56" ht="15.75" customHeight="1">
      <c r="A65" s="98">
        <v>11</v>
      </c>
      <c r="B65" s="99" t="s">
        <v>110</v>
      </c>
      <c r="C65" s="99"/>
      <c r="D65" s="100" t="s">
        <v>184</v>
      </c>
      <c r="E65" s="99" t="s">
        <v>79</v>
      </c>
      <c r="F65" s="98">
        <v>20</v>
      </c>
      <c r="G65" s="98">
        <v>10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Z65" s="98">
        <v>0</v>
      </c>
      <c r="AA65" s="98">
        <v>0</v>
      </c>
      <c r="AB65" s="98">
        <v>0</v>
      </c>
      <c r="AC65" s="98">
        <v>0</v>
      </c>
      <c r="AD65" s="98">
        <v>0</v>
      </c>
      <c r="AE65" s="98">
        <v>0</v>
      </c>
      <c r="AF65" s="98">
        <v>0</v>
      </c>
      <c r="AG65" s="98">
        <v>0</v>
      </c>
      <c r="AH65" s="98">
        <f t="shared" si="4"/>
        <v>30</v>
      </c>
      <c r="AI65" s="98"/>
      <c r="AJ65" s="98">
        <f t="shared" si="5"/>
        <v>30</v>
      </c>
      <c r="AK65" s="101">
        <v>277</v>
      </c>
      <c r="AL65" s="116">
        <f t="shared" si="6"/>
        <v>8310</v>
      </c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</row>
    <row r="66" spans="1:56" ht="15.75" customHeight="1">
      <c r="A66" s="98">
        <v>12</v>
      </c>
      <c r="B66" s="99" t="s">
        <v>111</v>
      </c>
      <c r="C66" s="99"/>
      <c r="D66" s="100" t="s">
        <v>184</v>
      </c>
      <c r="E66" s="99" t="s">
        <v>79</v>
      </c>
      <c r="F66" s="98">
        <v>0</v>
      </c>
      <c r="G66" s="98">
        <v>30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X66" s="98">
        <v>0</v>
      </c>
      <c r="Y66" s="98">
        <v>0</v>
      </c>
      <c r="Z66" s="98">
        <v>0</v>
      </c>
      <c r="AA66" s="98">
        <v>0</v>
      </c>
      <c r="AB66" s="98">
        <v>0</v>
      </c>
      <c r="AC66" s="98">
        <v>0</v>
      </c>
      <c r="AD66" s="98">
        <v>0</v>
      </c>
      <c r="AE66" s="98">
        <v>0</v>
      </c>
      <c r="AF66" s="98">
        <v>0</v>
      </c>
      <c r="AG66" s="98">
        <v>0</v>
      </c>
      <c r="AH66" s="98">
        <f t="shared" si="4"/>
        <v>30</v>
      </c>
      <c r="AI66" s="98"/>
      <c r="AJ66" s="98">
        <f t="shared" si="5"/>
        <v>30</v>
      </c>
      <c r="AK66" s="101">
        <v>277</v>
      </c>
      <c r="AL66" s="116">
        <f t="shared" si="6"/>
        <v>8310</v>
      </c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</row>
    <row r="67" spans="1:56" ht="15.75" customHeight="1">
      <c r="A67" s="98">
        <v>13</v>
      </c>
      <c r="B67" s="99" t="s">
        <v>112</v>
      </c>
      <c r="C67" s="99"/>
      <c r="D67" s="100" t="s">
        <v>64</v>
      </c>
      <c r="E67" s="99" t="s">
        <v>79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Z67" s="98">
        <v>0</v>
      </c>
      <c r="AA67" s="98">
        <v>0</v>
      </c>
      <c r="AB67" s="98">
        <v>0</v>
      </c>
      <c r="AC67" s="98">
        <v>0</v>
      </c>
      <c r="AD67" s="98">
        <v>0</v>
      </c>
      <c r="AE67" s="98">
        <v>0</v>
      </c>
      <c r="AF67" s="98">
        <v>0</v>
      </c>
      <c r="AG67" s="98">
        <v>0</v>
      </c>
      <c r="AH67" s="98">
        <f t="shared" si="4"/>
        <v>0</v>
      </c>
      <c r="AI67" s="98"/>
      <c r="AJ67" s="98">
        <f t="shared" si="5"/>
        <v>0</v>
      </c>
      <c r="AK67" s="101">
        <v>277</v>
      </c>
      <c r="AL67" s="116">
        <f t="shared" si="6"/>
        <v>0</v>
      </c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</row>
    <row r="68" spans="1:56" ht="15.75" customHeight="1">
      <c r="A68" s="98">
        <v>14</v>
      </c>
      <c r="B68" s="99" t="s">
        <v>113</v>
      </c>
      <c r="C68" s="99"/>
      <c r="D68" s="100" t="s">
        <v>113</v>
      </c>
      <c r="E68" s="99" t="s">
        <v>79</v>
      </c>
      <c r="F68" s="98">
        <v>0</v>
      </c>
      <c r="G68" s="98">
        <v>12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Z68" s="98">
        <v>0</v>
      </c>
      <c r="AA68" s="98">
        <v>0</v>
      </c>
      <c r="AB68" s="98">
        <v>0</v>
      </c>
      <c r="AC68" s="98">
        <v>0</v>
      </c>
      <c r="AD68" s="98">
        <v>0</v>
      </c>
      <c r="AE68" s="98">
        <v>0</v>
      </c>
      <c r="AF68" s="98">
        <v>0</v>
      </c>
      <c r="AG68" s="98">
        <v>0</v>
      </c>
      <c r="AH68" s="98">
        <f t="shared" si="4"/>
        <v>12</v>
      </c>
      <c r="AI68" s="98"/>
      <c r="AJ68" s="98">
        <f t="shared" si="5"/>
        <v>12</v>
      </c>
      <c r="AK68" s="101">
        <v>277</v>
      </c>
      <c r="AL68" s="116">
        <f t="shared" si="6"/>
        <v>3324</v>
      </c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</row>
    <row r="69" spans="1:56" ht="15.75" customHeight="1">
      <c r="A69" s="98">
        <v>15</v>
      </c>
      <c r="B69" s="99" t="s">
        <v>114</v>
      </c>
      <c r="C69" s="99"/>
      <c r="D69" s="100" t="s">
        <v>185</v>
      </c>
      <c r="E69" s="99" t="s">
        <v>79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Z69" s="98">
        <v>0</v>
      </c>
      <c r="AA69" s="98">
        <v>0</v>
      </c>
      <c r="AB69" s="98">
        <v>0</v>
      </c>
      <c r="AC69" s="98">
        <v>0</v>
      </c>
      <c r="AD69" s="98">
        <v>0</v>
      </c>
      <c r="AE69" s="98">
        <v>0</v>
      </c>
      <c r="AF69" s="98">
        <v>0</v>
      </c>
      <c r="AG69" s="98">
        <v>0</v>
      </c>
      <c r="AH69" s="98">
        <f t="shared" si="4"/>
        <v>0</v>
      </c>
      <c r="AI69" s="98"/>
      <c r="AJ69" s="98">
        <f t="shared" si="5"/>
        <v>0</v>
      </c>
      <c r="AK69" s="101">
        <v>277</v>
      </c>
      <c r="AL69" s="116">
        <f t="shared" si="6"/>
        <v>0</v>
      </c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</row>
    <row r="70" spans="1:56" ht="15.75" customHeight="1">
      <c r="A70" s="98">
        <v>16</v>
      </c>
      <c r="B70" s="99" t="s">
        <v>71</v>
      </c>
      <c r="C70" s="99"/>
      <c r="D70" s="100" t="s">
        <v>183</v>
      </c>
      <c r="E70" s="99" t="s">
        <v>79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Z70" s="98">
        <v>0</v>
      </c>
      <c r="AA70" s="98">
        <v>0</v>
      </c>
      <c r="AB70" s="98">
        <v>0</v>
      </c>
      <c r="AC70" s="98">
        <v>0</v>
      </c>
      <c r="AD70" s="98">
        <v>0</v>
      </c>
      <c r="AE70" s="98">
        <v>0</v>
      </c>
      <c r="AF70" s="98">
        <v>0</v>
      </c>
      <c r="AG70" s="98">
        <v>0</v>
      </c>
      <c r="AH70" s="98">
        <f t="shared" si="4"/>
        <v>0</v>
      </c>
      <c r="AI70" s="98"/>
      <c r="AJ70" s="98">
        <f t="shared" si="5"/>
        <v>0</v>
      </c>
      <c r="AK70" s="101">
        <v>277</v>
      </c>
      <c r="AL70" s="116">
        <f t="shared" si="6"/>
        <v>0</v>
      </c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</row>
    <row r="71" spans="1:56" ht="15.75" customHeight="1">
      <c r="A71" s="98">
        <v>17</v>
      </c>
      <c r="B71" s="99" t="s">
        <v>115</v>
      </c>
      <c r="C71" s="99"/>
      <c r="D71" s="100" t="s">
        <v>182</v>
      </c>
      <c r="E71" s="99" t="s">
        <v>79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Z71" s="98">
        <v>0</v>
      </c>
      <c r="AA71" s="98">
        <v>0</v>
      </c>
      <c r="AB71" s="98">
        <v>0</v>
      </c>
      <c r="AC71" s="98">
        <v>0</v>
      </c>
      <c r="AD71" s="98">
        <v>0</v>
      </c>
      <c r="AE71" s="98">
        <v>0</v>
      </c>
      <c r="AF71" s="98">
        <v>0</v>
      </c>
      <c r="AG71" s="98">
        <v>0</v>
      </c>
      <c r="AH71" s="98">
        <f t="shared" si="4"/>
        <v>0</v>
      </c>
      <c r="AI71" s="98"/>
      <c r="AJ71" s="98">
        <f t="shared" si="5"/>
        <v>0</v>
      </c>
      <c r="AK71" s="101">
        <v>277</v>
      </c>
      <c r="AL71" s="116">
        <f t="shared" si="6"/>
        <v>0</v>
      </c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</row>
    <row r="72" spans="1:56" ht="15.75" customHeight="1">
      <c r="A72" s="98">
        <v>18</v>
      </c>
      <c r="B72" s="99" t="s">
        <v>116</v>
      </c>
      <c r="C72" s="99"/>
      <c r="D72" s="100" t="s">
        <v>184</v>
      </c>
      <c r="E72" s="99" t="s">
        <v>79</v>
      </c>
      <c r="F72" s="98">
        <v>20</v>
      </c>
      <c r="G72" s="98">
        <v>20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Z72" s="98">
        <v>0</v>
      </c>
      <c r="AA72" s="98">
        <v>0</v>
      </c>
      <c r="AB72" s="98">
        <v>0</v>
      </c>
      <c r="AC72" s="98">
        <v>0</v>
      </c>
      <c r="AD72" s="98">
        <v>0</v>
      </c>
      <c r="AE72" s="98">
        <v>0</v>
      </c>
      <c r="AF72" s="98">
        <v>0</v>
      </c>
      <c r="AG72" s="98">
        <v>0</v>
      </c>
      <c r="AH72" s="98">
        <f t="shared" si="4"/>
        <v>40</v>
      </c>
      <c r="AI72" s="98"/>
      <c r="AJ72" s="98">
        <f t="shared" si="5"/>
        <v>40</v>
      </c>
      <c r="AK72" s="101">
        <v>277</v>
      </c>
      <c r="AL72" s="116">
        <f t="shared" si="6"/>
        <v>11080</v>
      </c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</row>
    <row r="73" spans="1:56" ht="15.75" customHeight="1">
      <c r="A73" s="98">
        <v>19</v>
      </c>
      <c r="B73" s="99" t="s">
        <v>117</v>
      </c>
      <c r="C73" s="99"/>
      <c r="D73" s="100" t="s">
        <v>66</v>
      </c>
      <c r="E73" s="99" t="s">
        <v>79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Z73" s="98">
        <v>0</v>
      </c>
      <c r="AA73" s="98">
        <v>0</v>
      </c>
      <c r="AB73" s="98">
        <v>0</v>
      </c>
      <c r="AC73" s="98">
        <v>0</v>
      </c>
      <c r="AD73" s="98">
        <v>0</v>
      </c>
      <c r="AE73" s="98">
        <v>0</v>
      </c>
      <c r="AF73" s="98">
        <v>0</v>
      </c>
      <c r="AG73" s="98">
        <v>0</v>
      </c>
      <c r="AH73" s="98">
        <f t="shared" si="4"/>
        <v>0</v>
      </c>
      <c r="AI73" s="98"/>
      <c r="AJ73" s="98">
        <f t="shared" si="5"/>
        <v>0</v>
      </c>
      <c r="AK73" s="101">
        <v>277</v>
      </c>
      <c r="AL73" s="116">
        <f t="shared" si="6"/>
        <v>0</v>
      </c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</row>
    <row r="74" spans="1:56" ht="15.75" customHeight="1">
      <c r="A74" s="98">
        <v>20</v>
      </c>
      <c r="B74" s="99" t="s">
        <v>118</v>
      </c>
      <c r="C74" s="99"/>
      <c r="D74" s="100" t="s">
        <v>186</v>
      </c>
      <c r="E74" s="99" t="s">
        <v>79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Z74" s="98">
        <v>0</v>
      </c>
      <c r="AA74" s="98">
        <v>0</v>
      </c>
      <c r="AB74" s="98">
        <v>0</v>
      </c>
      <c r="AC74" s="98">
        <v>0</v>
      </c>
      <c r="AD74" s="98">
        <v>0</v>
      </c>
      <c r="AE74" s="98">
        <v>0</v>
      </c>
      <c r="AF74" s="98">
        <v>0</v>
      </c>
      <c r="AG74" s="98">
        <v>0</v>
      </c>
      <c r="AH74" s="98">
        <f t="shared" si="4"/>
        <v>0</v>
      </c>
      <c r="AI74" s="98"/>
      <c r="AJ74" s="98">
        <f t="shared" si="5"/>
        <v>0</v>
      </c>
      <c r="AK74" s="101">
        <v>277</v>
      </c>
      <c r="AL74" s="116">
        <f t="shared" si="6"/>
        <v>0</v>
      </c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</row>
    <row r="75" spans="1:56" ht="15.75" customHeight="1">
      <c r="A75" s="98">
        <v>21</v>
      </c>
      <c r="B75" s="99" t="s">
        <v>76</v>
      </c>
      <c r="C75" s="99"/>
      <c r="D75" s="100" t="s">
        <v>66</v>
      </c>
      <c r="E75" s="99" t="s">
        <v>79</v>
      </c>
      <c r="F75" s="98">
        <v>30</v>
      </c>
      <c r="G75" s="98">
        <v>20</v>
      </c>
      <c r="H75" s="98">
        <v>0</v>
      </c>
      <c r="I75" s="98">
        <v>0</v>
      </c>
      <c r="J75" s="98">
        <v>30</v>
      </c>
      <c r="K75" s="98">
        <v>20</v>
      </c>
      <c r="L75" s="98">
        <v>20</v>
      </c>
      <c r="M75" s="98">
        <v>30</v>
      </c>
      <c r="N75" s="98">
        <v>30</v>
      </c>
      <c r="O75" s="98">
        <v>20</v>
      </c>
      <c r="P75" s="98">
        <v>20</v>
      </c>
      <c r="Q75" s="98">
        <v>20</v>
      </c>
      <c r="R75" s="98">
        <v>20</v>
      </c>
      <c r="S75" s="98">
        <v>20</v>
      </c>
      <c r="T75" s="98">
        <v>30</v>
      </c>
      <c r="U75" s="98">
        <v>20</v>
      </c>
      <c r="V75" s="98">
        <v>0</v>
      </c>
      <c r="W75" s="98">
        <v>30</v>
      </c>
      <c r="X75" s="98">
        <v>30</v>
      </c>
      <c r="Y75" s="98">
        <v>50</v>
      </c>
      <c r="Z75" s="98">
        <v>20</v>
      </c>
      <c r="AA75" s="98">
        <v>30</v>
      </c>
      <c r="AB75" s="98">
        <v>30</v>
      </c>
      <c r="AC75" s="98">
        <v>30</v>
      </c>
      <c r="AD75" s="98">
        <v>30</v>
      </c>
      <c r="AE75" s="98">
        <v>30</v>
      </c>
      <c r="AF75" s="98">
        <v>30</v>
      </c>
      <c r="AG75" s="98">
        <v>20</v>
      </c>
      <c r="AH75" s="98">
        <f t="shared" si="4"/>
        <v>660</v>
      </c>
      <c r="AI75" s="98"/>
      <c r="AJ75" s="98">
        <f t="shared" si="5"/>
        <v>660</v>
      </c>
      <c r="AK75" s="101">
        <v>277</v>
      </c>
      <c r="AL75" s="116">
        <f t="shared" si="6"/>
        <v>182820</v>
      </c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</row>
    <row r="76" spans="1:56" ht="15.75" customHeight="1">
      <c r="A76" s="98">
        <v>22</v>
      </c>
      <c r="B76" s="99" t="s">
        <v>70</v>
      </c>
      <c r="C76" s="99"/>
      <c r="D76" s="100" t="s">
        <v>187</v>
      </c>
      <c r="E76" s="99" t="s">
        <v>79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Z76" s="98">
        <v>0</v>
      </c>
      <c r="AA76" s="98">
        <v>0</v>
      </c>
      <c r="AB76" s="98">
        <v>0</v>
      </c>
      <c r="AC76" s="98">
        <v>0</v>
      </c>
      <c r="AD76" s="98">
        <v>0</v>
      </c>
      <c r="AE76" s="98">
        <v>0</v>
      </c>
      <c r="AF76" s="98">
        <v>0</v>
      </c>
      <c r="AG76" s="98">
        <v>0</v>
      </c>
      <c r="AH76" s="98">
        <f t="shared" si="4"/>
        <v>0</v>
      </c>
      <c r="AI76" s="98"/>
      <c r="AJ76" s="98">
        <f t="shared" si="5"/>
        <v>0</v>
      </c>
      <c r="AK76" s="101">
        <v>277</v>
      </c>
      <c r="AL76" s="116">
        <f t="shared" si="6"/>
        <v>0</v>
      </c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</row>
    <row r="77" spans="1:56" ht="15.75" customHeight="1">
      <c r="A77" s="98">
        <v>23</v>
      </c>
      <c r="B77" s="99" t="s">
        <v>119</v>
      </c>
      <c r="C77" s="99"/>
      <c r="D77" s="100" t="s">
        <v>188</v>
      </c>
      <c r="E77" s="99" t="s">
        <v>79</v>
      </c>
      <c r="F77" s="98">
        <v>0</v>
      </c>
      <c r="G77" s="98">
        <v>0</v>
      </c>
      <c r="H77" s="98">
        <v>0</v>
      </c>
      <c r="I77" s="98">
        <v>0</v>
      </c>
      <c r="J77" s="98">
        <v>0</v>
      </c>
      <c r="K77" s="98">
        <v>0</v>
      </c>
      <c r="L77" s="98">
        <v>0</v>
      </c>
      <c r="M77" s="98">
        <v>0</v>
      </c>
      <c r="N77" s="98">
        <v>0</v>
      </c>
      <c r="O77" s="98">
        <v>0</v>
      </c>
      <c r="P77" s="98">
        <v>0</v>
      </c>
      <c r="Q77" s="98">
        <v>0</v>
      </c>
      <c r="R77" s="98">
        <v>0</v>
      </c>
      <c r="S77" s="98">
        <v>0</v>
      </c>
      <c r="T77" s="98">
        <v>0</v>
      </c>
      <c r="U77" s="98">
        <v>0</v>
      </c>
      <c r="V77" s="98">
        <v>0</v>
      </c>
      <c r="W77" s="98">
        <v>0</v>
      </c>
      <c r="X77" s="98">
        <v>0</v>
      </c>
      <c r="Y77" s="98">
        <v>0</v>
      </c>
      <c r="Z77" s="98">
        <v>0</v>
      </c>
      <c r="AA77" s="98">
        <v>0</v>
      </c>
      <c r="AB77" s="98">
        <v>0</v>
      </c>
      <c r="AC77" s="98">
        <v>0</v>
      </c>
      <c r="AD77" s="98">
        <v>0</v>
      </c>
      <c r="AE77" s="98">
        <v>0</v>
      </c>
      <c r="AF77" s="98">
        <v>0</v>
      </c>
      <c r="AG77" s="98">
        <v>0</v>
      </c>
      <c r="AH77" s="98">
        <f t="shared" si="4"/>
        <v>0</v>
      </c>
      <c r="AI77" s="98"/>
      <c r="AJ77" s="98">
        <f t="shared" si="5"/>
        <v>0</v>
      </c>
      <c r="AK77" s="101">
        <v>277</v>
      </c>
      <c r="AL77" s="116">
        <f t="shared" si="6"/>
        <v>0</v>
      </c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</row>
    <row r="78" spans="1:56" ht="15.75" customHeight="1">
      <c r="A78" s="98">
        <v>24</v>
      </c>
      <c r="B78" s="99" t="s">
        <v>67</v>
      </c>
      <c r="C78" s="99"/>
      <c r="D78" s="100" t="s">
        <v>179</v>
      </c>
      <c r="E78" s="99" t="s">
        <v>79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0</v>
      </c>
      <c r="Y78" s="98">
        <v>0</v>
      </c>
      <c r="Z78" s="98">
        <v>0</v>
      </c>
      <c r="AA78" s="98">
        <v>0</v>
      </c>
      <c r="AB78" s="98">
        <v>0</v>
      </c>
      <c r="AC78" s="98">
        <v>0</v>
      </c>
      <c r="AD78" s="98">
        <v>0</v>
      </c>
      <c r="AE78" s="98">
        <v>0</v>
      </c>
      <c r="AF78" s="98">
        <v>0</v>
      </c>
      <c r="AG78" s="98">
        <v>0</v>
      </c>
      <c r="AH78" s="98">
        <f t="shared" si="4"/>
        <v>0</v>
      </c>
      <c r="AI78" s="98"/>
      <c r="AJ78" s="98">
        <f t="shared" si="5"/>
        <v>0</v>
      </c>
      <c r="AK78" s="101">
        <v>277</v>
      </c>
      <c r="AL78" s="116">
        <f t="shared" si="6"/>
        <v>0</v>
      </c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</row>
    <row r="79" spans="1:56" ht="15.75" customHeight="1">
      <c r="A79" s="98">
        <v>25</v>
      </c>
      <c r="B79" s="99" t="s">
        <v>120</v>
      </c>
      <c r="C79" s="99"/>
      <c r="D79" s="100" t="s">
        <v>189</v>
      </c>
      <c r="E79" s="99" t="s">
        <v>79</v>
      </c>
      <c r="F79" s="98">
        <v>0</v>
      </c>
      <c r="G79" s="98">
        <v>0</v>
      </c>
      <c r="H79" s="98">
        <v>0</v>
      </c>
      <c r="I79" s="98">
        <v>0</v>
      </c>
      <c r="J79" s="98">
        <v>0</v>
      </c>
      <c r="K79" s="98">
        <v>0</v>
      </c>
      <c r="L79" s="98">
        <v>0</v>
      </c>
      <c r="M79" s="98">
        <v>0</v>
      </c>
      <c r="N79" s="98">
        <v>0</v>
      </c>
      <c r="O79" s="98">
        <v>0</v>
      </c>
      <c r="P79" s="98">
        <v>0</v>
      </c>
      <c r="Q79" s="98">
        <v>0</v>
      </c>
      <c r="R79" s="98">
        <v>0</v>
      </c>
      <c r="S79" s="98">
        <v>0</v>
      </c>
      <c r="T79" s="98">
        <v>0</v>
      </c>
      <c r="U79" s="98">
        <v>0</v>
      </c>
      <c r="V79" s="98">
        <v>0</v>
      </c>
      <c r="W79" s="98">
        <v>0</v>
      </c>
      <c r="X79" s="98">
        <v>0</v>
      </c>
      <c r="Y79" s="98">
        <v>0</v>
      </c>
      <c r="Z79" s="98">
        <v>0</v>
      </c>
      <c r="AA79" s="98">
        <v>0</v>
      </c>
      <c r="AB79" s="98">
        <v>0</v>
      </c>
      <c r="AC79" s="98">
        <v>0</v>
      </c>
      <c r="AD79" s="98">
        <v>0</v>
      </c>
      <c r="AE79" s="98">
        <v>0</v>
      </c>
      <c r="AF79" s="98">
        <v>0</v>
      </c>
      <c r="AG79" s="98">
        <v>0</v>
      </c>
      <c r="AH79" s="98">
        <f t="shared" si="4"/>
        <v>0</v>
      </c>
      <c r="AI79" s="98"/>
      <c r="AJ79" s="98">
        <f t="shared" si="5"/>
        <v>0</v>
      </c>
      <c r="AK79" s="101">
        <v>277</v>
      </c>
      <c r="AL79" s="116">
        <f t="shared" si="6"/>
        <v>0</v>
      </c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</row>
    <row r="80" spans="1:56" ht="15.75" customHeight="1">
      <c r="A80" s="98">
        <v>26</v>
      </c>
      <c r="B80" s="99" t="s">
        <v>153</v>
      </c>
      <c r="C80" s="99"/>
      <c r="D80" s="100" t="s">
        <v>188</v>
      </c>
      <c r="E80" s="99" t="s">
        <v>79</v>
      </c>
      <c r="F80" s="98">
        <v>0</v>
      </c>
      <c r="G80" s="98">
        <v>30</v>
      </c>
      <c r="H80" s="98">
        <v>20</v>
      </c>
      <c r="I80" s="98">
        <v>0</v>
      </c>
      <c r="J80" s="98">
        <v>20</v>
      </c>
      <c r="K80" s="98">
        <v>20</v>
      </c>
      <c r="L80" s="98">
        <v>20</v>
      </c>
      <c r="M80" s="98">
        <v>20</v>
      </c>
      <c r="N80" s="98">
        <v>20</v>
      </c>
      <c r="O80" s="98">
        <v>20</v>
      </c>
      <c r="P80" s="98">
        <v>20</v>
      </c>
      <c r="Q80" s="98">
        <v>15</v>
      </c>
      <c r="R80" s="98">
        <v>0</v>
      </c>
      <c r="S80" s="98">
        <v>15</v>
      </c>
      <c r="T80" s="98">
        <v>20</v>
      </c>
      <c r="U80" s="98">
        <v>10</v>
      </c>
      <c r="V80" s="98">
        <v>10</v>
      </c>
      <c r="W80" s="98">
        <v>20</v>
      </c>
      <c r="X80" s="98">
        <v>20</v>
      </c>
      <c r="Y80" s="98">
        <v>20</v>
      </c>
      <c r="Z80" s="98">
        <v>20</v>
      </c>
      <c r="AA80" s="98">
        <v>20</v>
      </c>
      <c r="AB80" s="98">
        <v>15</v>
      </c>
      <c r="AC80" s="98">
        <v>15</v>
      </c>
      <c r="AD80" s="98">
        <v>20</v>
      </c>
      <c r="AE80" s="98">
        <v>30</v>
      </c>
      <c r="AF80" s="98">
        <v>20</v>
      </c>
      <c r="AG80" s="98">
        <v>20</v>
      </c>
      <c r="AH80" s="98">
        <f t="shared" si="4"/>
        <v>480</v>
      </c>
      <c r="AI80" s="98"/>
      <c r="AJ80" s="98">
        <f t="shared" si="5"/>
        <v>480</v>
      </c>
      <c r="AK80" s="101">
        <v>277</v>
      </c>
      <c r="AL80" s="116">
        <f t="shared" si="6"/>
        <v>132960</v>
      </c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7"/>
      <c r="BD80" s="117"/>
    </row>
    <row r="81" spans="1:56" ht="15.75" customHeight="1">
      <c r="A81" s="98">
        <v>27</v>
      </c>
      <c r="B81" s="99" t="s">
        <v>121</v>
      </c>
      <c r="C81" s="99"/>
      <c r="D81" s="100" t="s">
        <v>190</v>
      </c>
      <c r="E81" s="99" t="s">
        <v>79</v>
      </c>
      <c r="F81" s="98">
        <v>0</v>
      </c>
      <c r="G81" s="98">
        <v>0</v>
      </c>
      <c r="H81" s="98">
        <v>0</v>
      </c>
      <c r="I81" s="98">
        <v>0</v>
      </c>
      <c r="J81" s="98">
        <v>0</v>
      </c>
      <c r="K81" s="98">
        <v>0</v>
      </c>
      <c r="L81" s="98">
        <v>0</v>
      </c>
      <c r="M81" s="98">
        <v>0</v>
      </c>
      <c r="N81" s="98">
        <v>0</v>
      </c>
      <c r="O81" s="98">
        <v>0</v>
      </c>
      <c r="P81" s="98">
        <v>0</v>
      </c>
      <c r="Q81" s="98">
        <v>0</v>
      </c>
      <c r="R81" s="98">
        <v>0</v>
      </c>
      <c r="S81" s="98">
        <v>0</v>
      </c>
      <c r="T81" s="98">
        <v>0</v>
      </c>
      <c r="U81" s="98">
        <v>0</v>
      </c>
      <c r="V81" s="98">
        <v>0</v>
      </c>
      <c r="W81" s="98">
        <v>0</v>
      </c>
      <c r="X81" s="98">
        <v>0</v>
      </c>
      <c r="Y81" s="98">
        <v>0</v>
      </c>
      <c r="Z81" s="98">
        <v>0</v>
      </c>
      <c r="AA81" s="98">
        <v>0</v>
      </c>
      <c r="AB81" s="98">
        <v>0</v>
      </c>
      <c r="AC81" s="98">
        <v>0</v>
      </c>
      <c r="AD81" s="98">
        <v>0</v>
      </c>
      <c r="AE81" s="98">
        <v>0</v>
      </c>
      <c r="AF81" s="98">
        <v>0</v>
      </c>
      <c r="AG81" s="98">
        <v>0</v>
      </c>
      <c r="AH81" s="98">
        <f t="shared" si="4"/>
        <v>0</v>
      </c>
      <c r="AI81" s="98"/>
      <c r="AJ81" s="98">
        <f t="shared" si="5"/>
        <v>0</v>
      </c>
      <c r="AK81" s="101">
        <v>277</v>
      </c>
      <c r="AL81" s="116">
        <f t="shared" si="6"/>
        <v>0</v>
      </c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</row>
    <row r="82" spans="1:56" ht="15.75" customHeight="1">
      <c r="A82" s="98">
        <v>28</v>
      </c>
      <c r="B82" s="99" t="s">
        <v>154</v>
      </c>
      <c r="C82" s="99"/>
      <c r="D82" s="100" t="s">
        <v>191</v>
      </c>
      <c r="E82" s="99" t="s">
        <v>79</v>
      </c>
      <c r="F82" s="98">
        <v>0</v>
      </c>
      <c r="G82" s="98">
        <v>0</v>
      </c>
      <c r="H82" s="98">
        <v>0</v>
      </c>
      <c r="I82" s="98">
        <v>0</v>
      </c>
      <c r="J82" s="98">
        <v>0</v>
      </c>
      <c r="K82" s="98">
        <v>0</v>
      </c>
      <c r="L82" s="98">
        <v>0</v>
      </c>
      <c r="M82" s="98">
        <v>0</v>
      </c>
      <c r="N82" s="98">
        <v>0</v>
      </c>
      <c r="O82" s="98">
        <v>0</v>
      </c>
      <c r="P82" s="98">
        <v>0</v>
      </c>
      <c r="Q82" s="98">
        <v>0</v>
      </c>
      <c r="R82" s="98">
        <v>0</v>
      </c>
      <c r="S82" s="98">
        <v>0</v>
      </c>
      <c r="T82" s="98">
        <v>0</v>
      </c>
      <c r="U82" s="98">
        <v>0</v>
      </c>
      <c r="V82" s="98">
        <v>0</v>
      </c>
      <c r="W82" s="98">
        <v>0</v>
      </c>
      <c r="X82" s="98">
        <v>0</v>
      </c>
      <c r="Y82" s="98">
        <v>0</v>
      </c>
      <c r="Z82" s="98">
        <v>0</v>
      </c>
      <c r="AA82" s="98">
        <v>0</v>
      </c>
      <c r="AB82" s="98">
        <v>0</v>
      </c>
      <c r="AC82" s="98">
        <v>0</v>
      </c>
      <c r="AD82" s="98">
        <v>0</v>
      </c>
      <c r="AE82" s="98">
        <v>0</v>
      </c>
      <c r="AF82" s="98">
        <v>0</v>
      </c>
      <c r="AG82" s="98">
        <v>0</v>
      </c>
      <c r="AH82" s="98">
        <f t="shared" si="4"/>
        <v>0</v>
      </c>
      <c r="AI82" s="98"/>
      <c r="AJ82" s="98">
        <f t="shared" si="5"/>
        <v>0</v>
      </c>
      <c r="AK82" s="101">
        <v>277</v>
      </c>
      <c r="AL82" s="116">
        <f t="shared" si="6"/>
        <v>0</v>
      </c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</row>
    <row r="83" spans="1:56" ht="15.75" customHeight="1">
      <c r="A83" s="98">
        <v>29</v>
      </c>
      <c r="B83" s="99" t="s">
        <v>155</v>
      </c>
      <c r="C83" s="99"/>
      <c r="D83" s="100" t="s">
        <v>189</v>
      </c>
      <c r="E83" s="99" t="s">
        <v>79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Z83" s="98">
        <v>0</v>
      </c>
      <c r="AA83" s="98">
        <v>0</v>
      </c>
      <c r="AB83" s="98">
        <v>0</v>
      </c>
      <c r="AC83" s="98">
        <v>0</v>
      </c>
      <c r="AD83" s="98">
        <v>0</v>
      </c>
      <c r="AE83" s="98">
        <v>0</v>
      </c>
      <c r="AF83" s="98">
        <v>0</v>
      </c>
      <c r="AG83" s="98">
        <v>0</v>
      </c>
      <c r="AH83" s="98">
        <f t="shared" si="4"/>
        <v>0</v>
      </c>
      <c r="AI83" s="98"/>
      <c r="AJ83" s="98">
        <f t="shared" si="5"/>
        <v>0</v>
      </c>
      <c r="AK83" s="101">
        <v>277</v>
      </c>
      <c r="AL83" s="116">
        <f t="shared" si="6"/>
        <v>0</v>
      </c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</row>
    <row r="84" spans="1:56" ht="15.75" customHeight="1">
      <c r="A84" s="98">
        <v>30</v>
      </c>
      <c r="B84" s="99" t="s">
        <v>156</v>
      </c>
      <c r="C84" s="99"/>
      <c r="D84" s="100" t="s">
        <v>64</v>
      </c>
      <c r="E84" s="99" t="s">
        <v>79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Z84" s="98">
        <v>0</v>
      </c>
      <c r="AA84" s="98">
        <v>0</v>
      </c>
      <c r="AB84" s="98">
        <v>0</v>
      </c>
      <c r="AC84" s="98">
        <v>0</v>
      </c>
      <c r="AD84" s="98">
        <v>0</v>
      </c>
      <c r="AE84" s="98">
        <v>0</v>
      </c>
      <c r="AF84" s="98">
        <v>0</v>
      </c>
      <c r="AG84" s="98">
        <v>0</v>
      </c>
      <c r="AH84" s="98">
        <f t="shared" si="4"/>
        <v>0</v>
      </c>
      <c r="AI84" s="98"/>
      <c r="AJ84" s="98">
        <f t="shared" si="5"/>
        <v>0</v>
      </c>
      <c r="AK84" s="101">
        <v>277</v>
      </c>
      <c r="AL84" s="116">
        <f t="shared" si="6"/>
        <v>0</v>
      </c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</row>
    <row r="85" spans="1:56" ht="15.75" customHeight="1">
      <c r="A85" s="98">
        <v>31</v>
      </c>
      <c r="B85" s="99" t="s">
        <v>157</v>
      </c>
      <c r="C85" s="99"/>
      <c r="D85" s="100" t="s">
        <v>184</v>
      </c>
      <c r="E85" s="99" t="s">
        <v>79</v>
      </c>
      <c r="F85" s="98">
        <v>0</v>
      </c>
      <c r="G85" s="98">
        <v>0</v>
      </c>
      <c r="H85" s="98">
        <v>0</v>
      </c>
      <c r="I85" s="98">
        <v>0</v>
      </c>
      <c r="J85" s="98">
        <v>0</v>
      </c>
      <c r="K85" s="98">
        <v>0</v>
      </c>
      <c r="L85" s="98">
        <v>0</v>
      </c>
      <c r="M85" s="98">
        <v>0</v>
      </c>
      <c r="N85" s="98">
        <v>0</v>
      </c>
      <c r="O85" s="98">
        <v>0</v>
      </c>
      <c r="P85" s="98">
        <v>0</v>
      </c>
      <c r="Q85" s="98">
        <v>0</v>
      </c>
      <c r="R85" s="98">
        <v>0</v>
      </c>
      <c r="S85" s="98">
        <v>0</v>
      </c>
      <c r="T85" s="98">
        <v>0</v>
      </c>
      <c r="U85" s="98">
        <v>0</v>
      </c>
      <c r="V85" s="98">
        <v>0</v>
      </c>
      <c r="W85" s="98">
        <v>0</v>
      </c>
      <c r="X85" s="98">
        <v>0</v>
      </c>
      <c r="Y85" s="98">
        <v>0</v>
      </c>
      <c r="Z85" s="98">
        <v>0</v>
      </c>
      <c r="AA85" s="98">
        <v>0</v>
      </c>
      <c r="AB85" s="98">
        <v>0</v>
      </c>
      <c r="AC85" s="98">
        <v>0</v>
      </c>
      <c r="AD85" s="98">
        <v>0</v>
      </c>
      <c r="AE85" s="98">
        <v>0</v>
      </c>
      <c r="AF85" s="98">
        <v>0</v>
      </c>
      <c r="AG85" s="98">
        <v>0</v>
      </c>
      <c r="AH85" s="98">
        <f t="shared" si="4"/>
        <v>0</v>
      </c>
      <c r="AI85" s="98"/>
      <c r="AJ85" s="98">
        <f t="shared" si="5"/>
        <v>0</v>
      </c>
      <c r="AK85" s="101">
        <v>277</v>
      </c>
      <c r="AL85" s="116">
        <f t="shared" si="6"/>
        <v>0</v>
      </c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</row>
    <row r="86" spans="1:56" ht="15.75" customHeight="1">
      <c r="A86" s="98">
        <v>32</v>
      </c>
      <c r="B86" s="99" t="s">
        <v>158</v>
      </c>
      <c r="C86" s="99"/>
      <c r="D86" s="100" t="s">
        <v>184</v>
      </c>
      <c r="E86" s="99" t="s">
        <v>79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Z86" s="98">
        <v>0</v>
      </c>
      <c r="AA86" s="98">
        <v>0</v>
      </c>
      <c r="AB86" s="98">
        <v>0</v>
      </c>
      <c r="AC86" s="98">
        <v>0</v>
      </c>
      <c r="AD86" s="98">
        <v>0</v>
      </c>
      <c r="AE86" s="98">
        <v>0</v>
      </c>
      <c r="AF86" s="98">
        <v>0</v>
      </c>
      <c r="AG86" s="98">
        <v>0</v>
      </c>
      <c r="AH86" s="98">
        <f t="shared" si="4"/>
        <v>0</v>
      </c>
      <c r="AI86" s="98"/>
      <c r="AJ86" s="98">
        <f t="shared" si="5"/>
        <v>0</v>
      </c>
      <c r="AK86" s="101">
        <v>277</v>
      </c>
      <c r="AL86" s="116">
        <f t="shared" si="6"/>
        <v>0</v>
      </c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</row>
    <row r="87" spans="1:56" ht="15.75" customHeight="1">
      <c r="A87" s="98">
        <v>33</v>
      </c>
      <c r="B87" s="99" t="s">
        <v>159</v>
      </c>
      <c r="C87" s="99"/>
      <c r="D87" s="100" t="s">
        <v>191</v>
      </c>
      <c r="E87" s="99" t="s">
        <v>79</v>
      </c>
      <c r="F87" s="98">
        <v>0</v>
      </c>
      <c r="G87" s="98">
        <v>0</v>
      </c>
      <c r="H87" s="98">
        <v>0</v>
      </c>
      <c r="I87" s="98">
        <v>0</v>
      </c>
      <c r="J87" s="98">
        <v>0</v>
      </c>
      <c r="K87" s="98">
        <v>0</v>
      </c>
      <c r="L87" s="98">
        <v>0</v>
      </c>
      <c r="M87" s="98">
        <v>0</v>
      </c>
      <c r="N87" s="98">
        <v>0</v>
      </c>
      <c r="O87" s="98">
        <v>0</v>
      </c>
      <c r="P87" s="98">
        <v>0</v>
      </c>
      <c r="Q87" s="98">
        <v>0</v>
      </c>
      <c r="R87" s="98">
        <v>0</v>
      </c>
      <c r="S87" s="98">
        <v>0</v>
      </c>
      <c r="T87" s="98">
        <v>0</v>
      </c>
      <c r="U87" s="98">
        <v>0</v>
      </c>
      <c r="V87" s="98">
        <v>0</v>
      </c>
      <c r="W87" s="98">
        <v>0</v>
      </c>
      <c r="X87" s="98">
        <v>0</v>
      </c>
      <c r="Y87" s="98">
        <v>0</v>
      </c>
      <c r="Z87" s="98">
        <v>0</v>
      </c>
      <c r="AA87" s="98">
        <v>0</v>
      </c>
      <c r="AB87" s="98">
        <v>0</v>
      </c>
      <c r="AC87" s="98">
        <v>0</v>
      </c>
      <c r="AD87" s="98">
        <v>0</v>
      </c>
      <c r="AE87" s="98">
        <v>0</v>
      </c>
      <c r="AF87" s="98">
        <v>0</v>
      </c>
      <c r="AG87" s="98">
        <v>0</v>
      </c>
      <c r="AH87" s="98">
        <f t="shared" si="4"/>
        <v>0</v>
      </c>
      <c r="AI87" s="98"/>
      <c r="AJ87" s="98">
        <f t="shared" si="5"/>
        <v>0</v>
      </c>
      <c r="AK87" s="101">
        <v>277</v>
      </c>
      <c r="AL87" s="116">
        <f t="shared" si="6"/>
        <v>0</v>
      </c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</row>
    <row r="88" spans="1:56" ht="15.75" customHeight="1">
      <c r="A88" s="98">
        <v>34</v>
      </c>
      <c r="B88" s="99" t="s">
        <v>122</v>
      </c>
      <c r="C88" s="99"/>
      <c r="D88" s="100" t="s">
        <v>29</v>
      </c>
      <c r="E88" s="99" t="s">
        <v>79</v>
      </c>
      <c r="F88" s="98">
        <v>125</v>
      </c>
      <c r="G88" s="98">
        <v>0</v>
      </c>
      <c r="H88" s="98">
        <v>0</v>
      </c>
      <c r="I88" s="98">
        <v>0</v>
      </c>
      <c r="J88" s="98">
        <v>120</v>
      </c>
      <c r="K88" s="98">
        <v>0</v>
      </c>
      <c r="L88" s="98">
        <v>0</v>
      </c>
      <c r="M88" s="98">
        <v>0</v>
      </c>
      <c r="N88" s="105">
        <v>124.5</v>
      </c>
      <c r="O88" s="98">
        <v>0</v>
      </c>
      <c r="P88" s="98">
        <v>0</v>
      </c>
      <c r="Q88" s="98">
        <v>0</v>
      </c>
      <c r="R88" s="98">
        <v>123</v>
      </c>
      <c r="S88" s="98">
        <v>0</v>
      </c>
      <c r="T88" s="98">
        <v>0</v>
      </c>
      <c r="U88" s="98">
        <v>128.01</v>
      </c>
      <c r="V88" s="98">
        <v>0</v>
      </c>
      <c r="W88" s="98">
        <v>0</v>
      </c>
      <c r="X88" s="98">
        <v>0</v>
      </c>
      <c r="Y88" s="98">
        <v>0</v>
      </c>
      <c r="Z88" s="98">
        <v>0</v>
      </c>
      <c r="AA88" s="98">
        <v>0</v>
      </c>
      <c r="AB88" s="98">
        <v>0</v>
      </c>
      <c r="AC88" s="98">
        <v>0</v>
      </c>
      <c r="AD88" s="98">
        <v>125</v>
      </c>
      <c r="AE88" s="98">
        <v>0</v>
      </c>
      <c r="AF88" s="98">
        <v>0</v>
      </c>
      <c r="AG88" s="98">
        <v>40</v>
      </c>
      <c r="AH88" s="98">
        <f t="shared" si="4"/>
        <v>785.51</v>
      </c>
      <c r="AI88" s="98"/>
      <c r="AJ88" s="98">
        <f t="shared" si="5"/>
        <v>785.51</v>
      </c>
      <c r="AK88" s="101">
        <v>277</v>
      </c>
      <c r="AL88" s="116">
        <f t="shared" si="6"/>
        <v>217586.27</v>
      </c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</row>
    <row r="89" spans="1:56" ht="15.75" customHeight="1">
      <c r="A89" s="98">
        <v>35</v>
      </c>
      <c r="B89" s="118" t="s">
        <v>192</v>
      </c>
      <c r="C89" s="99"/>
      <c r="D89" s="119" t="s">
        <v>193</v>
      </c>
      <c r="E89" s="99" t="s">
        <v>79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Z89" s="98">
        <v>0</v>
      </c>
      <c r="AA89" s="98">
        <v>0</v>
      </c>
      <c r="AB89" s="98">
        <v>0</v>
      </c>
      <c r="AC89" s="98">
        <v>0</v>
      </c>
      <c r="AD89" s="98">
        <v>0</v>
      </c>
      <c r="AE89" s="98">
        <v>0</v>
      </c>
      <c r="AF89" s="98">
        <v>0</v>
      </c>
      <c r="AG89" s="98">
        <v>0</v>
      </c>
      <c r="AH89" s="98">
        <f t="shared" si="4"/>
        <v>0</v>
      </c>
      <c r="AI89" s="98"/>
      <c r="AJ89" s="98">
        <f t="shared" si="5"/>
        <v>0</v>
      </c>
      <c r="AK89" s="101">
        <v>277</v>
      </c>
      <c r="AL89" s="116">
        <f t="shared" si="6"/>
        <v>0</v>
      </c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</row>
    <row r="90" spans="1:56" ht="15.75" customHeight="1">
      <c r="A90" s="105">
        <v>36</v>
      </c>
      <c r="B90" s="118" t="s">
        <v>161</v>
      </c>
      <c r="C90" s="99"/>
      <c r="D90" s="119" t="s">
        <v>194</v>
      </c>
      <c r="E90" s="99" t="s">
        <v>79</v>
      </c>
      <c r="F90" s="98">
        <v>20</v>
      </c>
      <c r="G90" s="98">
        <v>20</v>
      </c>
      <c r="H90" s="98">
        <v>0</v>
      </c>
      <c r="I90" s="98">
        <v>0</v>
      </c>
      <c r="J90" s="98">
        <v>0</v>
      </c>
      <c r="K90" s="98">
        <v>0</v>
      </c>
      <c r="L90" s="98">
        <v>0</v>
      </c>
      <c r="M90" s="98">
        <v>0</v>
      </c>
      <c r="N90" s="98">
        <v>0</v>
      </c>
      <c r="O90" s="98">
        <v>0</v>
      </c>
      <c r="P90" s="98">
        <v>0</v>
      </c>
      <c r="Q90" s="98">
        <v>0</v>
      </c>
      <c r="R90" s="98">
        <v>0</v>
      </c>
      <c r="S90" s="98">
        <v>0</v>
      </c>
      <c r="T90" s="98">
        <v>20</v>
      </c>
      <c r="U90" s="98">
        <f>SUM(10+10)</f>
        <v>20</v>
      </c>
      <c r="V90" s="98">
        <v>10</v>
      </c>
      <c r="W90" s="98">
        <v>10</v>
      </c>
      <c r="X90" s="98">
        <v>15</v>
      </c>
      <c r="Y90" s="98">
        <v>10</v>
      </c>
      <c r="Z90" s="98">
        <v>10</v>
      </c>
      <c r="AA90" s="98">
        <v>20</v>
      </c>
      <c r="AB90" s="98">
        <v>20</v>
      </c>
      <c r="AC90" s="98">
        <v>20</v>
      </c>
      <c r="AD90" s="98">
        <v>20</v>
      </c>
      <c r="AE90" s="98">
        <v>30</v>
      </c>
      <c r="AF90" s="98">
        <v>20</v>
      </c>
      <c r="AG90" s="98">
        <v>25</v>
      </c>
      <c r="AH90" s="98">
        <f t="shared" si="4"/>
        <v>290</v>
      </c>
      <c r="AI90" s="98"/>
      <c r="AJ90" s="98">
        <f t="shared" si="5"/>
        <v>290</v>
      </c>
      <c r="AK90" s="101">
        <v>277</v>
      </c>
      <c r="AL90" s="116">
        <f t="shared" si="6"/>
        <v>80330</v>
      </c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</row>
    <row r="91" spans="1:56" ht="15.75" customHeight="1">
      <c r="A91" s="105">
        <v>37</v>
      </c>
      <c r="B91" s="99" t="s">
        <v>163</v>
      </c>
      <c r="C91" s="99" t="s">
        <v>48</v>
      </c>
      <c r="D91" s="100" t="s">
        <v>195</v>
      </c>
      <c r="E91" s="99" t="s">
        <v>79</v>
      </c>
      <c r="F91" s="98">
        <v>0</v>
      </c>
      <c r="G91" s="98">
        <v>0</v>
      </c>
      <c r="H91" s="98">
        <v>0</v>
      </c>
      <c r="I91" s="98">
        <v>0</v>
      </c>
      <c r="J91" s="98">
        <v>0</v>
      </c>
      <c r="K91" s="98">
        <v>0</v>
      </c>
      <c r="L91" s="98">
        <v>0</v>
      </c>
      <c r="M91" s="98">
        <v>0</v>
      </c>
      <c r="N91" s="98">
        <v>0</v>
      </c>
      <c r="O91" s="98">
        <v>0</v>
      </c>
      <c r="P91" s="98">
        <v>0</v>
      </c>
      <c r="Q91" s="98">
        <v>0</v>
      </c>
      <c r="R91" s="98">
        <v>0</v>
      </c>
      <c r="S91" s="98">
        <v>0</v>
      </c>
      <c r="T91" s="98">
        <v>0</v>
      </c>
      <c r="U91" s="98">
        <v>0</v>
      </c>
      <c r="V91" s="98">
        <v>0</v>
      </c>
      <c r="W91" s="98">
        <v>0</v>
      </c>
      <c r="X91" s="98">
        <v>0</v>
      </c>
      <c r="Y91" s="98">
        <v>0</v>
      </c>
      <c r="Z91" s="98">
        <v>0</v>
      </c>
      <c r="AA91" s="98">
        <v>0</v>
      </c>
      <c r="AB91" s="98">
        <v>0</v>
      </c>
      <c r="AC91" s="98">
        <v>0</v>
      </c>
      <c r="AD91" s="98">
        <v>0</v>
      </c>
      <c r="AE91" s="98">
        <v>0</v>
      </c>
      <c r="AF91" s="98">
        <v>0</v>
      </c>
      <c r="AG91" s="98">
        <v>0</v>
      </c>
      <c r="AH91" s="98">
        <f t="shared" si="4"/>
        <v>0</v>
      </c>
      <c r="AI91" s="98"/>
      <c r="AJ91" s="98">
        <f t="shared" si="5"/>
        <v>0</v>
      </c>
      <c r="AK91" s="101">
        <v>277</v>
      </c>
      <c r="AL91" s="116">
        <f t="shared" si="6"/>
        <v>0</v>
      </c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</row>
    <row r="92" spans="1:56" ht="15.75" customHeight="1">
      <c r="A92" s="105">
        <v>38</v>
      </c>
      <c r="B92" s="99" t="s">
        <v>166</v>
      </c>
      <c r="C92" s="99"/>
      <c r="D92" s="100" t="s">
        <v>196</v>
      </c>
      <c r="E92" s="99" t="s">
        <v>79</v>
      </c>
      <c r="F92" s="98">
        <v>0</v>
      </c>
      <c r="G92" s="98">
        <v>10</v>
      </c>
      <c r="H92" s="98">
        <v>0</v>
      </c>
      <c r="I92" s="98">
        <v>0</v>
      </c>
      <c r="J92" s="98">
        <v>0</v>
      </c>
      <c r="K92" s="98">
        <v>0</v>
      </c>
      <c r="L92" s="98">
        <v>0</v>
      </c>
      <c r="M92" s="98">
        <v>0</v>
      </c>
      <c r="N92" s="98">
        <v>0</v>
      </c>
      <c r="O92" s="98">
        <v>0</v>
      </c>
      <c r="P92" s="98">
        <v>0</v>
      </c>
      <c r="Q92" s="98">
        <v>0</v>
      </c>
      <c r="R92" s="98">
        <v>0</v>
      </c>
      <c r="S92" s="98">
        <v>0</v>
      </c>
      <c r="T92" s="98">
        <v>0</v>
      </c>
      <c r="U92" s="98">
        <v>0</v>
      </c>
      <c r="V92" s="98">
        <v>0</v>
      </c>
      <c r="W92" s="98">
        <v>0</v>
      </c>
      <c r="X92" s="98">
        <v>0</v>
      </c>
      <c r="Y92" s="98">
        <v>0</v>
      </c>
      <c r="Z92" s="98">
        <v>0</v>
      </c>
      <c r="AA92" s="98">
        <v>0</v>
      </c>
      <c r="AB92" s="98">
        <v>0</v>
      </c>
      <c r="AC92" s="98">
        <v>0</v>
      </c>
      <c r="AD92" s="98">
        <v>0</v>
      </c>
      <c r="AE92" s="98">
        <v>0</v>
      </c>
      <c r="AF92" s="98">
        <v>0</v>
      </c>
      <c r="AG92" s="98">
        <v>0</v>
      </c>
      <c r="AH92" s="98">
        <f t="shared" si="4"/>
        <v>10</v>
      </c>
      <c r="AI92" s="98"/>
      <c r="AJ92" s="98">
        <f t="shared" si="5"/>
        <v>10</v>
      </c>
      <c r="AK92" s="101">
        <v>277</v>
      </c>
      <c r="AL92" s="116">
        <f t="shared" si="6"/>
        <v>2770</v>
      </c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</row>
    <row r="93" spans="1:56" ht="15.75" customHeight="1">
      <c r="A93" s="105">
        <v>39</v>
      </c>
      <c r="B93" s="99" t="s">
        <v>197</v>
      </c>
      <c r="C93" s="99"/>
      <c r="D93" s="100" t="s">
        <v>198</v>
      </c>
      <c r="E93" s="99" t="s">
        <v>79</v>
      </c>
      <c r="F93" s="98">
        <v>0</v>
      </c>
      <c r="G93" s="98">
        <v>0</v>
      </c>
      <c r="H93" s="98">
        <v>0</v>
      </c>
      <c r="I93" s="98">
        <v>0</v>
      </c>
      <c r="J93" s="98">
        <v>0</v>
      </c>
      <c r="K93" s="98">
        <v>0</v>
      </c>
      <c r="L93" s="98">
        <v>0</v>
      </c>
      <c r="M93" s="98">
        <v>0</v>
      </c>
      <c r="N93" s="98">
        <v>0</v>
      </c>
      <c r="O93" s="98">
        <v>0</v>
      </c>
      <c r="P93" s="98">
        <v>0</v>
      </c>
      <c r="Q93" s="98">
        <v>0</v>
      </c>
      <c r="R93" s="98">
        <v>0</v>
      </c>
      <c r="S93" s="98">
        <v>0</v>
      </c>
      <c r="T93" s="98">
        <v>0</v>
      </c>
      <c r="U93" s="98">
        <v>0</v>
      </c>
      <c r="V93" s="98">
        <v>0</v>
      </c>
      <c r="W93" s="98">
        <v>0</v>
      </c>
      <c r="X93" s="98">
        <v>0</v>
      </c>
      <c r="Y93" s="98">
        <v>0</v>
      </c>
      <c r="Z93" s="98">
        <v>0</v>
      </c>
      <c r="AA93" s="98">
        <v>3</v>
      </c>
      <c r="AB93" s="98">
        <v>0</v>
      </c>
      <c r="AC93" s="98">
        <v>0</v>
      </c>
      <c r="AD93" s="98">
        <v>5</v>
      </c>
      <c r="AE93" s="98">
        <v>0</v>
      </c>
      <c r="AF93" s="98">
        <v>0</v>
      </c>
      <c r="AG93" s="98">
        <v>0</v>
      </c>
      <c r="AH93" s="98">
        <f t="shared" si="4"/>
        <v>8</v>
      </c>
      <c r="AI93" s="98"/>
      <c r="AJ93" s="98">
        <f t="shared" si="5"/>
        <v>8</v>
      </c>
      <c r="AK93" s="101">
        <v>277</v>
      </c>
      <c r="AL93" s="116">
        <f t="shared" si="6"/>
        <v>2216</v>
      </c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</row>
    <row r="94" spans="1:56" ht="15.75" customHeight="1">
      <c r="A94" s="98"/>
      <c r="B94" s="99"/>
      <c r="C94" s="99"/>
      <c r="D94" s="99"/>
      <c r="E94" s="99" t="s">
        <v>79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Z94" s="98">
        <v>0</v>
      </c>
      <c r="AA94" s="98">
        <v>0</v>
      </c>
      <c r="AB94" s="98">
        <v>0</v>
      </c>
      <c r="AC94" s="98">
        <v>0</v>
      </c>
      <c r="AD94" s="98">
        <v>0</v>
      </c>
      <c r="AE94" s="98">
        <v>0</v>
      </c>
      <c r="AF94" s="98">
        <v>0</v>
      </c>
      <c r="AG94" s="98">
        <v>0</v>
      </c>
      <c r="AH94" s="98">
        <f t="shared" si="4"/>
        <v>0</v>
      </c>
      <c r="AI94" s="98"/>
      <c r="AJ94" s="98">
        <f t="shared" si="5"/>
        <v>0</v>
      </c>
      <c r="AK94" s="101">
        <v>277</v>
      </c>
      <c r="AL94" s="116">
        <f t="shared" si="6"/>
        <v>0</v>
      </c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</row>
    <row r="95" spans="1:56" ht="15.75" customHeight="1">
      <c r="A95" s="120"/>
      <c r="B95" s="176" t="s">
        <v>27</v>
      </c>
      <c r="C95" s="177"/>
      <c r="D95" s="177"/>
      <c r="E95" s="178"/>
      <c r="F95" s="121">
        <f t="shared" ref="F95:G95" si="7">SUM(F55:F94)</f>
        <v>315</v>
      </c>
      <c r="G95" s="121">
        <f t="shared" si="7"/>
        <v>207</v>
      </c>
      <c r="H95" s="121">
        <v>85</v>
      </c>
      <c r="I95" s="121">
        <f t="shared" ref="I95:AH95" si="8">SUM(I55:I94)</f>
        <v>20</v>
      </c>
      <c r="J95" s="121">
        <f t="shared" si="8"/>
        <v>205</v>
      </c>
      <c r="K95" s="121">
        <f t="shared" si="8"/>
        <v>249</v>
      </c>
      <c r="L95" s="121">
        <f t="shared" si="8"/>
        <v>115</v>
      </c>
      <c r="M95" s="121">
        <f t="shared" si="8"/>
        <v>175</v>
      </c>
      <c r="N95" s="121">
        <f t="shared" si="8"/>
        <v>328.5</v>
      </c>
      <c r="O95" s="121">
        <f t="shared" si="8"/>
        <v>110</v>
      </c>
      <c r="P95" s="121">
        <f t="shared" si="8"/>
        <v>169</v>
      </c>
      <c r="Q95" s="121">
        <f t="shared" si="8"/>
        <v>60</v>
      </c>
      <c r="R95" s="121">
        <f t="shared" si="8"/>
        <v>168</v>
      </c>
      <c r="S95" s="121">
        <f t="shared" si="8"/>
        <v>70</v>
      </c>
      <c r="T95" s="121">
        <f t="shared" si="8"/>
        <v>240</v>
      </c>
      <c r="U95" s="121">
        <f t="shared" si="8"/>
        <v>213.01</v>
      </c>
      <c r="V95" s="121">
        <f t="shared" si="8"/>
        <v>70</v>
      </c>
      <c r="W95" s="121">
        <f t="shared" si="8"/>
        <v>145</v>
      </c>
      <c r="X95" s="121">
        <f t="shared" si="8"/>
        <v>195</v>
      </c>
      <c r="Y95" s="121">
        <f t="shared" si="8"/>
        <v>190</v>
      </c>
      <c r="Z95" s="121">
        <f t="shared" si="8"/>
        <v>150</v>
      </c>
      <c r="AA95" s="121">
        <f t="shared" si="8"/>
        <v>168</v>
      </c>
      <c r="AB95" s="121">
        <f t="shared" si="8"/>
        <v>170</v>
      </c>
      <c r="AC95" s="121">
        <f t="shared" si="8"/>
        <v>150</v>
      </c>
      <c r="AD95" s="121">
        <f t="shared" si="8"/>
        <v>300</v>
      </c>
      <c r="AE95" s="121">
        <f t="shared" si="8"/>
        <v>205</v>
      </c>
      <c r="AF95" s="121">
        <f t="shared" si="8"/>
        <v>160</v>
      </c>
      <c r="AG95" s="121">
        <f t="shared" si="8"/>
        <v>200</v>
      </c>
      <c r="AH95" s="120">
        <f t="shared" si="8"/>
        <v>4832.51</v>
      </c>
      <c r="AI95" s="120"/>
      <c r="AJ95" s="108">
        <f t="shared" si="5"/>
        <v>4832.51</v>
      </c>
      <c r="AK95" s="110"/>
      <c r="AL95" s="122">
        <f>SUM(AL55:AL94)</f>
        <v>1338605.27</v>
      </c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</row>
    <row r="96" spans="1:56" ht="15.75" customHeight="1">
      <c r="A96" s="94"/>
      <c r="B96" s="124"/>
      <c r="C96" s="124"/>
      <c r="D96" s="124"/>
      <c r="E96" s="124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</row>
    <row r="97" spans="1:56" ht="15.75" customHeight="1">
      <c r="A97" s="94"/>
      <c r="B97" s="126" t="s">
        <v>31</v>
      </c>
      <c r="C97" s="124"/>
      <c r="D97" s="124"/>
      <c r="E97" s="124"/>
      <c r="F97" s="127">
        <v>265</v>
      </c>
      <c r="G97" s="127">
        <f t="shared" ref="G97:H97" si="9">F97+F98-F99</f>
        <v>120</v>
      </c>
      <c r="H97" s="127">
        <f t="shared" si="9"/>
        <v>158</v>
      </c>
      <c r="I97" s="127">
        <v>177</v>
      </c>
      <c r="J97" s="127">
        <v>78</v>
      </c>
      <c r="K97" s="127">
        <v>533</v>
      </c>
      <c r="L97" s="127">
        <v>278</v>
      </c>
      <c r="M97" s="127">
        <v>703</v>
      </c>
      <c r="N97" s="127">
        <v>303</v>
      </c>
      <c r="O97" s="127">
        <v>738</v>
      </c>
      <c r="P97" s="127">
        <v>433</v>
      </c>
      <c r="Q97" s="127">
        <f t="shared" ref="Q97:AG97" si="10">P100</f>
        <v>293</v>
      </c>
      <c r="R97" s="127">
        <f t="shared" si="10"/>
        <v>773.01</v>
      </c>
      <c r="S97" s="127">
        <f t="shared" si="10"/>
        <v>648.01</v>
      </c>
      <c r="T97" s="127">
        <f t="shared" si="10"/>
        <v>428.01</v>
      </c>
      <c r="U97" s="127">
        <f t="shared" si="10"/>
        <v>238.01</v>
      </c>
      <c r="V97" s="127">
        <f t="shared" si="10"/>
        <v>788.01</v>
      </c>
      <c r="W97" s="127">
        <f t="shared" si="10"/>
        <v>673.01</v>
      </c>
      <c r="X97" s="127">
        <f t="shared" si="10"/>
        <v>729.01</v>
      </c>
      <c r="Y97" s="127">
        <f t="shared" si="10"/>
        <v>1083.01</v>
      </c>
      <c r="Z97" s="127">
        <f t="shared" si="10"/>
        <v>361.01</v>
      </c>
      <c r="AA97" s="127">
        <f t="shared" si="10"/>
        <v>641.01</v>
      </c>
      <c r="AB97" s="127">
        <f t="shared" si="10"/>
        <v>408.01</v>
      </c>
      <c r="AC97" s="127">
        <f t="shared" si="10"/>
        <v>651.02</v>
      </c>
      <c r="AD97" s="127">
        <f t="shared" si="10"/>
        <v>1052.02</v>
      </c>
      <c r="AE97" s="127">
        <f t="shared" si="10"/>
        <v>700.02</v>
      </c>
      <c r="AF97" s="127">
        <f t="shared" si="10"/>
        <v>650.04999999999995</v>
      </c>
      <c r="AG97" s="127">
        <f t="shared" si="10"/>
        <v>1150.05</v>
      </c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</row>
    <row r="98" spans="1:56" ht="15.75" customHeight="1">
      <c r="A98" s="94"/>
      <c r="B98" s="126" t="s">
        <v>32</v>
      </c>
      <c r="C98" s="124"/>
      <c r="D98" s="124"/>
      <c r="E98" s="124"/>
      <c r="F98" s="128">
        <v>775</v>
      </c>
      <c r="G98" s="128">
        <v>770</v>
      </c>
      <c r="H98" s="128">
        <v>209</v>
      </c>
      <c r="I98" s="128">
        <v>0</v>
      </c>
      <c r="J98" s="128">
        <v>840</v>
      </c>
      <c r="K98" s="128">
        <v>119</v>
      </c>
      <c r="L98" s="128">
        <v>700.06</v>
      </c>
      <c r="M98" s="128">
        <v>0</v>
      </c>
      <c r="N98" s="129">
        <v>968.5</v>
      </c>
      <c r="O98" s="128">
        <v>0</v>
      </c>
      <c r="P98" s="128">
        <v>145</v>
      </c>
      <c r="Q98" s="128">
        <f>SUM(700.01)</f>
        <v>700.01</v>
      </c>
      <c r="R98" s="128">
        <f>SUM(123)</f>
        <v>123</v>
      </c>
      <c r="S98" s="128"/>
      <c r="T98" s="128">
        <f>SUM(130)</f>
        <v>130</v>
      </c>
      <c r="U98" s="128">
        <f>SUM(700+128.01+50)</f>
        <v>878.01</v>
      </c>
      <c r="V98" s="128"/>
      <c r="W98" s="128">
        <v>900</v>
      </c>
      <c r="X98" s="128">
        <v>1006</v>
      </c>
      <c r="Y98" s="128">
        <v>70</v>
      </c>
      <c r="Z98" s="128">
        <v>900</v>
      </c>
      <c r="AA98" s="128">
        <v>50</v>
      </c>
      <c r="AB98" s="128">
        <v>900.01</v>
      </c>
      <c r="AC98" s="128">
        <v>1050</v>
      </c>
      <c r="AD98" s="128">
        <v>125</v>
      </c>
      <c r="AE98" s="128">
        <v>650.03</v>
      </c>
      <c r="AF98" s="128">
        <v>980</v>
      </c>
      <c r="AG98" s="128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</row>
    <row r="99" spans="1:56" ht="15.75" customHeight="1">
      <c r="A99" s="94"/>
      <c r="B99" s="125" t="s">
        <v>33</v>
      </c>
      <c r="C99" s="88"/>
      <c r="D99" s="88"/>
      <c r="E99" s="125"/>
      <c r="F99" s="94">
        <f t="shared" ref="F99:AJ99" si="11">F95+F53</f>
        <v>920</v>
      </c>
      <c r="G99" s="94">
        <f t="shared" si="11"/>
        <v>732</v>
      </c>
      <c r="H99" s="94">
        <f t="shared" si="11"/>
        <v>190</v>
      </c>
      <c r="I99" s="94">
        <f t="shared" si="11"/>
        <v>99</v>
      </c>
      <c r="J99" s="94">
        <f t="shared" si="11"/>
        <v>385</v>
      </c>
      <c r="K99" s="94">
        <f t="shared" si="11"/>
        <v>374</v>
      </c>
      <c r="L99" s="94">
        <f t="shared" si="11"/>
        <v>275</v>
      </c>
      <c r="M99" s="94">
        <f t="shared" si="11"/>
        <v>400</v>
      </c>
      <c r="N99" s="94">
        <f t="shared" si="11"/>
        <v>533.5</v>
      </c>
      <c r="O99" s="94">
        <f t="shared" si="11"/>
        <v>305</v>
      </c>
      <c r="P99" s="94">
        <f t="shared" si="11"/>
        <v>285</v>
      </c>
      <c r="Q99" s="94">
        <f t="shared" si="11"/>
        <v>220</v>
      </c>
      <c r="R99" s="94">
        <f t="shared" si="11"/>
        <v>248</v>
      </c>
      <c r="S99" s="94">
        <f t="shared" si="11"/>
        <v>220</v>
      </c>
      <c r="T99" s="94">
        <f t="shared" si="11"/>
        <v>320</v>
      </c>
      <c r="U99" s="94">
        <f t="shared" si="11"/>
        <v>328.01</v>
      </c>
      <c r="V99" s="94">
        <f t="shared" si="11"/>
        <v>115</v>
      </c>
      <c r="W99" s="94">
        <f t="shared" si="11"/>
        <v>844</v>
      </c>
      <c r="X99" s="94">
        <f t="shared" si="11"/>
        <v>652</v>
      </c>
      <c r="Y99" s="94">
        <f t="shared" si="11"/>
        <v>792</v>
      </c>
      <c r="Z99" s="94">
        <f t="shared" si="11"/>
        <v>620</v>
      </c>
      <c r="AA99" s="94">
        <f t="shared" si="11"/>
        <v>283</v>
      </c>
      <c r="AB99" s="94">
        <f t="shared" si="11"/>
        <v>657</v>
      </c>
      <c r="AC99" s="94">
        <f t="shared" si="11"/>
        <v>649</v>
      </c>
      <c r="AD99" s="94">
        <f t="shared" si="11"/>
        <v>477</v>
      </c>
      <c r="AE99" s="94">
        <f t="shared" si="11"/>
        <v>700</v>
      </c>
      <c r="AF99" s="94">
        <f t="shared" si="11"/>
        <v>480</v>
      </c>
      <c r="AG99" s="94">
        <f t="shared" si="11"/>
        <v>330</v>
      </c>
      <c r="AH99" s="94">
        <f t="shared" si="11"/>
        <v>12433.51</v>
      </c>
      <c r="AI99" s="94">
        <f t="shared" si="11"/>
        <v>0</v>
      </c>
      <c r="AJ99" s="94">
        <f t="shared" si="11"/>
        <v>12433.51</v>
      </c>
      <c r="AK99" s="94"/>
      <c r="AL99" s="130">
        <f>AL95+AL53</f>
        <v>3444082.27</v>
      </c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</row>
    <row r="100" spans="1:56" ht="15.75" customHeight="1">
      <c r="A100" s="94"/>
      <c r="B100" s="125" t="s">
        <v>34</v>
      </c>
      <c r="C100" s="88"/>
      <c r="D100" s="88"/>
      <c r="E100" s="125"/>
      <c r="F100" s="94">
        <f t="shared" ref="F100:AG100" si="12">F97+F98-F99</f>
        <v>120</v>
      </c>
      <c r="G100" s="94">
        <f t="shared" si="12"/>
        <v>158</v>
      </c>
      <c r="H100" s="94">
        <f t="shared" si="12"/>
        <v>177</v>
      </c>
      <c r="I100" s="94">
        <f t="shared" si="12"/>
        <v>78</v>
      </c>
      <c r="J100" s="94">
        <f t="shared" si="12"/>
        <v>533</v>
      </c>
      <c r="K100" s="94">
        <f t="shared" si="12"/>
        <v>278</v>
      </c>
      <c r="L100" s="94">
        <f t="shared" si="12"/>
        <v>703.06</v>
      </c>
      <c r="M100" s="94">
        <f t="shared" si="12"/>
        <v>303</v>
      </c>
      <c r="N100" s="94">
        <f t="shared" si="12"/>
        <v>738</v>
      </c>
      <c r="O100" s="94">
        <f t="shared" si="12"/>
        <v>433</v>
      </c>
      <c r="P100" s="94">
        <f t="shared" si="12"/>
        <v>293</v>
      </c>
      <c r="Q100" s="94">
        <f t="shared" si="12"/>
        <v>773.01</v>
      </c>
      <c r="R100" s="94">
        <f t="shared" si="12"/>
        <v>648.01</v>
      </c>
      <c r="S100" s="94">
        <f t="shared" si="12"/>
        <v>428.01</v>
      </c>
      <c r="T100" s="94">
        <f t="shared" si="12"/>
        <v>238.01</v>
      </c>
      <c r="U100" s="94">
        <f t="shared" si="12"/>
        <v>788.01</v>
      </c>
      <c r="V100" s="94">
        <f t="shared" si="12"/>
        <v>673.01</v>
      </c>
      <c r="W100" s="94">
        <f t="shared" si="12"/>
        <v>729.01</v>
      </c>
      <c r="X100" s="94">
        <f t="shared" si="12"/>
        <v>1083.01</v>
      </c>
      <c r="Y100" s="94">
        <f t="shared" si="12"/>
        <v>361.01</v>
      </c>
      <c r="Z100" s="94">
        <f t="shared" si="12"/>
        <v>641.01</v>
      </c>
      <c r="AA100" s="94">
        <f t="shared" si="12"/>
        <v>408.01</v>
      </c>
      <c r="AB100" s="94">
        <f t="shared" si="12"/>
        <v>651.02</v>
      </c>
      <c r="AC100" s="94">
        <f t="shared" si="12"/>
        <v>1052.02</v>
      </c>
      <c r="AD100" s="94">
        <f t="shared" si="12"/>
        <v>700.02</v>
      </c>
      <c r="AE100" s="94">
        <f t="shared" si="12"/>
        <v>650.04999999999995</v>
      </c>
      <c r="AF100" s="94">
        <f t="shared" si="12"/>
        <v>1150.05</v>
      </c>
      <c r="AG100" s="94">
        <f t="shared" si="12"/>
        <v>820.05</v>
      </c>
      <c r="AH100" s="125"/>
      <c r="AI100" s="125"/>
      <c r="AJ100" s="94"/>
      <c r="AK100" s="103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</row>
    <row r="101" spans="1:56" ht="15.75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</row>
    <row r="102" spans="1:56" ht="15.75" customHeight="1">
      <c r="A102" s="131"/>
      <c r="B102" s="132" t="s">
        <v>35</v>
      </c>
      <c r="C102" s="131"/>
      <c r="D102" s="131"/>
      <c r="E102" s="131"/>
      <c r="F102" s="179">
        <f>F97</f>
        <v>265</v>
      </c>
      <c r="G102" s="180"/>
      <c r="H102" s="180"/>
      <c r="I102" s="18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</row>
    <row r="103" spans="1:56" ht="15.75" customHeight="1">
      <c r="A103" s="131"/>
      <c r="B103" s="132" t="s">
        <v>37</v>
      </c>
      <c r="C103" s="131"/>
      <c r="D103" s="131"/>
      <c r="E103" s="131"/>
      <c r="F103" s="179">
        <f>SUM(F98:AG98)</f>
        <v>12988.62</v>
      </c>
      <c r="G103" s="180"/>
      <c r="H103" s="180"/>
      <c r="I103" s="18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</row>
    <row r="104" spans="1:56" ht="15.75" customHeight="1">
      <c r="A104" s="131"/>
      <c r="B104" s="132" t="s">
        <v>39</v>
      </c>
      <c r="C104" s="131"/>
      <c r="D104" s="131"/>
      <c r="E104" s="131"/>
      <c r="F104" s="179">
        <f>AG100</f>
        <v>820.05</v>
      </c>
      <c r="G104" s="180"/>
      <c r="H104" s="18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3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</row>
    <row r="105" spans="1:56" ht="15.75" customHeight="1">
      <c r="A105" s="131"/>
      <c r="B105" s="132" t="s">
        <v>199</v>
      </c>
      <c r="C105" s="131"/>
      <c r="D105" s="131"/>
      <c r="E105" s="131"/>
      <c r="F105" s="179">
        <f>AH99</f>
        <v>12433.51</v>
      </c>
      <c r="G105" s="180"/>
      <c r="H105" s="18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3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</row>
    <row r="106" spans="1:56" ht="15.7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3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</row>
    <row r="107" spans="1:56" ht="15.75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</row>
    <row r="108" spans="1:56" ht="15.75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</row>
    <row r="109" spans="1:56" ht="15.75" customHeight="1">
      <c r="A109" s="104"/>
      <c r="B109" s="132" t="s">
        <v>200</v>
      </c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2" t="s">
        <v>201</v>
      </c>
      <c r="R109" s="131"/>
      <c r="S109" s="131"/>
      <c r="T109" s="131"/>
      <c r="U109" s="131"/>
      <c r="V109" s="131"/>
      <c r="W109" s="131"/>
      <c r="X109" s="131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</row>
    <row r="110" spans="1:56" ht="15.75" customHeight="1">
      <c r="A110" s="104"/>
      <c r="B110" s="134" t="s">
        <v>202</v>
      </c>
      <c r="C110" s="135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6" t="s">
        <v>203</v>
      </c>
      <c r="R110" s="131"/>
      <c r="S110" s="131"/>
      <c r="T110" s="131"/>
      <c r="U110" s="131"/>
      <c r="V110" s="131"/>
      <c r="W110" s="131"/>
      <c r="X110" s="131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</row>
    <row r="111" spans="1:56" ht="15.75" customHeight="1">
      <c r="A111" s="104"/>
      <c r="B111" s="137" t="s">
        <v>204</v>
      </c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6" t="s">
        <v>205</v>
      </c>
      <c r="R111" s="131"/>
      <c r="S111" s="131"/>
      <c r="T111" s="131"/>
      <c r="U111" s="131"/>
      <c r="V111" s="131"/>
      <c r="W111" s="131"/>
      <c r="X111" s="131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</row>
    <row r="112" spans="1:56" ht="15.75" customHeight="1">
      <c r="A112" s="104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6" t="s">
        <v>206</v>
      </c>
      <c r="R112" s="131"/>
      <c r="S112" s="131"/>
      <c r="T112" s="131"/>
      <c r="U112" s="131"/>
      <c r="V112" s="131"/>
      <c r="W112" s="131"/>
      <c r="X112" s="131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</row>
    <row r="113" spans="1:56" ht="15.75" customHeight="1">
      <c r="A113" s="104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</row>
    <row r="114" spans="1:56" ht="15.75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</row>
    <row r="115" spans="1:56" ht="15.7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</row>
    <row r="116" spans="1:56" ht="15.75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</row>
    <row r="117" spans="1:56" ht="15.75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</row>
    <row r="118" spans="1:56" ht="15.75" customHeight="1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</row>
    <row r="119" spans="1:56" ht="15.75" customHeight="1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</row>
    <row r="120" spans="1:56" ht="15.75" customHeight="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</row>
    <row r="121" spans="1:56" ht="15.75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</row>
    <row r="122" spans="1:56" ht="15.75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</row>
    <row r="123" spans="1:56" ht="15.75" customHeight="1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</row>
    <row r="124" spans="1:56" ht="15.75" customHeight="1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</row>
    <row r="125" spans="1:56" ht="15.75" customHeight="1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</row>
    <row r="126" spans="1:56" ht="15.75" customHeight="1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</row>
    <row r="127" spans="1:56" ht="15.75" customHeight="1">
      <c r="A127" s="104"/>
      <c r="B127" s="104"/>
      <c r="C127" s="104"/>
      <c r="D127" s="104" t="s">
        <v>207</v>
      </c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</row>
    <row r="128" spans="1:56" ht="15.75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</row>
    <row r="129" spans="1:56" ht="15.75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</row>
    <row r="130" spans="1:56" ht="15.75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</row>
    <row r="131" spans="1:56" ht="15.75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</row>
    <row r="132" spans="1:56" ht="15.75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</row>
    <row r="133" spans="1:56" ht="15.7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</row>
    <row r="134" spans="1:56" ht="15.75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</row>
    <row r="135" spans="1:56" ht="15.75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</row>
    <row r="136" spans="1:56" ht="15.7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</row>
    <row r="137" spans="1:56" ht="15.75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</row>
    <row r="138" spans="1:56" ht="15.75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</row>
    <row r="139" spans="1:56" ht="15.7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</row>
    <row r="140" spans="1:56" ht="15.75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</row>
    <row r="141" spans="1:56" ht="15.75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</row>
    <row r="142" spans="1:56" ht="15.7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</row>
    <row r="143" spans="1:56" ht="15.7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</row>
    <row r="144" spans="1:56" ht="15.7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</row>
    <row r="145" spans="1:56" ht="15.7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</row>
    <row r="146" spans="1:56" ht="15.7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</row>
    <row r="147" spans="1:56" ht="15.75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</row>
    <row r="148" spans="1:56" ht="15.75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</row>
    <row r="149" spans="1:56" ht="15.75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</row>
    <row r="150" spans="1:56" ht="15.75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</row>
    <row r="151" spans="1:56" ht="15.75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</row>
    <row r="152" spans="1:56" ht="15.75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</row>
    <row r="153" spans="1:56" ht="15.75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</row>
    <row r="154" spans="1:56" ht="15.75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</row>
    <row r="155" spans="1:56" ht="15.75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</row>
    <row r="156" spans="1:56" ht="15.75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</row>
    <row r="157" spans="1:56" ht="15.75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</row>
    <row r="158" spans="1:56" ht="15.75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</row>
    <row r="159" spans="1:56" ht="15.75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</row>
    <row r="160" spans="1:56" ht="15.75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</row>
    <row r="161" spans="1:56" ht="15.75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</row>
    <row r="162" spans="1:56" ht="15.75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</row>
    <row r="163" spans="1:56" ht="15.75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</row>
    <row r="164" spans="1:56" ht="15.75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</row>
    <row r="165" spans="1:56" ht="15.75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</row>
    <row r="166" spans="1:56" ht="15.75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</row>
    <row r="167" spans="1:56" ht="15.75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</row>
    <row r="168" spans="1:56" ht="15.75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</row>
    <row r="169" spans="1:56" ht="15.75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</row>
    <row r="170" spans="1:56" ht="15.75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</row>
    <row r="171" spans="1:56" ht="15.75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</row>
    <row r="172" spans="1:56" ht="15.75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</row>
    <row r="173" spans="1:56" ht="15.75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</row>
    <row r="174" spans="1:56" ht="15.75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</row>
    <row r="175" spans="1:56" ht="15.75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</row>
    <row r="176" spans="1:56" ht="15.75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</row>
    <row r="177" spans="1:56" ht="15.75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</row>
    <row r="178" spans="1:56" ht="15.75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</row>
    <row r="179" spans="1:56" ht="15.75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</row>
    <row r="180" spans="1:56" ht="15.75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</row>
    <row r="181" spans="1:56" ht="15.75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</row>
    <row r="182" spans="1:56" ht="15.75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</row>
    <row r="183" spans="1:56" ht="15.75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</row>
    <row r="184" spans="1:56" ht="15.75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</row>
    <row r="185" spans="1:56" ht="15.75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</row>
    <row r="186" spans="1:56" ht="15.75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</row>
    <row r="187" spans="1:56" ht="15.75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</row>
    <row r="188" spans="1:56" ht="15.75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  <c r="AX188" s="104"/>
      <c r="AY188" s="104"/>
      <c r="AZ188" s="104"/>
      <c r="BA188" s="104"/>
      <c r="BB188" s="104"/>
      <c r="BC188" s="104"/>
      <c r="BD188" s="104"/>
    </row>
    <row r="189" spans="1:56" ht="15.75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</row>
    <row r="190" spans="1:56" ht="15.75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</row>
    <row r="191" spans="1:56" ht="15.75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</row>
    <row r="192" spans="1:56" ht="15.75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</row>
    <row r="193" spans="1:56" ht="15.75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</row>
    <row r="194" spans="1:56" ht="15.75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</row>
    <row r="195" spans="1:56" ht="15.75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</row>
    <row r="196" spans="1:56" ht="15.75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</row>
    <row r="197" spans="1:56" ht="15.75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</row>
    <row r="198" spans="1:56" ht="15.75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</row>
    <row r="199" spans="1:56" ht="15.75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</row>
    <row r="200" spans="1:56" ht="15.75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</row>
    <row r="201" spans="1:56" ht="15.75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</row>
    <row r="202" spans="1:56" ht="15.75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</row>
    <row r="203" spans="1:56" ht="15.75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04"/>
      <c r="BD203" s="104"/>
    </row>
    <row r="204" spans="1:56" ht="15.75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</row>
    <row r="205" spans="1:56" ht="15.7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</row>
    <row r="206" spans="1:56" ht="15.75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</row>
    <row r="207" spans="1:56" ht="15.75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</row>
    <row r="208" spans="1:56" ht="15.75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</row>
    <row r="209" spans="1:56" ht="15.75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</row>
    <row r="210" spans="1:56" ht="15.7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</row>
    <row r="211" spans="1:56" ht="15.7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04"/>
      <c r="BD211" s="104"/>
    </row>
    <row r="212" spans="1:56" ht="15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04"/>
      <c r="BD212" s="104"/>
    </row>
    <row r="213" spans="1:56" ht="15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/>
    </row>
    <row r="214" spans="1:56" ht="15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</row>
    <row r="215" spans="1:56" ht="15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</row>
    <row r="216" spans="1:56" ht="15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</row>
    <row r="217" spans="1:56" ht="15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</row>
    <row r="218" spans="1:56" ht="15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</row>
    <row r="219" spans="1:56" ht="15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</row>
    <row r="220" spans="1:56" ht="15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</row>
    <row r="221" spans="1:56" ht="15.7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</row>
    <row r="222" spans="1:56" ht="15.75" customHeight="1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</row>
    <row r="223" spans="1:56" ht="15.75" customHeight="1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</row>
    <row r="224" spans="1:56" ht="15.75" customHeight="1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</row>
    <row r="225" spans="1:56" ht="15.75" customHeight="1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</row>
    <row r="226" spans="1:56" ht="15.75" customHeight="1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</row>
    <row r="227" spans="1:56" ht="15.75" customHeight="1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</row>
    <row r="228" spans="1:56" ht="15.75" customHeight="1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  <c r="AX228" s="104"/>
      <c r="AY228" s="104"/>
      <c r="AZ228" s="104"/>
      <c r="BA228" s="104"/>
      <c r="BB228" s="104"/>
      <c r="BC228" s="104"/>
      <c r="BD228" s="104"/>
    </row>
    <row r="229" spans="1:56" ht="15.75" customHeight="1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  <c r="AW229" s="104"/>
      <c r="AX229" s="104"/>
      <c r="AY229" s="104"/>
      <c r="AZ229" s="104"/>
      <c r="BA229" s="104"/>
      <c r="BB229" s="104"/>
      <c r="BC229" s="104"/>
      <c r="BD229" s="104"/>
    </row>
    <row r="230" spans="1:56" ht="15.75" customHeight="1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</row>
    <row r="231" spans="1:56" ht="15.75" customHeight="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</row>
    <row r="232" spans="1:56" ht="15.75" customHeight="1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  <c r="AW232" s="104"/>
      <c r="AX232" s="104"/>
      <c r="AY232" s="104"/>
      <c r="AZ232" s="104"/>
      <c r="BA232" s="104"/>
      <c r="BB232" s="104"/>
      <c r="BC232" s="104"/>
      <c r="BD232" s="104"/>
    </row>
    <row r="233" spans="1:56" ht="15.75" customHeight="1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/>
      <c r="AX233" s="104"/>
      <c r="AY233" s="104"/>
      <c r="AZ233" s="104"/>
      <c r="BA233" s="104"/>
      <c r="BB233" s="104"/>
      <c r="BC233" s="104"/>
      <c r="BD233" s="104"/>
    </row>
    <row r="234" spans="1:56" ht="15.75" customHeight="1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</row>
    <row r="235" spans="1:56" ht="15.75" customHeight="1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</row>
    <row r="236" spans="1:56" ht="15.75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  <c r="AW236" s="104"/>
      <c r="AX236" s="104"/>
      <c r="AY236" s="104"/>
      <c r="AZ236" s="104"/>
      <c r="BA236" s="104"/>
      <c r="BB236" s="104"/>
      <c r="BC236" s="104"/>
      <c r="BD236" s="104"/>
    </row>
    <row r="237" spans="1:56" ht="15.75" customHeight="1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  <c r="AW237" s="104"/>
      <c r="AX237" s="104"/>
      <c r="AY237" s="104"/>
      <c r="AZ237" s="104"/>
      <c r="BA237" s="104"/>
      <c r="BB237" s="104"/>
      <c r="BC237" s="104"/>
      <c r="BD237" s="104"/>
    </row>
    <row r="238" spans="1:56" ht="15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  <c r="AW238" s="104"/>
      <c r="AX238" s="104"/>
      <c r="AY238" s="104"/>
      <c r="AZ238" s="104"/>
      <c r="BA238" s="104"/>
      <c r="BB238" s="104"/>
      <c r="BC238" s="104"/>
      <c r="BD238" s="104"/>
    </row>
    <row r="239" spans="1:56" ht="15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  <c r="AW239" s="104"/>
      <c r="AX239" s="104"/>
      <c r="AY239" s="104"/>
      <c r="AZ239" s="104"/>
      <c r="BA239" s="104"/>
      <c r="BB239" s="104"/>
      <c r="BC239" s="104"/>
      <c r="BD239" s="104"/>
    </row>
    <row r="240" spans="1:56" ht="15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</row>
    <row r="241" spans="1:56" ht="15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</row>
    <row r="242" spans="1:56" ht="15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</row>
    <row r="243" spans="1:56" ht="15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</row>
    <row r="244" spans="1:56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  <c r="AX244" s="104"/>
      <c r="AY244" s="104"/>
      <c r="AZ244" s="104"/>
      <c r="BA244" s="104"/>
      <c r="BB244" s="104"/>
      <c r="BC244" s="104"/>
      <c r="BD244" s="104"/>
    </row>
    <row r="245" spans="1:56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  <c r="AW245" s="104"/>
      <c r="AX245" s="104"/>
      <c r="AY245" s="104"/>
      <c r="AZ245" s="104"/>
      <c r="BA245" s="104"/>
      <c r="BB245" s="104"/>
      <c r="BC245" s="104"/>
      <c r="BD245" s="104"/>
    </row>
    <row r="246" spans="1:56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</row>
    <row r="247" spans="1:56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</row>
    <row r="248" spans="1:56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</row>
    <row r="249" spans="1:56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</row>
    <row r="250" spans="1:56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  <c r="AW250" s="104"/>
      <c r="AX250" s="104"/>
      <c r="AY250" s="104"/>
      <c r="AZ250" s="104"/>
      <c r="BA250" s="104"/>
      <c r="BB250" s="104"/>
      <c r="BC250" s="104"/>
      <c r="BD250" s="104"/>
    </row>
    <row r="251" spans="1:56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  <c r="AW251" s="104"/>
      <c r="AX251" s="104"/>
      <c r="AY251" s="104"/>
      <c r="AZ251" s="104"/>
      <c r="BA251" s="104"/>
      <c r="BB251" s="104"/>
      <c r="BC251" s="104"/>
      <c r="BD251" s="104"/>
    </row>
    <row r="252" spans="1:56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  <c r="AW252" s="104"/>
      <c r="AX252" s="104"/>
      <c r="AY252" s="104"/>
      <c r="AZ252" s="104"/>
      <c r="BA252" s="104"/>
      <c r="BB252" s="104"/>
      <c r="BC252" s="104"/>
      <c r="BD252" s="104"/>
    </row>
    <row r="253" spans="1:56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  <c r="AW253" s="104"/>
      <c r="AX253" s="104"/>
      <c r="AY253" s="104"/>
      <c r="AZ253" s="104"/>
      <c r="BA253" s="104"/>
      <c r="BB253" s="104"/>
      <c r="BC253" s="104"/>
      <c r="BD253" s="104"/>
    </row>
    <row r="254" spans="1:56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  <c r="AW254" s="104"/>
      <c r="AX254" s="104"/>
      <c r="AY254" s="104"/>
      <c r="AZ254" s="104"/>
      <c r="BA254" s="104"/>
      <c r="BB254" s="104"/>
      <c r="BC254" s="104"/>
      <c r="BD254" s="104"/>
    </row>
    <row r="255" spans="1:56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  <c r="AW255" s="104"/>
      <c r="AX255" s="104"/>
      <c r="AY255" s="104"/>
      <c r="AZ255" s="104"/>
      <c r="BA255" s="104"/>
      <c r="BB255" s="104"/>
      <c r="BC255" s="104"/>
      <c r="BD255" s="104"/>
    </row>
    <row r="256" spans="1:56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</row>
    <row r="257" spans="1:56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</row>
    <row r="258" spans="1:56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</row>
    <row r="259" spans="1:56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  <c r="AW259" s="104"/>
      <c r="AX259" s="104"/>
      <c r="AY259" s="104"/>
      <c r="AZ259" s="104"/>
      <c r="BA259" s="104"/>
      <c r="BB259" s="104"/>
      <c r="BC259" s="104"/>
      <c r="BD259" s="104"/>
    </row>
    <row r="260" spans="1:56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  <c r="AW260" s="104"/>
      <c r="AX260" s="104"/>
      <c r="AY260" s="104"/>
      <c r="AZ260" s="104"/>
      <c r="BA260" s="104"/>
      <c r="BB260" s="104"/>
      <c r="BC260" s="104"/>
      <c r="BD260" s="104"/>
    </row>
    <row r="261" spans="1:56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</row>
    <row r="262" spans="1:56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  <c r="AW262" s="104"/>
      <c r="AX262" s="104"/>
      <c r="AY262" s="104"/>
      <c r="AZ262" s="104"/>
      <c r="BA262" s="104"/>
      <c r="BB262" s="104"/>
      <c r="BC262" s="104"/>
      <c r="BD262" s="104"/>
    </row>
    <row r="263" spans="1:56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  <c r="AW263" s="104"/>
      <c r="AX263" s="104"/>
      <c r="AY263" s="104"/>
      <c r="AZ263" s="104"/>
      <c r="BA263" s="104"/>
      <c r="BB263" s="104"/>
      <c r="BC263" s="104"/>
      <c r="BD263" s="104"/>
    </row>
    <row r="264" spans="1:56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04"/>
      <c r="AZ264" s="104"/>
      <c r="BA264" s="104"/>
      <c r="BB264" s="104"/>
      <c r="BC264" s="104"/>
      <c r="BD264" s="104"/>
    </row>
    <row r="265" spans="1:56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</row>
    <row r="266" spans="1:56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</row>
    <row r="267" spans="1:56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  <c r="AW267" s="104"/>
      <c r="AX267" s="104"/>
      <c r="AY267" s="104"/>
      <c r="AZ267" s="104"/>
      <c r="BA267" s="104"/>
      <c r="BB267" s="104"/>
      <c r="BC267" s="104"/>
      <c r="BD267" s="104"/>
    </row>
    <row r="268" spans="1:56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  <c r="AW268" s="104"/>
      <c r="AX268" s="104"/>
      <c r="AY268" s="104"/>
      <c r="AZ268" s="104"/>
      <c r="BA268" s="104"/>
      <c r="BB268" s="104"/>
      <c r="BC268" s="104"/>
      <c r="BD268" s="104"/>
    </row>
    <row r="269" spans="1:56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  <c r="AW269" s="104"/>
      <c r="AX269" s="104"/>
      <c r="AY269" s="104"/>
      <c r="AZ269" s="104"/>
      <c r="BA269" s="104"/>
      <c r="BB269" s="104"/>
      <c r="BC269" s="104"/>
      <c r="BD269" s="104"/>
    </row>
    <row r="270" spans="1:56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  <c r="AW270" s="104"/>
      <c r="AX270" s="104"/>
      <c r="AY270" s="104"/>
      <c r="AZ270" s="104"/>
      <c r="BA270" s="104"/>
      <c r="BB270" s="104"/>
      <c r="BC270" s="104"/>
      <c r="BD270" s="104"/>
    </row>
    <row r="271" spans="1:56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</row>
    <row r="272" spans="1:56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  <c r="AW272" s="104"/>
      <c r="AX272" s="104"/>
      <c r="AY272" s="104"/>
      <c r="AZ272" s="104"/>
      <c r="BA272" s="104"/>
      <c r="BB272" s="104"/>
      <c r="BC272" s="104"/>
      <c r="BD272" s="104"/>
    </row>
    <row r="273" spans="1:56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04"/>
      <c r="AZ273" s="104"/>
      <c r="BA273" s="104"/>
      <c r="BB273" s="104"/>
      <c r="BC273" s="104"/>
      <c r="BD273" s="104"/>
    </row>
    <row r="274" spans="1:56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  <c r="AW274" s="104"/>
      <c r="AX274" s="104"/>
      <c r="AY274" s="104"/>
      <c r="AZ274" s="104"/>
      <c r="BA274" s="104"/>
      <c r="BB274" s="104"/>
      <c r="BC274" s="104"/>
      <c r="BD274" s="104"/>
    </row>
    <row r="275" spans="1:56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  <c r="AW275" s="104"/>
      <c r="AX275" s="104"/>
      <c r="AY275" s="104"/>
      <c r="AZ275" s="104"/>
      <c r="BA275" s="104"/>
      <c r="BB275" s="104"/>
      <c r="BC275" s="104"/>
      <c r="BD275" s="104"/>
    </row>
    <row r="276" spans="1:56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  <c r="AX276" s="104"/>
      <c r="AY276" s="104"/>
      <c r="AZ276" s="104"/>
      <c r="BA276" s="104"/>
      <c r="BB276" s="104"/>
      <c r="BC276" s="104"/>
      <c r="BD276" s="104"/>
    </row>
    <row r="277" spans="1:56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</row>
    <row r="278" spans="1:56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/>
    </row>
    <row r="279" spans="1:56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</row>
    <row r="280" spans="1:56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  <c r="AW280" s="104"/>
      <c r="AX280" s="104"/>
      <c r="AY280" s="104"/>
      <c r="AZ280" s="104"/>
      <c r="BA280" s="104"/>
      <c r="BB280" s="104"/>
      <c r="BC280" s="104"/>
      <c r="BD280" s="104"/>
    </row>
    <row r="281" spans="1:56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  <c r="AW281" s="104"/>
      <c r="AX281" s="104"/>
      <c r="AY281" s="104"/>
      <c r="AZ281" s="104"/>
      <c r="BA281" s="104"/>
      <c r="BB281" s="104"/>
      <c r="BC281" s="104"/>
      <c r="BD281" s="104"/>
    </row>
    <row r="282" spans="1:56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  <c r="AW282" s="104"/>
      <c r="AX282" s="104"/>
      <c r="AY282" s="104"/>
      <c r="AZ282" s="104"/>
      <c r="BA282" s="104"/>
      <c r="BB282" s="104"/>
      <c r="BC282" s="104"/>
      <c r="BD282" s="104"/>
    </row>
    <row r="283" spans="1:56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  <c r="AW283" s="104"/>
      <c r="AX283" s="104"/>
      <c r="AY283" s="104"/>
      <c r="AZ283" s="104"/>
      <c r="BA283" s="104"/>
      <c r="BB283" s="104"/>
      <c r="BC283" s="104"/>
      <c r="BD283" s="104"/>
    </row>
    <row r="284" spans="1:56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  <c r="AW284" s="104"/>
      <c r="AX284" s="104"/>
      <c r="AY284" s="104"/>
      <c r="AZ284" s="104"/>
      <c r="BA284" s="104"/>
      <c r="BB284" s="104"/>
      <c r="BC284" s="104"/>
      <c r="BD284" s="104"/>
    </row>
    <row r="285" spans="1:56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</row>
    <row r="286" spans="1:56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  <c r="AW286" s="104"/>
      <c r="AX286" s="104"/>
      <c r="AY286" s="104"/>
      <c r="AZ286" s="104"/>
      <c r="BA286" s="104"/>
      <c r="BB286" s="104"/>
      <c r="BC286" s="104"/>
      <c r="BD286" s="104"/>
    </row>
    <row r="287" spans="1:56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  <c r="AW287" s="104"/>
      <c r="AX287" s="104"/>
      <c r="AY287" s="104"/>
      <c r="AZ287" s="104"/>
      <c r="BA287" s="104"/>
      <c r="BB287" s="104"/>
      <c r="BC287" s="104"/>
      <c r="BD287" s="104"/>
    </row>
    <row r="288" spans="1:56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</row>
    <row r="289" spans="1:56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</row>
    <row r="290" spans="1:56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</row>
    <row r="291" spans="1:56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</row>
    <row r="292" spans="1:56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</row>
    <row r="293" spans="1:56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</row>
    <row r="294" spans="1:56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</row>
    <row r="295" spans="1:56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</row>
    <row r="296" spans="1:56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</row>
    <row r="297" spans="1:56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</row>
    <row r="298" spans="1:56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  <c r="AW298" s="104"/>
      <c r="AX298" s="104"/>
      <c r="AY298" s="104"/>
      <c r="AZ298" s="104"/>
      <c r="BA298" s="104"/>
      <c r="BB298" s="104"/>
      <c r="BC298" s="104"/>
      <c r="BD298" s="104"/>
    </row>
    <row r="299" spans="1:56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  <c r="AX299" s="104"/>
      <c r="AY299" s="104"/>
      <c r="AZ299" s="104"/>
      <c r="BA299" s="104"/>
      <c r="BB299" s="104"/>
      <c r="BC299" s="104"/>
      <c r="BD299" s="104"/>
    </row>
    <row r="300" spans="1:56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  <c r="AX300" s="104"/>
      <c r="AY300" s="104"/>
      <c r="AZ300" s="104"/>
      <c r="BA300" s="104"/>
      <c r="BB300" s="104"/>
      <c r="BC300" s="104"/>
      <c r="BD300" s="104"/>
    </row>
    <row r="301" spans="1:56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  <c r="AW301" s="104"/>
      <c r="AX301" s="104"/>
      <c r="AY301" s="104"/>
      <c r="AZ301" s="104"/>
      <c r="BA301" s="104"/>
      <c r="BB301" s="104"/>
      <c r="BC301" s="104"/>
      <c r="BD301" s="104"/>
    </row>
    <row r="302" spans="1:56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</row>
    <row r="303" spans="1:56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</row>
    <row r="304" spans="1:56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  <c r="AW304" s="104"/>
      <c r="AX304" s="104"/>
      <c r="AY304" s="104"/>
      <c r="AZ304" s="104"/>
      <c r="BA304" s="104"/>
      <c r="BB304" s="104"/>
      <c r="BC304" s="104"/>
      <c r="BD304" s="104"/>
    </row>
    <row r="305" spans="1:56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</row>
    <row r="306" spans="1:56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  <c r="AW306" s="104"/>
      <c r="AX306" s="104"/>
      <c r="AY306" s="104"/>
      <c r="AZ306" s="104"/>
      <c r="BA306" s="104"/>
      <c r="BB306" s="104"/>
      <c r="BC306" s="104"/>
      <c r="BD306" s="104"/>
    </row>
    <row r="307" spans="1:56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  <c r="AX307" s="104"/>
      <c r="AY307" s="104"/>
      <c r="AZ307" s="104"/>
      <c r="BA307" s="104"/>
      <c r="BB307" s="104"/>
      <c r="BC307" s="104"/>
      <c r="BD307" s="104"/>
    </row>
    <row r="308" spans="1:56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  <c r="AW308" s="104"/>
      <c r="AX308" s="104"/>
      <c r="AY308" s="104"/>
      <c r="AZ308" s="104"/>
      <c r="BA308" s="104"/>
      <c r="BB308" s="104"/>
      <c r="BC308" s="104"/>
      <c r="BD308" s="104"/>
    </row>
    <row r="309" spans="1:56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</row>
    <row r="310" spans="1:56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</row>
    <row r="311" spans="1:56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  <c r="AW311" s="104"/>
      <c r="AX311" s="104"/>
      <c r="AY311" s="104"/>
      <c r="AZ311" s="104"/>
      <c r="BA311" s="104"/>
      <c r="BB311" s="104"/>
      <c r="BC311" s="104"/>
      <c r="BD311" s="104"/>
    </row>
    <row r="312" spans="1:56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</row>
    <row r="313" spans="1:56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</row>
    <row r="314" spans="1:56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</row>
    <row r="315" spans="1:56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</row>
    <row r="316" spans="1:56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  <c r="AW316" s="104"/>
      <c r="AX316" s="104"/>
      <c r="AY316" s="104"/>
      <c r="AZ316" s="104"/>
      <c r="BA316" s="104"/>
      <c r="BB316" s="104"/>
      <c r="BC316" s="104"/>
      <c r="BD316" s="104"/>
    </row>
    <row r="317" spans="1:56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  <c r="AW317" s="104"/>
      <c r="AX317" s="104"/>
      <c r="AY317" s="104"/>
      <c r="AZ317" s="104"/>
      <c r="BA317" s="104"/>
      <c r="BB317" s="104"/>
      <c r="BC317" s="104"/>
      <c r="BD317" s="104"/>
    </row>
    <row r="318" spans="1:56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  <c r="AW318" s="104"/>
      <c r="AX318" s="104"/>
      <c r="AY318" s="104"/>
      <c r="AZ318" s="104"/>
      <c r="BA318" s="104"/>
      <c r="BB318" s="104"/>
      <c r="BC318" s="104"/>
      <c r="BD318" s="104"/>
    </row>
    <row r="319" spans="1:56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  <c r="AW319" s="104"/>
      <c r="AX319" s="104"/>
      <c r="AY319" s="104"/>
      <c r="AZ319" s="104"/>
      <c r="BA319" s="104"/>
      <c r="BB319" s="104"/>
      <c r="BC319" s="104"/>
      <c r="BD319" s="104"/>
    </row>
    <row r="320" spans="1:56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</row>
    <row r="321" spans="1:56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</row>
    <row r="322" spans="1:56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  <c r="AW322" s="104"/>
      <c r="AX322" s="104"/>
      <c r="AY322" s="104"/>
      <c r="AZ322" s="104"/>
      <c r="BA322" s="104"/>
      <c r="BB322" s="104"/>
      <c r="BC322" s="104"/>
      <c r="BD322" s="104"/>
    </row>
    <row r="323" spans="1:56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  <c r="AW323" s="104"/>
      <c r="AX323" s="104"/>
      <c r="AY323" s="104"/>
      <c r="AZ323" s="104"/>
      <c r="BA323" s="104"/>
      <c r="BB323" s="104"/>
      <c r="BC323" s="104"/>
      <c r="BD323" s="104"/>
    </row>
    <row r="324" spans="1:56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04"/>
      <c r="AX324" s="104"/>
      <c r="AY324" s="104"/>
      <c r="AZ324" s="104"/>
      <c r="BA324" s="104"/>
      <c r="BB324" s="104"/>
      <c r="BC324" s="104"/>
      <c r="BD324" s="104"/>
    </row>
    <row r="325" spans="1:56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  <c r="AW325" s="104"/>
      <c r="AX325" s="104"/>
      <c r="AY325" s="104"/>
      <c r="AZ325" s="104"/>
      <c r="BA325" s="104"/>
      <c r="BB325" s="104"/>
      <c r="BC325" s="104"/>
      <c r="BD325" s="104"/>
    </row>
    <row r="326" spans="1:56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  <c r="AW326" s="104"/>
      <c r="AX326" s="104"/>
      <c r="AY326" s="104"/>
      <c r="AZ326" s="104"/>
      <c r="BA326" s="104"/>
      <c r="BB326" s="104"/>
      <c r="BC326" s="104"/>
      <c r="BD326" s="104"/>
    </row>
    <row r="327" spans="1:56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  <c r="AW327" s="104"/>
      <c r="AX327" s="104"/>
      <c r="AY327" s="104"/>
      <c r="AZ327" s="104"/>
      <c r="BA327" s="104"/>
      <c r="BB327" s="104"/>
      <c r="BC327" s="104"/>
      <c r="BD327" s="104"/>
    </row>
    <row r="328" spans="1:56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  <c r="AW328" s="104"/>
      <c r="AX328" s="104"/>
      <c r="AY328" s="104"/>
      <c r="AZ328" s="104"/>
      <c r="BA328" s="104"/>
      <c r="BB328" s="104"/>
      <c r="BC328" s="104"/>
      <c r="BD328" s="104"/>
    </row>
    <row r="329" spans="1:56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</row>
    <row r="330" spans="1:56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</row>
    <row r="331" spans="1:56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  <c r="AX331" s="104"/>
      <c r="AY331" s="104"/>
      <c r="AZ331" s="104"/>
      <c r="BA331" s="104"/>
      <c r="BB331" s="104"/>
      <c r="BC331" s="104"/>
      <c r="BD331" s="104"/>
    </row>
    <row r="332" spans="1:56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  <c r="AW332" s="104"/>
      <c r="AX332" s="104"/>
      <c r="AY332" s="104"/>
      <c r="AZ332" s="104"/>
      <c r="BA332" s="104"/>
      <c r="BB332" s="104"/>
      <c r="BC332" s="104"/>
      <c r="BD332" s="104"/>
    </row>
    <row r="333" spans="1:56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  <c r="AW333" s="104"/>
      <c r="AX333" s="104"/>
      <c r="AY333" s="104"/>
      <c r="AZ333" s="104"/>
      <c r="BA333" s="104"/>
      <c r="BB333" s="104"/>
      <c r="BC333" s="104"/>
      <c r="BD333" s="104"/>
    </row>
    <row r="334" spans="1:56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  <c r="AW334" s="104"/>
      <c r="AX334" s="104"/>
      <c r="AY334" s="104"/>
      <c r="AZ334" s="104"/>
      <c r="BA334" s="104"/>
      <c r="BB334" s="104"/>
      <c r="BC334" s="104"/>
      <c r="BD334" s="104"/>
    </row>
    <row r="335" spans="1:56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  <c r="AW335" s="104"/>
      <c r="AX335" s="104"/>
      <c r="AY335" s="104"/>
      <c r="AZ335" s="104"/>
      <c r="BA335" s="104"/>
      <c r="BB335" s="104"/>
      <c r="BC335" s="104"/>
      <c r="BD335" s="104"/>
    </row>
    <row r="336" spans="1:56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  <c r="AW336" s="104"/>
      <c r="AX336" s="104"/>
      <c r="AY336" s="104"/>
      <c r="AZ336" s="104"/>
      <c r="BA336" s="104"/>
      <c r="BB336" s="104"/>
      <c r="BC336" s="104"/>
      <c r="BD336" s="104"/>
    </row>
    <row r="337" spans="1:56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  <c r="AW337" s="104"/>
      <c r="AX337" s="104"/>
      <c r="AY337" s="104"/>
      <c r="AZ337" s="104"/>
      <c r="BA337" s="104"/>
      <c r="BB337" s="104"/>
      <c r="BC337" s="104"/>
      <c r="BD337" s="104"/>
    </row>
    <row r="338" spans="1:56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04"/>
      <c r="AZ338" s="104"/>
      <c r="BA338" s="104"/>
      <c r="BB338" s="104"/>
      <c r="BC338" s="104"/>
      <c r="BD338" s="104"/>
    </row>
    <row r="339" spans="1:56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  <c r="AW339" s="104"/>
      <c r="AX339" s="104"/>
      <c r="AY339" s="104"/>
      <c r="AZ339" s="104"/>
      <c r="BA339" s="104"/>
      <c r="BB339" s="104"/>
      <c r="BC339" s="104"/>
      <c r="BD339" s="104"/>
    </row>
    <row r="340" spans="1:56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  <c r="AW340" s="104"/>
      <c r="AX340" s="104"/>
      <c r="AY340" s="104"/>
      <c r="AZ340" s="104"/>
      <c r="BA340" s="104"/>
      <c r="BB340" s="104"/>
      <c r="BC340" s="104"/>
      <c r="BD340" s="104"/>
    </row>
    <row r="341" spans="1:56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  <c r="AW341" s="104"/>
      <c r="AX341" s="104"/>
      <c r="AY341" s="104"/>
      <c r="AZ341" s="104"/>
      <c r="BA341" s="104"/>
      <c r="BB341" s="104"/>
      <c r="BC341" s="104"/>
      <c r="BD341" s="104"/>
    </row>
    <row r="342" spans="1:56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  <c r="AW342" s="104"/>
      <c r="AX342" s="104"/>
      <c r="AY342" s="104"/>
      <c r="AZ342" s="104"/>
      <c r="BA342" s="104"/>
      <c r="BB342" s="104"/>
      <c r="BC342" s="104"/>
      <c r="BD342" s="104"/>
    </row>
    <row r="343" spans="1:56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  <c r="AW343" s="104"/>
      <c r="AX343" s="104"/>
      <c r="AY343" s="104"/>
      <c r="AZ343" s="104"/>
      <c r="BA343" s="104"/>
      <c r="BB343" s="104"/>
      <c r="BC343" s="104"/>
      <c r="BD343" s="104"/>
    </row>
    <row r="344" spans="1:56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  <c r="AW344" s="104"/>
      <c r="AX344" s="104"/>
      <c r="AY344" s="104"/>
      <c r="AZ344" s="104"/>
      <c r="BA344" s="104"/>
      <c r="BB344" s="104"/>
      <c r="BC344" s="104"/>
      <c r="BD344" s="104"/>
    </row>
    <row r="345" spans="1:56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  <c r="AW345" s="104"/>
      <c r="AX345" s="104"/>
      <c r="AY345" s="104"/>
      <c r="AZ345" s="104"/>
      <c r="BA345" s="104"/>
      <c r="BB345" s="104"/>
      <c r="BC345" s="104"/>
      <c r="BD345" s="104"/>
    </row>
    <row r="346" spans="1:56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  <c r="AW346" s="104"/>
      <c r="AX346" s="104"/>
      <c r="AY346" s="104"/>
      <c r="AZ346" s="104"/>
      <c r="BA346" s="104"/>
      <c r="BB346" s="104"/>
      <c r="BC346" s="104"/>
      <c r="BD346" s="104"/>
    </row>
    <row r="347" spans="1:56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  <c r="AW347" s="104"/>
      <c r="AX347" s="104"/>
      <c r="AY347" s="104"/>
      <c r="AZ347" s="104"/>
      <c r="BA347" s="104"/>
      <c r="BB347" s="104"/>
      <c r="BC347" s="104"/>
      <c r="BD347" s="104"/>
    </row>
    <row r="348" spans="1:56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  <c r="AX348" s="104"/>
      <c r="AY348" s="104"/>
      <c r="AZ348" s="104"/>
      <c r="BA348" s="104"/>
      <c r="BB348" s="104"/>
      <c r="BC348" s="104"/>
      <c r="BD348" s="104"/>
    </row>
    <row r="349" spans="1:56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04"/>
      <c r="AZ349" s="104"/>
      <c r="BA349" s="104"/>
      <c r="BB349" s="104"/>
      <c r="BC349" s="104"/>
      <c r="BD349" s="104"/>
    </row>
    <row r="350" spans="1:56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  <c r="AW350" s="104"/>
      <c r="AX350" s="104"/>
      <c r="AY350" s="104"/>
      <c r="AZ350" s="104"/>
      <c r="BA350" s="104"/>
      <c r="BB350" s="104"/>
      <c r="BC350" s="104"/>
      <c r="BD350" s="104"/>
    </row>
    <row r="351" spans="1:56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  <c r="AW351" s="104"/>
      <c r="AX351" s="104"/>
      <c r="AY351" s="104"/>
      <c r="AZ351" s="104"/>
      <c r="BA351" s="104"/>
      <c r="BB351" s="104"/>
      <c r="BC351" s="104"/>
      <c r="BD351" s="104"/>
    </row>
    <row r="352" spans="1:56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  <c r="AW352" s="104"/>
      <c r="AX352" s="104"/>
      <c r="AY352" s="104"/>
      <c r="AZ352" s="104"/>
      <c r="BA352" s="104"/>
      <c r="BB352" s="104"/>
      <c r="BC352" s="104"/>
      <c r="BD352" s="104"/>
    </row>
    <row r="353" spans="1:56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  <c r="AW353" s="104"/>
      <c r="AX353" s="104"/>
      <c r="AY353" s="104"/>
      <c r="AZ353" s="104"/>
      <c r="BA353" s="104"/>
      <c r="BB353" s="104"/>
      <c r="BC353" s="104"/>
      <c r="BD353" s="104"/>
    </row>
    <row r="354" spans="1:56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  <c r="AW354" s="104"/>
      <c r="AX354" s="104"/>
      <c r="AY354" s="104"/>
      <c r="AZ354" s="104"/>
      <c r="BA354" s="104"/>
      <c r="BB354" s="104"/>
      <c r="BC354" s="104"/>
      <c r="BD354" s="104"/>
    </row>
    <row r="355" spans="1:56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  <c r="AW355" s="104"/>
      <c r="AX355" s="104"/>
      <c r="AY355" s="104"/>
      <c r="AZ355" s="104"/>
      <c r="BA355" s="104"/>
      <c r="BB355" s="104"/>
      <c r="BC355" s="104"/>
      <c r="BD355" s="104"/>
    </row>
    <row r="356" spans="1:56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  <c r="AW356" s="104"/>
      <c r="AX356" s="104"/>
      <c r="AY356" s="104"/>
      <c r="AZ356" s="104"/>
      <c r="BA356" s="104"/>
      <c r="BB356" s="104"/>
      <c r="BC356" s="104"/>
      <c r="BD356" s="104"/>
    </row>
    <row r="357" spans="1:56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  <c r="AW357" s="104"/>
      <c r="AX357" s="104"/>
      <c r="AY357" s="104"/>
      <c r="AZ357" s="104"/>
      <c r="BA357" s="104"/>
      <c r="BB357" s="104"/>
      <c r="BC357" s="104"/>
      <c r="BD357" s="104"/>
    </row>
    <row r="358" spans="1:56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  <c r="AW358" s="104"/>
      <c r="AX358" s="104"/>
      <c r="AY358" s="104"/>
      <c r="AZ358" s="104"/>
      <c r="BA358" s="104"/>
      <c r="BB358" s="104"/>
      <c r="BC358" s="104"/>
      <c r="BD358" s="104"/>
    </row>
    <row r="359" spans="1:56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  <c r="AW359" s="104"/>
      <c r="AX359" s="104"/>
      <c r="AY359" s="104"/>
      <c r="AZ359" s="104"/>
      <c r="BA359" s="104"/>
      <c r="BB359" s="104"/>
      <c r="BC359" s="104"/>
      <c r="BD359" s="104"/>
    </row>
    <row r="360" spans="1:56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  <c r="AW360" s="104"/>
      <c r="AX360" s="104"/>
      <c r="AY360" s="104"/>
      <c r="AZ360" s="104"/>
      <c r="BA360" s="104"/>
      <c r="BB360" s="104"/>
      <c r="BC360" s="104"/>
      <c r="BD360" s="104"/>
    </row>
    <row r="361" spans="1:56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04"/>
      <c r="AZ361" s="104"/>
      <c r="BA361" s="104"/>
      <c r="BB361" s="104"/>
      <c r="BC361" s="104"/>
      <c r="BD361" s="104"/>
    </row>
    <row r="362" spans="1:56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04"/>
      <c r="AZ362" s="104"/>
      <c r="BA362" s="104"/>
      <c r="BB362" s="104"/>
      <c r="BC362" s="104"/>
      <c r="BD362" s="104"/>
    </row>
    <row r="363" spans="1:56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  <c r="AX363" s="104"/>
      <c r="AY363" s="104"/>
      <c r="AZ363" s="104"/>
      <c r="BA363" s="104"/>
      <c r="BB363" s="104"/>
      <c r="BC363" s="104"/>
      <c r="BD363" s="104"/>
    </row>
    <row r="364" spans="1:56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  <c r="AX364" s="104"/>
      <c r="AY364" s="104"/>
      <c r="AZ364" s="104"/>
      <c r="BA364" s="104"/>
      <c r="BB364" s="104"/>
      <c r="BC364" s="104"/>
      <c r="BD364" s="104"/>
    </row>
    <row r="365" spans="1:56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04"/>
      <c r="AZ365" s="104"/>
      <c r="BA365" s="104"/>
      <c r="BB365" s="104"/>
      <c r="BC365" s="104"/>
      <c r="BD365" s="104"/>
    </row>
    <row r="366" spans="1:56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04"/>
      <c r="AZ366" s="104"/>
      <c r="BA366" s="104"/>
      <c r="BB366" s="104"/>
      <c r="BC366" s="104"/>
      <c r="BD366" s="104"/>
    </row>
    <row r="367" spans="1:56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04"/>
      <c r="AZ367" s="104"/>
      <c r="BA367" s="104"/>
      <c r="BB367" s="104"/>
      <c r="BC367" s="104"/>
      <c r="BD367" s="104"/>
    </row>
    <row r="368" spans="1:56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04"/>
      <c r="AZ368" s="104"/>
      <c r="BA368" s="104"/>
      <c r="BB368" s="104"/>
      <c r="BC368" s="104"/>
      <c r="BD368" s="104"/>
    </row>
    <row r="369" spans="1:56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04"/>
      <c r="AZ369" s="104"/>
      <c r="BA369" s="104"/>
      <c r="BB369" s="104"/>
      <c r="BC369" s="104"/>
      <c r="BD369" s="104"/>
    </row>
    <row r="370" spans="1:56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04"/>
      <c r="AZ370" s="104"/>
      <c r="BA370" s="104"/>
      <c r="BB370" s="104"/>
      <c r="BC370" s="104"/>
      <c r="BD370" s="104"/>
    </row>
    <row r="371" spans="1:56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  <c r="AX371" s="104"/>
      <c r="AY371" s="104"/>
      <c r="AZ371" s="104"/>
      <c r="BA371" s="104"/>
      <c r="BB371" s="104"/>
      <c r="BC371" s="104"/>
      <c r="BD371" s="104"/>
    </row>
    <row r="372" spans="1:56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  <c r="AX372" s="104"/>
      <c r="AY372" s="104"/>
      <c r="AZ372" s="104"/>
      <c r="BA372" s="104"/>
      <c r="BB372" s="104"/>
      <c r="BC372" s="104"/>
      <c r="BD372" s="104"/>
    </row>
    <row r="373" spans="1:56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04"/>
      <c r="AZ373" s="104"/>
      <c r="BA373" s="104"/>
      <c r="BB373" s="104"/>
      <c r="BC373" s="104"/>
      <c r="BD373" s="104"/>
    </row>
    <row r="374" spans="1:56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04"/>
      <c r="AZ374" s="104"/>
      <c r="BA374" s="104"/>
      <c r="BB374" s="104"/>
      <c r="BC374" s="104"/>
      <c r="BD374" s="104"/>
    </row>
    <row r="375" spans="1:56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04"/>
      <c r="AZ375" s="104"/>
      <c r="BA375" s="104"/>
      <c r="BB375" s="104"/>
      <c r="BC375" s="104"/>
      <c r="BD375" s="104"/>
    </row>
    <row r="376" spans="1:56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04"/>
      <c r="AZ376" s="104"/>
      <c r="BA376" s="104"/>
      <c r="BB376" s="104"/>
      <c r="BC376" s="104"/>
      <c r="BD376" s="104"/>
    </row>
    <row r="377" spans="1:56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  <c r="AW377" s="104"/>
      <c r="AX377" s="104"/>
      <c r="AY377" s="104"/>
      <c r="AZ377" s="104"/>
      <c r="BA377" s="104"/>
      <c r="BB377" s="104"/>
      <c r="BC377" s="104"/>
      <c r="BD377" s="104"/>
    </row>
    <row r="378" spans="1:56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  <c r="AW378" s="104"/>
      <c r="AX378" s="104"/>
      <c r="AY378" s="104"/>
      <c r="AZ378" s="104"/>
      <c r="BA378" s="104"/>
      <c r="BB378" s="104"/>
      <c r="BC378" s="104"/>
      <c r="BD378" s="104"/>
    </row>
    <row r="379" spans="1:56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  <c r="AW379" s="104"/>
      <c r="AX379" s="104"/>
      <c r="AY379" s="104"/>
      <c r="AZ379" s="104"/>
      <c r="BA379" s="104"/>
      <c r="BB379" s="104"/>
      <c r="BC379" s="104"/>
      <c r="BD379" s="104"/>
    </row>
    <row r="380" spans="1:56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  <c r="AW380" s="104"/>
      <c r="AX380" s="104"/>
      <c r="AY380" s="104"/>
      <c r="AZ380" s="104"/>
      <c r="BA380" s="104"/>
      <c r="BB380" s="104"/>
      <c r="BC380" s="104"/>
      <c r="BD380" s="104"/>
    </row>
    <row r="381" spans="1:56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04"/>
      <c r="AZ381" s="104"/>
      <c r="BA381" s="104"/>
      <c r="BB381" s="104"/>
      <c r="BC381" s="104"/>
      <c r="BD381" s="104"/>
    </row>
    <row r="382" spans="1:56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04"/>
      <c r="AZ382" s="104"/>
      <c r="BA382" s="104"/>
      <c r="BB382" s="104"/>
      <c r="BC382" s="104"/>
      <c r="BD382" s="104"/>
    </row>
    <row r="383" spans="1:56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04"/>
      <c r="AZ383" s="104"/>
      <c r="BA383" s="104"/>
      <c r="BB383" s="104"/>
      <c r="BC383" s="104"/>
      <c r="BD383" s="104"/>
    </row>
    <row r="384" spans="1:56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  <c r="AW384" s="104"/>
      <c r="AX384" s="104"/>
      <c r="AY384" s="104"/>
      <c r="AZ384" s="104"/>
      <c r="BA384" s="104"/>
      <c r="BB384" s="104"/>
      <c r="BC384" s="104"/>
      <c r="BD384" s="104"/>
    </row>
    <row r="385" spans="1:56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  <c r="AW385" s="104"/>
      <c r="AX385" s="104"/>
      <c r="AY385" s="104"/>
      <c r="AZ385" s="104"/>
      <c r="BA385" s="104"/>
      <c r="BB385" s="104"/>
      <c r="BC385" s="104"/>
      <c r="BD385" s="104"/>
    </row>
    <row r="386" spans="1:56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  <c r="AW386" s="104"/>
      <c r="AX386" s="104"/>
      <c r="AY386" s="104"/>
      <c r="AZ386" s="104"/>
      <c r="BA386" s="104"/>
      <c r="BB386" s="104"/>
      <c r="BC386" s="104"/>
      <c r="BD386" s="104"/>
    </row>
    <row r="387" spans="1:56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  <c r="AW387" s="104"/>
      <c r="AX387" s="104"/>
      <c r="AY387" s="104"/>
      <c r="AZ387" s="104"/>
      <c r="BA387" s="104"/>
      <c r="BB387" s="104"/>
      <c r="BC387" s="104"/>
      <c r="BD387" s="104"/>
    </row>
    <row r="388" spans="1:56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  <c r="AW388" s="104"/>
      <c r="AX388" s="104"/>
      <c r="AY388" s="104"/>
      <c r="AZ388" s="104"/>
      <c r="BA388" s="104"/>
      <c r="BB388" s="104"/>
      <c r="BC388" s="104"/>
      <c r="BD388" s="104"/>
    </row>
    <row r="389" spans="1:56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  <c r="AW389" s="104"/>
      <c r="AX389" s="104"/>
      <c r="AY389" s="104"/>
      <c r="AZ389" s="104"/>
      <c r="BA389" s="104"/>
      <c r="BB389" s="104"/>
      <c r="BC389" s="104"/>
      <c r="BD389" s="104"/>
    </row>
    <row r="390" spans="1:56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  <c r="AW390" s="104"/>
      <c r="AX390" s="104"/>
      <c r="AY390" s="104"/>
      <c r="AZ390" s="104"/>
      <c r="BA390" s="104"/>
      <c r="BB390" s="104"/>
      <c r="BC390" s="104"/>
      <c r="BD390" s="104"/>
    </row>
    <row r="391" spans="1:56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  <c r="AW391" s="104"/>
      <c r="AX391" s="104"/>
      <c r="AY391" s="104"/>
      <c r="AZ391" s="104"/>
      <c r="BA391" s="104"/>
      <c r="BB391" s="104"/>
      <c r="BC391" s="104"/>
      <c r="BD391" s="104"/>
    </row>
    <row r="392" spans="1:56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  <c r="AW392" s="104"/>
      <c r="AX392" s="104"/>
      <c r="AY392" s="104"/>
      <c r="AZ392" s="104"/>
      <c r="BA392" s="104"/>
      <c r="BB392" s="104"/>
      <c r="BC392" s="104"/>
      <c r="BD392" s="104"/>
    </row>
    <row r="393" spans="1:56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04"/>
      <c r="AZ393" s="104"/>
      <c r="BA393" s="104"/>
      <c r="BB393" s="104"/>
      <c r="BC393" s="104"/>
      <c r="BD393" s="104"/>
    </row>
    <row r="394" spans="1:56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04"/>
      <c r="AZ394" s="104"/>
      <c r="BA394" s="104"/>
      <c r="BB394" s="104"/>
      <c r="BC394" s="104"/>
      <c r="BD394" s="104"/>
    </row>
    <row r="395" spans="1:56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  <c r="AW395" s="104"/>
      <c r="AX395" s="104"/>
      <c r="AY395" s="104"/>
      <c r="AZ395" s="104"/>
      <c r="BA395" s="104"/>
      <c r="BB395" s="104"/>
      <c r="BC395" s="104"/>
      <c r="BD395" s="104"/>
    </row>
    <row r="396" spans="1:56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  <c r="AX396" s="104"/>
      <c r="AY396" s="104"/>
      <c r="AZ396" s="104"/>
      <c r="BA396" s="104"/>
      <c r="BB396" s="104"/>
      <c r="BC396" s="104"/>
      <c r="BD396" s="104"/>
    </row>
    <row r="397" spans="1:56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04"/>
      <c r="AZ397" s="104"/>
      <c r="BA397" s="104"/>
      <c r="BB397" s="104"/>
      <c r="BC397" s="104"/>
      <c r="BD397" s="104"/>
    </row>
    <row r="398" spans="1:56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04"/>
      <c r="AZ398" s="104"/>
      <c r="BA398" s="104"/>
      <c r="BB398" s="104"/>
      <c r="BC398" s="104"/>
      <c r="BD398" s="104"/>
    </row>
    <row r="399" spans="1:56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  <c r="AW399" s="104"/>
      <c r="AX399" s="104"/>
      <c r="AY399" s="104"/>
      <c r="AZ399" s="104"/>
      <c r="BA399" s="104"/>
      <c r="BB399" s="104"/>
      <c r="BC399" s="104"/>
      <c r="BD399" s="104"/>
    </row>
    <row r="400" spans="1:56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04"/>
      <c r="AZ400" s="104"/>
      <c r="BA400" s="104"/>
      <c r="BB400" s="104"/>
      <c r="BC400" s="104"/>
      <c r="BD400" s="104"/>
    </row>
    <row r="401" spans="1:56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04"/>
      <c r="AZ401" s="104"/>
      <c r="BA401" s="104"/>
      <c r="BB401" s="104"/>
      <c r="BC401" s="104"/>
      <c r="BD401" s="104"/>
    </row>
    <row r="402" spans="1:56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04"/>
      <c r="AZ402" s="104"/>
      <c r="BA402" s="104"/>
      <c r="BB402" s="104"/>
      <c r="BC402" s="104"/>
      <c r="BD402" s="104"/>
    </row>
    <row r="403" spans="1:56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  <c r="AX403" s="104"/>
      <c r="AY403" s="104"/>
      <c r="AZ403" s="104"/>
      <c r="BA403" s="104"/>
      <c r="BB403" s="104"/>
      <c r="BC403" s="104"/>
      <c r="BD403" s="104"/>
    </row>
    <row r="404" spans="1:56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  <c r="AX404" s="104"/>
      <c r="AY404" s="104"/>
      <c r="AZ404" s="104"/>
      <c r="BA404" s="104"/>
      <c r="BB404" s="104"/>
      <c r="BC404" s="104"/>
      <c r="BD404" s="104"/>
    </row>
    <row r="405" spans="1:56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04"/>
      <c r="AZ405" s="104"/>
      <c r="BA405" s="104"/>
      <c r="BB405" s="104"/>
      <c r="BC405" s="104"/>
      <c r="BD405" s="104"/>
    </row>
    <row r="406" spans="1:56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04"/>
      <c r="AZ406" s="104"/>
      <c r="BA406" s="104"/>
      <c r="BB406" s="104"/>
      <c r="BC406" s="104"/>
      <c r="BD406" s="104"/>
    </row>
    <row r="407" spans="1:56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04"/>
      <c r="AZ407" s="104"/>
      <c r="BA407" s="104"/>
      <c r="BB407" s="104"/>
      <c r="BC407" s="104"/>
      <c r="BD407" s="104"/>
    </row>
    <row r="408" spans="1:56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  <c r="AW408" s="104"/>
      <c r="AX408" s="104"/>
      <c r="AY408" s="104"/>
      <c r="AZ408" s="104"/>
      <c r="BA408" s="104"/>
      <c r="BB408" s="104"/>
      <c r="BC408" s="104"/>
      <c r="BD408" s="104"/>
    </row>
    <row r="409" spans="1:56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  <c r="AW409" s="104"/>
      <c r="AX409" s="104"/>
      <c r="AY409" s="104"/>
      <c r="AZ409" s="104"/>
      <c r="BA409" s="104"/>
      <c r="BB409" s="104"/>
      <c r="BC409" s="104"/>
      <c r="BD409" s="104"/>
    </row>
    <row r="410" spans="1:56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04"/>
      <c r="AZ410" s="104"/>
      <c r="BA410" s="104"/>
      <c r="BB410" s="104"/>
      <c r="BC410" s="104"/>
      <c r="BD410" s="104"/>
    </row>
    <row r="411" spans="1:56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  <c r="AW411" s="104"/>
      <c r="AX411" s="104"/>
      <c r="AY411" s="104"/>
      <c r="AZ411" s="104"/>
      <c r="BA411" s="104"/>
      <c r="BB411" s="104"/>
      <c r="BC411" s="104"/>
      <c r="BD411" s="104"/>
    </row>
    <row r="412" spans="1:56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  <c r="AX412" s="104"/>
      <c r="AY412" s="104"/>
      <c r="AZ412" s="104"/>
      <c r="BA412" s="104"/>
      <c r="BB412" s="104"/>
      <c r="BC412" s="104"/>
      <c r="BD412" s="104"/>
    </row>
    <row r="413" spans="1:56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  <c r="AW413" s="104"/>
      <c r="AX413" s="104"/>
      <c r="AY413" s="104"/>
      <c r="AZ413" s="104"/>
      <c r="BA413" s="104"/>
      <c r="BB413" s="104"/>
      <c r="BC413" s="104"/>
      <c r="BD413" s="104"/>
    </row>
    <row r="414" spans="1:56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  <c r="AW414" s="104"/>
      <c r="AX414" s="104"/>
      <c r="AY414" s="104"/>
      <c r="AZ414" s="104"/>
      <c r="BA414" s="104"/>
      <c r="BB414" s="104"/>
      <c r="BC414" s="104"/>
      <c r="BD414" s="104"/>
    </row>
    <row r="415" spans="1:56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  <c r="AW415" s="104"/>
      <c r="AX415" s="104"/>
      <c r="AY415" s="104"/>
      <c r="AZ415" s="104"/>
      <c r="BA415" s="104"/>
      <c r="BB415" s="104"/>
      <c r="BC415" s="104"/>
      <c r="BD415" s="104"/>
    </row>
    <row r="416" spans="1:56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  <c r="AW416" s="104"/>
      <c r="AX416" s="104"/>
      <c r="AY416" s="104"/>
      <c r="AZ416" s="104"/>
      <c r="BA416" s="104"/>
      <c r="BB416" s="104"/>
      <c r="BC416" s="104"/>
      <c r="BD416" s="104"/>
    </row>
    <row r="417" spans="1:56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  <c r="AW417" s="104"/>
      <c r="AX417" s="104"/>
      <c r="AY417" s="104"/>
      <c r="AZ417" s="104"/>
      <c r="BA417" s="104"/>
      <c r="BB417" s="104"/>
      <c r="BC417" s="104"/>
      <c r="BD417" s="104"/>
    </row>
    <row r="418" spans="1:56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  <c r="AW418" s="104"/>
      <c r="AX418" s="104"/>
      <c r="AY418" s="104"/>
      <c r="AZ418" s="104"/>
      <c r="BA418" s="104"/>
      <c r="BB418" s="104"/>
      <c r="BC418" s="104"/>
      <c r="BD418" s="104"/>
    </row>
    <row r="419" spans="1:56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  <c r="AW419" s="104"/>
      <c r="AX419" s="104"/>
      <c r="AY419" s="104"/>
      <c r="AZ419" s="104"/>
      <c r="BA419" s="104"/>
      <c r="BB419" s="104"/>
      <c r="BC419" s="104"/>
      <c r="BD419" s="104"/>
    </row>
    <row r="420" spans="1:56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  <c r="AX420" s="104"/>
      <c r="AY420" s="104"/>
      <c r="AZ420" s="104"/>
      <c r="BA420" s="104"/>
      <c r="BB420" s="104"/>
      <c r="BC420" s="104"/>
      <c r="BD420" s="104"/>
    </row>
    <row r="421" spans="1:56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  <c r="AW421" s="104"/>
      <c r="AX421" s="104"/>
      <c r="AY421" s="104"/>
      <c r="AZ421" s="104"/>
      <c r="BA421" s="104"/>
      <c r="BB421" s="104"/>
      <c r="BC421" s="104"/>
      <c r="BD421" s="104"/>
    </row>
    <row r="422" spans="1:56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  <c r="AW422" s="104"/>
      <c r="AX422" s="104"/>
      <c r="AY422" s="104"/>
      <c r="AZ422" s="104"/>
      <c r="BA422" s="104"/>
      <c r="BB422" s="104"/>
      <c r="BC422" s="104"/>
      <c r="BD422" s="104"/>
    </row>
    <row r="423" spans="1:56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04"/>
      <c r="AZ423" s="104"/>
      <c r="BA423" s="104"/>
      <c r="BB423" s="104"/>
      <c r="BC423" s="104"/>
      <c r="BD423" s="104"/>
    </row>
    <row r="424" spans="1:56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04"/>
      <c r="AZ424" s="104"/>
      <c r="BA424" s="104"/>
      <c r="BB424" s="104"/>
      <c r="BC424" s="104"/>
      <c r="BD424" s="104"/>
    </row>
    <row r="425" spans="1:56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  <c r="AW425" s="104"/>
      <c r="AX425" s="104"/>
      <c r="AY425" s="104"/>
      <c r="AZ425" s="104"/>
      <c r="BA425" s="104"/>
      <c r="BB425" s="104"/>
      <c r="BC425" s="104"/>
      <c r="BD425" s="104"/>
    </row>
    <row r="426" spans="1:56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  <c r="AW426" s="104"/>
      <c r="AX426" s="104"/>
      <c r="AY426" s="104"/>
      <c r="AZ426" s="104"/>
      <c r="BA426" s="104"/>
      <c r="BB426" s="104"/>
      <c r="BC426" s="104"/>
      <c r="BD426" s="104"/>
    </row>
    <row r="427" spans="1:56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  <c r="AW427" s="104"/>
      <c r="AX427" s="104"/>
      <c r="AY427" s="104"/>
      <c r="AZ427" s="104"/>
      <c r="BA427" s="104"/>
      <c r="BB427" s="104"/>
      <c r="BC427" s="104"/>
      <c r="BD427" s="104"/>
    </row>
    <row r="428" spans="1:56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  <c r="AW428" s="104"/>
      <c r="AX428" s="104"/>
      <c r="AY428" s="104"/>
      <c r="AZ428" s="104"/>
      <c r="BA428" s="104"/>
      <c r="BB428" s="104"/>
      <c r="BC428" s="104"/>
      <c r="BD428" s="104"/>
    </row>
    <row r="429" spans="1:56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  <c r="AW429" s="104"/>
      <c r="AX429" s="104"/>
      <c r="AY429" s="104"/>
      <c r="AZ429" s="104"/>
      <c r="BA429" s="104"/>
      <c r="BB429" s="104"/>
      <c r="BC429" s="104"/>
      <c r="BD429" s="104"/>
    </row>
    <row r="430" spans="1:56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  <c r="AW430" s="104"/>
      <c r="AX430" s="104"/>
      <c r="AY430" s="104"/>
      <c r="AZ430" s="104"/>
      <c r="BA430" s="104"/>
      <c r="BB430" s="104"/>
      <c r="BC430" s="104"/>
      <c r="BD430" s="104"/>
    </row>
    <row r="431" spans="1:56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  <c r="AW431" s="104"/>
      <c r="AX431" s="104"/>
      <c r="AY431" s="104"/>
      <c r="AZ431" s="104"/>
      <c r="BA431" s="104"/>
      <c r="BB431" s="104"/>
      <c r="BC431" s="104"/>
      <c r="BD431" s="104"/>
    </row>
    <row r="432" spans="1:56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  <c r="AW432" s="104"/>
      <c r="AX432" s="104"/>
      <c r="AY432" s="104"/>
      <c r="AZ432" s="104"/>
      <c r="BA432" s="104"/>
      <c r="BB432" s="104"/>
      <c r="BC432" s="104"/>
      <c r="BD432" s="104"/>
    </row>
    <row r="433" spans="1:56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  <c r="AW433" s="104"/>
      <c r="AX433" s="104"/>
      <c r="AY433" s="104"/>
      <c r="AZ433" s="104"/>
      <c r="BA433" s="104"/>
      <c r="BB433" s="104"/>
      <c r="BC433" s="104"/>
      <c r="BD433" s="104"/>
    </row>
    <row r="434" spans="1:56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  <c r="AW434" s="104"/>
      <c r="AX434" s="104"/>
      <c r="AY434" s="104"/>
      <c r="AZ434" s="104"/>
      <c r="BA434" s="104"/>
      <c r="BB434" s="104"/>
      <c r="BC434" s="104"/>
      <c r="BD434" s="104"/>
    </row>
    <row r="435" spans="1:56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  <c r="AW435" s="104"/>
      <c r="AX435" s="104"/>
      <c r="AY435" s="104"/>
      <c r="AZ435" s="104"/>
      <c r="BA435" s="104"/>
      <c r="BB435" s="104"/>
      <c r="BC435" s="104"/>
      <c r="BD435" s="104"/>
    </row>
    <row r="436" spans="1:56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  <c r="AW436" s="104"/>
      <c r="AX436" s="104"/>
      <c r="AY436" s="104"/>
      <c r="AZ436" s="104"/>
      <c r="BA436" s="104"/>
      <c r="BB436" s="104"/>
      <c r="BC436" s="104"/>
      <c r="BD436" s="104"/>
    </row>
    <row r="437" spans="1:56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  <c r="AW437" s="104"/>
      <c r="AX437" s="104"/>
      <c r="AY437" s="104"/>
      <c r="AZ437" s="104"/>
      <c r="BA437" s="104"/>
      <c r="BB437" s="104"/>
      <c r="BC437" s="104"/>
      <c r="BD437" s="104"/>
    </row>
    <row r="438" spans="1:56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  <c r="AW438" s="104"/>
      <c r="AX438" s="104"/>
      <c r="AY438" s="104"/>
      <c r="AZ438" s="104"/>
      <c r="BA438" s="104"/>
      <c r="BB438" s="104"/>
      <c r="BC438" s="104"/>
      <c r="BD438" s="104"/>
    </row>
    <row r="439" spans="1:56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  <c r="AW439" s="104"/>
      <c r="AX439" s="104"/>
      <c r="AY439" s="104"/>
      <c r="AZ439" s="104"/>
      <c r="BA439" s="104"/>
      <c r="BB439" s="104"/>
      <c r="BC439" s="104"/>
      <c r="BD439" s="104"/>
    </row>
    <row r="440" spans="1:56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  <c r="AW440" s="104"/>
      <c r="AX440" s="104"/>
      <c r="AY440" s="104"/>
      <c r="AZ440" s="104"/>
      <c r="BA440" s="104"/>
      <c r="BB440" s="104"/>
      <c r="BC440" s="104"/>
      <c r="BD440" s="104"/>
    </row>
    <row r="441" spans="1:56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  <c r="AW441" s="104"/>
      <c r="AX441" s="104"/>
      <c r="AY441" s="104"/>
      <c r="AZ441" s="104"/>
      <c r="BA441" s="104"/>
      <c r="BB441" s="104"/>
      <c r="BC441" s="104"/>
      <c r="BD441" s="104"/>
    </row>
    <row r="442" spans="1:56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  <c r="AW442" s="104"/>
      <c r="AX442" s="104"/>
      <c r="AY442" s="104"/>
      <c r="AZ442" s="104"/>
      <c r="BA442" s="104"/>
      <c r="BB442" s="104"/>
      <c r="BC442" s="104"/>
      <c r="BD442" s="104"/>
    </row>
    <row r="443" spans="1:56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  <c r="AW443" s="104"/>
      <c r="AX443" s="104"/>
      <c r="AY443" s="104"/>
      <c r="AZ443" s="104"/>
      <c r="BA443" s="104"/>
      <c r="BB443" s="104"/>
      <c r="BC443" s="104"/>
      <c r="BD443" s="104"/>
    </row>
    <row r="444" spans="1:56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  <c r="AW444" s="104"/>
      <c r="AX444" s="104"/>
      <c r="AY444" s="104"/>
      <c r="AZ444" s="104"/>
      <c r="BA444" s="104"/>
      <c r="BB444" s="104"/>
      <c r="BC444" s="104"/>
      <c r="BD444" s="104"/>
    </row>
    <row r="445" spans="1:56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  <c r="AW445" s="104"/>
      <c r="AX445" s="104"/>
      <c r="AY445" s="104"/>
      <c r="AZ445" s="104"/>
      <c r="BA445" s="104"/>
      <c r="BB445" s="104"/>
      <c r="BC445" s="104"/>
      <c r="BD445" s="104"/>
    </row>
    <row r="446" spans="1:56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  <c r="AW446" s="104"/>
      <c r="AX446" s="104"/>
      <c r="AY446" s="104"/>
      <c r="AZ446" s="104"/>
      <c r="BA446" s="104"/>
      <c r="BB446" s="104"/>
      <c r="BC446" s="104"/>
      <c r="BD446" s="104"/>
    </row>
    <row r="447" spans="1:56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  <c r="AW447" s="104"/>
      <c r="AX447" s="104"/>
      <c r="AY447" s="104"/>
      <c r="AZ447" s="104"/>
      <c r="BA447" s="104"/>
      <c r="BB447" s="104"/>
      <c r="BC447" s="104"/>
      <c r="BD447" s="104"/>
    </row>
    <row r="448" spans="1:56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  <c r="AW448" s="104"/>
      <c r="AX448" s="104"/>
      <c r="AY448" s="104"/>
      <c r="AZ448" s="104"/>
      <c r="BA448" s="104"/>
      <c r="BB448" s="104"/>
      <c r="BC448" s="104"/>
      <c r="BD448" s="104"/>
    </row>
    <row r="449" spans="1:56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  <c r="AW449" s="104"/>
      <c r="AX449" s="104"/>
      <c r="AY449" s="104"/>
      <c r="AZ449" s="104"/>
      <c r="BA449" s="104"/>
      <c r="BB449" s="104"/>
      <c r="BC449" s="104"/>
      <c r="BD449" s="104"/>
    </row>
    <row r="450" spans="1:56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  <c r="AW450" s="104"/>
      <c r="AX450" s="104"/>
      <c r="AY450" s="104"/>
      <c r="AZ450" s="104"/>
      <c r="BA450" s="104"/>
      <c r="BB450" s="104"/>
      <c r="BC450" s="104"/>
      <c r="BD450" s="104"/>
    </row>
    <row r="451" spans="1:56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  <c r="AW451" s="104"/>
      <c r="AX451" s="104"/>
      <c r="AY451" s="104"/>
      <c r="AZ451" s="104"/>
      <c r="BA451" s="104"/>
      <c r="BB451" s="104"/>
      <c r="BC451" s="104"/>
      <c r="BD451" s="104"/>
    </row>
    <row r="452" spans="1:56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  <c r="AW452" s="104"/>
      <c r="AX452" s="104"/>
      <c r="AY452" s="104"/>
      <c r="AZ452" s="104"/>
      <c r="BA452" s="104"/>
      <c r="BB452" s="104"/>
      <c r="BC452" s="104"/>
      <c r="BD452" s="104"/>
    </row>
    <row r="453" spans="1:56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  <c r="AW453" s="104"/>
      <c r="AX453" s="104"/>
      <c r="AY453" s="104"/>
      <c r="AZ453" s="104"/>
      <c r="BA453" s="104"/>
      <c r="BB453" s="104"/>
      <c r="BC453" s="104"/>
      <c r="BD453" s="104"/>
    </row>
    <row r="454" spans="1:56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  <c r="AW454" s="104"/>
      <c r="AX454" s="104"/>
      <c r="AY454" s="104"/>
      <c r="AZ454" s="104"/>
      <c r="BA454" s="104"/>
      <c r="BB454" s="104"/>
      <c r="BC454" s="104"/>
      <c r="BD454" s="104"/>
    </row>
    <row r="455" spans="1:56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  <c r="AW455" s="104"/>
      <c r="AX455" s="104"/>
      <c r="AY455" s="104"/>
      <c r="AZ455" s="104"/>
      <c r="BA455" s="104"/>
      <c r="BB455" s="104"/>
      <c r="BC455" s="104"/>
      <c r="BD455" s="104"/>
    </row>
    <row r="456" spans="1:56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  <c r="AW456" s="104"/>
      <c r="AX456" s="104"/>
      <c r="AY456" s="104"/>
      <c r="AZ456" s="104"/>
      <c r="BA456" s="104"/>
      <c r="BB456" s="104"/>
      <c r="BC456" s="104"/>
      <c r="BD456" s="104"/>
    </row>
    <row r="457" spans="1:56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  <c r="AW457" s="104"/>
      <c r="AX457" s="104"/>
      <c r="AY457" s="104"/>
      <c r="AZ457" s="104"/>
      <c r="BA457" s="104"/>
      <c r="BB457" s="104"/>
      <c r="BC457" s="104"/>
      <c r="BD457" s="104"/>
    </row>
    <row r="458" spans="1:56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  <c r="AW458" s="104"/>
      <c r="AX458" s="104"/>
      <c r="AY458" s="104"/>
      <c r="AZ458" s="104"/>
      <c r="BA458" s="104"/>
      <c r="BB458" s="104"/>
      <c r="BC458" s="104"/>
      <c r="BD458" s="104"/>
    </row>
    <row r="459" spans="1:56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  <c r="AW459" s="104"/>
      <c r="AX459" s="104"/>
      <c r="AY459" s="104"/>
      <c r="AZ459" s="104"/>
      <c r="BA459" s="104"/>
      <c r="BB459" s="104"/>
      <c r="BC459" s="104"/>
      <c r="BD459" s="104"/>
    </row>
    <row r="460" spans="1:56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  <c r="AW460" s="104"/>
      <c r="AX460" s="104"/>
      <c r="AY460" s="104"/>
      <c r="AZ460" s="104"/>
      <c r="BA460" s="104"/>
      <c r="BB460" s="104"/>
      <c r="BC460" s="104"/>
      <c r="BD460" s="104"/>
    </row>
    <row r="461" spans="1:56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  <c r="AW461" s="104"/>
      <c r="AX461" s="104"/>
      <c r="AY461" s="104"/>
      <c r="AZ461" s="104"/>
      <c r="BA461" s="104"/>
      <c r="BB461" s="104"/>
      <c r="BC461" s="104"/>
      <c r="BD461" s="104"/>
    </row>
    <row r="462" spans="1:56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  <c r="AW462" s="104"/>
      <c r="AX462" s="104"/>
      <c r="AY462" s="104"/>
      <c r="AZ462" s="104"/>
      <c r="BA462" s="104"/>
      <c r="BB462" s="104"/>
      <c r="BC462" s="104"/>
      <c r="BD462" s="104"/>
    </row>
    <row r="463" spans="1:56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  <c r="AW463" s="104"/>
      <c r="AX463" s="104"/>
      <c r="AY463" s="104"/>
      <c r="AZ463" s="104"/>
      <c r="BA463" s="104"/>
      <c r="BB463" s="104"/>
      <c r="BC463" s="104"/>
      <c r="BD463" s="104"/>
    </row>
    <row r="464" spans="1:56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  <c r="AW464" s="104"/>
      <c r="AX464" s="104"/>
      <c r="AY464" s="104"/>
      <c r="AZ464" s="104"/>
      <c r="BA464" s="104"/>
      <c r="BB464" s="104"/>
      <c r="BC464" s="104"/>
      <c r="BD464" s="104"/>
    </row>
    <row r="465" spans="1:56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  <c r="AW465" s="104"/>
      <c r="AX465" s="104"/>
      <c r="AY465" s="104"/>
      <c r="AZ465" s="104"/>
      <c r="BA465" s="104"/>
      <c r="BB465" s="104"/>
      <c r="BC465" s="104"/>
      <c r="BD465" s="104"/>
    </row>
    <row r="466" spans="1:56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  <c r="AW466" s="104"/>
      <c r="AX466" s="104"/>
      <c r="AY466" s="104"/>
      <c r="AZ466" s="104"/>
      <c r="BA466" s="104"/>
      <c r="BB466" s="104"/>
      <c r="BC466" s="104"/>
      <c r="BD466" s="104"/>
    </row>
    <row r="467" spans="1:56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  <c r="AW467" s="104"/>
      <c r="AX467" s="104"/>
      <c r="AY467" s="104"/>
      <c r="AZ467" s="104"/>
      <c r="BA467" s="104"/>
      <c r="BB467" s="104"/>
      <c r="BC467" s="104"/>
      <c r="BD467" s="104"/>
    </row>
    <row r="468" spans="1:56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  <c r="AW468" s="104"/>
      <c r="AX468" s="104"/>
      <c r="AY468" s="104"/>
      <c r="AZ468" s="104"/>
      <c r="BA468" s="104"/>
      <c r="BB468" s="104"/>
      <c r="BC468" s="104"/>
      <c r="BD468" s="104"/>
    </row>
    <row r="469" spans="1:56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  <c r="AW469" s="104"/>
      <c r="AX469" s="104"/>
      <c r="AY469" s="104"/>
      <c r="AZ469" s="104"/>
      <c r="BA469" s="104"/>
      <c r="BB469" s="104"/>
      <c r="BC469" s="104"/>
      <c r="BD469" s="104"/>
    </row>
    <row r="470" spans="1:56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  <c r="AW470" s="104"/>
      <c r="AX470" s="104"/>
      <c r="AY470" s="104"/>
      <c r="AZ470" s="104"/>
      <c r="BA470" s="104"/>
      <c r="BB470" s="104"/>
      <c r="BC470" s="104"/>
      <c r="BD470" s="104"/>
    </row>
    <row r="471" spans="1:56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  <c r="AW471" s="104"/>
      <c r="AX471" s="104"/>
      <c r="AY471" s="104"/>
      <c r="AZ471" s="104"/>
      <c r="BA471" s="104"/>
      <c r="BB471" s="104"/>
      <c r="BC471" s="104"/>
      <c r="BD471" s="104"/>
    </row>
    <row r="472" spans="1:56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  <c r="AW472" s="104"/>
      <c r="AX472" s="104"/>
      <c r="AY472" s="104"/>
      <c r="AZ472" s="104"/>
      <c r="BA472" s="104"/>
      <c r="BB472" s="104"/>
      <c r="BC472" s="104"/>
      <c r="BD472" s="104"/>
    </row>
    <row r="473" spans="1:56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  <c r="AW473" s="104"/>
      <c r="AX473" s="104"/>
      <c r="AY473" s="104"/>
      <c r="AZ473" s="104"/>
      <c r="BA473" s="104"/>
      <c r="BB473" s="104"/>
      <c r="BC473" s="104"/>
      <c r="BD473" s="104"/>
    </row>
    <row r="474" spans="1:56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  <c r="AW474" s="104"/>
      <c r="AX474" s="104"/>
      <c r="AY474" s="104"/>
      <c r="AZ474" s="104"/>
      <c r="BA474" s="104"/>
      <c r="BB474" s="104"/>
      <c r="BC474" s="104"/>
      <c r="BD474" s="104"/>
    </row>
    <row r="475" spans="1:56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  <c r="AW475" s="104"/>
      <c r="AX475" s="104"/>
      <c r="AY475" s="104"/>
      <c r="AZ475" s="104"/>
      <c r="BA475" s="104"/>
      <c r="BB475" s="104"/>
      <c r="BC475" s="104"/>
      <c r="BD475" s="104"/>
    </row>
    <row r="476" spans="1:56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  <c r="AW476" s="104"/>
      <c r="AX476" s="104"/>
      <c r="AY476" s="104"/>
      <c r="AZ476" s="104"/>
      <c r="BA476" s="104"/>
      <c r="BB476" s="104"/>
      <c r="BC476" s="104"/>
      <c r="BD476" s="104"/>
    </row>
    <row r="477" spans="1:56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  <c r="AW477" s="104"/>
      <c r="AX477" s="104"/>
      <c r="AY477" s="104"/>
      <c r="AZ477" s="104"/>
      <c r="BA477" s="104"/>
      <c r="BB477" s="104"/>
      <c r="BC477" s="104"/>
      <c r="BD477" s="104"/>
    </row>
    <row r="478" spans="1:56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  <c r="AW478" s="104"/>
      <c r="AX478" s="104"/>
      <c r="AY478" s="104"/>
      <c r="AZ478" s="104"/>
      <c r="BA478" s="104"/>
      <c r="BB478" s="104"/>
      <c r="BC478" s="104"/>
      <c r="BD478" s="104"/>
    </row>
    <row r="479" spans="1:56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  <c r="AW479" s="104"/>
      <c r="AX479" s="104"/>
      <c r="AY479" s="104"/>
      <c r="AZ479" s="104"/>
      <c r="BA479" s="104"/>
      <c r="BB479" s="104"/>
      <c r="BC479" s="104"/>
      <c r="BD479" s="104"/>
    </row>
    <row r="480" spans="1:56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  <c r="AW480" s="104"/>
      <c r="AX480" s="104"/>
      <c r="AY480" s="104"/>
      <c r="AZ480" s="104"/>
      <c r="BA480" s="104"/>
      <c r="BB480" s="104"/>
      <c r="BC480" s="104"/>
      <c r="BD480" s="104"/>
    </row>
    <row r="481" spans="1:56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  <c r="AW481" s="104"/>
      <c r="AX481" s="104"/>
      <c r="AY481" s="104"/>
      <c r="AZ481" s="104"/>
      <c r="BA481" s="104"/>
      <c r="BB481" s="104"/>
      <c r="BC481" s="104"/>
      <c r="BD481" s="104"/>
    </row>
    <row r="482" spans="1:56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  <c r="AW482" s="104"/>
      <c r="AX482" s="104"/>
      <c r="AY482" s="104"/>
      <c r="AZ482" s="104"/>
      <c r="BA482" s="104"/>
      <c r="BB482" s="104"/>
      <c r="BC482" s="104"/>
      <c r="BD482" s="104"/>
    </row>
    <row r="483" spans="1:56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  <c r="AW483" s="104"/>
      <c r="AX483" s="104"/>
      <c r="AY483" s="104"/>
      <c r="AZ483" s="104"/>
      <c r="BA483" s="104"/>
      <c r="BB483" s="104"/>
      <c r="BC483" s="104"/>
      <c r="BD483" s="104"/>
    </row>
    <row r="484" spans="1:56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  <c r="AW484" s="104"/>
      <c r="AX484" s="104"/>
      <c r="AY484" s="104"/>
      <c r="AZ484" s="104"/>
      <c r="BA484" s="104"/>
      <c r="BB484" s="104"/>
      <c r="BC484" s="104"/>
      <c r="BD484" s="104"/>
    </row>
    <row r="485" spans="1:56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  <c r="AW485" s="104"/>
      <c r="AX485" s="104"/>
      <c r="AY485" s="104"/>
      <c r="AZ485" s="104"/>
      <c r="BA485" s="104"/>
      <c r="BB485" s="104"/>
      <c r="BC485" s="104"/>
      <c r="BD485" s="104"/>
    </row>
    <row r="486" spans="1:56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  <c r="AW486" s="104"/>
      <c r="AX486" s="104"/>
      <c r="AY486" s="104"/>
      <c r="AZ486" s="104"/>
      <c r="BA486" s="104"/>
      <c r="BB486" s="104"/>
      <c r="BC486" s="104"/>
      <c r="BD486" s="104"/>
    </row>
    <row r="487" spans="1:56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04"/>
      <c r="AK487" s="104"/>
      <c r="AL487" s="104"/>
      <c r="AM487" s="104"/>
      <c r="AN487" s="104"/>
      <c r="AO487" s="104"/>
      <c r="AP487" s="104"/>
      <c r="AQ487" s="104"/>
      <c r="AR487" s="104"/>
      <c r="AS487" s="104"/>
      <c r="AT487" s="104"/>
      <c r="AU487" s="104"/>
      <c r="AV487" s="104"/>
      <c r="AW487" s="104"/>
      <c r="AX487" s="104"/>
      <c r="AY487" s="104"/>
      <c r="AZ487" s="104"/>
      <c r="BA487" s="104"/>
      <c r="BB487" s="104"/>
      <c r="BC487" s="104"/>
      <c r="BD487" s="104"/>
    </row>
    <row r="488" spans="1:56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04"/>
      <c r="AK488" s="104"/>
      <c r="AL488" s="104"/>
      <c r="AM488" s="104"/>
      <c r="AN488" s="104"/>
      <c r="AO488" s="104"/>
      <c r="AP488" s="104"/>
      <c r="AQ488" s="104"/>
      <c r="AR488" s="104"/>
      <c r="AS488" s="104"/>
      <c r="AT488" s="104"/>
      <c r="AU488" s="104"/>
      <c r="AV488" s="104"/>
      <c r="AW488" s="104"/>
      <c r="AX488" s="104"/>
      <c r="AY488" s="104"/>
      <c r="AZ488" s="104"/>
      <c r="BA488" s="104"/>
      <c r="BB488" s="104"/>
      <c r="BC488" s="104"/>
      <c r="BD488" s="104"/>
    </row>
    <row r="489" spans="1:56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04"/>
      <c r="AK489" s="104"/>
      <c r="AL489" s="104"/>
      <c r="AM489" s="104"/>
      <c r="AN489" s="104"/>
      <c r="AO489" s="104"/>
      <c r="AP489" s="104"/>
      <c r="AQ489" s="104"/>
      <c r="AR489" s="104"/>
      <c r="AS489" s="104"/>
      <c r="AT489" s="104"/>
      <c r="AU489" s="104"/>
      <c r="AV489" s="104"/>
      <c r="AW489" s="104"/>
      <c r="AX489" s="104"/>
      <c r="AY489" s="104"/>
      <c r="AZ489" s="104"/>
      <c r="BA489" s="104"/>
      <c r="BB489" s="104"/>
      <c r="BC489" s="104"/>
      <c r="BD489" s="104"/>
    </row>
    <row r="490" spans="1:56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4"/>
      <c r="AK490" s="104"/>
      <c r="AL490" s="104"/>
      <c r="AM490" s="104"/>
      <c r="AN490" s="104"/>
      <c r="AO490" s="104"/>
      <c r="AP490" s="104"/>
      <c r="AQ490" s="104"/>
      <c r="AR490" s="104"/>
      <c r="AS490" s="104"/>
      <c r="AT490" s="104"/>
      <c r="AU490" s="104"/>
      <c r="AV490" s="104"/>
      <c r="AW490" s="104"/>
      <c r="AX490" s="104"/>
      <c r="AY490" s="104"/>
      <c r="AZ490" s="104"/>
      <c r="BA490" s="104"/>
      <c r="BB490" s="104"/>
      <c r="BC490" s="104"/>
      <c r="BD490" s="104"/>
    </row>
    <row r="491" spans="1:56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04"/>
      <c r="AK491" s="104"/>
      <c r="AL491" s="104"/>
      <c r="AM491" s="104"/>
      <c r="AN491" s="104"/>
      <c r="AO491" s="104"/>
      <c r="AP491" s="104"/>
      <c r="AQ491" s="104"/>
      <c r="AR491" s="104"/>
      <c r="AS491" s="104"/>
      <c r="AT491" s="104"/>
      <c r="AU491" s="104"/>
      <c r="AV491" s="104"/>
      <c r="AW491" s="104"/>
      <c r="AX491" s="104"/>
      <c r="AY491" s="104"/>
      <c r="AZ491" s="104"/>
      <c r="BA491" s="104"/>
      <c r="BB491" s="104"/>
      <c r="BC491" s="104"/>
      <c r="BD491" s="104"/>
    </row>
    <row r="492" spans="1:56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04"/>
      <c r="AK492" s="104"/>
      <c r="AL492" s="104"/>
      <c r="AM492" s="104"/>
      <c r="AN492" s="104"/>
      <c r="AO492" s="104"/>
      <c r="AP492" s="104"/>
      <c r="AQ492" s="104"/>
      <c r="AR492" s="104"/>
      <c r="AS492" s="104"/>
      <c r="AT492" s="104"/>
      <c r="AU492" s="104"/>
      <c r="AV492" s="104"/>
      <c r="AW492" s="104"/>
      <c r="AX492" s="104"/>
      <c r="AY492" s="104"/>
      <c r="AZ492" s="104"/>
      <c r="BA492" s="104"/>
      <c r="BB492" s="104"/>
      <c r="BC492" s="104"/>
      <c r="BD492" s="104"/>
    </row>
    <row r="493" spans="1:56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04"/>
      <c r="AK493" s="104"/>
      <c r="AL493" s="104"/>
      <c r="AM493" s="104"/>
      <c r="AN493" s="104"/>
      <c r="AO493" s="104"/>
      <c r="AP493" s="104"/>
      <c r="AQ493" s="104"/>
      <c r="AR493" s="104"/>
      <c r="AS493" s="104"/>
      <c r="AT493" s="104"/>
      <c r="AU493" s="104"/>
      <c r="AV493" s="104"/>
      <c r="AW493" s="104"/>
      <c r="AX493" s="104"/>
      <c r="AY493" s="104"/>
      <c r="AZ493" s="104"/>
      <c r="BA493" s="104"/>
      <c r="BB493" s="104"/>
      <c r="BC493" s="104"/>
      <c r="BD493" s="104"/>
    </row>
    <row r="494" spans="1:56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04"/>
      <c r="AK494" s="104"/>
      <c r="AL494" s="104"/>
      <c r="AM494" s="104"/>
      <c r="AN494" s="104"/>
      <c r="AO494" s="104"/>
      <c r="AP494" s="104"/>
      <c r="AQ494" s="104"/>
      <c r="AR494" s="104"/>
      <c r="AS494" s="104"/>
      <c r="AT494" s="104"/>
      <c r="AU494" s="104"/>
      <c r="AV494" s="104"/>
      <c r="AW494" s="104"/>
      <c r="AX494" s="104"/>
      <c r="AY494" s="104"/>
      <c r="AZ494" s="104"/>
      <c r="BA494" s="104"/>
      <c r="BB494" s="104"/>
      <c r="BC494" s="104"/>
      <c r="BD494" s="104"/>
    </row>
    <row r="495" spans="1:56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04"/>
      <c r="AK495" s="104"/>
      <c r="AL495" s="104"/>
      <c r="AM495" s="104"/>
      <c r="AN495" s="104"/>
      <c r="AO495" s="104"/>
      <c r="AP495" s="104"/>
      <c r="AQ495" s="104"/>
      <c r="AR495" s="104"/>
      <c r="AS495" s="104"/>
      <c r="AT495" s="104"/>
      <c r="AU495" s="104"/>
      <c r="AV495" s="104"/>
      <c r="AW495" s="104"/>
      <c r="AX495" s="104"/>
      <c r="AY495" s="104"/>
      <c r="AZ495" s="104"/>
      <c r="BA495" s="104"/>
      <c r="BB495" s="104"/>
      <c r="BC495" s="104"/>
      <c r="BD495" s="104"/>
    </row>
    <row r="496" spans="1:56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04"/>
      <c r="AK496" s="104"/>
      <c r="AL496" s="104"/>
      <c r="AM496" s="104"/>
      <c r="AN496" s="104"/>
      <c r="AO496" s="104"/>
      <c r="AP496" s="104"/>
      <c r="AQ496" s="104"/>
      <c r="AR496" s="104"/>
      <c r="AS496" s="104"/>
      <c r="AT496" s="104"/>
      <c r="AU496" s="104"/>
      <c r="AV496" s="104"/>
      <c r="AW496" s="104"/>
      <c r="AX496" s="104"/>
      <c r="AY496" s="104"/>
      <c r="AZ496" s="104"/>
      <c r="BA496" s="104"/>
      <c r="BB496" s="104"/>
      <c r="BC496" s="104"/>
      <c r="BD496" s="104"/>
    </row>
    <row r="497" spans="1:56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04"/>
      <c r="AK497" s="104"/>
      <c r="AL497" s="104"/>
      <c r="AM497" s="104"/>
      <c r="AN497" s="104"/>
      <c r="AO497" s="104"/>
      <c r="AP497" s="104"/>
      <c r="AQ497" s="104"/>
      <c r="AR497" s="104"/>
      <c r="AS497" s="104"/>
      <c r="AT497" s="104"/>
      <c r="AU497" s="104"/>
      <c r="AV497" s="104"/>
      <c r="AW497" s="104"/>
      <c r="AX497" s="104"/>
      <c r="AY497" s="104"/>
      <c r="AZ497" s="104"/>
      <c r="BA497" s="104"/>
      <c r="BB497" s="104"/>
      <c r="BC497" s="104"/>
      <c r="BD497" s="104"/>
    </row>
    <row r="498" spans="1:56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04"/>
      <c r="AK498" s="104"/>
      <c r="AL498" s="104"/>
      <c r="AM498" s="104"/>
      <c r="AN498" s="104"/>
      <c r="AO498" s="104"/>
      <c r="AP498" s="104"/>
      <c r="AQ498" s="104"/>
      <c r="AR498" s="104"/>
      <c r="AS498" s="104"/>
      <c r="AT498" s="104"/>
      <c r="AU498" s="104"/>
      <c r="AV498" s="104"/>
      <c r="AW498" s="104"/>
      <c r="AX498" s="104"/>
      <c r="AY498" s="104"/>
      <c r="AZ498" s="104"/>
      <c r="BA498" s="104"/>
      <c r="BB498" s="104"/>
      <c r="BC498" s="104"/>
      <c r="BD498" s="104"/>
    </row>
    <row r="499" spans="1:56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04"/>
      <c r="AK499" s="104"/>
      <c r="AL499" s="104"/>
      <c r="AM499" s="104"/>
      <c r="AN499" s="104"/>
      <c r="AO499" s="104"/>
      <c r="AP499" s="104"/>
      <c r="AQ499" s="104"/>
      <c r="AR499" s="104"/>
      <c r="AS499" s="104"/>
      <c r="AT499" s="104"/>
      <c r="AU499" s="104"/>
      <c r="AV499" s="104"/>
      <c r="AW499" s="104"/>
      <c r="AX499" s="104"/>
      <c r="AY499" s="104"/>
      <c r="AZ499" s="104"/>
      <c r="BA499" s="104"/>
      <c r="BB499" s="104"/>
      <c r="BC499" s="104"/>
      <c r="BD499" s="104"/>
    </row>
    <row r="500" spans="1:56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04"/>
      <c r="AK500" s="104"/>
      <c r="AL500" s="104"/>
      <c r="AM500" s="104"/>
      <c r="AN500" s="104"/>
      <c r="AO500" s="104"/>
      <c r="AP500" s="104"/>
      <c r="AQ500" s="104"/>
      <c r="AR500" s="104"/>
      <c r="AS500" s="104"/>
      <c r="AT500" s="104"/>
      <c r="AU500" s="104"/>
      <c r="AV500" s="104"/>
      <c r="AW500" s="104"/>
      <c r="AX500" s="104"/>
      <c r="AY500" s="104"/>
      <c r="AZ500" s="104"/>
      <c r="BA500" s="104"/>
      <c r="BB500" s="104"/>
      <c r="BC500" s="104"/>
      <c r="BD500" s="104"/>
    </row>
    <row r="501" spans="1:56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04"/>
      <c r="AK501" s="104"/>
      <c r="AL501" s="104"/>
      <c r="AM501" s="104"/>
      <c r="AN501" s="104"/>
      <c r="AO501" s="104"/>
      <c r="AP501" s="104"/>
      <c r="AQ501" s="104"/>
      <c r="AR501" s="104"/>
      <c r="AS501" s="104"/>
      <c r="AT501" s="104"/>
      <c r="AU501" s="104"/>
      <c r="AV501" s="104"/>
      <c r="AW501" s="104"/>
      <c r="AX501" s="104"/>
      <c r="AY501" s="104"/>
      <c r="AZ501" s="104"/>
      <c r="BA501" s="104"/>
      <c r="BB501" s="104"/>
      <c r="BC501" s="104"/>
      <c r="BD501" s="104"/>
    </row>
    <row r="502" spans="1:56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04"/>
      <c r="AK502" s="104"/>
      <c r="AL502" s="104"/>
      <c r="AM502" s="104"/>
      <c r="AN502" s="104"/>
      <c r="AO502" s="104"/>
      <c r="AP502" s="104"/>
      <c r="AQ502" s="104"/>
      <c r="AR502" s="104"/>
      <c r="AS502" s="104"/>
      <c r="AT502" s="104"/>
      <c r="AU502" s="104"/>
      <c r="AV502" s="104"/>
      <c r="AW502" s="104"/>
      <c r="AX502" s="104"/>
      <c r="AY502" s="104"/>
      <c r="AZ502" s="104"/>
      <c r="BA502" s="104"/>
      <c r="BB502" s="104"/>
      <c r="BC502" s="104"/>
      <c r="BD502" s="104"/>
    </row>
    <row r="503" spans="1:56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04"/>
      <c r="AK503" s="104"/>
      <c r="AL503" s="104"/>
      <c r="AM503" s="104"/>
      <c r="AN503" s="104"/>
      <c r="AO503" s="104"/>
      <c r="AP503" s="104"/>
      <c r="AQ503" s="104"/>
      <c r="AR503" s="104"/>
      <c r="AS503" s="104"/>
      <c r="AT503" s="104"/>
      <c r="AU503" s="104"/>
      <c r="AV503" s="104"/>
      <c r="AW503" s="104"/>
      <c r="AX503" s="104"/>
      <c r="AY503" s="104"/>
      <c r="AZ503" s="104"/>
      <c r="BA503" s="104"/>
      <c r="BB503" s="104"/>
      <c r="BC503" s="104"/>
      <c r="BD503" s="104"/>
    </row>
    <row r="504" spans="1:56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04"/>
      <c r="AK504" s="104"/>
      <c r="AL504" s="104"/>
      <c r="AM504" s="104"/>
      <c r="AN504" s="104"/>
      <c r="AO504" s="104"/>
      <c r="AP504" s="104"/>
      <c r="AQ504" s="104"/>
      <c r="AR504" s="104"/>
      <c r="AS504" s="104"/>
      <c r="AT504" s="104"/>
      <c r="AU504" s="104"/>
      <c r="AV504" s="104"/>
      <c r="AW504" s="104"/>
      <c r="AX504" s="104"/>
      <c r="AY504" s="104"/>
      <c r="AZ504" s="104"/>
      <c r="BA504" s="104"/>
      <c r="BB504" s="104"/>
      <c r="BC504" s="104"/>
      <c r="BD504" s="104"/>
    </row>
    <row r="505" spans="1:56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04"/>
      <c r="AK505" s="104"/>
      <c r="AL505" s="104"/>
      <c r="AM505" s="104"/>
      <c r="AN505" s="104"/>
      <c r="AO505" s="104"/>
      <c r="AP505" s="104"/>
      <c r="AQ505" s="104"/>
      <c r="AR505" s="104"/>
      <c r="AS505" s="104"/>
      <c r="AT505" s="104"/>
      <c r="AU505" s="104"/>
      <c r="AV505" s="104"/>
      <c r="AW505" s="104"/>
      <c r="AX505" s="104"/>
      <c r="AY505" s="104"/>
      <c r="AZ505" s="104"/>
      <c r="BA505" s="104"/>
      <c r="BB505" s="104"/>
      <c r="BC505" s="104"/>
      <c r="BD505" s="104"/>
    </row>
    <row r="506" spans="1:56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04"/>
      <c r="AK506" s="104"/>
      <c r="AL506" s="104"/>
      <c r="AM506" s="104"/>
      <c r="AN506" s="104"/>
      <c r="AO506" s="104"/>
      <c r="AP506" s="104"/>
      <c r="AQ506" s="104"/>
      <c r="AR506" s="104"/>
      <c r="AS506" s="104"/>
      <c r="AT506" s="104"/>
      <c r="AU506" s="104"/>
      <c r="AV506" s="104"/>
      <c r="AW506" s="104"/>
      <c r="AX506" s="104"/>
      <c r="AY506" s="104"/>
      <c r="AZ506" s="104"/>
      <c r="BA506" s="104"/>
      <c r="BB506" s="104"/>
      <c r="BC506" s="104"/>
      <c r="BD506" s="104"/>
    </row>
    <row r="507" spans="1:56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04"/>
      <c r="AK507" s="104"/>
      <c r="AL507" s="104"/>
      <c r="AM507" s="104"/>
      <c r="AN507" s="104"/>
      <c r="AO507" s="104"/>
      <c r="AP507" s="104"/>
      <c r="AQ507" s="104"/>
      <c r="AR507" s="104"/>
      <c r="AS507" s="104"/>
      <c r="AT507" s="104"/>
      <c r="AU507" s="104"/>
      <c r="AV507" s="104"/>
      <c r="AW507" s="104"/>
      <c r="AX507" s="104"/>
      <c r="AY507" s="104"/>
      <c r="AZ507" s="104"/>
      <c r="BA507" s="104"/>
      <c r="BB507" s="104"/>
      <c r="BC507" s="104"/>
      <c r="BD507" s="104"/>
    </row>
    <row r="508" spans="1:56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04"/>
      <c r="AK508" s="104"/>
      <c r="AL508" s="104"/>
      <c r="AM508" s="104"/>
      <c r="AN508" s="104"/>
      <c r="AO508" s="104"/>
      <c r="AP508" s="104"/>
      <c r="AQ508" s="104"/>
      <c r="AR508" s="104"/>
      <c r="AS508" s="104"/>
      <c r="AT508" s="104"/>
      <c r="AU508" s="104"/>
      <c r="AV508" s="104"/>
      <c r="AW508" s="104"/>
      <c r="AX508" s="104"/>
      <c r="AY508" s="104"/>
      <c r="AZ508" s="104"/>
      <c r="BA508" s="104"/>
      <c r="BB508" s="104"/>
      <c r="BC508" s="104"/>
      <c r="BD508" s="104"/>
    </row>
    <row r="509" spans="1:56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104"/>
      <c r="AM509" s="104"/>
      <c r="AN509" s="104"/>
      <c r="AO509" s="104"/>
      <c r="AP509" s="104"/>
      <c r="AQ509" s="104"/>
      <c r="AR509" s="104"/>
      <c r="AS509" s="104"/>
      <c r="AT509" s="104"/>
      <c r="AU509" s="104"/>
      <c r="AV509" s="104"/>
      <c r="AW509" s="104"/>
      <c r="AX509" s="104"/>
      <c r="AY509" s="104"/>
      <c r="AZ509" s="104"/>
      <c r="BA509" s="104"/>
      <c r="BB509" s="104"/>
      <c r="BC509" s="104"/>
      <c r="BD509" s="104"/>
    </row>
    <row r="510" spans="1:56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104"/>
      <c r="AM510" s="104"/>
      <c r="AN510" s="104"/>
      <c r="AO510" s="104"/>
      <c r="AP510" s="104"/>
      <c r="AQ510" s="104"/>
      <c r="AR510" s="104"/>
      <c r="AS510" s="104"/>
      <c r="AT510" s="104"/>
      <c r="AU510" s="104"/>
      <c r="AV510" s="104"/>
      <c r="AW510" s="104"/>
      <c r="AX510" s="104"/>
      <c r="AY510" s="104"/>
      <c r="AZ510" s="104"/>
      <c r="BA510" s="104"/>
      <c r="BB510" s="104"/>
      <c r="BC510" s="104"/>
      <c r="BD510" s="104"/>
    </row>
    <row r="511" spans="1:56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104"/>
      <c r="AM511" s="104"/>
      <c r="AN511" s="104"/>
      <c r="AO511" s="104"/>
      <c r="AP511" s="104"/>
      <c r="AQ511" s="104"/>
      <c r="AR511" s="104"/>
      <c r="AS511" s="104"/>
      <c r="AT511" s="104"/>
      <c r="AU511" s="104"/>
      <c r="AV511" s="104"/>
      <c r="AW511" s="104"/>
      <c r="AX511" s="104"/>
      <c r="AY511" s="104"/>
      <c r="AZ511" s="104"/>
      <c r="BA511" s="104"/>
      <c r="BB511" s="104"/>
      <c r="BC511" s="104"/>
      <c r="BD511" s="104"/>
    </row>
    <row r="512" spans="1:56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04"/>
      <c r="AK512" s="104"/>
      <c r="AL512" s="104"/>
      <c r="AM512" s="104"/>
      <c r="AN512" s="104"/>
      <c r="AO512" s="104"/>
      <c r="AP512" s="104"/>
      <c r="AQ512" s="104"/>
      <c r="AR512" s="104"/>
      <c r="AS512" s="104"/>
      <c r="AT512" s="104"/>
      <c r="AU512" s="104"/>
      <c r="AV512" s="104"/>
      <c r="AW512" s="104"/>
      <c r="AX512" s="104"/>
      <c r="AY512" s="104"/>
      <c r="AZ512" s="104"/>
      <c r="BA512" s="104"/>
      <c r="BB512" s="104"/>
      <c r="BC512" s="104"/>
      <c r="BD512" s="104"/>
    </row>
    <row r="513" spans="1:56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04"/>
      <c r="AK513" s="104"/>
      <c r="AL513" s="104"/>
      <c r="AM513" s="104"/>
      <c r="AN513" s="104"/>
      <c r="AO513" s="104"/>
      <c r="AP513" s="104"/>
      <c r="AQ513" s="104"/>
      <c r="AR513" s="104"/>
      <c r="AS513" s="104"/>
      <c r="AT513" s="104"/>
      <c r="AU513" s="104"/>
      <c r="AV513" s="104"/>
      <c r="AW513" s="104"/>
      <c r="AX513" s="104"/>
      <c r="AY513" s="104"/>
      <c r="AZ513" s="104"/>
      <c r="BA513" s="104"/>
      <c r="BB513" s="104"/>
      <c r="BC513" s="104"/>
      <c r="BD513" s="104"/>
    </row>
    <row r="514" spans="1:56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04"/>
      <c r="AK514" s="104"/>
      <c r="AL514" s="104"/>
      <c r="AM514" s="104"/>
      <c r="AN514" s="104"/>
      <c r="AO514" s="104"/>
      <c r="AP514" s="104"/>
      <c r="AQ514" s="104"/>
      <c r="AR514" s="104"/>
      <c r="AS514" s="104"/>
      <c r="AT514" s="104"/>
      <c r="AU514" s="104"/>
      <c r="AV514" s="104"/>
      <c r="AW514" s="104"/>
      <c r="AX514" s="104"/>
      <c r="AY514" s="104"/>
      <c r="AZ514" s="104"/>
      <c r="BA514" s="104"/>
      <c r="BB514" s="104"/>
      <c r="BC514" s="104"/>
      <c r="BD514" s="104"/>
    </row>
    <row r="515" spans="1:56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04"/>
      <c r="AK515" s="104"/>
      <c r="AL515" s="104"/>
      <c r="AM515" s="104"/>
      <c r="AN515" s="104"/>
      <c r="AO515" s="104"/>
      <c r="AP515" s="104"/>
      <c r="AQ515" s="104"/>
      <c r="AR515" s="104"/>
      <c r="AS515" s="104"/>
      <c r="AT515" s="104"/>
      <c r="AU515" s="104"/>
      <c r="AV515" s="104"/>
      <c r="AW515" s="104"/>
      <c r="AX515" s="104"/>
      <c r="AY515" s="104"/>
      <c r="AZ515" s="104"/>
      <c r="BA515" s="104"/>
      <c r="BB515" s="104"/>
      <c r="BC515" s="104"/>
      <c r="BD515" s="104"/>
    </row>
    <row r="516" spans="1:56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04"/>
      <c r="AK516" s="104"/>
      <c r="AL516" s="104"/>
      <c r="AM516" s="104"/>
      <c r="AN516" s="104"/>
      <c r="AO516" s="104"/>
      <c r="AP516" s="104"/>
      <c r="AQ516" s="104"/>
      <c r="AR516" s="104"/>
      <c r="AS516" s="104"/>
      <c r="AT516" s="104"/>
      <c r="AU516" s="104"/>
      <c r="AV516" s="104"/>
      <c r="AW516" s="104"/>
      <c r="AX516" s="104"/>
      <c r="AY516" s="104"/>
      <c r="AZ516" s="104"/>
      <c r="BA516" s="104"/>
      <c r="BB516" s="104"/>
      <c r="BC516" s="104"/>
      <c r="BD516" s="104"/>
    </row>
    <row r="517" spans="1:56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  <c r="AH517" s="104"/>
      <c r="AI517" s="104"/>
      <c r="AJ517" s="104"/>
      <c r="AK517" s="104"/>
      <c r="AL517" s="104"/>
      <c r="AM517" s="104"/>
      <c r="AN517" s="104"/>
      <c r="AO517" s="104"/>
      <c r="AP517" s="104"/>
      <c r="AQ517" s="104"/>
      <c r="AR517" s="104"/>
      <c r="AS517" s="104"/>
      <c r="AT517" s="104"/>
      <c r="AU517" s="104"/>
      <c r="AV517" s="104"/>
      <c r="AW517" s="104"/>
      <c r="AX517" s="104"/>
      <c r="AY517" s="104"/>
      <c r="AZ517" s="104"/>
      <c r="BA517" s="104"/>
      <c r="BB517" s="104"/>
      <c r="BC517" s="104"/>
      <c r="BD517" s="104"/>
    </row>
    <row r="518" spans="1:56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  <c r="AH518" s="104"/>
      <c r="AI518" s="104"/>
      <c r="AJ518" s="104"/>
      <c r="AK518" s="104"/>
      <c r="AL518" s="104"/>
      <c r="AM518" s="104"/>
      <c r="AN518" s="104"/>
      <c r="AO518" s="104"/>
      <c r="AP518" s="104"/>
      <c r="AQ518" s="104"/>
      <c r="AR518" s="104"/>
      <c r="AS518" s="104"/>
      <c r="AT518" s="104"/>
      <c r="AU518" s="104"/>
      <c r="AV518" s="104"/>
      <c r="AW518" s="104"/>
      <c r="AX518" s="104"/>
      <c r="AY518" s="104"/>
      <c r="AZ518" s="104"/>
      <c r="BA518" s="104"/>
      <c r="BB518" s="104"/>
      <c r="BC518" s="104"/>
      <c r="BD518" s="104"/>
    </row>
    <row r="519" spans="1:56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104"/>
      <c r="AM519" s="104"/>
      <c r="AN519" s="104"/>
      <c r="AO519" s="104"/>
      <c r="AP519" s="104"/>
      <c r="AQ519" s="104"/>
      <c r="AR519" s="104"/>
      <c r="AS519" s="104"/>
      <c r="AT519" s="104"/>
      <c r="AU519" s="104"/>
      <c r="AV519" s="104"/>
      <c r="AW519" s="104"/>
      <c r="AX519" s="104"/>
      <c r="AY519" s="104"/>
      <c r="AZ519" s="104"/>
      <c r="BA519" s="104"/>
      <c r="BB519" s="104"/>
      <c r="BC519" s="104"/>
      <c r="BD519" s="104"/>
    </row>
    <row r="520" spans="1:56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  <c r="AH520" s="104"/>
      <c r="AI520" s="104"/>
      <c r="AJ520" s="104"/>
      <c r="AK520" s="104"/>
      <c r="AL520" s="104"/>
      <c r="AM520" s="104"/>
      <c r="AN520" s="104"/>
      <c r="AO520" s="104"/>
      <c r="AP520" s="104"/>
      <c r="AQ520" s="104"/>
      <c r="AR520" s="104"/>
      <c r="AS520" s="104"/>
      <c r="AT520" s="104"/>
      <c r="AU520" s="104"/>
      <c r="AV520" s="104"/>
      <c r="AW520" s="104"/>
      <c r="AX520" s="104"/>
      <c r="AY520" s="104"/>
      <c r="AZ520" s="104"/>
      <c r="BA520" s="104"/>
      <c r="BB520" s="104"/>
      <c r="BC520" s="104"/>
      <c r="BD520" s="104"/>
    </row>
    <row r="521" spans="1:56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04"/>
      <c r="AK521" s="104"/>
      <c r="AL521" s="104"/>
      <c r="AM521" s="104"/>
      <c r="AN521" s="104"/>
      <c r="AO521" s="104"/>
      <c r="AP521" s="104"/>
      <c r="AQ521" s="104"/>
      <c r="AR521" s="104"/>
      <c r="AS521" s="104"/>
      <c r="AT521" s="104"/>
      <c r="AU521" s="104"/>
      <c r="AV521" s="104"/>
      <c r="AW521" s="104"/>
      <c r="AX521" s="104"/>
      <c r="AY521" s="104"/>
      <c r="AZ521" s="104"/>
      <c r="BA521" s="104"/>
      <c r="BB521" s="104"/>
      <c r="BC521" s="104"/>
      <c r="BD521" s="104"/>
    </row>
    <row r="522" spans="1:56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04"/>
      <c r="AK522" s="104"/>
      <c r="AL522" s="104"/>
      <c r="AM522" s="104"/>
      <c r="AN522" s="104"/>
      <c r="AO522" s="104"/>
      <c r="AP522" s="104"/>
      <c r="AQ522" s="104"/>
      <c r="AR522" s="104"/>
      <c r="AS522" s="104"/>
      <c r="AT522" s="104"/>
      <c r="AU522" s="104"/>
      <c r="AV522" s="104"/>
      <c r="AW522" s="104"/>
      <c r="AX522" s="104"/>
      <c r="AY522" s="104"/>
      <c r="AZ522" s="104"/>
      <c r="BA522" s="104"/>
      <c r="BB522" s="104"/>
      <c r="BC522" s="104"/>
      <c r="BD522" s="104"/>
    </row>
    <row r="523" spans="1:56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04"/>
      <c r="AK523" s="104"/>
      <c r="AL523" s="104"/>
      <c r="AM523" s="104"/>
      <c r="AN523" s="104"/>
      <c r="AO523" s="104"/>
      <c r="AP523" s="104"/>
      <c r="AQ523" s="104"/>
      <c r="AR523" s="104"/>
      <c r="AS523" s="104"/>
      <c r="AT523" s="104"/>
      <c r="AU523" s="104"/>
      <c r="AV523" s="104"/>
      <c r="AW523" s="104"/>
      <c r="AX523" s="104"/>
      <c r="AY523" s="104"/>
      <c r="AZ523" s="104"/>
      <c r="BA523" s="104"/>
      <c r="BB523" s="104"/>
      <c r="BC523" s="104"/>
      <c r="BD523" s="104"/>
    </row>
    <row r="524" spans="1:56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04"/>
      <c r="AK524" s="104"/>
      <c r="AL524" s="104"/>
      <c r="AM524" s="104"/>
      <c r="AN524" s="104"/>
      <c r="AO524" s="104"/>
      <c r="AP524" s="104"/>
      <c r="AQ524" s="104"/>
      <c r="AR524" s="104"/>
      <c r="AS524" s="104"/>
      <c r="AT524" s="104"/>
      <c r="AU524" s="104"/>
      <c r="AV524" s="104"/>
      <c r="AW524" s="104"/>
      <c r="AX524" s="104"/>
      <c r="AY524" s="104"/>
      <c r="AZ524" s="104"/>
      <c r="BA524" s="104"/>
      <c r="BB524" s="104"/>
      <c r="BC524" s="104"/>
      <c r="BD524" s="104"/>
    </row>
    <row r="525" spans="1:56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  <c r="AI525" s="104"/>
      <c r="AJ525" s="104"/>
      <c r="AK525" s="104"/>
      <c r="AL525" s="104"/>
      <c r="AM525" s="104"/>
      <c r="AN525" s="104"/>
      <c r="AO525" s="104"/>
      <c r="AP525" s="104"/>
      <c r="AQ525" s="104"/>
      <c r="AR525" s="104"/>
      <c r="AS525" s="104"/>
      <c r="AT525" s="104"/>
      <c r="AU525" s="104"/>
      <c r="AV525" s="104"/>
      <c r="AW525" s="104"/>
      <c r="AX525" s="104"/>
      <c r="AY525" s="104"/>
      <c r="AZ525" s="104"/>
      <c r="BA525" s="104"/>
      <c r="BB525" s="104"/>
      <c r="BC525" s="104"/>
      <c r="BD525" s="104"/>
    </row>
    <row r="526" spans="1:56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  <c r="AI526" s="104"/>
      <c r="AJ526" s="104"/>
      <c r="AK526" s="104"/>
      <c r="AL526" s="104"/>
      <c r="AM526" s="104"/>
      <c r="AN526" s="104"/>
      <c r="AO526" s="104"/>
      <c r="AP526" s="104"/>
      <c r="AQ526" s="104"/>
      <c r="AR526" s="104"/>
      <c r="AS526" s="104"/>
      <c r="AT526" s="104"/>
      <c r="AU526" s="104"/>
      <c r="AV526" s="104"/>
      <c r="AW526" s="104"/>
      <c r="AX526" s="104"/>
      <c r="AY526" s="104"/>
      <c r="AZ526" s="104"/>
      <c r="BA526" s="104"/>
      <c r="BB526" s="104"/>
      <c r="BC526" s="104"/>
      <c r="BD526" s="104"/>
    </row>
    <row r="527" spans="1:56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  <c r="AI527" s="104"/>
      <c r="AJ527" s="104"/>
      <c r="AK527" s="104"/>
      <c r="AL527" s="104"/>
      <c r="AM527" s="104"/>
      <c r="AN527" s="104"/>
      <c r="AO527" s="104"/>
      <c r="AP527" s="104"/>
      <c r="AQ527" s="104"/>
      <c r="AR527" s="104"/>
      <c r="AS527" s="104"/>
      <c r="AT527" s="104"/>
      <c r="AU527" s="104"/>
      <c r="AV527" s="104"/>
      <c r="AW527" s="104"/>
      <c r="AX527" s="104"/>
      <c r="AY527" s="104"/>
      <c r="AZ527" s="104"/>
      <c r="BA527" s="104"/>
      <c r="BB527" s="104"/>
      <c r="BC527" s="104"/>
      <c r="BD527" s="104"/>
    </row>
    <row r="528" spans="1:56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  <c r="AI528" s="104"/>
      <c r="AJ528" s="104"/>
      <c r="AK528" s="104"/>
      <c r="AL528" s="104"/>
      <c r="AM528" s="104"/>
      <c r="AN528" s="104"/>
      <c r="AO528" s="104"/>
      <c r="AP528" s="104"/>
      <c r="AQ528" s="104"/>
      <c r="AR528" s="104"/>
      <c r="AS528" s="104"/>
      <c r="AT528" s="104"/>
      <c r="AU528" s="104"/>
      <c r="AV528" s="104"/>
      <c r="AW528" s="104"/>
      <c r="AX528" s="104"/>
      <c r="AY528" s="104"/>
      <c r="AZ528" s="104"/>
      <c r="BA528" s="104"/>
      <c r="BB528" s="104"/>
      <c r="BC528" s="104"/>
      <c r="BD528" s="104"/>
    </row>
    <row r="529" spans="1:56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  <c r="AI529" s="104"/>
      <c r="AJ529" s="104"/>
      <c r="AK529" s="104"/>
      <c r="AL529" s="104"/>
      <c r="AM529" s="104"/>
      <c r="AN529" s="104"/>
      <c r="AO529" s="104"/>
      <c r="AP529" s="104"/>
      <c r="AQ529" s="104"/>
      <c r="AR529" s="104"/>
      <c r="AS529" s="104"/>
      <c r="AT529" s="104"/>
      <c r="AU529" s="104"/>
      <c r="AV529" s="104"/>
      <c r="AW529" s="104"/>
      <c r="AX529" s="104"/>
      <c r="AY529" s="104"/>
      <c r="AZ529" s="104"/>
      <c r="BA529" s="104"/>
      <c r="BB529" s="104"/>
      <c r="BC529" s="104"/>
      <c r="BD529" s="104"/>
    </row>
    <row r="530" spans="1:56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  <c r="AI530" s="104"/>
      <c r="AJ530" s="104"/>
      <c r="AK530" s="104"/>
      <c r="AL530" s="104"/>
      <c r="AM530" s="104"/>
      <c r="AN530" s="104"/>
      <c r="AO530" s="104"/>
      <c r="AP530" s="104"/>
      <c r="AQ530" s="104"/>
      <c r="AR530" s="104"/>
      <c r="AS530" s="104"/>
      <c r="AT530" s="104"/>
      <c r="AU530" s="104"/>
      <c r="AV530" s="104"/>
      <c r="AW530" s="104"/>
      <c r="AX530" s="104"/>
      <c r="AY530" s="104"/>
      <c r="AZ530" s="104"/>
      <c r="BA530" s="104"/>
      <c r="BB530" s="104"/>
      <c r="BC530" s="104"/>
      <c r="BD530" s="104"/>
    </row>
    <row r="531" spans="1:56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  <c r="AI531" s="104"/>
      <c r="AJ531" s="104"/>
      <c r="AK531" s="104"/>
      <c r="AL531" s="104"/>
      <c r="AM531" s="104"/>
      <c r="AN531" s="104"/>
      <c r="AO531" s="104"/>
      <c r="AP531" s="104"/>
      <c r="AQ531" s="104"/>
      <c r="AR531" s="104"/>
      <c r="AS531" s="104"/>
      <c r="AT531" s="104"/>
      <c r="AU531" s="104"/>
      <c r="AV531" s="104"/>
      <c r="AW531" s="104"/>
      <c r="AX531" s="104"/>
      <c r="AY531" s="104"/>
      <c r="AZ531" s="104"/>
      <c r="BA531" s="104"/>
      <c r="BB531" s="104"/>
      <c r="BC531" s="104"/>
      <c r="BD531" s="104"/>
    </row>
    <row r="532" spans="1:56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  <c r="AI532" s="104"/>
      <c r="AJ532" s="104"/>
      <c r="AK532" s="104"/>
      <c r="AL532" s="104"/>
      <c r="AM532" s="104"/>
      <c r="AN532" s="104"/>
      <c r="AO532" s="104"/>
      <c r="AP532" s="104"/>
      <c r="AQ532" s="104"/>
      <c r="AR532" s="104"/>
      <c r="AS532" s="104"/>
      <c r="AT532" s="104"/>
      <c r="AU532" s="104"/>
      <c r="AV532" s="104"/>
      <c r="AW532" s="104"/>
      <c r="AX532" s="104"/>
      <c r="AY532" s="104"/>
      <c r="AZ532" s="104"/>
      <c r="BA532" s="104"/>
      <c r="BB532" s="104"/>
      <c r="BC532" s="104"/>
      <c r="BD532" s="104"/>
    </row>
    <row r="533" spans="1:56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  <c r="AI533" s="104"/>
      <c r="AJ533" s="104"/>
      <c r="AK533" s="104"/>
      <c r="AL533" s="104"/>
      <c r="AM533" s="104"/>
      <c r="AN533" s="104"/>
      <c r="AO533" s="104"/>
      <c r="AP533" s="104"/>
      <c r="AQ533" s="104"/>
      <c r="AR533" s="104"/>
      <c r="AS533" s="104"/>
      <c r="AT533" s="104"/>
      <c r="AU533" s="104"/>
      <c r="AV533" s="104"/>
      <c r="AW533" s="104"/>
      <c r="AX533" s="104"/>
      <c r="AY533" s="104"/>
      <c r="AZ533" s="104"/>
      <c r="BA533" s="104"/>
      <c r="BB533" s="104"/>
      <c r="BC533" s="104"/>
      <c r="BD533" s="104"/>
    </row>
    <row r="534" spans="1:56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  <c r="AI534" s="104"/>
      <c r="AJ534" s="104"/>
      <c r="AK534" s="104"/>
      <c r="AL534" s="104"/>
      <c r="AM534" s="104"/>
      <c r="AN534" s="104"/>
      <c r="AO534" s="104"/>
      <c r="AP534" s="104"/>
      <c r="AQ534" s="104"/>
      <c r="AR534" s="104"/>
      <c r="AS534" s="104"/>
      <c r="AT534" s="104"/>
      <c r="AU534" s="104"/>
      <c r="AV534" s="104"/>
      <c r="AW534" s="104"/>
      <c r="AX534" s="104"/>
      <c r="AY534" s="104"/>
      <c r="AZ534" s="104"/>
      <c r="BA534" s="104"/>
      <c r="BB534" s="104"/>
      <c r="BC534" s="104"/>
      <c r="BD534" s="104"/>
    </row>
    <row r="535" spans="1:56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  <c r="AI535" s="104"/>
      <c r="AJ535" s="104"/>
      <c r="AK535" s="104"/>
      <c r="AL535" s="104"/>
      <c r="AM535" s="104"/>
      <c r="AN535" s="104"/>
      <c r="AO535" s="104"/>
      <c r="AP535" s="104"/>
      <c r="AQ535" s="104"/>
      <c r="AR535" s="104"/>
      <c r="AS535" s="104"/>
      <c r="AT535" s="104"/>
      <c r="AU535" s="104"/>
      <c r="AV535" s="104"/>
      <c r="AW535" s="104"/>
      <c r="AX535" s="104"/>
      <c r="AY535" s="104"/>
      <c r="AZ535" s="104"/>
      <c r="BA535" s="104"/>
      <c r="BB535" s="104"/>
      <c r="BC535" s="104"/>
      <c r="BD535" s="104"/>
    </row>
    <row r="536" spans="1:56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  <c r="AI536" s="104"/>
      <c r="AJ536" s="104"/>
      <c r="AK536" s="104"/>
      <c r="AL536" s="104"/>
      <c r="AM536" s="104"/>
      <c r="AN536" s="104"/>
      <c r="AO536" s="104"/>
      <c r="AP536" s="104"/>
      <c r="AQ536" s="104"/>
      <c r="AR536" s="104"/>
      <c r="AS536" s="104"/>
      <c r="AT536" s="104"/>
      <c r="AU536" s="104"/>
      <c r="AV536" s="104"/>
      <c r="AW536" s="104"/>
      <c r="AX536" s="104"/>
      <c r="AY536" s="104"/>
      <c r="AZ536" s="104"/>
      <c r="BA536" s="104"/>
      <c r="BB536" s="104"/>
      <c r="BC536" s="104"/>
      <c r="BD536" s="104"/>
    </row>
    <row r="537" spans="1:56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  <c r="AI537" s="104"/>
      <c r="AJ537" s="104"/>
      <c r="AK537" s="104"/>
      <c r="AL537" s="104"/>
      <c r="AM537" s="104"/>
      <c r="AN537" s="104"/>
      <c r="AO537" s="104"/>
      <c r="AP537" s="104"/>
      <c r="AQ537" s="104"/>
      <c r="AR537" s="104"/>
      <c r="AS537" s="104"/>
      <c r="AT537" s="104"/>
      <c r="AU537" s="104"/>
      <c r="AV537" s="104"/>
      <c r="AW537" s="104"/>
      <c r="AX537" s="104"/>
      <c r="AY537" s="104"/>
      <c r="AZ537" s="104"/>
      <c r="BA537" s="104"/>
      <c r="BB537" s="104"/>
      <c r="BC537" s="104"/>
      <c r="BD537" s="104"/>
    </row>
    <row r="538" spans="1:56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  <c r="AI538" s="104"/>
      <c r="AJ538" s="104"/>
      <c r="AK538" s="104"/>
      <c r="AL538" s="104"/>
      <c r="AM538" s="104"/>
      <c r="AN538" s="104"/>
      <c r="AO538" s="104"/>
      <c r="AP538" s="104"/>
      <c r="AQ538" s="104"/>
      <c r="AR538" s="104"/>
      <c r="AS538" s="104"/>
      <c r="AT538" s="104"/>
      <c r="AU538" s="104"/>
      <c r="AV538" s="104"/>
      <c r="AW538" s="104"/>
      <c r="AX538" s="104"/>
      <c r="AY538" s="104"/>
      <c r="AZ538" s="104"/>
      <c r="BA538" s="104"/>
      <c r="BB538" s="104"/>
      <c r="BC538" s="104"/>
      <c r="BD538" s="104"/>
    </row>
    <row r="539" spans="1:56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  <c r="AI539" s="104"/>
      <c r="AJ539" s="104"/>
      <c r="AK539" s="104"/>
      <c r="AL539" s="104"/>
      <c r="AM539" s="104"/>
      <c r="AN539" s="104"/>
      <c r="AO539" s="104"/>
      <c r="AP539" s="104"/>
      <c r="AQ539" s="104"/>
      <c r="AR539" s="104"/>
      <c r="AS539" s="104"/>
      <c r="AT539" s="104"/>
      <c r="AU539" s="104"/>
      <c r="AV539" s="104"/>
      <c r="AW539" s="104"/>
      <c r="AX539" s="104"/>
      <c r="AY539" s="104"/>
      <c r="AZ539" s="104"/>
      <c r="BA539" s="104"/>
      <c r="BB539" s="104"/>
      <c r="BC539" s="104"/>
      <c r="BD539" s="104"/>
    </row>
    <row r="540" spans="1:56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04"/>
      <c r="AK540" s="104"/>
      <c r="AL540" s="104"/>
      <c r="AM540" s="104"/>
      <c r="AN540" s="104"/>
      <c r="AO540" s="104"/>
      <c r="AP540" s="104"/>
      <c r="AQ540" s="104"/>
      <c r="AR540" s="104"/>
      <c r="AS540" s="104"/>
      <c r="AT540" s="104"/>
      <c r="AU540" s="104"/>
      <c r="AV540" s="104"/>
      <c r="AW540" s="104"/>
      <c r="AX540" s="104"/>
      <c r="AY540" s="104"/>
      <c r="AZ540" s="104"/>
      <c r="BA540" s="104"/>
      <c r="BB540" s="104"/>
      <c r="BC540" s="104"/>
      <c r="BD540" s="104"/>
    </row>
    <row r="541" spans="1:56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  <c r="AI541" s="104"/>
      <c r="AJ541" s="104"/>
      <c r="AK541" s="104"/>
      <c r="AL541" s="104"/>
      <c r="AM541" s="104"/>
      <c r="AN541" s="104"/>
      <c r="AO541" s="104"/>
      <c r="AP541" s="104"/>
      <c r="AQ541" s="104"/>
      <c r="AR541" s="104"/>
      <c r="AS541" s="104"/>
      <c r="AT541" s="104"/>
      <c r="AU541" s="104"/>
      <c r="AV541" s="104"/>
      <c r="AW541" s="104"/>
      <c r="AX541" s="104"/>
      <c r="AY541" s="104"/>
      <c r="AZ541" s="104"/>
      <c r="BA541" s="104"/>
      <c r="BB541" s="104"/>
      <c r="BC541" s="104"/>
      <c r="BD541" s="104"/>
    </row>
    <row r="542" spans="1:56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  <c r="AI542" s="104"/>
      <c r="AJ542" s="104"/>
      <c r="AK542" s="104"/>
      <c r="AL542" s="104"/>
      <c r="AM542" s="104"/>
      <c r="AN542" s="104"/>
      <c r="AO542" s="104"/>
      <c r="AP542" s="104"/>
      <c r="AQ542" s="104"/>
      <c r="AR542" s="104"/>
      <c r="AS542" s="104"/>
      <c r="AT542" s="104"/>
      <c r="AU542" s="104"/>
      <c r="AV542" s="104"/>
      <c r="AW542" s="104"/>
      <c r="AX542" s="104"/>
      <c r="AY542" s="104"/>
      <c r="AZ542" s="104"/>
      <c r="BA542" s="104"/>
      <c r="BB542" s="104"/>
      <c r="BC542" s="104"/>
      <c r="BD542" s="104"/>
    </row>
    <row r="543" spans="1:56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  <c r="AI543" s="104"/>
      <c r="AJ543" s="104"/>
      <c r="AK543" s="104"/>
      <c r="AL543" s="104"/>
      <c r="AM543" s="104"/>
      <c r="AN543" s="104"/>
      <c r="AO543" s="104"/>
      <c r="AP543" s="104"/>
      <c r="AQ543" s="104"/>
      <c r="AR543" s="104"/>
      <c r="AS543" s="104"/>
      <c r="AT543" s="104"/>
      <c r="AU543" s="104"/>
      <c r="AV543" s="104"/>
      <c r="AW543" s="104"/>
      <c r="AX543" s="104"/>
      <c r="AY543" s="104"/>
      <c r="AZ543" s="104"/>
      <c r="BA543" s="104"/>
      <c r="BB543" s="104"/>
      <c r="BC543" s="104"/>
      <c r="BD543" s="104"/>
    </row>
    <row r="544" spans="1:56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04"/>
      <c r="AK544" s="104"/>
      <c r="AL544" s="104"/>
      <c r="AM544" s="104"/>
      <c r="AN544" s="104"/>
      <c r="AO544" s="104"/>
      <c r="AP544" s="104"/>
      <c r="AQ544" s="104"/>
      <c r="AR544" s="104"/>
      <c r="AS544" s="104"/>
      <c r="AT544" s="104"/>
      <c r="AU544" s="104"/>
      <c r="AV544" s="104"/>
      <c r="AW544" s="104"/>
      <c r="AX544" s="104"/>
      <c r="AY544" s="104"/>
      <c r="AZ544" s="104"/>
      <c r="BA544" s="104"/>
      <c r="BB544" s="104"/>
      <c r="BC544" s="104"/>
      <c r="BD544" s="104"/>
    </row>
    <row r="545" spans="1:56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04"/>
      <c r="AK545" s="104"/>
      <c r="AL545" s="104"/>
      <c r="AM545" s="104"/>
      <c r="AN545" s="104"/>
      <c r="AO545" s="104"/>
      <c r="AP545" s="104"/>
      <c r="AQ545" s="104"/>
      <c r="AR545" s="104"/>
      <c r="AS545" s="104"/>
      <c r="AT545" s="104"/>
      <c r="AU545" s="104"/>
      <c r="AV545" s="104"/>
      <c r="AW545" s="104"/>
      <c r="AX545" s="104"/>
      <c r="AY545" s="104"/>
      <c r="AZ545" s="104"/>
      <c r="BA545" s="104"/>
      <c r="BB545" s="104"/>
      <c r="BC545" s="104"/>
      <c r="BD545" s="104"/>
    </row>
    <row r="546" spans="1:56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04"/>
      <c r="AK546" s="104"/>
      <c r="AL546" s="104"/>
      <c r="AM546" s="104"/>
      <c r="AN546" s="104"/>
      <c r="AO546" s="104"/>
      <c r="AP546" s="104"/>
      <c r="AQ546" s="104"/>
      <c r="AR546" s="104"/>
      <c r="AS546" s="104"/>
      <c r="AT546" s="104"/>
      <c r="AU546" s="104"/>
      <c r="AV546" s="104"/>
      <c r="AW546" s="104"/>
      <c r="AX546" s="104"/>
      <c r="AY546" s="104"/>
      <c r="AZ546" s="104"/>
      <c r="BA546" s="104"/>
      <c r="BB546" s="104"/>
      <c r="BC546" s="104"/>
      <c r="BD546" s="104"/>
    </row>
    <row r="547" spans="1:56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04"/>
      <c r="AK547" s="104"/>
      <c r="AL547" s="104"/>
      <c r="AM547" s="104"/>
      <c r="AN547" s="104"/>
      <c r="AO547" s="104"/>
      <c r="AP547" s="104"/>
      <c r="AQ547" s="104"/>
      <c r="AR547" s="104"/>
      <c r="AS547" s="104"/>
      <c r="AT547" s="104"/>
      <c r="AU547" s="104"/>
      <c r="AV547" s="104"/>
      <c r="AW547" s="104"/>
      <c r="AX547" s="104"/>
      <c r="AY547" s="104"/>
      <c r="AZ547" s="104"/>
      <c r="BA547" s="104"/>
      <c r="BB547" s="104"/>
      <c r="BC547" s="104"/>
      <c r="BD547" s="104"/>
    </row>
    <row r="548" spans="1:56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04"/>
      <c r="AK548" s="104"/>
      <c r="AL548" s="104"/>
      <c r="AM548" s="104"/>
      <c r="AN548" s="104"/>
      <c r="AO548" s="104"/>
      <c r="AP548" s="104"/>
      <c r="AQ548" s="104"/>
      <c r="AR548" s="104"/>
      <c r="AS548" s="104"/>
      <c r="AT548" s="104"/>
      <c r="AU548" s="104"/>
      <c r="AV548" s="104"/>
      <c r="AW548" s="104"/>
      <c r="AX548" s="104"/>
      <c r="AY548" s="104"/>
      <c r="AZ548" s="104"/>
      <c r="BA548" s="104"/>
      <c r="BB548" s="104"/>
      <c r="BC548" s="104"/>
      <c r="BD548" s="104"/>
    </row>
    <row r="549" spans="1:56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04"/>
      <c r="AK549" s="104"/>
      <c r="AL549" s="104"/>
      <c r="AM549" s="104"/>
      <c r="AN549" s="104"/>
      <c r="AO549" s="104"/>
      <c r="AP549" s="104"/>
      <c r="AQ549" s="104"/>
      <c r="AR549" s="104"/>
      <c r="AS549" s="104"/>
      <c r="AT549" s="104"/>
      <c r="AU549" s="104"/>
      <c r="AV549" s="104"/>
      <c r="AW549" s="104"/>
      <c r="AX549" s="104"/>
      <c r="AY549" s="104"/>
      <c r="AZ549" s="104"/>
      <c r="BA549" s="104"/>
      <c r="BB549" s="104"/>
      <c r="BC549" s="104"/>
      <c r="BD549" s="104"/>
    </row>
    <row r="550" spans="1:56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04"/>
      <c r="AK550" s="104"/>
      <c r="AL550" s="104"/>
      <c r="AM550" s="104"/>
      <c r="AN550" s="104"/>
      <c r="AO550" s="104"/>
      <c r="AP550" s="104"/>
      <c r="AQ550" s="104"/>
      <c r="AR550" s="104"/>
      <c r="AS550" s="104"/>
      <c r="AT550" s="104"/>
      <c r="AU550" s="104"/>
      <c r="AV550" s="104"/>
      <c r="AW550" s="104"/>
      <c r="AX550" s="104"/>
      <c r="AY550" s="104"/>
      <c r="AZ550" s="104"/>
      <c r="BA550" s="104"/>
      <c r="BB550" s="104"/>
      <c r="BC550" s="104"/>
      <c r="BD550" s="104"/>
    </row>
    <row r="551" spans="1:56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04"/>
      <c r="AK551" s="104"/>
      <c r="AL551" s="104"/>
      <c r="AM551" s="104"/>
      <c r="AN551" s="104"/>
      <c r="AO551" s="104"/>
      <c r="AP551" s="104"/>
      <c r="AQ551" s="104"/>
      <c r="AR551" s="104"/>
      <c r="AS551" s="104"/>
      <c r="AT551" s="104"/>
      <c r="AU551" s="104"/>
      <c r="AV551" s="104"/>
      <c r="AW551" s="104"/>
      <c r="AX551" s="104"/>
      <c r="AY551" s="104"/>
      <c r="AZ551" s="104"/>
      <c r="BA551" s="104"/>
      <c r="BB551" s="104"/>
      <c r="BC551" s="104"/>
      <c r="BD551" s="104"/>
    </row>
    <row r="552" spans="1:56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04"/>
      <c r="AK552" s="104"/>
      <c r="AL552" s="104"/>
      <c r="AM552" s="104"/>
      <c r="AN552" s="104"/>
      <c r="AO552" s="104"/>
      <c r="AP552" s="104"/>
      <c r="AQ552" s="104"/>
      <c r="AR552" s="104"/>
      <c r="AS552" s="104"/>
      <c r="AT552" s="104"/>
      <c r="AU552" s="104"/>
      <c r="AV552" s="104"/>
      <c r="AW552" s="104"/>
      <c r="AX552" s="104"/>
      <c r="AY552" s="104"/>
      <c r="AZ552" s="104"/>
      <c r="BA552" s="104"/>
      <c r="BB552" s="104"/>
      <c r="BC552" s="104"/>
      <c r="BD552" s="104"/>
    </row>
    <row r="553" spans="1:56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04"/>
      <c r="AK553" s="104"/>
      <c r="AL553" s="104"/>
      <c r="AM553" s="104"/>
      <c r="AN553" s="104"/>
      <c r="AO553" s="104"/>
      <c r="AP553" s="104"/>
      <c r="AQ553" s="104"/>
      <c r="AR553" s="104"/>
      <c r="AS553" s="104"/>
      <c r="AT553" s="104"/>
      <c r="AU553" s="104"/>
      <c r="AV553" s="104"/>
      <c r="AW553" s="104"/>
      <c r="AX553" s="104"/>
      <c r="AY553" s="104"/>
      <c r="AZ553" s="104"/>
      <c r="BA553" s="104"/>
      <c r="BB553" s="104"/>
      <c r="BC553" s="104"/>
      <c r="BD553" s="104"/>
    </row>
    <row r="554" spans="1:56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  <c r="AH554" s="104"/>
      <c r="AI554" s="104"/>
      <c r="AJ554" s="104"/>
      <c r="AK554" s="104"/>
      <c r="AL554" s="104"/>
      <c r="AM554" s="104"/>
      <c r="AN554" s="104"/>
      <c r="AO554" s="104"/>
      <c r="AP554" s="104"/>
      <c r="AQ554" s="104"/>
      <c r="AR554" s="104"/>
      <c r="AS554" s="104"/>
      <c r="AT554" s="104"/>
      <c r="AU554" s="104"/>
      <c r="AV554" s="104"/>
      <c r="AW554" s="104"/>
      <c r="AX554" s="104"/>
      <c r="AY554" s="104"/>
      <c r="AZ554" s="104"/>
      <c r="BA554" s="104"/>
      <c r="BB554" s="104"/>
      <c r="BC554" s="104"/>
      <c r="BD554" s="104"/>
    </row>
    <row r="555" spans="1:56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  <c r="AH555" s="104"/>
      <c r="AI555" s="104"/>
      <c r="AJ555" s="104"/>
      <c r="AK555" s="104"/>
      <c r="AL555" s="104"/>
      <c r="AM555" s="104"/>
      <c r="AN555" s="104"/>
      <c r="AO555" s="104"/>
      <c r="AP555" s="104"/>
      <c r="AQ555" s="104"/>
      <c r="AR555" s="104"/>
      <c r="AS555" s="104"/>
      <c r="AT555" s="104"/>
      <c r="AU555" s="104"/>
      <c r="AV555" s="104"/>
      <c r="AW555" s="104"/>
      <c r="AX555" s="104"/>
      <c r="AY555" s="104"/>
      <c r="AZ555" s="104"/>
      <c r="BA555" s="104"/>
      <c r="BB555" s="104"/>
      <c r="BC555" s="104"/>
      <c r="BD555" s="104"/>
    </row>
    <row r="556" spans="1:56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  <c r="AH556" s="104"/>
      <c r="AI556" s="104"/>
      <c r="AJ556" s="104"/>
      <c r="AK556" s="104"/>
      <c r="AL556" s="104"/>
      <c r="AM556" s="104"/>
      <c r="AN556" s="104"/>
      <c r="AO556" s="104"/>
      <c r="AP556" s="104"/>
      <c r="AQ556" s="104"/>
      <c r="AR556" s="104"/>
      <c r="AS556" s="104"/>
      <c r="AT556" s="104"/>
      <c r="AU556" s="104"/>
      <c r="AV556" s="104"/>
      <c r="AW556" s="104"/>
      <c r="AX556" s="104"/>
      <c r="AY556" s="104"/>
      <c r="AZ556" s="104"/>
      <c r="BA556" s="104"/>
      <c r="BB556" s="104"/>
      <c r="BC556" s="104"/>
      <c r="BD556" s="104"/>
    </row>
    <row r="557" spans="1:56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  <c r="AH557" s="104"/>
      <c r="AI557" s="104"/>
      <c r="AJ557" s="104"/>
      <c r="AK557" s="104"/>
      <c r="AL557" s="104"/>
      <c r="AM557" s="104"/>
      <c r="AN557" s="104"/>
      <c r="AO557" s="104"/>
      <c r="AP557" s="104"/>
      <c r="AQ557" s="104"/>
      <c r="AR557" s="104"/>
      <c r="AS557" s="104"/>
      <c r="AT557" s="104"/>
      <c r="AU557" s="104"/>
      <c r="AV557" s="104"/>
      <c r="AW557" s="104"/>
      <c r="AX557" s="104"/>
      <c r="AY557" s="104"/>
      <c r="AZ557" s="104"/>
      <c r="BA557" s="104"/>
      <c r="BB557" s="104"/>
      <c r="BC557" s="104"/>
      <c r="BD557" s="104"/>
    </row>
    <row r="558" spans="1:56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  <c r="AH558" s="104"/>
      <c r="AI558" s="104"/>
      <c r="AJ558" s="104"/>
      <c r="AK558" s="104"/>
      <c r="AL558" s="104"/>
      <c r="AM558" s="104"/>
      <c r="AN558" s="104"/>
      <c r="AO558" s="104"/>
      <c r="AP558" s="104"/>
      <c r="AQ558" s="104"/>
      <c r="AR558" s="104"/>
      <c r="AS558" s="104"/>
      <c r="AT558" s="104"/>
      <c r="AU558" s="104"/>
      <c r="AV558" s="104"/>
      <c r="AW558" s="104"/>
      <c r="AX558" s="104"/>
      <c r="AY558" s="104"/>
      <c r="AZ558" s="104"/>
      <c r="BA558" s="104"/>
      <c r="BB558" s="104"/>
      <c r="BC558" s="104"/>
      <c r="BD558" s="104"/>
    </row>
    <row r="559" spans="1:56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  <c r="AH559" s="104"/>
      <c r="AI559" s="104"/>
      <c r="AJ559" s="104"/>
      <c r="AK559" s="104"/>
      <c r="AL559" s="104"/>
      <c r="AM559" s="104"/>
      <c r="AN559" s="104"/>
      <c r="AO559" s="104"/>
      <c r="AP559" s="104"/>
      <c r="AQ559" s="104"/>
      <c r="AR559" s="104"/>
      <c r="AS559" s="104"/>
      <c r="AT559" s="104"/>
      <c r="AU559" s="104"/>
      <c r="AV559" s="104"/>
      <c r="AW559" s="104"/>
      <c r="AX559" s="104"/>
      <c r="AY559" s="104"/>
      <c r="AZ559" s="104"/>
      <c r="BA559" s="104"/>
      <c r="BB559" s="104"/>
      <c r="BC559" s="104"/>
      <c r="BD559" s="104"/>
    </row>
    <row r="560" spans="1:56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  <c r="AH560" s="104"/>
      <c r="AI560" s="104"/>
      <c r="AJ560" s="104"/>
      <c r="AK560" s="104"/>
      <c r="AL560" s="104"/>
      <c r="AM560" s="104"/>
      <c r="AN560" s="104"/>
      <c r="AO560" s="104"/>
      <c r="AP560" s="104"/>
      <c r="AQ560" s="104"/>
      <c r="AR560" s="104"/>
      <c r="AS560" s="104"/>
      <c r="AT560" s="104"/>
      <c r="AU560" s="104"/>
      <c r="AV560" s="104"/>
      <c r="AW560" s="104"/>
      <c r="AX560" s="104"/>
      <c r="AY560" s="104"/>
      <c r="AZ560" s="104"/>
      <c r="BA560" s="104"/>
      <c r="BB560" s="104"/>
      <c r="BC560" s="104"/>
      <c r="BD560" s="104"/>
    </row>
    <row r="561" spans="1:56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  <c r="AG561" s="104"/>
      <c r="AH561" s="104"/>
      <c r="AI561" s="104"/>
      <c r="AJ561" s="104"/>
      <c r="AK561" s="104"/>
      <c r="AL561" s="104"/>
      <c r="AM561" s="104"/>
      <c r="AN561" s="104"/>
      <c r="AO561" s="104"/>
      <c r="AP561" s="104"/>
      <c r="AQ561" s="104"/>
      <c r="AR561" s="104"/>
      <c r="AS561" s="104"/>
      <c r="AT561" s="104"/>
      <c r="AU561" s="104"/>
      <c r="AV561" s="104"/>
      <c r="AW561" s="104"/>
      <c r="AX561" s="104"/>
      <c r="AY561" s="104"/>
      <c r="AZ561" s="104"/>
      <c r="BA561" s="104"/>
      <c r="BB561" s="104"/>
      <c r="BC561" s="104"/>
      <c r="BD561" s="104"/>
    </row>
    <row r="562" spans="1:56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</row>
    <row r="563" spans="1:56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  <c r="AW563" s="104"/>
      <c r="AX563" s="104"/>
      <c r="AY563" s="104"/>
      <c r="AZ563" s="104"/>
      <c r="BA563" s="104"/>
      <c r="BB563" s="104"/>
      <c r="BC563" s="104"/>
      <c r="BD563" s="104"/>
    </row>
    <row r="564" spans="1:56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  <c r="AG564" s="104"/>
      <c r="AH564" s="104"/>
      <c r="AI564" s="104"/>
      <c r="AJ564" s="104"/>
      <c r="AK564" s="104"/>
      <c r="AL564" s="104"/>
      <c r="AM564" s="104"/>
      <c r="AN564" s="104"/>
      <c r="AO564" s="104"/>
      <c r="AP564" s="104"/>
      <c r="AQ564" s="104"/>
      <c r="AR564" s="104"/>
      <c r="AS564" s="104"/>
      <c r="AT564" s="104"/>
      <c r="AU564" s="104"/>
      <c r="AV564" s="104"/>
      <c r="AW564" s="104"/>
      <c r="AX564" s="104"/>
      <c r="AY564" s="104"/>
      <c r="AZ564" s="104"/>
      <c r="BA564" s="104"/>
      <c r="BB564" s="104"/>
      <c r="BC564" s="104"/>
      <c r="BD564" s="104"/>
    </row>
    <row r="565" spans="1:56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  <c r="AI565" s="104"/>
      <c r="AJ565" s="104"/>
      <c r="AK565" s="104"/>
      <c r="AL565" s="104"/>
      <c r="AM565" s="104"/>
      <c r="AN565" s="104"/>
      <c r="AO565" s="104"/>
      <c r="AP565" s="104"/>
      <c r="AQ565" s="104"/>
      <c r="AR565" s="104"/>
      <c r="AS565" s="104"/>
      <c r="AT565" s="104"/>
      <c r="AU565" s="104"/>
      <c r="AV565" s="104"/>
      <c r="AW565" s="104"/>
      <c r="AX565" s="104"/>
      <c r="AY565" s="104"/>
      <c r="AZ565" s="104"/>
      <c r="BA565" s="104"/>
      <c r="BB565" s="104"/>
      <c r="BC565" s="104"/>
      <c r="BD565" s="104"/>
    </row>
    <row r="566" spans="1:56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  <c r="AI566" s="104"/>
      <c r="AJ566" s="104"/>
      <c r="AK566" s="104"/>
      <c r="AL566" s="104"/>
      <c r="AM566" s="104"/>
      <c r="AN566" s="104"/>
      <c r="AO566" s="104"/>
      <c r="AP566" s="104"/>
      <c r="AQ566" s="104"/>
      <c r="AR566" s="104"/>
      <c r="AS566" s="104"/>
      <c r="AT566" s="104"/>
      <c r="AU566" s="104"/>
      <c r="AV566" s="104"/>
      <c r="AW566" s="104"/>
      <c r="AX566" s="104"/>
      <c r="AY566" s="104"/>
      <c r="AZ566" s="104"/>
      <c r="BA566" s="104"/>
      <c r="BB566" s="104"/>
      <c r="BC566" s="104"/>
      <c r="BD566" s="104"/>
    </row>
    <row r="567" spans="1:56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  <c r="AI567" s="104"/>
      <c r="AJ567" s="104"/>
      <c r="AK567" s="104"/>
      <c r="AL567" s="104"/>
      <c r="AM567" s="104"/>
      <c r="AN567" s="104"/>
      <c r="AO567" s="104"/>
      <c r="AP567" s="104"/>
      <c r="AQ567" s="104"/>
      <c r="AR567" s="104"/>
      <c r="AS567" s="104"/>
      <c r="AT567" s="104"/>
      <c r="AU567" s="104"/>
      <c r="AV567" s="104"/>
      <c r="AW567" s="104"/>
      <c r="AX567" s="104"/>
      <c r="AY567" s="104"/>
      <c r="AZ567" s="104"/>
      <c r="BA567" s="104"/>
      <c r="BB567" s="104"/>
      <c r="BC567" s="104"/>
      <c r="BD567" s="104"/>
    </row>
    <row r="568" spans="1:56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  <c r="AI568" s="104"/>
      <c r="AJ568" s="104"/>
      <c r="AK568" s="104"/>
      <c r="AL568" s="104"/>
      <c r="AM568" s="104"/>
      <c r="AN568" s="104"/>
      <c r="AO568" s="104"/>
      <c r="AP568" s="104"/>
      <c r="AQ568" s="104"/>
      <c r="AR568" s="104"/>
      <c r="AS568" s="104"/>
      <c r="AT568" s="104"/>
      <c r="AU568" s="104"/>
      <c r="AV568" s="104"/>
      <c r="AW568" s="104"/>
      <c r="AX568" s="104"/>
      <c r="AY568" s="104"/>
      <c r="AZ568" s="104"/>
      <c r="BA568" s="104"/>
      <c r="BB568" s="104"/>
      <c r="BC568" s="104"/>
      <c r="BD568" s="104"/>
    </row>
    <row r="569" spans="1:56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  <c r="AI569" s="104"/>
      <c r="AJ569" s="104"/>
      <c r="AK569" s="104"/>
      <c r="AL569" s="104"/>
      <c r="AM569" s="104"/>
      <c r="AN569" s="104"/>
      <c r="AO569" s="104"/>
      <c r="AP569" s="104"/>
      <c r="AQ569" s="104"/>
      <c r="AR569" s="104"/>
      <c r="AS569" s="104"/>
      <c r="AT569" s="104"/>
      <c r="AU569" s="104"/>
      <c r="AV569" s="104"/>
      <c r="AW569" s="104"/>
      <c r="AX569" s="104"/>
      <c r="AY569" s="104"/>
      <c r="AZ569" s="104"/>
      <c r="BA569" s="104"/>
      <c r="BB569" s="104"/>
      <c r="BC569" s="104"/>
      <c r="BD569" s="104"/>
    </row>
    <row r="570" spans="1:56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  <c r="AI570" s="104"/>
      <c r="AJ570" s="104"/>
      <c r="AK570" s="104"/>
      <c r="AL570" s="104"/>
      <c r="AM570" s="104"/>
      <c r="AN570" s="104"/>
      <c r="AO570" s="104"/>
      <c r="AP570" s="104"/>
      <c r="AQ570" s="104"/>
      <c r="AR570" s="104"/>
      <c r="AS570" s="104"/>
      <c r="AT570" s="104"/>
      <c r="AU570" s="104"/>
      <c r="AV570" s="104"/>
      <c r="AW570" s="104"/>
      <c r="AX570" s="104"/>
      <c r="AY570" s="104"/>
      <c r="AZ570" s="104"/>
      <c r="BA570" s="104"/>
      <c r="BB570" s="104"/>
      <c r="BC570" s="104"/>
      <c r="BD570" s="104"/>
    </row>
    <row r="571" spans="1:56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4"/>
      <c r="AH571" s="104"/>
      <c r="AI571" s="104"/>
      <c r="AJ571" s="104"/>
      <c r="AK571" s="104"/>
      <c r="AL571" s="104"/>
      <c r="AM571" s="104"/>
      <c r="AN571" s="104"/>
      <c r="AO571" s="104"/>
      <c r="AP571" s="104"/>
      <c r="AQ571" s="104"/>
      <c r="AR571" s="104"/>
      <c r="AS571" s="104"/>
      <c r="AT571" s="104"/>
      <c r="AU571" s="104"/>
      <c r="AV571" s="104"/>
      <c r="AW571" s="104"/>
      <c r="AX571" s="104"/>
      <c r="AY571" s="104"/>
      <c r="AZ571" s="104"/>
      <c r="BA571" s="104"/>
      <c r="BB571" s="104"/>
      <c r="BC571" s="104"/>
      <c r="BD571" s="104"/>
    </row>
    <row r="572" spans="1:56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4"/>
      <c r="AH572" s="104"/>
      <c r="AI572" s="104"/>
      <c r="AJ572" s="104"/>
      <c r="AK572" s="104"/>
      <c r="AL572" s="104"/>
      <c r="AM572" s="104"/>
      <c r="AN572" s="104"/>
      <c r="AO572" s="104"/>
      <c r="AP572" s="104"/>
      <c r="AQ572" s="104"/>
      <c r="AR572" s="104"/>
      <c r="AS572" s="104"/>
      <c r="AT572" s="104"/>
      <c r="AU572" s="104"/>
      <c r="AV572" s="104"/>
      <c r="AW572" s="104"/>
      <c r="AX572" s="104"/>
      <c r="AY572" s="104"/>
      <c r="AZ572" s="104"/>
      <c r="BA572" s="104"/>
      <c r="BB572" s="104"/>
      <c r="BC572" s="104"/>
      <c r="BD572" s="104"/>
    </row>
    <row r="573" spans="1:56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4"/>
      <c r="AH573" s="104"/>
      <c r="AI573" s="104"/>
      <c r="AJ573" s="104"/>
      <c r="AK573" s="104"/>
      <c r="AL573" s="104"/>
      <c r="AM573" s="104"/>
      <c r="AN573" s="104"/>
      <c r="AO573" s="104"/>
      <c r="AP573" s="104"/>
      <c r="AQ573" s="104"/>
      <c r="AR573" s="104"/>
      <c r="AS573" s="104"/>
      <c r="AT573" s="104"/>
      <c r="AU573" s="104"/>
      <c r="AV573" s="104"/>
      <c r="AW573" s="104"/>
      <c r="AX573" s="104"/>
      <c r="AY573" s="104"/>
      <c r="AZ573" s="104"/>
      <c r="BA573" s="104"/>
      <c r="BB573" s="104"/>
      <c r="BC573" s="104"/>
      <c r="BD573" s="104"/>
    </row>
    <row r="574" spans="1:56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4"/>
      <c r="AH574" s="104"/>
      <c r="AI574" s="104"/>
      <c r="AJ574" s="104"/>
      <c r="AK574" s="104"/>
      <c r="AL574" s="104"/>
      <c r="AM574" s="104"/>
      <c r="AN574" s="104"/>
      <c r="AO574" s="104"/>
      <c r="AP574" s="104"/>
      <c r="AQ574" s="104"/>
      <c r="AR574" s="104"/>
      <c r="AS574" s="104"/>
      <c r="AT574" s="104"/>
      <c r="AU574" s="104"/>
      <c r="AV574" s="104"/>
      <c r="AW574" s="104"/>
      <c r="AX574" s="104"/>
      <c r="AY574" s="104"/>
      <c r="AZ574" s="104"/>
      <c r="BA574" s="104"/>
      <c r="BB574" s="104"/>
      <c r="BC574" s="104"/>
      <c r="BD574" s="104"/>
    </row>
    <row r="575" spans="1:56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  <c r="AI575" s="104"/>
      <c r="AJ575" s="104"/>
      <c r="AK575" s="104"/>
      <c r="AL575" s="104"/>
      <c r="AM575" s="104"/>
      <c r="AN575" s="104"/>
      <c r="AO575" s="104"/>
      <c r="AP575" s="104"/>
      <c r="AQ575" s="104"/>
      <c r="AR575" s="104"/>
      <c r="AS575" s="104"/>
      <c r="AT575" s="104"/>
      <c r="AU575" s="104"/>
      <c r="AV575" s="104"/>
      <c r="AW575" s="104"/>
      <c r="AX575" s="104"/>
      <c r="AY575" s="104"/>
      <c r="AZ575" s="104"/>
      <c r="BA575" s="104"/>
      <c r="BB575" s="104"/>
      <c r="BC575" s="104"/>
      <c r="BD575" s="104"/>
    </row>
    <row r="576" spans="1:56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  <c r="AI576" s="104"/>
      <c r="AJ576" s="104"/>
      <c r="AK576" s="104"/>
      <c r="AL576" s="104"/>
      <c r="AM576" s="104"/>
      <c r="AN576" s="104"/>
      <c r="AO576" s="104"/>
      <c r="AP576" s="104"/>
      <c r="AQ576" s="104"/>
      <c r="AR576" s="104"/>
      <c r="AS576" s="104"/>
      <c r="AT576" s="104"/>
      <c r="AU576" s="104"/>
      <c r="AV576" s="104"/>
      <c r="AW576" s="104"/>
      <c r="AX576" s="104"/>
      <c r="AY576" s="104"/>
      <c r="AZ576" s="104"/>
      <c r="BA576" s="104"/>
      <c r="BB576" s="104"/>
      <c r="BC576" s="104"/>
      <c r="BD576" s="104"/>
    </row>
    <row r="577" spans="1:56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  <c r="AI577" s="104"/>
      <c r="AJ577" s="104"/>
      <c r="AK577" s="104"/>
      <c r="AL577" s="104"/>
      <c r="AM577" s="104"/>
      <c r="AN577" s="104"/>
      <c r="AO577" s="104"/>
      <c r="AP577" s="104"/>
      <c r="AQ577" s="104"/>
      <c r="AR577" s="104"/>
      <c r="AS577" s="104"/>
      <c r="AT577" s="104"/>
      <c r="AU577" s="104"/>
      <c r="AV577" s="104"/>
      <c r="AW577" s="104"/>
      <c r="AX577" s="104"/>
      <c r="AY577" s="104"/>
      <c r="AZ577" s="104"/>
      <c r="BA577" s="104"/>
      <c r="BB577" s="104"/>
      <c r="BC577" s="104"/>
      <c r="BD577" s="104"/>
    </row>
    <row r="578" spans="1:56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  <c r="AI578" s="104"/>
      <c r="AJ578" s="104"/>
      <c r="AK578" s="104"/>
      <c r="AL578" s="104"/>
      <c r="AM578" s="104"/>
      <c r="AN578" s="104"/>
      <c r="AO578" s="104"/>
      <c r="AP578" s="104"/>
      <c r="AQ578" s="104"/>
      <c r="AR578" s="104"/>
      <c r="AS578" s="104"/>
      <c r="AT578" s="104"/>
      <c r="AU578" s="104"/>
      <c r="AV578" s="104"/>
      <c r="AW578" s="104"/>
      <c r="AX578" s="104"/>
      <c r="AY578" s="104"/>
      <c r="AZ578" s="104"/>
      <c r="BA578" s="104"/>
      <c r="BB578" s="104"/>
      <c r="BC578" s="104"/>
      <c r="BD578" s="104"/>
    </row>
    <row r="579" spans="1:56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  <c r="AI579" s="104"/>
      <c r="AJ579" s="104"/>
      <c r="AK579" s="104"/>
      <c r="AL579" s="104"/>
      <c r="AM579" s="104"/>
      <c r="AN579" s="104"/>
      <c r="AO579" s="104"/>
      <c r="AP579" s="104"/>
      <c r="AQ579" s="104"/>
      <c r="AR579" s="104"/>
      <c r="AS579" s="104"/>
      <c r="AT579" s="104"/>
      <c r="AU579" s="104"/>
      <c r="AV579" s="104"/>
      <c r="AW579" s="104"/>
      <c r="AX579" s="104"/>
      <c r="AY579" s="104"/>
      <c r="AZ579" s="104"/>
      <c r="BA579" s="104"/>
      <c r="BB579" s="104"/>
      <c r="BC579" s="104"/>
      <c r="BD579" s="104"/>
    </row>
    <row r="580" spans="1:56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  <c r="AI580" s="104"/>
      <c r="AJ580" s="104"/>
      <c r="AK580" s="104"/>
      <c r="AL580" s="104"/>
      <c r="AM580" s="104"/>
      <c r="AN580" s="104"/>
      <c r="AO580" s="104"/>
      <c r="AP580" s="104"/>
      <c r="AQ580" s="104"/>
      <c r="AR580" s="104"/>
      <c r="AS580" s="104"/>
      <c r="AT580" s="104"/>
      <c r="AU580" s="104"/>
      <c r="AV580" s="104"/>
      <c r="AW580" s="104"/>
      <c r="AX580" s="104"/>
      <c r="AY580" s="104"/>
      <c r="AZ580" s="104"/>
      <c r="BA580" s="104"/>
      <c r="BB580" s="104"/>
      <c r="BC580" s="104"/>
      <c r="BD580" s="104"/>
    </row>
    <row r="581" spans="1:56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  <c r="AI581" s="104"/>
      <c r="AJ581" s="104"/>
      <c r="AK581" s="104"/>
      <c r="AL581" s="104"/>
      <c r="AM581" s="104"/>
      <c r="AN581" s="104"/>
      <c r="AO581" s="104"/>
      <c r="AP581" s="104"/>
      <c r="AQ581" s="104"/>
      <c r="AR581" s="104"/>
      <c r="AS581" s="104"/>
      <c r="AT581" s="104"/>
      <c r="AU581" s="104"/>
      <c r="AV581" s="104"/>
      <c r="AW581" s="104"/>
      <c r="AX581" s="104"/>
      <c r="AY581" s="104"/>
      <c r="AZ581" s="104"/>
      <c r="BA581" s="104"/>
      <c r="BB581" s="104"/>
      <c r="BC581" s="104"/>
      <c r="BD581" s="104"/>
    </row>
    <row r="582" spans="1:56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  <c r="AI582" s="104"/>
      <c r="AJ582" s="104"/>
      <c r="AK582" s="104"/>
      <c r="AL582" s="104"/>
      <c r="AM582" s="104"/>
      <c r="AN582" s="104"/>
      <c r="AO582" s="104"/>
      <c r="AP582" s="104"/>
      <c r="AQ582" s="104"/>
      <c r="AR582" s="104"/>
      <c r="AS582" s="104"/>
      <c r="AT582" s="104"/>
      <c r="AU582" s="104"/>
      <c r="AV582" s="104"/>
      <c r="AW582" s="104"/>
      <c r="AX582" s="104"/>
      <c r="AY582" s="104"/>
      <c r="AZ582" s="104"/>
      <c r="BA582" s="104"/>
      <c r="BB582" s="104"/>
      <c r="BC582" s="104"/>
      <c r="BD582" s="104"/>
    </row>
    <row r="583" spans="1:56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  <c r="AI583" s="104"/>
      <c r="AJ583" s="104"/>
      <c r="AK583" s="104"/>
      <c r="AL583" s="104"/>
      <c r="AM583" s="104"/>
      <c r="AN583" s="104"/>
      <c r="AO583" s="104"/>
      <c r="AP583" s="104"/>
      <c r="AQ583" s="104"/>
      <c r="AR583" s="104"/>
      <c r="AS583" s="104"/>
      <c r="AT583" s="104"/>
      <c r="AU583" s="104"/>
      <c r="AV583" s="104"/>
      <c r="AW583" s="104"/>
      <c r="AX583" s="104"/>
      <c r="AY583" s="104"/>
      <c r="AZ583" s="104"/>
      <c r="BA583" s="104"/>
      <c r="BB583" s="104"/>
      <c r="BC583" s="104"/>
      <c r="BD583" s="104"/>
    </row>
    <row r="584" spans="1:56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  <c r="AI584" s="104"/>
      <c r="AJ584" s="104"/>
      <c r="AK584" s="104"/>
      <c r="AL584" s="104"/>
      <c r="AM584" s="104"/>
      <c r="AN584" s="104"/>
      <c r="AO584" s="104"/>
      <c r="AP584" s="104"/>
      <c r="AQ584" s="104"/>
      <c r="AR584" s="104"/>
      <c r="AS584" s="104"/>
      <c r="AT584" s="104"/>
      <c r="AU584" s="104"/>
      <c r="AV584" s="104"/>
      <c r="AW584" s="104"/>
      <c r="AX584" s="104"/>
      <c r="AY584" s="104"/>
      <c r="AZ584" s="104"/>
      <c r="BA584" s="104"/>
      <c r="BB584" s="104"/>
      <c r="BC584" s="104"/>
      <c r="BD584" s="104"/>
    </row>
    <row r="585" spans="1:56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  <c r="AI585" s="104"/>
      <c r="AJ585" s="104"/>
      <c r="AK585" s="104"/>
      <c r="AL585" s="104"/>
      <c r="AM585" s="104"/>
      <c r="AN585" s="104"/>
      <c r="AO585" s="104"/>
      <c r="AP585" s="104"/>
      <c r="AQ585" s="104"/>
      <c r="AR585" s="104"/>
      <c r="AS585" s="104"/>
      <c r="AT585" s="104"/>
      <c r="AU585" s="104"/>
      <c r="AV585" s="104"/>
      <c r="AW585" s="104"/>
      <c r="AX585" s="104"/>
      <c r="AY585" s="104"/>
      <c r="AZ585" s="104"/>
      <c r="BA585" s="104"/>
      <c r="BB585" s="104"/>
      <c r="BC585" s="104"/>
      <c r="BD585" s="104"/>
    </row>
    <row r="586" spans="1:56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  <c r="AI586" s="104"/>
      <c r="AJ586" s="104"/>
      <c r="AK586" s="104"/>
      <c r="AL586" s="104"/>
      <c r="AM586" s="104"/>
      <c r="AN586" s="104"/>
      <c r="AO586" s="104"/>
      <c r="AP586" s="104"/>
      <c r="AQ586" s="104"/>
      <c r="AR586" s="104"/>
      <c r="AS586" s="104"/>
      <c r="AT586" s="104"/>
      <c r="AU586" s="104"/>
      <c r="AV586" s="104"/>
      <c r="AW586" s="104"/>
      <c r="AX586" s="104"/>
      <c r="AY586" s="104"/>
      <c r="AZ586" s="104"/>
      <c r="BA586" s="104"/>
      <c r="BB586" s="104"/>
      <c r="BC586" s="104"/>
      <c r="BD586" s="104"/>
    </row>
    <row r="587" spans="1:56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  <c r="AI587" s="104"/>
      <c r="AJ587" s="104"/>
      <c r="AK587" s="104"/>
      <c r="AL587" s="104"/>
      <c r="AM587" s="104"/>
      <c r="AN587" s="104"/>
      <c r="AO587" s="104"/>
      <c r="AP587" s="104"/>
      <c r="AQ587" s="104"/>
      <c r="AR587" s="104"/>
      <c r="AS587" s="104"/>
      <c r="AT587" s="104"/>
      <c r="AU587" s="104"/>
      <c r="AV587" s="104"/>
      <c r="AW587" s="104"/>
      <c r="AX587" s="104"/>
      <c r="AY587" s="104"/>
      <c r="AZ587" s="104"/>
      <c r="BA587" s="104"/>
      <c r="BB587" s="104"/>
      <c r="BC587" s="104"/>
      <c r="BD587" s="104"/>
    </row>
    <row r="588" spans="1:56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  <c r="AI588" s="104"/>
      <c r="AJ588" s="104"/>
      <c r="AK588" s="104"/>
      <c r="AL588" s="104"/>
      <c r="AM588" s="104"/>
      <c r="AN588" s="104"/>
      <c r="AO588" s="104"/>
      <c r="AP588" s="104"/>
      <c r="AQ588" s="104"/>
      <c r="AR588" s="104"/>
      <c r="AS588" s="104"/>
      <c r="AT588" s="104"/>
      <c r="AU588" s="104"/>
      <c r="AV588" s="104"/>
      <c r="AW588" s="104"/>
      <c r="AX588" s="104"/>
      <c r="AY588" s="104"/>
      <c r="AZ588" s="104"/>
      <c r="BA588" s="104"/>
      <c r="BB588" s="104"/>
      <c r="BC588" s="104"/>
      <c r="BD588" s="104"/>
    </row>
    <row r="589" spans="1:56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  <c r="AI589" s="104"/>
      <c r="AJ589" s="104"/>
      <c r="AK589" s="104"/>
      <c r="AL589" s="104"/>
      <c r="AM589" s="104"/>
      <c r="AN589" s="104"/>
      <c r="AO589" s="104"/>
      <c r="AP589" s="104"/>
      <c r="AQ589" s="104"/>
      <c r="AR589" s="104"/>
      <c r="AS589" s="104"/>
      <c r="AT589" s="104"/>
      <c r="AU589" s="104"/>
      <c r="AV589" s="104"/>
      <c r="AW589" s="104"/>
      <c r="AX589" s="104"/>
      <c r="AY589" s="104"/>
      <c r="AZ589" s="104"/>
      <c r="BA589" s="104"/>
      <c r="BB589" s="104"/>
      <c r="BC589" s="104"/>
      <c r="BD589" s="104"/>
    </row>
    <row r="590" spans="1:56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  <c r="AI590" s="104"/>
      <c r="AJ590" s="104"/>
      <c r="AK590" s="104"/>
      <c r="AL590" s="104"/>
      <c r="AM590" s="104"/>
      <c r="AN590" s="104"/>
      <c r="AO590" s="104"/>
      <c r="AP590" s="104"/>
      <c r="AQ590" s="104"/>
      <c r="AR590" s="104"/>
      <c r="AS590" s="104"/>
      <c r="AT590" s="104"/>
      <c r="AU590" s="104"/>
      <c r="AV590" s="104"/>
      <c r="AW590" s="104"/>
      <c r="AX590" s="104"/>
      <c r="AY590" s="104"/>
      <c r="AZ590" s="104"/>
      <c r="BA590" s="104"/>
      <c r="BB590" s="104"/>
      <c r="BC590" s="104"/>
      <c r="BD590" s="104"/>
    </row>
    <row r="591" spans="1:56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  <c r="AI591" s="104"/>
      <c r="AJ591" s="104"/>
      <c r="AK591" s="104"/>
      <c r="AL591" s="104"/>
      <c r="AM591" s="104"/>
      <c r="AN591" s="104"/>
      <c r="AO591" s="104"/>
      <c r="AP591" s="104"/>
      <c r="AQ591" s="104"/>
      <c r="AR591" s="104"/>
      <c r="AS591" s="104"/>
      <c r="AT591" s="104"/>
      <c r="AU591" s="104"/>
      <c r="AV591" s="104"/>
      <c r="AW591" s="104"/>
      <c r="AX591" s="104"/>
      <c r="AY591" s="104"/>
      <c r="AZ591" s="104"/>
      <c r="BA591" s="104"/>
      <c r="BB591" s="104"/>
      <c r="BC591" s="104"/>
      <c r="BD591" s="104"/>
    </row>
    <row r="592" spans="1:56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  <c r="AI592" s="104"/>
      <c r="AJ592" s="104"/>
      <c r="AK592" s="104"/>
      <c r="AL592" s="104"/>
      <c r="AM592" s="104"/>
      <c r="AN592" s="104"/>
      <c r="AO592" s="104"/>
      <c r="AP592" s="104"/>
      <c r="AQ592" s="104"/>
      <c r="AR592" s="104"/>
      <c r="AS592" s="104"/>
      <c r="AT592" s="104"/>
      <c r="AU592" s="104"/>
      <c r="AV592" s="104"/>
      <c r="AW592" s="104"/>
      <c r="AX592" s="104"/>
      <c r="AY592" s="104"/>
      <c r="AZ592" s="104"/>
      <c r="BA592" s="104"/>
      <c r="BB592" s="104"/>
      <c r="BC592" s="104"/>
      <c r="BD592" s="104"/>
    </row>
    <row r="593" spans="1:56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  <c r="AI593" s="104"/>
      <c r="AJ593" s="104"/>
      <c r="AK593" s="104"/>
      <c r="AL593" s="104"/>
      <c r="AM593" s="104"/>
      <c r="AN593" s="104"/>
      <c r="AO593" s="104"/>
      <c r="AP593" s="104"/>
      <c r="AQ593" s="104"/>
      <c r="AR593" s="104"/>
      <c r="AS593" s="104"/>
      <c r="AT593" s="104"/>
      <c r="AU593" s="104"/>
      <c r="AV593" s="104"/>
      <c r="AW593" s="104"/>
      <c r="AX593" s="104"/>
      <c r="AY593" s="104"/>
      <c r="AZ593" s="104"/>
      <c r="BA593" s="104"/>
      <c r="BB593" s="104"/>
      <c r="BC593" s="104"/>
      <c r="BD593" s="104"/>
    </row>
    <row r="594" spans="1:56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  <c r="AI594" s="104"/>
      <c r="AJ594" s="104"/>
      <c r="AK594" s="104"/>
      <c r="AL594" s="104"/>
      <c r="AM594" s="104"/>
      <c r="AN594" s="104"/>
      <c r="AO594" s="104"/>
      <c r="AP594" s="104"/>
      <c r="AQ594" s="104"/>
      <c r="AR594" s="104"/>
      <c r="AS594" s="104"/>
      <c r="AT594" s="104"/>
      <c r="AU594" s="104"/>
      <c r="AV594" s="104"/>
      <c r="AW594" s="104"/>
      <c r="AX594" s="104"/>
      <c r="AY594" s="104"/>
      <c r="AZ594" s="104"/>
      <c r="BA594" s="104"/>
      <c r="BB594" s="104"/>
      <c r="BC594" s="104"/>
      <c r="BD594" s="104"/>
    </row>
    <row r="595" spans="1:56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  <c r="AI595" s="104"/>
      <c r="AJ595" s="104"/>
      <c r="AK595" s="104"/>
      <c r="AL595" s="104"/>
      <c r="AM595" s="104"/>
      <c r="AN595" s="104"/>
      <c r="AO595" s="104"/>
      <c r="AP595" s="104"/>
      <c r="AQ595" s="104"/>
      <c r="AR595" s="104"/>
      <c r="AS595" s="104"/>
      <c r="AT595" s="104"/>
      <c r="AU595" s="104"/>
      <c r="AV595" s="104"/>
      <c r="AW595" s="104"/>
      <c r="AX595" s="104"/>
      <c r="AY595" s="104"/>
      <c r="AZ595" s="104"/>
      <c r="BA595" s="104"/>
      <c r="BB595" s="104"/>
      <c r="BC595" s="104"/>
      <c r="BD595" s="104"/>
    </row>
    <row r="596" spans="1:56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  <c r="AI596" s="104"/>
      <c r="AJ596" s="104"/>
      <c r="AK596" s="104"/>
      <c r="AL596" s="104"/>
      <c r="AM596" s="104"/>
      <c r="AN596" s="104"/>
      <c r="AO596" s="104"/>
      <c r="AP596" s="104"/>
      <c r="AQ596" s="104"/>
      <c r="AR596" s="104"/>
      <c r="AS596" s="104"/>
      <c r="AT596" s="104"/>
      <c r="AU596" s="104"/>
      <c r="AV596" s="104"/>
      <c r="AW596" s="104"/>
      <c r="AX596" s="104"/>
      <c r="AY596" s="104"/>
      <c r="AZ596" s="104"/>
      <c r="BA596" s="104"/>
      <c r="BB596" s="104"/>
      <c r="BC596" s="104"/>
      <c r="BD596" s="104"/>
    </row>
    <row r="597" spans="1:56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  <c r="AI597" s="104"/>
      <c r="AJ597" s="104"/>
      <c r="AK597" s="104"/>
      <c r="AL597" s="104"/>
      <c r="AM597" s="104"/>
      <c r="AN597" s="104"/>
      <c r="AO597" s="104"/>
      <c r="AP597" s="104"/>
      <c r="AQ597" s="104"/>
      <c r="AR597" s="104"/>
      <c r="AS597" s="104"/>
      <c r="AT597" s="104"/>
      <c r="AU597" s="104"/>
      <c r="AV597" s="104"/>
      <c r="AW597" s="104"/>
      <c r="AX597" s="104"/>
      <c r="AY597" s="104"/>
      <c r="AZ597" s="104"/>
      <c r="BA597" s="104"/>
      <c r="BB597" s="104"/>
      <c r="BC597" s="104"/>
      <c r="BD597" s="104"/>
    </row>
    <row r="598" spans="1:56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  <c r="AI598" s="104"/>
      <c r="AJ598" s="104"/>
      <c r="AK598" s="104"/>
      <c r="AL598" s="104"/>
      <c r="AM598" s="104"/>
      <c r="AN598" s="104"/>
      <c r="AO598" s="104"/>
      <c r="AP598" s="104"/>
      <c r="AQ598" s="104"/>
      <c r="AR598" s="104"/>
      <c r="AS598" s="104"/>
      <c r="AT598" s="104"/>
      <c r="AU598" s="104"/>
      <c r="AV598" s="104"/>
      <c r="AW598" s="104"/>
      <c r="AX598" s="104"/>
      <c r="AY598" s="104"/>
      <c r="AZ598" s="104"/>
      <c r="BA598" s="104"/>
      <c r="BB598" s="104"/>
      <c r="BC598" s="104"/>
      <c r="BD598" s="104"/>
    </row>
    <row r="599" spans="1:56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  <c r="AI599" s="104"/>
      <c r="AJ599" s="104"/>
      <c r="AK599" s="104"/>
      <c r="AL599" s="104"/>
      <c r="AM599" s="104"/>
      <c r="AN599" s="104"/>
      <c r="AO599" s="104"/>
      <c r="AP599" s="104"/>
      <c r="AQ599" s="104"/>
      <c r="AR599" s="104"/>
      <c r="AS599" s="104"/>
      <c r="AT599" s="104"/>
      <c r="AU599" s="104"/>
      <c r="AV599" s="104"/>
      <c r="AW599" s="104"/>
      <c r="AX599" s="104"/>
      <c r="AY599" s="104"/>
      <c r="AZ599" s="104"/>
      <c r="BA599" s="104"/>
      <c r="BB599" s="104"/>
      <c r="BC599" s="104"/>
      <c r="BD599" s="104"/>
    </row>
    <row r="600" spans="1:56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  <c r="AI600" s="104"/>
      <c r="AJ600" s="104"/>
      <c r="AK600" s="104"/>
      <c r="AL600" s="104"/>
      <c r="AM600" s="104"/>
      <c r="AN600" s="104"/>
      <c r="AO600" s="104"/>
      <c r="AP600" s="104"/>
      <c r="AQ600" s="104"/>
      <c r="AR600" s="104"/>
      <c r="AS600" s="104"/>
      <c r="AT600" s="104"/>
      <c r="AU600" s="104"/>
      <c r="AV600" s="104"/>
      <c r="AW600" s="104"/>
      <c r="AX600" s="104"/>
      <c r="AY600" s="104"/>
      <c r="AZ600" s="104"/>
      <c r="BA600" s="104"/>
      <c r="BB600" s="104"/>
      <c r="BC600" s="104"/>
      <c r="BD600" s="104"/>
    </row>
    <row r="601" spans="1:56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  <c r="AI601" s="104"/>
      <c r="AJ601" s="104"/>
      <c r="AK601" s="104"/>
      <c r="AL601" s="104"/>
      <c r="AM601" s="104"/>
      <c r="AN601" s="104"/>
      <c r="AO601" s="104"/>
      <c r="AP601" s="104"/>
      <c r="AQ601" s="104"/>
      <c r="AR601" s="104"/>
      <c r="AS601" s="104"/>
      <c r="AT601" s="104"/>
      <c r="AU601" s="104"/>
      <c r="AV601" s="104"/>
      <c r="AW601" s="104"/>
      <c r="AX601" s="104"/>
      <c r="AY601" s="104"/>
      <c r="AZ601" s="104"/>
      <c r="BA601" s="104"/>
      <c r="BB601" s="104"/>
      <c r="BC601" s="104"/>
      <c r="BD601" s="104"/>
    </row>
    <row r="602" spans="1:56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  <c r="AI602" s="104"/>
      <c r="AJ602" s="104"/>
      <c r="AK602" s="104"/>
      <c r="AL602" s="104"/>
      <c r="AM602" s="104"/>
      <c r="AN602" s="104"/>
      <c r="AO602" s="104"/>
      <c r="AP602" s="104"/>
      <c r="AQ602" s="104"/>
      <c r="AR602" s="104"/>
      <c r="AS602" s="104"/>
      <c r="AT602" s="104"/>
      <c r="AU602" s="104"/>
      <c r="AV602" s="104"/>
      <c r="AW602" s="104"/>
      <c r="AX602" s="104"/>
      <c r="AY602" s="104"/>
      <c r="AZ602" s="104"/>
      <c r="BA602" s="104"/>
      <c r="BB602" s="104"/>
      <c r="BC602" s="104"/>
      <c r="BD602" s="104"/>
    </row>
    <row r="603" spans="1:56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4"/>
      <c r="AH603" s="104"/>
      <c r="AI603" s="104"/>
      <c r="AJ603" s="104"/>
      <c r="AK603" s="104"/>
      <c r="AL603" s="104"/>
      <c r="AM603" s="104"/>
      <c r="AN603" s="104"/>
      <c r="AO603" s="104"/>
      <c r="AP603" s="104"/>
      <c r="AQ603" s="104"/>
      <c r="AR603" s="104"/>
      <c r="AS603" s="104"/>
      <c r="AT603" s="104"/>
      <c r="AU603" s="104"/>
      <c r="AV603" s="104"/>
      <c r="AW603" s="104"/>
      <c r="AX603" s="104"/>
      <c r="AY603" s="104"/>
      <c r="AZ603" s="104"/>
      <c r="BA603" s="104"/>
      <c r="BB603" s="104"/>
      <c r="BC603" s="104"/>
      <c r="BD603" s="104"/>
    </row>
    <row r="604" spans="1:56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4"/>
      <c r="AH604" s="104"/>
      <c r="AI604" s="104"/>
      <c r="AJ604" s="104"/>
      <c r="AK604" s="104"/>
      <c r="AL604" s="104"/>
      <c r="AM604" s="104"/>
      <c r="AN604" s="104"/>
      <c r="AO604" s="104"/>
      <c r="AP604" s="104"/>
      <c r="AQ604" s="104"/>
      <c r="AR604" s="104"/>
      <c r="AS604" s="104"/>
      <c r="AT604" s="104"/>
      <c r="AU604" s="104"/>
      <c r="AV604" s="104"/>
      <c r="AW604" s="104"/>
      <c r="AX604" s="104"/>
      <c r="AY604" s="104"/>
      <c r="AZ604" s="104"/>
      <c r="BA604" s="104"/>
      <c r="BB604" s="104"/>
      <c r="BC604" s="104"/>
      <c r="BD604" s="104"/>
    </row>
    <row r="605" spans="1:56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4"/>
      <c r="AH605" s="104"/>
      <c r="AI605" s="104"/>
      <c r="AJ605" s="104"/>
      <c r="AK605" s="104"/>
      <c r="AL605" s="104"/>
      <c r="AM605" s="104"/>
      <c r="AN605" s="104"/>
      <c r="AO605" s="104"/>
      <c r="AP605" s="104"/>
      <c r="AQ605" s="104"/>
      <c r="AR605" s="104"/>
      <c r="AS605" s="104"/>
      <c r="AT605" s="104"/>
      <c r="AU605" s="104"/>
      <c r="AV605" s="104"/>
      <c r="AW605" s="104"/>
      <c r="AX605" s="104"/>
      <c r="AY605" s="104"/>
      <c r="AZ605" s="104"/>
      <c r="BA605" s="104"/>
      <c r="BB605" s="104"/>
      <c r="BC605" s="104"/>
      <c r="BD605" s="104"/>
    </row>
    <row r="606" spans="1:56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4"/>
      <c r="AH606" s="104"/>
      <c r="AI606" s="104"/>
      <c r="AJ606" s="104"/>
      <c r="AK606" s="104"/>
      <c r="AL606" s="104"/>
      <c r="AM606" s="104"/>
      <c r="AN606" s="104"/>
      <c r="AO606" s="104"/>
      <c r="AP606" s="104"/>
      <c r="AQ606" s="104"/>
      <c r="AR606" s="104"/>
      <c r="AS606" s="104"/>
      <c r="AT606" s="104"/>
      <c r="AU606" s="104"/>
      <c r="AV606" s="104"/>
      <c r="AW606" s="104"/>
      <c r="AX606" s="104"/>
      <c r="AY606" s="104"/>
      <c r="AZ606" s="104"/>
      <c r="BA606" s="104"/>
      <c r="BB606" s="104"/>
      <c r="BC606" s="104"/>
      <c r="BD606" s="104"/>
    </row>
    <row r="607" spans="1:56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4"/>
      <c r="AH607" s="104"/>
      <c r="AI607" s="104"/>
      <c r="AJ607" s="104"/>
      <c r="AK607" s="104"/>
      <c r="AL607" s="104"/>
      <c r="AM607" s="104"/>
      <c r="AN607" s="104"/>
      <c r="AO607" s="104"/>
      <c r="AP607" s="104"/>
      <c r="AQ607" s="104"/>
      <c r="AR607" s="104"/>
      <c r="AS607" s="104"/>
      <c r="AT607" s="104"/>
      <c r="AU607" s="104"/>
      <c r="AV607" s="104"/>
      <c r="AW607" s="104"/>
      <c r="AX607" s="104"/>
      <c r="AY607" s="104"/>
      <c r="AZ607" s="104"/>
      <c r="BA607" s="104"/>
      <c r="BB607" s="104"/>
      <c r="BC607" s="104"/>
      <c r="BD607" s="104"/>
    </row>
    <row r="608" spans="1:56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  <c r="AI608" s="104"/>
      <c r="AJ608" s="104"/>
      <c r="AK608" s="104"/>
      <c r="AL608" s="104"/>
      <c r="AM608" s="104"/>
      <c r="AN608" s="104"/>
      <c r="AO608" s="104"/>
      <c r="AP608" s="104"/>
      <c r="AQ608" s="104"/>
      <c r="AR608" s="104"/>
      <c r="AS608" s="104"/>
      <c r="AT608" s="104"/>
      <c r="AU608" s="104"/>
      <c r="AV608" s="104"/>
      <c r="AW608" s="104"/>
      <c r="AX608" s="104"/>
      <c r="AY608" s="104"/>
      <c r="AZ608" s="104"/>
      <c r="BA608" s="104"/>
      <c r="BB608" s="104"/>
      <c r="BC608" s="104"/>
      <c r="BD608" s="104"/>
    </row>
    <row r="609" spans="1:56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  <c r="AI609" s="104"/>
      <c r="AJ609" s="104"/>
      <c r="AK609" s="104"/>
      <c r="AL609" s="104"/>
      <c r="AM609" s="104"/>
      <c r="AN609" s="104"/>
      <c r="AO609" s="104"/>
      <c r="AP609" s="104"/>
      <c r="AQ609" s="104"/>
      <c r="AR609" s="104"/>
      <c r="AS609" s="104"/>
      <c r="AT609" s="104"/>
      <c r="AU609" s="104"/>
      <c r="AV609" s="104"/>
      <c r="AW609" s="104"/>
      <c r="AX609" s="104"/>
      <c r="AY609" s="104"/>
      <c r="AZ609" s="104"/>
      <c r="BA609" s="104"/>
      <c r="BB609" s="104"/>
      <c r="BC609" s="104"/>
      <c r="BD609" s="104"/>
    </row>
    <row r="610" spans="1:56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  <c r="AI610" s="104"/>
      <c r="AJ610" s="104"/>
      <c r="AK610" s="104"/>
      <c r="AL610" s="104"/>
      <c r="AM610" s="104"/>
      <c r="AN610" s="104"/>
      <c r="AO610" s="104"/>
      <c r="AP610" s="104"/>
      <c r="AQ610" s="104"/>
      <c r="AR610" s="104"/>
      <c r="AS610" s="104"/>
      <c r="AT610" s="104"/>
      <c r="AU610" s="104"/>
      <c r="AV610" s="104"/>
      <c r="AW610" s="104"/>
      <c r="AX610" s="104"/>
      <c r="AY610" s="104"/>
      <c r="AZ610" s="104"/>
      <c r="BA610" s="104"/>
      <c r="BB610" s="104"/>
      <c r="BC610" s="104"/>
      <c r="BD610" s="104"/>
    </row>
    <row r="611" spans="1:56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  <c r="AI611" s="104"/>
      <c r="AJ611" s="104"/>
      <c r="AK611" s="104"/>
      <c r="AL611" s="104"/>
      <c r="AM611" s="104"/>
      <c r="AN611" s="104"/>
      <c r="AO611" s="104"/>
      <c r="AP611" s="104"/>
      <c r="AQ611" s="104"/>
      <c r="AR611" s="104"/>
      <c r="AS611" s="104"/>
      <c r="AT611" s="104"/>
      <c r="AU611" s="104"/>
      <c r="AV611" s="104"/>
      <c r="AW611" s="104"/>
      <c r="AX611" s="104"/>
      <c r="AY611" s="104"/>
      <c r="AZ611" s="104"/>
      <c r="BA611" s="104"/>
      <c r="BB611" s="104"/>
      <c r="BC611" s="104"/>
      <c r="BD611" s="104"/>
    </row>
    <row r="612" spans="1:56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  <c r="AI612" s="104"/>
      <c r="AJ612" s="104"/>
      <c r="AK612" s="104"/>
      <c r="AL612" s="104"/>
      <c r="AM612" s="104"/>
      <c r="AN612" s="104"/>
      <c r="AO612" s="104"/>
      <c r="AP612" s="104"/>
      <c r="AQ612" s="104"/>
      <c r="AR612" s="104"/>
      <c r="AS612" s="104"/>
      <c r="AT612" s="104"/>
      <c r="AU612" s="104"/>
      <c r="AV612" s="104"/>
      <c r="AW612" s="104"/>
      <c r="AX612" s="104"/>
      <c r="AY612" s="104"/>
      <c r="AZ612" s="104"/>
      <c r="BA612" s="104"/>
      <c r="BB612" s="104"/>
      <c r="BC612" s="104"/>
      <c r="BD612" s="104"/>
    </row>
    <row r="613" spans="1:56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  <c r="AI613" s="104"/>
      <c r="AJ613" s="104"/>
      <c r="AK613" s="104"/>
      <c r="AL613" s="104"/>
      <c r="AM613" s="104"/>
      <c r="AN613" s="104"/>
      <c r="AO613" s="104"/>
      <c r="AP613" s="104"/>
      <c r="AQ613" s="104"/>
      <c r="AR613" s="104"/>
      <c r="AS613" s="104"/>
      <c r="AT613" s="104"/>
      <c r="AU613" s="104"/>
      <c r="AV613" s="104"/>
      <c r="AW613" s="104"/>
      <c r="AX613" s="104"/>
      <c r="AY613" s="104"/>
      <c r="AZ613" s="104"/>
      <c r="BA613" s="104"/>
      <c r="BB613" s="104"/>
      <c r="BC613" s="104"/>
      <c r="BD613" s="104"/>
    </row>
    <row r="614" spans="1:56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  <c r="AI614" s="104"/>
      <c r="AJ614" s="104"/>
      <c r="AK614" s="104"/>
      <c r="AL614" s="104"/>
      <c r="AM614" s="104"/>
      <c r="AN614" s="104"/>
      <c r="AO614" s="104"/>
      <c r="AP614" s="104"/>
      <c r="AQ614" s="104"/>
      <c r="AR614" s="104"/>
      <c r="AS614" s="104"/>
      <c r="AT614" s="104"/>
      <c r="AU614" s="104"/>
      <c r="AV614" s="104"/>
      <c r="AW614" s="104"/>
      <c r="AX614" s="104"/>
      <c r="AY614" s="104"/>
      <c r="AZ614" s="104"/>
      <c r="BA614" s="104"/>
      <c r="BB614" s="104"/>
      <c r="BC614" s="104"/>
      <c r="BD614" s="104"/>
    </row>
    <row r="615" spans="1:56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  <c r="AI615" s="104"/>
      <c r="AJ615" s="104"/>
      <c r="AK615" s="104"/>
      <c r="AL615" s="104"/>
      <c r="AM615" s="104"/>
      <c r="AN615" s="104"/>
      <c r="AO615" s="104"/>
      <c r="AP615" s="104"/>
      <c r="AQ615" s="104"/>
      <c r="AR615" s="104"/>
      <c r="AS615" s="104"/>
      <c r="AT615" s="104"/>
      <c r="AU615" s="104"/>
      <c r="AV615" s="104"/>
      <c r="AW615" s="104"/>
      <c r="AX615" s="104"/>
      <c r="AY615" s="104"/>
      <c r="AZ615" s="104"/>
      <c r="BA615" s="104"/>
      <c r="BB615" s="104"/>
      <c r="BC615" s="104"/>
      <c r="BD615" s="104"/>
    </row>
    <row r="616" spans="1:56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  <c r="AI616" s="104"/>
      <c r="AJ616" s="104"/>
      <c r="AK616" s="104"/>
      <c r="AL616" s="104"/>
      <c r="AM616" s="104"/>
      <c r="AN616" s="104"/>
      <c r="AO616" s="104"/>
      <c r="AP616" s="104"/>
      <c r="AQ616" s="104"/>
      <c r="AR616" s="104"/>
      <c r="AS616" s="104"/>
      <c r="AT616" s="104"/>
      <c r="AU616" s="104"/>
      <c r="AV616" s="104"/>
      <c r="AW616" s="104"/>
      <c r="AX616" s="104"/>
      <c r="AY616" s="104"/>
      <c r="AZ616" s="104"/>
      <c r="BA616" s="104"/>
      <c r="BB616" s="104"/>
      <c r="BC616" s="104"/>
      <c r="BD616" s="104"/>
    </row>
    <row r="617" spans="1:56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  <c r="AI617" s="104"/>
      <c r="AJ617" s="104"/>
      <c r="AK617" s="104"/>
      <c r="AL617" s="104"/>
      <c r="AM617" s="104"/>
      <c r="AN617" s="104"/>
      <c r="AO617" s="104"/>
      <c r="AP617" s="104"/>
      <c r="AQ617" s="104"/>
      <c r="AR617" s="104"/>
      <c r="AS617" s="104"/>
      <c r="AT617" s="104"/>
      <c r="AU617" s="104"/>
      <c r="AV617" s="104"/>
      <c r="AW617" s="104"/>
      <c r="AX617" s="104"/>
      <c r="AY617" s="104"/>
      <c r="AZ617" s="104"/>
      <c r="BA617" s="104"/>
      <c r="BB617" s="104"/>
      <c r="BC617" s="104"/>
      <c r="BD617" s="104"/>
    </row>
    <row r="618" spans="1:56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  <c r="AI618" s="104"/>
      <c r="AJ618" s="104"/>
      <c r="AK618" s="104"/>
      <c r="AL618" s="104"/>
      <c r="AM618" s="104"/>
      <c r="AN618" s="104"/>
      <c r="AO618" s="104"/>
      <c r="AP618" s="104"/>
      <c r="AQ618" s="104"/>
      <c r="AR618" s="104"/>
      <c r="AS618" s="104"/>
      <c r="AT618" s="104"/>
      <c r="AU618" s="104"/>
      <c r="AV618" s="104"/>
      <c r="AW618" s="104"/>
      <c r="AX618" s="104"/>
      <c r="AY618" s="104"/>
      <c r="AZ618" s="104"/>
      <c r="BA618" s="104"/>
      <c r="BB618" s="104"/>
      <c r="BC618" s="104"/>
      <c r="BD618" s="104"/>
    </row>
    <row r="619" spans="1:56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  <c r="AI619" s="104"/>
      <c r="AJ619" s="104"/>
      <c r="AK619" s="104"/>
      <c r="AL619" s="104"/>
      <c r="AM619" s="104"/>
      <c r="AN619" s="104"/>
      <c r="AO619" s="104"/>
      <c r="AP619" s="104"/>
      <c r="AQ619" s="104"/>
      <c r="AR619" s="104"/>
      <c r="AS619" s="104"/>
      <c r="AT619" s="104"/>
      <c r="AU619" s="104"/>
      <c r="AV619" s="104"/>
      <c r="AW619" s="104"/>
      <c r="AX619" s="104"/>
      <c r="AY619" s="104"/>
      <c r="AZ619" s="104"/>
      <c r="BA619" s="104"/>
      <c r="BB619" s="104"/>
      <c r="BC619" s="104"/>
      <c r="BD619" s="104"/>
    </row>
    <row r="620" spans="1:56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  <c r="AI620" s="104"/>
      <c r="AJ620" s="104"/>
      <c r="AK620" s="104"/>
      <c r="AL620" s="104"/>
      <c r="AM620" s="104"/>
      <c r="AN620" s="104"/>
      <c r="AO620" s="104"/>
      <c r="AP620" s="104"/>
      <c r="AQ620" s="104"/>
      <c r="AR620" s="104"/>
      <c r="AS620" s="104"/>
      <c r="AT620" s="104"/>
      <c r="AU620" s="104"/>
      <c r="AV620" s="104"/>
      <c r="AW620" s="104"/>
      <c r="AX620" s="104"/>
      <c r="AY620" s="104"/>
      <c r="AZ620" s="104"/>
      <c r="BA620" s="104"/>
      <c r="BB620" s="104"/>
      <c r="BC620" s="104"/>
      <c r="BD620" s="104"/>
    </row>
    <row r="621" spans="1:56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  <c r="AI621" s="104"/>
      <c r="AJ621" s="104"/>
      <c r="AK621" s="104"/>
      <c r="AL621" s="104"/>
      <c r="AM621" s="104"/>
      <c r="AN621" s="104"/>
      <c r="AO621" s="104"/>
      <c r="AP621" s="104"/>
      <c r="AQ621" s="104"/>
      <c r="AR621" s="104"/>
      <c r="AS621" s="104"/>
      <c r="AT621" s="104"/>
      <c r="AU621" s="104"/>
      <c r="AV621" s="104"/>
      <c r="AW621" s="104"/>
      <c r="AX621" s="104"/>
      <c r="AY621" s="104"/>
      <c r="AZ621" s="104"/>
      <c r="BA621" s="104"/>
      <c r="BB621" s="104"/>
      <c r="BC621" s="104"/>
      <c r="BD621" s="104"/>
    </row>
    <row r="622" spans="1:56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  <c r="AI622" s="104"/>
      <c r="AJ622" s="104"/>
      <c r="AK622" s="104"/>
      <c r="AL622" s="104"/>
      <c r="AM622" s="104"/>
      <c r="AN622" s="104"/>
      <c r="AO622" s="104"/>
      <c r="AP622" s="104"/>
      <c r="AQ622" s="104"/>
      <c r="AR622" s="104"/>
      <c r="AS622" s="104"/>
      <c r="AT622" s="104"/>
      <c r="AU622" s="104"/>
      <c r="AV622" s="104"/>
      <c r="AW622" s="104"/>
      <c r="AX622" s="104"/>
      <c r="AY622" s="104"/>
      <c r="AZ622" s="104"/>
      <c r="BA622" s="104"/>
      <c r="BB622" s="104"/>
      <c r="BC622" s="104"/>
      <c r="BD622" s="104"/>
    </row>
    <row r="623" spans="1:56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  <c r="AI623" s="104"/>
      <c r="AJ623" s="104"/>
      <c r="AK623" s="104"/>
      <c r="AL623" s="104"/>
      <c r="AM623" s="104"/>
      <c r="AN623" s="104"/>
      <c r="AO623" s="104"/>
      <c r="AP623" s="104"/>
      <c r="AQ623" s="104"/>
      <c r="AR623" s="104"/>
      <c r="AS623" s="104"/>
      <c r="AT623" s="104"/>
      <c r="AU623" s="104"/>
      <c r="AV623" s="104"/>
      <c r="AW623" s="104"/>
      <c r="AX623" s="104"/>
      <c r="AY623" s="104"/>
      <c r="AZ623" s="104"/>
      <c r="BA623" s="104"/>
      <c r="BB623" s="104"/>
      <c r="BC623" s="104"/>
      <c r="BD623" s="104"/>
    </row>
    <row r="624" spans="1:56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  <c r="AI624" s="104"/>
      <c r="AJ624" s="104"/>
      <c r="AK624" s="104"/>
      <c r="AL624" s="104"/>
      <c r="AM624" s="104"/>
      <c r="AN624" s="104"/>
      <c r="AO624" s="104"/>
      <c r="AP624" s="104"/>
      <c r="AQ624" s="104"/>
      <c r="AR624" s="104"/>
      <c r="AS624" s="104"/>
      <c r="AT624" s="104"/>
      <c r="AU624" s="104"/>
      <c r="AV624" s="104"/>
      <c r="AW624" s="104"/>
      <c r="AX624" s="104"/>
      <c r="AY624" s="104"/>
      <c r="AZ624" s="104"/>
      <c r="BA624" s="104"/>
      <c r="BB624" s="104"/>
      <c r="BC624" s="104"/>
      <c r="BD624" s="104"/>
    </row>
    <row r="625" spans="1:56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  <c r="AI625" s="104"/>
      <c r="AJ625" s="104"/>
      <c r="AK625" s="104"/>
      <c r="AL625" s="104"/>
      <c r="AM625" s="104"/>
      <c r="AN625" s="104"/>
      <c r="AO625" s="104"/>
      <c r="AP625" s="104"/>
      <c r="AQ625" s="104"/>
      <c r="AR625" s="104"/>
      <c r="AS625" s="104"/>
      <c r="AT625" s="104"/>
      <c r="AU625" s="104"/>
      <c r="AV625" s="104"/>
      <c r="AW625" s="104"/>
      <c r="AX625" s="104"/>
      <c r="AY625" s="104"/>
      <c r="AZ625" s="104"/>
      <c r="BA625" s="104"/>
      <c r="BB625" s="104"/>
      <c r="BC625" s="104"/>
      <c r="BD625" s="104"/>
    </row>
    <row r="626" spans="1:56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  <c r="AI626" s="104"/>
      <c r="AJ626" s="104"/>
      <c r="AK626" s="104"/>
      <c r="AL626" s="104"/>
      <c r="AM626" s="104"/>
      <c r="AN626" s="104"/>
      <c r="AO626" s="104"/>
      <c r="AP626" s="104"/>
      <c r="AQ626" s="104"/>
      <c r="AR626" s="104"/>
      <c r="AS626" s="104"/>
      <c r="AT626" s="104"/>
      <c r="AU626" s="104"/>
      <c r="AV626" s="104"/>
      <c r="AW626" s="104"/>
      <c r="AX626" s="104"/>
      <c r="AY626" s="104"/>
      <c r="AZ626" s="104"/>
      <c r="BA626" s="104"/>
      <c r="BB626" s="104"/>
      <c r="BC626" s="104"/>
      <c r="BD626" s="104"/>
    </row>
    <row r="627" spans="1:56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  <c r="AI627" s="104"/>
      <c r="AJ627" s="104"/>
      <c r="AK627" s="104"/>
      <c r="AL627" s="104"/>
      <c r="AM627" s="104"/>
      <c r="AN627" s="104"/>
      <c r="AO627" s="104"/>
      <c r="AP627" s="104"/>
      <c r="AQ627" s="104"/>
      <c r="AR627" s="104"/>
      <c r="AS627" s="104"/>
      <c r="AT627" s="104"/>
      <c r="AU627" s="104"/>
      <c r="AV627" s="104"/>
      <c r="AW627" s="104"/>
      <c r="AX627" s="104"/>
      <c r="AY627" s="104"/>
      <c r="AZ627" s="104"/>
      <c r="BA627" s="104"/>
      <c r="BB627" s="104"/>
      <c r="BC627" s="104"/>
      <c r="BD627" s="104"/>
    </row>
    <row r="628" spans="1:56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  <c r="AJ628" s="104"/>
      <c r="AK628" s="104"/>
      <c r="AL628" s="104"/>
      <c r="AM628" s="104"/>
      <c r="AN628" s="104"/>
      <c r="AO628" s="104"/>
      <c r="AP628" s="104"/>
      <c r="AQ628" s="104"/>
      <c r="AR628" s="104"/>
      <c r="AS628" s="104"/>
      <c r="AT628" s="104"/>
      <c r="AU628" s="104"/>
      <c r="AV628" s="104"/>
      <c r="AW628" s="104"/>
      <c r="AX628" s="104"/>
      <c r="AY628" s="104"/>
      <c r="AZ628" s="104"/>
      <c r="BA628" s="104"/>
      <c r="BB628" s="104"/>
      <c r="BC628" s="104"/>
      <c r="BD628" s="104"/>
    </row>
    <row r="629" spans="1:56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  <c r="AI629" s="104"/>
      <c r="AJ629" s="104"/>
      <c r="AK629" s="104"/>
      <c r="AL629" s="104"/>
      <c r="AM629" s="104"/>
      <c r="AN629" s="104"/>
      <c r="AO629" s="104"/>
      <c r="AP629" s="104"/>
      <c r="AQ629" s="104"/>
      <c r="AR629" s="104"/>
      <c r="AS629" s="104"/>
      <c r="AT629" s="104"/>
      <c r="AU629" s="104"/>
      <c r="AV629" s="104"/>
      <c r="AW629" s="104"/>
      <c r="AX629" s="104"/>
      <c r="AY629" s="104"/>
      <c r="AZ629" s="104"/>
      <c r="BA629" s="104"/>
      <c r="BB629" s="104"/>
      <c r="BC629" s="104"/>
      <c r="BD629" s="104"/>
    </row>
    <row r="630" spans="1:56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  <c r="AI630" s="104"/>
      <c r="AJ630" s="104"/>
      <c r="AK630" s="104"/>
      <c r="AL630" s="104"/>
      <c r="AM630" s="104"/>
      <c r="AN630" s="104"/>
      <c r="AO630" s="104"/>
      <c r="AP630" s="104"/>
      <c r="AQ630" s="104"/>
      <c r="AR630" s="104"/>
      <c r="AS630" s="104"/>
      <c r="AT630" s="104"/>
      <c r="AU630" s="104"/>
      <c r="AV630" s="104"/>
      <c r="AW630" s="104"/>
      <c r="AX630" s="104"/>
      <c r="AY630" s="104"/>
      <c r="AZ630" s="104"/>
      <c r="BA630" s="104"/>
      <c r="BB630" s="104"/>
      <c r="BC630" s="104"/>
      <c r="BD630" s="104"/>
    </row>
    <row r="631" spans="1:56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  <c r="AI631" s="104"/>
      <c r="AJ631" s="104"/>
      <c r="AK631" s="104"/>
      <c r="AL631" s="104"/>
      <c r="AM631" s="104"/>
      <c r="AN631" s="104"/>
      <c r="AO631" s="104"/>
      <c r="AP631" s="104"/>
      <c r="AQ631" s="104"/>
      <c r="AR631" s="104"/>
      <c r="AS631" s="104"/>
      <c r="AT631" s="104"/>
      <c r="AU631" s="104"/>
      <c r="AV631" s="104"/>
      <c r="AW631" s="104"/>
      <c r="AX631" s="104"/>
      <c r="AY631" s="104"/>
      <c r="AZ631" s="104"/>
      <c r="BA631" s="104"/>
      <c r="BB631" s="104"/>
      <c r="BC631" s="104"/>
      <c r="BD631" s="104"/>
    </row>
    <row r="632" spans="1:56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  <c r="AI632" s="104"/>
      <c r="AJ632" s="104"/>
      <c r="AK632" s="104"/>
      <c r="AL632" s="104"/>
      <c r="AM632" s="104"/>
      <c r="AN632" s="104"/>
      <c r="AO632" s="104"/>
      <c r="AP632" s="104"/>
      <c r="AQ632" s="104"/>
      <c r="AR632" s="104"/>
      <c r="AS632" s="104"/>
      <c r="AT632" s="104"/>
      <c r="AU632" s="104"/>
      <c r="AV632" s="104"/>
      <c r="AW632" s="104"/>
      <c r="AX632" s="104"/>
      <c r="AY632" s="104"/>
      <c r="AZ632" s="104"/>
      <c r="BA632" s="104"/>
      <c r="BB632" s="104"/>
      <c r="BC632" s="104"/>
      <c r="BD632" s="104"/>
    </row>
    <row r="633" spans="1:56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  <c r="AI633" s="104"/>
      <c r="AJ633" s="104"/>
      <c r="AK633" s="104"/>
      <c r="AL633" s="104"/>
      <c r="AM633" s="104"/>
      <c r="AN633" s="104"/>
      <c r="AO633" s="104"/>
      <c r="AP633" s="104"/>
      <c r="AQ633" s="104"/>
      <c r="AR633" s="104"/>
      <c r="AS633" s="104"/>
      <c r="AT633" s="104"/>
      <c r="AU633" s="104"/>
      <c r="AV633" s="104"/>
      <c r="AW633" s="104"/>
      <c r="AX633" s="104"/>
      <c r="AY633" s="104"/>
      <c r="AZ633" s="104"/>
      <c r="BA633" s="104"/>
      <c r="BB633" s="104"/>
      <c r="BC633" s="104"/>
      <c r="BD633" s="104"/>
    </row>
    <row r="634" spans="1:56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  <c r="AI634" s="104"/>
      <c r="AJ634" s="104"/>
      <c r="AK634" s="104"/>
      <c r="AL634" s="104"/>
      <c r="AM634" s="104"/>
      <c r="AN634" s="104"/>
      <c r="AO634" s="104"/>
      <c r="AP634" s="104"/>
      <c r="AQ634" s="104"/>
      <c r="AR634" s="104"/>
      <c r="AS634" s="104"/>
      <c r="AT634" s="104"/>
      <c r="AU634" s="104"/>
      <c r="AV634" s="104"/>
      <c r="AW634" s="104"/>
      <c r="AX634" s="104"/>
      <c r="AY634" s="104"/>
      <c r="AZ634" s="104"/>
      <c r="BA634" s="104"/>
      <c r="BB634" s="104"/>
      <c r="BC634" s="104"/>
      <c r="BD634" s="104"/>
    </row>
    <row r="635" spans="1:56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  <c r="AI635" s="104"/>
      <c r="AJ635" s="104"/>
      <c r="AK635" s="104"/>
      <c r="AL635" s="104"/>
      <c r="AM635" s="104"/>
      <c r="AN635" s="104"/>
      <c r="AO635" s="104"/>
      <c r="AP635" s="104"/>
      <c r="AQ635" s="104"/>
      <c r="AR635" s="104"/>
      <c r="AS635" s="104"/>
      <c r="AT635" s="104"/>
      <c r="AU635" s="104"/>
      <c r="AV635" s="104"/>
      <c r="AW635" s="104"/>
      <c r="AX635" s="104"/>
      <c r="AY635" s="104"/>
      <c r="AZ635" s="104"/>
      <c r="BA635" s="104"/>
      <c r="BB635" s="104"/>
      <c r="BC635" s="104"/>
      <c r="BD635" s="104"/>
    </row>
    <row r="636" spans="1:56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  <c r="AI636" s="104"/>
      <c r="AJ636" s="104"/>
      <c r="AK636" s="104"/>
      <c r="AL636" s="104"/>
      <c r="AM636" s="104"/>
      <c r="AN636" s="104"/>
      <c r="AO636" s="104"/>
      <c r="AP636" s="104"/>
      <c r="AQ636" s="104"/>
      <c r="AR636" s="104"/>
      <c r="AS636" s="104"/>
      <c r="AT636" s="104"/>
      <c r="AU636" s="104"/>
      <c r="AV636" s="104"/>
      <c r="AW636" s="104"/>
      <c r="AX636" s="104"/>
      <c r="AY636" s="104"/>
      <c r="AZ636" s="104"/>
      <c r="BA636" s="104"/>
      <c r="BB636" s="104"/>
      <c r="BC636" s="104"/>
      <c r="BD636" s="104"/>
    </row>
    <row r="637" spans="1:56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  <c r="AI637" s="104"/>
      <c r="AJ637" s="104"/>
      <c r="AK637" s="104"/>
      <c r="AL637" s="104"/>
      <c r="AM637" s="104"/>
      <c r="AN637" s="104"/>
      <c r="AO637" s="104"/>
      <c r="AP637" s="104"/>
      <c r="AQ637" s="104"/>
      <c r="AR637" s="104"/>
      <c r="AS637" s="104"/>
      <c r="AT637" s="104"/>
      <c r="AU637" s="104"/>
      <c r="AV637" s="104"/>
      <c r="AW637" s="104"/>
      <c r="AX637" s="104"/>
      <c r="AY637" s="104"/>
      <c r="AZ637" s="104"/>
      <c r="BA637" s="104"/>
      <c r="BB637" s="104"/>
      <c r="BC637" s="104"/>
      <c r="BD637" s="104"/>
    </row>
    <row r="638" spans="1:56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  <c r="AI638" s="104"/>
      <c r="AJ638" s="104"/>
      <c r="AK638" s="104"/>
      <c r="AL638" s="104"/>
      <c r="AM638" s="104"/>
      <c r="AN638" s="104"/>
      <c r="AO638" s="104"/>
      <c r="AP638" s="104"/>
      <c r="AQ638" s="104"/>
      <c r="AR638" s="104"/>
      <c r="AS638" s="104"/>
      <c r="AT638" s="104"/>
      <c r="AU638" s="104"/>
      <c r="AV638" s="104"/>
      <c r="AW638" s="104"/>
      <c r="AX638" s="104"/>
      <c r="AY638" s="104"/>
      <c r="AZ638" s="104"/>
      <c r="BA638" s="104"/>
      <c r="BB638" s="104"/>
      <c r="BC638" s="104"/>
      <c r="BD638" s="104"/>
    </row>
    <row r="639" spans="1:56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  <c r="AW639" s="104"/>
      <c r="AX639" s="104"/>
      <c r="AY639" s="104"/>
      <c r="AZ639" s="104"/>
      <c r="BA639" s="104"/>
      <c r="BB639" s="104"/>
      <c r="BC639" s="104"/>
      <c r="BD639" s="104"/>
    </row>
    <row r="640" spans="1:56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  <c r="AI640" s="104"/>
      <c r="AJ640" s="104"/>
      <c r="AK640" s="104"/>
      <c r="AL640" s="104"/>
      <c r="AM640" s="104"/>
      <c r="AN640" s="104"/>
      <c r="AO640" s="104"/>
      <c r="AP640" s="104"/>
      <c r="AQ640" s="104"/>
      <c r="AR640" s="104"/>
      <c r="AS640" s="104"/>
      <c r="AT640" s="104"/>
      <c r="AU640" s="104"/>
      <c r="AV640" s="104"/>
      <c r="AW640" s="104"/>
      <c r="AX640" s="104"/>
      <c r="AY640" s="104"/>
      <c r="AZ640" s="104"/>
      <c r="BA640" s="104"/>
      <c r="BB640" s="104"/>
      <c r="BC640" s="104"/>
      <c r="BD640" s="104"/>
    </row>
    <row r="641" spans="1:56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4"/>
      <c r="AH641" s="104"/>
      <c r="AI641" s="104"/>
      <c r="AJ641" s="104"/>
      <c r="AK641" s="104"/>
      <c r="AL641" s="104"/>
      <c r="AM641" s="104"/>
      <c r="AN641" s="104"/>
      <c r="AO641" s="104"/>
      <c r="AP641" s="104"/>
      <c r="AQ641" s="104"/>
      <c r="AR641" s="104"/>
      <c r="AS641" s="104"/>
      <c r="AT641" s="104"/>
      <c r="AU641" s="104"/>
      <c r="AV641" s="104"/>
      <c r="AW641" s="104"/>
      <c r="AX641" s="104"/>
      <c r="AY641" s="104"/>
      <c r="AZ641" s="104"/>
      <c r="BA641" s="104"/>
      <c r="BB641" s="104"/>
      <c r="BC641" s="104"/>
      <c r="BD641" s="104"/>
    </row>
    <row r="642" spans="1:56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4"/>
      <c r="AH642" s="104"/>
      <c r="AI642" s="104"/>
      <c r="AJ642" s="104"/>
      <c r="AK642" s="104"/>
      <c r="AL642" s="104"/>
      <c r="AM642" s="104"/>
      <c r="AN642" s="104"/>
      <c r="AO642" s="104"/>
      <c r="AP642" s="104"/>
      <c r="AQ642" s="104"/>
      <c r="AR642" s="104"/>
      <c r="AS642" s="104"/>
      <c r="AT642" s="104"/>
      <c r="AU642" s="104"/>
      <c r="AV642" s="104"/>
      <c r="AW642" s="104"/>
      <c r="AX642" s="104"/>
      <c r="AY642" s="104"/>
      <c r="AZ642" s="104"/>
      <c r="BA642" s="104"/>
      <c r="BB642" s="104"/>
      <c r="BC642" s="104"/>
      <c r="BD642" s="104"/>
    </row>
    <row r="643" spans="1:56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  <c r="AI643" s="104"/>
      <c r="AJ643" s="104"/>
      <c r="AK643" s="104"/>
      <c r="AL643" s="104"/>
      <c r="AM643" s="104"/>
      <c r="AN643" s="104"/>
      <c r="AO643" s="104"/>
      <c r="AP643" s="104"/>
      <c r="AQ643" s="104"/>
      <c r="AR643" s="104"/>
      <c r="AS643" s="104"/>
      <c r="AT643" s="104"/>
      <c r="AU643" s="104"/>
      <c r="AV643" s="104"/>
      <c r="AW643" s="104"/>
      <c r="AX643" s="104"/>
      <c r="AY643" s="104"/>
      <c r="AZ643" s="104"/>
      <c r="BA643" s="104"/>
      <c r="BB643" s="104"/>
      <c r="BC643" s="104"/>
      <c r="BD643" s="104"/>
    </row>
    <row r="644" spans="1:56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  <c r="AI644" s="104"/>
      <c r="AJ644" s="104"/>
      <c r="AK644" s="104"/>
      <c r="AL644" s="104"/>
      <c r="AM644" s="104"/>
      <c r="AN644" s="104"/>
      <c r="AO644" s="104"/>
      <c r="AP644" s="104"/>
      <c r="AQ644" s="104"/>
      <c r="AR644" s="104"/>
      <c r="AS644" s="104"/>
      <c r="AT644" s="104"/>
      <c r="AU644" s="104"/>
      <c r="AV644" s="104"/>
      <c r="AW644" s="104"/>
      <c r="AX644" s="104"/>
      <c r="AY644" s="104"/>
      <c r="AZ644" s="104"/>
      <c r="BA644" s="104"/>
      <c r="BB644" s="104"/>
      <c r="BC644" s="104"/>
      <c r="BD644" s="104"/>
    </row>
    <row r="645" spans="1:56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  <c r="AI645" s="104"/>
      <c r="AJ645" s="104"/>
      <c r="AK645" s="104"/>
      <c r="AL645" s="104"/>
      <c r="AM645" s="104"/>
      <c r="AN645" s="104"/>
      <c r="AO645" s="104"/>
      <c r="AP645" s="104"/>
      <c r="AQ645" s="104"/>
      <c r="AR645" s="104"/>
      <c r="AS645" s="104"/>
      <c r="AT645" s="104"/>
      <c r="AU645" s="104"/>
      <c r="AV645" s="104"/>
      <c r="AW645" s="104"/>
      <c r="AX645" s="104"/>
      <c r="AY645" s="104"/>
      <c r="AZ645" s="104"/>
      <c r="BA645" s="104"/>
      <c r="BB645" s="104"/>
      <c r="BC645" s="104"/>
      <c r="BD645" s="104"/>
    </row>
    <row r="646" spans="1:56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  <c r="AI646" s="104"/>
      <c r="AJ646" s="104"/>
      <c r="AK646" s="104"/>
      <c r="AL646" s="104"/>
      <c r="AM646" s="104"/>
      <c r="AN646" s="104"/>
      <c r="AO646" s="104"/>
      <c r="AP646" s="104"/>
      <c r="AQ646" s="104"/>
      <c r="AR646" s="104"/>
      <c r="AS646" s="104"/>
      <c r="AT646" s="104"/>
      <c r="AU646" s="104"/>
      <c r="AV646" s="104"/>
      <c r="AW646" s="104"/>
      <c r="AX646" s="104"/>
      <c r="AY646" s="104"/>
      <c r="AZ646" s="104"/>
      <c r="BA646" s="104"/>
      <c r="BB646" s="104"/>
      <c r="BC646" s="104"/>
      <c r="BD646" s="104"/>
    </row>
    <row r="647" spans="1:56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  <c r="AI647" s="104"/>
      <c r="AJ647" s="104"/>
      <c r="AK647" s="104"/>
      <c r="AL647" s="104"/>
      <c r="AM647" s="104"/>
      <c r="AN647" s="104"/>
      <c r="AO647" s="104"/>
      <c r="AP647" s="104"/>
      <c r="AQ647" s="104"/>
      <c r="AR647" s="104"/>
      <c r="AS647" s="104"/>
      <c r="AT647" s="104"/>
      <c r="AU647" s="104"/>
      <c r="AV647" s="104"/>
      <c r="AW647" s="104"/>
      <c r="AX647" s="104"/>
      <c r="AY647" s="104"/>
      <c r="AZ647" s="104"/>
      <c r="BA647" s="104"/>
      <c r="BB647" s="104"/>
      <c r="BC647" s="104"/>
      <c r="BD647" s="104"/>
    </row>
    <row r="648" spans="1:56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  <c r="AI648" s="104"/>
      <c r="AJ648" s="104"/>
      <c r="AK648" s="104"/>
      <c r="AL648" s="104"/>
      <c r="AM648" s="104"/>
      <c r="AN648" s="104"/>
      <c r="AO648" s="104"/>
      <c r="AP648" s="104"/>
      <c r="AQ648" s="104"/>
      <c r="AR648" s="104"/>
      <c r="AS648" s="104"/>
      <c r="AT648" s="104"/>
      <c r="AU648" s="104"/>
      <c r="AV648" s="104"/>
      <c r="AW648" s="104"/>
      <c r="AX648" s="104"/>
      <c r="AY648" s="104"/>
      <c r="AZ648" s="104"/>
      <c r="BA648" s="104"/>
      <c r="BB648" s="104"/>
      <c r="BC648" s="104"/>
      <c r="BD648" s="104"/>
    </row>
    <row r="649" spans="1:56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  <c r="AI649" s="104"/>
      <c r="AJ649" s="104"/>
      <c r="AK649" s="104"/>
      <c r="AL649" s="104"/>
      <c r="AM649" s="104"/>
      <c r="AN649" s="104"/>
      <c r="AO649" s="104"/>
      <c r="AP649" s="104"/>
      <c r="AQ649" s="104"/>
      <c r="AR649" s="104"/>
      <c r="AS649" s="104"/>
      <c r="AT649" s="104"/>
      <c r="AU649" s="104"/>
      <c r="AV649" s="104"/>
      <c r="AW649" s="104"/>
      <c r="AX649" s="104"/>
      <c r="AY649" s="104"/>
      <c r="AZ649" s="104"/>
      <c r="BA649" s="104"/>
      <c r="BB649" s="104"/>
      <c r="BC649" s="104"/>
      <c r="BD649" s="104"/>
    </row>
    <row r="650" spans="1:56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  <c r="AI650" s="104"/>
      <c r="AJ650" s="104"/>
      <c r="AK650" s="104"/>
      <c r="AL650" s="104"/>
      <c r="AM650" s="104"/>
      <c r="AN650" s="104"/>
      <c r="AO650" s="104"/>
      <c r="AP650" s="104"/>
      <c r="AQ650" s="104"/>
      <c r="AR650" s="104"/>
      <c r="AS650" s="104"/>
      <c r="AT650" s="104"/>
      <c r="AU650" s="104"/>
      <c r="AV650" s="104"/>
      <c r="AW650" s="104"/>
      <c r="AX650" s="104"/>
      <c r="AY650" s="104"/>
      <c r="AZ650" s="104"/>
      <c r="BA650" s="104"/>
      <c r="BB650" s="104"/>
      <c r="BC650" s="104"/>
      <c r="BD650" s="104"/>
    </row>
    <row r="651" spans="1:56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  <c r="AI651" s="104"/>
      <c r="AJ651" s="104"/>
      <c r="AK651" s="104"/>
      <c r="AL651" s="104"/>
      <c r="AM651" s="104"/>
      <c r="AN651" s="104"/>
      <c r="AO651" s="104"/>
      <c r="AP651" s="104"/>
      <c r="AQ651" s="104"/>
      <c r="AR651" s="104"/>
      <c r="AS651" s="104"/>
      <c r="AT651" s="104"/>
      <c r="AU651" s="104"/>
      <c r="AV651" s="104"/>
      <c r="AW651" s="104"/>
      <c r="AX651" s="104"/>
      <c r="AY651" s="104"/>
      <c r="AZ651" s="104"/>
      <c r="BA651" s="104"/>
      <c r="BB651" s="104"/>
      <c r="BC651" s="104"/>
      <c r="BD651" s="104"/>
    </row>
    <row r="652" spans="1:56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  <c r="AI652" s="104"/>
      <c r="AJ652" s="104"/>
      <c r="AK652" s="104"/>
      <c r="AL652" s="104"/>
      <c r="AM652" s="104"/>
      <c r="AN652" s="104"/>
      <c r="AO652" s="104"/>
      <c r="AP652" s="104"/>
      <c r="AQ652" s="104"/>
      <c r="AR652" s="104"/>
      <c r="AS652" s="104"/>
      <c r="AT652" s="104"/>
      <c r="AU652" s="104"/>
      <c r="AV652" s="104"/>
      <c r="AW652" s="104"/>
      <c r="AX652" s="104"/>
      <c r="AY652" s="104"/>
      <c r="AZ652" s="104"/>
      <c r="BA652" s="104"/>
      <c r="BB652" s="104"/>
      <c r="BC652" s="104"/>
      <c r="BD652" s="104"/>
    </row>
    <row r="653" spans="1:56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  <c r="AI653" s="104"/>
      <c r="AJ653" s="104"/>
      <c r="AK653" s="104"/>
      <c r="AL653" s="104"/>
      <c r="AM653" s="104"/>
      <c r="AN653" s="104"/>
      <c r="AO653" s="104"/>
      <c r="AP653" s="104"/>
      <c r="AQ653" s="104"/>
      <c r="AR653" s="104"/>
      <c r="AS653" s="104"/>
      <c r="AT653" s="104"/>
      <c r="AU653" s="104"/>
      <c r="AV653" s="104"/>
      <c r="AW653" s="104"/>
      <c r="AX653" s="104"/>
      <c r="AY653" s="104"/>
      <c r="AZ653" s="104"/>
      <c r="BA653" s="104"/>
      <c r="BB653" s="104"/>
      <c r="BC653" s="104"/>
      <c r="BD653" s="104"/>
    </row>
    <row r="654" spans="1:56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  <c r="AI654" s="104"/>
      <c r="AJ654" s="104"/>
      <c r="AK654" s="104"/>
      <c r="AL654" s="104"/>
      <c r="AM654" s="104"/>
      <c r="AN654" s="104"/>
      <c r="AO654" s="104"/>
      <c r="AP654" s="104"/>
      <c r="AQ654" s="104"/>
      <c r="AR654" s="104"/>
      <c r="AS654" s="104"/>
      <c r="AT654" s="104"/>
      <c r="AU654" s="104"/>
      <c r="AV654" s="104"/>
      <c r="AW654" s="104"/>
      <c r="AX654" s="104"/>
      <c r="AY654" s="104"/>
      <c r="AZ654" s="104"/>
      <c r="BA654" s="104"/>
      <c r="BB654" s="104"/>
      <c r="BC654" s="104"/>
      <c r="BD654" s="104"/>
    </row>
    <row r="655" spans="1:56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  <c r="AI655" s="104"/>
      <c r="AJ655" s="104"/>
      <c r="AK655" s="104"/>
      <c r="AL655" s="104"/>
      <c r="AM655" s="104"/>
      <c r="AN655" s="104"/>
      <c r="AO655" s="104"/>
      <c r="AP655" s="104"/>
      <c r="AQ655" s="104"/>
      <c r="AR655" s="104"/>
      <c r="AS655" s="104"/>
      <c r="AT655" s="104"/>
      <c r="AU655" s="104"/>
      <c r="AV655" s="104"/>
      <c r="AW655" s="104"/>
      <c r="AX655" s="104"/>
      <c r="AY655" s="104"/>
      <c r="AZ655" s="104"/>
      <c r="BA655" s="104"/>
      <c r="BB655" s="104"/>
      <c r="BC655" s="104"/>
      <c r="BD655" s="104"/>
    </row>
    <row r="656" spans="1:56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04"/>
      <c r="AK656" s="104"/>
      <c r="AL656" s="104"/>
      <c r="AM656" s="104"/>
      <c r="AN656" s="104"/>
      <c r="AO656" s="104"/>
      <c r="AP656" s="104"/>
      <c r="AQ656" s="104"/>
      <c r="AR656" s="104"/>
      <c r="AS656" s="104"/>
      <c r="AT656" s="104"/>
      <c r="AU656" s="104"/>
      <c r="AV656" s="104"/>
      <c r="AW656" s="104"/>
      <c r="AX656" s="104"/>
      <c r="AY656" s="104"/>
      <c r="AZ656" s="104"/>
      <c r="BA656" s="104"/>
      <c r="BB656" s="104"/>
      <c r="BC656" s="104"/>
      <c r="BD656" s="104"/>
    </row>
    <row r="657" spans="1:56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04"/>
      <c r="AK657" s="104"/>
      <c r="AL657" s="104"/>
      <c r="AM657" s="104"/>
      <c r="AN657" s="104"/>
      <c r="AO657" s="104"/>
      <c r="AP657" s="104"/>
      <c r="AQ657" s="104"/>
      <c r="AR657" s="104"/>
      <c r="AS657" s="104"/>
      <c r="AT657" s="104"/>
      <c r="AU657" s="104"/>
      <c r="AV657" s="104"/>
      <c r="AW657" s="104"/>
      <c r="AX657" s="104"/>
      <c r="AY657" s="104"/>
      <c r="AZ657" s="104"/>
      <c r="BA657" s="104"/>
      <c r="BB657" s="104"/>
      <c r="BC657" s="104"/>
      <c r="BD657" s="104"/>
    </row>
    <row r="658" spans="1:56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04"/>
      <c r="AK658" s="104"/>
      <c r="AL658" s="104"/>
      <c r="AM658" s="104"/>
      <c r="AN658" s="104"/>
      <c r="AO658" s="104"/>
      <c r="AP658" s="104"/>
      <c r="AQ658" s="104"/>
      <c r="AR658" s="104"/>
      <c r="AS658" s="104"/>
      <c r="AT658" s="104"/>
      <c r="AU658" s="104"/>
      <c r="AV658" s="104"/>
      <c r="AW658" s="104"/>
      <c r="AX658" s="104"/>
      <c r="AY658" s="104"/>
      <c r="AZ658" s="104"/>
      <c r="BA658" s="104"/>
      <c r="BB658" s="104"/>
      <c r="BC658" s="104"/>
      <c r="BD658" s="104"/>
    </row>
    <row r="659" spans="1:56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04"/>
      <c r="AK659" s="104"/>
      <c r="AL659" s="104"/>
      <c r="AM659" s="104"/>
      <c r="AN659" s="104"/>
      <c r="AO659" s="104"/>
      <c r="AP659" s="104"/>
      <c r="AQ659" s="104"/>
      <c r="AR659" s="104"/>
      <c r="AS659" s="104"/>
      <c r="AT659" s="104"/>
      <c r="AU659" s="104"/>
      <c r="AV659" s="104"/>
      <c r="AW659" s="104"/>
      <c r="AX659" s="104"/>
      <c r="AY659" s="104"/>
      <c r="AZ659" s="104"/>
      <c r="BA659" s="104"/>
      <c r="BB659" s="104"/>
      <c r="BC659" s="104"/>
      <c r="BD659" s="104"/>
    </row>
    <row r="660" spans="1:56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04"/>
      <c r="AK660" s="104"/>
      <c r="AL660" s="104"/>
      <c r="AM660" s="104"/>
      <c r="AN660" s="104"/>
      <c r="AO660" s="104"/>
      <c r="AP660" s="104"/>
      <c r="AQ660" s="104"/>
      <c r="AR660" s="104"/>
      <c r="AS660" s="104"/>
      <c r="AT660" s="104"/>
      <c r="AU660" s="104"/>
      <c r="AV660" s="104"/>
      <c r="AW660" s="104"/>
      <c r="AX660" s="104"/>
      <c r="AY660" s="104"/>
      <c r="AZ660" s="104"/>
      <c r="BA660" s="104"/>
      <c r="BB660" s="104"/>
      <c r="BC660" s="104"/>
      <c r="BD660" s="104"/>
    </row>
    <row r="661" spans="1:56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04"/>
      <c r="AK661" s="104"/>
      <c r="AL661" s="104"/>
      <c r="AM661" s="104"/>
      <c r="AN661" s="104"/>
      <c r="AO661" s="104"/>
      <c r="AP661" s="104"/>
      <c r="AQ661" s="104"/>
      <c r="AR661" s="104"/>
      <c r="AS661" s="104"/>
      <c r="AT661" s="104"/>
      <c r="AU661" s="104"/>
      <c r="AV661" s="104"/>
      <c r="AW661" s="104"/>
      <c r="AX661" s="104"/>
      <c r="AY661" s="104"/>
      <c r="AZ661" s="104"/>
      <c r="BA661" s="104"/>
      <c r="BB661" s="104"/>
      <c r="BC661" s="104"/>
      <c r="BD661" s="104"/>
    </row>
    <row r="662" spans="1:56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04"/>
      <c r="AK662" s="104"/>
      <c r="AL662" s="104"/>
      <c r="AM662" s="104"/>
      <c r="AN662" s="104"/>
      <c r="AO662" s="104"/>
      <c r="AP662" s="104"/>
      <c r="AQ662" s="104"/>
      <c r="AR662" s="104"/>
      <c r="AS662" s="104"/>
      <c r="AT662" s="104"/>
      <c r="AU662" s="104"/>
      <c r="AV662" s="104"/>
      <c r="AW662" s="104"/>
      <c r="AX662" s="104"/>
      <c r="AY662" s="104"/>
      <c r="AZ662" s="104"/>
      <c r="BA662" s="104"/>
      <c r="BB662" s="104"/>
      <c r="BC662" s="104"/>
      <c r="BD662" s="104"/>
    </row>
    <row r="663" spans="1:56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04"/>
      <c r="AK663" s="104"/>
      <c r="AL663" s="104"/>
      <c r="AM663" s="104"/>
      <c r="AN663" s="104"/>
      <c r="AO663" s="104"/>
      <c r="AP663" s="104"/>
      <c r="AQ663" s="104"/>
      <c r="AR663" s="104"/>
      <c r="AS663" s="104"/>
      <c r="AT663" s="104"/>
      <c r="AU663" s="104"/>
      <c r="AV663" s="104"/>
      <c r="AW663" s="104"/>
      <c r="AX663" s="104"/>
      <c r="AY663" s="104"/>
      <c r="AZ663" s="104"/>
      <c r="BA663" s="104"/>
      <c r="BB663" s="104"/>
      <c r="BC663" s="104"/>
      <c r="BD663" s="104"/>
    </row>
    <row r="664" spans="1:56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04"/>
      <c r="AK664" s="104"/>
      <c r="AL664" s="104"/>
      <c r="AM664" s="104"/>
      <c r="AN664" s="104"/>
      <c r="AO664" s="104"/>
      <c r="AP664" s="104"/>
      <c r="AQ664" s="104"/>
      <c r="AR664" s="104"/>
      <c r="AS664" s="104"/>
      <c r="AT664" s="104"/>
      <c r="AU664" s="104"/>
      <c r="AV664" s="104"/>
      <c r="AW664" s="104"/>
      <c r="AX664" s="104"/>
      <c r="AY664" s="104"/>
      <c r="AZ664" s="104"/>
      <c r="BA664" s="104"/>
      <c r="BB664" s="104"/>
      <c r="BC664" s="104"/>
      <c r="BD664" s="104"/>
    </row>
    <row r="665" spans="1:56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04"/>
      <c r="AK665" s="104"/>
      <c r="AL665" s="104"/>
      <c r="AM665" s="104"/>
      <c r="AN665" s="104"/>
      <c r="AO665" s="104"/>
      <c r="AP665" s="104"/>
      <c r="AQ665" s="104"/>
      <c r="AR665" s="104"/>
      <c r="AS665" s="104"/>
      <c r="AT665" s="104"/>
      <c r="AU665" s="104"/>
      <c r="AV665" s="104"/>
      <c r="AW665" s="104"/>
      <c r="AX665" s="104"/>
      <c r="AY665" s="104"/>
      <c r="AZ665" s="104"/>
      <c r="BA665" s="104"/>
      <c r="BB665" s="104"/>
      <c r="BC665" s="104"/>
      <c r="BD665" s="104"/>
    </row>
    <row r="666" spans="1:56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04"/>
      <c r="AK666" s="104"/>
      <c r="AL666" s="104"/>
      <c r="AM666" s="104"/>
      <c r="AN666" s="104"/>
      <c r="AO666" s="104"/>
      <c r="AP666" s="104"/>
      <c r="AQ666" s="104"/>
      <c r="AR666" s="104"/>
      <c r="AS666" s="104"/>
      <c r="AT666" s="104"/>
      <c r="AU666" s="104"/>
      <c r="AV666" s="104"/>
      <c r="AW666" s="104"/>
      <c r="AX666" s="104"/>
      <c r="AY666" s="104"/>
      <c r="AZ666" s="104"/>
      <c r="BA666" s="104"/>
      <c r="BB666" s="104"/>
      <c r="BC666" s="104"/>
      <c r="BD666" s="104"/>
    </row>
    <row r="667" spans="1:56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04"/>
      <c r="AK667" s="104"/>
      <c r="AL667" s="104"/>
      <c r="AM667" s="104"/>
      <c r="AN667" s="104"/>
      <c r="AO667" s="104"/>
      <c r="AP667" s="104"/>
      <c r="AQ667" s="104"/>
      <c r="AR667" s="104"/>
      <c r="AS667" s="104"/>
      <c r="AT667" s="104"/>
      <c r="AU667" s="104"/>
      <c r="AV667" s="104"/>
      <c r="AW667" s="104"/>
      <c r="AX667" s="104"/>
      <c r="AY667" s="104"/>
      <c r="AZ667" s="104"/>
      <c r="BA667" s="104"/>
      <c r="BB667" s="104"/>
      <c r="BC667" s="104"/>
      <c r="BD667" s="104"/>
    </row>
    <row r="668" spans="1:56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04"/>
      <c r="AK668" s="104"/>
      <c r="AL668" s="104"/>
      <c r="AM668" s="104"/>
      <c r="AN668" s="104"/>
      <c r="AO668" s="104"/>
      <c r="AP668" s="104"/>
      <c r="AQ668" s="104"/>
      <c r="AR668" s="104"/>
      <c r="AS668" s="104"/>
      <c r="AT668" s="104"/>
      <c r="AU668" s="104"/>
      <c r="AV668" s="104"/>
      <c r="AW668" s="104"/>
      <c r="AX668" s="104"/>
      <c r="AY668" s="104"/>
      <c r="AZ668" s="104"/>
      <c r="BA668" s="104"/>
      <c r="BB668" s="104"/>
      <c r="BC668" s="104"/>
      <c r="BD668" s="104"/>
    </row>
    <row r="669" spans="1:56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04"/>
      <c r="AK669" s="104"/>
      <c r="AL669" s="104"/>
      <c r="AM669" s="104"/>
      <c r="AN669" s="104"/>
      <c r="AO669" s="104"/>
      <c r="AP669" s="104"/>
      <c r="AQ669" s="104"/>
      <c r="AR669" s="104"/>
      <c r="AS669" s="104"/>
      <c r="AT669" s="104"/>
      <c r="AU669" s="104"/>
      <c r="AV669" s="104"/>
      <c r="AW669" s="104"/>
      <c r="AX669" s="104"/>
      <c r="AY669" s="104"/>
      <c r="AZ669" s="104"/>
      <c r="BA669" s="104"/>
      <c r="BB669" s="104"/>
      <c r="BC669" s="104"/>
      <c r="BD669" s="104"/>
    </row>
    <row r="670" spans="1:56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04"/>
      <c r="AK670" s="104"/>
      <c r="AL670" s="104"/>
      <c r="AM670" s="104"/>
      <c r="AN670" s="104"/>
      <c r="AO670" s="104"/>
      <c r="AP670" s="104"/>
      <c r="AQ670" s="104"/>
      <c r="AR670" s="104"/>
      <c r="AS670" s="104"/>
      <c r="AT670" s="104"/>
      <c r="AU670" s="104"/>
      <c r="AV670" s="104"/>
      <c r="AW670" s="104"/>
      <c r="AX670" s="104"/>
      <c r="AY670" s="104"/>
      <c r="AZ670" s="104"/>
      <c r="BA670" s="104"/>
      <c r="BB670" s="104"/>
      <c r="BC670" s="104"/>
      <c r="BD670" s="104"/>
    </row>
    <row r="671" spans="1:56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04"/>
      <c r="AK671" s="104"/>
      <c r="AL671" s="104"/>
      <c r="AM671" s="104"/>
      <c r="AN671" s="104"/>
      <c r="AO671" s="104"/>
      <c r="AP671" s="104"/>
      <c r="AQ671" s="104"/>
      <c r="AR671" s="104"/>
      <c r="AS671" s="104"/>
      <c r="AT671" s="104"/>
      <c r="AU671" s="104"/>
      <c r="AV671" s="104"/>
      <c r="AW671" s="104"/>
      <c r="AX671" s="104"/>
      <c r="AY671" s="104"/>
      <c r="AZ671" s="104"/>
      <c r="BA671" s="104"/>
      <c r="BB671" s="104"/>
      <c r="BC671" s="104"/>
      <c r="BD671" s="104"/>
    </row>
    <row r="672" spans="1:56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04"/>
      <c r="AK672" s="104"/>
      <c r="AL672" s="104"/>
      <c r="AM672" s="104"/>
      <c r="AN672" s="104"/>
      <c r="AO672" s="104"/>
      <c r="AP672" s="104"/>
      <c r="AQ672" s="104"/>
      <c r="AR672" s="104"/>
      <c r="AS672" s="104"/>
      <c r="AT672" s="104"/>
      <c r="AU672" s="104"/>
      <c r="AV672" s="104"/>
      <c r="AW672" s="104"/>
      <c r="AX672" s="104"/>
      <c r="AY672" s="104"/>
      <c r="AZ672" s="104"/>
      <c r="BA672" s="104"/>
      <c r="BB672" s="104"/>
      <c r="BC672" s="104"/>
      <c r="BD672" s="104"/>
    </row>
    <row r="673" spans="1:56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04"/>
      <c r="AK673" s="104"/>
      <c r="AL673" s="104"/>
      <c r="AM673" s="104"/>
      <c r="AN673" s="104"/>
      <c r="AO673" s="104"/>
      <c r="AP673" s="104"/>
      <c r="AQ673" s="104"/>
      <c r="AR673" s="104"/>
      <c r="AS673" s="104"/>
      <c r="AT673" s="104"/>
      <c r="AU673" s="104"/>
      <c r="AV673" s="104"/>
      <c r="AW673" s="104"/>
      <c r="AX673" s="104"/>
      <c r="AY673" s="104"/>
      <c r="AZ673" s="104"/>
      <c r="BA673" s="104"/>
      <c r="BB673" s="104"/>
      <c r="BC673" s="104"/>
      <c r="BD673" s="104"/>
    </row>
    <row r="674" spans="1:56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04"/>
      <c r="AK674" s="104"/>
      <c r="AL674" s="104"/>
      <c r="AM674" s="104"/>
      <c r="AN674" s="104"/>
      <c r="AO674" s="104"/>
      <c r="AP674" s="104"/>
      <c r="AQ674" s="104"/>
      <c r="AR674" s="104"/>
      <c r="AS674" s="104"/>
      <c r="AT674" s="104"/>
      <c r="AU674" s="104"/>
      <c r="AV674" s="104"/>
      <c r="AW674" s="104"/>
      <c r="AX674" s="104"/>
      <c r="AY674" s="104"/>
      <c r="AZ674" s="104"/>
      <c r="BA674" s="104"/>
      <c r="BB674" s="104"/>
      <c r="BC674" s="104"/>
      <c r="BD674" s="104"/>
    </row>
    <row r="675" spans="1:56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04"/>
      <c r="AK675" s="104"/>
      <c r="AL675" s="104"/>
      <c r="AM675" s="104"/>
      <c r="AN675" s="104"/>
      <c r="AO675" s="104"/>
      <c r="AP675" s="104"/>
      <c r="AQ675" s="104"/>
      <c r="AR675" s="104"/>
      <c r="AS675" s="104"/>
      <c r="AT675" s="104"/>
      <c r="AU675" s="104"/>
      <c r="AV675" s="104"/>
      <c r="AW675" s="104"/>
      <c r="AX675" s="104"/>
      <c r="AY675" s="104"/>
      <c r="AZ675" s="104"/>
      <c r="BA675" s="104"/>
      <c r="BB675" s="104"/>
      <c r="BC675" s="104"/>
      <c r="BD675" s="104"/>
    </row>
    <row r="676" spans="1:56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04"/>
      <c r="AK676" s="104"/>
      <c r="AL676" s="104"/>
      <c r="AM676" s="104"/>
      <c r="AN676" s="104"/>
      <c r="AO676" s="104"/>
      <c r="AP676" s="104"/>
      <c r="AQ676" s="104"/>
      <c r="AR676" s="104"/>
      <c r="AS676" s="104"/>
      <c r="AT676" s="104"/>
      <c r="AU676" s="104"/>
      <c r="AV676" s="104"/>
      <c r="AW676" s="104"/>
      <c r="AX676" s="104"/>
      <c r="AY676" s="104"/>
      <c r="AZ676" s="104"/>
      <c r="BA676" s="104"/>
      <c r="BB676" s="104"/>
      <c r="BC676" s="104"/>
      <c r="BD676" s="104"/>
    </row>
    <row r="677" spans="1:56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04"/>
      <c r="AK677" s="104"/>
      <c r="AL677" s="104"/>
      <c r="AM677" s="104"/>
      <c r="AN677" s="104"/>
      <c r="AO677" s="104"/>
      <c r="AP677" s="104"/>
      <c r="AQ677" s="104"/>
      <c r="AR677" s="104"/>
      <c r="AS677" s="104"/>
      <c r="AT677" s="104"/>
      <c r="AU677" s="104"/>
      <c r="AV677" s="104"/>
      <c r="AW677" s="104"/>
      <c r="AX677" s="104"/>
      <c r="AY677" s="104"/>
      <c r="AZ677" s="104"/>
      <c r="BA677" s="104"/>
      <c r="BB677" s="104"/>
      <c r="BC677" s="104"/>
      <c r="BD677" s="104"/>
    </row>
    <row r="678" spans="1:56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04"/>
      <c r="AK678" s="104"/>
      <c r="AL678" s="104"/>
      <c r="AM678" s="104"/>
      <c r="AN678" s="104"/>
      <c r="AO678" s="104"/>
      <c r="AP678" s="104"/>
      <c r="AQ678" s="104"/>
      <c r="AR678" s="104"/>
      <c r="AS678" s="104"/>
      <c r="AT678" s="104"/>
      <c r="AU678" s="104"/>
      <c r="AV678" s="104"/>
      <c r="AW678" s="104"/>
      <c r="AX678" s="104"/>
      <c r="AY678" s="104"/>
      <c r="AZ678" s="104"/>
      <c r="BA678" s="104"/>
      <c r="BB678" s="104"/>
      <c r="BC678" s="104"/>
      <c r="BD678" s="104"/>
    </row>
    <row r="679" spans="1:56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04"/>
      <c r="AK679" s="104"/>
      <c r="AL679" s="104"/>
      <c r="AM679" s="104"/>
      <c r="AN679" s="104"/>
      <c r="AO679" s="104"/>
      <c r="AP679" s="104"/>
      <c r="AQ679" s="104"/>
      <c r="AR679" s="104"/>
      <c r="AS679" s="104"/>
      <c r="AT679" s="104"/>
      <c r="AU679" s="104"/>
      <c r="AV679" s="104"/>
      <c r="AW679" s="104"/>
      <c r="AX679" s="104"/>
      <c r="AY679" s="104"/>
      <c r="AZ679" s="104"/>
      <c r="BA679" s="104"/>
      <c r="BB679" s="104"/>
      <c r="BC679" s="104"/>
      <c r="BD679" s="104"/>
    </row>
    <row r="680" spans="1:56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04"/>
      <c r="AK680" s="104"/>
      <c r="AL680" s="104"/>
      <c r="AM680" s="104"/>
      <c r="AN680" s="104"/>
      <c r="AO680" s="104"/>
      <c r="AP680" s="104"/>
      <c r="AQ680" s="104"/>
      <c r="AR680" s="104"/>
      <c r="AS680" s="104"/>
      <c r="AT680" s="104"/>
      <c r="AU680" s="104"/>
      <c r="AV680" s="104"/>
      <c r="AW680" s="104"/>
      <c r="AX680" s="104"/>
      <c r="AY680" s="104"/>
      <c r="AZ680" s="104"/>
      <c r="BA680" s="104"/>
      <c r="BB680" s="104"/>
      <c r="BC680" s="104"/>
      <c r="BD680" s="104"/>
    </row>
    <row r="681" spans="1:56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04"/>
      <c r="AK681" s="104"/>
      <c r="AL681" s="104"/>
      <c r="AM681" s="104"/>
      <c r="AN681" s="104"/>
      <c r="AO681" s="104"/>
      <c r="AP681" s="104"/>
      <c r="AQ681" s="104"/>
      <c r="AR681" s="104"/>
      <c r="AS681" s="104"/>
      <c r="AT681" s="104"/>
      <c r="AU681" s="104"/>
      <c r="AV681" s="104"/>
      <c r="AW681" s="104"/>
      <c r="AX681" s="104"/>
      <c r="AY681" s="104"/>
      <c r="AZ681" s="104"/>
      <c r="BA681" s="104"/>
      <c r="BB681" s="104"/>
      <c r="BC681" s="104"/>
      <c r="BD681" s="104"/>
    </row>
    <row r="682" spans="1:56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04"/>
      <c r="AK682" s="104"/>
      <c r="AL682" s="104"/>
      <c r="AM682" s="104"/>
      <c r="AN682" s="104"/>
      <c r="AO682" s="104"/>
      <c r="AP682" s="104"/>
      <c r="AQ682" s="104"/>
      <c r="AR682" s="104"/>
      <c r="AS682" s="104"/>
      <c r="AT682" s="104"/>
      <c r="AU682" s="104"/>
      <c r="AV682" s="104"/>
      <c r="AW682" s="104"/>
      <c r="AX682" s="104"/>
      <c r="AY682" s="104"/>
      <c r="AZ682" s="104"/>
      <c r="BA682" s="104"/>
      <c r="BB682" s="104"/>
      <c r="BC682" s="104"/>
      <c r="BD682" s="104"/>
    </row>
    <row r="683" spans="1:56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04"/>
      <c r="AK683" s="104"/>
      <c r="AL683" s="104"/>
      <c r="AM683" s="104"/>
      <c r="AN683" s="104"/>
      <c r="AO683" s="104"/>
      <c r="AP683" s="104"/>
      <c r="AQ683" s="104"/>
      <c r="AR683" s="104"/>
      <c r="AS683" s="104"/>
      <c r="AT683" s="104"/>
      <c r="AU683" s="104"/>
      <c r="AV683" s="104"/>
      <c r="AW683" s="104"/>
      <c r="AX683" s="104"/>
      <c r="AY683" s="104"/>
      <c r="AZ683" s="104"/>
      <c r="BA683" s="104"/>
      <c r="BB683" s="104"/>
      <c r="BC683" s="104"/>
      <c r="BD683" s="104"/>
    </row>
    <row r="684" spans="1:56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04"/>
      <c r="AK684" s="104"/>
      <c r="AL684" s="104"/>
      <c r="AM684" s="104"/>
      <c r="AN684" s="104"/>
      <c r="AO684" s="104"/>
      <c r="AP684" s="104"/>
      <c r="AQ684" s="104"/>
      <c r="AR684" s="104"/>
      <c r="AS684" s="104"/>
      <c r="AT684" s="104"/>
      <c r="AU684" s="104"/>
      <c r="AV684" s="104"/>
      <c r="AW684" s="104"/>
      <c r="AX684" s="104"/>
      <c r="AY684" s="104"/>
      <c r="AZ684" s="104"/>
      <c r="BA684" s="104"/>
      <c r="BB684" s="104"/>
      <c r="BC684" s="104"/>
      <c r="BD684" s="104"/>
    </row>
    <row r="685" spans="1:56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04"/>
      <c r="AK685" s="104"/>
      <c r="AL685" s="104"/>
      <c r="AM685" s="104"/>
      <c r="AN685" s="104"/>
      <c r="AO685" s="104"/>
      <c r="AP685" s="104"/>
      <c r="AQ685" s="104"/>
      <c r="AR685" s="104"/>
      <c r="AS685" s="104"/>
      <c r="AT685" s="104"/>
      <c r="AU685" s="104"/>
      <c r="AV685" s="104"/>
      <c r="AW685" s="104"/>
      <c r="AX685" s="104"/>
      <c r="AY685" s="104"/>
      <c r="AZ685" s="104"/>
      <c r="BA685" s="104"/>
      <c r="BB685" s="104"/>
      <c r="BC685" s="104"/>
      <c r="BD685" s="104"/>
    </row>
    <row r="686" spans="1:56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04"/>
      <c r="AK686" s="104"/>
      <c r="AL686" s="104"/>
      <c r="AM686" s="104"/>
      <c r="AN686" s="104"/>
      <c r="AO686" s="104"/>
      <c r="AP686" s="104"/>
      <c r="AQ686" s="104"/>
      <c r="AR686" s="104"/>
      <c r="AS686" s="104"/>
      <c r="AT686" s="104"/>
      <c r="AU686" s="104"/>
      <c r="AV686" s="104"/>
      <c r="AW686" s="104"/>
      <c r="AX686" s="104"/>
      <c r="AY686" s="104"/>
      <c r="AZ686" s="104"/>
      <c r="BA686" s="104"/>
      <c r="BB686" s="104"/>
      <c r="BC686" s="104"/>
      <c r="BD686" s="104"/>
    </row>
    <row r="687" spans="1:56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04"/>
      <c r="AK687" s="104"/>
      <c r="AL687" s="104"/>
      <c r="AM687" s="104"/>
      <c r="AN687" s="104"/>
      <c r="AO687" s="104"/>
      <c r="AP687" s="104"/>
      <c r="AQ687" s="104"/>
      <c r="AR687" s="104"/>
      <c r="AS687" s="104"/>
      <c r="AT687" s="104"/>
      <c r="AU687" s="104"/>
      <c r="AV687" s="104"/>
      <c r="AW687" s="104"/>
      <c r="AX687" s="104"/>
      <c r="AY687" s="104"/>
      <c r="AZ687" s="104"/>
      <c r="BA687" s="104"/>
      <c r="BB687" s="104"/>
      <c r="BC687" s="104"/>
      <c r="BD687" s="104"/>
    </row>
    <row r="688" spans="1:56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04"/>
      <c r="AK688" s="104"/>
      <c r="AL688" s="104"/>
      <c r="AM688" s="104"/>
      <c r="AN688" s="104"/>
      <c r="AO688" s="104"/>
      <c r="AP688" s="104"/>
      <c r="AQ688" s="104"/>
      <c r="AR688" s="104"/>
      <c r="AS688" s="104"/>
      <c r="AT688" s="104"/>
      <c r="AU688" s="104"/>
      <c r="AV688" s="104"/>
      <c r="AW688" s="104"/>
      <c r="AX688" s="104"/>
      <c r="AY688" s="104"/>
      <c r="AZ688" s="104"/>
      <c r="BA688" s="104"/>
      <c r="BB688" s="104"/>
      <c r="BC688" s="104"/>
      <c r="BD688" s="104"/>
    </row>
    <row r="689" spans="1:56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04"/>
      <c r="AK689" s="104"/>
      <c r="AL689" s="104"/>
      <c r="AM689" s="104"/>
      <c r="AN689" s="104"/>
      <c r="AO689" s="104"/>
      <c r="AP689" s="104"/>
      <c r="AQ689" s="104"/>
      <c r="AR689" s="104"/>
      <c r="AS689" s="104"/>
      <c r="AT689" s="104"/>
      <c r="AU689" s="104"/>
      <c r="AV689" s="104"/>
      <c r="AW689" s="104"/>
      <c r="AX689" s="104"/>
      <c r="AY689" s="104"/>
      <c r="AZ689" s="104"/>
      <c r="BA689" s="104"/>
      <c r="BB689" s="104"/>
      <c r="BC689" s="104"/>
      <c r="BD689" s="104"/>
    </row>
    <row r="690" spans="1:56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04"/>
      <c r="AK690" s="104"/>
      <c r="AL690" s="104"/>
      <c r="AM690" s="104"/>
      <c r="AN690" s="104"/>
      <c r="AO690" s="104"/>
      <c r="AP690" s="104"/>
      <c r="AQ690" s="104"/>
      <c r="AR690" s="104"/>
      <c r="AS690" s="104"/>
      <c r="AT690" s="104"/>
      <c r="AU690" s="104"/>
      <c r="AV690" s="104"/>
      <c r="AW690" s="104"/>
      <c r="AX690" s="104"/>
      <c r="AY690" s="104"/>
      <c r="AZ690" s="104"/>
      <c r="BA690" s="104"/>
      <c r="BB690" s="104"/>
      <c r="BC690" s="104"/>
      <c r="BD690" s="104"/>
    </row>
    <row r="691" spans="1:56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04"/>
      <c r="AK691" s="104"/>
      <c r="AL691" s="104"/>
      <c r="AM691" s="104"/>
      <c r="AN691" s="104"/>
      <c r="AO691" s="104"/>
      <c r="AP691" s="104"/>
      <c r="AQ691" s="104"/>
      <c r="AR691" s="104"/>
      <c r="AS691" s="104"/>
      <c r="AT691" s="104"/>
      <c r="AU691" s="104"/>
      <c r="AV691" s="104"/>
      <c r="AW691" s="104"/>
      <c r="AX691" s="104"/>
      <c r="AY691" s="104"/>
      <c r="AZ691" s="104"/>
      <c r="BA691" s="104"/>
      <c r="BB691" s="104"/>
      <c r="BC691" s="104"/>
      <c r="BD691" s="104"/>
    </row>
    <row r="692" spans="1:56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04"/>
      <c r="AK692" s="104"/>
      <c r="AL692" s="104"/>
      <c r="AM692" s="104"/>
      <c r="AN692" s="104"/>
      <c r="AO692" s="104"/>
      <c r="AP692" s="104"/>
      <c r="AQ692" s="104"/>
      <c r="AR692" s="104"/>
      <c r="AS692" s="104"/>
      <c r="AT692" s="104"/>
      <c r="AU692" s="104"/>
      <c r="AV692" s="104"/>
      <c r="AW692" s="104"/>
      <c r="AX692" s="104"/>
      <c r="AY692" s="104"/>
      <c r="AZ692" s="104"/>
      <c r="BA692" s="104"/>
      <c r="BB692" s="104"/>
      <c r="BC692" s="104"/>
      <c r="BD692" s="104"/>
    </row>
    <row r="693" spans="1:56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04"/>
      <c r="AK693" s="104"/>
      <c r="AL693" s="104"/>
      <c r="AM693" s="104"/>
      <c r="AN693" s="104"/>
      <c r="AO693" s="104"/>
      <c r="AP693" s="104"/>
      <c r="AQ693" s="104"/>
      <c r="AR693" s="104"/>
      <c r="AS693" s="104"/>
      <c r="AT693" s="104"/>
      <c r="AU693" s="104"/>
      <c r="AV693" s="104"/>
      <c r="AW693" s="104"/>
      <c r="AX693" s="104"/>
      <c r="AY693" s="104"/>
      <c r="AZ693" s="104"/>
      <c r="BA693" s="104"/>
      <c r="BB693" s="104"/>
      <c r="BC693" s="104"/>
      <c r="BD693" s="104"/>
    </row>
    <row r="694" spans="1:56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04"/>
      <c r="AK694" s="104"/>
      <c r="AL694" s="104"/>
      <c r="AM694" s="104"/>
      <c r="AN694" s="104"/>
      <c r="AO694" s="104"/>
      <c r="AP694" s="104"/>
      <c r="AQ694" s="104"/>
      <c r="AR694" s="104"/>
      <c r="AS694" s="104"/>
      <c r="AT694" s="104"/>
      <c r="AU694" s="104"/>
      <c r="AV694" s="104"/>
      <c r="AW694" s="104"/>
      <c r="AX694" s="104"/>
      <c r="AY694" s="104"/>
      <c r="AZ694" s="104"/>
      <c r="BA694" s="104"/>
      <c r="BB694" s="104"/>
      <c r="BC694" s="104"/>
      <c r="BD694" s="104"/>
    </row>
    <row r="695" spans="1:56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04"/>
      <c r="AK695" s="104"/>
      <c r="AL695" s="104"/>
      <c r="AM695" s="104"/>
      <c r="AN695" s="104"/>
      <c r="AO695" s="104"/>
      <c r="AP695" s="104"/>
      <c r="AQ695" s="104"/>
      <c r="AR695" s="104"/>
      <c r="AS695" s="104"/>
      <c r="AT695" s="104"/>
      <c r="AU695" s="104"/>
      <c r="AV695" s="104"/>
      <c r="AW695" s="104"/>
      <c r="AX695" s="104"/>
      <c r="AY695" s="104"/>
      <c r="AZ695" s="104"/>
      <c r="BA695" s="104"/>
      <c r="BB695" s="104"/>
      <c r="BC695" s="104"/>
      <c r="BD695" s="104"/>
    </row>
    <row r="696" spans="1:56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04"/>
      <c r="AK696" s="104"/>
      <c r="AL696" s="104"/>
      <c r="AM696" s="104"/>
      <c r="AN696" s="104"/>
      <c r="AO696" s="104"/>
      <c r="AP696" s="104"/>
      <c r="AQ696" s="104"/>
      <c r="AR696" s="104"/>
      <c r="AS696" s="104"/>
      <c r="AT696" s="104"/>
      <c r="AU696" s="104"/>
      <c r="AV696" s="104"/>
      <c r="AW696" s="104"/>
      <c r="AX696" s="104"/>
      <c r="AY696" s="104"/>
      <c r="AZ696" s="104"/>
      <c r="BA696" s="104"/>
      <c r="BB696" s="104"/>
      <c r="BC696" s="104"/>
      <c r="BD696" s="104"/>
    </row>
    <row r="697" spans="1:56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04"/>
      <c r="AK697" s="104"/>
      <c r="AL697" s="104"/>
      <c r="AM697" s="104"/>
      <c r="AN697" s="104"/>
      <c r="AO697" s="104"/>
      <c r="AP697" s="104"/>
      <c r="AQ697" s="104"/>
      <c r="AR697" s="104"/>
      <c r="AS697" s="104"/>
      <c r="AT697" s="104"/>
      <c r="AU697" s="104"/>
      <c r="AV697" s="104"/>
      <c r="AW697" s="104"/>
      <c r="AX697" s="104"/>
      <c r="AY697" s="104"/>
      <c r="AZ697" s="104"/>
      <c r="BA697" s="104"/>
      <c r="BB697" s="104"/>
      <c r="BC697" s="104"/>
      <c r="BD697" s="104"/>
    </row>
    <row r="698" spans="1:56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04"/>
      <c r="AK698" s="104"/>
      <c r="AL698" s="104"/>
      <c r="AM698" s="104"/>
      <c r="AN698" s="104"/>
      <c r="AO698" s="104"/>
      <c r="AP698" s="104"/>
      <c r="AQ698" s="104"/>
      <c r="AR698" s="104"/>
      <c r="AS698" s="104"/>
      <c r="AT698" s="104"/>
      <c r="AU698" s="104"/>
      <c r="AV698" s="104"/>
      <c r="AW698" s="104"/>
      <c r="AX698" s="104"/>
      <c r="AY698" s="104"/>
      <c r="AZ698" s="104"/>
      <c r="BA698" s="104"/>
      <c r="BB698" s="104"/>
      <c r="BC698" s="104"/>
      <c r="BD698" s="104"/>
    </row>
    <row r="699" spans="1:56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04"/>
      <c r="AK699" s="104"/>
      <c r="AL699" s="104"/>
      <c r="AM699" s="104"/>
      <c r="AN699" s="104"/>
      <c r="AO699" s="104"/>
      <c r="AP699" s="104"/>
      <c r="AQ699" s="104"/>
      <c r="AR699" s="104"/>
      <c r="AS699" s="104"/>
      <c r="AT699" s="104"/>
      <c r="AU699" s="104"/>
      <c r="AV699" s="104"/>
      <c r="AW699" s="104"/>
      <c r="AX699" s="104"/>
      <c r="AY699" s="104"/>
      <c r="AZ699" s="104"/>
      <c r="BA699" s="104"/>
      <c r="BB699" s="104"/>
      <c r="BC699" s="104"/>
      <c r="BD699" s="104"/>
    </row>
    <row r="700" spans="1:56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04"/>
      <c r="AK700" s="104"/>
      <c r="AL700" s="104"/>
      <c r="AM700" s="104"/>
      <c r="AN700" s="104"/>
      <c r="AO700" s="104"/>
      <c r="AP700" s="104"/>
      <c r="AQ700" s="104"/>
      <c r="AR700" s="104"/>
      <c r="AS700" s="104"/>
      <c r="AT700" s="104"/>
      <c r="AU700" s="104"/>
      <c r="AV700" s="104"/>
      <c r="AW700" s="104"/>
      <c r="AX700" s="104"/>
      <c r="AY700" s="104"/>
      <c r="AZ700" s="104"/>
      <c r="BA700" s="104"/>
      <c r="BB700" s="104"/>
      <c r="BC700" s="104"/>
      <c r="BD700" s="104"/>
    </row>
    <row r="701" spans="1:56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04"/>
      <c r="AK701" s="104"/>
      <c r="AL701" s="104"/>
      <c r="AM701" s="104"/>
      <c r="AN701" s="104"/>
      <c r="AO701" s="104"/>
      <c r="AP701" s="104"/>
      <c r="AQ701" s="104"/>
      <c r="AR701" s="104"/>
      <c r="AS701" s="104"/>
      <c r="AT701" s="104"/>
      <c r="AU701" s="104"/>
      <c r="AV701" s="104"/>
      <c r="AW701" s="104"/>
      <c r="AX701" s="104"/>
      <c r="AY701" s="104"/>
      <c r="AZ701" s="104"/>
      <c r="BA701" s="104"/>
      <c r="BB701" s="104"/>
      <c r="BC701" s="104"/>
      <c r="BD701" s="104"/>
    </row>
    <row r="702" spans="1:56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04"/>
      <c r="AK702" s="104"/>
      <c r="AL702" s="104"/>
      <c r="AM702" s="104"/>
      <c r="AN702" s="104"/>
      <c r="AO702" s="104"/>
      <c r="AP702" s="104"/>
      <c r="AQ702" s="104"/>
      <c r="AR702" s="104"/>
      <c r="AS702" s="104"/>
      <c r="AT702" s="104"/>
      <c r="AU702" s="104"/>
      <c r="AV702" s="104"/>
      <c r="AW702" s="104"/>
      <c r="AX702" s="104"/>
      <c r="AY702" s="104"/>
      <c r="AZ702" s="104"/>
      <c r="BA702" s="104"/>
      <c r="BB702" s="104"/>
      <c r="BC702" s="104"/>
      <c r="BD702" s="104"/>
    </row>
    <row r="703" spans="1:56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04"/>
      <c r="AK703" s="104"/>
      <c r="AL703" s="104"/>
      <c r="AM703" s="104"/>
      <c r="AN703" s="104"/>
      <c r="AO703" s="104"/>
      <c r="AP703" s="104"/>
      <c r="AQ703" s="104"/>
      <c r="AR703" s="104"/>
      <c r="AS703" s="104"/>
      <c r="AT703" s="104"/>
      <c r="AU703" s="104"/>
      <c r="AV703" s="104"/>
      <c r="AW703" s="104"/>
      <c r="AX703" s="104"/>
      <c r="AY703" s="104"/>
      <c r="AZ703" s="104"/>
      <c r="BA703" s="104"/>
      <c r="BB703" s="104"/>
      <c r="BC703" s="104"/>
      <c r="BD703" s="104"/>
    </row>
    <row r="704" spans="1:56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04"/>
      <c r="AK704" s="104"/>
      <c r="AL704" s="104"/>
      <c r="AM704" s="104"/>
      <c r="AN704" s="104"/>
      <c r="AO704" s="104"/>
      <c r="AP704" s="104"/>
      <c r="AQ704" s="104"/>
      <c r="AR704" s="104"/>
      <c r="AS704" s="104"/>
      <c r="AT704" s="104"/>
      <c r="AU704" s="104"/>
      <c r="AV704" s="104"/>
      <c r="AW704" s="104"/>
      <c r="AX704" s="104"/>
      <c r="AY704" s="104"/>
      <c r="AZ704" s="104"/>
      <c r="BA704" s="104"/>
      <c r="BB704" s="104"/>
      <c r="BC704" s="104"/>
      <c r="BD704" s="104"/>
    </row>
    <row r="705" spans="1:56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04"/>
      <c r="AK705" s="104"/>
      <c r="AL705" s="104"/>
      <c r="AM705" s="104"/>
      <c r="AN705" s="104"/>
      <c r="AO705" s="104"/>
      <c r="AP705" s="104"/>
      <c r="AQ705" s="104"/>
      <c r="AR705" s="104"/>
      <c r="AS705" s="104"/>
      <c r="AT705" s="104"/>
      <c r="AU705" s="104"/>
      <c r="AV705" s="104"/>
      <c r="AW705" s="104"/>
      <c r="AX705" s="104"/>
      <c r="AY705" s="104"/>
      <c r="AZ705" s="104"/>
      <c r="BA705" s="104"/>
      <c r="BB705" s="104"/>
      <c r="BC705" s="104"/>
      <c r="BD705" s="104"/>
    </row>
    <row r="706" spans="1:56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04"/>
      <c r="AK706" s="104"/>
      <c r="AL706" s="104"/>
      <c r="AM706" s="104"/>
      <c r="AN706" s="104"/>
      <c r="AO706" s="104"/>
      <c r="AP706" s="104"/>
      <c r="AQ706" s="104"/>
      <c r="AR706" s="104"/>
      <c r="AS706" s="104"/>
      <c r="AT706" s="104"/>
      <c r="AU706" s="104"/>
      <c r="AV706" s="104"/>
      <c r="AW706" s="104"/>
      <c r="AX706" s="104"/>
      <c r="AY706" s="104"/>
      <c r="AZ706" s="104"/>
      <c r="BA706" s="104"/>
      <c r="BB706" s="104"/>
      <c r="BC706" s="104"/>
      <c r="BD706" s="104"/>
    </row>
    <row r="707" spans="1:56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04"/>
      <c r="AK707" s="104"/>
      <c r="AL707" s="104"/>
      <c r="AM707" s="104"/>
      <c r="AN707" s="104"/>
      <c r="AO707" s="104"/>
      <c r="AP707" s="104"/>
      <c r="AQ707" s="104"/>
      <c r="AR707" s="104"/>
      <c r="AS707" s="104"/>
      <c r="AT707" s="104"/>
      <c r="AU707" s="104"/>
      <c r="AV707" s="104"/>
      <c r="AW707" s="104"/>
      <c r="AX707" s="104"/>
      <c r="AY707" s="104"/>
      <c r="AZ707" s="104"/>
      <c r="BA707" s="104"/>
      <c r="BB707" s="104"/>
      <c r="BC707" s="104"/>
      <c r="BD707" s="104"/>
    </row>
    <row r="708" spans="1:56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04"/>
      <c r="AK708" s="104"/>
      <c r="AL708" s="104"/>
      <c r="AM708" s="104"/>
      <c r="AN708" s="104"/>
      <c r="AO708" s="104"/>
      <c r="AP708" s="104"/>
      <c r="AQ708" s="104"/>
      <c r="AR708" s="104"/>
      <c r="AS708" s="104"/>
      <c r="AT708" s="104"/>
      <c r="AU708" s="104"/>
      <c r="AV708" s="104"/>
      <c r="AW708" s="104"/>
      <c r="AX708" s="104"/>
      <c r="AY708" s="104"/>
      <c r="AZ708" s="104"/>
      <c r="BA708" s="104"/>
      <c r="BB708" s="104"/>
      <c r="BC708" s="104"/>
      <c r="BD708" s="104"/>
    </row>
    <row r="709" spans="1:56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04"/>
      <c r="AK709" s="104"/>
      <c r="AL709" s="104"/>
      <c r="AM709" s="104"/>
      <c r="AN709" s="104"/>
      <c r="AO709" s="104"/>
      <c r="AP709" s="104"/>
      <c r="AQ709" s="104"/>
      <c r="AR709" s="104"/>
      <c r="AS709" s="104"/>
      <c r="AT709" s="104"/>
      <c r="AU709" s="104"/>
      <c r="AV709" s="104"/>
      <c r="AW709" s="104"/>
      <c r="AX709" s="104"/>
      <c r="AY709" s="104"/>
      <c r="AZ709" s="104"/>
      <c r="BA709" s="104"/>
      <c r="BB709" s="104"/>
      <c r="BC709" s="104"/>
      <c r="BD709" s="104"/>
    </row>
    <row r="710" spans="1:56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04"/>
      <c r="AK710" s="104"/>
      <c r="AL710" s="104"/>
      <c r="AM710" s="104"/>
      <c r="AN710" s="104"/>
      <c r="AO710" s="104"/>
      <c r="AP710" s="104"/>
      <c r="AQ710" s="104"/>
      <c r="AR710" s="104"/>
      <c r="AS710" s="104"/>
      <c r="AT710" s="104"/>
      <c r="AU710" s="104"/>
      <c r="AV710" s="104"/>
      <c r="AW710" s="104"/>
      <c r="AX710" s="104"/>
      <c r="AY710" s="104"/>
      <c r="AZ710" s="104"/>
      <c r="BA710" s="104"/>
      <c r="BB710" s="104"/>
      <c r="BC710" s="104"/>
      <c r="BD710" s="104"/>
    </row>
    <row r="711" spans="1:56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04"/>
      <c r="AK711" s="104"/>
      <c r="AL711" s="104"/>
      <c r="AM711" s="104"/>
      <c r="AN711" s="104"/>
      <c r="AO711" s="104"/>
      <c r="AP711" s="104"/>
      <c r="AQ711" s="104"/>
      <c r="AR711" s="104"/>
      <c r="AS711" s="104"/>
      <c r="AT711" s="104"/>
      <c r="AU711" s="104"/>
      <c r="AV711" s="104"/>
      <c r="AW711" s="104"/>
      <c r="AX711" s="104"/>
      <c r="AY711" s="104"/>
      <c r="AZ711" s="104"/>
      <c r="BA711" s="104"/>
      <c r="BB711" s="104"/>
      <c r="BC711" s="104"/>
      <c r="BD711" s="104"/>
    </row>
    <row r="712" spans="1:56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04"/>
      <c r="AK712" s="104"/>
      <c r="AL712" s="104"/>
      <c r="AM712" s="104"/>
      <c r="AN712" s="104"/>
      <c r="AO712" s="104"/>
      <c r="AP712" s="104"/>
      <c r="AQ712" s="104"/>
      <c r="AR712" s="104"/>
      <c r="AS712" s="104"/>
      <c r="AT712" s="104"/>
      <c r="AU712" s="104"/>
      <c r="AV712" s="104"/>
      <c r="AW712" s="104"/>
      <c r="AX712" s="104"/>
      <c r="AY712" s="104"/>
      <c r="AZ712" s="104"/>
      <c r="BA712" s="104"/>
      <c r="BB712" s="104"/>
      <c r="BC712" s="104"/>
      <c r="BD712" s="104"/>
    </row>
    <row r="713" spans="1:56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04"/>
      <c r="AK713" s="104"/>
      <c r="AL713" s="104"/>
      <c r="AM713" s="104"/>
      <c r="AN713" s="104"/>
      <c r="AO713" s="104"/>
      <c r="AP713" s="104"/>
      <c r="AQ713" s="104"/>
      <c r="AR713" s="104"/>
      <c r="AS713" s="104"/>
      <c r="AT713" s="104"/>
      <c r="AU713" s="104"/>
      <c r="AV713" s="104"/>
      <c r="AW713" s="104"/>
      <c r="AX713" s="104"/>
      <c r="AY713" s="104"/>
      <c r="AZ713" s="104"/>
      <c r="BA713" s="104"/>
      <c r="BB713" s="104"/>
      <c r="BC713" s="104"/>
      <c r="BD713" s="104"/>
    </row>
    <row r="714" spans="1:56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04"/>
      <c r="AK714" s="104"/>
      <c r="AL714" s="104"/>
      <c r="AM714" s="104"/>
      <c r="AN714" s="104"/>
      <c r="AO714" s="104"/>
      <c r="AP714" s="104"/>
      <c r="AQ714" s="104"/>
      <c r="AR714" s="104"/>
      <c r="AS714" s="104"/>
      <c r="AT714" s="104"/>
      <c r="AU714" s="104"/>
      <c r="AV714" s="104"/>
      <c r="AW714" s="104"/>
      <c r="AX714" s="104"/>
      <c r="AY714" s="104"/>
      <c r="AZ714" s="104"/>
      <c r="BA714" s="104"/>
      <c r="BB714" s="104"/>
      <c r="BC714" s="104"/>
      <c r="BD714" s="104"/>
    </row>
    <row r="715" spans="1:56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04"/>
      <c r="AK715" s="104"/>
      <c r="AL715" s="104"/>
      <c r="AM715" s="104"/>
      <c r="AN715" s="104"/>
      <c r="AO715" s="104"/>
      <c r="AP715" s="104"/>
      <c r="AQ715" s="104"/>
      <c r="AR715" s="104"/>
      <c r="AS715" s="104"/>
      <c r="AT715" s="104"/>
      <c r="AU715" s="104"/>
      <c r="AV715" s="104"/>
      <c r="AW715" s="104"/>
      <c r="AX715" s="104"/>
      <c r="AY715" s="104"/>
      <c r="AZ715" s="104"/>
      <c r="BA715" s="104"/>
      <c r="BB715" s="104"/>
      <c r="BC715" s="104"/>
      <c r="BD715" s="104"/>
    </row>
    <row r="716" spans="1:56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04"/>
      <c r="AK716" s="104"/>
      <c r="AL716" s="104"/>
      <c r="AM716" s="104"/>
      <c r="AN716" s="104"/>
      <c r="AO716" s="104"/>
      <c r="AP716" s="104"/>
      <c r="AQ716" s="104"/>
      <c r="AR716" s="104"/>
      <c r="AS716" s="104"/>
      <c r="AT716" s="104"/>
      <c r="AU716" s="104"/>
      <c r="AV716" s="104"/>
      <c r="AW716" s="104"/>
      <c r="AX716" s="104"/>
      <c r="AY716" s="104"/>
      <c r="AZ716" s="104"/>
      <c r="BA716" s="104"/>
      <c r="BB716" s="104"/>
      <c r="BC716" s="104"/>
      <c r="BD716" s="104"/>
    </row>
    <row r="717" spans="1:56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04"/>
      <c r="AK717" s="104"/>
      <c r="AL717" s="104"/>
      <c r="AM717" s="104"/>
      <c r="AN717" s="104"/>
      <c r="AO717" s="104"/>
      <c r="AP717" s="104"/>
      <c r="AQ717" s="104"/>
      <c r="AR717" s="104"/>
      <c r="AS717" s="104"/>
      <c r="AT717" s="104"/>
      <c r="AU717" s="104"/>
      <c r="AV717" s="104"/>
      <c r="AW717" s="104"/>
      <c r="AX717" s="104"/>
      <c r="AY717" s="104"/>
      <c r="AZ717" s="104"/>
      <c r="BA717" s="104"/>
      <c r="BB717" s="104"/>
      <c r="BC717" s="104"/>
      <c r="BD717" s="104"/>
    </row>
    <row r="718" spans="1:56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04"/>
      <c r="AK718" s="104"/>
      <c r="AL718" s="104"/>
      <c r="AM718" s="104"/>
      <c r="AN718" s="104"/>
      <c r="AO718" s="104"/>
      <c r="AP718" s="104"/>
      <c r="AQ718" s="104"/>
      <c r="AR718" s="104"/>
      <c r="AS718" s="104"/>
      <c r="AT718" s="104"/>
      <c r="AU718" s="104"/>
      <c r="AV718" s="104"/>
      <c r="AW718" s="104"/>
      <c r="AX718" s="104"/>
      <c r="AY718" s="104"/>
      <c r="AZ718" s="104"/>
      <c r="BA718" s="104"/>
      <c r="BB718" s="104"/>
      <c r="BC718" s="104"/>
      <c r="BD718" s="104"/>
    </row>
    <row r="719" spans="1:56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04"/>
      <c r="AK719" s="104"/>
      <c r="AL719" s="104"/>
      <c r="AM719" s="104"/>
      <c r="AN719" s="104"/>
      <c r="AO719" s="104"/>
      <c r="AP719" s="104"/>
      <c r="AQ719" s="104"/>
      <c r="AR719" s="104"/>
      <c r="AS719" s="104"/>
      <c r="AT719" s="104"/>
      <c r="AU719" s="104"/>
      <c r="AV719" s="104"/>
      <c r="AW719" s="104"/>
      <c r="AX719" s="104"/>
      <c r="AY719" s="104"/>
      <c r="AZ719" s="104"/>
      <c r="BA719" s="104"/>
      <c r="BB719" s="104"/>
      <c r="BC719" s="104"/>
      <c r="BD719" s="104"/>
    </row>
    <row r="720" spans="1:56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04"/>
      <c r="AK720" s="104"/>
      <c r="AL720" s="104"/>
      <c r="AM720" s="104"/>
      <c r="AN720" s="104"/>
      <c r="AO720" s="104"/>
      <c r="AP720" s="104"/>
      <c r="AQ720" s="104"/>
      <c r="AR720" s="104"/>
      <c r="AS720" s="104"/>
      <c r="AT720" s="104"/>
      <c r="AU720" s="104"/>
      <c r="AV720" s="104"/>
      <c r="AW720" s="104"/>
      <c r="AX720" s="104"/>
      <c r="AY720" s="104"/>
      <c r="AZ720" s="104"/>
      <c r="BA720" s="104"/>
      <c r="BB720" s="104"/>
      <c r="BC720" s="104"/>
      <c r="BD720" s="104"/>
    </row>
    <row r="721" spans="1:56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04"/>
      <c r="AK721" s="104"/>
      <c r="AL721" s="104"/>
      <c r="AM721" s="104"/>
      <c r="AN721" s="104"/>
      <c r="AO721" s="104"/>
      <c r="AP721" s="104"/>
      <c r="AQ721" s="104"/>
      <c r="AR721" s="104"/>
      <c r="AS721" s="104"/>
      <c r="AT721" s="104"/>
      <c r="AU721" s="104"/>
      <c r="AV721" s="104"/>
      <c r="AW721" s="104"/>
      <c r="AX721" s="104"/>
      <c r="AY721" s="104"/>
      <c r="AZ721" s="104"/>
      <c r="BA721" s="104"/>
      <c r="BB721" s="104"/>
      <c r="BC721" s="104"/>
      <c r="BD721" s="104"/>
    </row>
    <row r="722" spans="1:56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04"/>
      <c r="AK722" s="104"/>
      <c r="AL722" s="104"/>
      <c r="AM722" s="104"/>
      <c r="AN722" s="104"/>
      <c r="AO722" s="104"/>
      <c r="AP722" s="104"/>
      <c r="AQ722" s="104"/>
      <c r="AR722" s="104"/>
      <c r="AS722" s="104"/>
      <c r="AT722" s="104"/>
      <c r="AU722" s="104"/>
      <c r="AV722" s="104"/>
      <c r="AW722" s="104"/>
      <c r="AX722" s="104"/>
      <c r="AY722" s="104"/>
      <c r="AZ722" s="104"/>
      <c r="BA722" s="104"/>
      <c r="BB722" s="104"/>
      <c r="BC722" s="104"/>
      <c r="BD722" s="104"/>
    </row>
    <row r="723" spans="1:56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04"/>
      <c r="AK723" s="104"/>
      <c r="AL723" s="104"/>
      <c r="AM723" s="104"/>
      <c r="AN723" s="104"/>
      <c r="AO723" s="104"/>
      <c r="AP723" s="104"/>
      <c r="AQ723" s="104"/>
      <c r="AR723" s="104"/>
      <c r="AS723" s="104"/>
      <c r="AT723" s="104"/>
      <c r="AU723" s="104"/>
      <c r="AV723" s="104"/>
      <c r="AW723" s="104"/>
      <c r="AX723" s="104"/>
      <c r="AY723" s="104"/>
      <c r="AZ723" s="104"/>
      <c r="BA723" s="104"/>
      <c r="BB723" s="104"/>
      <c r="BC723" s="104"/>
      <c r="BD723" s="104"/>
    </row>
    <row r="724" spans="1:56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04"/>
      <c r="AK724" s="104"/>
      <c r="AL724" s="104"/>
      <c r="AM724" s="104"/>
      <c r="AN724" s="104"/>
      <c r="AO724" s="104"/>
      <c r="AP724" s="104"/>
      <c r="AQ724" s="104"/>
      <c r="AR724" s="104"/>
      <c r="AS724" s="104"/>
      <c r="AT724" s="104"/>
      <c r="AU724" s="104"/>
      <c r="AV724" s="104"/>
      <c r="AW724" s="104"/>
      <c r="AX724" s="104"/>
      <c r="AY724" s="104"/>
      <c r="AZ724" s="104"/>
      <c r="BA724" s="104"/>
      <c r="BB724" s="104"/>
      <c r="BC724" s="104"/>
      <c r="BD724" s="104"/>
    </row>
    <row r="725" spans="1:56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04"/>
      <c r="AK725" s="104"/>
      <c r="AL725" s="104"/>
      <c r="AM725" s="104"/>
      <c r="AN725" s="104"/>
      <c r="AO725" s="104"/>
      <c r="AP725" s="104"/>
      <c r="AQ725" s="104"/>
      <c r="AR725" s="104"/>
      <c r="AS725" s="104"/>
      <c r="AT725" s="104"/>
      <c r="AU725" s="104"/>
      <c r="AV725" s="104"/>
      <c r="AW725" s="104"/>
      <c r="AX725" s="104"/>
      <c r="AY725" s="104"/>
      <c r="AZ725" s="104"/>
      <c r="BA725" s="104"/>
      <c r="BB725" s="104"/>
      <c r="BC725" s="104"/>
      <c r="BD725" s="104"/>
    </row>
    <row r="726" spans="1:56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04"/>
      <c r="AK726" s="104"/>
      <c r="AL726" s="104"/>
      <c r="AM726" s="104"/>
      <c r="AN726" s="104"/>
      <c r="AO726" s="104"/>
      <c r="AP726" s="104"/>
      <c r="AQ726" s="104"/>
      <c r="AR726" s="104"/>
      <c r="AS726" s="104"/>
      <c r="AT726" s="104"/>
      <c r="AU726" s="104"/>
      <c r="AV726" s="104"/>
      <c r="AW726" s="104"/>
      <c r="AX726" s="104"/>
      <c r="AY726" s="104"/>
      <c r="AZ726" s="104"/>
      <c r="BA726" s="104"/>
      <c r="BB726" s="104"/>
      <c r="BC726" s="104"/>
      <c r="BD726" s="104"/>
    </row>
    <row r="727" spans="1:56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04"/>
      <c r="AK727" s="104"/>
      <c r="AL727" s="104"/>
      <c r="AM727" s="104"/>
      <c r="AN727" s="104"/>
      <c r="AO727" s="104"/>
      <c r="AP727" s="104"/>
      <c r="AQ727" s="104"/>
      <c r="AR727" s="104"/>
      <c r="AS727" s="104"/>
      <c r="AT727" s="104"/>
      <c r="AU727" s="104"/>
      <c r="AV727" s="104"/>
      <c r="AW727" s="104"/>
      <c r="AX727" s="104"/>
      <c r="AY727" s="104"/>
      <c r="AZ727" s="104"/>
      <c r="BA727" s="104"/>
      <c r="BB727" s="104"/>
      <c r="BC727" s="104"/>
      <c r="BD727" s="104"/>
    </row>
    <row r="728" spans="1:56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04"/>
      <c r="AK728" s="104"/>
      <c r="AL728" s="104"/>
      <c r="AM728" s="104"/>
      <c r="AN728" s="104"/>
      <c r="AO728" s="104"/>
      <c r="AP728" s="104"/>
      <c r="AQ728" s="104"/>
      <c r="AR728" s="104"/>
      <c r="AS728" s="104"/>
      <c r="AT728" s="104"/>
      <c r="AU728" s="104"/>
      <c r="AV728" s="104"/>
      <c r="AW728" s="104"/>
      <c r="AX728" s="104"/>
      <c r="AY728" s="104"/>
      <c r="AZ728" s="104"/>
      <c r="BA728" s="104"/>
      <c r="BB728" s="104"/>
      <c r="BC728" s="104"/>
      <c r="BD728" s="104"/>
    </row>
    <row r="729" spans="1:56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  <c r="AH729" s="104"/>
      <c r="AI729" s="104"/>
      <c r="AJ729" s="104"/>
      <c r="AK729" s="104"/>
      <c r="AL729" s="104"/>
      <c r="AM729" s="104"/>
      <c r="AN729" s="104"/>
      <c r="AO729" s="104"/>
      <c r="AP729" s="104"/>
      <c r="AQ729" s="104"/>
      <c r="AR729" s="104"/>
      <c r="AS729" s="104"/>
      <c r="AT729" s="104"/>
      <c r="AU729" s="104"/>
      <c r="AV729" s="104"/>
      <c r="AW729" s="104"/>
      <c r="AX729" s="104"/>
      <c r="AY729" s="104"/>
      <c r="AZ729" s="104"/>
      <c r="BA729" s="104"/>
      <c r="BB729" s="104"/>
      <c r="BC729" s="104"/>
      <c r="BD729" s="104"/>
    </row>
    <row r="730" spans="1:56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  <c r="AH730" s="104"/>
      <c r="AI730" s="104"/>
      <c r="AJ730" s="104"/>
      <c r="AK730" s="104"/>
      <c r="AL730" s="104"/>
      <c r="AM730" s="104"/>
      <c r="AN730" s="104"/>
      <c r="AO730" s="104"/>
      <c r="AP730" s="104"/>
      <c r="AQ730" s="104"/>
      <c r="AR730" s="104"/>
      <c r="AS730" s="104"/>
      <c r="AT730" s="104"/>
      <c r="AU730" s="104"/>
      <c r="AV730" s="104"/>
      <c r="AW730" s="104"/>
      <c r="AX730" s="104"/>
      <c r="AY730" s="104"/>
      <c r="AZ730" s="104"/>
      <c r="BA730" s="104"/>
      <c r="BB730" s="104"/>
      <c r="BC730" s="104"/>
      <c r="BD730" s="104"/>
    </row>
    <row r="731" spans="1:56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  <c r="AH731" s="104"/>
      <c r="AI731" s="104"/>
      <c r="AJ731" s="104"/>
      <c r="AK731" s="104"/>
      <c r="AL731" s="104"/>
      <c r="AM731" s="104"/>
      <c r="AN731" s="104"/>
      <c r="AO731" s="104"/>
      <c r="AP731" s="104"/>
      <c r="AQ731" s="104"/>
      <c r="AR731" s="104"/>
      <c r="AS731" s="104"/>
      <c r="AT731" s="104"/>
      <c r="AU731" s="104"/>
      <c r="AV731" s="104"/>
      <c r="AW731" s="104"/>
      <c r="AX731" s="104"/>
      <c r="AY731" s="104"/>
      <c r="AZ731" s="104"/>
      <c r="BA731" s="104"/>
      <c r="BB731" s="104"/>
      <c r="BC731" s="104"/>
      <c r="BD731" s="104"/>
    </row>
    <row r="732" spans="1:56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  <c r="AH732" s="104"/>
      <c r="AI732" s="104"/>
      <c r="AJ732" s="104"/>
      <c r="AK732" s="104"/>
      <c r="AL732" s="104"/>
      <c r="AM732" s="104"/>
      <c r="AN732" s="104"/>
      <c r="AO732" s="104"/>
      <c r="AP732" s="104"/>
      <c r="AQ732" s="104"/>
      <c r="AR732" s="104"/>
      <c r="AS732" s="104"/>
      <c r="AT732" s="104"/>
      <c r="AU732" s="104"/>
      <c r="AV732" s="104"/>
      <c r="AW732" s="104"/>
      <c r="AX732" s="104"/>
      <c r="AY732" s="104"/>
      <c r="AZ732" s="104"/>
      <c r="BA732" s="104"/>
      <c r="BB732" s="104"/>
      <c r="BC732" s="104"/>
      <c r="BD732" s="104"/>
    </row>
    <row r="733" spans="1:56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04"/>
      <c r="AK733" s="104"/>
      <c r="AL733" s="104"/>
      <c r="AM733" s="104"/>
      <c r="AN733" s="104"/>
      <c r="AO733" s="104"/>
      <c r="AP733" s="104"/>
      <c r="AQ733" s="104"/>
      <c r="AR733" s="104"/>
      <c r="AS733" s="104"/>
      <c r="AT733" s="104"/>
      <c r="AU733" s="104"/>
      <c r="AV733" s="104"/>
      <c r="AW733" s="104"/>
      <c r="AX733" s="104"/>
      <c r="AY733" s="104"/>
      <c r="AZ733" s="104"/>
      <c r="BA733" s="104"/>
      <c r="BB733" s="104"/>
      <c r="BC733" s="104"/>
      <c r="BD733" s="104"/>
    </row>
    <row r="734" spans="1:56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04"/>
      <c r="AK734" s="104"/>
      <c r="AL734" s="104"/>
      <c r="AM734" s="104"/>
      <c r="AN734" s="104"/>
      <c r="AO734" s="104"/>
      <c r="AP734" s="104"/>
      <c r="AQ734" s="104"/>
      <c r="AR734" s="104"/>
      <c r="AS734" s="104"/>
      <c r="AT734" s="104"/>
      <c r="AU734" s="104"/>
      <c r="AV734" s="104"/>
      <c r="AW734" s="104"/>
      <c r="AX734" s="104"/>
      <c r="AY734" s="104"/>
      <c r="AZ734" s="104"/>
      <c r="BA734" s="104"/>
      <c r="BB734" s="104"/>
      <c r="BC734" s="104"/>
      <c r="BD734" s="104"/>
    </row>
    <row r="735" spans="1:56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04"/>
      <c r="AK735" s="104"/>
      <c r="AL735" s="104"/>
      <c r="AM735" s="104"/>
      <c r="AN735" s="104"/>
      <c r="AO735" s="104"/>
      <c r="AP735" s="104"/>
      <c r="AQ735" s="104"/>
      <c r="AR735" s="104"/>
      <c r="AS735" s="104"/>
      <c r="AT735" s="104"/>
      <c r="AU735" s="104"/>
      <c r="AV735" s="104"/>
      <c r="AW735" s="104"/>
      <c r="AX735" s="104"/>
      <c r="AY735" s="104"/>
      <c r="AZ735" s="104"/>
      <c r="BA735" s="104"/>
      <c r="BB735" s="104"/>
      <c r="BC735" s="104"/>
      <c r="BD735" s="104"/>
    </row>
    <row r="736" spans="1:56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04"/>
      <c r="AK736" s="104"/>
      <c r="AL736" s="104"/>
      <c r="AM736" s="104"/>
      <c r="AN736" s="104"/>
      <c r="AO736" s="104"/>
      <c r="AP736" s="104"/>
      <c r="AQ736" s="104"/>
      <c r="AR736" s="104"/>
      <c r="AS736" s="104"/>
      <c r="AT736" s="104"/>
      <c r="AU736" s="104"/>
      <c r="AV736" s="104"/>
      <c r="AW736" s="104"/>
      <c r="AX736" s="104"/>
      <c r="AY736" s="104"/>
      <c r="AZ736" s="104"/>
      <c r="BA736" s="104"/>
      <c r="BB736" s="104"/>
      <c r="BC736" s="104"/>
      <c r="BD736" s="104"/>
    </row>
    <row r="737" spans="1:56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04"/>
      <c r="AK737" s="104"/>
      <c r="AL737" s="104"/>
      <c r="AM737" s="104"/>
      <c r="AN737" s="104"/>
      <c r="AO737" s="104"/>
      <c r="AP737" s="104"/>
      <c r="AQ737" s="104"/>
      <c r="AR737" s="104"/>
      <c r="AS737" s="104"/>
      <c r="AT737" s="104"/>
      <c r="AU737" s="104"/>
      <c r="AV737" s="104"/>
      <c r="AW737" s="104"/>
      <c r="AX737" s="104"/>
      <c r="AY737" s="104"/>
      <c r="AZ737" s="104"/>
      <c r="BA737" s="104"/>
      <c r="BB737" s="104"/>
      <c r="BC737" s="104"/>
      <c r="BD737" s="104"/>
    </row>
    <row r="738" spans="1:56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04"/>
      <c r="AK738" s="104"/>
      <c r="AL738" s="104"/>
      <c r="AM738" s="104"/>
      <c r="AN738" s="104"/>
      <c r="AO738" s="104"/>
      <c r="AP738" s="104"/>
      <c r="AQ738" s="104"/>
      <c r="AR738" s="104"/>
      <c r="AS738" s="104"/>
      <c r="AT738" s="104"/>
      <c r="AU738" s="104"/>
      <c r="AV738" s="104"/>
      <c r="AW738" s="104"/>
      <c r="AX738" s="104"/>
      <c r="AY738" s="104"/>
      <c r="AZ738" s="104"/>
      <c r="BA738" s="104"/>
      <c r="BB738" s="104"/>
      <c r="BC738" s="104"/>
      <c r="BD738" s="104"/>
    </row>
    <row r="739" spans="1:56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  <c r="AH739" s="104"/>
      <c r="AI739" s="104"/>
      <c r="AJ739" s="104"/>
      <c r="AK739" s="104"/>
      <c r="AL739" s="104"/>
      <c r="AM739" s="104"/>
      <c r="AN739" s="104"/>
      <c r="AO739" s="104"/>
      <c r="AP739" s="104"/>
      <c r="AQ739" s="104"/>
      <c r="AR739" s="104"/>
      <c r="AS739" s="104"/>
      <c r="AT739" s="104"/>
      <c r="AU739" s="104"/>
      <c r="AV739" s="104"/>
      <c r="AW739" s="104"/>
      <c r="AX739" s="104"/>
      <c r="AY739" s="104"/>
      <c r="AZ739" s="104"/>
      <c r="BA739" s="104"/>
      <c r="BB739" s="104"/>
      <c r="BC739" s="104"/>
      <c r="BD739" s="104"/>
    </row>
    <row r="740" spans="1:56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  <c r="AH740" s="104"/>
      <c r="AI740" s="104"/>
      <c r="AJ740" s="104"/>
      <c r="AK740" s="104"/>
      <c r="AL740" s="104"/>
      <c r="AM740" s="104"/>
      <c r="AN740" s="104"/>
      <c r="AO740" s="104"/>
      <c r="AP740" s="104"/>
      <c r="AQ740" s="104"/>
      <c r="AR740" s="104"/>
      <c r="AS740" s="104"/>
      <c r="AT740" s="104"/>
      <c r="AU740" s="104"/>
      <c r="AV740" s="104"/>
      <c r="AW740" s="104"/>
      <c r="AX740" s="104"/>
      <c r="AY740" s="104"/>
      <c r="AZ740" s="104"/>
      <c r="BA740" s="104"/>
      <c r="BB740" s="104"/>
      <c r="BC740" s="104"/>
      <c r="BD740" s="104"/>
    </row>
    <row r="741" spans="1:56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  <c r="AH741" s="104"/>
      <c r="AI741" s="104"/>
      <c r="AJ741" s="104"/>
      <c r="AK741" s="104"/>
      <c r="AL741" s="104"/>
      <c r="AM741" s="104"/>
      <c r="AN741" s="104"/>
      <c r="AO741" s="104"/>
      <c r="AP741" s="104"/>
      <c r="AQ741" s="104"/>
      <c r="AR741" s="104"/>
      <c r="AS741" s="104"/>
      <c r="AT741" s="104"/>
      <c r="AU741" s="104"/>
      <c r="AV741" s="104"/>
      <c r="AW741" s="104"/>
      <c r="AX741" s="104"/>
      <c r="AY741" s="104"/>
      <c r="AZ741" s="104"/>
      <c r="BA741" s="104"/>
      <c r="BB741" s="104"/>
      <c r="BC741" s="104"/>
      <c r="BD741" s="104"/>
    </row>
    <row r="742" spans="1:56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  <c r="AH742" s="104"/>
      <c r="AI742" s="104"/>
      <c r="AJ742" s="104"/>
      <c r="AK742" s="104"/>
      <c r="AL742" s="104"/>
      <c r="AM742" s="104"/>
      <c r="AN742" s="104"/>
      <c r="AO742" s="104"/>
      <c r="AP742" s="104"/>
      <c r="AQ742" s="104"/>
      <c r="AR742" s="104"/>
      <c r="AS742" s="104"/>
      <c r="AT742" s="104"/>
      <c r="AU742" s="104"/>
      <c r="AV742" s="104"/>
      <c r="AW742" s="104"/>
      <c r="AX742" s="104"/>
      <c r="AY742" s="104"/>
      <c r="AZ742" s="104"/>
      <c r="BA742" s="104"/>
      <c r="BB742" s="104"/>
      <c r="BC742" s="104"/>
      <c r="BD742" s="104"/>
    </row>
    <row r="743" spans="1:56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04"/>
      <c r="AK743" s="104"/>
      <c r="AL743" s="104"/>
      <c r="AM743" s="104"/>
      <c r="AN743" s="104"/>
      <c r="AO743" s="104"/>
      <c r="AP743" s="104"/>
      <c r="AQ743" s="104"/>
      <c r="AR743" s="104"/>
      <c r="AS743" s="104"/>
      <c r="AT743" s="104"/>
      <c r="AU743" s="104"/>
      <c r="AV743" s="104"/>
      <c r="AW743" s="104"/>
      <c r="AX743" s="104"/>
      <c r="AY743" s="104"/>
      <c r="AZ743" s="104"/>
      <c r="BA743" s="104"/>
      <c r="BB743" s="104"/>
      <c r="BC743" s="104"/>
      <c r="BD743" s="104"/>
    </row>
    <row r="744" spans="1:56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04"/>
      <c r="AK744" s="104"/>
      <c r="AL744" s="104"/>
      <c r="AM744" s="104"/>
      <c r="AN744" s="104"/>
      <c r="AO744" s="104"/>
      <c r="AP744" s="104"/>
      <c r="AQ744" s="104"/>
      <c r="AR744" s="104"/>
      <c r="AS744" s="104"/>
      <c r="AT744" s="104"/>
      <c r="AU744" s="104"/>
      <c r="AV744" s="104"/>
      <c r="AW744" s="104"/>
      <c r="AX744" s="104"/>
      <c r="AY744" s="104"/>
      <c r="AZ744" s="104"/>
      <c r="BA744" s="104"/>
      <c r="BB744" s="104"/>
      <c r="BC744" s="104"/>
      <c r="BD744" s="104"/>
    </row>
    <row r="745" spans="1:56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04"/>
      <c r="AK745" s="104"/>
      <c r="AL745" s="104"/>
      <c r="AM745" s="104"/>
      <c r="AN745" s="104"/>
      <c r="AO745" s="104"/>
      <c r="AP745" s="104"/>
      <c r="AQ745" s="104"/>
      <c r="AR745" s="104"/>
      <c r="AS745" s="104"/>
      <c r="AT745" s="104"/>
      <c r="AU745" s="104"/>
      <c r="AV745" s="104"/>
      <c r="AW745" s="104"/>
      <c r="AX745" s="104"/>
      <c r="AY745" s="104"/>
      <c r="AZ745" s="104"/>
      <c r="BA745" s="104"/>
      <c r="BB745" s="104"/>
      <c r="BC745" s="104"/>
      <c r="BD745" s="104"/>
    </row>
    <row r="746" spans="1:56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04"/>
      <c r="AK746" s="104"/>
      <c r="AL746" s="104"/>
      <c r="AM746" s="104"/>
      <c r="AN746" s="104"/>
      <c r="AO746" s="104"/>
      <c r="AP746" s="104"/>
      <c r="AQ746" s="104"/>
      <c r="AR746" s="104"/>
      <c r="AS746" s="104"/>
      <c r="AT746" s="104"/>
      <c r="AU746" s="104"/>
      <c r="AV746" s="104"/>
      <c r="AW746" s="104"/>
      <c r="AX746" s="104"/>
      <c r="AY746" s="104"/>
      <c r="AZ746" s="104"/>
      <c r="BA746" s="104"/>
      <c r="BB746" s="104"/>
      <c r="BC746" s="104"/>
      <c r="BD746" s="104"/>
    </row>
    <row r="747" spans="1:56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04"/>
      <c r="AK747" s="104"/>
      <c r="AL747" s="104"/>
      <c r="AM747" s="104"/>
      <c r="AN747" s="104"/>
      <c r="AO747" s="104"/>
      <c r="AP747" s="104"/>
      <c r="AQ747" s="104"/>
      <c r="AR747" s="104"/>
      <c r="AS747" s="104"/>
      <c r="AT747" s="104"/>
      <c r="AU747" s="104"/>
      <c r="AV747" s="104"/>
      <c r="AW747" s="104"/>
      <c r="AX747" s="104"/>
      <c r="AY747" s="104"/>
      <c r="AZ747" s="104"/>
      <c r="BA747" s="104"/>
      <c r="BB747" s="104"/>
      <c r="BC747" s="104"/>
      <c r="BD747" s="104"/>
    </row>
    <row r="748" spans="1:56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04"/>
      <c r="AK748" s="104"/>
      <c r="AL748" s="104"/>
      <c r="AM748" s="104"/>
      <c r="AN748" s="104"/>
      <c r="AO748" s="104"/>
      <c r="AP748" s="104"/>
      <c r="AQ748" s="104"/>
      <c r="AR748" s="104"/>
      <c r="AS748" s="104"/>
      <c r="AT748" s="104"/>
      <c r="AU748" s="104"/>
      <c r="AV748" s="104"/>
      <c r="AW748" s="104"/>
      <c r="AX748" s="104"/>
      <c r="AY748" s="104"/>
      <c r="AZ748" s="104"/>
      <c r="BA748" s="104"/>
      <c r="BB748" s="104"/>
      <c r="BC748" s="104"/>
      <c r="BD748" s="104"/>
    </row>
    <row r="749" spans="1:56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04"/>
      <c r="AK749" s="104"/>
      <c r="AL749" s="104"/>
      <c r="AM749" s="104"/>
      <c r="AN749" s="104"/>
      <c r="AO749" s="104"/>
      <c r="AP749" s="104"/>
      <c r="AQ749" s="104"/>
      <c r="AR749" s="104"/>
      <c r="AS749" s="104"/>
      <c r="AT749" s="104"/>
      <c r="AU749" s="104"/>
      <c r="AV749" s="104"/>
      <c r="AW749" s="104"/>
      <c r="AX749" s="104"/>
      <c r="AY749" s="104"/>
      <c r="AZ749" s="104"/>
      <c r="BA749" s="104"/>
      <c r="BB749" s="104"/>
      <c r="BC749" s="104"/>
      <c r="BD749" s="104"/>
    </row>
    <row r="750" spans="1:56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04"/>
      <c r="AK750" s="104"/>
      <c r="AL750" s="104"/>
      <c r="AM750" s="104"/>
      <c r="AN750" s="104"/>
      <c r="AO750" s="104"/>
      <c r="AP750" s="104"/>
      <c r="AQ750" s="104"/>
      <c r="AR750" s="104"/>
      <c r="AS750" s="104"/>
      <c r="AT750" s="104"/>
      <c r="AU750" s="104"/>
      <c r="AV750" s="104"/>
      <c r="AW750" s="104"/>
      <c r="AX750" s="104"/>
      <c r="AY750" s="104"/>
      <c r="AZ750" s="104"/>
      <c r="BA750" s="104"/>
      <c r="BB750" s="104"/>
      <c r="BC750" s="104"/>
      <c r="BD750" s="104"/>
    </row>
    <row r="751" spans="1:56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04"/>
      <c r="AK751" s="104"/>
      <c r="AL751" s="104"/>
      <c r="AM751" s="104"/>
      <c r="AN751" s="104"/>
      <c r="AO751" s="104"/>
      <c r="AP751" s="104"/>
      <c r="AQ751" s="104"/>
      <c r="AR751" s="104"/>
      <c r="AS751" s="104"/>
      <c r="AT751" s="104"/>
      <c r="AU751" s="104"/>
      <c r="AV751" s="104"/>
      <c r="AW751" s="104"/>
      <c r="AX751" s="104"/>
      <c r="AY751" s="104"/>
      <c r="AZ751" s="104"/>
      <c r="BA751" s="104"/>
      <c r="BB751" s="104"/>
      <c r="BC751" s="104"/>
      <c r="BD751" s="104"/>
    </row>
    <row r="752" spans="1:56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04"/>
      <c r="AK752" s="104"/>
      <c r="AL752" s="104"/>
      <c r="AM752" s="104"/>
      <c r="AN752" s="104"/>
      <c r="AO752" s="104"/>
      <c r="AP752" s="104"/>
      <c r="AQ752" s="104"/>
      <c r="AR752" s="104"/>
      <c r="AS752" s="104"/>
      <c r="AT752" s="104"/>
      <c r="AU752" s="104"/>
      <c r="AV752" s="104"/>
      <c r="AW752" s="104"/>
      <c r="AX752" s="104"/>
      <c r="AY752" s="104"/>
      <c r="AZ752" s="104"/>
      <c r="BA752" s="104"/>
      <c r="BB752" s="104"/>
      <c r="BC752" s="104"/>
      <c r="BD752" s="104"/>
    </row>
    <row r="753" spans="1:56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04"/>
      <c r="AK753" s="104"/>
      <c r="AL753" s="104"/>
      <c r="AM753" s="104"/>
      <c r="AN753" s="104"/>
      <c r="AO753" s="104"/>
      <c r="AP753" s="104"/>
      <c r="AQ753" s="104"/>
      <c r="AR753" s="104"/>
      <c r="AS753" s="104"/>
      <c r="AT753" s="104"/>
      <c r="AU753" s="104"/>
      <c r="AV753" s="104"/>
      <c r="AW753" s="104"/>
      <c r="AX753" s="104"/>
      <c r="AY753" s="104"/>
      <c r="AZ753" s="104"/>
      <c r="BA753" s="104"/>
      <c r="BB753" s="104"/>
      <c r="BC753" s="104"/>
      <c r="BD753" s="104"/>
    </row>
    <row r="754" spans="1:56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04"/>
      <c r="AK754" s="104"/>
      <c r="AL754" s="104"/>
      <c r="AM754" s="104"/>
      <c r="AN754" s="104"/>
      <c r="AO754" s="104"/>
      <c r="AP754" s="104"/>
      <c r="AQ754" s="104"/>
      <c r="AR754" s="104"/>
      <c r="AS754" s="104"/>
      <c r="AT754" s="104"/>
      <c r="AU754" s="104"/>
      <c r="AV754" s="104"/>
      <c r="AW754" s="104"/>
      <c r="AX754" s="104"/>
      <c r="AY754" s="104"/>
      <c r="AZ754" s="104"/>
      <c r="BA754" s="104"/>
      <c r="BB754" s="104"/>
      <c r="BC754" s="104"/>
      <c r="BD754" s="104"/>
    </row>
    <row r="755" spans="1:56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04"/>
      <c r="AK755" s="104"/>
      <c r="AL755" s="104"/>
      <c r="AM755" s="104"/>
      <c r="AN755" s="104"/>
      <c r="AO755" s="104"/>
      <c r="AP755" s="104"/>
      <c r="AQ755" s="104"/>
      <c r="AR755" s="104"/>
      <c r="AS755" s="104"/>
      <c r="AT755" s="104"/>
      <c r="AU755" s="104"/>
      <c r="AV755" s="104"/>
      <c r="AW755" s="104"/>
      <c r="AX755" s="104"/>
      <c r="AY755" s="104"/>
      <c r="AZ755" s="104"/>
      <c r="BA755" s="104"/>
      <c r="BB755" s="104"/>
      <c r="BC755" s="104"/>
      <c r="BD755" s="104"/>
    </row>
    <row r="756" spans="1:56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04"/>
      <c r="AK756" s="104"/>
      <c r="AL756" s="104"/>
      <c r="AM756" s="104"/>
      <c r="AN756" s="104"/>
      <c r="AO756" s="104"/>
      <c r="AP756" s="104"/>
      <c r="AQ756" s="104"/>
      <c r="AR756" s="104"/>
      <c r="AS756" s="104"/>
      <c r="AT756" s="104"/>
      <c r="AU756" s="104"/>
      <c r="AV756" s="104"/>
      <c r="AW756" s="104"/>
      <c r="AX756" s="104"/>
      <c r="AY756" s="104"/>
      <c r="AZ756" s="104"/>
      <c r="BA756" s="104"/>
      <c r="BB756" s="104"/>
      <c r="BC756" s="104"/>
      <c r="BD756" s="104"/>
    </row>
    <row r="757" spans="1:56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04"/>
      <c r="AK757" s="104"/>
      <c r="AL757" s="104"/>
      <c r="AM757" s="104"/>
      <c r="AN757" s="104"/>
      <c r="AO757" s="104"/>
      <c r="AP757" s="104"/>
      <c r="AQ757" s="104"/>
      <c r="AR757" s="104"/>
      <c r="AS757" s="104"/>
      <c r="AT757" s="104"/>
      <c r="AU757" s="104"/>
      <c r="AV757" s="104"/>
      <c r="AW757" s="104"/>
      <c r="AX757" s="104"/>
      <c r="AY757" s="104"/>
      <c r="AZ757" s="104"/>
      <c r="BA757" s="104"/>
      <c r="BB757" s="104"/>
      <c r="BC757" s="104"/>
      <c r="BD757" s="104"/>
    </row>
    <row r="758" spans="1:56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04"/>
      <c r="AK758" s="104"/>
      <c r="AL758" s="104"/>
      <c r="AM758" s="104"/>
      <c r="AN758" s="104"/>
      <c r="AO758" s="104"/>
      <c r="AP758" s="104"/>
      <c r="AQ758" s="104"/>
      <c r="AR758" s="104"/>
      <c r="AS758" s="104"/>
      <c r="AT758" s="104"/>
      <c r="AU758" s="104"/>
      <c r="AV758" s="104"/>
      <c r="AW758" s="104"/>
      <c r="AX758" s="104"/>
      <c r="AY758" s="104"/>
      <c r="AZ758" s="104"/>
      <c r="BA758" s="104"/>
      <c r="BB758" s="104"/>
      <c r="BC758" s="104"/>
      <c r="BD758" s="104"/>
    </row>
    <row r="759" spans="1:56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04"/>
      <c r="AK759" s="104"/>
      <c r="AL759" s="104"/>
      <c r="AM759" s="104"/>
      <c r="AN759" s="104"/>
      <c r="AO759" s="104"/>
      <c r="AP759" s="104"/>
      <c r="AQ759" s="104"/>
      <c r="AR759" s="104"/>
      <c r="AS759" s="104"/>
      <c r="AT759" s="104"/>
      <c r="AU759" s="104"/>
      <c r="AV759" s="104"/>
      <c r="AW759" s="104"/>
      <c r="AX759" s="104"/>
      <c r="AY759" s="104"/>
      <c r="AZ759" s="104"/>
      <c r="BA759" s="104"/>
      <c r="BB759" s="104"/>
      <c r="BC759" s="104"/>
      <c r="BD759" s="104"/>
    </row>
    <row r="760" spans="1:56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04"/>
      <c r="AK760" s="104"/>
      <c r="AL760" s="104"/>
      <c r="AM760" s="104"/>
      <c r="AN760" s="104"/>
      <c r="AO760" s="104"/>
      <c r="AP760" s="104"/>
      <c r="AQ760" s="104"/>
      <c r="AR760" s="104"/>
      <c r="AS760" s="104"/>
      <c r="AT760" s="104"/>
      <c r="AU760" s="104"/>
      <c r="AV760" s="104"/>
      <c r="AW760" s="104"/>
      <c r="AX760" s="104"/>
      <c r="AY760" s="104"/>
      <c r="AZ760" s="104"/>
      <c r="BA760" s="104"/>
      <c r="BB760" s="104"/>
      <c r="BC760" s="104"/>
      <c r="BD760" s="104"/>
    </row>
    <row r="761" spans="1:56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04"/>
      <c r="AK761" s="104"/>
      <c r="AL761" s="104"/>
      <c r="AM761" s="104"/>
      <c r="AN761" s="104"/>
      <c r="AO761" s="104"/>
      <c r="AP761" s="104"/>
      <c r="AQ761" s="104"/>
      <c r="AR761" s="104"/>
      <c r="AS761" s="104"/>
      <c r="AT761" s="104"/>
      <c r="AU761" s="104"/>
      <c r="AV761" s="104"/>
      <c r="AW761" s="104"/>
      <c r="AX761" s="104"/>
      <c r="AY761" s="104"/>
      <c r="AZ761" s="104"/>
      <c r="BA761" s="104"/>
      <c r="BB761" s="104"/>
      <c r="BC761" s="104"/>
      <c r="BD761" s="104"/>
    </row>
    <row r="762" spans="1:56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04"/>
      <c r="AK762" s="104"/>
      <c r="AL762" s="104"/>
      <c r="AM762" s="104"/>
      <c r="AN762" s="104"/>
      <c r="AO762" s="104"/>
      <c r="AP762" s="104"/>
      <c r="AQ762" s="104"/>
      <c r="AR762" s="104"/>
      <c r="AS762" s="104"/>
      <c r="AT762" s="104"/>
      <c r="AU762" s="104"/>
      <c r="AV762" s="104"/>
      <c r="AW762" s="104"/>
      <c r="AX762" s="104"/>
      <c r="AY762" s="104"/>
      <c r="AZ762" s="104"/>
      <c r="BA762" s="104"/>
      <c r="BB762" s="104"/>
      <c r="BC762" s="104"/>
      <c r="BD762" s="104"/>
    </row>
    <row r="763" spans="1:56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04"/>
      <c r="AK763" s="104"/>
      <c r="AL763" s="104"/>
      <c r="AM763" s="104"/>
      <c r="AN763" s="104"/>
      <c r="AO763" s="104"/>
      <c r="AP763" s="104"/>
      <c r="AQ763" s="104"/>
      <c r="AR763" s="104"/>
      <c r="AS763" s="104"/>
      <c r="AT763" s="104"/>
      <c r="AU763" s="104"/>
      <c r="AV763" s="104"/>
      <c r="AW763" s="104"/>
      <c r="AX763" s="104"/>
      <c r="AY763" s="104"/>
      <c r="AZ763" s="104"/>
      <c r="BA763" s="104"/>
      <c r="BB763" s="104"/>
      <c r="BC763" s="104"/>
      <c r="BD763" s="104"/>
    </row>
    <row r="764" spans="1:56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04"/>
      <c r="AK764" s="104"/>
      <c r="AL764" s="104"/>
      <c r="AM764" s="104"/>
      <c r="AN764" s="104"/>
      <c r="AO764" s="104"/>
      <c r="AP764" s="104"/>
      <c r="AQ764" s="104"/>
      <c r="AR764" s="104"/>
      <c r="AS764" s="104"/>
      <c r="AT764" s="104"/>
      <c r="AU764" s="104"/>
      <c r="AV764" s="104"/>
      <c r="AW764" s="104"/>
      <c r="AX764" s="104"/>
      <c r="AY764" s="104"/>
      <c r="AZ764" s="104"/>
      <c r="BA764" s="104"/>
      <c r="BB764" s="104"/>
      <c r="BC764" s="104"/>
      <c r="BD764" s="104"/>
    </row>
    <row r="765" spans="1:56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04"/>
      <c r="AK765" s="104"/>
      <c r="AL765" s="104"/>
      <c r="AM765" s="104"/>
      <c r="AN765" s="104"/>
      <c r="AO765" s="104"/>
      <c r="AP765" s="104"/>
      <c r="AQ765" s="104"/>
      <c r="AR765" s="104"/>
      <c r="AS765" s="104"/>
      <c r="AT765" s="104"/>
      <c r="AU765" s="104"/>
      <c r="AV765" s="104"/>
      <c r="AW765" s="104"/>
      <c r="AX765" s="104"/>
      <c r="AY765" s="104"/>
      <c r="AZ765" s="104"/>
      <c r="BA765" s="104"/>
      <c r="BB765" s="104"/>
      <c r="BC765" s="104"/>
      <c r="BD765" s="104"/>
    </row>
    <row r="766" spans="1:56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04"/>
      <c r="AK766" s="104"/>
      <c r="AL766" s="104"/>
      <c r="AM766" s="104"/>
      <c r="AN766" s="104"/>
      <c r="AO766" s="104"/>
      <c r="AP766" s="104"/>
      <c r="AQ766" s="104"/>
      <c r="AR766" s="104"/>
      <c r="AS766" s="104"/>
      <c r="AT766" s="104"/>
      <c r="AU766" s="104"/>
      <c r="AV766" s="104"/>
      <c r="AW766" s="104"/>
      <c r="AX766" s="104"/>
      <c r="AY766" s="104"/>
      <c r="AZ766" s="104"/>
      <c r="BA766" s="104"/>
      <c r="BB766" s="104"/>
      <c r="BC766" s="104"/>
      <c r="BD766" s="104"/>
    </row>
    <row r="767" spans="1:56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04"/>
      <c r="AK767" s="104"/>
      <c r="AL767" s="104"/>
      <c r="AM767" s="104"/>
      <c r="AN767" s="104"/>
      <c r="AO767" s="104"/>
      <c r="AP767" s="104"/>
      <c r="AQ767" s="104"/>
      <c r="AR767" s="104"/>
      <c r="AS767" s="104"/>
      <c r="AT767" s="104"/>
      <c r="AU767" s="104"/>
      <c r="AV767" s="104"/>
      <c r="AW767" s="104"/>
      <c r="AX767" s="104"/>
      <c r="AY767" s="104"/>
      <c r="AZ767" s="104"/>
      <c r="BA767" s="104"/>
      <c r="BB767" s="104"/>
      <c r="BC767" s="104"/>
      <c r="BD767" s="104"/>
    </row>
    <row r="768" spans="1:56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04"/>
      <c r="AK768" s="104"/>
      <c r="AL768" s="104"/>
      <c r="AM768" s="104"/>
      <c r="AN768" s="104"/>
      <c r="AO768" s="104"/>
      <c r="AP768" s="104"/>
      <c r="AQ768" s="104"/>
      <c r="AR768" s="104"/>
      <c r="AS768" s="104"/>
      <c r="AT768" s="104"/>
      <c r="AU768" s="104"/>
      <c r="AV768" s="104"/>
      <c r="AW768" s="104"/>
      <c r="AX768" s="104"/>
      <c r="AY768" s="104"/>
      <c r="AZ768" s="104"/>
      <c r="BA768" s="104"/>
      <c r="BB768" s="104"/>
      <c r="BC768" s="104"/>
      <c r="BD768" s="104"/>
    </row>
    <row r="769" spans="1:56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04"/>
      <c r="AK769" s="104"/>
      <c r="AL769" s="104"/>
      <c r="AM769" s="104"/>
      <c r="AN769" s="104"/>
      <c r="AO769" s="104"/>
      <c r="AP769" s="104"/>
      <c r="AQ769" s="104"/>
      <c r="AR769" s="104"/>
      <c r="AS769" s="104"/>
      <c r="AT769" s="104"/>
      <c r="AU769" s="104"/>
      <c r="AV769" s="104"/>
      <c r="AW769" s="104"/>
      <c r="AX769" s="104"/>
      <c r="AY769" s="104"/>
      <c r="AZ769" s="104"/>
      <c r="BA769" s="104"/>
      <c r="BB769" s="104"/>
      <c r="BC769" s="104"/>
      <c r="BD769" s="104"/>
    </row>
    <row r="770" spans="1:56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04"/>
      <c r="AK770" s="104"/>
      <c r="AL770" s="104"/>
      <c r="AM770" s="104"/>
      <c r="AN770" s="104"/>
      <c r="AO770" s="104"/>
      <c r="AP770" s="104"/>
      <c r="AQ770" s="104"/>
      <c r="AR770" s="104"/>
      <c r="AS770" s="104"/>
      <c r="AT770" s="104"/>
      <c r="AU770" s="104"/>
      <c r="AV770" s="104"/>
      <c r="AW770" s="104"/>
      <c r="AX770" s="104"/>
      <c r="AY770" s="104"/>
      <c r="AZ770" s="104"/>
      <c r="BA770" s="104"/>
      <c r="BB770" s="104"/>
      <c r="BC770" s="104"/>
      <c r="BD770" s="104"/>
    </row>
    <row r="771" spans="1:56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04"/>
      <c r="AK771" s="104"/>
      <c r="AL771" s="104"/>
      <c r="AM771" s="104"/>
      <c r="AN771" s="104"/>
      <c r="AO771" s="104"/>
      <c r="AP771" s="104"/>
      <c r="AQ771" s="104"/>
      <c r="AR771" s="104"/>
      <c r="AS771" s="104"/>
      <c r="AT771" s="104"/>
      <c r="AU771" s="104"/>
      <c r="AV771" s="104"/>
      <c r="AW771" s="104"/>
      <c r="AX771" s="104"/>
      <c r="AY771" s="104"/>
      <c r="AZ771" s="104"/>
      <c r="BA771" s="104"/>
      <c r="BB771" s="104"/>
      <c r="BC771" s="104"/>
      <c r="BD771" s="104"/>
    </row>
    <row r="772" spans="1:56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04"/>
      <c r="AK772" s="104"/>
      <c r="AL772" s="104"/>
      <c r="AM772" s="104"/>
      <c r="AN772" s="104"/>
      <c r="AO772" s="104"/>
      <c r="AP772" s="104"/>
      <c r="AQ772" s="104"/>
      <c r="AR772" s="104"/>
      <c r="AS772" s="104"/>
      <c r="AT772" s="104"/>
      <c r="AU772" s="104"/>
      <c r="AV772" s="104"/>
      <c r="AW772" s="104"/>
      <c r="AX772" s="104"/>
      <c r="AY772" s="104"/>
      <c r="AZ772" s="104"/>
      <c r="BA772" s="104"/>
      <c r="BB772" s="104"/>
      <c r="BC772" s="104"/>
      <c r="BD772" s="104"/>
    </row>
    <row r="773" spans="1:56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04"/>
      <c r="AK773" s="104"/>
      <c r="AL773" s="104"/>
      <c r="AM773" s="104"/>
      <c r="AN773" s="104"/>
      <c r="AO773" s="104"/>
      <c r="AP773" s="104"/>
      <c r="AQ773" s="104"/>
      <c r="AR773" s="104"/>
      <c r="AS773" s="104"/>
      <c r="AT773" s="104"/>
      <c r="AU773" s="104"/>
      <c r="AV773" s="104"/>
      <c r="AW773" s="104"/>
      <c r="AX773" s="104"/>
      <c r="AY773" s="104"/>
      <c r="AZ773" s="104"/>
      <c r="BA773" s="104"/>
      <c r="BB773" s="104"/>
      <c r="BC773" s="104"/>
      <c r="BD773" s="104"/>
    </row>
    <row r="774" spans="1:56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04"/>
      <c r="AK774" s="104"/>
      <c r="AL774" s="104"/>
      <c r="AM774" s="104"/>
      <c r="AN774" s="104"/>
      <c r="AO774" s="104"/>
      <c r="AP774" s="104"/>
      <c r="AQ774" s="104"/>
      <c r="AR774" s="104"/>
      <c r="AS774" s="104"/>
      <c r="AT774" s="104"/>
      <c r="AU774" s="104"/>
      <c r="AV774" s="104"/>
      <c r="AW774" s="104"/>
      <c r="AX774" s="104"/>
      <c r="AY774" s="104"/>
      <c r="AZ774" s="104"/>
      <c r="BA774" s="104"/>
      <c r="BB774" s="104"/>
      <c r="BC774" s="104"/>
      <c r="BD774" s="104"/>
    </row>
    <row r="775" spans="1:56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04"/>
      <c r="AK775" s="104"/>
      <c r="AL775" s="104"/>
      <c r="AM775" s="104"/>
      <c r="AN775" s="104"/>
      <c r="AO775" s="104"/>
      <c r="AP775" s="104"/>
      <c r="AQ775" s="104"/>
      <c r="AR775" s="104"/>
      <c r="AS775" s="104"/>
      <c r="AT775" s="104"/>
      <c r="AU775" s="104"/>
      <c r="AV775" s="104"/>
      <c r="AW775" s="104"/>
      <c r="AX775" s="104"/>
      <c r="AY775" s="104"/>
      <c r="AZ775" s="104"/>
      <c r="BA775" s="104"/>
      <c r="BB775" s="104"/>
      <c r="BC775" s="104"/>
      <c r="BD775" s="104"/>
    </row>
    <row r="776" spans="1:56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  <c r="AH776" s="104"/>
      <c r="AI776" s="104"/>
      <c r="AJ776" s="104"/>
      <c r="AK776" s="104"/>
      <c r="AL776" s="104"/>
      <c r="AM776" s="104"/>
      <c r="AN776" s="104"/>
      <c r="AO776" s="104"/>
      <c r="AP776" s="104"/>
      <c r="AQ776" s="104"/>
      <c r="AR776" s="104"/>
      <c r="AS776" s="104"/>
      <c r="AT776" s="104"/>
      <c r="AU776" s="104"/>
      <c r="AV776" s="104"/>
      <c r="AW776" s="104"/>
      <c r="AX776" s="104"/>
      <c r="AY776" s="104"/>
      <c r="AZ776" s="104"/>
      <c r="BA776" s="104"/>
      <c r="BB776" s="104"/>
      <c r="BC776" s="104"/>
      <c r="BD776" s="104"/>
    </row>
    <row r="777" spans="1:56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  <c r="AH777" s="104"/>
      <c r="AI777" s="104"/>
      <c r="AJ777" s="104"/>
      <c r="AK777" s="104"/>
      <c r="AL777" s="104"/>
      <c r="AM777" s="104"/>
      <c r="AN777" s="104"/>
      <c r="AO777" s="104"/>
      <c r="AP777" s="104"/>
      <c r="AQ777" s="104"/>
      <c r="AR777" s="104"/>
      <c r="AS777" s="104"/>
      <c r="AT777" s="104"/>
      <c r="AU777" s="104"/>
      <c r="AV777" s="104"/>
      <c r="AW777" s="104"/>
      <c r="AX777" s="104"/>
      <c r="AY777" s="104"/>
      <c r="AZ777" s="104"/>
      <c r="BA777" s="104"/>
      <c r="BB777" s="104"/>
      <c r="BC777" s="104"/>
      <c r="BD777" s="104"/>
    </row>
    <row r="778" spans="1:56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  <c r="AH778" s="104"/>
      <c r="AI778" s="104"/>
      <c r="AJ778" s="104"/>
      <c r="AK778" s="104"/>
      <c r="AL778" s="104"/>
      <c r="AM778" s="104"/>
      <c r="AN778" s="104"/>
      <c r="AO778" s="104"/>
      <c r="AP778" s="104"/>
      <c r="AQ778" s="104"/>
      <c r="AR778" s="104"/>
      <c r="AS778" s="104"/>
      <c r="AT778" s="104"/>
      <c r="AU778" s="104"/>
      <c r="AV778" s="104"/>
      <c r="AW778" s="104"/>
      <c r="AX778" s="104"/>
      <c r="AY778" s="104"/>
      <c r="AZ778" s="104"/>
      <c r="BA778" s="104"/>
      <c r="BB778" s="104"/>
      <c r="BC778" s="104"/>
      <c r="BD778" s="104"/>
    </row>
    <row r="779" spans="1:56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  <c r="AH779" s="104"/>
      <c r="AI779" s="104"/>
      <c r="AJ779" s="104"/>
      <c r="AK779" s="104"/>
      <c r="AL779" s="104"/>
      <c r="AM779" s="104"/>
      <c r="AN779" s="104"/>
      <c r="AO779" s="104"/>
      <c r="AP779" s="104"/>
      <c r="AQ779" s="104"/>
      <c r="AR779" s="104"/>
      <c r="AS779" s="104"/>
      <c r="AT779" s="104"/>
      <c r="AU779" s="104"/>
      <c r="AV779" s="104"/>
      <c r="AW779" s="104"/>
      <c r="AX779" s="104"/>
      <c r="AY779" s="104"/>
      <c r="AZ779" s="104"/>
      <c r="BA779" s="104"/>
      <c r="BB779" s="104"/>
      <c r="BC779" s="104"/>
      <c r="BD779" s="104"/>
    </row>
    <row r="780" spans="1:56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  <c r="AH780" s="104"/>
      <c r="AI780" s="104"/>
      <c r="AJ780" s="104"/>
      <c r="AK780" s="104"/>
      <c r="AL780" s="104"/>
      <c r="AM780" s="104"/>
      <c r="AN780" s="104"/>
      <c r="AO780" s="104"/>
      <c r="AP780" s="104"/>
      <c r="AQ780" s="104"/>
      <c r="AR780" s="104"/>
      <c r="AS780" s="104"/>
      <c r="AT780" s="104"/>
      <c r="AU780" s="104"/>
      <c r="AV780" s="104"/>
      <c r="AW780" s="104"/>
      <c r="AX780" s="104"/>
      <c r="AY780" s="104"/>
      <c r="AZ780" s="104"/>
      <c r="BA780" s="104"/>
      <c r="BB780" s="104"/>
      <c r="BC780" s="104"/>
      <c r="BD780" s="104"/>
    </row>
    <row r="781" spans="1:56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  <c r="AH781" s="104"/>
      <c r="AI781" s="104"/>
      <c r="AJ781" s="104"/>
      <c r="AK781" s="104"/>
      <c r="AL781" s="104"/>
      <c r="AM781" s="104"/>
      <c r="AN781" s="104"/>
      <c r="AO781" s="104"/>
      <c r="AP781" s="104"/>
      <c r="AQ781" s="104"/>
      <c r="AR781" s="104"/>
      <c r="AS781" s="104"/>
      <c r="AT781" s="104"/>
      <c r="AU781" s="104"/>
      <c r="AV781" s="104"/>
      <c r="AW781" s="104"/>
      <c r="AX781" s="104"/>
      <c r="AY781" s="104"/>
      <c r="AZ781" s="104"/>
      <c r="BA781" s="104"/>
      <c r="BB781" s="104"/>
      <c r="BC781" s="104"/>
      <c r="BD781" s="104"/>
    </row>
    <row r="782" spans="1:56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  <c r="AH782" s="104"/>
      <c r="AI782" s="104"/>
      <c r="AJ782" s="104"/>
      <c r="AK782" s="104"/>
      <c r="AL782" s="104"/>
      <c r="AM782" s="104"/>
      <c r="AN782" s="104"/>
      <c r="AO782" s="104"/>
      <c r="AP782" s="104"/>
      <c r="AQ782" s="104"/>
      <c r="AR782" s="104"/>
      <c r="AS782" s="104"/>
      <c r="AT782" s="104"/>
      <c r="AU782" s="104"/>
      <c r="AV782" s="104"/>
      <c r="AW782" s="104"/>
      <c r="AX782" s="104"/>
      <c r="AY782" s="104"/>
      <c r="AZ782" s="104"/>
      <c r="BA782" s="104"/>
      <c r="BB782" s="104"/>
      <c r="BC782" s="104"/>
      <c r="BD782" s="104"/>
    </row>
    <row r="783" spans="1:56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  <c r="AH783" s="104"/>
      <c r="AI783" s="104"/>
      <c r="AJ783" s="104"/>
      <c r="AK783" s="104"/>
      <c r="AL783" s="104"/>
      <c r="AM783" s="104"/>
      <c r="AN783" s="104"/>
      <c r="AO783" s="104"/>
      <c r="AP783" s="104"/>
      <c r="AQ783" s="104"/>
      <c r="AR783" s="104"/>
      <c r="AS783" s="104"/>
      <c r="AT783" s="104"/>
      <c r="AU783" s="104"/>
      <c r="AV783" s="104"/>
      <c r="AW783" s="104"/>
      <c r="AX783" s="104"/>
      <c r="AY783" s="104"/>
      <c r="AZ783" s="104"/>
      <c r="BA783" s="104"/>
      <c r="BB783" s="104"/>
      <c r="BC783" s="104"/>
      <c r="BD783" s="104"/>
    </row>
    <row r="784" spans="1:56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  <c r="AI784" s="104"/>
      <c r="AJ784" s="104"/>
      <c r="AK784" s="104"/>
      <c r="AL784" s="104"/>
      <c r="AM784" s="104"/>
      <c r="AN784" s="104"/>
      <c r="AO784" s="104"/>
      <c r="AP784" s="104"/>
      <c r="AQ784" s="104"/>
      <c r="AR784" s="104"/>
      <c r="AS784" s="104"/>
      <c r="AT784" s="104"/>
      <c r="AU784" s="104"/>
      <c r="AV784" s="104"/>
      <c r="AW784" s="104"/>
      <c r="AX784" s="104"/>
      <c r="AY784" s="104"/>
      <c r="AZ784" s="104"/>
      <c r="BA784" s="104"/>
      <c r="BB784" s="104"/>
      <c r="BC784" s="104"/>
      <c r="BD784" s="104"/>
    </row>
    <row r="785" spans="1:56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04"/>
      <c r="AK785" s="104"/>
      <c r="AL785" s="104"/>
      <c r="AM785" s="104"/>
      <c r="AN785" s="104"/>
      <c r="AO785" s="104"/>
      <c r="AP785" s="104"/>
      <c r="AQ785" s="104"/>
      <c r="AR785" s="104"/>
      <c r="AS785" s="104"/>
      <c r="AT785" s="104"/>
      <c r="AU785" s="104"/>
      <c r="AV785" s="104"/>
      <c r="AW785" s="104"/>
      <c r="AX785" s="104"/>
      <c r="AY785" s="104"/>
      <c r="AZ785" s="104"/>
      <c r="BA785" s="104"/>
      <c r="BB785" s="104"/>
      <c r="BC785" s="104"/>
      <c r="BD785" s="104"/>
    </row>
    <row r="786" spans="1:56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04"/>
      <c r="AK786" s="104"/>
      <c r="AL786" s="104"/>
      <c r="AM786" s="104"/>
      <c r="AN786" s="104"/>
      <c r="AO786" s="104"/>
      <c r="AP786" s="104"/>
      <c r="AQ786" s="104"/>
      <c r="AR786" s="104"/>
      <c r="AS786" s="104"/>
      <c r="AT786" s="104"/>
      <c r="AU786" s="104"/>
      <c r="AV786" s="104"/>
      <c r="AW786" s="104"/>
      <c r="AX786" s="104"/>
      <c r="AY786" s="104"/>
      <c r="AZ786" s="104"/>
      <c r="BA786" s="104"/>
      <c r="BB786" s="104"/>
      <c r="BC786" s="104"/>
      <c r="BD786" s="104"/>
    </row>
    <row r="787" spans="1:56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04"/>
      <c r="AK787" s="104"/>
      <c r="AL787" s="104"/>
      <c r="AM787" s="104"/>
      <c r="AN787" s="104"/>
      <c r="AO787" s="104"/>
      <c r="AP787" s="104"/>
      <c r="AQ787" s="104"/>
      <c r="AR787" s="104"/>
      <c r="AS787" s="104"/>
      <c r="AT787" s="104"/>
      <c r="AU787" s="104"/>
      <c r="AV787" s="104"/>
      <c r="AW787" s="104"/>
      <c r="AX787" s="104"/>
      <c r="AY787" s="104"/>
      <c r="AZ787" s="104"/>
      <c r="BA787" s="104"/>
      <c r="BB787" s="104"/>
      <c r="BC787" s="104"/>
      <c r="BD787" s="104"/>
    </row>
    <row r="788" spans="1:56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  <c r="AH788" s="104"/>
      <c r="AI788" s="104"/>
      <c r="AJ788" s="104"/>
      <c r="AK788" s="104"/>
      <c r="AL788" s="104"/>
      <c r="AM788" s="104"/>
      <c r="AN788" s="104"/>
      <c r="AO788" s="104"/>
      <c r="AP788" s="104"/>
      <c r="AQ788" s="104"/>
      <c r="AR788" s="104"/>
      <c r="AS788" s="104"/>
      <c r="AT788" s="104"/>
      <c r="AU788" s="104"/>
      <c r="AV788" s="104"/>
      <c r="AW788" s="104"/>
      <c r="AX788" s="104"/>
      <c r="AY788" s="104"/>
      <c r="AZ788" s="104"/>
      <c r="BA788" s="104"/>
      <c r="BB788" s="104"/>
      <c r="BC788" s="104"/>
      <c r="BD788" s="104"/>
    </row>
    <row r="789" spans="1:56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  <c r="AH789" s="104"/>
      <c r="AI789" s="104"/>
      <c r="AJ789" s="104"/>
      <c r="AK789" s="104"/>
      <c r="AL789" s="104"/>
      <c r="AM789" s="104"/>
      <c r="AN789" s="104"/>
      <c r="AO789" s="104"/>
      <c r="AP789" s="104"/>
      <c r="AQ789" s="104"/>
      <c r="AR789" s="104"/>
      <c r="AS789" s="104"/>
      <c r="AT789" s="104"/>
      <c r="AU789" s="104"/>
      <c r="AV789" s="104"/>
      <c r="AW789" s="104"/>
      <c r="AX789" s="104"/>
      <c r="AY789" s="104"/>
      <c r="AZ789" s="104"/>
      <c r="BA789" s="104"/>
      <c r="BB789" s="104"/>
      <c r="BC789" s="104"/>
      <c r="BD789" s="104"/>
    </row>
    <row r="790" spans="1:56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  <c r="AH790" s="104"/>
      <c r="AI790" s="104"/>
      <c r="AJ790" s="104"/>
      <c r="AK790" s="104"/>
      <c r="AL790" s="104"/>
      <c r="AM790" s="104"/>
      <c r="AN790" s="104"/>
      <c r="AO790" s="104"/>
      <c r="AP790" s="104"/>
      <c r="AQ790" s="104"/>
      <c r="AR790" s="104"/>
      <c r="AS790" s="104"/>
      <c r="AT790" s="104"/>
      <c r="AU790" s="104"/>
      <c r="AV790" s="104"/>
      <c r="AW790" s="104"/>
      <c r="AX790" s="104"/>
      <c r="AY790" s="104"/>
      <c r="AZ790" s="104"/>
      <c r="BA790" s="104"/>
      <c r="BB790" s="104"/>
      <c r="BC790" s="104"/>
      <c r="BD790" s="104"/>
    </row>
    <row r="791" spans="1:56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  <c r="AH791" s="104"/>
      <c r="AI791" s="104"/>
      <c r="AJ791" s="104"/>
      <c r="AK791" s="104"/>
      <c r="AL791" s="104"/>
      <c r="AM791" s="104"/>
      <c r="AN791" s="104"/>
      <c r="AO791" s="104"/>
      <c r="AP791" s="104"/>
      <c r="AQ791" s="104"/>
      <c r="AR791" s="104"/>
      <c r="AS791" s="104"/>
      <c r="AT791" s="104"/>
      <c r="AU791" s="104"/>
      <c r="AV791" s="104"/>
      <c r="AW791" s="104"/>
      <c r="AX791" s="104"/>
      <c r="AY791" s="104"/>
      <c r="AZ791" s="104"/>
      <c r="BA791" s="104"/>
      <c r="BB791" s="104"/>
      <c r="BC791" s="104"/>
      <c r="BD791" s="104"/>
    </row>
    <row r="792" spans="1:56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  <c r="AH792" s="104"/>
      <c r="AI792" s="104"/>
      <c r="AJ792" s="104"/>
      <c r="AK792" s="104"/>
      <c r="AL792" s="104"/>
      <c r="AM792" s="104"/>
      <c r="AN792" s="104"/>
      <c r="AO792" s="104"/>
      <c r="AP792" s="104"/>
      <c r="AQ792" s="104"/>
      <c r="AR792" s="104"/>
      <c r="AS792" s="104"/>
      <c r="AT792" s="104"/>
      <c r="AU792" s="104"/>
      <c r="AV792" s="104"/>
      <c r="AW792" s="104"/>
      <c r="AX792" s="104"/>
      <c r="AY792" s="104"/>
      <c r="AZ792" s="104"/>
      <c r="BA792" s="104"/>
      <c r="BB792" s="104"/>
      <c r="BC792" s="104"/>
      <c r="BD792" s="104"/>
    </row>
    <row r="793" spans="1:56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  <c r="AH793" s="104"/>
      <c r="AI793" s="104"/>
      <c r="AJ793" s="104"/>
      <c r="AK793" s="104"/>
      <c r="AL793" s="104"/>
      <c r="AM793" s="104"/>
      <c r="AN793" s="104"/>
      <c r="AO793" s="104"/>
      <c r="AP793" s="104"/>
      <c r="AQ793" s="104"/>
      <c r="AR793" s="104"/>
      <c r="AS793" s="104"/>
      <c r="AT793" s="104"/>
      <c r="AU793" s="104"/>
      <c r="AV793" s="104"/>
      <c r="AW793" s="104"/>
      <c r="AX793" s="104"/>
      <c r="AY793" s="104"/>
      <c r="AZ793" s="104"/>
      <c r="BA793" s="104"/>
      <c r="BB793" s="104"/>
      <c r="BC793" s="104"/>
      <c r="BD793" s="104"/>
    </row>
    <row r="794" spans="1:56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04"/>
      <c r="AK794" s="104"/>
      <c r="AL794" s="104"/>
      <c r="AM794" s="104"/>
      <c r="AN794" s="104"/>
      <c r="AO794" s="104"/>
      <c r="AP794" s="104"/>
      <c r="AQ794" s="104"/>
      <c r="AR794" s="104"/>
      <c r="AS794" s="104"/>
      <c r="AT794" s="104"/>
      <c r="AU794" s="104"/>
      <c r="AV794" s="104"/>
      <c r="AW794" s="104"/>
      <c r="AX794" s="104"/>
      <c r="AY794" s="104"/>
      <c r="AZ794" s="104"/>
      <c r="BA794" s="104"/>
      <c r="BB794" s="104"/>
      <c r="BC794" s="104"/>
      <c r="BD794" s="104"/>
    </row>
    <row r="795" spans="1:56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04"/>
      <c r="AK795" s="104"/>
      <c r="AL795" s="104"/>
      <c r="AM795" s="104"/>
      <c r="AN795" s="104"/>
      <c r="AO795" s="104"/>
      <c r="AP795" s="104"/>
      <c r="AQ795" s="104"/>
      <c r="AR795" s="104"/>
      <c r="AS795" s="104"/>
      <c r="AT795" s="104"/>
      <c r="AU795" s="104"/>
      <c r="AV795" s="104"/>
      <c r="AW795" s="104"/>
      <c r="AX795" s="104"/>
      <c r="AY795" s="104"/>
      <c r="AZ795" s="104"/>
      <c r="BA795" s="104"/>
      <c r="BB795" s="104"/>
      <c r="BC795" s="104"/>
      <c r="BD795" s="104"/>
    </row>
    <row r="796" spans="1:56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04"/>
      <c r="AK796" s="104"/>
      <c r="AL796" s="104"/>
      <c r="AM796" s="104"/>
      <c r="AN796" s="104"/>
      <c r="AO796" s="104"/>
      <c r="AP796" s="104"/>
      <c r="AQ796" s="104"/>
      <c r="AR796" s="104"/>
      <c r="AS796" s="104"/>
      <c r="AT796" s="104"/>
      <c r="AU796" s="104"/>
      <c r="AV796" s="104"/>
      <c r="AW796" s="104"/>
      <c r="AX796" s="104"/>
      <c r="AY796" s="104"/>
      <c r="AZ796" s="104"/>
      <c r="BA796" s="104"/>
      <c r="BB796" s="104"/>
      <c r="BC796" s="104"/>
      <c r="BD796" s="104"/>
    </row>
    <row r="797" spans="1:56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04"/>
      <c r="AK797" s="104"/>
      <c r="AL797" s="104"/>
      <c r="AM797" s="104"/>
      <c r="AN797" s="104"/>
      <c r="AO797" s="104"/>
      <c r="AP797" s="104"/>
      <c r="AQ797" s="104"/>
      <c r="AR797" s="104"/>
      <c r="AS797" s="104"/>
      <c r="AT797" s="104"/>
      <c r="AU797" s="104"/>
      <c r="AV797" s="104"/>
      <c r="AW797" s="104"/>
      <c r="AX797" s="104"/>
      <c r="AY797" s="104"/>
      <c r="AZ797" s="104"/>
      <c r="BA797" s="104"/>
      <c r="BB797" s="104"/>
      <c r="BC797" s="104"/>
      <c r="BD797" s="104"/>
    </row>
    <row r="798" spans="1:56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04"/>
      <c r="AK798" s="104"/>
      <c r="AL798" s="104"/>
      <c r="AM798" s="104"/>
      <c r="AN798" s="104"/>
      <c r="AO798" s="104"/>
      <c r="AP798" s="104"/>
      <c r="AQ798" s="104"/>
      <c r="AR798" s="104"/>
      <c r="AS798" s="104"/>
      <c r="AT798" s="104"/>
      <c r="AU798" s="104"/>
      <c r="AV798" s="104"/>
      <c r="AW798" s="104"/>
      <c r="AX798" s="104"/>
      <c r="AY798" s="104"/>
      <c r="AZ798" s="104"/>
      <c r="BA798" s="104"/>
      <c r="BB798" s="104"/>
      <c r="BC798" s="104"/>
      <c r="BD798" s="104"/>
    </row>
    <row r="799" spans="1:56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  <c r="AH799" s="104"/>
      <c r="AI799" s="104"/>
      <c r="AJ799" s="104"/>
      <c r="AK799" s="104"/>
      <c r="AL799" s="104"/>
      <c r="AM799" s="104"/>
      <c r="AN799" s="104"/>
      <c r="AO799" s="104"/>
      <c r="AP799" s="104"/>
      <c r="AQ799" s="104"/>
      <c r="AR799" s="104"/>
      <c r="AS799" s="104"/>
      <c r="AT799" s="104"/>
      <c r="AU799" s="104"/>
      <c r="AV799" s="104"/>
      <c r="AW799" s="104"/>
      <c r="AX799" s="104"/>
      <c r="AY799" s="104"/>
      <c r="AZ799" s="104"/>
      <c r="BA799" s="104"/>
      <c r="BB799" s="104"/>
      <c r="BC799" s="104"/>
      <c r="BD799" s="104"/>
    </row>
    <row r="800" spans="1:56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  <c r="AH800" s="104"/>
      <c r="AI800" s="104"/>
      <c r="AJ800" s="104"/>
      <c r="AK800" s="104"/>
      <c r="AL800" s="104"/>
      <c r="AM800" s="104"/>
      <c r="AN800" s="104"/>
      <c r="AO800" s="104"/>
      <c r="AP800" s="104"/>
      <c r="AQ800" s="104"/>
      <c r="AR800" s="104"/>
      <c r="AS800" s="104"/>
      <c r="AT800" s="104"/>
      <c r="AU800" s="104"/>
      <c r="AV800" s="104"/>
      <c r="AW800" s="104"/>
      <c r="AX800" s="104"/>
      <c r="AY800" s="104"/>
      <c r="AZ800" s="104"/>
      <c r="BA800" s="104"/>
      <c r="BB800" s="104"/>
      <c r="BC800" s="104"/>
      <c r="BD800" s="104"/>
    </row>
    <row r="801" spans="1:56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  <c r="AH801" s="104"/>
      <c r="AI801" s="104"/>
      <c r="AJ801" s="104"/>
      <c r="AK801" s="104"/>
      <c r="AL801" s="104"/>
      <c r="AM801" s="104"/>
      <c r="AN801" s="104"/>
      <c r="AO801" s="104"/>
      <c r="AP801" s="104"/>
      <c r="AQ801" s="104"/>
      <c r="AR801" s="104"/>
      <c r="AS801" s="104"/>
      <c r="AT801" s="104"/>
      <c r="AU801" s="104"/>
      <c r="AV801" s="104"/>
      <c r="AW801" s="104"/>
      <c r="AX801" s="104"/>
      <c r="AY801" s="104"/>
      <c r="AZ801" s="104"/>
      <c r="BA801" s="104"/>
      <c r="BB801" s="104"/>
      <c r="BC801" s="104"/>
      <c r="BD801" s="104"/>
    </row>
    <row r="802" spans="1:56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04"/>
      <c r="AK802" s="104"/>
      <c r="AL802" s="104"/>
      <c r="AM802" s="104"/>
      <c r="AN802" s="104"/>
      <c r="AO802" s="104"/>
      <c r="AP802" s="104"/>
      <c r="AQ802" s="104"/>
      <c r="AR802" s="104"/>
      <c r="AS802" s="104"/>
      <c r="AT802" s="104"/>
      <c r="AU802" s="104"/>
      <c r="AV802" s="104"/>
      <c r="AW802" s="104"/>
      <c r="AX802" s="104"/>
      <c r="AY802" s="104"/>
      <c r="AZ802" s="104"/>
      <c r="BA802" s="104"/>
      <c r="BB802" s="104"/>
      <c r="BC802" s="104"/>
      <c r="BD802" s="104"/>
    </row>
    <row r="803" spans="1:56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04"/>
      <c r="AK803" s="104"/>
      <c r="AL803" s="104"/>
      <c r="AM803" s="104"/>
      <c r="AN803" s="104"/>
      <c r="AO803" s="104"/>
      <c r="AP803" s="104"/>
      <c r="AQ803" s="104"/>
      <c r="AR803" s="104"/>
      <c r="AS803" s="104"/>
      <c r="AT803" s="104"/>
      <c r="AU803" s="104"/>
      <c r="AV803" s="104"/>
      <c r="AW803" s="104"/>
      <c r="AX803" s="104"/>
      <c r="AY803" s="104"/>
      <c r="AZ803" s="104"/>
      <c r="BA803" s="104"/>
      <c r="BB803" s="104"/>
      <c r="BC803" s="104"/>
      <c r="BD803" s="104"/>
    </row>
    <row r="804" spans="1:56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04"/>
      <c r="AK804" s="104"/>
      <c r="AL804" s="104"/>
      <c r="AM804" s="104"/>
      <c r="AN804" s="104"/>
      <c r="AO804" s="104"/>
      <c r="AP804" s="104"/>
      <c r="AQ804" s="104"/>
      <c r="AR804" s="104"/>
      <c r="AS804" s="104"/>
      <c r="AT804" s="104"/>
      <c r="AU804" s="104"/>
      <c r="AV804" s="104"/>
      <c r="AW804" s="104"/>
      <c r="AX804" s="104"/>
      <c r="AY804" s="104"/>
      <c r="AZ804" s="104"/>
      <c r="BA804" s="104"/>
      <c r="BB804" s="104"/>
      <c r="BC804" s="104"/>
      <c r="BD804" s="104"/>
    </row>
    <row r="805" spans="1:56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04"/>
      <c r="AK805" s="104"/>
      <c r="AL805" s="104"/>
      <c r="AM805" s="104"/>
      <c r="AN805" s="104"/>
      <c r="AO805" s="104"/>
      <c r="AP805" s="104"/>
      <c r="AQ805" s="104"/>
      <c r="AR805" s="104"/>
      <c r="AS805" s="104"/>
      <c r="AT805" s="104"/>
      <c r="AU805" s="104"/>
      <c r="AV805" s="104"/>
      <c r="AW805" s="104"/>
      <c r="AX805" s="104"/>
      <c r="AY805" s="104"/>
      <c r="AZ805" s="104"/>
      <c r="BA805" s="104"/>
      <c r="BB805" s="104"/>
      <c r="BC805" s="104"/>
      <c r="BD805" s="104"/>
    </row>
    <row r="806" spans="1:56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04"/>
      <c r="AK806" s="104"/>
      <c r="AL806" s="104"/>
      <c r="AM806" s="104"/>
      <c r="AN806" s="104"/>
      <c r="AO806" s="104"/>
      <c r="AP806" s="104"/>
      <c r="AQ806" s="104"/>
      <c r="AR806" s="104"/>
      <c r="AS806" s="104"/>
      <c r="AT806" s="104"/>
      <c r="AU806" s="104"/>
      <c r="AV806" s="104"/>
      <c r="AW806" s="104"/>
      <c r="AX806" s="104"/>
      <c r="AY806" s="104"/>
      <c r="AZ806" s="104"/>
      <c r="BA806" s="104"/>
      <c r="BB806" s="104"/>
      <c r="BC806" s="104"/>
      <c r="BD806" s="104"/>
    </row>
    <row r="807" spans="1:56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04"/>
      <c r="AK807" s="104"/>
      <c r="AL807" s="104"/>
      <c r="AM807" s="104"/>
      <c r="AN807" s="104"/>
      <c r="AO807" s="104"/>
      <c r="AP807" s="104"/>
      <c r="AQ807" s="104"/>
      <c r="AR807" s="104"/>
      <c r="AS807" s="104"/>
      <c r="AT807" s="104"/>
      <c r="AU807" s="104"/>
      <c r="AV807" s="104"/>
      <c r="AW807" s="104"/>
      <c r="AX807" s="104"/>
      <c r="AY807" s="104"/>
      <c r="AZ807" s="104"/>
      <c r="BA807" s="104"/>
      <c r="BB807" s="104"/>
      <c r="BC807" s="104"/>
      <c r="BD807" s="104"/>
    </row>
    <row r="808" spans="1:56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04"/>
      <c r="AK808" s="104"/>
      <c r="AL808" s="104"/>
      <c r="AM808" s="104"/>
      <c r="AN808" s="104"/>
      <c r="AO808" s="104"/>
      <c r="AP808" s="104"/>
      <c r="AQ808" s="104"/>
      <c r="AR808" s="104"/>
      <c r="AS808" s="104"/>
      <c r="AT808" s="104"/>
      <c r="AU808" s="104"/>
      <c r="AV808" s="104"/>
      <c r="AW808" s="104"/>
      <c r="AX808" s="104"/>
      <c r="AY808" s="104"/>
      <c r="AZ808" s="104"/>
      <c r="BA808" s="104"/>
      <c r="BB808" s="104"/>
      <c r="BC808" s="104"/>
      <c r="BD808" s="104"/>
    </row>
    <row r="809" spans="1:56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  <c r="AH809" s="104"/>
      <c r="AI809" s="104"/>
      <c r="AJ809" s="104"/>
      <c r="AK809" s="104"/>
      <c r="AL809" s="104"/>
      <c r="AM809" s="104"/>
      <c r="AN809" s="104"/>
      <c r="AO809" s="104"/>
      <c r="AP809" s="104"/>
      <c r="AQ809" s="104"/>
      <c r="AR809" s="104"/>
      <c r="AS809" s="104"/>
      <c r="AT809" s="104"/>
      <c r="AU809" s="104"/>
      <c r="AV809" s="104"/>
      <c r="AW809" s="104"/>
      <c r="AX809" s="104"/>
      <c r="AY809" s="104"/>
      <c r="AZ809" s="104"/>
      <c r="BA809" s="104"/>
      <c r="BB809" s="104"/>
      <c r="BC809" s="104"/>
      <c r="BD809" s="104"/>
    </row>
    <row r="810" spans="1:56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  <c r="AH810" s="104"/>
      <c r="AI810" s="104"/>
      <c r="AJ810" s="104"/>
      <c r="AK810" s="104"/>
      <c r="AL810" s="104"/>
      <c r="AM810" s="104"/>
      <c r="AN810" s="104"/>
      <c r="AO810" s="104"/>
      <c r="AP810" s="104"/>
      <c r="AQ810" s="104"/>
      <c r="AR810" s="104"/>
      <c r="AS810" s="104"/>
      <c r="AT810" s="104"/>
      <c r="AU810" s="104"/>
      <c r="AV810" s="104"/>
      <c r="AW810" s="104"/>
      <c r="AX810" s="104"/>
      <c r="AY810" s="104"/>
      <c r="AZ810" s="104"/>
      <c r="BA810" s="104"/>
      <c r="BB810" s="104"/>
      <c r="BC810" s="104"/>
      <c r="BD810" s="104"/>
    </row>
    <row r="811" spans="1:56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  <c r="AH811" s="104"/>
      <c r="AI811" s="104"/>
      <c r="AJ811" s="104"/>
      <c r="AK811" s="104"/>
      <c r="AL811" s="104"/>
      <c r="AM811" s="104"/>
      <c r="AN811" s="104"/>
      <c r="AO811" s="104"/>
      <c r="AP811" s="104"/>
      <c r="AQ811" s="104"/>
      <c r="AR811" s="104"/>
      <c r="AS811" s="104"/>
      <c r="AT811" s="104"/>
      <c r="AU811" s="104"/>
      <c r="AV811" s="104"/>
      <c r="AW811" s="104"/>
      <c r="AX811" s="104"/>
      <c r="AY811" s="104"/>
      <c r="AZ811" s="104"/>
      <c r="BA811" s="104"/>
      <c r="BB811" s="104"/>
      <c r="BC811" s="104"/>
      <c r="BD811" s="104"/>
    </row>
    <row r="812" spans="1:56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  <c r="AH812" s="104"/>
      <c r="AI812" s="104"/>
      <c r="AJ812" s="104"/>
      <c r="AK812" s="104"/>
      <c r="AL812" s="104"/>
      <c r="AM812" s="104"/>
      <c r="AN812" s="104"/>
      <c r="AO812" s="104"/>
      <c r="AP812" s="104"/>
      <c r="AQ812" s="104"/>
      <c r="AR812" s="104"/>
      <c r="AS812" s="104"/>
      <c r="AT812" s="104"/>
      <c r="AU812" s="104"/>
      <c r="AV812" s="104"/>
      <c r="AW812" s="104"/>
      <c r="AX812" s="104"/>
      <c r="AY812" s="104"/>
      <c r="AZ812" s="104"/>
      <c r="BA812" s="104"/>
      <c r="BB812" s="104"/>
      <c r="BC812" s="104"/>
      <c r="BD812" s="104"/>
    </row>
    <row r="813" spans="1:56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  <c r="AH813" s="104"/>
      <c r="AI813" s="104"/>
      <c r="AJ813" s="104"/>
      <c r="AK813" s="104"/>
      <c r="AL813" s="104"/>
      <c r="AM813" s="104"/>
      <c r="AN813" s="104"/>
      <c r="AO813" s="104"/>
      <c r="AP813" s="104"/>
      <c r="AQ813" s="104"/>
      <c r="AR813" s="104"/>
      <c r="AS813" s="104"/>
      <c r="AT813" s="104"/>
      <c r="AU813" s="104"/>
      <c r="AV813" s="104"/>
      <c r="AW813" s="104"/>
      <c r="AX813" s="104"/>
      <c r="AY813" s="104"/>
      <c r="AZ813" s="104"/>
      <c r="BA813" s="104"/>
      <c r="BB813" s="104"/>
      <c r="BC813" s="104"/>
      <c r="BD813" s="104"/>
    </row>
    <row r="814" spans="1:56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  <c r="AH814" s="104"/>
      <c r="AI814" s="104"/>
      <c r="AJ814" s="104"/>
      <c r="AK814" s="104"/>
      <c r="AL814" s="104"/>
      <c r="AM814" s="104"/>
      <c r="AN814" s="104"/>
      <c r="AO814" s="104"/>
      <c r="AP814" s="104"/>
      <c r="AQ814" s="104"/>
      <c r="AR814" s="104"/>
      <c r="AS814" s="104"/>
      <c r="AT814" s="104"/>
      <c r="AU814" s="104"/>
      <c r="AV814" s="104"/>
      <c r="AW814" s="104"/>
      <c r="AX814" s="104"/>
      <c r="AY814" s="104"/>
      <c r="AZ814" s="104"/>
      <c r="BA814" s="104"/>
      <c r="BB814" s="104"/>
      <c r="BC814" s="104"/>
      <c r="BD814" s="104"/>
    </row>
    <row r="815" spans="1:56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  <c r="AH815" s="104"/>
      <c r="AI815" s="104"/>
      <c r="AJ815" s="104"/>
      <c r="AK815" s="104"/>
      <c r="AL815" s="104"/>
      <c r="AM815" s="104"/>
      <c r="AN815" s="104"/>
      <c r="AO815" s="104"/>
      <c r="AP815" s="104"/>
      <c r="AQ815" s="104"/>
      <c r="AR815" s="104"/>
      <c r="AS815" s="104"/>
      <c r="AT815" s="104"/>
      <c r="AU815" s="104"/>
      <c r="AV815" s="104"/>
      <c r="AW815" s="104"/>
      <c r="AX815" s="104"/>
      <c r="AY815" s="104"/>
      <c r="AZ815" s="104"/>
      <c r="BA815" s="104"/>
      <c r="BB815" s="104"/>
      <c r="BC815" s="104"/>
      <c r="BD815" s="104"/>
    </row>
    <row r="816" spans="1:56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  <c r="AH816" s="104"/>
      <c r="AI816" s="104"/>
      <c r="AJ816" s="104"/>
      <c r="AK816" s="104"/>
      <c r="AL816" s="104"/>
      <c r="AM816" s="104"/>
      <c r="AN816" s="104"/>
      <c r="AO816" s="104"/>
      <c r="AP816" s="104"/>
      <c r="AQ816" s="104"/>
      <c r="AR816" s="104"/>
      <c r="AS816" s="104"/>
      <c r="AT816" s="104"/>
      <c r="AU816" s="104"/>
      <c r="AV816" s="104"/>
      <c r="AW816" s="104"/>
      <c r="AX816" s="104"/>
      <c r="AY816" s="104"/>
      <c r="AZ816" s="104"/>
      <c r="BA816" s="104"/>
      <c r="BB816" s="104"/>
      <c r="BC816" s="104"/>
      <c r="BD816" s="104"/>
    </row>
    <row r="817" spans="1:56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  <c r="AH817" s="104"/>
      <c r="AI817" s="104"/>
      <c r="AJ817" s="104"/>
      <c r="AK817" s="104"/>
      <c r="AL817" s="104"/>
      <c r="AM817" s="104"/>
      <c r="AN817" s="104"/>
      <c r="AO817" s="104"/>
      <c r="AP817" s="104"/>
      <c r="AQ817" s="104"/>
      <c r="AR817" s="104"/>
      <c r="AS817" s="104"/>
      <c r="AT817" s="104"/>
      <c r="AU817" s="104"/>
      <c r="AV817" s="104"/>
      <c r="AW817" s="104"/>
      <c r="AX817" s="104"/>
      <c r="AY817" s="104"/>
      <c r="AZ817" s="104"/>
      <c r="BA817" s="104"/>
      <c r="BB817" s="104"/>
      <c r="BC817" s="104"/>
      <c r="BD817" s="104"/>
    </row>
    <row r="818" spans="1:56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  <c r="AI818" s="104"/>
      <c r="AJ818" s="104"/>
      <c r="AK818" s="104"/>
      <c r="AL818" s="104"/>
      <c r="AM818" s="104"/>
      <c r="AN818" s="104"/>
      <c r="AO818" s="104"/>
      <c r="AP818" s="104"/>
      <c r="AQ818" s="104"/>
      <c r="AR818" s="104"/>
      <c r="AS818" s="104"/>
      <c r="AT818" s="104"/>
      <c r="AU818" s="104"/>
      <c r="AV818" s="104"/>
      <c r="AW818" s="104"/>
      <c r="AX818" s="104"/>
      <c r="AY818" s="104"/>
      <c r="AZ818" s="104"/>
      <c r="BA818" s="104"/>
      <c r="BB818" s="104"/>
      <c r="BC818" s="104"/>
      <c r="BD818" s="104"/>
    </row>
    <row r="819" spans="1:56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  <c r="AI819" s="104"/>
      <c r="AJ819" s="104"/>
      <c r="AK819" s="104"/>
      <c r="AL819" s="104"/>
      <c r="AM819" s="104"/>
      <c r="AN819" s="104"/>
      <c r="AO819" s="104"/>
      <c r="AP819" s="104"/>
      <c r="AQ819" s="104"/>
      <c r="AR819" s="104"/>
      <c r="AS819" s="104"/>
      <c r="AT819" s="104"/>
      <c r="AU819" s="104"/>
      <c r="AV819" s="104"/>
      <c r="AW819" s="104"/>
      <c r="AX819" s="104"/>
      <c r="AY819" s="104"/>
      <c r="AZ819" s="104"/>
      <c r="BA819" s="104"/>
      <c r="BB819" s="104"/>
      <c r="BC819" s="104"/>
      <c r="BD819" s="104"/>
    </row>
    <row r="820" spans="1:56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  <c r="AH820" s="104"/>
      <c r="AI820" s="104"/>
      <c r="AJ820" s="104"/>
      <c r="AK820" s="104"/>
      <c r="AL820" s="104"/>
      <c r="AM820" s="104"/>
      <c r="AN820" s="104"/>
      <c r="AO820" s="104"/>
      <c r="AP820" s="104"/>
      <c r="AQ820" s="104"/>
      <c r="AR820" s="104"/>
      <c r="AS820" s="104"/>
      <c r="AT820" s="104"/>
      <c r="AU820" s="104"/>
      <c r="AV820" s="104"/>
      <c r="AW820" s="104"/>
      <c r="AX820" s="104"/>
      <c r="AY820" s="104"/>
      <c r="AZ820" s="104"/>
      <c r="BA820" s="104"/>
      <c r="BB820" s="104"/>
      <c r="BC820" s="104"/>
      <c r="BD820" s="104"/>
    </row>
    <row r="821" spans="1:56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  <c r="AI821" s="104"/>
      <c r="AJ821" s="104"/>
      <c r="AK821" s="104"/>
      <c r="AL821" s="104"/>
      <c r="AM821" s="104"/>
      <c r="AN821" s="104"/>
      <c r="AO821" s="104"/>
      <c r="AP821" s="104"/>
      <c r="AQ821" s="104"/>
      <c r="AR821" s="104"/>
      <c r="AS821" s="104"/>
      <c r="AT821" s="104"/>
      <c r="AU821" s="104"/>
      <c r="AV821" s="104"/>
      <c r="AW821" s="104"/>
      <c r="AX821" s="104"/>
      <c r="AY821" s="104"/>
      <c r="AZ821" s="104"/>
      <c r="BA821" s="104"/>
      <c r="BB821" s="104"/>
      <c r="BC821" s="104"/>
      <c r="BD821" s="104"/>
    </row>
    <row r="822" spans="1:56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  <c r="AH822" s="104"/>
      <c r="AI822" s="104"/>
      <c r="AJ822" s="104"/>
      <c r="AK822" s="104"/>
      <c r="AL822" s="104"/>
      <c r="AM822" s="104"/>
      <c r="AN822" s="104"/>
      <c r="AO822" s="104"/>
      <c r="AP822" s="104"/>
      <c r="AQ822" s="104"/>
      <c r="AR822" s="104"/>
      <c r="AS822" s="104"/>
      <c r="AT822" s="104"/>
      <c r="AU822" s="104"/>
      <c r="AV822" s="104"/>
      <c r="AW822" s="104"/>
      <c r="AX822" s="104"/>
      <c r="AY822" s="104"/>
      <c r="AZ822" s="104"/>
      <c r="BA822" s="104"/>
      <c r="BB822" s="104"/>
      <c r="BC822" s="104"/>
      <c r="BD822" s="104"/>
    </row>
    <row r="823" spans="1:56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  <c r="AH823" s="104"/>
      <c r="AI823" s="104"/>
      <c r="AJ823" s="104"/>
      <c r="AK823" s="104"/>
      <c r="AL823" s="104"/>
      <c r="AM823" s="104"/>
      <c r="AN823" s="104"/>
      <c r="AO823" s="104"/>
      <c r="AP823" s="104"/>
      <c r="AQ823" s="104"/>
      <c r="AR823" s="104"/>
      <c r="AS823" s="104"/>
      <c r="AT823" s="104"/>
      <c r="AU823" s="104"/>
      <c r="AV823" s="104"/>
      <c r="AW823" s="104"/>
      <c r="AX823" s="104"/>
      <c r="AY823" s="104"/>
      <c r="AZ823" s="104"/>
      <c r="BA823" s="104"/>
      <c r="BB823" s="104"/>
      <c r="BC823" s="104"/>
      <c r="BD823" s="104"/>
    </row>
    <row r="824" spans="1:56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  <c r="AH824" s="104"/>
      <c r="AI824" s="104"/>
      <c r="AJ824" s="104"/>
      <c r="AK824" s="104"/>
      <c r="AL824" s="104"/>
      <c r="AM824" s="104"/>
      <c r="AN824" s="104"/>
      <c r="AO824" s="104"/>
      <c r="AP824" s="104"/>
      <c r="AQ824" s="104"/>
      <c r="AR824" s="104"/>
      <c r="AS824" s="104"/>
      <c r="AT824" s="104"/>
      <c r="AU824" s="104"/>
      <c r="AV824" s="104"/>
      <c r="AW824" s="104"/>
      <c r="AX824" s="104"/>
      <c r="AY824" s="104"/>
      <c r="AZ824" s="104"/>
      <c r="BA824" s="104"/>
      <c r="BB824" s="104"/>
      <c r="BC824" s="104"/>
      <c r="BD824" s="104"/>
    </row>
    <row r="825" spans="1:56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  <c r="AH825" s="104"/>
      <c r="AI825" s="104"/>
      <c r="AJ825" s="104"/>
      <c r="AK825" s="104"/>
      <c r="AL825" s="104"/>
      <c r="AM825" s="104"/>
      <c r="AN825" s="104"/>
      <c r="AO825" s="104"/>
      <c r="AP825" s="104"/>
      <c r="AQ825" s="104"/>
      <c r="AR825" s="104"/>
      <c r="AS825" s="104"/>
      <c r="AT825" s="104"/>
      <c r="AU825" s="104"/>
      <c r="AV825" s="104"/>
      <c r="AW825" s="104"/>
      <c r="AX825" s="104"/>
      <c r="AY825" s="104"/>
      <c r="AZ825" s="104"/>
      <c r="BA825" s="104"/>
      <c r="BB825" s="104"/>
      <c r="BC825" s="104"/>
      <c r="BD825" s="104"/>
    </row>
    <row r="826" spans="1:56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  <c r="AH826" s="104"/>
      <c r="AI826" s="104"/>
      <c r="AJ826" s="104"/>
      <c r="AK826" s="104"/>
      <c r="AL826" s="104"/>
      <c r="AM826" s="104"/>
      <c r="AN826" s="104"/>
      <c r="AO826" s="104"/>
      <c r="AP826" s="104"/>
      <c r="AQ826" s="104"/>
      <c r="AR826" s="104"/>
      <c r="AS826" s="104"/>
      <c r="AT826" s="104"/>
      <c r="AU826" s="104"/>
      <c r="AV826" s="104"/>
      <c r="AW826" s="104"/>
      <c r="AX826" s="104"/>
      <c r="AY826" s="104"/>
      <c r="AZ826" s="104"/>
      <c r="BA826" s="104"/>
      <c r="BB826" s="104"/>
      <c r="BC826" s="104"/>
      <c r="BD826" s="104"/>
    </row>
    <row r="827" spans="1:56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  <c r="AH827" s="104"/>
      <c r="AI827" s="104"/>
      <c r="AJ827" s="104"/>
      <c r="AK827" s="104"/>
      <c r="AL827" s="104"/>
      <c r="AM827" s="104"/>
      <c r="AN827" s="104"/>
      <c r="AO827" s="104"/>
      <c r="AP827" s="104"/>
      <c r="AQ827" s="104"/>
      <c r="AR827" s="104"/>
      <c r="AS827" s="104"/>
      <c r="AT827" s="104"/>
      <c r="AU827" s="104"/>
      <c r="AV827" s="104"/>
      <c r="AW827" s="104"/>
      <c r="AX827" s="104"/>
      <c r="AY827" s="104"/>
      <c r="AZ827" s="104"/>
      <c r="BA827" s="104"/>
      <c r="BB827" s="104"/>
      <c r="BC827" s="104"/>
      <c r="BD827" s="104"/>
    </row>
    <row r="828" spans="1:56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  <c r="AH828" s="104"/>
      <c r="AI828" s="104"/>
      <c r="AJ828" s="104"/>
      <c r="AK828" s="104"/>
      <c r="AL828" s="104"/>
      <c r="AM828" s="104"/>
      <c r="AN828" s="104"/>
      <c r="AO828" s="104"/>
      <c r="AP828" s="104"/>
      <c r="AQ828" s="104"/>
      <c r="AR828" s="104"/>
      <c r="AS828" s="104"/>
      <c r="AT828" s="104"/>
      <c r="AU828" s="104"/>
      <c r="AV828" s="104"/>
      <c r="AW828" s="104"/>
      <c r="AX828" s="104"/>
      <c r="AY828" s="104"/>
      <c r="AZ828" s="104"/>
      <c r="BA828" s="104"/>
      <c r="BB828" s="104"/>
      <c r="BC828" s="104"/>
      <c r="BD828" s="104"/>
    </row>
    <row r="829" spans="1:56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  <c r="AH829" s="104"/>
      <c r="AI829" s="104"/>
      <c r="AJ829" s="104"/>
      <c r="AK829" s="104"/>
      <c r="AL829" s="104"/>
      <c r="AM829" s="104"/>
      <c r="AN829" s="104"/>
      <c r="AO829" s="104"/>
      <c r="AP829" s="104"/>
      <c r="AQ829" s="104"/>
      <c r="AR829" s="104"/>
      <c r="AS829" s="104"/>
      <c r="AT829" s="104"/>
      <c r="AU829" s="104"/>
      <c r="AV829" s="104"/>
      <c r="AW829" s="104"/>
      <c r="AX829" s="104"/>
      <c r="AY829" s="104"/>
      <c r="AZ829" s="104"/>
      <c r="BA829" s="104"/>
      <c r="BB829" s="104"/>
      <c r="BC829" s="104"/>
      <c r="BD829" s="104"/>
    </row>
    <row r="830" spans="1:56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  <c r="AH830" s="104"/>
      <c r="AI830" s="104"/>
      <c r="AJ830" s="104"/>
      <c r="AK830" s="104"/>
      <c r="AL830" s="104"/>
      <c r="AM830" s="104"/>
      <c r="AN830" s="104"/>
      <c r="AO830" s="104"/>
      <c r="AP830" s="104"/>
      <c r="AQ830" s="104"/>
      <c r="AR830" s="104"/>
      <c r="AS830" s="104"/>
      <c r="AT830" s="104"/>
      <c r="AU830" s="104"/>
      <c r="AV830" s="104"/>
      <c r="AW830" s="104"/>
      <c r="AX830" s="104"/>
      <c r="AY830" s="104"/>
      <c r="AZ830" s="104"/>
      <c r="BA830" s="104"/>
      <c r="BB830" s="104"/>
      <c r="BC830" s="104"/>
      <c r="BD830" s="104"/>
    </row>
    <row r="831" spans="1:56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  <c r="AH831" s="104"/>
      <c r="AI831" s="104"/>
      <c r="AJ831" s="104"/>
      <c r="AK831" s="104"/>
      <c r="AL831" s="104"/>
      <c r="AM831" s="104"/>
      <c r="AN831" s="104"/>
      <c r="AO831" s="104"/>
      <c r="AP831" s="104"/>
      <c r="AQ831" s="104"/>
      <c r="AR831" s="104"/>
      <c r="AS831" s="104"/>
      <c r="AT831" s="104"/>
      <c r="AU831" s="104"/>
      <c r="AV831" s="104"/>
      <c r="AW831" s="104"/>
      <c r="AX831" s="104"/>
      <c r="AY831" s="104"/>
      <c r="AZ831" s="104"/>
      <c r="BA831" s="104"/>
      <c r="BB831" s="104"/>
      <c r="BC831" s="104"/>
      <c r="BD831" s="104"/>
    </row>
    <row r="832" spans="1:56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  <c r="AH832" s="104"/>
      <c r="AI832" s="104"/>
      <c r="AJ832" s="104"/>
      <c r="AK832" s="104"/>
      <c r="AL832" s="104"/>
      <c r="AM832" s="104"/>
      <c r="AN832" s="104"/>
      <c r="AO832" s="104"/>
      <c r="AP832" s="104"/>
      <c r="AQ832" s="104"/>
      <c r="AR832" s="104"/>
      <c r="AS832" s="104"/>
      <c r="AT832" s="104"/>
      <c r="AU832" s="104"/>
      <c r="AV832" s="104"/>
      <c r="AW832" s="104"/>
      <c r="AX832" s="104"/>
      <c r="AY832" s="104"/>
      <c r="AZ832" s="104"/>
      <c r="BA832" s="104"/>
      <c r="BB832" s="104"/>
      <c r="BC832" s="104"/>
      <c r="BD832" s="104"/>
    </row>
    <row r="833" spans="1:56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  <c r="AH833" s="104"/>
      <c r="AI833" s="104"/>
      <c r="AJ833" s="104"/>
      <c r="AK833" s="104"/>
      <c r="AL833" s="104"/>
      <c r="AM833" s="104"/>
      <c r="AN833" s="104"/>
      <c r="AO833" s="104"/>
      <c r="AP833" s="104"/>
      <c r="AQ833" s="104"/>
      <c r="AR833" s="104"/>
      <c r="AS833" s="104"/>
      <c r="AT833" s="104"/>
      <c r="AU833" s="104"/>
      <c r="AV833" s="104"/>
      <c r="AW833" s="104"/>
      <c r="AX833" s="104"/>
      <c r="AY833" s="104"/>
      <c r="AZ833" s="104"/>
      <c r="BA833" s="104"/>
      <c r="BB833" s="104"/>
      <c r="BC833" s="104"/>
      <c r="BD833" s="104"/>
    </row>
    <row r="834" spans="1:56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  <c r="AH834" s="104"/>
      <c r="AI834" s="104"/>
      <c r="AJ834" s="104"/>
      <c r="AK834" s="104"/>
      <c r="AL834" s="104"/>
      <c r="AM834" s="104"/>
      <c r="AN834" s="104"/>
      <c r="AO834" s="104"/>
      <c r="AP834" s="104"/>
      <c r="AQ834" s="104"/>
      <c r="AR834" s="104"/>
      <c r="AS834" s="104"/>
      <c r="AT834" s="104"/>
      <c r="AU834" s="104"/>
      <c r="AV834" s="104"/>
      <c r="AW834" s="104"/>
      <c r="AX834" s="104"/>
      <c r="AY834" s="104"/>
      <c r="AZ834" s="104"/>
      <c r="BA834" s="104"/>
      <c r="BB834" s="104"/>
      <c r="BC834" s="104"/>
      <c r="BD834" s="104"/>
    </row>
    <row r="835" spans="1:56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  <c r="AH835" s="104"/>
      <c r="AI835" s="104"/>
      <c r="AJ835" s="104"/>
      <c r="AK835" s="104"/>
      <c r="AL835" s="104"/>
      <c r="AM835" s="104"/>
      <c r="AN835" s="104"/>
      <c r="AO835" s="104"/>
      <c r="AP835" s="104"/>
      <c r="AQ835" s="104"/>
      <c r="AR835" s="104"/>
      <c r="AS835" s="104"/>
      <c r="AT835" s="104"/>
      <c r="AU835" s="104"/>
      <c r="AV835" s="104"/>
      <c r="AW835" s="104"/>
      <c r="AX835" s="104"/>
      <c r="AY835" s="104"/>
      <c r="AZ835" s="104"/>
      <c r="BA835" s="104"/>
      <c r="BB835" s="104"/>
      <c r="BC835" s="104"/>
      <c r="BD835" s="104"/>
    </row>
    <row r="836" spans="1:56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  <c r="AH836" s="104"/>
      <c r="AI836" s="104"/>
      <c r="AJ836" s="104"/>
      <c r="AK836" s="104"/>
      <c r="AL836" s="104"/>
      <c r="AM836" s="104"/>
      <c r="AN836" s="104"/>
      <c r="AO836" s="104"/>
      <c r="AP836" s="104"/>
      <c r="AQ836" s="104"/>
      <c r="AR836" s="104"/>
      <c r="AS836" s="104"/>
      <c r="AT836" s="104"/>
      <c r="AU836" s="104"/>
      <c r="AV836" s="104"/>
      <c r="AW836" s="104"/>
      <c r="AX836" s="104"/>
      <c r="AY836" s="104"/>
      <c r="AZ836" s="104"/>
      <c r="BA836" s="104"/>
      <c r="BB836" s="104"/>
      <c r="BC836" s="104"/>
      <c r="BD836" s="104"/>
    </row>
    <row r="837" spans="1:56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  <c r="AH837" s="104"/>
      <c r="AI837" s="104"/>
      <c r="AJ837" s="104"/>
      <c r="AK837" s="104"/>
      <c r="AL837" s="104"/>
      <c r="AM837" s="104"/>
      <c r="AN837" s="104"/>
      <c r="AO837" s="104"/>
      <c r="AP837" s="104"/>
      <c r="AQ837" s="104"/>
      <c r="AR837" s="104"/>
      <c r="AS837" s="104"/>
      <c r="AT837" s="104"/>
      <c r="AU837" s="104"/>
      <c r="AV837" s="104"/>
      <c r="AW837" s="104"/>
      <c r="AX837" s="104"/>
      <c r="AY837" s="104"/>
      <c r="AZ837" s="104"/>
      <c r="BA837" s="104"/>
      <c r="BB837" s="104"/>
      <c r="BC837" s="104"/>
      <c r="BD837" s="104"/>
    </row>
    <row r="838" spans="1:56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  <c r="AH838" s="104"/>
      <c r="AI838" s="104"/>
      <c r="AJ838" s="104"/>
      <c r="AK838" s="104"/>
      <c r="AL838" s="104"/>
      <c r="AM838" s="104"/>
      <c r="AN838" s="104"/>
      <c r="AO838" s="104"/>
      <c r="AP838" s="104"/>
      <c r="AQ838" s="104"/>
      <c r="AR838" s="104"/>
      <c r="AS838" s="104"/>
      <c r="AT838" s="104"/>
      <c r="AU838" s="104"/>
      <c r="AV838" s="104"/>
      <c r="AW838" s="104"/>
      <c r="AX838" s="104"/>
      <c r="AY838" s="104"/>
      <c r="AZ838" s="104"/>
      <c r="BA838" s="104"/>
      <c r="BB838" s="104"/>
      <c r="BC838" s="104"/>
      <c r="BD838" s="104"/>
    </row>
    <row r="839" spans="1:56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  <c r="AH839" s="104"/>
      <c r="AI839" s="104"/>
      <c r="AJ839" s="104"/>
      <c r="AK839" s="104"/>
      <c r="AL839" s="104"/>
      <c r="AM839" s="104"/>
      <c r="AN839" s="104"/>
      <c r="AO839" s="104"/>
      <c r="AP839" s="104"/>
      <c r="AQ839" s="104"/>
      <c r="AR839" s="104"/>
      <c r="AS839" s="104"/>
      <c r="AT839" s="104"/>
      <c r="AU839" s="104"/>
      <c r="AV839" s="104"/>
      <c r="AW839" s="104"/>
      <c r="AX839" s="104"/>
      <c r="AY839" s="104"/>
      <c r="AZ839" s="104"/>
      <c r="BA839" s="104"/>
      <c r="BB839" s="104"/>
      <c r="BC839" s="104"/>
      <c r="BD839" s="104"/>
    </row>
    <row r="840" spans="1:56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  <c r="AH840" s="104"/>
      <c r="AI840" s="104"/>
      <c r="AJ840" s="104"/>
      <c r="AK840" s="104"/>
      <c r="AL840" s="104"/>
      <c r="AM840" s="104"/>
      <c r="AN840" s="104"/>
      <c r="AO840" s="104"/>
      <c r="AP840" s="104"/>
      <c r="AQ840" s="104"/>
      <c r="AR840" s="104"/>
      <c r="AS840" s="104"/>
      <c r="AT840" s="104"/>
      <c r="AU840" s="104"/>
      <c r="AV840" s="104"/>
      <c r="AW840" s="104"/>
      <c r="AX840" s="104"/>
      <c r="AY840" s="104"/>
      <c r="AZ840" s="104"/>
      <c r="BA840" s="104"/>
      <c r="BB840" s="104"/>
      <c r="BC840" s="104"/>
      <c r="BD840" s="104"/>
    </row>
    <row r="841" spans="1:56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  <c r="AH841" s="104"/>
      <c r="AI841" s="104"/>
      <c r="AJ841" s="104"/>
      <c r="AK841" s="104"/>
      <c r="AL841" s="104"/>
      <c r="AM841" s="104"/>
      <c r="AN841" s="104"/>
      <c r="AO841" s="104"/>
      <c r="AP841" s="104"/>
      <c r="AQ841" s="104"/>
      <c r="AR841" s="104"/>
      <c r="AS841" s="104"/>
      <c r="AT841" s="104"/>
      <c r="AU841" s="104"/>
      <c r="AV841" s="104"/>
      <c r="AW841" s="104"/>
      <c r="AX841" s="104"/>
      <c r="AY841" s="104"/>
      <c r="AZ841" s="104"/>
      <c r="BA841" s="104"/>
      <c r="BB841" s="104"/>
      <c r="BC841" s="104"/>
      <c r="BD841" s="104"/>
    </row>
    <row r="842" spans="1:56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  <c r="AH842" s="104"/>
      <c r="AI842" s="104"/>
      <c r="AJ842" s="104"/>
      <c r="AK842" s="104"/>
      <c r="AL842" s="104"/>
      <c r="AM842" s="104"/>
      <c r="AN842" s="104"/>
      <c r="AO842" s="104"/>
      <c r="AP842" s="104"/>
      <c r="AQ842" s="104"/>
      <c r="AR842" s="104"/>
      <c r="AS842" s="104"/>
      <c r="AT842" s="104"/>
      <c r="AU842" s="104"/>
      <c r="AV842" s="104"/>
      <c r="AW842" s="104"/>
      <c r="AX842" s="104"/>
      <c r="AY842" s="104"/>
      <c r="AZ842" s="104"/>
      <c r="BA842" s="104"/>
      <c r="BB842" s="104"/>
      <c r="BC842" s="104"/>
      <c r="BD842" s="104"/>
    </row>
    <row r="843" spans="1:56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  <c r="AH843" s="104"/>
      <c r="AI843" s="104"/>
      <c r="AJ843" s="104"/>
      <c r="AK843" s="104"/>
      <c r="AL843" s="104"/>
      <c r="AM843" s="104"/>
      <c r="AN843" s="104"/>
      <c r="AO843" s="104"/>
      <c r="AP843" s="104"/>
      <c r="AQ843" s="104"/>
      <c r="AR843" s="104"/>
      <c r="AS843" s="104"/>
      <c r="AT843" s="104"/>
      <c r="AU843" s="104"/>
      <c r="AV843" s="104"/>
      <c r="AW843" s="104"/>
      <c r="AX843" s="104"/>
      <c r="AY843" s="104"/>
      <c r="AZ843" s="104"/>
      <c r="BA843" s="104"/>
      <c r="BB843" s="104"/>
      <c r="BC843" s="104"/>
      <c r="BD843" s="104"/>
    </row>
    <row r="844" spans="1:56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  <c r="AH844" s="104"/>
      <c r="AI844" s="104"/>
      <c r="AJ844" s="104"/>
      <c r="AK844" s="104"/>
      <c r="AL844" s="104"/>
      <c r="AM844" s="104"/>
      <c r="AN844" s="104"/>
      <c r="AO844" s="104"/>
      <c r="AP844" s="104"/>
      <c r="AQ844" s="104"/>
      <c r="AR844" s="104"/>
      <c r="AS844" s="104"/>
      <c r="AT844" s="104"/>
      <c r="AU844" s="104"/>
      <c r="AV844" s="104"/>
      <c r="AW844" s="104"/>
      <c r="AX844" s="104"/>
      <c r="AY844" s="104"/>
      <c r="AZ844" s="104"/>
      <c r="BA844" s="104"/>
      <c r="BB844" s="104"/>
      <c r="BC844" s="104"/>
      <c r="BD844" s="104"/>
    </row>
    <row r="845" spans="1:56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  <c r="AH845" s="104"/>
      <c r="AI845" s="104"/>
      <c r="AJ845" s="104"/>
      <c r="AK845" s="104"/>
      <c r="AL845" s="104"/>
      <c r="AM845" s="104"/>
      <c r="AN845" s="104"/>
      <c r="AO845" s="104"/>
      <c r="AP845" s="104"/>
      <c r="AQ845" s="104"/>
      <c r="AR845" s="104"/>
      <c r="AS845" s="104"/>
      <c r="AT845" s="104"/>
      <c r="AU845" s="104"/>
      <c r="AV845" s="104"/>
      <c r="AW845" s="104"/>
      <c r="AX845" s="104"/>
      <c r="AY845" s="104"/>
      <c r="AZ845" s="104"/>
      <c r="BA845" s="104"/>
      <c r="BB845" s="104"/>
      <c r="BC845" s="104"/>
      <c r="BD845" s="104"/>
    </row>
    <row r="846" spans="1:56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  <c r="AH846" s="104"/>
      <c r="AI846" s="104"/>
      <c r="AJ846" s="104"/>
      <c r="AK846" s="104"/>
      <c r="AL846" s="104"/>
      <c r="AM846" s="104"/>
      <c r="AN846" s="104"/>
      <c r="AO846" s="104"/>
      <c r="AP846" s="104"/>
      <c r="AQ846" s="104"/>
      <c r="AR846" s="104"/>
      <c r="AS846" s="104"/>
      <c r="AT846" s="104"/>
      <c r="AU846" s="104"/>
      <c r="AV846" s="104"/>
      <c r="AW846" s="104"/>
      <c r="AX846" s="104"/>
      <c r="AY846" s="104"/>
      <c r="AZ846" s="104"/>
      <c r="BA846" s="104"/>
      <c r="BB846" s="104"/>
      <c r="BC846" s="104"/>
      <c r="BD846" s="104"/>
    </row>
    <row r="847" spans="1:56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  <c r="AH847" s="104"/>
      <c r="AI847" s="104"/>
      <c r="AJ847" s="104"/>
      <c r="AK847" s="104"/>
      <c r="AL847" s="104"/>
      <c r="AM847" s="104"/>
      <c r="AN847" s="104"/>
      <c r="AO847" s="104"/>
      <c r="AP847" s="104"/>
      <c r="AQ847" s="104"/>
      <c r="AR847" s="104"/>
      <c r="AS847" s="104"/>
      <c r="AT847" s="104"/>
      <c r="AU847" s="104"/>
      <c r="AV847" s="104"/>
      <c r="AW847" s="104"/>
      <c r="AX847" s="104"/>
      <c r="AY847" s="104"/>
      <c r="AZ847" s="104"/>
      <c r="BA847" s="104"/>
      <c r="BB847" s="104"/>
      <c r="BC847" s="104"/>
      <c r="BD847" s="104"/>
    </row>
    <row r="848" spans="1:56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  <c r="AH848" s="104"/>
      <c r="AI848" s="104"/>
      <c r="AJ848" s="104"/>
      <c r="AK848" s="104"/>
      <c r="AL848" s="104"/>
      <c r="AM848" s="104"/>
      <c r="AN848" s="104"/>
      <c r="AO848" s="104"/>
      <c r="AP848" s="104"/>
      <c r="AQ848" s="104"/>
      <c r="AR848" s="104"/>
      <c r="AS848" s="104"/>
      <c r="AT848" s="104"/>
      <c r="AU848" s="104"/>
      <c r="AV848" s="104"/>
      <c r="AW848" s="104"/>
      <c r="AX848" s="104"/>
      <c r="AY848" s="104"/>
      <c r="AZ848" s="104"/>
      <c r="BA848" s="104"/>
      <c r="BB848" s="104"/>
      <c r="BC848" s="104"/>
      <c r="BD848" s="104"/>
    </row>
    <row r="849" spans="1:56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  <c r="AH849" s="104"/>
      <c r="AI849" s="104"/>
      <c r="AJ849" s="104"/>
      <c r="AK849" s="104"/>
      <c r="AL849" s="104"/>
      <c r="AM849" s="104"/>
      <c r="AN849" s="104"/>
      <c r="AO849" s="104"/>
      <c r="AP849" s="104"/>
      <c r="AQ849" s="104"/>
      <c r="AR849" s="104"/>
      <c r="AS849" s="104"/>
      <c r="AT849" s="104"/>
      <c r="AU849" s="104"/>
      <c r="AV849" s="104"/>
      <c r="AW849" s="104"/>
      <c r="AX849" s="104"/>
      <c r="AY849" s="104"/>
      <c r="AZ849" s="104"/>
      <c r="BA849" s="104"/>
      <c r="BB849" s="104"/>
      <c r="BC849" s="104"/>
      <c r="BD849" s="104"/>
    </row>
    <row r="850" spans="1:56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  <c r="AH850" s="104"/>
      <c r="AI850" s="104"/>
      <c r="AJ850" s="104"/>
      <c r="AK850" s="104"/>
      <c r="AL850" s="104"/>
      <c r="AM850" s="104"/>
      <c r="AN850" s="104"/>
      <c r="AO850" s="104"/>
      <c r="AP850" s="104"/>
      <c r="AQ850" s="104"/>
      <c r="AR850" s="104"/>
      <c r="AS850" s="104"/>
      <c r="AT850" s="104"/>
      <c r="AU850" s="104"/>
      <c r="AV850" s="104"/>
      <c r="AW850" s="104"/>
      <c r="AX850" s="104"/>
      <c r="AY850" s="104"/>
      <c r="AZ850" s="104"/>
      <c r="BA850" s="104"/>
      <c r="BB850" s="104"/>
      <c r="BC850" s="104"/>
      <c r="BD850" s="104"/>
    </row>
    <row r="851" spans="1:56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  <c r="AH851" s="104"/>
      <c r="AI851" s="104"/>
      <c r="AJ851" s="104"/>
      <c r="AK851" s="104"/>
      <c r="AL851" s="104"/>
      <c r="AM851" s="104"/>
      <c r="AN851" s="104"/>
      <c r="AO851" s="104"/>
      <c r="AP851" s="104"/>
      <c r="AQ851" s="104"/>
      <c r="AR851" s="104"/>
      <c r="AS851" s="104"/>
      <c r="AT851" s="104"/>
      <c r="AU851" s="104"/>
      <c r="AV851" s="104"/>
      <c r="AW851" s="104"/>
      <c r="AX851" s="104"/>
      <c r="AY851" s="104"/>
      <c r="AZ851" s="104"/>
      <c r="BA851" s="104"/>
      <c r="BB851" s="104"/>
      <c r="BC851" s="104"/>
      <c r="BD851" s="104"/>
    </row>
    <row r="852" spans="1:56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  <c r="AH852" s="104"/>
      <c r="AI852" s="104"/>
      <c r="AJ852" s="104"/>
      <c r="AK852" s="104"/>
      <c r="AL852" s="104"/>
      <c r="AM852" s="104"/>
      <c r="AN852" s="104"/>
      <c r="AO852" s="104"/>
      <c r="AP852" s="104"/>
      <c r="AQ852" s="104"/>
      <c r="AR852" s="104"/>
      <c r="AS852" s="104"/>
      <c r="AT852" s="104"/>
      <c r="AU852" s="104"/>
      <c r="AV852" s="104"/>
      <c r="AW852" s="104"/>
      <c r="AX852" s="104"/>
      <c r="AY852" s="104"/>
      <c r="AZ852" s="104"/>
      <c r="BA852" s="104"/>
      <c r="BB852" s="104"/>
      <c r="BC852" s="104"/>
      <c r="BD852" s="104"/>
    </row>
    <row r="853" spans="1:56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  <c r="AH853" s="104"/>
      <c r="AI853" s="104"/>
      <c r="AJ853" s="104"/>
      <c r="AK853" s="104"/>
      <c r="AL853" s="104"/>
      <c r="AM853" s="104"/>
      <c r="AN853" s="104"/>
      <c r="AO853" s="104"/>
      <c r="AP853" s="104"/>
      <c r="AQ853" s="104"/>
      <c r="AR853" s="104"/>
      <c r="AS853" s="104"/>
      <c r="AT853" s="104"/>
      <c r="AU853" s="104"/>
      <c r="AV853" s="104"/>
      <c r="AW853" s="104"/>
      <c r="AX853" s="104"/>
      <c r="AY853" s="104"/>
      <c r="AZ853" s="104"/>
      <c r="BA853" s="104"/>
      <c r="BB853" s="104"/>
      <c r="BC853" s="104"/>
      <c r="BD853" s="104"/>
    </row>
    <row r="854" spans="1:56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  <c r="AH854" s="104"/>
      <c r="AI854" s="104"/>
      <c r="AJ854" s="104"/>
      <c r="AK854" s="104"/>
      <c r="AL854" s="104"/>
      <c r="AM854" s="104"/>
      <c r="AN854" s="104"/>
      <c r="AO854" s="104"/>
      <c r="AP854" s="104"/>
      <c r="AQ854" s="104"/>
      <c r="AR854" s="104"/>
      <c r="AS854" s="104"/>
      <c r="AT854" s="104"/>
      <c r="AU854" s="104"/>
      <c r="AV854" s="104"/>
      <c r="AW854" s="104"/>
      <c r="AX854" s="104"/>
      <c r="AY854" s="104"/>
      <c r="AZ854" s="104"/>
      <c r="BA854" s="104"/>
      <c r="BB854" s="104"/>
      <c r="BC854" s="104"/>
      <c r="BD854" s="104"/>
    </row>
    <row r="855" spans="1:56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  <c r="AH855" s="104"/>
      <c r="AI855" s="104"/>
      <c r="AJ855" s="104"/>
      <c r="AK855" s="104"/>
      <c r="AL855" s="104"/>
      <c r="AM855" s="104"/>
      <c r="AN855" s="104"/>
      <c r="AO855" s="104"/>
      <c r="AP855" s="104"/>
      <c r="AQ855" s="104"/>
      <c r="AR855" s="104"/>
      <c r="AS855" s="104"/>
      <c r="AT855" s="104"/>
      <c r="AU855" s="104"/>
      <c r="AV855" s="104"/>
      <c r="AW855" s="104"/>
      <c r="AX855" s="104"/>
      <c r="AY855" s="104"/>
      <c r="AZ855" s="104"/>
      <c r="BA855" s="104"/>
      <c r="BB855" s="104"/>
      <c r="BC855" s="104"/>
      <c r="BD855" s="104"/>
    </row>
    <row r="856" spans="1:56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  <c r="AH856" s="104"/>
      <c r="AI856" s="104"/>
      <c r="AJ856" s="104"/>
      <c r="AK856" s="104"/>
      <c r="AL856" s="104"/>
      <c r="AM856" s="104"/>
      <c r="AN856" s="104"/>
      <c r="AO856" s="104"/>
      <c r="AP856" s="104"/>
      <c r="AQ856" s="104"/>
      <c r="AR856" s="104"/>
      <c r="AS856" s="104"/>
      <c r="AT856" s="104"/>
      <c r="AU856" s="104"/>
      <c r="AV856" s="104"/>
      <c r="AW856" s="104"/>
      <c r="AX856" s="104"/>
      <c r="AY856" s="104"/>
      <c r="AZ856" s="104"/>
      <c r="BA856" s="104"/>
      <c r="BB856" s="104"/>
      <c r="BC856" s="104"/>
      <c r="BD856" s="104"/>
    </row>
    <row r="857" spans="1:56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  <c r="AH857" s="104"/>
      <c r="AI857" s="104"/>
      <c r="AJ857" s="104"/>
      <c r="AK857" s="104"/>
      <c r="AL857" s="104"/>
      <c r="AM857" s="104"/>
      <c r="AN857" s="104"/>
      <c r="AO857" s="104"/>
      <c r="AP857" s="104"/>
      <c r="AQ857" s="104"/>
      <c r="AR857" s="104"/>
      <c r="AS857" s="104"/>
      <c r="AT857" s="104"/>
      <c r="AU857" s="104"/>
      <c r="AV857" s="104"/>
      <c r="AW857" s="104"/>
      <c r="AX857" s="104"/>
      <c r="AY857" s="104"/>
      <c r="AZ857" s="104"/>
      <c r="BA857" s="104"/>
      <c r="BB857" s="104"/>
      <c r="BC857" s="104"/>
      <c r="BD857" s="104"/>
    </row>
    <row r="858" spans="1:56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  <c r="AH858" s="104"/>
      <c r="AI858" s="104"/>
      <c r="AJ858" s="104"/>
      <c r="AK858" s="104"/>
      <c r="AL858" s="104"/>
      <c r="AM858" s="104"/>
      <c r="AN858" s="104"/>
      <c r="AO858" s="104"/>
      <c r="AP858" s="104"/>
      <c r="AQ858" s="104"/>
      <c r="AR858" s="104"/>
      <c r="AS858" s="104"/>
      <c r="AT858" s="104"/>
      <c r="AU858" s="104"/>
      <c r="AV858" s="104"/>
      <c r="AW858" s="104"/>
      <c r="AX858" s="104"/>
      <c r="AY858" s="104"/>
      <c r="AZ858" s="104"/>
      <c r="BA858" s="104"/>
      <c r="BB858" s="104"/>
      <c r="BC858" s="104"/>
      <c r="BD858" s="104"/>
    </row>
    <row r="859" spans="1:56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  <c r="AH859" s="104"/>
      <c r="AI859" s="104"/>
      <c r="AJ859" s="104"/>
      <c r="AK859" s="104"/>
      <c r="AL859" s="104"/>
      <c r="AM859" s="104"/>
      <c r="AN859" s="104"/>
      <c r="AO859" s="104"/>
      <c r="AP859" s="104"/>
      <c r="AQ859" s="104"/>
      <c r="AR859" s="104"/>
      <c r="AS859" s="104"/>
      <c r="AT859" s="104"/>
      <c r="AU859" s="104"/>
      <c r="AV859" s="104"/>
      <c r="AW859" s="104"/>
      <c r="AX859" s="104"/>
      <c r="AY859" s="104"/>
      <c r="AZ859" s="104"/>
      <c r="BA859" s="104"/>
      <c r="BB859" s="104"/>
      <c r="BC859" s="104"/>
      <c r="BD859" s="104"/>
    </row>
    <row r="860" spans="1:56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  <c r="AI860" s="104"/>
      <c r="AJ860" s="104"/>
      <c r="AK860" s="104"/>
      <c r="AL860" s="104"/>
      <c r="AM860" s="104"/>
      <c r="AN860" s="104"/>
      <c r="AO860" s="104"/>
      <c r="AP860" s="104"/>
      <c r="AQ860" s="104"/>
      <c r="AR860" s="104"/>
      <c r="AS860" s="104"/>
      <c r="AT860" s="104"/>
      <c r="AU860" s="104"/>
      <c r="AV860" s="104"/>
      <c r="AW860" s="104"/>
      <c r="AX860" s="104"/>
      <c r="AY860" s="104"/>
      <c r="AZ860" s="104"/>
      <c r="BA860" s="104"/>
      <c r="BB860" s="104"/>
      <c r="BC860" s="104"/>
      <c r="BD860" s="104"/>
    </row>
    <row r="861" spans="1:56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  <c r="AH861" s="104"/>
      <c r="AI861" s="104"/>
      <c r="AJ861" s="104"/>
      <c r="AK861" s="104"/>
      <c r="AL861" s="104"/>
      <c r="AM861" s="104"/>
      <c r="AN861" s="104"/>
      <c r="AO861" s="104"/>
      <c r="AP861" s="104"/>
      <c r="AQ861" s="104"/>
      <c r="AR861" s="104"/>
      <c r="AS861" s="104"/>
      <c r="AT861" s="104"/>
      <c r="AU861" s="104"/>
      <c r="AV861" s="104"/>
      <c r="AW861" s="104"/>
      <c r="AX861" s="104"/>
      <c r="AY861" s="104"/>
      <c r="AZ861" s="104"/>
      <c r="BA861" s="104"/>
      <c r="BB861" s="104"/>
      <c r="BC861" s="104"/>
      <c r="BD861" s="104"/>
    </row>
    <row r="862" spans="1:56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  <c r="AH862" s="104"/>
      <c r="AI862" s="104"/>
      <c r="AJ862" s="104"/>
      <c r="AK862" s="104"/>
      <c r="AL862" s="104"/>
      <c r="AM862" s="104"/>
      <c r="AN862" s="104"/>
      <c r="AO862" s="104"/>
      <c r="AP862" s="104"/>
      <c r="AQ862" s="104"/>
      <c r="AR862" s="104"/>
      <c r="AS862" s="104"/>
      <c r="AT862" s="104"/>
      <c r="AU862" s="104"/>
      <c r="AV862" s="104"/>
      <c r="AW862" s="104"/>
      <c r="AX862" s="104"/>
      <c r="AY862" s="104"/>
      <c r="AZ862" s="104"/>
      <c r="BA862" s="104"/>
      <c r="BB862" s="104"/>
      <c r="BC862" s="104"/>
      <c r="BD862" s="104"/>
    </row>
    <row r="863" spans="1:56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  <c r="AH863" s="104"/>
      <c r="AI863" s="104"/>
      <c r="AJ863" s="104"/>
      <c r="AK863" s="104"/>
      <c r="AL863" s="104"/>
      <c r="AM863" s="104"/>
      <c r="AN863" s="104"/>
      <c r="AO863" s="104"/>
      <c r="AP863" s="104"/>
      <c r="AQ863" s="104"/>
      <c r="AR863" s="104"/>
      <c r="AS863" s="104"/>
      <c r="AT863" s="104"/>
      <c r="AU863" s="104"/>
      <c r="AV863" s="104"/>
      <c r="AW863" s="104"/>
      <c r="AX863" s="104"/>
      <c r="AY863" s="104"/>
      <c r="AZ863" s="104"/>
      <c r="BA863" s="104"/>
      <c r="BB863" s="104"/>
      <c r="BC863" s="104"/>
      <c r="BD863" s="104"/>
    </row>
    <row r="864" spans="1:56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  <c r="AH864" s="104"/>
      <c r="AI864" s="104"/>
      <c r="AJ864" s="104"/>
      <c r="AK864" s="104"/>
      <c r="AL864" s="104"/>
      <c r="AM864" s="104"/>
      <c r="AN864" s="104"/>
      <c r="AO864" s="104"/>
      <c r="AP864" s="104"/>
      <c r="AQ864" s="104"/>
      <c r="AR864" s="104"/>
      <c r="AS864" s="104"/>
      <c r="AT864" s="104"/>
      <c r="AU864" s="104"/>
      <c r="AV864" s="104"/>
      <c r="AW864" s="104"/>
      <c r="AX864" s="104"/>
      <c r="AY864" s="104"/>
      <c r="AZ864" s="104"/>
      <c r="BA864" s="104"/>
      <c r="BB864" s="104"/>
      <c r="BC864" s="104"/>
      <c r="BD864" s="104"/>
    </row>
    <row r="865" spans="1:56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  <c r="AH865" s="104"/>
      <c r="AI865" s="104"/>
      <c r="AJ865" s="104"/>
      <c r="AK865" s="104"/>
      <c r="AL865" s="104"/>
      <c r="AM865" s="104"/>
      <c r="AN865" s="104"/>
      <c r="AO865" s="104"/>
      <c r="AP865" s="104"/>
      <c r="AQ865" s="104"/>
      <c r="AR865" s="104"/>
      <c r="AS865" s="104"/>
      <c r="AT865" s="104"/>
      <c r="AU865" s="104"/>
      <c r="AV865" s="104"/>
      <c r="AW865" s="104"/>
      <c r="AX865" s="104"/>
      <c r="AY865" s="104"/>
      <c r="AZ865" s="104"/>
      <c r="BA865" s="104"/>
      <c r="BB865" s="104"/>
      <c r="BC865" s="104"/>
      <c r="BD865" s="104"/>
    </row>
    <row r="866" spans="1:56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  <c r="AH866" s="104"/>
      <c r="AI866" s="104"/>
      <c r="AJ866" s="104"/>
      <c r="AK866" s="104"/>
      <c r="AL866" s="104"/>
      <c r="AM866" s="104"/>
      <c r="AN866" s="104"/>
      <c r="AO866" s="104"/>
      <c r="AP866" s="104"/>
      <c r="AQ866" s="104"/>
      <c r="AR866" s="104"/>
      <c r="AS866" s="104"/>
      <c r="AT866" s="104"/>
      <c r="AU866" s="104"/>
      <c r="AV866" s="104"/>
      <c r="AW866" s="104"/>
      <c r="AX866" s="104"/>
      <c r="AY866" s="104"/>
      <c r="AZ866" s="104"/>
      <c r="BA866" s="104"/>
      <c r="BB866" s="104"/>
      <c r="BC866" s="104"/>
      <c r="BD866" s="104"/>
    </row>
    <row r="867" spans="1:56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  <c r="AH867" s="104"/>
      <c r="AI867" s="104"/>
      <c r="AJ867" s="104"/>
      <c r="AK867" s="104"/>
      <c r="AL867" s="104"/>
      <c r="AM867" s="104"/>
      <c r="AN867" s="104"/>
      <c r="AO867" s="104"/>
      <c r="AP867" s="104"/>
      <c r="AQ867" s="104"/>
      <c r="AR867" s="104"/>
      <c r="AS867" s="104"/>
      <c r="AT867" s="104"/>
      <c r="AU867" s="104"/>
      <c r="AV867" s="104"/>
      <c r="AW867" s="104"/>
      <c r="AX867" s="104"/>
      <c r="AY867" s="104"/>
      <c r="AZ867" s="104"/>
      <c r="BA867" s="104"/>
      <c r="BB867" s="104"/>
      <c r="BC867" s="104"/>
      <c r="BD867" s="104"/>
    </row>
    <row r="868" spans="1:56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  <c r="AH868" s="104"/>
      <c r="AI868" s="104"/>
      <c r="AJ868" s="104"/>
      <c r="AK868" s="104"/>
      <c r="AL868" s="104"/>
      <c r="AM868" s="104"/>
      <c r="AN868" s="104"/>
      <c r="AO868" s="104"/>
      <c r="AP868" s="104"/>
      <c r="AQ868" s="104"/>
      <c r="AR868" s="104"/>
      <c r="AS868" s="104"/>
      <c r="AT868" s="104"/>
      <c r="AU868" s="104"/>
      <c r="AV868" s="104"/>
      <c r="AW868" s="104"/>
      <c r="AX868" s="104"/>
      <c r="AY868" s="104"/>
      <c r="AZ868" s="104"/>
      <c r="BA868" s="104"/>
      <c r="BB868" s="104"/>
      <c r="BC868" s="104"/>
      <c r="BD868" s="104"/>
    </row>
    <row r="869" spans="1:56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  <c r="AH869" s="104"/>
      <c r="AI869" s="104"/>
      <c r="AJ869" s="104"/>
      <c r="AK869" s="104"/>
      <c r="AL869" s="104"/>
      <c r="AM869" s="104"/>
      <c r="AN869" s="104"/>
      <c r="AO869" s="104"/>
      <c r="AP869" s="104"/>
      <c r="AQ869" s="104"/>
      <c r="AR869" s="104"/>
      <c r="AS869" s="104"/>
      <c r="AT869" s="104"/>
      <c r="AU869" s="104"/>
      <c r="AV869" s="104"/>
      <c r="AW869" s="104"/>
      <c r="AX869" s="104"/>
      <c r="AY869" s="104"/>
      <c r="AZ869" s="104"/>
      <c r="BA869" s="104"/>
      <c r="BB869" s="104"/>
      <c r="BC869" s="104"/>
      <c r="BD869" s="104"/>
    </row>
    <row r="870" spans="1:56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  <c r="AH870" s="104"/>
      <c r="AI870" s="104"/>
      <c r="AJ870" s="104"/>
      <c r="AK870" s="104"/>
      <c r="AL870" s="104"/>
      <c r="AM870" s="104"/>
      <c r="AN870" s="104"/>
      <c r="AO870" s="104"/>
      <c r="AP870" s="104"/>
      <c r="AQ870" s="104"/>
      <c r="AR870" s="104"/>
      <c r="AS870" s="104"/>
      <c r="AT870" s="104"/>
      <c r="AU870" s="104"/>
      <c r="AV870" s="104"/>
      <c r="AW870" s="104"/>
      <c r="AX870" s="104"/>
      <c r="AY870" s="104"/>
      <c r="AZ870" s="104"/>
      <c r="BA870" s="104"/>
      <c r="BB870" s="104"/>
      <c r="BC870" s="104"/>
      <c r="BD870" s="104"/>
    </row>
    <row r="871" spans="1:56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  <c r="AH871" s="104"/>
      <c r="AI871" s="104"/>
      <c r="AJ871" s="104"/>
      <c r="AK871" s="104"/>
      <c r="AL871" s="104"/>
      <c r="AM871" s="104"/>
      <c r="AN871" s="104"/>
      <c r="AO871" s="104"/>
      <c r="AP871" s="104"/>
      <c r="AQ871" s="104"/>
      <c r="AR871" s="104"/>
      <c r="AS871" s="104"/>
      <c r="AT871" s="104"/>
      <c r="AU871" s="104"/>
      <c r="AV871" s="104"/>
      <c r="AW871" s="104"/>
      <c r="AX871" s="104"/>
      <c r="AY871" s="104"/>
      <c r="AZ871" s="104"/>
      <c r="BA871" s="104"/>
      <c r="BB871" s="104"/>
      <c r="BC871" s="104"/>
      <c r="BD871" s="104"/>
    </row>
    <row r="872" spans="1:56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  <c r="AH872" s="104"/>
      <c r="AI872" s="104"/>
      <c r="AJ872" s="104"/>
      <c r="AK872" s="104"/>
      <c r="AL872" s="104"/>
      <c r="AM872" s="104"/>
      <c r="AN872" s="104"/>
      <c r="AO872" s="104"/>
      <c r="AP872" s="104"/>
      <c r="AQ872" s="104"/>
      <c r="AR872" s="104"/>
      <c r="AS872" s="104"/>
      <c r="AT872" s="104"/>
      <c r="AU872" s="104"/>
      <c r="AV872" s="104"/>
      <c r="AW872" s="104"/>
      <c r="AX872" s="104"/>
      <c r="AY872" s="104"/>
      <c r="AZ872" s="104"/>
      <c r="BA872" s="104"/>
      <c r="BB872" s="104"/>
      <c r="BC872" s="104"/>
      <c r="BD872" s="104"/>
    </row>
    <row r="873" spans="1:56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  <c r="AH873" s="104"/>
      <c r="AI873" s="104"/>
      <c r="AJ873" s="104"/>
      <c r="AK873" s="104"/>
      <c r="AL873" s="104"/>
      <c r="AM873" s="104"/>
      <c r="AN873" s="104"/>
      <c r="AO873" s="104"/>
      <c r="AP873" s="104"/>
      <c r="AQ873" s="104"/>
      <c r="AR873" s="104"/>
      <c r="AS873" s="104"/>
      <c r="AT873" s="104"/>
      <c r="AU873" s="104"/>
      <c r="AV873" s="104"/>
      <c r="AW873" s="104"/>
      <c r="AX873" s="104"/>
      <c r="AY873" s="104"/>
      <c r="AZ873" s="104"/>
      <c r="BA873" s="104"/>
      <c r="BB873" s="104"/>
      <c r="BC873" s="104"/>
      <c r="BD873" s="104"/>
    </row>
    <row r="874" spans="1:56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  <c r="AH874" s="104"/>
      <c r="AI874" s="104"/>
      <c r="AJ874" s="104"/>
      <c r="AK874" s="104"/>
      <c r="AL874" s="104"/>
      <c r="AM874" s="104"/>
      <c r="AN874" s="104"/>
      <c r="AO874" s="104"/>
      <c r="AP874" s="104"/>
      <c r="AQ874" s="104"/>
      <c r="AR874" s="104"/>
      <c r="AS874" s="104"/>
      <c r="AT874" s="104"/>
      <c r="AU874" s="104"/>
      <c r="AV874" s="104"/>
      <c r="AW874" s="104"/>
      <c r="AX874" s="104"/>
      <c r="AY874" s="104"/>
      <c r="AZ874" s="104"/>
      <c r="BA874" s="104"/>
      <c r="BB874" s="104"/>
      <c r="BC874" s="104"/>
      <c r="BD874" s="104"/>
    </row>
    <row r="875" spans="1:56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  <c r="AH875" s="104"/>
      <c r="AI875" s="104"/>
      <c r="AJ875" s="104"/>
      <c r="AK875" s="104"/>
      <c r="AL875" s="104"/>
      <c r="AM875" s="104"/>
      <c r="AN875" s="104"/>
      <c r="AO875" s="104"/>
      <c r="AP875" s="104"/>
      <c r="AQ875" s="104"/>
      <c r="AR875" s="104"/>
      <c r="AS875" s="104"/>
      <c r="AT875" s="104"/>
      <c r="AU875" s="104"/>
      <c r="AV875" s="104"/>
      <c r="AW875" s="104"/>
      <c r="AX875" s="104"/>
      <c r="AY875" s="104"/>
      <c r="AZ875" s="104"/>
      <c r="BA875" s="104"/>
      <c r="BB875" s="104"/>
      <c r="BC875" s="104"/>
      <c r="BD875" s="104"/>
    </row>
    <row r="876" spans="1:56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  <c r="AH876" s="104"/>
      <c r="AI876" s="104"/>
      <c r="AJ876" s="104"/>
      <c r="AK876" s="104"/>
      <c r="AL876" s="104"/>
      <c r="AM876" s="104"/>
      <c r="AN876" s="104"/>
      <c r="AO876" s="104"/>
      <c r="AP876" s="104"/>
      <c r="AQ876" s="104"/>
      <c r="AR876" s="104"/>
      <c r="AS876" s="104"/>
      <c r="AT876" s="104"/>
      <c r="AU876" s="104"/>
      <c r="AV876" s="104"/>
      <c r="AW876" s="104"/>
      <c r="AX876" s="104"/>
      <c r="AY876" s="104"/>
      <c r="AZ876" s="104"/>
      <c r="BA876" s="104"/>
      <c r="BB876" s="104"/>
      <c r="BC876" s="104"/>
      <c r="BD876" s="104"/>
    </row>
    <row r="877" spans="1:56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  <c r="AH877" s="104"/>
      <c r="AI877" s="104"/>
      <c r="AJ877" s="104"/>
      <c r="AK877" s="104"/>
      <c r="AL877" s="104"/>
      <c r="AM877" s="104"/>
      <c r="AN877" s="104"/>
      <c r="AO877" s="104"/>
      <c r="AP877" s="104"/>
      <c r="AQ877" s="104"/>
      <c r="AR877" s="104"/>
      <c r="AS877" s="104"/>
      <c r="AT877" s="104"/>
      <c r="AU877" s="104"/>
      <c r="AV877" s="104"/>
      <c r="AW877" s="104"/>
      <c r="AX877" s="104"/>
      <c r="AY877" s="104"/>
      <c r="AZ877" s="104"/>
      <c r="BA877" s="104"/>
      <c r="BB877" s="104"/>
      <c r="BC877" s="104"/>
      <c r="BD877" s="104"/>
    </row>
    <row r="878" spans="1:56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  <c r="AH878" s="104"/>
      <c r="AI878" s="104"/>
      <c r="AJ878" s="104"/>
      <c r="AK878" s="104"/>
      <c r="AL878" s="104"/>
      <c r="AM878" s="104"/>
      <c r="AN878" s="104"/>
      <c r="AO878" s="104"/>
      <c r="AP878" s="104"/>
      <c r="AQ878" s="104"/>
      <c r="AR878" s="104"/>
      <c r="AS878" s="104"/>
      <c r="AT878" s="104"/>
      <c r="AU878" s="104"/>
      <c r="AV878" s="104"/>
      <c r="AW878" s="104"/>
      <c r="AX878" s="104"/>
      <c r="AY878" s="104"/>
      <c r="AZ878" s="104"/>
      <c r="BA878" s="104"/>
      <c r="BB878" s="104"/>
      <c r="BC878" s="104"/>
      <c r="BD878" s="104"/>
    </row>
    <row r="879" spans="1:56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  <c r="AH879" s="104"/>
      <c r="AI879" s="104"/>
      <c r="AJ879" s="104"/>
      <c r="AK879" s="104"/>
      <c r="AL879" s="104"/>
      <c r="AM879" s="104"/>
      <c r="AN879" s="104"/>
      <c r="AO879" s="104"/>
      <c r="AP879" s="104"/>
      <c r="AQ879" s="104"/>
      <c r="AR879" s="104"/>
      <c r="AS879" s="104"/>
      <c r="AT879" s="104"/>
      <c r="AU879" s="104"/>
      <c r="AV879" s="104"/>
      <c r="AW879" s="104"/>
      <c r="AX879" s="104"/>
      <c r="AY879" s="104"/>
      <c r="AZ879" s="104"/>
      <c r="BA879" s="104"/>
      <c r="BB879" s="104"/>
      <c r="BC879" s="104"/>
      <c r="BD879" s="104"/>
    </row>
    <row r="880" spans="1:56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  <c r="AH880" s="104"/>
      <c r="AI880" s="104"/>
      <c r="AJ880" s="104"/>
      <c r="AK880" s="104"/>
      <c r="AL880" s="104"/>
      <c r="AM880" s="104"/>
      <c r="AN880" s="104"/>
      <c r="AO880" s="104"/>
      <c r="AP880" s="104"/>
      <c r="AQ880" s="104"/>
      <c r="AR880" s="104"/>
      <c r="AS880" s="104"/>
      <c r="AT880" s="104"/>
      <c r="AU880" s="104"/>
      <c r="AV880" s="104"/>
      <c r="AW880" s="104"/>
      <c r="AX880" s="104"/>
      <c r="AY880" s="104"/>
      <c r="AZ880" s="104"/>
      <c r="BA880" s="104"/>
      <c r="BB880" s="104"/>
      <c r="BC880" s="104"/>
      <c r="BD880" s="104"/>
    </row>
    <row r="881" spans="1:56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  <c r="AH881" s="104"/>
      <c r="AI881" s="104"/>
      <c r="AJ881" s="104"/>
      <c r="AK881" s="104"/>
      <c r="AL881" s="104"/>
      <c r="AM881" s="104"/>
      <c r="AN881" s="104"/>
      <c r="AO881" s="104"/>
      <c r="AP881" s="104"/>
      <c r="AQ881" s="104"/>
      <c r="AR881" s="104"/>
      <c r="AS881" s="104"/>
      <c r="AT881" s="104"/>
      <c r="AU881" s="104"/>
      <c r="AV881" s="104"/>
      <c r="AW881" s="104"/>
      <c r="AX881" s="104"/>
      <c r="AY881" s="104"/>
      <c r="AZ881" s="104"/>
      <c r="BA881" s="104"/>
      <c r="BB881" s="104"/>
      <c r="BC881" s="104"/>
      <c r="BD881" s="104"/>
    </row>
    <row r="882" spans="1:56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  <c r="AH882" s="104"/>
      <c r="AI882" s="104"/>
      <c r="AJ882" s="104"/>
      <c r="AK882" s="104"/>
      <c r="AL882" s="104"/>
      <c r="AM882" s="104"/>
      <c r="AN882" s="104"/>
      <c r="AO882" s="104"/>
      <c r="AP882" s="104"/>
      <c r="AQ882" s="104"/>
      <c r="AR882" s="104"/>
      <c r="AS882" s="104"/>
      <c r="AT882" s="104"/>
      <c r="AU882" s="104"/>
      <c r="AV882" s="104"/>
      <c r="AW882" s="104"/>
      <c r="AX882" s="104"/>
      <c r="AY882" s="104"/>
      <c r="AZ882" s="104"/>
      <c r="BA882" s="104"/>
      <c r="BB882" s="104"/>
      <c r="BC882" s="104"/>
      <c r="BD882" s="104"/>
    </row>
    <row r="883" spans="1:56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  <c r="AH883" s="104"/>
      <c r="AI883" s="104"/>
      <c r="AJ883" s="104"/>
      <c r="AK883" s="104"/>
      <c r="AL883" s="104"/>
      <c r="AM883" s="104"/>
      <c r="AN883" s="104"/>
      <c r="AO883" s="104"/>
      <c r="AP883" s="104"/>
      <c r="AQ883" s="104"/>
      <c r="AR883" s="104"/>
      <c r="AS883" s="104"/>
      <c r="AT883" s="104"/>
      <c r="AU883" s="104"/>
      <c r="AV883" s="104"/>
      <c r="AW883" s="104"/>
      <c r="AX883" s="104"/>
      <c r="AY883" s="104"/>
      <c r="AZ883" s="104"/>
      <c r="BA883" s="104"/>
      <c r="BB883" s="104"/>
      <c r="BC883" s="104"/>
      <c r="BD883" s="104"/>
    </row>
    <row r="884" spans="1:56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  <c r="AH884" s="104"/>
      <c r="AI884" s="104"/>
      <c r="AJ884" s="104"/>
      <c r="AK884" s="104"/>
      <c r="AL884" s="104"/>
      <c r="AM884" s="104"/>
      <c r="AN884" s="104"/>
      <c r="AO884" s="104"/>
      <c r="AP884" s="104"/>
      <c r="AQ884" s="104"/>
      <c r="AR884" s="104"/>
      <c r="AS884" s="104"/>
      <c r="AT884" s="104"/>
      <c r="AU884" s="104"/>
      <c r="AV884" s="104"/>
      <c r="AW884" s="104"/>
      <c r="AX884" s="104"/>
      <c r="AY884" s="104"/>
      <c r="AZ884" s="104"/>
      <c r="BA884" s="104"/>
      <c r="BB884" s="104"/>
      <c r="BC884" s="104"/>
      <c r="BD884" s="104"/>
    </row>
    <row r="885" spans="1:56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  <c r="AH885" s="104"/>
      <c r="AI885" s="104"/>
      <c r="AJ885" s="104"/>
      <c r="AK885" s="104"/>
      <c r="AL885" s="104"/>
      <c r="AM885" s="104"/>
      <c r="AN885" s="104"/>
      <c r="AO885" s="104"/>
      <c r="AP885" s="104"/>
      <c r="AQ885" s="104"/>
      <c r="AR885" s="104"/>
      <c r="AS885" s="104"/>
      <c r="AT885" s="104"/>
      <c r="AU885" s="104"/>
      <c r="AV885" s="104"/>
      <c r="AW885" s="104"/>
      <c r="AX885" s="104"/>
      <c r="AY885" s="104"/>
      <c r="AZ885" s="104"/>
      <c r="BA885" s="104"/>
      <c r="BB885" s="104"/>
      <c r="BC885" s="104"/>
      <c r="BD885" s="104"/>
    </row>
    <row r="886" spans="1:56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  <c r="AH886" s="104"/>
      <c r="AI886" s="104"/>
      <c r="AJ886" s="104"/>
      <c r="AK886" s="104"/>
      <c r="AL886" s="104"/>
      <c r="AM886" s="104"/>
      <c r="AN886" s="104"/>
      <c r="AO886" s="104"/>
      <c r="AP886" s="104"/>
      <c r="AQ886" s="104"/>
      <c r="AR886" s="104"/>
      <c r="AS886" s="104"/>
      <c r="AT886" s="104"/>
      <c r="AU886" s="104"/>
      <c r="AV886" s="104"/>
      <c r="AW886" s="104"/>
      <c r="AX886" s="104"/>
      <c r="AY886" s="104"/>
      <c r="AZ886" s="104"/>
      <c r="BA886" s="104"/>
      <c r="BB886" s="104"/>
      <c r="BC886" s="104"/>
      <c r="BD886" s="104"/>
    </row>
    <row r="887" spans="1:56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  <c r="AH887" s="104"/>
      <c r="AI887" s="104"/>
      <c r="AJ887" s="104"/>
      <c r="AK887" s="104"/>
      <c r="AL887" s="104"/>
      <c r="AM887" s="104"/>
      <c r="AN887" s="104"/>
      <c r="AO887" s="104"/>
      <c r="AP887" s="104"/>
      <c r="AQ887" s="104"/>
      <c r="AR887" s="104"/>
      <c r="AS887" s="104"/>
      <c r="AT887" s="104"/>
      <c r="AU887" s="104"/>
      <c r="AV887" s="104"/>
      <c r="AW887" s="104"/>
      <c r="AX887" s="104"/>
      <c r="AY887" s="104"/>
      <c r="AZ887" s="104"/>
      <c r="BA887" s="104"/>
      <c r="BB887" s="104"/>
      <c r="BC887" s="104"/>
      <c r="BD887" s="104"/>
    </row>
    <row r="888" spans="1:56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  <c r="AH888" s="104"/>
      <c r="AI888" s="104"/>
      <c r="AJ888" s="104"/>
      <c r="AK888" s="104"/>
      <c r="AL888" s="104"/>
      <c r="AM888" s="104"/>
      <c r="AN888" s="104"/>
      <c r="AO888" s="104"/>
      <c r="AP888" s="104"/>
      <c r="AQ888" s="104"/>
      <c r="AR888" s="104"/>
      <c r="AS888" s="104"/>
      <c r="AT888" s="104"/>
      <c r="AU888" s="104"/>
      <c r="AV888" s="104"/>
      <c r="AW888" s="104"/>
      <c r="AX888" s="104"/>
      <c r="AY888" s="104"/>
      <c r="AZ888" s="104"/>
      <c r="BA888" s="104"/>
      <c r="BB888" s="104"/>
      <c r="BC888" s="104"/>
      <c r="BD888" s="104"/>
    </row>
    <row r="889" spans="1:56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  <c r="AH889" s="104"/>
      <c r="AI889" s="104"/>
      <c r="AJ889" s="104"/>
      <c r="AK889" s="104"/>
      <c r="AL889" s="104"/>
      <c r="AM889" s="104"/>
      <c r="AN889" s="104"/>
      <c r="AO889" s="104"/>
      <c r="AP889" s="104"/>
      <c r="AQ889" s="104"/>
      <c r="AR889" s="104"/>
      <c r="AS889" s="104"/>
      <c r="AT889" s="104"/>
      <c r="AU889" s="104"/>
      <c r="AV889" s="104"/>
      <c r="AW889" s="104"/>
      <c r="AX889" s="104"/>
      <c r="AY889" s="104"/>
      <c r="AZ889" s="104"/>
      <c r="BA889" s="104"/>
      <c r="BB889" s="104"/>
      <c r="BC889" s="104"/>
      <c r="BD889" s="104"/>
    </row>
    <row r="890" spans="1:56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  <c r="AH890" s="104"/>
      <c r="AI890" s="104"/>
      <c r="AJ890" s="104"/>
      <c r="AK890" s="104"/>
      <c r="AL890" s="104"/>
      <c r="AM890" s="104"/>
      <c r="AN890" s="104"/>
      <c r="AO890" s="104"/>
      <c r="AP890" s="104"/>
      <c r="AQ890" s="104"/>
      <c r="AR890" s="104"/>
      <c r="AS890" s="104"/>
      <c r="AT890" s="104"/>
      <c r="AU890" s="104"/>
      <c r="AV890" s="104"/>
      <c r="AW890" s="104"/>
      <c r="AX890" s="104"/>
      <c r="AY890" s="104"/>
      <c r="AZ890" s="104"/>
      <c r="BA890" s="104"/>
      <c r="BB890" s="104"/>
      <c r="BC890" s="104"/>
      <c r="BD890" s="104"/>
    </row>
    <row r="891" spans="1:56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  <c r="AH891" s="104"/>
      <c r="AI891" s="104"/>
      <c r="AJ891" s="104"/>
      <c r="AK891" s="104"/>
      <c r="AL891" s="104"/>
      <c r="AM891" s="104"/>
      <c r="AN891" s="104"/>
      <c r="AO891" s="104"/>
      <c r="AP891" s="104"/>
      <c r="AQ891" s="104"/>
      <c r="AR891" s="104"/>
      <c r="AS891" s="104"/>
      <c r="AT891" s="104"/>
      <c r="AU891" s="104"/>
      <c r="AV891" s="104"/>
      <c r="AW891" s="104"/>
      <c r="AX891" s="104"/>
      <c r="AY891" s="104"/>
      <c r="AZ891" s="104"/>
      <c r="BA891" s="104"/>
      <c r="BB891" s="104"/>
      <c r="BC891" s="104"/>
      <c r="BD891" s="104"/>
    </row>
    <row r="892" spans="1:56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  <c r="AH892" s="104"/>
      <c r="AI892" s="104"/>
      <c r="AJ892" s="104"/>
      <c r="AK892" s="104"/>
      <c r="AL892" s="104"/>
      <c r="AM892" s="104"/>
      <c r="AN892" s="104"/>
      <c r="AO892" s="104"/>
      <c r="AP892" s="104"/>
      <c r="AQ892" s="104"/>
      <c r="AR892" s="104"/>
      <c r="AS892" s="104"/>
      <c r="AT892" s="104"/>
      <c r="AU892" s="104"/>
      <c r="AV892" s="104"/>
      <c r="AW892" s="104"/>
      <c r="AX892" s="104"/>
      <c r="AY892" s="104"/>
      <c r="AZ892" s="104"/>
      <c r="BA892" s="104"/>
      <c r="BB892" s="104"/>
      <c r="BC892" s="104"/>
      <c r="BD892" s="104"/>
    </row>
    <row r="893" spans="1:56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  <c r="AH893" s="104"/>
      <c r="AI893" s="104"/>
      <c r="AJ893" s="104"/>
      <c r="AK893" s="104"/>
      <c r="AL893" s="104"/>
      <c r="AM893" s="104"/>
      <c r="AN893" s="104"/>
      <c r="AO893" s="104"/>
      <c r="AP893" s="104"/>
      <c r="AQ893" s="104"/>
      <c r="AR893" s="104"/>
      <c r="AS893" s="104"/>
      <c r="AT893" s="104"/>
      <c r="AU893" s="104"/>
      <c r="AV893" s="104"/>
      <c r="AW893" s="104"/>
      <c r="AX893" s="104"/>
      <c r="AY893" s="104"/>
      <c r="AZ893" s="104"/>
      <c r="BA893" s="104"/>
      <c r="BB893" s="104"/>
      <c r="BC893" s="104"/>
      <c r="BD893" s="104"/>
    </row>
    <row r="894" spans="1:56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  <c r="AH894" s="104"/>
      <c r="AI894" s="104"/>
      <c r="AJ894" s="104"/>
      <c r="AK894" s="104"/>
      <c r="AL894" s="104"/>
      <c r="AM894" s="104"/>
      <c r="AN894" s="104"/>
      <c r="AO894" s="104"/>
      <c r="AP894" s="104"/>
      <c r="AQ894" s="104"/>
      <c r="AR894" s="104"/>
      <c r="AS894" s="104"/>
      <c r="AT894" s="104"/>
      <c r="AU894" s="104"/>
      <c r="AV894" s="104"/>
      <c r="AW894" s="104"/>
      <c r="AX894" s="104"/>
      <c r="AY894" s="104"/>
      <c r="AZ894" s="104"/>
      <c r="BA894" s="104"/>
      <c r="BB894" s="104"/>
      <c r="BC894" s="104"/>
      <c r="BD894" s="104"/>
    </row>
    <row r="895" spans="1:56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  <c r="AH895" s="104"/>
      <c r="AI895" s="104"/>
      <c r="AJ895" s="104"/>
      <c r="AK895" s="104"/>
      <c r="AL895" s="104"/>
      <c r="AM895" s="104"/>
      <c r="AN895" s="104"/>
      <c r="AO895" s="104"/>
      <c r="AP895" s="104"/>
      <c r="AQ895" s="104"/>
      <c r="AR895" s="104"/>
      <c r="AS895" s="104"/>
      <c r="AT895" s="104"/>
      <c r="AU895" s="104"/>
      <c r="AV895" s="104"/>
      <c r="AW895" s="104"/>
      <c r="AX895" s="104"/>
      <c r="AY895" s="104"/>
      <c r="AZ895" s="104"/>
      <c r="BA895" s="104"/>
      <c r="BB895" s="104"/>
      <c r="BC895" s="104"/>
      <c r="BD895" s="104"/>
    </row>
    <row r="896" spans="1:56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  <c r="AH896" s="104"/>
      <c r="AI896" s="104"/>
      <c r="AJ896" s="104"/>
      <c r="AK896" s="104"/>
      <c r="AL896" s="104"/>
      <c r="AM896" s="104"/>
      <c r="AN896" s="104"/>
      <c r="AO896" s="104"/>
      <c r="AP896" s="104"/>
      <c r="AQ896" s="104"/>
      <c r="AR896" s="104"/>
      <c r="AS896" s="104"/>
      <c r="AT896" s="104"/>
      <c r="AU896" s="104"/>
      <c r="AV896" s="104"/>
      <c r="AW896" s="104"/>
      <c r="AX896" s="104"/>
      <c r="AY896" s="104"/>
      <c r="AZ896" s="104"/>
      <c r="BA896" s="104"/>
      <c r="BB896" s="104"/>
      <c r="BC896" s="104"/>
      <c r="BD896" s="104"/>
    </row>
    <row r="897" spans="1:56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  <c r="AH897" s="104"/>
      <c r="AI897" s="104"/>
      <c r="AJ897" s="104"/>
      <c r="AK897" s="104"/>
      <c r="AL897" s="104"/>
      <c r="AM897" s="104"/>
      <c r="AN897" s="104"/>
      <c r="AO897" s="104"/>
      <c r="AP897" s="104"/>
      <c r="AQ897" s="104"/>
      <c r="AR897" s="104"/>
      <c r="AS897" s="104"/>
      <c r="AT897" s="104"/>
      <c r="AU897" s="104"/>
      <c r="AV897" s="104"/>
      <c r="AW897" s="104"/>
      <c r="AX897" s="104"/>
      <c r="AY897" s="104"/>
      <c r="AZ897" s="104"/>
      <c r="BA897" s="104"/>
      <c r="BB897" s="104"/>
      <c r="BC897" s="104"/>
      <c r="BD897" s="104"/>
    </row>
    <row r="898" spans="1:56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  <c r="AH898" s="104"/>
      <c r="AI898" s="104"/>
      <c r="AJ898" s="104"/>
      <c r="AK898" s="104"/>
      <c r="AL898" s="104"/>
      <c r="AM898" s="104"/>
      <c r="AN898" s="104"/>
      <c r="AO898" s="104"/>
      <c r="AP898" s="104"/>
      <c r="AQ898" s="104"/>
      <c r="AR898" s="104"/>
      <c r="AS898" s="104"/>
      <c r="AT898" s="104"/>
      <c r="AU898" s="104"/>
      <c r="AV898" s="104"/>
      <c r="AW898" s="104"/>
      <c r="AX898" s="104"/>
      <c r="AY898" s="104"/>
      <c r="AZ898" s="104"/>
      <c r="BA898" s="104"/>
      <c r="BB898" s="104"/>
      <c r="BC898" s="104"/>
      <c r="BD898" s="104"/>
    </row>
    <row r="899" spans="1:56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  <c r="AH899" s="104"/>
      <c r="AI899" s="104"/>
      <c r="AJ899" s="104"/>
      <c r="AK899" s="104"/>
      <c r="AL899" s="104"/>
      <c r="AM899" s="104"/>
      <c r="AN899" s="104"/>
      <c r="AO899" s="104"/>
      <c r="AP899" s="104"/>
      <c r="AQ899" s="104"/>
      <c r="AR899" s="104"/>
      <c r="AS899" s="104"/>
      <c r="AT899" s="104"/>
      <c r="AU899" s="104"/>
      <c r="AV899" s="104"/>
      <c r="AW899" s="104"/>
      <c r="AX899" s="104"/>
      <c r="AY899" s="104"/>
      <c r="AZ899" s="104"/>
      <c r="BA899" s="104"/>
      <c r="BB899" s="104"/>
      <c r="BC899" s="104"/>
      <c r="BD899" s="104"/>
    </row>
    <row r="900" spans="1:56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  <c r="AH900" s="104"/>
      <c r="AI900" s="104"/>
      <c r="AJ900" s="104"/>
      <c r="AK900" s="104"/>
      <c r="AL900" s="104"/>
      <c r="AM900" s="104"/>
      <c r="AN900" s="104"/>
      <c r="AO900" s="104"/>
      <c r="AP900" s="104"/>
      <c r="AQ900" s="104"/>
      <c r="AR900" s="104"/>
      <c r="AS900" s="104"/>
      <c r="AT900" s="104"/>
      <c r="AU900" s="104"/>
      <c r="AV900" s="104"/>
      <c r="AW900" s="104"/>
      <c r="AX900" s="104"/>
      <c r="AY900" s="104"/>
      <c r="AZ900" s="104"/>
      <c r="BA900" s="104"/>
      <c r="BB900" s="104"/>
      <c r="BC900" s="104"/>
      <c r="BD900" s="104"/>
    </row>
    <row r="901" spans="1:56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  <c r="AH901" s="104"/>
      <c r="AI901" s="104"/>
      <c r="AJ901" s="104"/>
      <c r="AK901" s="104"/>
      <c r="AL901" s="104"/>
      <c r="AM901" s="104"/>
      <c r="AN901" s="104"/>
      <c r="AO901" s="104"/>
      <c r="AP901" s="104"/>
      <c r="AQ901" s="104"/>
      <c r="AR901" s="104"/>
      <c r="AS901" s="104"/>
      <c r="AT901" s="104"/>
      <c r="AU901" s="104"/>
      <c r="AV901" s="104"/>
      <c r="AW901" s="104"/>
      <c r="AX901" s="104"/>
      <c r="AY901" s="104"/>
      <c r="AZ901" s="104"/>
      <c r="BA901" s="104"/>
      <c r="BB901" s="104"/>
      <c r="BC901" s="104"/>
      <c r="BD901" s="104"/>
    </row>
    <row r="902" spans="1:56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  <c r="AH902" s="104"/>
      <c r="AI902" s="104"/>
      <c r="AJ902" s="104"/>
      <c r="AK902" s="104"/>
      <c r="AL902" s="104"/>
      <c r="AM902" s="104"/>
      <c r="AN902" s="104"/>
      <c r="AO902" s="104"/>
      <c r="AP902" s="104"/>
      <c r="AQ902" s="104"/>
      <c r="AR902" s="104"/>
      <c r="AS902" s="104"/>
      <c r="AT902" s="104"/>
      <c r="AU902" s="104"/>
      <c r="AV902" s="104"/>
      <c r="AW902" s="104"/>
      <c r="AX902" s="104"/>
      <c r="AY902" s="104"/>
      <c r="AZ902" s="104"/>
      <c r="BA902" s="104"/>
      <c r="BB902" s="104"/>
      <c r="BC902" s="104"/>
      <c r="BD902" s="104"/>
    </row>
    <row r="903" spans="1:56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  <c r="AI903" s="104"/>
      <c r="AJ903" s="104"/>
      <c r="AK903" s="104"/>
      <c r="AL903" s="104"/>
      <c r="AM903" s="104"/>
      <c r="AN903" s="104"/>
      <c r="AO903" s="104"/>
      <c r="AP903" s="104"/>
      <c r="AQ903" s="104"/>
      <c r="AR903" s="104"/>
      <c r="AS903" s="104"/>
      <c r="AT903" s="104"/>
      <c r="AU903" s="104"/>
      <c r="AV903" s="104"/>
      <c r="AW903" s="104"/>
      <c r="AX903" s="104"/>
      <c r="AY903" s="104"/>
      <c r="AZ903" s="104"/>
      <c r="BA903" s="104"/>
      <c r="BB903" s="104"/>
      <c r="BC903" s="104"/>
      <c r="BD903" s="104"/>
    </row>
    <row r="904" spans="1:56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  <c r="AH904" s="104"/>
      <c r="AI904" s="104"/>
      <c r="AJ904" s="104"/>
      <c r="AK904" s="104"/>
      <c r="AL904" s="104"/>
      <c r="AM904" s="104"/>
      <c r="AN904" s="104"/>
      <c r="AO904" s="104"/>
      <c r="AP904" s="104"/>
      <c r="AQ904" s="104"/>
      <c r="AR904" s="104"/>
      <c r="AS904" s="104"/>
      <c r="AT904" s="104"/>
      <c r="AU904" s="104"/>
      <c r="AV904" s="104"/>
      <c r="AW904" s="104"/>
      <c r="AX904" s="104"/>
      <c r="AY904" s="104"/>
      <c r="AZ904" s="104"/>
      <c r="BA904" s="104"/>
      <c r="BB904" s="104"/>
      <c r="BC904" s="104"/>
      <c r="BD904" s="104"/>
    </row>
    <row r="905" spans="1:56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  <c r="AH905" s="104"/>
      <c r="AI905" s="104"/>
      <c r="AJ905" s="104"/>
      <c r="AK905" s="104"/>
      <c r="AL905" s="104"/>
      <c r="AM905" s="104"/>
      <c r="AN905" s="104"/>
      <c r="AO905" s="104"/>
      <c r="AP905" s="104"/>
      <c r="AQ905" s="104"/>
      <c r="AR905" s="104"/>
      <c r="AS905" s="104"/>
      <c r="AT905" s="104"/>
      <c r="AU905" s="104"/>
      <c r="AV905" s="104"/>
      <c r="AW905" s="104"/>
      <c r="AX905" s="104"/>
      <c r="AY905" s="104"/>
      <c r="AZ905" s="104"/>
      <c r="BA905" s="104"/>
      <c r="BB905" s="104"/>
      <c r="BC905" s="104"/>
      <c r="BD905" s="104"/>
    </row>
    <row r="906" spans="1:56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  <c r="AH906" s="104"/>
      <c r="AI906" s="104"/>
      <c r="AJ906" s="104"/>
      <c r="AK906" s="104"/>
      <c r="AL906" s="104"/>
      <c r="AM906" s="104"/>
      <c r="AN906" s="104"/>
      <c r="AO906" s="104"/>
      <c r="AP906" s="104"/>
      <c r="AQ906" s="104"/>
      <c r="AR906" s="104"/>
      <c r="AS906" s="104"/>
      <c r="AT906" s="104"/>
      <c r="AU906" s="104"/>
      <c r="AV906" s="104"/>
      <c r="AW906" s="104"/>
      <c r="AX906" s="104"/>
      <c r="AY906" s="104"/>
      <c r="AZ906" s="104"/>
      <c r="BA906" s="104"/>
      <c r="BB906" s="104"/>
      <c r="BC906" s="104"/>
      <c r="BD906" s="104"/>
    </row>
    <row r="907" spans="1:56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  <c r="AH907" s="104"/>
      <c r="AI907" s="104"/>
      <c r="AJ907" s="104"/>
      <c r="AK907" s="104"/>
      <c r="AL907" s="104"/>
      <c r="AM907" s="104"/>
      <c r="AN907" s="104"/>
      <c r="AO907" s="104"/>
      <c r="AP907" s="104"/>
      <c r="AQ907" s="104"/>
      <c r="AR907" s="104"/>
      <c r="AS907" s="104"/>
      <c r="AT907" s="104"/>
      <c r="AU907" s="104"/>
      <c r="AV907" s="104"/>
      <c r="AW907" s="104"/>
      <c r="AX907" s="104"/>
      <c r="AY907" s="104"/>
      <c r="AZ907" s="104"/>
      <c r="BA907" s="104"/>
      <c r="BB907" s="104"/>
      <c r="BC907" s="104"/>
      <c r="BD907" s="104"/>
    </row>
    <row r="908" spans="1:56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  <c r="AH908" s="104"/>
      <c r="AI908" s="104"/>
      <c r="AJ908" s="104"/>
      <c r="AK908" s="104"/>
      <c r="AL908" s="104"/>
      <c r="AM908" s="104"/>
      <c r="AN908" s="104"/>
      <c r="AO908" s="104"/>
      <c r="AP908" s="104"/>
      <c r="AQ908" s="104"/>
      <c r="AR908" s="104"/>
      <c r="AS908" s="104"/>
      <c r="AT908" s="104"/>
      <c r="AU908" s="104"/>
      <c r="AV908" s="104"/>
      <c r="AW908" s="104"/>
      <c r="AX908" s="104"/>
      <c r="AY908" s="104"/>
      <c r="AZ908" s="104"/>
      <c r="BA908" s="104"/>
      <c r="BB908" s="104"/>
      <c r="BC908" s="104"/>
      <c r="BD908" s="104"/>
    </row>
    <row r="909" spans="1:56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  <c r="AH909" s="104"/>
      <c r="AI909" s="104"/>
      <c r="AJ909" s="104"/>
      <c r="AK909" s="104"/>
      <c r="AL909" s="104"/>
      <c r="AM909" s="104"/>
      <c r="AN909" s="104"/>
      <c r="AO909" s="104"/>
      <c r="AP909" s="104"/>
      <c r="AQ909" s="104"/>
      <c r="AR909" s="104"/>
      <c r="AS909" s="104"/>
      <c r="AT909" s="104"/>
      <c r="AU909" s="104"/>
      <c r="AV909" s="104"/>
      <c r="AW909" s="104"/>
      <c r="AX909" s="104"/>
      <c r="AY909" s="104"/>
      <c r="AZ909" s="104"/>
      <c r="BA909" s="104"/>
      <c r="BB909" s="104"/>
      <c r="BC909" s="104"/>
      <c r="BD909" s="104"/>
    </row>
    <row r="910" spans="1:56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  <c r="AH910" s="104"/>
      <c r="AI910" s="104"/>
      <c r="AJ910" s="104"/>
      <c r="AK910" s="104"/>
      <c r="AL910" s="104"/>
      <c r="AM910" s="104"/>
      <c r="AN910" s="104"/>
      <c r="AO910" s="104"/>
      <c r="AP910" s="104"/>
      <c r="AQ910" s="104"/>
      <c r="AR910" s="104"/>
      <c r="AS910" s="104"/>
      <c r="AT910" s="104"/>
      <c r="AU910" s="104"/>
      <c r="AV910" s="104"/>
      <c r="AW910" s="104"/>
      <c r="AX910" s="104"/>
      <c r="AY910" s="104"/>
      <c r="AZ910" s="104"/>
      <c r="BA910" s="104"/>
      <c r="BB910" s="104"/>
      <c r="BC910" s="104"/>
      <c r="BD910" s="104"/>
    </row>
    <row r="911" spans="1:56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  <c r="AH911" s="104"/>
      <c r="AI911" s="104"/>
      <c r="AJ911" s="104"/>
      <c r="AK911" s="104"/>
      <c r="AL911" s="104"/>
      <c r="AM911" s="104"/>
      <c r="AN911" s="104"/>
      <c r="AO911" s="104"/>
      <c r="AP911" s="104"/>
      <c r="AQ911" s="104"/>
      <c r="AR911" s="104"/>
      <c r="AS911" s="104"/>
      <c r="AT911" s="104"/>
      <c r="AU911" s="104"/>
      <c r="AV911" s="104"/>
      <c r="AW911" s="104"/>
      <c r="AX911" s="104"/>
      <c r="AY911" s="104"/>
      <c r="AZ911" s="104"/>
      <c r="BA911" s="104"/>
      <c r="BB911" s="104"/>
      <c r="BC911" s="104"/>
      <c r="BD911" s="104"/>
    </row>
    <row r="912" spans="1:56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  <c r="AH912" s="104"/>
      <c r="AI912" s="104"/>
      <c r="AJ912" s="104"/>
      <c r="AK912" s="104"/>
      <c r="AL912" s="104"/>
      <c r="AM912" s="104"/>
      <c r="AN912" s="104"/>
      <c r="AO912" s="104"/>
      <c r="AP912" s="104"/>
      <c r="AQ912" s="104"/>
      <c r="AR912" s="104"/>
      <c r="AS912" s="104"/>
      <c r="AT912" s="104"/>
      <c r="AU912" s="104"/>
      <c r="AV912" s="104"/>
      <c r="AW912" s="104"/>
      <c r="AX912" s="104"/>
      <c r="AY912" s="104"/>
      <c r="AZ912" s="104"/>
      <c r="BA912" s="104"/>
      <c r="BB912" s="104"/>
      <c r="BC912" s="104"/>
      <c r="BD912" s="104"/>
    </row>
    <row r="913" spans="1:56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  <c r="AH913" s="104"/>
      <c r="AI913" s="104"/>
      <c r="AJ913" s="104"/>
      <c r="AK913" s="104"/>
      <c r="AL913" s="104"/>
      <c r="AM913" s="104"/>
      <c r="AN913" s="104"/>
      <c r="AO913" s="104"/>
      <c r="AP913" s="104"/>
      <c r="AQ913" s="104"/>
      <c r="AR913" s="104"/>
      <c r="AS913" s="104"/>
      <c r="AT913" s="104"/>
      <c r="AU913" s="104"/>
      <c r="AV913" s="104"/>
      <c r="AW913" s="104"/>
      <c r="AX913" s="104"/>
      <c r="AY913" s="104"/>
      <c r="AZ913" s="104"/>
      <c r="BA913" s="104"/>
      <c r="BB913" s="104"/>
      <c r="BC913" s="104"/>
      <c r="BD913" s="104"/>
    </row>
    <row r="914" spans="1:56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  <c r="AH914" s="104"/>
      <c r="AI914" s="104"/>
      <c r="AJ914" s="104"/>
      <c r="AK914" s="104"/>
      <c r="AL914" s="104"/>
      <c r="AM914" s="104"/>
      <c r="AN914" s="104"/>
      <c r="AO914" s="104"/>
      <c r="AP914" s="104"/>
      <c r="AQ914" s="104"/>
      <c r="AR914" s="104"/>
      <c r="AS914" s="104"/>
      <c r="AT914" s="104"/>
      <c r="AU914" s="104"/>
      <c r="AV914" s="104"/>
      <c r="AW914" s="104"/>
      <c r="AX914" s="104"/>
      <c r="AY914" s="104"/>
      <c r="AZ914" s="104"/>
      <c r="BA914" s="104"/>
      <c r="BB914" s="104"/>
      <c r="BC914" s="104"/>
      <c r="BD914" s="104"/>
    </row>
    <row r="915" spans="1:56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  <c r="AH915" s="104"/>
      <c r="AI915" s="104"/>
      <c r="AJ915" s="104"/>
      <c r="AK915" s="104"/>
      <c r="AL915" s="104"/>
      <c r="AM915" s="104"/>
      <c r="AN915" s="104"/>
      <c r="AO915" s="104"/>
      <c r="AP915" s="104"/>
      <c r="AQ915" s="104"/>
      <c r="AR915" s="104"/>
      <c r="AS915" s="104"/>
      <c r="AT915" s="104"/>
      <c r="AU915" s="104"/>
      <c r="AV915" s="104"/>
      <c r="AW915" s="104"/>
      <c r="AX915" s="104"/>
      <c r="AY915" s="104"/>
      <c r="AZ915" s="104"/>
      <c r="BA915" s="104"/>
      <c r="BB915" s="104"/>
      <c r="BC915" s="104"/>
      <c r="BD915" s="104"/>
    </row>
    <row r="916" spans="1:56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  <c r="AH916" s="104"/>
      <c r="AI916" s="104"/>
      <c r="AJ916" s="104"/>
      <c r="AK916" s="104"/>
      <c r="AL916" s="104"/>
      <c r="AM916" s="104"/>
      <c r="AN916" s="104"/>
      <c r="AO916" s="104"/>
      <c r="AP916" s="104"/>
      <c r="AQ916" s="104"/>
      <c r="AR916" s="104"/>
      <c r="AS916" s="104"/>
      <c r="AT916" s="104"/>
      <c r="AU916" s="104"/>
      <c r="AV916" s="104"/>
      <c r="AW916" s="104"/>
      <c r="AX916" s="104"/>
      <c r="AY916" s="104"/>
      <c r="AZ916" s="104"/>
      <c r="BA916" s="104"/>
      <c r="BB916" s="104"/>
      <c r="BC916" s="104"/>
      <c r="BD916" s="104"/>
    </row>
    <row r="917" spans="1:56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  <c r="AH917" s="104"/>
      <c r="AI917" s="104"/>
      <c r="AJ917" s="104"/>
      <c r="AK917" s="104"/>
      <c r="AL917" s="104"/>
      <c r="AM917" s="104"/>
      <c r="AN917" s="104"/>
      <c r="AO917" s="104"/>
      <c r="AP917" s="104"/>
      <c r="AQ917" s="104"/>
      <c r="AR917" s="104"/>
      <c r="AS917" s="104"/>
      <c r="AT917" s="104"/>
      <c r="AU917" s="104"/>
      <c r="AV917" s="104"/>
      <c r="AW917" s="104"/>
      <c r="AX917" s="104"/>
      <c r="AY917" s="104"/>
      <c r="AZ917" s="104"/>
      <c r="BA917" s="104"/>
      <c r="BB917" s="104"/>
      <c r="BC917" s="104"/>
      <c r="BD917" s="104"/>
    </row>
    <row r="918" spans="1:56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  <c r="AH918" s="104"/>
      <c r="AI918" s="104"/>
      <c r="AJ918" s="104"/>
      <c r="AK918" s="104"/>
      <c r="AL918" s="104"/>
      <c r="AM918" s="104"/>
      <c r="AN918" s="104"/>
      <c r="AO918" s="104"/>
      <c r="AP918" s="104"/>
      <c r="AQ918" s="104"/>
      <c r="AR918" s="104"/>
      <c r="AS918" s="104"/>
      <c r="AT918" s="104"/>
      <c r="AU918" s="104"/>
      <c r="AV918" s="104"/>
      <c r="AW918" s="104"/>
      <c r="AX918" s="104"/>
      <c r="AY918" s="104"/>
      <c r="AZ918" s="104"/>
      <c r="BA918" s="104"/>
      <c r="BB918" s="104"/>
      <c r="BC918" s="104"/>
      <c r="BD918" s="104"/>
    </row>
    <row r="919" spans="1:56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  <c r="AH919" s="104"/>
      <c r="AI919" s="104"/>
      <c r="AJ919" s="104"/>
      <c r="AK919" s="104"/>
      <c r="AL919" s="104"/>
      <c r="AM919" s="104"/>
      <c r="AN919" s="104"/>
      <c r="AO919" s="104"/>
      <c r="AP919" s="104"/>
      <c r="AQ919" s="104"/>
      <c r="AR919" s="104"/>
      <c r="AS919" s="104"/>
      <c r="AT919" s="104"/>
      <c r="AU919" s="104"/>
      <c r="AV919" s="104"/>
      <c r="AW919" s="104"/>
      <c r="AX919" s="104"/>
      <c r="AY919" s="104"/>
      <c r="AZ919" s="104"/>
      <c r="BA919" s="104"/>
      <c r="BB919" s="104"/>
      <c r="BC919" s="104"/>
      <c r="BD919" s="104"/>
    </row>
    <row r="920" spans="1:56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  <c r="AH920" s="104"/>
      <c r="AI920" s="104"/>
      <c r="AJ920" s="104"/>
      <c r="AK920" s="104"/>
      <c r="AL920" s="104"/>
      <c r="AM920" s="104"/>
      <c r="AN920" s="104"/>
      <c r="AO920" s="104"/>
      <c r="AP920" s="104"/>
      <c r="AQ920" s="104"/>
      <c r="AR920" s="104"/>
      <c r="AS920" s="104"/>
      <c r="AT920" s="104"/>
      <c r="AU920" s="104"/>
      <c r="AV920" s="104"/>
      <c r="AW920" s="104"/>
      <c r="AX920" s="104"/>
      <c r="AY920" s="104"/>
      <c r="AZ920" s="104"/>
      <c r="BA920" s="104"/>
      <c r="BB920" s="104"/>
      <c r="BC920" s="104"/>
      <c r="BD920" s="104"/>
    </row>
    <row r="921" spans="1:56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  <c r="AH921" s="104"/>
      <c r="AI921" s="104"/>
      <c r="AJ921" s="104"/>
      <c r="AK921" s="104"/>
      <c r="AL921" s="104"/>
      <c r="AM921" s="104"/>
      <c r="AN921" s="104"/>
      <c r="AO921" s="104"/>
      <c r="AP921" s="104"/>
      <c r="AQ921" s="104"/>
      <c r="AR921" s="104"/>
      <c r="AS921" s="104"/>
      <c r="AT921" s="104"/>
      <c r="AU921" s="104"/>
      <c r="AV921" s="104"/>
      <c r="AW921" s="104"/>
      <c r="AX921" s="104"/>
      <c r="AY921" s="104"/>
      <c r="AZ921" s="104"/>
      <c r="BA921" s="104"/>
      <c r="BB921" s="104"/>
      <c r="BC921" s="104"/>
      <c r="BD921" s="104"/>
    </row>
    <row r="922" spans="1:56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  <c r="AH922" s="104"/>
      <c r="AI922" s="104"/>
      <c r="AJ922" s="104"/>
      <c r="AK922" s="104"/>
      <c r="AL922" s="104"/>
      <c r="AM922" s="104"/>
      <c r="AN922" s="104"/>
      <c r="AO922" s="104"/>
      <c r="AP922" s="104"/>
      <c r="AQ922" s="104"/>
      <c r="AR922" s="104"/>
      <c r="AS922" s="104"/>
      <c r="AT922" s="104"/>
      <c r="AU922" s="104"/>
      <c r="AV922" s="104"/>
      <c r="AW922" s="104"/>
      <c r="AX922" s="104"/>
      <c r="AY922" s="104"/>
      <c r="AZ922" s="104"/>
      <c r="BA922" s="104"/>
      <c r="BB922" s="104"/>
      <c r="BC922" s="104"/>
      <c r="BD922" s="104"/>
    </row>
    <row r="923" spans="1:56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  <c r="AH923" s="104"/>
      <c r="AI923" s="104"/>
      <c r="AJ923" s="104"/>
      <c r="AK923" s="104"/>
      <c r="AL923" s="104"/>
      <c r="AM923" s="104"/>
      <c r="AN923" s="104"/>
      <c r="AO923" s="104"/>
      <c r="AP923" s="104"/>
      <c r="AQ923" s="104"/>
      <c r="AR923" s="104"/>
      <c r="AS923" s="104"/>
      <c r="AT923" s="104"/>
      <c r="AU923" s="104"/>
      <c r="AV923" s="104"/>
      <c r="AW923" s="104"/>
      <c r="AX923" s="104"/>
      <c r="AY923" s="104"/>
      <c r="AZ923" s="104"/>
      <c r="BA923" s="104"/>
      <c r="BB923" s="104"/>
      <c r="BC923" s="104"/>
      <c r="BD923" s="104"/>
    </row>
    <row r="924" spans="1:56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  <c r="AH924" s="104"/>
      <c r="AI924" s="104"/>
      <c r="AJ924" s="104"/>
      <c r="AK924" s="104"/>
      <c r="AL924" s="104"/>
      <c r="AM924" s="104"/>
      <c r="AN924" s="104"/>
      <c r="AO924" s="104"/>
      <c r="AP924" s="104"/>
      <c r="AQ924" s="104"/>
      <c r="AR924" s="104"/>
      <c r="AS924" s="104"/>
      <c r="AT924" s="104"/>
      <c r="AU924" s="104"/>
      <c r="AV924" s="104"/>
      <c r="AW924" s="104"/>
      <c r="AX924" s="104"/>
      <c r="AY924" s="104"/>
      <c r="AZ924" s="104"/>
      <c r="BA924" s="104"/>
      <c r="BB924" s="104"/>
      <c r="BC924" s="104"/>
      <c r="BD924" s="104"/>
    </row>
    <row r="925" spans="1:56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  <c r="AH925" s="104"/>
      <c r="AI925" s="104"/>
      <c r="AJ925" s="104"/>
      <c r="AK925" s="104"/>
      <c r="AL925" s="104"/>
      <c r="AM925" s="104"/>
      <c r="AN925" s="104"/>
      <c r="AO925" s="104"/>
      <c r="AP925" s="104"/>
      <c r="AQ925" s="104"/>
      <c r="AR925" s="104"/>
      <c r="AS925" s="104"/>
      <c r="AT925" s="104"/>
      <c r="AU925" s="104"/>
      <c r="AV925" s="104"/>
      <c r="AW925" s="104"/>
      <c r="AX925" s="104"/>
      <c r="AY925" s="104"/>
      <c r="AZ925" s="104"/>
      <c r="BA925" s="104"/>
      <c r="BB925" s="104"/>
      <c r="BC925" s="104"/>
      <c r="BD925" s="104"/>
    </row>
    <row r="926" spans="1:56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  <c r="AH926" s="104"/>
      <c r="AI926" s="104"/>
      <c r="AJ926" s="104"/>
      <c r="AK926" s="104"/>
      <c r="AL926" s="104"/>
      <c r="AM926" s="104"/>
      <c r="AN926" s="104"/>
      <c r="AO926" s="104"/>
      <c r="AP926" s="104"/>
      <c r="AQ926" s="104"/>
      <c r="AR926" s="104"/>
      <c r="AS926" s="104"/>
      <c r="AT926" s="104"/>
      <c r="AU926" s="104"/>
      <c r="AV926" s="104"/>
      <c r="AW926" s="104"/>
      <c r="AX926" s="104"/>
      <c r="AY926" s="104"/>
      <c r="AZ926" s="104"/>
      <c r="BA926" s="104"/>
      <c r="BB926" s="104"/>
      <c r="BC926" s="104"/>
      <c r="BD926" s="104"/>
    </row>
    <row r="927" spans="1:56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  <c r="AH927" s="104"/>
      <c r="AI927" s="104"/>
      <c r="AJ927" s="104"/>
      <c r="AK927" s="104"/>
      <c r="AL927" s="104"/>
      <c r="AM927" s="104"/>
      <c r="AN927" s="104"/>
      <c r="AO927" s="104"/>
      <c r="AP927" s="104"/>
      <c r="AQ927" s="104"/>
      <c r="AR927" s="104"/>
      <c r="AS927" s="104"/>
      <c r="AT927" s="104"/>
      <c r="AU927" s="104"/>
      <c r="AV927" s="104"/>
      <c r="AW927" s="104"/>
      <c r="AX927" s="104"/>
      <c r="AY927" s="104"/>
      <c r="AZ927" s="104"/>
      <c r="BA927" s="104"/>
      <c r="BB927" s="104"/>
      <c r="BC927" s="104"/>
      <c r="BD927" s="104"/>
    </row>
    <row r="928" spans="1:56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  <c r="AH928" s="104"/>
      <c r="AI928" s="104"/>
      <c r="AJ928" s="104"/>
      <c r="AK928" s="104"/>
      <c r="AL928" s="104"/>
      <c r="AM928" s="104"/>
      <c r="AN928" s="104"/>
      <c r="AO928" s="104"/>
      <c r="AP928" s="104"/>
      <c r="AQ928" s="104"/>
      <c r="AR928" s="104"/>
      <c r="AS928" s="104"/>
      <c r="AT928" s="104"/>
      <c r="AU928" s="104"/>
      <c r="AV928" s="104"/>
      <c r="AW928" s="104"/>
      <c r="AX928" s="104"/>
      <c r="AY928" s="104"/>
      <c r="AZ928" s="104"/>
      <c r="BA928" s="104"/>
      <c r="BB928" s="104"/>
      <c r="BC928" s="104"/>
      <c r="BD928" s="104"/>
    </row>
    <row r="929" spans="1:56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  <c r="AH929" s="104"/>
      <c r="AI929" s="104"/>
      <c r="AJ929" s="104"/>
      <c r="AK929" s="104"/>
      <c r="AL929" s="104"/>
      <c r="AM929" s="104"/>
      <c r="AN929" s="104"/>
      <c r="AO929" s="104"/>
      <c r="AP929" s="104"/>
      <c r="AQ929" s="104"/>
      <c r="AR929" s="104"/>
      <c r="AS929" s="104"/>
      <c r="AT929" s="104"/>
      <c r="AU929" s="104"/>
      <c r="AV929" s="104"/>
      <c r="AW929" s="104"/>
      <c r="AX929" s="104"/>
      <c r="AY929" s="104"/>
      <c r="AZ929" s="104"/>
      <c r="BA929" s="104"/>
      <c r="BB929" s="104"/>
      <c r="BC929" s="104"/>
      <c r="BD929" s="104"/>
    </row>
    <row r="930" spans="1:56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  <c r="AH930" s="104"/>
      <c r="AI930" s="104"/>
      <c r="AJ930" s="104"/>
      <c r="AK930" s="104"/>
      <c r="AL930" s="104"/>
      <c r="AM930" s="104"/>
      <c r="AN930" s="104"/>
      <c r="AO930" s="104"/>
      <c r="AP930" s="104"/>
      <c r="AQ930" s="104"/>
      <c r="AR930" s="104"/>
      <c r="AS930" s="104"/>
      <c r="AT930" s="104"/>
      <c r="AU930" s="104"/>
      <c r="AV930" s="104"/>
      <c r="AW930" s="104"/>
      <c r="AX930" s="104"/>
      <c r="AY930" s="104"/>
      <c r="AZ930" s="104"/>
      <c r="BA930" s="104"/>
      <c r="BB930" s="104"/>
      <c r="BC930" s="104"/>
      <c r="BD930" s="104"/>
    </row>
    <row r="931" spans="1:56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  <c r="AH931" s="104"/>
      <c r="AI931" s="104"/>
      <c r="AJ931" s="104"/>
      <c r="AK931" s="104"/>
      <c r="AL931" s="104"/>
      <c r="AM931" s="104"/>
      <c r="AN931" s="104"/>
      <c r="AO931" s="104"/>
      <c r="AP931" s="104"/>
      <c r="AQ931" s="104"/>
      <c r="AR931" s="104"/>
      <c r="AS931" s="104"/>
      <c r="AT931" s="104"/>
      <c r="AU931" s="104"/>
      <c r="AV931" s="104"/>
      <c r="AW931" s="104"/>
      <c r="AX931" s="104"/>
      <c r="AY931" s="104"/>
      <c r="AZ931" s="104"/>
      <c r="BA931" s="104"/>
      <c r="BB931" s="104"/>
      <c r="BC931" s="104"/>
      <c r="BD931" s="104"/>
    </row>
    <row r="932" spans="1:56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  <c r="AH932" s="104"/>
      <c r="AI932" s="104"/>
      <c r="AJ932" s="104"/>
      <c r="AK932" s="104"/>
      <c r="AL932" s="104"/>
      <c r="AM932" s="104"/>
      <c r="AN932" s="104"/>
      <c r="AO932" s="104"/>
      <c r="AP932" s="104"/>
      <c r="AQ932" s="104"/>
      <c r="AR932" s="104"/>
      <c r="AS932" s="104"/>
      <c r="AT932" s="104"/>
      <c r="AU932" s="104"/>
      <c r="AV932" s="104"/>
      <c r="AW932" s="104"/>
      <c r="AX932" s="104"/>
      <c r="AY932" s="104"/>
      <c r="AZ932" s="104"/>
      <c r="BA932" s="104"/>
      <c r="BB932" s="104"/>
      <c r="BC932" s="104"/>
      <c r="BD932" s="104"/>
    </row>
    <row r="933" spans="1:56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  <c r="AH933" s="104"/>
      <c r="AI933" s="104"/>
      <c r="AJ933" s="104"/>
      <c r="AK933" s="104"/>
      <c r="AL933" s="104"/>
      <c r="AM933" s="104"/>
      <c r="AN933" s="104"/>
      <c r="AO933" s="104"/>
      <c r="AP933" s="104"/>
      <c r="AQ933" s="104"/>
      <c r="AR933" s="104"/>
      <c r="AS933" s="104"/>
      <c r="AT933" s="104"/>
      <c r="AU933" s="104"/>
      <c r="AV933" s="104"/>
      <c r="AW933" s="104"/>
      <c r="AX933" s="104"/>
      <c r="AY933" s="104"/>
      <c r="AZ933" s="104"/>
      <c r="BA933" s="104"/>
      <c r="BB933" s="104"/>
      <c r="BC933" s="104"/>
      <c r="BD933" s="104"/>
    </row>
    <row r="934" spans="1:56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  <c r="AH934" s="104"/>
      <c r="AI934" s="104"/>
      <c r="AJ934" s="104"/>
      <c r="AK934" s="104"/>
      <c r="AL934" s="104"/>
      <c r="AM934" s="104"/>
      <c r="AN934" s="104"/>
      <c r="AO934" s="104"/>
      <c r="AP934" s="104"/>
      <c r="AQ934" s="104"/>
      <c r="AR934" s="104"/>
      <c r="AS934" s="104"/>
      <c r="AT934" s="104"/>
      <c r="AU934" s="104"/>
      <c r="AV934" s="104"/>
      <c r="AW934" s="104"/>
      <c r="AX934" s="104"/>
      <c r="AY934" s="104"/>
      <c r="AZ934" s="104"/>
      <c r="BA934" s="104"/>
      <c r="BB934" s="104"/>
      <c r="BC934" s="104"/>
      <c r="BD934" s="104"/>
    </row>
    <row r="935" spans="1:56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  <c r="AH935" s="104"/>
      <c r="AI935" s="104"/>
      <c r="AJ935" s="104"/>
      <c r="AK935" s="104"/>
      <c r="AL935" s="104"/>
      <c r="AM935" s="104"/>
      <c r="AN935" s="104"/>
      <c r="AO935" s="104"/>
      <c r="AP935" s="104"/>
      <c r="AQ935" s="104"/>
      <c r="AR935" s="104"/>
      <c r="AS935" s="104"/>
      <c r="AT935" s="104"/>
      <c r="AU935" s="104"/>
      <c r="AV935" s="104"/>
      <c r="AW935" s="104"/>
      <c r="AX935" s="104"/>
      <c r="AY935" s="104"/>
      <c r="AZ935" s="104"/>
      <c r="BA935" s="104"/>
      <c r="BB935" s="104"/>
      <c r="BC935" s="104"/>
      <c r="BD935" s="104"/>
    </row>
    <row r="936" spans="1:56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  <c r="AH936" s="104"/>
      <c r="AI936" s="104"/>
      <c r="AJ936" s="104"/>
      <c r="AK936" s="104"/>
      <c r="AL936" s="104"/>
      <c r="AM936" s="104"/>
      <c r="AN936" s="104"/>
      <c r="AO936" s="104"/>
      <c r="AP936" s="104"/>
      <c r="AQ936" s="104"/>
      <c r="AR936" s="104"/>
      <c r="AS936" s="104"/>
      <c r="AT936" s="104"/>
      <c r="AU936" s="104"/>
      <c r="AV936" s="104"/>
      <c r="AW936" s="104"/>
      <c r="AX936" s="104"/>
      <c r="AY936" s="104"/>
      <c r="AZ936" s="104"/>
      <c r="BA936" s="104"/>
      <c r="BB936" s="104"/>
      <c r="BC936" s="104"/>
      <c r="BD936" s="104"/>
    </row>
    <row r="937" spans="1:56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4"/>
      <c r="AH937" s="104"/>
      <c r="AI937" s="104"/>
      <c r="AJ937" s="104"/>
      <c r="AK937" s="104"/>
      <c r="AL937" s="104"/>
      <c r="AM937" s="104"/>
      <c r="AN937" s="104"/>
      <c r="AO937" s="104"/>
      <c r="AP937" s="104"/>
      <c r="AQ937" s="104"/>
      <c r="AR937" s="104"/>
      <c r="AS937" s="104"/>
      <c r="AT937" s="104"/>
      <c r="AU937" s="104"/>
      <c r="AV937" s="104"/>
      <c r="AW937" s="104"/>
      <c r="AX937" s="104"/>
      <c r="AY937" s="104"/>
      <c r="AZ937" s="104"/>
      <c r="BA937" s="104"/>
      <c r="BB937" s="104"/>
      <c r="BC937" s="104"/>
      <c r="BD937" s="104"/>
    </row>
    <row r="938" spans="1:56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4"/>
      <c r="AH938" s="104"/>
      <c r="AI938" s="104"/>
      <c r="AJ938" s="104"/>
      <c r="AK938" s="104"/>
      <c r="AL938" s="104"/>
      <c r="AM938" s="104"/>
      <c r="AN938" s="104"/>
      <c r="AO938" s="104"/>
      <c r="AP938" s="104"/>
      <c r="AQ938" s="104"/>
      <c r="AR938" s="104"/>
      <c r="AS938" s="104"/>
      <c r="AT938" s="104"/>
      <c r="AU938" s="104"/>
      <c r="AV938" s="104"/>
      <c r="AW938" s="104"/>
      <c r="AX938" s="104"/>
      <c r="AY938" s="104"/>
      <c r="AZ938" s="104"/>
      <c r="BA938" s="104"/>
      <c r="BB938" s="104"/>
      <c r="BC938" s="104"/>
      <c r="BD938" s="104"/>
    </row>
    <row r="939" spans="1:56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4"/>
      <c r="AH939" s="104"/>
      <c r="AI939" s="104"/>
      <c r="AJ939" s="104"/>
      <c r="AK939" s="104"/>
      <c r="AL939" s="104"/>
      <c r="AM939" s="104"/>
      <c r="AN939" s="104"/>
      <c r="AO939" s="104"/>
      <c r="AP939" s="104"/>
      <c r="AQ939" s="104"/>
      <c r="AR939" s="104"/>
      <c r="AS939" s="104"/>
      <c r="AT939" s="104"/>
      <c r="AU939" s="104"/>
      <c r="AV939" s="104"/>
      <c r="AW939" s="104"/>
      <c r="AX939" s="104"/>
      <c r="AY939" s="104"/>
      <c r="AZ939" s="104"/>
      <c r="BA939" s="104"/>
      <c r="BB939" s="104"/>
      <c r="BC939" s="104"/>
      <c r="BD939" s="104"/>
    </row>
    <row r="940" spans="1:56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4"/>
      <c r="AH940" s="104"/>
      <c r="AI940" s="104"/>
      <c r="AJ940" s="104"/>
      <c r="AK940" s="104"/>
      <c r="AL940" s="104"/>
      <c r="AM940" s="104"/>
      <c r="AN940" s="104"/>
      <c r="AO940" s="104"/>
      <c r="AP940" s="104"/>
      <c r="AQ940" s="104"/>
      <c r="AR940" s="104"/>
      <c r="AS940" s="104"/>
      <c r="AT940" s="104"/>
      <c r="AU940" s="104"/>
      <c r="AV940" s="104"/>
      <c r="AW940" s="104"/>
      <c r="AX940" s="104"/>
      <c r="AY940" s="104"/>
      <c r="AZ940" s="104"/>
      <c r="BA940" s="104"/>
      <c r="BB940" s="104"/>
      <c r="BC940" s="104"/>
      <c r="BD940" s="104"/>
    </row>
    <row r="941" spans="1:56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4"/>
      <c r="AH941" s="104"/>
      <c r="AI941" s="104"/>
      <c r="AJ941" s="104"/>
      <c r="AK941" s="104"/>
      <c r="AL941" s="104"/>
      <c r="AM941" s="104"/>
      <c r="AN941" s="104"/>
      <c r="AO941" s="104"/>
      <c r="AP941" s="104"/>
      <c r="AQ941" s="104"/>
      <c r="AR941" s="104"/>
      <c r="AS941" s="104"/>
      <c r="AT941" s="104"/>
      <c r="AU941" s="104"/>
      <c r="AV941" s="104"/>
      <c r="AW941" s="104"/>
      <c r="AX941" s="104"/>
      <c r="AY941" s="104"/>
      <c r="AZ941" s="104"/>
      <c r="BA941" s="104"/>
      <c r="BB941" s="104"/>
      <c r="BC941" s="104"/>
      <c r="BD941" s="104"/>
    </row>
    <row r="942" spans="1:56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4"/>
      <c r="AH942" s="104"/>
      <c r="AI942" s="104"/>
      <c r="AJ942" s="104"/>
      <c r="AK942" s="104"/>
      <c r="AL942" s="104"/>
      <c r="AM942" s="104"/>
      <c r="AN942" s="104"/>
      <c r="AO942" s="104"/>
      <c r="AP942" s="104"/>
      <c r="AQ942" s="104"/>
      <c r="AR942" s="104"/>
      <c r="AS942" s="104"/>
      <c r="AT942" s="104"/>
      <c r="AU942" s="104"/>
      <c r="AV942" s="104"/>
      <c r="AW942" s="104"/>
      <c r="AX942" s="104"/>
      <c r="AY942" s="104"/>
      <c r="AZ942" s="104"/>
      <c r="BA942" s="104"/>
      <c r="BB942" s="104"/>
      <c r="BC942" s="104"/>
      <c r="BD942" s="104"/>
    </row>
    <row r="943" spans="1:56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4"/>
      <c r="AH943" s="104"/>
      <c r="AI943" s="104"/>
      <c r="AJ943" s="104"/>
      <c r="AK943" s="104"/>
      <c r="AL943" s="104"/>
      <c r="AM943" s="104"/>
      <c r="AN943" s="104"/>
      <c r="AO943" s="104"/>
      <c r="AP943" s="104"/>
      <c r="AQ943" s="104"/>
      <c r="AR943" s="104"/>
      <c r="AS943" s="104"/>
      <c r="AT943" s="104"/>
      <c r="AU943" s="104"/>
      <c r="AV943" s="104"/>
      <c r="AW943" s="104"/>
      <c r="AX943" s="104"/>
      <c r="AY943" s="104"/>
      <c r="AZ943" s="104"/>
      <c r="BA943" s="104"/>
      <c r="BB943" s="104"/>
      <c r="BC943" s="104"/>
      <c r="BD943" s="104"/>
    </row>
    <row r="944" spans="1:56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4"/>
      <c r="AH944" s="104"/>
      <c r="AI944" s="104"/>
      <c r="AJ944" s="104"/>
      <c r="AK944" s="104"/>
      <c r="AL944" s="104"/>
      <c r="AM944" s="104"/>
      <c r="AN944" s="104"/>
      <c r="AO944" s="104"/>
      <c r="AP944" s="104"/>
      <c r="AQ944" s="104"/>
      <c r="AR944" s="104"/>
      <c r="AS944" s="104"/>
      <c r="AT944" s="104"/>
      <c r="AU944" s="104"/>
      <c r="AV944" s="104"/>
      <c r="AW944" s="104"/>
      <c r="AX944" s="104"/>
      <c r="AY944" s="104"/>
      <c r="AZ944" s="104"/>
      <c r="BA944" s="104"/>
      <c r="BB944" s="104"/>
      <c r="BC944" s="104"/>
      <c r="BD944" s="104"/>
    </row>
    <row r="945" spans="1:56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4"/>
      <c r="AH945" s="104"/>
      <c r="AI945" s="104"/>
      <c r="AJ945" s="104"/>
      <c r="AK945" s="104"/>
      <c r="AL945" s="104"/>
      <c r="AM945" s="104"/>
      <c r="AN945" s="104"/>
      <c r="AO945" s="104"/>
      <c r="AP945" s="104"/>
      <c r="AQ945" s="104"/>
      <c r="AR945" s="104"/>
      <c r="AS945" s="104"/>
      <c r="AT945" s="104"/>
      <c r="AU945" s="104"/>
      <c r="AV945" s="104"/>
      <c r="AW945" s="104"/>
      <c r="AX945" s="104"/>
      <c r="AY945" s="104"/>
      <c r="AZ945" s="104"/>
      <c r="BA945" s="104"/>
      <c r="BB945" s="104"/>
      <c r="BC945" s="104"/>
      <c r="BD945" s="104"/>
    </row>
    <row r="946" spans="1:56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4"/>
      <c r="AH946" s="104"/>
      <c r="AI946" s="104"/>
      <c r="AJ946" s="104"/>
      <c r="AK946" s="104"/>
      <c r="AL946" s="104"/>
      <c r="AM946" s="104"/>
      <c r="AN946" s="104"/>
      <c r="AO946" s="104"/>
      <c r="AP946" s="104"/>
      <c r="AQ946" s="104"/>
      <c r="AR946" s="104"/>
      <c r="AS946" s="104"/>
      <c r="AT946" s="104"/>
      <c r="AU946" s="104"/>
      <c r="AV946" s="104"/>
      <c r="AW946" s="104"/>
      <c r="AX946" s="104"/>
      <c r="AY946" s="104"/>
      <c r="AZ946" s="104"/>
      <c r="BA946" s="104"/>
      <c r="BB946" s="104"/>
      <c r="BC946" s="104"/>
      <c r="BD946" s="104"/>
    </row>
    <row r="947" spans="1:56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4"/>
      <c r="AH947" s="104"/>
      <c r="AI947" s="104"/>
      <c r="AJ947" s="104"/>
      <c r="AK947" s="104"/>
      <c r="AL947" s="104"/>
      <c r="AM947" s="104"/>
      <c r="AN947" s="104"/>
      <c r="AO947" s="104"/>
      <c r="AP947" s="104"/>
      <c r="AQ947" s="104"/>
      <c r="AR947" s="104"/>
      <c r="AS947" s="104"/>
      <c r="AT947" s="104"/>
      <c r="AU947" s="104"/>
      <c r="AV947" s="104"/>
      <c r="AW947" s="104"/>
      <c r="AX947" s="104"/>
      <c r="AY947" s="104"/>
      <c r="AZ947" s="104"/>
      <c r="BA947" s="104"/>
      <c r="BB947" s="104"/>
      <c r="BC947" s="104"/>
      <c r="BD947" s="104"/>
    </row>
    <row r="948" spans="1:56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4"/>
      <c r="AH948" s="104"/>
      <c r="AI948" s="104"/>
      <c r="AJ948" s="104"/>
      <c r="AK948" s="104"/>
      <c r="AL948" s="104"/>
      <c r="AM948" s="104"/>
      <c r="AN948" s="104"/>
      <c r="AO948" s="104"/>
      <c r="AP948" s="104"/>
      <c r="AQ948" s="104"/>
      <c r="AR948" s="104"/>
      <c r="AS948" s="104"/>
      <c r="AT948" s="104"/>
      <c r="AU948" s="104"/>
      <c r="AV948" s="104"/>
      <c r="AW948" s="104"/>
      <c r="AX948" s="104"/>
      <c r="AY948" s="104"/>
      <c r="AZ948" s="104"/>
      <c r="BA948" s="104"/>
      <c r="BB948" s="104"/>
      <c r="BC948" s="104"/>
      <c r="BD948" s="104"/>
    </row>
    <row r="949" spans="1:56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4"/>
      <c r="AH949" s="104"/>
      <c r="AI949" s="104"/>
      <c r="AJ949" s="104"/>
      <c r="AK949" s="104"/>
      <c r="AL949" s="104"/>
      <c r="AM949" s="104"/>
      <c r="AN949" s="104"/>
      <c r="AO949" s="104"/>
      <c r="AP949" s="104"/>
      <c r="AQ949" s="104"/>
      <c r="AR949" s="104"/>
      <c r="AS949" s="104"/>
      <c r="AT949" s="104"/>
      <c r="AU949" s="104"/>
      <c r="AV949" s="104"/>
      <c r="AW949" s="104"/>
      <c r="AX949" s="104"/>
      <c r="AY949" s="104"/>
      <c r="AZ949" s="104"/>
      <c r="BA949" s="104"/>
      <c r="BB949" s="104"/>
      <c r="BC949" s="104"/>
      <c r="BD949" s="104"/>
    </row>
    <row r="950" spans="1:56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4"/>
      <c r="AH950" s="104"/>
      <c r="AI950" s="104"/>
      <c r="AJ950" s="104"/>
      <c r="AK950" s="104"/>
      <c r="AL950" s="104"/>
      <c r="AM950" s="104"/>
      <c r="AN950" s="104"/>
      <c r="AO950" s="104"/>
      <c r="AP950" s="104"/>
      <c r="AQ950" s="104"/>
      <c r="AR950" s="104"/>
      <c r="AS950" s="104"/>
      <c r="AT950" s="104"/>
      <c r="AU950" s="104"/>
      <c r="AV950" s="104"/>
      <c r="AW950" s="104"/>
      <c r="AX950" s="104"/>
      <c r="AY950" s="104"/>
      <c r="AZ950" s="104"/>
      <c r="BA950" s="104"/>
      <c r="BB950" s="104"/>
      <c r="BC950" s="104"/>
      <c r="BD950" s="104"/>
    </row>
    <row r="951" spans="1:56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4"/>
      <c r="AH951" s="104"/>
      <c r="AI951" s="104"/>
      <c r="AJ951" s="104"/>
      <c r="AK951" s="104"/>
      <c r="AL951" s="104"/>
      <c r="AM951" s="104"/>
      <c r="AN951" s="104"/>
      <c r="AO951" s="104"/>
      <c r="AP951" s="104"/>
      <c r="AQ951" s="104"/>
      <c r="AR951" s="104"/>
      <c r="AS951" s="104"/>
      <c r="AT951" s="104"/>
      <c r="AU951" s="104"/>
      <c r="AV951" s="104"/>
      <c r="AW951" s="104"/>
      <c r="AX951" s="104"/>
      <c r="AY951" s="104"/>
      <c r="AZ951" s="104"/>
      <c r="BA951" s="104"/>
      <c r="BB951" s="104"/>
      <c r="BC951" s="104"/>
      <c r="BD951" s="104"/>
    </row>
    <row r="952" spans="1:56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4"/>
      <c r="AH952" s="104"/>
      <c r="AI952" s="104"/>
      <c r="AJ952" s="104"/>
      <c r="AK952" s="104"/>
      <c r="AL952" s="104"/>
      <c r="AM952" s="104"/>
      <c r="AN952" s="104"/>
      <c r="AO952" s="104"/>
      <c r="AP952" s="104"/>
      <c r="AQ952" s="104"/>
      <c r="AR952" s="104"/>
      <c r="AS952" s="104"/>
      <c r="AT952" s="104"/>
      <c r="AU952" s="104"/>
      <c r="AV952" s="104"/>
      <c r="AW952" s="104"/>
      <c r="AX952" s="104"/>
      <c r="AY952" s="104"/>
      <c r="AZ952" s="104"/>
      <c r="BA952" s="104"/>
      <c r="BB952" s="104"/>
      <c r="BC952" s="104"/>
      <c r="BD952" s="104"/>
    </row>
    <row r="953" spans="1:56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4"/>
      <c r="AH953" s="104"/>
      <c r="AI953" s="104"/>
      <c r="AJ953" s="104"/>
      <c r="AK953" s="104"/>
      <c r="AL953" s="104"/>
      <c r="AM953" s="104"/>
      <c r="AN953" s="104"/>
      <c r="AO953" s="104"/>
      <c r="AP953" s="104"/>
      <c r="AQ953" s="104"/>
      <c r="AR953" s="104"/>
      <c r="AS953" s="104"/>
      <c r="AT953" s="104"/>
      <c r="AU953" s="104"/>
      <c r="AV953" s="104"/>
      <c r="AW953" s="104"/>
      <c r="AX953" s="104"/>
      <c r="AY953" s="104"/>
      <c r="AZ953" s="104"/>
      <c r="BA953" s="104"/>
      <c r="BB953" s="104"/>
      <c r="BC953" s="104"/>
      <c r="BD953" s="104"/>
    </row>
    <row r="954" spans="1:56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4"/>
      <c r="AH954" s="104"/>
      <c r="AI954" s="104"/>
      <c r="AJ954" s="104"/>
      <c r="AK954" s="104"/>
      <c r="AL954" s="104"/>
      <c r="AM954" s="104"/>
      <c r="AN954" s="104"/>
      <c r="AO954" s="104"/>
      <c r="AP954" s="104"/>
      <c r="AQ954" s="104"/>
      <c r="AR954" s="104"/>
      <c r="AS954" s="104"/>
      <c r="AT954" s="104"/>
      <c r="AU954" s="104"/>
      <c r="AV954" s="104"/>
      <c r="AW954" s="104"/>
      <c r="AX954" s="104"/>
      <c r="AY954" s="104"/>
      <c r="AZ954" s="104"/>
      <c r="BA954" s="104"/>
      <c r="BB954" s="104"/>
      <c r="BC954" s="104"/>
      <c r="BD954" s="104"/>
    </row>
    <row r="955" spans="1:56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4"/>
      <c r="AH955" s="104"/>
      <c r="AI955" s="104"/>
      <c r="AJ955" s="104"/>
      <c r="AK955" s="104"/>
      <c r="AL955" s="104"/>
      <c r="AM955" s="104"/>
      <c r="AN955" s="104"/>
      <c r="AO955" s="104"/>
      <c r="AP955" s="104"/>
      <c r="AQ955" s="104"/>
      <c r="AR955" s="104"/>
      <c r="AS955" s="104"/>
      <c r="AT955" s="104"/>
      <c r="AU955" s="104"/>
      <c r="AV955" s="104"/>
      <c r="AW955" s="104"/>
      <c r="AX955" s="104"/>
      <c r="AY955" s="104"/>
      <c r="AZ955" s="104"/>
      <c r="BA955" s="104"/>
      <c r="BB955" s="104"/>
      <c r="BC955" s="104"/>
      <c r="BD955" s="104"/>
    </row>
    <row r="956" spans="1:56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4"/>
      <c r="AH956" s="104"/>
      <c r="AI956" s="104"/>
      <c r="AJ956" s="104"/>
      <c r="AK956" s="104"/>
      <c r="AL956" s="104"/>
      <c r="AM956" s="104"/>
      <c r="AN956" s="104"/>
      <c r="AO956" s="104"/>
      <c r="AP956" s="104"/>
      <c r="AQ956" s="104"/>
      <c r="AR956" s="104"/>
      <c r="AS956" s="104"/>
      <c r="AT956" s="104"/>
      <c r="AU956" s="104"/>
      <c r="AV956" s="104"/>
      <c r="AW956" s="104"/>
      <c r="AX956" s="104"/>
      <c r="AY956" s="104"/>
      <c r="AZ956" s="104"/>
      <c r="BA956" s="104"/>
      <c r="BB956" s="104"/>
      <c r="BC956" s="104"/>
      <c r="BD956" s="104"/>
    </row>
    <row r="957" spans="1:56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4"/>
      <c r="AH957" s="104"/>
      <c r="AI957" s="104"/>
      <c r="AJ957" s="104"/>
      <c r="AK957" s="104"/>
      <c r="AL957" s="104"/>
      <c r="AM957" s="104"/>
      <c r="AN957" s="104"/>
      <c r="AO957" s="104"/>
      <c r="AP957" s="104"/>
      <c r="AQ957" s="104"/>
      <c r="AR957" s="104"/>
      <c r="AS957" s="104"/>
      <c r="AT957" s="104"/>
      <c r="AU957" s="104"/>
      <c r="AV957" s="104"/>
      <c r="AW957" s="104"/>
      <c r="AX957" s="104"/>
      <c r="AY957" s="104"/>
      <c r="AZ957" s="104"/>
      <c r="BA957" s="104"/>
      <c r="BB957" s="104"/>
      <c r="BC957" s="104"/>
      <c r="BD957" s="104"/>
    </row>
    <row r="958" spans="1:56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4"/>
      <c r="AH958" s="104"/>
      <c r="AI958" s="104"/>
      <c r="AJ958" s="104"/>
      <c r="AK958" s="104"/>
      <c r="AL958" s="104"/>
      <c r="AM958" s="104"/>
      <c r="AN958" s="104"/>
      <c r="AO958" s="104"/>
      <c r="AP958" s="104"/>
      <c r="AQ958" s="104"/>
      <c r="AR958" s="104"/>
      <c r="AS958" s="104"/>
      <c r="AT958" s="104"/>
      <c r="AU958" s="104"/>
      <c r="AV958" s="104"/>
      <c r="AW958" s="104"/>
      <c r="AX958" s="104"/>
      <c r="AY958" s="104"/>
      <c r="AZ958" s="104"/>
      <c r="BA958" s="104"/>
      <c r="BB958" s="104"/>
      <c r="BC958" s="104"/>
      <c r="BD958" s="104"/>
    </row>
    <row r="959" spans="1:56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4"/>
      <c r="AH959" s="104"/>
      <c r="AI959" s="104"/>
      <c r="AJ959" s="104"/>
      <c r="AK959" s="104"/>
      <c r="AL959" s="104"/>
      <c r="AM959" s="104"/>
      <c r="AN959" s="104"/>
      <c r="AO959" s="104"/>
      <c r="AP959" s="104"/>
      <c r="AQ959" s="104"/>
      <c r="AR959" s="104"/>
      <c r="AS959" s="104"/>
      <c r="AT959" s="104"/>
      <c r="AU959" s="104"/>
      <c r="AV959" s="104"/>
      <c r="AW959" s="104"/>
      <c r="AX959" s="104"/>
      <c r="AY959" s="104"/>
      <c r="AZ959" s="104"/>
      <c r="BA959" s="104"/>
      <c r="BB959" s="104"/>
      <c r="BC959" s="104"/>
      <c r="BD959" s="104"/>
    </row>
    <row r="960" spans="1:56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4"/>
      <c r="AH960" s="104"/>
      <c r="AI960" s="104"/>
      <c r="AJ960" s="104"/>
      <c r="AK960" s="104"/>
      <c r="AL960" s="104"/>
      <c r="AM960" s="104"/>
      <c r="AN960" s="104"/>
      <c r="AO960" s="104"/>
      <c r="AP960" s="104"/>
      <c r="AQ960" s="104"/>
      <c r="AR960" s="104"/>
      <c r="AS960" s="104"/>
      <c r="AT960" s="104"/>
      <c r="AU960" s="104"/>
      <c r="AV960" s="104"/>
      <c r="AW960" s="104"/>
      <c r="AX960" s="104"/>
      <c r="AY960" s="104"/>
      <c r="AZ960" s="104"/>
      <c r="BA960" s="104"/>
      <c r="BB960" s="104"/>
      <c r="BC960" s="104"/>
      <c r="BD960" s="104"/>
    </row>
    <row r="961" spans="1:56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4"/>
      <c r="AH961" s="104"/>
      <c r="AI961" s="104"/>
      <c r="AJ961" s="104"/>
      <c r="AK961" s="104"/>
      <c r="AL961" s="104"/>
      <c r="AM961" s="104"/>
      <c r="AN961" s="104"/>
      <c r="AO961" s="104"/>
      <c r="AP961" s="104"/>
      <c r="AQ961" s="104"/>
      <c r="AR961" s="104"/>
      <c r="AS961" s="104"/>
      <c r="AT961" s="104"/>
      <c r="AU961" s="104"/>
      <c r="AV961" s="104"/>
      <c r="AW961" s="104"/>
      <c r="AX961" s="104"/>
      <c r="AY961" s="104"/>
      <c r="AZ961" s="104"/>
      <c r="BA961" s="104"/>
      <c r="BB961" s="104"/>
      <c r="BC961" s="104"/>
      <c r="BD961" s="104"/>
    </row>
    <row r="962" spans="1:56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4"/>
      <c r="AH962" s="104"/>
      <c r="AI962" s="104"/>
      <c r="AJ962" s="104"/>
      <c r="AK962" s="104"/>
      <c r="AL962" s="104"/>
      <c r="AM962" s="104"/>
      <c r="AN962" s="104"/>
      <c r="AO962" s="104"/>
      <c r="AP962" s="104"/>
      <c r="AQ962" s="104"/>
      <c r="AR962" s="104"/>
      <c r="AS962" s="104"/>
      <c r="AT962" s="104"/>
      <c r="AU962" s="104"/>
      <c r="AV962" s="104"/>
      <c r="AW962" s="104"/>
      <c r="AX962" s="104"/>
      <c r="AY962" s="104"/>
      <c r="AZ962" s="104"/>
      <c r="BA962" s="104"/>
      <c r="BB962" s="104"/>
      <c r="BC962" s="104"/>
      <c r="BD962" s="104"/>
    </row>
    <row r="963" spans="1:56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4"/>
      <c r="AH963" s="104"/>
      <c r="AI963" s="104"/>
      <c r="AJ963" s="104"/>
      <c r="AK963" s="104"/>
      <c r="AL963" s="104"/>
      <c r="AM963" s="104"/>
      <c r="AN963" s="104"/>
      <c r="AO963" s="104"/>
      <c r="AP963" s="104"/>
      <c r="AQ963" s="104"/>
      <c r="AR963" s="104"/>
      <c r="AS963" s="104"/>
      <c r="AT963" s="104"/>
      <c r="AU963" s="104"/>
      <c r="AV963" s="104"/>
      <c r="AW963" s="104"/>
      <c r="AX963" s="104"/>
      <c r="AY963" s="104"/>
      <c r="AZ963" s="104"/>
      <c r="BA963" s="104"/>
      <c r="BB963" s="104"/>
      <c r="BC963" s="104"/>
      <c r="BD963" s="104"/>
    </row>
    <row r="964" spans="1:56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4"/>
      <c r="AH964" s="104"/>
      <c r="AI964" s="104"/>
      <c r="AJ964" s="104"/>
      <c r="AK964" s="104"/>
      <c r="AL964" s="104"/>
      <c r="AM964" s="104"/>
      <c r="AN964" s="104"/>
      <c r="AO964" s="104"/>
      <c r="AP964" s="104"/>
      <c r="AQ964" s="104"/>
      <c r="AR964" s="104"/>
      <c r="AS964" s="104"/>
      <c r="AT964" s="104"/>
      <c r="AU964" s="104"/>
      <c r="AV964" s="104"/>
      <c r="AW964" s="104"/>
      <c r="AX964" s="104"/>
      <c r="AY964" s="104"/>
      <c r="AZ964" s="104"/>
      <c r="BA964" s="104"/>
      <c r="BB964" s="104"/>
      <c r="BC964" s="104"/>
      <c r="BD964" s="104"/>
    </row>
    <row r="965" spans="1:56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4"/>
      <c r="AH965" s="104"/>
      <c r="AI965" s="104"/>
      <c r="AJ965" s="104"/>
      <c r="AK965" s="104"/>
      <c r="AL965" s="104"/>
      <c r="AM965" s="104"/>
      <c r="AN965" s="104"/>
      <c r="AO965" s="104"/>
      <c r="AP965" s="104"/>
      <c r="AQ965" s="104"/>
      <c r="AR965" s="104"/>
      <c r="AS965" s="104"/>
      <c r="AT965" s="104"/>
      <c r="AU965" s="104"/>
      <c r="AV965" s="104"/>
      <c r="AW965" s="104"/>
      <c r="AX965" s="104"/>
      <c r="AY965" s="104"/>
      <c r="AZ965" s="104"/>
      <c r="BA965" s="104"/>
      <c r="BB965" s="104"/>
      <c r="BC965" s="104"/>
      <c r="BD965" s="104"/>
    </row>
    <row r="966" spans="1:56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4"/>
      <c r="AH966" s="104"/>
      <c r="AI966" s="104"/>
      <c r="AJ966" s="104"/>
      <c r="AK966" s="104"/>
      <c r="AL966" s="104"/>
      <c r="AM966" s="104"/>
      <c r="AN966" s="104"/>
      <c r="AO966" s="104"/>
      <c r="AP966" s="104"/>
      <c r="AQ966" s="104"/>
      <c r="AR966" s="104"/>
      <c r="AS966" s="104"/>
      <c r="AT966" s="104"/>
      <c r="AU966" s="104"/>
      <c r="AV966" s="104"/>
      <c r="AW966" s="104"/>
      <c r="AX966" s="104"/>
      <c r="AY966" s="104"/>
      <c r="AZ966" s="104"/>
      <c r="BA966" s="104"/>
      <c r="BB966" s="104"/>
      <c r="BC966" s="104"/>
      <c r="BD966" s="104"/>
    </row>
    <row r="967" spans="1:56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4"/>
      <c r="AH967" s="104"/>
      <c r="AI967" s="104"/>
      <c r="AJ967" s="104"/>
      <c r="AK967" s="104"/>
      <c r="AL967" s="104"/>
      <c r="AM967" s="104"/>
      <c r="AN967" s="104"/>
      <c r="AO967" s="104"/>
      <c r="AP967" s="104"/>
      <c r="AQ967" s="104"/>
      <c r="AR967" s="104"/>
      <c r="AS967" s="104"/>
      <c r="AT967" s="104"/>
      <c r="AU967" s="104"/>
      <c r="AV967" s="104"/>
      <c r="AW967" s="104"/>
      <c r="AX967" s="104"/>
      <c r="AY967" s="104"/>
      <c r="AZ967" s="104"/>
      <c r="BA967" s="104"/>
      <c r="BB967" s="104"/>
      <c r="BC967" s="104"/>
      <c r="BD967" s="104"/>
    </row>
    <row r="968" spans="1:56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  <c r="AF968" s="104"/>
      <c r="AG968" s="104"/>
      <c r="AH968" s="104"/>
      <c r="AI968" s="104"/>
      <c r="AJ968" s="104"/>
      <c r="AK968" s="104"/>
      <c r="AL968" s="104"/>
      <c r="AM968" s="104"/>
      <c r="AN968" s="104"/>
      <c r="AO968" s="104"/>
      <c r="AP968" s="104"/>
      <c r="AQ968" s="104"/>
      <c r="AR968" s="104"/>
      <c r="AS968" s="104"/>
      <c r="AT968" s="104"/>
      <c r="AU968" s="104"/>
      <c r="AV968" s="104"/>
      <c r="AW968" s="104"/>
      <c r="AX968" s="104"/>
      <c r="AY968" s="104"/>
      <c r="AZ968" s="104"/>
      <c r="BA968" s="104"/>
      <c r="BB968" s="104"/>
      <c r="BC968" s="104"/>
      <c r="BD968" s="104"/>
    </row>
    <row r="969" spans="1:56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  <c r="AF969" s="104"/>
      <c r="AG969" s="104"/>
      <c r="AH969" s="104"/>
      <c r="AI969" s="104"/>
      <c r="AJ969" s="104"/>
      <c r="AK969" s="104"/>
      <c r="AL969" s="104"/>
      <c r="AM969" s="104"/>
      <c r="AN969" s="104"/>
      <c r="AO969" s="104"/>
      <c r="AP969" s="104"/>
      <c r="AQ969" s="104"/>
      <c r="AR969" s="104"/>
      <c r="AS969" s="104"/>
      <c r="AT969" s="104"/>
      <c r="AU969" s="104"/>
      <c r="AV969" s="104"/>
      <c r="AW969" s="104"/>
      <c r="AX969" s="104"/>
      <c r="AY969" s="104"/>
      <c r="AZ969" s="104"/>
      <c r="BA969" s="104"/>
      <c r="BB969" s="104"/>
      <c r="BC969" s="104"/>
      <c r="BD969" s="104"/>
    </row>
    <row r="970" spans="1:56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  <c r="AF970" s="104"/>
      <c r="AG970" s="104"/>
      <c r="AH970" s="104"/>
      <c r="AI970" s="104"/>
      <c r="AJ970" s="104"/>
      <c r="AK970" s="104"/>
      <c r="AL970" s="104"/>
      <c r="AM970" s="104"/>
      <c r="AN970" s="104"/>
      <c r="AO970" s="104"/>
      <c r="AP970" s="104"/>
      <c r="AQ970" s="104"/>
      <c r="AR970" s="104"/>
      <c r="AS970" s="104"/>
      <c r="AT970" s="104"/>
      <c r="AU970" s="104"/>
      <c r="AV970" s="104"/>
      <c r="AW970" s="104"/>
      <c r="AX970" s="104"/>
      <c r="AY970" s="104"/>
      <c r="AZ970" s="104"/>
      <c r="BA970" s="104"/>
      <c r="BB970" s="104"/>
      <c r="BC970" s="104"/>
      <c r="BD970" s="104"/>
    </row>
    <row r="971" spans="1:56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  <c r="AF971" s="104"/>
      <c r="AG971" s="104"/>
      <c r="AH971" s="104"/>
      <c r="AI971" s="104"/>
      <c r="AJ971" s="104"/>
      <c r="AK971" s="104"/>
      <c r="AL971" s="104"/>
      <c r="AM971" s="104"/>
      <c r="AN971" s="104"/>
      <c r="AO971" s="104"/>
      <c r="AP971" s="104"/>
      <c r="AQ971" s="104"/>
      <c r="AR971" s="104"/>
      <c r="AS971" s="104"/>
      <c r="AT971" s="104"/>
      <c r="AU971" s="104"/>
      <c r="AV971" s="104"/>
      <c r="AW971" s="104"/>
      <c r="AX971" s="104"/>
      <c r="AY971" s="104"/>
      <c r="AZ971" s="104"/>
      <c r="BA971" s="104"/>
      <c r="BB971" s="104"/>
      <c r="BC971" s="104"/>
      <c r="BD971" s="104"/>
    </row>
    <row r="972" spans="1:56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  <c r="AF972" s="104"/>
      <c r="AG972" s="104"/>
      <c r="AH972" s="104"/>
      <c r="AI972" s="104"/>
      <c r="AJ972" s="104"/>
      <c r="AK972" s="104"/>
      <c r="AL972" s="104"/>
      <c r="AM972" s="104"/>
      <c r="AN972" s="104"/>
      <c r="AO972" s="104"/>
      <c r="AP972" s="104"/>
      <c r="AQ972" s="104"/>
      <c r="AR972" s="104"/>
      <c r="AS972" s="104"/>
      <c r="AT972" s="104"/>
      <c r="AU972" s="104"/>
      <c r="AV972" s="104"/>
      <c r="AW972" s="104"/>
      <c r="AX972" s="104"/>
      <c r="AY972" s="104"/>
      <c r="AZ972" s="104"/>
      <c r="BA972" s="104"/>
      <c r="BB972" s="104"/>
      <c r="BC972" s="104"/>
      <c r="BD972" s="104"/>
    </row>
    <row r="973" spans="1:56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  <c r="AF973" s="104"/>
      <c r="AG973" s="104"/>
      <c r="AH973" s="104"/>
      <c r="AI973" s="104"/>
      <c r="AJ973" s="104"/>
      <c r="AK973" s="104"/>
      <c r="AL973" s="104"/>
      <c r="AM973" s="104"/>
      <c r="AN973" s="104"/>
      <c r="AO973" s="104"/>
      <c r="AP973" s="104"/>
      <c r="AQ973" s="104"/>
      <c r="AR973" s="104"/>
      <c r="AS973" s="104"/>
      <c r="AT973" s="104"/>
      <c r="AU973" s="104"/>
      <c r="AV973" s="104"/>
      <c r="AW973" s="104"/>
      <c r="AX973" s="104"/>
      <c r="AY973" s="104"/>
      <c r="AZ973" s="104"/>
      <c r="BA973" s="104"/>
      <c r="BB973" s="104"/>
      <c r="BC973" s="104"/>
      <c r="BD973" s="104"/>
    </row>
    <row r="974" spans="1:56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  <c r="AF974" s="104"/>
      <c r="AG974" s="104"/>
      <c r="AH974" s="104"/>
      <c r="AI974" s="104"/>
      <c r="AJ974" s="104"/>
      <c r="AK974" s="104"/>
      <c r="AL974" s="104"/>
      <c r="AM974" s="104"/>
      <c r="AN974" s="104"/>
      <c r="AO974" s="104"/>
      <c r="AP974" s="104"/>
      <c r="AQ974" s="104"/>
      <c r="AR974" s="104"/>
      <c r="AS974" s="104"/>
      <c r="AT974" s="104"/>
      <c r="AU974" s="104"/>
      <c r="AV974" s="104"/>
      <c r="AW974" s="104"/>
      <c r="AX974" s="104"/>
      <c r="AY974" s="104"/>
      <c r="AZ974" s="104"/>
      <c r="BA974" s="104"/>
      <c r="BB974" s="104"/>
      <c r="BC974" s="104"/>
      <c r="BD974" s="104"/>
    </row>
    <row r="975" spans="1:56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  <c r="AF975" s="104"/>
      <c r="AG975" s="104"/>
      <c r="AH975" s="104"/>
      <c r="AI975" s="104"/>
      <c r="AJ975" s="104"/>
      <c r="AK975" s="104"/>
      <c r="AL975" s="104"/>
      <c r="AM975" s="104"/>
      <c r="AN975" s="104"/>
      <c r="AO975" s="104"/>
      <c r="AP975" s="104"/>
      <c r="AQ975" s="104"/>
      <c r="AR975" s="104"/>
      <c r="AS975" s="104"/>
      <c r="AT975" s="104"/>
      <c r="AU975" s="104"/>
      <c r="AV975" s="104"/>
      <c r="AW975" s="104"/>
      <c r="AX975" s="104"/>
      <c r="AY975" s="104"/>
      <c r="AZ975" s="104"/>
      <c r="BA975" s="104"/>
      <c r="BB975" s="104"/>
      <c r="BC975" s="104"/>
      <c r="BD975" s="104"/>
    </row>
    <row r="976" spans="1:56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  <c r="AF976" s="104"/>
      <c r="AG976" s="104"/>
      <c r="AH976" s="104"/>
      <c r="AI976" s="104"/>
      <c r="AJ976" s="104"/>
      <c r="AK976" s="104"/>
      <c r="AL976" s="104"/>
      <c r="AM976" s="104"/>
      <c r="AN976" s="104"/>
      <c r="AO976" s="104"/>
      <c r="AP976" s="104"/>
      <c r="AQ976" s="104"/>
      <c r="AR976" s="104"/>
      <c r="AS976" s="104"/>
      <c r="AT976" s="104"/>
      <c r="AU976" s="104"/>
      <c r="AV976" s="104"/>
      <c r="AW976" s="104"/>
      <c r="AX976" s="104"/>
      <c r="AY976" s="104"/>
      <c r="AZ976" s="104"/>
      <c r="BA976" s="104"/>
      <c r="BB976" s="104"/>
      <c r="BC976" s="104"/>
      <c r="BD976" s="104"/>
    </row>
    <row r="977" spans="1:56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  <c r="AF977" s="104"/>
      <c r="AG977" s="104"/>
      <c r="AH977" s="104"/>
      <c r="AI977" s="104"/>
      <c r="AJ977" s="104"/>
      <c r="AK977" s="104"/>
      <c r="AL977" s="104"/>
      <c r="AM977" s="104"/>
      <c r="AN977" s="104"/>
      <c r="AO977" s="104"/>
      <c r="AP977" s="104"/>
      <c r="AQ977" s="104"/>
      <c r="AR977" s="104"/>
      <c r="AS977" s="104"/>
      <c r="AT977" s="104"/>
      <c r="AU977" s="104"/>
      <c r="AV977" s="104"/>
      <c r="AW977" s="104"/>
      <c r="AX977" s="104"/>
      <c r="AY977" s="104"/>
      <c r="AZ977" s="104"/>
      <c r="BA977" s="104"/>
      <c r="BB977" s="104"/>
      <c r="BC977" s="104"/>
      <c r="BD977" s="104"/>
    </row>
    <row r="978" spans="1:56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  <c r="AF978" s="104"/>
      <c r="AG978" s="104"/>
      <c r="AH978" s="104"/>
      <c r="AI978" s="104"/>
      <c r="AJ978" s="104"/>
      <c r="AK978" s="104"/>
      <c r="AL978" s="104"/>
      <c r="AM978" s="104"/>
      <c r="AN978" s="104"/>
      <c r="AO978" s="104"/>
      <c r="AP978" s="104"/>
      <c r="AQ978" s="104"/>
      <c r="AR978" s="104"/>
      <c r="AS978" s="104"/>
      <c r="AT978" s="104"/>
      <c r="AU978" s="104"/>
      <c r="AV978" s="104"/>
      <c r="AW978" s="104"/>
      <c r="AX978" s="104"/>
      <c r="AY978" s="104"/>
      <c r="AZ978" s="104"/>
      <c r="BA978" s="104"/>
      <c r="BB978" s="104"/>
      <c r="BC978" s="104"/>
      <c r="BD978" s="104"/>
    </row>
    <row r="979" spans="1:56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  <c r="AF979" s="104"/>
      <c r="AG979" s="104"/>
      <c r="AH979" s="104"/>
      <c r="AI979" s="104"/>
      <c r="AJ979" s="104"/>
      <c r="AK979" s="104"/>
      <c r="AL979" s="104"/>
      <c r="AM979" s="104"/>
      <c r="AN979" s="104"/>
      <c r="AO979" s="104"/>
      <c r="AP979" s="104"/>
      <c r="AQ979" s="104"/>
      <c r="AR979" s="104"/>
      <c r="AS979" s="104"/>
      <c r="AT979" s="104"/>
      <c r="AU979" s="104"/>
      <c r="AV979" s="104"/>
      <c r="AW979" s="104"/>
      <c r="AX979" s="104"/>
      <c r="AY979" s="104"/>
      <c r="AZ979" s="104"/>
      <c r="BA979" s="104"/>
      <c r="BB979" s="104"/>
      <c r="BC979" s="104"/>
      <c r="BD979" s="104"/>
    </row>
    <row r="980" spans="1:56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  <c r="AF980" s="104"/>
      <c r="AG980" s="104"/>
      <c r="AH980" s="104"/>
      <c r="AI980" s="104"/>
      <c r="AJ980" s="104"/>
      <c r="AK980" s="104"/>
      <c r="AL980" s="104"/>
      <c r="AM980" s="104"/>
      <c r="AN980" s="104"/>
      <c r="AO980" s="104"/>
      <c r="AP980" s="104"/>
      <c r="AQ980" s="104"/>
      <c r="AR980" s="104"/>
      <c r="AS980" s="104"/>
      <c r="AT980" s="104"/>
      <c r="AU980" s="104"/>
      <c r="AV980" s="104"/>
      <c r="AW980" s="104"/>
      <c r="AX980" s="104"/>
      <c r="AY980" s="104"/>
      <c r="AZ980" s="104"/>
      <c r="BA980" s="104"/>
      <c r="BB980" s="104"/>
      <c r="BC980" s="104"/>
      <c r="BD980" s="104"/>
    </row>
    <row r="981" spans="1:56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  <c r="AF981" s="104"/>
      <c r="AG981" s="104"/>
      <c r="AH981" s="104"/>
      <c r="AI981" s="104"/>
      <c r="AJ981" s="104"/>
      <c r="AK981" s="104"/>
      <c r="AL981" s="104"/>
      <c r="AM981" s="104"/>
      <c r="AN981" s="104"/>
      <c r="AO981" s="104"/>
      <c r="AP981" s="104"/>
      <c r="AQ981" s="104"/>
      <c r="AR981" s="104"/>
      <c r="AS981" s="104"/>
      <c r="AT981" s="104"/>
      <c r="AU981" s="104"/>
      <c r="AV981" s="104"/>
      <c r="AW981" s="104"/>
      <c r="AX981" s="104"/>
      <c r="AY981" s="104"/>
      <c r="AZ981" s="104"/>
      <c r="BA981" s="104"/>
      <c r="BB981" s="104"/>
      <c r="BC981" s="104"/>
      <c r="BD981" s="104"/>
    </row>
    <row r="982" spans="1:56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  <c r="AF982" s="104"/>
      <c r="AG982" s="104"/>
      <c r="AH982" s="104"/>
      <c r="AI982" s="104"/>
      <c r="AJ982" s="104"/>
      <c r="AK982" s="104"/>
      <c r="AL982" s="104"/>
      <c r="AM982" s="104"/>
      <c r="AN982" s="104"/>
      <c r="AO982" s="104"/>
      <c r="AP982" s="104"/>
      <c r="AQ982" s="104"/>
      <c r="AR982" s="104"/>
      <c r="AS982" s="104"/>
      <c r="AT982" s="104"/>
      <c r="AU982" s="104"/>
      <c r="AV982" s="104"/>
      <c r="AW982" s="104"/>
      <c r="AX982" s="104"/>
      <c r="AY982" s="104"/>
      <c r="AZ982" s="104"/>
      <c r="BA982" s="104"/>
      <c r="BB982" s="104"/>
      <c r="BC982" s="104"/>
      <c r="BD982" s="104"/>
    </row>
    <row r="983" spans="1:56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  <c r="AF983" s="104"/>
      <c r="AG983" s="104"/>
      <c r="AH983" s="104"/>
      <c r="AI983" s="104"/>
      <c r="AJ983" s="104"/>
      <c r="AK983" s="104"/>
      <c r="AL983" s="104"/>
      <c r="AM983" s="104"/>
      <c r="AN983" s="104"/>
      <c r="AO983" s="104"/>
      <c r="AP983" s="104"/>
      <c r="AQ983" s="104"/>
      <c r="AR983" s="104"/>
      <c r="AS983" s="104"/>
      <c r="AT983" s="104"/>
      <c r="AU983" s="104"/>
      <c r="AV983" s="104"/>
      <c r="AW983" s="104"/>
      <c r="AX983" s="104"/>
      <c r="AY983" s="104"/>
      <c r="AZ983" s="104"/>
      <c r="BA983" s="104"/>
      <c r="BB983" s="104"/>
      <c r="BC983" s="104"/>
      <c r="BD983" s="104"/>
    </row>
    <row r="984" spans="1:56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  <c r="AF984" s="104"/>
      <c r="AG984" s="104"/>
      <c r="AH984" s="104"/>
      <c r="AI984" s="104"/>
      <c r="AJ984" s="104"/>
      <c r="AK984" s="104"/>
      <c r="AL984" s="104"/>
      <c r="AM984" s="104"/>
      <c r="AN984" s="104"/>
      <c r="AO984" s="104"/>
      <c r="AP984" s="104"/>
      <c r="AQ984" s="104"/>
      <c r="AR984" s="104"/>
      <c r="AS984" s="104"/>
      <c r="AT984" s="104"/>
      <c r="AU984" s="104"/>
      <c r="AV984" s="104"/>
      <c r="AW984" s="104"/>
      <c r="AX984" s="104"/>
      <c r="AY984" s="104"/>
      <c r="AZ984" s="104"/>
      <c r="BA984" s="104"/>
      <c r="BB984" s="104"/>
      <c r="BC984" s="104"/>
      <c r="BD984" s="104"/>
    </row>
    <row r="985" spans="1:56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  <c r="AF985" s="104"/>
      <c r="AG985" s="104"/>
      <c r="AH985" s="104"/>
      <c r="AI985" s="104"/>
      <c r="AJ985" s="104"/>
      <c r="AK985" s="104"/>
      <c r="AL985" s="104"/>
      <c r="AM985" s="104"/>
      <c r="AN985" s="104"/>
      <c r="AO985" s="104"/>
      <c r="AP985" s="104"/>
      <c r="AQ985" s="104"/>
      <c r="AR985" s="104"/>
      <c r="AS985" s="104"/>
      <c r="AT985" s="104"/>
      <c r="AU985" s="104"/>
      <c r="AV985" s="104"/>
      <c r="AW985" s="104"/>
      <c r="AX985" s="104"/>
      <c r="AY985" s="104"/>
      <c r="AZ985" s="104"/>
      <c r="BA985" s="104"/>
      <c r="BB985" s="104"/>
      <c r="BC985" s="104"/>
      <c r="BD985" s="104"/>
    </row>
    <row r="986" spans="1:56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  <c r="AF986" s="104"/>
      <c r="AG986" s="104"/>
      <c r="AH986" s="104"/>
      <c r="AI986" s="104"/>
      <c r="AJ986" s="104"/>
      <c r="AK986" s="104"/>
      <c r="AL986" s="104"/>
      <c r="AM986" s="104"/>
      <c r="AN986" s="104"/>
      <c r="AO986" s="104"/>
      <c r="AP986" s="104"/>
      <c r="AQ986" s="104"/>
      <c r="AR986" s="104"/>
      <c r="AS986" s="104"/>
      <c r="AT986" s="104"/>
      <c r="AU986" s="104"/>
      <c r="AV986" s="104"/>
      <c r="AW986" s="104"/>
      <c r="AX986" s="104"/>
      <c r="AY986" s="104"/>
      <c r="AZ986" s="104"/>
      <c r="BA986" s="104"/>
      <c r="BB986" s="104"/>
      <c r="BC986" s="104"/>
      <c r="BD986" s="104"/>
    </row>
    <row r="987" spans="1:56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  <c r="AF987" s="104"/>
      <c r="AG987" s="104"/>
      <c r="AH987" s="104"/>
      <c r="AI987" s="104"/>
      <c r="AJ987" s="104"/>
      <c r="AK987" s="104"/>
      <c r="AL987" s="104"/>
      <c r="AM987" s="104"/>
      <c r="AN987" s="104"/>
      <c r="AO987" s="104"/>
      <c r="AP987" s="104"/>
      <c r="AQ987" s="104"/>
      <c r="AR987" s="104"/>
      <c r="AS987" s="104"/>
      <c r="AT987" s="104"/>
      <c r="AU987" s="104"/>
      <c r="AV987" s="104"/>
      <c r="AW987" s="104"/>
      <c r="AX987" s="104"/>
      <c r="AY987" s="104"/>
      <c r="AZ987" s="104"/>
      <c r="BA987" s="104"/>
      <c r="BB987" s="104"/>
      <c r="BC987" s="104"/>
      <c r="BD987" s="104"/>
    </row>
    <row r="988" spans="1:56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  <c r="AF988" s="104"/>
      <c r="AG988" s="104"/>
      <c r="AH988" s="104"/>
      <c r="AI988" s="104"/>
      <c r="AJ988" s="104"/>
      <c r="AK988" s="104"/>
      <c r="AL988" s="104"/>
      <c r="AM988" s="104"/>
      <c r="AN988" s="104"/>
      <c r="AO988" s="104"/>
      <c r="AP988" s="104"/>
      <c r="AQ988" s="104"/>
      <c r="AR988" s="104"/>
      <c r="AS988" s="104"/>
      <c r="AT988" s="104"/>
      <c r="AU988" s="104"/>
      <c r="AV988" s="104"/>
      <c r="AW988" s="104"/>
      <c r="AX988" s="104"/>
      <c r="AY988" s="104"/>
      <c r="AZ988" s="104"/>
      <c r="BA988" s="104"/>
      <c r="BB988" s="104"/>
      <c r="BC988" s="104"/>
      <c r="BD988" s="104"/>
    </row>
    <row r="989" spans="1:56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  <c r="AF989" s="104"/>
      <c r="AG989" s="104"/>
      <c r="AH989" s="104"/>
      <c r="AI989" s="104"/>
      <c r="AJ989" s="104"/>
      <c r="AK989" s="104"/>
      <c r="AL989" s="104"/>
      <c r="AM989" s="104"/>
      <c r="AN989" s="104"/>
      <c r="AO989" s="104"/>
      <c r="AP989" s="104"/>
      <c r="AQ989" s="104"/>
      <c r="AR989" s="104"/>
      <c r="AS989" s="104"/>
      <c r="AT989" s="104"/>
      <c r="AU989" s="104"/>
      <c r="AV989" s="104"/>
      <c r="AW989" s="104"/>
      <c r="AX989" s="104"/>
      <c r="AY989" s="104"/>
      <c r="AZ989" s="104"/>
      <c r="BA989" s="104"/>
      <c r="BB989" s="104"/>
      <c r="BC989" s="104"/>
      <c r="BD989" s="104"/>
    </row>
    <row r="990" spans="1:56" ht="15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  <c r="AF990" s="104"/>
      <c r="AG990" s="104"/>
      <c r="AH990" s="104"/>
      <c r="AI990" s="104"/>
      <c r="AJ990" s="104"/>
      <c r="AK990" s="104"/>
      <c r="AL990" s="104"/>
      <c r="AM990" s="104"/>
      <c r="AN990" s="104"/>
      <c r="AO990" s="104"/>
      <c r="AP990" s="104"/>
      <c r="AQ990" s="104"/>
      <c r="AR990" s="104"/>
      <c r="AS990" s="104"/>
      <c r="AT990" s="104"/>
      <c r="AU990" s="104"/>
      <c r="AV990" s="104"/>
      <c r="AW990" s="104"/>
      <c r="AX990" s="104"/>
      <c r="AY990" s="104"/>
      <c r="AZ990" s="104"/>
      <c r="BA990" s="104"/>
      <c r="BB990" s="104"/>
      <c r="BC990" s="104"/>
      <c r="BD990" s="104"/>
    </row>
    <row r="991" spans="1:56" ht="15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  <c r="AF991" s="104"/>
      <c r="AG991" s="104"/>
      <c r="AH991" s="104"/>
      <c r="AI991" s="104"/>
      <c r="AJ991" s="104"/>
      <c r="AK991" s="104"/>
      <c r="AL991" s="104"/>
      <c r="AM991" s="104"/>
      <c r="AN991" s="104"/>
      <c r="AO991" s="104"/>
      <c r="AP991" s="104"/>
      <c r="AQ991" s="104"/>
      <c r="AR991" s="104"/>
      <c r="AS991" s="104"/>
      <c r="AT991" s="104"/>
      <c r="AU991" s="104"/>
      <c r="AV991" s="104"/>
      <c r="AW991" s="104"/>
      <c r="AX991" s="104"/>
      <c r="AY991" s="104"/>
      <c r="AZ991" s="104"/>
      <c r="BA991" s="104"/>
      <c r="BB991" s="104"/>
      <c r="BC991" s="104"/>
      <c r="BD991" s="104"/>
    </row>
    <row r="992" spans="1:56" ht="15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  <c r="AF992" s="104"/>
      <c r="AG992" s="104"/>
      <c r="AH992" s="104"/>
      <c r="AI992" s="104"/>
      <c r="AJ992" s="104"/>
      <c r="AK992" s="104"/>
      <c r="AL992" s="104"/>
      <c r="AM992" s="104"/>
      <c r="AN992" s="104"/>
      <c r="AO992" s="104"/>
      <c r="AP992" s="104"/>
      <c r="AQ992" s="104"/>
      <c r="AR992" s="104"/>
      <c r="AS992" s="104"/>
      <c r="AT992" s="104"/>
      <c r="AU992" s="104"/>
      <c r="AV992" s="104"/>
      <c r="AW992" s="104"/>
      <c r="AX992" s="104"/>
      <c r="AY992" s="104"/>
      <c r="AZ992" s="104"/>
      <c r="BA992" s="104"/>
      <c r="BB992" s="104"/>
      <c r="BC992" s="104"/>
      <c r="BD992" s="104"/>
    </row>
    <row r="993" spans="1:56" ht="15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  <c r="AF993" s="104"/>
      <c r="AG993" s="104"/>
      <c r="AH993" s="104"/>
      <c r="AI993" s="104"/>
      <c r="AJ993" s="104"/>
      <c r="AK993" s="104"/>
      <c r="AL993" s="104"/>
      <c r="AM993" s="104"/>
      <c r="AN993" s="104"/>
      <c r="AO993" s="104"/>
      <c r="AP993" s="104"/>
      <c r="AQ993" s="104"/>
      <c r="AR993" s="104"/>
      <c r="AS993" s="104"/>
      <c r="AT993" s="104"/>
      <c r="AU993" s="104"/>
      <c r="AV993" s="104"/>
      <c r="AW993" s="104"/>
      <c r="AX993" s="104"/>
      <c r="AY993" s="104"/>
      <c r="AZ993" s="104"/>
      <c r="BA993" s="104"/>
      <c r="BB993" s="104"/>
      <c r="BC993" s="104"/>
      <c r="BD993" s="104"/>
    </row>
    <row r="994" spans="1:56" ht="15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  <c r="AF994" s="104"/>
      <c r="AG994" s="104"/>
      <c r="AH994" s="104"/>
      <c r="AI994" s="104"/>
      <c r="AJ994" s="104"/>
      <c r="AK994" s="104"/>
      <c r="AL994" s="104"/>
      <c r="AM994" s="104"/>
      <c r="AN994" s="104"/>
      <c r="AO994" s="104"/>
      <c r="AP994" s="104"/>
      <c r="AQ994" s="104"/>
      <c r="AR994" s="104"/>
      <c r="AS994" s="104"/>
      <c r="AT994" s="104"/>
      <c r="AU994" s="104"/>
      <c r="AV994" s="104"/>
      <c r="AW994" s="104"/>
      <c r="AX994" s="104"/>
      <c r="AY994" s="104"/>
      <c r="AZ994" s="104"/>
      <c r="BA994" s="104"/>
      <c r="BB994" s="104"/>
      <c r="BC994" s="104"/>
      <c r="BD994" s="104"/>
    </row>
    <row r="995" spans="1:56" ht="15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  <c r="AF995" s="104"/>
      <c r="AG995" s="104"/>
      <c r="AH995" s="104"/>
      <c r="AI995" s="104"/>
      <c r="AJ995" s="104"/>
      <c r="AK995" s="104"/>
      <c r="AL995" s="104"/>
      <c r="AM995" s="104"/>
      <c r="AN995" s="104"/>
      <c r="AO995" s="104"/>
      <c r="AP995" s="104"/>
      <c r="AQ995" s="104"/>
      <c r="AR995" s="104"/>
      <c r="AS995" s="104"/>
      <c r="AT995" s="104"/>
      <c r="AU995" s="104"/>
      <c r="AV995" s="104"/>
      <c r="AW995" s="104"/>
      <c r="AX995" s="104"/>
      <c r="AY995" s="104"/>
      <c r="AZ995" s="104"/>
      <c r="BA995" s="104"/>
      <c r="BB995" s="104"/>
      <c r="BC995" s="104"/>
      <c r="BD995" s="104"/>
    </row>
    <row r="996" spans="1:56" ht="15.75" customHeight="1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  <c r="AF996" s="104"/>
      <c r="AG996" s="104"/>
      <c r="AH996" s="104"/>
      <c r="AI996" s="104"/>
      <c r="AJ996" s="104"/>
      <c r="AK996" s="104"/>
      <c r="AL996" s="104"/>
      <c r="AM996" s="104"/>
      <c r="AN996" s="104"/>
      <c r="AO996" s="104"/>
      <c r="AP996" s="104"/>
      <c r="AQ996" s="104"/>
      <c r="AR996" s="104"/>
      <c r="AS996" s="104"/>
      <c r="AT996" s="104"/>
      <c r="AU996" s="104"/>
      <c r="AV996" s="104"/>
      <c r="AW996" s="104"/>
      <c r="AX996" s="104"/>
      <c r="AY996" s="104"/>
      <c r="AZ996" s="104"/>
      <c r="BA996" s="104"/>
      <c r="BB996" s="104"/>
      <c r="BC996" s="104"/>
      <c r="BD996" s="104"/>
    </row>
    <row r="997" spans="1:56" ht="15.75" customHeight="1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  <c r="AF997" s="104"/>
      <c r="AG997" s="104"/>
      <c r="AH997" s="104"/>
      <c r="AI997" s="104"/>
      <c r="AJ997" s="104"/>
      <c r="AK997" s="104"/>
      <c r="AL997" s="104"/>
      <c r="AM997" s="104"/>
      <c r="AN997" s="104"/>
      <c r="AO997" s="104"/>
      <c r="AP997" s="104"/>
      <c r="AQ997" s="104"/>
      <c r="AR997" s="104"/>
      <c r="AS997" s="104"/>
      <c r="AT997" s="104"/>
      <c r="AU997" s="104"/>
      <c r="AV997" s="104"/>
      <c r="AW997" s="104"/>
      <c r="AX997" s="104"/>
      <c r="AY997" s="104"/>
      <c r="AZ997" s="104"/>
      <c r="BA997" s="104"/>
      <c r="BB997" s="104"/>
      <c r="BC997" s="104"/>
      <c r="BD997" s="104"/>
    </row>
    <row r="998" spans="1:56" ht="15.75" customHeight="1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  <c r="AF998" s="104"/>
      <c r="AG998" s="104"/>
      <c r="AH998" s="104"/>
      <c r="AI998" s="104"/>
      <c r="AJ998" s="104"/>
      <c r="AK998" s="104"/>
      <c r="AL998" s="104"/>
      <c r="AM998" s="104"/>
      <c r="AN998" s="104"/>
      <c r="AO998" s="104"/>
      <c r="AP998" s="104"/>
      <c r="AQ998" s="104"/>
      <c r="AR998" s="104"/>
      <c r="AS998" s="104"/>
      <c r="AT998" s="104"/>
      <c r="AU998" s="104"/>
      <c r="AV998" s="104"/>
      <c r="AW998" s="104"/>
      <c r="AX998" s="104"/>
      <c r="AY998" s="104"/>
      <c r="AZ998" s="104"/>
      <c r="BA998" s="104"/>
      <c r="BB998" s="104"/>
      <c r="BC998" s="104"/>
      <c r="BD998" s="104"/>
    </row>
    <row r="999" spans="1:56" ht="15.75" customHeight="1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  <c r="AF999" s="104"/>
      <c r="AG999" s="104"/>
      <c r="AH999" s="104"/>
      <c r="AI999" s="104"/>
      <c r="AJ999" s="104"/>
      <c r="AK999" s="104"/>
      <c r="AL999" s="104"/>
      <c r="AM999" s="104"/>
      <c r="AN999" s="104"/>
      <c r="AO999" s="104"/>
      <c r="AP999" s="104"/>
      <c r="AQ999" s="104"/>
      <c r="AR999" s="104"/>
      <c r="AS999" s="104"/>
      <c r="AT999" s="104"/>
      <c r="AU999" s="104"/>
      <c r="AV999" s="104"/>
      <c r="AW999" s="104"/>
      <c r="AX999" s="104"/>
      <c r="AY999" s="104"/>
      <c r="AZ999" s="104"/>
      <c r="BA999" s="104"/>
      <c r="BB999" s="104"/>
      <c r="BC999" s="104"/>
      <c r="BD999" s="104"/>
    </row>
    <row r="1000" spans="1:56" ht="15.75" customHeight="1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  <c r="AF1000" s="104"/>
      <c r="AG1000" s="104"/>
      <c r="AH1000" s="104"/>
      <c r="AI1000" s="104"/>
      <c r="AJ1000" s="104"/>
      <c r="AK1000" s="104"/>
      <c r="AL1000" s="104"/>
      <c r="AM1000" s="104"/>
      <c r="AN1000" s="104"/>
      <c r="AO1000" s="104"/>
      <c r="AP1000" s="104"/>
      <c r="AQ1000" s="104"/>
      <c r="AR1000" s="104"/>
      <c r="AS1000" s="104"/>
      <c r="AT1000" s="104"/>
      <c r="AU1000" s="104"/>
      <c r="AV1000" s="104"/>
      <c r="AW1000" s="104"/>
      <c r="AX1000" s="104"/>
      <c r="AY1000" s="104"/>
      <c r="AZ1000" s="104"/>
      <c r="BA1000" s="104"/>
      <c r="BB1000" s="104"/>
      <c r="BC1000" s="104"/>
      <c r="BD1000" s="104"/>
    </row>
    <row r="1001" spans="1:56" ht="15.75" customHeight="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  <c r="AB1001" s="104"/>
      <c r="AC1001" s="104"/>
      <c r="AD1001" s="104"/>
      <c r="AE1001" s="104"/>
      <c r="AF1001" s="104"/>
      <c r="AG1001" s="104"/>
      <c r="AH1001" s="104"/>
      <c r="AI1001" s="104"/>
      <c r="AJ1001" s="104"/>
      <c r="AK1001" s="104"/>
      <c r="AL1001" s="104"/>
      <c r="AM1001" s="104"/>
      <c r="AN1001" s="104"/>
      <c r="AO1001" s="104"/>
      <c r="AP1001" s="104"/>
      <c r="AQ1001" s="104"/>
      <c r="AR1001" s="104"/>
      <c r="AS1001" s="104"/>
      <c r="AT1001" s="104"/>
      <c r="AU1001" s="104"/>
      <c r="AV1001" s="104"/>
      <c r="AW1001" s="104"/>
      <c r="AX1001" s="104"/>
      <c r="AY1001" s="104"/>
      <c r="AZ1001" s="104"/>
      <c r="BA1001" s="104"/>
      <c r="BB1001" s="104"/>
      <c r="BC1001" s="104"/>
      <c r="BD1001" s="104"/>
    </row>
    <row r="1002" spans="1:56" ht="15.75" customHeight="1">
      <c r="A1002" s="104"/>
      <c r="B1002" s="104"/>
      <c r="C1002" s="104"/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4"/>
      <c r="AB1002" s="104"/>
      <c r="AC1002" s="104"/>
      <c r="AD1002" s="104"/>
      <c r="AE1002" s="104"/>
      <c r="AF1002" s="104"/>
      <c r="AG1002" s="104"/>
      <c r="AH1002" s="104"/>
      <c r="AI1002" s="104"/>
      <c r="AJ1002" s="104"/>
      <c r="AK1002" s="104"/>
      <c r="AL1002" s="104"/>
      <c r="AM1002" s="104"/>
      <c r="AN1002" s="104"/>
      <c r="AO1002" s="104"/>
      <c r="AP1002" s="104"/>
      <c r="AQ1002" s="104"/>
      <c r="AR1002" s="104"/>
      <c r="AS1002" s="104"/>
      <c r="AT1002" s="104"/>
      <c r="AU1002" s="104"/>
      <c r="AV1002" s="104"/>
      <c r="AW1002" s="104"/>
      <c r="AX1002" s="104"/>
      <c r="AY1002" s="104"/>
      <c r="AZ1002" s="104"/>
      <c r="BA1002" s="104"/>
      <c r="BB1002" s="104"/>
      <c r="BC1002" s="104"/>
      <c r="BD1002" s="104"/>
    </row>
    <row r="1003" spans="1:56" ht="15.75" customHeight="1">
      <c r="A1003" s="104"/>
      <c r="B1003" s="104"/>
      <c r="C1003" s="104"/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4"/>
      <c r="AB1003" s="104"/>
      <c r="AC1003" s="104"/>
      <c r="AD1003" s="104"/>
      <c r="AE1003" s="104"/>
      <c r="AF1003" s="104"/>
      <c r="AG1003" s="104"/>
      <c r="AH1003" s="104"/>
      <c r="AI1003" s="104"/>
      <c r="AJ1003" s="104"/>
      <c r="AK1003" s="104"/>
      <c r="AL1003" s="104"/>
      <c r="AM1003" s="104"/>
      <c r="AN1003" s="104"/>
      <c r="AO1003" s="104"/>
      <c r="AP1003" s="104"/>
      <c r="AQ1003" s="104"/>
      <c r="AR1003" s="104"/>
      <c r="AS1003" s="104"/>
      <c r="AT1003" s="104"/>
      <c r="AU1003" s="104"/>
      <c r="AV1003" s="104"/>
      <c r="AW1003" s="104"/>
      <c r="AX1003" s="104"/>
      <c r="AY1003" s="104"/>
      <c r="AZ1003" s="104"/>
      <c r="BA1003" s="104"/>
      <c r="BB1003" s="104"/>
      <c r="BC1003" s="104"/>
      <c r="BD1003" s="104"/>
    </row>
    <row r="1004" spans="1:56" ht="15.75" customHeight="1">
      <c r="A1004" s="104"/>
      <c r="B1004" s="104"/>
      <c r="C1004" s="104"/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4"/>
      <c r="AB1004" s="104"/>
      <c r="AC1004" s="104"/>
      <c r="AD1004" s="104"/>
      <c r="AE1004" s="104"/>
      <c r="AF1004" s="104"/>
      <c r="AG1004" s="104"/>
      <c r="AH1004" s="104"/>
      <c r="AI1004" s="104"/>
      <c r="AJ1004" s="104"/>
      <c r="AK1004" s="104"/>
      <c r="AL1004" s="104"/>
      <c r="AM1004" s="104"/>
      <c r="AN1004" s="104"/>
      <c r="AO1004" s="104"/>
      <c r="AP1004" s="104"/>
      <c r="AQ1004" s="104"/>
      <c r="AR1004" s="104"/>
      <c r="AS1004" s="104"/>
      <c r="AT1004" s="104"/>
      <c r="AU1004" s="104"/>
      <c r="AV1004" s="104"/>
      <c r="AW1004" s="104"/>
      <c r="AX1004" s="104"/>
      <c r="AY1004" s="104"/>
      <c r="AZ1004" s="104"/>
      <c r="BA1004" s="104"/>
      <c r="BB1004" s="104"/>
      <c r="BC1004" s="104"/>
      <c r="BD1004" s="104"/>
    </row>
    <row r="1005" spans="1:56" ht="15.75" customHeight="1">
      <c r="A1005" s="104"/>
      <c r="B1005" s="104"/>
      <c r="C1005" s="104"/>
      <c r="D1005" s="104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  <c r="Z1005" s="104"/>
      <c r="AA1005" s="104"/>
      <c r="AB1005" s="104"/>
      <c r="AC1005" s="104"/>
      <c r="AD1005" s="104"/>
      <c r="AE1005" s="104"/>
      <c r="AF1005" s="104"/>
      <c r="AG1005" s="104"/>
      <c r="AH1005" s="104"/>
      <c r="AI1005" s="104"/>
      <c r="AJ1005" s="104"/>
      <c r="AK1005" s="104"/>
      <c r="AL1005" s="104"/>
      <c r="AM1005" s="104"/>
      <c r="AN1005" s="104"/>
      <c r="AO1005" s="104"/>
      <c r="AP1005" s="104"/>
      <c r="AQ1005" s="104"/>
      <c r="AR1005" s="104"/>
      <c r="AS1005" s="104"/>
      <c r="AT1005" s="104"/>
      <c r="AU1005" s="104"/>
      <c r="AV1005" s="104"/>
      <c r="AW1005" s="104"/>
      <c r="AX1005" s="104"/>
      <c r="AY1005" s="104"/>
      <c r="AZ1005" s="104"/>
      <c r="BA1005" s="104"/>
      <c r="BB1005" s="104"/>
      <c r="BC1005" s="104"/>
      <c r="BD1005" s="104"/>
    </row>
  </sheetData>
  <mergeCells count="17">
    <mergeCell ref="Z2:AG2"/>
    <mergeCell ref="A5:A6"/>
    <mergeCell ref="B5:B6"/>
    <mergeCell ref="C5:C6"/>
    <mergeCell ref="D5:D6"/>
    <mergeCell ref="E5:E6"/>
    <mergeCell ref="F5:AG5"/>
    <mergeCell ref="B95:E95"/>
    <mergeCell ref="F102:I102"/>
    <mergeCell ref="F103:I103"/>
    <mergeCell ref="F104:H104"/>
    <mergeCell ref="F105:H105"/>
    <mergeCell ref="AH5:AH6"/>
    <mergeCell ref="AI5:AI6"/>
    <mergeCell ref="AJ5:AJ6"/>
    <mergeCell ref="AK5:AK6"/>
    <mergeCell ref="AL5:AL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14"/>
  <sheetViews>
    <sheetView topLeftCell="A91" workbookViewId="0"/>
  </sheetViews>
  <sheetFormatPr defaultColWidth="14.42578125" defaultRowHeight="15" customHeight="1"/>
  <cols>
    <col min="1" max="4" width="9.140625" customWidth="1"/>
    <col min="5" max="5" width="16.5703125" customWidth="1"/>
    <col min="6" max="6" width="9.140625" customWidth="1"/>
    <col min="7" max="10" width="9.140625" hidden="1" customWidth="1"/>
    <col min="11" max="11" width="8.85546875" customWidth="1"/>
    <col min="12" max="16" width="9.140625" customWidth="1"/>
    <col min="17" max="27" width="9.140625" hidden="1" customWidth="1"/>
    <col min="28" max="28" width="9.140625" customWidth="1"/>
    <col min="29" max="29" width="9.140625" hidden="1" customWidth="1"/>
    <col min="30" max="30" width="9.140625" customWidth="1"/>
    <col min="31" max="31" width="9.140625" hidden="1" customWidth="1"/>
    <col min="32" max="43" width="9.140625" customWidth="1"/>
  </cols>
  <sheetData>
    <row r="1" spans="1:43" ht="15.75">
      <c r="A1" s="87" t="s">
        <v>0</v>
      </c>
      <c r="B1" s="88"/>
      <c r="C1" s="88"/>
      <c r="D1" s="88"/>
      <c r="E1" s="89" t="s">
        <v>1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9"/>
      <c r="S1" s="88"/>
      <c r="T1" s="88"/>
      <c r="U1" s="88"/>
      <c r="V1" s="87"/>
      <c r="W1" s="88"/>
      <c r="X1" s="88"/>
      <c r="Y1" s="88"/>
      <c r="Z1" s="89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90"/>
      <c r="AL1" s="90"/>
      <c r="AM1" s="90"/>
      <c r="AN1" s="91"/>
      <c r="AO1" s="88"/>
      <c r="AP1" s="88"/>
      <c r="AQ1" s="88"/>
    </row>
    <row r="2" spans="1:43" ht="15.75">
      <c r="A2" s="87" t="s">
        <v>50</v>
      </c>
      <c r="B2" s="88"/>
      <c r="C2" s="88"/>
      <c r="D2" s="88"/>
      <c r="E2" s="89" t="s">
        <v>78</v>
      </c>
      <c r="F2" s="88"/>
      <c r="G2" s="88"/>
      <c r="H2" s="88"/>
      <c r="I2" s="88"/>
      <c r="J2" s="138" t="s">
        <v>208</v>
      </c>
      <c r="K2" s="88"/>
      <c r="L2" s="88"/>
      <c r="M2" s="88"/>
      <c r="N2" s="88"/>
      <c r="O2" s="88"/>
      <c r="P2" s="88"/>
      <c r="Q2" s="88"/>
      <c r="R2" s="89" t="s">
        <v>5</v>
      </c>
      <c r="S2" s="88"/>
      <c r="T2" s="88"/>
      <c r="U2" s="88"/>
      <c r="V2" s="87"/>
      <c r="W2" s="88"/>
      <c r="X2" s="88"/>
      <c r="Y2" s="88"/>
      <c r="Z2" s="182"/>
      <c r="AA2" s="172"/>
      <c r="AB2" s="172"/>
      <c r="AC2" s="172"/>
      <c r="AD2" s="172"/>
      <c r="AE2" s="172"/>
      <c r="AF2" s="172"/>
      <c r="AG2" s="172"/>
      <c r="AH2" s="92"/>
      <c r="AI2" s="92"/>
      <c r="AJ2" s="92"/>
      <c r="AK2" s="90"/>
      <c r="AL2" s="90"/>
      <c r="AM2" s="90"/>
      <c r="AN2" s="91"/>
      <c r="AO2" s="88"/>
      <c r="AP2" s="88"/>
      <c r="AQ2" s="88"/>
    </row>
    <row r="3" spans="1:43" ht="15.75">
      <c r="A3" s="87"/>
      <c r="B3" s="88"/>
      <c r="C3" s="88"/>
      <c r="D3" s="88"/>
      <c r="E3" s="89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S3" s="88"/>
      <c r="T3" s="88"/>
      <c r="U3" s="88"/>
      <c r="V3" s="87"/>
      <c r="W3" s="88"/>
      <c r="X3" s="88"/>
      <c r="Y3" s="88"/>
      <c r="Z3" s="89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90"/>
      <c r="AL3" s="90"/>
      <c r="AM3" s="90"/>
      <c r="AN3" s="91"/>
      <c r="AO3" s="88"/>
      <c r="AP3" s="88"/>
      <c r="AQ3" s="88"/>
    </row>
    <row r="4" spans="1:43" ht="22.5">
      <c r="A4" s="87"/>
      <c r="B4" s="88"/>
      <c r="C4" s="88"/>
      <c r="D4" s="93" t="s">
        <v>52</v>
      </c>
      <c r="E4" s="89"/>
      <c r="F4" s="88"/>
      <c r="G4" s="88"/>
      <c r="H4" s="94"/>
      <c r="I4" s="88"/>
      <c r="J4" s="88"/>
      <c r="K4" s="88"/>
      <c r="L4" s="88"/>
      <c r="M4" s="88"/>
      <c r="N4" s="88"/>
      <c r="O4" s="88"/>
      <c r="P4" s="88"/>
      <c r="Q4" s="88"/>
      <c r="R4" s="89"/>
      <c r="S4" s="88"/>
      <c r="T4" s="88"/>
      <c r="U4" s="88"/>
      <c r="V4" s="87"/>
      <c r="W4" s="88"/>
      <c r="X4" s="88"/>
      <c r="Y4" s="93"/>
      <c r="Z4" s="89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90"/>
      <c r="AL4" s="90"/>
      <c r="AM4" s="90"/>
      <c r="AN4" s="91"/>
      <c r="AO4" s="88"/>
      <c r="AP4" s="88"/>
      <c r="AQ4" s="88"/>
    </row>
    <row r="5" spans="1:43" ht="15.75">
      <c r="A5" s="174" t="s">
        <v>6</v>
      </c>
      <c r="B5" s="174" t="s">
        <v>7</v>
      </c>
      <c r="C5" s="174" t="s">
        <v>8</v>
      </c>
      <c r="D5" s="174" t="s">
        <v>46</v>
      </c>
      <c r="E5" s="174" t="s">
        <v>10</v>
      </c>
      <c r="F5" s="183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84"/>
      <c r="AH5" s="95"/>
      <c r="AI5" s="95"/>
      <c r="AJ5" s="95"/>
      <c r="AK5" s="174" t="s">
        <v>12</v>
      </c>
      <c r="AL5" s="174" t="s">
        <v>13</v>
      </c>
      <c r="AM5" s="174" t="s">
        <v>14</v>
      </c>
      <c r="AN5" s="175" t="s">
        <v>20</v>
      </c>
      <c r="AO5" s="174" t="s">
        <v>21</v>
      </c>
      <c r="AP5" s="96"/>
      <c r="AQ5" s="96"/>
    </row>
    <row r="6" spans="1:43">
      <c r="A6" s="152"/>
      <c r="B6" s="152"/>
      <c r="C6" s="152"/>
      <c r="D6" s="152"/>
      <c r="E6" s="152"/>
      <c r="F6" s="97">
        <v>1</v>
      </c>
      <c r="G6" s="97">
        <v>2</v>
      </c>
      <c r="H6" s="97">
        <v>3</v>
      </c>
      <c r="I6" s="97">
        <v>4</v>
      </c>
      <c r="J6" s="97">
        <v>5</v>
      </c>
      <c r="K6" s="97">
        <v>6</v>
      </c>
      <c r="L6" s="97">
        <v>7</v>
      </c>
      <c r="M6" s="97">
        <v>8</v>
      </c>
      <c r="N6" s="97">
        <v>9</v>
      </c>
      <c r="O6" s="97">
        <v>10</v>
      </c>
      <c r="P6" s="97">
        <v>11</v>
      </c>
      <c r="Q6" s="97">
        <v>12</v>
      </c>
      <c r="R6" s="97">
        <v>13</v>
      </c>
      <c r="S6" s="97">
        <v>14</v>
      </c>
      <c r="T6" s="97">
        <v>15</v>
      </c>
      <c r="U6" s="97">
        <v>16</v>
      </c>
      <c r="V6" s="97">
        <v>17</v>
      </c>
      <c r="W6" s="97">
        <v>18</v>
      </c>
      <c r="X6" s="97">
        <v>19</v>
      </c>
      <c r="Y6" s="97">
        <v>20</v>
      </c>
      <c r="Z6" s="97">
        <v>21</v>
      </c>
      <c r="AA6" s="97">
        <v>22</v>
      </c>
      <c r="AB6" s="97">
        <v>23</v>
      </c>
      <c r="AC6" s="97">
        <v>24</v>
      </c>
      <c r="AD6" s="97">
        <v>25</v>
      </c>
      <c r="AE6" s="97">
        <v>26</v>
      </c>
      <c r="AF6" s="97">
        <v>27</v>
      </c>
      <c r="AG6" s="97">
        <v>28</v>
      </c>
      <c r="AH6" s="139">
        <v>29</v>
      </c>
      <c r="AI6" s="139">
        <v>30</v>
      </c>
      <c r="AJ6" s="139">
        <v>31</v>
      </c>
      <c r="AK6" s="152"/>
      <c r="AL6" s="152"/>
      <c r="AM6" s="152"/>
      <c r="AN6" s="152"/>
      <c r="AO6" s="152"/>
      <c r="AP6" s="96"/>
      <c r="AQ6" s="96"/>
    </row>
    <row r="7" spans="1:43">
      <c r="A7" s="98">
        <v>1</v>
      </c>
      <c r="B7" s="99" t="s">
        <v>22</v>
      </c>
      <c r="C7" s="99"/>
      <c r="D7" s="100" t="s">
        <v>169</v>
      </c>
      <c r="E7" s="99" t="s">
        <v>79</v>
      </c>
      <c r="F7" s="98"/>
      <c r="G7" s="98"/>
      <c r="H7" s="105">
        <v>20</v>
      </c>
      <c r="I7" s="98"/>
      <c r="J7" s="105">
        <v>30</v>
      </c>
      <c r="K7" s="98"/>
      <c r="L7" s="105">
        <v>30</v>
      </c>
      <c r="M7" s="98"/>
      <c r="N7" s="98"/>
      <c r="O7" s="98"/>
      <c r="P7" s="105">
        <v>30</v>
      </c>
      <c r="Q7" s="98"/>
      <c r="R7" s="105">
        <v>20</v>
      </c>
      <c r="S7" s="98"/>
      <c r="T7" s="105">
        <v>20</v>
      </c>
      <c r="U7" s="105">
        <v>10</v>
      </c>
      <c r="V7" s="105">
        <v>10</v>
      </c>
      <c r="W7" s="98"/>
      <c r="X7" s="98"/>
      <c r="Y7" s="98"/>
      <c r="Z7" s="105">
        <v>20</v>
      </c>
      <c r="AA7" s="98"/>
      <c r="AB7" s="98"/>
      <c r="AC7" s="105">
        <v>10</v>
      </c>
      <c r="AD7" s="98"/>
      <c r="AE7" s="98"/>
      <c r="AF7" s="98"/>
      <c r="AG7" s="98"/>
      <c r="AH7" s="98"/>
      <c r="AI7" s="98"/>
      <c r="AJ7" s="98"/>
      <c r="AK7" s="98">
        <f t="shared" ref="AK7:AK47" si="0">SUM(F7:AG7)</f>
        <v>200</v>
      </c>
      <c r="AL7" s="98"/>
      <c r="AM7" s="98">
        <f t="shared" ref="AM7:AM47" si="1">AL7+AK7</f>
        <v>200</v>
      </c>
      <c r="AN7" s="101">
        <v>277</v>
      </c>
      <c r="AO7" s="102">
        <f t="shared" ref="AO7:AO47" si="2">AK7*AN7</f>
        <v>55400</v>
      </c>
      <c r="AP7" s="103"/>
      <c r="AQ7" s="103"/>
    </row>
    <row r="8" spans="1:43">
      <c r="A8" s="98">
        <v>2</v>
      </c>
      <c r="B8" s="99" t="s">
        <v>47</v>
      </c>
      <c r="C8" s="99"/>
      <c r="D8" s="100" t="s">
        <v>170</v>
      </c>
      <c r="E8" s="99" t="s">
        <v>79</v>
      </c>
      <c r="F8" s="98"/>
      <c r="G8" s="98"/>
      <c r="H8" s="104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>
        <f t="shared" si="0"/>
        <v>0</v>
      </c>
      <c r="AL8" s="98"/>
      <c r="AM8" s="98">
        <f t="shared" si="1"/>
        <v>0</v>
      </c>
      <c r="AN8" s="101">
        <v>277</v>
      </c>
      <c r="AO8" s="102">
        <f t="shared" si="2"/>
        <v>0</v>
      </c>
      <c r="AP8" s="103"/>
      <c r="AQ8" s="103"/>
    </row>
    <row r="9" spans="1:43">
      <c r="A9" s="98">
        <v>3</v>
      </c>
      <c r="B9" s="99" t="s">
        <v>80</v>
      </c>
      <c r="C9" s="99"/>
      <c r="D9" s="100" t="s">
        <v>59</v>
      </c>
      <c r="E9" s="99" t="s">
        <v>79</v>
      </c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>
        <f t="shared" si="0"/>
        <v>0</v>
      </c>
      <c r="AL9" s="98"/>
      <c r="AM9" s="98">
        <f t="shared" si="1"/>
        <v>0</v>
      </c>
      <c r="AN9" s="101">
        <v>277</v>
      </c>
      <c r="AO9" s="102">
        <f t="shared" si="2"/>
        <v>0</v>
      </c>
      <c r="AP9" s="103"/>
      <c r="AQ9" s="103"/>
    </row>
    <row r="10" spans="1:43">
      <c r="A10" s="98">
        <v>4</v>
      </c>
      <c r="B10" s="99" t="s">
        <v>58</v>
      </c>
      <c r="C10" s="99"/>
      <c r="D10" s="100" t="s">
        <v>59</v>
      </c>
      <c r="E10" s="99" t="s">
        <v>79</v>
      </c>
      <c r="F10" s="105">
        <v>20</v>
      </c>
      <c r="G10" s="105">
        <v>10</v>
      </c>
      <c r="H10" s="105">
        <v>30</v>
      </c>
      <c r="I10" s="105">
        <v>20</v>
      </c>
      <c r="J10" s="105">
        <v>15</v>
      </c>
      <c r="K10" s="105">
        <v>20</v>
      </c>
      <c r="L10" s="105">
        <v>20</v>
      </c>
      <c r="M10" s="98"/>
      <c r="N10" s="98"/>
      <c r="O10" s="105">
        <v>20</v>
      </c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105">
        <v>10</v>
      </c>
      <c r="AJ10" s="98"/>
      <c r="AK10" s="98">
        <f t="shared" si="0"/>
        <v>155</v>
      </c>
      <c r="AL10" s="98"/>
      <c r="AM10" s="98">
        <f t="shared" si="1"/>
        <v>155</v>
      </c>
      <c r="AN10" s="101">
        <v>277</v>
      </c>
      <c r="AO10" s="102">
        <f t="shared" si="2"/>
        <v>42935</v>
      </c>
      <c r="AP10" s="103"/>
      <c r="AQ10" s="103"/>
    </row>
    <row r="11" spans="1:43">
      <c r="A11" s="98">
        <v>5</v>
      </c>
      <c r="B11" s="99" t="s">
        <v>69</v>
      </c>
      <c r="C11" s="99"/>
      <c r="D11" s="100" t="s">
        <v>59</v>
      </c>
      <c r="E11" s="99" t="s">
        <v>79</v>
      </c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>
        <f t="shared" si="0"/>
        <v>0</v>
      </c>
      <c r="AL11" s="98"/>
      <c r="AM11" s="98">
        <f t="shared" si="1"/>
        <v>0</v>
      </c>
      <c r="AN11" s="101">
        <v>277</v>
      </c>
      <c r="AO11" s="102">
        <f t="shared" si="2"/>
        <v>0</v>
      </c>
      <c r="AP11" s="103"/>
      <c r="AQ11" s="103"/>
    </row>
    <row r="12" spans="1:43">
      <c r="A12" s="98">
        <v>6</v>
      </c>
      <c r="B12" s="99" t="s">
        <v>81</v>
      </c>
      <c r="C12" s="99"/>
      <c r="D12" s="100" t="s">
        <v>170</v>
      </c>
      <c r="E12" s="99" t="s">
        <v>79</v>
      </c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5">
        <v>10</v>
      </c>
      <c r="Z12" s="98"/>
      <c r="AA12" s="105">
        <v>5</v>
      </c>
      <c r="AB12" s="105">
        <v>5</v>
      </c>
      <c r="AC12" s="105">
        <v>15</v>
      </c>
      <c r="AD12" s="105">
        <v>20</v>
      </c>
      <c r="AE12" s="98"/>
      <c r="AF12" s="98"/>
      <c r="AG12" s="98"/>
      <c r="AH12" s="98"/>
      <c r="AI12" s="98"/>
      <c r="AJ12" s="98"/>
      <c r="AK12" s="98">
        <f t="shared" si="0"/>
        <v>55</v>
      </c>
      <c r="AL12" s="98"/>
      <c r="AM12" s="98">
        <f t="shared" si="1"/>
        <v>55</v>
      </c>
      <c r="AN12" s="101">
        <v>277</v>
      </c>
      <c r="AO12" s="102">
        <f t="shared" si="2"/>
        <v>15235</v>
      </c>
      <c r="AP12" s="103"/>
      <c r="AQ12" s="103"/>
    </row>
    <row r="13" spans="1:43">
      <c r="A13" s="98">
        <v>7</v>
      </c>
      <c r="B13" s="99" t="s">
        <v>60</v>
      </c>
      <c r="C13" s="99"/>
      <c r="D13" s="100" t="s">
        <v>59</v>
      </c>
      <c r="E13" s="99" t="s">
        <v>79</v>
      </c>
      <c r="F13" s="105">
        <v>20</v>
      </c>
      <c r="G13" s="105">
        <v>20</v>
      </c>
      <c r="H13" s="105">
        <v>30</v>
      </c>
      <c r="I13" s="105">
        <v>20</v>
      </c>
      <c r="J13" s="105">
        <v>20</v>
      </c>
      <c r="K13" s="98"/>
      <c r="L13" s="98"/>
      <c r="M13" s="98"/>
      <c r="N13" s="98"/>
      <c r="O13" s="98"/>
      <c r="P13" s="98"/>
      <c r="Q13" s="105">
        <v>10</v>
      </c>
      <c r="R13" s="105">
        <v>10</v>
      </c>
      <c r="S13" s="105">
        <v>15</v>
      </c>
      <c r="T13" s="98"/>
      <c r="U13" s="105">
        <v>35</v>
      </c>
      <c r="V13" s="98"/>
      <c r="W13" s="105">
        <v>80</v>
      </c>
      <c r="X13" s="98"/>
      <c r="Y13" s="98"/>
      <c r="Z13" s="105">
        <v>10</v>
      </c>
      <c r="AA13" s="105">
        <v>55</v>
      </c>
      <c r="AB13" s="105">
        <v>15</v>
      </c>
      <c r="AC13" s="98"/>
      <c r="AD13" s="98"/>
      <c r="AE13" s="98"/>
      <c r="AF13" s="105">
        <v>10</v>
      </c>
      <c r="AG13" s="98"/>
      <c r="AH13" s="98"/>
      <c r="AI13" s="98"/>
      <c r="AJ13" s="98"/>
      <c r="AK13" s="98">
        <f t="shared" si="0"/>
        <v>350</v>
      </c>
      <c r="AL13" s="98"/>
      <c r="AM13" s="98">
        <f t="shared" si="1"/>
        <v>350</v>
      </c>
      <c r="AN13" s="101">
        <v>277</v>
      </c>
      <c r="AO13" s="102">
        <f t="shared" si="2"/>
        <v>96950</v>
      </c>
      <c r="AP13" s="103"/>
      <c r="AQ13" s="103"/>
    </row>
    <row r="14" spans="1:43">
      <c r="A14" s="98">
        <v>8</v>
      </c>
      <c r="B14" s="99" t="s">
        <v>48</v>
      </c>
      <c r="C14" s="99"/>
      <c r="D14" s="100" t="s">
        <v>170</v>
      </c>
      <c r="E14" s="99" t="s">
        <v>79</v>
      </c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>
        <f t="shared" si="0"/>
        <v>0</v>
      </c>
      <c r="AL14" s="98"/>
      <c r="AM14" s="98">
        <f t="shared" si="1"/>
        <v>0</v>
      </c>
      <c r="AN14" s="101">
        <v>277</v>
      </c>
      <c r="AO14" s="102">
        <f t="shared" si="2"/>
        <v>0</v>
      </c>
      <c r="AP14" s="103"/>
      <c r="AQ14" s="103"/>
    </row>
    <row r="15" spans="1:43">
      <c r="A15" s="98">
        <v>9</v>
      </c>
      <c r="B15" s="99" t="s">
        <v>82</v>
      </c>
      <c r="C15" s="99"/>
      <c r="D15" s="100" t="s">
        <v>170</v>
      </c>
      <c r="E15" s="99" t="s">
        <v>79</v>
      </c>
      <c r="F15" s="105">
        <v>35</v>
      </c>
      <c r="G15" s="105">
        <v>30</v>
      </c>
      <c r="H15" s="105">
        <v>30</v>
      </c>
      <c r="I15" s="105">
        <v>30</v>
      </c>
      <c r="J15" s="105">
        <v>30</v>
      </c>
      <c r="K15" s="98"/>
      <c r="L15" s="105">
        <v>30</v>
      </c>
      <c r="M15" s="105">
        <v>30</v>
      </c>
      <c r="N15" s="105">
        <v>30</v>
      </c>
      <c r="O15" s="105">
        <v>40</v>
      </c>
      <c r="P15" s="105">
        <v>30</v>
      </c>
      <c r="Q15" s="105">
        <v>20</v>
      </c>
      <c r="R15" s="105">
        <v>30</v>
      </c>
      <c r="S15" s="105">
        <v>10</v>
      </c>
      <c r="T15" s="105">
        <v>20</v>
      </c>
      <c r="U15" s="105">
        <v>45</v>
      </c>
      <c r="V15" s="105">
        <v>10</v>
      </c>
      <c r="W15" s="105">
        <v>38</v>
      </c>
      <c r="X15" s="105">
        <v>15</v>
      </c>
      <c r="Y15" s="105">
        <v>15</v>
      </c>
      <c r="Z15" s="105">
        <v>30</v>
      </c>
      <c r="AA15" s="105">
        <v>10</v>
      </c>
      <c r="AB15" s="98"/>
      <c r="AC15" s="98"/>
      <c r="AD15" s="105">
        <v>10</v>
      </c>
      <c r="AE15" s="98"/>
      <c r="AF15" s="105">
        <v>15</v>
      </c>
      <c r="AG15" s="105">
        <v>15</v>
      </c>
      <c r="AH15" s="105">
        <v>22</v>
      </c>
      <c r="AI15" s="105">
        <v>20</v>
      </c>
      <c r="AJ15" s="105">
        <v>20</v>
      </c>
      <c r="AK15" s="98">
        <f t="shared" si="0"/>
        <v>598</v>
      </c>
      <c r="AL15" s="98"/>
      <c r="AM15" s="98">
        <f t="shared" si="1"/>
        <v>598</v>
      </c>
      <c r="AN15" s="101">
        <v>277</v>
      </c>
      <c r="AO15" s="102">
        <f t="shared" si="2"/>
        <v>165646</v>
      </c>
      <c r="AP15" s="103"/>
      <c r="AQ15" s="103"/>
    </row>
    <row r="16" spans="1:43">
      <c r="A16" s="98">
        <v>10</v>
      </c>
      <c r="B16" s="99" t="s">
        <v>83</v>
      </c>
      <c r="C16" s="99"/>
      <c r="D16" s="100" t="s">
        <v>59</v>
      </c>
      <c r="E16" s="99" t="s">
        <v>79</v>
      </c>
      <c r="F16" s="98"/>
      <c r="G16" s="98"/>
      <c r="H16" s="98"/>
      <c r="I16" s="105">
        <v>20</v>
      </c>
      <c r="J16" s="98"/>
      <c r="K16" s="105">
        <v>20</v>
      </c>
      <c r="L16" s="105">
        <v>20</v>
      </c>
      <c r="M16" s="105">
        <v>20</v>
      </c>
      <c r="N16" s="105">
        <v>10</v>
      </c>
      <c r="O16" s="98"/>
      <c r="P16" s="98"/>
      <c r="Q16" s="98"/>
      <c r="R16" s="98"/>
      <c r="S16" s="98"/>
      <c r="T16" s="98"/>
      <c r="U16" s="105">
        <v>10</v>
      </c>
      <c r="V16" s="98"/>
      <c r="W16" s="98"/>
      <c r="X16" s="98"/>
      <c r="Y16" s="105">
        <v>10</v>
      </c>
      <c r="Z16" s="98"/>
      <c r="AA16" s="105">
        <v>10</v>
      </c>
      <c r="AB16" s="105">
        <v>10</v>
      </c>
      <c r="AC16" s="98"/>
      <c r="AD16" s="105">
        <v>10</v>
      </c>
      <c r="AE16" s="98"/>
      <c r="AF16" s="105">
        <v>10</v>
      </c>
      <c r="AG16" s="98"/>
      <c r="AH16" s="98"/>
      <c r="AI16" s="98"/>
      <c r="AJ16" s="98"/>
      <c r="AK16" s="98">
        <f t="shared" si="0"/>
        <v>150</v>
      </c>
      <c r="AL16" s="98"/>
      <c r="AM16" s="98">
        <f t="shared" si="1"/>
        <v>150</v>
      </c>
      <c r="AN16" s="101">
        <v>277</v>
      </c>
      <c r="AO16" s="102">
        <f t="shared" si="2"/>
        <v>41550</v>
      </c>
      <c r="AP16" s="103"/>
      <c r="AQ16" s="103"/>
    </row>
    <row r="17" spans="1:43">
      <c r="A17" s="98">
        <v>11</v>
      </c>
      <c r="B17" s="99" t="s">
        <v>84</v>
      </c>
      <c r="C17" s="99"/>
      <c r="D17" s="100" t="s">
        <v>59</v>
      </c>
      <c r="E17" s="99" t="s">
        <v>79</v>
      </c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>
        <f t="shared" si="0"/>
        <v>0</v>
      </c>
      <c r="AL17" s="98"/>
      <c r="AM17" s="98">
        <f t="shared" si="1"/>
        <v>0</v>
      </c>
      <c r="AN17" s="101">
        <v>277</v>
      </c>
      <c r="AO17" s="102">
        <f t="shared" si="2"/>
        <v>0</v>
      </c>
      <c r="AP17" s="103"/>
      <c r="AQ17" s="103"/>
    </row>
    <row r="18" spans="1:43">
      <c r="A18" s="98">
        <v>12</v>
      </c>
      <c r="B18" s="99" t="s">
        <v>85</v>
      </c>
      <c r="C18" s="99"/>
      <c r="D18" s="100" t="s">
        <v>59</v>
      </c>
      <c r="E18" s="99" t="s">
        <v>79</v>
      </c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>
        <f t="shared" si="0"/>
        <v>0</v>
      </c>
      <c r="AL18" s="98"/>
      <c r="AM18" s="98">
        <f t="shared" si="1"/>
        <v>0</v>
      </c>
      <c r="AN18" s="101">
        <v>277</v>
      </c>
      <c r="AO18" s="102">
        <f t="shared" si="2"/>
        <v>0</v>
      </c>
      <c r="AP18" s="103"/>
      <c r="AQ18" s="103"/>
    </row>
    <row r="19" spans="1:43">
      <c r="A19" s="98">
        <v>13</v>
      </c>
      <c r="B19" s="99" t="s">
        <v>74</v>
      </c>
      <c r="C19" s="99"/>
      <c r="D19" s="100" t="s">
        <v>59</v>
      </c>
      <c r="E19" s="99" t="s">
        <v>79</v>
      </c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>
        <f t="shared" si="0"/>
        <v>0</v>
      </c>
      <c r="AL19" s="98"/>
      <c r="AM19" s="98">
        <f t="shared" si="1"/>
        <v>0</v>
      </c>
      <c r="AN19" s="101">
        <v>277</v>
      </c>
      <c r="AO19" s="102">
        <f t="shared" si="2"/>
        <v>0</v>
      </c>
      <c r="AP19" s="103"/>
      <c r="AQ19" s="103"/>
    </row>
    <row r="20" spans="1:43">
      <c r="A20" s="98">
        <v>14</v>
      </c>
      <c r="B20" s="99" t="s">
        <v>86</v>
      </c>
      <c r="C20" s="99"/>
      <c r="D20" s="100" t="s">
        <v>59</v>
      </c>
      <c r="E20" s="99" t="s">
        <v>79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>
        <f t="shared" si="0"/>
        <v>0</v>
      </c>
      <c r="AL20" s="98"/>
      <c r="AM20" s="98">
        <f t="shared" si="1"/>
        <v>0</v>
      </c>
      <c r="AN20" s="101">
        <v>277</v>
      </c>
      <c r="AO20" s="102">
        <f t="shared" si="2"/>
        <v>0</v>
      </c>
      <c r="AP20" s="103"/>
      <c r="AQ20" s="103"/>
    </row>
    <row r="21" spans="1:43" ht="15.75" customHeight="1">
      <c r="A21" s="98">
        <v>15</v>
      </c>
      <c r="B21" s="99" t="s">
        <v>87</v>
      </c>
      <c r="C21" s="99"/>
      <c r="D21" s="100" t="s">
        <v>59</v>
      </c>
      <c r="E21" s="99" t="s">
        <v>79</v>
      </c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>
        <f t="shared" si="0"/>
        <v>0</v>
      </c>
      <c r="AL21" s="98"/>
      <c r="AM21" s="98">
        <f t="shared" si="1"/>
        <v>0</v>
      </c>
      <c r="AN21" s="101">
        <v>277</v>
      </c>
      <c r="AO21" s="102">
        <f t="shared" si="2"/>
        <v>0</v>
      </c>
      <c r="AP21" s="103"/>
      <c r="AQ21" s="103"/>
    </row>
    <row r="22" spans="1:43" ht="15.75" customHeight="1">
      <c r="A22" s="98">
        <v>16</v>
      </c>
      <c r="B22" s="99" t="s">
        <v>88</v>
      </c>
      <c r="C22" s="99"/>
      <c r="D22" s="100" t="s">
        <v>59</v>
      </c>
      <c r="E22" s="99" t="s">
        <v>79</v>
      </c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>
        <f t="shared" si="0"/>
        <v>0</v>
      </c>
      <c r="AL22" s="98"/>
      <c r="AM22" s="98">
        <f t="shared" si="1"/>
        <v>0</v>
      </c>
      <c r="AN22" s="101">
        <v>277</v>
      </c>
      <c r="AO22" s="102">
        <f t="shared" si="2"/>
        <v>0</v>
      </c>
      <c r="AP22" s="103"/>
      <c r="AQ22" s="103"/>
    </row>
    <row r="23" spans="1:43" ht="15.75" customHeight="1">
      <c r="A23" s="98">
        <v>17</v>
      </c>
      <c r="B23" s="99" t="s">
        <v>89</v>
      </c>
      <c r="C23" s="99"/>
      <c r="D23" s="100" t="s">
        <v>59</v>
      </c>
      <c r="E23" s="99" t="s">
        <v>79</v>
      </c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>
        <f t="shared" si="0"/>
        <v>0</v>
      </c>
      <c r="AL23" s="98"/>
      <c r="AM23" s="98">
        <f t="shared" si="1"/>
        <v>0</v>
      </c>
      <c r="AN23" s="101">
        <v>277</v>
      </c>
      <c r="AO23" s="102">
        <f t="shared" si="2"/>
        <v>0</v>
      </c>
      <c r="AP23" s="103"/>
      <c r="AQ23" s="103"/>
    </row>
    <row r="24" spans="1:43" ht="15.75" customHeight="1">
      <c r="A24" s="98">
        <v>18</v>
      </c>
      <c r="B24" s="99" t="s">
        <v>90</v>
      </c>
      <c r="C24" s="99"/>
      <c r="D24" s="100" t="s">
        <v>59</v>
      </c>
      <c r="E24" s="99" t="s">
        <v>79</v>
      </c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>
        <f t="shared" si="0"/>
        <v>0</v>
      </c>
      <c r="AL24" s="98"/>
      <c r="AM24" s="98">
        <f t="shared" si="1"/>
        <v>0</v>
      </c>
      <c r="AN24" s="101">
        <v>277</v>
      </c>
      <c r="AO24" s="102">
        <f t="shared" si="2"/>
        <v>0</v>
      </c>
      <c r="AP24" s="103"/>
      <c r="AQ24" s="103"/>
    </row>
    <row r="25" spans="1:43" ht="15.75" customHeight="1">
      <c r="A25" s="98">
        <v>19</v>
      </c>
      <c r="B25" s="99" t="s">
        <v>91</v>
      </c>
      <c r="C25" s="99"/>
      <c r="D25" s="100" t="s">
        <v>59</v>
      </c>
      <c r="E25" s="99" t="s">
        <v>79</v>
      </c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>
        <f t="shared" si="0"/>
        <v>0</v>
      </c>
      <c r="AL25" s="98"/>
      <c r="AM25" s="98">
        <f t="shared" si="1"/>
        <v>0</v>
      </c>
      <c r="AN25" s="101">
        <v>277</v>
      </c>
      <c r="AO25" s="102">
        <f t="shared" si="2"/>
        <v>0</v>
      </c>
      <c r="AP25" s="103"/>
      <c r="AQ25" s="103"/>
    </row>
    <row r="26" spans="1:43" ht="15.75" customHeight="1">
      <c r="A26" s="98">
        <v>20</v>
      </c>
      <c r="B26" s="99" t="s">
        <v>92</v>
      </c>
      <c r="C26" s="99"/>
      <c r="D26" s="100" t="s">
        <v>59</v>
      </c>
      <c r="E26" s="99" t="s">
        <v>79</v>
      </c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>
        <f t="shared" si="0"/>
        <v>0</v>
      </c>
      <c r="AL26" s="98"/>
      <c r="AM26" s="98">
        <f t="shared" si="1"/>
        <v>0</v>
      </c>
      <c r="AN26" s="101">
        <v>277</v>
      </c>
      <c r="AO26" s="102">
        <f t="shared" si="2"/>
        <v>0</v>
      </c>
      <c r="AP26" s="103"/>
      <c r="AQ26" s="103"/>
    </row>
    <row r="27" spans="1:43" ht="15.75" customHeight="1">
      <c r="A27" s="98">
        <v>21</v>
      </c>
      <c r="B27" s="99" t="s">
        <v>147</v>
      </c>
      <c r="C27" s="99"/>
      <c r="D27" s="100" t="s">
        <v>59</v>
      </c>
      <c r="E27" s="99" t="s">
        <v>79</v>
      </c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>
        <f t="shared" si="0"/>
        <v>0</v>
      </c>
      <c r="AL27" s="98"/>
      <c r="AM27" s="98">
        <f t="shared" si="1"/>
        <v>0</v>
      </c>
      <c r="AN27" s="101">
        <v>277</v>
      </c>
      <c r="AO27" s="102">
        <f t="shared" si="2"/>
        <v>0</v>
      </c>
      <c r="AP27" s="103"/>
      <c r="AQ27" s="103"/>
    </row>
    <row r="28" spans="1:43" ht="15.75" customHeight="1">
      <c r="A28" s="98">
        <v>22</v>
      </c>
      <c r="B28" s="99" t="s">
        <v>144</v>
      </c>
      <c r="C28" s="99"/>
      <c r="D28" s="100" t="s">
        <v>59</v>
      </c>
      <c r="E28" s="99" t="s">
        <v>79</v>
      </c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>
        <f t="shared" si="0"/>
        <v>0</v>
      </c>
      <c r="AL28" s="98"/>
      <c r="AM28" s="98">
        <f t="shared" si="1"/>
        <v>0</v>
      </c>
      <c r="AN28" s="101">
        <v>277</v>
      </c>
      <c r="AO28" s="102">
        <f t="shared" si="2"/>
        <v>0</v>
      </c>
      <c r="AP28" s="103"/>
      <c r="AQ28" s="103"/>
    </row>
    <row r="29" spans="1:43" ht="15.75" customHeight="1">
      <c r="A29" s="98">
        <v>23</v>
      </c>
      <c r="B29" s="99" t="s">
        <v>96</v>
      </c>
      <c r="C29" s="99"/>
      <c r="D29" s="100" t="s">
        <v>171</v>
      </c>
      <c r="E29" s="99" t="s">
        <v>79</v>
      </c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105">
        <v>10</v>
      </c>
      <c r="S29" s="105">
        <v>15</v>
      </c>
      <c r="T29" s="105">
        <v>10</v>
      </c>
      <c r="U29" s="105">
        <v>5</v>
      </c>
      <c r="V29" s="105">
        <v>10</v>
      </c>
      <c r="W29" s="105">
        <v>10</v>
      </c>
      <c r="X29" s="105">
        <v>5</v>
      </c>
      <c r="Y29" s="105">
        <v>20</v>
      </c>
      <c r="Z29" s="105">
        <v>20</v>
      </c>
      <c r="AA29" s="105">
        <v>20</v>
      </c>
      <c r="AB29" s="98"/>
      <c r="AC29" s="105">
        <v>20</v>
      </c>
      <c r="AD29" s="105">
        <v>20</v>
      </c>
      <c r="AE29" s="105">
        <v>10</v>
      </c>
      <c r="AF29" s="105">
        <v>15</v>
      </c>
      <c r="AG29" s="105">
        <v>10</v>
      </c>
      <c r="AH29" s="105">
        <v>10</v>
      </c>
      <c r="AI29" s="105">
        <v>15</v>
      </c>
      <c r="AJ29" s="105">
        <v>15</v>
      </c>
      <c r="AK29" s="98">
        <f t="shared" si="0"/>
        <v>200</v>
      </c>
      <c r="AL29" s="98"/>
      <c r="AM29" s="98">
        <f t="shared" si="1"/>
        <v>200</v>
      </c>
      <c r="AN29" s="101">
        <v>277</v>
      </c>
      <c r="AO29" s="102">
        <f t="shared" si="2"/>
        <v>55400</v>
      </c>
      <c r="AP29" s="103"/>
      <c r="AQ29" s="103"/>
    </row>
    <row r="30" spans="1:43" ht="15.75" customHeight="1">
      <c r="A30" s="98">
        <v>24</v>
      </c>
      <c r="B30" s="99" t="s">
        <v>97</v>
      </c>
      <c r="C30" s="99"/>
      <c r="D30" s="100" t="s">
        <v>59</v>
      </c>
      <c r="E30" s="99" t="s">
        <v>79</v>
      </c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>
        <f t="shared" si="0"/>
        <v>0</v>
      </c>
      <c r="AL30" s="98"/>
      <c r="AM30" s="98">
        <f t="shared" si="1"/>
        <v>0</v>
      </c>
      <c r="AN30" s="101">
        <v>277</v>
      </c>
      <c r="AO30" s="102">
        <f t="shared" si="2"/>
        <v>0</v>
      </c>
      <c r="AP30" s="103"/>
      <c r="AQ30" s="103"/>
    </row>
    <row r="31" spans="1:43" ht="15.75" customHeight="1">
      <c r="A31" s="98">
        <v>25</v>
      </c>
      <c r="B31" s="99" t="s">
        <v>98</v>
      </c>
      <c r="C31" s="99"/>
      <c r="D31" s="100" t="s">
        <v>59</v>
      </c>
      <c r="E31" s="99" t="s">
        <v>79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>
        <f t="shared" si="0"/>
        <v>0</v>
      </c>
      <c r="AL31" s="98"/>
      <c r="AM31" s="98">
        <f t="shared" si="1"/>
        <v>0</v>
      </c>
      <c r="AN31" s="101">
        <v>277</v>
      </c>
      <c r="AO31" s="102">
        <f t="shared" si="2"/>
        <v>0</v>
      </c>
      <c r="AP31" s="103"/>
      <c r="AQ31" s="103"/>
    </row>
    <row r="32" spans="1:43" ht="15.75" customHeight="1">
      <c r="A32" s="98">
        <v>26</v>
      </c>
      <c r="B32" s="99" t="s">
        <v>99</v>
      </c>
      <c r="C32" s="99"/>
      <c r="D32" s="100" t="s">
        <v>59</v>
      </c>
      <c r="E32" s="99" t="s">
        <v>79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>
        <f t="shared" si="0"/>
        <v>0</v>
      </c>
      <c r="AL32" s="98"/>
      <c r="AM32" s="98">
        <f t="shared" si="1"/>
        <v>0</v>
      </c>
      <c r="AN32" s="101">
        <v>277</v>
      </c>
      <c r="AO32" s="102">
        <f t="shared" si="2"/>
        <v>0</v>
      </c>
      <c r="AP32" s="103"/>
      <c r="AQ32" s="103"/>
    </row>
    <row r="33" spans="1:43" ht="15.75" customHeight="1">
      <c r="A33" s="98">
        <v>27</v>
      </c>
      <c r="B33" s="99" t="s">
        <v>172</v>
      </c>
      <c r="C33" s="99"/>
      <c r="D33" s="100" t="s">
        <v>59</v>
      </c>
      <c r="E33" s="99" t="s">
        <v>79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>
        <f t="shared" si="0"/>
        <v>0</v>
      </c>
      <c r="AL33" s="98"/>
      <c r="AM33" s="98">
        <f t="shared" si="1"/>
        <v>0</v>
      </c>
      <c r="AN33" s="101">
        <v>277</v>
      </c>
      <c r="AO33" s="102">
        <f t="shared" si="2"/>
        <v>0</v>
      </c>
      <c r="AP33" s="103"/>
      <c r="AQ33" s="103"/>
    </row>
    <row r="34" spans="1:43" ht="15.75" customHeight="1">
      <c r="A34" s="98">
        <v>28</v>
      </c>
      <c r="B34" s="99" t="s">
        <v>101</v>
      </c>
      <c r="C34" s="99"/>
      <c r="D34" s="100" t="s">
        <v>59</v>
      </c>
      <c r="E34" s="99" t="s">
        <v>79</v>
      </c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>
        <f t="shared" si="0"/>
        <v>0</v>
      </c>
      <c r="AL34" s="98"/>
      <c r="AM34" s="98">
        <f t="shared" si="1"/>
        <v>0</v>
      </c>
      <c r="AN34" s="101">
        <v>277</v>
      </c>
      <c r="AO34" s="102">
        <f t="shared" si="2"/>
        <v>0</v>
      </c>
      <c r="AP34" s="103"/>
      <c r="AQ34" s="103"/>
    </row>
    <row r="35" spans="1:43" ht="15.75" customHeight="1">
      <c r="A35" s="98">
        <v>29</v>
      </c>
      <c r="B35" s="99" t="s">
        <v>129</v>
      </c>
      <c r="C35" s="99"/>
      <c r="D35" s="100" t="s">
        <v>59</v>
      </c>
      <c r="E35" s="99" t="s">
        <v>79</v>
      </c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>
        <f t="shared" si="0"/>
        <v>0</v>
      </c>
      <c r="AL35" s="98"/>
      <c r="AM35" s="98">
        <f t="shared" si="1"/>
        <v>0</v>
      </c>
      <c r="AN35" s="101">
        <v>277</v>
      </c>
      <c r="AO35" s="102">
        <f t="shared" si="2"/>
        <v>0</v>
      </c>
      <c r="AP35" s="103"/>
      <c r="AQ35" s="103"/>
    </row>
    <row r="36" spans="1:43" ht="15.75" customHeight="1">
      <c r="A36" s="98">
        <v>30</v>
      </c>
      <c r="B36" s="99" t="s">
        <v>130</v>
      </c>
      <c r="C36" s="99"/>
      <c r="D36" s="100" t="s">
        <v>59</v>
      </c>
      <c r="E36" s="99" t="s">
        <v>79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>
        <f t="shared" si="0"/>
        <v>0</v>
      </c>
      <c r="AL36" s="98"/>
      <c r="AM36" s="98">
        <f t="shared" si="1"/>
        <v>0</v>
      </c>
      <c r="AN36" s="101">
        <v>277</v>
      </c>
      <c r="AO36" s="102">
        <f t="shared" si="2"/>
        <v>0</v>
      </c>
      <c r="AP36" s="103"/>
      <c r="AQ36" s="103"/>
    </row>
    <row r="37" spans="1:43" ht="15.75" customHeight="1">
      <c r="A37" s="98">
        <v>31</v>
      </c>
      <c r="B37" s="99" t="s">
        <v>131</v>
      </c>
      <c r="C37" s="99"/>
      <c r="D37" s="100" t="s">
        <v>59</v>
      </c>
      <c r="E37" s="99" t="s">
        <v>79</v>
      </c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>
        <f t="shared" si="0"/>
        <v>0</v>
      </c>
      <c r="AL37" s="98"/>
      <c r="AM37" s="98">
        <f t="shared" si="1"/>
        <v>0</v>
      </c>
      <c r="AN37" s="101">
        <v>277</v>
      </c>
      <c r="AO37" s="102">
        <f t="shared" si="2"/>
        <v>0</v>
      </c>
      <c r="AP37" s="103"/>
      <c r="AQ37" s="103"/>
    </row>
    <row r="38" spans="1:43" ht="15.75" customHeight="1">
      <c r="A38" s="98">
        <v>32</v>
      </c>
      <c r="B38" s="99" t="s">
        <v>132</v>
      </c>
      <c r="C38" s="99"/>
      <c r="D38" s="100" t="s">
        <v>59</v>
      </c>
      <c r="E38" s="99" t="s">
        <v>79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>
        <f t="shared" si="0"/>
        <v>0</v>
      </c>
      <c r="AL38" s="98"/>
      <c r="AM38" s="98">
        <f t="shared" si="1"/>
        <v>0</v>
      </c>
      <c r="AN38" s="101">
        <v>277</v>
      </c>
      <c r="AO38" s="102">
        <f t="shared" si="2"/>
        <v>0</v>
      </c>
      <c r="AP38" s="103"/>
      <c r="AQ38" s="103"/>
    </row>
    <row r="39" spans="1:43" ht="15.75" customHeight="1">
      <c r="A39" s="98">
        <v>33</v>
      </c>
      <c r="B39" s="99" t="s">
        <v>133</v>
      </c>
      <c r="C39" s="99"/>
      <c r="D39" s="100" t="s">
        <v>59</v>
      </c>
      <c r="E39" s="99" t="s">
        <v>79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>
        <f t="shared" si="0"/>
        <v>0</v>
      </c>
      <c r="AL39" s="98"/>
      <c r="AM39" s="98">
        <f t="shared" si="1"/>
        <v>0</v>
      </c>
      <c r="AN39" s="101">
        <v>277</v>
      </c>
      <c r="AO39" s="102">
        <f t="shared" si="2"/>
        <v>0</v>
      </c>
      <c r="AP39" s="103"/>
      <c r="AQ39" s="103"/>
    </row>
    <row r="40" spans="1:43" ht="15.75" customHeight="1">
      <c r="A40" s="98">
        <v>34</v>
      </c>
      <c r="B40" s="99" t="s">
        <v>134</v>
      </c>
      <c r="C40" s="99"/>
      <c r="D40" s="100" t="s">
        <v>59</v>
      </c>
      <c r="E40" s="99" t="s">
        <v>79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>
        <f t="shared" si="0"/>
        <v>0</v>
      </c>
      <c r="AL40" s="98"/>
      <c r="AM40" s="98">
        <f t="shared" si="1"/>
        <v>0</v>
      </c>
      <c r="AN40" s="101">
        <v>277</v>
      </c>
      <c r="AO40" s="102">
        <f t="shared" si="2"/>
        <v>0</v>
      </c>
      <c r="AP40" s="103"/>
      <c r="AQ40" s="103"/>
    </row>
    <row r="41" spans="1:43" ht="15.75" customHeight="1">
      <c r="A41" s="98">
        <v>35</v>
      </c>
      <c r="B41" s="99" t="s">
        <v>135</v>
      </c>
      <c r="C41" s="99"/>
      <c r="D41" s="100" t="s">
        <v>59</v>
      </c>
      <c r="E41" s="99" t="s">
        <v>79</v>
      </c>
      <c r="F41" s="98"/>
      <c r="G41" s="98"/>
      <c r="H41" s="105">
        <v>10</v>
      </c>
      <c r="I41" s="98"/>
      <c r="J41" s="98"/>
      <c r="K41" s="105">
        <v>20</v>
      </c>
      <c r="L41" s="98"/>
      <c r="M41" s="105">
        <v>10</v>
      </c>
      <c r="N41" s="98"/>
      <c r="O41" s="105">
        <v>20</v>
      </c>
      <c r="P41" s="105">
        <v>40</v>
      </c>
      <c r="Q41" s="98"/>
      <c r="R41" s="98"/>
      <c r="S41" s="105">
        <v>10</v>
      </c>
      <c r="T41" s="105">
        <v>10</v>
      </c>
      <c r="U41" s="105">
        <v>10</v>
      </c>
      <c r="V41" s="105">
        <v>5</v>
      </c>
      <c r="W41" s="105">
        <v>10</v>
      </c>
      <c r="X41" s="98"/>
      <c r="Y41" s="105">
        <v>10</v>
      </c>
      <c r="Z41" s="105">
        <v>15</v>
      </c>
      <c r="AA41" s="105">
        <v>10</v>
      </c>
      <c r="AB41" s="98"/>
      <c r="AC41" s="105">
        <v>5</v>
      </c>
      <c r="AD41" s="105">
        <v>5</v>
      </c>
      <c r="AE41" s="105">
        <v>10</v>
      </c>
      <c r="AF41" s="105">
        <v>10</v>
      </c>
      <c r="AG41" s="105">
        <v>10</v>
      </c>
      <c r="AH41" s="105"/>
      <c r="AI41" s="105"/>
      <c r="AJ41" s="105">
        <v>10</v>
      </c>
      <c r="AK41" s="98">
        <f t="shared" si="0"/>
        <v>220</v>
      </c>
      <c r="AL41" s="98"/>
      <c r="AM41" s="98">
        <f t="shared" si="1"/>
        <v>220</v>
      </c>
      <c r="AN41" s="101">
        <v>277</v>
      </c>
      <c r="AO41" s="102">
        <f t="shared" si="2"/>
        <v>60940</v>
      </c>
      <c r="AP41" s="103"/>
      <c r="AQ41" s="103"/>
    </row>
    <row r="42" spans="1:43" ht="15.75" customHeight="1">
      <c r="A42" s="98">
        <v>36</v>
      </c>
      <c r="B42" s="99" t="s">
        <v>136</v>
      </c>
      <c r="C42" s="99"/>
      <c r="D42" s="100" t="s">
        <v>170</v>
      </c>
      <c r="E42" s="99" t="s">
        <v>79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>
        <f t="shared" si="0"/>
        <v>0</v>
      </c>
      <c r="AL42" s="98"/>
      <c r="AM42" s="98">
        <f t="shared" si="1"/>
        <v>0</v>
      </c>
      <c r="AN42" s="101">
        <v>277</v>
      </c>
      <c r="AO42" s="102">
        <f t="shared" si="2"/>
        <v>0</v>
      </c>
      <c r="AP42" s="103"/>
      <c r="AQ42" s="103"/>
    </row>
    <row r="43" spans="1:43" ht="15.75" customHeight="1">
      <c r="A43" s="98">
        <v>37</v>
      </c>
      <c r="B43" s="99" t="s">
        <v>95</v>
      </c>
      <c r="C43" s="99"/>
      <c r="D43" s="100" t="s">
        <v>59</v>
      </c>
      <c r="E43" s="99" t="s">
        <v>79</v>
      </c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>
        <f t="shared" si="0"/>
        <v>0</v>
      </c>
      <c r="AL43" s="98"/>
      <c r="AM43" s="98">
        <f t="shared" si="1"/>
        <v>0</v>
      </c>
      <c r="AN43" s="101">
        <v>277</v>
      </c>
      <c r="AO43" s="102">
        <f t="shared" si="2"/>
        <v>0</v>
      </c>
      <c r="AP43" s="103"/>
      <c r="AQ43" s="103"/>
    </row>
    <row r="44" spans="1:43" ht="15.75" customHeight="1">
      <c r="A44" s="98">
        <v>38</v>
      </c>
      <c r="B44" s="99" t="s">
        <v>138</v>
      </c>
      <c r="C44" s="99"/>
      <c r="D44" s="100" t="s">
        <v>173</v>
      </c>
      <c r="E44" s="99" t="s">
        <v>79</v>
      </c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>
        <f t="shared" si="0"/>
        <v>0</v>
      </c>
      <c r="AL44" s="98"/>
      <c r="AM44" s="98">
        <f t="shared" si="1"/>
        <v>0</v>
      </c>
      <c r="AN44" s="101">
        <v>277</v>
      </c>
      <c r="AO44" s="102">
        <f t="shared" si="2"/>
        <v>0</v>
      </c>
      <c r="AP44" s="103"/>
      <c r="AQ44" s="103"/>
    </row>
    <row r="45" spans="1:43" ht="15.75" customHeight="1">
      <c r="A45" s="98">
        <v>39</v>
      </c>
      <c r="B45" s="99" t="s">
        <v>139</v>
      </c>
      <c r="C45" s="99"/>
      <c r="D45" s="100" t="s">
        <v>173</v>
      </c>
      <c r="E45" s="99" t="s">
        <v>79</v>
      </c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>
        <f t="shared" si="0"/>
        <v>0</v>
      </c>
      <c r="AL45" s="98"/>
      <c r="AM45" s="98">
        <f t="shared" si="1"/>
        <v>0</v>
      </c>
      <c r="AN45" s="101">
        <v>277</v>
      </c>
      <c r="AO45" s="102">
        <f t="shared" si="2"/>
        <v>0</v>
      </c>
      <c r="AP45" s="103"/>
      <c r="AQ45" s="103"/>
    </row>
    <row r="46" spans="1:43" ht="15.75" customHeight="1">
      <c r="A46" s="98">
        <v>40</v>
      </c>
      <c r="B46" s="99" t="s">
        <v>140</v>
      </c>
      <c r="C46" s="99"/>
      <c r="D46" s="100" t="s">
        <v>170</v>
      </c>
      <c r="E46" s="99" t="s">
        <v>79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>
        <f t="shared" si="0"/>
        <v>0</v>
      </c>
      <c r="AL46" s="98"/>
      <c r="AM46" s="98">
        <f t="shared" si="1"/>
        <v>0</v>
      </c>
      <c r="AN46" s="101">
        <v>277</v>
      </c>
      <c r="AO46" s="102">
        <f t="shared" si="2"/>
        <v>0</v>
      </c>
      <c r="AP46" s="103"/>
      <c r="AQ46" s="103"/>
    </row>
    <row r="47" spans="1:43" ht="15.75" customHeight="1">
      <c r="A47" s="98">
        <v>41</v>
      </c>
      <c r="B47" s="99" t="s">
        <v>141</v>
      </c>
      <c r="C47" s="99"/>
      <c r="D47" s="100" t="s">
        <v>59</v>
      </c>
      <c r="E47" s="99" t="s">
        <v>79</v>
      </c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>
        <f t="shared" si="0"/>
        <v>0</v>
      </c>
      <c r="AL47" s="98"/>
      <c r="AM47" s="98">
        <f t="shared" si="1"/>
        <v>0</v>
      </c>
      <c r="AN47" s="101">
        <v>277</v>
      </c>
      <c r="AO47" s="102">
        <f t="shared" si="2"/>
        <v>0</v>
      </c>
      <c r="AP47" s="103"/>
      <c r="AQ47" s="103"/>
    </row>
    <row r="48" spans="1:43" ht="15.75" customHeight="1">
      <c r="A48" s="98"/>
      <c r="B48" s="100" t="s">
        <v>128</v>
      </c>
      <c r="C48" s="99"/>
      <c r="D48" s="100"/>
      <c r="E48" s="99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105">
        <v>15</v>
      </c>
      <c r="AG48" s="98"/>
      <c r="AH48" s="98"/>
      <c r="AI48" s="98"/>
      <c r="AJ48" s="98"/>
      <c r="AK48" s="98"/>
      <c r="AL48" s="98"/>
      <c r="AM48" s="98"/>
      <c r="AN48" s="101"/>
      <c r="AO48" s="102"/>
      <c r="AP48" s="103"/>
      <c r="AQ48" s="103"/>
    </row>
    <row r="49" spans="1:43" ht="15.75" customHeight="1">
      <c r="A49" s="98">
        <v>42</v>
      </c>
      <c r="B49" s="99" t="s">
        <v>142</v>
      </c>
      <c r="C49" s="99"/>
      <c r="D49" s="100" t="s">
        <v>59</v>
      </c>
      <c r="E49" s="99" t="s">
        <v>79</v>
      </c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>
        <f t="shared" ref="AK49:AK52" si="3">SUM(F49:AG49)</f>
        <v>0</v>
      </c>
      <c r="AL49" s="98"/>
      <c r="AM49" s="98">
        <f t="shared" ref="AM49:AM52" si="4">AL49+AK49</f>
        <v>0</v>
      </c>
      <c r="AN49" s="101">
        <v>277</v>
      </c>
      <c r="AO49" s="102">
        <f t="shared" ref="AO49:AO52" si="5">AK49*AN49</f>
        <v>0</v>
      </c>
      <c r="AP49" s="103"/>
      <c r="AQ49" s="103"/>
    </row>
    <row r="50" spans="1:43" ht="15.75" customHeight="1">
      <c r="A50" s="98">
        <v>43</v>
      </c>
      <c r="B50" s="99" t="s">
        <v>143</v>
      </c>
      <c r="C50" s="99"/>
      <c r="D50" s="100" t="s">
        <v>174</v>
      </c>
      <c r="E50" s="99" t="s">
        <v>79</v>
      </c>
      <c r="F50" s="98"/>
      <c r="G50" s="98"/>
      <c r="H50" s="98"/>
      <c r="I50" s="98"/>
      <c r="J50" s="98"/>
      <c r="K50" s="98"/>
      <c r="L50" s="105">
        <v>20</v>
      </c>
      <c r="M50" s="98"/>
      <c r="N50" s="98"/>
      <c r="O50" s="98"/>
      <c r="P50" s="105">
        <v>20</v>
      </c>
      <c r="Q50" s="98"/>
      <c r="R50" s="98"/>
      <c r="S50" s="98"/>
      <c r="T50" s="98"/>
      <c r="U50" s="105">
        <v>20</v>
      </c>
      <c r="V50" s="98"/>
      <c r="W50" s="98"/>
      <c r="X50" s="98"/>
      <c r="Y50" s="105">
        <v>20</v>
      </c>
      <c r="Z50" s="98"/>
      <c r="AA50" s="98"/>
      <c r="AB50" s="105">
        <v>10</v>
      </c>
      <c r="AC50" s="105">
        <v>20</v>
      </c>
      <c r="AD50" s="98"/>
      <c r="AE50" s="105">
        <v>17</v>
      </c>
      <c r="AF50" s="98"/>
      <c r="AG50" s="98"/>
      <c r="AH50" s="105">
        <v>10</v>
      </c>
      <c r="AI50" s="98"/>
      <c r="AJ50" s="98"/>
      <c r="AK50" s="98">
        <f t="shared" si="3"/>
        <v>127</v>
      </c>
      <c r="AL50" s="98"/>
      <c r="AM50" s="98">
        <f t="shared" si="4"/>
        <v>127</v>
      </c>
      <c r="AN50" s="101">
        <v>277</v>
      </c>
      <c r="AO50" s="102">
        <f t="shared" si="5"/>
        <v>35179</v>
      </c>
      <c r="AP50" s="103"/>
      <c r="AQ50" s="103"/>
    </row>
    <row r="51" spans="1:43" ht="15.75" customHeight="1">
      <c r="A51" s="98"/>
      <c r="B51" s="99" t="s">
        <v>175</v>
      </c>
      <c r="C51" s="99"/>
      <c r="D51" s="100" t="s">
        <v>170</v>
      </c>
      <c r="E51" s="99" t="s">
        <v>79</v>
      </c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105"/>
      <c r="AI51" s="98"/>
      <c r="AJ51" s="98"/>
      <c r="AK51" s="98">
        <f t="shared" si="3"/>
        <v>0</v>
      </c>
      <c r="AL51" s="98"/>
      <c r="AM51" s="98">
        <f t="shared" si="4"/>
        <v>0</v>
      </c>
      <c r="AN51" s="101">
        <v>277</v>
      </c>
      <c r="AO51" s="102">
        <f t="shared" si="5"/>
        <v>0</v>
      </c>
      <c r="AP51" s="103"/>
      <c r="AQ51" s="103"/>
    </row>
    <row r="52" spans="1:43" ht="15.75" customHeight="1">
      <c r="A52" s="98"/>
      <c r="B52" s="99" t="s">
        <v>176</v>
      </c>
      <c r="C52" s="99"/>
      <c r="D52" s="100" t="s">
        <v>177</v>
      </c>
      <c r="E52" s="99" t="s">
        <v>79</v>
      </c>
      <c r="F52" s="98"/>
      <c r="G52" s="105">
        <v>80</v>
      </c>
      <c r="H52" s="105">
        <v>80</v>
      </c>
      <c r="I52" s="105">
        <v>80</v>
      </c>
      <c r="J52" s="98"/>
      <c r="K52" s="98"/>
      <c r="L52" s="98"/>
      <c r="M52" s="105">
        <v>80</v>
      </c>
      <c r="N52" s="105">
        <v>107</v>
      </c>
      <c r="O52" s="105">
        <v>60</v>
      </c>
      <c r="P52" s="98"/>
      <c r="Q52" s="105">
        <v>50</v>
      </c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105">
        <v>40</v>
      </c>
      <c r="AD52" s="98"/>
      <c r="AE52" s="98"/>
      <c r="AF52" s="98"/>
      <c r="AG52" s="98"/>
      <c r="AH52" s="98"/>
      <c r="AI52" s="98"/>
      <c r="AJ52" s="98"/>
      <c r="AK52" s="98">
        <f t="shared" si="3"/>
        <v>577</v>
      </c>
      <c r="AL52" s="98"/>
      <c r="AM52" s="98">
        <f t="shared" si="4"/>
        <v>577</v>
      </c>
      <c r="AN52" s="101">
        <v>277</v>
      </c>
      <c r="AO52" s="102">
        <f t="shared" si="5"/>
        <v>159829</v>
      </c>
      <c r="AP52" s="103"/>
      <c r="AQ52" s="103"/>
    </row>
    <row r="53" spans="1:43" ht="15.75" customHeight="1">
      <c r="A53" s="98"/>
      <c r="B53" s="100" t="s">
        <v>209</v>
      </c>
      <c r="C53" s="99"/>
      <c r="D53" s="100" t="s">
        <v>177</v>
      </c>
      <c r="E53" s="100" t="s">
        <v>79</v>
      </c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105"/>
      <c r="R53" s="105">
        <v>80</v>
      </c>
      <c r="S53" s="105">
        <v>30</v>
      </c>
      <c r="T53" s="105">
        <v>40</v>
      </c>
      <c r="U53" s="105">
        <v>40</v>
      </c>
      <c r="V53" s="105">
        <v>40</v>
      </c>
      <c r="W53" s="98"/>
      <c r="X53" s="98"/>
      <c r="Y53" s="98"/>
      <c r="Z53" s="105">
        <v>30</v>
      </c>
      <c r="AA53" s="98"/>
      <c r="AB53" s="98"/>
      <c r="AC53" s="98"/>
      <c r="AD53" s="105">
        <v>70</v>
      </c>
      <c r="AE53" s="105">
        <v>70</v>
      </c>
      <c r="AF53" s="105">
        <v>150</v>
      </c>
      <c r="AG53" s="105">
        <v>75</v>
      </c>
      <c r="AH53" s="105"/>
      <c r="AI53" s="105">
        <v>80</v>
      </c>
      <c r="AJ53" s="105">
        <v>70</v>
      </c>
      <c r="AK53" s="98"/>
      <c r="AL53" s="98"/>
      <c r="AM53" s="98"/>
      <c r="AN53" s="101"/>
      <c r="AO53" s="102"/>
      <c r="AP53" s="103"/>
      <c r="AQ53" s="103"/>
    </row>
    <row r="54" spans="1:43" ht="15.75" customHeight="1">
      <c r="A54" s="98"/>
      <c r="B54" s="100" t="s">
        <v>210</v>
      </c>
      <c r="C54" s="99"/>
      <c r="D54" s="100" t="s">
        <v>211</v>
      </c>
      <c r="E54" s="100" t="s">
        <v>79</v>
      </c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105">
        <v>50</v>
      </c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101"/>
      <c r="AO54" s="102"/>
      <c r="AP54" s="103"/>
      <c r="AQ54" s="103"/>
    </row>
    <row r="55" spans="1:43" ht="15.75" customHeight="1">
      <c r="A55" s="98">
        <v>44</v>
      </c>
      <c r="B55" s="99" t="s">
        <v>146</v>
      </c>
      <c r="C55" s="99"/>
      <c r="D55" s="100" t="s">
        <v>59</v>
      </c>
      <c r="E55" s="99" t="s">
        <v>79</v>
      </c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>
        <f>SUM(F55:AG55)</f>
        <v>0</v>
      </c>
      <c r="AL55" s="98"/>
      <c r="AM55" s="98">
        <f>AL55+AK55</f>
        <v>0</v>
      </c>
      <c r="AN55" s="101">
        <v>277</v>
      </c>
      <c r="AO55" s="102">
        <f>AK55*AN55</f>
        <v>0</v>
      </c>
      <c r="AP55" s="103"/>
      <c r="AQ55" s="103"/>
    </row>
    <row r="56" spans="1:43" ht="15.75" customHeight="1">
      <c r="A56" s="108"/>
      <c r="B56" s="107"/>
      <c r="C56" s="107"/>
      <c r="D56" s="107"/>
      <c r="E56" s="107" t="s">
        <v>79</v>
      </c>
      <c r="F56" s="108">
        <f t="shared" ref="F56:AK56" si="6">SUM(F7:F55)</f>
        <v>75</v>
      </c>
      <c r="G56" s="108">
        <f t="shared" si="6"/>
        <v>140</v>
      </c>
      <c r="H56" s="108">
        <f t="shared" si="6"/>
        <v>200</v>
      </c>
      <c r="I56" s="108">
        <f t="shared" si="6"/>
        <v>170</v>
      </c>
      <c r="J56" s="108">
        <f t="shared" si="6"/>
        <v>95</v>
      </c>
      <c r="K56" s="108">
        <f t="shared" si="6"/>
        <v>60</v>
      </c>
      <c r="L56" s="108">
        <f t="shared" si="6"/>
        <v>120</v>
      </c>
      <c r="M56" s="108">
        <f t="shared" si="6"/>
        <v>140</v>
      </c>
      <c r="N56" s="108">
        <f t="shared" si="6"/>
        <v>147</v>
      </c>
      <c r="O56" s="108">
        <f t="shared" si="6"/>
        <v>140</v>
      </c>
      <c r="P56" s="108">
        <f t="shared" si="6"/>
        <v>120</v>
      </c>
      <c r="Q56" s="108">
        <f t="shared" si="6"/>
        <v>130</v>
      </c>
      <c r="R56" s="108">
        <f t="shared" si="6"/>
        <v>150</v>
      </c>
      <c r="S56" s="108">
        <f t="shared" si="6"/>
        <v>80</v>
      </c>
      <c r="T56" s="108">
        <f t="shared" si="6"/>
        <v>100</v>
      </c>
      <c r="U56" s="108">
        <f t="shared" si="6"/>
        <v>175</v>
      </c>
      <c r="V56" s="108">
        <f t="shared" si="6"/>
        <v>75</v>
      </c>
      <c r="W56" s="108">
        <f t="shared" si="6"/>
        <v>138</v>
      </c>
      <c r="X56" s="108">
        <f t="shared" si="6"/>
        <v>20</v>
      </c>
      <c r="Y56" s="108">
        <f t="shared" si="6"/>
        <v>85</v>
      </c>
      <c r="Z56" s="108">
        <f t="shared" si="6"/>
        <v>125</v>
      </c>
      <c r="AA56" s="108">
        <f t="shared" si="6"/>
        <v>110</v>
      </c>
      <c r="AB56" s="108">
        <f t="shared" si="6"/>
        <v>40</v>
      </c>
      <c r="AC56" s="108">
        <f t="shared" si="6"/>
        <v>110</v>
      </c>
      <c r="AD56" s="108">
        <f t="shared" si="6"/>
        <v>135</v>
      </c>
      <c r="AE56" s="108">
        <f t="shared" si="6"/>
        <v>107</v>
      </c>
      <c r="AF56" s="108">
        <f t="shared" si="6"/>
        <v>225</v>
      </c>
      <c r="AG56" s="108">
        <f t="shared" si="6"/>
        <v>110</v>
      </c>
      <c r="AH56" s="108">
        <f t="shared" si="6"/>
        <v>42</v>
      </c>
      <c r="AI56" s="108">
        <f t="shared" si="6"/>
        <v>125</v>
      </c>
      <c r="AJ56" s="108">
        <f t="shared" si="6"/>
        <v>115</v>
      </c>
      <c r="AK56" s="108">
        <f t="shared" si="6"/>
        <v>2632</v>
      </c>
      <c r="AL56" s="108"/>
      <c r="AM56" s="108">
        <f>SUM(AM7:AM55)</f>
        <v>2632</v>
      </c>
      <c r="AN56" s="109"/>
      <c r="AO56" s="110">
        <f>SUM(AO7:AO55)</f>
        <v>729064</v>
      </c>
      <c r="AP56" s="111"/>
      <c r="AQ56" s="111"/>
    </row>
    <row r="57" spans="1:43" ht="15.75" customHeight="1">
      <c r="A57" s="112" t="s">
        <v>178</v>
      </c>
      <c r="B57" s="113"/>
      <c r="C57" s="113"/>
      <c r="D57" s="113"/>
      <c r="E57" s="114" t="s">
        <v>79</v>
      </c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5"/>
      <c r="AO57" s="113"/>
      <c r="AP57" s="113"/>
      <c r="AQ57" s="113"/>
    </row>
    <row r="58" spans="1:43" ht="15.75" customHeight="1">
      <c r="A58" s="98">
        <v>1</v>
      </c>
      <c r="B58" s="99" t="s">
        <v>103</v>
      </c>
      <c r="C58" s="99"/>
      <c r="D58" s="100" t="s">
        <v>179</v>
      </c>
      <c r="E58" s="99" t="s">
        <v>79</v>
      </c>
      <c r="F58" s="98"/>
      <c r="G58" s="98"/>
      <c r="H58" s="105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105">
        <v>5</v>
      </c>
      <c r="W58" s="105">
        <v>10</v>
      </c>
      <c r="X58" s="105">
        <v>10</v>
      </c>
      <c r="Y58" s="105">
        <v>10</v>
      </c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>
        <f t="shared" ref="AK58:AK70" si="7">SUM(F58:AG58)</f>
        <v>35</v>
      </c>
      <c r="AL58" s="98"/>
      <c r="AM58" s="98">
        <f t="shared" ref="AM58:AM70" si="8">AK58+AL58</f>
        <v>35</v>
      </c>
      <c r="AN58" s="101">
        <v>277</v>
      </c>
      <c r="AO58" s="116">
        <f t="shared" ref="AO58:AO70" si="9">AN58*AM58</f>
        <v>9695</v>
      </c>
      <c r="AP58" s="117"/>
      <c r="AQ58" s="117"/>
    </row>
    <row r="59" spans="1:43" ht="15.75" customHeight="1">
      <c r="A59" s="98">
        <v>2</v>
      </c>
      <c r="B59" s="99" t="s">
        <v>56</v>
      </c>
      <c r="C59" s="99"/>
      <c r="D59" s="100" t="s">
        <v>180</v>
      </c>
      <c r="E59" s="99" t="s">
        <v>79</v>
      </c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>
        <f t="shared" si="7"/>
        <v>0</v>
      </c>
      <c r="AL59" s="98"/>
      <c r="AM59" s="98">
        <f t="shared" si="8"/>
        <v>0</v>
      </c>
      <c r="AN59" s="101">
        <v>277</v>
      </c>
      <c r="AO59" s="116">
        <f t="shared" si="9"/>
        <v>0</v>
      </c>
      <c r="AP59" s="117"/>
      <c r="AQ59" s="117"/>
    </row>
    <row r="60" spans="1:43" ht="15.75" customHeight="1">
      <c r="A60" s="98">
        <v>3</v>
      </c>
      <c r="B60" s="99" t="s">
        <v>104</v>
      </c>
      <c r="C60" s="99"/>
      <c r="D60" s="100" t="s">
        <v>179</v>
      </c>
      <c r="E60" s="99" t="s">
        <v>79</v>
      </c>
      <c r="F60" s="98"/>
      <c r="G60" s="98"/>
      <c r="H60" s="105">
        <v>15</v>
      </c>
      <c r="I60" s="105">
        <v>15</v>
      </c>
      <c r="J60" s="98"/>
      <c r="K60" s="105">
        <v>20</v>
      </c>
      <c r="L60" s="105">
        <v>5</v>
      </c>
      <c r="M60" s="98"/>
      <c r="N60" s="105">
        <v>10</v>
      </c>
      <c r="O60" s="105">
        <v>15</v>
      </c>
      <c r="P60" s="98"/>
      <c r="Q60" s="105">
        <v>10</v>
      </c>
      <c r="R60" s="105">
        <v>15</v>
      </c>
      <c r="S60" s="98"/>
      <c r="T60" s="98"/>
      <c r="U60" s="98"/>
      <c r="V60" s="105">
        <v>10</v>
      </c>
      <c r="W60" s="105">
        <v>15</v>
      </c>
      <c r="X60" s="105">
        <v>10</v>
      </c>
      <c r="Y60" s="105">
        <v>35</v>
      </c>
      <c r="Z60" s="105">
        <v>15</v>
      </c>
      <c r="AA60" s="105">
        <v>10</v>
      </c>
      <c r="AB60" s="105">
        <v>20</v>
      </c>
      <c r="AC60" s="105">
        <v>10</v>
      </c>
      <c r="AD60" s="105">
        <v>15</v>
      </c>
      <c r="AE60" s="105">
        <v>10</v>
      </c>
      <c r="AF60" s="105">
        <v>10</v>
      </c>
      <c r="AG60" s="105">
        <v>10</v>
      </c>
      <c r="AH60" s="105"/>
      <c r="AI60" s="105">
        <v>20</v>
      </c>
      <c r="AJ60" s="105"/>
      <c r="AK60" s="98">
        <f t="shared" si="7"/>
        <v>275</v>
      </c>
      <c r="AL60" s="98"/>
      <c r="AM60" s="98">
        <f t="shared" si="8"/>
        <v>275</v>
      </c>
      <c r="AN60" s="101">
        <v>277</v>
      </c>
      <c r="AO60" s="116">
        <f t="shared" si="9"/>
        <v>76175</v>
      </c>
      <c r="AP60" s="117"/>
      <c r="AQ60" s="117"/>
    </row>
    <row r="61" spans="1:43" ht="15.75" customHeight="1">
      <c r="A61" s="98">
        <v>4</v>
      </c>
      <c r="B61" s="99" t="s">
        <v>105</v>
      </c>
      <c r="C61" s="99"/>
      <c r="D61" s="100" t="s">
        <v>66</v>
      </c>
      <c r="E61" s="99" t="s">
        <v>79</v>
      </c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>
        <f t="shared" si="7"/>
        <v>0</v>
      </c>
      <c r="AL61" s="98"/>
      <c r="AM61" s="98">
        <f t="shared" si="8"/>
        <v>0</v>
      </c>
      <c r="AN61" s="101">
        <v>277</v>
      </c>
      <c r="AO61" s="116">
        <f t="shared" si="9"/>
        <v>0</v>
      </c>
      <c r="AP61" s="117"/>
      <c r="AQ61" s="117"/>
    </row>
    <row r="62" spans="1:43" ht="15.75" customHeight="1">
      <c r="A62" s="98">
        <v>5</v>
      </c>
      <c r="B62" s="99" t="s">
        <v>106</v>
      </c>
      <c r="C62" s="99"/>
      <c r="D62" s="100" t="s">
        <v>181</v>
      </c>
      <c r="E62" s="99" t="s">
        <v>79</v>
      </c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>
        <f t="shared" si="7"/>
        <v>0</v>
      </c>
      <c r="AL62" s="98"/>
      <c r="AM62" s="98">
        <f t="shared" si="8"/>
        <v>0</v>
      </c>
      <c r="AN62" s="101">
        <v>277</v>
      </c>
      <c r="AO62" s="116">
        <f t="shared" si="9"/>
        <v>0</v>
      </c>
      <c r="AP62" s="117"/>
      <c r="AQ62" s="117"/>
    </row>
    <row r="63" spans="1:43" ht="15.75" customHeight="1">
      <c r="A63" s="98">
        <v>6</v>
      </c>
      <c r="B63" s="99" t="s">
        <v>107</v>
      </c>
      <c r="C63" s="99"/>
      <c r="D63" s="100" t="s">
        <v>182</v>
      </c>
      <c r="E63" s="99" t="s">
        <v>79</v>
      </c>
      <c r="F63" s="98"/>
      <c r="G63" s="105">
        <v>20</v>
      </c>
      <c r="H63" s="105">
        <v>30</v>
      </c>
      <c r="I63" s="105">
        <v>30</v>
      </c>
      <c r="J63" s="98"/>
      <c r="K63" s="105">
        <v>40</v>
      </c>
      <c r="L63" s="105">
        <v>20</v>
      </c>
      <c r="M63" s="98"/>
      <c r="N63" s="98"/>
      <c r="O63" s="105">
        <v>30</v>
      </c>
      <c r="P63" s="98"/>
      <c r="Q63" s="105">
        <v>30</v>
      </c>
      <c r="R63" s="105">
        <v>20</v>
      </c>
      <c r="S63" s="98"/>
      <c r="T63" s="98"/>
      <c r="U63" s="98"/>
      <c r="V63" s="105">
        <v>30</v>
      </c>
      <c r="W63" s="105">
        <v>25</v>
      </c>
      <c r="X63" s="98"/>
      <c r="Y63" s="105">
        <v>35</v>
      </c>
      <c r="Z63" s="105">
        <v>30</v>
      </c>
      <c r="AA63" s="105">
        <v>20</v>
      </c>
      <c r="AB63" s="98"/>
      <c r="AC63" s="105">
        <v>20</v>
      </c>
      <c r="AD63" s="105">
        <v>30</v>
      </c>
      <c r="AE63" s="105">
        <v>25</v>
      </c>
      <c r="AF63" s="105">
        <v>25</v>
      </c>
      <c r="AG63" s="105">
        <v>30</v>
      </c>
      <c r="AH63" s="105"/>
      <c r="AI63" s="105">
        <v>25</v>
      </c>
      <c r="AJ63" s="105">
        <v>30</v>
      </c>
      <c r="AK63" s="98">
        <f t="shared" si="7"/>
        <v>490</v>
      </c>
      <c r="AL63" s="98"/>
      <c r="AM63" s="98">
        <f t="shared" si="8"/>
        <v>490</v>
      </c>
      <c r="AN63" s="101">
        <v>277</v>
      </c>
      <c r="AO63" s="116">
        <f t="shared" si="9"/>
        <v>135730</v>
      </c>
      <c r="AP63" s="117"/>
      <c r="AQ63" s="117"/>
    </row>
    <row r="64" spans="1:43" ht="15.75" customHeight="1">
      <c r="A64" s="98">
        <v>7</v>
      </c>
      <c r="B64" s="99" t="s">
        <v>108</v>
      </c>
      <c r="C64" s="99"/>
      <c r="D64" s="100" t="s">
        <v>180</v>
      </c>
      <c r="E64" s="99" t="s">
        <v>79</v>
      </c>
      <c r="F64" s="105">
        <v>10</v>
      </c>
      <c r="G64" s="105">
        <v>10</v>
      </c>
      <c r="H64" s="105">
        <v>15</v>
      </c>
      <c r="I64" s="105">
        <v>15</v>
      </c>
      <c r="J64" s="105">
        <v>5</v>
      </c>
      <c r="K64" s="105">
        <v>15</v>
      </c>
      <c r="L64" s="105">
        <v>5</v>
      </c>
      <c r="M64" s="105">
        <v>10</v>
      </c>
      <c r="N64" s="98"/>
      <c r="O64" s="105">
        <v>15</v>
      </c>
      <c r="P64" s="105">
        <v>15</v>
      </c>
      <c r="Q64" s="105">
        <v>10</v>
      </c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>
        <f t="shared" si="7"/>
        <v>125</v>
      </c>
      <c r="AL64" s="98"/>
      <c r="AM64" s="98">
        <f t="shared" si="8"/>
        <v>125</v>
      </c>
      <c r="AN64" s="101">
        <v>277</v>
      </c>
      <c r="AO64" s="116">
        <f t="shared" si="9"/>
        <v>34625</v>
      </c>
      <c r="AP64" s="117"/>
      <c r="AQ64" s="117"/>
    </row>
    <row r="65" spans="1:43" ht="15.75" customHeight="1">
      <c r="A65" s="98">
        <v>8</v>
      </c>
      <c r="B65" s="99" t="s">
        <v>63</v>
      </c>
      <c r="C65" s="99"/>
      <c r="D65" s="100" t="s">
        <v>183</v>
      </c>
      <c r="E65" s="99" t="s">
        <v>79</v>
      </c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>
        <f t="shared" si="7"/>
        <v>0</v>
      </c>
      <c r="AL65" s="98"/>
      <c r="AM65" s="98">
        <f t="shared" si="8"/>
        <v>0</v>
      </c>
      <c r="AN65" s="101">
        <v>277</v>
      </c>
      <c r="AO65" s="116">
        <f t="shared" si="9"/>
        <v>0</v>
      </c>
      <c r="AP65" s="117"/>
      <c r="AQ65" s="117"/>
    </row>
    <row r="66" spans="1:43" ht="15.75" customHeight="1">
      <c r="A66" s="98">
        <v>9</v>
      </c>
      <c r="B66" s="99" t="s">
        <v>28</v>
      </c>
      <c r="C66" s="99"/>
      <c r="D66" s="100" t="s">
        <v>29</v>
      </c>
      <c r="E66" s="99" t="s">
        <v>79</v>
      </c>
      <c r="F66" s="98"/>
      <c r="G66" s="98"/>
      <c r="H66" s="98"/>
      <c r="I66" s="105">
        <v>40</v>
      </c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>
        <f t="shared" si="7"/>
        <v>40</v>
      </c>
      <c r="AL66" s="98"/>
      <c r="AM66" s="98">
        <f t="shared" si="8"/>
        <v>40</v>
      </c>
      <c r="AN66" s="101">
        <v>277</v>
      </c>
      <c r="AO66" s="116">
        <f t="shared" si="9"/>
        <v>11080</v>
      </c>
      <c r="AP66" s="117"/>
      <c r="AQ66" s="117"/>
    </row>
    <row r="67" spans="1:43" ht="15.75" customHeight="1">
      <c r="A67" s="98">
        <v>10</v>
      </c>
      <c r="B67" s="99" t="s">
        <v>109</v>
      </c>
      <c r="C67" s="99"/>
      <c r="D67" s="100" t="s">
        <v>184</v>
      </c>
      <c r="E67" s="99" t="s">
        <v>79</v>
      </c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>
        <f t="shared" si="7"/>
        <v>0</v>
      </c>
      <c r="AL67" s="98"/>
      <c r="AM67" s="98">
        <f t="shared" si="8"/>
        <v>0</v>
      </c>
      <c r="AN67" s="101">
        <v>277</v>
      </c>
      <c r="AO67" s="116">
        <f t="shared" si="9"/>
        <v>0</v>
      </c>
      <c r="AP67" s="117"/>
      <c r="AQ67" s="117"/>
    </row>
    <row r="68" spans="1:43" ht="15.75" customHeight="1">
      <c r="A68" s="98">
        <v>11</v>
      </c>
      <c r="B68" s="99" t="s">
        <v>110</v>
      </c>
      <c r="C68" s="99"/>
      <c r="D68" s="100" t="s">
        <v>184</v>
      </c>
      <c r="E68" s="99" t="s">
        <v>79</v>
      </c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>
        <f t="shared" si="7"/>
        <v>0</v>
      </c>
      <c r="AL68" s="98"/>
      <c r="AM68" s="98">
        <f t="shared" si="8"/>
        <v>0</v>
      </c>
      <c r="AN68" s="101">
        <v>277</v>
      </c>
      <c r="AO68" s="116">
        <f t="shared" si="9"/>
        <v>0</v>
      </c>
      <c r="AP68" s="117"/>
      <c r="AQ68" s="117"/>
    </row>
    <row r="69" spans="1:43" ht="15.75" customHeight="1">
      <c r="A69" s="98">
        <v>12</v>
      </c>
      <c r="B69" s="99" t="s">
        <v>111</v>
      </c>
      <c r="C69" s="99"/>
      <c r="D69" s="100" t="s">
        <v>184</v>
      </c>
      <c r="E69" s="99" t="s">
        <v>79</v>
      </c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>
        <f t="shared" si="7"/>
        <v>0</v>
      </c>
      <c r="AL69" s="98"/>
      <c r="AM69" s="98">
        <f t="shared" si="8"/>
        <v>0</v>
      </c>
      <c r="AN69" s="101">
        <v>277</v>
      </c>
      <c r="AO69" s="116">
        <f t="shared" si="9"/>
        <v>0</v>
      </c>
      <c r="AP69" s="117"/>
      <c r="AQ69" s="117"/>
    </row>
    <row r="70" spans="1:43" ht="15.75" customHeight="1">
      <c r="A70" s="98">
        <v>13</v>
      </c>
      <c r="B70" s="99" t="s">
        <v>112</v>
      </c>
      <c r="C70" s="99"/>
      <c r="D70" s="100" t="s">
        <v>64</v>
      </c>
      <c r="E70" s="99" t="s">
        <v>79</v>
      </c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>
        <f t="shared" si="7"/>
        <v>0</v>
      </c>
      <c r="AL70" s="98"/>
      <c r="AM70" s="98">
        <f t="shared" si="8"/>
        <v>0</v>
      </c>
      <c r="AN70" s="101">
        <v>277</v>
      </c>
      <c r="AO70" s="116">
        <f t="shared" si="9"/>
        <v>0</v>
      </c>
      <c r="AP70" s="117"/>
      <c r="AQ70" s="117"/>
    </row>
    <row r="71" spans="1:43" ht="15.75" customHeight="1">
      <c r="A71" s="98"/>
      <c r="B71" s="100" t="s">
        <v>212</v>
      </c>
      <c r="C71" s="99"/>
      <c r="D71" s="100"/>
      <c r="E71" s="100" t="s">
        <v>79</v>
      </c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105"/>
      <c r="X71" s="98"/>
      <c r="Y71" s="105">
        <v>5</v>
      </c>
      <c r="Z71" s="105">
        <v>5</v>
      </c>
      <c r="AA71" s="105">
        <v>5</v>
      </c>
      <c r="AB71" s="105">
        <v>10</v>
      </c>
      <c r="AC71" s="105">
        <v>14</v>
      </c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101"/>
      <c r="AO71" s="116"/>
      <c r="AP71" s="117"/>
      <c r="AQ71" s="117"/>
    </row>
    <row r="72" spans="1:43" ht="15.75" customHeight="1">
      <c r="A72" s="98">
        <v>14</v>
      </c>
      <c r="B72" s="99" t="s">
        <v>113</v>
      </c>
      <c r="C72" s="99"/>
      <c r="D72" s="100" t="s">
        <v>113</v>
      </c>
      <c r="E72" s="99" t="s">
        <v>79</v>
      </c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105">
        <v>10</v>
      </c>
      <c r="X72" s="98"/>
      <c r="Y72" s="105">
        <v>5</v>
      </c>
      <c r="Z72" s="105">
        <v>5</v>
      </c>
      <c r="AA72" s="105">
        <v>5</v>
      </c>
      <c r="AB72" s="105">
        <v>5</v>
      </c>
      <c r="AC72" s="105">
        <v>5</v>
      </c>
      <c r="AD72" s="98"/>
      <c r="AE72" s="98"/>
      <c r="AF72" s="98"/>
      <c r="AG72" s="98"/>
      <c r="AH72" s="98"/>
      <c r="AI72" s="98"/>
      <c r="AJ72" s="98"/>
      <c r="AK72" s="98">
        <f t="shared" ref="AK72:AK78" si="10">SUM(F72:AG72)</f>
        <v>35</v>
      </c>
      <c r="AL72" s="98"/>
      <c r="AM72" s="98">
        <f t="shared" ref="AM72:AM78" si="11">AK72+AL72</f>
        <v>35</v>
      </c>
      <c r="AN72" s="101">
        <v>277</v>
      </c>
      <c r="AO72" s="116">
        <f t="shared" ref="AO72:AO78" si="12">AN72*AM72</f>
        <v>9695</v>
      </c>
      <c r="AP72" s="117"/>
      <c r="AQ72" s="117"/>
    </row>
    <row r="73" spans="1:43" ht="15.75" customHeight="1">
      <c r="A73" s="98">
        <v>15</v>
      </c>
      <c r="B73" s="99" t="s">
        <v>114</v>
      </c>
      <c r="C73" s="99"/>
      <c r="D73" s="100" t="s">
        <v>185</v>
      </c>
      <c r="E73" s="99" t="s">
        <v>79</v>
      </c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>
        <f t="shared" si="10"/>
        <v>0</v>
      </c>
      <c r="AL73" s="98"/>
      <c r="AM73" s="98">
        <f t="shared" si="11"/>
        <v>0</v>
      </c>
      <c r="AN73" s="101">
        <v>277</v>
      </c>
      <c r="AO73" s="116">
        <f t="shared" si="12"/>
        <v>0</v>
      </c>
      <c r="AP73" s="117"/>
      <c r="AQ73" s="117"/>
    </row>
    <row r="74" spans="1:43" ht="15.75" customHeight="1">
      <c r="A74" s="98">
        <v>16</v>
      </c>
      <c r="B74" s="99" t="s">
        <v>71</v>
      </c>
      <c r="C74" s="99"/>
      <c r="D74" s="100" t="s">
        <v>183</v>
      </c>
      <c r="E74" s="99" t="s">
        <v>79</v>
      </c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>
        <f t="shared" si="10"/>
        <v>0</v>
      </c>
      <c r="AL74" s="98"/>
      <c r="AM74" s="98">
        <f t="shared" si="11"/>
        <v>0</v>
      </c>
      <c r="AN74" s="101">
        <v>277</v>
      </c>
      <c r="AO74" s="116">
        <f t="shared" si="12"/>
        <v>0</v>
      </c>
      <c r="AP74" s="117"/>
      <c r="AQ74" s="117"/>
    </row>
    <row r="75" spans="1:43" ht="15.75" customHeight="1">
      <c r="A75" s="98">
        <v>17</v>
      </c>
      <c r="B75" s="99" t="s">
        <v>115</v>
      </c>
      <c r="C75" s="99"/>
      <c r="D75" s="100" t="s">
        <v>182</v>
      </c>
      <c r="E75" s="99" t="s">
        <v>79</v>
      </c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>
        <f t="shared" si="10"/>
        <v>0</v>
      </c>
      <c r="AL75" s="98"/>
      <c r="AM75" s="98">
        <f t="shared" si="11"/>
        <v>0</v>
      </c>
      <c r="AN75" s="101">
        <v>277</v>
      </c>
      <c r="AO75" s="116">
        <f t="shared" si="12"/>
        <v>0</v>
      </c>
      <c r="AP75" s="117"/>
      <c r="AQ75" s="117"/>
    </row>
    <row r="76" spans="1:43" ht="15.75" customHeight="1">
      <c r="A76" s="98">
        <v>18</v>
      </c>
      <c r="B76" s="99" t="s">
        <v>116</v>
      </c>
      <c r="C76" s="99"/>
      <c r="D76" s="100" t="s">
        <v>184</v>
      </c>
      <c r="E76" s="99" t="s">
        <v>79</v>
      </c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105">
        <v>10</v>
      </c>
      <c r="X76" s="98"/>
      <c r="Y76" s="105">
        <v>15</v>
      </c>
      <c r="Z76" s="105">
        <v>10</v>
      </c>
      <c r="AA76" s="105">
        <v>10</v>
      </c>
      <c r="AB76" s="105">
        <v>10</v>
      </c>
      <c r="AC76" s="105">
        <v>10</v>
      </c>
      <c r="AD76" s="98"/>
      <c r="AE76" s="98"/>
      <c r="AF76" s="98"/>
      <c r="AG76" s="98"/>
      <c r="AH76" s="98"/>
      <c r="AI76" s="98"/>
      <c r="AJ76" s="98"/>
      <c r="AK76" s="98">
        <f t="shared" si="10"/>
        <v>65</v>
      </c>
      <c r="AL76" s="98"/>
      <c r="AM76" s="98">
        <f t="shared" si="11"/>
        <v>65</v>
      </c>
      <c r="AN76" s="101">
        <v>277</v>
      </c>
      <c r="AO76" s="116">
        <f t="shared" si="12"/>
        <v>18005</v>
      </c>
      <c r="AP76" s="117"/>
      <c r="AQ76" s="117"/>
    </row>
    <row r="77" spans="1:43" ht="15.75" customHeight="1">
      <c r="A77" s="98">
        <v>19</v>
      </c>
      <c r="B77" s="99" t="s">
        <v>117</v>
      </c>
      <c r="C77" s="99"/>
      <c r="D77" s="100" t="s">
        <v>66</v>
      </c>
      <c r="E77" s="99" t="s">
        <v>79</v>
      </c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>
        <f t="shared" si="10"/>
        <v>0</v>
      </c>
      <c r="AL77" s="98"/>
      <c r="AM77" s="98">
        <f t="shared" si="11"/>
        <v>0</v>
      </c>
      <c r="AN77" s="101">
        <v>277</v>
      </c>
      <c r="AO77" s="116">
        <f t="shared" si="12"/>
        <v>0</v>
      </c>
      <c r="AP77" s="117"/>
      <c r="AQ77" s="117"/>
    </row>
    <row r="78" spans="1:43" ht="15.75" customHeight="1">
      <c r="A78" s="98">
        <v>20</v>
      </c>
      <c r="B78" s="99" t="s">
        <v>118</v>
      </c>
      <c r="C78" s="99"/>
      <c r="D78" s="100" t="s">
        <v>186</v>
      </c>
      <c r="E78" s="99" t="s">
        <v>79</v>
      </c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>
        <f t="shared" si="10"/>
        <v>0</v>
      </c>
      <c r="AL78" s="98"/>
      <c r="AM78" s="98">
        <f t="shared" si="11"/>
        <v>0</v>
      </c>
      <c r="AN78" s="101">
        <v>277</v>
      </c>
      <c r="AO78" s="116">
        <f t="shared" si="12"/>
        <v>0</v>
      </c>
      <c r="AP78" s="117"/>
      <c r="AQ78" s="117"/>
    </row>
    <row r="79" spans="1:43" ht="15.75" customHeight="1">
      <c r="A79" s="98"/>
      <c r="B79" s="100" t="s">
        <v>213</v>
      </c>
      <c r="C79" s="99"/>
      <c r="D79" s="100"/>
      <c r="E79" s="99"/>
      <c r="F79" s="105"/>
      <c r="G79" s="98"/>
      <c r="H79" s="105"/>
      <c r="I79" s="105"/>
      <c r="J79" s="105"/>
      <c r="K79" s="105"/>
      <c r="L79" s="105"/>
      <c r="M79" s="98"/>
      <c r="N79" s="98"/>
      <c r="O79" s="98"/>
      <c r="P79" s="98"/>
      <c r="Q79" s="105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105">
        <v>10</v>
      </c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101"/>
      <c r="AO79" s="116"/>
      <c r="AP79" s="117"/>
      <c r="AQ79" s="117"/>
    </row>
    <row r="80" spans="1:43" ht="15.75" customHeight="1">
      <c r="A80" s="98">
        <v>21</v>
      </c>
      <c r="B80" s="99" t="s">
        <v>76</v>
      </c>
      <c r="C80" s="99"/>
      <c r="D80" s="100" t="s">
        <v>66</v>
      </c>
      <c r="E80" s="99" t="s">
        <v>79</v>
      </c>
      <c r="F80" s="105">
        <v>30</v>
      </c>
      <c r="G80" s="98"/>
      <c r="H80" s="105">
        <v>20</v>
      </c>
      <c r="I80" s="105">
        <v>20</v>
      </c>
      <c r="J80" s="105">
        <v>20</v>
      </c>
      <c r="K80" s="105">
        <v>30</v>
      </c>
      <c r="L80" s="105">
        <v>30</v>
      </c>
      <c r="M80" s="98"/>
      <c r="N80" s="98"/>
      <c r="O80" s="98"/>
      <c r="P80" s="98"/>
      <c r="Q80" s="105">
        <v>20</v>
      </c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105">
        <v>10</v>
      </c>
      <c r="AD80" s="98"/>
      <c r="AE80" s="98"/>
      <c r="AF80" s="98"/>
      <c r="AG80" s="98"/>
      <c r="AH80" s="98"/>
      <c r="AI80" s="98"/>
      <c r="AJ80" s="98"/>
      <c r="AK80" s="98">
        <f t="shared" ref="AK80:AK90" si="13">SUM(F80:AG80)</f>
        <v>180</v>
      </c>
      <c r="AL80" s="98"/>
      <c r="AM80" s="98">
        <f t="shared" ref="AM80:AM90" si="14">AK80+AL80</f>
        <v>180</v>
      </c>
      <c r="AN80" s="101">
        <v>277</v>
      </c>
      <c r="AO80" s="116">
        <f t="shared" ref="AO80:AO90" si="15">AN80*AM80</f>
        <v>49860</v>
      </c>
      <c r="AP80" s="117"/>
      <c r="AQ80" s="117"/>
    </row>
    <row r="81" spans="1:43" ht="15.75" customHeight="1">
      <c r="A81" s="98">
        <v>22</v>
      </c>
      <c r="B81" s="99" t="s">
        <v>70</v>
      </c>
      <c r="C81" s="99"/>
      <c r="D81" s="100" t="s">
        <v>187</v>
      </c>
      <c r="E81" s="99" t="s">
        <v>79</v>
      </c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>
        <f t="shared" si="13"/>
        <v>0</v>
      </c>
      <c r="AL81" s="98"/>
      <c r="AM81" s="98">
        <f t="shared" si="14"/>
        <v>0</v>
      </c>
      <c r="AN81" s="101">
        <v>277</v>
      </c>
      <c r="AO81" s="116">
        <f t="shared" si="15"/>
        <v>0</v>
      </c>
      <c r="AP81" s="117"/>
      <c r="AQ81" s="117"/>
    </row>
    <row r="82" spans="1:43" ht="15.75" customHeight="1">
      <c r="A82" s="98">
        <v>23</v>
      </c>
      <c r="B82" s="99" t="s">
        <v>119</v>
      </c>
      <c r="C82" s="99"/>
      <c r="D82" s="100" t="s">
        <v>188</v>
      </c>
      <c r="E82" s="99" t="s">
        <v>79</v>
      </c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>
        <f t="shared" si="13"/>
        <v>0</v>
      </c>
      <c r="AL82" s="98"/>
      <c r="AM82" s="98">
        <f t="shared" si="14"/>
        <v>0</v>
      </c>
      <c r="AN82" s="101">
        <v>277</v>
      </c>
      <c r="AO82" s="116">
        <f t="shared" si="15"/>
        <v>0</v>
      </c>
      <c r="AP82" s="117"/>
      <c r="AQ82" s="117"/>
    </row>
    <row r="83" spans="1:43" ht="15.75" customHeight="1">
      <c r="A83" s="98">
        <v>24</v>
      </c>
      <c r="B83" s="99" t="s">
        <v>67</v>
      </c>
      <c r="C83" s="99"/>
      <c r="D83" s="100" t="s">
        <v>179</v>
      </c>
      <c r="E83" s="99" t="s">
        <v>79</v>
      </c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105">
        <v>20</v>
      </c>
      <c r="AB83" s="105">
        <v>10</v>
      </c>
      <c r="AC83" s="98"/>
      <c r="AD83" s="98"/>
      <c r="AE83" s="98"/>
      <c r="AF83" s="98"/>
      <c r="AG83" s="98"/>
      <c r="AH83" s="98"/>
      <c r="AI83" s="98"/>
      <c r="AJ83" s="98"/>
      <c r="AK83" s="98">
        <f t="shared" si="13"/>
        <v>30</v>
      </c>
      <c r="AL83" s="98"/>
      <c r="AM83" s="98">
        <f t="shared" si="14"/>
        <v>30</v>
      </c>
      <c r="AN83" s="101">
        <v>277</v>
      </c>
      <c r="AO83" s="116">
        <f t="shared" si="15"/>
        <v>8310</v>
      </c>
      <c r="AP83" s="117"/>
      <c r="AQ83" s="117"/>
    </row>
    <row r="84" spans="1:43" ht="15.75" customHeight="1">
      <c r="A84" s="98">
        <v>25</v>
      </c>
      <c r="B84" s="99" t="s">
        <v>120</v>
      </c>
      <c r="C84" s="99"/>
      <c r="D84" s="100" t="s">
        <v>189</v>
      </c>
      <c r="E84" s="99" t="s">
        <v>79</v>
      </c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>
        <f t="shared" si="13"/>
        <v>0</v>
      </c>
      <c r="AL84" s="98"/>
      <c r="AM84" s="98">
        <f t="shared" si="14"/>
        <v>0</v>
      </c>
      <c r="AN84" s="101">
        <v>277</v>
      </c>
      <c r="AO84" s="116">
        <f t="shared" si="15"/>
        <v>0</v>
      </c>
      <c r="AP84" s="117"/>
      <c r="AQ84" s="117"/>
    </row>
    <row r="85" spans="1:43" ht="15.75" customHeight="1">
      <c r="A85" s="98">
        <v>26</v>
      </c>
      <c r="B85" s="99" t="s">
        <v>153</v>
      </c>
      <c r="C85" s="99"/>
      <c r="D85" s="100" t="s">
        <v>188</v>
      </c>
      <c r="E85" s="99" t="s">
        <v>79</v>
      </c>
      <c r="F85" s="105">
        <v>20</v>
      </c>
      <c r="G85" s="105">
        <v>25</v>
      </c>
      <c r="H85" s="105">
        <v>20</v>
      </c>
      <c r="I85" s="105">
        <v>30</v>
      </c>
      <c r="J85" s="98"/>
      <c r="K85" s="105">
        <v>25</v>
      </c>
      <c r="L85" s="105">
        <v>15</v>
      </c>
      <c r="M85" s="105">
        <v>10</v>
      </c>
      <c r="N85" s="98"/>
      <c r="O85" s="98"/>
      <c r="P85" s="98"/>
      <c r="Q85" s="105">
        <v>20</v>
      </c>
      <c r="R85" s="105">
        <v>15</v>
      </c>
      <c r="S85" s="98"/>
      <c r="T85" s="98"/>
      <c r="U85" s="98"/>
      <c r="V85" s="105">
        <v>20</v>
      </c>
      <c r="W85" s="98"/>
      <c r="X85" s="98"/>
      <c r="Y85" s="105">
        <v>15</v>
      </c>
      <c r="Z85" s="105">
        <v>15</v>
      </c>
      <c r="AA85" s="105">
        <v>15</v>
      </c>
      <c r="AB85" s="105">
        <v>10</v>
      </c>
      <c r="AC85" s="105">
        <v>10</v>
      </c>
      <c r="AD85" s="105">
        <v>15</v>
      </c>
      <c r="AE85" s="105">
        <v>10</v>
      </c>
      <c r="AF85" s="105">
        <v>15</v>
      </c>
      <c r="AG85" s="98"/>
      <c r="AH85" s="98"/>
      <c r="AI85" s="98"/>
      <c r="AJ85" s="98"/>
      <c r="AK85" s="98">
        <f t="shared" si="13"/>
        <v>305</v>
      </c>
      <c r="AL85" s="98"/>
      <c r="AM85" s="98">
        <f t="shared" si="14"/>
        <v>305</v>
      </c>
      <c r="AN85" s="101">
        <v>277</v>
      </c>
      <c r="AO85" s="116">
        <f t="shared" si="15"/>
        <v>84485</v>
      </c>
      <c r="AP85" s="117"/>
      <c r="AQ85" s="117"/>
    </row>
    <row r="86" spans="1:43" ht="15.75" customHeight="1">
      <c r="A86" s="98">
        <v>27</v>
      </c>
      <c r="B86" s="99" t="s">
        <v>121</v>
      </c>
      <c r="C86" s="99"/>
      <c r="D86" s="100" t="s">
        <v>190</v>
      </c>
      <c r="E86" s="99" t="s">
        <v>79</v>
      </c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>
        <f t="shared" si="13"/>
        <v>0</v>
      </c>
      <c r="AL86" s="98"/>
      <c r="AM86" s="98">
        <f t="shared" si="14"/>
        <v>0</v>
      </c>
      <c r="AN86" s="101">
        <v>277</v>
      </c>
      <c r="AO86" s="116">
        <f t="shared" si="15"/>
        <v>0</v>
      </c>
      <c r="AP86" s="117"/>
      <c r="AQ86" s="117"/>
    </row>
    <row r="87" spans="1:43" ht="15.75" customHeight="1">
      <c r="A87" s="98">
        <v>28</v>
      </c>
      <c r="B87" s="99" t="s">
        <v>154</v>
      </c>
      <c r="C87" s="99"/>
      <c r="D87" s="100" t="s">
        <v>191</v>
      </c>
      <c r="E87" s="99" t="s">
        <v>79</v>
      </c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>
        <f t="shared" si="13"/>
        <v>0</v>
      </c>
      <c r="AL87" s="98"/>
      <c r="AM87" s="98">
        <f t="shared" si="14"/>
        <v>0</v>
      </c>
      <c r="AN87" s="101">
        <v>277</v>
      </c>
      <c r="AO87" s="116">
        <f t="shared" si="15"/>
        <v>0</v>
      </c>
      <c r="AP87" s="117"/>
      <c r="AQ87" s="117"/>
    </row>
    <row r="88" spans="1:43" ht="15.75" customHeight="1">
      <c r="A88" s="98">
        <v>29</v>
      </c>
      <c r="B88" s="99" t="s">
        <v>155</v>
      </c>
      <c r="C88" s="99"/>
      <c r="D88" s="100" t="s">
        <v>189</v>
      </c>
      <c r="E88" s="99" t="s">
        <v>79</v>
      </c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>
        <f t="shared" si="13"/>
        <v>0</v>
      </c>
      <c r="AL88" s="98"/>
      <c r="AM88" s="98">
        <f t="shared" si="14"/>
        <v>0</v>
      </c>
      <c r="AN88" s="101">
        <v>277</v>
      </c>
      <c r="AO88" s="116">
        <f t="shared" si="15"/>
        <v>0</v>
      </c>
      <c r="AP88" s="117"/>
      <c r="AQ88" s="117"/>
    </row>
    <row r="89" spans="1:43" ht="15.75" customHeight="1">
      <c r="A89" s="98">
        <v>30</v>
      </c>
      <c r="B89" s="99" t="s">
        <v>156</v>
      </c>
      <c r="C89" s="99"/>
      <c r="D89" s="100" t="s">
        <v>64</v>
      </c>
      <c r="E89" s="99" t="s">
        <v>79</v>
      </c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>
        <f t="shared" si="13"/>
        <v>0</v>
      </c>
      <c r="AL89" s="98"/>
      <c r="AM89" s="98">
        <f t="shared" si="14"/>
        <v>0</v>
      </c>
      <c r="AN89" s="101">
        <v>277</v>
      </c>
      <c r="AO89" s="116">
        <f t="shared" si="15"/>
        <v>0</v>
      </c>
      <c r="AP89" s="117"/>
      <c r="AQ89" s="117"/>
    </row>
    <row r="90" spans="1:43" ht="15.75" customHeight="1">
      <c r="A90" s="98">
        <v>31</v>
      </c>
      <c r="B90" s="99" t="s">
        <v>157</v>
      </c>
      <c r="C90" s="99"/>
      <c r="D90" s="100" t="s">
        <v>184</v>
      </c>
      <c r="E90" s="99" t="s">
        <v>79</v>
      </c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>
        <f t="shared" si="13"/>
        <v>0</v>
      </c>
      <c r="AL90" s="98"/>
      <c r="AM90" s="98">
        <f t="shared" si="14"/>
        <v>0</v>
      </c>
      <c r="AN90" s="101">
        <v>277</v>
      </c>
      <c r="AO90" s="116">
        <f t="shared" si="15"/>
        <v>0</v>
      </c>
      <c r="AP90" s="117"/>
      <c r="AQ90" s="117"/>
    </row>
    <row r="91" spans="1:43" ht="15.75" customHeight="1">
      <c r="A91" s="105"/>
      <c r="B91" s="100" t="s">
        <v>214</v>
      </c>
      <c r="C91" s="99"/>
      <c r="D91" s="100"/>
      <c r="E91" s="99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105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101"/>
      <c r="AO91" s="116"/>
      <c r="AP91" s="117"/>
      <c r="AQ91" s="117"/>
    </row>
    <row r="92" spans="1:43" ht="15.75" customHeight="1">
      <c r="A92" s="98">
        <v>32</v>
      </c>
      <c r="B92" s="99" t="s">
        <v>158</v>
      </c>
      <c r="C92" s="99"/>
      <c r="D92" s="100" t="s">
        <v>184</v>
      </c>
      <c r="E92" s="99" t="s">
        <v>79</v>
      </c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>
        <f t="shared" ref="AK92:AK93" si="16">SUM(F92:AG92)</f>
        <v>0</v>
      </c>
      <c r="AL92" s="98"/>
      <c r="AM92" s="98">
        <f t="shared" ref="AM92:AM93" si="17">AK92+AL92</f>
        <v>0</v>
      </c>
      <c r="AN92" s="101">
        <v>277</v>
      </c>
      <c r="AO92" s="116">
        <f t="shared" ref="AO92:AO93" si="18">AN92*AM92</f>
        <v>0</v>
      </c>
      <c r="AP92" s="117"/>
      <c r="AQ92" s="117"/>
    </row>
    <row r="93" spans="1:43" ht="15.75" customHeight="1">
      <c r="A93" s="98">
        <v>33</v>
      </c>
      <c r="B93" s="99" t="s">
        <v>159</v>
      </c>
      <c r="C93" s="99"/>
      <c r="D93" s="100" t="s">
        <v>191</v>
      </c>
      <c r="E93" s="99" t="s">
        <v>79</v>
      </c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>
        <f t="shared" si="16"/>
        <v>0</v>
      </c>
      <c r="AL93" s="98"/>
      <c r="AM93" s="98">
        <f t="shared" si="17"/>
        <v>0</v>
      </c>
      <c r="AN93" s="101">
        <v>277</v>
      </c>
      <c r="AO93" s="116">
        <f t="shared" si="18"/>
        <v>0</v>
      </c>
      <c r="AP93" s="117"/>
      <c r="AQ93" s="117"/>
    </row>
    <row r="94" spans="1:43" ht="15.75" customHeight="1">
      <c r="A94" s="98"/>
      <c r="B94" s="100" t="s">
        <v>215</v>
      </c>
      <c r="C94" s="99"/>
      <c r="D94" s="100"/>
      <c r="E94" s="99"/>
      <c r="F94" s="105"/>
      <c r="G94" s="98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>
        <v>10</v>
      </c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101"/>
      <c r="AO94" s="116"/>
      <c r="AP94" s="117"/>
      <c r="AQ94" s="117"/>
    </row>
    <row r="95" spans="1:43" ht="15.75" customHeight="1">
      <c r="A95" s="98">
        <v>34</v>
      </c>
      <c r="B95" s="99" t="s">
        <v>122</v>
      </c>
      <c r="C95" s="99"/>
      <c r="D95" s="100" t="s">
        <v>29</v>
      </c>
      <c r="E95" s="99" t="s">
        <v>79</v>
      </c>
      <c r="F95" s="105">
        <v>40</v>
      </c>
      <c r="G95" s="98"/>
      <c r="H95" s="105">
        <v>40</v>
      </c>
      <c r="I95" s="105">
        <v>40</v>
      </c>
      <c r="J95" s="105">
        <v>50</v>
      </c>
      <c r="K95" s="105">
        <v>30</v>
      </c>
      <c r="L95" s="105">
        <v>40</v>
      </c>
      <c r="M95" s="105">
        <v>40</v>
      </c>
      <c r="N95" s="105">
        <v>40</v>
      </c>
      <c r="O95" s="105">
        <v>30</v>
      </c>
      <c r="P95" s="105">
        <v>30</v>
      </c>
      <c r="Q95" s="105">
        <v>30</v>
      </c>
      <c r="R95" s="105">
        <v>20</v>
      </c>
      <c r="S95" s="105">
        <v>30</v>
      </c>
      <c r="T95" s="105">
        <v>30</v>
      </c>
      <c r="U95" s="105">
        <v>30</v>
      </c>
      <c r="V95" s="105">
        <v>40</v>
      </c>
      <c r="W95" s="105">
        <v>30</v>
      </c>
      <c r="X95" s="98"/>
      <c r="Y95" s="105">
        <v>40</v>
      </c>
      <c r="Z95" s="105">
        <v>40</v>
      </c>
      <c r="AA95" s="105">
        <v>30</v>
      </c>
      <c r="AB95" s="105">
        <v>30</v>
      </c>
      <c r="AC95" s="105">
        <v>40</v>
      </c>
      <c r="AD95" s="105">
        <v>30</v>
      </c>
      <c r="AE95" s="105">
        <v>25</v>
      </c>
      <c r="AF95" s="105">
        <v>40</v>
      </c>
      <c r="AG95" s="105">
        <v>30</v>
      </c>
      <c r="AH95" s="105">
        <v>30</v>
      </c>
      <c r="AI95" s="105">
        <v>30</v>
      </c>
      <c r="AJ95" s="105">
        <v>30</v>
      </c>
      <c r="AK95" s="98">
        <f>SUM(F95:AG95)</f>
        <v>895</v>
      </c>
      <c r="AL95" s="98"/>
      <c r="AM95" s="98">
        <f>AK95+AL95</f>
        <v>895</v>
      </c>
      <c r="AN95" s="101">
        <v>277</v>
      </c>
      <c r="AO95" s="116">
        <f>AN95*AM95</f>
        <v>247915</v>
      </c>
      <c r="AP95" s="117"/>
      <c r="AQ95" s="117"/>
    </row>
    <row r="96" spans="1:43" ht="15.75" customHeight="1">
      <c r="A96" s="98"/>
      <c r="B96" s="119" t="s">
        <v>216</v>
      </c>
      <c r="C96" s="99"/>
      <c r="D96" s="119" t="s">
        <v>29</v>
      </c>
      <c r="E96" s="100" t="s">
        <v>79</v>
      </c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105">
        <v>20</v>
      </c>
      <c r="AK96" s="98"/>
      <c r="AL96" s="98"/>
      <c r="AM96" s="98"/>
      <c r="AN96" s="101"/>
      <c r="AO96" s="116"/>
      <c r="AP96" s="117"/>
      <c r="AQ96" s="117"/>
    </row>
    <row r="97" spans="1:43" ht="15.75" customHeight="1">
      <c r="A97" s="98">
        <v>35</v>
      </c>
      <c r="B97" s="118" t="s">
        <v>192</v>
      </c>
      <c r="C97" s="99"/>
      <c r="D97" s="119" t="s">
        <v>193</v>
      </c>
      <c r="E97" s="99" t="s">
        <v>79</v>
      </c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>
        <f t="shared" ref="AK97:AK101" si="19">SUM(F97:AG97)</f>
        <v>0</v>
      </c>
      <c r="AL97" s="98"/>
      <c r="AM97" s="98">
        <f t="shared" ref="AM97:AM101" si="20">AK97+AL97</f>
        <v>0</v>
      </c>
      <c r="AN97" s="101">
        <v>277</v>
      </c>
      <c r="AO97" s="116">
        <f t="shared" ref="AO97:AO101" si="21">AN97*AM97</f>
        <v>0</v>
      </c>
      <c r="AP97" s="117"/>
      <c r="AQ97" s="117"/>
    </row>
    <row r="98" spans="1:43" ht="15.75" customHeight="1">
      <c r="A98" s="105">
        <v>36</v>
      </c>
      <c r="B98" s="118" t="s">
        <v>161</v>
      </c>
      <c r="C98" s="99"/>
      <c r="D98" s="119" t="s">
        <v>194</v>
      </c>
      <c r="E98" s="99" t="s">
        <v>79</v>
      </c>
      <c r="F98" s="98"/>
      <c r="G98" s="98"/>
      <c r="H98" s="98"/>
      <c r="I98" s="98"/>
      <c r="J98" s="105">
        <v>15</v>
      </c>
      <c r="K98" s="98"/>
      <c r="L98" s="140"/>
      <c r="M98" s="98"/>
      <c r="N98" s="98"/>
      <c r="O98" s="98"/>
      <c r="P98" s="105">
        <v>20</v>
      </c>
      <c r="Q98" s="98"/>
      <c r="R98" s="98"/>
      <c r="S98" s="98"/>
      <c r="T98" s="98"/>
      <c r="U98" s="98"/>
      <c r="V98" s="105">
        <v>10</v>
      </c>
      <c r="W98" s="98"/>
      <c r="X98" s="98"/>
      <c r="Y98" s="105">
        <v>15</v>
      </c>
      <c r="Z98" s="105">
        <v>10</v>
      </c>
      <c r="AA98" s="105">
        <v>10</v>
      </c>
      <c r="AB98" s="105">
        <v>10</v>
      </c>
      <c r="AC98" s="105">
        <v>10</v>
      </c>
      <c r="AD98" s="105">
        <v>10</v>
      </c>
      <c r="AE98" s="98"/>
      <c r="AF98" s="105">
        <v>15</v>
      </c>
      <c r="AG98" s="105">
        <v>20</v>
      </c>
      <c r="AH98" s="105"/>
      <c r="AI98" s="105">
        <v>30</v>
      </c>
      <c r="AJ98" s="105">
        <v>10</v>
      </c>
      <c r="AK98" s="98">
        <f t="shared" si="19"/>
        <v>145</v>
      </c>
      <c r="AL98" s="98"/>
      <c r="AM98" s="98">
        <f t="shared" si="20"/>
        <v>145</v>
      </c>
      <c r="AN98" s="101">
        <v>277</v>
      </c>
      <c r="AO98" s="116">
        <f t="shared" si="21"/>
        <v>40165</v>
      </c>
      <c r="AP98" s="117"/>
      <c r="AQ98" s="117"/>
    </row>
    <row r="99" spans="1:43" ht="15.75" customHeight="1">
      <c r="A99" s="105">
        <v>37</v>
      </c>
      <c r="B99" s="100" t="s">
        <v>217</v>
      </c>
      <c r="C99" s="99"/>
      <c r="D99" s="100" t="s">
        <v>218</v>
      </c>
      <c r="E99" s="99" t="s">
        <v>79</v>
      </c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>
        <f t="shared" si="19"/>
        <v>0</v>
      </c>
      <c r="AL99" s="98"/>
      <c r="AM99" s="98">
        <f t="shared" si="20"/>
        <v>0</v>
      </c>
      <c r="AN99" s="101">
        <v>277</v>
      </c>
      <c r="AO99" s="116">
        <f t="shared" si="21"/>
        <v>0</v>
      </c>
      <c r="AP99" s="117"/>
      <c r="AQ99" s="117"/>
    </row>
    <row r="100" spans="1:43" ht="15.75" customHeight="1">
      <c r="A100" s="105">
        <v>38</v>
      </c>
      <c r="B100" s="99" t="s">
        <v>166</v>
      </c>
      <c r="C100" s="99"/>
      <c r="D100" s="100" t="s">
        <v>196</v>
      </c>
      <c r="E100" s="99" t="s">
        <v>79</v>
      </c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105">
        <v>10</v>
      </c>
      <c r="AB100" s="98"/>
      <c r="AC100" s="105">
        <v>5</v>
      </c>
      <c r="AD100" s="98"/>
      <c r="AE100" s="98"/>
      <c r="AF100" s="98"/>
      <c r="AG100" s="98"/>
      <c r="AH100" s="98"/>
      <c r="AI100" s="98"/>
      <c r="AJ100" s="98"/>
      <c r="AK100" s="98">
        <f t="shared" si="19"/>
        <v>15</v>
      </c>
      <c r="AL100" s="98"/>
      <c r="AM100" s="98">
        <f t="shared" si="20"/>
        <v>15</v>
      </c>
      <c r="AN100" s="101">
        <v>277</v>
      </c>
      <c r="AO100" s="116">
        <f t="shared" si="21"/>
        <v>4155</v>
      </c>
      <c r="AP100" s="117"/>
      <c r="AQ100" s="117"/>
    </row>
    <row r="101" spans="1:43" ht="15.75" customHeight="1">
      <c r="A101" s="105">
        <v>39</v>
      </c>
      <c r="B101" s="99" t="s">
        <v>197</v>
      </c>
      <c r="C101" s="99"/>
      <c r="D101" s="100" t="s">
        <v>198</v>
      </c>
      <c r="E101" s="99" t="s">
        <v>79</v>
      </c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>
        <f t="shared" si="19"/>
        <v>0</v>
      </c>
      <c r="AL101" s="98"/>
      <c r="AM101" s="98">
        <f t="shared" si="20"/>
        <v>0</v>
      </c>
      <c r="AN101" s="101">
        <v>277</v>
      </c>
      <c r="AO101" s="116">
        <f t="shared" si="21"/>
        <v>0</v>
      </c>
      <c r="AP101" s="117"/>
      <c r="AQ101" s="117"/>
    </row>
    <row r="102" spans="1:43" ht="15.75" customHeight="1">
      <c r="A102" s="105">
        <v>40</v>
      </c>
      <c r="B102" s="100" t="s">
        <v>219</v>
      </c>
      <c r="C102" s="141">
        <v>46052</v>
      </c>
      <c r="D102" s="100" t="s">
        <v>220</v>
      </c>
      <c r="E102" s="99" t="s">
        <v>79</v>
      </c>
      <c r="F102" s="98"/>
      <c r="G102" s="98"/>
      <c r="H102" s="98"/>
      <c r="I102" s="98"/>
      <c r="J102" s="98"/>
      <c r="K102" s="105">
        <v>40</v>
      </c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101"/>
      <c r="AO102" s="116"/>
      <c r="AP102" s="117"/>
      <c r="AQ102" s="117"/>
    </row>
    <row r="103" spans="1:43" ht="15.75" customHeight="1">
      <c r="A103" s="105">
        <v>41</v>
      </c>
      <c r="B103" s="100" t="s">
        <v>221</v>
      </c>
      <c r="C103" s="141">
        <v>46058</v>
      </c>
      <c r="D103" s="100" t="s">
        <v>220</v>
      </c>
      <c r="E103" s="99" t="s">
        <v>79</v>
      </c>
      <c r="F103" s="98"/>
      <c r="G103" s="98"/>
      <c r="H103" s="98"/>
      <c r="I103" s="98"/>
      <c r="J103" s="98"/>
      <c r="K103" s="105">
        <v>5</v>
      </c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101"/>
      <c r="AO103" s="116"/>
      <c r="AP103" s="117"/>
      <c r="AQ103" s="117"/>
    </row>
    <row r="104" spans="1:43" ht="15.75" customHeight="1">
      <c r="A104" s="105">
        <v>42</v>
      </c>
      <c r="B104" s="100" t="s">
        <v>221</v>
      </c>
      <c r="C104" s="141">
        <v>46059</v>
      </c>
      <c r="D104" s="100" t="s">
        <v>220</v>
      </c>
      <c r="E104" s="99" t="s">
        <v>79</v>
      </c>
      <c r="F104" s="98"/>
      <c r="G104" s="98"/>
      <c r="H104" s="98"/>
      <c r="I104" s="98"/>
      <c r="J104" s="98"/>
      <c r="K104" s="105">
        <v>20</v>
      </c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101"/>
      <c r="AO104" s="116"/>
      <c r="AP104" s="117"/>
      <c r="AQ104" s="117"/>
    </row>
    <row r="105" spans="1:43" ht="15.75" customHeight="1">
      <c r="A105" s="105">
        <v>43</v>
      </c>
      <c r="B105" s="100" t="s">
        <v>222</v>
      </c>
      <c r="C105" s="141">
        <v>46065</v>
      </c>
      <c r="D105" s="100" t="s">
        <v>220</v>
      </c>
      <c r="E105" s="99" t="s">
        <v>79</v>
      </c>
      <c r="F105" s="98"/>
      <c r="G105" s="98"/>
      <c r="H105" s="98"/>
      <c r="I105" s="98"/>
      <c r="J105" s="98"/>
      <c r="K105" s="105">
        <v>20</v>
      </c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101"/>
      <c r="AO105" s="116"/>
      <c r="AP105" s="117"/>
      <c r="AQ105" s="117"/>
    </row>
    <row r="106" spans="1:43" ht="15.75" customHeight="1">
      <c r="A106" s="105">
        <v>44</v>
      </c>
      <c r="B106" s="100" t="s">
        <v>223</v>
      </c>
      <c r="C106" s="141">
        <v>46073</v>
      </c>
      <c r="D106" s="100" t="s">
        <v>220</v>
      </c>
      <c r="E106" s="99" t="s">
        <v>79</v>
      </c>
      <c r="F106" s="98"/>
      <c r="G106" s="98"/>
      <c r="H106" s="98"/>
      <c r="I106" s="98"/>
      <c r="J106" s="98"/>
      <c r="K106" s="105">
        <v>10</v>
      </c>
      <c r="L106" s="98"/>
      <c r="M106" s="98"/>
      <c r="N106" s="98"/>
      <c r="O106" s="105">
        <v>15</v>
      </c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101"/>
      <c r="AO106" s="116"/>
      <c r="AP106" s="117"/>
      <c r="AQ106" s="117"/>
    </row>
    <row r="107" spans="1:43" ht="15.75" customHeight="1">
      <c r="A107" s="105">
        <v>45</v>
      </c>
      <c r="B107" s="100" t="s">
        <v>224</v>
      </c>
      <c r="C107" s="141">
        <v>46370</v>
      </c>
      <c r="D107" s="100" t="s">
        <v>220</v>
      </c>
      <c r="E107" s="99" t="s">
        <v>79</v>
      </c>
      <c r="F107" s="98"/>
      <c r="G107" s="98"/>
      <c r="H107" s="98"/>
      <c r="I107" s="98"/>
      <c r="J107" s="98"/>
      <c r="K107" s="105">
        <v>25</v>
      </c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101"/>
      <c r="AO107" s="116"/>
      <c r="AP107" s="117"/>
      <c r="AQ107" s="117"/>
    </row>
    <row r="108" spans="1:43" ht="15.75" customHeight="1">
      <c r="A108" s="105">
        <v>46</v>
      </c>
      <c r="B108" s="100" t="s">
        <v>224</v>
      </c>
      <c r="C108" s="141">
        <v>46386</v>
      </c>
      <c r="D108" s="100" t="s">
        <v>220</v>
      </c>
      <c r="E108" s="99" t="s">
        <v>79</v>
      </c>
      <c r="F108" s="98"/>
      <c r="G108" s="98"/>
      <c r="H108" s="98"/>
      <c r="I108" s="98"/>
      <c r="J108" s="98"/>
      <c r="K108" s="105">
        <v>20</v>
      </c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>
        <f>SUM(F108:AG108)</f>
        <v>20</v>
      </c>
      <c r="AL108" s="98"/>
      <c r="AM108" s="98">
        <f t="shared" ref="AM108:AM109" si="22">AK108+AL108</f>
        <v>20</v>
      </c>
      <c r="AN108" s="101">
        <v>277</v>
      </c>
      <c r="AO108" s="116">
        <f>AN108*AM108</f>
        <v>5540</v>
      </c>
      <c r="AP108" s="117"/>
      <c r="AQ108" s="117"/>
    </row>
    <row r="109" spans="1:43" ht="15.75" customHeight="1">
      <c r="A109" s="142"/>
      <c r="B109" s="176" t="s">
        <v>27</v>
      </c>
      <c r="C109" s="177"/>
      <c r="D109" s="177"/>
      <c r="E109" s="178"/>
      <c r="F109" s="121">
        <f t="shared" ref="F109:AK109" si="23">SUM(F58:F108)</f>
        <v>100</v>
      </c>
      <c r="G109" s="121">
        <f t="shared" si="23"/>
        <v>55</v>
      </c>
      <c r="H109" s="121">
        <f t="shared" si="23"/>
        <v>140</v>
      </c>
      <c r="I109" s="121">
        <f t="shared" si="23"/>
        <v>190</v>
      </c>
      <c r="J109" s="121">
        <f t="shared" si="23"/>
        <v>90</v>
      </c>
      <c r="K109" s="121">
        <f t="shared" si="23"/>
        <v>300</v>
      </c>
      <c r="L109" s="121">
        <f t="shared" si="23"/>
        <v>115</v>
      </c>
      <c r="M109" s="121">
        <f t="shared" si="23"/>
        <v>60</v>
      </c>
      <c r="N109" s="121">
        <f t="shared" si="23"/>
        <v>50</v>
      </c>
      <c r="O109" s="121">
        <f t="shared" si="23"/>
        <v>105</v>
      </c>
      <c r="P109" s="121">
        <f t="shared" si="23"/>
        <v>65</v>
      </c>
      <c r="Q109" s="121">
        <f t="shared" si="23"/>
        <v>120</v>
      </c>
      <c r="R109" s="121">
        <f t="shared" si="23"/>
        <v>70</v>
      </c>
      <c r="S109" s="121">
        <f t="shared" si="23"/>
        <v>30</v>
      </c>
      <c r="T109" s="121">
        <f t="shared" si="23"/>
        <v>30</v>
      </c>
      <c r="U109" s="121">
        <f t="shared" si="23"/>
        <v>30</v>
      </c>
      <c r="V109" s="121">
        <f t="shared" si="23"/>
        <v>115</v>
      </c>
      <c r="W109" s="121">
        <f t="shared" si="23"/>
        <v>110</v>
      </c>
      <c r="X109" s="121">
        <f t="shared" si="23"/>
        <v>20</v>
      </c>
      <c r="Y109" s="121">
        <f t="shared" si="23"/>
        <v>175</v>
      </c>
      <c r="Z109" s="121">
        <f t="shared" si="23"/>
        <v>130</v>
      </c>
      <c r="AA109" s="121">
        <f t="shared" si="23"/>
        <v>135</v>
      </c>
      <c r="AB109" s="121">
        <f t="shared" si="23"/>
        <v>105</v>
      </c>
      <c r="AC109" s="121">
        <f t="shared" si="23"/>
        <v>144</v>
      </c>
      <c r="AD109" s="121">
        <f t="shared" si="23"/>
        <v>100</v>
      </c>
      <c r="AE109" s="121">
        <f t="shared" si="23"/>
        <v>70</v>
      </c>
      <c r="AF109" s="121">
        <f t="shared" si="23"/>
        <v>105</v>
      </c>
      <c r="AG109" s="121">
        <f t="shared" si="23"/>
        <v>90</v>
      </c>
      <c r="AH109" s="121">
        <f t="shared" si="23"/>
        <v>30</v>
      </c>
      <c r="AI109" s="121">
        <f t="shared" si="23"/>
        <v>105</v>
      </c>
      <c r="AJ109" s="121">
        <f t="shared" si="23"/>
        <v>90</v>
      </c>
      <c r="AK109" s="121">
        <f t="shared" si="23"/>
        <v>2655</v>
      </c>
      <c r="AL109" s="120"/>
      <c r="AM109" s="108">
        <f t="shared" si="22"/>
        <v>2655</v>
      </c>
      <c r="AN109" s="110"/>
      <c r="AO109" s="122">
        <f>SUM(AO58:AO108)</f>
        <v>735435</v>
      </c>
      <c r="AP109" s="123"/>
      <c r="AQ109" s="123"/>
    </row>
    <row r="110" spans="1:43" ht="15.75" customHeight="1">
      <c r="A110" s="94"/>
      <c r="B110" s="124"/>
      <c r="C110" s="124"/>
      <c r="D110" s="124"/>
      <c r="E110" s="124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</row>
    <row r="111" spans="1:43" ht="15.75" customHeight="1">
      <c r="A111" s="94"/>
      <c r="B111" s="126" t="s">
        <v>31</v>
      </c>
      <c r="C111" s="124"/>
      <c r="D111" s="124"/>
      <c r="E111" s="124"/>
      <c r="F111" s="143">
        <v>820</v>
      </c>
      <c r="G111" s="143">
        <v>645</v>
      </c>
      <c r="H111" s="143">
        <v>450</v>
      </c>
      <c r="I111" s="143">
        <v>610</v>
      </c>
      <c r="J111" s="143">
        <v>250</v>
      </c>
      <c r="K111" s="143">
        <v>595</v>
      </c>
      <c r="L111" s="143">
        <v>235</v>
      </c>
      <c r="M111" s="143">
        <v>300</v>
      </c>
      <c r="N111" s="143">
        <v>100</v>
      </c>
      <c r="O111" s="143">
        <v>303</v>
      </c>
      <c r="P111" s="143">
        <v>58</v>
      </c>
      <c r="Q111" s="143">
        <v>173</v>
      </c>
      <c r="R111" s="143">
        <v>3</v>
      </c>
      <c r="S111" s="143">
        <v>83</v>
      </c>
      <c r="T111" s="143">
        <v>13</v>
      </c>
      <c r="U111" s="143">
        <v>403</v>
      </c>
      <c r="V111" s="143">
        <v>198</v>
      </c>
      <c r="W111" s="143">
        <v>8</v>
      </c>
      <c r="X111" s="143">
        <v>60</v>
      </c>
      <c r="Y111" s="143">
        <v>420</v>
      </c>
      <c r="Z111" s="143">
        <v>160</v>
      </c>
      <c r="AA111" s="127">
        <f>Z114</f>
        <v>305</v>
      </c>
      <c r="AB111" s="143">
        <v>60</v>
      </c>
      <c r="AC111" s="143">
        <v>115</v>
      </c>
      <c r="AD111" s="143">
        <v>411</v>
      </c>
      <c r="AE111" s="143">
        <v>176</v>
      </c>
      <c r="AF111" s="143">
        <v>599</v>
      </c>
      <c r="AG111" s="143">
        <v>269</v>
      </c>
      <c r="AH111" s="144">
        <v>69</v>
      </c>
      <c r="AI111" s="144">
        <v>597</v>
      </c>
      <c r="AJ111" s="144">
        <v>367</v>
      </c>
      <c r="AK111" s="125"/>
      <c r="AL111" s="125"/>
      <c r="AM111" s="125"/>
      <c r="AN111" s="125"/>
      <c r="AO111" s="125"/>
      <c r="AP111" s="125"/>
      <c r="AQ111" s="125"/>
    </row>
    <row r="112" spans="1:43" ht="15.75" customHeight="1">
      <c r="A112" s="94"/>
      <c r="B112" s="126" t="s">
        <v>32</v>
      </c>
      <c r="C112" s="124"/>
      <c r="D112" s="124"/>
      <c r="E112" s="124"/>
      <c r="F112" s="129">
        <v>0</v>
      </c>
      <c r="G112" s="129">
        <v>0</v>
      </c>
      <c r="H112" s="129">
        <v>500</v>
      </c>
      <c r="I112" s="128">
        <v>0</v>
      </c>
      <c r="J112" s="129">
        <v>530</v>
      </c>
      <c r="K112" s="129">
        <v>0</v>
      </c>
      <c r="L112" s="129">
        <v>300</v>
      </c>
      <c r="M112" s="129">
        <v>0</v>
      </c>
      <c r="N112" s="129">
        <v>400</v>
      </c>
      <c r="O112" s="129">
        <v>0</v>
      </c>
      <c r="P112" s="129">
        <v>300</v>
      </c>
      <c r="Q112" s="145">
        <v>80</v>
      </c>
      <c r="R112" s="129">
        <v>300</v>
      </c>
      <c r="S112" s="129">
        <v>40</v>
      </c>
      <c r="T112" s="129">
        <v>520</v>
      </c>
      <c r="U112" s="128"/>
      <c r="V112" s="129">
        <v>0</v>
      </c>
      <c r="W112" s="129">
        <v>300</v>
      </c>
      <c r="X112" s="129">
        <v>400</v>
      </c>
      <c r="Y112" s="129">
        <v>0</v>
      </c>
      <c r="Z112" s="129">
        <v>400</v>
      </c>
      <c r="AA112" s="128"/>
      <c r="AB112" s="129">
        <v>200</v>
      </c>
      <c r="AC112" s="129">
        <v>550</v>
      </c>
      <c r="AD112" s="129">
        <v>0</v>
      </c>
      <c r="AE112" s="129">
        <v>600</v>
      </c>
      <c r="AF112" s="129">
        <v>0</v>
      </c>
      <c r="AG112" s="129">
        <v>0</v>
      </c>
      <c r="AH112" s="146">
        <v>600</v>
      </c>
      <c r="AI112" s="146">
        <v>0</v>
      </c>
      <c r="AJ112" s="146">
        <v>0</v>
      </c>
      <c r="AK112" s="125"/>
      <c r="AL112" s="125"/>
      <c r="AM112" s="125"/>
      <c r="AN112" s="125"/>
      <c r="AO112" s="125"/>
      <c r="AP112" s="125"/>
      <c r="AQ112" s="125"/>
    </row>
    <row r="113" spans="1:43" ht="15.75" customHeight="1">
      <c r="A113" s="94"/>
      <c r="B113" s="125" t="s">
        <v>33</v>
      </c>
      <c r="C113" s="88"/>
      <c r="D113" s="88"/>
      <c r="E113" s="125"/>
      <c r="F113" s="94">
        <f t="shared" ref="F113:AG113" si="24">F109+F56</f>
        <v>175</v>
      </c>
      <c r="G113" s="94">
        <f t="shared" si="24"/>
        <v>195</v>
      </c>
      <c r="H113" s="94">
        <f t="shared" si="24"/>
        <v>340</v>
      </c>
      <c r="I113" s="94">
        <f t="shared" si="24"/>
        <v>360</v>
      </c>
      <c r="J113" s="94">
        <f t="shared" si="24"/>
        <v>185</v>
      </c>
      <c r="K113" s="94">
        <f t="shared" si="24"/>
        <v>360</v>
      </c>
      <c r="L113" s="94">
        <f t="shared" si="24"/>
        <v>235</v>
      </c>
      <c r="M113" s="94">
        <f t="shared" si="24"/>
        <v>200</v>
      </c>
      <c r="N113" s="94">
        <f t="shared" si="24"/>
        <v>197</v>
      </c>
      <c r="O113" s="94">
        <f t="shared" si="24"/>
        <v>245</v>
      </c>
      <c r="P113" s="94">
        <f t="shared" si="24"/>
        <v>185</v>
      </c>
      <c r="Q113" s="94">
        <f t="shared" si="24"/>
        <v>250</v>
      </c>
      <c r="R113" s="94">
        <f t="shared" si="24"/>
        <v>220</v>
      </c>
      <c r="S113" s="94">
        <f t="shared" si="24"/>
        <v>110</v>
      </c>
      <c r="T113" s="94">
        <f t="shared" si="24"/>
        <v>130</v>
      </c>
      <c r="U113" s="94">
        <f t="shared" si="24"/>
        <v>205</v>
      </c>
      <c r="V113" s="94">
        <f t="shared" si="24"/>
        <v>190</v>
      </c>
      <c r="W113" s="94">
        <f t="shared" si="24"/>
        <v>248</v>
      </c>
      <c r="X113" s="94">
        <f t="shared" si="24"/>
        <v>40</v>
      </c>
      <c r="Y113" s="94">
        <f t="shared" si="24"/>
        <v>260</v>
      </c>
      <c r="Z113" s="94">
        <f t="shared" si="24"/>
        <v>255</v>
      </c>
      <c r="AA113" s="94">
        <f t="shared" si="24"/>
        <v>245</v>
      </c>
      <c r="AB113" s="94">
        <f t="shared" si="24"/>
        <v>145</v>
      </c>
      <c r="AC113" s="94">
        <f t="shared" si="24"/>
        <v>254</v>
      </c>
      <c r="AD113" s="94">
        <f t="shared" si="24"/>
        <v>235</v>
      </c>
      <c r="AE113" s="94">
        <f t="shared" si="24"/>
        <v>177</v>
      </c>
      <c r="AF113" s="94">
        <f t="shared" si="24"/>
        <v>330</v>
      </c>
      <c r="AG113" s="94">
        <f t="shared" si="24"/>
        <v>200</v>
      </c>
      <c r="AH113" s="94">
        <f>SUM(AH109+AH56)</f>
        <v>72</v>
      </c>
      <c r="AI113" s="94">
        <f t="shared" ref="AI113:AM113" si="25">AI109+AI56</f>
        <v>230</v>
      </c>
      <c r="AJ113" s="94">
        <f t="shared" si="25"/>
        <v>205</v>
      </c>
      <c r="AK113" s="94">
        <f t="shared" si="25"/>
        <v>5287</v>
      </c>
      <c r="AL113" s="94">
        <f t="shared" si="25"/>
        <v>0</v>
      </c>
      <c r="AM113" s="94">
        <f t="shared" si="25"/>
        <v>5287</v>
      </c>
      <c r="AN113" s="94"/>
      <c r="AO113" s="130">
        <f>AO109+AO56</f>
        <v>1464499</v>
      </c>
      <c r="AP113" s="103"/>
      <c r="AQ113" s="103"/>
    </row>
    <row r="114" spans="1:43" ht="15.75" customHeight="1">
      <c r="A114" s="94"/>
      <c r="B114" s="125" t="s">
        <v>34</v>
      </c>
      <c r="C114" s="88"/>
      <c r="D114" s="88"/>
      <c r="E114" s="125"/>
      <c r="F114" s="94">
        <f t="shared" ref="F114:AJ114" si="26">F111+F112-F113</f>
        <v>645</v>
      </c>
      <c r="G114" s="94">
        <f t="shared" si="26"/>
        <v>450</v>
      </c>
      <c r="H114" s="94">
        <f t="shared" si="26"/>
        <v>610</v>
      </c>
      <c r="I114" s="94">
        <f t="shared" si="26"/>
        <v>250</v>
      </c>
      <c r="J114" s="94">
        <f t="shared" si="26"/>
        <v>595</v>
      </c>
      <c r="K114" s="94">
        <f t="shared" si="26"/>
        <v>235</v>
      </c>
      <c r="L114" s="94">
        <f t="shared" si="26"/>
        <v>300</v>
      </c>
      <c r="M114" s="94">
        <f t="shared" si="26"/>
        <v>100</v>
      </c>
      <c r="N114" s="94">
        <f t="shared" si="26"/>
        <v>303</v>
      </c>
      <c r="O114" s="94">
        <f t="shared" si="26"/>
        <v>58</v>
      </c>
      <c r="P114" s="94">
        <f t="shared" si="26"/>
        <v>173</v>
      </c>
      <c r="Q114" s="94">
        <f t="shared" si="26"/>
        <v>3</v>
      </c>
      <c r="R114" s="94">
        <f t="shared" si="26"/>
        <v>83</v>
      </c>
      <c r="S114" s="94">
        <f t="shared" si="26"/>
        <v>13</v>
      </c>
      <c r="T114" s="94">
        <f t="shared" si="26"/>
        <v>403</v>
      </c>
      <c r="U114" s="94">
        <f t="shared" si="26"/>
        <v>198</v>
      </c>
      <c r="V114" s="94">
        <f t="shared" si="26"/>
        <v>8</v>
      </c>
      <c r="W114" s="94">
        <f t="shared" si="26"/>
        <v>60</v>
      </c>
      <c r="X114" s="94">
        <f t="shared" si="26"/>
        <v>420</v>
      </c>
      <c r="Y114" s="94">
        <f t="shared" si="26"/>
        <v>160</v>
      </c>
      <c r="Z114" s="94">
        <f t="shared" si="26"/>
        <v>305</v>
      </c>
      <c r="AA114" s="94">
        <f t="shared" si="26"/>
        <v>60</v>
      </c>
      <c r="AB114" s="94">
        <f t="shared" si="26"/>
        <v>115</v>
      </c>
      <c r="AC114" s="94">
        <f t="shared" si="26"/>
        <v>411</v>
      </c>
      <c r="AD114" s="94">
        <f t="shared" si="26"/>
        <v>176</v>
      </c>
      <c r="AE114" s="94">
        <f t="shared" si="26"/>
        <v>599</v>
      </c>
      <c r="AF114" s="94">
        <f t="shared" si="26"/>
        <v>269</v>
      </c>
      <c r="AG114" s="94">
        <f t="shared" si="26"/>
        <v>69</v>
      </c>
      <c r="AH114" s="94">
        <f t="shared" si="26"/>
        <v>597</v>
      </c>
      <c r="AI114" s="94">
        <f t="shared" si="26"/>
        <v>367</v>
      </c>
      <c r="AJ114" s="94">
        <f t="shared" si="26"/>
        <v>162</v>
      </c>
      <c r="AK114" s="125"/>
      <c r="AL114" s="125"/>
      <c r="AM114" s="94"/>
      <c r="AN114" s="103"/>
      <c r="AO114" s="125"/>
      <c r="AP114" s="125"/>
      <c r="AQ114" s="125"/>
    </row>
    <row r="115" spans="1:43" ht="15.7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47" t="s">
        <v>225</v>
      </c>
      <c r="AP115" s="104"/>
      <c r="AQ115" s="104"/>
    </row>
    <row r="116" spans="1:43" ht="15.75" customHeight="1">
      <c r="A116" s="131"/>
      <c r="B116" s="132" t="s">
        <v>35</v>
      </c>
      <c r="C116" s="131"/>
      <c r="D116" s="131"/>
      <c r="E116" s="131"/>
      <c r="F116" s="179">
        <f>F111</f>
        <v>820</v>
      </c>
      <c r="G116" s="180"/>
      <c r="H116" s="180"/>
      <c r="I116" s="18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</row>
    <row r="117" spans="1:43" ht="15.75" customHeight="1">
      <c r="A117" s="131"/>
      <c r="B117" s="132" t="s">
        <v>37</v>
      </c>
      <c r="C117" s="131"/>
      <c r="D117" s="131"/>
      <c r="E117" s="131"/>
      <c r="F117" s="179">
        <f>SUM(F112:AG112)</f>
        <v>5420</v>
      </c>
      <c r="G117" s="180"/>
      <c r="H117" s="180"/>
      <c r="I117" s="18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</row>
    <row r="118" spans="1:43" ht="15.75" customHeight="1">
      <c r="A118" s="131"/>
      <c r="B118" s="132" t="s">
        <v>39</v>
      </c>
      <c r="C118" s="131"/>
      <c r="D118" s="131"/>
      <c r="E118" s="131"/>
      <c r="F118" s="179">
        <f>AG114</f>
        <v>69</v>
      </c>
      <c r="G118" s="180"/>
      <c r="H118" s="18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3"/>
      <c r="AP118" s="131"/>
      <c r="AQ118" s="131"/>
    </row>
    <row r="119" spans="1:43" ht="15.75" customHeight="1">
      <c r="A119" s="131"/>
      <c r="B119" s="132" t="s">
        <v>199</v>
      </c>
      <c r="C119" s="131"/>
      <c r="D119" s="131"/>
      <c r="E119" s="131"/>
      <c r="F119" s="179">
        <f>AK113</f>
        <v>5287</v>
      </c>
      <c r="G119" s="180"/>
      <c r="H119" s="18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3"/>
      <c r="AP119" s="131"/>
      <c r="AQ119" s="131"/>
    </row>
    <row r="120" spans="1:43" ht="15.7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3"/>
      <c r="AP120" s="131"/>
      <c r="AQ120" s="131"/>
    </row>
    <row r="121" spans="1:43" ht="15.75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</row>
    <row r="122" spans="1:43" ht="15.75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</row>
    <row r="123" spans="1:43" ht="15.75" customHeight="1">
      <c r="A123" s="104"/>
      <c r="B123" s="132" t="s">
        <v>200</v>
      </c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2" t="s">
        <v>201</v>
      </c>
      <c r="R123" s="131"/>
      <c r="S123" s="131"/>
      <c r="T123" s="131"/>
      <c r="U123" s="131"/>
      <c r="V123" s="131"/>
      <c r="W123" s="131"/>
      <c r="X123" s="131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</row>
    <row r="124" spans="1:43" ht="15.75" customHeight="1">
      <c r="A124" s="104"/>
      <c r="B124" s="134" t="s">
        <v>202</v>
      </c>
      <c r="C124" s="135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6" t="s">
        <v>203</v>
      </c>
      <c r="R124" s="131"/>
      <c r="S124" s="131"/>
      <c r="T124" s="131"/>
      <c r="U124" s="131"/>
      <c r="V124" s="131"/>
      <c r="W124" s="131"/>
      <c r="X124" s="131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</row>
    <row r="125" spans="1:43" ht="15.75" customHeight="1">
      <c r="A125" s="104"/>
      <c r="B125" s="137" t="s">
        <v>204</v>
      </c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6" t="s">
        <v>205</v>
      </c>
      <c r="R125" s="131"/>
      <c r="S125" s="131"/>
      <c r="T125" s="131"/>
      <c r="U125" s="131"/>
      <c r="V125" s="131"/>
      <c r="W125" s="131"/>
      <c r="X125" s="131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</row>
    <row r="126" spans="1:43" ht="15.75" customHeight="1">
      <c r="A126" s="104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6" t="s">
        <v>206</v>
      </c>
      <c r="R126" s="131"/>
      <c r="S126" s="131"/>
      <c r="T126" s="131"/>
      <c r="U126" s="131"/>
      <c r="V126" s="131"/>
      <c r="W126" s="131"/>
      <c r="X126" s="131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</row>
    <row r="127" spans="1:43" ht="15.75" customHeight="1">
      <c r="A127" s="104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</row>
    <row r="128" spans="1:43" ht="15.75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</row>
    <row r="129" spans="1:43" ht="15.75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</row>
    <row r="130" spans="1:43" ht="15.75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</row>
    <row r="131" spans="1:43" ht="15.75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</row>
    <row r="132" spans="1:43" ht="15.75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</row>
    <row r="133" spans="1:43" ht="15.7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</row>
    <row r="134" spans="1:43" ht="15.75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</row>
    <row r="135" spans="1:43" ht="15.75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</row>
    <row r="136" spans="1:43" ht="15.7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</row>
    <row r="137" spans="1:43" ht="15.75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</row>
    <row r="138" spans="1:43" ht="15.75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</row>
    <row r="139" spans="1:43" ht="15.7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</row>
    <row r="140" spans="1:43" ht="15.75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</row>
    <row r="141" spans="1:43" ht="15.75" customHeight="1">
      <c r="A141" s="104"/>
      <c r="B141" s="104"/>
      <c r="C141" s="104"/>
      <c r="D141" s="104" t="s">
        <v>207</v>
      </c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</row>
    <row r="142" spans="1:43" ht="15.7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</row>
    <row r="143" spans="1:43" ht="15.7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</row>
    <row r="144" spans="1:43" ht="15.7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</row>
    <row r="145" spans="1:43" ht="15.7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</row>
    <row r="146" spans="1:43" ht="15.7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</row>
    <row r="147" spans="1:43" ht="15.75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</row>
    <row r="148" spans="1:43" ht="15.75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</row>
    <row r="149" spans="1:43" ht="15.75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</row>
    <row r="150" spans="1:43" ht="15.75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</row>
    <row r="151" spans="1:43" ht="15.75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</row>
    <row r="152" spans="1:43" ht="15.75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</row>
    <row r="153" spans="1:43" ht="15.75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</row>
    <row r="154" spans="1:43" ht="15.75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</row>
    <row r="155" spans="1:43" ht="15.75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</row>
    <row r="156" spans="1:43" ht="15.75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</row>
    <row r="157" spans="1:43" ht="15.75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</row>
    <row r="158" spans="1:43" ht="15.75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</row>
    <row r="159" spans="1:43" ht="15.75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</row>
    <row r="160" spans="1:43" ht="15.75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</row>
    <row r="161" spans="1:43" ht="15.75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</row>
    <row r="162" spans="1:43" ht="15.75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</row>
    <row r="163" spans="1:43" ht="15.75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</row>
    <row r="164" spans="1:43" ht="15.75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</row>
    <row r="165" spans="1:43" ht="15.75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</row>
    <row r="166" spans="1:43" ht="15.75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</row>
    <row r="167" spans="1:43" ht="15.75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  <c r="AP167" s="104"/>
      <c r="AQ167" s="104"/>
    </row>
    <row r="168" spans="1:43" ht="15.75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</row>
    <row r="169" spans="1:43" ht="15.75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</row>
    <row r="170" spans="1:43" ht="15.75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</row>
    <row r="171" spans="1:43" ht="15.75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</row>
    <row r="172" spans="1:43" ht="15.75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</row>
    <row r="173" spans="1:43" ht="15.75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</row>
    <row r="174" spans="1:43" ht="15.75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</row>
    <row r="175" spans="1:43" ht="15.75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</row>
    <row r="176" spans="1:43" ht="15.75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</row>
    <row r="177" spans="1:43" ht="15.75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</row>
    <row r="178" spans="1:43" ht="15.75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  <c r="AP178" s="104"/>
      <c r="AQ178" s="104"/>
    </row>
    <row r="179" spans="1:43" ht="15.75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</row>
    <row r="180" spans="1:43" ht="15.75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</row>
    <row r="181" spans="1:43" ht="15.75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</row>
    <row r="182" spans="1:43" ht="15.75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</row>
    <row r="183" spans="1:43" ht="15.75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  <c r="AP183" s="104"/>
      <c r="AQ183" s="104"/>
    </row>
    <row r="184" spans="1:43" ht="15.75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  <c r="AP184" s="104"/>
      <c r="AQ184" s="104"/>
    </row>
    <row r="185" spans="1:43" ht="15.75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  <c r="AP185" s="104"/>
      <c r="AQ185" s="104"/>
    </row>
    <row r="186" spans="1:43" ht="15.75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</row>
    <row r="187" spans="1:43" ht="15.75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</row>
    <row r="188" spans="1:43" ht="15.75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  <c r="AP188" s="104"/>
      <c r="AQ188" s="104"/>
    </row>
    <row r="189" spans="1:43" ht="15.75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</row>
    <row r="190" spans="1:43" ht="15.75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/>
      <c r="AQ190" s="104"/>
    </row>
    <row r="191" spans="1:43" ht="15.75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</row>
    <row r="192" spans="1:43" ht="15.75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</row>
    <row r="193" spans="1:43" ht="15.75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</row>
    <row r="194" spans="1:43" ht="15.75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</row>
    <row r="195" spans="1:43" ht="15.75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  <c r="AP195" s="104"/>
      <c r="AQ195" s="104"/>
    </row>
    <row r="196" spans="1:43" ht="15.75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</row>
    <row r="197" spans="1:43" ht="15.75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</row>
    <row r="198" spans="1:43" ht="15.75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</row>
    <row r="199" spans="1:43" ht="15.75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</row>
    <row r="200" spans="1:43" ht="15.75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</row>
    <row r="201" spans="1:43" ht="15.75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</row>
    <row r="202" spans="1:43" ht="15.75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</row>
    <row r="203" spans="1:43" ht="15.75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</row>
    <row r="204" spans="1:43" ht="15.75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</row>
    <row r="205" spans="1:43" ht="15.7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</row>
    <row r="206" spans="1:43" ht="15.75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</row>
    <row r="207" spans="1:43" ht="15.75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</row>
    <row r="208" spans="1:43" ht="15.75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</row>
    <row r="209" spans="1:43" ht="15.75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</row>
    <row r="210" spans="1:43" ht="15.7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</row>
    <row r="211" spans="1:43" ht="15.7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</row>
    <row r="212" spans="1:43" ht="15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</row>
    <row r="213" spans="1:43" ht="15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</row>
    <row r="214" spans="1:43" ht="15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</row>
    <row r="215" spans="1:43" ht="15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</row>
    <row r="216" spans="1:43" ht="15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</row>
    <row r="217" spans="1:43" ht="15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</row>
    <row r="218" spans="1:43" ht="15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</row>
    <row r="219" spans="1:43" ht="15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</row>
    <row r="220" spans="1:43" ht="15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</row>
    <row r="221" spans="1:43" ht="15.7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</row>
    <row r="222" spans="1:43" ht="15.75" customHeight="1"/>
    <row r="223" spans="1:43" ht="15.75" customHeight="1"/>
    <row r="224" spans="1:4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7">
    <mergeCell ref="Z2:AG2"/>
    <mergeCell ref="A5:A6"/>
    <mergeCell ref="B5:B6"/>
    <mergeCell ref="C5:C6"/>
    <mergeCell ref="D5:D6"/>
    <mergeCell ref="E5:E6"/>
    <mergeCell ref="F5:AG5"/>
    <mergeCell ref="B109:E109"/>
    <mergeCell ref="F116:I116"/>
    <mergeCell ref="F117:I117"/>
    <mergeCell ref="F118:H118"/>
    <mergeCell ref="F119:H119"/>
    <mergeCell ref="AK5:AK6"/>
    <mergeCell ref="AL5:AL6"/>
    <mergeCell ref="AM5:AM6"/>
    <mergeCell ref="AN5:AN6"/>
    <mergeCell ref="AO5:AO6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21"/>
  <sheetViews>
    <sheetView topLeftCell="AC58" workbookViewId="0"/>
  </sheetViews>
  <sheetFormatPr defaultColWidth="14.42578125" defaultRowHeight="15" customHeight="1"/>
  <cols>
    <col min="23" max="24" width="4.28515625" customWidth="1"/>
  </cols>
  <sheetData>
    <row r="1" spans="1:41">
      <c r="A1" s="87" t="s">
        <v>0</v>
      </c>
      <c r="B1" s="88"/>
      <c r="C1" s="88"/>
      <c r="D1" s="88"/>
      <c r="E1" s="89" t="s">
        <v>1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9"/>
      <c r="S1" s="88"/>
      <c r="T1" s="88"/>
      <c r="U1" s="88"/>
      <c r="V1" s="87"/>
      <c r="W1" s="88"/>
      <c r="X1" s="88"/>
      <c r="Y1" s="88"/>
      <c r="Z1" s="89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90"/>
      <c r="AL1" s="90"/>
      <c r="AM1" s="90"/>
      <c r="AN1" s="91"/>
      <c r="AO1" s="88"/>
    </row>
    <row r="2" spans="1:41">
      <c r="A2" s="87" t="s">
        <v>50</v>
      </c>
      <c r="B2" s="88"/>
      <c r="C2" s="88"/>
      <c r="D2" s="88"/>
      <c r="E2" s="89" t="s">
        <v>78</v>
      </c>
      <c r="F2" s="88"/>
      <c r="G2" s="88"/>
      <c r="H2" s="88"/>
      <c r="I2" s="88"/>
      <c r="J2" s="138" t="s">
        <v>226</v>
      </c>
      <c r="K2" s="88"/>
      <c r="L2" s="88"/>
      <c r="M2" s="88"/>
      <c r="N2" s="88"/>
      <c r="O2" s="88"/>
      <c r="P2" s="88"/>
      <c r="Q2" s="88"/>
      <c r="R2" s="89" t="s">
        <v>5</v>
      </c>
      <c r="S2" s="88"/>
      <c r="T2" s="88"/>
      <c r="U2" s="88"/>
      <c r="V2" s="87"/>
      <c r="W2" s="88"/>
      <c r="X2" s="88"/>
      <c r="Y2" s="88"/>
      <c r="Z2" s="182"/>
      <c r="AA2" s="172"/>
      <c r="AB2" s="172"/>
      <c r="AC2" s="172"/>
      <c r="AD2" s="172"/>
      <c r="AE2" s="172"/>
      <c r="AF2" s="172"/>
      <c r="AG2" s="172"/>
      <c r="AH2" s="92"/>
      <c r="AI2" s="92"/>
      <c r="AJ2" s="92"/>
      <c r="AK2" s="90"/>
      <c r="AL2" s="90"/>
      <c r="AM2" s="90"/>
      <c r="AN2" s="91"/>
      <c r="AO2" s="88"/>
    </row>
    <row r="3" spans="1:41">
      <c r="A3" s="87"/>
      <c r="B3" s="88"/>
      <c r="C3" s="88"/>
      <c r="D3" s="88"/>
      <c r="E3" s="89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S3" s="88"/>
      <c r="T3" s="88"/>
      <c r="U3" s="88"/>
      <c r="V3" s="87"/>
      <c r="W3" s="88"/>
      <c r="X3" s="88"/>
      <c r="Y3" s="88"/>
      <c r="Z3" s="89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90"/>
      <c r="AL3" s="90"/>
      <c r="AM3" s="90"/>
      <c r="AN3" s="91"/>
      <c r="AO3" s="88"/>
    </row>
    <row r="4" spans="1:41" ht="15" customHeight="1">
      <c r="A4" s="87"/>
      <c r="B4" s="88"/>
      <c r="C4" s="88"/>
      <c r="D4" s="93" t="s">
        <v>52</v>
      </c>
      <c r="E4" s="89"/>
      <c r="F4" s="88"/>
      <c r="G4" s="88"/>
      <c r="H4" s="94"/>
      <c r="I4" s="88"/>
      <c r="J4" s="88"/>
      <c r="K4" s="88"/>
      <c r="L4" s="88"/>
      <c r="M4" s="88"/>
      <c r="N4" s="88"/>
      <c r="O4" s="88"/>
      <c r="P4" s="88"/>
      <c r="Q4" s="88"/>
      <c r="R4" s="89"/>
      <c r="S4" s="88"/>
      <c r="T4" s="88"/>
      <c r="U4" s="88"/>
      <c r="V4" s="87"/>
      <c r="W4" s="88"/>
      <c r="X4" s="88"/>
      <c r="Y4" s="93"/>
      <c r="Z4" s="89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90"/>
      <c r="AL4" s="90"/>
      <c r="AM4" s="90"/>
      <c r="AN4" s="91"/>
      <c r="AO4" s="88"/>
    </row>
    <row r="5" spans="1:41">
      <c r="A5" s="174" t="s">
        <v>6</v>
      </c>
      <c r="B5" s="174" t="s">
        <v>7</v>
      </c>
      <c r="C5" s="174" t="s">
        <v>8</v>
      </c>
      <c r="D5" s="174" t="s">
        <v>46</v>
      </c>
      <c r="E5" s="174" t="s">
        <v>10</v>
      </c>
      <c r="F5" s="183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84"/>
      <c r="AH5" s="95"/>
      <c r="AI5" s="95"/>
      <c r="AJ5" s="95"/>
      <c r="AK5" s="174" t="s">
        <v>12</v>
      </c>
      <c r="AL5" s="174" t="s">
        <v>13</v>
      </c>
      <c r="AM5" s="174" t="s">
        <v>14</v>
      </c>
      <c r="AN5" s="175" t="s">
        <v>20</v>
      </c>
      <c r="AO5" s="174" t="s">
        <v>21</v>
      </c>
    </row>
    <row r="6" spans="1:41">
      <c r="A6" s="152"/>
      <c r="B6" s="152"/>
      <c r="C6" s="152"/>
      <c r="D6" s="152"/>
      <c r="E6" s="152"/>
      <c r="F6" s="97">
        <v>1</v>
      </c>
      <c r="G6" s="97">
        <v>2</v>
      </c>
      <c r="H6" s="97">
        <v>3</v>
      </c>
      <c r="I6" s="97">
        <v>4</v>
      </c>
      <c r="J6" s="97">
        <v>5</v>
      </c>
      <c r="K6" s="97">
        <v>6</v>
      </c>
      <c r="L6" s="97">
        <v>7</v>
      </c>
      <c r="M6" s="97">
        <v>8</v>
      </c>
      <c r="N6" s="97">
        <v>9</v>
      </c>
      <c r="O6" s="97">
        <v>10</v>
      </c>
      <c r="P6" s="97">
        <v>11</v>
      </c>
      <c r="Q6" s="97">
        <v>12</v>
      </c>
      <c r="R6" s="97">
        <v>13</v>
      </c>
      <c r="S6" s="97">
        <v>14</v>
      </c>
      <c r="T6" s="97">
        <v>15</v>
      </c>
      <c r="U6" s="97">
        <v>16</v>
      </c>
      <c r="V6" s="97">
        <v>17</v>
      </c>
      <c r="W6" s="97">
        <v>18</v>
      </c>
      <c r="X6" s="97">
        <v>19</v>
      </c>
      <c r="Y6" s="97">
        <v>20</v>
      </c>
      <c r="Z6" s="97">
        <v>21</v>
      </c>
      <c r="AA6" s="97">
        <v>22</v>
      </c>
      <c r="AB6" s="97">
        <v>23</v>
      </c>
      <c r="AC6" s="97">
        <v>24</v>
      </c>
      <c r="AD6" s="97">
        <v>25</v>
      </c>
      <c r="AE6" s="97">
        <v>26</v>
      </c>
      <c r="AF6" s="97">
        <v>27</v>
      </c>
      <c r="AG6" s="97">
        <v>28</v>
      </c>
      <c r="AH6" s="139">
        <v>29</v>
      </c>
      <c r="AI6" s="139">
        <v>30</v>
      </c>
      <c r="AJ6" s="139">
        <v>31</v>
      </c>
      <c r="AK6" s="152"/>
      <c r="AL6" s="152"/>
      <c r="AM6" s="152"/>
      <c r="AN6" s="152"/>
      <c r="AO6" s="152"/>
    </row>
    <row r="7" spans="1:41">
      <c r="A7" s="98">
        <v>1</v>
      </c>
      <c r="B7" s="99" t="s">
        <v>22</v>
      </c>
      <c r="C7" s="99"/>
      <c r="D7" s="100" t="s">
        <v>169</v>
      </c>
      <c r="E7" s="99" t="s">
        <v>79</v>
      </c>
      <c r="F7" s="105">
        <v>20</v>
      </c>
      <c r="G7" s="105">
        <v>30</v>
      </c>
      <c r="H7" s="105"/>
      <c r="I7" s="98"/>
      <c r="J7" s="105"/>
      <c r="K7" s="105">
        <v>10</v>
      </c>
      <c r="L7" s="105">
        <v>10</v>
      </c>
      <c r="M7" s="105">
        <v>10</v>
      </c>
      <c r="N7" s="105">
        <v>70</v>
      </c>
      <c r="O7" s="98"/>
      <c r="P7" s="105"/>
      <c r="Q7" s="98"/>
      <c r="R7" s="105"/>
      <c r="S7" s="98"/>
      <c r="T7" s="105"/>
      <c r="U7" s="105"/>
      <c r="V7" s="105"/>
      <c r="W7" s="98"/>
      <c r="X7" s="98"/>
      <c r="Y7" s="98"/>
      <c r="Z7" s="105"/>
      <c r="AA7" s="98"/>
      <c r="AB7" s="105">
        <v>40</v>
      </c>
      <c r="AC7" s="105"/>
      <c r="AD7" s="98"/>
      <c r="AE7" s="98"/>
      <c r="AF7" s="105">
        <v>15</v>
      </c>
      <c r="AG7" s="105">
        <v>10</v>
      </c>
      <c r="AH7" s="105">
        <v>15</v>
      </c>
      <c r="AI7" s="105">
        <v>25</v>
      </c>
      <c r="AJ7" s="98"/>
      <c r="AK7" s="98">
        <f t="shared" ref="AK7:AK47" si="0">SUM(F7:AG7)</f>
        <v>215</v>
      </c>
      <c r="AL7" s="98"/>
      <c r="AM7" s="98">
        <f t="shared" ref="AM7:AM47" si="1">AL7+AK7</f>
        <v>215</v>
      </c>
      <c r="AN7" s="101">
        <v>277</v>
      </c>
      <c r="AO7" s="102">
        <f t="shared" ref="AO7:AO47" si="2">AK7*AN7</f>
        <v>59555</v>
      </c>
    </row>
    <row r="8" spans="1:41">
      <c r="A8" s="98">
        <v>2</v>
      </c>
      <c r="B8" s="99" t="s">
        <v>47</v>
      </c>
      <c r="C8" s="99"/>
      <c r="D8" s="100" t="s">
        <v>170</v>
      </c>
      <c r="E8" s="99" t="s">
        <v>79</v>
      </c>
      <c r="F8" s="98"/>
      <c r="G8" s="98"/>
      <c r="H8" s="104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>
        <f t="shared" si="0"/>
        <v>0</v>
      </c>
      <c r="AL8" s="98"/>
      <c r="AM8" s="98">
        <f t="shared" si="1"/>
        <v>0</v>
      </c>
      <c r="AN8" s="101">
        <v>277</v>
      </c>
      <c r="AO8" s="102">
        <f t="shared" si="2"/>
        <v>0</v>
      </c>
    </row>
    <row r="9" spans="1:41">
      <c r="A9" s="98">
        <v>3</v>
      </c>
      <c r="B9" s="99" t="s">
        <v>80</v>
      </c>
      <c r="C9" s="99"/>
      <c r="D9" s="100" t="s">
        <v>59</v>
      </c>
      <c r="E9" s="99" t="s">
        <v>79</v>
      </c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>
        <f t="shared" si="0"/>
        <v>0</v>
      </c>
      <c r="AL9" s="98"/>
      <c r="AM9" s="98">
        <f t="shared" si="1"/>
        <v>0</v>
      </c>
      <c r="AN9" s="101">
        <v>277</v>
      </c>
      <c r="AO9" s="102">
        <f t="shared" si="2"/>
        <v>0</v>
      </c>
    </row>
    <row r="10" spans="1:41">
      <c r="A10" s="98">
        <v>4</v>
      </c>
      <c r="B10" s="99" t="s">
        <v>58</v>
      </c>
      <c r="C10" s="99"/>
      <c r="D10" s="100" t="s">
        <v>59</v>
      </c>
      <c r="E10" s="99" t="s">
        <v>79</v>
      </c>
      <c r="F10" s="105"/>
      <c r="G10" s="105"/>
      <c r="H10" s="105"/>
      <c r="I10" s="105"/>
      <c r="J10" s="105"/>
      <c r="K10" s="105"/>
      <c r="L10" s="105"/>
      <c r="M10" s="98"/>
      <c r="N10" s="105">
        <v>10</v>
      </c>
      <c r="O10" s="105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105"/>
      <c r="AJ10" s="98"/>
      <c r="AK10" s="98">
        <f t="shared" si="0"/>
        <v>10</v>
      </c>
      <c r="AL10" s="98"/>
      <c r="AM10" s="98">
        <f t="shared" si="1"/>
        <v>10</v>
      </c>
      <c r="AN10" s="101">
        <v>277</v>
      </c>
      <c r="AO10" s="102">
        <f t="shared" si="2"/>
        <v>2770</v>
      </c>
    </row>
    <row r="11" spans="1:41">
      <c r="A11" s="98">
        <v>5</v>
      </c>
      <c r="B11" s="99" t="s">
        <v>69</v>
      </c>
      <c r="C11" s="99"/>
      <c r="D11" s="100" t="s">
        <v>59</v>
      </c>
      <c r="E11" s="99" t="s">
        <v>79</v>
      </c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>
        <f t="shared" si="0"/>
        <v>0</v>
      </c>
      <c r="AL11" s="98"/>
      <c r="AM11" s="98">
        <f t="shared" si="1"/>
        <v>0</v>
      </c>
      <c r="AN11" s="101">
        <v>277</v>
      </c>
      <c r="AO11" s="102">
        <f t="shared" si="2"/>
        <v>0</v>
      </c>
    </row>
    <row r="12" spans="1:41">
      <c r="A12" s="98">
        <v>6</v>
      </c>
      <c r="B12" s="99" t="s">
        <v>81</v>
      </c>
      <c r="C12" s="99"/>
      <c r="D12" s="100" t="s">
        <v>170</v>
      </c>
      <c r="E12" s="99" t="s">
        <v>79</v>
      </c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5"/>
      <c r="Z12" s="98"/>
      <c r="AA12" s="105"/>
      <c r="AB12" s="105"/>
      <c r="AC12" s="105"/>
      <c r="AD12" s="105"/>
      <c r="AE12" s="98"/>
      <c r="AF12" s="98"/>
      <c r="AG12" s="98"/>
      <c r="AH12" s="98"/>
      <c r="AI12" s="98"/>
      <c r="AJ12" s="98"/>
      <c r="AK12" s="98">
        <f t="shared" si="0"/>
        <v>0</v>
      </c>
      <c r="AL12" s="98"/>
      <c r="AM12" s="98">
        <f t="shared" si="1"/>
        <v>0</v>
      </c>
      <c r="AN12" s="101">
        <v>277</v>
      </c>
      <c r="AO12" s="102">
        <f t="shared" si="2"/>
        <v>0</v>
      </c>
    </row>
    <row r="13" spans="1:41">
      <c r="A13" s="98">
        <v>7</v>
      </c>
      <c r="B13" s="99" t="s">
        <v>60</v>
      </c>
      <c r="C13" s="99"/>
      <c r="D13" s="100" t="s">
        <v>59</v>
      </c>
      <c r="E13" s="99" t="s">
        <v>79</v>
      </c>
      <c r="F13" s="105"/>
      <c r="G13" s="105"/>
      <c r="H13" s="105"/>
      <c r="I13" s="105"/>
      <c r="J13" s="105"/>
      <c r="K13" s="98"/>
      <c r="L13" s="98"/>
      <c r="M13" s="98"/>
      <c r="N13" s="98"/>
      <c r="O13" s="98"/>
      <c r="P13" s="98"/>
      <c r="Q13" s="105"/>
      <c r="R13" s="105"/>
      <c r="S13" s="105"/>
      <c r="T13" s="98"/>
      <c r="U13" s="105"/>
      <c r="V13" s="98"/>
      <c r="W13" s="105"/>
      <c r="X13" s="98"/>
      <c r="Y13" s="98"/>
      <c r="Z13" s="105"/>
      <c r="AA13" s="105"/>
      <c r="AB13" s="105"/>
      <c r="AC13" s="98"/>
      <c r="AD13" s="98"/>
      <c r="AE13" s="98"/>
      <c r="AF13" s="105"/>
      <c r="AG13" s="98"/>
      <c r="AH13" s="98"/>
      <c r="AI13" s="98"/>
      <c r="AJ13" s="98"/>
      <c r="AK13" s="98">
        <f t="shared" si="0"/>
        <v>0</v>
      </c>
      <c r="AL13" s="98"/>
      <c r="AM13" s="98">
        <f t="shared" si="1"/>
        <v>0</v>
      </c>
      <c r="AN13" s="101">
        <v>277</v>
      </c>
      <c r="AO13" s="102">
        <f t="shared" si="2"/>
        <v>0</v>
      </c>
    </row>
    <row r="14" spans="1:41">
      <c r="A14" s="98">
        <v>8</v>
      </c>
      <c r="B14" s="99" t="s">
        <v>48</v>
      </c>
      <c r="C14" s="99"/>
      <c r="D14" s="100" t="s">
        <v>170</v>
      </c>
      <c r="E14" s="99" t="s">
        <v>79</v>
      </c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>
        <f t="shared" si="0"/>
        <v>0</v>
      </c>
      <c r="AL14" s="98"/>
      <c r="AM14" s="98">
        <f t="shared" si="1"/>
        <v>0</v>
      </c>
      <c r="AN14" s="101">
        <v>277</v>
      </c>
      <c r="AO14" s="102">
        <f t="shared" si="2"/>
        <v>0</v>
      </c>
    </row>
    <row r="15" spans="1:41">
      <c r="A15" s="98">
        <v>9</v>
      </c>
      <c r="B15" s="99" t="s">
        <v>82</v>
      </c>
      <c r="C15" s="99"/>
      <c r="D15" s="100" t="s">
        <v>170</v>
      </c>
      <c r="E15" s="99" t="s">
        <v>79</v>
      </c>
      <c r="F15" s="105">
        <v>10</v>
      </c>
      <c r="G15" s="105">
        <v>15</v>
      </c>
      <c r="H15" s="105">
        <v>15</v>
      </c>
      <c r="I15" s="105">
        <v>15</v>
      </c>
      <c r="J15" s="105">
        <v>15</v>
      </c>
      <c r="K15" s="105">
        <v>10</v>
      </c>
      <c r="L15" s="105">
        <v>15</v>
      </c>
      <c r="M15" s="105">
        <v>25</v>
      </c>
      <c r="N15" s="105">
        <v>25</v>
      </c>
      <c r="O15" s="105">
        <v>15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>
        <v>7</v>
      </c>
      <c r="Z15" s="105">
        <v>20</v>
      </c>
      <c r="AA15" s="105">
        <v>10</v>
      </c>
      <c r="AB15" s="105">
        <v>10</v>
      </c>
      <c r="AC15" s="105">
        <v>10</v>
      </c>
      <c r="AD15" s="105">
        <v>10</v>
      </c>
      <c r="AE15" s="105">
        <v>20</v>
      </c>
      <c r="AF15" s="105"/>
      <c r="AG15" s="105">
        <v>10</v>
      </c>
      <c r="AH15" s="105">
        <v>10</v>
      </c>
      <c r="AI15" s="105">
        <v>10</v>
      </c>
      <c r="AJ15" s="105"/>
      <c r="AK15" s="98">
        <f t="shared" si="0"/>
        <v>257</v>
      </c>
      <c r="AL15" s="98"/>
      <c r="AM15" s="98">
        <f t="shared" si="1"/>
        <v>257</v>
      </c>
      <c r="AN15" s="101">
        <v>277</v>
      </c>
      <c r="AO15" s="102">
        <f t="shared" si="2"/>
        <v>71189</v>
      </c>
    </row>
    <row r="16" spans="1:41">
      <c r="A16" s="98">
        <v>10</v>
      </c>
      <c r="B16" s="99" t="s">
        <v>83</v>
      </c>
      <c r="C16" s="99"/>
      <c r="D16" s="100" t="s">
        <v>59</v>
      </c>
      <c r="E16" s="99" t="s">
        <v>79</v>
      </c>
      <c r="F16" s="98"/>
      <c r="G16" s="98"/>
      <c r="H16" s="98"/>
      <c r="I16" s="105"/>
      <c r="J16" s="98"/>
      <c r="K16" s="105"/>
      <c r="L16" s="105"/>
      <c r="M16" s="105"/>
      <c r="N16" s="105"/>
      <c r="O16" s="98"/>
      <c r="P16" s="98"/>
      <c r="Q16" s="98"/>
      <c r="R16" s="98"/>
      <c r="S16" s="98"/>
      <c r="T16" s="98"/>
      <c r="U16" s="105"/>
      <c r="V16" s="98"/>
      <c r="W16" s="98"/>
      <c r="X16" s="98"/>
      <c r="Y16" s="105"/>
      <c r="Z16" s="98"/>
      <c r="AA16" s="105"/>
      <c r="AB16" s="105"/>
      <c r="AC16" s="98"/>
      <c r="AD16" s="105"/>
      <c r="AE16" s="98"/>
      <c r="AF16" s="105"/>
      <c r="AG16" s="98"/>
      <c r="AH16" s="98"/>
      <c r="AI16" s="98"/>
      <c r="AJ16" s="98"/>
      <c r="AK16" s="98">
        <f t="shared" si="0"/>
        <v>0</v>
      </c>
      <c r="AL16" s="98"/>
      <c r="AM16" s="98">
        <f t="shared" si="1"/>
        <v>0</v>
      </c>
      <c r="AN16" s="101">
        <v>277</v>
      </c>
      <c r="AO16" s="102">
        <f t="shared" si="2"/>
        <v>0</v>
      </c>
    </row>
    <row r="17" spans="1:41">
      <c r="A17" s="98">
        <v>11</v>
      </c>
      <c r="B17" s="99" t="s">
        <v>84</v>
      </c>
      <c r="C17" s="99"/>
      <c r="D17" s="100" t="s">
        <v>59</v>
      </c>
      <c r="E17" s="99" t="s">
        <v>79</v>
      </c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>
        <f t="shared" si="0"/>
        <v>0</v>
      </c>
      <c r="AL17" s="98"/>
      <c r="AM17" s="98">
        <f t="shared" si="1"/>
        <v>0</v>
      </c>
      <c r="AN17" s="101">
        <v>277</v>
      </c>
      <c r="AO17" s="102">
        <f t="shared" si="2"/>
        <v>0</v>
      </c>
    </row>
    <row r="18" spans="1:41">
      <c r="A18" s="98">
        <v>12</v>
      </c>
      <c r="B18" s="99" t="s">
        <v>85</v>
      </c>
      <c r="C18" s="99"/>
      <c r="D18" s="100" t="s">
        <v>59</v>
      </c>
      <c r="E18" s="99" t="s">
        <v>79</v>
      </c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105">
        <v>15</v>
      </c>
      <c r="AF18" s="98"/>
      <c r="AG18" s="98"/>
      <c r="AH18" s="98"/>
      <c r="AI18" s="98"/>
      <c r="AJ18" s="98"/>
      <c r="AK18" s="98">
        <f t="shared" si="0"/>
        <v>15</v>
      </c>
      <c r="AL18" s="98"/>
      <c r="AM18" s="98">
        <f t="shared" si="1"/>
        <v>15</v>
      </c>
      <c r="AN18" s="101">
        <v>277</v>
      </c>
      <c r="AO18" s="102">
        <f t="shared" si="2"/>
        <v>4155</v>
      </c>
    </row>
    <row r="19" spans="1:41">
      <c r="A19" s="98">
        <v>13</v>
      </c>
      <c r="B19" s="99" t="s">
        <v>74</v>
      </c>
      <c r="C19" s="99"/>
      <c r="D19" s="100" t="s">
        <v>59</v>
      </c>
      <c r="E19" s="99" t="s">
        <v>79</v>
      </c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>
        <f t="shared" si="0"/>
        <v>0</v>
      </c>
      <c r="AL19" s="98"/>
      <c r="AM19" s="98">
        <f t="shared" si="1"/>
        <v>0</v>
      </c>
      <c r="AN19" s="101">
        <v>277</v>
      </c>
      <c r="AO19" s="102">
        <f t="shared" si="2"/>
        <v>0</v>
      </c>
    </row>
    <row r="20" spans="1:41">
      <c r="A20" s="98">
        <v>14</v>
      </c>
      <c r="B20" s="99" t="s">
        <v>86</v>
      </c>
      <c r="C20" s="99"/>
      <c r="D20" s="100" t="s">
        <v>59</v>
      </c>
      <c r="E20" s="99" t="s">
        <v>79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>
        <f t="shared" si="0"/>
        <v>0</v>
      </c>
      <c r="AL20" s="98"/>
      <c r="AM20" s="98">
        <f t="shared" si="1"/>
        <v>0</v>
      </c>
      <c r="AN20" s="101">
        <v>277</v>
      </c>
      <c r="AO20" s="102">
        <f t="shared" si="2"/>
        <v>0</v>
      </c>
    </row>
    <row r="21" spans="1:41">
      <c r="A21" s="98">
        <v>15</v>
      </c>
      <c r="B21" s="99" t="s">
        <v>87</v>
      </c>
      <c r="C21" s="99"/>
      <c r="D21" s="100" t="s">
        <v>59</v>
      </c>
      <c r="E21" s="99" t="s">
        <v>79</v>
      </c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>
        <f t="shared" si="0"/>
        <v>0</v>
      </c>
      <c r="AL21" s="98"/>
      <c r="AM21" s="98">
        <f t="shared" si="1"/>
        <v>0</v>
      </c>
      <c r="AN21" s="101">
        <v>277</v>
      </c>
      <c r="AO21" s="102">
        <f t="shared" si="2"/>
        <v>0</v>
      </c>
    </row>
    <row r="22" spans="1:41">
      <c r="A22" s="98">
        <v>16</v>
      </c>
      <c r="B22" s="99" t="s">
        <v>88</v>
      </c>
      <c r="C22" s="99"/>
      <c r="D22" s="100" t="s">
        <v>59</v>
      </c>
      <c r="E22" s="99" t="s">
        <v>79</v>
      </c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>
        <f t="shared" si="0"/>
        <v>0</v>
      </c>
      <c r="AL22" s="98"/>
      <c r="AM22" s="98">
        <f t="shared" si="1"/>
        <v>0</v>
      </c>
      <c r="AN22" s="101">
        <v>277</v>
      </c>
      <c r="AO22" s="102">
        <f t="shared" si="2"/>
        <v>0</v>
      </c>
    </row>
    <row r="23" spans="1:41">
      <c r="A23" s="98">
        <v>17</v>
      </c>
      <c r="B23" s="99" t="s">
        <v>89</v>
      </c>
      <c r="C23" s="99"/>
      <c r="D23" s="100" t="s">
        <v>59</v>
      </c>
      <c r="E23" s="99" t="s">
        <v>79</v>
      </c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>
        <f t="shared" si="0"/>
        <v>0</v>
      </c>
      <c r="AL23" s="98"/>
      <c r="AM23" s="98">
        <f t="shared" si="1"/>
        <v>0</v>
      </c>
      <c r="AN23" s="101">
        <v>277</v>
      </c>
      <c r="AO23" s="102">
        <f t="shared" si="2"/>
        <v>0</v>
      </c>
    </row>
    <row r="24" spans="1:41">
      <c r="A24" s="98">
        <v>18</v>
      </c>
      <c r="B24" s="99" t="s">
        <v>90</v>
      </c>
      <c r="C24" s="99"/>
      <c r="D24" s="100" t="s">
        <v>59</v>
      </c>
      <c r="E24" s="99" t="s">
        <v>79</v>
      </c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>
        <f t="shared" si="0"/>
        <v>0</v>
      </c>
      <c r="AL24" s="98"/>
      <c r="AM24" s="98">
        <f t="shared" si="1"/>
        <v>0</v>
      </c>
      <c r="AN24" s="101">
        <v>277</v>
      </c>
      <c r="AO24" s="102">
        <f t="shared" si="2"/>
        <v>0</v>
      </c>
    </row>
    <row r="25" spans="1:41">
      <c r="A25" s="98">
        <v>19</v>
      </c>
      <c r="B25" s="99" t="s">
        <v>91</v>
      </c>
      <c r="C25" s="99"/>
      <c r="D25" s="100" t="s">
        <v>59</v>
      </c>
      <c r="E25" s="99" t="s">
        <v>79</v>
      </c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>
        <f t="shared" si="0"/>
        <v>0</v>
      </c>
      <c r="AL25" s="98"/>
      <c r="AM25" s="98">
        <f t="shared" si="1"/>
        <v>0</v>
      </c>
      <c r="AN25" s="101">
        <v>277</v>
      </c>
      <c r="AO25" s="102">
        <f t="shared" si="2"/>
        <v>0</v>
      </c>
    </row>
    <row r="26" spans="1:41">
      <c r="A26" s="98">
        <v>20</v>
      </c>
      <c r="B26" s="99" t="s">
        <v>92</v>
      </c>
      <c r="C26" s="99"/>
      <c r="D26" s="100" t="s">
        <v>59</v>
      </c>
      <c r="E26" s="99" t="s">
        <v>79</v>
      </c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>
        <f t="shared" si="0"/>
        <v>0</v>
      </c>
      <c r="AL26" s="98"/>
      <c r="AM26" s="98">
        <f t="shared" si="1"/>
        <v>0</v>
      </c>
      <c r="AN26" s="101">
        <v>277</v>
      </c>
      <c r="AO26" s="102">
        <f t="shared" si="2"/>
        <v>0</v>
      </c>
    </row>
    <row r="27" spans="1:41">
      <c r="A27" s="98">
        <v>21</v>
      </c>
      <c r="B27" s="99" t="s">
        <v>147</v>
      </c>
      <c r="C27" s="99"/>
      <c r="D27" s="100" t="s">
        <v>59</v>
      </c>
      <c r="E27" s="99" t="s">
        <v>79</v>
      </c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>
        <f t="shared" si="0"/>
        <v>0</v>
      </c>
      <c r="AL27" s="98"/>
      <c r="AM27" s="98">
        <f t="shared" si="1"/>
        <v>0</v>
      </c>
      <c r="AN27" s="101">
        <v>277</v>
      </c>
      <c r="AO27" s="102">
        <f t="shared" si="2"/>
        <v>0</v>
      </c>
    </row>
    <row r="28" spans="1:41">
      <c r="A28" s="98">
        <v>22</v>
      </c>
      <c r="B28" s="99" t="s">
        <v>144</v>
      </c>
      <c r="C28" s="99"/>
      <c r="D28" s="100" t="s">
        <v>59</v>
      </c>
      <c r="E28" s="99" t="s">
        <v>79</v>
      </c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>
        <f t="shared" si="0"/>
        <v>0</v>
      </c>
      <c r="AL28" s="98"/>
      <c r="AM28" s="98">
        <f t="shared" si="1"/>
        <v>0</v>
      </c>
      <c r="AN28" s="101">
        <v>277</v>
      </c>
      <c r="AO28" s="102">
        <f t="shared" si="2"/>
        <v>0</v>
      </c>
    </row>
    <row r="29" spans="1:41">
      <c r="A29" s="98">
        <v>23</v>
      </c>
      <c r="B29" s="99" t="s">
        <v>96</v>
      </c>
      <c r="C29" s="99"/>
      <c r="D29" s="100" t="s">
        <v>171</v>
      </c>
      <c r="E29" s="99" t="s">
        <v>79</v>
      </c>
      <c r="F29" s="105">
        <v>10</v>
      </c>
      <c r="G29" s="105">
        <v>10</v>
      </c>
      <c r="H29" s="105">
        <v>10</v>
      </c>
      <c r="I29" s="105">
        <v>15</v>
      </c>
      <c r="J29" s="105">
        <v>10</v>
      </c>
      <c r="K29" s="98"/>
      <c r="L29" s="105">
        <v>10</v>
      </c>
      <c r="M29" s="98"/>
      <c r="N29" s="105">
        <v>10</v>
      </c>
      <c r="O29" s="98"/>
      <c r="P29" s="98"/>
      <c r="Q29" s="98"/>
      <c r="R29" s="105"/>
      <c r="S29" s="105"/>
      <c r="T29" s="105"/>
      <c r="U29" s="105"/>
      <c r="V29" s="105"/>
      <c r="W29" s="105"/>
      <c r="X29" s="105"/>
      <c r="Y29" s="105"/>
      <c r="Z29" s="105"/>
      <c r="AA29" s="105">
        <v>15</v>
      </c>
      <c r="AB29" s="105">
        <v>10</v>
      </c>
      <c r="AC29" s="105">
        <v>10</v>
      </c>
      <c r="AD29" s="105">
        <v>15</v>
      </c>
      <c r="AE29" s="105">
        <v>10</v>
      </c>
      <c r="AF29" s="105">
        <v>10</v>
      </c>
      <c r="AG29" s="105">
        <v>10</v>
      </c>
      <c r="AH29" s="105">
        <v>20</v>
      </c>
      <c r="AI29" s="105">
        <v>10</v>
      </c>
      <c r="AJ29" s="105"/>
      <c r="AK29" s="98">
        <f t="shared" si="0"/>
        <v>155</v>
      </c>
      <c r="AL29" s="98"/>
      <c r="AM29" s="98">
        <f t="shared" si="1"/>
        <v>155</v>
      </c>
      <c r="AN29" s="101">
        <v>277</v>
      </c>
      <c r="AO29" s="102">
        <f t="shared" si="2"/>
        <v>42935</v>
      </c>
    </row>
    <row r="30" spans="1:41">
      <c r="A30" s="98">
        <v>24</v>
      </c>
      <c r="B30" s="99" t="s">
        <v>97</v>
      </c>
      <c r="C30" s="99"/>
      <c r="D30" s="100" t="s">
        <v>59</v>
      </c>
      <c r="E30" s="99" t="s">
        <v>79</v>
      </c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105">
        <v>10</v>
      </c>
      <c r="AB30" s="105">
        <v>10</v>
      </c>
      <c r="AC30" s="105">
        <v>10</v>
      </c>
      <c r="AD30" s="98"/>
      <c r="AE30" s="98"/>
      <c r="AF30" s="105">
        <v>10</v>
      </c>
      <c r="AG30" s="105">
        <v>10</v>
      </c>
      <c r="AH30" s="98"/>
      <c r="AI30" s="98"/>
      <c r="AJ30" s="98"/>
      <c r="AK30" s="98">
        <f t="shared" si="0"/>
        <v>50</v>
      </c>
      <c r="AL30" s="98"/>
      <c r="AM30" s="98">
        <f t="shared" si="1"/>
        <v>50</v>
      </c>
      <c r="AN30" s="101">
        <v>277</v>
      </c>
      <c r="AO30" s="102">
        <f t="shared" si="2"/>
        <v>13850</v>
      </c>
    </row>
    <row r="31" spans="1:41">
      <c r="A31" s="98">
        <v>25</v>
      </c>
      <c r="B31" s="99" t="s">
        <v>98</v>
      </c>
      <c r="C31" s="99"/>
      <c r="D31" s="100" t="s">
        <v>59</v>
      </c>
      <c r="E31" s="99" t="s">
        <v>79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>
        <f t="shared" si="0"/>
        <v>0</v>
      </c>
      <c r="AL31" s="98"/>
      <c r="AM31" s="98">
        <f t="shared" si="1"/>
        <v>0</v>
      </c>
      <c r="AN31" s="101">
        <v>277</v>
      </c>
      <c r="AO31" s="102">
        <f t="shared" si="2"/>
        <v>0</v>
      </c>
    </row>
    <row r="32" spans="1:41">
      <c r="A32" s="98">
        <v>26</v>
      </c>
      <c r="B32" s="99" t="s">
        <v>99</v>
      </c>
      <c r="C32" s="99"/>
      <c r="D32" s="100" t="s">
        <v>59</v>
      </c>
      <c r="E32" s="99" t="s">
        <v>79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>
        <f t="shared" si="0"/>
        <v>0</v>
      </c>
      <c r="AL32" s="98"/>
      <c r="AM32" s="98">
        <f t="shared" si="1"/>
        <v>0</v>
      </c>
      <c r="AN32" s="101">
        <v>277</v>
      </c>
      <c r="AO32" s="102">
        <f t="shared" si="2"/>
        <v>0</v>
      </c>
    </row>
    <row r="33" spans="1:41">
      <c r="A33" s="98">
        <v>27</v>
      </c>
      <c r="B33" s="99" t="s">
        <v>172</v>
      </c>
      <c r="C33" s="99"/>
      <c r="D33" s="100" t="s">
        <v>59</v>
      </c>
      <c r="E33" s="99" t="s">
        <v>79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>
        <f t="shared" si="0"/>
        <v>0</v>
      </c>
      <c r="AL33" s="98"/>
      <c r="AM33" s="98">
        <f t="shared" si="1"/>
        <v>0</v>
      </c>
      <c r="AN33" s="101">
        <v>277</v>
      </c>
      <c r="AO33" s="102">
        <f t="shared" si="2"/>
        <v>0</v>
      </c>
    </row>
    <row r="34" spans="1:41">
      <c r="A34" s="98">
        <v>28</v>
      </c>
      <c r="B34" s="99" t="s">
        <v>101</v>
      </c>
      <c r="C34" s="99"/>
      <c r="D34" s="100" t="s">
        <v>59</v>
      </c>
      <c r="E34" s="99" t="s">
        <v>79</v>
      </c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>
        <f t="shared" si="0"/>
        <v>0</v>
      </c>
      <c r="AL34" s="98"/>
      <c r="AM34" s="98">
        <f t="shared" si="1"/>
        <v>0</v>
      </c>
      <c r="AN34" s="101">
        <v>277</v>
      </c>
      <c r="AO34" s="102">
        <f t="shared" si="2"/>
        <v>0</v>
      </c>
    </row>
    <row r="35" spans="1:41">
      <c r="A35" s="98">
        <v>29</v>
      </c>
      <c r="B35" s="99" t="s">
        <v>129</v>
      </c>
      <c r="C35" s="99"/>
      <c r="D35" s="100" t="s">
        <v>59</v>
      </c>
      <c r="E35" s="99" t="s">
        <v>79</v>
      </c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>
        <f t="shared" si="0"/>
        <v>0</v>
      </c>
      <c r="AL35" s="98"/>
      <c r="AM35" s="98">
        <f t="shared" si="1"/>
        <v>0</v>
      </c>
      <c r="AN35" s="101">
        <v>277</v>
      </c>
      <c r="AO35" s="102">
        <f t="shared" si="2"/>
        <v>0</v>
      </c>
    </row>
    <row r="36" spans="1:41">
      <c r="A36" s="98">
        <v>30</v>
      </c>
      <c r="B36" s="99" t="s">
        <v>130</v>
      </c>
      <c r="C36" s="99"/>
      <c r="D36" s="100" t="s">
        <v>59</v>
      </c>
      <c r="E36" s="99" t="s">
        <v>79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>
        <f t="shared" si="0"/>
        <v>0</v>
      </c>
      <c r="AL36" s="98"/>
      <c r="AM36" s="98">
        <f t="shared" si="1"/>
        <v>0</v>
      </c>
      <c r="AN36" s="101">
        <v>277</v>
      </c>
      <c r="AO36" s="102">
        <f t="shared" si="2"/>
        <v>0</v>
      </c>
    </row>
    <row r="37" spans="1:41">
      <c r="A37" s="98">
        <v>31</v>
      </c>
      <c r="B37" s="99" t="s">
        <v>131</v>
      </c>
      <c r="C37" s="99"/>
      <c r="D37" s="100" t="s">
        <v>59</v>
      </c>
      <c r="E37" s="99" t="s">
        <v>79</v>
      </c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>
        <f t="shared" si="0"/>
        <v>0</v>
      </c>
      <c r="AL37" s="98"/>
      <c r="AM37" s="98">
        <f t="shared" si="1"/>
        <v>0</v>
      </c>
      <c r="AN37" s="101">
        <v>277</v>
      </c>
      <c r="AO37" s="102">
        <f t="shared" si="2"/>
        <v>0</v>
      </c>
    </row>
    <row r="38" spans="1:41">
      <c r="A38" s="98">
        <v>32</v>
      </c>
      <c r="B38" s="99" t="s">
        <v>132</v>
      </c>
      <c r="C38" s="99"/>
      <c r="D38" s="100" t="s">
        <v>59</v>
      </c>
      <c r="E38" s="99" t="s">
        <v>79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>
        <f t="shared" si="0"/>
        <v>0</v>
      </c>
      <c r="AL38" s="98"/>
      <c r="AM38" s="98">
        <f t="shared" si="1"/>
        <v>0</v>
      </c>
      <c r="AN38" s="101">
        <v>277</v>
      </c>
      <c r="AO38" s="102">
        <f t="shared" si="2"/>
        <v>0</v>
      </c>
    </row>
    <row r="39" spans="1:41">
      <c r="A39" s="98">
        <v>33</v>
      </c>
      <c r="B39" s="99" t="s">
        <v>133</v>
      </c>
      <c r="C39" s="99"/>
      <c r="D39" s="100" t="s">
        <v>59</v>
      </c>
      <c r="E39" s="99" t="s">
        <v>79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>
        <f t="shared" si="0"/>
        <v>0</v>
      </c>
      <c r="AL39" s="98"/>
      <c r="AM39" s="98">
        <f t="shared" si="1"/>
        <v>0</v>
      </c>
      <c r="AN39" s="101">
        <v>277</v>
      </c>
      <c r="AO39" s="102">
        <f t="shared" si="2"/>
        <v>0</v>
      </c>
    </row>
    <row r="40" spans="1:41">
      <c r="A40" s="98">
        <v>34</v>
      </c>
      <c r="B40" s="99" t="s">
        <v>134</v>
      </c>
      <c r="C40" s="99"/>
      <c r="D40" s="100" t="s">
        <v>59</v>
      </c>
      <c r="E40" s="99" t="s">
        <v>79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>
        <f t="shared" si="0"/>
        <v>0</v>
      </c>
      <c r="AL40" s="98"/>
      <c r="AM40" s="98">
        <f t="shared" si="1"/>
        <v>0</v>
      </c>
      <c r="AN40" s="101">
        <v>277</v>
      </c>
      <c r="AO40" s="102">
        <f t="shared" si="2"/>
        <v>0</v>
      </c>
    </row>
    <row r="41" spans="1:41">
      <c r="A41" s="98">
        <v>35</v>
      </c>
      <c r="B41" s="99" t="s">
        <v>135</v>
      </c>
      <c r="C41" s="99"/>
      <c r="D41" s="100" t="s">
        <v>59</v>
      </c>
      <c r="E41" s="99" t="s">
        <v>79</v>
      </c>
      <c r="F41" s="98"/>
      <c r="G41" s="105">
        <v>5</v>
      </c>
      <c r="H41" s="105">
        <v>10</v>
      </c>
      <c r="I41" s="105">
        <v>10</v>
      </c>
      <c r="J41" s="98"/>
      <c r="K41" s="105">
        <v>10</v>
      </c>
      <c r="L41" s="105">
        <v>5</v>
      </c>
      <c r="M41" s="105">
        <v>5</v>
      </c>
      <c r="N41" s="105">
        <v>20</v>
      </c>
      <c r="O41" s="105"/>
      <c r="P41" s="105"/>
      <c r="Q41" s="98"/>
      <c r="R41" s="98"/>
      <c r="S41" s="105"/>
      <c r="T41" s="105"/>
      <c r="U41" s="105"/>
      <c r="V41" s="105"/>
      <c r="W41" s="105"/>
      <c r="X41" s="98"/>
      <c r="Y41" s="105"/>
      <c r="Z41" s="105"/>
      <c r="AA41" s="105"/>
      <c r="AB41" s="105">
        <v>10</v>
      </c>
      <c r="AC41" s="105">
        <v>15</v>
      </c>
      <c r="AD41" s="105">
        <v>15</v>
      </c>
      <c r="AE41" s="105">
        <v>10</v>
      </c>
      <c r="AF41" s="105">
        <v>10</v>
      </c>
      <c r="AG41" s="105">
        <v>10</v>
      </c>
      <c r="AH41" s="105">
        <v>15</v>
      </c>
      <c r="AI41" s="105">
        <v>10</v>
      </c>
      <c r="AJ41" s="105"/>
      <c r="AK41" s="98">
        <f t="shared" si="0"/>
        <v>135</v>
      </c>
      <c r="AL41" s="98"/>
      <c r="AM41" s="98">
        <f t="shared" si="1"/>
        <v>135</v>
      </c>
      <c r="AN41" s="101">
        <v>277</v>
      </c>
      <c r="AO41" s="102">
        <f t="shared" si="2"/>
        <v>37395</v>
      </c>
    </row>
    <row r="42" spans="1:41">
      <c r="A42" s="98">
        <v>36</v>
      </c>
      <c r="B42" s="99" t="s">
        <v>136</v>
      </c>
      <c r="C42" s="99"/>
      <c r="D42" s="100" t="s">
        <v>170</v>
      </c>
      <c r="E42" s="99" t="s">
        <v>79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>
        <f t="shared" si="0"/>
        <v>0</v>
      </c>
      <c r="AL42" s="98"/>
      <c r="AM42" s="98">
        <f t="shared" si="1"/>
        <v>0</v>
      </c>
      <c r="AN42" s="101">
        <v>277</v>
      </c>
      <c r="AO42" s="102">
        <f t="shared" si="2"/>
        <v>0</v>
      </c>
    </row>
    <row r="43" spans="1:41">
      <c r="A43" s="98">
        <v>37</v>
      </c>
      <c r="B43" s="99" t="s">
        <v>95</v>
      </c>
      <c r="C43" s="99"/>
      <c r="D43" s="100" t="s">
        <v>59</v>
      </c>
      <c r="E43" s="99" t="s">
        <v>79</v>
      </c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>
        <f t="shared" si="0"/>
        <v>0</v>
      </c>
      <c r="AL43" s="98"/>
      <c r="AM43" s="98">
        <f t="shared" si="1"/>
        <v>0</v>
      </c>
      <c r="AN43" s="101">
        <v>277</v>
      </c>
      <c r="AO43" s="102">
        <f t="shared" si="2"/>
        <v>0</v>
      </c>
    </row>
    <row r="44" spans="1:41">
      <c r="A44" s="98">
        <v>38</v>
      </c>
      <c r="B44" s="99" t="s">
        <v>138</v>
      </c>
      <c r="C44" s="99"/>
      <c r="D44" s="100" t="s">
        <v>173</v>
      </c>
      <c r="E44" s="99" t="s">
        <v>79</v>
      </c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>
        <f t="shared" si="0"/>
        <v>0</v>
      </c>
      <c r="AL44" s="98"/>
      <c r="AM44" s="98">
        <f t="shared" si="1"/>
        <v>0</v>
      </c>
      <c r="AN44" s="101">
        <v>277</v>
      </c>
      <c r="AO44" s="102">
        <f t="shared" si="2"/>
        <v>0</v>
      </c>
    </row>
    <row r="45" spans="1:41">
      <c r="A45" s="98">
        <v>39</v>
      </c>
      <c r="B45" s="99" t="s">
        <v>139</v>
      </c>
      <c r="C45" s="99"/>
      <c r="D45" s="100" t="s">
        <v>173</v>
      </c>
      <c r="E45" s="99" t="s">
        <v>79</v>
      </c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>
        <f t="shared" si="0"/>
        <v>0</v>
      </c>
      <c r="AL45" s="98"/>
      <c r="AM45" s="98">
        <f t="shared" si="1"/>
        <v>0</v>
      </c>
      <c r="AN45" s="101">
        <v>277</v>
      </c>
      <c r="AO45" s="102">
        <f t="shared" si="2"/>
        <v>0</v>
      </c>
    </row>
    <row r="46" spans="1:41">
      <c r="A46" s="98">
        <v>40</v>
      </c>
      <c r="B46" s="99" t="s">
        <v>140</v>
      </c>
      <c r="C46" s="99"/>
      <c r="D46" s="100" t="s">
        <v>170</v>
      </c>
      <c r="E46" s="99" t="s">
        <v>79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>
        <f t="shared" si="0"/>
        <v>0</v>
      </c>
      <c r="AL46" s="98"/>
      <c r="AM46" s="98">
        <f t="shared" si="1"/>
        <v>0</v>
      </c>
      <c r="AN46" s="101">
        <v>277</v>
      </c>
      <c r="AO46" s="102">
        <f t="shared" si="2"/>
        <v>0</v>
      </c>
    </row>
    <row r="47" spans="1:41">
      <c r="A47" s="98">
        <v>41</v>
      </c>
      <c r="B47" s="99" t="s">
        <v>141</v>
      </c>
      <c r="C47" s="99"/>
      <c r="D47" s="100" t="s">
        <v>59</v>
      </c>
      <c r="E47" s="99" t="s">
        <v>79</v>
      </c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>
        <f t="shared" si="0"/>
        <v>0</v>
      </c>
      <c r="AL47" s="98"/>
      <c r="AM47" s="98">
        <f t="shared" si="1"/>
        <v>0</v>
      </c>
      <c r="AN47" s="101">
        <v>277</v>
      </c>
      <c r="AO47" s="102">
        <f t="shared" si="2"/>
        <v>0</v>
      </c>
    </row>
    <row r="48" spans="1:41">
      <c r="A48" s="98"/>
      <c r="B48" s="100" t="s">
        <v>128</v>
      </c>
      <c r="C48" s="99"/>
      <c r="D48" s="100"/>
      <c r="E48" s="99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105"/>
      <c r="AG48" s="98"/>
      <c r="AH48" s="98"/>
      <c r="AI48" s="98"/>
      <c r="AJ48" s="98"/>
      <c r="AK48" s="98"/>
      <c r="AL48" s="98"/>
      <c r="AM48" s="98"/>
      <c r="AN48" s="101"/>
      <c r="AO48" s="102"/>
    </row>
    <row r="49" spans="1:41">
      <c r="A49" s="98">
        <v>42</v>
      </c>
      <c r="B49" s="99" t="s">
        <v>142</v>
      </c>
      <c r="C49" s="99"/>
      <c r="D49" s="100" t="s">
        <v>59</v>
      </c>
      <c r="E49" s="99" t="s">
        <v>79</v>
      </c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>
        <f t="shared" ref="AK49:AK52" si="3">SUM(F49:AG49)</f>
        <v>0</v>
      </c>
      <c r="AL49" s="98"/>
      <c r="AM49" s="98">
        <f t="shared" ref="AM49:AM52" si="4">AL49+AK49</f>
        <v>0</v>
      </c>
      <c r="AN49" s="101">
        <v>277</v>
      </c>
      <c r="AO49" s="102">
        <f t="shared" ref="AO49:AO52" si="5">AK49*AN49</f>
        <v>0</v>
      </c>
    </row>
    <row r="50" spans="1:41">
      <c r="A50" s="98">
        <v>43</v>
      </c>
      <c r="B50" s="99" t="s">
        <v>143</v>
      </c>
      <c r="C50" s="99"/>
      <c r="D50" s="100" t="s">
        <v>174</v>
      </c>
      <c r="E50" s="99" t="s">
        <v>79</v>
      </c>
      <c r="F50" s="98"/>
      <c r="G50" s="105">
        <v>10</v>
      </c>
      <c r="H50" s="98"/>
      <c r="I50" s="98"/>
      <c r="J50" s="105">
        <v>10</v>
      </c>
      <c r="K50" s="105">
        <v>10</v>
      </c>
      <c r="L50" s="105"/>
      <c r="M50" s="98"/>
      <c r="N50" s="98"/>
      <c r="O50" s="98"/>
      <c r="P50" s="105"/>
      <c r="Q50" s="98"/>
      <c r="R50" s="98"/>
      <c r="S50" s="98"/>
      <c r="T50" s="98"/>
      <c r="U50" s="105"/>
      <c r="V50" s="98"/>
      <c r="W50" s="98"/>
      <c r="X50" s="98"/>
      <c r="Y50" s="105"/>
      <c r="Z50" s="98"/>
      <c r="AA50" s="105">
        <v>10</v>
      </c>
      <c r="AB50" s="105"/>
      <c r="AC50" s="105">
        <v>10</v>
      </c>
      <c r="AD50" s="98"/>
      <c r="AE50" s="105"/>
      <c r="AF50" s="105">
        <v>15</v>
      </c>
      <c r="AG50" s="105">
        <v>10</v>
      </c>
      <c r="AH50" s="105">
        <v>10</v>
      </c>
      <c r="AI50" s="105">
        <v>10</v>
      </c>
      <c r="AJ50" s="98"/>
      <c r="AK50" s="98">
        <f t="shared" si="3"/>
        <v>75</v>
      </c>
      <c r="AL50" s="98"/>
      <c r="AM50" s="98">
        <f t="shared" si="4"/>
        <v>75</v>
      </c>
      <c r="AN50" s="101">
        <v>277</v>
      </c>
      <c r="AO50" s="102">
        <f t="shared" si="5"/>
        <v>20775</v>
      </c>
    </row>
    <row r="51" spans="1:41">
      <c r="A51" s="98"/>
      <c r="B51" s="99" t="s">
        <v>175</v>
      </c>
      <c r="C51" s="99"/>
      <c r="D51" s="100" t="s">
        <v>170</v>
      </c>
      <c r="E51" s="99" t="s">
        <v>79</v>
      </c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105"/>
      <c r="AI51" s="98"/>
      <c r="AJ51" s="98"/>
      <c r="AK51" s="98">
        <f t="shared" si="3"/>
        <v>0</v>
      </c>
      <c r="AL51" s="98"/>
      <c r="AM51" s="98">
        <f t="shared" si="4"/>
        <v>0</v>
      </c>
      <c r="AN51" s="101">
        <v>277</v>
      </c>
      <c r="AO51" s="102">
        <f t="shared" si="5"/>
        <v>0</v>
      </c>
    </row>
    <row r="52" spans="1:41">
      <c r="A52" s="98"/>
      <c r="B52" s="99" t="s">
        <v>176</v>
      </c>
      <c r="C52" s="99"/>
      <c r="D52" s="100" t="s">
        <v>177</v>
      </c>
      <c r="E52" s="99" t="s">
        <v>79</v>
      </c>
      <c r="F52" s="98"/>
      <c r="G52" s="105"/>
      <c r="H52" s="105">
        <v>40</v>
      </c>
      <c r="I52" s="105">
        <v>30</v>
      </c>
      <c r="J52" s="98"/>
      <c r="K52" s="98"/>
      <c r="L52" s="98"/>
      <c r="M52" s="105"/>
      <c r="N52" s="105"/>
      <c r="O52" s="105"/>
      <c r="P52" s="98"/>
      <c r="Q52" s="105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105"/>
      <c r="AD52" s="98"/>
      <c r="AE52" s="98"/>
      <c r="AF52" s="98"/>
      <c r="AG52" s="98"/>
      <c r="AH52" s="98"/>
      <c r="AI52" s="98"/>
      <c r="AJ52" s="98"/>
      <c r="AK52" s="98">
        <f t="shared" si="3"/>
        <v>70</v>
      </c>
      <c r="AL52" s="98"/>
      <c r="AM52" s="98">
        <f t="shared" si="4"/>
        <v>70</v>
      </c>
      <c r="AN52" s="101">
        <v>277</v>
      </c>
      <c r="AO52" s="102">
        <f t="shared" si="5"/>
        <v>19390</v>
      </c>
    </row>
    <row r="53" spans="1:41">
      <c r="A53" s="98"/>
      <c r="B53" s="100" t="s">
        <v>209</v>
      </c>
      <c r="C53" s="99"/>
      <c r="D53" s="100" t="s">
        <v>177</v>
      </c>
      <c r="E53" s="100" t="s">
        <v>79</v>
      </c>
      <c r="F53" s="98"/>
      <c r="G53" s="98"/>
      <c r="H53" s="98"/>
      <c r="I53" s="98"/>
      <c r="J53" s="98"/>
      <c r="K53" s="98"/>
      <c r="L53" s="98"/>
      <c r="M53" s="105">
        <v>35</v>
      </c>
      <c r="N53" s="98"/>
      <c r="O53" s="98"/>
      <c r="P53" s="98"/>
      <c r="Q53" s="105"/>
      <c r="R53" s="105"/>
      <c r="S53" s="105"/>
      <c r="T53" s="105"/>
      <c r="U53" s="105"/>
      <c r="V53" s="105"/>
      <c r="W53" s="98"/>
      <c r="X53" s="98"/>
      <c r="Y53" s="98"/>
      <c r="Z53" s="105"/>
      <c r="AA53" s="98"/>
      <c r="AB53" s="105">
        <v>40</v>
      </c>
      <c r="AC53" s="98"/>
      <c r="AD53" s="105">
        <v>40</v>
      </c>
      <c r="AE53" s="105"/>
      <c r="AF53" s="105"/>
      <c r="AG53" s="105"/>
      <c r="AH53" s="105"/>
      <c r="AI53" s="105"/>
      <c r="AJ53" s="105"/>
      <c r="AK53" s="98"/>
      <c r="AL53" s="98"/>
      <c r="AM53" s="98"/>
      <c r="AN53" s="101"/>
      <c r="AO53" s="102"/>
    </row>
    <row r="54" spans="1:41">
      <c r="A54" s="98"/>
      <c r="B54" s="100" t="s">
        <v>210</v>
      </c>
      <c r="C54" s="99"/>
      <c r="D54" s="100" t="s">
        <v>211</v>
      </c>
      <c r="E54" s="100" t="s">
        <v>79</v>
      </c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105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105">
        <v>50</v>
      </c>
      <c r="AE54" s="105">
        <v>50</v>
      </c>
      <c r="AF54" s="98"/>
      <c r="AG54" s="105">
        <v>50</v>
      </c>
      <c r="AH54" s="105">
        <v>50</v>
      </c>
      <c r="AI54" s="105">
        <v>50</v>
      </c>
      <c r="AJ54" s="98"/>
      <c r="AK54" s="98"/>
      <c r="AL54" s="98"/>
      <c r="AM54" s="98"/>
      <c r="AN54" s="101"/>
      <c r="AO54" s="102"/>
    </row>
    <row r="55" spans="1:41">
      <c r="A55" s="98">
        <v>44</v>
      </c>
      <c r="B55" s="99" t="s">
        <v>146</v>
      </c>
      <c r="C55" s="99"/>
      <c r="D55" s="100" t="s">
        <v>59</v>
      </c>
      <c r="E55" s="99" t="s">
        <v>79</v>
      </c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>
        <f>SUM(F55:AG55)</f>
        <v>0</v>
      </c>
      <c r="AL55" s="98"/>
      <c r="AM55" s="98">
        <f>AL55+AK55</f>
        <v>0</v>
      </c>
      <c r="AN55" s="101">
        <v>277</v>
      </c>
      <c r="AO55" s="102">
        <f>AK55*AN55</f>
        <v>0</v>
      </c>
    </row>
    <row r="56" spans="1:41">
      <c r="A56" s="108"/>
      <c r="B56" s="107"/>
      <c r="C56" s="107"/>
      <c r="D56" s="107"/>
      <c r="E56" s="107" t="s">
        <v>79</v>
      </c>
      <c r="F56" s="108">
        <f t="shared" ref="F56:AI56" si="6">SUM(F7:F55)</f>
        <v>40</v>
      </c>
      <c r="G56" s="108">
        <f t="shared" si="6"/>
        <v>70</v>
      </c>
      <c r="H56" s="108">
        <f t="shared" si="6"/>
        <v>75</v>
      </c>
      <c r="I56" s="108">
        <f t="shared" si="6"/>
        <v>70</v>
      </c>
      <c r="J56" s="108">
        <f t="shared" si="6"/>
        <v>35</v>
      </c>
      <c r="K56" s="108">
        <f t="shared" si="6"/>
        <v>40</v>
      </c>
      <c r="L56" s="108">
        <f t="shared" si="6"/>
        <v>40</v>
      </c>
      <c r="M56" s="108">
        <f t="shared" si="6"/>
        <v>75</v>
      </c>
      <c r="N56" s="108">
        <f t="shared" si="6"/>
        <v>135</v>
      </c>
      <c r="O56" s="108">
        <f t="shared" si="6"/>
        <v>15</v>
      </c>
      <c r="P56" s="108">
        <f t="shared" si="6"/>
        <v>0</v>
      </c>
      <c r="Q56" s="108">
        <f t="shared" si="6"/>
        <v>0</v>
      </c>
      <c r="R56" s="108">
        <f t="shared" si="6"/>
        <v>0</v>
      </c>
      <c r="S56" s="108">
        <f t="shared" si="6"/>
        <v>0</v>
      </c>
      <c r="T56" s="108">
        <f t="shared" si="6"/>
        <v>0</v>
      </c>
      <c r="U56" s="108">
        <f t="shared" si="6"/>
        <v>0</v>
      </c>
      <c r="V56" s="108">
        <f t="shared" si="6"/>
        <v>0</v>
      </c>
      <c r="W56" s="108">
        <f t="shared" si="6"/>
        <v>0</v>
      </c>
      <c r="X56" s="108">
        <f t="shared" si="6"/>
        <v>0</v>
      </c>
      <c r="Y56" s="108">
        <f t="shared" si="6"/>
        <v>7</v>
      </c>
      <c r="Z56" s="108">
        <f t="shared" si="6"/>
        <v>20</v>
      </c>
      <c r="AA56" s="108">
        <f t="shared" si="6"/>
        <v>45</v>
      </c>
      <c r="AB56" s="108">
        <f t="shared" si="6"/>
        <v>120</v>
      </c>
      <c r="AC56" s="108">
        <f t="shared" si="6"/>
        <v>55</v>
      </c>
      <c r="AD56" s="108">
        <f t="shared" si="6"/>
        <v>130</v>
      </c>
      <c r="AE56" s="108">
        <f t="shared" si="6"/>
        <v>105</v>
      </c>
      <c r="AF56" s="108">
        <f t="shared" si="6"/>
        <v>60</v>
      </c>
      <c r="AG56" s="108">
        <f t="shared" si="6"/>
        <v>110</v>
      </c>
      <c r="AH56" s="108">
        <f t="shared" si="6"/>
        <v>120</v>
      </c>
      <c r="AI56" s="108">
        <f t="shared" si="6"/>
        <v>115</v>
      </c>
      <c r="AJ56" s="108"/>
      <c r="AK56" s="108">
        <f>SUM(AK7:AK55)</f>
        <v>982</v>
      </c>
      <c r="AL56" s="108"/>
      <c r="AM56" s="108">
        <f>SUM(AM7:AM55)</f>
        <v>982</v>
      </c>
      <c r="AN56" s="109"/>
      <c r="AO56" s="110">
        <f>SUM(AO7:AO55)</f>
        <v>272014</v>
      </c>
    </row>
    <row r="57" spans="1:41" ht="22.5">
      <c r="A57" s="112" t="s">
        <v>178</v>
      </c>
      <c r="B57" s="113"/>
      <c r="C57" s="113"/>
      <c r="D57" s="113"/>
      <c r="E57" s="114" t="s">
        <v>79</v>
      </c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5"/>
      <c r="AO57" s="113"/>
    </row>
    <row r="58" spans="1:41">
      <c r="A58" s="98">
        <v>1</v>
      </c>
      <c r="B58" s="99" t="s">
        <v>103</v>
      </c>
      <c r="C58" s="99"/>
      <c r="D58" s="100" t="s">
        <v>179</v>
      </c>
      <c r="E58" s="99" t="s">
        <v>79</v>
      </c>
      <c r="F58" s="98"/>
      <c r="G58" s="98"/>
      <c r="H58" s="105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105"/>
      <c r="W58" s="105"/>
      <c r="X58" s="105"/>
      <c r="Y58" s="105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>
        <f t="shared" ref="AK58:AK60" si="7">SUM(F58:AG58)</f>
        <v>0</v>
      </c>
      <c r="AL58" s="98"/>
      <c r="AM58" s="98">
        <f t="shared" ref="AM58:AM60" si="8">AK58+AL58</f>
        <v>0</v>
      </c>
      <c r="AN58" s="101">
        <v>277</v>
      </c>
      <c r="AO58" s="116">
        <f t="shared" ref="AO58:AO60" si="9">AN58*AM58</f>
        <v>0</v>
      </c>
    </row>
    <row r="59" spans="1:41">
      <c r="A59" s="98">
        <v>2</v>
      </c>
      <c r="B59" s="99" t="s">
        <v>56</v>
      </c>
      <c r="C59" s="99"/>
      <c r="D59" s="100" t="s">
        <v>180</v>
      </c>
      <c r="E59" s="99" t="s">
        <v>79</v>
      </c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>
        <f t="shared" si="7"/>
        <v>0</v>
      </c>
      <c r="AL59" s="98"/>
      <c r="AM59" s="98">
        <f t="shared" si="8"/>
        <v>0</v>
      </c>
      <c r="AN59" s="101">
        <v>277</v>
      </c>
      <c r="AO59" s="116">
        <f t="shared" si="9"/>
        <v>0</v>
      </c>
    </row>
    <row r="60" spans="1:41">
      <c r="A60" s="98">
        <v>3</v>
      </c>
      <c r="B60" s="99" t="s">
        <v>104</v>
      </c>
      <c r="C60" s="99"/>
      <c r="D60" s="100" t="s">
        <v>179</v>
      </c>
      <c r="E60" s="99" t="s">
        <v>79</v>
      </c>
      <c r="F60" s="105">
        <v>5</v>
      </c>
      <c r="G60" s="105">
        <v>20</v>
      </c>
      <c r="H60" s="105">
        <v>10</v>
      </c>
      <c r="I60" s="105"/>
      <c r="J60" s="105">
        <v>10</v>
      </c>
      <c r="K60" s="105">
        <v>10</v>
      </c>
      <c r="L60" s="105">
        <v>20</v>
      </c>
      <c r="M60" s="98"/>
      <c r="N60" s="105">
        <v>10</v>
      </c>
      <c r="O60" s="105"/>
      <c r="P60" s="98"/>
      <c r="Q60" s="105"/>
      <c r="R60" s="105"/>
      <c r="S60" s="98"/>
      <c r="T60" s="98"/>
      <c r="U60" s="98"/>
      <c r="V60" s="105"/>
      <c r="W60" s="105"/>
      <c r="X60" s="105"/>
      <c r="Y60" s="105"/>
      <c r="Z60" s="105"/>
      <c r="AA60" s="105">
        <v>15</v>
      </c>
      <c r="AB60" s="105"/>
      <c r="AC60" s="105"/>
      <c r="AD60" s="105"/>
      <c r="AE60" s="105"/>
      <c r="AF60" s="105"/>
      <c r="AG60" s="105">
        <v>5</v>
      </c>
      <c r="AH60" s="105"/>
      <c r="AI60" s="105"/>
      <c r="AJ60" s="105"/>
      <c r="AK60" s="98">
        <f t="shared" si="7"/>
        <v>105</v>
      </c>
      <c r="AL60" s="98"/>
      <c r="AM60" s="98">
        <f t="shared" si="8"/>
        <v>105</v>
      </c>
      <c r="AN60" s="101">
        <v>277</v>
      </c>
      <c r="AO60" s="116">
        <f t="shared" si="9"/>
        <v>29085</v>
      </c>
    </row>
    <row r="61" spans="1:41">
      <c r="A61" s="98"/>
      <c r="B61" s="100" t="s">
        <v>227</v>
      </c>
      <c r="C61" s="99"/>
      <c r="D61" s="100"/>
      <c r="E61" s="100" t="s">
        <v>79</v>
      </c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105">
        <v>20</v>
      </c>
      <c r="AD61" s="105">
        <v>20</v>
      </c>
      <c r="AE61" s="105">
        <v>15</v>
      </c>
      <c r="AF61" s="105">
        <v>20</v>
      </c>
      <c r="AG61" s="105">
        <v>25</v>
      </c>
      <c r="AH61" s="105">
        <v>10</v>
      </c>
      <c r="AI61" s="105">
        <v>15</v>
      </c>
      <c r="AJ61" s="98"/>
      <c r="AK61" s="98"/>
      <c r="AL61" s="98"/>
      <c r="AM61" s="98"/>
      <c r="AN61" s="101"/>
      <c r="AO61" s="116"/>
    </row>
    <row r="62" spans="1:41">
      <c r="A62" s="98">
        <v>4</v>
      </c>
      <c r="B62" s="99" t="s">
        <v>105</v>
      </c>
      <c r="C62" s="99"/>
      <c r="D62" s="100" t="s">
        <v>66</v>
      </c>
      <c r="E62" s="99" t="s">
        <v>79</v>
      </c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>
        <f t="shared" ref="AK62:AK71" si="10">SUM(F62:AG62)</f>
        <v>0</v>
      </c>
      <c r="AL62" s="98"/>
      <c r="AM62" s="98">
        <f t="shared" ref="AM62:AM71" si="11">AK62+AL62</f>
        <v>0</v>
      </c>
      <c r="AN62" s="101">
        <v>277</v>
      </c>
      <c r="AO62" s="116">
        <f t="shared" ref="AO62:AO71" si="12">AN62*AM62</f>
        <v>0</v>
      </c>
    </row>
    <row r="63" spans="1:41">
      <c r="A63" s="98">
        <v>5</v>
      </c>
      <c r="B63" s="99" t="s">
        <v>106</v>
      </c>
      <c r="C63" s="99"/>
      <c r="D63" s="100" t="s">
        <v>181</v>
      </c>
      <c r="E63" s="99" t="s">
        <v>79</v>
      </c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>
        <f t="shared" si="10"/>
        <v>0</v>
      </c>
      <c r="AL63" s="98"/>
      <c r="AM63" s="98">
        <f t="shared" si="11"/>
        <v>0</v>
      </c>
      <c r="AN63" s="101">
        <v>277</v>
      </c>
      <c r="AO63" s="116">
        <f t="shared" si="12"/>
        <v>0</v>
      </c>
    </row>
    <row r="64" spans="1:41">
      <c r="A64" s="98">
        <v>6</v>
      </c>
      <c r="B64" s="99" t="s">
        <v>107</v>
      </c>
      <c r="C64" s="99"/>
      <c r="D64" s="100" t="s">
        <v>182</v>
      </c>
      <c r="E64" s="99" t="s">
        <v>79</v>
      </c>
      <c r="F64" s="98"/>
      <c r="G64" s="105"/>
      <c r="H64" s="105"/>
      <c r="I64" s="105">
        <v>20</v>
      </c>
      <c r="J64" s="98"/>
      <c r="K64" s="105"/>
      <c r="L64" s="105"/>
      <c r="M64" s="98"/>
      <c r="N64" s="98"/>
      <c r="O64" s="105"/>
      <c r="P64" s="98"/>
      <c r="Q64" s="105"/>
      <c r="R64" s="105"/>
      <c r="S64" s="98"/>
      <c r="T64" s="98"/>
      <c r="U64" s="98"/>
      <c r="V64" s="105"/>
      <c r="W64" s="105"/>
      <c r="X64" s="98"/>
      <c r="Y64" s="105"/>
      <c r="Z64" s="105"/>
      <c r="AA64" s="105">
        <v>25</v>
      </c>
      <c r="AB64" s="105">
        <v>25</v>
      </c>
      <c r="AC64" s="105">
        <v>30</v>
      </c>
      <c r="AD64" s="105">
        <v>35</v>
      </c>
      <c r="AE64" s="105">
        <v>25</v>
      </c>
      <c r="AF64" s="105">
        <v>25</v>
      </c>
      <c r="AG64" s="105"/>
      <c r="AH64" s="105">
        <v>30</v>
      </c>
      <c r="AI64" s="105">
        <v>15</v>
      </c>
      <c r="AJ64" s="105"/>
      <c r="AK64" s="98">
        <f t="shared" si="10"/>
        <v>185</v>
      </c>
      <c r="AL64" s="98"/>
      <c r="AM64" s="98">
        <f t="shared" si="11"/>
        <v>185</v>
      </c>
      <c r="AN64" s="101">
        <v>277</v>
      </c>
      <c r="AO64" s="116">
        <f t="shared" si="12"/>
        <v>51245</v>
      </c>
    </row>
    <row r="65" spans="1:41">
      <c r="A65" s="98">
        <v>7</v>
      </c>
      <c r="B65" s="99" t="s">
        <v>108</v>
      </c>
      <c r="C65" s="99"/>
      <c r="D65" s="100" t="s">
        <v>180</v>
      </c>
      <c r="E65" s="99" t="s">
        <v>79</v>
      </c>
      <c r="F65" s="105"/>
      <c r="G65" s="105"/>
      <c r="H65" s="105"/>
      <c r="I65" s="105"/>
      <c r="J65" s="105"/>
      <c r="K65" s="105"/>
      <c r="L65" s="105"/>
      <c r="M65" s="105"/>
      <c r="N65" s="98"/>
      <c r="O65" s="105"/>
      <c r="P65" s="105"/>
      <c r="Q65" s="105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>
        <f t="shared" si="10"/>
        <v>0</v>
      </c>
      <c r="AL65" s="98"/>
      <c r="AM65" s="98">
        <f t="shared" si="11"/>
        <v>0</v>
      </c>
      <c r="AN65" s="101">
        <v>277</v>
      </c>
      <c r="AO65" s="116">
        <f t="shared" si="12"/>
        <v>0</v>
      </c>
    </row>
    <row r="66" spans="1:41">
      <c r="A66" s="98">
        <v>8</v>
      </c>
      <c r="B66" s="99" t="s">
        <v>63</v>
      </c>
      <c r="C66" s="99"/>
      <c r="D66" s="100" t="s">
        <v>183</v>
      </c>
      <c r="E66" s="99" t="s">
        <v>79</v>
      </c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>
        <f t="shared" si="10"/>
        <v>0</v>
      </c>
      <c r="AL66" s="98"/>
      <c r="AM66" s="98">
        <f t="shared" si="11"/>
        <v>0</v>
      </c>
      <c r="AN66" s="101">
        <v>277</v>
      </c>
      <c r="AO66" s="116">
        <f t="shared" si="12"/>
        <v>0</v>
      </c>
    </row>
    <row r="67" spans="1:41">
      <c r="A67" s="98">
        <v>9</v>
      </c>
      <c r="B67" s="99" t="s">
        <v>28</v>
      </c>
      <c r="C67" s="99"/>
      <c r="D67" s="100" t="s">
        <v>29</v>
      </c>
      <c r="E67" s="99" t="s">
        <v>79</v>
      </c>
      <c r="F67" s="98"/>
      <c r="G67" s="98"/>
      <c r="H67" s="98"/>
      <c r="I67" s="105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>
        <f t="shared" si="10"/>
        <v>0</v>
      </c>
      <c r="AL67" s="98"/>
      <c r="AM67" s="98">
        <f t="shared" si="11"/>
        <v>0</v>
      </c>
      <c r="AN67" s="101">
        <v>277</v>
      </c>
      <c r="AO67" s="116">
        <f t="shared" si="12"/>
        <v>0</v>
      </c>
    </row>
    <row r="68" spans="1:41">
      <c r="A68" s="98">
        <v>10</v>
      </c>
      <c r="B68" s="99" t="s">
        <v>109</v>
      </c>
      <c r="C68" s="99"/>
      <c r="D68" s="100" t="s">
        <v>184</v>
      </c>
      <c r="E68" s="99" t="s">
        <v>79</v>
      </c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>
        <f t="shared" si="10"/>
        <v>0</v>
      </c>
      <c r="AL68" s="98"/>
      <c r="AM68" s="98">
        <f t="shared" si="11"/>
        <v>0</v>
      </c>
      <c r="AN68" s="101">
        <v>277</v>
      </c>
      <c r="AO68" s="116">
        <f t="shared" si="12"/>
        <v>0</v>
      </c>
    </row>
    <row r="69" spans="1:41">
      <c r="A69" s="98">
        <v>11</v>
      </c>
      <c r="B69" s="99" t="s">
        <v>110</v>
      </c>
      <c r="C69" s="99"/>
      <c r="D69" s="100" t="s">
        <v>184</v>
      </c>
      <c r="E69" s="99" t="s">
        <v>79</v>
      </c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>
        <f t="shared" si="10"/>
        <v>0</v>
      </c>
      <c r="AL69" s="98"/>
      <c r="AM69" s="98">
        <f t="shared" si="11"/>
        <v>0</v>
      </c>
      <c r="AN69" s="101">
        <v>277</v>
      </c>
      <c r="AO69" s="116">
        <f t="shared" si="12"/>
        <v>0</v>
      </c>
    </row>
    <row r="70" spans="1:41">
      <c r="A70" s="98">
        <v>12</v>
      </c>
      <c r="B70" s="99" t="s">
        <v>111</v>
      </c>
      <c r="C70" s="99"/>
      <c r="D70" s="100" t="s">
        <v>184</v>
      </c>
      <c r="E70" s="99" t="s">
        <v>79</v>
      </c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>
        <f t="shared" si="10"/>
        <v>0</v>
      </c>
      <c r="AL70" s="98"/>
      <c r="AM70" s="98">
        <f t="shared" si="11"/>
        <v>0</v>
      </c>
      <c r="AN70" s="101">
        <v>277</v>
      </c>
      <c r="AO70" s="116">
        <f t="shared" si="12"/>
        <v>0</v>
      </c>
    </row>
    <row r="71" spans="1:41">
      <c r="A71" s="98">
        <v>13</v>
      </c>
      <c r="B71" s="99" t="s">
        <v>112</v>
      </c>
      <c r="C71" s="99"/>
      <c r="D71" s="100" t="s">
        <v>64</v>
      </c>
      <c r="E71" s="99" t="s">
        <v>79</v>
      </c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>
        <f t="shared" si="10"/>
        <v>0</v>
      </c>
      <c r="AL71" s="98"/>
      <c r="AM71" s="98">
        <f t="shared" si="11"/>
        <v>0</v>
      </c>
      <c r="AN71" s="101">
        <v>277</v>
      </c>
      <c r="AO71" s="116">
        <f t="shared" si="12"/>
        <v>0</v>
      </c>
    </row>
    <row r="72" spans="1:41">
      <c r="A72" s="98"/>
      <c r="B72" s="100" t="s">
        <v>212</v>
      </c>
      <c r="C72" s="99"/>
      <c r="D72" s="100"/>
      <c r="E72" s="100" t="s">
        <v>79</v>
      </c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105"/>
      <c r="X72" s="98"/>
      <c r="Y72" s="105"/>
      <c r="Z72" s="105"/>
      <c r="AA72" s="105"/>
      <c r="AB72" s="105"/>
      <c r="AC72" s="105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101"/>
      <c r="AO72" s="116"/>
    </row>
    <row r="73" spans="1:41">
      <c r="A73" s="98">
        <v>14</v>
      </c>
      <c r="B73" s="99" t="s">
        <v>113</v>
      </c>
      <c r="C73" s="99"/>
      <c r="D73" s="100" t="s">
        <v>113</v>
      </c>
      <c r="E73" s="99" t="s">
        <v>79</v>
      </c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105"/>
      <c r="X73" s="98"/>
      <c r="Y73" s="105"/>
      <c r="Z73" s="105"/>
      <c r="AA73" s="105"/>
      <c r="AB73" s="105"/>
      <c r="AC73" s="105"/>
      <c r="AD73" s="98"/>
      <c r="AE73" s="98"/>
      <c r="AF73" s="98"/>
      <c r="AG73" s="98"/>
      <c r="AH73" s="98"/>
      <c r="AI73" s="98"/>
      <c r="AJ73" s="98"/>
      <c r="AK73" s="98">
        <f t="shared" ref="AK73:AK79" si="13">SUM(F73:AG73)</f>
        <v>0</v>
      </c>
      <c r="AL73" s="98"/>
      <c r="AM73" s="98">
        <f t="shared" ref="AM73:AM79" si="14">AK73+AL73</f>
        <v>0</v>
      </c>
      <c r="AN73" s="101">
        <v>277</v>
      </c>
      <c r="AO73" s="116">
        <f t="shared" ref="AO73:AO79" si="15">AN73*AM73</f>
        <v>0</v>
      </c>
    </row>
    <row r="74" spans="1:41">
      <c r="A74" s="98">
        <v>15</v>
      </c>
      <c r="B74" s="99" t="s">
        <v>114</v>
      </c>
      <c r="C74" s="99"/>
      <c r="D74" s="100" t="s">
        <v>185</v>
      </c>
      <c r="E74" s="99" t="s">
        <v>79</v>
      </c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>
        <f t="shared" si="13"/>
        <v>0</v>
      </c>
      <c r="AL74" s="98"/>
      <c r="AM74" s="98">
        <f t="shared" si="14"/>
        <v>0</v>
      </c>
      <c r="AN74" s="101">
        <v>277</v>
      </c>
      <c r="AO74" s="116">
        <f t="shared" si="15"/>
        <v>0</v>
      </c>
    </row>
    <row r="75" spans="1:41">
      <c r="A75" s="98">
        <v>16</v>
      </c>
      <c r="B75" s="99" t="s">
        <v>71</v>
      </c>
      <c r="C75" s="99"/>
      <c r="D75" s="100" t="s">
        <v>183</v>
      </c>
      <c r="E75" s="99" t="s">
        <v>79</v>
      </c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>
        <f t="shared" si="13"/>
        <v>0</v>
      </c>
      <c r="AL75" s="98"/>
      <c r="AM75" s="98">
        <f t="shared" si="14"/>
        <v>0</v>
      </c>
      <c r="AN75" s="101">
        <v>277</v>
      </c>
      <c r="AO75" s="116">
        <f t="shared" si="15"/>
        <v>0</v>
      </c>
    </row>
    <row r="76" spans="1:41">
      <c r="A76" s="98">
        <v>17</v>
      </c>
      <c r="B76" s="99" t="s">
        <v>115</v>
      </c>
      <c r="C76" s="99"/>
      <c r="D76" s="100" t="s">
        <v>182</v>
      </c>
      <c r="E76" s="99" t="s">
        <v>79</v>
      </c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>
        <f t="shared" si="13"/>
        <v>0</v>
      </c>
      <c r="AL76" s="98"/>
      <c r="AM76" s="98">
        <f t="shared" si="14"/>
        <v>0</v>
      </c>
      <c r="AN76" s="101">
        <v>277</v>
      </c>
      <c r="AO76" s="116">
        <f t="shared" si="15"/>
        <v>0</v>
      </c>
    </row>
    <row r="77" spans="1:41">
      <c r="A77" s="98">
        <v>18</v>
      </c>
      <c r="B77" s="99" t="s">
        <v>116</v>
      </c>
      <c r="C77" s="99"/>
      <c r="D77" s="100" t="s">
        <v>184</v>
      </c>
      <c r="E77" s="99" t="s">
        <v>79</v>
      </c>
      <c r="F77" s="98"/>
      <c r="G77" s="98"/>
      <c r="H77" s="98"/>
      <c r="I77" s="98"/>
      <c r="J77" s="98"/>
      <c r="K77" s="98"/>
      <c r="L77" s="98"/>
      <c r="M77" s="98"/>
      <c r="N77" s="105">
        <v>5</v>
      </c>
      <c r="O77" s="98"/>
      <c r="P77" s="98"/>
      <c r="Q77" s="98"/>
      <c r="R77" s="98"/>
      <c r="S77" s="98"/>
      <c r="T77" s="98"/>
      <c r="U77" s="98"/>
      <c r="V77" s="98"/>
      <c r="W77" s="105"/>
      <c r="X77" s="98"/>
      <c r="Y77" s="105"/>
      <c r="Z77" s="105"/>
      <c r="AA77" s="105"/>
      <c r="AB77" s="105"/>
      <c r="AC77" s="105"/>
      <c r="AD77" s="98"/>
      <c r="AE77" s="98"/>
      <c r="AF77" s="98"/>
      <c r="AG77" s="98"/>
      <c r="AH77" s="98"/>
      <c r="AI77" s="98"/>
      <c r="AJ77" s="98"/>
      <c r="AK77" s="98">
        <f t="shared" si="13"/>
        <v>5</v>
      </c>
      <c r="AL77" s="98"/>
      <c r="AM77" s="98">
        <f t="shared" si="14"/>
        <v>5</v>
      </c>
      <c r="AN77" s="101">
        <v>277</v>
      </c>
      <c r="AO77" s="116">
        <f t="shared" si="15"/>
        <v>1385</v>
      </c>
    </row>
    <row r="78" spans="1:41">
      <c r="A78" s="98">
        <v>19</v>
      </c>
      <c r="B78" s="99" t="s">
        <v>117</v>
      </c>
      <c r="C78" s="99"/>
      <c r="D78" s="100" t="s">
        <v>66</v>
      </c>
      <c r="E78" s="99" t="s">
        <v>79</v>
      </c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>
        <f t="shared" si="13"/>
        <v>0</v>
      </c>
      <c r="AL78" s="98"/>
      <c r="AM78" s="98">
        <f t="shared" si="14"/>
        <v>0</v>
      </c>
      <c r="AN78" s="101">
        <v>277</v>
      </c>
      <c r="AO78" s="116">
        <f t="shared" si="15"/>
        <v>0</v>
      </c>
    </row>
    <row r="79" spans="1:41">
      <c r="A79" s="98">
        <v>20</v>
      </c>
      <c r="B79" s="99" t="s">
        <v>118</v>
      </c>
      <c r="C79" s="99"/>
      <c r="D79" s="100" t="s">
        <v>186</v>
      </c>
      <c r="E79" s="99" t="s">
        <v>79</v>
      </c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>
        <f t="shared" si="13"/>
        <v>0</v>
      </c>
      <c r="AL79" s="98"/>
      <c r="AM79" s="98">
        <f t="shared" si="14"/>
        <v>0</v>
      </c>
      <c r="AN79" s="101">
        <v>277</v>
      </c>
      <c r="AO79" s="116">
        <f t="shared" si="15"/>
        <v>0</v>
      </c>
    </row>
    <row r="80" spans="1:41">
      <c r="A80" s="98"/>
      <c r="B80" s="100" t="s">
        <v>213</v>
      </c>
      <c r="C80" s="99"/>
      <c r="D80" s="100"/>
      <c r="E80" s="99"/>
      <c r="F80" s="105"/>
      <c r="G80" s="98"/>
      <c r="H80" s="105"/>
      <c r="I80" s="105"/>
      <c r="J80" s="105"/>
      <c r="K80" s="105"/>
      <c r="L80" s="105"/>
      <c r="M80" s="98"/>
      <c r="N80" s="98"/>
      <c r="O80" s="98"/>
      <c r="P80" s="98"/>
      <c r="Q80" s="105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105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101"/>
      <c r="AO80" s="116"/>
    </row>
    <row r="81" spans="1:41">
      <c r="A81" s="98">
        <v>21</v>
      </c>
      <c r="B81" s="99" t="s">
        <v>76</v>
      </c>
      <c r="C81" s="99"/>
      <c r="D81" s="100" t="s">
        <v>66</v>
      </c>
      <c r="E81" s="99" t="s">
        <v>79</v>
      </c>
      <c r="F81" s="105"/>
      <c r="G81" s="98"/>
      <c r="H81" s="105"/>
      <c r="I81" s="105"/>
      <c r="J81" s="105"/>
      <c r="K81" s="105"/>
      <c r="L81" s="105"/>
      <c r="M81" s="98"/>
      <c r="N81" s="98"/>
      <c r="O81" s="98"/>
      <c r="P81" s="98"/>
      <c r="Q81" s="105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105"/>
      <c r="AD81" s="98"/>
      <c r="AE81" s="98"/>
      <c r="AF81" s="98"/>
      <c r="AG81" s="98"/>
      <c r="AH81" s="98"/>
      <c r="AI81" s="98"/>
      <c r="AJ81" s="98"/>
      <c r="AK81" s="98">
        <f t="shared" ref="AK81:AK86" si="16">SUM(F81:AG81)</f>
        <v>0</v>
      </c>
      <c r="AL81" s="98"/>
      <c r="AM81" s="98">
        <f t="shared" ref="AM81:AM86" si="17">AK81+AL81</f>
        <v>0</v>
      </c>
      <c r="AN81" s="101">
        <v>277</v>
      </c>
      <c r="AO81" s="116">
        <f t="shared" ref="AO81:AO86" si="18">AN81*AM81</f>
        <v>0</v>
      </c>
    </row>
    <row r="82" spans="1:41">
      <c r="A82" s="98">
        <v>22</v>
      </c>
      <c r="B82" s="99" t="s">
        <v>70</v>
      </c>
      <c r="C82" s="99"/>
      <c r="D82" s="100" t="s">
        <v>187</v>
      </c>
      <c r="E82" s="99" t="s">
        <v>79</v>
      </c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>
        <f t="shared" si="16"/>
        <v>0</v>
      </c>
      <c r="AL82" s="98"/>
      <c r="AM82" s="98">
        <f t="shared" si="17"/>
        <v>0</v>
      </c>
      <c r="AN82" s="101">
        <v>277</v>
      </c>
      <c r="AO82" s="116">
        <f t="shared" si="18"/>
        <v>0</v>
      </c>
    </row>
    <row r="83" spans="1:41">
      <c r="A83" s="98">
        <v>23</v>
      </c>
      <c r="B83" s="99" t="s">
        <v>119</v>
      </c>
      <c r="C83" s="99"/>
      <c r="D83" s="100" t="s">
        <v>188</v>
      </c>
      <c r="E83" s="99" t="s">
        <v>79</v>
      </c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>
        <f t="shared" si="16"/>
        <v>0</v>
      </c>
      <c r="AL83" s="98"/>
      <c r="AM83" s="98">
        <f t="shared" si="17"/>
        <v>0</v>
      </c>
      <c r="AN83" s="101">
        <v>277</v>
      </c>
      <c r="AO83" s="116">
        <f t="shared" si="18"/>
        <v>0</v>
      </c>
    </row>
    <row r="84" spans="1:41">
      <c r="A84" s="98">
        <v>24</v>
      </c>
      <c r="B84" s="99" t="s">
        <v>67</v>
      </c>
      <c r="C84" s="99"/>
      <c r="D84" s="100" t="s">
        <v>179</v>
      </c>
      <c r="E84" s="99" t="s">
        <v>79</v>
      </c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105"/>
      <c r="AB84" s="105"/>
      <c r="AC84" s="98"/>
      <c r="AD84" s="98"/>
      <c r="AE84" s="98"/>
      <c r="AF84" s="98"/>
      <c r="AG84" s="98"/>
      <c r="AH84" s="98"/>
      <c r="AI84" s="98"/>
      <c r="AJ84" s="98"/>
      <c r="AK84" s="98">
        <f t="shared" si="16"/>
        <v>0</v>
      </c>
      <c r="AL84" s="98"/>
      <c r="AM84" s="98">
        <f t="shared" si="17"/>
        <v>0</v>
      </c>
      <c r="AN84" s="101">
        <v>277</v>
      </c>
      <c r="AO84" s="116">
        <f t="shared" si="18"/>
        <v>0</v>
      </c>
    </row>
    <row r="85" spans="1:41">
      <c r="A85" s="98">
        <v>25</v>
      </c>
      <c r="B85" s="99" t="s">
        <v>120</v>
      </c>
      <c r="C85" s="99"/>
      <c r="D85" s="100" t="s">
        <v>189</v>
      </c>
      <c r="E85" s="99" t="s">
        <v>79</v>
      </c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>
        <f t="shared" si="16"/>
        <v>0</v>
      </c>
      <c r="AL85" s="98"/>
      <c r="AM85" s="98">
        <f t="shared" si="17"/>
        <v>0</v>
      </c>
      <c r="AN85" s="101">
        <v>277</v>
      </c>
      <c r="AO85" s="116">
        <f t="shared" si="18"/>
        <v>0</v>
      </c>
    </row>
    <row r="86" spans="1:41">
      <c r="A86" s="98">
        <v>26</v>
      </c>
      <c r="B86" s="99" t="s">
        <v>153</v>
      </c>
      <c r="C86" s="99"/>
      <c r="D86" s="100" t="s">
        <v>188</v>
      </c>
      <c r="E86" s="99" t="s">
        <v>79</v>
      </c>
      <c r="F86" s="105"/>
      <c r="G86" s="105">
        <v>10</v>
      </c>
      <c r="H86" s="105">
        <v>15</v>
      </c>
      <c r="I86" s="105">
        <v>20</v>
      </c>
      <c r="J86" s="98"/>
      <c r="K86" s="105">
        <v>10</v>
      </c>
      <c r="L86" s="105">
        <v>10</v>
      </c>
      <c r="M86" s="105"/>
      <c r="N86" s="105">
        <v>10</v>
      </c>
      <c r="O86" s="98"/>
      <c r="P86" s="98"/>
      <c r="Q86" s="105"/>
      <c r="R86" s="105"/>
      <c r="S86" s="98"/>
      <c r="T86" s="98"/>
      <c r="U86" s="98"/>
      <c r="V86" s="105"/>
      <c r="W86" s="98"/>
      <c r="X86" s="98"/>
      <c r="Y86" s="105"/>
      <c r="Z86" s="105"/>
      <c r="AA86" s="105">
        <v>10</v>
      </c>
      <c r="AB86" s="105">
        <v>20</v>
      </c>
      <c r="AC86" s="105"/>
      <c r="AD86" s="105"/>
      <c r="AE86" s="105"/>
      <c r="AF86" s="105"/>
      <c r="AG86" s="98"/>
      <c r="AH86" s="105">
        <v>10</v>
      </c>
      <c r="AI86" s="105">
        <v>10</v>
      </c>
      <c r="AJ86" s="98"/>
      <c r="AK86" s="98">
        <f t="shared" si="16"/>
        <v>105</v>
      </c>
      <c r="AL86" s="98"/>
      <c r="AM86" s="98">
        <f t="shared" si="17"/>
        <v>105</v>
      </c>
      <c r="AN86" s="101">
        <v>277</v>
      </c>
      <c r="AO86" s="116">
        <f t="shared" si="18"/>
        <v>29085</v>
      </c>
    </row>
    <row r="87" spans="1:41">
      <c r="A87" s="98"/>
      <c r="B87" s="100" t="s">
        <v>228</v>
      </c>
      <c r="C87" s="99"/>
      <c r="D87" s="100"/>
      <c r="E87" s="100" t="s">
        <v>79</v>
      </c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105"/>
      <c r="AC87" s="105">
        <v>20</v>
      </c>
      <c r="AD87" s="105">
        <v>20</v>
      </c>
      <c r="AE87" s="105">
        <v>15</v>
      </c>
      <c r="AF87" s="105">
        <v>20</v>
      </c>
      <c r="AG87" s="105">
        <v>15</v>
      </c>
      <c r="AH87" s="105">
        <v>20</v>
      </c>
      <c r="AI87" s="105">
        <v>15</v>
      </c>
      <c r="AJ87" s="98"/>
      <c r="AK87" s="98"/>
      <c r="AL87" s="98"/>
      <c r="AM87" s="98"/>
      <c r="AN87" s="101"/>
      <c r="AO87" s="116"/>
    </row>
    <row r="88" spans="1:41">
      <c r="A88" s="98">
        <v>27</v>
      </c>
      <c r="B88" s="99" t="s">
        <v>121</v>
      </c>
      <c r="C88" s="99"/>
      <c r="D88" s="100" t="s">
        <v>190</v>
      </c>
      <c r="E88" s="99" t="s">
        <v>79</v>
      </c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>
        <f t="shared" ref="AK88:AK92" si="19">SUM(F88:AG88)</f>
        <v>0</v>
      </c>
      <c r="AL88" s="98"/>
      <c r="AM88" s="98">
        <f t="shared" ref="AM88:AM92" si="20">AK88+AL88</f>
        <v>0</v>
      </c>
      <c r="AN88" s="101">
        <v>277</v>
      </c>
      <c r="AO88" s="116">
        <f t="shared" ref="AO88:AO92" si="21">AN88*AM88</f>
        <v>0</v>
      </c>
    </row>
    <row r="89" spans="1:41">
      <c r="A89" s="98">
        <v>28</v>
      </c>
      <c r="B89" s="99" t="s">
        <v>154</v>
      </c>
      <c r="C89" s="99"/>
      <c r="D89" s="100" t="s">
        <v>191</v>
      </c>
      <c r="E89" s="99" t="s">
        <v>79</v>
      </c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>
        <f t="shared" si="19"/>
        <v>0</v>
      </c>
      <c r="AL89" s="98"/>
      <c r="AM89" s="98">
        <f t="shared" si="20"/>
        <v>0</v>
      </c>
      <c r="AN89" s="101">
        <v>277</v>
      </c>
      <c r="AO89" s="116">
        <f t="shared" si="21"/>
        <v>0</v>
      </c>
    </row>
    <row r="90" spans="1:41">
      <c r="A90" s="98">
        <v>29</v>
      </c>
      <c r="B90" s="99" t="s">
        <v>155</v>
      </c>
      <c r="C90" s="99"/>
      <c r="D90" s="100" t="s">
        <v>189</v>
      </c>
      <c r="E90" s="99" t="s">
        <v>79</v>
      </c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>
        <f t="shared" si="19"/>
        <v>0</v>
      </c>
      <c r="AL90" s="98"/>
      <c r="AM90" s="98">
        <f t="shared" si="20"/>
        <v>0</v>
      </c>
      <c r="AN90" s="101">
        <v>277</v>
      </c>
      <c r="AO90" s="116">
        <f t="shared" si="21"/>
        <v>0</v>
      </c>
    </row>
    <row r="91" spans="1:41">
      <c r="A91" s="98">
        <v>30</v>
      </c>
      <c r="B91" s="99" t="s">
        <v>156</v>
      </c>
      <c r="C91" s="99"/>
      <c r="D91" s="100" t="s">
        <v>64</v>
      </c>
      <c r="E91" s="99" t="s">
        <v>79</v>
      </c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>
        <f t="shared" si="19"/>
        <v>0</v>
      </c>
      <c r="AL91" s="98"/>
      <c r="AM91" s="98">
        <f t="shared" si="20"/>
        <v>0</v>
      </c>
      <c r="AN91" s="101">
        <v>277</v>
      </c>
      <c r="AO91" s="116">
        <f t="shared" si="21"/>
        <v>0</v>
      </c>
    </row>
    <row r="92" spans="1:41">
      <c r="A92" s="98">
        <v>31</v>
      </c>
      <c r="B92" s="99" t="s">
        <v>157</v>
      </c>
      <c r="C92" s="99"/>
      <c r="D92" s="100" t="s">
        <v>184</v>
      </c>
      <c r="E92" s="99" t="s">
        <v>79</v>
      </c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>
        <f t="shared" si="19"/>
        <v>0</v>
      </c>
      <c r="AL92" s="98"/>
      <c r="AM92" s="98">
        <f t="shared" si="20"/>
        <v>0</v>
      </c>
      <c r="AN92" s="101">
        <v>277</v>
      </c>
      <c r="AO92" s="116">
        <f t="shared" si="21"/>
        <v>0</v>
      </c>
    </row>
    <row r="93" spans="1:41">
      <c r="A93" s="105"/>
      <c r="B93" s="100" t="s">
        <v>214</v>
      </c>
      <c r="C93" s="99"/>
      <c r="D93" s="100"/>
      <c r="E93" s="99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105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101"/>
      <c r="AO93" s="116"/>
    </row>
    <row r="94" spans="1:41">
      <c r="A94" s="98">
        <v>32</v>
      </c>
      <c r="B94" s="99" t="s">
        <v>158</v>
      </c>
      <c r="C94" s="99"/>
      <c r="D94" s="100" t="s">
        <v>184</v>
      </c>
      <c r="E94" s="99" t="s">
        <v>79</v>
      </c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>
        <f t="shared" ref="AK94:AK95" si="22">SUM(F94:AG94)</f>
        <v>0</v>
      </c>
      <c r="AL94" s="98"/>
      <c r="AM94" s="98">
        <f t="shared" ref="AM94:AM95" si="23">AK94+AL94</f>
        <v>0</v>
      </c>
      <c r="AN94" s="101">
        <v>277</v>
      </c>
      <c r="AO94" s="116">
        <f t="shared" ref="AO94:AO95" si="24">AN94*AM94</f>
        <v>0</v>
      </c>
    </row>
    <row r="95" spans="1:41">
      <c r="A95" s="98">
        <v>33</v>
      </c>
      <c r="B95" s="99" t="s">
        <v>159</v>
      </c>
      <c r="C95" s="99"/>
      <c r="D95" s="100" t="s">
        <v>191</v>
      </c>
      <c r="E95" s="99" t="s">
        <v>79</v>
      </c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>
        <f t="shared" si="22"/>
        <v>0</v>
      </c>
      <c r="AL95" s="98"/>
      <c r="AM95" s="98">
        <f t="shared" si="23"/>
        <v>0</v>
      </c>
      <c r="AN95" s="101">
        <v>277</v>
      </c>
      <c r="AO95" s="116">
        <f t="shared" si="24"/>
        <v>0</v>
      </c>
    </row>
    <row r="96" spans="1:41">
      <c r="A96" s="98"/>
      <c r="B96" s="100" t="s">
        <v>215</v>
      </c>
      <c r="C96" s="99"/>
      <c r="D96" s="100"/>
      <c r="E96" s="100" t="s">
        <v>79</v>
      </c>
      <c r="F96" s="105"/>
      <c r="G96" s="98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98"/>
      <c r="Y96" s="98"/>
      <c r="Z96" s="98"/>
      <c r="AA96" s="98"/>
      <c r="AB96" s="105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101"/>
      <c r="AO96" s="116"/>
    </row>
    <row r="97" spans="1:41">
      <c r="A97" s="98"/>
      <c r="B97" s="100" t="s">
        <v>229</v>
      </c>
      <c r="C97" s="99"/>
      <c r="D97" s="100"/>
      <c r="E97" s="99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98"/>
      <c r="Y97" s="105"/>
      <c r="Z97" s="105"/>
      <c r="AA97" s="105"/>
      <c r="AB97" s="105"/>
      <c r="AC97" s="105">
        <v>3</v>
      </c>
      <c r="AD97" s="105"/>
      <c r="AE97" s="105"/>
      <c r="AF97" s="105"/>
      <c r="AG97" s="105"/>
      <c r="AH97" s="105"/>
      <c r="AI97" s="105"/>
      <c r="AJ97" s="105"/>
      <c r="AK97" s="98"/>
      <c r="AL97" s="98"/>
      <c r="AM97" s="98"/>
      <c r="AN97" s="101"/>
      <c r="AO97" s="116"/>
    </row>
    <row r="98" spans="1:41">
      <c r="A98" s="98">
        <v>34</v>
      </c>
      <c r="B98" s="99" t="s">
        <v>122</v>
      </c>
      <c r="C98" s="99"/>
      <c r="D98" s="100" t="s">
        <v>29</v>
      </c>
      <c r="E98" s="99" t="s">
        <v>79</v>
      </c>
      <c r="F98" s="105">
        <v>10</v>
      </c>
      <c r="G98" s="105">
        <v>20</v>
      </c>
      <c r="H98" s="105">
        <v>30</v>
      </c>
      <c r="I98" s="105">
        <v>20</v>
      </c>
      <c r="J98" s="105">
        <v>20</v>
      </c>
      <c r="K98" s="105">
        <v>20</v>
      </c>
      <c r="L98" s="105">
        <v>30</v>
      </c>
      <c r="M98" s="105">
        <v>30</v>
      </c>
      <c r="N98" s="105">
        <v>30</v>
      </c>
      <c r="O98" s="105">
        <v>10</v>
      </c>
      <c r="P98" s="105"/>
      <c r="Q98" s="105"/>
      <c r="R98" s="105"/>
      <c r="S98" s="105"/>
      <c r="T98" s="105"/>
      <c r="U98" s="105"/>
      <c r="V98" s="105"/>
      <c r="W98" s="105"/>
      <c r="X98" s="98"/>
      <c r="Y98" s="105"/>
      <c r="Z98" s="105"/>
      <c r="AA98" s="105">
        <v>40</v>
      </c>
      <c r="AB98" s="105">
        <v>30</v>
      </c>
      <c r="AC98" s="105">
        <v>45</v>
      </c>
      <c r="AD98" s="105">
        <v>30</v>
      </c>
      <c r="AE98" s="105">
        <v>30</v>
      </c>
      <c r="AF98" s="105">
        <v>30</v>
      </c>
      <c r="AG98" s="105">
        <v>35</v>
      </c>
      <c r="AH98" s="105">
        <v>30</v>
      </c>
      <c r="AI98" s="105">
        <v>30</v>
      </c>
      <c r="AJ98" s="105"/>
      <c r="AK98" s="98">
        <f>SUM(F98:AG98)</f>
        <v>460</v>
      </c>
      <c r="AL98" s="98"/>
      <c r="AM98" s="98">
        <f>AK98+AL98</f>
        <v>460</v>
      </c>
      <c r="AN98" s="101">
        <v>277</v>
      </c>
      <c r="AO98" s="116">
        <f>AN98*AM98</f>
        <v>127420</v>
      </c>
    </row>
    <row r="99" spans="1:41">
      <c r="A99" s="98"/>
      <c r="B99" s="119" t="s">
        <v>230</v>
      </c>
      <c r="C99" s="99"/>
      <c r="D99" s="119" t="s">
        <v>182</v>
      </c>
      <c r="E99" s="100" t="s">
        <v>79</v>
      </c>
      <c r="F99" s="105"/>
      <c r="G99" s="105">
        <v>40</v>
      </c>
      <c r="H99" s="105">
        <v>40</v>
      </c>
      <c r="I99" s="105">
        <v>20</v>
      </c>
      <c r="J99" s="98"/>
      <c r="K99" s="105">
        <v>20</v>
      </c>
      <c r="L99" s="105">
        <v>30</v>
      </c>
      <c r="M99" s="98"/>
      <c r="N99" s="105">
        <v>30</v>
      </c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105">
        <v>30</v>
      </c>
      <c r="AC99" s="105">
        <v>40</v>
      </c>
      <c r="AD99" s="105">
        <v>25</v>
      </c>
      <c r="AE99" s="105">
        <v>30</v>
      </c>
      <c r="AF99" s="105">
        <v>30</v>
      </c>
      <c r="AG99" s="105">
        <v>25</v>
      </c>
      <c r="AH99" s="105">
        <v>31</v>
      </c>
      <c r="AI99" s="105">
        <v>20</v>
      </c>
      <c r="AJ99" s="105"/>
      <c r="AK99" s="98"/>
      <c r="AL99" s="98"/>
      <c r="AM99" s="98"/>
      <c r="AN99" s="101"/>
      <c r="AO99" s="116"/>
    </row>
    <row r="100" spans="1:41">
      <c r="A100" s="98"/>
      <c r="B100" s="119" t="s">
        <v>216</v>
      </c>
      <c r="C100" s="99"/>
      <c r="D100" s="119" t="s">
        <v>29</v>
      </c>
      <c r="E100" s="100" t="s">
        <v>79</v>
      </c>
      <c r="F100" s="105">
        <v>10</v>
      </c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105">
        <v>10</v>
      </c>
      <c r="AC100" s="105">
        <v>25</v>
      </c>
      <c r="AD100" s="105">
        <v>15</v>
      </c>
      <c r="AE100" s="98"/>
      <c r="AF100" s="105">
        <v>20</v>
      </c>
      <c r="AG100" s="98"/>
      <c r="AH100" s="105">
        <v>15</v>
      </c>
      <c r="AI100" s="98"/>
      <c r="AJ100" s="105"/>
      <c r="AK100" s="98"/>
      <c r="AL100" s="98"/>
      <c r="AM100" s="98"/>
      <c r="AN100" s="101"/>
      <c r="AO100" s="116"/>
    </row>
    <row r="101" spans="1:41">
      <c r="A101" s="98"/>
      <c r="B101" s="119" t="s">
        <v>231</v>
      </c>
      <c r="C101" s="99"/>
      <c r="D101" s="119"/>
      <c r="E101" s="100" t="s">
        <v>79</v>
      </c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105">
        <v>5</v>
      </c>
      <c r="AE101" s="98"/>
      <c r="AF101" s="98"/>
      <c r="AG101" s="98"/>
      <c r="AH101" s="98"/>
      <c r="AI101" s="98"/>
      <c r="AJ101" s="98"/>
      <c r="AK101" s="98"/>
      <c r="AL101" s="98"/>
      <c r="AM101" s="98"/>
      <c r="AN101" s="101"/>
      <c r="AO101" s="116"/>
    </row>
    <row r="102" spans="1:41">
      <c r="A102" s="98">
        <v>35</v>
      </c>
      <c r="B102" s="118" t="s">
        <v>192</v>
      </c>
      <c r="C102" s="99"/>
      <c r="D102" s="119" t="s">
        <v>193</v>
      </c>
      <c r="E102" s="99" t="s">
        <v>79</v>
      </c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>
        <f t="shared" ref="AK102:AK106" si="25">SUM(F102:AG102)</f>
        <v>0</v>
      </c>
      <c r="AL102" s="98"/>
      <c r="AM102" s="98">
        <f t="shared" ref="AM102:AM106" si="26">AK102+AL102</f>
        <v>0</v>
      </c>
      <c r="AN102" s="101">
        <v>277</v>
      </c>
      <c r="AO102" s="116">
        <f t="shared" ref="AO102:AO106" si="27">AN102*AM102</f>
        <v>0</v>
      </c>
    </row>
    <row r="103" spans="1:41">
      <c r="A103" s="105">
        <v>36</v>
      </c>
      <c r="B103" s="118" t="s">
        <v>161</v>
      </c>
      <c r="C103" s="99"/>
      <c r="D103" s="119" t="s">
        <v>194</v>
      </c>
      <c r="E103" s="99" t="s">
        <v>79</v>
      </c>
      <c r="F103" s="98"/>
      <c r="G103" s="105">
        <v>10</v>
      </c>
      <c r="H103" s="98"/>
      <c r="I103" s="98"/>
      <c r="J103" s="105">
        <v>10</v>
      </c>
      <c r="K103" s="98"/>
      <c r="L103" s="140"/>
      <c r="M103" s="98"/>
      <c r="N103" s="98"/>
      <c r="O103" s="98"/>
      <c r="P103" s="105"/>
      <c r="Q103" s="98"/>
      <c r="R103" s="98"/>
      <c r="S103" s="98"/>
      <c r="T103" s="98"/>
      <c r="U103" s="98"/>
      <c r="V103" s="105"/>
      <c r="W103" s="98"/>
      <c r="X103" s="98"/>
      <c r="Y103" s="105"/>
      <c r="Z103" s="105"/>
      <c r="AA103" s="105"/>
      <c r="AB103" s="105">
        <v>10</v>
      </c>
      <c r="AC103" s="105">
        <v>20</v>
      </c>
      <c r="AD103" s="105">
        <v>10</v>
      </c>
      <c r="AE103" s="105">
        <v>20</v>
      </c>
      <c r="AF103" s="105">
        <v>15</v>
      </c>
      <c r="AG103" s="105">
        <v>15</v>
      </c>
      <c r="AH103" s="105">
        <v>10</v>
      </c>
      <c r="AI103" s="105">
        <v>5</v>
      </c>
      <c r="AJ103" s="105"/>
      <c r="AK103" s="98">
        <f t="shared" si="25"/>
        <v>110</v>
      </c>
      <c r="AL103" s="98"/>
      <c r="AM103" s="98">
        <f t="shared" si="26"/>
        <v>110</v>
      </c>
      <c r="AN103" s="101">
        <v>277</v>
      </c>
      <c r="AO103" s="116">
        <f t="shared" si="27"/>
        <v>30470</v>
      </c>
    </row>
    <row r="104" spans="1:41">
      <c r="A104" s="105">
        <v>37</v>
      </c>
      <c r="B104" s="100" t="s">
        <v>217</v>
      </c>
      <c r="C104" s="99"/>
      <c r="D104" s="100" t="s">
        <v>218</v>
      </c>
      <c r="E104" s="99" t="s">
        <v>79</v>
      </c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>
        <f t="shared" si="25"/>
        <v>0</v>
      </c>
      <c r="AL104" s="98"/>
      <c r="AM104" s="98">
        <f t="shared" si="26"/>
        <v>0</v>
      </c>
      <c r="AN104" s="101">
        <v>277</v>
      </c>
      <c r="AO104" s="116">
        <f t="shared" si="27"/>
        <v>0</v>
      </c>
    </row>
    <row r="105" spans="1:41">
      <c r="A105" s="105">
        <v>38</v>
      </c>
      <c r="B105" s="99" t="s">
        <v>166</v>
      </c>
      <c r="C105" s="99"/>
      <c r="D105" s="100" t="s">
        <v>196</v>
      </c>
      <c r="E105" s="99" t="s">
        <v>79</v>
      </c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105"/>
      <c r="AB105" s="98"/>
      <c r="AC105" s="105"/>
      <c r="AD105" s="98"/>
      <c r="AE105" s="98"/>
      <c r="AF105" s="98"/>
      <c r="AG105" s="98"/>
      <c r="AH105" s="98"/>
      <c r="AI105" s="98"/>
      <c r="AJ105" s="98"/>
      <c r="AK105" s="98">
        <f t="shared" si="25"/>
        <v>0</v>
      </c>
      <c r="AL105" s="98"/>
      <c r="AM105" s="98">
        <f t="shared" si="26"/>
        <v>0</v>
      </c>
      <c r="AN105" s="101">
        <v>277</v>
      </c>
      <c r="AO105" s="116">
        <f t="shared" si="27"/>
        <v>0</v>
      </c>
    </row>
    <row r="106" spans="1:41">
      <c r="A106" s="105">
        <v>39</v>
      </c>
      <c r="B106" s="99" t="s">
        <v>197</v>
      </c>
      <c r="C106" s="99"/>
      <c r="D106" s="100" t="s">
        <v>198</v>
      </c>
      <c r="E106" s="99" t="s">
        <v>79</v>
      </c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>
        <f t="shared" si="25"/>
        <v>0</v>
      </c>
      <c r="AL106" s="98"/>
      <c r="AM106" s="98">
        <f t="shared" si="26"/>
        <v>0</v>
      </c>
      <c r="AN106" s="101">
        <v>277</v>
      </c>
      <c r="AO106" s="116">
        <f t="shared" si="27"/>
        <v>0</v>
      </c>
    </row>
    <row r="107" spans="1:41">
      <c r="A107" s="105">
        <v>40</v>
      </c>
      <c r="B107" s="100" t="s">
        <v>219</v>
      </c>
      <c r="C107" s="141">
        <v>46052</v>
      </c>
      <c r="D107" s="100" t="s">
        <v>220</v>
      </c>
      <c r="E107" s="99" t="s">
        <v>79</v>
      </c>
      <c r="F107" s="98"/>
      <c r="G107" s="98"/>
      <c r="H107" s="98"/>
      <c r="I107" s="98"/>
      <c r="J107" s="98"/>
      <c r="K107" s="105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101"/>
      <c r="AO107" s="116"/>
    </row>
    <row r="108" spans="1:41">
      <c r="A108" s="105">
        <v>41</v>
      </c>
      <c r="B108" s="100" t="s">
        <v>221</v>
      </c>
      <c r="C108" s="141">
        <v>46058</v>
      </c>
      <c r="D108" s="100" t="s">
        <v>220</v>
      </c>
      <c r="E108" s="99" t="s">
        <v>79</v>
      </c>
      <c r="F108" s="98"/>
      <c r="G108" s="98"/>
      <c r="H108" s="98"/>
      <c r="I108" s="98"/>
      <c r="J108" s="98"/>
      <c r="K108" s="105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101"/>
      <c r="AO108" s="116"/>
    </row>
    <row r="109" spans="1:41">
      <c r="A109" s="105">
        <v>42</v>
      </c>
      <c r="B109" s="100" t="s">
        <v>221</v>
      </c>
      <c r="C109" s="141">
        <v>46059</v>
      </c>
      <c r="D109" s="100" t="s">
        <v>220</v>
      </c>
      <c r="E109" s="99" t="s">
        <v>79</v>
      </c>
      <c r="F109" s="98"/>
      <c r="G109" s="98"/>
      <c r="H109" s="98"/>
      <c r="I109" s="98"/>
      <c r="J109" s="98"/>
      <c r="K109" s="105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101"/>
      <c r="AO109" s="116"/>
    </row>
    <row r="110" spans="1:41">
      <c r="A110" s="105">
        <v>43</v>
      </c>
      <c r="B110" s="100" t="s">
        <v>222</v>
      </c>
      <c r="C110" s="141">
        <v>46065</v>
      </c>
      <c r="D110" s="100" t="s">
        <v>220</v>
      </c>
      <c r="E110" s="99" t="s">
        <v>79</v>
      </c>
      <c r="F110" s="98"/>
      <c r="G110" s="98"/>
      <c r="H110" s="98"/>
      <c r="I110" s="98"/>
      <c r="J110" s="98"/>
      <c r="K110" s="105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101"/>
      <c r="AO110" s="116"/>
    </row>
    <row r="111" spans="1:41">
      <c r="A111" s="105">
        <v>44</v>
      </c>
      <c r="B111" s="100" t="s">
        <v>223</v>
      </c>
      <c r="C111" s="141">
        <v>46073</v>
      </c>
      <c r="D111" s="100" t="s">
        <v>220</v>
      </c>
      <c r="E111" s="99" t="s">
        <v>79</v>
      </c>
      <c r="F111" s="98"/>
      <c r="G111" s="105">
        <v>10</v>
      </c>
      <c r="H111" s="105">
        <v>10</v>
      </c>
      <c r="I111" s="98"/>
      <c r="J111" s="98"/>
      <c r="K111" s="105"/>
      <c r="L111" s="98"/>
      <c r="M111" s="98"/>
      <c r="N111" s="98"/>
      <c r="O111" s="105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105">
        <v>5</v>
      </c>
      <c r="AE111" s="98"/>
      <c r="AF111" s="98"/>
      <c r="AG111" s="98"/>
      <c r="AH111" s="98"/>
      <c r="AI111" s="98"/>
      <c r="AJ111" s="98"/>
      <c r="AK111" s="98"/>
      <c r="AL111" s="98"/>
      <c r="AM111" s="98"/>
      <c r="AN111" s="101"/>
      <c r="AO111" s="116"/>
    </row>
    <row r="112" spans="1:41">
      <c r="A112" s="105">
        <v>45</v>
      </c>
      <c r="B112" s="100" t="s">
        <v>224</v>
      </c>
      <c r="C112" s="141">
        <v>46370</v>
      </c>
      <c r="D112" s="100" t="s">
        <v>220</v>
      </c>
      <c r="E112" s="99" t="s">
        <v>79</v>
      </c>
      <c r="F112" s="98"/>
      <c r="G112" s="98"/>
      <c r="H112" s="98"/>
      <c r="I112" s="98"/>
      <c r="J112" s="98"/>
      <c r="K112" s="105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101"/>
      <c r="AO112" s="116"/>
    </row>
    <row r="113" spans="1:41">
      <c r="A113" s="105">
        <v>46</v>
      </c>
      <c r="B113" s="100" t="s">
        <v>224</v>
      </c>
      <c r="C113" s="141">
        <v>46386</v>
      </c>
      <c r="D113" s="100" t="s">
        <v>220</v>
      </c>
      <c r="E113" s="99" t="s">
        <v>79</v>
      </c>
      <c r="F113" s="98"/>
      <c r="G113" s="98"/>
      <c r="H113" s="98"/>
      <c r="I113" s="98"/>
      <c r="J113" s="98"/>
      <c r="K113" s="105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>
        <f>SUM(F113:AG113)</f>
        <v>0</v>
      </c>
      <c r="AL113" s="98"/>
      <c r="AM113" s="98">
        <f t="shared" ref="AM113:AM114" si="28">AK113+AL113</f>
        <v>0</v>
      </c>
      <c r="AN113" s="101">
        <v>277</v>
      </c>
      <c r="AO113" s="116">
        <f>AN113*AM113</f>
        <v>0</v>
      </c>
    </row>
    <row r="114" spans="1:41">
      <c r="A114" s="142"/>
      <c r="B114" s="176" t="s">
        <v>27</v>
      </c>
      <c r="C114" s="177"/>
      <c r="D114" s="177"/>
      <c r="E114" s="178"/>
      <c r="F114" s="121">
        <f t="shared" ref="F114:AI114" si="29">SUM(F58:F113)</f>
        <v>25</v>
      </c>
      <c r="G114" s="121">
        <f t="shared" si="29"/>
        <v>110</v>
      </c>
      <c r="H114" s="121">
        <f t="shared" si="29"/>
        <v>105</v>
      </c>
      <c r="I114" s="121">
        <f t="shared" si="29"/>
        <v>80</v>
      </c>
      <c r="J114" s="121">
        <f t="shared" si="29"/>
        <v>40</v>
      </c>
      <c r="K114" s="121">
        <f t="shared" si="29"/>
        <v>60</v>
      </c>
      <c r="L114" s="121">
        <f t="shared" si="29"/>
        <v>90</v>
      </c>
      <c r="M114" s="121">
        <f t="shared" si="29"/>
        <v>30</v>
      </c>
      <c r="N114" s="121">
        <f t="shared" si="29"/>
        <v>85</v>
      </c>
      <c r="O114" s="121">
        <f t="shared" si="29"/>
        <v>10</v>
      </c>
      <c r="P114" s="121">
        <f t="shared" si="29"/>
        <v>0</v>
      </c>
      <c r="Q114" s="121">
        <f t="shared" si="29"/>
        <v>0</v>
      </c>
      <c r="R114" s="121">
        <f t="shared" si="29"/>
        <v>0</v>
      </c>
      <c r="S114" s="121">
        <f t="shared" si="29"/>
        <v>0</v>
      </c>
      <c r="T114" s="121">
        <f t="shared" si="29"/>
        <v>0</v>
      </c>
      <c r="U114" s="121">
        <f t="shared" si="29"/>
        <v>0</v>
      </c>
      <c r="V114" s="121">
        <f t="shared" si="29"/>
        <v>0</v>
      </c>
      <c r="W114" s="121">
        <f t="shared" si="29"/>
        <v>0</v>
      </c>
      <c r="X114" s="121">
        <f t="shared" si="29"/>
        <v>0</v>
      </c>
      <c r="Y114" s="121">
        <f t="shared" si="29"/>
        <v>0</v>
      </c>
      <c r="Z114" s="121">
        <f t="shared" si="29"/>
        <v>0</v>
      </c>
      <c r="AA114" s="121">
        <f t="shared" si="29"/>
        <v>90</v>
      </c>
      <c r="AB114" s="121">
        <f t="shared" si="29"/>
        <v>125</v>
      </c>
      <c r="AC114" s="121">
        <f t="shared" si="29"/>
        <v>203</v>
      </c>
      <c r="AD114" s="121">
        <f t="shared" si="29"/>
        <v>165</v>
      </c>
      <c r="AE114" s="121">
        <f t="shared" si="29"/>
        <v>135</v>
      </c>
      <c r="AF114" s="121">
        <f t="shared" si="29"/>
        <v>160</v>
      </c>
      <c r="AG114" s="121">
        <f t="shared" si="29"/>
        <v>120</v>
      </c>
      <c r="AH114" s="120">
        <f t="shared" si="29"/>
        <v>156</v>
      </c>
      <c r="AI114" s="120">
        <f t="shared" si="29"/>
        <v>110</v>
      </c>
      <c r="AJ114" s="120"/>
      <c r="AK114" s="120">
        <f>SUM(AK58:AK113)</f>
        <v>970</v>
      </c>
      <c r="AL114" s="120"/>
      <c r="AM114" s="108">
        <f t="shared" si="28"/>
        <v>970</v>
      </c>
      <c r="AN114" s="110"/>
      <c r="AO114" s="122">
        <f>SUM(AO58:AO113)</f>
        <v>268690</v>
      </c>
    </row>
    <row r="115" spans="1:41">
      <c r="A115" s="94"/>
      <c r="B115" s="124"/>
      <c r="C115" s="124"/>
      <c r="D115" s="124"/>
      <c r="E115" s="124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</row>
    <row r="116" spans="1:41">
      <c r="A116" s="94"/>
      <c r="B116" s="126" t="s">
        <v>31</v>
      </c>
      <c r="C116" s="124"/>
      <c r="D116" s="124"/>
      <c r="E116" s="124"/>
      <c r="F116" s="143">
        <v>162</v>
      </c>
      <c r="G116" s="143">
        <v>97</v>
      </c>
      <c r="H116" s="143">
        <v>217</v>
      </c>
      <c r="I116" s="143">
        <v>37</v>
      </c>
      <c r="J116" s="143">
        <v>87</v>
      </c>
      <c r="K116" s="143">
        <v>12</v>
      </c>
      <c r="L116" s="143">
        <v>212</v>
      </c>
      <c r="M116" s="143">
        <v>82</v>
      </c>
      <c r="N116" s="143">
        <v>177</v>
      </c>
      <c r="O116" s="143">
        <v>227</v>
      </c>
      <c r="P116" s="143"/>
      <c r="Q116" s="143"/>
      <c r="R116" s="143"/>
      <c r="S116" s="143"/>
      <c r="T116" s="143"/>
      <c r="U116" s="143"/>
      <c r="V116" s="143"/>
      <c r="W116" s="143"/>
      <c r="X116" s="143"/>
      <c r="Y116" s="143">
        <v>202</v>
      </c>
      <c r="Z116" s="143">
        <v>195</v>
      </c>
      <c r="AA116" s="127">
        <f>Z119</f>
        <v>190</v>
      </c>
      <c r="AB116" s="143">
        <v>255</v>
      </c>
      <c r="AC116" s="143">
        <v>210</v>
      </c>
      <c r="AD116" s="143">
        <v>152</v>
      </c>
      <c r="AE116" s="143">
        <v>57</v>
      </c>
      <c r="AF116" s="143">
        <v>17</v>
      </c>
      <c r="AG116" s="143">
        <v>197</v>
      </c>
      <c r="AH116" s="144">
        <v>367</v>
      </c>
      <c r="AI116" s="144">
        <v>91</v>
      </c>
      <c r="AJ116" s="144"/>
      <c r="AK116" s="125"/>
      <c r="AL116" s="125"/>
      <c r="AM116" s="125"/>
      <c r="AN116" s="125"/>
      <c r="AO116" s="125"/>
    </row>
    <row r="117" spans="1:41">
      <c r="A117" s="94"/>
      <c r="B117" s="126" t="s">
        <v>32</v>
      </c>
      <c r="C117" s="124"/>
      <c r="D117" s="124"/>
      <c r="E117" s="124"/>
      <c r="F117" s="129">
        <v>0</v>
      </c>
      <c r="G117" s="129">
        <v>300</v>
      </c>
      <c r="H117" s="129">
        <v>0</v>
      </c>
      <c r="I117" s="129">
        <v>200</v>
      </c>
      <c r="J117" s="129">
        <v>0</v>
      </c>
      <c r="K117" s="129">
        <v>300</v>
      </c>
      <c r="L117" s="129">
        <v>0</v>
      </c>
      <c r="M117" s="129">
        <v>200</v>
      </c>
      <c r="N117" s="129">
        <v>270</v>
      </c>
      <c r="O117" s="129">
        <v>0</v>
      </c>
      <c r="P117" s="129"/>
      <c r="Q117" s="145"/>
      <c r="R117" s="129"/>
      <c r="S117" s="129"/>
      <c r="T117" s="129"/>
      <c r="U117" s="128"/>
      <c r="V117" s="129">
        <v>0</v>
      </c>
      <c r="W117" s="129"/>
      <c r="X117" s="129"/>
      <c r="Y117" s="129">
        <v>0</v>
      </c>
      <c r="Z117" s="129">
        <v>15</v>
      </c>
      <c r="AA117" s="129">
        <v>200</v>
      </c>
      <c r="AB117" s="129">
        <v>200</v>
      </c>
      <c r="AC117" s="129">
        <v>200</v>
      </c>
      <c r="AD117" s="129">
        <v>200</v>
      </c>
      <c r="AE117" s="129">
        <v>200</v>
      </c>
      <c r="AF117" s="129">
        <v>400</v>
      </c>
      <c r="AG117" s="129">
        <v>400</v>
      </c>
      <c r="AH117" s="146">
        <v>0</v>
      </c>
      <c r="AI117" s="146">
        <v>400</v>
      </c>
      <c r="AJ117" s="148"/>
      <c r="AK117" s="125"/>
      <c r="AL117" s="125"/>
      <c r="AM117" s="125"/>
      <c r="AN117" s="125"/>
      <c r="AO117" s="125"/>
    </row>
    <row r="118" spans="1:41" ht="15.75">
      <c r="A118" s="94"/>
      <c r="B118" s="125" t="s">
        <v>33</v>
      </c>
      <c r="C118" s="88"/>
      <c r="D118" s="88"/>
      <c r="E118" s="125"/>
      <c r="F118" s="94">
        <f t="shared" ref="F118:AI118" si="30">F114+F56</f>
        <v>65</v>
      </c>
      <c r="G118" s="94">
        <f t="shared" si="30"/>
        <v>180</v>
      </c>
      <c r="H118" s="94">
        <f t="shared" si="30"/>
        <v>180</v>
      </c>
      <c r="I118" s="94">
        <f t="shared" si="30"/>
        <v>150</v>
      </c>
      <c r="J118" s="94">
        <f t="shared" si="30"/>
        <v>75</v>
      </c>
      <c r="K118" s="94">
        <f t="shared" si="30"/>
        <v>100</v>
      </c>
      <c r="L118" s="94">
        <f t="shared" si="30"/>
        <v>130</v>
      </c>
      <c r="M118" s="94">
        <f t="shared" si="30"/>
        <v>105</v>
      </c>
      <c r="N118" s="94">
        <f t="shared" si="30"/>
        <v>220</v>
      </c>
      <c r="O118" s="94">
        <f t="shared" si="30"/>
        <v>25</v>
      </c>
      <c r="P118" s="94">
        <f t="shared" si="30"/>
        <v>0</v>
      </c>
      <c r="Q118" s="94">
        <f t="shared" si="30"/>
        <v>0</v>
      </c>
      <c r="R118" s="94">
        <f t="shared" si="30"/>
        <v>0</v>
      </c>
      <c r="S118" s="94">
        <f t="shared" si="30"/>
        <v>0</v>
      </c>
      <c r="T118" s="94">
        <f t="shared" si="30"/>
        <v>0</v>
      </c>
      <c r="U118" s="94">
        <f t="shared" si="30"/>
        <v>0</v>
      </c>
      <c r="V118" s="94">
        <f t="shared" si="30"/>
        <v>0</v>
      </c>
      <c r="W118" s="94">
        <f t="shared" si="30"/>
        <v>0</v>
      </c>
      <c r="X118" s="94">
        <f t="shared" si="30"/>
        <v>0</v>
      </c>
      <c r="Y118" s="94">
        <f t="shared" si="30"/>
        <v>7</v>
      </c>
      <c r="Z118" s="94">
        <f t="shared" si="30"/>
        <v>20</v>
      </c>
      <c r="AA118" s="94">
        <f t="shared" si="30"/>
        <v>135</v>
      </c>
      <c r="AB118" s="94">
        <f t="shared" si="30"/>
        <v>245</v>
      </c>
      <c r="AC118" s="94">
        <f t="shared" si="30"/>
        <v>258</v>
      </c>
      <c r="AD118" s="94">
        <f t="shared" si="30"/>
        <v>295</v>
      </c>
      <c r="AE118" s="94">
        <f t="shared" si="30"/>
        <v>240</v>
      </c>
      <c r="AF118" s="94">
        <f t="shared" si="30"/>
        <v>220</v>
      </c>
      <c r="AG118" s="94">
        <f t="shared" si="30"/>
        <v>230</v>
      </c>
      <c r="AH118" s="94">
        <f t="shared" si="30"/>
        <v>276</v>
      </c>
      <c r="AI118" s="94">
        <f t="shared" si="30"/>
        <v>225</v>
      </c>
      <c r="AJ118" s="94"/>
      <c r="AK118" s="94">
        <f t="shared" ref="AK118:AM118" si="31">AK114+AK56</f>
        <v>1952</v>
      </c>
      <c r="AL118" s="94">
        <f t="shared" si="31"/>
        <v>0</v>
      </c>
      <c r="AM118" s="94">
        <f t="shared" si="31"/>
        <v>1952</v>
      </c>
      <c r="AN118" s="94"/>
      <c r="AO118" s="130">
        <f>AO114+AO56</f>
        <v>540704</v>
      </c>
    </row>
    <row r="119" spans="1:41" ht="15.75">
      <c r="A119" s="94"/>
      <c r="B119" s="125" t="s">
        <v>34</v>
      </c>
      <c r="C119" s="88"/>
      <c r="D119" s="88"/>
      <c r="E119" s="125"/>
      <c r="F119" s="94">
        <f t="shared" ref="F119:AI119" si="32">F116+F117-F118</f>
        <v>97</v>
      </c>
      <c r="G119" s="94">
        <f t="shared" si="32"/>
        <v>217</v>
      </c>
      <c r="H119" s="94">
        <f t="shared" si="32"/>
        <v>37</v>
      </c>
      <c r="I119" s="94">
        <f t="shared" si="32"/>
        <v>87</v>
      </c>
      <c r="J119" s="94">
        <f t="shared" si="32"/>
        <v>12</v>
      </c>
      <c r="K119" s="94">
        <f t="shared" si="32"/>
        <v>212</v>
      </c>
      <c r="L119" s="94">
        <f t="shared" si="32"/>
        <v>82</v>
      </c>
      <c r="M119" s="94">
        <f t="shared" si="32"/>
        <v>177</v>
      </c>
      <c r="N119" s="94">
        <f t="shared" si="32"/>
        <v>227</v>
      </c>
      <c r="O119" s="94">
        <f t="shared" si="32"/>
        <v>202</v>
      </c>
      <c r="P119" s="94">
        <f t="shared" si="32"/>
        <v>0</v>
      </c>
      <c r="Q119" s="94">
        <f t="shared" si="32"/>
        <v>0</v>
      </c>
      <c r="R119" s="94">
        <f t="shared" si="32"/>
        <v>0</v>
      </c>
      <c r="S119" s="94">
        <f t="shared" si="32"/>
        <v>0</v>
      </c>
      <c r="T119" s="94">
        <f t="shared" si="32"/>
        <v>0</v>
      </c>
      <c r="U119" s="94">
        <f t="shared" si="32"/>
        <v>0</v>
      </c>
      <c r="V119" s="94">
        <f t="shared" si="32"/>
        <v>0</v>
      </c>
      <c r="W119" s="94">
        <f t="shared" si="32"/>
        <v>0</v>
      </c>
      <c r="X119" s="94">
        <f t="shared" si="32"/>
        <v>0</v>
      </c>
      <c r="Y119" s="94">
        <f t="shared" si="32"/>
        <v>195</v>
      </c>
      <c r="Z119" s="94">
        <f t="shared" si="32"/>
        <v>190</v>
      </c>
      <c r="AA119" s="94">
        <f t="shared" si="32"/>
        <v>255</v>
      </c>
      <c r="AB119" s="94">
        <f t="shared" si="32"/>
        <v>210</v>
      </c>
      <c r="AC119" s="94">
        <f t="shared" si="32"/>
        <v>152</v>
      </c>
      <c r="AD119" s="94">
        <f t="shared" si="32"/>
        <v>57</v>
      </c>
      <c r="AE119" s="94">
        <f t="shared" si="32"/>
        <v>17</v>
      </c>
      <c r="AF119" s="94">
        <f t="shared" si="32"/>
        <v>197</v>
      </c>
      <c r="AG119" s="94">
        <f t="shared" si="32"/>
        <v>367</v>
      </c>
      <c r="AH119" s="94">
        <f t="shared" si="32"/>
        <v>91</v>
      </c>
      <c r="AI119" s="94">
        <f t="shared" si="32"/>
        <v>266</v>
      </c>
      <c r="AJ119" s="94"/>
      <c r="AK119" s="125"/>
      <c r="AL119" s="125"/>
      <c r="AM119" s="94"/>
      <c r="AN119" s="103"/>
      <c r="AO119" s="125"/>
    </row>
    <row r="120" spans="1:4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</row>
    <row r="121" spans="1:41">
      <c r="A121" s="131"/>
      <c r="B121" s="132" t="s">
        <v>35</v>
      </c>
      <c r="C121" s="131"/>
      <c r="D121" s="131"/>
      <c r="E121" s="131"/>
      <c r="F121" s="179">
        <f>F116</f>
        <v>162</v>
      </c>
      <c r="G121" s="180"/>
      <c r="H121" s="180"/>
      <c r="I121" s="18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</row>
  </sheetData>
  <mergeCells count="14">
    <mergeCell ref="B114:E114"/>
    <mergeCell ref="F121:I121"/>
    <mergeCell ref="Z2:AG2"/>
    <mergeCell ref="A5:A6"/>
    <mergeCell ref="B5:B6"/>
    <mergeCell ref="C5:C6"/>
    <mergeCell ref="D5:D6"/>
    <mergeCell ref="E5:E6"/>
    <mergeCell ref="F5:AG5"/>
    <mergeCell ref="AK5:AK6"/>
    <mergeCell ref="AL5:AL6"/>
    <mergeCell ref="AM5:AM6"/>
    <mergeCell ref="AN5:AN6"/>
    <mergeCell ref="AO5:AO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20"/>
  <sheetViews>
    <sheetView topLeftCell="A22" workbookViewId="0"/>
  </sheetViews>
  <sheetFormatPr defaultColWidth="14.42578125" defaultRowHeight="15" customHeight="1"/>
  <sheetData>
    <row r="1" spans="1:41">
      <c r="A1" s="149" t="s">
        <v>232</v>
      </c>
      <c r="B1" s="88"/>
      <c r="C1" s="88"/>
      <c r="D1" s="88"/>
      <c r="E1" s="89" t="s">
        <v>1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9"/>
      <c r="S1" s="88"/>
      <c r="T1" s="88"/>
      <c r="U1" s="88"/>
      <c r="V1" s="87"/>
      <c r="W1" s="88"/>
      <c r="X1" s="88"/>
      <c r="Y1" s="88"/>
      <c r="Z1" s="89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90"/>
      <c r="AL1" s="90"/>
      <c r="AM1" s="90"/>
      <c r="AN1" s="91"/>
      <c r="AO1" s="88"/>
    </row>
    <row r="2" spans="1:41">
      <c r="A2" s="87" t="s">
        <v>50</v>
      </c>
      <c r="B2" s="88"/>
      <c r="C2" s="88"/>
      <c r="D2" s="88"/>
      <c r="E2" s="138" t="s">
        <v>3</v>
      </c>
      <c r="F2" s="88"/>
      <c r="G2" s="88"/>
      <c r="H2" s="88"/>
      <c r="I2" s="88"/>
      <c r="J2" s="138"/>
      <c r="K2" s="88"/>
      <c r="L2" s="88"/>
      <c r="M2" s="88"/>
      <c r="N2" s="88"/>
      <c r="O2" s="88"/>
      <c r="P2" s="88"/>
      <c r="Q2" s="88"/>
      <c r="R2" s="89" t="s">
        <v>5</v>
      </c>
      <c r="S2" s="88"/>
      <c r="T2" s="88"/>
      <c r="U2" s="88"/>
      <c r="V2" s="87"/>
      <c r="W2" s="88"/>
      <c r="X2" s="88"/>
      <c r="Y2" s="88"/>
      <c r="Z2" s="182"/>
      <c r="AA2" s="172"/>
      <c r="AB2" s="172"/>
      <c r="AC2" s="172"/>
      <c r="AD2" s="172"/>
      <c r="AE2" s="172"/>
      <c r="AF2" s="172"/>
      <c r="AG2" s="172"/>
      <c r="AH2" s="92"/>
      <c r="AI2" s="92"/>
      <c r="AJ2" s="92"/>
      <c r="AK2" s="90"/>
      <c r="AL2" s="90"/>
      <c r="AM2" s="90"/>
      <c r="AN2" s="91"/>
      <c r="AO2" s="88"/>
    </row>
    <row r="3" spans="1:41">
      <c r="A3" s="87"/>
      <c r="B3" s="88"/>
      <c r="C3" s="88"/>
      <c r="D3" s="88"/>
      <c r="E3" s="89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S3" s="88"/>
      <c r="T3" s="88"/>
      <c r="U3" s="88"/>
      <c r="V3" s="87"/>
      <c r="W3" s="88"/>
      <c r="X3" s="88"/>
      <c r="Y3" s="88"/>
      <c r="Z3" s="89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90"/>
      <c r="AL3" s="90"/>
      <c r="AM3" s="90"/>
      <c r="AN3" s="91"/>
      <c r="AO3" s="88"/>
    </row>
    <row r="4" spans="1:41" ht="15" customHeight="1">
      <c r="A4" s="87"/>
      <c r="B4" s="88"/>
      <c r="C4" s="88"/>
      <c r="D4" s="93" t="s">
        <v>52</v>
      </c>
      <c r="E4" s="89"/>
      <c r="F4" s="88"/>
      <c r="G4" s="88"/>
      <c r="H4" s="94"/>
      <c r="I4" s="88"/>
      <c r="J4" s="88"/>
      <c r="K4" s="88"/>
      <c r="L4" s="88"/>
      <c r="M4" s="88"/>
      <c r="N4" s="88"/>
      <c r="O4" s="88"/>
      <c r="P4" s="88"/>
      <c r="Q4" s="88"/>
      <c r="R4" s="89"/>
      <c r="S4" s="88"/>
      <c r="T4" s="88"/>
      <c r="U4" s="88"/>
      <c r="V4" s="87"/>
      <c r="W4" s="88"/>
      <c r="X4" s="88"/>
      <c r="Y4" s="93"/>
      <c r="Z4" s="89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90"/>
      <c r="AL4" s="90"/>
      <c r="AM4" s="90"/>
      <c r="AN4" s="91"/>
      <c r="AO4" s="88"/>
    </row>
    <row r="5" spans="1:41">
      <c r="A5" s="174" t="s">
        <v>6</v>
      </c>
      <c r="B5" s="174" t="s">
        <v>7</v>
      </c>
      <c r="C5" s="174" t="s">
        <v>8</v>
      </c>
      <c r="D5" s="174" t="s">
        <v>46</v>
      </c>
      <c r="E5" s="174" t="s">
        <v>10</v>
      </c>
      <c r="F5" s="183" t="s">
        <v>11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84"/>
      <c r="AH5" s="95"/>
      <c r="AI5" s="95"/>
      <c r="AJ5" s="95"/>
      <c r="AK5" s="174" t="s">
        <v>12</v>
      </c>
      <c r="AL5" s="174" t="s">
        <v>13</v>
      </c>
      <c r="AM5" s="174" t="s">
        <v>14</v>
      </c>
      <c r="AN5" s="175" t="s">
        <v>20</v>
      </c>
      <c r="AO5" s="174" t="s">
        <v>21</v>
      </c>
    </row>
    <row r="6" spans="1:41">
      <c r="A6" s="152"/>
      <c r="B6" s="152"/>
      <c r="C6" s="152"/>
      <c r="D6" s="152"/>
      <c r="E6" s="152"/>
      <c r="F6" s="97">
        <v>1</v>
      </c>
      <c r="G6" s="97">
        <v>2</v>
      </c>
      <c r="H6" s="97">
        <v>3</v>
      </c>
      <c r="I6" s="97">
        <v>4</v>
      </c>
      <c r="J6" s="97">
        <v>5</v>
      </c>
      <c r="K6" s="97">
        <v>6</v>
      </c>
      <c r="L6" s="97">
        <v>7</v>
      </c>
      <c r="M6" s="97">
        <v>8</v>
      </c>
      <c r="N6" s="97">
        <v>9</v>
      </c>
      <c r="O6" s="97">
        <v>10</v>
      </c>
      <c r="P6" s="97">
        <v>11</v>
      </c>
      <c r="Q6" s="97">
        <v>12</v>
      </c>
      <c r="R6" s="97">
        <v>13</v>
      </c>
      <c r="S6" s="97">
        <v>14</v>
      </c>
      <c r="T6" s="97">
        <v>15</v>
      </c>
      <c r="U6" s="97">
        <v>16</v>
      </c>
      <c r="V6" s="97">
        <v>17</v>
      </c>
      <c r="W6" s="97">
        <v>18</v>
      </c>
      <c r="X6" s="97">
        <v>19</v>
      </c>
      <c r="Y6" s="97">
        <v>20</v>
      </c>
      <c r="Z6" s="97">
        <v>21</v>
      </c>
      <c r="AA6" s="97">
        <v>22</v>
      </c>
      <c r="AB6" s="97">
        <v>23</v>
      </c>
      <c r="AC6" s="97">
        <v>24</v>
      </c>
      <c r="AD6" s="97">
        <v>25</v>
      </c>
      <c r="AE6" s="97">
        <v>26</v>
      </c>
      <c r="AF6" s="97">
        <v>27</v>
      </c>
      <c r="AG6" s="97">
        <v>28</v>
      </c>
      <c r="AH6" s="139">
        <v>29</v>
      </c>
      <c r="AI6" s="139">
        <v>30</v>
      </c>
      <c r="AJ6" s="139">
        <v>31</v>
      </c>
      <c r="AK6" s="152"/>
      <c r="AL6" s="152"/>
      <c r="AM6" s="152"/>
      <c r="AN6" s="152"/>
      <c r="AO6" s="152"/>
    </row>
    <row r="7" spans="1:41">
      <c r="A7" s="98">
        <v>1</v>
      </c>
      <c r="B7" s="99" t="s">
        <v>22</v>
      </c>
      <c r="C7" s="99"/>
      <c r="D7" s="100" t="s">
        <v>169</v>
      </c>
      <c r="E7" s="99" t="s">
        <v>79</v>
      </c>
      <c r="F7" s="105"/>
      <c r="G7" s="105"/>
      <c r="H7" s="105"/>
      <c r="I7" s="98"/>
      <c r="J7" s="105"/>
      <c r="K7" s="105">
        <v>10</v>
      </c>
      <c r="L7" s="105">
        <v>30</v>
      </c>
      <c r="M7" s="105"/>
      <c r="N7" s="105"/>
      <c r="O7" s="98"/>
      <c r="P7" s="105">
        <v>30</v>
      </c>
      <c r="Q7" s="98"/>
      <c r="R7" s="105"/>
      <c r="S7" s="105">
        <v>15</v>
      </c>
      <c r="T7" s="105">
        <v>10</v>
      </c>
      <c r="U7" s="105">
        <v>10</v>
      </c>
      <c r="V7" s="105"/>
      <c r="W7" s="98"/>
      <c r="X7" s="105">
        <v>15</v>
      </c>
      <c r="Y7" s="98"/>
      <c r="Z7" s="105">
        <v>30</v>
      </c>
      <c r="AA7" s="105">
        <v>15</v>
      </c>
      <c r="AB7" s="105"/>
      <c r="AC7" s="105"/>
      <c r="AD7" s="105">
        <v>30</v>
      </c>
      <c r="AE7" s="105">
        <v>25</v>
      </c>
      <c r="AF7" s="105">
        <v>15</v>
      </c>
      <c r="AG7" s="105"/>
      <c r="AH7" s="105">
        <v>25</v>
      </c>
      <c r="AI7" s="105"/>
      <c r="AJ7" s="98"/>
      <c r="AK7" s="98">
        <f t="shared" ref="AK7:AK47" si="0">SUM(F7:AG7)</f>
        <v>235</v>
      </c>
      <c r="AL7" s="98"/>
      <c r="AM7" s="98">
        <f t="shared" ref="AM7:AM47" si="1">AL7+AK7</f>
        <v>235</v>
      </c>
      <c r="AN7" s="101">
        <v>277</v>
      </c>
      <c r="AO7" s="102">
        <f t="shared" ref="AO7:AO47" si="2">AK7*AN7</f>
        <v>65095</v>
      </c>
    </row>
    <row r="8" spans="1:41">
      <c r="A8" s="98">
        <v>2</v>
      </c>
      <c r="B8" s="99" t="s">
        <v>47</v>
      </c>
      <c r="C8" s="99"/>
      <c r="D8" s="100" t="s">
        <v>170</v>
      </c>
      <c r="E8" s="99" t="s">
        <v>79</v>
      </c>
      <c r="F8" s="98"/>
      <c r="G8" s="98"/>
      <c r="H8" s="104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>
        <f t="shared" si="0"/>
        <v>0</v>
      </c>
      <c r="AL8" s="98"/>
      <c r="AM8" s="98">
        <f t="shared" si="1"/>
        <v>0</v>
      </c>
      <c r="AN8" s="101">
        <v>277</v>
      </c>
      <c r="AO8" s="102">
        <f t="shared" si="2"/>
        <v>0</v>
      </c>
    </row>
    <row r="9" spans="1:41">
      <c r="A9" s="98">
        <v>3</v>
      </c>
      <c r="B9" s="99" t="s">
        <v>80</v>
      </c>
      <c r="C9" s="99"/>
      <c r="D9" s="100" t="s">
        <v>59</v>
      </c>
      <c r="E9" s="99" t="s">
        <v>79</v>
      </c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>
        <f t="shared" si="0"/>
        <v>0</v>
      </c>
      <c r="AL9" s="98"/>
      <c r="AM9" s="98">
        <f t="shared" si="1"/>
        <v>0</v>
      </c>
      <c r="AN9" s="101">
        <v>277</v>
      </c>
      <c r="AO9" s="102">
        <f t="shared" si="2"/>
        <v>0</v>
      </c>
    </row>
    <row r="10" spans="1:41">
      <c r="A10" s="98">
        <v>4</v>
      </c>
      <c r="B10" s="99" t="s">
        <v>58</v>
      </c>
      <c r="C10" s="99"/>
      <c r="D10" s="100" t="s">
        <v>59</v>
      </c>
      <c r="E10" s="99" t="s">
        <v>79</v>
      </c>
      <c r="F10" s="105"/>
      <c r="G10" s="105"/>
      <c r="H10" s="105"/>
      <c r="I10" s="105"/>
      <c r="J10" s="105"/>
      <c r="K10" s="105"/>
      <c r="L10" s="105"/>
      <c r="M10" s="98"/>
      <c r="N10" s="105">
        <v>5</v>
      </c>
      <c r="O10" s="105"/>
      <c r="P10" s="98"/>
      <c r="Q10" s="105">
        <v>20</v>
      </c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105">
        <v>10</v>
      </c>
      <c r="AI10" s="105"/>
      <c r="AJ10" s="98"/>
      <c r="AK10" s="98">
        <f t="shared" si="0"/>
        <v>25</v>
      </c>
      <c r="AL10" s="98"/>
      <c r="AM10" s="98">
        <f t="shared" si="1"/>
        <v>25</v>
      </c>
      <c r="AN10" s="101">
        <v>277</v>
      </c>
      <c r="AO10" s="102">
        <f t="shared" si="2"/>
        <v>6925</v>
      </c>
    </row>
    <row r="11" spans="1:41">
      <c r="A11" s="98">
        <v>5</v>
      </c>
      <c r="B11" s="99" t="s">
        <v>69</v>
      </c>
      <c r="C11" s="99"/>
      <c r="D11" s="100" t="s">
        <v>59</v>
      </c>
      <c r="E11" s="99" t="s">
        <v>79</v>
      </c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>
        <f t="shared" si="0"/>
        <v>0</v>
      </c>
      <c r="AL11" s="98"/>
      <c r="AM11" s="98">
        <f t="shared" si="1"/>
        <v>0</v>
      </c>
      <c r="AN11" s="101">
        <v>277</v>
      </c>
      <c r="AO11" s="102">
        <f t="shared" si="2"/>
        <v>0</v>
      </c>
    </row>
    <row r="12" spans="1:41">
      <c r="A12" s="98">
        <v>6</v>
      </c>
      <c r="B12" s="99" t="s">
        <v>81</v>
      </c>
      <c r="C12" s="99"/>
      <c r="D12" s="100" t="s">
        <v>170</v>
      </c>
      <c r="E12" s="99" t="s">
        <v>79</v>
      </c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5"/>
      <c r="Z12" s="98"/>
      <c r="AA12" s="105"/>
      <c r="AB12" s="105"/>
      <c r="AC12" s="105"/>
      <c r="AD12" s="105"/>
      <c r="AE12" s="98"/>
      <c r="AF12" s="98"/>
      <c r="AG12" s="98"/>
      <c r="AH12" s="98"/>
      <c r="AI12" s="98"/>
      <c r="AJ12" s="98"/>
      <c r="AK12" s="98">
        <f t="shared" si="0"/>
        <v>0</v>
      </c>
      <c r="AL12" s="98"/>
      <c r="AM12" s="98">
        <f t="shared" si="1"/>
        <v>0</v>
      </c>
      <c r="AN12" s="101">
        <v>277</v>
      </c>
      <c r="AO12" s="102">
        <f t="shared" si="2"/>
        <v>0</v>
      </c>
    </row>
    <row r="13" spans="1:41">
      <c r="A13" s="98">
        <v>7</v>
      </c>
      <c r="B13" s="99" t="s">
        <v>60</v>
      </c>
      <c r="C13" s="99"/>
      <c r="D13" s="100" t="s">
        <v>59</v>
      </c>
      <c r="E13" s="99" t="s">
        <v>79</v>
      </c>
      <c r="F13" s="105"/>
      <c r="G13" s="105"/>
      <c r="H13" s="105"/>
      <c r="I13" s="105"/>
      <c r="J13" s="105"/>
      <c r="K13" s="98"/>
      <c r="L13" s="98"/>
      <c r="M13" s="98"/>
      <c r="N13" s="98"/>
      <c r="O13" s="98"/>
      <c r="P13" s="98"/>
      <c r="Q13" s="105"/>
      <c r="R13" s="105"/>
      <c r="S13" s="105"/>
      <c r="T13" s="98"/>
      <c r="U13" s="105"/>
      <c r="V13" s="98"/>
      <c r="W13" s="105"/>
      <c r="X13" s="98"/>
      <c r="Y13" s="98"/>
      <c r="Z13" s="105"/>
      <c r="AA13" s="105"/>
      <c r="AB13" s="105"/>
      <c r="AC13" s="98"/>
      <c r="AD13" s="98"/>
      <c r="AE13" s="98"/>
      <c r="AF13" s="105"/>
      <c r="AG13" s="98"/>
      <c r="AH13" s="98"/>
      <c r="AI13" s="98"/>
      <c r="AJ13" s="98"/>
      <c r="AK13" s="98">
        <f t="shared" si="0"/>
        <v>0</v>
      </c>
      <c r="AL13" s="98"/>
      <c r="AM13" s="98">
        <f t="shared" si="1"/>
        <v>0</v>
      </c>
      <c r="AN13" s="101">
        <v>277</v>
      </c>
      <c r="AO13" s="102">
        <f t="shared" si="2"/>
        <v>0</v>
      </c>
    </row>
    <row r="14" spans="1:41">
      <c r="A14" s="98">
        <v>8</v>
      </c>
      <c r="B14" s="99" t="s">
        <v>48</v>
      </c>
      <c r="C14" s="99"/>
      <c r="D14" s="100" t="s">
        <v>170</v>
      </c>
      <c r="E14" s="99" t="s">
        <v>79</v>
      </c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>
        <f t="shared" si="0"/>
        <v>0</v>
      </c>
      <c r="AL14" s="98"/>
      <c r="AM14" s="98">
        <f t="shared" si="1"/>
        <v>0</v>
      </c>
      <c r="AN14" s="101">
        <v>277</v>
      </c>
      <c r="AO14" s="102">
        <f t="shared" si="2"/>
        <v>0</v>
      </c>
    </row>
    <row r="15" spans="1:41">
      <c r="A15" s="98">
        <v>9</v>
      </c>
      <c r="B15" s="99" t="s">
        <v>82</v>
      </c>
      <c r="C15" s="99"/>
      <c r="D15" s="100" t="s">
        <v>170</v>
      </c>
      <c r="E15" s="99" t="s">
        <v>79</v>
      </c>
      <c r="F15" s="105">
        <v>5</v>
      </c>
      <c r="G15" s="105">
        <v>20</v>
      </c>
      <c r="H15" s="105"/>
      <c r="I15" s="105">
        <v>10</v>
      </c>
      <c r="J15" s="105">
        <v>15</v>
      </c>
      <c r="K15" s="105">
        <v>15</v>
      </c>
      <c r="L15" s="105">
        <v>10</v>
      </c>
      <c r="M15" s="105">
        <v>20</v>
      </c>
      <c r="N15" s="105">
        <v>5</v>
      </c>
      <c r="O15" s="105">
        <v>10</v>
      </c>
      <c r="P15" s="105">
        <v>15</v>
      </c>
      <c r="Q15" s="105">
        <v>15</v>
      </c>
      <c r="R15" s="105">
        <v>10</v>
      </c>
      <c r="S15" s="105">
        <v>15</v>
      </c>
      <c r="T15" s="105"/>
      <c r="U15" s="105">
        <v>25</v>
      </c>
      <c r="V15" s="105">
        <v>10</v>
      </c>
      <c r="W15" s="105">
        <v>10</v>
      </c>
      <c r="X15" s="105">
        <v>10</v>
      </c>
      <c r="Y15" s="105">
        <v>10</v>
      </c>
      <c r="Z15" s="105">
        <v>35</v>
      </c>
      <c r="AA15" s="105">
        <v>15</v>
      </c>
      <c r="AB15" s="105">
        <v>10</v>
      </c>
      <c r="AC15" s="105">
        <v>10</v>
      </c>
      <c r="AD15" s="105">
        <v>20</v>
      </c>
      <c r="AE15" s="105">
        <v>15</v>
      </c>
      <c r="AF15" s="105">
        <v>20</v>
      </c>
      <c r="AG15" s="105">
        <v>15</v>
      </c>
      <c r="AH15" s="105">
        <v>25</v>
      </c>
      <c r="AI15" s="105">
        <v>10</v>
      </c>
      <c r="AJ15" s="105">
        <v>10</v>
      </c>
      <c r="AK15" s="98">
        <f t="shared" si="0"/>
        <v>370</v>
      </c>
      <c r="AL15" s="98"/>
      <c r="AM15" s="98">
        <f t="shared" si="1"/>
        <v>370</v>
      </c>
      <c r="AN15" s="101">
        <v>277</v>
      </c>
      <c r="AO15" s="102">
        <f t="shared" si="2"/>
        <v>102490</v>
      </c>
    </row>
    <row r="16" spans="1:41">
      <c r="A16" s="98">
        <v>10</v>
      </c>
      <c r="B16" s="99" t="s">
        <v>83</v>
      </c>
      <c r="C16" s="99"/>
      <c r="D16" s="100" t="s">
        <v>59</v>
      </c>
      <c r="E16" s="99" t="s">
        <v>79</v>
      </c>
      <c r="F16" s="98"/>
      <c r="G16" s="98"/>
      <c r="H16" s="98"/>
      <c r="I16" s="105"/>
      <c r="J16" s="98"/>
      <c r="K16" s="105"/>
      <c r="L16" s="105"/>
      <c r="M16" s="105"/>
      <c r="N16" s="105"/>
      <c r="O16" s="98"/>
      <c r="P16" s="98"/>
      <c r="Q16" s="98"/>
      <c r="R16" s="98"/>
      <c r="S16" s="98"/>
      <c r="T16" s="98"/>
      <c r="U16" s="105"/>
      <c r="V16" s="98"/>
      <c r="W16" s="98"/>
      <c r="X16" s="98"/>
      <c r="Y16" s="105"/>
      <c r="Z16" s="98"/>
      <c r="AA16" s="105"/>
      <c r="AB16" s="105"/>
      <c r="AC16" s="98"/>
      <c r="AD16" s="105"/>
      <c r="AE16" s="105">
        <v>15</v>
      </c>
      <c r="AF16" s="105"/>
      <c r="AG16" s="98"/>
      <c r="AH16" s="98"/>
      <c r="AI16" s="98"/>
      <c r="AJ16" s="98"/>
      <c r="AK16" s="98">
        <f t="shared" si="0"/>
        <v>15</v>
      </c>
      <c r="AL16" s="98"/>
      <c r="AM16" s="98">
        <f t="shared" si="1"/>
        <v>15</v>
      </c>
      <c r="AN16" s="101">
        <v>277</v>
      </c>
      <c r="AO16" s="102">
        <f t="shared" si="2"/>
        <v>4155</v>
      </c>
    </row>
    <row r="17" spans="1:41">
      <c r="A17" s="98">
        <v>11</v>
      </c>
      <c r="B17" s="99" t="s">
        <v>84</v>
      </c>
      <c r="C17" s="99"/>
      <c r="D17" s="100" t="s">
        <v>59</v>
      </c>
      <c r="E17" s="99" t="s">
        <v>79</v>
      </c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>
        <f t="shared" si="0"/>
        <v>0</v>
      </c>
      <c r="AL17" s="98"/>
      <c r="AM17" s="98">
        <f t="shared" si="1"/>
        <v>0</v>
      </c>
      <c r="AN17" s="101">
        <v>277</v>
      </c>
      <c r="AO17" s="102">
        <f t="shared" si="2"/>
        <v>0</v>
      </c>
    </row>
    <row r="18" spans="1:41">
      <c r="A18" s="98">
        <v>12</v>
      </c>
      <c r="B18" s="99" t="s">
        <v>85</v>
      </c>
      <c r="C18" s="99"/>
      <c r="D18" s="100" t="s">
        <v>59</v>
      </c>
      <c r="E18" s="99" t="s">
        <v>79</v>
      </c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105"/>
      <c r="AF18" s="98"/>
      <c r="AG18" s="98"/>
      <c r="AH18" s="98"/>
      <c r="AI18" s="98"/>
      <c r="AJ18" s="98"/>
      <c r="AK18" s="98">
        <f t="shared" si="0"/>
        <v>0</v>
      </c>
      <c r="AL18" s="98"/>
      <c r="AM18" s="98">
        <f t="shared" si="1"/>
        <v>0</v>
      </c>
      <c r="AN18" s="101">
        <v>277</v>
      </c>
      <c r="AO18" s="102">
        <f t="shared" si="2"/>
        <v>0</v>
      </c>
    </row>
    <row r="19" spans="1:41">
      <c r="A19" s="98">
        <v>13</v>
      </c>
      <c r="B19" s="99" t="s">
        <v>74</v>
      </c>
      <c r="C19" s="99"/>
      <c r="D19" s="100" t="s">
        <v>59</v>
      </c>
      <c r="E19" s="99" t="s">
        <v>79</v>
      </c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>
        <f t="shared" si="0"/>
        <v>0</v>
      </c>
      <c r="AL19" s="98"/>
      <c r="AM19" s="98">
        <f t="shared" si="1"/>
        <v>0</v>
      </c>
      <c r="AN19" s="101">
        <v>277</v>
      </c>
      <c r="AO19" s="102">
        <f t="shared" si="2"/>
        <v>0</v>
      </c>
    </row>
    <row r="20" spans="1:41">
      <c r="A20" s="98">
        <v>14</v>
      </c>
      <c r="B20" s="99" t="s">
        <v>86</v>
      </c>
      <c r="C20" s="99"/>
      <c r="D20" s="100" t="s">
        <v>59</v>
      </c>
      <c r="E20" s="99" t="s">
        <v>79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>
        <f t="shared" si="0"/>
        <v>0</v>
      </c>
      <c r="AL20" s="98"/>
      <c r="AM20" s="98">
        <f t="shared" si="1"/>
        <v>0</v>
      </c>
      <c r="AN20" s="101">
        <v>277</v>
      </c>
      <c r="AO20" s="102">
        <f t="shared" si="2"/>
        <v>0</v>
      </c>
    </row>
    <row r="21" spans="1:41">
      <c r="A21" s="98">
        <v>15</v>
      </c>
      <c r="B21" s="99" t="s">
        <v>87</v>
      </c>
      <c r="C21" s="99"/>
      <c r="D21" s="100" t="s">
        <v>59</v>
      </c>
      <c r="E21" s="99" t="s">
        <v>79</v>
      </c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>
        <f t="shared" si="0"/>
        <v>0</v>
      </c>
      <c r="AL21" s="98"/>
      <c r="AM21" s="98">
        <f t="shared" si="1"/>
        <v>0</v>
      </c>
      <c r="AN21" s="101">
        <v>277</v>
      </c>
      <c r="AO21" s="102">
        <f t="shared" si="2"/>
        <v>0</v>
      </c>
    </row>
    <row r="22" spans="1:41">
      <c r="A22" s="98">
        <v>16</v>
      </c>
      <c r="B22" s="99" t="s">
        <v>88</v>
      </c>
      <c r="C22" s="99"/>
      <c r="D22" s="100" t="s">
        <v>59</v>
      </c>
      <c r="E22" s="99" t="s">
        <v>79</v>
      </c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>
        <f t="shared" si="0"/>
        <v>0</v>
      </c>
      <c r="AL22" s="98"/>
      <c r="AM22" s="98">
        <f t="shared" si="1"/>
        <v>0</v>
      </c>
      <c r="AN22" s="101">
        <v>277</v>
      </c>
      <c r="AO22" s="102">
        <f t="shared" si="2"/>
        <v>0</v>
      </c>
    </row>
    <row r="23" spans="1:41">
      <c r="A23" s="98">
        <v>17</v>
      </c>
      <c r="B23" s="99" t="s">
        <v>89</v>
      </c>
      <c r="C23" s="99"/>
      <c r="D23" s="100" t="s">
        <v>59</v>
      </c>
      <c r="E23" s="99" t="s">
        <v>79</v>
      </c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>
        <f t="shared" si="0"/>
        <v>0</v>
      </c>
      <c r="AL23" s="98"/>
      <c r="AM23" s="98">
        <f t="shared" si="1"/>
        <v>0</v>
      </c>
      <c r="AN23" s="101">
        <v>277</v>
      </c>
      <c r="AO23" s="102">
        <f t="shared" si="2"/>
        <v>0</v>
      </c>
    </row>
    <row r="24" spans="1:41">
      <c r="A24" s="98">
        <v>18</v>
      </c>
      <c r="B24" s="99" t="s">
        <v>90</v>
      </c>
      <c r="C24" s="99"/>
      <c r="D24" s="100" t="s">
        <v>59</v>
      </c>
      <c r="E24" s="99" t="s">
        <v>79</v>
      </c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>
        <f t="shared" si="0"/>
        <v>0</v>
      </c>
      <c r="AL24" s="98"/>
      <c r="AM24" s="98">
        <f t="shared" si="1"/>
        <v>0</v>
      </c>
      <c r="AN24" s="101">
        <v>277</v>
      </c>
      <c r="AO24" s="102">
        <f t="shared" si="2"/>
        <v>0</v>
      </c>
    </row>
    <row r="25" spans="1:41">
      <c r="A25" s="98">
        <v>19</v>
      </c>
      <c r="B25" s="99" t="s">
        <v>91</v>
      </c>
      <c r="C25" s="99"/>
      <c r="D25" s="100" t="s">
        <v>59</v>
      </c>
      <c r="E25" s="99" t="s">
        <v>79</v>
      </c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>
        <f t="shared" si="0"/>
        <v>0</v>
      </c>
      <c r="AL25" s="98"/>
      <c r="AM25" s="98">
        <f t="shared" si="1"/>
        <v>0</v>
      </c>
      <c r="AN25" s="101">
        <v>277</v>
      </c>
      <c r="AO25" s="102">
        <f t="shared" si="2"/>
        <v>0</v>
      </c>
    </row>
    <row r="26" spans="1:41">
      <c r="A26" s="98">
        <v>20</v>
      </c>
      <c r="B26" s="99" t="s">
        <v>92</v>
      </c>
      <c r="C26" s="99"/>
      <c r="D26" s="100" t="s">
        <v>59</v>
      </c>
      <c r="E26" s="99" t="s">
        <v>79</v>
      </c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>
        <f t="shared" si="0"/>
        <v>0</v>
      </c>
      <c r="AL26" s="98"/>
      <c r="AM26" s="98">
        <f t="shared" si="1"/>
        <v>0</v>
      </c>
      <c r="AN26" s="101">
        <v>277</v>
      </c>
      <c r="AO26" s="102">
        <f t="shared" si="2"/>
        <v>0</v>
      </c>
    </row>
    <row r="27" spans="1:41">
      <c r="A27" s="98">
        <v>21</v>
      </c>
      <c r="B27" s="99" t="s">
        <v>147</v>
      </c>
      <c r="C27" s="99"/>
      <c r="D27" s="100" t="s">
        <v>59</v>
      </c>
      <c r="E27" s="99" t="s">
        <v>79</v>
      </c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>
        <f t="shared" si="0"/>
        <v>0</v>
      </c>
      <c r="AL27" s="98"/>
      <c r="AM27" s="98">
        <f t="shared" si="1"/>
        <v>0</v>
      </c>
      <c r="AN27" s="101">
        <v>277</v>
      </c>
      <c r="AO27" s="102">
        <f t="shared" si="2"/>
        <v>0</v>
      </c>
    </row>
    <row r="28" spans="1:41">
      <c r="A28" s="98">
        <v>22</v>
      </c>
      <c r="B28" s="99" t="s">
        <v>144</v>
      </c>
      <c r="C28" s="99"/>
      <c r="D28" s="100" t="s">
        <v>59</v>
      </c>
      <c r="E28" s="99" t="s">
        <v>79</v>
      </c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>
        <f t="shared" si="0"/>
        <v>0</v>
      </c>
      <c r="AL28" s="98"/>
      <c r="AM28" s="98">
        <f t="shared" si="1"/>
        <v>0</v>
      </c>
      <c r="AN28" s="101">
        <v>277</v>
      </c>
      <c r="AO28" s="102">
        <f t="shared" si="2"/>
        <v>0</v>
      </c>
    </row>
    <row r="29" spans="1:41">
      <c r="A29" s="98">
        <v>23</v>
      </c>
      <c r="B29" s="99" t="s">
        <v>96</v>
      </c>
      <c r="C29" s="99"/>
      <c r="D29" s="100" t="s">
        <v>171</v>
      </c>
      <c r="E29" s="99" t="s">
        <v>79</v>
      </c>
      <c r="F29" s="105"/>
      <c r="G29" s="105">
        <v>10</v>
      </c>
      <c r="H29" s="105"/>
      <c r="I29" s="105">
        <v>10</v>
      </c>
      <c r="J29" s="105">
        <v>10</v>
      </c>
      <c r="K29" s="105">
        <v>5</v>
      </c>
      <c r="L29" s="105">
        <v>10</v>
      </c>
      <c r="M29" s="98"/>
      <c r="N29" s="105"/>
      <c r="O29" s="105">
        <v>10</v>
      </c>
      <c r="P29" s="98"/>
      <c r="Q29" s="98"/>
      <c r="R29" s="105"/>
      <c r="S29" s="105"/>
      <c r="T29" s="105"/>
      <c r="U29" s="105"/>
      <c r="V29" s="105">
        <v>5</v>
      </c>
      <c r="W29" s="105">
        <v>10</v>
      </c>
      <c r="X29" s="105">
        <v>10</v>
      </c>
      <c r="Y29" s="105">
        <v>10</v>
      </c>
      <c r="Z29" s="105"/>
      <c r="AA29" s="105"/>
      <c r="AB29" s="105"/>
      <c r="AC29" s="105">
        <v>10</v>
      </c>
      <c r="AD29" s="105">
        <v>5</v>
      </c>
      <c r="AE29" s="105">
        <v>10</v>
      </c>
      <c r="AF29" s="105"/>
      <c r="AG29" s="105"/>
      <c r="AH29" s="105"/>
      <c r="AI29" s="105"/>
      <c r="AJ29" s="105"/>
      <c r="AK29" s="98">
        <f t="shared" si="0"/>
        <v>115</v>
      </c>
      <c r="AL29" s="98"/>
      <c r="AM29" s="98">
        <f t="shared" si="1"/>
        <v>115</v>
      </c>
      <c r="AN29" s="101">
        <v>277</v>
      </c>
      <c r="AO29" s="102">
        <f t="shared" si="2"/>
        <v>31855</v>
      </c>
    </row>
    <row r="30" spans="1:41">
      <c r="A30" s="98">
        <v>24</v>
      </c>
      <c r="B30" s="99" t="s">
        <v>97</v>
      </c>
      <c r="C30" s="99"/>
      <c r="D30" s="100" t="s">
        <v>59</v>
      </c>
      <c r="E30" s="99" t="s">
        <v>79</v>
      </c>
      <c r="F30" s="98"/>
      <c r="G30" s="98"/>
      <c r="H30" s="98"/>
      <c r="I30" s="105">
        <v>15</v>
      </c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105"/>
      <c r="AB30" s="105"/>
      <c r="AC30" s="105"/>
      <c r="AD30" s="98"/>
      <c r="AE30" s="98"/>
      <c r="AF30" s="105"/>
      <c r="AG30" s="105"/>
      <c r="AH30" s="98"/>
      <c r="AI30" s="98"/>
      <c r="AJ30" s="98"/>
      <c r="AK30" s="98">
        <f t="shared" si="0"/>
        <v>15</v>
      </c>
      <c r="AL30" s="98"/>
      <c r="AM30" s="98">
        <f t="shared" si="1"/>
        <v>15</v>
      </c>
      <c r="AN30" s="101">
        <v>277</v>
      </c>
      <c r="AO30" s="102">
        <f t="shared" si="2"/>
        <v>4155</v>
      </c>
    </row>
    <row r="31" spans="1:41">
      <c r="A31" s="98">
        <v>25</v>
      </c>
      <c r="B31" s="99" t="s">
        <v>98</v>
      </c>
      <c r="C31" s="99"/>
      <c r="D31" s="100" t="s">
        <v>59</v>
      </c>
      <c r="E31" s="99" t="s">
        <v>79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>
        <f t="shared" si="0"/>
        <v>0</v>
      </c>
      <c r="AL31" s="98"/>
      <c r="AM31" s="98">
        <f t="shared" si="1"/>
        <v>0</v>
      </c>
      <c r="AN31" s="101">
        <v>277</v>
      </c>
      <c r="AO31" s="102">
        <f t="shared" si="2"/>
        <v>0</v>
      </c>
    </row>
    <row r="32" spans="1:41">
      <c r="A32" s="98">
        <v>26</v>
      </c>
      <c r="B32" s="99" t="s">
        <v>99</v>
      </c>
      <c r="C32" s="99"/>
      <c r="D32" s="100" t="s">
        <v>59</v>
      </c>
      <c r="E32" s="99" t="s">
        <v>79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>
        <f t="shared" si="0"/>
        <v>0</v>
      </c>
      <c r="AL32" s="98"/>
      <c r="AM32" s="98">
        <f t="shared" si="1"/>
        <v>0</v>
      </c>
      <c r="AN32" s="101">
        <v>277</v>
      </c>
      <c r="AO32" s="102">
        <f t="shared" si="2"/>
        <v>0</v>
      </c>
    </row>
    <row r="33" spans="1:41">
      <c r="A33" s="98">
        <v>27</v>
      </c>
      <c r="B33" s="99" t="s">
        <v>172</v>
      </c>
      <c r="C33" s="99"/>
      <c r="D33" s="100" t="s">
        <v>59</v>
      </c>
      <c r="E33" s="99" t="s">
        <v>79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>
        <f t="shared" si="0"/>
        <v>0</v>
      </c>
      <c r="AL33" s="98"/>
      <c r="AM33" s="98">
        <f t="shared" si="1"/>
        <v>0</v>
      </c>
      <c r="AN33" s="101">
        <v>277</v>
      </c>
      <c r="AO33" s="102">
        <f t="shared" si="2"/>
        <v>0</v>
      </c>
    </row>
    <row r="34" spans="1:41">
      <c r="A34" s="98">
        <v>28</v>
      </c>
      <c r="B34" s="99" t="s">
        <v>101</v>
      </c>
      <c r="C34" s="99"/>
      <c r="D34" s="100" t="s">
        <v>59</v>
      </c>
      <c r="E34" s="99" t="s">
        <v>79</v>
      </c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>
        <f t="shared" si="0"/>
        <v>0</v>
      </c>
      <c r="AL34" s="98"/>
      <c r="AM34" s="98">
        <f t="shared" si="1"/>
        <v>0</v>
      </c>
      <c r="AN34" s="101">
        <v>277</v>
      </c>
      <c r="AO34" s="102">
        <f t="shared" si="2"/>
        <v>0</v>
      </c>
    </row>
    <row r="35" spans="1:41">
      <c r="A35" s="98">
        <v>29</v>
      </c>
      <c r="B35" s="99" t="s">
        <v>129</v>
      </c>
      <c r="C35" s="99"/>
      <c r="D35" s="100" t="s">
        <v>59</v>
      </c>
      <c r="E35" s="99" t="s">
        <v>79</v>
      </c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>
        <f t="shared" si="0"/>
        <v>0</v>
      </c>
      <c r="AL35" s="98"/>
      <c r="AM35" s="98">
        <f t="shared" si="1"/>
        <v>0</v>
      </c>
      <c r="AN35" s="101">
        <v>277</v>
      </c>
      <c r="AO35" s="102">
        <f t="shared" si="2"/>
        <v>0</v>
      </c>
    </row>
    <row r="36" spans="1:41">
      <c r="A36" s="98">
        <v>30</v>
      </c>
      <c r="B36" s="99" t="s">
        <v>130</v>
      </c>
      <c r="C36" s="99"/>
      <c r="D36" s="100" t="s">
        <v>59</v>
      </c>
      <c r="E36" s="99" t="s">
        <v>79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105">
        <v>15</v>
      </c>
      <c r="AG36" s="98"/>
      <c r="AH36" s="98"/>
      <c r="AI36" s="98"/>
      <c r="AJ36" s="98"/>
      <c r="AK36" s="98">
        <f t="shared" si="0"/>
        <v>15</v>
      </c>
      <c r="AL36" s="98"/>
      <c r="AM36" s="98">
        <f t="shared" si="1"/>
        <v>15</v>
      </c>
      <c r="AN36" s="101">
        <v>277</v>
      </c>
      <c r="AO36" s="102">
        <f t="shared" si="2"/>
        <v>4155</v>
      </c>
    </row>
    <row r="37" spans="1:41">
      <c r="A37" s="98">
        <v>31</v>
      </c>
      <c r="B37" s="99" t="s">
        <v>131</v>
      </c>
      <c r="C37" s="99"/>
      <c r="D37" s="100" t="s">
        <v>59</v>
      </c>
      <c r="E37" s="99" t="s">
        <v>79</v>
      </c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105">
        <v>60</v>
      </c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>
        <f t="shared" si="0"/>
        <v>60</v>
      </c>
      <c r="AL37" s="98"/>
      <c r="AM37" s="98">
        <f t="shared" si="1"/>
        <v>60</v>
      </c>
      <c r="AN37" s="101">
        <v>277</v>
      </c>
      <c r="AO37" s="102">
        <f t="shared" si="2"/>
        <v>16620</v>
      </c>
    </row>
    <row r="38" spans="1:41">
      <c r="A38" s="98">
        <v>32</v>
      </c>
      <c r="B38" s="99" t="s">
        <v>132</v>
      </c>
      <c r="C38" s="99"/>
      <c r="D38" s="100" t="s">
        <v>59</v>
      </c>
      <c r="E38" s="99" t="s">
        <v>79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>
        <f t="shared" si="0"/>
        <v>0</v>
      </c>
      <c r="AL38" s="98"/>
      <c r="AM38" s="98">
        <f t="shared" si="1"/>
        <v>0</v>
      </c>
      <c r="AN38" s="101">
        <v>277</v>
      </c>
      <c r="AO38" s="102">
        <f t="shared" si="2"/>
        <v>0</v>
      </c>
    </row>
    <row r="39" spans="1:41">
      <c r="A39" s="98">
        <v>33</v>
      </c>
      <c r="B39" s="99" t="s">
        <v>133</v>
      </c>
      <c r="C39" s="99"/>
      <c r="D39" s="100" t="s">
        <v>59</v>
      </c>
      <c r="E39" s="99" t="s">
        <v>79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>
        <f t="shared" si="0"/>
        <v>0</v>
      </c>
      <c r="AL39" s="98"/>
      <c r="AM39" s="98">
        <f t="shared" si="1"/>
        <v>0</v>
      </c>
      <c r="AN39" s="101">
        <v>277</v>
      </c>
      <c r="AO39" s="102">
        <f t="shared" si="2"/>
        <v>0</v>
      </c>
    </row>
    <row r="40" spans="1:41">
      <c r="A40" s="98">
        <v>34</v>
      </c>
      <c r="B40" s="99" t="s">
        <v>134</v>
      </c>
      <c r="C40" s="99"/>
      <c r="D40" s="100" t="s">
        <v>59</v>
      </c>
      <c r="E40" s="99" t="s">
        <v>79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>
        <f t="shared" si="0"/>
        <v>0</v>
      </c>
      <c r="AL40" s="98"/>
      <c r="AM40" s="98">
        <f t="shared" si="1"/>
        <v>0</v>
      </c>
      <c r="AN40" s="101">
        <v>277</v>
      </c>
      <c r="AO40" s="102">
        <f t="shared" si="2"/>
        <v>0</v>
      </c>
    </row>
    <row r="41" spans="1:41">
      <c r="A41" s="98">
        <v>35</v>
      </c>
      <c r="B41" s="99" t="s">
        <v>135</v>
      </c>
      <c r="C41" s="99"/>
      <c r="D41" s="100" t="s">
        <v>59</v>
      </c>
      <c r="E41" s="99" t="s">
        <v>79</v>
      </c>
      <c r="F41" s="98"/>
      <c r="G41" s="105">
        <v>10</v>
      </c>
      <c r="H41" s="105">
        <v>5</v>
      </c>
      <c r="I41" s="105">
        <v>15</v>
      </c>
      <c r="J41" s="105">
        <v>10</v>
      </c>
      <c r="K41" s="105">
        <v>5</v>
      </c>
      <c r="L41" s="105">
        <v>15</v>
      </c>
      <c r="M41" s="105">
        <v>10</v>
      </c>
      <c r="N41" s="105">
        <v>10</v>
      </c>
      <c r="O41" s="105">
        <v>10</v>
      </c>
      <c r="P41" s="105">
        <v>10</v>
      </c>
      <c r="Q41" s="105">
        <v>10</v>
      </c>
      <c r="R41" s="98"/>
      <c r="S41" s="105">
        <v>5</v>
      </c>
      <c r="T41" s="105">
        <v>10</v>
      </c>
      <c r="U41" s="105">
        <v>10</v>
      </c>
      <c r="V41" s="105">
        <v>10</v>
      </c>
      <c r="W41" s="105"/>
      <c r="X41" s="98"/>
      <c r="Y41" s="105">
        <v>10</v>
      </c>
      <c r="Z41" s="105"/>
      <c r="AA41" s="105"/>
      <c r="AB41" s="105">
        <v>10</v>
      </c>
      <c r="AC41" s="105">
        <v>10</v>
      </c>
      <c r="AD41" s="105">
        <v>10</v>
      </c>
      <c r="AE41" s="105">
        <v>10</v>
      </c>
      <c r="AF41" s="105">
        <v>10</v>
      </c>
      <c r="AG41" s="105"/>
      <c r="AH41" s="105">
        <v>5</v>
      </c>
      <c r="AI41" s="105">
        <v>7</v>
      </c>
      <c r="AJ41" s="105"/>
      <c r="AK41" s="98">
        <f t="shared" si="0"/>
        <v>205</v>
      </c>
      <c r="AL41" s="98"/>
      <c r="AM41" s="98">
        <f t="shared" si="1"/>
        <v>205</v>
      </c>
      <c r="AN41" s="101">
        <v>277</v>
      </c>
      <c r="AO41" s="102">
        <f t="shared" si="2"/>
        <v>56785</v>
      </c>
    </row>
    <row r="42" spans="1:41">
      <c r="A42" s="98">
        <v>36</v>
      </c>
      <c r="B42" s="99" t="s">
        <v>136</v>
      </c>
      <c r="C42" s="99"/>
      <c r="D42" s="100" t="s">
        <v>170</v>
      </c>
      <c r="E42" s="99" t="s">
        <v>79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>
        <f t="shared" si="0"/>
        <v>0</v>
      </c>
      <c r="AL42" s="98"/>
      <c r="AM42" s="98">
        <f t="shared" si="1"/>
        <v>0</v>
      </c>
      <c r="AN42" s="101">
        <v>277</v>
      </c>
      <c r="AO42" s="102">
        <f t="shared" si="2"/>
        <v>0</v>
      </c>
    </row>
    <row r="43" spans="1:41">
      <c r="A43" s="98">
        <v>37</v>
      </c>
      <c r="B43" s="99" t="s">
        <v>95</v>
      </c>
      <c r="C43" s="99"/>
      <c r="D43" s="100" t="s">
        <v>59</v>
      </c>
      <c r="E43" s="99" t="s">
        <v>79</v>
      </c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>
        <f t="shared" si="0"/>
        <v>0</v>
      </c>
      <c r="AL43" s="98"/>
      <c r="AM43" s="98">
        <f t="shared" si="1"/>
        <v>0</v>
      </c>
      <c r="AN43" s="101">
        <v>277</v>
      </c>
      <c r="AO43" s="102">
        <f t="shared" si="2"/>
        <v>0</v>
      </c>
    </row>
    <row r="44" spans="1:41">
      <c r="A44" s="98">
        <v>38</v>
      </c>
      <c r="B44" s="99" t="s">
        <v>138</v>
      </c>
      <c r="C44" s="99"/>
      <c r="D44" s="100" t="s">
        <v>173</v>
      </c>
      <c r="E44" s="99" t="s">
        <v>79</v>
      </c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>
        <f t="shared" si="0"/>
        <v>0</v>
      </c>
      <c r="AL44" s="98"/>
      <c r="AM44" s="98">
        <f t="shared" si="1"/>
        <v>0</v>
      </c>
      <c r="AN44" s="101">
        <v>277</v>
      </c>
      <c r="AO44" s="102">
        <f t="shared" si="2"/>
        <v>0</v>
      </c>
    </row>
    <row r="45" spans="1:41">
      <c r="A45" s="98">
        <v>39</v>
      </c>
      <c r="B45" s="99" t="s">
        <v>139</v>
      </c>
      <c r="C45" s="99"/>
      <c r="D45" s="100" t="s">
        <v>173</v>
      </c>
      <c r="E45" s="99" t="s">
        <v>79</v>
      </c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>
        <f t="shared" si="0"/>
        <v>0</v>
      </c>
      <c r="AL45" s="98"/>
      <c r="AM45" s="98">
        <f t="shared" si="1"/>
        <v>0</v>
      </c>
      <c r="AN45" s="101">
        <v>277</v>
      </c>
      <c r="AO45" s="102">
        <f t="shared" si="2"/>
        <v>0</v>
      </c>
    </row>
    <row r="46" spans="1:41">
      <c r="A46" s="98">
        <v>40</v>
      </c>
      <c r="B46" s="99" t="s">
        <v>140</v>
      </c>
      <c r="C46" s="99"/>
      <c r="D46" s="100" t="s">
        <v>170</v>
      </c>
      <c r="E46" s="99" t="s">
        <v>79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>
        <f t="shared" si="0"/>
        <v>0</v>
      </c>
      <c r="AL46" s="98"/>
      <c r="AM46" s="98">
        <f t="shared" si="1"/>
        <v>0</v>
      </c>
      <c r="AN46" s="101">
        <v>277</v>
      </c>
      <c r="AO46" s="102">
        <f t="shared" si="2"/>
        <v>0</v>
      </c>
    </row>
    <row r="47" spans="1:41">
      <c r="A47" s="98">
        <v>41</v>
      </c>
      <c r="B47" s="99" t="s">
        <v>141</v>
      </c>
      <c r="C47" s="99"/>
      <c r="D47" s="100" t="s">
        <v>59</v>
      </c>
      <c r="E47" s="99" t="s">
        <v>79</v>
      </c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>
        <f t="shared" si="0"/>
        <v>0</v>
      </c>
      <c r="AL47" s="98"/>
      <c r="AM47" s="98">
        <f t="shared" si="1"/>
        <v>0</v>
      </c>
      <c r="AN47" s="101">
        <v>277</v>
      </c>
      <c r="AO47" s="102">
        <f t="shared" si="2"/>
        <v>0</v>
      </c>
    </row>
    <row r="48" spans="1:41">
      <c r="A48" s="98"/>
      <c r="B48" s="100" t="s">
        <v>128</v>
      </c>
      <c r="C48" s="99"/>
      <c r="D48" s="100"/>
      <c r="E48" s="99"/>
      <c r="F48" s="98"/>
      <c r="G48" s="98"/>
      <c r="H48" s="98"/>
      <c r="I48" s="98"/>
      <c r="J48" s="98"/>
      <c r="K48" s="105">
        <v>20</v>
      </c>
      <c r="L48" s="98"/>
      <c r="M48" s="105">
        <v>20</v>
      </c>
      <c r="N48" s="98"/>
      <c r="O48" s="105">
        <v>20</v>
      </c>
      <c r="P48" s="105">
        <v>20</v>
      </c>
      <c r="Q48" s="98"/>
      <c r="R48" s="105">
        <v>20</v>
      </c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105"/>
      <c r="AG48" s="98"/>
      <c r="AH48" s="98"/>
      <c r="AI48" s="98"/>
      <c r="AJ48" s="98"/>
      <c r="AK48" s="98"/>
      <c r="AL48" s="98"/>
      <c r="AM48" s="98"/>
      <c r="AN48" s="101"/>
      <c r="AO48" s="102"/>
    </row>
    <row r="49" spans="1:41">
      <c r="A49" s="98"/>
      <c r="B49" s="100" t="s">
        <v>233</v>
      </c>
      <c r="C49" s="99"/>
      <c r="D49" s="100" t="s">
        <v>59</v>
      </c>
      <c r="E49" s="100" t="s">
        <v>79</v>
      </c>
      <c r="F49" s="105">
        <v>10</v>
      </c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101"/>
      <c r="AO49" s="102"/>
    </row>
    <row r="50" spans="1:41">
      <c r="A50" s="98">
        <v>42</v>
      </c>
      <c r="B50" s="99" t="s">
        <v>142</v>
      </c>
      <c r="C50" s="99"/>
      <c r="D50" s="100" t="s">
        <v>59</v>
      </c>
      <c r="E50" s="99" t="s">
        <v>79</v>
      </c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>
        <f t="shared" ref="AK50:AK53" si="3">SUM(F50:AG50)</f>
        <v>0</v>
      </c>
      <c r="AL50" s="98"/>
      <c r="AM50" s="98">
        <f t="shared" ref="AM50:AM53" si="4">AL50+AK50</f>
        <v>0</v>
      </c>
      <c r="AN50" s="101">
        <v>277</v>
      </c>
      <c r="AO50" s="102">
        <f t="shared" ref="AO50:AO53" si="5">AK50*AN50</f>
        <v>0</v>
      </c>
    </row>
    <row r="51" spans="1:41">
      <c r="A51" s="98">
        <v>43</v>
      </c>
      <c r="B51" s="99" t="s">
        <v>143</v>
      </c>
      <c r="C51" s="99"/>
      <c r="D51" s="100" t="s">
        <v>174</v>
      </c>
      <c r="E51" s="99" t="s">
        <v>79</v>
      </c>
      <c r="F51" s="98"/>
      <c r="G51" s="105"/>
      <c r="H51" s="98"/>
      <c r="I51" s="105">
        <v>10</v>
      </c>
      <c r="J51" s="105">
        <v>10</v>
      </c>
      <c r="K51" s="105">
        <v>10</v>
      </c>
      <c r="L51" s="105"/>
      <c r="M51" s="105">
        <v>10</v>
      </c>
      <c r="N51" s="98"/>
      <c r="O51" s="105">
        <v>10</v>
      </c>
      <c r="P51" s="105"/>
      <c r="Q51" s="105">
        <v>10</v>
      </c>
      <c r="R51" s="98"/>
      <c r="S51" s="98"/>
      <c r="T51" s="98"/>
      <c r="U51" s="105"/>
      <c r="V51" s="105">
        <v>10</v>
      </c>
      <c r="W51" s="105">
        <v>10</v>
      </c>
      <c r="X51" s="98"/>
      <c r="Y51" s="105"/>
      <c r="Z51" s="98"/>
      <c r="AA51" s="105"/>
      <c r="AB51" s="105">
        <v>10</v>
      </c>
      <c r="AC51" s="105"/>
      <c r="AD51" s="105">
        <v>10</v>
      </c>
      <c r="AE51" s="105">
        <v>10</v>
      </c>
      <c r="AF51" s="105">
        <v>10</v>
      </c>
      <c r="AG51" s="105"/>
      <c r="AH51" s="105"/>
      <c r="AI51" s="105"/>
      <c r="AJ51" s="98"/>
      <c r="AK51" s="98">
        <f t="shared" si="3"/>
        <v>120</v>
      </c>
      <c r="AL51" s="98"/>
      <c r="AM51" s="98">
        <f t="shared" si="4"/>
        <v>120</v>
      </c>
      <c r="AN51" s="101">
        <v>277</v>
      </c>
      <c r="AO51" s="102">
        <f t="shared" si="5"/>
        <v>33240</v>
      </c>
    </row>
    <row r="52" spans="1:41">
      <c r="A52" s="98"/>
      <c r="B52" s="99" t="s">
        <v>175</v>
      </c>
      <c r="C52" s="99"/>
      <c r="D52" s="100" t="s">
        <v>170</v>
      </c>
      <c r="E52" s="99" t="s">
        <v>79</v>
      </c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105"/>
      <c r="AI52" s="98"/>
      <c r="AJ52" s="98"/>
      <c r="AK52" s="98">
        <f t="shared" si="3"/>
        <v>0</v>
      </c>
      <c r="AL52" s="98"/>
      <c r="AM52" s="98">
        <f t="shared" si="4"/>
        <v>0</v>
      </c>
      <c r="AN52" s="101">
        <v>277</v>
      </c>
      <c r="AO52" s="102">
        <f t="shared" si="5"/>
        <v>0</v>
      </c>
    </row>
    <row r="53" spans="1:41">
      <c r="A53" s="98"/>
      <c r="B53" s="99" t="s">
        <v>176</v>
      </c>
      <c r="C53" s="99"/>
      <c r="D53" s="100" t="s">
        <v>177</v>
      </c>
      <c r="E53" s="99" t="s">
        <v>79</v>
      </c>
      <c r="F53" s="98"/>
      <c r="G53" s="105"/>
      <c r="H53" s="105">
        <v>40</v>
      </c>
      <c r="I53" s="105"/>
      <c r="J53" s="105">
        <v>40</v>
      </c>
      <c r="K53" s="98"/>
      <c r="L53" s="98"/>
      <c r="M53" s="105"/>
      <c r="N53" s="105"/>
      <c r="O53" s="105"/>
      <c r="P53" s="98"/>
      <c r="Q53" s="105">
        <v>40</v>
      </c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105">
        <v>40</v>
      </c>
      <c r="AC53" s="105">
        <v>40</v>
      </c>
      <c r="AD53" s="105">
        <v>40</v>
      </c>
      <c r="AE53" s="98"/>
      <c r="AF53" s="98"/>
      <c r="AG53" s="105">
        <v>35</v>
      </c>
      <c r="AH53" s="105">
        <v>35</v>
      </c>
      <c r="AI53" s="98"/>
      <c r="AJ53" s="98"/>
      <c r="AK53" s="98">
        <f t="shared" si="3"/>
        <v>275</v>
      </c>
      <c r="AL53" s="98"/>
      <c r="AM53" s="98">
        <f t="shared" si="4"/>
        <v>275</v>
      </c>
      <c r="AN53" s="101">
        <v>277</v>
      </c>
      <c r="AO53" s="102">
        <f t="shared" si="5"/>
        <v>76175</v>
      </c>
    </row>
    <row r="54" spans="1:41">
      <c r="A54" s="98"/>
      <c r="B54" s="100" t="s">
        <v>209</v>
      </c>
      <c r="C54" s="99"/>
      <c r="D54" s="100" t="s">
        <v>177</v>
      </c>
      <c r="E54" s="100" t="s">
        <v>79</v>
      </c>
      <c r="F54" s="98"/>
      <c r="G54" s="98"/>
      <c r="H54" s="98"/>
      <c r="I54" s="98"/>
      <c r="J54" s="98"/>
      <c r="K54" s="98"/>
      <c r="L54" s="98"/>
      <c r="M54" s="105"/>
      <c r="N54" s="98"/>
      <c r="O54" s="98"/>
      <c r="P54" s="98"/>
      <c r="Q54" s="105"/>
      <c r="R54" s="105"/>
      <c r="S54" s="105"/>
      <c r="T54" s="105"/>
      <c r="U54" s="105"/>
      <c r="V54" s="105"/>
      <c r="W54" s="98"/>
      <c r="X54" s="98"/>
      <c r="Y54" s="98"/>
      <c r="Z54" s="105"/>
      <c r="AA54" s="98"/>
      <c r="AB54" s="105"/>
      <c r="AC54" s="98"/>
      <c r="AD54" s="105"/>
      <c r="AE54" s="105"/>
      <c r="AF54" s="105"/>
      <c r="AG54" s="105"/>
      <c r="AH54" s="105"/>
      <c r="AI54" s="105"/>
      <c r="AJ54" s="105"/>
      <c r="AK54" s="98"/>
      <c r="AL54" s="98"/>
      <c r="AM54" s="98"/>
      <c r="AN54" s="101"/>
      <c r="AO54" s="102"/>
    </row>
    <row r="55" spans="1:41">
      <c r="A55" s="98"/>
      <c r="B55" s="100" t="s">
        <v>210</v>
      </c>
      <c r="C55" s="99"/>
      <c r="D55" s="100" t="s">
        <v>211</v>
      </c>
      <c r="E55" s="100" t="s">
        <v>79</v>
      </c>
      <c r="F55" s="98"/>
      <c r="G55" s="98"/>
      <c r="H55" s="98"/>
      <c r="I55" s="98"/>
      <c r="J55" s="98"/>
      <c r="K55" s="98"/>
      <c r="L55" s="98"/>
      <c r="M55" s="105">
        <v>50</v>
      </c>
      <c r="N55" s="105">
        <v>50</v>
      </c>
      <c r="O55" s="98"/>
      <c r="P55" s="98"/>
      <c r="Q55" s="105"/>
      <c r="R55" s="98"/>
      <c r="S55" s="98"/>
      <c r="T55" s="98"/>
      <c r="U55" s="98"/>
      <c r="V55" s="98"/>
      <c r="W55" s="98"/>
      <c r="X55" s="98"/>
      <c r="Y55" s="105">
        <v>50</v>
      </c>
      <c r="Z55" s="105">
        <v>50</v>
      </c>
      <c r="AA55" s="98"/>
      <c r="AB55" s="98"/>
      <c r="AC55" s="98"/>
      <c r="AD55" s="105"/>
      <c r="AE55" s="105"/>
      <c r="AF55" s="98"/>
      <c r="AG55" s="105"/>
      <c r="AH55" s="105"/>
      <c r="AI55" s="105"/>
      <c r="AJ55" s="98"/>
      <c r="AK55" s="98"/>
      <c r="AL55" s="98"/>
      <c r="AM55" s="98"/>
      <c r="AN55" s="101"/>
      <c r="AO55" s="102"/>
    </row>
    <row r="56" spans="1:41">
      <c r="A56" s="98">
        <v>44</v>
      </c>
      <c r="B56" s="99" t="s">
        <v>146</v>
      </c>
      <c r="C56" s="99"/>
      <c r="D56" s="100" t="s">
        <v>59</v>
      </c>
      <c r="E56" s="99" t="s">
        <v>79</v>
      </c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>
        <f>SUM(F56:AG56)</f>
        <v>0</v>
      </c>
      <c r="AL56" s="98"/>
      <c r="AM56" s="98">
        <f>AL56+AK56</f>
        <v>0</v>
      </c>
      <c r="AN56" s="101">
        <v>277</v>
      </c>
      <c r="AO56" s="102">
        <f>AK56*AN56</f>
        <v>0</v>
      </c>
    </row>
    <row r="57" spans="1:41">
      <c r="A57" s="108"/>
      <c r="B57" s="107"/>
      <c r="C57" s="107"/>
      <c r="D57" s="107"/>
      <c r="E57" s="107" t="s">
        <v>79</v>
      </c>
      <c r="F57" s="108">
        <f t="shared" ref="F57:AK57" si="6">SUM(F7:F56)</f>
        <v>15</v>
      </c>
      <c r="G57" s="108">
        <f t="shared" si="6"/>
        <v>40</v>
      </c>
      <c r="H57" s="108">
        <f t="shared" si="6"/>
        <v>45</v>
      </c>
      <c r="I57" s="108">
        <f t="shared" si="6"/>
        <v>60</v>
      </c>
      <c r="J57" s="108">
        <f t="shared" si="6"/>
        <v>85</v>
      </c>
      <c r="K57" s="108">
        <f t="shared" si="6"/>
        <v>65</v>
      </c>
      <c r="L57" s="108">
        <f t="shared" si="6"/>
        <v>65</v>
      </c>
      <c r="M57" s="108">
        <f t="shared" si="6"/>
        <v>110</v>
      </c>
      <c r="N57" s="108">
        <f t="shared" si="6"/>
        <v>70</v>
      </c>
      <c r="O57" s="108">
        <f t="shared" si="6"/>
        <v>60</v>
      </c>
      <c r="P57" s="108">
        <f t="shared" si="6"/>
        <v>75</v>
      </c>
      <c r="Q57" s="108">
        <f t="shared" si="6"/>
        <v>95</v>
      </c>
      <c r="R57" s="108">
        <f t="shared" si="6"/>
        <v>30</v>
      </c>
      <c r="S57" s="108">
        <f t="shared" si="6"/>
        <v>35</v>
      </c>
      <c r="T57" s="108">
        <f t="shared" si="6"/>
        <v>20</v>
      </c>
      <c r="U57" s="108">
        <f t="shared" si="6"/>
        <v>45</v>
      </c>
      <c r="V57" s="108">
        <f t="shared" si="6"/>
        <v>35</v>
      </c>
      <c r="W57" s="108">
        <f t="shared" si="6"/>
        <v>30</v>
      </c>
      <c r="X57" s="108">
        <f t="shared" si="6"/>
        <v>95</v>
      </c>
      <c r="Y57" s="108">
        <f t="shared" si="6"/>
        <v>80</v>
      </c>
      <c r="Z57" s="108">
        <f t="shared" si="6"/>
        <v>115</v>
      </c>
      <c r="AA57" s="108">
        <f t="shared" si="6"/>
        <v>30</v>
      </c>
      <c r="AB57" s="108">
        <f t="shared" si="6"/>
        <v>70</v>
      </c>
      <c r="AC57" s="108">
        <f t="shared" si="6"/>
        <v>70</v>
      </c>
      <c r="AD57" s="108">
        <f t="shared" si="6"/>
        <v>115</v>
      </c>
      <c r="AE57" s="108">
        <f t="shared" si="6"/>
        <v>85</v>
      </c>
      <c r="AF57" s="108">
        <f t="shared" si="6"/>
        <v>70</v>
      </c>
      <c r="AG57" s="108">
        <f t="shared" si="6"/>
        <v>50</v>
      </c>
      <c r="AH57" s="108">
        <f t="shared" si="6"/>
        <v>100</v>
      </c>
      <c r="AI57" s="108">
        <f t="shared" si="6"/>
        <v>17</v>
      </c>
      <c r="AJ57" s="108">
        <f t="shared" si="6"/>
        <v>10</v>
      </c>
      <c r="AK57" s="108">
        <f t="shared" si="6"/>
        <v>1450</v>
      </c>
      <c r="AL57" s="108"/>
      <c r="AM57" s="108">
        <f>SUM(AM7:AM56)</f>
        <v>1450</v>
      </c>
      <c r="AN57" s="109"/>
      <c r="AO57" s="110">
        <f>SUM(AO7:AO56)</f>
        <v>401650</v>
      </c>
    </row>
    <row r="58" spans="1:41" ht="22.5">
      <c r="A58" s="112" t="s">
        <v>178</v>
      </c>
      <c r="B58" s="113"/>
      <c r="C58" s="113"/>
      <c r="D58" s="113"/>
      <c r="E58" s="114" t="s">
        <v>79</v>
      </c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5"/>
      <c r="AO58" s="113"/>
    </row>
    <row r="59" spans="1:41">
      <c r="A59" s="98">
        <v>1</v>
      </c>
      <c r="B59" s="99" t="s">
        <v>103</v>
      </c>
      <c r="C59" s="99"/>
      <c r="D59" s="100" t="s">
        <v>179</v>
      </c>
      <c r="E59" s="99" t="s">
        <v>79</v>
      </c>
      <c r="F59" s="98"/>
      <c r="G59" s="98"/>
      <c r="H59" s="105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105"/>
      <c r="W59" s="105"/>
      <c r="X59" s="105"/>
      <c r="Y59" s="105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>
        <f t="shared" ref="AK59:AK61" si="7">SUM(F59:AG59)</f>
        <v>0</v>
      </c>
      <c r="AL59" s="98"/>
      <c r="AM59" s="98">
        <f t="shared" ref="AM59:AM61" si="8">AK59+AL59</f>
        <v>0</v>
      </c>
      <c r="AN59" s="101">
        <v>277</v>
      </c>
      <c r="AO59" s="116">
        <f t="shared" ref="AO59:AO61" si="9">AN59*AM59</f>
        <v>0</v>
      </c>
    </row>
    <row r="60" spans="1:41">
      <c r="A60" s="98">
        <v>2</v>
      </c>
      <c r="B60" s="99" t="s">
        <v>56</v>
      </c>
      <c r="C60" s="99"/>
      <c r="D60" s="100" t="s">
        <v>180</v>
      </c>
      <c r="E60" s="99" t="s">
        <v>79</v>
      </c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>
        <f t="shared" si="7"/>
        <v>0</v>
      </c>
      <c r="AL60" s="98"/>
      <c r="AM60" s="98">
        <f t="shared" si="8"/>
        <v>0</v>
      </c>
      <c r="AN60" s="101">
        <v>277</v>
      </c>
      <c r="AO60" s="116">
        <f t="shared" si="9"/>
        <v>0</v>
      </c>
    </row>
    <row r="61" spans="1:41">
      <c r="A61" s="98">
        <v>3</v>
      </c>
      <c r="B61" s="99" t="s">
        <v>104</v>
      </c>
      <c r="C61" s="99"/>
      <c r="D61" s="100" t="s">
        <v>179</v>
      </c>
      <c r="E61" s="99" t="s">
        <v>79</v>
      </c>
      <c r="F61" s="105"/>
      <c r="G61" s="105"/>
      <c r="H61" s="105"/>
      <c r="I61" s="105"/>
      <c r="J61" s="105"/>
      <c r="K61" s="105"/>
      <c r="L61" s="105"/>
      <c r="M61" s="98"/>
      <c r="N61" s="105"/>
      <c r="O61" s="105"/>
      <c r="P61" s="98"/>
      <c r="Q61" s="105"/>
      <c r="R61" s="105"/>
      <c r="S61" s="98"/>
      <c r="T61" s="98"/>
      <c r="U61" s="98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98">
        <f t="shared" si="7"/>
        <v>0</v>
      </c>
      <c r="AL61" s="98"/>
      <c r="AM61" s="98">
        <f t="shared" si="8"/>
        <v>0</v>
      </c>
      <c r="AN61" s="101">
        <v>277</v>
      </c>
      <c r="AO61" s="116">
        <f t="shared" si="9"/>
        <v>0</v>
      </c>
    </row>
    <row r="62" spans="1:41">
      <c r="A62" s="98"/>
      <c r="B62" s="100" t="s">
        <v>227</v>
      </c>
      <c r="C62" s="99"/>
      <c r="D62" s="100"/>
      <c r="E62" s="100" t="s">
        <v>79</v>
      </c>
      <c r="F62" s="105">
        <v>20</v>
      </c>
      <c r="G62" s="105">
        <v>20</v>
      </c>
      <c r="H62" s="98"/>
      <c r="I62" s="105">
        <v>20</v>
      </c>
      <c r="J62" s="105">
        <v>25</v>
      </c>
      <c r="K62" s="105">
        <v>15</v>
      </c>
      <c r="L62" s="105">
        <v>25</v>
      </c>
      <c r="M62" s="105">
        <v>15</v>
      </c>
      <c r="N62" s="105">
        <v>10</v>
      </c>
      <c r="O62" s="105">
        <v>15</v>
      </c>
      <c r="P62" s="105">
        <v>10</v>
      </c>
      <c r="Q62" s="105">
        <v>20</v>
      </c>
      <c r="R62" s="98"/>
      <c r="S62" s="98"/>
      <c r="T62" s="98"/>
      <c r="U62" s="98"/>
      <c r="V62" s="105">
        <v>15</v>
      </c>
      <c r="W62" s="105">
        <v>10</v>
      </c>
      <c r="X62" s="105">
        <v>15</v>
      </c>
      <c r="Y62" s="105">
        <v>20</v>
      </c>
      <c r="Z62" s="105">
        <v>10</v>
      </c>
      <c r="AA62" s="98"/>
      <c r="AB62" s="98"/>
      <c r="AC62" s="105"/>
      <c r="AD62" s="105">
        <v>10</v>
      </c>
      <c r="AE62" s="105">
        <v>30</v>
      </c>
      <c r="AF62" s="105">
        <v>45</v>
      </c>
      <c r="AG62" s="105">
        <v>15</v>
      </c>
      <c r="AH62" s="105">
        <v>20</v>
      </c>
      <c r="AI62" s="105"/>
      <c r="AJ62" s="98"/>
      <c r="AK62" s="98"/>
      <c r="AL62" s="98"/>
      <c r="AM62" s="98"/>
      <c r="AN62" s="101"/>
      <c r="AO62" s="116"/>
    </row>
    <row r="63" spans="1:41">
      <c r="A63" s="98">
        <v>4</v>
      </c>
      <c r="B63" s="99" t="s">
        <v>105</v>
      </c>
      <c r="C63" s="99"/>
      <c r="D63" s="100" t="s">
        <v>66</v>
      </c>
      <c r="E63" s="99" t="s">
        <v>79</v>
      </c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>
        <f t="shared" ref="AK63:AK72" si="10">SUM(F63:AG63)</f>
        <v>0</v>
      </c>
      <c r="AL63" s="98"/>
      <c r="AM63" s="98">
        <f t="shared" ref="AM63:AM72" si="11">AK63+AL63</f>
        <v>0</v>
      </c>
      <c r="AN63" s="101">
        <v>277</v>
      </c>
      <c r="AO63" s="116">
        <f t="shared" ref="AO63:AO72" si="12">AN63*AM63</f>
        <v>0</v>
      </c>
    </row>
    <row r="64" spans="1:41">
      <c r="A64" s="98">
        <v>5</v>
      </c>
      <c r="B64" s="99" t="s">
        <v>106</v>
      </c>
      <c r="C64" s="99"/>
      <c r="D64" s="100" t="s">
        <v>181</v>
      </c>
      <c r="E64" s="99" t="s">
        <v>79</v>
      </c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>
        <f t="shared" si="10"/>
        <v>0</v>
      </c>
      <c r="AL64" s="98"/>
      <c r="AM64" s="98">
        <f t="shared" si="11"/>
        <v>0</v>
      </c>
      <c r="AN64" s="101">
        <v>277</v>
      </c>
      <c r="AO64" s="116">
        <f t="shared" si="12"/>
        <v>0</v>
      </c>
    </row>
    <row r="65" spans="1:41">
      <c r="A65" s="98">
        <v>6</v>
      </c>
      <c r="B65" s="99" t="s">
        <v>107</v>
      </c>
      <c r="C65" s="99"/>
      <c r="D65" s="100" t="s">
        <v>182</v>
      </c>
      <c r="E65" s="99" t="s">
        <v>79</v>
      </c>
      <c r="F65" s="98"/>
      <c r="G65" s="105">
        <v>25</v>
      </c>
      <c r="H65" s="105"/>
      <c r="I65" s="105">
        <v>25</v>
      </c>
      <c r="J65" s="105">
        <v>25</v>
      </c>
      <c r="K65" s="105">
        <v>30</v>
      </c>
      <c r="L65" s="105">
        <v>25</v>
      </c>
      <c r="M65" s="98"/>
      <c r="N65" s="98"/>
      <c r="O65" s="105"/>
      <c r="P65" s="98"/>
      <c r="Q65" s="105"/>
      <c r="R65" s="105"/>
      <c r="S65" s="98"/>
      <c r="T65" s="98"/>
      <c r="U65" s="98"/>
      <c r="V65" s="105">
        <v>25</v>
      </c>
      <c r="W65" s="105"/>
      <c r="X65" s="98"/>
      <c r="Y65" s="105">
        <v>15</v>
      </c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98">
        <f t="shared" si="10"/>
        <v>170</v>
      </c>
      <c r="AL65" s="98"/>
      <c r="AM65" s="98">
        <f t="shared" si="11"/>
        <v>170</v>
      </c>
      <c r="AN65" s="101">
        <v>277</v>
      </c>
      <c r="AO65" s="116">
        <f t="shared" si="12"/>
        <v>47090</v>
      </c>
    </row>
    <row r="66" spans="1:41">
      <c r="A66" s="98">
        <v>7</v>
      </c>
      <c r="B66" s="99" t="s">
        <v>108</v>
      </c>
      <c r="C66" s="99"/>
      <c r="D66" s="100" t="s">
        <v>180</v>
      </c>
      <c r="E66" s="99" t="s">
        <v>79</v>
      </c>
      <c r="F66" s="105"/>
      <c r="G66" s="105"/>
      <c r="H66" s="105"/>
      <c r="I66" s="105"/>
      <c r="J66" s="105"/>
      <c r="K66" s="105"/>
      <c r="L66" s="105"/>
      <c r="M66" s="105"/>
      <c r="N66" s="98"/>
      <c r="O66" s="105"/>
      <c r="P66" s="105"/>
      <c r="Q66" s="105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>
        <f t="shared" si="10"/>
        <v>0</v>
      </c>
      <c r="AL66" s="98"/>
      <c r="AM66" s="98">
        <f t="shared" si="11"/>
        <v>0</v>
      </c>
      <c r="AN66" s="101">
        <v>277</v>
      </c>
      <c r="AO66" s="116">
        <f t="shared" si="12"/>
        <v>0</v>
      </c>
    </row>
    <row r="67" spans="1:41">
      <c r="A67" s="98">
        <v>8</v>
      </c>
      <c r="B67" s="99" t="s">
        <v>63</v>
      </c>
      <c r="C67" s="99"/>
      <c r="D67" s="100" t="s">
        <v>183</v>
      </c>
      <c r="E67" s="99" t="s">
        <v>79</v>
      </c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>
        <f t="shared" si="10"/>
        <v>0</v>
      </c>
      <c r="AL67" s="98"/>
      <c r="AM67" s="98">
        <f t="shared" si="11"/>
        <v>0</v>
      </c>
      <c r="AN67" s="101">
        <v>277</v>
      </c>
      <c r="AO67" s="116">
        <f t="shared" si="12"/>
        <v>0</v>
      </c>
    </row>
    <row r="68" spans="1:41">
      <c r="A68" s="98">
        <v>9</v>
      </c>
      <c r="B68" s="99" t="s">
        <v>28</v>
      </c>
      <c r="C68" s="99"/>
      <c r="D68" s="100" t="s">
        <v>29</v>
      </c>
      <c r="E68" s="99" t="s">
        <v>79</v>
      </c>
      <c r="F68" s="98"/>
      <c r="G68" s="98"/>
      <c r="H68" s="98"/>
      <c r="I68" s="105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>
        <f t="shared" si="10"/>
        <v>0</v>
      </c>
      <c r="AL68" s="98"/>
      <c r="AM68" s="98">
        <f t="shared" si="11"/>
        <v>0</v>
      </c>
      <c r="AN68" s="101">
        <v>277</v>
      </c>
      <c r="AO68" s="116">
        <f t="shared" si="12"/>
        <v>0</v>
      </c>
    </row>
    <row r="69" spans="1:41">
      <c r="A69" s="98">
        <v>10</v>
      </c>
      <c r="B69" s="99" t="s">
        <v>109</v>
      </c>
      <c r="C69" s="99"/>
      <c r="D69" s="100" t="s">
        <v>184</v>
      </c>
      <c r="E69" s="99" t="s">
        <v>79</v>
      </c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>
        <f t="shared" si="10"/>
        <v>0</v>
      </c>
      <c r="AL69" s="98"/>
      <c r="AM69" s="98">
        <f t="shared" si="11"/>
        <v>0</v>
      </c>
      <c r="AN69" s="101">
        <v>277</v>
      </c>
      <c r="AO69" s="116">
        <f t="shared" si="12"/>
        <v>0</v>
      </c>
    </row>
    <row r="70" spans="1:41">
      <c r="A70" s="98">
        <v>11</v>
      </c>
      <c r="B70" s="99" t="s">
        <v>110</v>
      </c>
      <c r="C70" s="99"/>
      <c r="D70" s="100" t="s">
        <v>184</v>
      </c>
      <c r="E70" s="99" t="s">
        <v>79</v>
      </c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>
        <f t="shared" si="10"/>
        <v>0</v>
      </c>
      <c r="AL70" s="98"/>
      <c r="AM70" s="98">
        <f t="shared" si="11"/>
        <v>0</v>
      </c>
      <c r="AN70" s="101">
        <v>277</v>
      </c>
      <c r="AO70" s="116">
        <f t="shared" si="12"/>
        <v>0</v>
      </c>
    </row>
    <row r="71" spans="1:41">
      <c r="A71" s="98">
        <v>12</v>
      </c>
      <c r="B71" s="99" t="s">
        <v>111</v>
      </c>
      <c r="C71" s="99"/>
      <c r="D71" s="100" t="s">
        <v>184</v>
      </c>
      <c r="E71" s="99" t="s">
        <v>79</v>
      </c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>
        <f t="shared" si="10"/>
        <v>0</v>
      </c>
      <c r="AL71" s="98"/>
      <c r="AM71" s="98">
        <f t="shared" si="11"/>
        <v>0</v>
      </c>
      <c r="AN71" s="101">
        <v>277</v>
      </c>
      <c r="AO71" s="116">
        <f t="shared" si="12"/>
        <v>0</v>
      </c>
    </row>
    <row r="72" spans="1:41">
      <c r="A72" s="98">
        <v>13</v>
      </c>
      <c r="B72" s="99" t="s">
        <v>112</v>
      </c>
      <c r="C72" s="99"/>
      <c r="D72" s="100" t="s">
        <v>64</v>
      </c>
      <c r="E72" s="99" t="s">
        <v>79</v>
      </c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>
        <f t="shared" si="10"/>
        <v>0</v>
      </c>
      <c r="AL72" s="98"/>
      <c r="AM72" s="98">
        <f t="shared" si="11"/>
        <v>0</v>
      </c>
      <c r="AN72" s="101">
        <v>277</v>
      </c>
      <c r="AO72" s="116">
        <f t="shared" si="12"/>
        <v>0</v>
      </c>
    </row>
    <row r="73" spans="1:41">
      <c r="A73" s="98"/>
      <c r="B73" s="100" t="s">
        <v>212</v>
      </c>
      <c r="C73" s="99"/>
      <c r="D73" s="100"/>
      <c r="E73" s="100" t="s">
        <v>79</v>
      </c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105"/>
      <c r="X73" s="98"/>
      <c r="Y73" s="105"/>
      <c r="Z73" s="105"/>
      <c r="AA73" s="105"/>
      <c r="AB73" s="105"/>
      <c r="AC73" s="105"/>
      <c r="AD73" s="98"/>
      <c r="AE73" s="98"/>
      <c r="AF73" s="105">
        <v>13</v>
      </c>
      <c r="AG73" s="98"/>
      <c r="AH73" s="98"/>
      <c r="AI73" s="98"/>
      <c r="AJ73" s="98"/>
      <c r="AK73" s="98"/>
      <c r="AL73" s="98"/>
      <c r="AM73" s="98"/>
      <c r="AN73" s="101"/>
      <c r="AO73" s="116"/>
    </row>
    <row r="74" spans="1:41">
      <c r="A74" s="98">
        <v>14</v>
      </c>
      <c r="B74" s="99" t="s">
        <v>113</v>
      </c>
      <c r="C74" s="99"/>
      <c r="D74" s="100" t="s">
        <v>113</v>
      </c>
      <c r="E74" s="99" t="s">
        <v>79</v>
      </c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105"/>
      <c r="X74" s="98"/>
      <c r="Y74" s="105"/>
      <c r="Z74" s="105"/>
      <c r="AA74" s="105"/>
      <c r="AB74" s="105"/>
      <c r="AC74" s="105"/>
      <c r="AD74" s="98"/>
      <c r="AE74" s="98"/>
      <c r="AF74" s="98"/>
      <c r="AG74" s="98"/>
      <c r="AH74" s="98"/>
      <c r="AI74" s="98"/>
      <c r="AJ74" s="98"/>
      <c r="AK74" s="98">
        <f t="shared" ref="AK74:AK80" si="13">SUM(F74:AG74)</f>
        <v>0</v>
      </c>
      <c r="AL74" s="98"/>
      <c r="AM74" s="98">
        <f t="shared" ref="AM74:AM80" si="14">AK74+AL74</f>
        <v>0</v>
      </c>
      <c r="AN74" s="101">
        <v>277</v>
      </c>
      <c r="AO74" s="116">
        <f t="shared" ref="AO74:AO80" si="15">AN74*AM74</f>
        <v>0</v>
      </c>
    </row>
    <row r="75" spans="1:41">
      <c r="A75" s="98">
        <v>15</v>
      </c>
      <c r="B75" s="99" t="s">
        <v>114</v>
      </c>
      <c r="C75" s="99"/>
      <c r="D75" s="100" t="s">
        <v>185</v>
      </c>
      <c r="E75" s="99" t="s">
        <v>79</v>
      </c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>
        <f t="shared" si="13"/>
        <v>0</v>
      </c>
      <c r="AL75" s="98"/>
      <c r="AM75" s="98">
        <f t="shared" si="14"/>
        <v>0</v>
      </c>
      <c r="AN75" s="101">
        <v>277</v>
      </c>
      <c r="AO75" s="116">
        <f t="shared" si="15"/>
        <v>0</v>
      </c>
    </row>
    <row r="76" spans="1:41">
      <c r="A76" s="98">
        <v>16</v>
      </c>
      <c r="B76" s="99" t="s">
        <v>71</v>
      </c>
      <c r="C76" s="99"/>
      <c r="D76" s="100" t="s">
        <v>183</v>
      </c>
      <c r="E76" s="99" t="s">
        <v>79</v>
      </c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>
        <f t="shared" si="13"/>
        <v>0</v>
      </c>
      <c r="AL76" s="98"/>
      <c r="AM76" s="98">
        <f t="shared" si="14"/>
        <v>0</v>
      </c>
      <c r="AN76" s="101">
        <v>277</v>
      </c>
      <c r="AO76" s="116">
        <f t="shared" si="15"/>
        <v>0</v>
      </c>
    </row>
    <row r="77" spans="1:41">
      <c r="A77" s="98">
        <v>17</v>
      </c>
      <c r="B77" s="99" t="s">
        <v>115</v>
      </c>
      <c r="C77" s="99"/>
      <c r="D77" s="100" t="s">
        <v>182</v>
      </c>
      <c r="E77" s="99" t="s">
        <v>79</v>
      </c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>
        <f t="shared" si="13"/>
        <v>0</v>
      </c>
      <c r="AL77" s="98"/>
      <c r="AM77" s="98">
        <f t="shared" si="14"/>
        <v>0</v>
      </c>
      <c r="AN77" s="101">
        <v>277</v>
      </c>
      <c r="AO77" s="116">
        <f t="shared" si="15"/>
        <v>0</v>
      </c>
    </row>
    <row r="78" spans="1:41">
      <c r="A78" s="98">
        <v>18</v>
      </c>
      <c r="B78" s="99" t="s">
        <v>116</v>
      </c>
      <c r="C78" s="99"/>
      <c r="D78" s="100" t="s">
        <v>184</v>
      </c>
      <c r="E78" s="99" t="s">
        <v>79</v>
      </c>
      <c r="F78" s="98"/>
      <c r="G78" s="98"/>
      <c r="H78" s="98"/>
      <c r="I78" s="98"/>
      <c r="J78" s="98"/>
      <c r="K78" s="98"/>
      <c r="L78" s="98"/>
      <c r="M78" s="98"/>
      <c r="N78" s="105"/>
      <c r="O78" s="98"/>
      <c r="P78" s="98"/>
      <c r="Q78" s="98"/>
      <c r="R78" s="98"/>
      <c r="S78" s="98"/>
      <c r="T78" s="98"/>
      <c r="U78" s="98"/>
      <c r="V78" s="98"/>
      <c r="W78" s="105"/>
      <c r="X78" s="98"/>
      <c r="Y78" s="105"/>
      <c r="Z78" s="105"/>
      <c r="AA78" s="105"/>
      <c r="AB78" s="105"/>
      <c r="AC78" s="105"/>
      <c r="AD78" s="98"/>
      <c r="AE78" s="98"/>
      <c r="AF78" s="105">
        <v>30</v>
      </c>
      <c r="AG78" s="98"/>
      <c r="AH78" s="98"/>
      <c r="AI78" s="98"/>
      <c r="AJ78" s="98"/>
      <c r="AK78" s="98">
        <f t="shared" si="13"/>
        <v>30</v>
      </c>
      <c r="AL78" s="98"/>
      <c r="AM78" s="98">
        <f t="shared" si="14"/>
        <v>30</v>
      </c>
      <c r="AN78" s="101">
        <v>277</v>
      </c>
      <c r="AO78" s="116">
        <f t="shared" si="15"/>
        <v>8310</v>
      </c>
    </row>
    <row r="79" spans="1:41">
      <c r="A79" s="98">
        <v>19</v>
      </c>
      <c r="B79" s="99" t="s">
        <v>117</v>
      </c>
      <c r="C79" s="99"/>
      <c r="D79" s="100" t="s">
        <v>66</v>
      </c>
      <c r="E79" s="99" t="s">
        <v>79</v>
      </c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>
        <f t="shared" si="13"/>
        <v>0</v>
      </c>
      <c r="AL79" s="98"/>
      <c r="AM79" s="98">
        <f t="shared" si="14"/>
        <v>0</v>
      </c>
      <c r="AN79" s="101">
        <v>277</v>
      </c>
      <c r="AO79" s="116">
        <f t="shared" si="15"/>
        <v>0</v>
      </c>
    </row>
    <row r="80" spans="1:41">
      <c r="A80" s="98">
        <v>20</v>
      </c>
      <c r="B80" s="99" t="s">
        <v>118</v>
      </c>
      <c r="C80" s="99"/>
      <c r="D80" s="100" t="s">
        <v>186</v>
      </c>
      <c r="E80" s="99" t="s">
        <v>79</v>
      </c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>
        <f t="shared" si="13"/>
        <v>0</v>
      </c>
      <c r="AL80" s="98"/>
      <c r="AM80" s="98">
        <f t="shared" si="14"/>
        <v>0</v>
      </c>
      <c r="AN80" s="101">
        <v>277</v>
      </c>
      <c r="AO80" s="116">
        <f t="shared" si="15"/>
        <v>0</v>
      </c>
    </row>
    <row r="81" spans="1:41">
      <c r="A81" s="98"/>
      <c r="B81" s="100" t="s">
        <v>213</v>
      </c>
      <c r="C81" s="99"/>
      <c r="D81" s="100"/>
      <c r="E81" s="99"/>
      <c r="F81" s="105"/>
      <c r="G81" s="98"/>
      <c r="H81" s="105"/>
      <c r="I81" s="105"/>
      <c r="J81" s="105"/>
      <c r="K81" s="105"/>
      <c r="L81" s="105"/>
      <c r="M81" s="98"/>
      <c r="N81" s="98"/>
      <c r="O81" s="98"/>
      <c r="P81" s="98"/>
      <c r="Q81" s="105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105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101"/>
      <c r="AO81" s="116"/>
    </row>
    <row r="82" spans="1:41">
      <c r="A82" s="98">
        <v>21</v>
      </c>
      <c r="B82" s="99" t="s">
        <v>76</v>
      </c>
      <c r="C82" s="99"/>
      <c r="D82" s="100" t="s">
        <v>66</v>
      </c>
      <c r="E82" s="99" t="s">
        <v>79</v>
      </c>
      <c r="F82" s="105"/>
      <c r="G82" s="98"/>
      <c r="H82" s="105"/>
      <c r="I82" s="105"/>
      <c r="J82" s="105"/>
      <c r="K82" s="105"/>
      <c r="L82" s="105"/>
      <c r="M82" s="98"/>
      <c r="N82" s="98"/>
      <c r="O82" s="98"/>
      <c r="P82" s="98"/>
      <c r="Q82" s="105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105"/>
      <c r="AD82" s="98"/>
      <c r="AE82" s="98"/>
      <c r="AF82" s="98"/>
      <c r="AG82" s="98"/>
      <c r="AH82" s="98"/>
      <c r="AI82" s="98"/>
      <c r="AJ82" s="98"/>
      <c r="AK82" s="98">
        <f t="shared" ref="AK82:AK87" si="16">SUM(F82:AG82)</f>
        <v>0</v>
      </c>
      <c r="AL82" s="98"/>
      <c r="AM82" s="98">
        <f t="shared" ref="AM82:AM87" si="17">AK82+AL82</f>
        <v>0</v>
      </c>
      <c r="AN82" s="101">
        <v>277</v>
      </c>
      <c r="AO82" s="116">
        <f t="shared" ref="AO82:AO87" si="18">AN82*AM82</f>
        <v>0</v>
      </c>
    </row>
    <row r="83" spans="1:41">
      <c r="A83" s="98">
        <v>22</v>
      </c>
      <c r="B83" s="99" t="s">
        <v>70</v>
      </c>
      <c r="C83" s="99"/>
      <c r="D83" s="100" t="s">
        <v>187</v>
      </c>
      <c r="E83" s="99" t="s">
        <v>79</v>
      </c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>
        <f t="shared" si="16"/>
        <v>0</v>
      </c>
      <c r="AL83" s="98"/>
      <c r="AM83" s="98">
        <f t="shared" si="17"/>
        <v>0</v>
      </c>
      <c r="AN83" s="101">
        <v>277</v>
      </c>
      <c r="AO83" s="116">
        <f t="shared" si="18"/>
        <v>0</v>
      </c>
    </row>
    <row r="84" spans="1:41">
      <c r="A84" s="98">
        <v>23</v>
      </c>
      <c r="B84" s="99" t="s">
        <v>119</v>
      </c>
      <c r="C84" s="99"/>
      <c r="D84" s="100" t="s">
        <v>188</v>
      </c>
      <c r="E84" s="99" t="s">
        <v>79</v>
      </c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>
        <f t="shared" si="16"/>
        <v>0</v>
      </c>
      <c r="AL84" s="98"/>
      <c r="AM84" s="98">
        <f t="shared" si="17"/>
        <v>0</v>
      </c>
      <c r="AN84" s="101">
        <v>277</v>
      </c>
      <c r="AO84" s="116">
        <f t="shared" si="18"/>
        <v>0</v>
      </c>
    </row>
    <row r="85" spans="1:41">
      <c r="A85" s="98">
        <v>24</v>
      </c>
      <c r="B85" s="99" t="s">
        <v>67</v>
      </c>
      <c r="C85" s="99"/>
      <c r="D85" s="100" t="s">
        <v>179</v>
      </c>
      <c r="E85" s="99" t="s">
        <v>79</v>
      </c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105"/>
      <c r="AB85" s="105"/>
      <c r="AC85" s="98"/>
      <c r="AD85" s="98"/>
      <c r="AE85" s="98"/>
      <c r="AF85" s="98"/>
      <c r="AG85" s="98"/>
      <c r="AH85" s="98"/>
      <c r="AI85" s="98"/>
      <c r="AJ85" s="98"/>
      <c r="AK85" s="98">
        <f t="shared" si="16"/>
        <v>0</v>
      </c>
      <c r="AL85" s="98"/>
      <c r="AM85" s="98">
        <f t="shared" si="17"/>
        <v>0</v>
      </c>
      <c r="AN85" s="101">
        <v>277</v>
      </c>
      <c r="AO85" s="116">
        <f t="shared" si="18"/>
        <v>0</v>
      </c>
    </row>
    <row r="86" spans="1:41">
      <c r="A86" s="98">
        <v>25</v>
      </c>
      <c r="B86" s="99" t="s">
        <v>120</v>
      </c>
      <c r="C86" s="99"/>
      <c r="D86" s="100" t="s">
        <v>189</v>
      </c>
      <c r="E86" s="99" t="s">
        <v>79</v>
      </c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>
        <f t="shared" si="16"/>
        <v>0</v>
      </c>
      <c r="AL86" s="98"/>
      <c r="AM86" s="98">
        <f t="shared" si="17"/>
        <v>0</v>
      </c>
      <c r="AN86" s="101">
        <v>277</v>
      </c>
      <c r="AO86" s="116">
        <f t="shared" si="18"/>
        <v>0</v>
      </c>
    </row>
    <row r="87" spans="1:41">
      <c r="A87" s="98">
        <v>26</v>
      </c>
      <c r="B87" s="99" t="s">
        <v>153</v>
      </c>
      <c r="C87" s="99"/>
      <c r="D87" s="100" t="s">
        <v>188</v>
      </c>
      <c r="E87" s="99" t="s">
        <v>79</v>
      </c>
      <c r="F87" s="105"/>
      <c r="G87" s="105">
        <v>20</v>
      </c>
      <c r="H87" s="105">
        <v>5</v>
      </c>
      <c r="I87" s="105">
        <v>15</v>
      </c>
      <c r="J87" s="105">
        <v>15</v>
      </c>
      <c r="K87" s="105">
        <v>15</v>
      </c>
      <c r="L87" s="105">
        <v>15</v>
      </c>
      <c r="M87" s="105">
        <v>10</v>
      </c>
      <c r="N87" s="105"/>
      <c r="O87" s="98"/>
      <c r="P87" s="98"/>
      <c r="Q87" s="105">
        <v>5</v>
      </c>
      <c r="R87" s="105"/>
      <c r="S87" s="98"/>
      <c r="T87" s="98"/>
      <c r="U87" s="98"/>
      <c r="V87" s="105"/>
      <c r="W87" s="98"/>
      <c r="X87" s="98"/>
      <c r="Y87" s="105"/>
      <c r="Z87" s="105"/>
      <c r="AA87" s="105"/>
      <c r="AB87" s="105"/>
      <c r="AC87" s="105"/>
      <c r="AD87" s="105"/>
      <c r="AE87" s="105">
        <v>25</v>
      </c>
      <c r="AF87" s="105">
        <v>35</v>
      </c>
      <c r="AG87" s="105">
        <v>15</v>
      </c>
      <c r="AH87" s="105">
        <v>10</v>
      </c>
      <c r="AI87" s="105"/>
      <c r="AJ87" s="98"/>
      <c r="AK87" s="98">
        <f t="shared" si="16"/>
        <v>175</v>
      </c>
      <c r="AL87" s="98"/>
      <c r="AM87" s="98">
        <f t="shared" si="17"/>
        <v>175</v>
      </c>
      <c r="AN87" s="101">
        <v>277</v>
      </c>
      <c r="AO87" s="116">
        <f t="shared" si="18"/>
        <v>48475</v>
      </c>
    </row>
    <row r="88" spans="1:41">
      <c r="A88" s="98"/>
      <c r="B88" s="100" t="s">
        <v>228</v>
      </c>
      <c r="C88" s="99"/>
      <c r="D88" s="100"/>
      <c r="E88" s="100" t="s">
        <v>79</v>
      </c>
      <c r="F88" s="98"/>
      <c r="G88" s="105">
        <v>20</v>
      </c>
      <c r="H88" s="105">
        <v>10</v>
      </c>
      <c r="I88" s="105">
        <v>20</v>
      </c>
      <c r="J88" s="105">
        <v>15</v>
      </c>
      <c r="K88" s="105">
        <v>20</v>
      </c>
      <c r="L88" s="105">
        <v>20</v>
      </c>
      <c r="M88" s="105">
        <v>15</v>
      </c>
      <c r="N88" s="98"/>
      <c r="O88" s="98"/>
      <c r="P88" s="98"/>
      <c r="Q88" s="105">
        <v>5</v>
      </c>
      <c r="R88" s="98"/>
      <c r="S88" s="98"/>
      <c r="T88" s="98"/>
      <c r="U88" s="98"/>
      <c r="V88" s="105">
        <v>15</v>
      </c>
      <c r="W88" s="98"/>
      <c r="X88" s="105">
        <v>10</v>
      </c>
      <c r="Y88" s="105">
        <v>15</v>
      </c>
      <c r="Z88" s="98"/>
      <c r="AA88" s="98"/>
      <c r="AB88" s="105"/>
      <c r="AC88" s="105"/>
      <c r="AD88" s="105">
        <v>10</v>
      </c>
      <c r="AE88" s="105"/>
      <c r="AF88" s="105"/>
      <c r="AG88" s="105"/>
      <c r="AH88" s="105"/>
      <c r="AI88" s="105"/>
      <c r="AJ88" s="98"/>
      <c r="AK88" s="98"/>
      <c r="AL88" s="98"/>
      <c r="AM88" s="98"/>
      <c r="AN88" s="101"/>
      <c r="AO88" s="116"/>
    </row>
    <row r="89" spans="1:41">
      <c r="A89" s="98">
        <v>27</v>
      </c>
      <c r="B89" s="99" t="s">
        <v>121</v>
      </c>
      <c r="C89" s="99"/>
      <c r="D89" s="100" t="s">
        <v>190</v>
      </c>
      <c r="E89" s="99" t="s">
        <v>79</v>
      </c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>
        <f t="shared" ref="AK89:AK93" si="19">SUM(F89:AG89)</f>
        <v>0</v>
      </c>
      <c r="AL89" s="98"/>
      <c r="AM89" s="98">
        <f t="shared" ref="AM89:AM93" si="20">AK89+AL89</f>
        <v>0</v>
      </c>
      <c r="AN89" s="101">
        <v>277</v>
      </c>
      <c r="AO89" s="116">
        <f t="shared" ref="AO89:AO93" si="21">AN89*AM89</f>
        <v>0</v>
      </c>
    </row>
    <row r="90" spans="1:41">
      <c r="A90" s="98">
        <v>28</v>
      </c>
      <c r="B90" s="99" t="s">
        <v>154</v>
      </c>
      <c r="C90" s="99"/>
      <c r="D90" s="100" t="s">
        <v>191</v>
      </c>
      <c r="E90" s="99" t="s">
        <v>79</v>
      </c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>
        <f t="shared" si="19"/>
        <v>0</v>
      </c>
      <c r="AL90" s="98"/>
      <c r="AM90" s="98">
        <f t="shared" si="20"/>
        <v>0</v>
      </c>
      <c r="AN90" s="101">
        <v>277</v>
      </c>
      <c r="AO90" s="116">
        <f t="shared" si="21"/>
        <v>0</v>
      </c>
    </row>
    <row r="91" spans="1:41">
      <c r="A91" s="98">
        <v>29</v>
      </c>
      <c r="B91" s="99" t="s">
        <v>155</v>
      </c>
      <c r="C91" s="99"/>
      <c r="D91" s="100" t="s">
        <v>189</v>
      </c>
      <c r="E91" s="99" t="s">
        <v>79</v>
      </c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>
        <f t="shared" si="19"/>
        <v>0</v>
      </c>
      <c r="AL91" s="98"/>
      <c r="AM91" s="98">
        <f t="shared" si="20"/>
        <v>0</v>
      </c>
      <c r="AN91" s="101">
        <v>277</v>
      </c>
      <c r="AO91" s="116">
        <f t="shared" si="21"/>
        <v>0</v>
      </c>
    </row>
    <row r="92" spans="1:41">
      <c r="A92" s="98">
        <v>30</v>
      </c>
      <c r="B92" s="99" t="s">
        <v>156</v>
      </c>
      <c r="C92" s="99"/>
      <c r="D92" s="100" t="s">
        <v>64</v>
      </c>
      <c r="E92" s="99" t="s">
        <v>79</v>
      </c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>
        <f t="shared" si="19"/>
        <v>0</v>
      </c>
      <c r="AL92" s="98"/>
      <c r="AM92" s="98">
        <f t="shared" si="20"/>
        <v>0</v>
      </c>
      <c r="AN92" s="101">
        <v>277</v>
      </c>
      <c r="AO92" s="116">
        <f t="shared" si="21"/>
        <v>0</v>
      </c>
    </row>
    <row r="93" spans="1:41">
      <c r="A93" s="98">
        <v>31</v>
      </c>
      <c r="B93" s="99" t="s">
        <v>157</v>
      </c>
      <c r="C93" s="99"/>
      <c r="D93" s="100" t="s">
        <v>184</v>
      </c>
      <c r="E93" s="99" t="s">
        <v>79</v>
      </c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>
        <f t="shared" si="19"/>
        <v>0</v>
      </c>
      <c r="AL93" s="98"/>
      <c r="AM93" s="98">
        <f t="shared" si="20"/>
        <v>0</v>
      </c>
      <c r="AN93" s="101">
        <v>277</v>
      </c>
      <c r="AO93" s="116">
        <f t="shared" si="21"/>
        <v>0</v>
      </c>
    </row>
    <row r="94" spans="1:41">
      <c r="A94" s="105"/>
      <c r="B94" s="100" t="s">
        <v>214</v>
      </c>
      <c r="C94" s="99"/>
      <c r="D94" s="100"/>
      <c r="E94" s="99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105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101"/>
      <c r="AO94" s="116"/>
    </row>
    <row r="95" spans="1:41">
      <c r="A95" s="98">
        <v>32</v>
      </c>
      <c r="B95" s="99" t="s">
        <v>158</v>
      </c>
      <c r="C95" s="99"/>
      <c r="D95" s="100" t="s">
        <v>184</v>
      </c>
      <c r="E95" s="99" t="s">
        <v>79</v>
      </c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>
        <f t="shared" ref="AK95:AK96" si="22">SUM(F95:AG95)</f>
        <v>0</v>
      </c>
      <c r="AL95" s="98"/>
      <c r="AM95" s="98">
        <f t="shared" ref="AM95:AM96" si="23">AK95+AL95</f>
        <v>0</v>
      </c>
      <c r="AN95" s="101">
        <v>277</v>
      </c>
      <c r="AO95" s="116">
        <f t="shared" ref="AO95:AO96" si="24">AN95*AM95</f>
        <v>0</v>
      </c>
    </row>
    <row r="96" spans="1:41">
      <c r="A96" s="98">
        <v>33</v>
      </c>
      <c r="B96" s="99" t="s">
        <v>159</v>
      </c>
      <c r="C96" s="99"/>
      <c r="D96" s="100" t="s">
        <v>191</v>
      </c>
      <c r="E96" s="99" t="s">
        <v>79</v>
      </c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>
        <f t="shared" si="22"/>
        <v>0</v>
      </c>
      <c r="AL96" s="98"/>
      <c r="AM96" s="98">
        <f t="shared" si="23"/>
        <v>0</v>
      </c>
      <c r="AN96" s="101">
        <v>277</v>
      </c>
      <c r="AO96" s="116">
        <f t="shared" si="24"/>
        <v>0</v>
      </c>
    </row>
    <row r="97" spans="1:41">
      <c r="A97" s="98"/>
      <c r="B97" s="100" t="s">
        <v>215</v>
      </c>
      <c r="C97" s="99"/>
      <c r="D97" s="100"/>
      <c r="E97" s="100" t="s">
        <v>79</v>
      </c>
      <c r="F97" s="105"/>
      <c r="G97" s="98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98"/>
      <c r="Y97" s="98"/>
      <c r="Z97" s="98"/>
      <c r="AA97" s="98"/>
      <c r="AB97" s="105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101"/>
      <c r="AO97" s="116"/>
    </row>
    <row r="98" spans="1:41">
      <c r="A98" s="98"/>
      <c r="B98" s="100" t="s">
        <v>229</v>
      </c>
      <c r="C98" s="99"/>
      <c r="D98" s="100"/>
      <c r="E98" s="99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98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98"/>
      <c r="AL98" s="98"/>
      <c r="AM98" s="98"/>
      <c r="AN98" s="101"/>
      <c r="AO98" s="116"/>
    </row>
    <row r="99" spans="1:41">
      <c r="A99" s="98">
        <v>34</v>
      </c>
      <c r="B99" s="99" t="s">
        <v>122</v>
      </c>
      <c r="C99" s="99"/>
      <c r="D99" s="100" t="s">
        <v>29</v>
      </c>
      <c r="E99" s="99" t="s">
        <v>79</v>
      </c>
      <c r="F99" s="105"/>
      <c r="G99" s="105">
        <v>20</v>
      </c>
      <c r="H99" s="105">
        <v>10</v>
      </c>
      <c r="I99" s="105">
        <v>30</v>
      </c>
      <c r="J99" s="105">
        <v>25</v>
      </c>
      <c r="K99" s="105">
        <v>45</v>
      </c>
      <c r="L99" s="105">
        <v>30</v>
      </c>
      <c r="M99" s="105">
        <v>30</v>
      </c>
      <c r="N99" s="105">
        <v>30</v>
      </c>
      <c r="O99" s="105">
        <v>30</v>
      </c>
      <c r="P99" s="105">
        <v>30</v>
      </c>
      <c r="Q99" s="105">
        <v>20</v>
      </c>
      <c r="R99" s="105"/>
      <c r="S99" s="105">
        <v>20</v>
      </c>
      <c r="T99" s="105">
        <v>10</v>
      </c>
      <c r="U99" s="105">
        <v>30</v>
      </c>
      <c r="V99" s="105">
        <v>30</v>
      </c>
      <c r="W99" s="105">
        <v>20</v>
      </c>
      <c r="X99" s="105">
        <v>40</v>
      </c>
      <c r="Y99" s="105">
        <v>45</v>
      </c>
      <c r="Z99" s="105">
        <v>30</v>
      </c>
      <c r="AA99" s="105">
        <v>10</v>
      </c>
      <c r="AB99" s="105">
        <v>20</v>
      </c>
      <c r="AC99" s="105">
        <v>40</v>
      </c>
      <c r="AD99" s="105">
        <v>15</v>
      </c>
      <c r="AE99" s="105"/>
      <c r="AF99" s="105">
        <v>20</v>
      </c>
      <c r="AG99" s="105"/>
      <c r="AH99" s="105"/>
      <c r="AI99" s="105"/>
      <c r="AJ99" s="105"/>
      <c r="AK99" s="98"/>
      <c r="AL99" s="98"/>
      <c r="AM99" s="98">
        <f>AK99+AL99</f>
        <v>0</v>
      </c>
      <c r="AN99" s="101">
        <v>277</v>
      </c>
      <c r="AO99" s="116">
        <f>AN99*AM99</f>
        <v>0</v>
      </c>
    </row>
    <row r="100" spans="1:41">
      <c r="A100" s="98"/>
      <c r="B100" s="119" t="s">
        <v>230</v>
      </c>
      <c r="C100" s="99"/>
      <c r="D100" s="119" t="s">
        <v>182</v>
      </c>
      <c r="E100" s="100" t="s">
        <v>79</v>
      </c>
      <c r="F100" s="105"/>
      <c r="G100" s="105"/>
      <c r="H100" s="105"/>
      <c r="I100" s="105">
        <v>30</v>
      </c>
      <c r="J100" s="105">
        <v>50</v>
      </c>
      <c r="K100" s="105">
        <v>30</v>
      </c>
      <c r="L100" s="105">
        <v>35</v>
      </c>
      <c r="M100" s="105">
        <v>20</v>
      </c>
      <c r="N100" s="105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105"/>
      <c r="AC100" s="105"/>
      <c r="AD100" s="105">
        <v>20</v>
      </c>
      <c r="AE100" s="105">
        <v>45</v>
      </c>
      <c r="AF100" s="105">
        <v>35</v>
      </c>
      <c r="AG100" s="105">
        <v>20</v>
      </c>
      <c r="AH100" s="105">
        <v>20</v>
      </c>
      <c r="AI100" s="105"/>
      <c r="AJ100" s="105"/>
      <c r="AK100" s="98"/>
      <c r="AL100" s="98"/>
      <c r="AM100" s="98"/>
      <c r="AN100" s="101"/>
      <c r="AO100" s="116"/>
    </row>
    <row r="101" spans="1:41">
      <c r="A101" s="98"/>
      <c r="B101" s="119" t="s">
        <v>216</v>
      </c>
      <c r="C101" s="99"/>
      <c r="D101" s="119" t="s">
        <v>29</v>
      </c>
      <c r="E101" s="100" t="s">
        <v>79</v>
      </c>
      <c r="F101" s="105"/>
      <c r="G101" s="98"/>
      <c r="H101" s="98"/>
      <c r="I101" s="98"/>
      <c r="J101" s="98"/>
      <c r="K101" s="98"/>
      <c r="L101" s="105">
        <v>5</v>
      </c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105"/>
      <c r="AC101" s="105"/>
      <c r="AD101" s="105"/>
      <c r="AE101" s="98"/>
      <c r="AF101" s="105"/>
      <c r="AG101" s="98"/>
      <c r="AH101" s="105"/>
      <c r="AI101" s="98"/>
      <c r="AJ101" s="105"/>
      <c r="AK101" s="98"/>
      <c r="AL101" s="98"/>
      <c r="AM101" s="98"/>
      <c r="AN101" s="101"/>
      <c r="AO101" s="116"/>
    </row>
    <row r="102" spans="1:41">
      <c r="A102" s="98"/>
      <c r="B102" s="119" t="s">
        <v>231</v>
      </c>
      <c r="C102" s="99"/>
      <c r="D102" s="119"/>
      <c r="E102" s="100" t="s">
        <v>79</v>
      </c>
      <c r="F102" s="98"/>
      <c r="G102" s="98"/>
      <c r="H102" s="98"/>
      <c r="I102" s="98"/>
      <c r="J102" s="98"/>
      <c r="K102" s="98"/>
      <c r="L102" s="98"/>
      <c r="M102" s="98"/>
      <c r="N102" s="105">
        <v>3</v>
      </c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105">
        <v>3</v>
      </c>
      <c r="AD102" s="105"/>
      <c r="AE102" s="98"/>
      <c r="AF102" s="98"/>
      <c r="AG102" s="98"/>
      <c r="AH102" s="98"/>
      <c r="AI102" s="98"/>
      <c r="AJ102" s="98"/>
      <c r="AK102" s="98"/>
      <c r="AL102" s="98"/>
      <c r="AM102" s="98"/>
      <c r="AN102" s="101"/>
      <c r="AO102" s="116"/>
    </row>
    <row r="103" spans="1:41">
      <c r="A103" s="98">
        <v>35</v>
      </c>
      <c r="B103" s="118" t="s">
        <v>192</v>
      </c>
      <c r="C103" s="99"/>
      <c r="D103" s="119" t="s">
        <v>193</v>
      </c>
      <c r="E103" s="99" t="s">
        <v>79</v>
      </c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>
        <f t="shared" ref="AM103:AM107" si="25">AK103+AL103</f>
        <v>0</v>
      </c>
      <c r="AN103" s="101">
        <v>277</v>
      </c>
      <c r="AO103" s="116">
        <f t="shared" ref="AO103:AO107" si="26">AN103*AM103</f>
        <v>0</v>
      </c>
    </row>
    <row r="104" spans="1:41">
      <c r="A104" s="105">
        <v>36</v>
      </c>
      <c r="B104" s="118" t="s">
        <v>161</v>
      </c>
      <c r="C104" s="99"/>
      <c r="D104" s="119" t="s">
        <v>194</v>
      </c>
      <c r="E104" s="99" t="s">
        <v>79</v>
      </c>
      <c r="F104" s="98"/>
      <c r="G104" s="105"/>
      <c r="H104" s="98"/>
      <c r="I104" s="105">
        <v>5</v>
      </c>
      <c r="J104" s="105"/>
      <c r="K104" s="98"/>
      <c r="L104" s="150">
        <v>5</v>
      </c>
      <c r="M104" s="105">
        <v>10</v>
      </c>
      <c r="N104" s="105">
        <v>15</v>
      </c>
      <c r="O104" s="105">
        <v>15</v>
      </c>
      <c r="P104" s="105">
        <v>10</v>
      </c>
      <c r="Q104" s="98"/>
      <c r="R104" s="98"/>
      <c r="S104" s="98"/>
      <c r="T104" s="98"/>
      <c r="U104" s="98"/>
      <c r="V104" s="105"/>
      <c r="W104" s="98"/>
      <c r="X104" s="98"/>
      <c r="Y104" s="105"/>
      <c r="Z104" s="105"/>
      <c r="AA104" s="105"/>
      <c r="AB104" s="105"/>
      <c r="AC104" s="105"/>
      <c r="AD104" s="105"/>
      <c r="AE104" s="105"/>
      <c r="AF104" s="105">
        <v>10</v>
      </c>
      <c r="AG104" s="105"/>
      <c r="AH104" s="105"/>
      <c r="AI104" s="105"/>
      <c r="AJ104" s="105"/>
      <c r="AK104" s="98"/>
      <c r="AL104" s="98"/>
      <c r="AM104" s="98">
        <f t="shared" si="25"/>
        <v>0</v>
      </c>
      <c r="AN104" s="101">
        <v>277</v>
      </c>
      <c r="AO104" s="116">
        <f t="shared" si="26"/>
        <v>0</v>
      </c>
    </row>
    <row r="105" spans="1:41">
      <c r="A105" s="105">
        <v>37</v>
      </c>
      <c r="B105" s="100" t="s">
        <v>217</v>
      </c>
      <c r="C105" s="99"/>
      <c r="D105" s="100" t="s">
        <v>218</v>
      </c>
      <c r="E105" s="99" t="s">
        <v>79</v>
      </c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>
        <f t="shared" si="25"/>
        <v>0</v>
      </c>
      <c r="AN105" s="101">
        <v>277</v>
      </c>
      <c r="AO105" s="116">
        <f t="shared" si="26"/>
        <v>0</v>
      </c>
    </row>
    <row r="106" spans="1:41">
      <c r="A106" s="105">
        <v>38</v>
      </c>
      <c r="B106" s="99" t="s">
        <v>166</v>
      </c>
      <c r="C106" s="99"/>
      <c r="D106" s="100" t="s">
        <v>196</v>
      </c>
      <c r="E106" s="99" t="s">
        <v>79</v>
      </c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105"/>
      <c r="AB106" s="98"/>
      <c r="AC106" s="105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>
        <f t="shared" si="25"/>
        <v>0</v>
      </c>
      <c r="AN106" s="101">
        <v>277</v>
      </c>
      <c r="AO106" s="116">
        <f t="shared" si="26"/>
        <v>0</v>
      </c>
    </row>
    <row r="107" spans="1:41">
      <c r="A107" s="105">
        <v>39</v>
      </c>
      <c r="B107" s="99" t="s">
        <v>197</v>
      </c>
      <c r="C107" s="99"/>
      <c r="D107" s="100" t="s">
        <v>198</v>
      </c>
      <c r="E107" s="99" t="s">
        <v>79</v>
      </c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>
        <f t="shared" si="25"/>
        <v>0</v>
      </c>
      <c r="AN107" s="101">
        <v>277</v>
      </c>
      <c r="AO107" s="116">
        <f t="shared" si="26"/>
        <v>0</v>
      </c>
    </row>
    <row r="108" spans="1:41">
      <c r="A108" s="105">
        <v>40</v>
      </c>
      <c r="B108" s="100" t="s">
        <v>219</v>
      </c>
      <c r="C108" s="141">
        <v>46052</v>
      </c>
      <c r="D108" s="100" t="s">
        <v>220</v>
      </c>
      <c r="E108" s="99" t="s">
        <v>79</v>
      </c>
      <c r="F108" s="98"/>
      <c r="G108" s="98"/>
      <c r="H108" s="98"/>
      <c r="I108" s="98"/>
      <c r="J108" s="98"/>
      <c r="K108" s="105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101"/>
      <c r="AO108" s="116"/>
    </row>
    <row r="109" spans="1:41">
      <c r="A109" s="105">
        <v>41</v>
      </c>
      <c r="B109" s="100" t="s">
        <v>221</v>
      </c>
      <c r="C109" s="141">
        <v>46058</v>
      </c>
      <c r="D109" s="100" t="s">
        <v>220</v>
      </c>
      <c r="E109" s="99" t="s">
        <v>79</v>
      </c>
      <c r="F109" s="98"/>
      <c r="G109" s="98"/>
      <c r="H109" s="98"/>
      <c r="I109" s="98"/>
      <c r="J109" s="98"/>
      <c r="K109" s="105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101"/>
      <c r="AO109" s="116"/>
    </row>
    <row r="110" spans="1:41">
      <c r="A110" s="105">
        <v>42</v>
      </c>
      <c r="B110" s="100" t="s">
        <v>221</v>
      </c>
      <c r="C110" s="141">
        <v>46059</v>
      </c>
      <c r="D110" s="100" t="s">
        <v>220</v>
      </c>
      <c r="E110" s="99" t="s">
        <v>79</v>
      </c>
      <c r="F110" s="98"/>
      <c r="G110" s="98"/>
      <c r="H110" s="98"/>
      <c r="I110" s="98"/>
      <c r="J110" s="98"/>
      <c r="K110" s="105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101"/>
      <c r="AO110" s="116"/>
    </row>
    <row r="111" spans="1:41">
      <c r="A111" s="105">
        <v>43</v>
      </c>
      <c r="B111" s="100" t="s">
        <v>222</v>
      </c>
      <c r="C111" s="141">
        <v>46065</v>
      </c>
      <c r="D111" s="100" t="s">
        <v>220</v>
      </c>
      <c r="E111" s="99" t="s">
        <v>79</v>
      </c>
      <c r="F111" s="98"/>
      <c r="G111" s="98"/>
      <c r="H111" s="98"/>
      <c r="I111" s="98"/>
      <c r="J111" s="98"/>
      <c r="K111" s="105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101"/>
      <c r="AO111" s="116"/>
    </row>
    <row r="112" spans="1:41">
      <c r="A112" s="105">
        <v>44</v>
      </c>
      <c r="B112" s="100" t="s">
        <v>223</v>
      </c>
      <c r="C112" s="141">
        <v>46073</v>
      </c>
      <c r="D112" s="100" t="s">
        <v>220</v>
      </c>
      <c r="E112" s="99" t="s">
        <v>79</v>
      </c>
      <c r="F112" s="98"/>
      <c r="G112" s="105"/>
      <c r="H112" s="105"/>
      <c r="I112" s="98"/>
      <c r="J112" s="98"/>
      <c r="K112" s="105"/>
      <c r="L112" s="98"/>
      <c r="M112" s="98"/>
      <c r="N112" s="98"/>
      <c r="O112" s="105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105"/>
      <c r="AE112" s="98"/>
      <c r="AF112" s="98"/>
      <c r="AG112" s="98"/>
      <c r="AH112" s="98"/>
      <c r="AI112" s="98"/>
      <c r="AJ112" s="98"/>
      <c r="AK112" s="98"/>
      <c r="AL112" s="98"/>
      <c r="AM112" s="98"/>
      <c r="AN112" s="101"/>
      <c r="AO112" s="116"/>
    </row>
    <row r="113" spans="1:41">
      <c r="A113" s="105">
        <v>45</v>
      </c>
      <c r="B113" s="100" t="s">
        <v>224</v>
      </c>
      <c r="C113" s="141">
        <v>46370</v>
      </c>
      <c r="D113" s="100" t="s">
        <v>220</v>
      </c>
      <c r="E113" s="99" t="s">
        <v>79</v>
      </c>
      <c r="F113" s="98"/>
      <c r="G113" s="98"/>
      <c r="H113" s="98"/>
      <c r="I113" s="98"/>
      <c r="J113" s="98"/>
      <c r="K113" s="105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101"/>
      <c r="AO113" s="116"/>
    </row>
    <row r="114" spans="1:41">
      <c r="A114" s="105">
        <v>46</v>
      </c>
      <c r="B114" s="100" t="s">
        <v>224</v>
      </c>
      <c r="C114" s="141">
        <v>46386</v>
      </c>
      <c r="D114" s="100" t="s">
        <v>220</v>
      </c>
      <c r="E114" s="99" t="s">
        <v>79</v>
      </c>
      <c r="F114" s="98"/>
      <c r="G114" s="98"/>
      <c r="H114" s="98"/>
      <c r="I114" s="98"/>
      <c r="J114" s="98"/>
      <c r="K114" s="105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>
        <f t="shared" ref="AM114:AM115" si="27">AK114+AL114</f>
        <v>0</v>
      </c>
      <c r="AN114" s="101">
        <v>277</v>
      </c>
      <c r="AO114" s="116">
        <f>AN114*AM114</f>
        <v>0</v>
      </c>
    </row>
    <row r="115" spans="1:41">
      <c r="A115" s="142"/>
      <c r="B115" s="176" t="s">
        <v>27</v>
      </c>
      <c r="C115" s="177"/>
      <c r="D115" s="177"/>
      <c r="E115" s="178"/>
      <c r="F115" s="121">
        <f t="shared" ref="F115:AK115" si="28">SUM(F59:F114)</f>
        <v>20</v>
      </c>
      <c r="G115" s="121">
        <f t="shared" si="28"/>
        <v>105</v>
      </c>
      <c r="H115" s="121">
        <f t="shared" si="28"/>
        <v>25</v>
      </c>
      <c r="I115" s="121">
        <f t="shared" si="28"/>
        <v>145</v>
      </c>
      <c r="J115" s="121">
        <f t="shared" si="28"/>
        <v>155</v>
      </c>
      <c r="K115" s="121">
        <f t="shared" si="28"/>
        <v>155</v>
      </c>
      <c r="L115" s="121">
        <f t="shared" si="28"/>
        <v>160</v>
      </c>
      <c r="M115" s="121">
        <f t="shared" si="28"/>
        <v>100</v>
      </c>
      <c r="N115" s="121">
        <f t="shared" si="28"/>
        <v>58</v>
      </c>
      <c r="O115" s="121">
        <f t="shared" si="28"/>
        <v>60</v>
      </c>
      <c r="P115" s="121">
        <f t="shared" si="28"/>
        <v>50</v>
      </c>
      <c r="Q115" s="121">
        <f t="shared" si="28"/>
        <v>50</v>
      </c>
      <c r="R115" s="121">
        <f t="shared" si="28"/>
        <v>0</v>
      </c>
      <c r="S115" s="121">
        <f t="shared" si="28"/>
        <v>20</v>
      </c>
      <c r="T115" s="121">
        <f t="shared" si="28"/>
        <v>10</v>
      </c>
      <c r="U115" s="121">
        <f t="shared" si="28"/>
        <v>30</v>
      </c>
      <c r="V115" s="121">
        <f t="shared" si="28"/>
        <v>85</v>
      </c>
      <c r="W115" s="121">
        <f t="shared" si="28"/>
        <v>30</v>
      </c>
      <c r="X115" s="121">
        <f t="shared" si="28"/>
        <v>65</v>
      </c>
      <c r="Y115" s="121">
        <f t="shared" si="28"/>
        <v>95</v>
      </c>
      <c r="Z115" s="121">
        <f t="shared" si="28"/>
        <v>40</v>
      </c>
      <c r="AA115" s="121">
        <f t="shared" si="28"/>
        <v>10</v>
      </c>
      <c r="AB115" s="121">
        <f t="shared" si="28"/>
        <v>20</v>
      </c>
      <c r="AC115" s="121">
        <f t="shared" si="28"/>
        <v>43</v>
      </c>
      <c r="AD115" s="121">
        <f t="shared" si="28"/>
        <v>55</v>
      </c>
      <c r="AE115" s="121">
        <f t="shared" si="28"/>
        <v>100</v>
      </c>
      <c r="AF115" s="121">
        <f t="shared" si="28"/>
        <v>188</v>
      </c>
      <c r="AG115" s="121">
        <f t="shared" si="28"/>
        <v>50</v>
      </c>
      <c r="AH115" s="121">
        <f t="shared" si="28"/>
        <v>50</v>
      </c>
      <c r="AI115" s="121">
        <f t="shared" si="28"/>
        <v>0</v>
      </c>
      <c r="AJ115" s="121">
        <f t="shared" si="28"/>
        <v>0</v>
      </c>
      <c r="AK115" s="121">
        <f t="shared" si="28"/>
        <v>375</v>
      </c>
      <c r="AL115" s="120"/>
      <c r="AM115" s="108">
        <f t="shared" si="27"/>
        <v>375</v>
      </c>
      <c r="AN115" s="110"/>
      <c r="AO115" s="122">
        <f>SUM(AO59:AO114)</f>
        <v>103875</v>
      </c>
    </row>
    <row r="116" spans="1:41">
      <c r="A116" s="94"/>
      <c r="B116" s="124"/>
      <c r="C116" s="124"/>
      <c r="D116" s="124"/>
      <c r="E116" s="124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</row>
    <row r="117" spans="1:41">
      <c r="A117" s="94"/>
      <c r="B117" s="126" t="s">
        <v>31</v>
      </c>
      <c r="C117" s="124"/>
      <c r="D117" s="124"/>
      <c r="E117" s="124"/>
      <c r="F117" s="143">
        <v>266</v>
      </c>
      <c r="G117" s="143">
        <v>231</v>
      </c>
      <c r="H117" s="143">
        <v>86</v>
      </c>
      <c r="I117" s="143">
        <v>16</v>
      </c>
      <c r="J117" s="143">
        <v>511</v>
      </c>
      <c r="K117" s="143">
        <v>271</v>
      </c>
      <c r="L117" s="143">
        <v>451</v>
      </c>
      <c r="M117" s="143">
        <v>226</v>
      </c>
      <c r="N117" s="143">
        <v>266</v>
      </c>
      <c r="O117" s="143">
        <v>138</v>
      </c>
      <c r="P117" s="143">
        <v>418</v>
      </c>
      <c r="Q117" s="143">
        <v>293</v>
      </c>
      <c r="R117" s="143">
        <v>148</v>
      </c>
      <c r="S117" s="143">
        <v>118</v>
      </c>
      <c r="T117" s="143">
        <v>63</v>
      </c>
      <c r="U117" s="143">
        <v>233</v>
      </c>
      <c r="V117" s="143">
        <v>158</v>
      </c>
      <c r="W117" s="143">
        <v>38</v>
      </c>
      <c r="X117" s="143">
        <v>378</v>
      </c>
      <c r="Y117" s="143">
        <v>418</v>
      </c>
      <c r="Z117" s="143">
        <v>243</v>
      </c>
      <c r="AA117" s="127">
        <f>Z120</f>
        <v>88</v>
      </c>
      <c r="AB117" s="143">
        <v>48</v>
      </c>
      <c r="AC117" s="143">
        <v>358</v>
      </c>
      <c r="AD117" s="143">
        <v>245</v>
      </c>
      <c r="AE117" s="143">
        <v>275</v>
      </c>
      <c r="AF117" s="143">
        <v>490</v>
      </c>
      <c r="AG117" s="143">
        <v>232</v>
      </c>
      <c r="AH117" s="144">
        <v>132</v>
      </c>
      <c r="AI117" s="144">
        <f t="shared" ref="AI117:AJ117" si="29">AH120</f>
        <v>382</v>
      </c>
      <c r="AJ117" s="144">
        <f t="shared" si="29"/>
        <v>365</v>
      </c>
      <c r="AK117" s="125"/>
      <c r="AL117" s="125"/>
      <c r="AM117" s="125"/>
      <c r="AN117" s="125"/>
      <c r="AO117" s="125"/>
    </row>
    <row r="118" spans="1:41">
      <c r="A118" s="94"/>
      <c r="B118" s="126" t="s">
        <v>32</v>
      </c>
      <c r="C118" s="124"/>
      <c r="D118" s="124"/>
      <c r="E118" s="124"/>
      <c r="F118" s="129">
        <v>0</v>
      </c>
      <c r="G118" s="129">
        <v>0</v>
      </c>
      <c r="H118" s="129">
        <v>0</v>
      </c>
      <c r="I118" s="129">
        <v>700</v>
      </c>
      <c r="J118" s="129">
        <v>0</v>
      </c>
      <c r="K118" s="129">
        <v>400</v>
      </c>
      <c r="L118" s="129">
        <v>0</v>
      </c>
      <c r="M118" s="129">
        <v>250</v>
      </c>
      <c r="N118" s="129">
        <v>0</v>
      </c>
      <c r="O118" s="129">
        <v>400</v>
      </c>
      <c r="P118" s="129">
        <v>0</v>
      </c>
      <c r="Q118" s="145">
        <v>0</v>
      </c>
      <c r="R118" s="129">
        <v>0</v>
      </c>
      <c r="S118" s="129">
        <v>0</v>
      </c>
      <c r="T118" s="129">
        <v>200</v>
      </c>
      <c r="U118" s="129">
        <v>0</v>
      </c>
      <c r="V118" s="129">
        <v>0</v>
      </c>
      <c r="W118" s="129">
        <v>400</v>
      </c>
      <c r="X118" s="129">
        <v>200</v>
      </c>
      <c r="Y118" s="129">
        <v>0</v>
      </c>
      <c r="Z118" s="129">
        <v>0</v>
      </c>
      <c r="AA118" s="129">
        <v>0</v>
      </c>
      <c r="AB118" s="129">
        <v>400</v>
      </c>
      <c r="AC118" s="129">
        <v>0</v>
      </c>
      <c r="AD118" s="129">
        <v>200</v>
      </c>
      <c r="AE118" s="129">
        <v>400</v>
      </c>
      <c r="AF118" s="129">
        <v>0</v>
      </c>
      <c r="AG118" s="129">
        <v>0</v>
      </c>
      <c r="AH118" s="146">
        <v>400</v>
      </c>
      <c r="AI118" s="146">
        <v>0</v>
      </c>
      <c r="AJ118" s="146">
        <v>0</v>
      </c>
      <c r="AK118" s="125"/>
      <c r="AL118" s="125"/>
      <c r="AM118" s="125"/>
      <c r="AN118" s="125"/>
      <c r="AO118" s="125"/>
    </row>
    <row r="119" spans="1:41" ht="15.75">
      <c r="A119" s="94"/>
      <c r="B119" s="125" t="s">
        <v>33</v>
      </c>
      <c r="C119" s="88"/>
      <c r="D119" s="88"/>
      <c r="E119" s="125"/>
      <c r="F119" s="94">
        <f t="shared" ref="F119:AM119" si="30">F115+F57</f>
        <v>35</v>
      </c>
      <c r="G119" s="94">
        <f t="shared" si="30"/>
        <v>145</v>
      </c>
      <c r="H119" s="94">
        <f t="shared" si="30"/>
        <v>70</v>
      </c>
      <c r="I119" s="94">
        <f t="shared" si="30"/>
        <v>205</v>
      </c>
      <c r="J119" s="94">
        <f t="shared" si="30"/>
        <v>240</v>
      </c>
      <c r="K119" s="94">
        <f t="shared" si="30"/>
        <v>220</v>
      </c>
      <c r="L119" s="94">
        <f t="shared" si="30"/>
        <v>225</v>
      </c>
      <c r="M119" s="94">
        <f t="shared" si="30"/>
        <v>210</v>
      </c>
      <c r="N119" s="94">
        <f t="shared" si="30"/>
        <v>128</v>
      </c>
      <c r="O119" s="94">
        <f t="shared" si="30"/>
        <v>120</v>
      </c>
      <c r="P119" s="94">
        <f t="shared" si="30"/>
        <v>125</v>
      </c>
      <c r="Q119" s="94">
        <f t="shared" si="30"/>
        <v>145</v>
      </c>
      <c r="R119" s="94">
        <f t="shared" si="30"/>
        <v>30</v>
      </c>
      <c r="S119" s="94">
        <f t="shared" si="30"/>
        <v>55</v>
      </c>
      <c r="T119" s="94">
        <f t="shared" si="30"/>
        <v>30</v>
      </c>
      <c r="U119" s="94">
        <f t="shared" si="30"/>
        <v>75</v>
      </c>
      <c r="V119" s="94">
        <f t="shared" si="30"/>
        <v>120</v>
      </c>
      <c r="W119" s="94">
        <f t="shared" si="30"/>
        <v>60</v>
      </c>
      <c r="X119" s="94">
        <f t="shared" si="30"/>
        <v>160</v>
      </c>
      <c r="Y119" s="94">
        <f t="shared" si="30"/>
        <v>175</v>
      </c>
      <c r="Z119" s="94">
        <f t="shared" si="30"/>
        <v>155</v>
      </c>
      <c r="AA119" s="94">
        <f t="shared" si="30"/>
        <v>40</v>
      </c>
      <c r="AB119" s="94">
        <f t="shared" si="30"/>
        <v>90</v>
      </c>
      <c r="AC119" s="94">
        <f t="shared" si="30"/>
        <v>113</v>
      </c>
      <c r="AD119" s="94">
        <f t="shared" si="30"/>
        <v>170</v>
      </c>
      <c r="AE119" s="94">
        <f t="shared" si="30"/>
        <v>185</v>
      </c>
      <c r="AF119" s="94">
        <f t="shared" si="30"/>
        <v>258</v>
      </c>
      <c r="AG119" s="94">
        <f t="shared" si="30"/>
        <v>100</v>
      </c>
      <c r="AH119" s="94">
        <f t="shared" si="30"/>
        <v>150</v>
      </c>
      <c r="AI119" s="94">
        <f t="shared" si="30"/>
        <v>17</v>
      </c>
      <c r="AJ119" s="94">
        <f t="shared" si="30"/>
        <v>10</v>
      </c>
      <c r="AK119" s="94">
        <f t="shared" si="30"/>
        <v>1825</v>
      </c>
      <c r="AL119" s="94">
        <f t="shared" si="30"/>
        <v>0</v>
      </c>
      <c r="AM119" s="94">
        <f t="shared" si="30"/>
        <v>1825</v>
      </c>
      <c r="AN119" s="94"/>
      <c r="AO119" s="130">
        <f>AO115+AO57</f>
        <v>505525</v>
      </c>
    </row>
    <row r="120" spans="1:41" ht="15.75">
      <c r="A120" s="94"/>
      <c r="B120" s="125" t="s">
        <v>34</v>
      </c>
      <c r="C120" s="88"/>
      <c r="D120" s="88"/>
      <c r="E120" s="125"/>
      <c r="F120" s="94">
        <f t="shared" ref="F120:AJ120" si="31">F117+F118-F119</f>
        <v>231</v>
      </c>
      <c r="G120" s="94">
        <f t="shared" si="31"/>
        <v>86</v>
      </c>
      <c r="H120" s="94">
        <f t="shared" si="31"/>
        <v>16</v>
      </c>
      <c r="I120" s="94">
        <f t="shared" si="31"/>
        <v>511</v>
      </c>
      <c r="J120" s="94">
        <f t="shared" si="31"/>
        <v>271</v>
      </c>
      <c r="K120" s="94">
        <f t="shared" si="31"/>
        <v>451</v>
      </c>
      <c r="L120" s="94">
        <f t="shared" si="31"/>
        <v>226</v>
      </c>
      <c r="M120" s="94">
        <f t="shared" si="31"/>
        <v>266</v>
      </c>
      <c r="N120" s="94">
        <f t="shared" si="31"/>
        <v>138</v>
      </c>
      <c r="O120" s="94">
        <f t="shared" si="31"/>
        <v>418</v>
      </c>
      <c r="P120" s="94">
        <f t="shared" si="31"/>
        <v>293</v>
      </c>
      <c r="Q120" s="94">
        <f t="shared" si="31"/>
        <v>148</v>
      </c>
      <c r="R120" s="94">
        <f t="shared" si="31"/>
        <v>118</v>
      </c>
      <c r="S120" s="94">
        <f t="shared" si="31"/>
        <v>63</v>
      </c>
      <c r="T120" s="94">
        <f t="shared" si="31"/>
        <v>233</v>
      </c>
      <c r="U120" s="94">
        <f t="shared" si="31"/>
        <v>158</v>
      </c>
      <c r="V120" s="94">
        <f t="shared" si="31"/>
        <v>38</v>
      </c>
      <c r="W120" s="94">
        <f t="shared" si="31"/>
        <v>378</v>
      </c>
      <c r="X120" s="94">
        <f t="shared" si="31"/>
        <v>418</v>
      </c>
      <c r="Y120" s="94">
        <f t="shared" si="31"/>
        <v>243</v>
      </c>
      <c r="Z120" s="94">
        <f t="shared" si="31"/>
        <v>88</v>
      </c>
      <c r="AA120" s="94">
        <f t="shared" si="31"/>
        <v>48</v>
      </c>
      <c r="AB120" s="94">
        <f t="shared" si="31"/>
        <v>358</v>
      </c>
      <c r="AC120" s="94">
        <f t="shared" si="31"/>
        <v>245</v>
      </c>
      <c r="AD120" s="94">
        <f t="shared" si="31"/>
        <v>275</v>
      </c>
      <c r="AE120" s="94">
        <f t="shared" si="31"/>
        <v>490</v>
      </c>
      <c r="AF120" s="94">
        <f t="shared" si="31"/>
        <v>232</v>
      </c>
      <c r="AG120" s="94">
        <f t="shared" si="31"/>
        <v>132</v>
      </c>
      <c r="AH120" s="94">
        <f t="shared" si="31"/>
        <v>382</v>
      </c>
      <c r="AI120" s="94">
        <f t="shared" si="31"/>
        <v>365</v>
      </c>
      <c r="AJ120" s="94">
        <f t="shared" si="31"/>
        <v>355</v>
      </c>
      <c r="AK120" s="125"/>
      <c r="AL120" s="125"/>
      <c r="AM120" s="94"/>
      <c r="AN120" s="103"/>
      <c r="AO120" s="125"/>
    </row>
  </sheetData>
  <mergeCells count="13">
    <mergeCell ref="B115:E115"/>
    <mergeCell ref="Z2:AG2"/>
    <mergeCell ref="A5:A6"/>
    <mergeCell ref="B5:B6"/>
    <mergeCell ref="C5:C6"/>
    <mergeCell ref="D5:D6"/>
    <mergeCell ref="E5:E6"/>
    <mergeCell ref="F5:AG5"/>
    <mergeCell ref="AK5:AK6"/>
    <mergeCell ref="AL5:AL6"/>
    <mergeCell ref="AM5:AM6"/>
    <mergeCell ref="AN5:AN6"/>
    <mergeCell ref="AO5:AO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APRIL</vt:lpstr>
      <vt:lpstr>MAY</vt:lpstr>
      <vt:lpstr>June 2025</vt:lpstr>
      <vt:lpstr>July 2025</vt:lpstr>
      <vt:lpstr>August 2025</vt:lpstr>
      <vt:lpstr>September 2025</vt:lpstr>
      <vt:lpstr>October 2025</vt:lpstr>
      <vt:lpstr>December 2025</vt:lpstr>
      <vt:lpstr>November 2025</vt:lpstr>
      <vt:lpstr> January 2026</vt:lpstr>
      <vt:lpstr>Fbruary 2026</vt:lpstr>
      <vt:lpstr>March-26</vt:lpstr>
      <vt:lpstr>APRAIL-2026</vt:lpstr>
      <vt:lpstr>MAY-2026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Dilan Michael</cp:lastModifiedBy>
  <dcterms:modified xsi:type="dcterms:W3CDTF">2026-06-17T05:10:15Z</dcterms:modified>
</cp:coreProperties>
</file>