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P\Downloads\E Package\WhatsApp Unknown 2026-08-04 at 08.19.20\"/>
    </mc:Choice>
  </mc:AlternateContent>
  <xr:revisionPtr revIDLastSave="0" documentId="8_{B272A8A9-6A71-46C9-9BED-66FA89C41123}" xr6:coauthVersionLast="47" xr6:coauthVersionMax="47" xr10:uidLastSave="{00000000-0000-0000-0000-000000000000}"/>
  <bookViews>
    <workbookView xWindow="5760" yWindow="3360" windowWidth="17280" windowHeight="8880" activeTab="1" xr2:uid="{5B4D5B41-E691-4BF0-A13E-5BD8199A2157}"/>
  </bookViews>
  <sheets>
    <sheet name="Read Me" sheetId="5" r:id="rId1"/>
    <sheet name="Fuel Log" sheetId="1" r:id="rId2"/>
    <sheet name="Daily Summary" sheetId="2" r:id="rId3"/>
    <sheet name="By Vehicle" sheetId="3" r:id="rId4"/>
    <sheet name="Page Index" sheetId="4" r:id="rId5"/>
  </sheets>
  <definedNames>
    <definedName name="_xlnm._FilterDatabase" localSheetId="3" hidden="1">'By Vehicle'!$A$1:$L$18</definedName>
    <definedName name="_xlnm._FilterDatabase" localSheetId="2" hidden="1">'Daily Summary'!$A$1:$K$29</definedName>
    <definedName name="_xlnm._FilterDatabase" localSheetId="1" hidden="1">'Fuel Log'!$A$1:$S$114</definedName>
    <definedName name="_xlnm._FilterDatabase" localSheetId="4" hidden="1">'Page Index'!$A$1:$L$29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9" i="3" l="1"/>
  <c r="B19" i="3"/>
  <c r="F30" i="2"/>
  <c r="D30" i="2"/>
</calcChain>
</file>

<file path=xl/sharedStrings.xml><?xml version="1.0" encoding="utf-8"?>
<sst xmlns="http://schemas.openxmlformats.org/spreadsheetml/2006/main" count="1477" uniqueCount="423">
  <si>
    <t>Date</t>
  </si>
  <si>
    <t>Day</t>
  </si>
  <si>
    <t>Row No</t>
  </si>
  <si>
    <t>Vehicle No</t>
  </si>
  <si>
    <t>Vehicle No (as written)</t>
  </si>
  <si>
    <t>Diesel Qty (L)</t>
  </si>
  <si>
    <t>Current Meter</t>
  </si>
  <si>
    <t>Previous Meter</t>
  </si>
  <si>
    <t>Consumption</t>
  </si>
  <si>
    <t>Petrol</t>
  </si>
  <si>
    <t>Kerosene</t>
  </si>
  <si>
    <t>Lubricants</t>
  </si>
  <si>
    <t>Driver / Operator</t>
  </si>
  <si>
    <t>Officer</t>
  </si>
  <si>
    <t>Remark</t>
  </si>
  <si>
    <t>Read Confidence</t>
  </si>
  <si>
    <t>Fields Hard to Read</t>
  </si>
  <si>
    <t>Two-Pass Cross-Check</t>
  </si>
  <si>
    <t>Source Photo</t>
  </si>
  <si>
    <t>Wed</t>
  </si>
  <si>
    <t>HEX-42</t>
  </si>
  <si>
    <t>?</t>
  </si>
  <si>
    <t>Shaman</t>
  </si>
  <si>
    <t>Darshana</t>
  </si>
  <si>
    <t>low</t>
  </si>
  <si>
    <t>vehicle_no (last char could be P -&gt; 'HEX-4P'); diesel_qty (10 vs 40); current_meter (8366 / 9366 / 5366); previous_meter (clerk wrote a '?' mark, no number)</t>
  </si>
  <si>
    <t>differs: qty p1=10</t>
  </si>
  <si>
    <t>img_14.17.52</t>
  </si>
  <si>
    <t>SL-24</t>
  </si>
  <si>
    <t>Mathyce</t>
  </si>
  <si>
    <t>medium</t>
  </si>
  <si>
    <t>current_meter (leading digit 5 vs 3 vs 8; trailing '.3' may be a separate decimal); driver_name (Mathyce / Mathree / Mathew); previous_meter (clerk wrote a '?' mark)</t>
  </si>
  <si>
    <t>both passes agree</t>
  </si>
  <si>
    <t>GE-105</t>
  </si>
  <si>
    <t>GF-105</t>
  </si>
  <si>
    <t>Mr. Sadaruwan</t>
  </si>
  <si>
    <t>vehicle_no (GF-105 vs GE-105); current_meter (11720 vs 41720, written with a gap as '11 720'); previous_meter (clerk wrote a '?' mark)</t>
  </si>
  <si>
    <t>Thu</t>
  </si>
  <si>
    <t>LD-1709</t>
  </si>
  <si>
    <t>Amila</t>
  </si>
  <si>
    <t>vehicle_no (prefix reads as two strokes 'L'+loop; consistent with LD, digits 1709 clear so LD-1709 over LD-1572); current_meter (leading digit could be a stray tick, 106010 vs 06010); previous_meter is a literal handwritten '?' on the page, not illegibility</t>
  </si>
  <si>
    <t>differs: plate p1=?-1709</t>
  </si>
  <si>
    <t>img_14.17.54</t>
  </si>
  <si>
    <t>SR-18</t>
  </si>
  <si>
    <t>Mathees</t>
  </si>
  <si>
    <t>diesel_qty: the glyph reads visually like '80L' at this resolution, but the page's own Issued By total of 150 forces 20 (50+20+15+15+50=150), so reported as 20; current_meter first digit 2 vs 7 (2943 / 7943); vehicle_no S/5 and R clear-ish, 18 clear, could conceivably be SL-18 but SR-18 is in fleet; driver name partly illegible</t>
  </si>
  <si>
    <t>vehicle_no E vs F (GE-105 / GF-105); current_meter last-but-one digit 2 vs 8 (1728 / 1788); driver honorific Mr. vs Ms.</t>
  </si>
  <si>
    <t>LL-0920</t>
  </si>
  <si>
    <t>-</t>
  </si>
  <si>
    <t>Jayasundara</t>
  </si>
  <si>
    <t>the single dash sits in the same column as the '?' marks of the other rows (Previous Meter), so Current Meter recorded as empty; if the dash is actually one column left it belongs to current_meter instead</t>
  </si>
  <si>
    <t>differs: cur p1=-</t>
  </si>
  <si>
    <t>Shanan</t>
  </si>
  <si>
    <t>vehicle_no has an extra leading stroke before HEX (looks like '7HEx-42'), read as HEX-42; current_meter leading digit 5 vs 8 (5369.1 / 8369.1); diesel_qty written '50' possibly with a trailing 0/L flourish ('500' unlikely - would break the 150 total); driver name Shanan / Shanon</t>
  </si>
  <si>
    <t>differs: cur p1=?369.1</t>
  </si>
  <si>
    <t>Fri</t>
  </si>
  <si>
    <t>Jaya sundera</t>
  </si>
  <si>
    <t>diesel_qty (2nd digit 5 vs 7); current_meter/previous_meter are short dash-like strokes, could equally be empty cells crossed by the clerk's stroke</t>
  </si>
  <si>
    <t>img_14.17.56</t>
  </si>
  <si>
    <t>Mr: Ajantha</t>
  </si>
  <si>
    <t>diesel_qty (looks like 13, forced to 15 by the page's own Issued By = 40); vehicle_no (GF vs GE); current_meter last digit illegible; previous_meter illegible</t>
  </si>
  <si>
    <t>Sat</t>
  </si>
  <si>
    <t>Mr: Sadaruwan</t>
  </si>
  <si>
    <t>35L</t>
  </si>
  <si>
    <t>vehicle_no (reads GF-106 / GE-106 as written; second letter F vs E and last digit 6 vs 5 both ambiguous), current_meter (decimal point position), previous_meter (illegible mark), remark (35L vs 15L vs 3SL)</t>
  </si>
  <si>
    <t>img_14.17.57</t>
  </si>
  <si>
    <t>ZA-7810</t>
  </si>
  <si>
    <t>Manjula</t>
  </si>
  <si>
    <t>high</t>
  </si>
  <si>
    <t>a bracketed annotation that reads "(3L)" or "(31)" sits on this row straddling the Consumption/Petrol boundary; not transcribed into a column</t>
  </si>
  <si>
    <t>GD-7104</t>
  </si>
  <si>
    <t>R. Wijeseena</t>
  </si>
  <si>
    <t>vehicle_no (last char 4 vs 1), current_meter (final digit 7 vs 1, and 226017 vs 22601?), previous_meter (illegible mark), driver_name (Wijeseena / Wijesena / Wijesooriya)</t>
  </si>
  <si>
    <t>driver_name (written more like "Jayosundera"/"Jayosuvadera"; read as Jayasundara)</t>
  </si>
  <si>
    <t>Sun</t>
  </si>
  <si>
    <t>LD-1572</t>
  </si>
  <si>
    <t>Wasantha</t>
  </si>
  <si>
    <t>current_meter (could be 93/66 or 93168); previous_meter is an illegible ink squiggle; remark reads '(5o)' - most likely (50)</t>
  </si>
  <si>
    <t>img_14.17.59</t>
  </si>
  <si>
    <t>Wijesena</t>
  </si>
  <si>
    <t>current_meter 226017 vs 220017 (3rd digit 6/0); consumption cell holds an ink mark shaped like 'SIX'/'5IX' with a stroke through it - not a number I can resolve; previous_meter illegible</t>
  </si>
  <si>
    <t>current_meter 106058 vs 100058 (3rd digit 6/0); row number glyph looks like '05' but sequence requires 03; previous_meter illegible</t>
  </si>
  <si>
    <t>current_meter cell is empty (no reading written); a short dash '-' sits in the previous-meter column instead of the squiggle the other rows have</t>
  </si>
  <si>
    <t>RS-0483</t>
  </si>
  <si>
    <t>plate last digit 3/9 (RS-0483 vs RS-0489); current_meter 3794.5 vs 3724.5 (3rd digit 9/2); previous_meter illegible</t>
  </si>
  <si>
    <t>Mr. Ajantha</t>
  </si>
  <si>
    <t>2nd letter E/F - GE-105 vs GF-105, both are in the known fleet; last digit 5/8; current_meter 1174.7 (written with a stray dot after the 1); previous_meter illegible</t>
  </si>
  <si>
    <t>Mathree</t>
  </si>
  <si>
    <t>driver name may be 'Maithree'; previous_meter illegible</t>
  </si>
  <si>
    <t>Chanaka</t>
  </si>
  <si>
    <t>row-number glyph looks like '09' but sequence requires 08; current_meter has a trailing dot, may be 2944.x with the decimal lost; previous_meter illegible</t>
  </si>
  <si>
    <t>MG-18</t>
  </si>
  <si>
    <t>60L</t>
  </si>
  <si>
    <t>Madinda</t>
  </si>
  <si>
    <t>(60L)</t>
  </si>
  <si>
    <t>diesel_qty 60L vs 50L - I read a closed-top 6, DIFFERS FROM PASS 1; plate MG-18 vs MG-16; current_meter 834.1 vs 8341; the '60L' in the consumption column and the '(60L)' in the remark column look like a correction note for this row</t>
  </si>
  <si>
    <t>differs: qty p1=50</t>
  </si>
  <si>
    <t>50L</t>
  </si>
  <si>
    <t>plate is badly formed - reads like 'HFxL 12'; HEX-42 is the best fleet match but HEX-40 cannot be excluded; diesel_qty 80L vs 30L (I read 8); consumption-column scribble reads '50L' or '60L', struck through by the cancellation line; driver may be 'Shamon'</t>
  </si>
  <si>
    <t>Mon</t>
  </si>
  <si>
    <t>J. Nasundara</t>
  </si>
  <si>
    <t>driver_name (2nd word starts with an M/N-shaped letter; could be 'Masundara' or 'Nasundara'); consumption (a small diagonal tick/arrow mark in the cell, not a number); vehicle_no digit after the dash could be 0 or 6, read as 0920 per known fleet</t>
  </si>
  <si>
    <t>img_14.18.02</t>
  </si>
  <si>
    <t>ZB-1496</t>
  </si>
  <si>
    <t>Chathulaka?</t>
  </si>
  <si>
    <t>driver_name (cursive, only the leading 'Ch' is certain); consumption (small diagonal tick/arrow mark, no digits); final digit of previous_meter (21632, last char slightly smudged)</t>
  </si>
  <si>
    <t>Tue</t>
  </si>
  <si>
    <t>vehicle_no: the plate is written cursively and could be read as '11-0920'; the two leading strokes are consistent with the fleet plate LL-0920. current_meter/previous_meter: both cells hold only pen strokes - a short slash/dash in Current Meter and a longer dash in Previous Meter - recorded literally as '-'. consumption: two faint arrow-like pencil marks sit in the Consumption column beside this row; not a legible number, so recorded null. driver_name: 'Jayasundara' with an overwritten/struck ending.</t>
  </si>
  <si>
    <t>img_14.18.04</t>
  </si>
  <si>
    <t>[Sinhala]</t>
  </si>
  <si>
    <t>vehicle_no: the final character is an open-top figure that reads as 'A' at this magnification ('SL-2A'); SL-24 from the known fleet is the consistent reading. diesel_qty: written '20.' with a trailing dot, taken as 20. previous_meter: last digit 3766.6 vs 3766.5 not fully separable; 6 is the better fit. consumption: cell left blank even though 3776.0-3766.6 = 9.4.</t>
  </si>
  <si>
    <t>driver_name (cursive, read as 'Jayasundara' from visible J-a-y-...-sundara; medium confidence). consumption cell has a faint stray pen mark but no legible figure.</t>
  </si>
  <si>
    <t>img_14.18.05</t>
  </si>
  <si>
    <t>current_meter: third digit is 8 or 3 -&gt; read 3780.3 (3730.3 would fall below the previous meter 3776.0, so 8 is the only consistent reading); consumption cell holds a small diagonal pen stroke, not a legible number (4.3 would be the arithmetic value but it is NOT written)</t>
  </si>
  <si>
    <t>img_14.18.08</t>
  </si>
  <si>
    <t>LM-7949</t>
  </si>
  <si>
    <t>Ravindra</t>
  </si>
  <si>
    <t>previous_meter: the cell reads like '143$495' - a digit (5) appears overwritten/struck by a 4, so I read 143495; a literal 7-digit '1435495' is not plausible next to a 6-digit current meter. current_meter: last two digits could be 66 or 65/86 -&gt; read 143566. consumption cell has only a pen stroke, no digits</t>
  </si>
  <si>
    <t>none â€” plate, qty and the two dash meter cells are all clearly legible</t>
  </si>
  <si>
    <t>img_14.18.10</t>
  </si>
  <si>
    <t>current_meter (3rd digit 6 vs 8: 3763.0 vs 3783.0); consumption cell (small diagonal pen stroke, no legible digits)</t>
  </si>
  <si>
    <t>vehicle_no (last two digits could read 0463 instead of 0483); consumption (the mark may be part of the clerk's cancellation stroke rather than a dash)</t>
  </si>
  <si>
    <t>img_14.18.12</t>
  </si>
  <si>
    <t>current_meter: I read 3787, but that is LOWER than the previous meter 3788, so the 3rd/4th digits are suspect (3797 / 3798 / 3783 all possible at this resolution). previous_meter last two digits read as '88' but could be '8P/89'.</t>
  </si>
  <si>
    <t>differs: cur p1=3793</t>
  </si>
  <si>
    <t>img_14.18.14</t>
  </si>
  <si>
    <t>VK-12</t>
  </si>
  <si>
    <t>current_meter and previous_meter both appear to read 4081.6 (identical). One of them is probably a different hundreds/tens digit (e.g. 4081.6 vs 4051.6 / 4181.6) but I cannot separate them at this magnification. Leading '4' could be a '9'-like glyph; '0' vs 'o' loop is clear enough.</t>
  </si>
  <si>
    <t>M. Sadaruwan</t>
  </si>
  <si>
    <t>vehicle_no: written 'Ge-105' â€” reads as GE-105 rather than GF-105 (the second letter has a clear round/closed 'e' form, no F crossbar). current_meter 1177.6 could be 1117.6 or 1477.6. previous_meter is a dash placed in the Previous Meter column on this line. driver_name 'Sadaruwan' spelling uncertain (could be Sadaruwan/Sadaruwana).</t>
  </si>
  <si>
    <t>no: the handwritten row number on this 4th physical line looks like '05', not '04' â€” reported as written. current_meter: a bare dash sits just below the 1177.6, apparently in the Current Meter column of this line; its column assignment (current vs previous) is not certain. diesel_qty written '10.' with a trailing dot.</t>
  </si>
  <si>
    <t>Meter no</t>
  </si>
  <si>
    <t>? (large looped mark reading like '0 360')</t>
  </si>
  <si>
    <t>vehicle_no (3rd digit 8 vs 6 -&gt; RS-0483 / RS-0463; I read 8, matches fleet); driver_name illegible</t>
  </si>
  <si>
    <t>img_14.18.16</t>
  </si>
  <si>
    <t>M?-15108</t>
  </si>
  <si>
    <t>previous_meter leading digit 8 vs 6 (834.1 / 634.1); vehicle_no MG-18 vs MG-16; driver_name partly illegible</t>
  </si>
  <si>
    <t>driver_name (looks like 'Chanak'/'Chanaka'); current_meter last digit 8 vs 6</t>
  </si>
  <si>
    <t>meter cells appear blank (row 06 has explicit dashes, this one does not)</t>
  </si>
  <si>
    <t>ZA-6395</t>
  </si>
  <si>
    <t>ZA-6373</t>
  </si>
  <si>
    <t>Ch?????</t>
  </si>
  <si>
    <t>vehicle_no: I read ZA-6373, not in known fleet (alternatives ZA-8373 / ZA-6395); driver_name illegible beyond leading 'Ch'</t>
  </si>
  <si>
    <t>none material; both meter cells are literal dashes</t>
  </si>
  <si>
    <t>vehicle_no: third digit reads 8 or 6 (RS-0483 vs RS-0463); consumption cell holds a diagonal pen stroke, not a number</t>
  </si>
  <si>
    <t>img_14.18.17</t>
  </si>
  <si>
    <t>vehicle_no: second char reads 6 or 8 (ZA-6395 vs ZA-8395); current_meter 3221 could be 3222/3227 at this resolution; consumption cell holds a diagonal pen stroke, not a number</t>
  </si>
  <si>
    <t>no meter</t>
  </si>
  <si>
    <t>vehicle_no (0483 vs 0463 - but the same plate is re-written large in the Petrol/Kerosine area and there reads clearly RS-0483)</t>
  </si>
  <si>
    <t>img_14.18.19</t>
  </si>
  <si>
    <t>current_meter (11788 vs 11768 - the 3rd/4th digits blur together, no previous reading to cross-check); vehicle_no (GE-105 vs GF-105); previous_meter (a short dash sits on the row, column placement between Current and Previous is not certain)</t>
  </si>
  <si>
    <t>current_meter (literal dash, could belong to the Previous Meter column instead)</t>
  </si>
  <si>
    <t>Chathuranga</t>
  </si>
  <si>
    <t>current_meter (leading stroke reads 3 or 7, final digit reads 3 or 7 -&gt; candidates 3223 / 3227 / 7223; 7223 rejected because previous is 3221); vehicle_no (2nd digit 6 vs 8 -&gt; ZA-6395 vs ZA-8395, leaning 6 and 6395 is in the known fleet)</t>
  </si>
  <si>
    <t>Chamal</t>
  </si>
  <si>
    <t>current_meter (leading digit 2 vs 3; read as 2951 because previous is 2948, giving a 3-unit hour-meter step consistent with the other rows); driver_name (Chamal vs Chaman vs Chanaka)</t>
  </si>
  <si>
    <t>vehicle_no (MG-18 vs MG-16, final loop is closed at top so reading 8)</t>
  </si>
  <si>
    <t>current_meter (written with a trailing decimal, 3794.0; the .0 could also be a stray pen mark)</t>
  </si>
  <si>
    <t>ZA-8395</t>
  </si>
  <si>
    <t>Chamara</t>
  </si>
  <si>
    <t>vehicle_no (3rd char reads as 8 -&gt; ZA-8395, but fleet list has ZA-6395; 6 cannot be fully excluded at this resolution), driver_name (cursive, reads roughly 'chothuranga'/'chathuranga')</t>
  </si>
  <si>
    <t>img_14.18.21</t>
  </si>
  <si>
    <t>current_meter (an unreadable mark - looks like a small '0' or '@' - precedes '4.5'; previous_meter reads plainly '4.5', so both meters appear identical), previous_meter</t>
  </si>
  <si>
    <t>chathuranga</t>
  </si>
  <si>
    <t>chanaka</t>
  </si>
  <si>
    <t>vehicle_no: numeric block reads 8395 to me in both L and F crops (double-loop first digit); fleet list has ZA-6395, so 6/8 is the open question. current_meter: middle digit is 0-or-2; I read 3229 because 3209 would be BELOW the 3226 previous meter, and rows 02/04 both show a +3 delta.</t>
  </si>
  <si>
    <t>img_14.18.23</t>
  </si>
  <si>
    <t>none; driver cell is Sinhala script only</t>
  </si>
  <si>
    <t>Tractor (water)</t>
  </si>
  <si>
    <t>Tractor water</t>
  </si>
  <si>
    <t>Pump</t>
  </si>
  <si>
    <t>S.Ravian</t>
  </si>
  <si>
    <t>vehicle_no is written as words, not a plate; reads 'Tractor water' and the word 'Pump' sits one-to-two columns right (in the Consumption column), so the intended entry is almost certainly 'Tractor water pump'. diesel_qty clearly 05 (single digit 5, no tens digit). driver_name low: could be S.Ranjan / S.Rajan / S.Raviyan.</t>
  </si>
  <si>
    <t>MG-16</t>
  </si>
  <si>
    <t>MALINDA</t>
  </si>
  <si>
    <t>vehicle_no: last digit reads 6 (open top) to me, i.e. MG-16, but fleet list has MG-18. current_meter leading digit is 8-or-6; 847.4 chosen because previous meter is 844 (647.4 would be impossible). diesel_qty is 50, not 20 - the F crop makes it look like 20 but the L crop shows a clear 5, and only 50 makes the column total 225.</t>
  </si>
  <si>
    <t>differs: cur p1=647.4</t>
  </si>
  <si>
    <t>Nuwan</t>
  </si>
  <si>
    <t>current_meter leading digit 6-or-5 (6380.2 vs 5380.2); no previous meter to arbitrate. driver_name low: stylised signature-like hand, could be Buwan / Bhuwan / Nuwan.</t>
  </si>
  <si>
    <t>RS-0463</t>
  </si>
  <si>
    <t>BSO</t>
  </si>
  <si>
    <t>vehicle_no: third digit reads 6 to me in both crops (RS-0463), but fleet list has RS-0483 - genuine 6/8 ambiguity. driver_name is a 3-character scrawl, possibly initials 'BSO' / 'BEO' / 'B&amp;O'; treat as illegible.</t>
  </si>
  <si>
    <t>chamara</t>
  </si>
  <si>
    <t>officer_name: this row reads 'chamara', NOT 'chanaka' like rows 01-06, and the officer signature glyph on this row is visibly different from the six above it.</t>
  </si>
  <si>
    <t>current_meter (143643 vs 143643/143649 - last digit blurred); driver_name spelling</t>
  </si>
  <si>
    <t>img_14.18.25</t>
  </si>
  <si>
    <t>vehicle_no - the digit after ZA- reads as a closed double-loop 8, so I read ZA-8395; fleet list alternative is ZA-6395</t>
  </si>
  <si>
    <t>Jayasuriya</t>
  </si>
  <si>
    <t>driver_name (cursive, could be Jayasuriya/Jayasooriya); both meter cells are literal dashes</t>
  </si>
  <si>
    <t>current_meter (3801 vs 3601 - first inner digit smudged); driver name is Sinhala script</t>
  </si>
  <si>
    <t>differs: plate p1=BL-04; cur p1=3601</t>
  </si>
  <si>
    <t>diesel_qty - glyph is ambiguous 3/7 (30 vs 70); arbitrated to 30 because it is the only reading that makes the row sum equal the printed Issued By 155. vehicle_no - written over/struck through, reads like SPS/SR-18, taken as SR-18 from fleet list. current_meter - leading digit may be 9 (92952) rather than 0</t>
  </si>
  <si>
    <t>differs: cur p1=92952</t>
  </si>
  <si>
    <t>MQ [Sinhala]</t>
  </si>
  <si>
    <t>Chameera</t>
  </si>
  <si>
    <t>current_meter - only '852' is legible and a 4th digit is likely present but unreadable (8523?); previous_meter 8474 vs 8414; officer_name Chameera vs Chamara; driver cell starts with Latin 'MQ' then Sinhala</t>
  </si>
  <si>
    <t>differs: cur p1=252</t>
  </si>
  <si>
    <t>current_meter (glyph could read 3003.2 or 3803.2; previous_meter 3802 favours 3803.2); previous_meter second digit 8/0</t>
  </si>
  <si>
    <t>img_14.18.27</t>
  </si>
  <si>
    <t>vehicle_no last digit reads more like 7 (RS-0487) than 3; fleet list has RS-0483 so reported as RS-0483. Which meter column the single dash sits in (current vs previous) is not certain at this resolution</t>
  </si>
  <si>
    <t>Mr Sadaruwan</t>
  </si>
  <si>
    <t>vehicle_no GE vs GF (both in fleet list); current_meter leading digits 11799 vs 1179 9; driver surname spelling; remark is an unreadable scribble/initial, not text</t>
  </si>
  <si>
    <t>differs: cur p1=11744</t>
  </si>
  <si>
    <t>vehicle_no: first character reads as a rounded 'G/6' shape but is consistent with the fleet plate SL-24; current_meter decimal '3804.8' could be '3804.6'</t>
  </si>
  <si>
    <t>differs: cur p1=3804.6</t>
  </si>
  <si>
    <t>img_14.18.29</t>
  </si>
  <si>
    <t>vehicle_no: third character is a closed loop, 6 vs 8 ambiguous (ZA-6395 vs ZA-8395); driver_name spelling approximate - visible letters resemble 'Chothwranga'</t>
  </si>
  <si>
    <t>consumption cell holds a small illegible pen tick, recorded as null</t>
  </si>
  <si>
    <t>img_14.18.31</t>
  </si>
  <si>
    <t>Shawan?</t>
  </si>
  <si>
    <t>current_meter 3rd digit 8 vs 6 (5384.1 vs 5364.1); driver name could be Shaman/Shawan/Sharan; consumption cell has a small illegible tick</t>
  </si>
  <si>
    <t>differs: cur p1=5984.1</t>
  </si>
  <si>
    <t>plate could read R9-0483 as written; both meter cells are literal dashes</t>
  </si>
  <si>
    <t>current_meter 3809.3 vs 3804.3; officer written faintly, possibly Chamara</t>
  </si>
  <si>
    <t>differs: qty p1=25; cur p1=3804.3</t>
  </si>
  <si>
    <t>MD2-[Sinhala]</t>
  </si>
  <si>
    <t>plate MG-18 vs MG-16 (glyph is smudged); meters may carry a decimal that is not legible; officer faint, possibly Chamara</t>
  </si>
  <si>
    <t>driver name is an unreadable cursive scrawl; current_meter last digit 6 vs 8</t>
  </si>
  <si>
    <t>vehicle_no (reads ZA-8395, i.e. 8 not the fleet-list 6 in ZA-6395); current/previous meter digits small - 3247/3241 gives only 6 km on 50 L, so one of them may be misread</t>
  </si>
  <si>
    <t>img_14.18.33</t>
  </si>
  <si>
    <t>Chamod</t>
  </si>
  <si>
    <t>current_meter (written 2956, could be 02956); previous_meter (written 02952, leading 0 may be a stray mark); driver_name Chamod/Chamodh uncertain</t>
  </si>
  <si>
    <t>differs: cur p1=2456</t>
  </si>
  <si>
    <t>current_meter/previous_meter are literal dashes; driver_name written over/next to Sinhala script, Latin letters look like 'Amilu'/'Amila'</t>
  </si>
  <si>
    <t>current_meter 5367.8 vs 53678; previous_meter 5364.1 vs 53641 - decimal point position uncertain (hour meter)</t>
  </si>
  <si>
    <t>differs: cur p1=5387.6</t>
  </si>
  <si>
    <t>M[Sinhala]</t>
  </si>
  <si>
    <t>current_meter (a mark precedes '659.0', may be 6659.0); previous_meter (reads '656', may be 656.0 or 6560); vehicle_no MG-18 vs MG-16</t>
  </si>
  <si>
    <t>current_meter 5th digit 8/6 (143689 vs 143669); 143669 would be below the previous reading, so 143689 is the reconciling read</t>
  </si>
  <si>
    <t>differs: cur p1=143669</t>
  </si>
  <si>
    <t>vehicle_no GE-105 vs GF-105 (letter looks like E); meter cells are literal dashes</t>
  </si>
  <si>
    <t>Ravindu Chathuranga</t>
  </si>
  <si>
    <t>vehicle_no (reads ZA-8395; could be fleet plate ZA-6395 - 8/6 ambiguous), driver_name (written on two lines, first line reads Rvindu/Bvindu)</t>
  </si>
  <si>
    <t>img_14.18.35</t>
  </si>
  <si>
    <t>Ranidu</t>
  </si>
  <si>
    <t>current_meter/previous_meter (6-digit, last two digits 98 vs 89 - could be 143648/143689), driver_name (low)</t>
  </si>
  <si>
    <t>differs: cur p1=143668</t>
  </si>
  <si>
    <t>MO LENDA?</t>
  </si>
  <si>
    <t>current_meter (862, possibly 862.x - decimal not visible), previous_meter (859.0), driver_name (very unclear)</t>
  </si>
  <si>
    <t>current_meter decimal (3613.2 vs 3613.7), previous_meter last digit (3606.3 vs 3606.9)</t>
  </si>
  <si>
    <t>differs: cur p1=3613.0</t>
  </si>
  <si>
    <t>Sunath?</t>
  </si>
  <si>
    <t>vehicle_no (HEX-42; written 'HEX - 42', 4/9 clear enough), previous_meter (5387.8 vs 5382.8), driver_name (low)</t>
  </si>
  <si>
    <t>differs: qty p1=20</t>
  </si>
  <si>
    <t>Liyanal?</t>
  </si>
  <si>
    <t>current_meter (2959 vs 2954), driver_name (low)</t>
  </si>
  <si>
    <t>Emil</t>
  </si>
  <si>
    <t>vehicle_no (RS-0483 vs RS-0463), meters literally dashes, driver_name (Emil/Emilu)</t>
  </si>
  <si>
    <t>consumption (a small scribble/tick is present in the cell but no digits are resolvable at this magnification; arithmetic would give 3.8); vehicle first letter could be read as '5' but SL-24 is the natural reading</t>
  </si>
  <si>
    <t>img_14.18.37</t>
  </si>
  <si>
    <t>vehicle last digit 8 vs 6 (glyph is a closed double-loop, reads MG-18); consumption cell has a mark but no legible digits (arithmetic would give 3.6); previous meter '862' may carry a decimal that is lost at this resolution</t>
  </si>
  <si>
    <t>Shadan</t>
  </si>
  <si>
    <t>current_meter 2nd digit 7 vs 3 (5793 vs 5393); previous_meter 1st digit 5 vs 3; driver name Latin script legible only as 'Shadan' (could be Shehan/Shadun)</t>
  </si>
  <si>
    <t>current_meter: reads 3821.1 but the qty '20' has a long diagonal stroke that crosses into the meter cell, so the leading digit could also be an 8; previous_meter 3817 has no decimal shown</t>
  </si>
  <si>
    <t>img_14.18.39</t>
  </si>
  <si>
    <t>vehicle_no: second letter is a cursive loop, MG-18 vs MR-18 (MG-18 is in the known fleet); current_meter: three digits partly overwritten by the diagonal stroke from the '40', reads 889 / 88a / 882 - treat as ~889 only</t>
  </si>
  <si>
    <t>previous_meter: reads 2959 (last digit 9 vs 4 ambiguous, first digit 2 vs 5); the 5395.6 - 2959 gap is far too large for 20 L, so one of the two meter figures is probably misread at this resolution</t>
  </si>
  <si>
    <t>current_meter, previous_meter, officer_name</t>
  </si>
  <si>
    <t>differs: qty p1=50; cur p1=-</t>
  </si>
  <si>
    <t>img_14.18.41</t>
  </si>
  <si>
    <t>M?LL?GODA</t>
  </si>
  <si>
    <t>vehicle_no (MG-16 vs MG-18), diesel_qty (qty digit runs into meter; 25 inferred and confirmed by totals), current_meter, previous_meter, consumption, driver_name</t>
  </si>
  <si>
    <t>differs: qty p1=2; cur p1=875</t>
  </si>
  <si>
    <t>img_14.18.43</t>
  </si>
  <si>
    <t>LP-1570</t>
  </si>
  <si>
    <t>WASANTA</t>
  </si>
  <si>
    <t>vehicle_no (LP-1570 as written; not in fleet list - could be LP-1510 or LD-1572), current_meter last digits</t>
  </si>
  <si>
    <t>differs: cur p1=63090</t>
  </si>
  <si>
    <t>Sham?n</t>
  </si>
  <si>
    <t>current_meter (may be 6397.1 hour-meter), previous_meter (5393 vs 6393), driver_name</t>
  </si>
  <si>
    <t>differs: cur p1=6397.1</t>
  </si>
  <si>
    <t>Chan?l</t>
  </si>
  <si>
    <t>previous_meter (leading digit 0 vs 2 - 2959 would fit current 2963), driver_name</t>
  </si>
  <si>
    <t>current_meter is a literal dash (no meter)</t>
  </si>
  <si>
    <t>current_meter is a literal dash (no meter); plate repeats row 05</t>
  </si>
  <si>
    <t>differs: cur p1=null</t>
  </si>
  <si>
    <t>ZA-8795</t>
  </si>
  <si>
    <t>vehicle_no (blurred prefix; reads ZA-8795, could be ZA-8195 - ZA-8795 is in the known fleet); diesel_qty (30, but 50 cannot be fully excluded at this resolution); current_meter 3261 could be 3267/3251</t>
  </si>
  <si>
    <t>differs: qty p1=30</t>
  </si>
  <si>
    <t>img_14.20.08</t>
  </si>
  <si>
    <t>previous_meter: reads 3801.1 but 3821.1 is a real alternative (the 3rd digit is a closed loop that could be 0 or 2); 3821.1 would give 4.2 hrs for 20 L, which is far more plausible than 24.2 hrs; current_meter 3825.3 could be 3805.3; diesel_qty 20 vs possible 40</t>
  </si>
  <si>
    <t>Rasikara</t>
  </si>
  <si>
    <t>driver_name (Rasikara / Rasika / Rasikuru - last two letters unclear); current_meter 143724 could be 143734; diesel_qty 20 vs possible 40</t>
  </si>
  <si>
    <t>diesel_qty: reads 20 but this is one of the two best candidates for a 40 (a stray pen stroke from the diagonal cancellation crosses this cell); current_meter is literally a dash; driver_name Jayasundara vs Jayagundara</t>
  </si>
  <si>
    <t>diesel_qty: reads '30' with a trailing dot/stroke; this is the single best candidate for an under-read 50 (the leading digit is an open loop that could be 3 or 5); current_meter and previous_meter cells look blank (no dash visible) but the blur makes a faint dash possible</t>
  </si>
  <si>
    <t>Sudara</t>
  </si>
  <si>
    <t>vehicle cell has an extra small mark after HEX-42 (looks like a superscript 'do'/ditto or a stray '40') just left of the Qty rule - it is NOT clearly a quantity digit; driver_name Sudara / Sudath / Sladay all possible; meters 5399.4 / 5397.1 read fairly clearly</t>
  </si>
  <si>
    <t>CEP-03</t>
  </si>
  <si>
    <t>CEP-03 [Sinhala]</t>
  </si>
  <si>
    <t>vehicle cell is 'CEP-03' followed by a short Sinhala word (likely a machine/bowser label); diesel_qty 100 is clear in shape but 120 cannot be entirely ruled out; current_meter is a literal dash</t>
  </si>
  <si>
    <t>Vehicles Fuelled</t>
  </si>
  <si>
    <t>Diesel Issued (L)</t>
  </si>
  <si>
    <t>Balance Forward (L)</t>
  </si>
  <si>
    <t>Received (L)</t>
  </si>
  <si>
    <t>Book "Issued By"</t>
  </si>
  <si>
    <t>Book "Stock Qty"</t>
  </si>
  <si>
    <t>Computed Closing (BF+Recd-Issued)</t>
  </si>
  <si>
    <t>Reconciliation</t>
  </si>
  <si>
    <t>balances</t>
  </si>
  <si>
    <t>book "Issued By" 511 vs rows 510 | book "Stock Qty" 200 vs BF+Recd-Issued 201</t>
  </si>
  <si>
    <t>book "Stock Qty" 26 vs BF+Recd-Issued 28</t>
  </si>
  <si>
    <t>book "Stock Qty" 188 vs BF+Recd-Issued 186</t>
  </si>
  <si>
    <t>book "Stock Qty" 196 vs BF+Recd-Issued 198</t>
  </si>
  <si>
    <t>book "Stock Qty" 108 vs BF+Recd-Issued 106</t>
  </si>
  <si>
    <t>TOTAL</t>
  </si>
  <si>
    <t>Fill-ups</t>
  </si>
  <si>
    <t>Total Diesel (L)</t>
  </si>
  <si>
    <t>Share of Total</t>
  </si>
  <si>
    <t>Avg per Fill (L)</t>
  </si>
  <si>
    <t>First Date</t>
  </si>
  <si>
    <t>Last Date</t>
  </si>
  <si>
    <t>Lowest Meter Read</t>
  </si>
  <si>
    <t>Highest Meter Read</t>
  </si>
  <si>
    <t>Meter Span (indicative)</t>
  </si>
  <si>
    <t>Litres per Meter Unit (indicative)</t>
  </si>
  <si>
    <t>Spellings Seen in Book</t>
  </si>
  <si>
    <t>MG-16 / MG-18</t>
  </si>
  <si>
    <t>ZA-6373 / ZA-6395 / ZA-8395 / ZA-8795</t>
  </si>
  <si>
    <t>RS-0463 / RS-0483</t>
  </si>
  <si>
    <t>GE-105 / GF-105</t>
  </si>
  <si>
    <t>LD-1572 / LP-1570</t>
  </si>
  <si>
    <t>Date on Page (as written)</t>
  </si>
  <si>
    <t>Issue Note No</t>
  </si>
  <si>
    <t>Rows</t>
  </si>
  <si>
    <t>Balance Forward</t>
  </si>
  <si>
    <t>Received</t>
  </si>
  <si>
    <t>Issued By</t>
  </si>
  <si>
    <t>Stock Qty</t>
  </si>
  <si>
    <t>Footer Name</t>
  </si>
  <si>
    <t>Designation</t>
  </si>
  <si>
    <t>Footer Date</t>
  </si>
  <si>
    <t>Transcriber Notes</t>
  </si>
  <si>
    <t>Date: 01.07.2026</t>
  </si>
  <si>
    <t>INDEPENDENT SECOND PASS, read from the four supplied crops only.
WHERE I DIFFER FROM PASS 1
1. Row 01 Diesel Qty: I read 40, not 10. The leading digit is angular with a diagonal stroke into the bowl; it does not match the plain single vertical stroke used for the "1" in row 03's "15" on the same line of handwriting. Arbitration by the stock account also favours 40: 0.0 + 75 - (40+20+15=75) = 0 closing, which is exactly the 0.0 Balance Forward that opens the 02/07/2026 page. I flag this as the least certain figure on the page (row 01 confidence = low); at this magnification 10 cannot be fully excluded.
2. Row 01 plate: I read HEX-42, not HEX-4P. The final glyph is a looped character that can be seen as either "2" or "P"; the fleet list contains HEX-42 and not HEX-4P, and nothing on the page clearly shows a "P". Prefix is clearly HE + a third letter consistent with X. This row is NOT GF-105/GE-105 (that plate is row 03).
3. Row 03 plate: I read GF-105. The second letter has no visible middle bar of an "E" for me, but GE-105 is a live alternative since both are in the fleet.
WHERE I AGREE WITH PASS 1
- Received = 75, NOT 45. I looked at this specifically. The leading digit is a plain horizontal top bar with one straight diagonal descending to the right; there is no closed/open apex and no crossbar, so it is a 7 rather than a 4. The figure is written larger and bolder than the row entries and is legible.
- Balance Forward = 0.0 (a zero, a dot, a zero) - unambiguous.
- Row 02 = 20 L, row 03 = 15 L - both clear.
- Date header 01.07.2026; Issue Note No left blank.
RECONCILIATION
With my readings the page reconciles exactly: 0.0 + 75 - 75 = 0, and the next day opens at Balance Forward 0.0. With pass 1's readings (75 received, 45 issued) there is a 30 L gap. The whole discrepancy sits in the single row-01 quantity digit; nothing else on the page can absorb 30 L (only three rows are used, and no Stock Qty total is visible to cross-check).
PREVIOUS METER COLUMN
All three rows carry a handwritten "?" in the Previous Meter column (x-position confirmed against the column rules in both the L and F crops - it is Previous Meter, not Consumption). These are marks the clerk actually wrote, not my illegibility marker. I have recorded them as "?" but the distinction matters for downstream data cleaning.
OTHER OBSERVATIONS
- Consumption, Petrol, Kerosene and every lubricant column (DS-40, HD-40, 15W40, Grease, 20W40, HD-90, HD-150) are empty for all three rows. Remark column empty.
- A small stray pen flick sits in the Consumption column between the Received line and row 01; it is not a figure.
- Officer column: three identical entries, all "Darshana" (written with a capital-looking S mid-word: "DarShana"). Signature column has small initials for rows 01 and 02, nothing legible for row 03.
- Driver names align 1:1 with rows 01-03 in the F crop (row pitch matches: Shaman / Mathyce / Mr. Sadaruwan). "Mathyce" is my best reading of row 02 and is genuinely uncertain - it could be Mathree, Mathew or Mathya. All names are Latin script; no Sinhala script on this page.
- Odometer figures are the weakest data on the page. Leading digits of rows 01 and 02 (8/9/5 and 5/3/8) are not resolvable at this magnification.
- BOTTOM CROP: contains nothing but empty ruled rows and the clerk's diagonal cancellation line plus a horizontal line closing off the used rows. The "Issued By" / "Stock Qty" totals block and the footer Name / Designation / Signature / Date are out of frame entirely, so all five of those fields are null - not blank on the form, just not photographed.</t>
  </si>
  <si>
    <t>SK</t>
  </si>
  <si>
    <t>Independent second read of img_14.17.54 (four crops only, no re-reads, no extra crops).
WHAT I SEE: Date header "02/07/2026" (written 02|07|2026), Issue Note No left blank. Pre-printed lines: Balance Forward 0.0, Received 150. Five handwritten data rows (01-05), then the clerk's big diagonal cancellation stroke over the unused rows. Bottom block: Issued By 150, Stock Qty 0.0; footer Name "Darshana", Designation "SK", Signature line blank (the date was written on the signature dotted line as well), Date 02/07/2026, and a second "02/07/2026" written at the bottom right of the page.
RECONCILIATION: 0.0 + 150 - 150 = 0.0. This holds only if the row quantities are 50, 20, 15, 15, 50.
DIFFERENCES FROM PASS 1 (only the two pass-1 facts I was told):
1. Row 01 plate - pass 1 recorded '?-1709'. I read it as LD-1709. The prefix is two characters: a clear tall "L" followed by a rounded/looped character consistent with a hastily written "D"; the numeric part is unambiguously 1709, which rules out LD-1572. So LD-1709, medium-low confidence on the prefix, high on the digits.
2. I confirm pass 1's reconciliation (0 + 150 - 150 = 0) against the page's own Issued By 150 / Stock Qty 0.0 lines.
FIGURE I AM LEAST HAPPY ABOUT (flagging in case it differs from pass 1): row 02 diesel qty. At this magnification the first digit renders to me more like an 8 than a 2, i.e. it looks like "80L". But 50+80+15+15+50 = 210, which cannot be squared with the page's own Issued By = 150 by any single-digit change to another row (it would require a negative quantity). 50+20+15+15+50 = 150 exactly, so I report 20 and flag it low confidence. This is the one place I let the arithmetic arbitrate a digit; I did not bend any other figure.
COLUMN NOTE: the "?" marks on rows 01, 02, 03 and 05 are LITERAL handwritten question marks made by the clerk, and by x-position they sit in the PREVIOUS METER column (right edge of it), not in Consumption. Consumption is empty for every row. Row 04 has a dash "-" in that same column instead of a "?", and no current meter figure. Petrol, Kerosene and every lubricant column (DB-40, HD-40, 15W40, Grease, 20W40, HD-90, HD-150) are completely empty on this page, as is Remark.
OFFICER COLUMN: all five rows read "Darshana" (clearly, repeated in the same hand), matching the footer name. Driver/Operator signature column has initials/scribbles only, not transcribed.
Row-to-driver alignment was checked on the full-width crop: 01 Amila, 02 Mathees(?), 03 Mr. Sadaruwan, 04 Jayasundara, 05 Shanan(?). Rows 02 and 05 driver names are the least legible; no Sinhala script appears on this page - all names are in Latin letters.</t>
  </si>
  <si>
    <t>INDEPENDENT PASS - I was not shown pass 1's values, so I cannot name specific disagreements; below is exactly what I see plus every place I had to choose between candidates.
DATE: the header is written "20?6/7/3". The third character is a squashed loop that could read 1 or 2, so on the header alone "2016/7/3" and "2026/7/3" are both defensible. The page footer is clearly "03/07/2026" (written twice - on the signature line and again at the right margin), so I record the header as 2026/7/3. If pass 1 has 2016/7/3, that is the same glyph read the other way.
ISSUE NOTE NO: the pre-printed "Issue Note No:-" line has nothing written after it -&gt; null.
STOCK ACCOUNT: Balance Forward 0.0 (written "0.0"), Received 40 (the "4" is written open-topped so it looks like "AO"), Issued By 40, Stock Qty 0.0. So 0 + 40 - 40 = 0 reconciles, and the two data rows must sum to 40.
ROW QUANTITIES - the one place I had to arbitrate. Row 01 reads "25" (with a trailing pen flick that I take as an "l"/litre mark, not a digit). Row 02 reads, to my eye, more like "13" than "15" - the second digit has a flat top and an open lower bowl. 25 + 13 = 38, which does NOT match Issued By 40. Candidate pairs that do sum to 40 are 25+15 and 27+13. I chose 25 + 15 because row 01's second digit is a clean closed-bottom 5 with no 7-style crossbar or slant, so 27 is the weaker reading. I flag row 02's qty as low confidence: if pass 1 read 27/13 instead, the reconciliation is equally satisfied and the images at this magnification cannot settle it.
PLATES: Row 01 "LL-0920" is unambiguous (double L, 0-9-2-0). Row 02 I read as "GF-105" - a capital G followed by a letter with a top bar and a mid bar and no bottom bar, i.e. F rather than E. Both GF-105 and GE-105 are in the known fleet, and this is a single-stroke difference at this resolution, so treat it as ~60/40 GF over GE. Neither plate on this page is one of the flagged confusable pairs (no ZA/RS/MG/GD/HEX rows here).
METERS: Row 01's Current Meter and Previous Meter cells each carry only a short horizontal stroke - I record "-" literally, but these may just be tick/void marks rather than data. Row 02's Current Meter shows roughly "1173" plus a fifth character I cannot resolve, hence "1173?"; its Previous Meter cell holds a single curl I cannot resolve at all -&gt; "?". No cell on this page literally reads "no meter". Consumption is blank on both rows (the marks near that column are page speckle/carbon smudge, not figures).
LUBRICANTS / PETROL / KEROSENE: every one of these columns (DB-40, HD-40, 15W40, Grease, 20W40, HD-90, HD-150, Petrol, Kerosine) is empty on both rows -&gt; null. Diesel only on this page.
NAMES: Row 01 driver "Jaya sundera" (written as two words, i.e. Jayasundera). Row 02 driver "Mr: Ajantha". Alignment checked against the full-width band: the two-line name block sits on exactly the same two rules as rows 01 and 02, so Jayasundera = LL-0920 and Ajantha = GF-105, not swapped. Officer column has "Darshana" written on both rows (the loopy hand makes the first vowel look like an o - "Dorshana" - but it is the same name as the footer). One signature scrawl in the Driver Signature column spans both rows. Remark column empty for both rows.
FOOTER: Name "Darshana", Designation "SK", Signature line is filled with the date "03/07/2026" rather than a signature, and "03/07/2026" also appears at the right margin. All of the bottom block is in frame and legible.
The clerk's big diagonal cancellation line runs from the row-02 area down and right across all the unused rows; I ignored it as instructed and it does not obscure any of the two data rows' figures.</t>
  </si>
  <si>
    <t>04.07.2026</t>
  </si>
  <si>
    <t>INDEPENDENT SECOND PASS. Four rows only (01-04); everything below row 04 is struck out by the clerk's diagonal cancellation line and is blank.
RECONCILIATION (my own arithmetic, not copied): Balance Forward 0.0 + Received 85 - (15+30+20+20 = 85) = 0.0 = Stock Qty. The footer block confirms it independently: "Issued By 85" / "Stock Qty 0.0". So the 85 total and the four quantities 15/30/20/20 are internally corroborated and I read them as high confidence, even though each individual qty cell is written with a trailing "L" that at this resolution can look like a digit (e.g. "15L" can read as "156", "30L" as "302", "20L" as "206").
WHERE I MAY DIFFER FROM PASS 1 (pass-1 cell values were not supplied to me, only the fact that it reconciled 0 + 85 - 85 = 0; these are the cells I would expect a disagreement on):
1. Row 01 plate. As written it looks like "GF-106" (the L-band render also supports "GE-106"). Neither GF-106 nor GE-106 is in the known fleet. The fleet contains BOTH GE-105 and GF-105, so the ambiguity is genuinely two-dimensional (E/F and 5/6) and cannot be arbitrated by the stock account. I have reported "GF-105" as the most likely fleet match but flagged it low confidence. If pass 1 said "GE-105", that is an equally defensible reading of the same marks - this cell should be treated as unresolved, not as agreement.
2. Row 01 current meter. I read "1174.1". At this magnification the decimal could sit elsewhere (e.g. "11741"), and the leading "1" could be part of a slash from the qty cell.
3. Rows 01 and 03 previous meter. Both cells carry a small hooked mark that renders like a handwritten "?" rather than digits. I have recorded "?" (illegible) rather than guessing a number. If pass 1 put digits or "-" here, that is a substantive divergence.
4. Row 02 meters. I read a literal dash "-" in BOTH Current Meter and Previous Meter (two separate short horizontal strokes, one in each column), not blanks and not "no meter".
5. Row 02 stray annotation. There is a bracketed mark on row 02 that reads "(3L)" or "(31)", sitting on the Consumption/Petrol column boundary. It is not a clean entry in either column, so I left petrol and consumption null and did not force it into a field. It does not correspond to any figure needed by the stock account (85 total is already fully explained), so I believe it is an annotation/correction, not a quantity.
6. Row 01 remark. The Remark column has an entry on the top data row that I read as "35L" (could be "3SL", possibly "15L"). Low confidence. Note it does NOT match row 01's 15L issue, which is why I did not "correct" it to 15L.
7. Row 03 plate. Written as "GD-710A"-like; final character is 4 or 1. I chose GD-7104 (fleet) - medium confidence.
8. Row 03 driver. The surname renders as "Wijeseena"; I transcribed it literally as "R. Wijeseena" rather than normalising to Wijesena/Wijesooriya.
CONFIRMED WITHOUT DOUBT: date 04.07.2026 (header) matching footer 04/07/2026; Issue Note No left blank; row 02 plate ZA-7810; row 04 plate LL-0920; all four Officer entries "Darshana"; footer Name "Darshana", Designation "SK"; footer Signature line appears blank (no signature stroke visible above the printed dotted line); all Petrol, Kerosene and every lubricant column (D8-40, HD-40, 15W40, Grease, 20W40, HD-90, HD-150) are empty for all four rows.
The page genuinely reconciles; no figure was bent to make it do so.</t>
  </si>
  <si>
    <t>05.07.2026</t>
  </si>
  <si>
    <t>Sk</t>
  </si>
  <si>
    <t>WHERE I DIFFER FROM PASS 1:
1. Row 09 (MG-18) Qty: I read 60L, pass 1 read 50. The digit has a closed loop at the top-left with the stroke curling back under it, unlike the open-top 5 in rows 01/02/05/08. Corroborating evidence: the same row carries a handwritten "60L" in the Consumption column and "(60L)" in the Remark column, which look like a correction/annotation for that line. This is my only qty disagreement; it moves the row sum from 500 to 510.
2. Received: I confirm 711, NOT 700. The two characters after the 7 are thin vertical strokes with no closed bowls; a written 0 elsewhere on this page (e.g. "0.0", "200", "-105") is clearly looped.
3. "Issued By" total: I confirm 511, NOT 500. Same argument - two bare vertical strokes, plus a full stop after.
4. Balance Forward 0.0 and Stock Qty 200: confirmed, same as pass 1.
RECONCILIATION: The book's own arithmetic is internally consistent: 0.0 + 711 - 511 = 200 exactly. That three-way agreement is strong evidence that 711 / 511 / 200 are all read correctly, so I did not bend any of them. However, my ten row quantities (50+50+50+60+50+30+30+50+60+80) total 510, which is still 1 L short of the book's 511. I could not find an eleventh litre anywhere on the page: no row shows a non-round figure, there is no eleventh data row (rows 11+ are blank under the diagonal cancellation line), and the Petrol / Kerosene / all lubricant columns are completely empty across the whole page. My conclusion is that the page genuinely does not foot at row level by 1 L - most likely a clerk's addition slip - rather than that one of my digit reads is wrong. If a single figure had to be flexed to make it balance, the least-certain candidate is row 05 (RS-0483, currently 50L) or row 09, but nothing on the page actually supports changing either.
OTHER OBSERVATIONS:
- Previous Meter column: every data row 01-03 and 05-10 contains a small hand-drawn squiggle that resolves as a question-mark shape at this magnification. I cannot tell whether it is a ditto mark, a tick, or an actual figure, so I have recorded "?" with low confidence throughout. Row 04 is the exception - it carries a short dash "-".
- Row 04 (ZA-7810) has NO current-meter reading written at all; the cell is blank.
- Row 02 has an ink mark in the Consumption column shaped like "SIX" / "5IX" with a diagonal stroke through it. Not a legible number.
- Rows 09 and 10 have "60L" and "50L" written into the Consumption column, both partly crossed by the clerk's diagonal cancellation line. These read as annotations/corrections rather than consumption figures.
- Remark column has only two entries: "(50)" beside row 01 and "(60L)" beside row 09. The row-01 one could also be "(5L)".
- Officer name is "Darshana" on all ten rows, written in the same hand as the footer signature name.
- Driver name alignment was checked against the full-width crop: the ten left-hand rows map 1:1 onto Wasantha / Wijesena / Amila / Manjula / Amila / Mr. Ajantha / Mathree / Chanaka / Madinda / Shaman with no offset. Row 06's driver is written "Mr: Ajantha" - it is the only one with a title. No Sinhala script anywhere on this page.
- Row-number handwriting is smudged: row 3's numeral looks like "05" and row 8's looks like "09", and row 9's is unreadable. I have reported the sequential 01-10 because the ten rows are unbroken and the count matches the ten driver names, but the individual glyphs do not all support it.
- Header date reads "Date:05.07.2026" (dots); footer date reads "05/07/2026" (slashes), and the same "05/07/2026" is repeated in the signature area to the right. Issue Note No is blank.
- Footer designation is a two-character word reading "Sk" - almost certainly SK / store keeper, but I am transcribing only what is visible.
- All lubricant columns (DB-40, HD-40, 15W40, Grease, 20W40, HD-90, HD-150), Petrol and Kerosene are empty for every row on this page.</t>
  </si>
  <si>
    <t>M.H.C.L.R. Rathnayaka</t>
  </si>
  <si>
    <t>ASK</t>
  </si>
  <si>
    <t>INDEPENDENT PASS 2 â€” read from the four supplied crops only, no re-crops, no re-reads.
WHAT I SEE, LINE BY LINE
- Header (R crop): "Date: 06/07/2026" written in a rounded hand ("ob/07/2026" â€” the leading char is a 0 with a closing loop, i.e. 06). "Issue Note No:-" is printed but nothing is written after it -&gt; null.
- Pre-printed lines (L crop): "Balance Forward" Diesel Qty = 200 (clear three-figure "200"). "Received" Diesel Qty = a short horizontal dash, not a number -&gt; recorded literally as "-".
- Row 01: LL-0920 | Qty 20 | Current Meter and Previous Meter are BOTH short dashes, not readings -&gt; "-" in each. There is a stray slanted pen stroke straddling the Qty/Current-Meter rule on this row; it is a pen slip, not a digit.
- Row 02: ZB-1496 | Qty 40 | Current 22070 | Previous 21632.
- Only two data rows. Everything from the Consumption column rightwards (Petrol, Kerosene, DB-40, HD-40, 15W40, Grease, 20W40, HD-00, HD-150) is blank on both rows, and the Remark column is blank on both rows.
- Bottom band (B crop): "Issued By" = 60, "Stock Qty" = 140. Footer: Name "M.H.C.L.R. Rathnayaka", Designation reads "ASK" (three capitals, no periods visible; possibly an abbreviation such as A.S.K.), Signature is a small looped mark, Date "06/07/2026". The same date "06/07/2026" is also written free-hand in the blank area to the right of the footer block.
DIFFERENCES FROM PASS 1
- None on any figure. I independently read Balance Forward 200, Received nil, Qty 20 and 40, Issued By 60, Stock Qty 140 â€” identical to pass 1, and they reconcile: 200 + 0 - 60 = 140. The 20/40 split is also independently confirmed by the two-row arithmetic (no other split of 60 is consistent with the digit shapes I see).
- ROW-02 PLATE CONFIRMED as ZB-1496, as asked. My reasoning, independent of pass 1: the first glyph is a clean angular Z (flat top bar, diagonal, flat base) â€” not a 2, which this writer writes with a curved top elsewhere on the page (see "22070", "21632"). Second glyph is a clear B with two bellies, not an 8 (the writer's 8s in the meter figures are narrower and closed at the waist). Digits after the dash: 1, 4, 9, then a final character that is written like a lower-case "b" â€” a descending stem with a loop at the bottom right â€” which is this clerk's habitual form of 6 (compare the 6 in "21632" and the 6 in "06/07/2026" in both the header and the footer, both written with the same open-topped loop). So 1496, not 1490 or 1495. I do not see any reading that would make this LD-1496, ZA-1496 or 2B-1496.
OTHER JUDGEMENT CALLS
- Consumption column: rows 01 and 02 each carry a small diagonal tick/arrow-like pen mark rather than a figure. I have recorded "?" rather than null (the cells are not empty) and rather than 438 (22070 - 21632), which is NOT written on the page. Do not let the arithmetic tempt a fabricated 438 into this field.
- Row 01 driver: "J." then a surname whose second letter is an ambiguous M/N humped form. I read "J. Nasundara"; "J. Masundara" is equally defensible at this resolution. Low-to-medium confidence, flagged.
- Row 02 driver: cursive and genuinely illegible past the first two letters. I read the overall shape as something like "Chathulaka"/"Chathuraka" and have recorded "Chathulaka?" with the "?" retained so it is not mistaken for a firm reading. If pass 1 gave a crisp name here I would treat that as over-reading unless it was derived from another page.
- Officer column: both rows plainly "Chanaka" (same hand, same word twice).
- The clerk's large diagonal cancellation line runs from row 03 down through the unused rows on both the left and right bands, plus a long horizontal rule just under the "Issued By" line; ignored as instructed.
- No lubricant, petrol or kerosene issue anywhere on this page, so the diesel-only reconciliation is the whole story for the day.</t>
  </si>
  <si>
    <t>INDEPENDENT SECOND PASS - read from the four supplied crops only, no re-cropping.
WHAT THE PAGE SHOWS
- Header (R crop): "Date: 07/07/2026". "Issue Note No:-" is printed but left blank (null).
- Only two handwritten data rows, 01 and 02. Everything below row 02 is struck out with the clerk's big diagonal cancellation line (visible in L, R and B crops) and is empty.
- Pre-printed lines above row 01: Balance Forward = 140, Received = 0.0 (written as a zero-dot-zero, i.e. nil received that day).
- Row 01: LL-0920, 20 L diesel, no meter readings - Current Meter holds a short slash/dash stroke and Previous Meter a longer dash. Recorded literally as "-" for both.
- Row 02: SL-24, 20 L diesel, Current Meter 3776.0, Previous Meter 3766.6.
- All Petrol, Kerosene and lubricant columns (DB-40, HD-40/HD-60, 15W40, Grease, 20W40, HD-90, HD-150) are empty on both rows - no marks at all in that band on either the L or R crop.
- Right band: row 01 driver "Jayasundara" (the tail of the word is overwritten/corrected), officer "Chanaka". Row 02 driver is Sinhala script only -&gt; "[Sinhala]", officer "chanaka" (same name, written lower-case). Remark column empty on both rows.
- Row-to-driver alignment was checked on the F crop: the page is tilted so the right band sits ~18 px higher than the left at the same row. On that slope "Jayasundara" lands on row 01 and the Sinhala name on row 02. I am confident in that pairing.
- Bottom (B crop): "Issued By" = 40, "Stock Qty" = 100. Footer Name = M.H.C.L.R. Rathnayaka, Designation = ASK (three block letters; "ASK", presumably Assistant Store Keeper - the middle letter could conceivably be a 3-shaped S but ASK is the natural reading), Signature = a pen scribble, and the date written on the Signature line reads 07/07/2026. A second, larger "07/07/2026" is written to the right of the footer block; I have used that as footer_date.
RECONCILIATION
140 (Balance Forward) + 0.0 (Received) - (20 + 20) = 100. That equals the printed Stock Qty of 100 and the Issued By total of 40 equals the sum of the two rows. The page reconciles exactly as read, with no figure bent to fit.
DIFFERENCES FROM PASS 1
I was only told that pass 1 reconciled 140 - 40 = 100, not its individual cell values, so I cannot list line-by-line divergences. What I can state is what my own reading independently confirms and where I would flag risk:
- CONFIRMED against pass 1's arithmetic: balance_forward 140, issued_by_total 40, stock_qty 100, and both diesel quantities at 20 L each. I read these the same way.
- FLAG 1 - row 02 plate: what is physically on the paper looks like "SL-2A". The last glyph has an open top and no closed bowl, so at this magnification it is genuinely ambiguous between a handwritten 4 and an A. I report SL-24 because that plate is in the known fleet and the stroke shape is consistent, but I want it on record that the ink itself does not close the 4.
- FLAG 2 - row 01 plate: the prefix is two cursive vertical strokes that could be transcribed "11" rather than "LL". I read LL-0920 (fleet plate); a first pass that wrote "11-0920" would not be wrong about the ink, only about the interpretation.
- FLAG 3 - row 01 meters: these are strokes, not numbers. If pass 1 recorded digits, or recorded "no meter" as words, that is a divergence - the page shows dashes, not the words "no meter".
- FLAG 4 - consumption: the Consumption column is blank for both rows. For row 02 it should arithmetically be 9.4 (3776.0 - 3766.6) but the clerk did not write it, so I report null rather than the computed value. There are two faint arrow-shaped pencil marks in the Consumption column around the Received / row 01 band; they are not digits and I did not transcribe them as a value.
- FLAG 5 - previous_meter row 02: I read 3766.6. The final digit is the least certain character among the numerals; 3766.5 cannot be fully excluded at this resolution. The consumption figure is not written on the page, so there is no cross-check available to arbitrate it.
- Received: I read "0.0" rather than a blank or a dash. It reconciles either way since it contributes zero.</t>
  </si>
  <si>
    <t>M.H.C.L.R.Rathnayaka</t>
  </si>
  <si>
    <t>INDEPENDENT SECOND READ of img_14.18.05 (four crops only: _L, _R, _F, _B; no re-reads, no new crops).
WHAT I SEE
- Header (R crop): "Date: 08/07/2026" written in ink over the pre-printed "Date:" label. The final digit of the year is a loopy figure that could be misread as "b", but it matches the identical glyph in the footer date and in "Stock Qty 80"-style writing on this page, so I read 6 -&gt; 2026. "Issue Note No:-" is left blank (null).
- Pre-printed lines above row 01 (L crop): "Balance Forward" Diesel Qty = 100 (three clear digits, 1-0-0). "Received" Diesel Qty = a short horizontal dash only, i.e. nothing received that day; recorded literally as "-" rather than 0 or null.
- Only ONE handwritten data row exists (row 01). Everything below it is covered by the clerk's big diagonal cancellation line and is blank.
- Row 01 (L crop): No = 01; Vehicle No = LL-0920. The plate is legible: two L's, hyphen, then 0-9-2-0. Not LL-0420 or LL-0980 - the "9" has an open bowl and a straight descender, and the middle digit is a clear "2" (flat base, not a Z). Matches known-fleet LL-0920.
- Diesel Qty = 20 (a round "2" and a closed "0"; not 26 or 28 - the second glyph is a plain oval with no crossbar or open top).
- Current Meter and Previous Meter both contain a single dash "-", recorded literally. They are NOT numbers and NOT the words "no meter" on this page.
- Consumption: no figure. There is a faint short pen stroke near the consumption/petrol boundary but it is part of the diagonal cancellation stroke starting there, not a digit. Recorded null.
- Petrol, Kerosene, and all lubricant columns (D8-40, HD-40, 15W40, Grease, 20W40, HD-90, HD-140/150) are empty on the single data row, on both L and R crops.
- Driver/Operator Name (R crop, aligned to row 01 via the F crop - the ink line sits on the same ruled row as "01 LL-0920 / 20"): a single cursive Latin word. I read "Jayasundara". First letter is a clear capital J with a crossed loop; the tail resolves as "-sundara". The middle is compressed and could also support "Jayasoundara"/"Jayawardana", so I flag it medium confidence rather than "?" - the J...sundara skeleton is legible.
- Driver Signature: initials-style flourish, not transcribable.
- Officer Name: "Chanaka" - printed clearly in lowercase cursive, unambiguous. Officer Signature: a small looped mark (same mark reappears as the footer signature).
- Remark: empty.
- Footer (B crop): "Issued By" = 20, "Stock Qty" = 80. Both are two-digit, heavily gone-over in ink; the 8 in 80 is a clear double-loop, and the 2 in 20 matches the row-01 quantity glyph. Name: "M.H.C.L.R.Rathnayaka". Designation: "ASK" (three capitals, likely Assistant Store Keeper). Signature: the looped mark. Date line: "08/07/2026" written twice - once on the Signature/Date lines at left and again free-standing at the right of the footer; both agree with the header date.
RECONCILIATION
Balance Forward 100 + Received 0 (dash) - issued 20 (the single row) = 80 = Stock Qty. The page's own "Issued By" total of 20 also equals the single row quantity. So the account closes exactly with no forcing of any digit.
DIFFERENCES FROM PASS 1
I was told pass 1 reconciled at 100 - 20 = 80; my independent read produces the same three control figures (balance_forward 100, issued_by_total 20, stock_qty 80) and the same single row (01 / LL-0920 / 20). I therefore report no disagreement on any quantity or on the plate.
Points where my reading may be finer-grained than a first pass, flagged so the comparison is meaningful:
1. "received" - I record the literal dash "-" rather than null or "0". The cell is not empty; it carries a deliberate dash.
2. current_meter / previous_meter - both are literal dashes "-", not null and not "no meter".
3. consumption - null. Any mark there belongs to the cancellation stroke.
4. driver_name - "Jayasundara" is my best Latin reading; if pass 1 recorded "?" or "[Sinhala]", note that the script here is Latin cursive, not Sinhala.
5. issue_note_no - genuinely blank on this page (the pre-printed label ends in ":-" with nothing after it).
CAVEATS
The photo is low-resolution with the facing page curling over the top of the sheet; the top pre-printed header text is partly washed out, but no handwritten data is obscured by it. Nothing on the page was illegible enough to require "?" except the two signature flourishes, which are marks rather than text.</t>
  </si>
  <si>
    <t>INDEPENDENT PASS 2, read only from the four supplied crops.
Header: "Date: 09/07/2026" written in blue pen over the printed Date: label. "Issue Note No:-" is blank -&gt; null.
Pre-printed lines above row 01: "Balance Forward" carries 80 in the Diesel Qty column; the "Received" line below it is completely blank (no figure in any column) -&gt; received = null. Only two handwritten data rows exist (01, 02); everything below is struck out by the clerk's large diagonal cancellation line (visible in L, F and B crops) and contains no data.
Reconciliation: 80 (Bal. Fwd) + 0 (Received) - (10 + 20) = 50, which matches the printed footer block exactly: "Issued By 30" and "Stock Qty 50". So the page reconciles as pass 1 said, and it independently corroborates diesel_qty 10 and 20 (any other pair summing to 30 would have to be, e.g., 15+15, which the handwriting does not support - the digits are clearly "10" and "20").
Differences / points of divergence vs pass 1: I was not shown pass 1's actual cell values, only that it reconciled 80 - 30 = 50, which my reading reproduces. The figures most likely to differ between the two passes, and my justification, are:
1. Row 01 current meter - I read 3780.3, not 3730.3. The middle digit is genuinely ambiguous at this resolution, but 3730.3 would be lower than the previous meter 3776.0, so 3780.3 is the only internally consistent reading (a 4.3-hour/km run).
2. Row 02 previous meter - I read 143495. The cell literally looks like "143$495": the writer appears to have started a 5 and overwritten it with a 4, producing a dollar-sign-like blot. I did NOT read it as 1435495 (7 digits) because the current meter in the same row is 6 digits (143566). Difference then = 71.
3. Row 02 current meter - I read 143566; the last two digits are the weakest part of the row (could be 65 or 86). Low-to-medium certainty.
4. Consumption column - both rows contain only a short diagonal pen stroke / tick, not written numbers. I recorded "?" rather than the computed values (4.3 and 71); if pass 1 filled numbers there, they were inferred, not read.
Plates: "SL-24" (row 01) and "LM-7949" (row 02) are both crisply written and both are in the known fleet list; I see no 5/S or 1/7 ambiguity in either. Note row 01 could pedantically be "SI-24" but SL-24 is the fleet plate and the letter form matches.
Petrol, Kerosine and every lubricant column (DB-40, HD-40, 15W40, Grease, 20W40, HD-90, HD-150) are empty for both rows -&gt; null. Remark column empty for both rows.
Names: the row-01 Driver/Operator cell is Sinhala script (short, unreadable at this magnification) -&gt; "[Sinhala]"; row 02 reads "Ravindra" in Latin letters, underlined. Officer column shows "chanaka" written twice, one per row (the second is slightly deformed and could be transcribed "chahaka", but it is the same hand writing the same name) -&gt; Chanaka for both. Both officer cells are initialled in the Signature column with the same looping mark that appears as the footer signature.
Footer (B crop): Name "M.H.C.L.R. Rathnayaka" (the initial cluster is clear; the surname is clearly Rathnayaka). Designation reads "ASK" (three capitals, likely an abbreviation of a store-keeper post; not fully certain - could be "ASk"). Signature is the same loop initial. Date "09/07/2026", and the same date 09/07/2026 is written again in the open area to the right of the footer block. Both agree with the header date.</t>
  </si>
  <si>
    <t>INDEPENDENT SECOND PASS â€” read fresh from the four supplied crops, no reference to the first pass output (its figures were not shown to me, so I cannot do a literal field-by-field diff; I flag below the fields a wrongly-rotated first pass would most likely have gotten wrong).
WHAT THE PAGE ACTUALLY SHOWS
- Date header (R crop, top): "10/07/2026". Written with vertical-stroke separators (10|07|2026) but unambiguously 10 July 2026. The footer date and the large handwritten date at bottom-right of the B crop both independently read 10/07/2026, so the date is confirmed three times on the page.
- "Issue Note No:-" is pre-printed and left BLANK.
- Only TWO handwritten data rows exist on this page (01 and 02). Everything below row 02 is blank ruled paper with the clerk's diagonal cancellation stroke; there is no third row.
STOCK LINES
- Balance Forward: Diesel Qty = 50. Large, clear, high confidence.
- Received: the Qty cell contains a single dash "â€”" (nil received), not a number. Recorded literally as "-".
ROW DETAIL
- Row 01: LL-0920, 10 L. Both meter cells contain a dash "-" (this vehicle has no meter reading recorded). Petrol / Kerosene / all lubricant columns empty. Driver "Jayasundara" (could be Jayasundera; the ending vowel is not resolvable). Officer "Chanaka". Remark blank.
- Row 02: SL-24, 20 L. Current Meter 3763.0, Previous Meter 3760.3 â†’ implied 2.7 hours, consistent with an hour-meter machine. The third digit of the current meter has the same glyph shape as the confirmed "6" in 3760.3, which is why I read 3763.0 rather than 3783.0. Driver name is in Sinhala script â†’ "[Sinhala]". Officer "Chanaka". Remark blank.
- Consumption column: for BOTH rows there is a small diagonal pen stroke in the cell, but no legible digits. I have recorded consumption as null rather than inventing 2.7 for row 02.
- Row-to-driver alignment was checked on the F full-width crop. The page curves so the right-hand band sits ~12-16 px higher than the left, but with exactly two left rows and exactly two driver entries the mapping row 01 â†’ Jayasundara, row 02 â†’ [Sinhala] is unambiguous. The Balance Forward / Received lines have no driver entries.
BOTTOM TOTALS â€” IMPORTANT DISAGREEMENT RISK
- In the B crop the pre-printed "Issued By" and "Stock Qty" label cells are visible at bottom left, but their value cells appear UNFILLED â€” I can see no ink in them at this magnification. I have therefore returned null for both rather than writing in the arithmetic result. If the first pass reported numbers here, I do not see them on the page.
- Arithmetic check: 50 (Balance Forward) + 0 (Received, dash) âˆ’ (10 + 20) = 20. That equals the Stock Qty of 20 the surrounding days imply, and the opening 50 matches the expected Balance Forward. So the page reconciles perfectly with the neighbouring days â€” but the closing 20 is IMPLIED by arithmetic, not read off the page. Issued By would be 30 by the same arithmetic, also not written.
FOOTER
- Name: M.H.C.L.R. Rathnayaka. Designation: "ASK" (three capitals, reads A-S-K). Signature: initialled squiggle. Date: 10/07/2026.
FIELDS MOST LIKELY TO DIFFER FROM A ROTATED FIRST PASS
1. The two meter figures on row 02 (3763.0 / 3760.3) â€” digit order and the decimal point are the first casualties of a bad rotation.
2. Row 01's meter cells being dashes rather than blanks or numbers.
3. Received being a dash (nil) rather than a figure â€” a rotated read could easily have turned that stroke into a "1" or "7".
4. Issued By / Stock Qty: I read them as unfilled; any value reported there by the first pass is not something I can see.
5. Plates: LL-0920 and SL-24 both match the known fleet exactly and are legible without guesswork â€” no 0/O or 5/S arbitration was needed.</t>
  </si>
  <si>
    <t>INDEPENDENT SECOND PASS, read fresh from the four supplied crops (no reference to the first pass, which I was told came from a wrongly rotated image).
WHAT THE PAGE SHOWS
- Header (R crop): "Date:11 /07/2026" handwritten over the printed "Date:" line; the day "11" sits immediately after the printed colon and the month/year "07/2026" follow. "Issue Note No:-" is printed but left blank -&gt; null.
- This is a very light day: only ONE handwritten data row (01). All rows below 01 are struck out with the clerk's big diagonal cancellation line (visible in L, F and B crops), plus a second short near-horizontal stroke just above the totals line in the B crop.
- Pre-printed lines above row 01: "Balance Forward" Diesel Qty = 20 (blue ink); "Received" Diesel Qty = 200 (written in RED ink, clearly three digits "200", with a small tick/flourish after it).
- Row 01: vehicle RS-0483, Diesel Qty 05, then dash marks in Current Meter, Previous Meter and Consumption. Petrol, Kerosene and all lubricant columns (DB-40, HD-60, 15W40, Grease, 20W40, HD-90, HD-150) are empty across the whole page.
- Driver/Operator Name for row 01 is written in Sinhala script -&gt; "[Sinhala]"; there is a signature beside it. Officer Name reads clearly "chanaka" (Chanaka), with a small looped signature. Remark column empty.
- Bottom block (B crop): "Issued By" = 05, "Stock Qty" = 215. Footer: Name "M.H.C.L.R. Rathnayaka", Designation "ASK" (three capitals, most likely an abbreviation such as Assistant Store Keeper), Signature = the same looped mark, Date "11/07/2026" (repeated again to the right of the footer block in the same hand).
RECONCILIATION - EXACT
20 (Balance Forward) + 200 (Received) - 05 (only row) = 215 = Stock Qty, and 05 also equals the printed "Issued By" total. The page balances perfectly with no forcing, and it matches the surrounding-day expectation given to me (opens at 20, Received ~200, closes at 215). This independently confirms the 200 (not 20 or 250) and the 215 (not 216/275).
DIFFERENCES FROM / CHECKS AGAINST THE FIRST PASS
I could not see the first pass, so I cannot name its figures line by line. What I can state positively, as the figures a comparison should be run against:
- Date is 11/07/2026 (DD/MM/YYYY), corroborated twice by the footer Date line.
- There is exactly ONE vehicle row on this page, not more. Anything the first pass reports for rows 02+ is the cancellation line, not data.
- diesel_qty for row 01 is 05, NOT 5 written as part of a larger number and NOT 50 - the "0" and "5" are clearly two separate small digits in the same style as "05" in the Issued By total.
- Issued By = 05 and Stock Qty = 215; the "215" is unambiguous (2-1-5, the 5 open-topped) and there is a full stop after it.
- Balance Forward = 20 in blue, Received = 200 in red. The colour difference is a useful cross-check: the red 200 is the day's delivery.
DIGIT-LEVEL UNCERTAINTY (honest)
- RS-0483 vs RS-0463: the third digit has a small closed upper loop, which favours 8 over 6, and RS-0483 is in the known fleet list. I report RS-0483 at medium confidence. The prefix is definitely "RS" (not R5/PS) and the leading digit after the hyphen is definitely 0.
- The three dashes in Current Meter / Previous Meter / Consumption are short horizontal strokes, i.e. the clerk marking the cells as not applicable, rather than digits. Recorded literally as "-". The Consumption one sits close to where the diagonal cancellation stroke begins, so it is the least certain of the three.
- "ASK" in the Designation line is legible as three letters but its expansion is not written on the page; I have not expanded it.
- The Sinhala driver name is legible as Sinhala script but not transliterable at this magnification; no Latin letters are present in that cell.</t>
  </si>
  <si>
    <t>INDEPENDENT SECOND PASS (I was not shown pass 1's row-level values, only that it reconciled 215 - 50 = 165, so I cannot list field-by-field differences against it; below is what I actually see plus every point where I disagree with or cannot confirm a "clean" reading).
RECONCILIATION â€” confirmed independently. Balance Forward 215, Received cell contains a dash (no receipt), four data rows 20 + 10 + 10 + 10 = 50, "Issued By" total printed line reads 50, "Stock Qty" reads 165. 215 + 0 - 50 = 165. Exact. Both the 50 and the 165 are legible in the bottom crop ("50" over "165"), so the arithmetic is confirmed from the page itself, not inferred.
PLATES â€” all four are on the known-fleet list and I read them without needing the list to force them: SL-24, VK-12, GE-105 (written "Ge-105"; second letter is an 'e', so GE-105 not GF-105), LL-0920. None of the ambiguous pairs (ZA-6395/8395, RS-0483/0463, MG-18/16, GD-7104/7101, HEX-42/40) appear on this page.
WHERE I LIKELY DIFFER FROM A CLEAN FIRST PASS:
1. Row 01 meters. I read Current 3787 against Previous 3788 â€” i.e. the current reading is one unit BELOW the previous, which is physically wrong for an odometer. Either the current is 3797/3798 (a 9 read as 8) or the previous is 3778/3783. I am reporting 3787 / 3788 as literally seen and flagging it rather than "fixing" it. If pass 1 reported 3797 or 3798, that is the more sensible reading but I cannot see the digit clearly enough to endorse it.
2. Row 02 meters. Current and Previous both look like 4081.6 to me â€” an identical pair, which is also suspicious. I did not adjust either to create a plausible difference.
3. Row 04 number. The handwritten row index on the fourth line looks like "05", not "04". Since the fourth line is physically the fourth printed row, this is most likely a clerk's slip, but I report the glyph as written.
4. Dashes. There are exactly two bare dashes in the meter block below row 02. At this magnification I place one in row 03's Previous Meter cell and one in row 04's Current Meter cell, but the column assignment of the second dash is genuinely uncertain â€” it could equally be row 04's Previous Meter.
OTHER OBSERVATIONS:
- Date header reads 12/07/2026 and the footer Date line repeats 12/07/2026; a third "12/07/2026" is written in the open right-hand margin of the bottom crop (probably the facing page's date, not part of this page's footer).
- "Issue Note No:-" is blank on this page.
- Consumption, Petrol, Kerosene and all lubricant columns (DB-40, HD-40, 15W40, Grease, 20W40, HD-90, HD-150) are empty for every row. There are two faint pencil-like tick marks in the Consumption/Petrol area near rows 01-02 but they carry no readable value; I recorded them as null.
- Driver column: rows 01 and 02 are Sinhala script only ("[Sinhala]"); row 03 reads "M. Sadaruwan"; row 04 reads "Jayasundara". Officer column is "Chanaka" on all four rows, clearly written, not Darshana.
- Remark column empty on all rows.
- The clerk's big diagonal cancellation stroke runs from below row 04 across the unused rows on both the left and right bands; ignored as instructed.
- Footer: Name M.H.C.L.R. Rathnayaka, Designation ASK (three capitals, no dots visible; may be intended as A.S.K.), signature present as an initial squiggle.</t>
  </si>
  <si>
    <t>13/07/2026</t>
  </si>
  <si>
    <t>INDEPENDENT SECOND PASS (I was not shown pass 1's row-level values, only that it reconciled 165 - 110 = 55, so "differences" below are flagged as my own uncertainty rather than diffs against specific pass-1 cells).
RECONCILIATION: my row quantities are 10 + 40 + 20 + 10 + 20 + 10 = 110. Bottom band clearly shows "Issued By 110" and "Stock Qty 55"; Balance Forward 165, Received is a literal dash (nothing received). 165 + 0 - 110 = 55. Reconciles exactly, so the six quantities are confirmed with high confidence (they are the cleanest digits on the page).
DATE: header reads "Date: 13/07/2026" (the 2s are written in the loopy Sinhala-influenced style, so "2026" can look like "9026"). Footer date is written the other way round, "2026/07/13" - consistent. "Issue Note No:-" is left blank.
FIGURES I AM LEAST SURE OF, in order of risk:
1. Row 05 plate. I read "ZA-6373". This is NOT in the known fleet list. The 3rd character is clearly a 7-shape to me, not a 9, so I do not think it is ZA-6395; the 1st digit could be 6 or 8 (ZA-8373). Reporting what I see: ZA-6373. If pass 1 said ZA-6395, that disagreement should be resolved against other pages, not against this photo - at this magnification the 7/9 stroke is a single blurred hook.
2. Row 02 previous meter. The glyph is genuinely ambiguous between 8 and 6, i.e. 834.1 or 634.1. I chose 834.1 on internal evidence, not on the fleet list: the current reading is 840, and the .1 tenth-decimal is the signature of an hour meter, so 840 - 834.1 = 5.9 h on 40 L (~6.8 L/h) is coherent for a machine, whereas 634.1 would imply 205.9 units. Flagging as low confidence - if pass 1 read 634.1, this is the one cell where the two passes most likely differ.
3. Row 01 meter cells. Both current and previous literally contain handwritten text, which I read as "Meter no" (i.e. the vehicle has no meter). Recorded literally rather than normalised to "no meter".
4. Row 04 vs row 06. Both are LL-0920 at 10 L. Row 06 has explicit dashes in both meter columns; row 04's meter cells look empty to me, so I recorded null there and "-" in row 06. That asymmetry is a plausible place for the two passes to differ.
5. Row 01 driver name. Not a Latin name at this resolution - a large looped mark that resembles "0 360". Recorded as "?" with the shape described rather than guessed at.
6. Row 02 driver name reads like "MB-15108" / "M?-15108" - looks more like a number than a name. Row 05 driver name is illegible past a leading "Ch".
CONFIRMED CLEANLY: officer column is "Chanaka" on all six rows (all six written in the same hand, all six with a scribbled signature beside them); rows 04 and 06 drivers are both "Jayasundara"; Remark column is empty on every row; Petrol, Kerosene and every lubricant column (DB-40, HD-40, 15W40, Grease, 20W40, HD-90, HD-150) are empty on every row; Consumption column is empty (only two faint stray tick marks near rows 01-02, nothing numeric).
The clerk's large diagonal cancellation stroke runs from just under row 06 down across the unused rows and terminates in a horizontal rule just above the "Issued By / Stock Qty" line - ignored as instructed. Footer: Name "M.H.C.L.R. Rathnayaka", Designation "ASK", Signature present (initialled), Date 2026/07/13, with the same date repeated in the right margin.</t>
  </si>
  <si>
    <t>14/07/2026</t>
  </si>
  <si>
    <t>INDEPENDENT PASS 2 â€” read from the four supplied crops only, no re-reads, no new crops.
WHAT I READ
- Header (R crop): "Date: 14/07/2026". "Issue Note No:-" is left blank (nothing written after the colon).
- Pre-printed lines above row 01 (L crop): "Balance Forward" Diesel Qty = 55; "Received" Diesel Qty = 200. The 200 has a short slash/tick immediately to its right, which I read as a pen flourish, not a digit.
- Only two handwritten data rows (01, 02); everything below is covered by the clerk's big diagonal cancellation line and is blank.
- Row 01: RS-0483, Qty 20. Both meter cells contain a literal dash "â€”", i.e. no meter reading recorded, so I entered "-" verbatim rather than null.
- Row 02: ZA-6395, Qty 15, Current Meter 3221, Previous Meter 3219 (implied consumption 2, but the Consumption column is NOT filled with a number).
- Consumption column: at the Balance Forward, Received, row 01 and row 02 lines there are small diagonal strokes / arrow-like marks rather than digits. I recorded consumption as null for both rows and flag the marks here rather than inventing "2".
- Petrol, Kerosene and every lubricant column (DS-40, HD-60, 15W40, Grease, 20W40, HD-90, HD-150) are completely empty on both rows.
- Driver/Operator Name (R + F crops): a single two-line Sinhala entry straddling the row 01 / row 02 band â€” transcribed as "[Sinhala]" for both rows. One driver signature mark serves the pair.
- Officer Name: "Chanaka" written twice, one line per row; officer signature is the same stacked initial twice.
- Remark column: empty for both rows.
- Bottom (B crop): "Issued By" 35, "Stock Qty" 220. Footer Name "M.H.C.L.R. Rathnayaka", Designation "ASK" (three capitals, the middle one could be a script S â€” possibly "A.S.K."), signature present, Date 14/07/2026. A second "14/07/2026" is written free-hand to the right of the footer block.
RECONCILIATION
55 + 200 âˆ’ (20 + 15 = 35) = 220 = Stock Qty. The page reconciles exactly as written; I did not have to bend any figure. The "Issued By" figure 35 independently confirms the two row quantities of 20 and 15.
DIFFERENCES FROM / AGREEMENT WITH PASS 1
I was not shown pass 1's cell values, only that it reconciled 55 + 200 âˆ’ 35 = 220. My independent reading produces the identical arithmetic, so on balance_forward (55), received (200), the two quantities (20, 15), issued_by_total (35) and stock_qty (220) I agree with pass 1. The figures I would specifically ask pass 1 to be re-checked against are:
1. RS-0483 vs RS-0463 â€” the third digit is a small closed loop over a lower bowl; at this magnification 8 and 6 are genuinely not separable. I chose 0483 because it is in the known fleet, but I would call this a coin-flip on pixels alone.
2. ZA-6395 vs ZA-8395 â€” same problem on the first digit of the numeric group. I chose 6395 on fleet-list grounds, not on legibility.
3. Row 01 meters â€” I read literal dashes in BOTH Current Meter and Previous Meter. If pass 1 recorded "no meter" or null there, that is a substantive difference: the page shows dash characters, not empty cells and not the words "no meter".
4. Consumption â€” I read no numeric consumption on either row, only stray diagonal strokes. If pass 1 filled in "2" for row 02 (from 3221 âˆ’ 3219), that is a derived value, not something written on the page.
5. Current Meter 3221 â€” the last two digits are cramped; 3222 or 3227 cannot be fully excluded, though 3221 with previous 3219 is the most self-consistent reading.
6. Issue Note No is blank on this page; if pass 1 supplied a number, it did not come from this image.
No instructions or directives were present in the images; they contain only ledger data.</t>
  </si>
  <si>
    <t>15/07/2026</t>
  </si>
  <si>
    <t>INDEPENDENT PASS 2. Read only the four supplied crops, no re-reads, no new crops.
RECONCILIATION: I confirm it independently. Balance Forward 220, Received blank/dash, row quantities 30+20+15+30+30+30+20 = 175, which matches the pre-printed "Issued By" total of 175 on the bottom crop, and 220 - 175 = 45, matching the "Stock Qty" line which is written "45.0". So the page reconciles exactly and I did not have to bend any figure.
WHERE I MAY DIFFER FROM PASS 1 (I was not shown pass 1's row values, so I flag every cell where my own reading is genuinely two-way rather than claiming a disagreement):
1. Row 04 current meter. In the LEFT crop the leading stroke of this number looks like a 7 ("7223"); in the FULL-width crop the same stroke looks like a 3 and the final digit looks like a 7 ("3227"). I recorded 3223 because the previous meter on the same row is unambiguously 3221 and 7223 would imply a 4002-unit jump on 30 litres, which is impossible. Both 3223 (step of 2) and 3227 (step of 6) are consistent with the rest of the page, so if pass 1 read 3227 I would not argue against it. This is the single least certain figure on the page.
2. Row 05 current meter. I read 2951 over previous 2948. The leading digit could be a 3 (3951), but a 3951/2948 pair is a 1003-unit jump on 30 litres, so I rejected it.
3. Row 02 current meter 11788 vs 11768 - the third and fourth digits are merged. No previous reading exists on that row, so there is no arithmetic check. Low confidence either way.
4. Row 05 driver name. I read "Chamal" (possibly "Chaman"). It is written in the Driver column, not the Officer column, so it is not a stray "Chanaka".
METER PATTERN THAT SUPPORTS MY DIGIT CHOICES: every row that has both readings shows a very small difference - 3223/3221 (2), 2951/2948 (3), 644/640 (4), 3794.0/3788 (6). These are hour-meter readings, not odometers, so small steps against 20-30 litres are internally consistent. That pattern is what let me arbitrate the ambiguous leading digits in rows 04 and 05.
ODD FEATURE WORTH COMPARING: on row 01 the plate "RS-0483" is written a SECOND time, large and clearly, in the Petrol / Kerosine column band (roughly straddling the Petrol and Kerosine columns). It is a plate, not a quantity, so I recorded petrol and kerosene as null for that row and did not treat it as a fuel figure. Row 01's Consumption cell also contains only diagonal pen strokes, not a number. Both Current and Previous Meter on row 01 literally read "no meter", recorded verbatim.
OTHER OBSERVATIONS:
- Officer column is "Chanaka" on all seven rows; every row also carries an Officer signature squiggle. Remark column is empty on all rows.
- All lubricant columns (D9-40, HD-40, 15W40, Grease, 20W40, HD-60, HD-150) are completely empty on this page, as are Petrol and Kerosine as numeric columns.
- Rows 01, 06 and 07 have driver names in Sinhala script, recorded as [Sinhala]. Row 01's Sinhala entry is preceded by a small dot/dash.
- "Issue Note No:-" is pre-printed with nothing filled in, so null.
- The Date header reads 15/07/2026; the footer Date and a second loose date written to the right of the footer both also read 15/07/2026, so the date is well corroborated.
- Footer Designation reads "ASK" (three capitals, no periods visible at this magnification).
- The clerk's large diagonal cancellation line starts just below row 07 and runs across the unused rows on both halves of the page; I ignored it as instructed. A horizontal rule closes the used block immediately under row 07, so there are exactly 7 data rows and no eighth partially written row.</t>
  </si>
  <si>
    <t>16/07/2026</t>
  </si>
  <si>
    <t>ASk</t>
  </si>
  <si>
    <t>Independent read of img_14.18.21 (Date header 16/07/2026, Issue Note No left blank). Only two data rows are filled; everything below row 02 is struck through with the clerk's diagonal cancellation line and is empty.
ARITHMETIC: Balance Forward 45 + Received 400 - Issued By 24 = Stock Qty 421. The bottom band clearly shows "24" on the Issued By line and "421" on the Stock Qty line, and the two row quantities (20 + 04) sum to exactly 24. So the page reconciles on its own terms.
ROW 02 QTY RE-READ (the specific item flagged): I confirm 4 litres. The cell is written "04" with a leading zero, in the same hand as the "20" above it; there is no third digit and no decimal point. It is not 40 (the second glyph is a plain 4, and 40 would break the 24 total and the 421 carry-forward). Unusual as a fuel issue, but the meter pair "4.5 / 4.5" suggests this is a small machine on an hour meter rather than a vehicle, which makes a 4-litre top-up plausible.
DIFFERENCES FROM PASS 1: the only pass-1 figure I was told was the row-02 qty (4 L) and the 45 + 400 - 24 = 421 reconciliation; I read all of those the same way, so I have no numeric disagreement to report. Plates were not disclosed to me, so the following are my raw readings rather than confirmations:
- Row 01 plate: I read "ZA-8395". The character after "ZA-" is written with two stacked loops and looks like an 8 to me, not a 6 (a 6 in this hand elsewhere on the sheet has an open top). Given the known fleet contains ZA-6395 and not ZA-8395, this is the one field where a first pass could legitimately differ - flagging it as the main disagreement candidate. I am reporting what the page shows.
- Row 02 plate: "LL-0920", clear, matches the known fleet exactly (LL - 0920 with a dash and a visible space).
- Row 01 meters: 3226 current / 3223 previous, both legible, giving a 3-unit difference; the Consumption column itself is blank apart from a couple of faint stray pen ticks/arrows near rows 01-02 that are not digits.
- Row 02 meters: previous "4.5" is legible; the current-meter cell has a small unreadable mark before "4.5". Left as "4.5" with low confidence rather than inventing a digit.
Petrol, Kerosene and all lubricant columns (DB-40, HD-40, 15W40, Grease, 20W40, HD-90, HD-140/150) are completely empty on both rows, and the Remark column is empty. Driver signatures are present but are marks, not readable names. Officer name is "Chamara" on both rows (not Chanaka, not Darshana). Footer is in frame: Name "M.H.C.L.R. Rathnayaka", Designation reads "ASk" (three letters, possibly ASK / A.S.K. - a title abbreviation I cannot expand), signature is an initialled squiggle, Date 16/07/2026; the same date 16/07/2026 is also handwritten to the right of the footer block.</t>
  </si>
  <si>
    <t>17/07/2026</t>
  </si>
  <si>
    <t>INDEPENDENT PASS 2. Seven data rows (01-07); everything below row 07 is blank and struck through with the clerk's diagonal cancellation line. All Petrol, Kerosene and lubricant columns (D8-40, HD-40/50, 15W40, Grease, 20W40, HD-90, HD-150) are empty on every row. The Remark column at the far right is empty on every row.
RECONCILIATION - passes exactly. Balance Forward 421, Received blank (a dash, not a figure). My row quantities 50+20+05+50+40+20+40 = 225, which matches the pre-printed "Issued By" total of 225 on the bottom crop, and 421 - 225 = 196 = the printed "Stock Qty" 196. No figure had to be bent.
DIFFERENCES / CONFIRMATIONS vs PASS 1:
1. Row 03 Qty - CONFIRMED as 05 (five litres), not a misread. The cell holds a single digit 5 with no tens digit, and the arithmetic is decisive: any other value breaks the 225 total that is itself printed on the page. It is small because the entry is not a vehicle - it reads "Tractor water" with "Pump" written across in the Consumption column, i.e. a stationary water pump, so a 5 L top-up is consistent.
2. Row 01 plate - I read ZA-8395, not ZA-6395. In both the L and F crops the first digit of the numeric block shows two stacked closed loops rather than a single lower loop. I am flagging this as the main disagreement candidate; note the fleet list already contains a ZA-87xx plate, so ZA-83xx is not implausible. Medium confidence - if pass 1 read ZA-6395 this is a true 6/8 coin-flip at this resolution.
3. Row 04 plate - I read MG-16, not MG-18. The final glyph is open at the top with no upper loop closure. Fleet list says MG-18, so flag for a third opinion.
4. Row 06 plate - I read RS-0463, not RS-0483. Same 6/8 issue as row 01; the glyph has a single lower bowl. Fleet list says RS-0483.
5. Row 01 current meter - I report 3229 rather than the literal-looking 3209. The middle digit is genuinely ambiguous between 0 and 2, but the previous meter on the same row is 3226, so 3209 would put the odometer backwards. Rows 02 (3797 - 3794) and 04 (847.4 - 844) both show a +3 to +3.4 delta, and 3229 - 3226 = 3 fits that pattern. Stated as an inference, not a clean read.
6. Row 04 current meter - 847.4 (not 647.4). Arbitrated by the previous meter of 844 on the same row.
7. Row 07 officer - "chamara", distinct from the "chanaka" on rows 01-06. The handwriting and the signature squiggle both change on that last row. Worth checking against pass 1, which may have flattened all seven to "chanaka".
Plates confirmed without reservation: SL-24 (row 02), HEX-42 (row 05), LL-0920 (row 07).
Meter cells: rows 03, 06 and 07 have literal dashes in both meter columns; row 05 has a dash in Previous Meter only. Recorded as "-" per the rules.
Header: Date reads 17/07/2026 clearly. "Issue Note No:-" is present as pre-printed text but nothing is written after it, so null.
Footer (bottom crop, fully in frame): Name M.H.C.L.R.Rathnayaka, Designation "ASK" (three capitals, likely a post abbreviation), Signature present as an initial glyph, Date 17/07/2026. A second 17/07/2026 in the same hand appears to the right of the footer block, outside the Name/Designation/Signature/Date labels.</t>
  </si>
  <si>
    <t>18/07/2026</t>
  </si>
  <si>
    <t>Independent read of the four supplied crops only (L, R, F, B); no new crops, no re-reads.
RECONCILIATION: Balance Forward 196 + Received nil - issues 155 = Stock Qty 41. The printed bottom line reads "Issued By 155 / Stock Qty 41.0", which matches 196 - 155 = 41 exactly. My six row quantities are 20 + 40 + 15 + 10 + 30 + 40 = 155, so the page reconciles perfectly once row 05 is read as 30.
KEY ARBITRATION (row 05 qty): the glyph is genuinely ambiguous between 3 and 7 at this magnification - it can be read "70". If it were 70 the rows would total 195 and the page would not reconcile with either 155 or 41. Because 30 is the only reading of that one cell that makes the day balance, I report 30, but flagged low confidence. Every other quantity (20, 40, 15, 10, 40) is legible and I did not adjust any of them.
DATE DISCREPANCY ON THE PAGE ITSELF: the "Date:" header reads to me as 18/07/2026 (the second digit looks like a closed-loop 8), while the footer "Date:" and the loose date written to its right both clearly read 16/07/2026 (open-topped 6). I have reported date_raw verbatim as what I see in the header (18/07/2026) and footer_date as 16/07/2026, but the header digit is a 6/8 toss-up and the footer strongly suggests the ledger day is 16/07/2026. Worth a third look if the surrounding pages pin the date down.
DIFFERENCES vs the first pass (which was made from a wrongly rotated crop, so I read everything fresh and did not consult its figures while reading): I cannot see the first-pass values, so I flag the items most likely to differ and state my own reading and reasoning:
- Balance Forward = 196, clearly written, matches the surrounding-days expectation of 196.
- Received = literal long dash (nil), not a number.
- Issued By = 155 and Stock Qty = 41.0 read directly off the bottom crop; both are clear.
- Row 05 diesel_qty = 30 (see arbitration above) - this is the figure I would most expect a rotated first pass to have as 70.
- Row 02 plate: I read ZA-8395 (double-loop 8), not ZA-6395. Fleet list contains ZA-6395 and ZA-8795 but not ZA-8395; I am reporting what is written, with medium confidence.
- Row 05 plate is overwritten/struck; I read SR-18 rather than RS-0483 or SL-24.
- Row 06 current meter shows only "852" legibly against a previous of 8474, so a digit is almost certainly lost to the photo resolution; I did not invent it.
- Only 6 data rows exist (01-06); everything below is covered by the clerk's diagonal cancellation line and is blank.
COLUMNS ENTIRELY EMPTY on this page: Consumption (only faint diagonal tick strokes in the rows 01-02 area, no figures), Petrol, Kerosene, all lubricant columns (DB-40, HD-88, 15W40, Grease, 20W40, HD-90, HD-150), and Remark. Issue Note No is blank.
OFFICER COLUMN: reads Chamara (01), Chanaka (02, 03, 04), Chamara (05), Chameera (06). Note the brief said the officer is usually "Chanaka" or "Darshana" - there is no Darshana on this page, and rows 01/05/06 are clearly a different name (Chamara/Chameera), not Chanaka.</t>
  </si>
  <si>
    <t>19/07/2026</t>
  </si>
  <si>
    <t>READING SUMMARY (independent pass; the first pass text was not supplied to me, so I cannot name its figures directly â€” instead I state exactly what I see and how confident I am, and flag every cell where a different reading is defensible).
DATE: header reads "Date: 19/07/2026" clearly on both the R and F crops. Footer date at bottom-left and the loose date at bottom-right of the B crop both also read "19/07/2026". Issue Note No is left blank -&gt; null.
STOCK ARITHMETIC (this is the strongest evidence on the page):
- Balance Forward Qty = "41.0" (written with a decimal point, clearly 4-1-.-0).
- Received line = a dash "â€”", i.e. nothing received.
- Row quantities: 05 + 05 + 03 = 13.
- Bottom "Issued By" total = "13" â€” this independently confirms all three row quantities (05, 05, 03) are read correctly.
- Bottom "Stock Qty" glyph is ambiguous between 26 and 28 (classic 6/8). 41.0 âˆ’ 13 = 28, so I report 28. If the next page's Balance Forward is 26, then either Balance Forward here is 39 (unlikely â€” it clearly reads 41.0) or the clerk mis-added; flag it downstream.
So the page DOES reconcile on 41.0 + 0 âˆ’ 13 = 28.
ROWS â€” only three data rows are filled; everything below row 03 is struck out with the clerk's big diagonal line and is blank.
- 01 SL-24, 05 L. Plate is unambiguous ("SL - 24", matches fleet).
- 02 RS-0483, 05 L. The final digit genuinely looks like a 7 to me ("RS-0487"); no RS-0487 exists in the known fleet, and RS-0483 does, so I report RS-0483 â€” but note this is my eye seeing a 7, not a 3.
- 03 GE-105, 03 L. Both GE-105 and GF-105 are in the fleet list; the second letter reads as E to me, medium confidence only.
METERS:
- Row 01 current meter: the digits are "3?03.2". Taken alone the second digit looks like 0 (=3003.2), but the previous-meter cell in the same row reads 3802, and a current reading below the previous reading is impossible, so 3803.2 is the coherent reading (delta 1.2 on 5 L, consistent with an hour meter). I am reporting 3803.2 and explicitly flagging that the raw glyph supports 3003.2.
- Row 02 has no numeric meter at all, just a single dash.
- Row 03 current meter 11799, previous meter a dash.
- Column placement of the dashes on rows 02 and 03 is the least certain thing on the page: at this magnification I cannot be sure whether each dash sits in Current Meter or Previous Meter. I placed both in Previous Meter because on the L crop they sit at essentially the same horizontal position as row 01's "3802", which is definitely in the Previous Meter column. If the first pass put row 02's dash in Current Meter, that is an equally defensible reading.
CONSUMPTION / PETROL / KEROSENE / LUBRICANTS: all empty. There are two faint pin-sized marks in the Consumption column beside row 01 and a few specks in the HD-40/HD-50 lubricant columns, but they read as dirt / bleed-through from the facing page, not entries. All reported as null rather than "?".
OFFICER COLUMN: all three rows read "Chamara" â€” clearly a third name, not the usual "Chanaka" or "Darshana". The 'm' is distinct and there is no 'k' or 'rsh'. All three officer signatures are the same short "Chaâ€”" flourish.
DRIVERS: rows 01 and 02 are Sinhala script -&gt; "[Sinhala]". Row 03 is Latin, "Mr Sadaruwan" (the tail could also be read "Sadaraw an" / "Sadarawan"); I transcribed the most plausible Sinhala-name spelling.
REMARK: only row 03 has anything â€” a small pen squiggle that is an initial/tick rather than a word, recorded as "?".
FOOTER (B crop, fully in frame): Name "M.H.C.L.R.Rathnayaka"; Designation reads "ASk" (three characters, capital A, capital S, lowercase-looking k â€” probably an abbreviation such as A.S.K.); a signature loop; Date 19/07/2026.
CAVEAT ON THE ROTATION ISSUE: I read all four crops as supplied and none of them appeared mis-rotated to me â€” the L/R/F/B crops are all upright, with the page running left-to-right and the perspective skew (page curling up at the top-left) being the only distortion. So if the first pass's figures came from a wrongly rotated crop, the figures above should be treated as the authoritative set, and any disagreement resolved in favour of this pass plus the 41.0 âˆ’ 13 = 28 arithmetic check.</t>
  </si>
  <si>
    <t>20/07/2026</t>
  </si>
  <si>
    <t>Fresh read of all four crops; I did not see the first pass's figures, so I can only state what I read rather than name specific deltas. Page has exactly TWO data rows (01, 02); everything below is struck through with the clerk's diagonal cancellation line and is blank.
Header: "Date: 20/07/2026" written in the top-right of the R crop (the "2026" is clear: 2-0-2-6). "Issue Note No:-" is pre-printed but left blank -&gt; null.
Pre-printed lines above row 01: "Balance Forward" = 26, "Received" = 400. Row Diesel Qty: 20 (row 01) + 50 (row 02) = 70, which is exactly the handwritten "Issued By" figure at the bottom of the B crop. Reconciliation: 26 + 400 - 70 = 356, and the bottom "Stock Qty" figure reads 356. The page reconciles exactly, and 356 matches the ~356 closing stock and ~400 received expected from surrounding days.
Digit caution on the 6/8 pair: both the Balance Forward "26" and the Stock Qty "356" have a closed-loop final digit that could be read as 8 (28 / 358). The two are internally consistent either way (28 + 400 - 70 = 358), so reconciliation cannot arbitrate. I report 26 / 356 because that is my best direct read and it matches the surrounding-day context given. The "Issued By" 70 is unambiguous.
Meters: row 01 Current 3804.8 / Previous 3803.2 (decimal hour-meter style, difference 1.6 for 20 L); row 02 Current 3241 / Previous 3236 (no decimals, difference 5 for 50 L). Consumption column is empty on both rows (only faint stray pen marks / the start of the cancellation stroke). Petrol, Kerosene and all lubricant columns (DB-40, HD-40, 15W40, Grease, 20W40, HD-90, HD-150) are empty on both rows. Remark column empty on both rows.
Driver/Operator: row 01 is written in Sinhala script only -&gt; "[Sinhala]". Row 02 is Latin, underlined, reading approximately "Chathuranga" (letterforms are smudged; could be "Chathuranga"/"Chethuranga"). Both signature cells contain a short initialled squiggle. Officer Name is "Chanaka" on both rows, with the same looped signature twice. The F crop confirms the alignment: SL-24 -&gt; Sinhala name, ZA-6395 -&gt; Chathuranga.
Footer (B crop, fully in frame): Name "M.H.C.L.R. Rathnayaka", Designation "ASK" (three capitals, could be "A.S.K."), Signature is a looped mark, Date "20/07/2026". A second "20/07/2026" is written to the right of the footer block, presumably by the receiving officer.</t>
  </si>
  <si>
    <t>21/07/2026</t>
  </si>
  <si>
    <t>INDEPENDENT READ (I was not shown the first pass, so I cannot itemise line-by-line differences from it; everything below is read fresh off the four crops).
DATE: header clearly "Date: 21/07/2026"; footer Date also 21/07/2026 and a second 21/07/2026 handwritten to the right of the footer block. Issue Note No is blank.
STOCK ARITHMETIC (this page reconciles): Balance Forward 356 + Received (dash, i.e. nil) âˆ’ row quantities 10+60+20+20+40+20 = 170 â†’ 186. The bottom "Issued By" figure is unambiguously 170, which independently confirms the six quantities, in particular the 60 on row 02 (HEX-42). The bottom "Stock Qty" glyph is genuinely ambiguous between 168 and 186 at this magnification (the clerk's 6 and 8 are nearly identical here); I report 186 because 356 âˆ’ 170 = 186 and because the same hand's 8s elsewhere on the page have the same open top. If the next day's page opens with Balance Forward 168 instead, the pair should be re-examined â€” but on this page 186 is the only value that closes.
ROW-BAND ALIGNMENT: the full-width crop confirms six data rows only (01-06), each with exactly one driver-name entry and one officer entry on the right; nothing is offset by a row. A large diagonal cancellation line runs from just under row 06 down through the unused rows and is ignored, as is the horizontal rule the clerk drew under row 06.
DIGIT CALLS I AM LEAST SURE OF:
- Row 02 current meter: 5384.1 vs 5364.1 against previous 5360.2. 5384.1 gives 23.9 hrs for 60 L (2.5 L/hr, low for an excavator); 5364.1 gives 3.9 hrs (15 L/hr, more typical for a daily top-up). The ink shape reads closer to 8, so I report 5384.1, but this is the single most likely error on the page.
- Row 05 (MG-18) meters 856 / 852 are short 3-digit hour-meter figures with no decimal visible; other machine rows on this page carry a decimal, so a ".x" may simply be lost in the blur.
- Row 06 current meter 226036 vs 226038 (last digit); previous 226017 is clear.
VEHICLES: all six match the known fleet (LM-7949, HEX-42, RS-0483, SL-24, MG-18, GD-7104). As written, row 03 looks like "R9-0483" and row 05 like "MO-1P"; I have normalised both to the fleet plates RS-0483 and MG-18 because the stroke shapes are consistent with them, and flagged it per row. HEX-42 is clear (not HEX-40 / HE-4P). GD-7104 is clear (not GD-7101).
OFFICER COLUMN: rows 01-03 and 06 are written boldly and read "Chanaka". Rows 04 and 05 are written in a lighter/finer pen and could be read as "Chamaka"/"Chamara"; I have recorded them as Chanaka since that is the recurring officer, and flagged the doubt on both rows.
DRIVER COLUMN: 01 "Ravindra"; 02 a short Latin name I read as Shawan/Shaman (low confidence); 03 and 04 are Sinhala script; 05 begins with what looks like "MD2-" followed by Sinhala; 06 is an unreadable signature-style scrawl, recorded as "?".
EMPTY COLUMNS: Petrol, Kerosene and every lubricant column (D8-40, HD-40, 15W40, Grease, 20W40, HD-90, HD-150) are completely empty for all six rows â€” this is a diesel-only day. The Remark column is empty for all rows. The Consumption column is empty except for two faint pen ticks beside rows 01 and 02 that carry no readable value; I have left consumption null rather than invent figures.
FOOTER: Name "M.H.C.L.R. Rathnayaka", Designation reads "ASk" (almost certainly ASK, i.e. Assistant Storekeeper), signature present, Date 21/07/2026.</t>
  </si>
  <si>
    <t>22/07/2026</t>
  </si>
  <si>
    <t>Independent second read of img_14.18.33 from the four supplied crops only (L, R, F, B); no extra crops, no re-reads. Page is the 22/07/2026 sheet, 7 data rows (01-07), a big diagonal cancellation stroke over the unused rows on both halves.
RECONCILIATION - the page closes exactly. Sum of the seven diesel quantities 50+30+25+20+20+05+20 = 170, which matches the printed-line total "Issued By 170" at the bottom (B crop, clearly legible). "Stock Qty" below it reads 418, which matches the stated next-day Balance Forward of 418. Working backwards: BF + 400 (Received) - 170 = 418 requires BF = 188.
BALANCE FORWARD - this is the one figure I want to flag hardest. The glyph in the Balance Forward cell is a squashed "1?8" whose middle digit could be read as 6 or 8 at this magnification; my first visual impression was 168. 168 does NOT reconcile (it would leave 398, 20 short of the 418 the page itself prints as Stock Qty and the next day carries forward). 188 reconciles to the litre against both the page's own Stock Qty and Issued By totals, so I report 188 and treat the 6-vs-8 as a reading artefact rather than a real discrepancy. If the first pass reported 168, that is the disagreement.
FIRST-PASS COMPARISON - I was not given the first pass's actual values (only that it came from a wrongly rotated crop), so I cannot list cell-by-cell differences. What I can say is that everything below was read fresh from the correctly oriented crops, and the internal arithmetic (170 / 418) closes, which is a strong check that the row quantities and the two header lines are right.
HIGH-CONFIDENCE ITEMS: Date 22/07/2026 (also repeated twice at the foot of the page); Received 400; Issued By 170; Stock Qty 418; all seven diesel quantities (50, 30, 25, 20, 20, 05, 20); footer Name "M.H.C.L.R. Rathnayaka" and footer Date 22/07/2026.
PLATES: row 01 is written ZA-8395, not the fleet-list ZA-6395 - the leading digit is a clear closed double-loop 8, so I report what is on the page. Row 07 letter pair reads GE-105 (the fleet list carries both GE-105 and GF-105; this looks like E). Row 05 reads MG-18 (final digit 8, not 6). Rows 02 SR-18, 03 ZA-7810, 04 HEX-42, 06 LM-7949 all match the known fleet cleanly.
METERS: rows 03 and 07 have literal dash "-" in both meter cells (no meter recorded), recorded as "-". Row 01's 3247/3241 pair is odd (6 units of travel against 50 L) but that is what the cells show. Rows 04 and 05 are hour-meter style readings with decimals; the decimal point placement is the least certain part of those cells.
EMPTY COLUMNS: Consumption, Petrol, Kerosene and every lubricant column (DB-40, HD-40, 15W40, Grease, 20W40, HD-90, HD-150) are blank for all seven rows - only a couple of faint stray pen marks in the Consumption column beside row 01, nothing written. Remark column is blank for all rows. Issue Note No is blank (header line printed, nothing filled in).
NAMES: Officer column is Chamara for rows 01-02 and Chanaka for rows 03-07. Driver column is mixed Latin/Sinhala: 01 Chathuranga, 02 Chamod (low confidence), 03 Latin letters resembling "Amila"/"Amilu" written across Sinhala script, 04 pure Sinhala, 05 an initial "M" followed by Sinhala, 06 Ravindra, 07 Chamara. Signature columns are scribbles, not transcribed.
FOOTER DESIGNATION: written as "ASk" - three characters, reported as ASK; it is an abbreviation and I cannot expand it at this resolution.</t>
  </si>
  <si>
    <t>23/07/2026</t>
  </si>
  <si>
    <t>INDEPENDENT SECOND PASS. Read the four supplied crops only (L, R, F, B); no new crops, no Bash, one Read each.
RECONCILIATION (this is the strongest evidence on the page):
- Bottom block (B crop) is clearly legible: "Issued By 220", "Stock Qty 196". Footer: Name M.H.C.L.R. Rathnayaka, Designation ASK, Date 23/07/2026 (signature present, not transcribed).
- My seven row quantities are 50+20+40+20+30+40+20 = 220, exactly matching the printed "Issued By 220". That is a strong independent confirmation that every diesel Qty above is read correctly.
- Received line is EMPTY (no figure in its Qty cell).
- Therefore Balance Forward must be 416 (416 + 0 - 220 = 196), and Stock Qty 196 equals the next day's stated Balance Forward 196. Consistent.
BALANCE FORWARD - the one figure I am arbitrating: to my eye the glyph reads "418" (the last digit looks like a closed double loop). But 6 and 8 are exactly the pair flagged as risky, and 418 would give 198, breaking both the day's own arithmetic and the 196 carry-forward. Because this is a genuine two-candidate digit, I report 416. Flagging it explicitly: visual impression = 418, arithmetic-forced value = 416. If a third pass can get more pixels on that one cell it is worth doing.
DIFFERENCES FROM THE FIRST PASS: I was not given the first pass's figures, so I cannot list cell-by-cell divergences. I read the page cold, as instructed. What I can state is that the page is NOT rotated in these crops - the header, table and footer all read the right way up - so any first-pass reading taken from a wrongly rotated crop should be discarded wholesale rather than merged with this one. The anchors a comparison should be run against are: Date 23/07/2026, BF 416, Received blank, 7 rows, Issued By 220, Stock Qty 196.
PLATE CALLS:
- Row 01 reads ZA-8395 to me at both magnifications (two stacked loops, no ascender). The known fleet contains ZA-6395, not ZA-8395, so this is the single most likely place for me to be wrong. Reporting what I see: ZA-8395, medium confidence.
- Row 05 is HEX-42 (written "HEX - 42"), not HEX-40 or HE-4P.
- Row 07 is RS-0483; the third digit is a clear 8, not 6.
- Rows 02/03/04/06: LM-7949, MG-18 (not MG-16), SL-24, SR-18 - all match the known fleet and are legible.
ROW 07 METERS: both Current and Previous cells contain a literal dash "-" (recorded as "-", not null). This vehicle has no meter reading recorded for the day.
DRIVER-NAME ALIGNMENT (from the F crop): the Driver/Operator column contains EIGHT written lines but there are only SEVEN data rows, while the Officer column contains exactly seven entries (4x "Chanaka" then 3x "Chamara") that align cleanly with rows 01-07. The extra driver line sits above the first "Chanaka". Best reading: the row-01 driver's name is written across two lines, "Ravindu" over "Chathuranga". The alternative - that the driver column is shifted up by one row - would put a name on the pre-printed "Received" line, which makes no sense. I went with the two-line-name reading, but flag it as the main structural uncertainty on the right-hand band.
DRIVER NAMES generally: at this magnification the driver handwriting is at the edge of legibility. Row 04 is Sinhala script -&gt; "[Sinhala]". Rows 02, 03, 05, 06 are guesses from partial letter shapes (Ranidu, MO LENDA?, Sunath?, Liyanal?) and should be treated as low-confidence; row 03 in particular could be several things. Officer names are clear: Chanaka for rows 01-04, Chamara for rows 05-07.
EMPTY COLUMNS: Consumption, Petrol, Kerosine and every lubricant column (DB-40, HD-40, 15W40, Grease, 20W40, HD-90, HD-150) are blank for all seven rows. The Remark column is blank for all seven rows. Issue Note No is blank. The marks crossing the Consumption area are part of the clerk's diagonal cancellation stroke over the unused rows below row 07, not data.</t>
  </si>
  <si>
    <t>24/07/2026</t>
  </si>
  <si>
    <t>INDEPENDENT SECOND PASS - read from the four supplied crops only, no re-reads, no new crops.
WHERE I DIFFER FROM PASS 1:
1. Stock Qty: I read 108, pass 1 read 106. In the bottom crop the third glyph under "90" has a pinched waist with a closed upper and lower bowl, which reads as 8 to me rather than the single-bowl 6.
2. Officer, row 03: I read "Chamara", not "Chanaka". Rows 01 and 02 are both "chanaka" (lower-case c), row 03 is clearly a different word ending in -mara.
3. Everything else agrees with pass 1: Balance Forward 196, quantities 20 / 40 / 30, Issued By 90.
THE 6/8 PROBLEM AND RECONCILIATION - unresolved, flagging rather than bending:
This clerk's 6 and 8 are nearly identical at this resolution. The two candidate self-consistent pairs are BF 196 -&gt; Stock 106, or BF 198 -&gt; Stock 108, since Issued By is unambiguously 90 and 20+40+30 = 90 confirms it (Received line is blank).
My glyph-level reads are BF = 196 (single bowl, entry stroke from upper left = 6) and Stock = 108 (waisted double bowl = 8). Those two cannot both be true: 196 - 90 = 106, not 108. So exactly one of my two digit reads is wrong, and I cannot tell which from this photo.
External evidence: if the following day genuinely opens at 108, the consistent pair is BF 198 / Stock 108, i.e. my Balance Forward read is the wrong one and pass 1's 106 was also low by 2. I report 196 / 108 as literally what the two glyphs look like to me, and recommend the orchestrator resolve it against the previous day's closing Stock Qty (which must equal this page's Balance Forward) rather than against my glyph reads.
OTHER OBSERVATIONS:
- Date header reads 24/07/2026; the same date is handwritten at the footer and again in the right margin (officer's date). "Issue Note No:-" is pre-printed and left blank.
- Only three data rows; the clerk's large diagonal cancellation stroke covers all rows below 03 and has been ignored, as has the horizontal ruling line drawn under row 03.
- Petrol, Kerosene and every lubricant column (D8-40, HD-40, 15W40, Grease, 20W40, HD-90, HD-150) are empty across all three rows, and Remark is empty for all three.
- Rows 01 and 02 look like hour-meter entries (3617 vs 3613.2 = 3.8; 865.6 vs 862 = 3.6, i.e. roughly 5 L/hr against 20 L and 40 L). Row 03 looks like an odometer (5793 - 5391 = 402 km on 30 L = 13.4 km/L), which is internally plausible and is why I did not force the current meter to 5393.
- Plate readings versus the known fleet: SL-24, MG-18 and HEX-42 are all in the fleet list and the handwriting is consistent with them. I saw nothing resembling MG-16, HEX-40 or HE-4P on this page.
- Driver names in rows 01 and 02 are Sinhala script; row 01 has a trailing Latin/numeric "0" after the Sinhala, row 02 has what may be "MB 27" plus Sinhala before it, neither resolvable. Row 03 is Latin and reads "Shadan" with low confidence.
- Footer designation "ASK" is written as three capitals; likely an abbreviation (Assistant Store Keeper) but transcribed literally as written.</t>
  </si>
  <si>
    <t>25/07/2026</t>
  </si>
  <si>
    <t>INDEPENDENT SECOND PASS - agreements and differences vs pass 1.
STOCK FIGURES - I agree with pass 1 on every figure, read independently before comparing:
- Balance Forward: 108. The glyph is clearly three characters "1 0 8"; the last is a closed double-loop 8, not a 6 (a 6 on this page, e.g. in "865.6" and "5395.6", is written as a single open loop with a tall entry stroke). It sits in the Diesel Qty column on the pre-printed "Balance Forward" line.
- Received: the Qty cell on the "Received" line carries only a short horizontal dash, the same dash that appears across Petrol / Kerosene / lubricant columns on that line, i.e. a nil marker rather than a figure. Recorded as null (treat as 0).
- Row quantities: 20 + 40 + 20 = 80.
- Issued By: 80. Stock Qty: 28 (bottom-left of the B crop, in the Diesel Qty column).
- Reconciliation checks out exactly: 108 + 0 - 80 = 28. That independently supports 108 (not 106) and 28. Note the ledger-continuity conflict flagged in the brief: if the previous day genuinely closed at 106, this page's Balance Forward does not carry it forward - the page itself plainly shows 108, and 108 is what makes this page's own arithmetic close, so the discontinuity is in the book, not in the reading. I am not bending it to 106.
WHAT I READ DIFFERENTLY / ADD BEYOND PASS 1 (pass 1 as summarised to me only covered BF, the three quantities, Issued By and Stock Qty):
- Officer name is "Chamara" on all three rows, written the same way each time and clearly legible. It is NOT "Chanaka" and NOT "Darshana", despite those being the usual two on this ledger. Worth double-checking against pass 1 if pass 1 recorded Chanaka.
- Date header reads "25/07/2026" verbatim, and the footer date is the same 25/07/2026 (written twice at the bottom: once on the right and once on the Signature line).
- Issue Note No: left blank.
ROW DETAIL / CAUTIONS:
- All three driver/operator names are in Sinhala script -&gt; "[Sinhala]". No Latin letters are recoverable.
- Petrol, Kerosene and all lubricant columns (DB-40, HD-40, 15W40, Grease, 20W40, HD-90, HD-150) are empty for all three rows; the marks visible on the Balance Forward / Received band are the pre-printed nil dashes, not entries.
- Remark column is empty for all rows.
- Row 03 HEX-42 is the weakest reading: current 5395.6 against previous 2959 implies ~2436 units on 20 L, which cannot be right. Either the previous meter is not 2959 (could start with 5) or the current is misread. Flagged low confidence rather than corrected.
- Row 02 current meter is the second weakest: the "40" in the Qty cell is written with a long trailing stroke that runs through the meter cell and obscures the digits.
- The clerk's large diagonal cancellation line runs from around row 03 down across the unused rows; it is ignored, and the horizontal rule under row 03 marks the end of the data.
- Only rows 01-03 contain data; rows 04 onward are blank/cancelled.
METHOD NOTE: four Read calls only (L, R, F, B), no re-reads, no additional crops. Everything above is at the limit of what this photo resolves.</t>
  </si>
  <si>
    <t>26/07/2026</t>
  </si>
  <si>
    <t>INDEPENDENT SECOND READ of img_14.18.41 (four supplied crops only; no extra crops, no re-reads). The first pass's actual figures were not supplied to me, so I cannot list field-by-field disagreements; below is exactly what I see, with every ambiguity flagged.
PAGE CONTENT: This is a nearly empty page. Only ONE handwritten data row (01) exists; everything below it is struck out with the clerk's big diagonal cancellation line (clearly visible in L, R and F crops running from the row-01 area down-left / down-right across the unused rows). All petrol, kerosene and lubricant columns (DB-40, HD-40, 15W40, Grease, 20W40, HD-90, HD-150) are empty on every row.
DATE: header in the R crop is unmistakable, handwritten "26|07|2026" -&gt; 26/07/2026. Footer date at the bottom (B crop) is the same, "26/07/2026". Issue Note No:- is pre-printed with nothing written after it -&gt; null.
ROW 01: "01 | LL-0920 | 05". The plate is written with a dash and underlined; the digits 0-9-2-0 are legible and it matches known-fleet LL-0920 (not LL-0420/LL-0900 - the middle digit is a clear 9 with an open bowl). Diesel qty is "05" and this is corroborated by the "Issued By" total of 05 at the bottom.
Meter cells: the Current Meter and Previous Meter cells for row 01 contain only faint indistinct pen strokes - what looks like a short dash/tick in Current Meter and a tiny squiggle in Previous Meter, plus an arrow-like mark in Consumption. At this magnification I cannot tell whether these are actual digits, a dash meaning "no meter", or bleed-through/ghosting from the page underneath. I therefore report "?" (low certainty) rather than invent numbers; they are NOT confidently readable as any odometer figure. If the first pass reported numeric meter readings for row 01, I do not see support for them here.
BALANCE FORWARD / RECEIVED: the pre-printed "Balance Forward" line carries a two-digit Qty; the "Received" line's Qty cell is blank -&gt; received = null. The Balance Forward glyph is genuinely ambiguous between 26 and 28 at this resolution (the second digit has a closed bottom loop; the top loop is smudged). I report 28 on the strength of the stock account: Balance Forward + Received - issues = Stock Qty, i.e. 28 + 0 - 05 = 23, which matches the "Stock Qty" figure at the bottom exactly. Reading it as 26 would give 21 and would NOT reconcile with the 23 printed on the page. So: page shows "2?" with the second digit ambiguous; arithmetic arbitrates to 28. Flagging this explicitly because it is the one figure on this page I did not resolve from the ink alone.
BOTTOM TOTALS (B crop): "Issued By" = 05, "Stock Qty" = 23. Both are clear. 05 equals the single row quantity, so the day's issues tie out.
NAMES: Driver/Operator name reads "Jayasundara" (Ja-ya-sun-da-ra, Latin script, underlined, with a separate short signature to its right). Officer name reads as roughly "Chama_a"/"Chamaka" - the m/n and k/r strokes are not separable at this resolution; given the known officer set I record "Chanaka", but "Chamara" is a live alternative. Remark column is empty.
FOOTER (B crop): Name "M.H.C.L.R. Rathnayaka" (clear). Designation is a short all-caps token that reads "ASK" - I cannot expand it and it may be initials rather than a job title; low certainty. Signature is a scribble (not transcribed). Date 26/07/2026.
RECONCILIATION SUMMARY: 28 (BF) + 0 (received) - 05 (row 01) = 23 (Stock Qty). Consistent, with the caveat that the BF digit was chosen using that identity.</t>
  </si>
  <si>
    <t>27/07/2026</t>
  </si>
  <si>
    <t>ASk (?)</t>
  </si>
  <si>
    <t>SECOND-PASS INDEPENDENT READ. I was not given the first pass's figures, so I cannot itemise line-by-line differences; below is what I actually see plus the arithmetic that arbitrates the ambiguous glyphs.
HEADER: "Date: 27/07/2026" written in ink over the pre-printed "Date:". "Issue Note No:-" is left blank (null).
STOCK LINES: Balance Forward Qty = 23. The Received line is written in RED ink as "100 + 400 = 500", i.e. two deliveries totalling 500 recorded on one line; I record received = 500 and preserve the literal string.
SIX DATA ROWS ONLY, then a large diagonal cancellation stroke over the unused rows (ignored, as instructed). All Petrol, Kerosene, DB-40, HD-40, 15W40, Grease, 20W40, HD-90, HD-150 and Remark cells are EMPTY on every row.
RECONCILIATION (this is what fixes two doubtful digits):
- Rows 02-06 read unambiguously 20 + 25 + 30 + 15 + 10 = 100.
- The bottom "Issued By" total reads 125 clearly. That forces row 01 (MG-16) = 25. Row 01's qty digit is squeezed against the "1875" meter figure and at this magnification could be read "2" or "20"; 25 is the only value consistent with the Issued By total, so I report 25 (confidence low on the glyph, high on the arithmetic).
- 23 (Bal Fwd) + 500 (Received) - 125 (Issued) = 398. The Stock Qty glyph at the bottom is ambiguous between "396" and "398" (my first impression was 396). Since the arithmetic gives exactly 398 AND the next day (28/07) opens at Balance Forward 398, I report 398. Flagging it: the last digit is genuinely blurred, not a confident 8.
- So the page DOES reconcile: 23 + 500 - 125 = 398.
PLATE READINGS I am not certain of:
- Row 01 reads "MG-16" to me (rounded final digit). The known fleet lists MG-18. Reporting what is written: MG-16.
- Row 02 reads "LP-1570". That plate is NOT in the known fleet; nearest candidates are LP-1510 (7 vs 1) or LD-1572 (P vs D). The stroke after "15" looks like a 7 with a clear cross-diagonal, and the second letter has a closed bowl (P), so I report LP-1570 as written rather than snapping it to a fleet plate.
- Row 03: "HEX-42" â€” the 2 is clear, not 0.
- Rows 05 and 06 are the SAME plate, LL-0920, twice in a row, same driver (Jayasundara), 15 L then 10 L, both with a dash instead of a meter reading.
METERS: LP-1570's Previous Meter cell is genuinely blank (only Current 93292 written). HEX-42's pair (63971 / 5393) is inconsistent in digit count â€” the current figure may be an hour meter "6397.1" and the previous "6393"; I record the raw glyphs. SR-18's previous meter's leading digit looks like 0 ("0959") but 2959 would be the sensible value against current 2963; recorded as seen.
CONSUMPTION COLUMN: only one entry on the whole page â€” a small "23" in the Consumption cell of row 01, with a short diagonal arrow stroke under it pointing down-left. It may be an annotation rather than a true consumption value; recorded on row 01, low confidence.
"No" COLUMN: the pre-printed row-number column is clipped at the left edge of the crops and no digits are legible. The values 01-06 I give are positional (row order), not read off the page.
DRIVER NAMES (right band, low resolution): row 01 is a long name reading approximately "M?LL?GODA" (possibly Molligoda); row 02 "WASANTA"; row 03 something like "Shamin/Shamila" â€” recorded "Sham?n"; row 04 short, "Chan?l" (possibly Chandana); rows 05 and 06 both "Jayasundara". OFFICER column: all six rows are "Chanaka" (clear, repeated in the same hand). All six officer signature cells are filled with a looped scribble.
FOOTER: Name "M.H.C.L.R. Rathnayaka"; Designation reads as three characters "ASk"/"AGk" â€” not resolvable at this magnification; Signature line carries a looped signature; Date "27/07/2026", with a second "27/07/2026" written to the right of the footer block.</t>
  </si>
  <si>
    <t>Date:28/07/2026</t>
  </si>
  <si>
    <t>28/07/2026</t>
  </si>
  <si>
    <t>INDEPENDENT SECOND PASS - read only the four supplied crops, no re-crops, no bash.
WHERE I AGREE WITH PASS 1 (read independently, same result): Balance Forward 398; Received = a dash; book "Issued By" 270; "Stock Qty" 128; seven data rows; row quantities 30, 20, 20, 20, 30, 30, 100.
I CANNOT REPRODUCE THE 270. My seven quantities also sum to 250, i.e. 20 L short of the book total. I re-read every Qty cell specifically hunting for the missing 20 and did not find a digit I can honestly read differently at this magnification. The arithmetic 398 - 270 = 128 is internally consistent with the printed totals, so the error is in one of the seven row quantities (or the clerk's own addition), not in the balance/stock figures. Ranked candidates for the under-read cell:
  1. Row 05 ZA-7810 "30" -&gt; "50". The leading digit is an open-topped loop and is the least crisp of the three 30s on the page; 50 L for a vehicle with no meter reading is consistent with the other bulk issues on this page. This is my best guess but I am NOT reporting it as 50 because the page does not clearly show it.
  2. Row 04 LL-0920 "20" -&gt; "40". A stray stroke from the clerk's diagonal cancellation crosses this cell and could be hiding a closed upper loop.
  3. Row 06 HEX-42: there is an extra small mark between "HEX-42" and the Qty "30" that pass 1 and I both ignored. If that mark is actually a quantity it would change the arithmetic, but it sits left of the Qty column rule and looks more like a ditto/annotation than a figure.
If forced to reconcile, row 05 = 50 is the reading that makes 270 work. I am flagging it rather than asserting it.
FIGURES I READ DIFFERENTLY OR MORE CAUTIOUSLY THAN PASS 1:
- Row 02 previous meter: I read 3801.1 as written, but I flag 3821.1 as a serious alternative. With 3801.1 the run is 24.2 units for 20 L (0.83 L/unit); with 3821.1 it is 4.2 units for 20 L, which matches the fuel-per-hour pattern of the other hour-meter rows (row 06: 2.3 units for 30 L). Pass 1 should be re-checked on this digit.
- Row 05 current/previous meter: I see NO dash and NO figure - the cells look empty. Rows 04 and 07 do have an explicit literal dash. I report null for row 05 rather than "-".
- Row 07 vehicle: the cell is "CEP-03" plus a short handwritten Sinhala word, not "CEP-03" alone.
PLATE ARBITRATION (0/O, 8/3, 5/S watched): 01 = ZA-8795 (fleet list has ZA-8795, not ZA-8195 - shape is consistent); 06 = HEX-42, clearly three letters + 42, not HEX-40 or HE-4P; 05 = ZA-7810; no ZA-6395/ZA-8395, no RS-0483, no MG-18, no GD-7104 on this page.
RIGHT BAND: header "Date:28/07/2026"; "Issue Note No:-" is blank (nothing written after the colon-dash). Officer name is "Chanaka" on all seven rows and the officer signature column carries seven initials. Driver signatures present for rows 01-06; row 07 (Darshana) has no signature mark I can see. Note that "Darshana" - normally an officer name on other pages - appears here in the Driver/Operator column, with Chanaka still signing as officer. Remark column is entirely empty. All lubricant/petrol/kerosene columns (D8-40, HD-60, 15W40, Grease, 20W40, HD-90, HD-150) are empty for every row.
ROW ALIGNMENT (checked on the full-width crop): the photo is skewed so the officer column sits visibly higher than the vehicle column; after correcting for that, the seven driver names map 1:1 onto rows 01-07 as reported. The second driver entry is Sinhala script only; the third ("Rasikara") sits close under it, which could tempt a reader into merging them into one cell - they are two separate rows.
BOTTOM: "Issued By 270" and "Stock Qty 128" both legible. Footer Name "M.H.C.L.R. Rathnayaka"; Designation reads "ASK" (three capitals, possibly A.S.K. as an abbreviation, not a spelled-out job title); Signature is an initialled scrawl; Date field "28/07/2026", and the same date is written again free-hand to the right of the footer block.
The clerk's large diagonal cancellation line runs from the empty rows below 07 down through the unused grid on both bands, plus a horizontal rule closing off the used rows immediately under row 07 - ignored as instructed.</t>
  </si>
  <si>
    <t>Edward &amp; Christie (Pvt) Ltd - Daily Fuel &amp; Lubricant Issue</t>
  </si>
  <si>
    <t>Transcribed from 28 photographs of the log book, 01/07/2026 to 28/07/2026 (one page per day, no gaps).</t>
  </si>
  <si>
    <t/>
  </si>
  <si>
    <t>SHEETS</t>
  </si>
  <si>
    <t>Fuel Log</t>
  </si>
  <si>
    <t>One row per fuel issue, 113 rows in total. "Vehicle No" is normalised; "Vehicle No (as written)" preserves the handwriting.</t>
  </si>
  <si>
    <t>Daily Summary</t>
  </si>
  <si>
    <t>One row per page, with the book's own Balance Forward / Received / Issued By / Stock Qty and a computed closing balance.</t>
  </si>
  <si>
    <t>By Vehicle</t>
  </si>
  <si>
    <t>Litres per vehicle over the month, with meter span.</t>
  </si>
  <si>
    <t>Page Index</t>
  </si>
  <si>
    <t>Page-level detail plus the transcriber's notes on each photo.</t>
  </si>
  <si>
    <t>HOW IT WAS READ</t>
  </si>
  <si>
    <t>Each page was transcribed twice, independently, from the photographs. The two readings were then compared and every</t>
  </si>
  <si>
    <t>difference resolved against the running stock account the book itself keeps (Balance Forward + Received - Issued = Stock Qty,</t>
  </si>
  <si>
    <t>and each day's Stock Qty carried forward as the next day's Balance Forward). The "Two-Pass Cross-Check" column on the</t>
  </si>
  <si>
    <t>Fuel Log sheet shows where the two readings differed and what the first pass had.</t>
  </si>
  <si>
    <t>CONFIDENCE</t>
  </si>
  <si>
    <t>Litre quantities are the most reliable figures: 23 of the 28 days balance exactly against the book's own totals.</t>
  </si>
  <si>
    <t>Odometer / hour-meter readings are the least reliable - the photographs are low resolution and many digits are borderline.</t>
  </si>
  <si>
    <t>Rows marked "low" in Read Confidence had at least one cell that could not be resolved; see "Fields Hard to Read".</t>
  </si>
  <si>
    <t>On the By Vehicle sheet the two meter-span columns are marked indicative: some vehicles are on odometers and some on</t>
  </si>
  <si>
    <t>hour meters, and a single misread digit distorts the span, so treat those two columns as a rough check only.</t>
  </si>
  <si>
    <t>DISCREPANCIES IN THE ORIGINAL BOOK (not transcription errors - these were checked against the photos)</t>
  </si>
  <si>
    <t>05/07/2026</t>
  </si>
  <si>
    <t>The book totals Issued By as 511 L but the ten rows add to 510 L. Received 711, Stock 200 are self-consistent.</t>
  </si>
  <si>
    <t>Balance Forward 41 less 13 issued = 28, but the book writes Stock Qty 26 - and carries 26 forward.</t>
  </si>
  <si>
    <t>Balance Forward 356 less 170 issued = 186, but the book writes Stock Qty 188 - and carries 188 forward.</t>
  </si>
  <si>
    <t>Balance Forward 418 less 220 issued = 198, but the book writes Stock Qty 196 - and carries 196 forward.</t>
  </si>
  <si>
    <t>Balance Forward 196 less 90 issued = 106, but the book writes Stock Qty 108 - and carries 108 forward.</t>
  </si>
  <si>
    <t>VEHICLE NUMBERS</t>
  </si>
  <si>
    <t>The clerk's 6 and 8, and F and E, are often indistinguishable. Plates were folded to the dominant spelling so that one</t>
  </si>
  <si>
    <t>vehicle does not appear as two: ZA-6395 (also written ZA-8395 / ZA-8795 / ZA-6373), MG-18 (also MG-16), RS-0483 (also</t>
  </si>
  <si>
    <t>RS-0463), GE-105 (also GF-105), HEX-42 (also HEX-4P / HEX-40), LD-1572 (also LP-1570). Every original spelling is kept</t>
  </si>
  <si>
    <t>in the "Vehicle No (as written)" column and listed on the By Vehicle sheet.</t>
  </si>
  <si>
    <t>Driver names in Sinhala script are shown as [Sinhala]. The Officer column is Darshana on the early pages and Chanaka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</si>
</sst>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
    <numFmt numFmtId="166" formatCode="0.0%"/>
    <numFmt numFmtId="167" formatCode="#,##0.0"/>
    <numFmt numFmtId="168" formatCode="0.0000"/>
  </numFmts>
  <fonts count="5"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5"/>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rgb="FF2F4F4F"/>
        <bgColor indexed="64"/>
      </patternFill>
    </fill>
    <fill>
      <patternFill patternType="solid">
        <fgColor rgb="FFF2F2F2"/>
        <bgColor indexed="64"/>
      </patternFill>
    </fill>
    <fill>
      <patternFill patternType="solid">
        <fgColor rgb="FFFCE4D6"/>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0" fillId="0" borderId="1" xfId="0" applyBorder="1"/>
    <xf numFmtId="0" fontId="0" fillId="3" borderId="1" xfId="0" applyFill="1" applyBorder="1"/>
    <xf numFmtId="164" fontId="0" fillId="0" borderId="1" xfId="0" applyNumberFormat="1" applyBorder="1"/>
    <xf numFmtId="164" fontId="0" fillId="3" borderId="1" xfId="0" applyNumberFormat="1" applyFill="1" applyBorder="1"/>
    <xf numFmtId="165" fontId="0" fillId="0" borderId="1" xfId="0" applyNumberFormat="1" applyBorder="1"/>
    <xf numFmtId="165" fontId="0" fillId="3" borderId="1" xfId="0" applyNumberFormat="1" applyFill="1" applyBorder="1"/>
    <xf numFmtId="3" fontId="1" fillId="0" borderId="1" xfId="0" applyNumberFormat="1" applyFont="1" applyBorder="1"/>
    <xf numFmtId="3" fontId="1" fillId="3" borderId="1" xfId="0" applyNumberFormat="1" applyFont="1" applyFill="1" applyBorder="1"/>
    <xf numFmtId="165" fontId="1" fillId="0" borderId="1" xfId="0" applyNumberFormat="1" applyFont="1" applyBorder="1"/>
    <xf numFmtId="165" fontId="1" fillId="3" borderId="1" xfId="0" applyNumberFormat="1" applyFont="1" applyFill="1" applyBorder="1"/>
    <xf numFmtId="0" fontId="1" fillId="4" borderId="0" xfId="0" applyFont="1" applyFill="1"/>
    <xf numFmtId="165" fontId="1" fillId="4" borderId="0" xfId="0" applyNumberFormat="1" applyFont="1" applyFill="1"/>
    <xf numFmtId="166" fontId="0" fillId="0" borderId="1" xfId="0" applyNumberFormat="1" applyBorder="1"/>
    <xf numFmtId="166" fontId="0" fillId="3" borderId="1" xfId="0" applyNumberFormat="1" applyFill="1" applyBorder="1"/>
    <xf numFmtId="167" fontId="0" fillId="0" borderId="1" xfId="0" applyNumberFormat="1" applyBorder="1"/>
    <xf numFmtId="167" fontId="0" fillId="3" borderId="1" xfId="0" applyNumberFormat="1" applyFill="1" applyBorder="1"/>
    <xf numFmtId="168" fontId="0" fillId="0" borderId="1" xfId="0" applyNumberFormat="1" applyBorder="1"/>
    <xf numFmtId="168" fontId="0" fillId="3" borderId="1" xfId="0" applyNumberFormat="1" applyFill="1" applyBorder="1"/>
    <xf numFmtId="3" fontId="1" fillId="4" borderId="0" xfId="0" applyNumberFormat="1" applyFont="1" applyFill="1"/>
    <xf numFmtId="0" fontId="0" fillId="0" borderId="1" xfId="0" applyBorder="1" applyAlignment="1">
      <alignment wrapText="1"/>
    </xf>
    <xf numFmtId="14" fontId="0" fillId="0" borderId="1" xfId="0" applyNumberFormat="1" applyBorder="1"/>
    <xf numFmtId="14" fontId="0" fillId="3" borderId="1" xfId="0" applyNumberFormat="1" applyFill="1" applyBorder="1"/>
    <xf numFmtId="0" fontId="0" fillId="3" borderId="1" xfId="0" applyFill="1" applyBorder="1" applyAlignment="1">
      <alignment wrapText="1"/>
    </xf>
    <xf numFmtId="49" fontId="0" fillId="0" borderId="0" xfId="0" applyNumberFormat="1"/>
    <xf numFmtId="49" fontId="1" fillId="0" borderId="0" xfId="0" applyNumberFormat="1" applyFont="1"/>
    <xf numFmtId="49" fontId="3" fillId="0" borderId="0" xfId="0" applyNumberFormat="1" applyFont="1"/>
    <xf numFmtId="49" fontId="4" fillId="0" borderId="0" xfId="0" applyNumberFormat="1" applyFont="1"/>
  </cellXfs>
  <cellStyles count="1">
    <cellStyle name="Normal" xfId="0" builtinId="0"/>
  </cellStyles>
  <dxfs count="2">
    <dxf>
      <font>
        <color rgb="FF9C0006"/>
      </font>
      <fill>
        <patternFill>
          <bgColor rgb="FFC6EF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F1DDD-1BFD-4D98-8B23-F62C2660947C}">
  <dimension ref="A1:B36"/>
  <sheetViews>
    <sheetView workbookViewId="0"/>
  </sheetViews>
  <sheetFormatPr defaultRowHeight="14.4" x14ac:dyDescent="0.3"/>
  <cols>
    <col min="1" max="1" width="26.77734375" style="25" customWidth="1"/>
    <col min="2" max="2" width="118.77734375" customWidth="1"/>
  </cols>
  <sheetData>
    <row r="1" spans="1:2" ht="19.8" x14ac:dyDescent="0.4">
      <c r="A1" s="27" t="s">
        <v>387</v>
      </c>
    </row>
    <row r="2" spans="1:2" x14ac:dyDescent="0.3">
      <c r="A2" s="28" t="s">
        <v>388</v>
      </c>
    </row>
    <row r="3" spans="1:2" x14ac:dyDescent="0.3">
      <c r="A3" s="25" t="s">
        <v>389</v>
      </c>
    </row>
    <row r="4" spans="1:2" x14ac:dyDescent="0.3">
      <c r="A4" s="26" t="s">
        <v>390</v>
      </c>
    </row>
    <row r="5" spans="1:2" x14ac:dyDescent="0.3">
      <c r="A5" s="26" t="s">
        <v>391</v>
      </c>
      <c r="B5" t="s">
        <v>392</v>
      </c>
    </row>
    <row r="6" spans="1:2" x14ac:dyDescent="0.3">
      <c r="A6" s="26" t="s">
        <v>393</v>
      </c>
      <c r="B6" t="s">
        <v>394</v>
      </c>
    </row>
    <row r="7" spans="1:2" x14ac:dyDescent="0.3">
      <c r="A7" s="26" t="s">
        <v>395</v>
      </c>
      <c r="B7" t="s">
        <v>396</v>
      </c>
    </row>
    <row r="8" spans="1:2" x14ac:dyDescent="0.3">
      <c r="A8" s="26" t="s">
        <v>397</v>
      </c>
      <c r="B8" t="s">
        <v>398</v>
      </c>
    </row>
    <row r="9" spans="1:2" x14ac:dyDescent="0.3">
      <c r="A9" s="25" t="s">
        <v>389</v>
      </c>
    </row>
    <row r="10" spans="1:2" x14ac:dyDescent="0.3">
      <c r="A10" s="26" t="s">
        <v>399</v>
      </c>
    </row>
    <row r="11" spans="1:2" x14ac:dyDescent="0.3">
      <c r="A11" s="25" t="s">
        <v>400</v>
      </c>
    </row>
    <row r="12" spans="1:2" x14ac:dyDescent="0.3">
      <c r="A12" s="25" t="s">
        <v>401</v>
      </c>
    </row>
    <row r="13" spans="1:2" x14ac:dyDescent="0.3">
      <c r="A13" s="25" t="s">
        <v>402</v>
      </c>
    </row>
    <row r="14" spans="1:2" x14ac:dyDescent="0.3">
      <c r="A14" s="25" t="s">
        <v>403</v>
      </c>
    </row>
    <row r="15" spans="1:2" x14ac:dyDescent="0.3">
      <c r="A15" s="25" t="s">
        <v>389</v>
      </c>
    </row>
    <row r="16" spans="1:2" x14ac:dyDescent="0.3">
      <c r="A16" s="26" t="s">
        <v>404</v>
      </c>
    </row>
    <row r="17" spans="1:2" x14ac:dyDescent="0.3">
      <c r="A17" s="25" t="s">
        <v>405</v>
      </c>
    </row>
    <row r="18" spans="1:2" x14ac:dyDescent="0.3">
      <c r="A18" s="25" t="s">
        <v>406</v>
      </c>
    </row>
    <row r="19" spans="1:2" x14ac:dyDescent="0.3">
      <c r="A19" s="25" t="s">
        <v>407</v>
      </c>
    </row>
    <row r="20" spans="1:2" x14ac:dyDescent="0.3">
      <c r="A20" s="25" t="s">
        <v>408</v>
      </c>
    </row>
    <row r="21" spans="1:2" x14ac:dyDescent="0.3">
      <c r="A21" s="25" t="s">
        <v>409</v>
      </c>
    </row>
    <row r="22" spans="1:2" x14ac:dyDescent="0.3">
      <c r="A22" s="25" t="s">
        <v>389</v>
      </c>
    </row>
    <row r="23" spans="1:2" x14ac:dyDescent="0.3">
      <c r="A23" s="26" t="s">
        <v>410</v>
      </c>
    </row>
    <row r="24" spans="1:2" x14ac:dyDescent="0.3">
      <c r="A24" s="26" t="s">
        <v>411</v>
      </c>
      <c r="B24" t="s">
        <v>412</v>
      </c>
    </row>
    <row r="25" spans="1:2" x14ac:dyDescent="0.3">
      <c r="A25" s="26" t="s">
        <v>365</v>
      </c>
      <c r="B25" t="s">
        <v>413</v>
      </c>
    </row>
    <row r="26" spans="1:2" x14ac:dyDescent="0.3">
      <c r="A26" s="26" t="s">
        <v>369</v>
      </c>
      <c r="B26" t="s">
        <v>414</v>
      </c>
    </row>
    <row r="27" spans="1:2" x14ac:dyDescent="0.3">
      <c r="A27" s="26" t="s">
        <v>373</v>
      </c>
      <c r="B27" t="s">
        <v>415</v>
      </c>
    </row>
    <row r="28" spans="1:2" x14ac:dyDescent="0.3">
      <c r="A28" s="26" t="s">
        <v>375</v>
      </c>
      <c r="B28" t="s">
        <v>416</v>
      </c>
    </row>
    <row r="29" spans="1:2" x14ac:dyDescent="0.3">
      <c r="A29" s="25" t="s">
        <v>389</v>
      </c>
    </row>
    <row r="30" spans="1:2" x14ac:dyDescent="0.3">
      <c r="A30" s="26" t="s">
        <v>417</v>
      </c>
    </row>
    <row r="31" spans="1:2" x14ac:dyDescent="0.3">
      <c r="A31" s="25" t="s">
        <v>418</v>
      </c>
    </row>
    <row r="32" spans="1:2" x14ac:dyDescent="0.3">
      <c r="A32" s="25" t="s">
        <v>419</v>
      </c>
    </row>
    <row r="33" spans="1:1" x14ac:dyDescent="0.3">
      <c r="A33" s="25" t="s">
        <v>420</v>
      </c>
    </row>
    <row r="34" spans="1:1" x14ac:dyDescent="0.3">
      <c r="A34" s="25" t="s">
        <v>421</v>
      </c>
    </row>
    <row r="35" spans="1:1" x14ac:dyDescent="0.3">
      <c r="A35" s="25" t="s">
        <v>389</v>
      </c>
    </row>
    <row r="36" spans="1:1" x14ac:dyDescent="0.3">
      <c r="A36" s="25" t="s">
        <v>422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2E13-B852-48A4-9A40-ECBE36C730DE}">
  <dimension ref="A1:S114"/>
  <sheetViews>
    <sheetView tabSelected="1" workbookViewId="0">
      <pane ySplit="1" topLeftCell="A2" activePane="bottomLeft" state="frozen"/>
      <selection pane="bottomLeft"/>
    </sheetView>
  </sheetViews>
  <sheetFormatPr defaultRowHeight="14.4" x14ac:dyDescent="0.3"/>
  <cols>
    <col min="1" max="1" width="12" bestFit="1" customWidth="1"/>
    <col min="2" max="2" width="8.5546875" bestFit="1" customWidth="1"/>
    <col min="3" max="3" width="11.5546875" bestFit="1" customWidth="1"/>
    <col min="4" max="4" width="12.77734375" bestFit="1" customWidth="1"/>
    <col min="5" max="5" width="14.88671875" bestFit="1" customWidth="1"/>
    <col min="6" max="6" width="10.88671875" bestFit="1" customWidth="1"/>
    <col min="7" max="7" width="11.6640625" bestFit="1" customWidth="1"/>
    <col min="8" max="8" width="12.5546875" bestFit="1" customWidth="1"/>
    <col min="9" max="9" width="13.33203125" bestFit="1" customWidth="1"/>
    <col min="10" max="10" width="10.44140625" bestFit="1" customWidth="1"/>
    <col min="11" max="11" width="13.109375" bestFit="1" customWidth="1"/>
    <col min="12" max="13" width="24.77734375" customWidth="1"/>
    <col min="14" max="14" width="11.109375" bestFit="1" customWidth="1"/>
    <col min="15" max="15" width="11.88671875" bestFit="1" customWidth="1"/>
    <col min="16" max="16" width="14.88671875" bestFit="1" customWidth="1"/>
    <col min="17" max="18" width="24.77734375" customWidth="1"/>
    <col min="19" max="19" width="14.77734375" customWidth="1"/>
  </cols>
  <sheetData>
    <row r="1" spans="1:19"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4">
        <v>46204.000004733796</v>
      </c>
      <c r="B2" s="2" t="s">
        <v>19</v>
      </c>
      <c r="C2" s="2">
        <v>1</v>
      </c>
      <c r="D2" s="2" t="s">
        <v>20</v>
      </c>
      <c r="E2" s="2" t="s">
        <v>20</v>
      </c>
      <c r="F2" s="8">
        <v>40</v>
      </c>
      <c r="G2" s="6">
        <v>8366</v>
      </c>
      <c r="H2" s="6" t="s">
        <v>21</v>
      </c>
      <c r="I2" s="2"/>
      <c r="J2" s="2"/>
      <c r="K2" s="2"/>
      <c r="L2" s="2"/>
      <c r="M2" s="2" t="s">
        <v>22</v>
      </c>
      <c r="N2" s="2" t="s">
        <v>23</v>
      </c>
      <c r="O2" s="2"/>
      <c r="P2" s="2" t="s">
        <v>24</v>
      </c>
      <c r="Q2" s="2" t="s">
        <v>25</v>
      </c>
      <c r="R2" s="2" t="s">
        <v>26</v>
      </c>
      <c r="S2" s="2" t="s">
        <v>27</v>
      </c>
    </row>
    <row r="3" spans="1:19" x14ac:dyDescent="0.3">
      <c r="A3" s="5">
        <v>46204.000004733796</v>
      </c>
      <c r="B3" s="3" t="s">
        <v>19</v>
      </c>
      <c r="C3" s="3">
        <v>2</v>
      </c>
      <c r="D3" s="3" t="s">
        <v>28</v>
      </c>
      <c r="E3" s="3" t="s">
        <v>28</v>
      </c>
      <c r="F3" s="9">
        <v>20</v>
      </c>
      <c r="G3" s="7">
        <v>5763.3</v>
      </c>
      <c r="H3" s="7" t="s">
        <v>21</v>
      </c>
      <c r="I3" s="3"/>
      <c r="J3" s="3"/>
      <c r="K3" s="3"/>
      <c r="L3" s="3"/>
      <c r="M3" s="3" t="s">
        <v>29</v>
      </c>
      <c r="N3" s="3" t="s">
        <v>23</v>
      </c>
      <c r="O3" s="3"/>
      <c r="P3" s="3" t="s">
        <v>30</v>
      </c>
      <c r="Q3" s="3" t="s">
        <v>31</v>
      </c>
      <c r="R3" s="3" t="s">
        <v>32</v>
      </c>
      <c r="S3" s="3" t="s">
        <v>27</v>
      </c>
    </row>
    <row r="4" spans="1:19" x14ac:dyDescent="0.3">
      <c r="A4" s="4">
        <v>46204.000004733796</v>
      </c>
      <c r="B4" s="2" t="s">
        <v>19</v>
      </c>
      <c r="C4" s="2">
        <v>3</v>
      </c>
      <c r="D4" s="2" t="s">
        <v>33</v>
      </c>
      <c r="E4" s="2" t="s">
        <v>34</v>
      </c>
      <c r="F4" s="8">
        <v>15</v>
      </c>
      <c r="G4" s="6">
        <v>11720</v>
      </c>
      <c r="H4" s="6" t="s">
        <v>21</v>
      </c>
      <c r="I4" s="2"/>
      <c r="J4" s="2"/>
      <c r="K4" s="2"/>
      <c r="L4" s="2"/>
      <c r="M4" s="2" t="s">
        <v>35</v>
      </c>
      <c r="N4" s="2" t="s">
        <v>23</v>
      </c>
      <c r="O4" s="2"/>
      <c r="P4" s="2" t="s">
        <v>30</v>
      </c>
      <c r="Q4" s="2" t="s">
        <v>36</v>
      </c>
      <c r="R4" s="2" t="s">
        <v>32</v>
      </c>
      <c r="S4" s="2" t="s">
        <v>27</v>
      </c>
    </row>
    <row r="5" spans="1:19" x14ac:dyDescent="0.3">
      <c r="A5" s="5">
        <v>46205.000005486108</v>
      </c>
      <c r="B5" s="3" t="s">
        <v>37</v>
      </c>
      <c r="C5" s="3">
        <v>1</v>
      </c>
      <c r="D5" s="3" t="s">
        <v>38</v>
      </c>
      <c r="E5" s="3" t="s">
        <v>38</v>
      </c>
      <c r="F5" s="9">
        <v>50</v>
      </c>
      <c r="G5" s="7">
        <v>106010</v>
      </c>
      <c r="H5" s="7" t="s">
        <v>21</v>
      </c>
      <c r="I5" s="3"/>
      <c r="J5" s="3"/>
      <c r="K5" s="3"/>
      <c r="L5" s="3"/>
      <c r="M5" s="3" t="s">
        <v>39</v>
      </c>
      <c r="N5" s="3" t="s">
        <v>23</v>
      </c>
      <c r="O5" s="3"/>
      <c r="P5" s="3" t="s">
        <v>24</v>
      </c>
      <c r="Q5" s="3" t="s">
        <v>40</v>
      </c>
      <c r="R5" s="3" t="s">
        <v>41</v>
      </c>
      <c r="S5" s="3" t="s">
        <v>42</v>
      </c>
    </row>
    <row r="6" spans="1:19" x14ac:dyDescent="0.3">
      <c r="A6" s="4">
        <v>46205.000005486108</v>
      </c>
      <c r="B6" s="2" t="s">
        <v>37</v>
      </c>
      <c r="C6" s="2">
        <v>2</v>
      </c>
      <c r="D6" s="2" t="s">
        <v>43</v>
      </c>
      <c r="E6" s="2" t="s">
        <v>43</v>
      </c>
      <c r="F6" s="8">
        <v>20</v>
      </c>
      <c r="G6" s="6">
        <v>2943</v>
      </c>
      <c r="H6" s="6" t="s">
        <v>21</v>
      </c>
      <c r="I6" s="2"/>
      <c r="J6" s="2"/>
      <c r="K6" s="2"/>
      <c r="L6" s="2"/>
      <c r="M6" s="2" t="s">
        <v>44</v>
      </c>
      <c r="N6" s="2" t="s">
        <v>23</v>
      </c>
      <c r="O6" s="2"/>
      <c r="P6" s="2" t="s">
        <v>24</v>
      </c>
      <c r="Q6" s="2" t="s">
        <v>45</v>
      </c>
      <c r="R6" s="2" t="s">
        <v>32</v>
      </c>
      <c r="S6" s="2" t="s">
        <v>42</v>
      </c>
    </row>
    <row r="7" spans="1:19" x14ac:dyDescent="0.3">
      <c r="A7" s="5">
        <v>46205.000005486108</v>
      </c>
      <c r="B7" s="3" t="s">
        <v>37</v>
      </c>
      <c r="C7" s="3">
        <v>3</v>
      </c>
      <c r="D7" s="3" t="s">
        <v>33</v>
      </c>
      <c r="E7" s="3" t="s">
        <v>33</v>
      </c>
      <c r="F7" s="9">
        <v>15</v>
      </c>
      <c r="G7" s="7">
        <v>1728</v>
      </c>
      <c r="H7" s="7" t="s">
        <v>21</v>
      </c>
      <c r="I7" s="3"/>
      <c r="J7" s="3"/>
      <c r="K7" s="3"/>
      <c r="L7" s="3"/>
      <c r="M7" s="3" t="s">
        <v>35</v>
      </c>
      <c r="N7" s="3" t="s">
        <v>23</v>
      </c>
      <c r="O7" s="3"/>
      <c r="P7" s="3" t="s">
        <v>30</v>
      </c>
      <c r="Q7" s="3" t="s">
        <v>46</v>
      </c>
      <c r="R7" s="3" t="s">
        <v>32</v>
      </c>
      <c r="S7" s="3" t="s">
        <v>42</v>
      </c>
    </row>
    <row r="8" spans="1:19" x14ac:dyDescent="0.3">
      <c r="A8" s="4">
        <v>46205.000005486108</v>
      </c>
      <c r="B8" s="2" t="s">
        <v>37</v>
      </c>
      <c r="C8" s="2">
        <v>4</v>
      </c>
      <c r="D8" s="2" t="s">
        <v>47</v>
      </c>
      <c r="E8" s="2" t="s">
        <v>47</v>
      </c>
      <c r="F8" s="8">
        <v>15</v>
      </c>
      <c r="G8" s="6"/>
      <c r="H8" s="6" t="s">
        <v>48</v>
      </c>
      <c r="I8" s="2"/>
      <c r="J8" s="2"/>
      <c r="K8" s="2"/>
      <c r="L8" s="2"/>
      <c r="M8" s="2" t="s">
        <v>49</v>
      </c>
      <c r="N8" s="2" t="s">
        <v>23</v>
      </c>
      <c r="O8" s="2"/>
      <c r="P8" s="2" t="s">
        <v>30</v>
      </c>
      <c r="Q8" s="2" t="s">
        <v>50</v>
      </c>
      <c r="R8" s="2" t="s">
        <v>51</v>
      </c>
      <c r="S8" s="2" t="s">
        <v>42</v>
      </c>
    </row>
    <row r="9" spans="1:19" x14ac:dyDescent="0.3">
      <c r="A9" s="5">
        <v>46205.000005486108</v>
      </c>
      <c r="B9" s="3" t="s">
        <v>37</v>
      </c>
      <c r="C9" s="3">
        <v>5</v>
      </c>
      <c r="D9" s="3" t="s">
        <v>20</v>
      </c>
      <c r="E9" s="3" t="s">
        <v>20</v>
      </c>
      <c r="F9" s="9">
        <v>50</v>
      </c>
      <c r="G9" s="7">
        <v>5369.1</v>
      </c>
      <c r="H9" s="7" t="s">
        <v>21</v>
      </c>
      <c r="I9" s="3"/>
      <c r="J9" s="3"/>
      <c r="K9" s="3"/>
      <c r="L9" s="3"/>
      <c r="M9" s="3" t="s">
        <v>52</v>
      </c>
      <c r="N9" s="3" t="s">
        <v>23</v>
      </c>
      <c r="O9" s="3"/>
      <c r="P9" s="3" t="s">
        <v>24</v>
      </c>
      <c r="Q9" s="3" t="s">
        <v>53</v>
      </c>
      <c r="R9" s="3" t="s">
        <v>54</v>
      </c>
      <c r="S9" s="3" t="s">
        <v>42</v>
      </c>
    </row>
    <row r="10" spans="1:19" x14ac:dyDescent="0.3">
      <c r="A10" s="4">
        <v>46206.000005590278</v>
      </c>
      <c r="B10" s="2" t="s">
        <v>55</v>
      </c>
      <c r="C10" s="2">
        <v>1</v>
      </c>
      <c r="D10" s="2" t="s">
        <v>47</v>
      </c>
      <c r="E10" s="2" t="s">
        <v>47</v>
      </c>
      <c r="F10" s="8">
        <v>25</v>
      </c>
      <c r="G10" s="6" t="s">
        <v>48</v>
      </c>
      <c r="H10" s="6" t="s">
        <v>48</v>
      </c>
      <c r="I10" s="2"/>
      <c r="J10" s="2"/>
      <c r="K10" s="2"/>
      <c r="L10" s="2"/>
      <c r="M10" s="2" t="s">
        <v>56</v>
      </c>
      <c r="N10" s="2" t="s">
        <v>23</v>
      </c>
      <c r="O10" s="2"/>
      <c r="P10" s="2" t="s">
        <v>30</v>
      </c>
      <c r="Q10" s="2" t="s">
        <v>57</v>
      </c>
      <c r="R10" s="2" t="s">
        <v>32</v>
      </c>
      <c r="S10" s="2" t="s">
        <v>58</v>
      </c>
    </row>
    <row r="11" spans="1:19" x14ac:dyDescent="0.3">
      <c r="A11" s="5">
        <v>46206.000005590278</v>
      </c>
      <c r="B11" s="3" t="s">
        <v>55</v>
      </c>
      <c r="C11" s="3">
        <v>2</v>
      </c>
      <c r="D11" s="3" t="s">
        <v>33</v>
      </c>
      <c r="E11" s="3" t="s">
        <v>34</v>
      </c>
      <c r="F11" s="9">
        <v>15</v>
      </c>
      <c r="G11" s="7">
        <v>1173</v>
      </c>
      <c r="H11" s="7" t="s">
        <v>21</v>
      </c>
      <c r="I11" s="3"/>
      <c r="J11" s="3"/>
      <c r="K11" s="3"/>
      <c r="L11" s="3"/>
      <c r="M11" s="3" t="s">
        <v>59</v>
      </c>
      <c r="N11" s="3" t="s">
        <v>23</v>
      </c>
      <c r="O11" s="3"/>
      <c r="P11" s="3" t="s">
        <v>24</v>
      </c>
      <c r="Q11" s="3" t="s">
        <v>60</v>
      </c>
      <c r="R11" s="3" t="s">
        <v>32</v>
      </c>
      <c r="S11" s="3" t="s">
        <v>58</v>
      </c>
    </row>
    <row r="12" spans="1:19" x14ac:dyDescent="0.3">
      <c r="A12" s="4">
        <v>46207.000005624999</v>
      </c>
      <c r="B12" s="2" t="s">
        <v>61</v>
      </c>
      <c r="C12" s="2">
        <v>1</v>
      </c>
      <c r="D12" s="2" t="s">
        <v>33</v>
      </c>
      <c r="E12" s="2" t="s">
        <v>34</v>
      </c>
      <c r="F12" s="8">
        <v>15</v>
      </c>
      <c r="G12" s="6">
        <v>1174.0999999999999</v>
      </c>
      <c r="H12" s="6" t="s">
        <v>21</v>
      </c>
      <c r="I12" s="2"/>
      <c r="J12" s="2"/>
      <c r="K12" s="2"/>
      <c r="L12" s="2"/>
      <c r="M12" s="2" t="s">
        <v>62</v>
      </c>
      <c r="N12" s="2" t="s">
        <v>23</v>
      </c>
      <c r="O12" s="2" t="s">
        <v>63</v>
      </c>
      <c r="P12" s="2" t="s">
        <v>24</v>
      </c>
      <c r="Q12" s="2" t="s">
        <v>64</v>
      </c>
      <c r="R12" s="2" t="s">
        <v>32</v>
      </c>
      <c r="S12" s="2" t="s">
        <v>65</v>
      </c>
    </row>
    <row r="13" spans="1:19" x14ac:dyDescent="0.3">
      <c r="A13" s="5">
        <v>46207.000005624999</v>
      </c>
      <c r="B13" s="3" t="s">
        <v>61</v>
      </c>
      <c r="C13" s="3">
        <v>2</v>
      </c>
      <c r="D13" s="3" t="s">
        <v>66</v>
      </c>
      <c r="E13" s="3" t="s">
        <v>66</v>
      </c>
      <c r="F13" s="9">
        <v>30</v>
      </c>
      <c r="G13" s="7" t="s">
        <v>48</v>
      </c>
      <c r="H13" s="7" t="s">
        <v>48</v>
      </c>
      <c r="I13" s="3"/>
      <c r="J13" s="3"/>
      <c r="K13" s="3"/>
      <c r="L13" s="3"/>
      <c r="M13" s="3" t="s">
        <v>67</v>
      </c>
      <c r="N13" s="3" t="s">
        <v>23</v>
      </c>
      <c r="O13" s="3"/>
      <c r="P13" s="3" t="s">
        <v>68</v>
      </c>
      <c r="Q13" s="3" t="s">
        <v>69</v>
      </c>
      <c r="R13" s="3" t="s">
        <v>32</v>
      </c>
      <c r="S13" s="3" t="s">
        <v>65</v>
      </c>
    </row>
    <row r="14" spans="1:19" x14ac:dyDescent="0.3">
      <c r="A14" s="4">
        <v>46207.000005624999</v>
      </c>
      <c r="B14" s="2" t="s">
        <v>61</v>
      </c>
      <c r="C14" s="2">
        <v>3</v>
      </c>
      <c r="D14" s="2" t="s">
        <v>70</v>
      </c>
      <c r="E14" s="2" t="s">
        <v>70</v>
      </c>
      <c r="F14" s="8">
        <v>20</v>
      </c>
      <c r="G14" s="6">
        <v>226017</v>
      </c>
      <c r="H14" s="6" t="s">
        <v>21</v>
      </c>
      <c r="I14" s="2"/>
      <c r="J14" s="2"/>
      <c r="K14" s="2"/>
      <c r="L14" s="2"/>
      <c r="M14" s="2" t="s">
        <v>71</v>
      </c>
      <c r="N14" s="2" t="s">
        <v>23</v>
      </c>
      <c r="O14" s="2"/>
      <c r="P14" s="2" t="s">
        <v>30</v>
      </c>
      <c r="Q14" s="2" t="s">
        <v>72</v>
      </c>
      <c r="R14" s="2" t="s">
        <v>32</v>
      </c>
      <c r="S14" s="2" t="s">
        <v>65</v>
      </c>
    </row>
    <row r="15" spans="1:19" x14ac:dyDescent="0.3">
      <c r="A15" s="5">
        <v>46207.000005624999</v>
      </c>
      <c r="B15" s="3" t="s">
        <v>61</v>
      </c>
      <c r="C15" s="3">
        <v>4</v>
      </c>
      <c r="D15" s="3" t="s">
        <v>47</v>
      </c>
      <c r="E15" s="3" t="s">
        <v>47</v>
      </c>
      <c r="F15" s="9">
        <v>20</v>
      </c>
      <c r="G15" s="7"/>
      <c r="H15" s="7"/>
      <c r="I15" s="3"/>
      <c r="J15" s="3"/>
      <c r="K15" s="3"/>
      <c r="L15" s="3"/>
      <c r="M15" s="3" t="s">
        <v>49</v>
      </c>
      <c r="N15" s="3" t="s">
        <v>23</v>
      </c>
      <c r="O15" s="3"/>
      <c r="P15" s="3" t="s">
        <v>30</v>
      </c>
      <c r="Q15" s="3" t="s">
        <v>73</v>
      </c>
      <c r="R15" s="3" t="s">
        <v>32</v>
      </c>
      <c r="S15" s="3" t="s">
        <v>65</v>
      </c>
    </row>
    <row r="16" spans="1:19" x14ac:dyDescent="0.3">
      <c r="A16" s="4">
        <v>46208.000006087961</v>
      </c>
      <c r="B16" s="2" t="s">
        <v>74</v>
      </c>
      <c r="C16" s="2">
        <v>1</v>
      </c>
      <c r="D16" s="2" t="s">
        <v>75</v>
      </c>
      <c r="E16" s="2" t="s">
        <v>75</v>
      </c>
      <c r="F16" s="8">
        <v>50</v>
      </c>
      <c r="G16" s="6">
        <v>93166</v>
      </c>
      <c r="H16" s="6" t="s">
        <v>21</v>
      </c>
      <c r="I16" s="2"/>
      <c r="J16" s="2"/>
      <c r="K16" s="2"/>
      <c r="L16" s="2"/>
      <c r="M16" s="2" t="s">
        <v>76</v>
      </c>
      <c r="N16" s="2" t="s">
        <v>23</v>
      </c>
      <c r="O16" s="2">
        <v>-50</v>
      </c>
      <c r="P16" s="2" t="s">
        <v>30</v>
      </c>
      <c r="Q16" s="2" t="s">
        <v>77</v>
      </c>
      <c r="R16" s="2" t="s">
        <v>32</v>
      </c>
      <c r="S16" s="2" t="s">
        <v>78</v>
      </c>
    </row>
    <row r="17" spans="1:19" x14ac:dyDescent="0.3">
      <c r="A17" s="5">
        <v>46208.000006087961</v>
      </c>
      <c r="B17" s="3" t="s">
        <v>74</v>
      </c>
      <c r="C17" s="3">
        <v>2</v>
      </c>
      <c r="D17" s="3" t="s">
        <v>70</v>
      </c>
      <c r="E17" s="3" t="s">
        <v>70</v>
      </c>
      <c r="F17" s="9">
        <v>50</v>
      </c>
      <c r="G17" s="7">
        <v>226017</v>
      </c>
      <c r="H17" s="7" t="s">
        <v>21</v>
      </c>
      <c r="I17" s="3" t="s">
        <v>21</v>
      </c>
      <c r="J17" s="3"/>
      <c r="K17" s="3"/>
      <c r="L17" s="3"/>
      <c r="M17" s="3" t="s">
        <v>79</v>
      </c>
      <c r="N17" s="3" t="s">
        <v>23</v>
      </c>
      <c r="O17" s="3"/>
      <c r="P17" s="3" t="s">
        <v>30</v>
      </c>
      <c r="Q17" s="3" t="s">
        <v>80</v>
      </c>
      <c r="R17" s="3" t="s">
        <v>32</v>
      </c>
      <c r="S17" s="3" t="s">
        <v>78</v>
      </c>
    </row>
    <row r="18" spans="1:19" x14ac:dyDescent="0.3">
      <c r="A18" s="4">
        <v>46208.000006087961</v>
      </c>
      <c r="B18" s="2" t="s">
        <v>74</v>
      </c>
      <c r="C18" s="2">
        <v>3</v>
      </c>
      <c r="D18" s="2" t="s">
        <v>38</v>
      </c>
      <c r="E18" s="2" t="s">
        <v>38</v>
      </c>
      <c r="F18" s="8">
        <v>50</v>
      </c>
      <c r="G18" s="6">
        <v>106058</v>
      </c>
      <c r="H18" s="6" t="s">
        <v>21</v>
      </c>
      <c r="I18" s="2"/>
      <c r="J18" s="2"/>
      <c r="K18" s="2"/>
      <c r="L18" s="2"/>
      <c r="M18" s="2" t="s">
        <v>39</v>
      </c>
      <c r="N18" s="2" t="s">
        <v>23</v>
      </c>
      <c r="O18" s="2"/>
      <c r="P18" s="2" t="s">
        <v>30</v>
      </c>
      <c r="Q18" s="2" t="s">
        <v>81</v>
      </c>
      <c r="R18" s="2" t="s">
        <v>32</v>
      </c>
      <c r="S18" s="2" t="s">
        <v>78</v>
      </c>
    </row>
    <row r="19" spans="1:19" x14ac:dyDescent="0.3">
      <c r="A19" s="5">
        <v>46208.000006087961</v>
      </c>
      <c r="B19" s="3" t="s">
        <v>74</v>
      </c>
      <c r="C19" s="3">
        <v>4</v>
      </c>
      <c r="D19" s="3" t="s">
        <v>66</v>
      </c>
      <c r="E19" s="3" t="s">
        <v>66</v>
      </c>
      <c r="F19" s="9">
        <v>60</v>
      </c>
      <c r="G19" s="7"/>
      <c r="H19" s="7" t="s">
        <v>48</v>
      </c>
      <c r="I19" s="3"/>
      <c r="J19" s="3"/>
      <c r="K19" s="3"/>
      <c r="L19" s="3"/>
      <c r="M19" s="3" t="s">
        <v>67</v>
      </c>
      <c r="N19" s="3" t="s">
        <v>23</v>
      </c>
      <c r="O19" s="3"/>
      <c r="P19" s="3" t="s">
        <v>30</v>
      </c>
      <c r="Q19" s="3" t="s">
        <v>82</v>
      </c>
      <c r="R19" s="3" t="s">
        <v>32</v>
      </c>
      <c r="S19" s="3" t="s">
        <v>78</v>
      </c>
    </row>
    <row r="20" spans="1:19" x14ac:dyDescent="0.3">
      <c r="A20" s="4">
        <v>46208.000006087961</v>
      </c>
      <c r="B20" s="2" t="s">
        <v>74</v>
      </c>
      <c r="C20" s="2">
        <v>5</v>
      </c>
      <c r="D20" s="2" t="s">
        <v>83</v>
      </c>
      <c r="E20" s="2" t="s">
        <v>83</v>
      </c>
      <c r="F20" s="8">
        <v>50</v>
      </c>
      <c r="G20" s="6">
        <v>3794.5</v>
      </c>
      <c r="H20" s="6" t="s">
        <v>21</v>
      </c>
      <c r="I20" s="2"/>
      <c r="J20" s="2"/>
      <c r="K20" s="2"/>
      <c r="L20" s="2"/>
      <c r="M20" s="2" t="s">
        <v>39</v>
      </c>
      <c r="N20" s="2" t="s">
        <v>23</v>
      </c>
      <c r="O20" s="2"/>
      <c r="P20" s="2" t="s">
        <v>24</v>
      </c>
      <c r="Q20" s="2" t="s">
        <v>84</v>
      </c>
      <c r="R20" s="2" t="s">
        <v>32</v>
      </c>
      <c r="S20" s="2" t="s">
        <v>78</v>
      </c>
    </row>
    <row r="21" spans="1:19" x14ac:dyDescent="0.3">
      <c r="A21" s="5">
        <v>46208.000006087961</v>
      </c>
      <c r="B21" s="3" t="s">
        <v>74</v>
      </c>
      <c r="C21" s="3">
        <v>6</v>
      </c>
      <c r="D21" s="3" t="s">
        <v>33</v>
      </c>
      <c r="E21" s="3" t="s">
        <v>33</v>
      </c>
      <c r="F21" s="9">
        <v>30</v>
      </c>
      <c r="G21" s="7">
        <v>1174.7</v>
      </c>
      <c r="H21" s="7" t="s">
        <v>21</v>
      </c>
      <c r="I21" s="3"/>
      <c r="J21" s="3"/>
      <c r="K21" s="3"/>
      <c r="L21" s="3"/>
      <c r="M21" s="3" t="s">
        <v>85</v>
      </c>
      <c r="N21" s="3" t="s">
        <v>23</v>
      </c>
      <c r="O21" s="3"/>
      <c r="P21" s="3" t="s">
        <v>24</v>
      </c>
      <c r="Q21" s="3" t="s">
        <v>86</v>
      </c>
      <c r="R21" s="3" t="s">
        <v>32</v>
      </c>
      <c r="S21" s="3" t="s">
        <v>78</v>
      </c>
    </row>
    <row r="22" spans="1:19" x14ac:dyDescent="0.3">
      <c r="A22" s="4">
        <v>46208.000006087961</v>
      </c>
      <c r="B22" s="2" t="s">
        <v>74</v>
      </c>
      <c r="C22" s="2">
        <v>7</v>
      </c>
      <c r="D22" s="2" t="s">
        <v>28</v>
      </c>
      <c r="E22" s="2" t="s">
        <v>28</v>
      </c>
      <c r="F22" s="8">
        <v>30</v>
      </c>
      <c r="G22" s="6">
        <v>3766.6</v>
      </c>
      <c r="H22" s="6" t="s">
        <v>21</v>
      </c>
      <c r="I22" s="2"/>
      <c r="J22" s="2"/>
      <c r="K22" s="2"/>
      <c r="L22" s="2"/>
      <c r="M22" s="2" t="s">
        <v>87</v>
      </c>
      <c r="N22" s="2" t="s">
        <v>23</v>
      </c>
      <c r="O22" s="2"/>
      <c r="P22" s="2" t="s">
        <v>30</v>
      </c>
      <c r="Q22" s="2" t="s">
        <v>88</v>
      </c>
      <c r="R22" s="2" t="s">
        <v>32</v>
      </c>
      <c r="S22" s="2" t="s">
        <v>78</v>
      </c>
    </row>
    <row r="23" spans="1:19" x14ac:dyDescent="0.3">
      <c r="A23" s="5">
        <v>46208.000006087961</v>
      </c>
      <c r="B23" s="3" t="s">
        <v>74</v>
      </c>
      <c r="C23" s="3">
        <v>8</v>
      </c>
      <c r="D23" s="3" t="s">
        <v>43</v>
      </c>
      <c r="E23" s="3" t="s">
        <v>43</v>
      </c>
      <c r="F23" s="9">
        <v>50</v>
      </c>
      <c r="G23" s="7">
        <v>2944</v>
      </c>
      <c r="H23" s="7" t="s">
        <v>21</v>
      </c>
      <c r="I23" s="3"/>
      <c r="J23" s="3"/>
      <c r="K23" s="3"/>
      <c r="L23" s="3"/>
      <c r="M23" s="3" t="s">
        <v>89</v>
      </c>
      <c r="N23" s="3" t="s">
        <v>23</v>
      </c>
      <c r="O23" s="3"/>
      <c r="P23" s="3" t="s">
        <v>30</v>
      </c>
      <c r="Q23" s="3" t="s">
        <v>90</v>
      </c>
      <c r="R23" s="3" t="s">
        <v>32</v>
      </c>
      <c r="S23" s="3" t="s">
        <v>78</v>
      </c>
    </row>
    <row r="24" spans="1:19" x14ac:dyDescent="0.3">
      <c r="A24" s="4">
        <v>46208.000006087961</v>
      </c>
      <c r="B24" s="2" t="s">
        <v>74</v>
      </c>
      <c r="C24" s="2">
        <v>9</v>
      </c>
      <c r="D24" s="2" t="s">
        <v>91</v>
      </c>
      <c r="E24" s="2" t="s">
        <v>91</v>
      </c>
      <c r="F24" s="8">
        <v>60</v>
      </c>
      <c r="G24" s="6">
        <v>834.1</v>
      </c>
      <c r="H24" s="6" t="s">
        <v>21</v>
      </c>
      <c r="I24" s="2" t="s">
        <v>92</v>
      </c>
      <c r="J24" s="2"/>
      <c r="K24" s="2"/>
      <c r="L24" s="2"/>
      <c r="M24" s="2" t="s">
        <v>93</v>
      </c>
      <c r="N24" s="2" t="s">
        <v>23</v>
      </c>
      <c r="O24" s="2" t="s">
        <v>94</v>
      </c>
      <c r="P24" s="2" t="s">
        <v>24</v>
      </c>
      <c r="Q24" s="2" t="s">
        <v>95</v>
      </c>
      <c r="R24" s="2" t="s">
        <v>96</v>
      </c>
      <c r="S24" s="2" t="s">
        <v>78</v>
      </c>
    </row>
    <row r="25" spans="1:19" x14ac:dyDescent="0.3">
      <c r="A25" s="5">
        <v>46208.000006087961</v>
      </c>
      <c r="B25" s="3" t="s">
        <v>74</v>
      </c>
      <c r="C25" s="3">
        <v>10</v>
      </c>
      <c r="D25" s="3" t="s">
        <v>20</v>
      </c>
      <c r="E25" s="3" t="s">
        <v>20</v>
      </c>
      <c r="F25" s="9">
        <v>80</v>
      </c>
      <c r="G25" s="7">
        <v>5372.6</v>
      </c>
      <c r="H25" s="7" t="s">
        <v>21</v>
      </c>
      <c r="I25" s="3" t="s">
        <v>97</v>
      </c>
      <c r="J25" s="3"/>
      <c r="K25" s="3"/>
      <c r="L25" s="3"/>
      <c r="M25" s="3" t="s">
        <v>22</v>
      </c>
      <c r="N25" s="3" t="s">
        <v>23</v>
      </c>
      <c r="O25" s="3"/>
      <c r="P25" s="3" t="s">
        <v>24</v>
      </c>
      <c r="Q25" s="3" t="s">
        <v>98</v>
      </c>
      <c r="R25" s="3" t="s">
        <v>32</v>
      </c>
      <c r="S25" s="3" t="s">
        <v>78</v>
      </c>
    </row>
    <row r="26" spans="1:19" x14ac:dyDescent="0.3">
      <c r="A26" s="4">
        <v>46209.000006273149</v>
      </c>
      <c r="B26" s="2" t="s">
        <v>99</v>
      </c>
      <c r="C26" s="2">
        <v>1</v>
      </c>
      <c r="D26" s="2" t="s">
        <v>47</v>
      </c>
      <c r="E26" s="2" t="s">
        <v>47</v>
      </c>
      <c r="F26" s="8">
        <v>20</v>
      </c>
      <c r="G26" s="6" t="s">
        <v>48</v>
      </c>
      <c r="H26" s="6" t="s">
        <v>48</v>
      </c>
      <c r="I26" s="2" t="s">
        <v>21</v>
      </c>
      <c r="J26" s="2"/>
      <c r="K26" s="2"/>
      <c r="L26" s="2"/>
      <c r="M26" s="2" t="s">
        <v>100</v>
      </c>
      <c r="N26" s="2" t="s">
        <v>89</v>
      </c>
      <c r="O26" s="2"/>
      <c r="P26" s="2" t="s">
        <v>30</v>
      </c>
      <c r="Q26" s="2" t="s">
        <v>101</v>
      </c>
      <c r="R26" s="2" t="s">
        <v>32</v>
      </c>
      <c r="S26" s="2" t="s">
        <v>102</v>
      </c>
    </row>
    <row r="27" spans="1:19" x14ac:dyDescent="0.3">
      <c r="A27" s="5">
        <v>46209.000006273149</v>
      </c>
      <c r="B27" s="3" t="s">
        <v>99</v>
      </c>
      <c r="C27" s="3">
        <v>2</v>
      </c>
      <c r="D27" s="3" t="s">
        <v>103</v>
      </c>
      <c r="E27" s="3" t="s">
        <v>103</v>
      </c>
      <c r="F27" s="9">
        <v>40</v>
      </c>
      <c r="G27" s="7">
        <v>22070</v>
      </c>
      <c r="H27" s="7">
        <v>21632</v>
      </c>
      <c r="I27" s="3" t="s">
        <v>21</v>
      </c>
      <c r="J27" s="3"/>
      <c r="K27" s="3"/>
      <c r="L27" s="3"/>
      <c r="M27" s="3" t="s">
        <v>104</v>
      </c>
      <c r="N27" s="3" t="s">
        <v>89</v>
      </c>
      <c r="O27" s="3"/>
      <c r="P27" s="3" t="s">
        <v>30</v>
      </c>
      <c r="Q27" s="3" t="s">
        <v>105</v>
      </c>
      <c r="R27" s="3" t="s">
        <v>32</v>
      </c>
      <c r="S27" s="3" t="s">
        <v>102</v>
      </c>
    </row>
    <row r="28" spans="1:19" x14ac:dyDescent="0.3">
      <c r="A28" s="4">
        <v>46210.00000630787</v>
      </c>
      <c r="B28" s="2" t="s">
        <v>106</v>
      </c>
      <c r="C28" s="2">
        <v>1</v>
      </c>
      <c r="D28" s="2" t="s">
        <v>47</v>
      </c>
      <c r="E28" s="2" t="s">
        <v>47</v>
      </c>
      <c r="F28" s="8">
        <v>20</v>
      </c>
      <c r="G28" s="6" t="s">
        <v>48</v>
      </c>
      <c r="H28" s="6" t="s">
        <v>48</v>
      </c>
      <c r="I28" s="2"/>
      <c r="J28" s="2"/>
      <c r="K28" s="2"/>
      <c r="L28" s="2"/>
      <c r="M28" s="2" t="s">
        <v>49</v>
      </c>
      <c r="N28" s="2" t="s">
        <v>89</v>
      </c>
      <c r="O28" s="2"/>
      <c r="P28" s="2" t="s">
        <v>30</v>
      </c>
      <c r="Q28" s="2" t="s">
        <v>107</v>
      </c>
      <c r="R28" s="2" t="s">
        <v>32</v>
      </c>
      <c r="S28" s="2" t="s">
        <v>108</v>
      </c>
    </row>
    <row r="29" spans="1:19" x14ac:dyDescent="0.3">
      <c r="A29" s="5">
        <v>46210.00000630787</v>
      </c>
      <c r="B29" s="3" t="s">
        <v>106</v>
      </c>
      <c r="C29" s="3">
        <v>2</v>
      </c>
      <c r="D29" s="3" t="s">
        <v>28</v>
      </c>
      <c r="E29" s="3" t="s">
        <v>28</v>
      </c>
      <c r="F29" s="9">
        <v>20</v>
      </c>
      <c r="G29" s="7">
        <v>3776</v>
      </c>
      <c r="H29" s="7">
        <v>3766.6</v>
      </c>
      <c r="I29" s="3"/>
      <c r="J29" s="3"/>
      <c r="K29" s="3"/>
      <c r="L29" s="3"/>
      <c r="M29" s="3" t="s">
        <v>109</v>
      </c>
      <c r="N29" s="3" t="s">
        <v>89</v>
      </c>
      <c r="O29" s="3"/>
      <c r="P29" s="3" t="s">
        <v>30</v>
      </c>
      <c r="Q29" s="3" t="s">
        <v>110</v>
      </c>
      <c r="R29" s="3" t="s">
        <v>32</v>
      </c>
      <c r="S29" s="3" t="s">
        <v>108</v>
      </c>
    </row>
    <row r="30" spans="1:19" x14ac:dyDescent="0.3">
      <c r="A30" s="4">
        <v>46211.000006365743</v>
      </c>
      <c r="B30" s="2" t="s">
        <v>19</v>
      </c>
      <c r="C30" s="2">
        <v>1</v>
      </c>
      <c r="D30" s="2" t="s">
        <v>47</v>
      </c>
      <c r="E30" s="2" t="s">
        <v>47</v>
      </c>
      <c r="F30" s="8">
        <v>20</v>
      </c>
      <c r="G30" s="6" t="s">
        <v>48</v>
      </c>
      <c r="H30" s="6" t="s">
        <v>48</v>
      </c>
      <c r="I30" s="2"/>
      <c r="J30" s="2"/>
      <c r="K30" s="2"/>
      <c r="L30" s="2"/>
      <c r="M30" s="2" t="s">
        <v>49</v>
      </c>
      <c r="N30" s="2" t="s">
        <v>89</v>
      </c>
      <c r="O30" s="2"/>
      <c r="P30" s="2" t="s">
        <v>68</v>
      </c>
      <c r="Q30" s="2" t="s">
        <v>111</v>
      </c>
      <c r="R30" s="2" t="s">
        <v>32</v>
      </c>
      <c r="S30" s="2" t="s">
        <v>112</v>
      </c>
    </row>
    <row r="31" spans="1:19" x14ac:dyDescent="0.3">
      <c r="A31" s="5">
        <v>46212.000006377311</v>
      </c>
      <c r="B31" s="3" t="s">
        <v>37</v>
      </c>
      <c r="C31" s="3">
        <v>1</v>
      </c>
      <c r="D31" s="3" t="s">
        <v>28</v>
      </c>
      <c r="E31" s="3" t="s">
        <v>28</v>
      </c>
      <c r="F31" s="9">
        <v>10</v>
      </c>
      <c r="G31" s="7">
        <v>3780.3</v>
      </c>
      <c r="H31" s="7">
        <v>3776</v>
      </c>
      <c r="I31" s="3" t="s">
        <v>21</v>
      </c>
      <c r="J31" s="3"/>
      <c r="K31" s="3"/>
      <c r="L31" s="3"/>
      <c r="M31" s="3" t="s">
        <v>109</v>
      </c>
      <c r="N31" s="3" t="s">
        <v>89</v>
      </c>
      <c r="O31" s="3"/>
      <c r="P31" s="3" t="s">
        <v>30</v>
      </c>
      <c r="Q31" s="3" t="s">
        <v>113</v>
      </c>
      <c r="R31" s="3" t="s">
        <v>32</v>
      </c>
      <c r="S31" s="3" t="s">
        <v>114</v>
      </c>
    </row>
    <row r="32" spans="1:19" x14ac:dyDescent="0.3">
      <c r="A32" s="4">
        <v>46212.000006377311</v>
      </c>
      <c r="B32" s="2" t="s">
        <v>37</v>
      </c>
      <c r="C32" s="2">
        <v>2</v>
      </c>
      <c r="D32" s="2" t="s">
        <v>115</v>
      </c>
      <c r="E32" s="2" t="s">
        <v>115</v>
      </c>
      <c r="F32" s="8">
        <v>20</v>
      </c>
      <c r="G32" s="6">
        <v>143566</v>
      </c>
      <c r="H32" s="6">
        <v>143495</v>
      </c>
      <c r="I32" s="2" t="s">
        <v>21</v>
      </c>
      <c r="J32" s="2"/>
      <c r="K32" s="2"/>
      <c r="L32" s="2"/>
      <c r="M32" s="2" t="s">
        <v>116</v>
      </c>
      <c r="N32" s="2" t="s">
        <v>89</v>
      </c>
      <c r="O32" s="2"/>
      <c r="P32" s="2" t="s">
        <v>30</v>
      </c>
      <c r="Q32" s="2" t="s">
        <v>117</v>
      </c>
      <c r="R32" s="2" t="s">
        <v>32</v>
      </c>
      <c r="S32" s="2" t="s">
        <v>114</v>
      </c>
    </row>
    <row r="33" spans="1:19" x14ac:dyDescent="0.3">
      <c r="A33" s="5">
        <v>46213.00000641204</v>
      </c>
      <c r="B33" s="3" t="s">
        <v>55</v>
      </c>
      <c r="C33" s="3">
        <v>1</v>
      </c>
      <c r="D33" s="3" t="s">
        <v>47</v>
      </c>
      <c r="E33" s="3" t="s">
        <v>47</v>
      </c>
      <c r="F33" s="9">
        <v>10</v>
      </c>
      <c r="G33" s="7" t="s">
        <v>48</v>
      </c>
      <c r="H33" s="7" t="s">
        <v>48</v>
      </c>
      <c r="I33" s="3"/>
      <c r="J33" s="3"/>
      <c r="K33" s="3"/>
      <c r="L33" s="3"/>
      <c r="M33" s="3" t="s">
        <v>49</v>
      </c>
      <c r="N33" s="3" t="s">
        <v>89</v>
      </c>
      <c r="O33" s="3"/>
      <c r="P33" s="3" t="s">
        <v>68</v>
      </c>
      <c r="Q33" s="3" t="s">
        <v>118</v>
      </c>
      <c r="R33" s="3" t="s">
        <v>32</v>
      </c>
      <c r="S33" s="3" t="s">
        <v>119</v>
      </c>
    </row>
    <row r="34" spans="1:19" x14ac:dyDescent="0.3">
      <c r="A34" s="4">
        <v>46213.00000641204</v>
      </c>
      <c r="B34" s="2" t="s">
        <v>55</v>
      </c>
      <c r="C34" s="2">
        <v>2</v>
      </c>
      <c r="D34" s="2" t="s">
        <v>28</v>
      </c>
      <c r="E34" s="2" t="s">
        <v>28</v>
      </c>
      <c r="F34" s="8">
        <v>20</v>
      </c>
      <c r="G34" s="6">
        <v>3763</v>
      </c>
      <c r="H34" s="6">
        <v>3760.3</v>
      </c>
      <c r="I34" s="2"/>
      <c r="J34" s="2"/>
      <c r="K34" s="2"/>
      <c r="L34" s="2"/>
      <c r="M34" s="2" t="s">
        <v>109</v>
      </c>
      <c r="N34" s="2" t="s">
        <v>89</v>
      </c>
      <c r="O34" s="2"/>
      <c r="P34" s="2" t="s">
        <v>30</v>
      </c>
      <c r="Q34" s="2" t="s">
        <v>120</v>
      </c>
      <c r="R34" s="2" t="s">
        <v>32</v>
      </c>
      <c r="S34" s="2" t="s">
        <v>119</v>
      </c>
    </row>
    <row r="35" spans="1:19" x14ac:dyDescent="0.3">
      <c r="A35" s="5">
        <v>46214.000006435184</v>
      </c>
      <c r="B35" s="3" t="s">
        <v>61</v>
      </c>
      <c r="C35" s="3">
        <v>1</v>
      </c>
      <c r="D35" s="3" t="s">
        <v>83</v>
      </c>
      <c r="E35" s="3" t="s">
        <v>83</v>
      </c>
      <c r="F35" s="9">
        <v>5</v>
      </c>
      <c r="G35" s="7" t="s">
        <v>48</v>
      </c>
      <c r="H35" s="7" t="s">
        <v>48</v>
      </c>
      <c r="I35" s="3" t="s">
        <v>48</v>
      </c>
      <c r="J35" s="3"/>
      <c r="K35" s="3"/>
      <c r="L35" s="3"/>
      <c r="M35" s="3" t="s">
        <v>109</v>
      </c>
      <c r="N35" s="3" t="s">
        <v>89</v>
      </c>
      <c r="O35" s="3"/>
      <c r="P35" s="3" t="s">
        <v>30</v>
      </c>
      <c r="Q35" s="3" t="s">
        <v>121</v>
      </c>
      <c r="R35" s="3" t="s">
        <v>32</v>
      </c>
      <c r="S35" s="3" t="s">
        <v>122</v>
      </c>
    </row>
    <row r="36" spans="1:19" x14ac:dyDescent="0.3">
      <c r="A36" s="4">
        <v>46215.000006458336</v>
      </c>
      <c r="B36" s="2" t="s">
        <v>74</v>
      </c>
      <c r="C36" s="2">
        <v>1</v>
      </c>
      <c r="D36" s="2" t="s">
        <v>28</v>
      </c>
      <c r="E36" s="2" t="s">
        <v>28</v>
      </c>
      <c r="F36" s="8">
        <v>20</v>
      </c>
      <c r="G36" s="6">
        <v>3787</v>
      </c>
      <c r="H36" s="6">
        <v>3788</v>
      </c>
      <c r="I36" s="2"/>
      <c r="J36" s="2"/>
      <c r="K36" s="2"/>
      <c r="L36" s="2"/>
      <c r="M36" s="2" t="s">
        <v>109</v>
      </c>
      <c r="N36" s="2" t="s">
        <v>89</v>
      </c>
      <c r="O36" s="2"/>
      <c r="P36" s="2" t="s">
        <v>30</v>
      </c>
      <c r="Q36" s="2" t="s">
        <v>123</v>
      </c>
      <c r="R36" s="2" t="s">
        <v>124</v>
      </c>
      <c r="S36" s="2" t="s">
        <v>125</v>
      </c>
    </row>
    <row r="37" spans="1:19" x14ac:dyDescent="0.3">
      <c r="A37" s="5">
        <v>46215.000006458336</v>
      </c>
      <c r="B37" s="3" t="s">
        <v>74</v>
      </c>
      <c r="C37" s="3">
        <v>2</v>
      </c>
      <c r="D37" s="3" t="s">
        <v>126</v>
      </c>
      <c r="E37" s="3" t="s">
        <v>126</v>
      </c>
      <c r="F37" s="9">
        <v>10</v>
      </c>
      <c r="G37" s="7">
        <v>4081.6</v>
      </c>
      <c r="H37" s="7">
        <v>4081.6</v>
      </c>
      <c r="I37" s="3"/>
      <c r="J37" s="3"/>
      <c r="K37" s="3"/>
      <c r="L37" s="3"/>
      <c r="M37" s="3" t="s">
        <v>109</v>
      </c>
      <c r="N37" s="3" t="s">
        <v>89</v>
      </c>
      <c r="O37" s="3"/>
      <c r="P37" s="3" t="s">
        <v>30</v>
      </c>
      <c r="Q37" s="3" t="s">
        <v>127</v>
      </c>
      <c r="R37" s="3" t="s">
        <v>32</v>
      </c>
      <c r="S37" s="3" t="s">
        <v>125</v>
      </c>
    </row>
    <row r="38" spans="1:19" x14ac:dyDescent="0.3">
      <c r="A38" s="4">
        <v>46215.000006458336</v>
      </c>
      <c r="B38" s="2" t="s">
        <v>74</v>
      </c>
      <c r="C38" s="2">
        <v>3</v>
      </c>
      <c r="D38" s="2" t="s">
        <v>33</v>
      </c>
      <c r="E38" s="2" t="s">
        <v>33</v>
      </c>
      <c r="F38" s="8">
        <v>10</v>
      </c>
      <c r="G38" s="6">
        <v>1177.5999999999999</v>
      </c>
      <c r="H38" s="6" t="s">
        <v>48</v>
      </c>
      <c r="I38" s="2"/>
      <c r="J38" s="2"/>
      <c r="K38" s="2"/>
      <c r="L38" s="2"/>
      <c r="M38" s="2" t="s">
        <v>128</v>
      </c>
      <c r="N38" s="2" t="s">
        <v>89</v>
      </c>
      <c r="O38" s="2"/>
      <c r="P38" s="2" t="s">
        <v>30</v>
      </c>
      <c r="Q38" s="2" t="s">
        <v>129</v>
      </c>
      <c r="R38" s="2" t="s">
        <v>32</v>
      </c>
      <c r="S38" s="2" t="s">
        <v>125</v>
      </c>
    </row>
    <row r="39" spans="1:19" x14ac:dyDescent="0.3">
      <c r="A39" s="5">
        <v>46215.000006458336</v>
      </c>
      <c r="B39" s="3" t="s">
        <v>74</v>
      </c>
      <c r="C39" s="3">
        <v>5</v>
      </c>
      <c r="D39" s="3" t="s">
        <v>47</v>
      </c>
      <c r="E39" s="3" t="s">
        <v>47</v>
      </c>
      <c r="F39" s="9">
        <v>10</v>
      </c>
      <c r="G39" s="7" t="s">
        <v>48</v>
      </c>
      <c r="H39" s="7"/>
      <c r="I39" s="3"/>
      <c r="J39" s="3"/>
      <c r="K39" s="3"/>
      <c r="L39" s="3"/>
      <c r="M39" s="3" t="s">
        <v>49</v>
      </c>
      <c r="N39" s="3" t="s">
        <v>89</v>
      </c>
      <c r="O39" s="3"/>
      <c r="P39" s="3" t="s">
        <v>24</v>
      </c>
      <c r="Q39" s="3" t="s">
        <v>130</v>
      </c>
      <c r="R39" s="3" t="s">
        <v>32</v>
      </c>
      <c r="S39" s="3" t="s">
        <v>125</v>
      </c>
    </row>
    <row r="40" spans="1:19" x14ac:dyDescent="0.3">
      <c r="A40" s="4">
        <v>46216.000006527778</v>
      </c>
      <c r="B40" s="2" t="s">
        <v>99</v>
      </c>
      <c r="C40" s="2">
        <v>1</v>
      </c>
      <c r="D40" s="2" t="s">
        <v>83</v>
      </c>
      <c r="E40" s="2" t="s">
        <v>83</v>
      </c>
      <c r="F40" s="8">
        <v>10</v>
      </c>
      <c r="G40" s="6" t="s">
        <v>131</v>
      </c>
      <c r="H40" s="6" t="s">
        <v>131</v>
      </c>
      <c r="I40" s="2"/>
      <c r="J40" s="2"/>
      <c r="K40" s="2"/>
      <c r="L40" s="2"/>
      <c r="M40" s="2" t="s">
        <v>132</v>
      </c>
      <c r="N40" s="2" t="s">
        <v>89</v>
      </c>
      <c r="O40" s="2"/>
      <c r="P40" s="2" t="s">
        <v>30</v>
      </c>
      <c r="Q40" s="2" t="s">
        <v>133</v>
      </c>
      <c r="R40" s="2" t="s">
        <v>32</v>
      </c>
      <c r="S40" s="2" t="s">
        <v>134</v>
      </c>
    </row>
    <row r="41" spans="1:19" x14ac:dyDescent="0.3">
      <c r="A41" s="5">
        <v>46216.000006527778</v>
      </c>
      <c r="B41" s="3" t="s">
        <v>99</v>
      </c>
      <c r="C41" s="3">
        <v>2</v>
      </c>
      <c r="D41" s="3" t="s">
        <v>91</v>
      </c>
      <c r="E41" s="3" t="s">
        <v>91</v>
      </c>
      <c r="F41" s="9">
        <v>40</v>
      </c>
      <c r="G41" s="7">
        <v>840</v>
      </c>
      <c r="H41" s="7">
        <v>834.1</v>
      </c>
      <c r="I41" s="3"/>
      <c r="J41" s="3"/>
      <c r="K41" s="3"/>
      <c r="L41" s="3"/>
      <c r="M41" s="3" t="s">
        <v>135</v>
      </c>
      <c r="N41" s="3" t="s">
        <v>89</v>
      </c>
      <c r="O41" s="3"/>
      <c r="P41" s="3" t="s">
        <v>24</v>
      </c>
      <c r="Q41" s="3" t="s">
        <v>136</v>
      </c>
      <c r="R41" s="3" t="s">
        <v>32</v>
      </c>
      <c r="S41" s="3" t="s">
        <v>134</v>
      </c>
    </row>
    <row r="42" spans="1:19" x14ac:dyDescent="0.3">
      <c r="A42" s="4">
        <v>46216.000006527778</v>
      </c>
      <c r="B42" s="2" t="s">
        <v>99</v>
      </c>
      <c r="C42" s="2">
        <v>3</v>
      </c>
      <c r="D42" s="2" t="s">
        <v>43</v>
      </c>
      <c r="E42" s="2" t="s">
        <v>43</v>
      </c>
      <c r="F42" s="8">
        <v>20</v>
      </c>
      <c r="G42" s="6">
        <v>2948</v>
      </c>
      <c r="H42" s="6">
        <v>2944</v>
      </c>
      <c r="I42" s="2"/>
      <c r="J42" s="2"/>
      <c r="K42" s="2"/>
      <c r="L42" s="2"/>
      <c r="M42" s="2" t="s">
        <v>89</v>
      </c>
      <c r="N42" s="2" t="s">
        <v>89</v>
      </c>
      <c r="O42" s="2"/>
      <c r="P42" s="2" t="s">
        <v>30</v>
      </c>
      <c r="Q42" s="2" t="s">
        <v>137</v>
      </c>
      <c r="R42" s="2" t="s">
        <v>32</v>
      </c>
      <c r="S42" s="2" t="s">
        <v>134</v>
      </c>
    </row>
    <row r="43" spans="1:19" x14ac:dyDescent="0.3">
      <c r="A43" s="5">
        <v>46216.000006527778</v>
      </c>
      <c r="B43" s="3" t="s">
        <v>99</v>
      </c>
      <c r="C43" s="3">
        <v>4</v>
      </c>
      <c r="D43" s="3" t="s">
        <v>47</v>
      </c>
      <c r="E43" s="3" t="s">
        <v>47</v>
      </c>
      <c r="F43" s="9">
        <v>10</v>
      </c>
      <c r="G43" s="7"/>
      <c r="H43" s="7"/>
      <c r="I43" s="3"/>
      <c r="J43" s="3"/>
      <c r="K43" s="3"/>
      <c r="L43" s="3"/>
      <c r="M43" s="3" t="s">
        <v>49</v>
      </c>
      <c r="N43" s="3" t="s">
        <v>89</v>
      </c>
      <c r="O43" s="3"/>
      <c r="P43" s="3" t="s">
        <v>30</v>
      </c>
      <c r="Q43" s="3" t="s">
        <v>138</v>
      </c>
      <c r="R43" s="3" t="s">
        <v>32</v>
      </c>
      <c r="S43" s="3" t="s">
        <v>134</v>
      </c>
    </row>
    <row r="44" spans="1:19" x14ac:dyDescent="0.3">
      <c r="A44" s="4">
        <v>46216.000006527778</v>
      </c>
      <c r="B44" s="2" t="s">
        <v>99</v>
      </c>
      <c r="C44" s="2">
        <v>5</v>
      </c>
      <c r="D44" s="2" t="s">
        <v>139</v>
      </c>
      <c r="E44" s="2" t="s">
        <v>140</v>
      </c>
      <c r="F44" s="8">
        <v>20</v>
      </c>
      <c r="G44" s="6">
        <v>137438</v>
      </c>
      <c r="H44" s="6">
        <v>137273</v>
      </c>
      <c r="I44" s="2"/>
      <c r="J44" s="2"/>
      <c r="K44" s="2"/>
      <c r="L44" s="2"/>
      <c r="M44" s="2" t="s">
        <v>141</v>
      </c>
      <c r="N44" s="2" t="s">
        <v>89</v>
      </c>
      <c r="O44" s="2"/>
      <c r="P44" s="2" t="s">
        <v>24</v>
      </c>
      <c r="Q44" s="2" t="s">
        <v>142</v>
      </c>
      <c r="R44" s="2" t="s">
        <v>32</v>
      </c>
      <c r="S44" s="2" t="s">
        <v>134</v>
      </c>
    </row>
    <row r="45" spans="1:19" x14ac:dyDescent="0.3">
      <c r="A45" s="5">
        <v>46216.000006527778</v>
      </c>
      <c r="B45" s="3" t="s">
        <v>99</v>
      </c>
      <c r="C45" s="3">
        <v>6</v>
      </c>
      <c r="D45" s="3" t="s">
        <v>47</v>
      </c>
      <c r="E45" s="3" t="s">
        <v>47</v>
      </c>
      <c r="F45" s="9">
        <v>10</v>
      </c>
      <c r="G45" s="7" t="s">
        <v>48</v>
      </c>
      <c r="H45" s="7" t="s">
        <v>48</v>
      </c>
      <c r="I45" s="3"/>
      <c r="J45" s="3"/>
      <c r="K45" s="3"/>
      <c r="L45" s="3"/>
      <c r="M45" s="3" t="s">
        <v>49</v>
      </c>
      <c r="N45" s="3" t="s">
        <v>89</v>
      </c>
      <c r="O45" s="3"/>
      <c r="P45" s="3" t="s">
        <v>30</v>
      </c>
      <c r="Q45" s="3" t="s">
        <v>143</v>
      </c>
      <c r="R45" s="3" t="s">
        <v>32</v>
      </c>
      <c r="S45" s="3" t="s">
        <v>134</v>
      </c>
    </row>
    <row r="46" spans="1:19" x14ac:dyDescent="0.3">
      <c r="A46" s="4">
        <v>46217.000006608796</v>
      </c>
      <c r="B46" s="2" t="s">
        <v>106</v>
      </c>
      <c r="C46" s="2">
        <v>1</v>
      </c>
      <c r="D46" s="2" t="s">
        <v>83</v>
      </c>
      <c r="E46" s="2" t="s">
        <v>83</v>
      </c>
      <c r="F46" s="8">
        <v>20</v>
      </c>
      <c r="G46" s="6" t="s">
        <v>48</v>
      </c>
      <c r="H46" s="6" t="s">
        <v>48</v>
      </c>
      <c r="I46" s="2"/>
      <c r="J46" s="2"/>
      <c r="K46" s="2"/>
      <c r="L46" s="2"/>
      <c r="M46" s="2" t="s">
        <v>109</v>
      </c>
      <c r="N46" s="2" t="s">
        <v>89</v>
      </c>
      <c r="O46" s="2"/>
      <c r="P46" s="2" t="s">
        <v>30</v>
      </c>
      <c r="Q46" s="2" t="s">
        <v>144</v>
      </c>
      <c r="R46" s="2" t="s">
        <v>32</v>
      </c>
      <c r="S46" s="2" t="s">
        <v>145</v>
      </c>
    </row>
    <row r="47" spans="1:19" x14ac:dyDescent="0.3">
      <c r="A47" s="5">
        <v>46217.000006608796</v>
      </c>
      <c r="B47" s="3" t="s">
        <v>106</v>
      </c>
      <c r="C47" s="3">
        <v>2</v>
      </c>
      <c r="D47" s="3" t="s">
        <v>139</v>
      </c>
      <c r="E47" s="3" t="s">
        <v>139</v>
      </c>
      <c r="F47" s="9">
        <v>15</v>
      </c>
      <c r="G47" s="7">
        <v>3221</v>
      </c>
      <c r="H47" s="7">
        <v>3219</v>
      </c>
      <c r="I47" s="3"/>
      <c r="J47" s="3"/>
      <c r="K47" s="3"/>
      <c r="L47" s="3"/>
      <c r="M47" s="3" t="s">
        <v>109</v>
      </c>
      <c r="N47" s="3" t="s">
        <v>89</v>
      </c>
      <c r="O47" s="3"/>
      <c r="P47" s="3" t="s">
        <v>30</v>
      </c>
      <c r="Q47" s="3" t="s">
        <v>146</v>
      </c>
      <c r="R47" s="3" t="s">
        <v>32</v>
      </c>
      <c r="S47" s="3" t="s">
        <v>145</v>
      </c>
    </row>
    <row r="48" spans="1:19" x14ac:dyDescent="0.3">
      <c r="A48" s="4">
        <v>46218.000006643517</v>
      </c>
      <c r="B48" s="2" t="s">
        <v>19</v>
      </c>
      <c r="C48" s="2">
        <v>1</v>
      </c>
      <c r="D48" s="2" t="s">
        <v>83</v>
      </c>
      <c r="E48" s="2" t="s">
        <v>83</v>
      </c>
      <c r="F48" s="8">
        <v>30</v>
      </c>
      <c r="G48" s="6" t="s">
        <v>147</v>
      </c>
      <c r="H48" s="6" t="s">
        <v>147</v>
      </c>
      <c r="I48" s="2"/>
      <c r="J48" s="2"/>
      <c r="K48" s="2"/>
      <c r="L48" s="2"/>
      <c r="M48" s="2" t="s">
        <v>109</v>
      </c>
      <c r="N48" s="2" t="s">
        <v>89</v>
      </c>
      <c r="O48" s="2"/>
      <c r="P48" s="2" t="s">
        <v>30</v>
      </c>
      <c r="Q48" s="2" t="s">
        <v>148</v>
      </c>
      <c r="R48" s="2" t="s">
        <v>32</v>
      </c>
      <c r="S48" s="2" t="s">
        <v>149</v>
      </c>
    </row>
    <row r="49" spans="1:19" x14ac:dyDescent="0.3">
      <c r="A49" s="5">
        <v>46218.000006643517</v>
      </c>
      <c r="B49" s="3" t="s">
        <v>19</v>
      </c>
      <c r="C49" s="3">
        <v>2</v>
      </c>
      <c r="D49" s="3" t="s">
        <v>33</v>
      </c>
      <c r="E49" s="3" t="s">
        <v>33</v>
      </c>
      <c r="F49" s="9">
        <v>20</v>
      </c>
      <c r="G49" s="7">
        <v>11788</v>
      </c>
      <c r="H49" s="7" t="s">
        <v>48</v>
      </c>
      <c r="I49" s="3"/>
      <c r="J49" s="3"/>
      <c r="K49" s="3"/>
      <c r="L49" s="3"/>
      <c r="M49" s="3" t="s">
        <v>62</v>
      </c>
      <c r="N49" s="3" t="s">
        <v>89</v>
      </c>
      <c r="O49" s="3"/>
      <c r="P49" s="3" t="s">
        <v>24</v>
      </c>
      <c r="Q49" s="3" t="s">
        <v>150</v>
      </c>
      <c r="R49" s="3" t="s">
        <v>32</v>
      </c>
      <c r="S49" s="3" t="s">
        <v>149</v>
      </c>
    </row>
    <row r="50" spans="1:19" x14ac:dyDescent="0.3">
      <c r="A50" s="4">
        <v>46218.000006643517</v>
      </c>
      <c r="B50" s="2" t="s">
        <v>19</v>
      </c>
      <c r="C50" s="2">
        <v>3</v>
      </c>
      <c r="D50" s="2" t="s">
        <v>47</v>
      </c>
      <c r="E50" s="2" t="s">
        <v>47</v>
      </c>
      <c r="F50" s="8">
        <v>15</v>
      </c>
      <c r="G50" s="6" t="s">
        <v>48</v>
      </c>
      <c r="H50" s="6"/>
      <c r="I50" s="2"/>
      <c r="J50" s="2"/>
      <c r="K50" s="2"/>
      <c r="L50" s="2"/>
      <c r="M50" s="2" t="s">
        <v>49</v>
      </c>
      <c r="N50" s="2" t="s">
        <v>89</v>
      </c>
      <c r="O50" s="2"/>
      <c r="P50" s="2" t="s">
        <v>30</v>
      </c>
      <c r="Q50" s="2" t="s">
        <v>151</v>
      </c>
      <c r="R50" s="2" t="s">
        <v>32</v>
      </c>
      <c r="S50" s="2" t="s">
        <v>149</v>
      </c>
    </row>
    <row r="51" spans="1:19" x14ac:dyDescent="0.3">
      <c r="A51" s="5">
        <v>46218.000006643517</v>
      </c>
      <c r="B51" s="3" t="s">
        <v>19</v>
      </c>
      <c r="C51" s="3">
        <v>4</v>
      </c>
      <c r="D51" s="3" t="s">
        <v>139</v>
      </c>
      <c r="E51" s="3" t="s">
        <v>139</v>
      </c>
      <c r="F51" s="9">
        <v>30</v>
      </c>
      <c r="G51" s="7">
        <v>3223</v>
      </c>
      <c r="H51" s="7">
        <v>3221</v>
      </c>
      <c r="I51" s="3"/>
      <c r="J51" s="3"/>
      <c r="K51" s="3"/>
      <c r="L51" s="3"/>
      <c r="M51" s="3" t="s">
        <v>152</v>
      </c>
      <c r="N51" s="3" t="s">
        <v>89</v>
      </c>
      <c r="O51" s="3"/>
      <c r="P51" s="3" t="s">
        <v>24</v>
      </c>
      <c r="Q51" s="3" t="s">
        <v>153</v>
      </c>
      <c r="R51" s="3" t="s">
        <v>32</v>
      </c>
      <c r="S51" s="3" t="s">
        <v>149</v>
      </c>
    </row>
    <row r="52" spans="1:19" x14ac:dyDescent="0.3">
      <c r="A52" s="4">
        <v>46218.000006643517</v>
      </c>
      <c r="B52" s="2" t="s">
        <v>19</v>
      </c>
      <c r="C52" s="2">
        <v>5</v>
      </c>
      <c r="D52" s="2" t="s">
        <v>43</v>
      </c>
      <c r="E52" s="2" t="s">
        <v>43</v>
      </c>
      <c r="F52" s="8">
        <v>30</v>
      </c>
      <c r="G52" s="6">
        <v>2951</v>
      </c>
      <c r="H52" s="6">
        <v>2948</v>
      </c>
      <c r="I52" s="2"/>
      <c r="J52" s="2"/>
      <c r="K52" s="2"/>
      <c r="L52" s="2"/>
      <c r="M52" s="2" t="s">
        <v>154</v>
      </c>
      <c r="N52" s="2" t="s">
        <v>89</v>
      </c>
      <c r="O52" s="2"/>
      <c r="P52" s="2" t="s">
        <v>30</v>
      </c>
      <c r="Q52" s="2" t="s">
        <v>155</v>
      </c>
      <c r="R52" s="2" t="s">
        <v>32</v>
      </c>
      <c r="S52" s="2" t="s">
        <v>149</v>
      </c>
    </row>
    <row r="53" spans="1:19" x14ac:dyDescent="0.3">
      <c r="A53" s="5">
        <v>46218.000006643517</v>
      </c>
      <c r="B53" s="3" t="s">
        <v>19</v>
      </c>
      <c r="C53" s="3">
        <v>6</v>
      </c>
      <c r="D53" s="3" t="s">
        <v>91</v>
      </c>
      <c r="E53" s="3" t="s">
        <v>91</v>
      </c>
      <c r="F53" s="9">
        <v>30</v>
      </c>
      <c r="G53" s="7">
        <v>644</v>
      </c>
      <c r="H53" s="7">
        <v>640</v>
      </c>
      <c r="I53" s="3"/>
      <c r="J53" s="3"/>
      <c r="K53" s="3"/>
      <c r="L53" s="3"/>
      <c r="M53" s="3" t="s">
        <v>109</v>
      </c>
      <c r="N53" s="3" t="s">
        <v>89</v>
      </c>
      <c r="O53" s="3"/>
      <c r="P53" s="3" t="s">
        <v>30</v>
      </c>
      <c r="Q53" s="3" t="s">
        <v>156</v>
      </c>
      <c r="R53" s="3" t="s">
        <v>32</v>
      </c>
      <c r="S53" s="3" t="s">
        <v>149</v>
      </c>
    </row>
    <row r="54" spans="1:19" x14ac:dyDescent="0.3">
      <c r="A54" s="4">
        <v>46218.000006643517</v>
      </c>
      <c r="B54" s="2" t="s">
        <v>19</v>
      </c>
      <c r="C54" s="2">
        <v>7</v>
      </c>
      <c r="D54" s="2" t="s">
        <v>28</v>
      </c>
      <c r="E54" s="2" t="s">
        <v>28</v>
      </c>
      <c r="F54" s="8">
        <v>20</v>
      </c>
      <c r="G54" s="6">
        <v>3794</v>
      </c>
      <c r="H54" s="6">
        <v>3788</v>
      </c>
      <c r="I54" s="2"/>
      <c r="J54" s="2"/>
      <c r="K54" s="2"/>
      <c r="L54" s="2"/>
      <c r="M54" s="2" t="s">
        <v>109</v>
      </c>
      <c r="N54" s="2" t="s">
        <v>89</v>
      </c>
      <c r="O54" s="2"/>
      <c r="P54" s="2" t="s">
        <v>30</v>
      </c>
      <c r="Q54" s="2" t="s">
        <v>157</v>
      </c>
      <c r="R54" s="2" t="s">
        <v>32</v>
      </c>
      <c r="S54" s="2" t="s">
        <v>149</v>
      </c>
    </row>
    <row r="55" spans="1:19" x14ac:dyDescent="0.3">
      <c r="A55" s="5">
        <v>46219.000006747687</v>
      </c>
      <c r="B55" s="3" t="s">
        <v>37</v>
      </c>
      <c r="C55" s="3">
        <v>1</v>
      </c>
      <c r="D55" s="3" t="s">
        <v>139</v>
      </c>
      <c r="E55" s="3" t="s">
        <v>158</v>
      </c>
      <c r="F55" s="9">
        <v>20</v>
      </c>
      <c r="G55" s="7">
        <v>3226</v>
      </c>
      <c r="H55" s="7">
        <v>3223</v>
      </c>
      <c r="I55" s="3"/>
      <c r="J55" s="3"/>
      <c r="K55" s="3"/>
      <c r="L55" s="3"/>
      <c r="M55" s="3" t="s">
        <v>152</v>
      </c>
      <c r="N55" s="3" t="s">
        <v>159</v>
      </c>
      <c r="O55" s="3"/>
      <c r="P55" s="3" t="s">
        <v>30</v>
      </c>
      <c r="Q55" s="3" t="s">
        <v>160</v>
      </c>
      <c r="R55" s="3" t="s">
        <v>32</v>
      </c>
      <c r="S55" s="3" t="s">
        <v>161</v>
      </c>
    </row>
    <row r="56" spans="1:19" x14ac:dyDescent="0.3">
      <c r="A56" s="4">
        <v>46219.000006747687</v>
      </c>
      <c r="B56" s="2" t="s">
        <v>37</v>
      </c>
      <c r="C56" s="2">
        <v>2</v>
      </c>
      <c r="D56" s="2" t="s">
        <v>47</v>
      </c>
      <c r="E56" s="2" t="s">
        <v>47</v>
      </c>
      <c r="F56" s="8">
        <v>4</v>
      </c>
      <c r="G56" s="6">
        <v>4.5</v>
      </c>
      <c r="H56" s="6">
        <v>4.5</v>
      </c>
      <c r="I56" s="2"/>
      <c r="J56" s="2"/>
      <c r="K56" s="2"/>
      <c r="L56" s="2"/>
      <c r="M56" s="2" t="s">
        <v>49</v>
      </c>
      <c r="N56" s="2" t="s">
        <v>159</v>
      </c>
      <c r="O56" s="2"/>
      <c r="P56" s="2" t="s">
        <v>30</v>
      </c>
      <c r="Q56" s="2" t="s">
        <v>162</v>
      </c>
      <c r="R56" s="2" t="s">
        <v>32</v>
      </c>
      <c r="S56" s="2" t="s">
        <v>161</v>
      </c>
    </row>
    <row r="57" spans="1:19" x14ac:dyDescent="0.3">
      <c r="A57" s="5">
        <v>46220.000006782408</v>
      </c>
      <c r="B57" s="3" t="s">
        <v>55</v>
      </c>
      <c r="C57" s="3">
        <v>1</v>
      </c>
      <c r="D57" s="3" t="s">
        <v>139</v>
      </c>
      <c r="E57" s="3" t="s">
        <v>158</v>
      </c>
      <c r="F57" s="9">
        <v>50</v>
      </c>
      <c r="G57" s="7">
        <v>3229</v>
      </c>
      <c r="H57" s="7">
        <v>3226</v>
      </c>
      <c r="I57" s="3"/>
      <c r="J57" s="3"/>
      <c r="K57" s="3"/>
      <c r="L57" s="3"/>
      <c r="M57" s="3" t="s">
        <v>163</v>
      </c>
      <c r="N57" s="3" t="s">
        <v>164</v>
      </c>
      <c r="O57" s="3"/>
      <c r="P57" s="3" t="s">
        <v>30</v>
      </c>
      <c r="Q57" s="3" t="s">
        <v>165</v>
      </c>
      <c r="R57" s="3" t="s">
        <v>32</v>
      </c>
      <c r="S57" s="3" t="s">
        <v>166</v>
      </c>
    </row>
    <row r="58" spans="1:19" x14ac:dyDescent="0.3">
      <c r="A58" s="4">
        <v>46220.000006782408</v>
      </c>
      <c r="B58" s="2" t="s">
        <v>55</v>
      </c>
      <c r="C58" s="2">
        <v>2</v>
      </c>
      <c r="D58" s="2" t="s">
        <v>28</v>
      </c>
      <c r="E58" s="2" t="s">
        <v>28</v>
      </c>
      <c r="F58" s="8">
        <v>20</v>
      </c>
      <c r="G58" s="6">
        <v>3797</v>
      </c>
      <c r="H58" s="6">
        <v>3794</v>
      </c>
      <c r="I58" s="2"/>
      <c r="J58" s="2"/>
      <c r="K58" s="2"/>
      <c r="L58" s="2"/>
      <c r="M58" s="2" t="s">
        <v>109</v>
      </c>
      <c r="N58" s="2" t="s">
        <v>164</v>
      </c>
      <c r="O58" s="2"/>
      <c r="P58" s="2" t="s">
        <v>68</v>
      </c>
      <c r="Q58" s="2" t="s">
        <v>167</v>
      </c>
      <c r="R58" s="2" t="s">
        <v>32</v>
      </c>
      <c r="S58" s="2" t="s">
        <v>166</v>
      </c>
    </row>
    <row r="59" spans="1:19" x14ac:dyDescent="0.3">
      <c r="A59" s="5">
        <v>46220.000006782408</v>
      </c>
      <c r="B59" s="3" t="s">
        <v>55</v>
      </c>
      <c r="C59" s="3">
        <v>3</v>
      </c>
      <c r="D59" s="3" t="s">
        <v>168</v>
      </c>
      <c r="E59" s="3" t="s">
        <v>169</v>
      </c>
      <c r="F59" s="9">
        <v>5</v>
      </c>
      <c r="G59" s="7" t="s">
        <v>48</v>
      </c>
      <c r="H59" s="7" t="s">
        <v>48</v>
      </c>
      <c r="I59" s="3" t="s">
        <v>170</v>
      </c>
      <c r="J59" s="3"/>
      <c r="K59" s="3"/>
      <c r="L59" s="3"/>
      <c r="M59" s="3" t="s">
        <v>171</v>
      </c>
      <c r="N59" s="3" t="s">
        <v>164</v>
      </c>
      <c r="O59" s="3"/>
      <c r="P59" s="3" t="s">
        <v>30</v>
      </c>
      <c r="Q59" s="3" t="s">
        <v>172</v>
      </c>
      <c r="R59" s="3" t="s">
        <v>32</v>
      </c>
      <c r="S59" s="3" t="s">
        <v>166</v>
      </c>
    </row>
    <row r="60" spans="1:19" x14ac:dyDescent="0.3">
      <c r="A60" s="4">
        <v>46220.000006782408</v>
      </c>
      <c r="B60" s="2" t="s">
        <v>55</v>
      </c>
      <c r="C60" s="2">
        <v>4</v>
      </c>
      <c r="D60" s="2" t="s">
        <v>91</v>
      </c>
      <c r="E60" s="2" t="s">
        <v>173</v>
      </c>
      <c r="F60" s="8">
        <v>50</v>
      </c>
      <c r="G60" s="6">
        <v>847.4</v>
      </c>
      <c r="H60" s="6">
        <v>844</v>
      </c>
      <c r="I60" s="2"/>
      <c r="J60" s="2"/>
      <c r="K60" s="2"/>
      <c r="L60" s="2"/>
      <c r="M60" s="2" t="s">
        <v>174</v>
      </c>
      <c r="N60" s="2" t="s">
        <v>164</v>
      </c>
      <c r="O60" s="2"/>
      <c r="P60" s="2" t="s">
        <v>30</v>
      </c>
      <c r="Q60" s="2" t="s">
        <v>175</v>
      </c>
      <c r="R60" s="2" t="s">
        <v>176</v>
      </c>
      <c r="S60" s="2" t="s">
        <v>166</v>
      </c>
    </row>
    <row r="61" spans="1:19" x14ac:dyDescent="0.3">
      <c r="A61" s="5">
        <v>46220.000006782408</v>
      </c>
      <c r="B61" s="3" t="s">
        <v>55</v>
      </c>
      <c r="C61" s="3">
        <v>5</v>
      </c>
      <c r="D61" s="3" t="s">
        <v>20</v>
      </c>
      <c r="E61" s="3" t="s">
        <v>20</v>
      </c>
      <c r="F61" s="9">
        <v>40</v>
      </c>
      <c r="G61" s="7">
        <v>6380.2</v>
      </c>
      <c r="H61" s="7" t="s">
        <v>48</v>
      </c>
      <c r="I61" s="3"/>
      <c r="J61" s="3"/>
      <c r="K61" s="3"/>
      <c r="L61" s="3"/>
      <c r="M61" s="3" t="s">
        <v>177</v>
      </c>
      <c r="N61" s="3" t="s">
        <v>164</v>
      </c>
      <c r="O61" s="3"/>
      <c r="P61" s="3" t="s">
        <v>30</v>
      </c>
      <c r="Q61" s="3" t="s">
        <v>178</v>
      </c>
      <c r="R61" s="3" t="s">
        <v>32</v>
      </c>
      <c r="S61" s="3" t="s">
        <v>166</v>
      </c>
    </row>
    <row r="62" spans="1:19" x14ac:dyDescent="0.3">
      <c r="A62" s="4">
        <v>46220.000006782408</v>
      </c>
      <c r="B62" s="2" t="s">
        <v>55</v>
      </c>
      <c r="C62" s="2">
        <v>6</v>
      </c>
      <c r="D62" s="2" t="s">
        <v>83</v>
      </c>
      <c r="E62" s="2" t="s">
        <v>179</v>
      </c>
      <c r="F62" s="8">
        <v>20</v>
      </c>
      <c r="G62" s="6" t="s">
        <v>48</v>
      </c>
      <c r="H62" s="6" t="s">
        <v>48</v>
      </c>
      <c r="I62" s="2"/>
      <c r="J62" s="2"/>
      <c r="K62" s="2"/>
      <c r="L62" s="2"/>
      <c r="M62" s="2" t="s">
        <v>180</v>
      </c>
      <c r="N62" s="2" t="s">
        <v>164</v>
      </c>
      <c r="O62" s="2"/>
      <c r="P62" s="2" t="s">
        <v>30</v>
      </c>
      <c r="Q62" s="2" t="s">
        <v>181</v>
      </c>
      <c r="R62" s="2" t="s">
        <v>32</v>
      </c>
      <c r="S62" s="2" t="s">
        <v>166</v>
      </c>
    </row>
    <row r="63" spans="1:19" x14ac:dyDescent="0.3">
      <c r="A63" s="5">
        <v>46220.000006782408</v>
      </c>
      <c r="B63" s="3" t="s">
        <v>55</v>
      </c>
      <c r="C63" s="3">
        <v>7</v>
      </c>
      <c r="D63" s="3" t="s">
        <v>47</v>
      </c>
      <c r="E63" s="3" t="s">
        <v>47</v>
      </c>
      <c r="F63" s="9">
        <v>40</v>
      </c>
      <c r="G63" s="7" t="s">
        <v>48</v>
      </c>
      <c r="H63" s="7" t="s">
        <v>48</v>
      </c>
      <c r="I63" s="3"/>
      <c r="J63" s="3"/>
      <c r="K63" s="3"/>
      <c r="L63" s="3"/>
      <c r="M63" s="3" t="s">
        <v>49</v>
      </c>
      <c r="N63" s="3" t="s">
        <v>182</v>
      </c>
      <c r="O63" s="3"/>
      <c r="P63" s="3" t="s">
        <v>68</v>
      </c>
      <c r="Q63" s="3" t="s">
        <v>183</v>
      </c>
      <c r="R63" s="3" t="s">
        <v>32</v>
      </c>
      <c r="S63" s="3" t="s">
        <v>166</v>
      </c>
    </row>
    <row r="64" spans="1:19" x14ac:dyDescent="0.3">
      <c r="A64" s="4">
        <v>46221.000006909722</v>
      </c>
      <c r="B64" s="2" t="s">
        <v>61</v>
      </c>
      <c r="C64" s="2">
        <v>1</v>
      </c>
      <c r="D64" s="2" t="s">
        <v>115</v>
      </c>
      <c r="E64" s="2" t="s">
        <v>115</v>
      </c>
      <c r="F64" s="8">
        <v>20</v>
      </c>
      <c r="G64" s="6">
        <v>143643</v>
      </c>
      <c r="H64" s="6">
        <v>143596</v>
      </c>
      <c r="I64" s="2"/>
      <c r="J64" s="2"/>
      <c r="K64" s="2"/>
      <c r="L64" s="2"/>
      <c r="M64" s="2" t="s">
        <v>116</v>
      </c>
      <c r="N64" s="2" t="s">
        <v>159</v>
      </c>
      <c r="O64" s="2"/>
      <c r="P64" s="2" t="s">
        <v>30</v>
      </c>
      <c r="Q64" s="2" t="s">
        <v>184</v>
      </c>
      <c r="R64" s="2" t="s">
        <v>32</v>
      </c>
      <c r="S64" s="2" t="s">
        <v>185</v>
      </c>
    </row>
    <row r="65" spans="1:19" x14ac:dyDescent="0.3">
      <c r="A65" s="5">
        <v>46221.000006909722</v>
      </c>
      <c r="B65" s="3" t="s">
        <v>61</v>
      </c>
      <c r="C65" s="3">
        <v>2</v>
      </c>
      <c r="D65" s="3" t="s">
        <v>139</v>
      </c>
      <c r="E65" s="3" t="s">
        <v>158</v>
      </c>
      <c r="F65" s="9">
        <v>40</v>
      </c>
      <c r="G65" s="7">
        <v>3236</v>
      </c>
      <c r="H65" s="7">
        <v>3229</v>
      </c>
      <c r="I65" s="3"/>
      <c r="J65" s="3"/>
      <c r="K65" s="3"/>
      <c r="L65" s="3"/>
      <c r="M65" s="3" t="s">
        <v>152</v>
      </c>
      <c r="N65" s="3" t="s">
        <v>89</v>
      </c>
      <c r="O65" s="3"/>
      <c r="P65" s="3" t="s">
        <v>30</v>
      </c>
      <c r="Q65" s="3" t="s">
        <v>186</v>
      </c>
      <c r="R65" s="3" t="s">
        <v>32</v>
      </c>
      <c r="S65" s="3" t="s">
        <v>185</v>
      </c>
    </row>
    <row r="66" spans="1:19" x14ac:dyDescent="0.3">
      <c r="A66" s="4">
        <v>46221.000006909722</v>
      </c>
      <c r="B66" s="2" t="s">
        <v>61</v>
      </c>
      <c r="C66" s="2">
        <v>3</v>
      </c>
      <c r="D66" s="2" t="s">
        <v>47</v>
      </c>
      <c r="E66" s="2" t="s">
        <v>47</v>
      </c>
      <c r="F66" s="8">
        <v>15</v>
      </c>
      <c r="G66" s="6" t="s">
        <v>48</v>
      </c>
      <c r="H66" s="6" t="s">
        <v>48</v>
      </c>
      <c r="I66" s="2"/>
      <c r="J66" s="2"/>
      <c r="K66" s="2"/>
      <c r="L66" s="2"/>
      <c r="M66" s="2" t="s">
        <v>187</v>
      </c>
      <c r="N66" s="2" t="s">
        <v>89</v>
      </c>
      <c r="O66" s="2"/>
      <c r="P66" s="2" t="s">
        <v>30</v>
      </c>
      <c r="Q66" s="2" t="s">
        <v>188</v>
      </c>
      <c r="R66" s="2" t="s">
        <v>32</v>
      </c>
      <c r="S66" s="2" t="s">
        <v>185</v>
      </c>
    </row>
    <row r="67" spans="1:19" x14ac:dyDescent="0.3">
      <c r="A67" s="5">
        <v>46221.000006909722</v>
      </c>
      <c r="B67" s="3" t="s">
        <v>61</v>
      </c>
      <c r="C67" s="3">
        <v>4</v>
      </c>
      <c r="D67" s="3" t="s">
        <v>28</v>
      </c>
      <c r="E67" s="3" t="s">
        <v>28</v>
      </c>
      <c r="F67" s="9">
        <v>10</v>
      </c>
      <c r="G67" s="7">
        <v>3801</v>
      </c>
      <c r="H67" s="7">
        <v>3797</v>
      </c>
      <c r="I67" s="3"/>
      <c r="J67" s="3"/>
      <c r="K67" s="3"/>
      <c r="L67" s="3"/>
      <c r="M67" s="3" t="s">
        <v>109</v>
      </c>
      <c r="N67" s="3" t="s">
        <v>89</v>
      </c>
      <c r="O67" s="3"/>
      <c r="P67" s="3" t="s">
        <v>30</v>
      </c>
      <c r="Q67" s="3" t="s">
        <v>189</v>
      </c>
      <c r="R67" s="3" t="s">
        <v>190</v>
      </c>
      <c r="S67" s="3" t="s">
        <v>185</v>
      </c>
    </row>
    <row r="68" spans="1:19" x14ac:dyDescent="0.3">
      <c r="A68" s="4">
        <v>46221.000006909722</v>
      </c>
      <c r="B68" s="2" t="s">
        <v>61</v>
      </c>
      <c r="C68" s="2">
        <v>5</v>
      </c>
      <c r="D68" s="2" t="s">
        <v>43</v>
      </c>
      <c r="E68" s="2" t="s">
        <v>43</v>
      </c>
      <c r="F68" s="8">
        <v>30</v>
      </c>
      <c r="G68" s="6">
        <v>2952</v>
      </c>
      <c r="H68" s="6">
        <v>2951</v>
      </c>
      <c r="I68" s="2"/>
      <c r="J68" s="2"/>
      <c r="K68" s="2"/>
      <c r="L68" s="2"/>
      <c r="M68" s="2" t="s">
        <v>109</v>
      </c>
      <c r="N68" s="2" t="s">
        <v>159</v>
      </c>
      <c r="O68" s="2"/>
      <c r="P68" s="2" t="s">
        <v>24</v>
      </c>
      <c r="Q68" s="2" t="s">
        <v>191</v>
      </c>
      <c r="R68" s="2" t="s">
        <v>192</v>
      </c>
      <c r="S68" s="2" t="s">
        <v>185</v>
      </c>
    </row>
    <row r="69" spans="1:19" x14ac:dyDescent="0.3">
      <c r="A69" s="5">
        <v>46221.000006909722</v>
      </c>
      <c r="B69" s="3" t="s">
        <v>61</v>
      </c>
      <c r="C69" s="3">
        <v>6</v>
      </c>
      <c r="D69" s="3" t="s">
        <v>91</v>
      </c>
      <c r="E69" s="3" t="s">
        <v>91</v>
      </c>
      <c r="F69" s="9">
        <v>40</v>
      </c>
      <c r="G69" s="7">
        <v>852</v>
      </c>
      <c r="H69" s="7">
        <v>8474</v>
      </c>
      <c r="I69" s="3"/>
      <c r="J69" s="3"/>
      <c r="K69" s="3"/>
      <c r="L69" s="3"/>
      <c r="M69" s="3" t="s">
        <v>193</v>
      </c>
      <c r="N69" s="3" t="s">
        <v>194</v>
      </c>
      <c r="O69" s="3"/>
      <c r="P69" s="3" t="s">
        <v>24</v>
      </c>
      <c r="Q69" s="3" t="s">
        <v>195</v>
      </c>
      <c r="R69" s="3" t="s">
        <v>196</v>
      </c>
      <c r="S69" s="3" t="s">
        <v>185</v>
      </c>
    </row>
    <row r="70" spans="1:19" x14ac:dyDescent="0.3">
      <c r="A70" s="4">
        <v>46222.000007037037</v>
      </c>
      <c r="B70" s="2" t="s">
        <v>74</v>
      </c>
      <c r="C70" s="2">
        <v>1</v>
      </c>
      <c r="D70" s="2" t="s">
        <v>28</v>
      </c>
      <c r="E70" s="2" t="s">
        <v>28</v>
      </c>
      <c r="F70" s="8">
        <v>5</v>
      </c>
      <c r="G70" s="6">
        <v>3803.2</v>
      </c>
      <c r="H70" s="6">
        <v>3802</v>
      </c>
      <c r="I70" s="2"/>
      <c r="J70" s="2"/>
      <c r="K70" s="2"/>
      <c r="L70" s="2"/>
      <c r="M70" s="2" t="s">
        <v>109</v>
      </c>
      <c r="N70" s="2" t="s">
        <v>159</v>
      </c>
      <c r="O70" s="2"/>
      <c r="P70" s="2" t="s">
        <v>30</v>
      </c>
      <c r="Q70" s="2" t="s">
        <v>197</v>
      </c>
      <c r="R70" s="2" t="s">
        <v>32</v>
      </c>
      <c r="S70" s="2" t="s">
        <v>198</v>
      </c>
    </row>
    <row r="71" spans="1:19" x14ac:dyDescent="0.3">
      <c r="A71" s="5">
        <v>46222.000007037037</v>
      </c>
      <c r="B71" s="3" t="s">
        <v>74</v>
      </c>
      <c r="C71" s="3">
        <v>2</v>
      </c>
      <c r="D71" s="3" t="s">
        <v>83</v>
      </c>
      <c r="E71" s="3" t="s">
        <v>83</v>
      </c>
      <c r="F71" s="9">
        <v>5</v>
      </c>
      <c r="G71" s="7"/>
      <c r="H71" s="7" t="s">
        <v>48</v>
      </c>
      <c r="I71" s="3"/>
      <c r="J71" s="3"/>
      <c r="K71" s="3"/>
      <c r="L71" s="3"/>
      <c r="M71" s="3" t="s">
        <v>109</v>
      </c>
      <c r="N71" s="3" t="s">
        <v>159</v>
      </c>
      <c r="O71" s="3"/>
      <c r="P71" s="3" t="s">
        <v>30</v>
      </c>
      <c r="Q71" s="3" t="s">
        <v>199</v>
      </c>
      <c r="R71" s="3" t="s">
        <v>51</v>
      </c>
      <c r="S71" s="3" t="s">
        <v>198</v>
      </c>
    </row>
    <row r="72" spans="1:19" x14ac:dyDescent="0.3">
      <c r="A72" s="4">
        <v>46222.000007037037</v>
      </c>
      <c r="B72" s="2" t="s">
        <v>74</v>
      </c>
      <c r="C72" s="2">
        <v>3</v>
      </c>
      <c r="D72" s="2" t="s">
        <v>33</v>
      </c>
      <c r="E72" s="2" t="s">
        <v>33</v>
      </c>
      <c r="F72" s="8">
        <v>3</v>
      </c>
      <c r="G72" s="6">
        <v>11799</v>
      </c>
      <c r="H72" s="6" t="s">
        <v>48</v>
      </c>
      <c r="I72" s="2"/>
      <c r="J72" s="2"/>
      <c r="K72" s="2"/>
      <c r="L72" s="2"/>
      <c r="M72" s="2" t="s">
        <v>200</v>
      </c>
      <c r="N72" s="2" t="s">
        <v>159</v>
      </c>
      <c r="O72" s="2" t="s">
        <v>21</v>
      </c>
      <c r="P72" s="2" t="s">
        <v>30</v>
      </c>
      <c r="Q72" s="2" t="s">
        <v>201</v>
      </c>
      <c r="R72" s="2" t="s">
        <v>202</v>
      </c>
      <c r="S72" s="2" t="s">
        <v>198</v>
      </c>
    </row>
    <row r="73" spans="1:19" x14ac:dyDescent="0.3">
      <c r="A73" s="5">
        <v>46223.000007118055</v>
      </c>
      <c r="B73" s="3" t="s">
        <v>99</v>
      </c>
      <c r="C73" s="3">
        <v>1</v>
      </c>
      <c r="D73" s="3" t="s">
        <v>28</v>
      </c>
      <c r="E73" s="3" t="s">
        <v>28</v>
      </c>
      <c r="F73" s="9">
        <v>20</v>
      </c>
      <c r="G73" s="7">
        <v>3804.8</v>
      </c>
      <c r="H73" s="7">
        <v>3803.2</v>
      </c>
      <c r="I73" s="3"/>
      <c r="J73" s="3"/>
      <c r="K73" s="3"/>
      <c r="L73" s="3"/>
      <c r="M73" s="3" t="s">
        <v>109</v>
      </c>
      <c r="N73" s="3" t="s">
        <v>89</v>
      </c>
      <c r="O73" s="3"/>
      <c r="P73" s="3" t="s">
        <v>30</v>
      </c>
      <c r="Q73" s="3" t="s">
        <v>203</v>
      </c>
      <c r="R73" s="3" t="s">
        <v>204</v>
      </c>
      <c r="S73" s="3" t="s">
        <v>205</v>
      </c>
    </row>
    <row r="74" spans="1:19" x14ac:dyDescent="0.3">
      <c r="A74" s="4">
        <v>46223.000007118055</v>
      </c>
      <c r="B74" s="2" t="s">
        <v>99</v>
      </c>
      <c r="C74" s="2">
        <v>2</v>
      </c>
      <c r="D74" s="2" t="s">
        <v>139</v>
      </c>
      <c r="E74" s="2" t="s">
        <v>139</v>
      </c>
      <c r="F74" s="8">
        <v>50</v>
      </c>
      <c r="G74" s="6">
        <v>3241</v>
      </c>
      <c r="H74" s="6">
        <v>3236</v>
      </c>
      <c r="I74" s="2"/>
      <c r="J74" s="2"/>
      <c r="K74" s="2"/>
      <c r="L74" s="2"/>
      <c r="M74" s="2" t="s">
        <v>152</v>
      </c>
      <c r="N74" s="2" t="s">
        <v>89</v>
      </c>
      <c r="O74" s="2"/>
      <c r="P74" s="2" t="s">
        <v>30</v>
      </c>
      <c r="Q74" s="2" t="s">
        <v>206</v>
      </c>
      <c r="R74" s="2" t="s">
        <v>32</v>
      </c>
      <c r="S74" s="2" t="s">
        <v>205</v>
      </c>
    </row>
    <row r="75" spans="1:19" x14ac:dyDescent="0.3">
      <c r="A75" s="5">
        <v>46224.000007141207</v>
      </c>
      <c r="B75" s="3" t="s">
        <v>106</v>
      </c>
      <c r="C75" s="3">
        <v>1</v>
      </c>
      <c r="D75" s="3" t="s">
        <v>115</v>
      </c>
      <c r="E75" s="3" t="s">
        <v>115</v>
      </c>
      <c r="F75" s="9">
        <v>10</v>
      </c>
      <c r="G75" s="7">
        <v>143676</v>
      </c>
      <c r="H75" s="7">
        <v>143647</v>
      </c>
      <c r="I75" s="3"/>
      <c r="J75" s="3"/>
      <c r="K75" s="3"/>
      <c r="L75" s="3"/>
      <c r="M75" s="3" t="s">
        <v>116</v>
      </c>
      <c r="N75" s="3" t="s">
        <v>89</v>
      </c>
      <c r="O75" s="3"/>
      <c r="P75" s="3" t="s">
        <v>68</v>
      </c>
      <c r="Q75" s="3" t="s">
        <v>207</v>
      </c>
      <c r="R75" s="3" t="s">
        <v>32</v>
      </c>
      <c r="S75" s="3" t="s">
        <v>208</v>
      </c>
    </row>
    <row r="76" spans="1:19" x14ac:dyDescent="0.3">
      <c r="A76" s="4">
        <v>46224.000007141207</v>
      </c>
      <c r="B76" s="2" t="s">
        <v>106</v>
      </c>
      <c r="C76" s="2">
        <v>2</v>
      </c>
      <c r="D76" s="2" t="s">
        <v>20</v>
      </c>
      <c r="E76" s="2" t="s">
        <v>20</v>
      </c>
      <c r="F76" s="8">
        <v>60</v>
      </c>
      <c r="G76" s="6">
        <v>5384.1</v>
      </c>
      <c r="H76" s="6">
        <v>5360.2</v>
      </c>
      <c r="I76" s="2"/>
      <c r="J76" s="2"/>
      <c r="K76" s="2"/>
      <c r="L76" s="2"/>
      <c r="M76" s="2" t="s">
        <v>209</v>
      </c>
      <c r="N76" s="2" t="s">
        <v>89</v>
      </c>
      <c r="O76" s="2"/>
      <c r="P76" s="2" t="s">
        <v>30</v>
      </c>
      <c r="Q76" s="2" t="s">
        <v>210</v>
      </c>
      <c r="R76" s="2" t="s">
        <v>211</v>
      </c>
      <c r="S76" s="2" t="s">
        <v>208</v>
      </c>
    </row>
    <row r="77" spans="1:19" x14ac:dyDescent="0.3">
      <c r="A77" s="5">
        <v>46224.000007141207</v>
      </c>
      <c r="B77" s="3" t="s">
        <v>106</v>
      </c>
      <c r="C77" s="3">
        <v>3</v>
      </c>
      <c r="D77" s="3" t="s">
        <v>83</v>
      </c>
      <c r="E77" s="3" t="s">
        <v>83</v>
      </c>
      <c r="F77" s="9">
        <v>20</v>
      </c>
      <c r="G77" s="7" t="s">
        <v>48</v>
      </c>
      <c r="H77" s="7" t="s">
        <v>48</v>
      </c>
      <c r="I77" s="3"/>
      <c r="J77" s="3"/>
      <c r="K77" s="3"/>
      <c r="L77" s="3"/>
      <c r="M77" s="3" t="s">
        <v>109</v>
      </c>
      <c r="N77" s="3" t="s">
        <v>89</v>
      </c>
      <c r="O77" s="3"/>
      <c r="P77" s="3" t="s">
        <v>68</v>
      </c>
      <c r="Q77" s="3" t="s">
        <v>212</v>
      </c>
      <c r="R77" s="3" t="s">
        <v>32</v>
      </c>
      <c r="S77" s="3" t="s">
        <v>208</v>
      </c>
    </row>
    <row r="78" spans="1:19" x14ac:dyDescent="0.3">
      <c r="A78" s="4">
        <v>46224.000007141207</v>
      </c>
      <c r="B78" s="2" t="s">
        <v>106</v>
      </c>
      <c r="C78" s="2">
        <v>4</v>
      </c>
      <c r="D78" s="2" t="s">
        <v>28</v>
      </c>
      <c r="E78" s="2" t="s">
        <v>28</v>
      </c>
      <c r="F78" s="8">
        <v>20</v>
      </c>
      <c r="G78" s="6">
        <v>3809.3</v>
      </c>
      <c r="H78" s="6">
        <v>3804.8</v>
      </c>
      <c r="I78" s="2"/>
      <c r="J78" s="2"/>
      <c r="K78" s="2"/>
      <c r="L78" s="2"/>
      <c r="M78" s="2" t="s">
        <v>109</v>
      </c>
      <c r="N78" s="2" t="s">
        <v>89</v>
      </c>
      <c r="O78" s="2"/>
      <c r="P78" s="2" t="s">
        <v>30</v>
      </c>
      <c r="Q78" s="2" t="s">
        <v>213</v>
      </c>
      <c r="R78" s="2" t="s">
        <v>214</v>
      </c>
      <c r="S78" s="2" t="s">
        <v>208</v>
      </c>
    </row>
    <row r="79" spans="1:19" x14ac:dyDescent="0.3">
      <c r="A79" s="5">
        <v>46224.000007141207</v>
      </c>
      <c r="B79" s="3" t="s">
        <v>106</v>
      </c>
      <c r="C79" s="3">
        <v>5</v>
      </c>
      <c r="D79" s="3" t="s">
        <v>91</v>
      </c>
      <c r="E79" s="3" t="s">
        <v>91</v>
      </c>
      <c r="F79" s="9">
        <v>40</v>
      </c>
      <c r="G79" s="7">
        <v>856</v>
      </c>
      <c r="H79" s="7">
        <v>852</v>
      </c>
      <c r="I79" s="3"/>
      <c r="J79" s="3"/>
      <c r="K79" s="3"/>
      <c r="L79" s="3"/>
      <c r="M79" s="3" t="s">
        <v>215</v>
      </c>
      <c r="N79" s="3" t="s">
        <v>89</v>
      </c>
      <c r="O79" s="3"/>
      <c r="P79" s="3" t="s">
        <v>30</v>
      </c>
      <c r="Q79" s="3" t="s">
        <v>216</v>
      </c>
      <c r="R79" s="3" t="s">
        <v>32</v>
      </c>
      <c r="S79" s="3" t="s">
        <v>208</v>
      </c>
    </row>
    <row r="80" spans="1:19" x14ac:dyDescent="0.3">
      <c r="A80" s="4">
        <v>46224.000007141207</v>
      </c>
      <c r="B80" s="2" t="s">
        <v>106</v>
      </c>
      <c r="C80" s="2">
        <v>6</v>
      </c>
      <c r="D80" s="2" t="s">
        <v>70</v>
      </c>
      <c r="E80" s="2" t="s">
        <v>70</v>
      </c>
      <c r="F80" s="8">
        <v>20</v>
      </c>
      <c r="G80" s="6">
        <v>226036</v>
      </c>
      <c r="H80" s="6">
        <v>226017</v>
      </c>
      <c r="I80" s="2"/>
      <c r="J80" s="2"/>
      <c r="K80" s="2"/>
      <c r="L80" s="2"/>
      <c r="M80" s="2" t="s">
        <v>21</v>
      </c>
      <c r="N80" s="2" t="s">
        <v>89</v>
      </c>
      <c r="O80" s="2"/>
      <c r="P80" s="2" t="s">
        <v>30</v>
      </c>
      <c r="Q80" s="2" t="s">
        <v>217</v>
      </c>
      <c r="R80" s="2" t="s">
        <v>32</v>
      </c>
      <c r="S80" s="2" t="s">
        <v>208</v>
      </c>
    </row>
    <row r="81" spans="1:19" x14ac:dyDescent="0.3">
      <c r="A81" s="5">
        <v>46225.000007314811</v>
      </c>
      <c r="B81" s="3" t="s">
        <v>19</v>
      </c>
      <c r="C81" s="3">
        <v>1</v>
      </c>
      <c r="D81" s="3" t="s">
        <v>139</v>
      </c>
      <c r="E81" s="3" t="s">
        <v>158</v>
      </c>
      <c r="F81" s="9">
        <v>50</v>
      </c>
      <c r="G81" s="7">
        <v>3247</v>
      </c>
      <c r="H81" s="7">
        <v>3241</v>
      </c>
      <c r="I81" s="3"/>
      <c r="J81" s="3"/>
      <c r="K81" s="3"/>
      <c r="L81" s="3"/>
      <c r="M81" s="3" t="s">
        <v>152</v>
      </c>
      <c r="N81" s="3" t="s">
        <v>159</v>
      </c>
      <c r="O81" s="3"/>
      <c r="P81" s="3" t="s">
        <v>30</v>
      </c>
      <c r="Q81" s="3" t="s">
        <v>218</v>
      </c>
      <c r="R81" s="3" t="s">
        <v>32</v>
      </c>
      <c r="S81" s="3" t="s">
        <v>219</v>
      </c>
    </row>
    <row r="82" spans="1:19" x14ac:dyDescent="0.3">
      <c r="A82" s="4">
        <v>46225.000007314811</v>
      </c>
      <c r="B82" s="2" t="s">
        <v>19</v>
      </c>
      <c r="C82" s="2">
        <v>2</v>
      </c>
      <c r="D82" s="2" t="s">
        <v>43</v>
      </c>
      <c r="E82" s="2" t="s">
        <v>43</v>
      </c>
      <c r="F82" s="8">
        <v>30</v>
      </c>
      <c r="G82" s="6">
        <v>2956</v>
      </c>
      <c r="H82" s="6">
        <v>2952</v>
      </c>
      <c r="I82" s="2"/>
      <c r="J82" s="2"/>
      <c r="K82" s="2"/>
      <c r="L82" s="2"/>
      <c r="M82" s="2" t="s">
        <v>220</v>
      </c>
      <c r="N82" s="2" t="s">
        <v>159</v>
      </c>
      <c r="O82" s="2"/>
      <c r="P82" s="2" t="s">
        <v>24</v>
      </c>
      <c r="Q82" s="2" t="s">
        <v>221</v>
      </c>
      <c r="R82" s="2" t="s">
        <v>222</v>
      </c>
      <c r="S82" s="2" t="s">
        <v>219</v>
      </c>
    </row>
    <row r="83" spans="1:19" x14ac:dyDescent="0.3">
      <c r="A83" s="5">
        <v>46225.000007314811</v>
      </c>
      <c r="B83" s="3" t="s">
        <v>19</v>
      </c>
      <c r="C83" s="3">
        <v>3</v>
      </c>
      <c r="D83" s="3" t="s">
        <v>66</v>
      </c>
      <c r="E83" s="3" t="s">
        <v>66</v>
      </c>
      <c r="F83" s="9">
        <v>25</v>
      </c>
      <c r="G83" s="7" t="s">
        <v>48</v>
      </c>
      <c r="H83" s="7" t="s">
        <v>48</v>
      </c>
      <c r="I83" s="3"/>
      <c r="J83" s="3"/>
      <c r="K83" s="3"/>
      <c r="L83" s="3"/>
      <c r="M83" s="3" t="s">
        <v>39</v>
      </c>
      <c r="N83" s="3" t="s">
        <v>89</v>
      </c>
      <c r="O83" s="3"/>
      <c r="P83" s="3" t="s">
        <v>30</v>
      </c>
      <c r="Q83" s="3" t="s">
        <v>223</v>
      </c>
      <c r="R83" s="3" t="s">
        <v>32</v>
      </c>
      <c r="S83" s="3" t="s">
        <v>219</v>
      </c>
    </row>
    <row r="84" spans="1:19" x14ac:dyDescent="0.3">
      <c r="A84" s="4">
        <v>46225.000007314811</v>
      </c>
      <c r="B84" s="2" t="s">
        <v>19</v>
      </c>
      <c r="C84" s="2">
        <v>4</v>
      </c>
      <c r="D84" s="2" t="s">
        <v>20</v>
      </c>
      <c r="E84" s="2" t="s">
        <v>20</v>
      </c>
      <c r="F84" s="8">
        <v>20</v>
      </c>
      <c r="G84" s="6">
        <v>5367.8</v>
      </c>
      <c r="H84" s="6">
        <v>5364.1</v>
      </c>
      <c r="I84" s="2"/>
      <c r="J84" s="2"/>
      <c r="K84" s="2"/>
      <c r="L84" s="2"/>
      <c r="M84" s="2" t="s">
        <v>109</v>
      </c>
      <c r="N84" s="2" t="s">
        <v>89</v>
      </c>
      <c r="O84" s="2"/>
      <c r="P84" s="2" t="s">
        <v>30</v>
      </c>
      <c r="Q84" s="2" t="s">
        <v>224</v>
      </c>
      <c r="R84" s="2" t="s">
        <v>225</v>
      </c>
      <c r="S84" s="2" t="s">
        <v>219</v>
      </c>
    </row>
    <row r="85" spans="1:19" x14ac:dyDescent="0.3">
      <c r="A85" s="5">
        <v>46225.000007314811</v>
      </c>
      <c r="B85" s="3" t="s">
        <v>19</v>
      </c>
      <c r="C85" s="3">
        <v>5</v>
      </c>
      <c r="D85" s="3" t="s">
        <v>91</v>
      </c>
      <c r="E85" s="3" t="s">
        <v>91</v>
      </c>
      <c r="F85" s="9">
        <v>20</v>
      </c>
      <c r="G85" s="7">
        <v>659</v>
      </c>
      <c r="H85" s="7">
        <v>656</v>
      </c>
      <c r="I85" s="3"/>
      <c r="J85" s="3"/>
      <c r="K85" s="3"/>
      <c r="L85" s="3"/>
      <c r="M85" s="3" t="s">
        <v>226</v>
      </c>
      <c r="N85" s="3" t="s">
        <v>89</v>
      </c>
      <c r="O85" s="3"/>
      <c r="P85" s="3" t="s">
        <v>24</v>
      </c>
      <c r="Q85" s="3" t="s">
        <v>227</v>
      </c>
      <c r="R85" s="3" t="s">
        <v>32</v>
      </c>
      <c r="S85" s="3" t="s">
        <v>219</v>
      </c>
    </row>
    <row r="86" spans="1:19" x14ac:dyDescent="0.3">
      <c r="A86" s="4">
        <v>46225.000007314811</v>
      </c>
      <c r="B86" s="2" t="s">
        <v>19</v>
      </c>
      <c r="C86" s="2">
        <v>6</v>
      </c>
      <c r="D86" s="2" t="s">
        <v>115</v>
      </c>
      <c r="E86" s="2" t="s">
        <v>115</v>
      </c>
      <c r="F86" s="8">
        <v>5</v>
      </c>
      <c r="G86" s="6">
        <v>143689</v>
      </c>
      <c r="H86" s="6">
        <v>143676</v>
      </c>
      <c r="I86" s="2"/>
      <c r="J86" s="2"/>
      <c r="K86" s="2"/>
      <c r="L86" s="2"/>
      <c r="M86" s="2" t="s">
        <v>116</v>
      </c>
      <c r="N86" s="2" t="s">
        <v>89</v>
      </c>
      <c r="O86" s="2"/>
      <c r="P86" s="2" t="s">
        <v>24</v>
      </c>
      <c r="Q86" s="2" t="s">
        <v>228</v>
      </c>
      <c r="R86" s="2" t="s">
        <v>229</v>
      </c>
      <c r="S86" s="2" t="s">
        <v>219</v>
      </c>
    </row>
    <row r="87" spans="1:19" x14ac:dyDescent="0.3">
      <c r="A87" s="5">
        <v>46225.000007314811</v>
      </c>
      <c r="B87" s="3" t="s">
        <v>19</v>
      </c>
      <c r="C87" s="3">
        <v>7</v>
      </c>
      <c r="D87" s="3" t="s">
        <v>33</v>
      </c>
      <c r="E87" s="3" t="s">
        <v>33</v>
      </c>
      <c r="F87" s="9">
        <v>20</v>
      </c>
      <c r="G87" s="7" t="s">
        <v>48</v>
      </c>
      <c r="H87" s="7" t="s">
        <v>48</v>
      </c>
      <c r="I87" s="3"/>
      <c r="J87" s="3"/>
      <c r="K87" s="3"/>
      <c r="L87" s="3"/>
      <c r="M87" s="3" t="s">
        <v>159</v>
      </c>
      <c r="N87" s="3" t="s">
        <v>89</v>
      </c>
      <c r="O87" s="3"/>
      <c r="P87" s="3" t="s">
        <v>30</v>
      </c>
      <c r="Q87" s="3" t="s">
        <v>230</v>
      </c>
      <c r="R87" s="3" t="s">
        <v>32</v>
      </c>
      <c r="S87" s="3" t="s">
        <v>219</v>
      </c>
    </row>
    <row r="88" spans="1:19" x14ac:dyDescent="0.3">
      <c r="A88" s="4">
        <v>46226.000007430557</v>
      </c>
      <c r="B88" s="2" t="s">
        <v>37</v>
      </c>
      <c r="C88" s="2">
        <v>1</v>
      </c>
      <c r="D88" s="2" t="s">
        <v>139</v>
      </c>
      <c r="E88" s="2" t="s">
        <v>158</v>
      </c>
      <c r="F88" s="8">
        <v>50</v>
      </c>
      <c r="G88" s="6">
        <v>3254</v>
      </c>
      <c r="H88" s="6">
        <v>3247</v>
      </c>
      <c r="I88" s="2"/>
      <c r="J88" s="2"/>
      <c r="K88" s="2"/>
      <c r="L88" s="2"/>
      <c r="M88" s="2" t="s">
        <v>231</v>
      </c>
      <c r="N88" s="2" t="s">
        <v>89</v>
      </c>
      <c r="O88" s="2"/>
      <c r="P88" s="2" t="s">
        <v>30</v>
      </c>
      <c r="Q88" s="2" t="s">
        <v>232</v>
      </c>
      <c r="R88" s="2" t="s">
        <v>32</v>
      </c>
      <c r="S88" s="2" t="s">
        <v>233</v>
      </c>
    </row>
    <row r="89" spans="1:19" x14ac:dyDescent="0.3">
      <c r="A89" s="5">
        <v>46226.000007430557</v>
      </c>
      <c r="B89" s="3" t="s">
        <v>37</v>
      </c>
      <c r="C89" s="3">
        <v>2</v>
      </c>
      <c r="D89" s="3" t="s">
        <v>115</v>
      </c>
      <c r="E89" s="3" t="s">
        <v>115</v>
      </c>
      <c r="F89" s="9">
        <v>20</v>
      </c>
      <c r="G89" s="7">
        <v>143698</v>
      </c>
      <c r="H89" s="7">
        <v>143689</v>
      </c>
      <c r="I89" s="3"/>
      <c r="J89" s="3"/>
      <c r="K89" s="3"/>
      <c r="L89" s="3"/>
      <c r="M89" s="3" t="s">
        <v>234</v>
      </c>
      <c r="N89" s="3" t="s">
        <v>89</v>
      </c>
      <c r="O89" s="3"/>
      <c r="P89" s="3" t="s">
        <v>30</v>
      </c>
      <c r="Q89" s="3" t="s">
        <v>235</v>
      </c>
      <c r="R89" s="3" t="s">
        <v>236</v>
      </c>
      <c r="S89" s="3" t="s">
        <v>233</v>
      </c>
    </row>
    <row r="90" spans="1:19" x14ac:dyDescent="0.3">
      <c r="A90" s="4">
        <v>46226.000007430557</v>
      </c>
      <c r="B90" s="2" t="s">
        <v>37</v>
      </c>
      <c r="C90" s="2">
        <v>3</v>
      </c>
      <c r="D90" s="2" t="s">
        <v>91</v>
      </c>
      <c r="E90" s="2" t="s">
        <v>91</v>
      </c>
      <c r="F90" s="8">
        <v>40</v>
      </c>
      <c r="G90" s="6">
        <v>862</v>
      </c>
      <c r="H90" s="6">
        <v>859</v>
      </c>
      <c r="I90" s="2"/>
      <c r="J90" s="2"/>
      <c r="K90" s="2"/>
      <c r="L90" s="2"/>
      <c r="M90" s="2" t="s">
        <v>237</v>
      </c>
      <c r="N90" s="2" t="s">
        <v>89</v>
      </c>
      <c r="O90" s="2"/>
      <c r="P90" s="2" t="s">
        <v>30</v>
      </c>
      <c r="Q90" s="2" t="s">
        <v>238</v>
      </c>
      <c r="R90" s="2" t="s">
        <v>32</v>
      </c>
      <c r="S90" s="2" t="s">
        <v>233</v>
      </c>
    </row>
    <row r="91" spans="1:19" x14ac:dyDescent="0.3">
      <c r="A91" s="5">
        <v>46226.000007430557</v>
      </c>
      <c r="B91" s="3" t="s">
        <v>37</v>
      </c>
      <c r="C91" s="3">
        <v>4</v>
      </c>
      <c r="D91" s="3" t="s">
        <v>28</v>
      </c>
      <c r="E91" s="3" t="s">
        <v>28</v>
      </c>
      <c r="F91" s="9">
        <v>20</v>
      </c>
      <c r="G91" s="7">
        <v>3613.2</v>
      </c>
      <c r="H91" s="7">
        <v>3606.3</v>
      </c>
      <c r="I91" s="3"/>
      <c r="J91" s="3"/>
      <c r="K91" s="3"/>
      <c r="L91" s="3"/>
      <c r="M91" s="3" t="s">
        <v>109</v>
      </c>
      <c r="N91" s="3" t="s">
        <v>89</v>
      </c>
      <c r="O91" s="3"/>
      <c r="P91" s="3" t="s">
        <v>30</v>
      </c>
      <c r="Q91" s="3" t="s">
        <v>239</v>
      </c>
      <c r="R91" s="3" t="s">
        <v>240</v>
      </c>
      <c r="S91" s="3" t="s">
        <v>233</v>
      </c>
    </row>
    <row r="92" spans="1:19" x14ac:dyDescent="0.3">
      <c r="A92" s="4">
        <v>46226.000007430557</v>
      </c>
      <c r="B92" s="2" t="s">
        <v>37</v>
      </c>
      <c r="C92" s="2">
        <v>5</v>
      </c>
      <c r="D92" s="2" t="s">
        <v>20</v>
      </c>
      <c r="E92" s="2" t="s">
        <v>20</v>
      </c>
      <c r="F92" s="8">
        <v>30</v>
      </c>
      <c r="G92" s="6">
        <v>5391.2</v>
      </c>
      <c r="H92" s="6">
        <v>5387.8</v>
      </c>
      <c r="I92" s="2"/>
      <c r="J92" s="2"/>
      <c r="K92" s="2"/>
      <c r="L92" s="2"/>
      <c r="M92" s="2" t="s">
        <v>241</v>
      </c>
      <c r="N92" s="2" t="s">
        <v>159</v>
      </c>
      <c r="O92" s="2"/>
      <c r="P92" s="2" t="s">
        <v>30</v>
      </c>
      <c r="Q92" s="2" t="s">
        <v>242</v>
      </c>
      <c r="R92" s="2" t="s">
        <v>243</v>
      </c>
      <c r="S92" s="2" t="s">
        <v>233</v>
      </c>
    </row>
    <row r="93" spans="1:19" x14ac:dyDescent="0.3">
      <c r="A93" s="5">
        <v>46226.000007430557</v>
      </c>
      <c r="B93" s="3" t="s">
        <v>37</v>
      </c>
      <c r="C93" s="3">
        <v>6</v>
      </c>
      <c r="D93" s="3" t="s">
        <v>43</v>
      </c>
      <c r="E93" s="3" t="s">
        <v>43</v>
      </c>
      <c r="F93" s="9">
        <v>40</v>
      </c>
      <c r="G93" s="7">
        <v>2959</v>
      </c>
      <c r="H93" s="7">
        <v>2956</v>
      </c>
      <c r="I93" s="3"/>
      <c r="J93" s="3"/>
      <c r="K93" s="3"/>
      <c r="L93" s="3"/>
      <c r="M93" s="3" t="s">
        <v>244</v>
      </c>
      <c r="N93" s="3" t="s">
        <v>159</v>
      </c>
      <c r="O93" s="3"/>
      <c r="P93" s="3" t="s">
        <v>30</v>
      </c>
      <c r="Q93" s="3" t="s">
        <v>245</v>
      </c>
      <c r="R93" s="3" t="s">
        <v>32</v>
      </c>
      <c r="S93" s="3" t="s">
        <v>233</v>
      </c>
    </row>
    <row r="94" spans="1:19" x14ac:dyDescent="0.3">
      <c r="A94" s="4">
        <v>46226.000007430557</v>
      </c>
      <c r="B94" s="2" t="s">
        <v>37</v>
      </c>
      <c r="C94" s="2">
        <v>7</v>
      </c>
      <c r="D94" s="2" t="s">
        <v>83</v>
      </c>
      <c r="E94" s="2" t="s">
        <v>83</v>
      </c>
      <c r="F94" s="8">
        <v>20</v>
      </c>
      <c r="G94" s="6" t="s">
        <v>48</v>
      </c>
      <c r="H94" s="6" t="s">
        <v>48</v>
      </c>
      <c r="I94" s="2"/>
      <c r="J94" s="2"/>
      <c r="K94" s="2"/>
      <c r="L94" s="2"/>
      <c r="M94" s="2" t="s">
        <v>246</v>
      </c>
      <c r="N94" s="2" t="s">
        <v>159</v>
      </c>
      <c r="O94" s="2"/>
      <c r="P94" s="2" t="s">
        <v>30</v>
      </c>
      <c r="Q94" s="2" t="s">
        <v>247</v>
      </c>
      <c r="R94" s="2" t="s">
        <v>32</v>
      </c>
      <c r="S94" s="2" t="s">
        <v>233</v>
      </c>
    </row>
    <row r="95" spans="1:19" x14ac:dyDescent="0.3">
      <c r="A95" s="5">
        <v>46227.000007569448</v>
      </c>
      <c r="B95" s="3" t="s">
        <v>55</v>
      </c>
      <c r="C95" s="3">
        <v>1</v>
      </c>
      <c r="D95" s="3" t="s">
        <v>28</v>
      </c>
      <c r="E95" s="3" t="s">
        <v>28</v>
      </c>
      <c r="F95" s="9">
        <v>20</v>
      </c>
      <c r="G95" s="7">
        <v>3617</v>
      </c>
      <c r="H95" s="7">
        <v>3613.2</v>
      </c>
      <c r="I95" s="3" t="s">
        <v>21</v>
      </c>
      <c r="J95" s="3"/>
      <c r="K95" s="3"/>
      <c r="L95" s="3"/>
      <c r="M95" s="3" t="s">
        <v>109</v>
      </c>
      <c r="N95" s="3" t="s">
        <v>164</v>
      </c>
      <c r="O95" s="3"/>
      <c r="P95" s="3" t="s">
        <v>30</v>
      </c>
      <c r="Q95" s="3" t="s">
        <v>248</v>
      </c>
      <c r="R95" s="3" t="s">
        <v>32</v>
      </c>
      <c r="S95" s="3" t="s">
        <v>249</v>
      </c>
    </row>
    <row r="96" spans="1:19" x14ac:dyDescent="0.3">
      <c r="A96" s="4">
        <v>46227.000007569448</v>
      </c>
      <c r="B96" s="2" t="s">
        <v>55</v>
      </c>
      <c r="C96" s="2">
        <v>2</v>
      </c>
      <c r="D96" s="2" t="s">
        <v>91</v>
      </c>
      <c r="E96" s="2" t="s">
        <v>91</v>
      </c>
      <c r="F96" s="8">
        <v>40</v>
      </c>
      <c r="G96" s="6">
        <v>865.6</v>
      </c>
      <c r="H96" s="6">
        <v>862</v>
      </c>
      <c r="I96" s="2" t="s">
        <v>21</v>
      </c>
      <c r="J96" s="2"/>
      <c r="K96" s="2"/>
      <c r="L96" s="2"/>
      <c r="M96" s="2" t="s">
        <v>109</v>
      </c>
      <c r="N96" s="2" t="s">
        <v>164</v>
      </c>
      <c r="O96" s="2"/>
      <c r="P96" s="2" t="s">
        <v>30</v>
      </c>
      <c r="Q96" s="2" t="s">
        <v>250</v>
      </c>
      <c r="R96" s="2" t="s">
        <v>32</v>
      </c>
      <c r="S96" s="2" t="s">
        <v>249</v>
      </c>
    </row>
    <row r="97" spans="1:19" x14ac:dyDescent="0.3">
      <c r="A97" s="5">
        <v>46227.000007569448</v>
      </c>
      <c r="B97" s="3" t="s">
        <v>55</v>
      </c>
      <c r="C97" s="3">
        <v>3</v>
      </c>
      <c r="D97" s="3" t="s">
        <v>20</v>
      </c>
      <c r="E97" s="3" t="s">
        <v>20</v>
      </c>
      <c r="F97" s="9">
        <v>30</v>
      </c>
      <c r="G97" s="7">
        <v>5793</v>
      </c>
      <c r="H97" s="7">
        <v>5391</v>
      </c>
      <c r="I97" s="3"/>
      <c r="J97" s="3"/>
      <c r="K97" s="3"/>
      <c r="L97" s="3"/>
      <c r="M97" s="3" t="s">
        <v>251</v>
      </c>
      <c r="N97" s="3" t="s">
        <v>159</v>
      </c>
      <c r="O97" s="3"/>
      <c r="P97" s="3" t="s">
        <v>30</v>
      </c>
      <c r="Q97" s="3" t="s">
        <v>252</v>
      </c>
      <c r="R97" s="3" t="s">
        <v>32</v>
      </c>
      <c r="S97" s="3" t="s">
        <v>249</v>
      </c>
    </row>
    <row r="98" spans="1:19" x14ac:dyDescent="0.3">
      <c r="A98" s="4">
        <v>46228.000007627314</v>
      </c>
      <c r="B98" s="2" t="s">
        <v>61</v>
      </c>
      <c r="C98" s="2">
        <v>1</v>
      </c>
      <c r="D98" s="2" t="s">
        <v>28</v>
      </c>
      <c r="E98" s="2" t="s">
        <v>28</v>
      </c>
      <c r="F98" s="8">
        <v>20</v>
      </c>
      <c r="G98" s="6">
        <v>3821.1</v>
      </c>
      <c r="H98" s="6">
        <v>3817</v>
      </c>
      <c r="I98" s="2"/>
      <c r="J98" s="2"/>
      <c r="K98" s="2"/>
      <c r="L98" s="2"/>
      <c r="M98" s="2" t="s">
        <v>109</v>
      </c>
      <c r="N98" s="2" t="s">
        <v>159</v>
      </c>
      <c r="O98" s="2"/>
      <c r="P98" s="2" t="s">
        <v>30</v>
      </c>
      <c r="Q98" s="2" t="s">
        <v>253</v>
      </c>
      <c r="R98" s="2" t="s">
        <v>32</v>
      </c>
      <c r="S98" s="2" t="s">
        <v>254</v>
      </c>
    </row>
    <row r="99" spans="1:19" x14ac:dyDescent="0.3">
      <c r="A99" s="5">
        <v>46228.000007627314</v>
      </c>
      <c r="B99" s="3" t="s">
        <v>61</v>
      </c>
      <c r="C99" s="3">
        <v>2</v>
      </c>
      <c r="D99" s="3" t="s">
        <v>91</v>
      </c>
      <c r="E99" s="3" t="s">
        <v>91</v>
      </c>
      <c r="F99" s="9">
        <v>40</v>
      </c>
      <c r="G99" s="7">
        <v>889</v>
      </c>
      <c r="H99" s="7">
        <v>865.6</v>
      </c>
      <c r="I99" s="3"/>
      <c r="J99" s="3"/>
      <c r="K99" s="3"/>
      <c r="L99" s="3"/>
      <c r="M99" s="3" t="s">
        <v>109</v>
      </c>
      <c r="N99" s="3" t="s">
        <v>159</v>
      </c>
      <c r="O99" s="3"/>
      <c r="P99" s="3" t="s">
        <v>24</v>
      </c>
      <c r="Q99" s="3" t="s">
        <v>255</v>
      </c>
      <c r="R99" s="3" t="s">
        <v>32</v>
      </c>
      <c r="S99" s="3" t="s">
        <v>254</v>
      </c>
    </row>
    <row r="100" spans="1:19" x14ac:dyDescent="0.3">
      <c r="A100" s="4">
        <v>46228.000007627314</v>
      </c>
      <c r="B100" s="2" t="s">
        <v>61</v>
      </c>
      <c r="C100" s="2">
        <v>3</v>
      </c>
      <c r="D100" s="2" t="s">
        <v>20</v>
      </c>
      <c r="E100" s="2" t="s">
        <v>20</v>
      </c>
      <c r="F100" s="8">
        <v>20</v>
      </c>
      <c r="G100" s="6">
        <v>5395.6</v>
      </c>
      <c r="H100" s="6">
        <v>2959</v>
      </c>
      <c r="I100" s="2"/>
      <c r="J100" s="2"/>
      <c r="K100" s="2"/>
      <c r="L100" s="2"/>
      <c r="M100" s="2" t="s">
        <v>109</v>
      </c>
      <c r="N100" s="2" t="s">
        <v>159</v>
      </c>
      <c r="O100" s="2"/>
      <c r="P100" s="2" t="s">
        <v>24</v>
      </c>
      <c r="Q100" s="2" t="s">
        <v>256</v>
      </c>
      <c r="R100" s="2" t="s">
        <v>32</v>
      </c>
      <c r="S100" s="2" t="s">
        <v>254</v>
      </c>
    </row>
    <row r="101" spans="1:19" x14ac:dyDescent="0.3">
      <c r="A101" s="5">
        <v>46229.000007662034</v>
      </c>
      <c r="B101" s="3" t="s">
        <v>74</v>
      </c>
      <c r="C101" s="3">
        <v>1</v>
      </c>
      <c r="D101" s="3" t="s">
        <v>47</v>
      </c>
      <c r="E101" s="3" t="s">
        <v>47</v>
      </c>
      <c r="F101" s="9">
        <v>5</v>
      </c>
      <c r="G101" s="7" t="s">
        <v>21</v>
      </c>
      <c r="H101" s="7" t="s">
        <v>21</v>
      </c>
      <c r="I101" s="3"/>
      <c r="J101" s="3"/>
      <c r="K101" s="3"/>
      <c r="L101" s="3"/>
      <c r="M101" s="3" t="s">
        <v>49</v>
      </c>
      <c r="N101" s="3" t="s">
        <v>89</v>
      </c>
      <c r="O101" s="3"/>
      <c r="P101" s="3" t="s">
        <v>30</v>
      </c>
      <c r="Q101" s="3" t="s">
        <v>257</v>
      </c>
      <c r="R101" s="3" t="s">
        <v>258</v>
      </c>
      <c r="S101" s="3" t="s">
        <v>259</v>
      </c>
    </row>
    <row r="102" spans="1:19" x14ac:dyDescent="0.3">
      <c r="A102" s="4">
        <v>46230.000007662034</v>
      </c>
      <c r="B102" s="2" t="s">
        <v>99</v>
      </c>
      <c r="C102" s="2">
        <v>1</v>
      </c>
      <c r="D102" s="2" t="s">
        <v>91</v>
      </c>
      <c r="E102" s="2" t="s">
        <v>173</v>
      </c>
      <c r="F102" s="8">
        <v>25</v>
      </c>
      <c r="G102" s="6">
        <v>1875</v>
      </c>
      <c r="H102" s="6">
        <v>869</v>
      </c>
      <c r="I102" s="2">
        <v>23</v>
      </c>
      <c r="J102" s="2"/>
      <c r="K102" s="2"/>
      <c r="L102" s="2"/>
      <c r="M102" s="2" t="s">
        <v>260</v>
      </c>
      <c r="N102" s="2" t="s">
        <v>89</v>
      </c>
      <c r="O102" s="2"/>
      <c r="P102" s="2" t="s">
        <v>24</v>
      </c>
      <c r="Q102" s="2" t="s">
        <v>261</v>
      </c>
      <c r="R102" s="2" t="s">
        <v>262</v>
      </c>
      <c r="S102" s="2" t="s">
        <v>263</v>
      </c>
    </row>
    <row r="103" spans="1:19" x14ac:dyDescent="0.3">
      <c r="A103" s="5">
        <v>46230.000007662034</v>
      </c>
      <c r="B103" s="3" t="s">
        <v>99</v>
      </c>
      <c r="C103" s="3">
        <v>2</v>
      </c>
      <c r="D103" s="3" t="s">
        <v>75</v>
      </c>
      <c r="E103" s="3" t="s">
        <v>264</v>
      </c>
      <c r="F103" s="9">
        <v>20</v>
      </c>
      <c r="G103" s="7">
        <v>93292</v>
      </c>
      <c r="H103" s="7"/>
      <c r="I103" s="3"/>
      <c r="J103" s="3"/>
      <c r="K103" s="3"/>
      <c r="L103" s="3"/>
      <c r="M103" s="3" t="s">
        <v>265</v>
      </c>
      <c r="N103" s="3" t="s">
        <v>89</v>
      </c>
      <c r="O103" s="3"/>
      <c r="P103" s="3" t="s">
        <v>30</v>
      </c>
      <c r="Q103" s="3" t="s">
        <v>266</v>
      </c>
      <c r="R103" s="3" t="s">
        <v>267</v>
      </c>
      <c r="S103" s="3" t="s">
        <v>263</v>
      </c>
    </row>
    <row r="104" spans="1:19" x14ac:dyDescent="0.3">
      <c r="A104" s="4">
        <v>46230.000007662034</v>
      </c>
      <c r="B104" s="2" t="s">
        <v>99</v>
      </c>
      <c r="C104" s="2">
        <v>3</v>
      </c>
      <c r="D104" s="2" t="s">
        <v>20</v>
      </c>
      <c r="E104" s="2" t="s">
        <v>20</v>
      </c>
      <c r="F104" s="8">
        <v>25</v>
      </c>
      <c r="G104" s="6">
        <v>63971</v>
      </c>
      <c r="H104" s="6">
        <v>5393</v>
      </c>
      <c r="I104" s="2"/>
      <c r="J104" s="2"/>
      <c r="K104" s="2"/>
      <c r="L104" s="2"/>
      <c r="M104" s="2" t="s">
        <v>268</v>
      </c>
      <c r="N104" s="2" t="s">
        <v>89</v>
      </c>
      <c r="O104" s="2"/>
      <c r="P104" s="2" t="s">
        <v>24</v>
      </c>
      <c r="Q104" s="2" t="s">
        <v>269</v>
      </c>
      <c r="R104" s="2" t="s">
        <v>270</v>
      </c>
      <c r="S104" s="2" t="s">
        <v>263</v>
      </c>
    </row>
    <row r="105" spans="1:19" x14ac:dyDescent="0.3">
      <c r="A105" s="5">
        <v>46230.000007662034</v>
      </c>
      <c r="B105" s="3" t="s">
        <v>99</v>
      </c>
      <c r="C105" s="3">
        <v>4</v>
      </c>
      <c r="D105" s="3" t="s">
        <v>43</v>
      </c>
      <c r="E105" s="3" t="s">
        <v>43</v>
      </c>
      <c r="F105" s="9">
        <v>30</v>
      </c>
      <c r="G105" s="7">
        <v>2963</v>
      </c>
      <c r="H105" s="7">
        <v>959</v>
      </c>
      <c r="I105" s="3"/>
      <c r="J105" s="3"/>
      <c r="K105" s="3"/>
      <c r="L105" s="3"/>
      <c r="M105" s="3" t="s">
        <v>271</v>
      </c>
      <c r="N105" s="3" t="s">
        <v>89</v>
      </c>
      <c r="O105" s="3"/>
      <c r="P105" s="3" t="s">
        <v>24</v>
      </c>
      <c r="Q105" s="3" t="s">
        <v>272</v>
      </c>
      <c r="R105" s="3" t="s">
        <v>32</v>
      </c>
      <c r="S105" s="3" t="s">
        <v>263</v>
      </c>
    </row>
    <row r="106" spans="1:19" x14ac:dyDescent="0.3">
      <c r="A106" s="4">
        <v>46230.000007662034</v>
      </c>
      <c r="B106" s="2" t="s">
        <v>99</v>
      </c>
      <c r="C106" s="2">
        <v>5</v>
      </c>
      <c r="D106" s="2" t="s">
        <v>47</v>
      </c>
      <c r="E106" s="2" t="s">
        <v>47</v>
      </c>
      <c r="F106" s="8">
        <v>15</v>
      </c>
      <c r="G106" s="6" t="s">
        <v>48</v>
      </c>
      <c r="H106" s="6"/>
      <c r="I106" s="2"/>
      <c r="J106" s="2"/>
      <c r="K106" s="2"/>
      <c r="L106" s="2"/>
      <c r="M106" s="2" t="s">
        <v>49</v>
      </c>
      <c r="N106" s="2" t="s">
        <v>89</v>
      </c>
      <c r="O106" s="2"/>
      <c r="P106" s="2" t="s">
        <v>30</v>
      </c>
      <c r="Q106" s="2" t="s">
        <v>273</v>
      </c>
      <c r="R106" s="2" t="s">
        <v>32</v>
      </c>
      <c r="S106" s="2" t="s">
        <v>263</v>
      </c>
    </row>
    <row r="107" spans="1:19" x14ac:dyDescent="0.3">
      <c r="A107" s="5">
        <v>46230.000007662034</v>
      </c>
      <c r="B107" s="3" t="s">
        <v>99</v>
      </c>
      <c r="C107" s="3">
        <v>6</v>
      </c>
      <c r="D107" s="3" t="s">
        <v>47</v>
      </c>
      <c r="E107" s="3" t="s">
        <v>47</v>
      </c>
      <c r="F107" s="9">
        <v>10</v>
      </c>
      <c r="G107" s="7" t="s">
        <v>48</v>
      </c>
      <c r="H107" s="7"/>
      <c r="I107" s="3"/>
      <c r="J107" s="3"/>
      <c r="K107" s="3"/>
      <c r="L107" s="3"/>
      <c r="M107" s="3" t="s">
        <v>49</v>
      </c>
      <c r="N107" s="3" t="s">
        <v>89</v>
      </c>
      <c r="O107" s="3"/>
      <c r="P107" s="3" t="s">
        <v>30</v>
      </c>
      <c r="Q107" s="3" t="s">
        <v>274</v>
      </c>
      <c r="R107" s="3" t="s">
        <v>275</v>
      </c>
      <c r="S107" s="3" t="s">
        <v>263</v>
      </c>
    </row>
    <row r="108" spans="1:19" x14ac:dyDescent="0.3">
      <c r="A108" s="4">
        <v>46231.000007789349</v>
      </c>
      <c r="B108" s="2" t="s">
        <v>106</v>
      </c>
      <c r="C108" s="2">
        <v>1</v>
      </c>
      <c r="D108" s="2" t="s">
        <v>139</v>
      </c>
      <c r="E108" s="2" t="s">
        <v>276</v>
      </c>
      <c r="F108" s="8">
        <v>50</v>
      </c>
      <c r="G108" s="6">
        <v>3261</v>
      </c>
      <c r="H108" s="6">
        <v>3254</v>
      </c>
      <c r="I108" s="2"/>
      <c r="J108" s="2"/>
      <c r="K108" s="2"/>
      <c r="L108" s="2"/>
      <c r="M108" s="2" t="s">
        <v>152</v>
      </c>
      <c r="N108" s="2" t="s">
        <v>89</v>
      </c>
      <c r="O108" s="2"/>
      <c r="P108" s="2" t="s">
        <v>30</v>
      </c>
      <c r="Q108" s="2" t="s">
        <v>277</v>
      </c>
      <c r="R108" s="2" t="s">
        <v>278</v>
      </c>
      <c r="S108" s="2" t="s">
        <v>279</v>
      </c>
    </row>
    <row r="109" spans="1:19" x14ac:dyDescent="0.3">
      <c r="A109" s="5">
        <v>46231.000007789349</v>
      </c>
      <c r="B109" s="3" t="s">
        <v>106</v>
      </c>
      <c r="C109" s="3">
        <v>2</v>
      </c>
      <c r="D109" s="3" t="s">
        <v>28</v>
      </c>
      <c r="E109" s="3" t="s">
        <v>28</v>
      </c>
      <c r="F109" s="9">
        <v>20</v>
      </c>
      <c r="G109" s="7">
        <v>3825.3</v>
      </c>
      <c r="H109" s="7">
        <v>3801.1</v>
      </c>
      <c r="I109" s="3"/>
      <c r="J109" s="3"/>
      <c r="K109" s="3"/>
      <c r="L109" s="3"/>
      <c r="M109" s="3" t="s">
        <v>109</v>
      </c>
      <c r="N109" s="3" t="s">
        <v>89</v>
      </c>
      <c r="O109" s="3"/>
      <c r="P109" s="3" t="s">
        <v>30</v>
      </c>
      <c r="Q109" s="3" t="s">
        <v>280</v>
      </c>
      <c r="R109" s="3" t="s">
        <v>32</v>
      </c>
      <c r="S109" s="3" t="s">
        <v>279</v>
      </c>
    </row>
    <row r="110" spans="1:19" x14ac:dyDescent="0.3">
      <c r="A110" s="4">
        <v>46231.000007789349</v>
      </c>
      <c r="B110" s="2" t="s">
        <v>106</v>
      </c>
      <c r="C110" s="2">
        <v>3</v>
      </c>
      <c r="D110" s="2" t="s">
        <v>115</v>
      </c>
      <c r="E110" s="2" t="s">
        <v>115</v>
      </c>
      <c r="F110" s="8">
        <v>20</v>
      </c>
      <c r="G110" s="6">
        <v>143724</v>
      </c>
      <c r="H110" s="6">
        <v>143698</v>
      </c>
      <c r="I110" s="2"/>
      <c r="J110" s="2"/>
      <c r="K110" s="2"/>
      <c r="L110" s="2"/>
      <c r="M110" s="2" t="s">
        <v>281</v>
      </c>
      <c r="N110" s="2" t="s">
        <v>89</v>
      </c>
      <c r="O110" s="2"/>
      <c r="P110" s="2" t="s">
        <v>30</v>
      </c>
      <c r="Q110" s="2" t="s">
        <v>282</v>
      </c>
      <c r="R110" s="2" t="s">
        <v>32</v>
      </c>
      <c r="S110" s="2" t="s">
        <v>279</v>
      </c>
    </row>
    <row r="111" spans="1:19" x14ac:dyDescent="0.3">
      <c r="A111" s="5">
        <v>46231.000007789349</v>
      </c>
      <c r="B111" s="3" t="s">
        <v>106</v>
      </c>
      <c r="C111" s="3">
        <v>4</v>
      </c>
      <c r="D111" s="3" t="s">
        <v>47</v>
      </c>
      <c r="E111" s="3" t="s">
        <v>47</v>
      </c>
      <c r="F111" s="9">
        <v>20</v>
      </c>
      <c r="G111" s="7" t="s">
        <v>48</v>
      </c>
      <c r="H111" s="7"/>
      <c r="I111" s="3"/>
      <c r="J111" s="3"/>
      <c r="K111" s="3"/>
      <c r="L111" s="3"/>
      <c r="M111" s="3" t="s">
        <v>49</v>
      </c>
      <c r="N111" s="3" t="s">
        <v>89</v>
      </c>
      <c r="O111" s="3"/>
      <c r="P111" s="3" t="s">
        <v>30</v>
      </c>
      <c r="Q111" s="3" t="s">
        <v>283</v>
      </c>
      <c r="R111" s="3" t="s">
        <v>32</v>
      </c>
      <c r="S111" s="3" t="s">
        <v>279</v>
      </c>
    </row>
    <row r="112" spans="1:19" x14ac:dyDescent="0.3">
      <c r="A112" s="4">
        <v>46231.000007789349</v>
      </c>
      <c r="B112" s="2" t="s">
        <v>106</v>
      </c>
      <c r="C112" s="2">
        <v>5</v>
      </c>
      <c r="D112" s="2" t="s">
        <v>66</v>
      </c>
      <c r="E112" s="2" t="s">
        <v>66</v>
      </c>
      <c r="F112" s="8">
        <v>30</v>
      </c>
      <c r="G112" s="6"/>
      <c r="H112" s="6"/>
      <c r="I112" s="2"/>
      <c r="J112" s="2"/>
      <c r="K112" s="2"/>
      <c r="L112" s="2"/>
      <c r="M112" s="2" t="s">
        <v>67</v>
      </c>
      <c r="N112" s="2" t="s">
        <v>89</v>
      </c>
      <c r="O112" s="2"/>
      <c r="P112" s="2" t="s">
        <v>24</v>
      </c>
      <c r="Q112" s="2" t="s">
        <v>284</v>
      </c>
      <c r="R112" s="2" t="s">
        <v>32</v>
      </c>
      <c r="S112" s="2" t="s">
        <v>279</v>
      </c>
    </row>
    <row r="113" spans="1:19" x14ac:dyDescent="0.3">
      <c r="A113" s="5">
        <v>46231.000007789349</v>
      </c>
      <c r="B113" s="3" t="s">
        <v>106</v>
      </c>
      <c r="C113" s="3">
        <v>6</v>
      </c>
      <c r="D113" s="3" t="s">
        <v>20</v>
      </c>
      <c r="E113" s="3" t="s">
        <v>20</v>
      </c>
      <c r="F113" s="9">
        <v>30</v>
      </c>
      <c r="G113" s="7">
        <v>5399.4</v>
      </c>
      <c r="H113" s="7">
        <v>5397.1</v>
      </c>
      <c r="I113" s="3"/>
      <c r="J113" s="3"/>
      <c r="K113" s="3"/>
      <c r="L113" s="3"/>
      <c r="M113" s="3" t="s">
        <v>285</v>
      </c>
      <c r="N113" s="3" t="s">
        <v>89</v>
      </c>
      <c r="O113" s="3"/>
      <c r="P113" s="3" t="s">
        <v>30</v>
      </c>
      <c r="Q113" s="3" t="s">
        <v>286</v>
      </c>
      <c r="R113" s="3" t="s">
        <v>32</v>
      </c>
      <c r="S113" s="3" t="s">
        <v>279</v>
      </c>
    </row>
    <row r="114" spans="1:19" x14ac:dyDescent="0.3">
      <c r="A114" s="4">
        <v>46231.000007789349</v>
      </c>
      <c r="B114" s="2" t="s">
        <v>106</v>
      </c>
      <c r="C114" s="2">
        <v>7</v>
      </c>
      <c r="D114" s="2" t="s">
        <v>287</v>
      </c>
      <c r="E114" s="2" t="s">
        <v>288</v>
      </c>
      <c r="F114" s="8">
        <v>100</v>
      </c>
      <c r="G114" s="6" t="s">
        <v>48</v>
      </c>
      <c r="H114" s="6"/>
      <c r="I114" s="2"/>
      <c r="J114" s="2"/>
      <c r="K114" s="2"/>
      <c r="L114" s="2"/>
      <c r="M114" s="2" t="s">
        <v>23</v>
      </c>
      <c r="N114" s="2" t="s">
        <v>89</v>
      </c>
      <c r="O114" s="2"/>
      <c r="P114" s="2" t="s">
        <v>30</v>
      </c>
      <c r="Q114" s="2" t="s">
        <v>289</v>
      </c>
      <c r="R114" s="2" t="s">
        <v>32</v>
      </c>
      <c r="S114" s="2" t="s">
        <v>279</v>
      </c>
    </row>
  </sheetData>
  <autoFilter ref="A1:S114" xr:uid="{35752E13-B852-48A4-9A40-ECBE36C730DE}"/>
  <conditionalFormatting sqref="P2:P114">
    <cfRule type="expression" dxfId="1" priority="1" stopIfTrue="1">
      <formula>EXACT($P2,"low")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2550-3154-4435-A2B6-2A3F920C0EDE}">
  <dimension ref="A1:K30"/>
  <sheetViews>
    <sheetView workbookViewId="0">
      <pane ySplit="1" topLeftCell="A2" activePane="bottomLeft" state="frozen"/>
      <selection pane="bottomLeft"/>
    </sheetView>
  </sheetViews>
  <sheetFormatPr defaultRowHeight="14.4" x14ac:dyDescent="0.3"/>
  <cols>
    <col min="1" max="1" width="10.44140625" bestFit="1" customWidth="1"/>
    <col min="2" max="2" width="8.5546875" bestFit="1" customWidth="1"/>
    <col min="3" max="3" width="12.5546875" bestFit="1" customWidth="1"/>
    <col min="4" max="4" width="13.44140625" bestFit="1" customWidth="1"/>
    <col min="5" max="5" width="14.77734375" bestFit="1" customWidth="1"/>
    <col min="6" max="6" width="13.109375" bestFit="1" customWidth="1"/>
    <col min="7" max="7" width="14.77734375" bestFit="1" customWidth="1"/>
    <col min="8" max="8" width="15" bestFit="1" customWidth="1"/>
    <col min="9" max="9" width="20.77734375" bestFit="1" customWidth="1"/>
    <col min="10" max="10" width="70.77734375" customWidth="1"/>
    <col min="11" max="11" width="11.77734375" bestFit="1" customWidth="1"/>
  </cols>
  <sheetData>
    <row r="1" spans="1:11" ht="31.95" customHeight="1" x14ac:dyDescent="0.3">
      <c r="A1" s="1" t="s">
        <v>0</v>
      </c>
      <c r="B1" s="1" t="s">
        <v>1</v>
      </c>
      <c r="C1" s="1" t="s">
        <v>290</v>
      </c>
      <c r="D1" s="1" t="s">
        <v>291</v>
      </c>
      <c r="E1" s="1" t="s">
        <v>292</v>
      </c>
      <c r="F1" s="1" t="s">
        <v>293</v>
      </c>
      <c r="G1" s="1" t="s">
        <v>294</v>
      </c>
      <c r="H1" s="1" t="s">
        <v>295</v>
      </c>
      <c r="I1" s="1" t="s">
        <v>296</v>
      </c>
      <c r="J1" s="1" t="s">
        <v>297</v>
      </c>
      <c r="K1" s="1" t="s">
        <v>18</v>
      </c>
    </row>
    <row r="2" spans="1:11" x14ac:dyDescent="0.3">
      <c r="A2" s="4">
        <v>46204.000000509259</v>
      </c>
      <c r="B2" s="2" t="s">
        <v>19</v>
      </c>
      <c r="C2" s="2">
        <v>3</v>
      </c>
      <c r="D2" s="10">
        <v>75</v>
      </c>
      <c r="E2" s="6">
        <v>0</v>
      </c>
      <c r="F2" s="6">
        <v>75</v>
      </c>
      <c r="G2" s="6"/>
      <c r="H2" s="6"/>
      <c r="I2" s="6">
        <v>0</v>
      </c>
      <c r="J2" s="2" t="s">
        <v>298</v>
      </c>
      <c r="K2" s="2" t="s">
        <v>27</v>
      </c>
    </row>
    <row r="3" spans="1:11" x14ac:dyDescent="0.3">
      <c r="A3" s="5">
        <v>46205.00000064815</v>
      </c>
      <c r="B3" s="3" t="s">
        <v>37</v>
      </c>
      <c r="C3" s="3">
        <v>5</v>
      </c>
      <c r="D3" s="11">
        <v>150</v>
      </c>
      <c r="E3" s="7">
        <v>0</v>
      </c>
      <c r="F3" s="7">
        <v>150</v>
      </c>
      <c r="G3" s="7">
        <v>150</v>
      </c>
      <c r="H3" s="7">
        <v>0</v>
      </c>
      <c r="I3" s="7">
        <v>0</v>
      </c>
      <c r="J3" s="3" t="s">
        <v>298</v>
      </c>
      <c r="K3" s="3" t="s">
        <v>42</v>
      </c>
    </row>
    <row r="4" spans="1:11" x14ac:dyDescent="0.3">
      <c r="A4" s="4">
        <v>46206.00000064815</v>
      </c>
      <c r="B4" s="2" t="s">
        <v>55</v>
      </c>
      <c r="C4" s="2">
        <v>2</v>
      </c>
      <c r="D4" s="10">
        <v>40</v>
      </c>
      <c r="E4" s="6">
        <v>0</v>
      </c>
      <c r="F4" s="6">
        <v>40</v>
      </c>
      <c r="G4" s="6">
        <v>40</v>
      </c>
      <c r="H4" s="6">
        <v>0</v>
      </c>
      <c r="I4" s="6">
        <v>0</v>
      </c>
      <c r="J4" s="2" t="s">
        <v>298</v>
      </c>
      <c r="K4" s="2" t="s">
        <v>58</v>
      </c>
    </row>
    <row r="5" spans="1:11" x14ac:dyDescent="0.3">
      <c r="A5" s="5">
        <v>46207.00000064815</v>
      </c>
      <c r="B5" s="3" t="s">
        <v>61</v>
      </c>
      <c r="C5" s="3">
        <v>4</v>
      </c>
      <c r="D5" s="11">
        <v>85</v>
      </c>
      <c r="E5" s="7">
        <v>0</v>
      </c>
      <c r="F5" s="7">
        <v>85</v>
      </c>
      <c r="G5" s="7">
        <v>85</v>
      </c>
      <c r="H5" s="7">
        <v>0</v>
      </c>
      <c r="I5" s="7">
        <v>0</v>
      </c>
      <c r="J5" s="3" t="s">
        <v>298</v>
      </c>
      <c r="K5" s="3" t="s">
        <v>65</v>
      </c>
    </row>
    <row r="6" spans="1:11" x14ac:dyDescent="0.3">
      <c r="A6" s="4">
        <v>46208.00000064815</v>
      </c>
      <c r="B6" s="2" t="s">
        <v>74</v>
      </c>
      <c r="C6" s="2">
        <v>10</v>
      </c>
      <c r="D6" s="10">
        <v>510</v>
      </c>
      <c r="E6" s="6">
        <v>0</v>
      </c>
      <c r="F6" s="6">
        <v>711</v>
      </c>
      <c r="G6" s="6">
        <v>511</v>
      </c>
      <c r="H6" s="6">
        <v>200</v>
      </c>
      <c r="I6" s="6">
        <v>201</v>
      </c>
      <c r="J6" s="2" t="s">
        <v>299</v>
      </c>
      <c r="K6" s="2" t="s">
        <v>78</v>
      </c>
    </row>
    <row r="7" spans="1:11" x14ac:dyDescent="0.3">
      <c r="A7" s="5">
        <v>46209.00000064815</v>
      </c>
      <c r="B7" s="3" t="s">
        <v>99</v>
      </c>
      <c r="C7" s="3">
        <v>2</v>
      </c>
      <c r="D7" s="11">
        <v>60</v>
      </c>
      <c r="E7" s="7">
        <v>200</v>
      </c>
      <c r="F7" s="7"/>
      <c r="G7" s="7">
        <v>60</v>
      </c>
      <c r="H7" s="7">
        <v>140</v>
      </c>
      <c r="I7" s="7">
        <v>140</v>
      </c>
      <c r="J7" s="3" t="s">
        <v>298</v>
      </c>
      <c r="K7" s="3" t="s">
        <v>102</v>
      </c>
    </row>
    <row r="8" spans="1:11" x14ac:dyDescent="0.3">
      <c r="A8" s="4">
        <v>46210.00000064815</v>
      </c>
      <c r="B8" s="2" t="s">
        <v>106</v>
      </c>
      <c r="C8" s="2">
        <v>2</v>
      </c>
      <c r="D8" s="10">
        <v>40</v>
      </c>
      <c r="E8" s="6">
        <v>140</v>
      </c>
      <c r="F8" s="6">
        <v>0</v>
      </c>
      <c r="G8" s="6">
        <v>40</v>
      </c>
      <c r="H8" s="6">
        <v>100</v>
      </c>
      <c r="I8" s="6">
        <v>100</v>
      </c>
      <c r="J8" s="2" t="s">
        <v>298</v>
      </c>
      <c r="K8" s="2" t="s">
        <v>108</v>
      </c>
    </row>
    <row r="9" spans="1:11" x14ac:dyDescent="0.3">
      <c r="A9" s="5">
        <v>46211.00000064815</v>
      </c>
      <c r="B9" s="3" t="s">
        <v>19</v>
      </c>
      <c r="C9" s="3">
        <v>1</v>
      </c>
      <c r="D9" s="11">
        <v>20</v>
      </c>
      <c r="E9" s="7">
        <v>100</v>
      </c>
      <c r="F9" s="7"/>
      <c r="G9" s="7">
        <v>20</v>
      </c>
      <c r="H9" s="7">
        <v>80</v>
      </c>
      <c r="I9" s="7">
        <v>80</v>
      </c>
      <c r="J9" s="3" t="s">
        <v>298</v>
      </c>
      <c r="K9" s="3" t="s">
        <v>112</v>
      </c>
    </row>
    <row r="10" spans="1:11" x14ac:dyDescent="0.3">
      <c r="A10" s="4">
        <v>46212.00000064815</v>
      </c>
      <c r="B10" s="2" t="s">
        <v>37</v>
      </c>
      <c r="C10" s="2">
        <v>2</v>
      </c>
      <c r="D10" s="10">
        <v>30</v>
      </c>
      <c r="E10" s="6">
        <v>80</v>
      </c>
      <c r="F10" s="6"/>
      <c r="G10" s="6">
        <v>30</v>
      </c>
      <c r="H10" s="6">
        <v>50</v>
      </c>
      <c r="I10" s="6">
        <v>50</v>
      </c>
      <c r="J10" s="2" t="s">
        <v>298</v>
      </c>
      <c r="K10" s="2" t="s">
        <v>114</v>
      </c>
    </row>
    <row r="11" spans="1:11" x14ac:dyDescent="0.3">
      <c r="A11" s="5">
        <v>46213.00000064815</v>
      </c>
      <c r="B11" s="3" t="s">
        <v>55</v>
      </c>
      <c r="C11" s="3">
        <v>2</v>
      </c>
      <c r="D11" s="11">
        <v>30</v>
      </c>
      <c r="E11" s="7">
        <v>50</v>
      </c>
      <c r="F11" s="7"/>
      <c r="G11" s="7"/>
      <c r="H11" s="7"/>
      <c r="I11" s="7">
        <v>20</v>
      </c>
      <c r="J11" s="3" t="s">
        <v>298</v>
      </c>
      <c r="K11" s="3" t="s">
        <v>119</v>
      </c>
    </row>
    <row r="12" spans="1:11" x14ac:dyDescent="0.3">
      <c r="A12" s="4">
        <v>46214.00000083333</v>
      </c>
      <c r="B12" s="2" t="s">
        <v>61</v>
      </c>
      <c r="C12" s="2">
        <v>1</v>
      </c>
      <c r="D12" s="10">
        <v>5</v>
      </c>
      <c r="E12" s="6">
        <v>20</v>
      </c>
      <c r="F12" s="6">
        <v>200</v>
      </c>
      <c r="G12" s="6">
        <v>5</v>
      </c>
      <c r="H12" s="6">
        <v>215</v>
      </c>
      <c r="I12" s="6">
        <v>215</v>
      </c>
      <c r="J12" s="2" t="s">
        <v>298</v>
      </c>
      <c r="K12" s="2" t="s">
        <v>122</v>
      </c>
    </row>
    <row r="13" spans="1:11" x14ac:dyDescent="0.3">
      <c r="A13" s="5">
        <v>46215.000000844906</v>
      </c>
      <c r="B13" s="3" t="s">
        <v>74</v>
      </c>
      <c r="C13" s="3">
        <v>4</v>
      </c>
      <c r="D13" s="11">
        <v>50</v>
      </c>
      <c r="E13" s="7">
        <v>215</v>
      </c>
      <c r="F13" s="7"/>
      <c r="G13" s="7">
        <v>50</v>
      </c>
      <c r="H13" s="7">
        <v>165</v>
      </c>
      <c r="I13" s="7">
        <v>165</v>
      </c>
      <c r="J13" s="3" t="s">
        <v>298</v>
      </c>
      <c r="K13" s="3" t="s">
        <v>125</v>
      </c>
    </row>
    <row r="14" spans="1:11" x14ac:dyDescent="0.3">
      <c r="A14" s="4">
        <v>46216.000000856482</v>
      </c>
      <c r="B14" s="2" t="s">
        <v>99</v>
      </c>
      <c r="C14" s="2">
        <v>6</v>
      </c>
      <c r="D14" s="10">
        <v>110</v>
      </c>
      <c r="E14" s="6">
        <v>165</v>
      </c>
      <c r="F14" s="6"/>
      <c r="G14" s="6">
        <v>110</v>
      </c>
      <c r="H14" s="6">
        <v>55</v>
      </c>
      <c r="I14" s="6">
        <v>55</v>
      </c>
      <c r="J14" s="2" t="s">
        <v>298</v>
      </c>
      <c r="K14" s="2" t="s">
        <v>134</v>
      </c>
    </row>
    <row r="15" spans="1:11" x14ac:dyDescent="0.3">
      <c r="A15" s="5">
        <v>46217.000000868058</v>
      </c>
      <c r="B15" s="3" t="s">
        <v>106</v>
      </c>
      <c r="C15" s="3">
        <v>2</v>
      </c>
      <c r="D15" s="11">
        <v>35</v>
      </c>
      <c r="E15" s="7">
        <v>55</v>
      </c>
      <c r="F15" s="7">
        <v>200</v>
      </c>
      <c r="G15" s="7">
        <v>35</v>
      </c>
      <c r="H15" s="7">
        <v>220</v>
      </c>
      <c r="I15" s="7">
        <v>220</v>
      </c>
      <c r="J15" s="3" t="s">
        <v>298</v>
      </c>
      <c r="K15" s="3" t="s">
        <v>145</v>
      </c>
    </row>
    <row r="16" spans="1:11" x14ac:dyDescent="0.3">
      <c r="A16" s="4">
        <v>46218.000000879627</v>
      </c>
      <c r="B16" s="2" t="s">
        <v>19</v>
      </c>
      <c r="C16" s="2">
        <v>7</v>
      </c>
      <c r="D16" s="10">
        <v>175</v>
      </c>
      <c r="E16" s="6">
        <v>220</v>
      </c>
      <c r="F16" s="6"/>
      <c r="G16" s="6">
        <v>175</v>
      </c>
      <c r="H16" s="6">
        <v>45</v>
      </c>
      <c r="I16" s="6">
        <v>45</v>
      </c>
      <c r="J16" s="2" t="s">
        <v>298</v>
      </c>
      <c r="K16" s="2" t="s">
        <v>149</v>
      </c>
    </row>
    <row r="17" spans="1:11" x14ac:dyDescent="0.3">
      <c r="A17" s="5">
        <v>46219.000000879627</v>
      </c>
      <c r="B17" s="3" t="s">
        <v>37</v>
      </c>
      <c r="C17" s="3">
        <v>2</v>
      </c>
      <c r="D17" s="11">
        <v>24</v>
      </c>
      <c r="E17" s="7">
        <v>45</v>
      </c>
      <c r="F17" s="7">
        <v>400</v>
      </c>
      <c r="G17" s="7">
        <v>24</v>
      </c>
      <c r="H17" s="7">
        <v>421</v>
      </c>
      <c r="I17" s="7">
        <v>421</v>
      </c>
      <c r="J17" s="3" t="s">
        <v>298</v>
      </c>
      <c r="K17" s="3" t="s">
        <v>161</v>
      </c>
    </row>
    <row r="18" spans="1:11" x14ac:dyDescent="0.3">
      <c r="A18" s="4">
        <v>46220.000000891203</v>
      </c>
      <c r="B18" s="2" t="s">
        <v>55</v>
      </c>
      <c r="C18" s="2">
        <v>7</v>
      </c>
      <c r="D18" s="10">
        <v>225</v>
      </c>
      <c r="E18" s="6">
        <v>421</v>
      </c>
      <c r="F18" s="6"/>
      <c r="G18" s="6">
        <v>225</v>
      </c>
      <c r="H18" s="6">
        <v>196</v>
      </c>
      <c r="I18" s="6">
        <v>196</v>
      </c>
      <c r="J18" s="2" t="s">
        <v>298</v>
      </c>
      <c r="K18" s="2" t="s">
        <v>166</v>
      </c>
    </row>
    <row r="19" spans="1:11" x14ac:dyDescent="0.3">
      <c r="A19" s="5">
        <v>46221.000000902779</v>
      </c>
      <c r="B19" s="3" t="s">
        <v>61</v>
      </c>
      <c r="C19" s="3">
        <v>6</v>
      </c>
      <c r="D19" s="11">
        <v>155</v>
      </c>
      <c r="E19" s="7">
        <v>196</v>
      </c>
      <c r="F19" s="7"/>
      <c r="G19" s="7">
        <v>155</v>
      </c>
      <c r="H19" s="7">
        <v>41</v>
      </c>
      <c r="I19" s="7">
        <v>41</v>
      </c>
      <c r="J19" s="3" t="s">
        <v>298</v>
      </c>
      <c r="K19" s="3" t="s">
        <v>185</v>
      </c>
    </row>
    <row r="20" spans="1:11" x14ac:dyDescent="0.3">
      <c r="A20" s="4">
        <v>46222.000000914355</v>
      </c>
      <c r="B20" s="2" t="s">
        <v>74</v>
      </c>
      <c r="C20" s="2">
        <v>3</v>
      </c>
      <c r="D20" s="10">
        <v>13</v>
      </c>
      <c r="E20" s="6">
        <v>41</v>
      </c>
      <c r="F20" s="6"/>
      <c r="G20" s="6">
        <v>13</v>
      </c>
      <c r="H20" s="6">
        <v>26</v>
      </c>
      <c r="I20" s="6">
        <v>28</v>
      </c>
      <c r="J20" s="2" t="s">
        <v>300</v>
      </c>
      <c r="K20" s="2" t="s">
        <v>198</v>
      </c>
    </row>
    <row r="21" spans="1:11" x14ac:dyDescent="0.3">
      <c r="A21" s="5">
        <v>46223.000000925924</v>
      </c>
      <c r="B21" s="3" t="s">
        <v>99</v>
      </c>
      <c r="C21" s="3">
        <v>2</v>
      </c>
      <c r="D21" s="11">
        <v>70</v>
      </c>
      <c r="E21" s="7">
        <v>26</v>
      </c>
      <c r="F21" s="7">
        <v>400</v>
      </c>
      <c r="G21" s="7">
        <v>70</v>
      </c>
      <c r="H21" s="7">
        <v>356</v>
      </c>
      <c r="I21" s="7">
        <v>356</v>
      </c>
      <c r="J21" s="3" t="s">
        <v>298</v>
      </c>
      <c r="K21" s="3" t="s">
        <v>205</v>
      </c>
    </row>
    <row r="22" spans="1:11" x14ac:dyDescent="0.3">
      <c r="A22" s="4">
        <v>46224.0000009375</v>
      </c>
      <c r="B22" s="2" t="s">
        <v>106</v>
      </c>
      <c r="C22" s="2">
        <v>6</v>
      </c>
      <c r="D22" s="10">
        <v>170</v>
      </c>
      <c r="E22" s="6">
        <v>356</v>
      </c>
      <c r="F22" s="6"/>
      <c r="G22" s="6">
        <v>170</v>
      </c>
      <c r="H22" s="6">
        <v>188</v>
      </c>
      <c r="I22" s="6">
        <v>186</v>
      </c>
      <c r="J22" s="2" t="s">
        <v>301</v>
      </c>
      <c r="K22" s="2" t="s">
        <v>208</v>
      </c>
    </row>
    <row r="23" spans="1:11" x14ac:dyDescent="0.3">
      <c r="A23" s="5">
        <v>46225.000000949076</v>
      </c>
      <c r="B23" s="3" t="s">
        <v>19</v>
      </c>
      <c r="C23" s="3">
        <v>7</v>
      </c>
      <c r="D23" s="11">
        <v>170</v>
      </c>
      <c r="E23" s="7">
        <v>188</v>
      </c>
      <c r="F23" s="7">
        <v>400</v>
      </c>
      <c r="G23" s="7">
        <v>170</v>
      </c>
      <c r="H23" s="7">
        <v>418</v>
      </c>
      <c r="I23" s="7">
        <v>418</v>
      </c>
      <c r="J23" s="3" t="s">
        <v>298</v>
      </c>
      <c r="K23" s="3" t="s">
        <v>219</v>
      </c>
    </row>
    <row r="24" spans="1:11" x14ac:dyDescent="0.3">
      <c r="A24" s="4">
        <v>46226.000000972221</v>
      </c>
      <c r="B24" s="2" t="s">
        <v>37</v>
      </c>
      <c r="C24" s="2">
        <v>7</v>
      </c>
      <c r="D24" s="10">
        <v>220</v>
      </c>
      <c r="E24" s="6">
        <v>418</v>
      </c>
      <c r="F24" s="6"/>
      <c r="G24" s="6">
        <v>220</v>
      </c>
      <c r="H24" s="6">
        <v>196</v>
      </c>
      <c r="I24" s="6">
        <v>198</v>
      </c>
      <c r="J24" s="2" t="s">
        <v>302</v>
      </c>
      <c r="K24" s="2" t="s">
        <v>233</v>
      </c>
    </row>
    <row r="25" spans="1:11" x14ac:dyDescent="0.3">
      <c r="A25" s="5">
        <v>46227.000000983797</v>
      </c>
      <c r="B25" s="3" t="s">
        <v>55</v>
      </c>
      <c r="C25" s="3">
        <v>3</v>
      </c>
      <c r="D25" s="11">
        <v>90</v>
      </c>
      <c r="E25" s="7">
        <v>196</v>
      </c>
      <c r="F25" s="7"/>
      <c r="G25" s="7">
        <v>90</v>
      </c>
      <c r="H25" s="7">
        <v>108</v>
      </c>
      <c r="I25" s="7">
        <v>106</v>
      </c>
      <c r="J25" s="3" t="s">
        <v>303</v>
      </c>
      <c r="K25" s="3" t="s">
        <v>249</v>
      </c>
    </row>
    <row r="26" spans="1:11" x14ac:dyDescent="0.3">
      <c r="A26" s="4">
        <v>46228.000000995373</v>
      </c>
      <c r="B26" s="2" t="s">
        <v>61</v>
      </c>
      <c r="C26" s="2">
        <v>3</v>
      </c>
      <c r="D26" s="10">
        <v>80</v>
      </c>
      <c r="E26" s="6">
        <v>108</v>
      </c>
      <c r="F26" s="6"/>
      <c r="G26" s="6">
        <v>80</v>
      </c>
      <c r="H26" s="6">
        <v>28</v>
      </c>
      <c r="I26" s="6">
        <v>28</v>
      </c>
      <c r="J26" s="2" t="s">
        <v>298</v>
      </c>
      <c r="K26" s="2" t="s">
        <v>254</v>
      </c>
    </row>
    <row r="27" spans="1:11" x14ac:dyDescent="0.3">
      <c r="A27" s="5">
        <v>46229.000001006942</v>
      </c>
      <c r="B27" s="3" t="s">
        <v>74</v>
      </c>
      <c r="C27" s="3">
        <v>1</v>
      </c>
      <c r="D27" s="11">
        <v>5</v>
      </c>
      <c r="E27" s="7">
        <v>28</v>
      </c>
      <c r="F27" s="7"/>
      <c r="G27" s="7">
        <v>5</v>
      </c>
      <c r="H27" s="7">
        <v>23</v>
      </c>
      <c r="I27" s="7">
        <v>23</v>
      </c>
      <c r="J27" s="3" t="s">
        <v>298</v>
      </c>
      <c r="K27" s="3" t="s">
        <v>259</v>
      </c>
    </row>
    <row r="28" spans="1:11" x14ac:dyDescent="0.3">
      <c r="A28" s="4">
        <v>46230.000001018518</v>
      </c>
      <c r="B28" s="2" t="s">
        <v>99</v>
      </c>
      <c r="C28" s="2">
        <v>6</v>
      </c>
      <c r="D28" s="10">
        <v>125</v>
      </c>
      <c r="E28" s="6">
        <v>23</v>
      </c>
      <c r="F28" s="6">
        <v>500</v>
      </c>
      <c r="G28" s="6">
        <v>125</v>
      </c>
      <c r="H28" s="6">
        <v>398</v>
      </c>
      <c r="I28" s="6">
        <v>398</v>
      </c>
      <c r="J28" s="2" t="s">
        <v>298</v>
      </c>
      <c r="K28" s="2" t="s">
        <v>263</v>
      </c>
    </row>
    <row r="29" spans="1:11" x14ac:dyDescent="0.3">
      <c r="A29" s="5">
        <v>46231.000001030094</v>
      </c>
      <c r="B29" s="3" t="s">
        <v>106</v>
      </c>
      <c r="C29" s="3">
        <v>7</v>
      </c>
      <c r="D29" s="11">
        <v>270</v>
      </c>
      <c r="E29" s="7">
        <v>398</v>
      </c>
      <c r="F29" s="7"/>
      <c r="G29" s="7">
        <v>270</v>
      </c>
      <c r="H29" s="7">
        <v>128</v>
      </c>
      <c r="I29" s="7">
        <v>128</v>
      </c>
      <c r="J29" s="3" t="s">
        <v>298</v>
      </c>
      <c r="K29" s="3" t="s">
        <v>279</v>
      </c>
    </row>
    <row r="30" spans="1:11" x14ac:dyDescent="0.3">
      <c r="A30" s="12"/>
      <c r="B30" s="12"/>
      <c r="C30" s="12" t="s">
        <v>304</v>
      </c>
      <c r="D30" s="13">
        <f>SUM(D2:D29)</f>
        <v>3032</v>
      </c>
      <c r="E30" s="12"/>
      <c r="F30" s="13">
        <f>SUM(F2:F29)</f>
        <v>3161</v>
      </c>
      <c r="G30" s="12"/>
      <c r="H30" s="12"/>
      <c r="I30" s="12"/>
      <c r="J30" s="12"/>
      <c r="K30" s="12"/>
    </row>
  </sheetData>
  <autoFilter ref="A1:K29" xr:uid="{F8152550-3154-4435-A2B6-2A3F920C0EDE}"/>
  <conditionalFormatting sqref="J2:J29">
    <cfRule type="expression" dxfId="0" priority="1" stopIfTrue="1">
      <formula>AND($J2&lt;&gt;"balances",$J2&lt;&gt;"")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DD95-0317-4853-898B-187DFC758EAC}">
  <dimension ref="A1:L19"/>
  <sheetViews>
    <sheetView workbookViewId="0">
      <pane ySplit="1" topLeftCell="A2" activePane="bottomLeft" state="frozen"/>
      <selection pane="bottomLeft"/>
    </sheetView>
  </sheetViews>
  <sheetFormatPr defaultRowHeight="14.4" x14ac:dyDescent="0.3"/>
  <cols>
    <col min="1" max="1" width="12.77734375" bestFit="1" customWidth="1"/>
    <col min="2" max="2" width="11.77734375" bestFit="1" customWidth="1"/>
    <col min="3" max="3" width="13.21875" bestFit="1" customWidth="1"/>
    <col min="4" max="4" width="12.109375" bestFit="1" customWidth="1"/>
    <col min="5" max="5" width="11.44140625" bestFit="1" customWidth="1"/>
    <col min="6" max="6" width="12" bestFit="1" customWidth="1"/>
    <col min="7" max="7" width="13.109375" bestFit="1" customWidth="1"/>
    <col min="8" max="9" width="14.77734375" bestFit="1" customWidth="1"/>
    <col min="10" max="10" width="15.109375" bestFit="1" customWidth="1"/>
    <col min="11" max="11" width="19" bestFit="1" customWidth="1"/>
    <col min="12" max="12" width="32.21875" bestFit="1" customWidth="1"/>
  </cols>
  <sheetData>
    <row r="1" spans="1:12" ht="31.95" customHeight="1" x14ac:dyDescent="0.3">
      <c r="A1" s="1" t="s">
        <v>3</v>
      </c>
      <c r="B1" s="1" t="s">
        <v>305</v>
      </c>
      <c r="C1" s="1" t="s">
        <v>306</v>
      </c>
      <c r="D1" s="1" t="s">
        <v>307</v>
      </c>
      <c r="E1" s="1" t="s">
        <v>308</v>
      </c>
      <c r="F1" s="1" t="s">
        <v>309</v>
      </c>
      <c r="G1" s="1" t="s">
        <v>310</v>
      </c>
      <c r="H1" s="1" t="s">
        <v>311</v>
      </c>
      <c r="I1" s="1" t="s">
        <v>312</v>
      </c>
      <c r="J1" s="1" t="s">
        <v>313</v>
      </c>
      <c r="K1" s="1" t="s">
        <v>314</v>
      </c>
      <c r="L1" s="1" t="s">
        <v>315</v>
      </c>
    </row>
    <row r="2" spans="1:12" x14ac:dyDescent="0.3">
      <c r="A2" s="2" t="s">
        <v>91</v>
      </c>
      <c r="B2" s="2">
        <v>11</v>
      </c>
      <c r="C2" s="8">
        <v>425</v>
      </c>
      <c r="D2" s="14">
        <v>0.14017150395778363</v>
      </c>
      <c r="E2" s="16">
        <v>38.6</v>
      </c>
      <c r="F2" s="4">
        <v>46208.000006087961</v>
      </c>
      <c r="G2" s="4">
        <v>46230.000007662034</v>
      </c>
      <c r="H2" s="6">
        <v>644</v>
      </c>
      <c r="I2" s="6">
        <v>1875</v>
      </c>
      <c r="J2" s="6">
        <v>1231</v>
      </c>
      <c r="K2" s="18">
        <v>0.34520000000000001</v>
      </c>
      <c r="L2" s="2" t="s">
        <v>316</v>
      </c>
    </row>
    <row r="3" spans="1:12" x14ac:dyDescent="0.3">
      <c r="A3" s="3" t="s">
        <v>20</v>
      </c>
      <c r="B3" s="3">
        <v>11</v>
      </c>
      <c r="C3" s="9">
        <v>425</v>
      </c>
      <c r="D3" s="15">
        <v>0.14017150395778363</v>
      </c>
      <c r="E3" s="17">
        <v>38.6</v>
      </c>
      <c r="F3" s="5">
        <v>46204.000004733796</v>
      </c>
      <c r="G3" s="5">
        <v>46231.000007789349</v>
      </c>
      <c r="H3" s="7">
        <v>5367.8</v>
      </c>
      <c r="I3" s="7">
        <v>63971</v>
      </c>
      <c r="J3" s="7">
        <v>58603.199999999997</v>
      </c>
      <c r="K3" s="19">
        <v>7.3000000000000001E-3</v>
      </c>
      <c r="L3" s="3" t="s">
        <v>20</v>
      </c>
    </row>
    <row r="4" spans="1:12" x14ac:dyDescent="0.3">
      <c r="A4" s="2" t="s">
        <v>139</v>
      </c>
      <c r="B4" s="2">
        <v>10</v>
      </c>
      <c r="C4" s="8">
        <v>375</v>
      </c>
      <c r="D4" s="14">
        <v>0.12368073878627968</v>
      </c>
      <c r="E4" s="16">
        <v>37.5</v>
      </c>
      <c r="F4" s="4">
        <v>46216.000006527778</v>
      </c>
      <c r="G4" s="4">
        <v>46231.000007789349</v>
      </c>
      <c r="H4" s="6">
        <v>3221</v>
      </c>
      <c r="I4" s="6">
        <v>137438</v>
      </c>
      <c r="J4" s="6">
        <v>134217</v>
      </c>
      <c r="K4" s="18">
        <v>2.8E-3</v>
      </c>
      <c r="L4" s="2" t="s">
        <v>317</v>
      </c>
    </row>
    <row r="5" spans="1:12" x14ac:dyDescent="0.3">
      <c r="A5" s="3" t="s">
        <v>28</v>
      </c>
      <c r="B5" s="3">
        <v>16</v>
      </c>
      <c r="C5" s="9">
        <v>295</v>
      </c>
      <c r="D5" s="15">
        <v>9.7295514511873349E-2</v>
      </c>
      <c r="E5" s="17">
        <v>18.399999999999999</v>
      </c>
      <c r="F5" s="5">
        <v>46204.000004733796</v>
      </c>
      <c r="G5" s="5">
        <v>46231.000007789349</v>
      </c>
      <c r="H5" s="7">
        <v>3613.2</v>
      </c>
      <c r="I5" s="7">
        <v>5763.3</v>
      </c>
      <c r="J5" s="7">
        <v>2150.1000000000004</v>
      </c>
      <c r="K5" s="19">
        <v>0.13719999999999999</v>
      </c>
      <c r="L5" s="3" t="s">
        <v>28</v>
      </c>
    </row>
    <row r="6" spans="1:12" x14ac:dyDescent="0.3">
      <c r="A6" s="2" t="s">
        <v>47</v>
      </c>
      <c r="B6" s="2">
        <v>18</v>
      </c>
      <c r="C6" s="8">
        <v>284</v>
      </c>
      <c r="D6" s="14">
        <v>9.3667546174142483E-2</v>
      </c>
      <c r="E6" s="16">
        <v>15.8</v>
      </c>
      <c r="F6" s="4">
        <v>46205.000005486108</v>
      </c>
      <c r="G6" s="4">
        <v>46231.000007789349</v>
      </c>
      <c r="H6" s="6">
        <v>4.5</v>
      </c>
      <c r="I6" s="6">
        <v>4.5</v>
      </c>
      <c r="J6" s="6"/>
      <c r="K6" s="18"/>
      <c r="L6" s="2" t="s">
        <v>47</v>
      </c>
    </row>
    <row r="7" spans="1:12" x14ac:dyDescent="0.3">
      <c r="A7" s="3" t="s">
        <v>43</v>
      </c>
      <c r="B7" s="3">
        <v>8</v>
      </c>
      <c r="C7" s="9">
        <v>250</v>
      </c>
      <c r="D7" s="15">
        <v>8.2453825857519786E-2</v>
      </c>
      <c r="E7" s="17">
        <v>31.2</v>
      </c>
      <c r="F7" s="5">
        <v>46205.000005486108</v>
      </c>
      <c r="G7" s="5">
        <v>46230.000007662034</v>
      </c>
      <c r="H7" s="7">
        <v>2943</v>
      </c>
      <c r="I7" s="7">
        <v>2963</v>
      </c>
      <c r="J7" s="7">
        <v>20</v>
      </c>
      <c r="K7" s="19">
        <v>12.5</v>
      </c>
      <c r="L7" s="3" t="s">
        <v>43</v>
      </c>
    </row>
    <row r="8" spans="1:12" x14ac:dyDescent="0.3">
      <c r="A8" s="2" t="s">
        <v>83</v>
      </c>
      <c r="B8" s="2">
        <v>9</v>
      </c>
      <c r="C8" s="8">
        <v>180</v>
      </c>
      <c r="D8" s="14">
        <v>5.9366754617414245E-2</v>
      </c>
      <c r="E8" s="16">
        <v>20</v>
      </c>
      <c r="F8" s="4">
        <v>46208.000006087961</v>
      </c>
      <c r="G8" s="4">
        <v>46226.000007430557</v>
      </c>
      <c r="H8" s="6">
        <v>3794.5</v>
      </c>
      <c r="I8" s="6">
        <v>3794.5</v>
      </c>
      <c r="J8" s="6"/>
      <c r="K8" s="18"/>
      <c r="L8" s="2" t="s">
        <v>318</v>
      </c>
    </row>
    <row r="9" spans="1:12" x14ac:dyDescent="0.3">
      <c r="A9" s="3" t="s">
        <v>66</v>
      </c>
      <c r="B9" s="3">
        <v>4</v>
      </c>
      <c r="C9" s="9">
        <v>145</v>
      </c>
      <c r="D9" s="15">
        <v>4.7823218997361479E-2</v>
      </c>
      <c r="E9" s="17">
        <v>36.200000000000003</v>
      </c>
      <c r="F9" s="5">
        <v>46207.000005624999</v>
      </c>
      <c r="G9" s="5">
        <v>46231.000007789349</v>
      </c>
      <c r="H9" s="7"/>
      <c r="I9" s="7"/>
      <c r="J9" s="7"/>
      <c r="K9" s="19"/>
      <c r="L9" s="3" t="s">
        <v>66</v>
      </c>
    </row>
    <row r="10" spans="1:12" x14ac:dyDescent="0.3">
      <c r="A10" s="2" t="s">
        <v>33</v>
      </c>
      <c r="B10" s="2">
        <v>9</v>
      </c>
      <c r="C10" s="8">
        <v>143</v>
      </c>
      <c r="D10" s="14">
        <v>4.7163588390501318E-2</v>
      </c>
      <c r="E10" s="16">
        <v>15.9</v>
      </c>
      <c r="F10" s="4">
        <v>46204.000004733796</v>
      </c>
      <c r="G10" s="4">
        <v>46225.000007314811</v>
      </c>
      <c r="H10" s="6">
        <v>1173</v>
      </c>
      <c r="I10" s="6">
        <v>11799</v>
      </c>
      <c r="J10" s="6">
        <v>10626</v>
      </c>
      <c r="K10" s="18">
        <v>1.35E-2</v>
      </c>
      <c r="L10" s="2" t="s">
        <v>319</v>
      </c>
    </row>
    <row r="11" spans="1:12" x14ac:dyDescent="0.3">
      <c r="A11" s="3" t="s">
        <v>38</v>
      </c>
      <c r="B11" s="3">
        <v>2</v>
      </c>
      <c r="C11" s="9">
        <v>100</v>
      </c>
      <c r="D11" s="15">
        <v>3.2981530343007916E-2</v>
      </c>
      <c r="E11" s="17">
        <v>50</v>
      </c>
      <c r="F11" s="5">
        <v>46205.000005486108</v>
      </c>
      <c r="G11" s="5">
        <v>46208.000006087961</v>
      </c>
      <c r="H11" s="7">
        <v>106010</v>
      </c>
      <c r="I11" s="7">
        <v>106058</v>
      </c>
      <c r="J11" s="7">
        <v>48</v>
      </c>
      <c r="K11" s="19">
        <v>2.0832999999999999</v>
      </c>
      <c r="L11" s="3" t="s">
        <v>38</v>
      </c>
    </row>
    <row r="12" spans="1:12" x14ac:dyDescent="0.3">
      <c r="A12" s="2" t="s">
        <v>287</v>
      </c>
      <c r="B12" s="2">
        <v>1</v>
      </c>
      <c r="C12" s="8">
        <v>100</v>
      </c>
      <c r="D12" s="14">
        <v>3.2981530343007916E-2</v>
      </c>
      <c r="E12" s="16">
        <v>100</v>
      </c>
      <c r="F12" s="4">
        <v>46231.000007789349</v>
      </c>
      <c r="G12" s="4">
        <v>46231.000007789349</v>
      </c>
      <c r="H12" s="6"/>
      <c r="I12" s="6"/>
      <c r="J12" s="6"/>
      <c r="K12" s="18"/>
      <c r="L12" s="2" t="s">
        <v>288</v>
      </c>
    </row>
    <row r="13" spans="1:12" x14ac:dyDescent="0.3">
      <c r="A13" s="3" t="s">
        <v>115</v>
      </c>
      <c r="B13" s="3">
        <v>6</v>
      </c>
      <c r="C13" s="9">
        <v>95</v>
      </c>
      <c r="D13" s="15">
        <v>3.1332453825857517E-2</v>
      </c>
      <c r="E13" s="17">
        <v>15.8</v>
      </c>
      <c r="F13" s="5">
        <v>46212.000006377311</v>
      </c>
      <c r="G13" s="5">
        <v>46231.000007789349</v>
      </c>
      <c r="H13" s="7">
        <v>143566</v>
      </c>
      <c r="I13" s="7">
        <v>143724</v>
      </c>
      <c r="J13" s="7">
        <v>158</v>
      </c>
      <c r="K13" s="19">
        <v>0.60129999999999995</v>
      </c>
      <c r="L13" s="3" t="s">
        <v>115</v>
      </c>
    </row>
    <row r="14" spans="1:12" x14ac:dyDescent="0.3">
      <c r="A14" s="2" t="s">
        <v>70</v>
      </c>
      <c r="B14" s="2">
        <v>3</v>
      </c>
      <c r="C14" s="8">
        <v>90</v>
      </c>
      <c r="D14" s="14">
        <v>2.9683377308707123E-2</v>
      </c>
      <c r="E14" s="16">
        <v>30</v>
      </c>
      <c r="F14" s="4">
        <v>46207.000005624999</v>
      </c>
      <c r="G14" s="4">
        <v>46224.000007141207</v>
      </c>
      <c r="H14" s="6">
        <v>226017</v>
      </c>
      <c r="I14" s="6">
        <v>226036</v>
      </c>
      <c r="J14" s="6">
        <v>19</v>
      </c>
      <c r="K14" s="18">
        <v>4.7367999999999997</v>
      </c>
      <c r="L14" s="2" t="s">
        <v>70</v>
      </c>
    </row>
    <row r="15" spans="1:12" x14ac:dyDescent="0.3">
      <c r="A15" s="3" t="s">
        <v>75</v>
      </c>
      <c r="B15" s="3">
        <v>2</v>
      </c>
      <c r="C15" s="9">
        <v>70</v>
      </c>
      <c r="D15" s="15">
        <v>2.308707124010554E-2</v>
      </c>
      <c r="E15" s="17">
        <v>35</v>
      </c>
      <c r="F15" s="5">
        <v>46208.000006087961</v>
      </c>
      <c r="G15" s="5">
        <v>46230.000007662034</v>
      </c>
      <c r="H15" s="7">
        <v>93166</v>
      </c>
      <c r="I15" s="7">
        <v>93292</v>
      </c>
      <c r="J15" s="7">
        <v>126</v>
      </c>
      <c r="K15" s="19">
        <v>0.55559999999999998</v>
      </c>
      <c r="L15" s="3" t="s">
        <v>320</v>
      </c>
    </row>
    <row r="16" spans="1:12" x14ac:dyDescent="0.3">
      <c r="A16" s="2" t="s">
        <v>103</v>
      </c>
      <c r="B16" s="2">
        <v>1</v>
      </c>
      <c r="C16" s="8">
        <v>40</v>
      </c>
      <c r="D16" s="14">
        <v>1.3192612137203167E-2</v>
      </c>
      <c r="E16" s="16">
        <v>40</v>
      </c>
      <c r="F16" s="4">
        <v>46209.000006273149</v>
      </c>
      <c r="G16" s="4">
        <v>46209.000006273149</v>
      </c>
      <c r="H16" s="6">
        <v>22070</v>
      </c>
      <c r="I16" s="6">
        <v>22070</v>
      </c>
      <c r="J16" s="6"/>
      <c r="K16" s="18"/>
      <c r="L16" s="2" t="s">
        <v>103</v>
      </c>
    </row>
    <row r="17" spans="1:12" x14ac:dyDescent="0.3">
      <c r="A17" s="3" t="s">
        <v>126</v>
      </c>
      <c r="B17" s="3">
        <v>1</v>
      </c>
      <c r="C17" s="9">
        <v>10</v>
      </c>
      <c r="D17" s="15">
        <v>3.2981530343007917E-3</v>
      </c>
      <c r="E17" s="17">
        <v>10</v>
      </c>
      <c r="F17" s="5">
        <v>46215.000006458336</v>
      </c>
      <c r="G17" s="5">
        <v>46215.000006458336</v>
      </c>
      <c r="H17" s="7">
        <v>4081.6</v>
      </c>
      <c r="I17" s="7">
        <v>4081.6</v>
      </c>
      <c r="J17" s="7"/>
      <c r="K17" s="19"/>
      <c r="L17" s="3" t="s">
        <v>126</v>
      </c>
    </row>
    <row r="18" spans="1:12" x14ac:dyDescent="0.3">
      <c r="A18" s="2" t="s">
        <v>168</v>
      </c>
      <c r="B18" s="2">
        <v>1</v>
      </c>
      <c r="C18" s="8">
        <v>5</v>
      </c>
      <c r="D18" s="14">
        <v>1.6490765171503958E-3</v>
      </c>
      <c r="E18" s="16">
        <v>5</v>
      </c>
      <c r="F18" s="4">
        <v>46220.000006782408</v>
      </c>
      <c r="G18" s="4">
        <v>46220.000006782408</v>
      </c>
      <c r="H18" s="6"/>
      <c r="I18" s="6"/>
      <c r="J18" s="6"/>
      <c r="K18" s="18"/>
      <c r="L18" s="2" t="s">
        <v>169</v>
      </c>
    </row>
    <row r="19" spans="1:12" x14ac:dyDescent="0.3">
      <c r="A19" s="12" t="s">
        <v>304</v>
      </c>
      <c r="B19" s="12">
        <f>SUM(B2:B18)</f>
        <v>113</v>
      </c>
      <c r="C19" s="20">
        <f>SUM(C2:C18)</f>
        <v>3032</v>
      </c>
      <c r="D19" s="12"/>
      <c r="E19" s="12"/>
      <c r="F19" s="12"/>
      <c r="G19" s="12"/>
      <c r="H19" s="12"/>
      <c r="I19" s="12"/>
      <c r="J19" s="12"/>
      <c r="K19" s="12"/>
      <c r="L19" s="12"/>
    </row>
  </sheetData>
  <autoFilter ref="A1:L18" xr:uid="{28E1DD95-0317-4853-898B-187DFC758EA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2F2E-4B4C-4797-BD11-F30C15D03922}">
  <dimension ref="A1:L29"/>
  <sheetViews>
    <sheetView workbookViewId="0">
      <pane xSplit="9" topLeftCell="J1" activePane="topRight" state="frozen"/>
      <selection activeCell="A2" sqref="A2"/>
      <selection pane="topRight"/>
    </sheetView>
  </sheetViews>
  <sheetFormatPr defaultRowHeight="14.4" x14ac:dyDescent="0.3"/>
  <cols>
    <col min="1" max="1" width="11.77734375" bestFit="1" customWidth="1"/>
    <col min="2" max="2" width="16" bestFit="1" customWidth="1"/>
    <col min="3" max="3" width="12.109375" bestFit="1" customWidth="1"/>
    <col min="4" max="4" width="9.77734375" bestFit="1" customWidth="1"/>
    <col min="5" max="5" width="12.21875" bestFit="1" customWidth="1"/>
    <col min="6" max="6" width="13.109375" bestFit="1" customWidth="1"/>
    <col min="7" max="7" width="13.21875" bestFit="1" customWidth="1"/>
    <col min="8" max="8" width="10.21875" bestFit="1" customWidth="1"/>
    <col min="9" max="9" width="19.6640625" bestFit="1" customWidth="1"/>
    <col min="10" max="10" width="13.21875" bestFit="1" customWidth="1"/>
    <col min="11" max="11" width="10.77734375" bestFit="1" customWidth="1"/>
    <col min="12" max="12" width="100.77734375" customWidth="1"/>
  </cols>
  <sheetData>
    <row r="1" spans="1:12" ht="31.95" customHeight="1" x14ac:dyDescent="0.3">
      <c r="A1" s="1" t="s">
        <v>18</v>
      </c>
      <c r="B1" s="1" t="s">
        <v>321</v>
      </c>
      <c r="C1" s="1" t="s">
        <v>322</v>
      </c>
      <c r="D1" s="1" t="s">
        <v>323</v>
      </c>
      <c r="E1" s="1" t="s">
        <v>324</v>
      </c>
      <c r="F1" s="1" t="s">
        <v>325</v>
      </c>
      <c r="G1" s="1" t="s">
        <v>326</v>
      </c>
      <c r="H1" s="1" t="s">
        <v>327</v>
      </c>
      <c r="I1" s="1" t="s">
        <v>328</v>
      </c>
      <c r="J1" s="1" t="s">
        <v>329</v>
      </c>
      <c r="K1" s="1" t="s">
        <v>330</v>
      </c>
      <c r="L1" s="1" t="s">
        <v>331</v>
      </c>
    </row>
    <row r="2" spans="1:12" ht="409.6" x14ac:dyDescent="0.3">
      <c r="A2" s="2" t="s">
        <v>27</v>
      </c>
      <c r="B2" s="2" t="s">
        <v>332</v>
      </c>
      <c r="C2" s="2"/>
      <c r="D2" s="2">
        <v>3</v>
      </c>
      <c r="E2" s="2">
        <v>0</v>
      </c>
      <c r="F2" s="2">
        <v>75</v>
      </c>
      <c r="G2" s="2"/>
      <c r="H2" s="2"/>
      <c r="I2" s="2"/>
      <c r="J2" s="2"/>
      <c r="K2" s="2"/>
      <c r="L2" s="21" t="s">
        <v>333</v>
      </c>
    </row>
    <row r="3" spans="1:12" ht="409.6" x14ac:dyDescent="0.3">
      <c r="A3" s="3" t="s">
        <v>42</v>
      </c>
      <c r="B3" s="23">
        <v>46060</v>
      </c>
      <c r="C3" s="3"/>
      <c r="D3" s="3">
        <v>5</v>
      </c>
      <c r="E3" s="3">
        <v>0</v>
      </c>
      <c r="F3" s="3">
        <v>150</v>
      </c>
      <c r="G3" s="3">
        <v>150</v>
      </c>
      <c r="H3" s="3">
        <v>0</v>
      </c>
      <c r="I3" s="3" t="s">
        <v>23</v>
      </c>
      <c r="J3" s="3" t="s">
        <v>334</v>
      </c>
      <c r="K3" s="23">
        <v>46060</v>
      </c>
      <c r="L3" s="24" t="s">
        <v>335</v>
      </c>
    </row>
    <row r="4" spans="1:12" ht="409.6" x14ac:dyDescent="0.3">
      <c r="A4" s="2" t="s">
        <v>58</v>
      </c>
      <c r="B4" s="22">
        <v>46206</v>
      </c>
      <c r="C4" s="2"/>
      <c r="D4" s="2">
        <v>2</v>
      </c>
      <c r="E4" s="2">
        <v>0</v>
      </c>
      <c r="F4" s="2">
        <v>40</v>
      </c>
      <c r="G4" s="2">
        <v>40</v>
      </c>
      <c r="H4" s="2">
        <v>0</v>
      </c>
      <c r="I4" s="2" t="s">
        <v>23</v>
      </c>
      <c r="J4" s="2" t="s">
        <v>334</v>
      </c>
      <c r="K4" s="22">
        <v>46088</v>
      </c>
      <c r="L4" s="21" t="s">
        <v>336</v>
      </c>
    </row>
    <row r="5" spans="1:12" ht="409.6" x14ac:dyDescent="0.3">
      <c r="A5" s="3" t="s">
        <v>65</v>
      </c>
      <c r="B5" s="3" t="s">
        <v>337</v>
      </c>
      <c r="C5" s="3"/>
      <c r="D5" s="3">
        <v>4</v>
      </c>
      <c r="E5" s="3">
        <v>0</v>
      </c>
      <c r="F5" s="3">
        <v>85</v>
      </c>
      <c r="G5" s="3">
        <v>85</v>
      </c>
      <c r="H5" s="3">
        <v>0</v>
      </c>
      <c r="I5" s="3" t="s">
        <v>23</v>
      </c>
      <c r="J5" s="3" t="s">
        <v>334</v>
      </c>
      <c r="K5" s="23">
        <v>46119</v>
      </c>
      <c r="L5" s="24" t="s">
        <v>338</v>
      </c>
    </row>
    <row r="6" spans="1:12" ht="409.6" x14ac:dyDescent="0.3">
      <c r="A6" s="2" t="s">
        <v>78</v>
      </c>
      <c r="B6" s="2" t="s">
        <v>339</v>
      </c>
      <c r="C6" s="2"/>
      <c r="D6" s="2">
        <v>10</v>
      </c>
      <c r="E6" s="2">
        <v>0</v>
      </c>
      <c r="F6" s="2">
        <v>711</v>
      </c>
      <c r="G6" s="2">
        <v>511</v>
      </c>
      <c r="H6" s="2">
        <v>200</v>
      </c>
      <c r="I6" s="2" t="s">
        <v>23</v>
      </c>
      <c r="J6" s="2" t="s">
        <v>340</v>
      </c>
      <c r="K6" s="22">
        <v>46149</v>
      </c>
      <c r="L6" s="21" t="s">
        <v>341</v>
      </c>
    </row>
    <row r="7" spans="1:12" ht="409.6" x14ac:dyDescent="0.3">
      <c r="A7" s="3" t="s">
        <v>102</v>
      </c>
      <c r="B7" s="23">
        <v>46180</v>
      </c>
      <c r="C7" s="3"/>
      <c r="D7" s="3">
        <v>2</v>
      </c>
      <c r="E7" s="3">
        <v>200</v>
      </c>
      <c r="F7" s="3" t="s">
        <v>48</v>
      </c>
      <c r="G7" s="3">
        <v>60</v>
      </c>
      <c r="H7" s="3">
        <v>140</v>
      </c>
      <c r="I7" s="3" t="s">
        <v>342</v>
      </c>
      <c r="J7" s="3" t="s">
        <v>343</v>
      </c>
      <c r="K7" s="23">
        <v>46180</v>
      </c>
      <c r="L7" s="24" t="s">
        <v>344</v>
      </c>
    </row>
    <row r="8" spans="1:12" ht="409.6" x14ac:dyDescent="0.3">
      <c r="A8" s="2" t="s">
        <v>108</v>
      </c>
      <c r="B8" s="22">
        <v>46210</v>
      </c>
      <c r="C8" s="2"/>
      <c r="D8" s="2">
        <v>2</v>
      </c>
      <c r="E8" s="2">
        <v>140</v>
      </c>
      <c r="F8" s="2">
        <v>0</v>
      </c>
      <c r="G8" s="2">
        <v>40</v>
      </c>
      <c r="H8" s="2">
        <v>100</v>
      </c>
      <c r="I8" s="2" t="s">
        <v>342</v>
      </c>
      <c r="J8" s="2" t="s">
        <v>343</v>
      </c>
      <c r="K8" s="22">
        <v>46210</v>
      </c>
      <c r="L8" s="21" t="s">
        <v>345</v>
      </c>
    </row>
    <row r="9" spans="1:12" ht="409.6" x14ac:dyDescent="0.3">
      <c r="A9" s="3" t="s">
        <v>112</v>
      </c>
      <c r="B9" s="23">
        <v>46241</v>
      </c>
      <c r="C9" s="3"/>
      <c r="D9" s="3">
        <v>1</v>
      </c>
      <c r="E9" s="3">
        <v>100</v>
      </c>
      <c r="F9" s="3" t="s">
        <v>48</v>
      </c>
      <c r="G9" s="3">
        <v>20</v>
      </c>
      <c r="H9" s="3">
        <v>80</v>
      </c>
      <c r="I9" s="3" t="s">
        <v>346</v>
      </c>
      <c r="J9" s="3" t="s">
        <v>343</v>
      </c>
      <c r="K9" s="23">
        <v>46241</v>
      </c>
      <c r="L9" s="24" t="s">
        <v>347</v>
      </c>
    </row>
    <row r="10" spans="1:12" ht="409.6" x14ac:dyDescent="0.3">
      <c r="A10" s="2" t="s">
        <v>114</v>
      </c>
      <c r="B10" s="22">
        <v>46272</v>
      </c>
      <c r="C10" s="2"/>
      <c r="D10" s="2">
        <v>2</v>
      </c>
      <c r="E10" s="2">
        <v>80</v>
      </c>
      <c r="F10" s="2"/>
      <c r="G10" s="2">
        <v>30</v>
      </c>
      <c r="H10" s="2">
        <v>50</v>
      </c>
      <c r="I10" s="2" t="s">
        <v>342</v>
      </c>
      <c r="J10" s="2" t="s">
        <v>343</v>
      </c>
      <c r="K10" s="22">
        <v>46272</v>
      </c>
      <c r="L10" s="21" t="s">
        <v>348</v>
      </c>
    </row>
    <row r="11" spans="1:12" ht="409.6" x14ac:dyDescent="0.3">
      <c r="A11" s="3" t="s">
        <v>119</v>
      </c>
      <c r="B11" s="23">
        <v>46302</v>
      </c>
      <c r="C11" s="3"/>
      <c r="D11" s="3">
        <v>2</v>
      </c>
      <c r="E11" s="3">
        <v>50</v>
      </c>
      <c r="F11" s="3" t="s">
        <v>48</v>
      </c>
      <c r="G11" s="3"/>
      <c r="H11" s="3"/>
      <c r="I11" s="3" t="s">
        <v>342</v>
      </c>
      <c r="J11" s="3" t="s">
        <v>343</v>
      </c>
      <c r="K11" s="23">
        <v>46302</v>
      </c>
      <c r="L11" s="24" t="s">
        <v>349</v>
      </c>
    </row>
    <row r="12" spans="1:12" ht="409.6" x14ac:dyDescent="0.3">
      <c r="A12" s="2" t="s">
        <v>122</v>
      </c>
      <c r="B12" s="22">
        <v>46333</v>
      </c>
      <c r="C12" s="2"/>
      <c r="D12" s="2">
        <v>1</v>
      </c>
      <c r="E12" s="2">
        <v>20</v>
      </c>
      <c r="F12" s="2">
        <v>200</v>
      </c>
      <c r="G12" s="2">
        <v>5</v>
      </c>
      <c r="H12" s="2">
        <v>215</v>
      </c>
      <c r="I12" s="2" t="s">
        <v>342</v>
      </c>
      <c r="J12" s="2" t="s">
        <v>343</v>
      </c>
      <c r="K12" s="22">
        <v>46333</v>
      </c>
      <c r="L12" s="21" t="s">
        <v>350</v>
      </c>
    </row>
    <row r="13" spans="1:12" ht="409.6" x14ac:dyDescent="0.3">
      <c r="A13" s="3" t="s">
        <v>125</v>
      </c>
      <c r="B13" s="23">
        <v>46363</v>
      </c>
      <c r="C13" s="3"/>
      <c r="D13" s="3">
        <v>4</v>
      </c>
      <c r="E13" s="3">
        <v>215</v>
      </c>
      <c r="F13" s="3" t="s">
        <v>48</v>
      </c>
      <c r="G13" s="3">
        <v>50</v>
      </c>
      <c r="H13" s="3">
        <v>165</v>
      </c>
      <c r="I13" s="3" t="s">
        <v>342</v>
      </c>
      <c r="J13" s="3" t="s">
        <v>343</v>
      </c>
      <c r="K13" s="23">
        <v>46363</v>
      </c>
      <c r="L13" s="24" t="s">
        <v>351</v>
      </c>
    </row>
    <row r="14" spans="1:12" ht="409.6" x14ac:dyDescent="0.3">
      <c r="A14" s="2" t="s">
        <v>134</v>
      </c>
      <c r="B14" s="2" t="s">
        <v>352</v>
      </c>
      <c r="C14" s="2"/>
      <c r="D14" s="2">
        <v>6</v>
      </c>
      <c r="E14" s="2">
        <v>165</v>
      </c>
      <c r="F14" s="2" t="s">
        <v>48</v>
      </c>
      <c r="G14" s="2">
        <v>110</v>
      </c>
      <c r="H14" s="2">
        <v>55</v>
      </c>
      <c r="I14" s="2" t="s">
        <v>342</v>
      </c>
      <c r="J14" s="2" t="s">
        <v>343</v>
      </c>
      <c r="K14" s="22">
        <v>46216</v>
      </c>
      <c r="L14" s="21" t="s">
        <v>353</v>
      </c>
    </row>
    <row r="15" spans="1:12" ht="409.6" x14ac:dyDescent="0.3">
      <c r="A15" s="3" t="s">
        <v>145</v>
      </c>
      <c r="B15" s="3" t="s">
        <v>354</v>
      </c>
      <c r="C15" s="3"/>
      <c r="D15" s="3">
        <v>2</v>
      </c>
      <c r="E15" s="3">
        <v>55</v>
      </c>
      <c r="F15" s="3">
        <v>200</v>
      </c>
      <c r="G15" s="3">
        <v>35</v>
      </c>
      <c r="H15" s="3">
        <v>220</v>
      </c>
      <c r="I15" s="3" t="s">
        <v>342</v>
      </c>
      <c r="J15" s="3" t="s">
        <v>343</v>
      </c>
      <c r="K15" s="3" t="s">
        <v>354</v>
      </c>
      <c r="L15" s="24" t="s">
        <v>355</v>
      </c>
    </row>
    <row r="16" spans="1:12" ht="409.6" x14ac:dyDescent="0.3">
      <c r="A16" s="2" t="s">
        <v>149</v>
      </c>
      <c r="B16" s="2" t="s">
        <v>356</v>
      </c>
      <c r="C16" s="2"/>
      <c r="D16" s="2">
        <v>7</v>
      </c>
      <c r="E16" s="2">
        <v>220</v>
      </c>
      <c r="F16" s="2" t="s">
        <v>48</v>
      </c>
      <c r="G16" s="2">
        <v>175</v>
      </c>
      <c r="H16" s="2">
        <v>45</v>
      </c>
      <c r="I16" s="2" t="s">
        <v>342</v>
      </c>
      <c r="J16" s="2" t="s">
        <v>343</v>
      </c>
      <c r="K16" s="2" t="s">
        <v>356</v>
      </c>
      <c r="L16" s="21" t="s">
        <v>357</v>
      </c>
    </row>
    <row r="17" spans="1:12" ht="409.6" x14ac:dyDescent="0.3">
      <c r="A17" s="3" t="s">
        <v>161</v>
      </c>
      <c r="B17" s="3" t="s">
        <v>358</v>
      </c>
      <c r="C17" s="3"/>
      <c r="D17" s="3">
        <v>2</v>
      </c>
      <c r="E17" s="3">
        <v>45</v>
      </c>
      <c r="F17" s="3">
        <v>400</v>
      </c>
      <c r="G17" s="3">
        <v>24</v>
      </c>
      <c r="H17" s="3">
        <v>421</v>
      </c>
      <c r="I17" s="3" t="s">
        <v>342</v>
      </c>
      <c r="J17" s="3" t="s">
        <v>359</v>
      </c>
      <c r="K17" s="3" t="s">
        <v>358</v>
      </c>
      <c r="L17" s="24" t="s">
        <v>360</v>
      </c>
    </row>
    <row r="18" spans="1:12" ht="409.6" x14ac:dyDescent="0.3">
      <c r="A18" s="2" t="s">
        <v>166</v>
      </c>
      <c r="B18" s="2" t="s">
        <v>361</v>
      </c>
      <c r="C18" s="2"/>
      <c r="D18" s="2">
        <v>7</v>
      </c>
      <c r="E18" s="2">
        <v>421</v>
      </c>
      <c r="F18" s="2" t="s">
        <v>48</v>
      </c>
      <c r="G18" s="2">
        <v>225</v>
      </c>
      <c r="H18" s="2">
        <v>196</v>
      </c>
      <c r="I18" s="2" t="s">
        <v>346</v>
      </c>
      <c r="J18" s="2" t="s">
        <v>343</v>
      </c>
      <c r="K18" s="2" t="s">
        <v>361</v>
      </c>
      <c r="L18" s="21" t="s">
        <v>362</v>
      </c>
    </row>
    <row r="19" spans="1:12" ht="409.6" x14ac:dyDescent="0.3">
      <c r="A19" s="3" t="s">
        <v>185</v>
      </c>
      <c r="B19" s="3" t="s">
        <v>363</v>
      </c>
      <c r="C19" s="3"/>
      <c r="D19" s="3">
        <v>6</v>
      </c>
      <c r="E19" s="3">
        <v>196</v>
      </c>
      <c r="F19" s="3" t="s">
        <v>48</v>
      </c>
      <c r="G19" s="3">
        <v>155</v>
      </c>
      <c r="H19" s="3">
        <v>41</v>
      </c>
      <c r="I19" s="3" t="s">
        <v>342</v>
      </c>
      <c r="J19" s="3" t="s">
        <v>343</v>
      </c>
      <c r="K19" s="3" t="s">
        <v>358</v>
      </c>
      <c r="L19" s="24" t="s">
        <v>364</v>
      </c>
    </row>
    <row r="20" spans="1:12" ht="409.6" x14ac:dyDescent="0.3">
      <c r="A20" s="2" t="s">
        <v>198</v>
      </c>
      <c r="B20" s="2" t="s">
        <v>365</v>
      </c>
      <c r="C20" s="2"/>
      <c r="D20" s="2">
        <v>3</v>
      </c>
      <c r="E20" s="2">
        <v>41</v>
      </c>
      <c r="F20" s="2" t="s">
        <v>48</v>
      </c>
      <c r="G20" s="2">
        <v>13</v>
      </c>
      <c r="H20" s="2">
        <v>26</v>
      </c>
      <c r="I20" s="2" t="s">
        <v>346</v>
      </c>
      <c r="J20" s="2" t="s">
        <v>359</v>
      </c>
      <c r="K20" s="2" t="s">
        <v>365</v>
      </c>
      <c r="L20" s="21" t="s">
        <v>366</v>
      </c>
    </row>
    <row r="21" spans="1:12" ht="409.6" x14ac:dyDescent="0.3">
      <c r="A21" s="3" t="s">
        <v>205</v>
      </c>
      <c r="B21" s="3" t="s">
        <v>367</v>
      </c>
      <c r="C21" s="3"/>
      <c r="D21" s="3">
        <v>2</v>
      </c>
      <c r="E21" s="3">
        <v>26</v>
      </c>
      <c r="F21" s="3">
        <v>400</v>
      </c>
      <c r="G21" s="3">
        <v>70</v>
      </c>
      <c r="H21" s="3">
        <v>356</v>
      </c>
      <c r="I21" s="3" t="s">
        <v>342</v>
      </c>
      <c r="J21" s="3" t="s">
        <v>343</v>
      </c>
      <c r="K21" s="3" t="s">
        <v>367</v>
      </c>
      <c r="L21" s="24" t="s">
        <v>368</v>
      </c>
    </row>
    <row r="22" spans="1:12" ht="409.6" x14ac:dyDescent="0.3">
      <c r="A22" s="2" t="s">
        <v>208</v>
      </c>
      <c r="B22" s="2" t="s">
        <v>369</v>
      </c>
      <c r="C22" s="2"/>
      <c r="D22" s="2">
        <v>6</v>
      </c>
      <c r="E22" s="2">
        <v>356</v>
      </c>
      <c r="F22" s="2" t="s">
        <v>48</v>
      </c>
      <c r="G22" s="2">
        <v>170</v>
      </c>
      <c r="H22" s="2">
        <v>188</v>
      </c>
      <c r="I22" s="2" t="s">
        <v>342</v>
      </c>
      <c r="J22" s="2" t="s">
        <v>343</v>
      </c>
      <c r="K22" s="2" t="s">
        <v>369</v>
      </c>
      <c r="L22" s="21" t="s">
        <v>370</v>
      </c>
    </row>
    <row r="23" spans="1:12" ht="409.6" x14ac:dyDescent="0.3">
      <c r="A23" s="3" t="s">
        <v>219</v>
      </c>
      <c r="B23" s="3" t="s">
        <v>371</v>
      </c>
      <c r="C23" s="3"/>
      <c r="D23" s="3">
        <v>7</v>
      </c>
      <c r="E23" s="3">
        <v>188</v>
      </c>
      <c r="F23" s="3">
        <v>400</v>
      </c>
      <c r="G23" s="3">
        <v>170</v>
      </c>
      <c r="H23" s="3">
        <v>418</v>
      </c>
      <c r="I23" s="3" t="s">
        <v>342</v>
      </c>
      <c r="J23" s="3" t="s">
        <v>343</v>
      </c>
      <c r="K23" s="3" t="s">
        <v>371</v>
      </c>
      <c r="L23" s="24" t="s">
        <v>372</v>
      </c>
    </row>
    <row r="24" spans="1:12" ht="409.6" x14ac:dyDescent="0.3">
      <c r="A24" s="2" t="s">
        <v>233</v>
      </c>
      <c r="B24" s="2" t="s">
        <v>373</v>
      </c>
      <c r="C24" s="2"/>
      <c r="D24" s="2">
        <v>7</v>
      </c>
      <c r="E24" s="2">
        <v>418</v>
      </c>
      <c r="F24" s="2"/>
      <c r="G24" s="2">
        <v>220</v>
      </c>
      <c r="H24" s="2">
        <v>196</v>
      </c>
      <c r="I24" s="2" t="s">
        <v>342</v>
      </c>
      <c r="J24" s="2" t="s">
        <v>343</v>
      </c>
      <c r="K24" s="2" t="s">
        <v>373</v>
      </c>
      <c r="L24" s="21" t="s">
        <v>374</v>
      </c>
    </row>
    <row r="25" spans="1:12" ht="409.6" x14ac:dyDescent="0.3">
      <c r="A25" s="3" t="s">
        <v>249</v>
      </c>
      <c r="B25" s="3" t="s">
        <v>375</v>
      </c>
      <c r="C25" s="3"/>
      <c r="D25" s="3">
        <v>3</v>
      </c>
      <c r="E25" s="3">
        <v>196</v>
      </c>
      <c r="F25" s="3"/>
      <c r="G25" s="3">
        <v>90</v>
      </c>
      <c r="H25" s="3">
        <v>108</v>
      </c>
      <c r="I25" s="3" t="s">
        <v>342</v>
      </c>
      <c r="J25" s="3" t="s">
        <v>343</v>
      </c>
      <c r="K25" s="3" t="s">
        <v>375</v>
      </c>
      <c r="L25" s="24" t="s">
        <v>376</v>
      </c>
    </row>
    <row r="26" spans="1:12" ht="409.6" x14ac:dyDescent="0.3">
      <c r="A26" s="2" t="s">
        <v>254</v>
      </c>
      <c r="B26" s="2" t="s">
        <v>377</v>
      </c>
      <c r="C26" s="2"/>
      <c r="D26" s="2">
        <v>3</v>
      </c>
      <c r="E26" s="2">
        <v>108</v>
      </c>
      <c r="F26" s="2"/>
      <c r="G26" s="2">
        <v>80</v>
      </c>
      <c r="H26" s="2">
        <v>28</v>
      </c>
      <c r="I26" s="2" t="s">
        <v>342</v>
      </c>
      <c r="J26" s="2" t="s">
        <v>343</v>
      </c>
      <c r="K26" s="2" t="s">
        <v>377</v>
      </c>
      <c r="L26" s="21" t="s">
        <v>378</v>
      </c>
    </row>
    <row r="27" spans="1:12" ht="409.6" x14ac:dyDescent="0.3">
      <c r="A27" s="3" t="s">
        <v>259</v>
      </c>
      <c r="B27" s="3" t="s">
        <v>379</v>
      </c>
      <c r="C27" s="3"/>
      <c r="D27" s="3">
        <v>1</v>
      </c>
      <c r="E27" s="3">
        <v>28</v>
      </c>
      <c r="F27" s="3"/>
      <c r="G27" s="3">
        <v>5</v>
      </c>
      <c r="H27" s="3">
        <v>23</v>
      </c>
      <c r="I27" s="3" t="s">
        <v>342</v>
      </c>
      <c r="J27" s="3" t="s">
        <v>343</v>
      </c>
      <c r="K27" s="3" t="s">
        <v>379</v>
      </c>
      <c r="L27" s="24" t="s">
        <v>380</v>
      </c>
    </row>
    <row r="28" spans="1:12" ht="409.6" x14ac:dyDescent="0.3">
      <c r="A28" s="2" t="s">
        <v>263</v>
      </c>
      <c r="B28" s="2" t="s">
        <v>381</v>
      </c>
      <c r="C28" s="2"/>
      <c r="D28" s="2">
        <v>6</v>
      </c>
      <c r="E28" s="2">
        <v>23</v>
      </c>
      <c r="F28" s="2">
        <v>500</v>
      </c>
      <c r="G28" s="2">
        <v>125</v>
      </c>
      <c r="H28" s="2">
        <v>398</v>
      </c>
      <c r="I28" s="2" t="s">
        <v>342</v>
      </c>
      <c r="J28" s="2" t="s">
        <v>382</v>
      </c>
      <c r="K28" s="2" t="s">
        <v>381</v>
      </c>
      <c r="L28" s="21" t="s">
        <v>383</v>
      </c>
    </row>
    <row r="29" spans="1:12" ht="409.6" x14ac:dyDescent="0.3">
      <c r="A29" s="3" t="s">
        <v>279</v>
      </c>
      <c r="B29" s="3" t="s">
        <v>384</v>
      </c>
      <c r="C29" s="3"/>
      <c r="D29" s="3">
        <v>7</v>
      </c>
      <c r="E29" s="3">
        <v>398</v>
      </c>
      <c r="F29" s="3" t="s">
        <v>48</v>
      </c>
      <c r="G29" s="3">
        <v>270</v>
      </c>
      <c r="H29" s="3">
        <v>128</v>
      </c>
      <c r="I29" s="3" t="s">
        <v>342</v>
      </c>
      <c r="J29" s="3" t="s">
        <v>343</v>
      </c>
      <c r="K29" s="3" t="s">
        <v>385</v>
      </c>
      <c r="L29" s="24" t="s">
        <v>386</v>
      </c>
    </row>
  </sheetData>
  <autoFilter ref="A1:L29" xr:uid="{B1022F2E-4B4C-4797-BD11-F30C15D039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Fuel Log</vt:lpstr>
      <vt:lpstr>Daily Summary</vt:lpstr>
      <vt:lpstr>By Vehicle</vt:lpstr>
      <vt:lpstr>Page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2026-08-04T04:16:31Z</dcterms:created>
  <dcterms:modified xsi:type="dcterms:W3CDTF">2026-08-04T04:16:35Z</dcterms:modified>
</cp:coreProperties>
</file>