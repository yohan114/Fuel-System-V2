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Folder\Hire Vehicle &amp; Transport Bills\E and C internal machines costing\Packages A,B and C corrected\2026\Wadakada\"/>
    </mc:Choice>
  </mc:AlternateContent>
  <bookViews>
    <workbookView xWindow="-105" yWindow="-105" windowWidth="23250" windowHeight="12570" activeTab="1"/>
  </bookViews>
  <sheets>
    <sheet name="Machinery " sheetId="1" r:id="rId1"/>
    <sheet name="Plant expenses" sheetId="5" r:id="rId2"/>
    <sheet name="Data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 localSheetId="1">#REF!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#REF!</definedName>
    <definedName name="\j">#REF!</definedName>
    <definedName name="\m" localSheetId="1">#REF!</definedName>
    <definedName name="\m">#REF!</definedName>
    <definedName name="\s" localSheetId="1">#REF!</definedName>
    <definedName name="\s">#REF!</definedName>
    <definedName name="______may1" localSheetId="0" hidden="1">{#N/A,#N/A,FALSE,"MARCH"}</definedName>
    <definedName name="______may1" localSheetId="1" hidden="1">{#N/A,#N/A,FALSE,"MARCH"}</definedName>
    <definedName name="______may1" hidden="1">{#N/A,#N/A,FALSE,"MARCH"}</definedName>
    <definedName name="_____1.2" localSheetId="1">[1]BOQ!#REF!</definedName>
    <definedName name="_____1.2">[1]BOQ!#REF!</definedName>
    <definedName name="_____1.3" localSheetId="1">[1]BOQ!#REF!</definedName>
    <definedName name="_____1.3">[1]BOQ!#REF!</definedName>
    <definedName name="_____1.4" localSheetId="1">[1]BOQ!#REF!</definedName>
    <definedName name="_____1.4">[1]BOQ!#REF!</definedName>
    <definedName name="_____5A.1" localSheetId="1">[1]BOQ!#REF!</definedName>
    <definedName name="_____5A.1">[1]BOQ!#REF!</definedName>
    <definedName name="_____5A.2" localSheetId="1">[1]BOQ!#REF!</definedName>
    <definedName name="_____5A.2">[1]BOQ!#REF!</definedName>
    <definedName name="_____5A.3" localSheetId="1">[1]BOQ!#REF!</definedName>
    <definedName name="_____5A.3">[1]BOQ!#REF!</definedName>
    <definedName name="_____5B.1" localSheetId="1">[1]BOQ!#REF!</definedName>
    <definedName name="_____5B.1">[1]BOQ!#REF!</definedName>
    <definedName name="_____5B.2" localSheetId="1">[1]BOQ!#REF!</definedName>
    <definedName name="_____5B.2">[1]BOQ!#REF!</definedName>
    <definedName name="_____5B.3" localSheetId="1">[1]BOQ!#REF!</definedName>
    <definedName name="_____5B.3">[1]BOQ!#REF!</definedName>
    <definedName name="_____5B.4" localSheetId="1">[1]BOQ!#REF!</definedName>
    <definedName name="_____5B.4">[1]BOQ!#REF!</definedName>
    <definedName name="_____6.2" localSheetId="1">[1]BOQ!#REF!</definedName>
    <definedName name="_____6.2">[1]BOQ!#REF!</definedName>
    <definedName name="_____6.3" localSheetId="1">[1]BOQ!#REF!</definedName>
    <definedName name="_____6.3">[1]BOQ!#REF!</definedName>
    <definedName name="_____6.4" localSheetId="1">[1]BOQ!#REF!</definedName>
    <definedName name="_____6.4">[1]BOQ!#REF!</definedName>
    <definedName name="_____may1" localSheetId="0" hidden="1">{#N/A,#N/A,FALSE,"MARCH"}</definedName>
    <definedName name="_____may1" localSheetId="1" hidden="1">{#N/A,#N/A,FALSE,"MARCH"}</definedName>
    <definedName name="_____may1" hidden="1">{#N/A,#N/A,FALSE,"MARCH"}</definedName>
    <definedName name="____1.2" localSheetId="1">[1]BOQ!#REF!</definedName>
    <definedName name="____1.2">[1]BOQ!#REF!</definedName>
    <definedName name="____1.3" localSheetId="1">[1]BOQ!#REF!</definedName>
    <definedName name="____1.3">[1]BOQ!#REF!</definedName>
    <definedName name="____1.4" localSheetId="1">[1]BOQ!#REF!</definedName>
    <definedName name="____1.4">[1]BOQ!#REF!</definedName>
    <definedName name="____5A.1" localSheetId="1">[1]BOQ!#REF!</definedName>
    <definedName name="____5A.1">[1]BOQ!#REF!</definedName>
    <definedName name="____5A.2" localSheetId="1">[1]BOQ!#REF!</definedName>
    <definedName name="____5A.2">[1]BOQ!#REF!</definedName>
    <definedName name="____5A.3" localSheetId="1">[1]BOQ!#REF!</definedName>
    <definedName name="____5A.3">[1]BOQ!#REF!</definedName>
    <definedName name="____5B.1" localSheetId="1">[1]BOQ!#REF!</definedName>
    <definedName name="____5B.1">[1]BOQ!#REF!</definedName>
    <definedName name="____5B.2" localSheetId="1">[1]BOQ!#REF!</definedName>
    <definedName name="____5B.2">[1]BOQ!#REF!</definedName>
    <definedName name="____5B.3" localSheetId="1">[1]BOQ!#REF!</definedName>
    <definedName name="____5B.3">[1]BOQ!#REF!</definedName>
    <definedName name="____5B.4" localSheetId="1">[1]BOQ!#REF!</definedName>
    <definedName name="____5B.4">[1]BOQ!#REF!</definedName>
    <definedName name="____6.2" localSheetId="1">[1]BOQ!#REF!</definedName>
    <definedName name="____6.2">[1]BOQ!#REF!</definedName>
    <definedName name="____6.3" localSheetId="1">[1]BOQ!#REF!</definedName>
    <definedName name="____6.3">[1]BOQ!#REF!</definedName>
    <definedName name="____6.4" localSheetId="1">[1]BOQ!#REF!</definedName>
    <definedName name="____6.4">[1]BOQ!#REF!</definedName>
    <definedName name="____may1" localSheetId="0" hidden="1">{#N/A,#N/A,FALSE,"MARCH"}</definedName>
    <definedName name="____may1" localSheetId="1" hidden="1">{#N/A,#N/A,FALSE,"MARCH"}</definedName>
    <definedName name="____may1" hidden="1">{#N/A,#N/A,FALSE,"MARCH"}</definedName>
    <definedName name="___Iw65536" localSheetId="1">#REF!</definedName>
    <definedName name="___Iw65536">#REF!</definedName>
    <definedName name="___may1" localSheetId="0" hidden="1">{#N/A,#N/A,FALSE,"MARCH"}</definedName>
    <definedName name="___may1" localSheetId="1" hidden="1">{#N/A,#N/A,FALSE,"MARCH"}</definedName>
    <definedName name="___may1" hidden="1">{#N/A,#N/A,FALSE,"MARCH"}</definedName>
    <definedName name="__1.2" localSheetId="1">[1]BOQ!#REF!</definedName>
    <definedName name="__1.2">[1]BOQ!#REF!</definedName>
    <definedName name="__1.3" localSheetId="1">[1]BOQ!#REF!</definedName>
    <definedName name="__1.3">[1]BOQ!#REF!</definedName>
    <definedName name="__1.4" localSheetId="1">[1]BOQ!#REF!</definedName>
    <definedName name="__1.4">[1]BOQ!#REF!</definedName>
    <definedName name="__123Graph_ACURRENT" localSheetId="1" hidden="1">[2]FitOutConfCentre!#REF!</definedName>
    <definedName name="__123Graph_ACURRENT" hidden="1">[2]FitOutConfCentre!#REF!</definedName>
    <definedName name="__5A.1" localSheetId="1">[1]BOQ!#REF!</definedName>
    <definedName name="__5A.1">[1]BOQ!#REF!</definedName>
    <definedName name="__5A.2" localSheetId="1">[1]BOQ!#REF!</definedName>
    <definedName name="__5A.2">[1]BOQ!#REF!</definedName>
    <definedName name="__5A.3" localSheetId="1">[1]BOQ!#REF!</definedName>
    <definedName name="__5A.3">[1]BOQ!#REF!</definedName>
    <definedName name="__5B.1" localSheetId="1">[1]BOQ!#REF!</definedName>
    <definedName name="__5B.1">[1]BOQ!#REF!</definedName>
    <definedName name="__5B.2" localSheetId="1">[1]BOQ!#REF!</definedName>
    <definedName name="__5B.2">[1]BOQ!#REF!</definedName>
    <definedName name="__5B.3" localSheetId="1">[1]BOQ!#REF!</definedName>
    <definedName name="__5B.3">[1]BOQ!#REF!</definedName>
    <definedName name="__5B.4" localSheetId="1">[1]BOQ!#REF!</definedName>
    <definedName name="__5B.4">[1]BOQ!#REF!</definedName>
    <definedName name="__6.2" localSheetId="1">[1]BOQ!#REF!</definedName>
    <definedName name="__6.2">[1]BOQ!#REF!</definedName>
    <definedName name="__6.3" localSheetId="1">[1]BOQ!#REF!</definedName>
    <definedName name="__6.3">[1]BOQ!#REF!</definedName>
    <definedName name="__6.4" localSheetId="1">[1]BOQ!#REF!</definedName>
    <definedName name="__6.4">[1]BOQ!#REF!</definedName>
    <definedName name="__New1" localSheetId="1">#REF!</definedName>
    <definedName name="__New1">#REF!</definedName>
    <definedName name="__No1" localSheetId="1">#REF!</definedName>
    <definedName name="__No1">#REF!</definedName>
    <definedName name="__No2" localSheetId="1">#REF!</definedName>
    <definedName name="__No2">#REF!</definedName>
    <definedName name="__No3" localSheetId="1">#REF!</definedName>
    <definedName name="__No3">#REF!</definedName>
    <definedName name="_1.2" localSheetId="1">[1]BOQ!#REF!</definedName>
    <definedName name="_1.2">[1]BOQ!#REF!</definedName>
    <definedName name="_1.3" localSheetId="1">[1]BOQ!#REF!</definedName>
    <definedName name="_1.3">[1]BOQ!#REF!</definedName>
    <definedName name="_1.4" localSheetId="1">[1]BOQ!#REF!</definedName>
    <definedName name="_1.4">[1]BOQ!#REF!</definedName>
    <definedName name="_10_1.2" localSheetId="1">[1]BOQ!#REF!</definedName>
    <definedName name="_10_1.2">[1]BOQ!#REF!</definedName>
    <definedName name="_100_5B.4" localSheetId="1">[1]BOQ!#REF!</definedName>
    <definedName name="_100_5B.4">[1]BOQ!#REF!</definedName>
    <definedName name="_110_6.2" localSheetId="1">[1]BOQ!#REF!</definedName>
    <definedName name="_110_6.2">[1]BOQ!#REF!</definedName>
    <definedName name="_120_6.3" localSheetId="1">[1]BOQ!#REF!</definedName>
    <definedName name="_120_6.3">[1]BOQ!#REF!</definedName>
    <definedName name="_130_6.4" localSheetId="1">[1]BOQ!#REF!</definedName>
    <definedName name="_130_6.4">[1]BOQ!#REF!</definedName>
    <definedName name="_20_1.3" localSheetId="1">[1]BOQ!#REF!</definedName>
    <definedName name="_20_1.3">[1]BOQ!#REF!</definedName>
    <definedName name="_30_1.4" localSheetId="1">[1]BOQ!#REF!</definedName>
    <definedName name="_30_1.4">[1]BOQ!#REF!</definedName>
    <definedName name="_40_5A.1" localSheetId="1">[1]BOQ!#REF!</definedName>
    <definedName name="_40_5A.1">[1]BOQ!#REF!</definedName>
    <definedName name="_50_5A.2" localSheetId="1">[1]BOQ!#REF!</definedName>
    <definedName name="_50_5A.2">[1]BOQ!#REF!</definedName>
    <definedName name="_5A.1" localSheetId="1">[1]BOQ!#REF!</definedName>
    <definedName name="_5A.1">[1]BOQ!#REF!</definedName>
    <definedName name="_5A.2" localSheetId="1">[1]BOQ!#REF!</definedName>
    <definedName name="_5A.2">[1]BOQ!#REF!</definedName>
    <definedName name="_5A.3" localSheetId="1">[1]BOQ!#REF!</definedName>
    <definedName name="_5A.3">[1]BOQ!#REF!</definedName>
    <definedName name="_5B.1" localSheetId="1">[1]BOQ!#REF!</definedName>
    <definedName name="_5B.1">[1]BOQ!#REF!</definedName>
    <definedName name="_5B.2" localSheetId="1">[1]BOQ!#REF!</definedName>
    <definedName name="_5B.2">[1]BOQ!#REF!</definedName>
    <definedName name="_5B.3" localSheetId="1">[1]BOQ!#REF!</definedName>
    <definedName name="_5B.3">[1]BOQ!#REF!</definedName>
    <definedName name="_5B.4" localSheetId="1">[1]BOQ!#REF!</definedName>
    <definedName name="_5B.4">[1]BOQ!#REF!</definedName>
    <definedName name="_6.2" localSheetId="1">[1]BOQ!#REF!</definedName>
    <definedName name="_6.2">[1]BOQ!#REF!</definedName>
    <definedName name="_6.3" localSheetId="1">[1]BOQ!#REF!</definedName>
    <definedName name="_6.3">[1]BOQ!#REF!</definedName>
    <definedName name="_6.4" localSheetId="1">[1]BOQ!#REF!</definedName>
    <definedName name="_6.4">[1]BOQ!#REF!</definedName>
    <definedName name="_60_5A.3" localSheetId="1">[1]BOQ!#REF!</definedName>
    <definedName name="_60_5A.3">[1]BOQ!#REF!</definedName>
    <definedName name="_70_5B.1" localSheetId="1">[1]BOQ!#REF!</definedName>
    <definedName name="_70_5B.1">[1]BOQ!#REF!</definedName>
    <definedName name="_80_5B.2" localSheetId="1">[1]BOQ!#REF!</definedName>
    <definedName name="_80_5B.2">[1]BOQ!#REF!</definedName>
    <definedName name="_90_5B.3" localSheetId="1">[1]BOQ!#REF!</definedName>
    <definedName name="_90_5B.3">[1]BOQ!#REF!</definedName>
    <definedName name="_cntr_val" localSheetId="1">#REF!</definedName>
    <definedName name="_cntr_val">#REF!</definedName>
    <definedName name="_Fill" localSheetId="0">#REF!</definedName>
    <definedName name="_Fill" localSheetId="1">#REF!</definedName>
    <definedName name="_Fill">#REF!</definedName>
    <definedName name="_xlnm._FilterDatabase" localSheetId="1" hidden="1">#REF!</definedName>
    <definedName name="_xlnm._FilterDatabase" hidden="1">#REF!</definedName>
    <definedName name="_Iw65536" localSheetId="1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1" hidden="1">{#N/A,#N/A,FALSE,"MARCH"}</definedName>
    <definedName name="_may1" hidden="1">{#N/A,#N/A,FALSE,"MARCH"}</definedName>
    <definedName name="_MON1" localSheetId="0">#REF!</definedName>
    <definedName name="_MON1" localSheetId="1">#REF!</definedName>
    <definedName name="_MON1">#REF!</definedName>
    <definedName name="_New1" localSheetId="0">#REF!</definedName>
    <definedName name="_New1" localSheetId="1">#REF!</definedName>
    <definedName name="_New1">#REF!</definedName>
    <definedName name="_No1" localSheetId="1">#REF!</definedName>
    <definedName name="_No1">#REF!</definedName>
    <definedName name="_No2" localSheetId="1">#REF!</definedName>
    <definedName name="_No2">#REF!</definedName>
    <definedName name="_No3" localSheetId="1">#REF!</definedName>
    <definedName name="_No3">#REF!</definedName>
    <definedName name="_package">[4]Notes!$C$6</definedName>
    <definedName name="_paf" localSheetId="1">#REF!</definedName>
    <definedName name="_paf">#REF!</definedName>
    <definedName name="_pkg_no" localSheetId="0">#REF!</definedName>
    <definedName name="_pkg_no" localSheetId="1">#REF!</definedName>
    <definedName name="_pkg_no">#REF!</definedName>
    <definedName name="_title">[4]Notes!$C$2</definedName>
    <definedName name="_title_2">[4]Notes!$C$3</definedName>
    <definedName name="_vo_date" localSheetId="1">#REF!</definedName>
    <definedName name="_vo_date">#REF!</definedName>
    <definedName name="_vo_no" localSheetId="0">#REF!</definedName>
    <definedName name="_vo_no" localSheetId="1">#REF!</definedName>
    <definedName name="_vo_no">#REF!</definedName>
    <definedName name="a" localSheetId="1">#REF!</definedName>
    <definedName name="a">#REF!</definedName>
    <definedName name="aa" localSheetId="1" hidden="1">#REF!</definedName>
    <definedName name="aa" hidden="1">#REF!</definedName>
    <definedName name="AAA" localSheetId="1">#REF!</definedName>
    <definedName name="AAA">#REF!</definedName>
    <definedName name="AB" localSheetId="1">#REF!</definedName>
    <definedName name="AB">#REF!</definedName>
    <definedName name="abc" localSheetId="1">#REF!</definedName>
    <definedName name="abc">#REF!</definedName>
    <definedName name="Abut_name" localSheetId="1">#REF!</definedName>
    <definedName name="Abut_name">#REF!</definedName>
    <definedName name="Abut_name1" localSheetId="1">#REF!</definedName>
    <definedName name="Abut_name1">#REF!</definedName>
    <definedName name="AD" localSheetId="1">#REF!</definedName>
    <definedName name="AD">#REF!</definedName>
    <definedName name="AggregateBaseCourse" localSheetId="1">#REF!</definedName>
    <definedName name="AggregateBaseCourse">#REF!</definedName>
    <definedName name="ajith">[5]BOQ2!$G$579</definedName>
    <definedName name="AS" localSheetId="1">#REF!</definedName>
    <definedName name="AS">#REF!</definedName>
    <definedName name="ASASA" localSheetId="0">#REF!</definedName>
    <definedName name="ASASA" localSheetId="1">#REF!</definedName>
    <definedName name="ASASA">#REF!</definedName>
    <definedName name="ASASAS" localSheetId="1" hidden="1">#REF!</definedName>
    <definedName name="ASASAS" hidden="1">#REF!</definedName>
    <definedName name="asd" localSheetId="1">#REF!</definedName>
    <definedName name="asd">#REF!</definedName>
    <definedName name="ASE" localSheetId="1">#REF!</definedName>
    <definedName name="ASE">#REF!</definedName>
    <definedName name="AsphalticBaseCourse" localSheetId="1">#REF!</definedName>
    <definedName name="AsphalticBaseCourse">#REF!</definedName>
    <definedName name="ass.vv" localSheetId="0" hidden="1">{#N/A,#N/A,FALSE,"Abutments &amp; Pier(s)"}</definedName>
    <definedName name="ass.vv" localSheetId="1" hidden="1">{#N/A,#N/A,FALSE,"Abutments &amp; Pier(s)"}</definedName>
    <definedName name="ass.vv" hidden="1">{#N/A,#N/A,FALSE,"Abutments &amp; Pier(s)"}</definedName>
    <definedName name="ASW" localSheetId="1">#REF!</definedName>
    <definedName name="ASW">#REF!</definedName>
    <definedName name="Attendance" localSheetId="0">#REF!</definedName>
    <definedName name="Attendance" localSheetId="1">#REF!</definedName>
    <definedName name="Attendance">#REF!</definedName>
    <definedName name="Attendance1">[6]select_month!$A$1:$I$38</definedName>
    <definedName name="awsd" localSheetId="1">#REF!</definedName>
    <definedName name="awsd">#REF!</definedName>
    <definedName name="B" localSheetId="1">#REF!</definedName>
    <definedName name="B">#REF!</definedName>
    <definedName name="Basic_Salary" localSheetId="1">#REF!</definedName>
    <definedName name="Basic_Salary">#REF!</definedName>
    <definedName name="BB" localSheetId="1">#REF!</definedName>
    <definedName name="BB">#REF!</definedName>
    <definedName name="bbb" localSheetId="1">#REF!</definedName>
    <definedName name="bbb">#REF!</definedName>
    <definedName name="bill" localSheetId="1">#REF!</definedName>
    <definedName name="bill">#REF!</definedName>
    <definedName name="BIN" localSheetId="1">#REF!</definedName>
    <definedName name="BIN">#REF!</definedName>
    <definedName name="Bitumen" localSheetId="1">#REF!</definedName>
    <definedName name="Bitumen">#REF!</definedName>
    <definedName name="BOQ" localSheetId="1">#REF!</definedName>
    <definedName name="BOQ">#REF!</definedName>
    <definedName name="BR_NO" localSheetId="1">#REF!</definedName>
    <definedName name="BR_NO">#REF!</definedName>
    <definedName name="Bsalary">[6]Labor_rate!$B:$B</definedName>
    <definedName name="Category" localSheetId="1">#REF!</definedName>
    <definedName name="Category">#REF!</definedName>
    <definedName name="Category2">[6]Labor_rate!$A:$A</definedName>
    <definedName name="CatEyes" localSheetId="1">#REF!</definedName>
    <definedName name="CatEyes">#REF!</definedName>
    <definedName name="CC" localSheetId="1">#REF!</definedName>
    <definedName name="CC">#REF!</definedName>
    <definedName name="ClearingAndGrubbing" localSheetId="1">#REF!</definedName>
    <definedName name="ClearingAndGrubbing">#REF!</definedName>
    <definedName name="Code" localSheetId="1">#REF!</definedName>
    <definedName name="Code">#REF!</definedName>
    <definedName name="Con_Value" localSheetId="1">#REF!</definedName>
    <definedName name="Con_Value">#REF!</definedName>
    <definedName name="concrete" localSheetId="1">#REF!</definedName>
    <definedName name="concrete">#REF!</definedName>
    <definedName name="ConcreteClassA" localSheetId="1">#REF!</definedName>
    <definedName name="ConcreteClassA">#REF!</definedName>
    <definedName name="_xlnm.Consolidate_Area">#N/A</definedName>
    <definedName name="Country" localSheetId="1">#REF!</definedName>
    <definedName name="Country">#REF!</definedName>
    <definedName name="cover1">'[7]Basic Rates'!$C$4</definedName>
    <definedName name="_xlnm.Criteria" localSheetId="1">[8]HeavyData!#REF!</definedName>
    <definedName name="_xlnm.Criteria">[8]HeavyData!#REF!</definedName>
    <definedName name="CumulativeFinancialProgress" localSheetId="1">#REF!</definedName>
    <definedName name="CumulativeFinancialProgress">#REF!</definedName>
    <definedName name="CumulativePercentCompletion" localSheetId="1">#REF!</definedName>
    <definedName name="CumulativePercentCompletion">#REF!</definedName>
    <definedName name="D" localSheetId="1">#REF!</definedName>
    <definedName name="D">#REF!</definedName>
    <definedName name="D_Name">"ドロップ 4"</definedName>
    <definedName name="DA" localSheetId="0">#REF!</definedName>
    <definedName name="DA" localSheetId="1">#REF!</definedName>
    <definedName name="DA">#REF!</definedName>
    <definedName name="_xlnm.Database" localSheetId="0">#REF!</definedName>
    <definedName name="_xlnm.Database" localSheetId="1">#REF!</definedName>
    <definedName name="_xlnm.Database">#REF!</definedName>
    <definedName name="Daywork1" localSheetId="0" hidden="1">{#N/A,#N/A,FALSE,"MARCH"}</definedName>
    <definedName name="Daywork1" localSheetId="1" hidden="1">{#N/A,#N/A,FALSE,"MARCH"}</definedName>
    <definedName name="Daywork1" hidden="1">{#N/A,#N/A,FALSE,"MARCH"}</definedName>
    <definedName name="dc" localSheetId="1">#REF!</definedName>
    <definedName name="dc">#REF!</definedName>
    <definedName name="dd" localSheetId="0">#REF!</definedName>
    <definedName name="dd" localSheetId="1">#REF!</definedName>
    <definedName name="dd">#REF!</definedName>
    <definedName name="ddd" localSheetId="1">#REF!</definedName>
    <definedName name="ddd">#REF!</definedName>
    <definedName name="ddddd" localSheetId="1" hidden="1">#REF!</definedName>
    <definedName name="ddddd" hidden="1">#REF!</definedName>
    <definedName name="dddddfjnjnjnjnjn" localSheetId="0" hidden="1">{#N/A,#N/A,FALSE,"MARCH"}</definedName>
    <definedName name="dddddfjnjnjnjnjn" localSheetId="1" hidden="1">{#N/A,#N/A,FALSE,"MARCH"}</definedName>
    <definedName name="dddddfjnjnjnjnjn" hidden="1">{#N/A,#N/A,FALSE,"MARCH"}</definedName>
    <definedName name="DEL_ERR" localSheetId="0">#REF!</definedName>
    <definedName name="DEL_ERR" localSheetId="1">#REF!</definedName>
    <definedName name="DEL_ERR">#REF!</definedName>
    <definedName name="DEL_ERR1" localSheetId="0">#REF!</definedName>
    <definedName name="DEL_ERR1" localSheetId="1">#REF!</definedName>
    <definedName name="DEL_ERR1">#REF!</definedName>
    <definedName name="DEL_ERR2" localSheetId="0">#REF!</definedName>
    <definedName name="DEL_ERR2" localSheetId="1">#REF!</definedName>
    <definedName name="DEL_ERR2">#REF!</definedName>
    <definedName name="DEL_ERR3" localSheetId="1">#REF!</definedName>
    <definedName name="DEL_ERR3">#REF!</definedName>
    <definedName name="DEL_ROW" localSheetId="1">#REF!</definedName>
    <definedName name="DEL_ROW">#REF!</definedName>
    <definedName name="DEL_ROW_S" localSheetId="1">#REF!</definedName>
    <definedName name="DEL_ROW_S">#REF!</definedName>
    <definedName name="DELData">[9]残数量確認用!$D$4:$G$2500</definedName>
    <definedName name="dfjgopjga" localSheetId="1">#REF!</definedName>
    <definedName name="dfjgopjga">#REF!</definedName>
    <definedName name="ds" localSheetId="0" hidden="1">{#N/A,#N/A,FALSE,"MARCH"}</definedName>
    <definedName name="ds" localSheetId="1" hidden="1">{#N/A,#N/A,FALSE,"MARCH"}</definedName>
    <definedName name="ds" hidden="1">{#N/A,#N/A,FALSE,"MARCH"}</definedName>
    <definedName name="DST" localSheetId="1">#REF!</definedName>
    <definedName name="DST">#REF!</definedName>
    <definedName name="Duration" localSheetId="1">#REF!</definedName>
    <definedName name="Duration">#REF!</definedName>
    <definedName name="E" localSheetId="1">#REF!</definedName>
    <definedName name="E">#REF!</definedName>
    <definedName name="EE" localSheetId="1">#REF!</definedName>
    <definedName name="EE">#REF!</definedName>
    <definedName name="Emb108a" localSheetId="1">#REF!</definedName>
    <definedName name="Emb108a">#REF!</definedName>
    <definedName name="Emb108c" localSheetId="1">#REF!</definedName>
    <definedName name="Emb108c">#REF!</definedName>
    <definedName name="End_Bal" localSheetId="1">#REF!</definedName>
    <definedName name="End_Bal">#REF!</definedName>
    <definedName name="Equipment" localSheetId="1">#REF!</definedName>
    <definedName name="Equipment">#REF!</definedName>
    <definedName name="ERR" localSheetId="1">#REF!</definedName>
    <definedName name="ERR">#REF!</definedName>
    <definedName name="Escalation" localSheetId="1">#REF!</definedName>
    <definedName name="Escalation">#REF!</definedName>
    <definedName name="F" localSheetId="1">#REF!</definedName>
    <definedName name="F">#REF!</definedName>
    <definedName name="Factor" localSheetId="1">#REF!</definedName>
    <definedName name="Factor">#REF!</definedName>
    <definedName name="fd" localSheetId="1" hidden="1">#REF!</definedName>
    <definedName name="fd" hidden="1">#REF!</definedName>
    <definedName name="fddgbfd" localSheetId="1">#REF!</definedName>
    <definedName name="fddgbfd">#REF!</definedName>
    <definedName name="FF" localSheetId="1">#REF!</definedName>
    <definedName name="FF">#REF!</definedName>
    <definedName name="FFF" localSheetId="0" hidden="1">{#N/A,#N/A,FALSE,"MARCH"}</definedName>
    <definedName name="FFF" localSheetId="1" hidden="1">{#N/A,#N/A,FALSE,"MARCH"}</definedName>
    <definedName name="FFF" hidden="1">{#N/A,#N/A,FALSE,"MARCH"}</definedName>
    <definedName name="FOUN" localSheetId="0">#REF!</definedName>
    <definedName name="FOUN" localSheetId="1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1" hidden="1">{#N/A,#N/A,FALSE,"MARCH"}</definedName>
    <definedName name="FReport5" hidden="1">{#N/A,#N/A,FALSE,"MARCH"}</definedName>
    <definedName name="Full_Print" localSheetId="1">#REF!</definedName>
    <definedName name="Full_Print">#REF!</definedName>
    <definedName name="G" localSheetId="1">#REF!</definedName>
    <definedName name="G">#REF!</definedName>
    <definedName name="G.Total" localSheetId="1">#REF!</definedName>
    <definedName name="G.Total">#REF!</definedName>
    <definedName name="G.TTL" localSheetId="1">#REF!</definedName>
    <definedName name="G.TTL">#REF!</definedName>
    <definedName name="G_Total" localSheetId="1">#REF!</definedName>
    <definedName name="G_Total">#REF!</definedName>
    <definedName name="G_W" localSheetId="1">#REF!</definedName>
    <definedName name="G_W">#REF!</definedName>
    <definedName name="gfdfhfdhfgjhfg" localSheetId="1" hidden="1">#REF!</definedName>
    <definedName name="gfdfhfdhfgjhfg" hidden="1">#REF!</definedName>
    <definedName name="gfhgfhgfhjgfjth" localSheetId="1">#REF!</definedName>
    <definedName name="gfhgfhgfhjgfjth">#REF!</definedName>
    <definedName name="gh" localSheetId="0" hidden="1">{#N/A,#N/A,FALSE,"MARCH"}</definedName>
    <definedName name="gh" localSheetId="1" hidden="1">{#N/A,#N/A,FALSE,"MARCH"}</definedName>
    <definedName name="gh" hidden="1">{#N/A,#N/A,FALSE,"MARCH"}</definedName>
    <definedName name="GroutedRiprap" localSheetId="1">#REF!</definedName>
    <definedName name="GroutedRiprap">#REF!</definedName>
    <definedName name="GSB" localSheetId="1">#REF!</definedName>
    <definedName name="GSB">#REF!</definedName>
    <definedName name="GST" localSheetId="1">#REF!</definedName>
    <definedName name="GST">#REF!</definedName>
    <definedName name="GUI" localSheetId="1">'[11]PLT-SUM'!#REF!</definedName>
    <definedName name="GUI">'[11]PLT-SUM'!#REF!</definedName>
    <definedName name="H" localSheetId="1">#REF!</definedName>
    <definedName name="H">#REF!</definedName>
    <definedName name="haulage">'[12]Haulage(G.C.)'!$B$5:$J$117</definedName>
    <definedName name="HEAD" localSheetId="1">#REF!</definedName>
    <definedName name="HEAD">#REF!</definedName>
    <definedName name="HeadWall" localSheetId="1">#REF!</definedName>
    <definedName name="HeadWall">#REF!</definedName>
    <definedName name="HeavyList" localSheetId="1">#REF!</definedName>
    <definedName name="HeavyList">#REF!</definedName>
    <definedName name="hgh" localSheetId="1" hidden="1">#REF!</definedName>
    <definedName name="hgh" hidden="1">#REF!</definedName>
    <definedName name="HH" localSheetId="1">#REF!</definedName>
    <definedName name="HH">#REF!</definedName>
    <definedName name="hjk" localSheetId="0" hidden="1">{#N/A,#N/A,FALSE,"MARCH"}</definedName>
    <definedName name="hjk" localSheetId="1" hidden="1">{#N/A,#N/A,FALSE,"MARCH"}</definedName>
    <definedName name="hjk" hidden="1">{#N/A,#N/A,FALSE,"MARCH"}</definedName>
    <definedName name="HOCList" localSheetId="1">#REF!</definedName>
    <definedName name="HOCList">#REF!</definedName>
    <definedName name="I.D." localSheetId="1">[13]HOC!#REF!</definedName>
    <definedName name="I.D.">[13]HOC!#REF!</definedName>
    <definedName name="ijn" localSheetId="0" hidden="1">{#N/A,#N/A,FALSE,"MARCH"}</definedName>
    <definedName name="ijn" localSheetId="1" hidden="1">{#N/A,#N/A,FALSE,"MARCH"}</definedName>
    <definedName name="ijn" hidden="1">{#N/A,#N/A,FALSE,"MARCH"}</definedName>
    <definedName name="Interest_Rate" localSheetId="1">#REF!</definedName>
    <definedName name="Interest_Rate">#REF!</definedName>
    <definedName name="IPCs" localSheetId="1">#REF!</definedName>
    <definedName name="IPCs">#REF!</definedName>
    <definedName name="j" localSheetId="1">#REF!</definedName>
    <definedName name="j">#REF!</definedName>
    <definedName name="jcb">'[14]Basic Rates'!$C$57</definedName>
    <definedName name="jcbm.">'[7]Basic Rates'!$C$57</definedName>
    <definedName name="jkhjhf" localSheetId="1">#REF!</definedName>
    <definedName name="jkhjhf">#REF!</definedName>
    <definedName name="jkl">[15]Notes!$C$7</definedName>
    <definedName name="July" localSheetId="1">#REF!</definedName>
    <definedName name="July">#REF!</definedName>
    <definedName name="July05" localSheetId="0">#REF!</definedName>
    <definedName name="July05" localSheetId="1">#REF!</definedName>
    <definedName name="July05">#REF!</definedName>
    <definedName name="June" localSheetId="1">#REF!</definedName>
    <definedName name="June">#REF!</definedName>
    <definedName name="K" localSheetId="1">#REF!</definedName>
    <definedName name="K">#REF!</definedName>
    <definedName name="kgj" localSheetId="0" hidden="1">{#N/A,#N/A,FALSE,"MARCH"}</definedName>
    <definedName name="kgj" localSheetId="1" hidden="1">{#N/A,#N/A,FALSE,"MARCH"}</definedName>
    <definedName name="kgj" hidden="1">{#N/A,#N/A,FALSE,"MARCH"}</definedName>
    <definedName name="khjjhhghjjg" localSheetId="1" hidden="1">#REF!</definedName>
    <definedName name="khjjhhghjjg" hidden="1">#REF!</definedName>
    <definedName name="kij" localSheetId="0" hidden="1">{#N/A,#N/A,FALSE,"MARCH"}</definedName>
    <definedName name="kij" localSheetId="1" hidden="1">{#N/A,#N/A,FALSE,"MARCH"}</definedName>
    <definedName name="kij" hidden="1">{#N/A,#N/A,FALSE,"MARCH"}</definedName>
    <definedName name="KurFarki" localSheetId="1">#REF!</definedName>
    <definedName name="KurFarki">#REF!</definedName>
    <definedName name="L" localSheetId="1">#REF!</definedName>
    <definedName name="L">#REF!</definedName>
    <definedName name="Last_Row">#N/A</definedName>
    <definedName name="lbr">'[14]Basic Rates'!$C$4</definedName>
    <definedName name="LeanConcrete" localSheetId="1">#REF!</definedName>
    <definedName name="LeanConcrete">#REF!</definedName>
    <definedName name="LL" localSheetId="1">#REF!</definedName>
    <definedName name="LL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Lump_Sum">[16]HOC!$AE$12:$AE$118</definedName>
    <definedName name="M" localSheetId="1">#REF!</definedName>
    <definedName name="M">#REF!</definedName>
    <definedName name="m3_Total" localSheetId="1">#REF!</definedName>
    <definedName name="m3_Total">#REF!</definedName>
    <definedName name="m3_TTL">[16]HOC!$Y$12:$Y$160</definedName>
    <definedName name="m3_Unit">[16]HOC!$X$12:$X$160</definedName>
    <definedName name="MAGA" localSheetId="1">#REF!</definedName>
    <definedName name="MAGA">#REF!</definedName>
    <definedName name="MaterialToBeCrushed" localSheetId="0">#REF!</definedName>
    <definedName name="MaterialToBeCrushed" localSheetId="1">#REF!</definedName>
    <definedName name="MaterialToBeCrushed">#REF!</definedName>
    <definedName name="MaterialToBeScreened" localSheetId="1">#REF!</definedName>
    <definedName name="MaterialToBeScreened">#REF!</definedName>
    <definedName name="May" localSheetId="0" hidden="1">{#N/A,#N/A,FALSE,"MARCH"}</definedName>
    <definedName name="May" localSheetId="1" hidden="1">{#N/A,#N/A,FALSE,"MARCH"}</definedName>
    <definedName name="May" hidden="1">{#N/A,#N/A,FALSE,"MARCH"}</definedName>
    <definedName name="MC_" localSheetId="1">#REF!</definedName>
    <definedName name="MC_">#REF!</definedName>
    <definedName name="MECHANICALCONDITION" localSheetId="1">'[11]PLT-SUM'!#REF!</definedName>
    <definedName name="MECHANICALCONDITION">'[11]PLT-SUM'!#REF!</definedName>
    <definedName name="MEN" localSheetId="1">#REF!</definedName>
    <definedName name="MEN">#REF!</definedName>
    <definedName name="MISC" localSheetId="0">#REF!</definedName>
    <definedName name="MISC" localSheetId="1">#REF!</definedName>
    <definedName name="MISC">#REF!</definedName>
    <definedName name="misc.">[5]BOQ2!$G$579</definedName>
    <definedName name="MISC1">[10]BOQ2!$G$579</definedName>
    <definedName name="mm" localSheetId="1">#REF!</definedName>
    <definedName name="mm">#REF!</definedName>
    <definedName name="mmm" localSheetId="1">#REF!</definedName>
    <definedName name="mmm">#REF!</definedName>
    <definedName name="MON" localSheetId="1">#REF!</definedName>
    <definedName name="MON">#REF!</definedName>
    <definedName name="Month" localSheetId="1">#REF!</definedName>
    <definedName name="Month">#REF!</definedName>
    <definedName name="Month1" localSheetId="1">#REF!</definedName>
    <definedName name="Month1">#REF!</definedName>
    <definedName name="MontlyPercentCompletion" localSheetId="1">#REF!</definedName>
    <definedName name="MontlyPercentCompletion">#REF!</definedName>
    <definedName name="MS" localSheetId="1">#REF!</definedName>
    <definedName name="MS">#REF!</definedName>
    <definedName name="Multiplier" localSheetId="1">#REF!</definedName>
    <definedName name="Multiplier">#REF!</definedName>
    <definedName name="Multiplier1" localSheetId="1">#REF!</definedName>
    <definedName name="Multiplier1">#REF!</definedName>
    <definedName name="N" localSheetId="1">#REF!</definedName>
    <definedName name="N">#REF!</definedName>
    <definedName name="N.TTL" localSheetId="1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1" hidden="1">{#N/A,#N/A,FALSE,"MARCH"}</definedName>
    <definedName name="NEW" hidden="1">{#N/A,#N/A,FALSE,"MARCH"}</definedName>
    <definedName name="NGC" localSheetId="1">#REF!</definedName>
    <definedName name="NGC">#REF!</definedName>
    <definedName name="No." localSheetId="1">#REF!</definedName>
    <definedName name="No.">#REF!</definedName>
    <definedName name="No0" localSheetId="1">#REF!</definedName>
    <definedName name="No0">#REF!</definedName>
    <definedName name="Nozzle">[16]HOC!$O$12:$O$160</definedName>
    <definedName name="October" localSheetId="1">#REF!</definedName>
    <definedName name="October">#REF!</definedName>
    <definedName name="ofd">'[3]No-edit'!$E$2:$E$3</definedName>
    <definedName name="Offdays" localSheetId="1">#REF!</definedName>
    <definedName name="Offdays">#REF!</definedName>
    <definedName name="oh" localSheetId="1">#REF!</definedName>
    <definedName name="oh">#REF!</definedName>
    <definedName name="P" localSheetId="1">#REF!</definedName>
    <definedName name="P">#REF!</definedName>
    <definedName name="P_ce">[16]HOC!$S$12:$S$160</definedName>
    <definedName name="part5" localSheetId="1">#REF!</definedName>
    <definedName name="part5">#REF!</definedName>
    <definedName name="PavementMarking" localSheetId="1">#REF!</definedName>
    <definedName name="PavementMarking">#REF!</definedName>
    <definedName name="Pce">[16]HOC!$S$12</definedName>
    <definedName name="Pier" localSheetId="1">#REF!</definedName>
    <definedName name="Pier">#REF!</definedName>
    <definedName name="PipeCulverts" localSheetId="1">#REF!</definedName>
    <definedName name="PipeCulverts">#REF!</definedName>
    <definedName name="Plant" localSheetId="1">#REF!</definedName>
    <definedName name="Plant">#REF!</definedName>
    <definedName name="Port" localSheetId="1">#REF!</definedName>
    <definedName name="Port">#REF!</definedName>
    <definedName name="Port選択">[16]HOC!$AC$2</definedName>
    <definedName name="PQR" localSheetId="1">#REF!</definedName>
    <definedName name="PQR">#REF!</definedName>
    <definedName name="pre" localSheetId="1">[1]BOQ!#REF!</definedName>
    <definedName name="pre">[1]BOQ!#REF!</definedName>
    <definedName name="PrimeCoat" localSheetId="1">#REF!</definedName>
    <definedName name="PrimeCoat">#REF!</definedName>
    <definedName name="PRINT_AREA_MI" localSheetId="1">#REF!</definedName>
    <definedName name="PRINT_AREA_MI">#REF!</definedName>
    <definedName name="Print_area3" localSheetId="0">#REF!</definedName>
    <definedName name="Print_area3" localSheetId="1">#REF!</definedName>
    <definedName name="Print_area3">#REF!</definedName>
    <definedName name="Print_Titles_MI" localSheetId="1">#REF!</definedName>
    <definedName name="Print_Titles_MI">#REF!</definedName>
    <definedName name="ProjectSchedule">[17]Schdl!$B$5:$AF$19</definedName>
    <definedName name="Q" localSheetId="1">#REF!</definedName>
    <definedName name="Q">#REF!</definedName>
    <definedName name="qqews" localSheetId="1">#REF!</definedName>
    <definedName name="qqews">#REF!</definedName>
    <definedName name="QQQQQ" localSheetId="0" hidden="1">{#N/A,#N/A,FALSE,"Abutments &amp; Pier(s)"}</definedName>
    <definedName name="QQQQQ" localSheetId="1" hidden="1">{#N/A,#N/A,FALSE,"Abutments &amp; Pier(s)"}</definedName>
    <definedName name="QQQQQ" hidden="1">{#N/A,#N/A,FALSE,"Abutments &amp; Pier(s)"}</definedName>
    <definedName name="QTY" localSheetId="1">#REF!</definedName>
    <definedName name="QTY">#REF!</definedName>
    <definedName name="QWE" localSheetId="1">#REF!</definedName>
    <definedName name="QWE">#REF!</definedName>
    <definedName name="Rate" localSheetId="1">#REF!</definedName>
    <definedName name="Rate">#REF!</definedName>
    <definedName name="RB7.4" localSheetId="1" hidden="1">#REF!</definedName>
    <definedName name="RB7.4" hidden="1">#REF!</definedName>
    <definedName name="RC_" localSheetId="1">#REF!</definedName>
    <definedName name="RC_">#REF!</definedName>
    <definedName name="RE" localSheetId="1">#REF!</definedName>
    <definedName name="RE">#REF!</definedName>
    <definedName name="recover" localSheetId="1">#REF!</definedName>
    <definedName name="recover">#REF!</definedName>
    <definedName name="recovery2" localSheetId="1">#REF!</definedName>
    <definedName name="recovery2">#REF!</definedName>
    <definedName name="ReinforcementSteel" localSheetId="1">#REF!</definedName>
    <definedName name="ReinforcementSteel">#REF!</definedName>
    <definedName name="REMO" localSheetId="1">#REF!</definedName>
    <definedName name="REMO">#REF!</definedName>
    <definedName name="REMO1">[10]BOQ2!$G$573</definedName>
    <definedName name="Roun" localSheetId="1">#REF!</definedName>
    <definedName name="Roun">#REF!</definedName>
    <definedName name="S" localSheetId="1">#REF!</definedName>
    <definedName name="S">#REF!</definedName>
    <definedName name="Schedule" localSheetId="1">#REF!</definedName>
    <definedName name="Schedule">#REF!</definedName>
    <definedName name="Schedule2" localSheetId="1">#REF!</definedName>
    <definedName name="Schedule2">#REF!</definedName>
    <definedName name="sdddf" localSheetId="0" hidden="1">{#N/A,#N/A,FALSE,"MARCH"}</definedName>
    <definedName name="sdddf" localSheetId="1" hidden="1">{#N/A,#N/A,FALSE,"MARCH"}</definedName>
    <definedName name="sdddf" hidden="1">{#N/A,#N/A,FALSE,"MARCH"}</definedName>
    <definedName name="SDDS" localSheetId="1" hidden="1">#REF!</definedName>
    <definedName name="SDDS" hidden="1">#REF!</definedName>
    <definedName name="SDEE" localSheetId="0">#REF!</definedName>
    <definedName name="SDEE" localSheetId="1">#REF!</definedName>
    <definedName name="SDEE">#REF!</definedName>
    <definedName name="sfbjdf" localSheetId="1" hidden="1">#REF!</definedName>
    <definedName name="sfbjdf" hidden="1">#REF!</definedName>
    <definedName name="Sheet" localSheetId="1" hidden="1">#REF!</definedName>
    <definedName name="Sheet" hidden="1">#REF!</definedName>
    <definedName name="sheet3" localSheetId="1">#REF!</definedName>
    <definedName name="sheet3">#REF!</definedName>
    <definedName name="ShoulderEmb." localSheetId="1">#REF!</definedName>
    <definedName name="ShoulderEmb.">#REF!</definedName>
    <definedName name="ShoulderSubbase" localSheetId="1">#REF!</definedName>
    <definedName name="ShoulderSubbase">#REF!</definedName>
    <definedName name="Skirt" localSheetId="1">[13]HOC!#REF!</definedName>
    <definedName name="Skirt">[13]HOC!#REF!</definedName>
    <definedName name="SozlesmeRsYenParitesi" localSheetId="1">#REF!</definedName>
    <definedName name="SozlesmeRsYenParitesi">#REF!</definedName>
    <definedName name="SozlesmeYenUSDParitesi" localSheetId="1">#REF!</definedName>
    <definedName name="SozlesmeYenUSDParitesi">#REF!</definedName>
    <definedName name="SRC" localSheetId="1">#REF!</definedName>
    <definedName name="SRC">#REF!</definedName>
    <definedName name="SS" localSheetId="1">#REF!</definedName>
    <definedName name="SS">#REF!</definedName>
    <definedName name="SSR" localSheetId="1">#REF!</definedName>
    <definedName name="SSR">#REF!</definedName>
    <definedName name="SSS" localSheetId="1">#REF!</definedName>
    <definedName name="SSS">#REF!</definedName>
    <definedName name="ssss" localSheetId="1">#REF!</definedName>
    <definedName name="ssss">#REF!</definedName>
    <definedName name="Subbase" localSheetId="1">#REF!</definedName>
    <definedName name="Subbase">#REF!</definedName>
    <definedName name="Substructure" localSheetId="1">#REF!</definedName>
    <definedName name="Substructure">#REF!</definedName>
    <definedName name="sum" localSheetId="1">#REF!</definedName>
    <definedName name="sum">#REF!</definedName>
    <definedName name="SUMMA" localSheetId="1">#REF!</definedName>
    <definedName name="SUMMA">#REF!</definedName>
    <definedName name="summary" localSheetId="1">#REF!</definedName>
    <definedName name="summary">#REF!</definedName>
    <definedName name="summary2" localSheetId="1">#REF!</definedName>
    <definedName name="summary2">#REF!</definedName>
    <definedName name="SUP">[5]BOQ2!$G$577</definedName>
    <definedName name="SUPE" localSheetId="1">#REF!</definedName>
    <definedName name="SUPE">#REF!</definedName>
    <definedName name="SUPE1">[10]BOQ2!$G$577</definedName>
    <definedName name="T" localSheetId="1">#REF!</definedName>
    <definedName name="T">#REF!</definedName>
    <definedName name="T_T" localSheetId="1">[13]HOC!#REF!</definedName>
    <definedName name="T_T">[13]HOC!#REF!</definedName>
    <definedName name="TackCoat" localSheetId="1">#REF!</definedName>
    <definedName name="TackCoat">#REF!</definedName>
    <definedName name="TECGCTtFrt" localSheetId="1">#REF!</definedName>
    <definedName name="TECGCTtFrt">#REF!</definedName>
    <definedName name="TECGCTtlFrt" localSheetId="1">#REF!</definedName>
    <definedName name="TECGCTtlFrt">#REF!</definedName>
    <definedName name="TECGCTtlGross" localSheetId="1">#REF!</definedName>
    <definedName name="TECGCTtlGross">#REF!</definedName>
    <definedName name="TECGCTtlNet" localSheetId="1">#REF!</definedName>
    <definedName name="TECGCTtlNet">#REF!</definedName>
    <definedName name="TECHvyTtlFrt" localSheetId="1">#REF!</definedName>
    <definedName name="TECHvyTtlFrt">#REF!</definedName>
    <definedName name="TECHvyTtlNet" localSheetId="1">#REF!</definedName>
    <definedName name="TECHvyTtlNet">#REF!</definedName>
    <definedName name="TECTtlFrt" localSheetId="1">#REF!</definedName>
    <definedName name="TECTtlFrt">#REF!</definedName>
    <definedName name="TECTtlGross" localSheetId="1">#REF!</definedName>
    <definedName name="TECTtlGross">#REF!</definedName>
    <definedName name="TECTtlNet" localSheetId="1">#REF!</definedName>
    <definedName name="TECTtlNet">#REF!</definedName>
    <definedName name="tfgf" localSheetId="1" hidden="1">#REF!</definedName>
    <definedName name="tfgf" hidden="1">#REF!</definedName>
    <definedName name="TIME">[18]HOC!$X$12</definedName>
    <definedName name="Timesheet" localSheetId="1">#REF!</definedName>
    <definedName name="Timesheet">#REF!</definedName>
    <definedName name="tip">'[14]Basic Rates'!$C$59</definedName>
    <definedName name="TIPI">'[7]Basic Rates'!$C$59</definedName>
    <definedName name="TOTAL" localSheetId="1">#REF!</definedName>
    <definedName name="TOTAL">#REF!</definedName>
    <definedName name="TrafficSings" localSheetId="1">#REF!</definedName>
    <definedName name="TrafficSings">#REF!</definedName>
    <definedName name="ts">[6]Enter_Time!$A$1:$J$38</definedName>
    <definedName name="Turk" localSheetId="1">#REF!</definedName>
    <definedName name="Turk">#REF!</definedName>
    <definedName name="U" localSheetId="1">#REF!</definedName>
    <definedName name="U">#REF!</definedName>
    <definedName name="Unit" localSheetId="1">#REF!</definedName>
    <definedName name="Unit">#REF!</definedName>
    <definedName name="unpriced" localSheetId="1">#REF!</definedName>
    <definedName name="unpriced">#REF!</definedName>
    <definedName name="USDRs" localSheetId="1">#REF!</definedName>
    <definedName name="USDRs">#REF!</definedName>
    <definedName name="USDYen" localSheetId="1">#REF!</definedName>
    <definedName name="USDYen">#REF!</definedName>
    <definedName name="V" localSheetId="1">#REF!</definedName>
    <definedName name="V">#REF!</definedName>
    <definedName name="VNBV" localSheetId="0" hidden="1">{#N/A,#N/A,FALSE,"Abutments ONLY"}</definedName>
    <definedName name="VNBV" localSheetId="1" hidden="1">{#N/A,#N/A,FALSE,"Abutments ONLY"}</definedName>
    <definedName name="VNBV" hidden="1">{#N/A,#N/A,FALSE,"Abutments ONLY"}</definedName>
    <definedName name="W" localSheetId="1">#REF!</definedName>
    <definedName name="W">#REF!</definedName>
    <definedName name="WearingCourse" localSheetId="1">#REF!</definedName>
    <definedName name="WearingCourse">#REF!</definedName>
    <definedName name="WMM" localSheetId="1">[13]HOC!#REF!</definedName>
    <definedName name="WMM">[13]HOC!#REF!</definedName>
    <definedName name="wrn.Abut_only." localSheetId="0">#REF!</definedName>
    <definedName name="wrn.Abut_only." localSheetId="1">#REF!</definedName>
    <definedName name="wrn.Abut_only.">#REF!</definedName>
    <definedName name="wrn.Abut_pier." localSheetId="0">#REF!</definedName>
    <definedName name="wrn.Abut_pier." localSheetId="1">#REF!</definedName>
    <definedName name="wrn.Abut_pier.">#REF!</definedName>
    <definedName name="wrn.Cumulative._.Material._.Cost." localSheetId="0" hidden="1">{#N/A,#N/A,FALSE,"MARCH"}</definedName>
    <definedName name="wrn.Cumulative._.Material._.Cost." localSheetId="1" hidden="1">{#N/A,#N/A,FALSE,"MARCH"}</definedName>
    <definedName name="wrn.Cumulative._.Material._.Cost." hidden="1">{#N/A,#N/A,FALSE,"MARCH"}</definedName>
    <definedName name="ww" localSheetId="1">#REF!</definedName>
    <definedName name="ww">#REF!</definedName>
    <definedName name="www" localSheetId="0">#REF!</definedName>
    <definedName name="www" localSheetId="1">#REF!</definedName>
    <definedName name="www">#REF!</definedName>
    <definedName name="wwww" localSheetId="1">#REF!</definedName>
    <definedName name="wwww">#REF!</definedName>
    <definedName name="X" localSheetId="1">#REF!</definedName>
    <definedName name="X">#REF!</definedName>
    <definedName name="XXX" localSheetId="0" hidden="1">{#N/A,#N/A,FALSE,"MARCH"}</definedName>
    <definedName name="XXX" localSheetId="1" hidden="1">{#N/A,#N/A,FALSE,"MARCH"}</definedName>
    <definedName name="XXX" hidden="1">{#N/A,#N/A,FALSE,"MARCH"}</definedName>
    <definedName name="xxxxxxx" localSheetId="0" hidden="1">{#N/A,#N/A,FALSE,"MARCH"}</definedName>
    <definedName name="xxxxxxx" localSheetId="1" hidden="1">{#N/A,#N/A,FALSE,"MARCH"}</definedName>
    <definedName name="xxxxxxx" hidden="1">{#N/A,#N/A,FALSE,"MARCH"}</definedName>
    <definedName name="Y" localSheetId="1">#REF!</definedName>
    <definedName name="Y">#REF!</definedName>
    <definedName name="Z" localSheetId="1">#REF!</definedName>
    <definedName name="Z">#REF!</definedName>
    <definedName name="干支の概要" localSheetId="1">#REF!</definedName>
    <definedName name="干支の概要">#REF!</definedName>
    <definedName name="海上Hvyｺｽﾄ" localSheetId="1">#REF!</definedName>
    <definedName name="海上Hvyｺｽﾄ">#REF!</definedName>
    <definedName name="詳細">[19]PROSUM!$V$53:$AA$60,[19]PROSUM!$M$12:$AA$50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J6" i="1"/>
  <c r="K5" i="1" l="1"/>
  <c r="J5" i="1"/>
  <c r="H34" i="1"/>
  <c r="K34" i="1"/>
  <c r="J34" i="1"/>
  <c r="H21" i="1" l="1"/>
  <c r="K21" i="1" l="1"/>
  <c r="J21" i="1"/>
  <c r="H27" i="1"/>
  <c r="K19" i="1"/>
  <c r="J19" i="1"/>
  <c r="H19" i="1"/>
  <c r="H4" i="1"/>
  <c r="H8" i="1"/>
  <c r="H9" i="1"/>
  <c r="H10" i="1"/>
  <c r="H11" i="1"/>
  <c r="H12" i="1"/>
  <c r="H13" i="1"/>
  <c r="H14" i="1"/>
  <c r="H16" i="1"/>
  <c r="H17" i="1"/>
  <c r="H18" i="1"/>
  <c r="H20" i="1"/>
  <c r="H23" i="1"/>
  <c r="H24" i="1"/>
  <c r="H25" i="1"/>
  <c r="H26" i="1"/>
  <c r="H28" i="1"/>
  <c r="H29" i="1"/>
  <c r="H30" i="1"/>
  <c r="H31" i="1"/>
  <c r="H32" i="1"/>
  <c r="H33" i="1"/>
  <c r="H35" i="1"/>
  <c r="K15" i="1" l="1"/>
  <c r="J15" i="1"/>
  <c r="K27" i="1"/>
  <c r="J27" i="1"/>
  <c r="K30" i="1" l="1"/>
  <c r="J30" i="1"/>
  <c r="K22" i="1"/>
  <c r="J22" i="1"/>
  <c r="K26" i="1"/>
  <c r="J26" i="1"/>
  <c r="K28" i="1" l="1"/>
  <c r="J28" i="1"/>
  <c r="J6" i="5" l="1"/>
  <c r="K6" i="5"/>
  <c r="K13" i="1"/>
  <c r="J13" i="1"/>
  <c r="J5" i="5"/>
  <c r="K5" i="5"/>
  <c r="J7" i="1"/>
  <c r="K7" i="1"/>
  <c r="H11" i="5" l="1"/>
  <c r="H7" i="5"/>
  <c r="J7" i="5"/>
  <c r="K7" i="5"/>
  <c r="J8" i="5" l="1"/>
  <c r="J9" i="5"/>
  <c r="J10" i="5"/>
  <c r="J11" i="5"/>
  <c r="J12" i="5"/>
  <c r="J4" i="5"/>
  <c r="J14" i="5" l="1"/>
  <c r="K4" i="1" l="1"/>
  <c r="J4" i="1"/>
  <c r="J8" i="1" l="1"/>
  <c r="J9" i="1"/>
  <c r="J10" i="1"/>
  <c r="J11" i="1"/>
  <c r="J12" i="1"/>
  <c r="J14" i="1"/>
  <c r="J16" i="1"/>
  <c r="J17" i="1"/>
  <c r="J18" i="1"/>
  <c r="J20" i="1"/>
  <c r="J23" i="1"/>
  <c r="J24" i="1"/>
  <c r="J25" i="1"/>
  <c r="J31" i="1"/>
  <c r="J32" i="1"/>
  <c r="J33" i="1"/>
  <c r="J35" i="1"/>
  <c r="J37" i="1" l="1"/>
  <c r="K12" i="5" l="1"/>
  <c r="H12" i="5"/>
  <c r="K11" i="5"/>
  <c r="K10" i="5"/>
  <c r="H10" i="5"/>
  <c r="K9" i="5"/>
  <c r="H9" i="5"/>
  <c r="K8" i="5"/>
  <c r="H8" i="5"/>
  <c r="K4" i="5"/>
  <c r="H4" i="5"/>
  <c r="K14" i="5" l="1"/>
  <c r="K35" i="1"/>
  <c r="K31" i="1" l="1"/>
  <c r="K17" i="1" l="1"/>
  <c r="K25" i="1" l="1"/>
  <c r="K24" i="1"/>
  <c r="K23" i="1"/>
  <c r="K33" i="1" l="1"/>
  <c r="K11" i="1" l="1"/>
  <c r="K16" i="1" l="1"/>
  <c r="K20" i="1"/>
  <c r="K14" i="1" l="1"/>
  <c r="K10" i="1"/>
  <c r="K9" i="1" l="1"/>
  <c r="K8" i="1" l="1"/>
  <c r="K12" i="1" l="1"/>
  <c r="K18" i="1" l="1"/>
  <c r="K32" i="1" l="1"/>
  <c r="K37" i="1" l="1"/>
</calcChain>
</file>

<file path=xl/sharedStrings.xml><?xml version="1.0" encoding="utf-8"?>
<sst xmlns="http://schemas.openxmlformats.org/spreadsheetml/2006/main" count="146" uniqueCount="86">
  <si>
    <t>E &amp; C</t>
  </si>
  <si>
    <t>JCB</t>
  </si>
  <si>
    <t>D/Cab</t>
  </si>
  <si>
    <t>C/Cab</t>
  </si>
  <si>
    <t>PD-6917</t>
  </si>
  <si>
    <t>325-3448</t>
  </si>
  <si>
    <t>3 Cube</t>
  </si>
  <si>
    <t>Owner</t>
  </si>
  <si>
    <t>RATE HOUR /DAY</t>
  </si>
  <si>
    <t>Consumption</t>
  </si>
  <si>
    <t>Fuel</t>
  </si>
  <si>
    <t>Type</t>
  </si>
  <si>
    <t>Vehicle No</t>
  </si>
  <si>
    <t>No</t>
  </si>
  <si>
    <t>Skid Loader</t>
  </si>
  <si>
    <t>actual days/machine hours</t>
  </si>
  <si>
    <t>Days/machine hours consider for costing</t>
  </si>
  <si>
    <t>4 ton roller</t>
  </si>
  <si>
    <t>Remarks</t>
  </si>
  <si>
    <t>Diesel bowser</t>
  </si>
  <si>
    <t>LN-8277</t>
  </si>
  <si>
    <t>Boom Truck</t>
  </si>
  <si>
    <t>S/Cab</t>
  </si>
  <si>
    <t>Package C</t>
  </si>
  <si>
    <t>Package A</t>
  </si>
  <si>
    <t>Package</t>
  </si>
  <si>
    <t>Package B</t>
  </si>
  <si>
    <t>ZB-1546</t>
  </si>
  <si>
    <t>PH-6742</t>
  </si>
  <si>
    <t>Distance (Km)</t>
  </si>
  <si>
    <t>LO-7182</t>
  </si>
  <si>
    <t>HEX-01</t>
  </si>
  <si>
    <t>Volvo 220</t>
  </si>
  <si>
    <t>VR-65</t>
  </si>
  <si>
    <t>ZA-6069</t>
  </si>
  <si>
    <t>SL-14</t>
  </si>
  <si>
    <t>Distance</t>
  </si>
  <si>
    <t>ZA-8511</t>
  </si>
  <si>
    <t>Truck Mixer</t>
  </si>
  <si>
    <t>LD-09</t>
  </si>
  <si>
    <t>Loader</t>
  </si>
  <si>
    <t>ZA-7810</t>
  </si>
  <si>
    <t>ZB-1496</t>
  </si>
  <si>
    <t>HEX-19</t>
  </si>
  <si>
    <t>Crusher Plant</t>
  </si>
  <si>
    <t>ZB-0050</t>
  </si>
  <si>
    <t>Amount with Idling</t>
  </si>
  <si>
    <t>Amount without Idling</t>
  </si>
  <si>
    <t>Amount (idling included)</t>
  </si>
  <si>
    <t>Actual amount</t>
  </si>
  <si>
    <t>51-8083</t>
  </si>
  <si>
    <t>ZA-7290</t>
  </si>
  <si>
    <t>LA-1359</t>
  </si>
  <si>
    <t>LL-0920</t>
  </si>
  <si>
    <t>01 Cube</t>
  </si>
  <si>
    <t>ZA-7291</t>
  </si>
  <si>
    <t>LO-5983</t>
  </si>
  <si>
    <t>Meter broken</t>
  </si>
  <si>
    <t xml:space="preserve">Komatsu 120 </t>
  </si>
  <si>
    <t>LM-7940</t>
  </si>
  <si>
    <t>ZA-8373</t>
  </si>
  <si>
    <t>Crane</t>
  </si>
  <si>
    <t>MG-06</t>
  </si>
  <si>
    <t>Motor Grader</t>
  </si>
  <si>
    <t>Pump Car</t>
  </si>
  <si>
    <t>PT-1569</t>
  </si>
  <si>
    <t>ZA-8395</t>
  </si>
  <si>
    <t>SR-19</t>
  </si>
  <si>
    <t>10 ton roller</t>
  </si>
  <si>
    <t>LP-1573</t>
  </si>
  <si>
    <t>MG-12</t>
  </si>
  <si>
    <t>LP-1577</t>
  </si>
  <si>
    <t>LO-7183</t>
  </si>
  <si>
    <t>HEX-42</t>
  </si>
  <si>
    <t>Case 220</t>
  </si>
  <si>
    <t>LM-5719</t>
  </si>
  <si>
    <t>LM-7948</t>
  </si>
  <si>
    <t>DAH-2491</t>
  </si>
  <si>
    <t>SL-15</t>
  </si>
  <si>
    <t>Water Bowser</t>
  </si>
  <si>
    <t>LD-8875</t>
  </si>
  <si>
    <t>ZA-8445</t>
  </si>
  <si>
    <t>Vehicle Running Summary - March 2026</t>
  </si>
  <si>
    <t>Vehicle Running Summary -March 2026</t>
  </si>
  <si>
    <t>RA-3051</t>
  </si>
  <si>
    <t>Tractor Bowser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</si>
</sst>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Rs.-849]\ #,##0.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2" fontId="3" fillId="0" borderId="9" xfId="0" applyNumberFormat="1" applyFont="1" applyBorder="1"/>
    <xf numFmtId="164" fontId="3" fillId="0" borderId="9" xfId="0" applyNumberFormat="1" applyFont="1" applyBorder="1"/>
    <xf numFmtId="164" fontId="5" fillId="0" borderId="9" xfId="0" applyNumberFormat="1" applyFont="1" applyBorder="1"/>
    <xf numFmtId="0" fontId="3" fillId="0" borderId="7" xfId="0" applyFont="1" applyBorder="1"/>
    <xf numFmtId="0" fontId="6" fillId="2" borderId="5" xfId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5" xfId="0" applyNumberFormat="1" applyFont="1" applyFill="1" applyBorder="1"/>
    <xf numFmtId="0" fontId="4" fillId="2" borderId="8" xfId="0" applyFont="1" applyFill="1" applyBorder="1" applyAlignment="1">
      <alignment horizontal="center"/>
    </xf>
    <xf numFmtId="164" fontId="3" fillId="0" borderId="1" xfId="0" applyNumberFormat="1" applyFont="1" applyBorder="1"/>
    <xf numFmtId="164" fontId="6" fillId="2" borderId="9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5" xfId="0" applyBorder="1"/>
    <xf numFmtId="0" fontId="7" fillId="0" borderId="11" xfId="0" applyFont="1" applyBorder="1" applyAlignment="1">
      <alignment horizontal="center"/>
    </xf>
    <xf numFmtId="2" fontId="7" fillId="2" borderId="5" xfId="0" applyNumberFormat="1" applyFont="1" applyFill="1" applyBorder="1"/>
    <xf numFmtId="2" fontId="7" fillId="2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2" fillId="4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2" fontId="0" fillId="3" borderId="0" xfId="0" applyNumberFormat="1" applyFill="1"/>
    <xf numFmtId="164" fontId="7" fillId="2" borderId="9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0" fontId="4" fillId="2" borderId="6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wrapText="1"/>
    </xf>
    <xf numFmtId="0" fontId="10" fillId="2" borderId="5" xfId="0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2" fontId="10" fillId="2" borderId="5" xfId="0" applyNumberFormat="1" applyFont="1" applyFill="1" applyBorder="1" applyAlignment="1"/>
    <xf numFmtId="0" fontId="10" fillId="2" borderId="6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/>
    </xf>
    <xf numFmtId="0" fontId="6" fillId="5" borderId="5" xfId="1" applyFont="1" applyFill="1" applyBorder="1" applyAlignment="1">
      <alignment horizontal="center"/>
    </xf>
    <xf numFmtId="2" fontId="7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/>
    <xf numFmtId="0" fontId="0" fillId="0" borderId="0" xfId="0" applyAlignment="1"/>
    <xf numFmtId="0" fontId="7" fillId="5" borderId="6" xfId="0" applyFont="1" applyFill="1" applyBorder="1" applyAlignment="1">
      <alignment horizontal="center"/>
    </xf>
    <xf numFmtId="2" fontId="7" fillId="5" borderId="5" xfId="0" applyNumberFormat="1" applyFont="1" applyFill="1" applyBorder="1"/>
    <xf numFmtId="164" fontId="7" fillId="5" borderId="5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0" xfId="0" applyFill="1"/>
    <xf numFmtId="0" fontId="11" fillId="2" borderId="5" xfId="0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 applyAlignment="1"/>
    <xf numFmtId="164" fontId="11" fillId="2" borderId="5" xfId="0" applyNumberFormat="1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2" fontId="12" fillId="2" borderId="5" xfId="0" applyNumberFormat="1" applyFont="1" applyFill="1" applyBorder="1" applyAlignment="1">
      <alignment horizontal="center"/>
    </xf>
    <xf numFmtId="2" fontId="12" fillId="2" borderId="5" xfId="0" applyNumberFormat="1" applyFont="1" applyFill="1" applyBorder="1" applyAlignment="1"/>
    <xf numFmtId="164" fontId="12" fillId="2" borderId="5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2" fillId="2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Internet%20Downloads/WINDOWS/Desktop/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Documents%20and%20Settings/acer/My%20Documents/Kasun/Documents/General/Budgets%20other/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Internet%20Downloads/WINDOWS/Desktop/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Documents%20and%20Settings/acer/My%20Documents/Kasun/Documents/General/Budgets%20other/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id="1" name="Table44" displayName="Table44" ref="A3:N35" totalsRowShown="0" headerRowDxfId="36" dataDxfId="34" headerRowBorderDxfId="35" tableBorderDxfId="33">
  <autoFilter ref="A3:N35"/>
  <sortState ref="A4:L65">
    <sortCondition sortBy="fontColor" ref="K3:K65" dxfId="32"/>
  </sortState>
  <tableColumns count="14">
    <tableColumn id="1" name="No" dataDxfId="31"/>
    <tableColumn id="2" name="Vehicle No" dataDxfId="30" dataCellStyle="Hyperlink"/>
    <tableColumn id="3" name="Type" dataDxfId="29"/>
    <tableColumn id="4" name="actual days/machine hours" dataDxfId="28"/>
    <tableColumn id="11" name="Days/machine hours consider for costing" dataDxfId="27"/>
    <tableColumn id="5" name="Distance (Km)" dataDxfId="26"/>
    <tableColumn id="6" name="Fuel" dataDxfId="25"/>
    <tableColumn id="7" name="Consumption" dataDxfId="24"/>
    <tableColumn id="8" name="RATE HOUR /DAY" dataDxfId="23"/>
    <tableColumn id="14" name="Amount without Idling" dataDxfId="22"/>
    <tableColumn id="9" name="Amount with Idling" dataDxfId="21"/>
    <tableColumn id="10" name="Owner" dataDxfId="20"/>
    <tableColumn id="12" name="Package" dataDxfId="19"/>
    <tableColumn id="13" name="Remarks" dataDxfId="1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443" displayName="Table443" ref="A3:M12" totalsRowShown="0" headerRowDxfId="17" dataDxfId="15" headerRowBorderDxfId="16" tableBorderDxfId="14">
  <autoFilter ref="A3:M12"/>
  <sortState ref="A4:L70">
    <sortCondition sortBy="fontColor" ref="K3:K70" dxfId="13"/>
  </sortState>
  <tableColumns count="13">
    <tableColumn id="1" name="No" dataDxfId="12"/>
    <tableColumn id="2" name="Vehicle No" dataDxfId="11" dataCellStyle="Hyperlink"/>
    <tableColumn id="3" name="Type" dataDxfId="10"/>
    <tableColumn id="4" name="actual days/machine hours" dataDxfId="9"/>
    <tableColumn id="11" name="Days/machine hours consider for costing" dataDxfId="8"/>
    <tableColumn id="5" name="Distance" dataDxfId="7"/>
    <tableColumn id="6" name="Fuel" dataDxfId="6"/>
    <tableColumn id="7" name="Consumption" dataDxfId="5"/>
    <tableColumn id="8" name="RATE HOUR /DAY" dataDxfId="4"/>
    <tableColumn id="13" name="Actual amount" dataDxfId="3">
      <calculatedColumnFormula>Table443[[#This Row],[RATE HOUR /DAY]]*Table443[[#This Row],[actual days/machine hours]]</calculatedColumnFormula>
    </tableColumn>
    <tableColumn id="9" name="Amount (idling included)" dataDxfId="2">
      <calculatedColumnFormula>Table443[[#This Row],[RATE HOUR /DAY]]*Table443[[#This Row],[Days/machine hours consider for costing]]</calculatedColumnFormula>
    </tableColumn>
    <tableColumn id="10" name="Owner" dataDxfId="1"/>
    <tableColumn id="12" name="Remark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zoomScale="92" zoomScaleNormal="92" workbookViewId="0">
      <pane ySplit="3" topLeftCell="A16" activePane="bottomLeft" state="frozen"/>
      <selection pane="bottomLeft" activeCell="G6" sqref="G6"/>
    </sheetView>
  </sheetViews>
  <sheetFormatPr defaultRowHeight="15" x14ac:dyDescent="0.25"/>
  <cols>
    <col min="1" max="1" width="9" bestFit="1" customWidth="1"/>
    <col min="2" max="2" width="16.7109375" customWidth="1"/>
    <col min="3" max="3" width="16" customWidth="1"/>
    <col min="4" max="4" width="17.7109375" customWidth="1"/>
    <col min="5" max="5" width="16.5703125" customWidth="1"/>
    <col min="6" max="6" width="15.28515625" customWidth="1"/>
    <col min="7" max="7" width="11.140625" bestFit="1" customWidth="1"/>
    <col min="8" max="8" width="21.7109375" style="2" customWidth="1"/>
    <col min="9" max="10" width="25" style="1" customWidth="1"/>
    <col min="11" max="11" width="21.5703125" style="1" customWidth="1"/>
    <col min="12" max="12" width="10.5703125" bestFit="1" customWidth="1"/>
    <col min="13" max="13" width="17.7109375" customWidth="1"/>
    <col min="14" max="14" width="15.5703125" customWidth="1"/>
  </cols>
  <sheetData>
    <row r="1" spans="1:14" ht="18.75" x14ac:dyDescent="0.3">
      <c r="A1" s="77" t="s">
        <v>82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4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4" ht="27.6" customHeight="1" x14ac:dyDescent="0.25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29</v>
      </c>
      <c r="G3" s="12" t="s">
        <v>10</v>
      </c>
      <c r="H3" s="14" t="s">
        <v>9</v>
      </c>
      <c r="I3" s="15" t="s">
        <v>8</v>
      </c>
      <c r="J3" s="15" t="s">
        <v>47</v>
      </c>
      <c r="K3" s="16" t="s">
        <v>46</v>
      </c>
      <c r="L3" s="17" t="s">
        <v>7</v>
      </c>
      <c r="M3" s="32" t="s">
        <v>25</v>
      </c>
      <c r="N3" s="32" t="s">
        <v>18</v>
      </c>
    </row>
    <row r="4" spans="1:14" ht="15.75" x14ac:dyDescent="0.25">
      <c r="A4" s="44">
        <v>1</v>
      </c>
      <c r="B4" s="18" t="s">
        <v>52</v>
      </c>
      <c r="C4" s="19" t="s">
        <v>19</v>
      </c>
      <c r="D4" s="20"/>
      <c r="E4" s="20"/>
      <c r="F4" s="23"/>
      <c r="G4" s="23"/>
      <c r="H4" s="20" t="e">
        <f>Table44[[#This Row],[Distance (Km)]]/Table44[[#This Row],[Fuel]]</f>
        <v>#DIV/0!</v>
      </c>
      <c r="I4" s="29">
        <v>2800</v>
      </c>
      <c r="J4" s="42">
        <f>Table44[[#This Row],[RATE HOUR /DAY]]*Table44[[#This Row],[actual days/machine hours]]</f>
        <v>0</v>
      </c>
      <c r="K4" s="26">
        <f>Table44[[#This Row],[RATE HOUR /DAY]]*Table44[[#This Row],[Days/machine hours consider for costing]]</f>
        <v>0</v>
      </c>
      <c r="L4" s="22" t="s">
        <v>0</v>
      </c>
      <c r="M4" s="19"/>
      <c r="N4" s="19"/>
    </row>
    <row r="5" spans="1:14" ht="15.75" x14ac:dyDescent="0.25">
      <c r="A5" s="44">
        <v>2</v>
      </c>
      <c r="B5" s="18" t="s">
        <v>80</v>
      </c>
      <c r="C5" s="18" t="s">
        <v>79</v>
      </c>
      <c r="D5" s="73">
        <v>9</v>
      </c>
      <c r="E5" s="73">
        <v>9</v>
      </c>
      <c r="F5" s="74"/>
      <c r="G5" s="74">
        <v>180</v>
      </c>
      <c r="H5" s="73"/>
      <c r="I5" s="75">
        <v>6000</v>
      </c>
      <c r="J5" s="42">
        <f>Table44[[#This Row],[RATE HOUR /DAY]]*Table44[[#This Row],[actual days/machine hours]]</f>
        <v>54000</v>
      </c>
      <c r="K5" s="26">
        <f>Table44[[#This Row],[RATE HOUR /DAY]]*Table44[[#This Row],[Days/machine hours consider for costing]]</f>
        <v>54000</v>
      </c>
      <c r="L5" s="76"/>
      <c r="M5" s="72"/>
      <c r="N5" s="72"/>
    </row>
    <row r="6" spans="1:14" ht="15.75" x14ac:dyDescent="0.25">
      <c r="A6" s="79"/>
      <c r="B6" s="18" t="s">
        <v>84</v>
      </c>
      <c r="C6" s="18" t="s">
        <v>85</v>
      </c>
      <c r="D6" s="73">
        <v>11</v>
      </c>
      <c r="E6" s="73">
        <v>11</v>
      </c>
      <c r="F6" s="74"/>
      <c r="G6" s="74">
        <v>40</v>
      </c>
      <c r="H6" s="73"/>
      <c r="I6" s="75">
        <v>4000</v>
      </c>
      <c r="J6" s="42">
        <f>Table44[[#This Row],[RATE HOUR /DAY]]*Table44[[#This Row],[actual days/machine hours]]</f>
        <v>44000</v>
      </c>
      <c r="K6" s="26">
        <f>Table44[[#This Row],[RATE HOUR /DAY]]*Table44[[#This Row],[Days/machine hours consider for costing]]</f>
        <v>44000</v>
      </c>
      <c r="L6" s="76"/>
      <c r="M6" s="72"/>
      <c r="N6" s="72"/>
    </row>
    <row r="7" spans="1:14" ht="15.75" x14ac:dyDescent="0.25">
      <c r="A7" s="44">
        <v>3</v>
      </c>
      <c r="B7" s="18" t="s">
        <v>53</v>
      </c>
      <c r="C7" s="47" t="s">
        <v>54</v>
      </c>
      <c r="D7" s="20">
        <v>29</v>
      </c>
      <c r="E7" s="48">
        <v>29</v>
      </c>
      <c r="F7" s="50"/>
      <c r="G7" s="50">
        <v>525</v>
      </c>
      <c r="H7" s="48"/>
      <c r="I7" s="52">
        <v>3500</v>
      </c>
      <c r="J7" s="29">
        <f>Table44[[#This Row],[RATE HOUR /DAY]]*Table44[[#This Row],[actual days/machine hours]]</f>
        <v>101500</v>
      </c>
      <c r="K7" s="21">
        <f>Table44[[#This Row],[RATE HOUR /DAY]]*Table44[[#This Row],[Days/machine hours consider for costing]]</f>
        <v>101500</v>
      </c>
      <c r="L7" s="22" t="s">
        <v>0</v>
      </c>
      <c r="M7" s="47"/>
      <c r="N7" s="47"/>
    </row>
    <row r="8" spans="1:14" ht="15.75" x14ac:dyDescent="0.25">
      <c r="A8" s="44">
        <v>4</v>
      </c>
      <c r="B8" s="18" t="s">
        <v>69</v>
      </c>
      <c r="C8" s="19" t="s">
        <v>6</v>
      </c>
      <c r="D8" s="34">
        <v>16</v>
      </c>
      <c r="E8" s="34">
        <v>16</v>
      </c>
      <c r="F8" s="33">
        <v>481</v>
      </c>
      <c r="G8" s="33">
        <v>185</v>
      </c>
      <c r="H8" s="20">
        <f>F8/G8</f>
        <v>2.6</v>
      </c>
      <c r="I8" s="21">
        <v>6440</v>
      </c>
      <c r="J8" s="29">
        <f>Table44[[#This Row],[RATE HOUR /DAY]]*Table44[[#This Row],[actual days/machine hours]]</f>
        <v>103040</v>
      </c>
      <c r="K8" s="21">
        <f>Table44[[#This Row],[RATE HOUR /DAY]]*Table44[[#This Row],[Days/machine hours consider for costing]]</f>
        <v>103040</v>
      </c>
      <c r="L8" s="22" t="s">
        <v>0</v>
      </c>
      <c r="M8" s="35"/>
      <c r="N8" s="28"/>
    </row>
    <row r="9" spans="1:14" ht="15.75" x14ac:dyDescent="0.25">
      <c r="A9" s="44">
        <v>5</v>
      </c>
      <c r="B9" s="18" t="s">
        <v>71</v>
      </c>
      <c r="C9" s="19" t="s">
        <v>6</v>
      </c>
      <c r="D9" s="34">
        <v>10</v>
      </c>
      <c r="E9" s="34">
        <v>10</v>
      </c>
      <c r="F9" s="33">
        <v>446</v>
      </c>
      <c r="G9" s="33">
        <v>215</v>
      </c>
      <c r="H9" s="20">
        <f t="shared" ref="H9:H16" si="0">F9/G9</f>
        <v>2.074418604651163</v>
      </c>
      <c r="I9" s="21">
        <v>6440</v>
      </c>
      <c r="J9" s="29">
        <f>Table44[[#This Row],[RATE HOUR /DAY]]*Table44[[#This Row],[actual days/machine hours]]</f>
        <v>64400</v>
      </c>
      <c r="K9" s="21">
        <f>Table44[[#This Row],[RATE HOUR /DAY]]*Table44[[#This Row],[Days/machine hours consider for costing]]</f>
        <v>64400</v>
      </c>
      <c r="L9" s="22" t="s">
        <v>0</v>
      </c>
      <c r="M9" s="35"/>
      <c r="N9" s="28"/>
    </row>
    <row r="10" spans="1:14" ht="15.75" x14ac:dyDescent="0.25">
      <c r="A10" s="44">
        <v>6</v>
      </c>
      <c r="B10" s="18" t="s">
        <v>75</v>
      </c>
      <c r="C10" s="19" t="s">
        <v>6</v>
      </c>
      <c r="D10" s="34">
        <v>16</v>
      </c>
      <c r="E10" s="34">
        <v>16</v>
      </c>
      <c r="F10" s="33"/>
      <c r="G10" s="33">
        <v>350</v>
      </c>
      <c r="H10" s="20">
        <f t="shared" si="0"/>
        <v>0</v>
      </c>
      <c r="I10" s="21">
        <v>6440</v>
      </c>
      <c r="J10" s="29">
        <f>Table44[[#This Row],[RATE HOUR /DAY]]*Table44[[#This Row],[actual days/machine hours]]</f>
        <v>103040</v>
      </c>
      <c r="K10" s="21">
        <f>Table44[[#This Row],[RATE HOUR /DAY]]*Table44[[#This Row],[Days/machine hours consider for costing]]</f>
        <v>103040</v>
      </c>
      <c r="L10" s="22" t="s">
        <v>0</v>
      </c>
      <c r="M10" s="35"/>
      <c r="N10" s="28"/>
    </row>
    <row r="11" spans="1:14" ht="15.75" x14ac:dyDescent="0.25">
      <c r="A11" s="44">
        <v>7</v>
      </c>
      <c r="B11" s="18" t="s">
        <v>59</v>
      </c>
      <c r="C11" s="19" t="s">
        <v>6</v>
      </c>
      <c r="D11" s="34"/>
      <c r="E11" s="34"/>
      <c r="F11" s="33"/>
      <c r="G11" s="33"/>
      <c r="H11" s="20" t="e">
        <f t="shared" si="0"/>
        <v>#DIV/0!</v>
      </c>
      <c r="I11" s="21">
        <v>6440</v>
      </c>
      <c r="J11" s="29">
        <f>Table44[[#This Row],[RATE HOUR /DAY]]*Table44[[#This Row],[actual days/machine hours]]</f>
        <v>0</v>
      </c>
      <c r="K11" s="21">
        <f>Table44[[#This Row],[RATE HOUR /DAY]]*Table44[[#This Row],[Days/machine hours consider for costing]]</f>
        <v>0</v>
      </c>
      <c r="L11" s="22" t="s">
        <v>0</v>
      </c>
      <c r="M11" s="28"/>
      <c r="N11" s="28"/>
    </row>
    <row r="12" spans="1:14" ht="15.75" x14ac:dyDescent="0.25">
      <c r="A12" s="44">
        <v>8</v>
      </c>
      <c r="B12" s="18" t="s">
        <v>76</v>
      </c>
      <c r="C12" s="19" t="s">
        <v>6</v>
      </c>
      <c r="D12" s="34">
        <v>14</v>
      </c>
      <c r="E12" s="34">
        <v>14</v>
      </c>
      <c r="F12" s="33"/>
      <c r="G12" s="33">
        <v>285</v>
      </c>
      <c r="H12" s="20">
        <f t="shared" si="0"/>
        <v>0</v>
      </c>
      <c r="I12" s="29">
        <v>6440</v>
      </c>
      <c r="J12" s="29">
        <f>Table44[[#This Row],[RATE HOUR /DAY]]*Table44[[#This Row],[actual days/machine hours]]</f>
        <v>90160</v>
      </c>
      <c r="K12" s="21">
        <f>Table44[[#This Row],[RATE HOUR /DAY]]*Table44[[#This Row],[Days/machine hours consider for costing]]</f>
        <v>90160</v>
      </c>
      <c r="L12" s="22" t="s">
        <v>0</v>
      </c>
      <c r="M12" s="35"/>
      <c r="N12" s="28"/>
    </row>
    <row r="13" spans="1:14" ht="15.75" x14ac:dyDescent="0.25">
      <c r="A13" s="44">
        <v>9</v>
      </c>
      <c r="B13" s="18" t="s">
        <v>56</v>
      </c>
      <c r="C13" s="19" t="s">
        <v>6</v>
      </c>
      <c r="D13" s="48"/>
      <c r="E13" s="48"/>
      <c r="F13" s="50"/>
      <c r="G13" s="50"/>
      <c r="H13" s="20" t="e">
        <f t="shared" si="0"/>
        <v>#DIV/0!</v>
      </c>
      <c r="I13" s="29">
        <v>6440</v>
      </c>
      <c r="J13" s="29">
        <f>Table44[[#This Row],[RATE HOUR /DAY]]*Table44[[#This Row],[actual days/machine hours]]</f>
        <v>0</v>
      </c>
      <c r="K13" s="21">
        <f>Table44[[#This Row],[RATE HOUR /DAY]]*Table44[[#This Row],[Days/machine hours consider for costing]]</f>
        <v>0</v>
      </c>
      <c r="L13" s="22" t="s">
        <v>0</v>
      </c>
      <c r="M13" s="47"/>
      <c r="N13" s="47"/>
    </row>
    <row r="14" spans="1:14" ht="15.75" x14ac:dyDescent="0.25">
      <c r="A14" s="44">
        <v>10</v>
      </c>
      <c r="B14" s="18" t="s">
        <v>30</v>
      </c>
      <c r="C14" s="19" t="s">
        <v>6</v>
      </c>
      <c r="D14" s="34">
        <v>12</v>
      </c>
      <c r="E14" s="34">
        <v>12</v>
      </c>
      <c r="F14" s="33"/>
      <c r="G14" s="33">
        <v>165</v>
      </c>
      <c r="H14" s="20">
        <f t="shared" si="0"/>
        <v>0</v>
      </c>
      <c r="I14" s="29">
        <v>6440</v>
      </c>
      <c r="J14" s="29">
        <f>Table44[[#This Row],[RATE HOUR /DAY]]*Table44[[#This Row],[actual days/machine hours]]</f>
        <v>77280</v>
      </c>
      <c r="K14" s="21">
        <f>Table44[[#This Row],[RATE HOUR /DAY]]*Table44[[#This Row],[Days/machine hours consider for costing]]</f>
        <v>77280</v>
      </c>
      <c r="L14" s="22" t="s">
        <v>0</v>
      </c>
      <c r="M14" s="35"/>
      <c r="N14" s="28"/>
    </row>
    <row r="15" spans="1:14" ht="15.75" x14ac:dyDescent="0.25">
      <c r="A15" s="44">
        <v>11</v>
      </c>
      <c r="B15" s="18" t="s">
        <v>72</v>
      </c>
      <c r="C15" s="19" t="s">
        <v>6</v>
      </c>
      <c r="D15" s="68"/>
      <c r="E15" s="68"/>
      <c r="F15" s="69"/>
      <c r="G15" s="69"/>
      <c r="H15" s="68"/>
      <c r="I15" s="29">
        <v>6440</v>
      </c>
      <c r="J15" s="29">
        <f>Table44[[#This Row],[RATE HOUR /DAY]]*Table44[[#This Row],[actual days/machine hours]]</f>
        <v>0</v>
      </c>
      <c r="K15" s="21">
        <f>Table44[[#This Row],[RATE HOUR /DAY]]*Table44[[#This Row],[Days/machine hours consider for costing]]</f>
        <v>0</v>
      </c>
      <c r="L15" s="71"/>
      <c r="M15" s="67"/>
      <c r="N15" s="67"/>
    </row>
    <row r="16" spans="1:14" ht="15.75" x14ac:dyDescent="0.25">
      <c r="A16" s="44">
        <v>12</v>
      </c>
      <c r="B16" s="18" t="s">
        <v>20</v>
      </c>
      <c r="C16" s="28" t="s">
        <v>21</v>
      </c>
      <c r="D16" s="34">
        <v>15</v>
      </c>
      <c r="E16" s="34">
        <v>15</v>
      </c>
      <c r="F16" s="33">
        <v>1055</v>
      </c>
      <c r="G16" s="33">
        <v>610</v>
      </c>
      <c r="H16" s="20">
        <f t="shared" si="0"/>
        <v>1.7295081967213115</v>
      </c>
      <c r="I16" s="29">
        <v>7000</v>
      </c>
      <c r="J16" s="29">
        <f>Table44[[#This Row],[RATE HOUR /DAY]]*Table44[[#This Row],[actual days/machine hours]]</f>
        <v>105000</v>
      </c>
      <c r="K16" s="21">
        <f>Table44[[#This Row],[RATE HOUR /DAY]]*Table44[[#This Row],[Days/machine hours consider for costing]]</f>
        <v>105000</v>
      </c>
      <c r="L16" s="22" t="s">
        <v>0</v>
      </c>
      <c r="M16" s="35"/>
      <c r="N16" s="28"/>
    </row>
    <row r="17" spans="1:14" ht="15.75" x14ac:dyDescent="0.25">
      <c r="A17" s="44">
        <v>13</v>
      </c>
      <c r="B17" s="18" t="s">
        <v>31</v>
      </c>
      <c r="C17" s="28" t="s">
        <v>32</v>
      </c>
      <c r="D17" s="34"/>
      <c r="E17" s="34"/>
      <c r="F17" s="33"/>
      <c r="G17" s="33"/>
      <c r="H17" s="20" t="e">
        <f>Table44[[#This Row],[Fuel]]/Table44[[#This Row],[actual days/machine hours]]</f>
        <v>#DIV/0!</v>
      </c>
      <c r="I17" s="21">
        <v>3600</v>
      </c>
      <c r="J17" s="29">
        <f>Table44[[#This Row],[RATE HOUR /DAY]]*Table44[[#This Row],[actual days/machine hours]]</f>
        <v>0</v>
      </c>
      <c r="K17" s="21">
        <f>Table44[[#This Row],[RATE HOUR /DAY]]*Table44[[#This Row],[Days/machine hours consider for costing]]</f>
        <v>0</v>
      </c>
      <c r="L17" s="22" t="s">
        <v>0</v>
      </c>
      <c r="M17" s="28"/>
      <c r="N17" s="28"/>
    </row>
    <row r="18" spans="1:14" ht="15.75" x14ac:dyDescent="0.25">
      <c r="A18" s="44">
        <v>14</v>
      </c>
      <c r="B18" s="18" t="s">
        <v>43</v>
      </c>
      <c r="C18" s="19" t="s">
        <v>58</v>
      </c>
      <c r="D18" s="20">
        <v>36.1</v>
      </c>
      <c r="E18" s="20">
        <v>36.1</v>
      </c>
      <c r="F18" s="23"/>
      <c r="G18" s="23">
        <v>221</v>
      </c>
      <c r="H18" s="20">
        <f>Table44[[#This Row],[Fuel]]/Table44[[#This Row],[actual days/machine hours]]</f>
        <v>6.121883656509695</v>
      </c>
      <c r="I18" s="21">
        <v>2500</v>
      </c>
      <c r="J18" s="29">
        <f>Table44[[#This Row],[RATE HOUR /DAY]]*Table44[[#This Row],[actual days/machine hours]]</f>
        <v>90250</v>
      </c>
      <c r="K18" s="21">
        <f>Table44[[#This Row],[RATE HOUR /DAY]]*Table44[[#This Row],[Days/machine hours consider for costing]]</f>
        <v>90250</v>
      </c>
      <c r="L18" s="22" t="s">
        <v>0</v>
      </c>
      <c r="M18" s="35"/>
      <c r="N18" s="28"/>
    </row>
    <row r="19" spans="1:14" ht="15.75" x14ac:dyDescent="0.25">
      <c r="A19" s="44">
        <v>15</v>
      </c>
      <c r="B19" s="18" t="s">
        <v>73</v>
      </c>
      <c r="C19" s="19" t="s">
        <v>74</v>
      </c>
      <c r="D19" s="20"/>
      <c r="E19" s="20"/>
      <c r="F19" s="58"/>
      <c r="G19" s="58"/>
      <c r="H19" s="20" t="e">
        <f>Table44[[#This Row],[Fuel]]/Table44[[#This Row],[actual days/machine hours]]</f>
        <v>#DIV/0!</v>
      </c>
      <c r="I19" s="21">
        <v>3600</v>
      </c>
      <c r="J19" s="29">
        <f>Table44[[#This Row],[RATE HOUR /DAY]]*Table44[[#This Row],[actual days/machine hours]]</f>
        <v>0</v>
      </c>
      <c r="K19" s="21">
        <f>Table44[[#This Row],[RATE HOUR /DAY]]*Table44[[#This Row],[Days/machine hours consider for costing]]</f>
        <v>0</v>
      </c>
      <c r="L19" s="22"/>
      <c r="M19" s="19"/>
      <c r="N19" s="19"/>
    </row>
    <row r="20" spans="1:14" ht="15.75" x14ac:dyDescent="0.25">
      <c r="A20" s="44">
        <v>16</v>
      </c>
      <c r="B20" s="54" t="s">
        <v>50</v>
      </c>
      <c r="C20" s="56" t="s">
        <v>22</v>
      </c>
      <c r="D20" s="55">
        <v>30</v>
      </c>
      <c r="E20" s="34">
        <v>30</v>
      </c>
      <c r="F20" s="33"/>
      <c r="G20" s="33">
        <v>648</v>
      </c>
      <c r="H20" s="20">
        <f t="shared" ref="H20" si="1">F20/G20</f>
        <v>0</v>
      </c>
      <c r="I20" s="29">
        <v>3080</v>
      </c>
      <c r="J20" s="29">
        <f>Table44[[#This Row],[RATE HOUR /DAY]]*Table44[[#This Row],[actual days/machine hours]]</f>
        <v>92400</v>
      </c>
      <c r="K20" s="21">
        <f>Table44[[#This Row],[RATE HOUR /DAY]]*Table44[[#This Row],[Days/machine hours consider for costing]]</f>
        <v>92400</v>
      </c>
      <c r="L20" s="22" t="s">
        <v>0</v>
      </c>
      <c r="M20" s="35"/>
      <c r="N20" s="28"/>
    </row>
    <row r="21" spans="1:14" ht="15.75" x14ac:dyDescent="0.25">
      <c r="A21" s="44">
        <v>17</v>
      </c>
      <c r="B21" s="18" t="s">
        <v>77</v>
      </c>
      <c r="C21" s="19" t="s">
        <v>22</v>
      </c>
      <c r="D21" s="20">
        <v>30</v>
      </c>
      <c r="E21" s="20">
        <v>30</v>
      </c>
      <c r="F21" s="58">
        <v>4462</v>
      </c>
      <c r="G21" s="58">
        <v>334</v>
      </c>
      <c r="H21" s="20">
        <f>+Table44[[#This Row],[Distance (Km)]]/Table44[[#This Row],[Fuel]]</f>
        <v>13.359281437125748</v>
      </c>
      <c r="I21" s="21">
        <v>3080</v>
      </c>
      <c r="J21" s="29">
        <f>Table44[[#This Row],[RATE HOUR /DAY]]*Table44[[#This Row],[actual days/machine hours]]</f>
        <v>92400</v>
      </c>
      <c r="K21" s="21">
        <f>Table44[[#This Row],[RATE HOUR /DAY]]*Table44[[#This Row],[Days/machine hours consider for costing]]</f>
        <v>92400</v>
      </c>
      <c r="L21" s="22"/>
      <c r="M21" s="19"/>
      <c r="N21" s="19"/>
    </row>
    <row r="22" spans="1:14" ht="15.75" x14ac:dyDescent="0.25">
      <c r="A22" s="44">
        <v>18</v>
      </c>
      <c r="B22" s="18" t="s">
        <v>65</v>
      </c>
      <c r="C22" s="19" t="s">
        <v>22</v>
      </c>
      <c r="D22" s="20"/>
      <c r="E22" s="20"/>
      <c r="F22" s="58"/>
      <c r="G22" s="58"/>
      <c r="H22" s="20"/>
      <c r="I22" s="29">
        <v>3080</v>
      </c>
      <c r="J22" s="29">
        <f>Table44[[#This Row],[RATE HOUR /DAY]]*Table44[[#This Row],[actual days/machine hours]]</f>
        <v>0</v>
      </c>
      <c r="K22" s="21">
        <f>Table44[[#This Row],[RATE HOUR /DAY]]*Table44[[#This Row],[Days/machine hours consider for costing]]</f>
        <v>0</v>
      </c>
      <c r="L22" s="22"/>
      <c r="M22" s="19"/>
      <c r="N22" s="19"/>
    </row>
    <row r="23" spans="1:14" ht="15.75" x14ac:dyDescent="0.25">
      <c r="A23" s="44">
        <v>19</v>
      </c>
      <c r="B23" s="18" t="s">
        <v>28</v>
      </c>
      <c r="C23" s="19" t="s">
        <v>3</v>
      </c>
      <c r="D23" s="20"/>
      <c r="E23" s="20"/>
      <c r="F23" s="23"/>
      <c r="G23" s="23"/>
      <c r="H23" s="20" t="e">
        <f>F23/G23</f>
        <v>#DIV/0!</v>
      </c>
      <c r="I23" s="21">
        <v>4200</v>
      </c>
      <c r="J23" s="29">
        <f>Table44[[#This Row],[RATE HOUR /DAY]]*Table44[[#This Row],[actual days/machine hours]]</f>
        <v>0</v>
      </c>
      <c r="K23" s="21">
        <f>Table44[[#This Row],[RATE HOUR /DAY]]*Table44[[#This Row],[Days/machine hours consider for costing]]</f>
        <v>0</v>
      </c>
      <c r="L23" s="22" t="s">
        <v>0</v>
      </c>
      <c r="M23" s="35"/>
      <c r="N23" s="28"/>
    </row>
    <row r="24" spans="1:14" ht="15.75" x14ac:dyDescent="0.25">
      <c r="A24" s="44">
        <v>20</v>
      </c>
      <c r="B24" s="18" t="s">
        <v>5</v>
      </c>
      <c r="C24" s="19" t="s">
        <v>3</v>
      </c>
      <c r="D24" s="20"/>
      <c r="E24" s="20"/>
      <c r="F24" s="23"/>
      <c r="G24" s="23"/>
      <c r="H24" s="20" t="e">
        <f>F24/G24</f>
        <v>#DIV/0!</v>
      </c>
      <c r="I24" s="21">
        <v>4200</v>
      </c>
      <c r="J24" s="29">
        <f>Table44[[#This Row],[RATE HOUR /DAY]]*Table44[[#This Row],[actual days/machine hours]]</f>
        <v>0</v>
      </c>
      <c r="K24" s="21">
        <f>Table44[[#This Row],[RATE HOUR /DAY]]*Table44[[#This Row],[Days/machine hours consider for costing]]</f>
        <v>0</v>
      </c>
      <c r="L24" s="22" t="s">
        <v>0</v>
      </c>
      <c r="M24" s="35"/>
      <c r="N24" s="28"/>
    </row>
    <row r="25" spans="1:14" ht="15" customHeight="1" x14ac:dyDescent="0.25">
      <c r="A25" s="44">
        <v>21</v>
      </c>
      <c r="B25" s="18" t="s">
        <v>4</v>
      </c>
      <c r="C25" s="19" t="s">
        <v>2</v>
      </c>
      <c r="D25" s="20"/>
      <c r="E25" s="20"/>
      <c r="F25" s="23"/>
      <c r="G25" s="23"/>
      <c r="H25" s="20" t="e">
        <f>F25/G25</f>
        <v>#DIV/0!</v>
      </c>
      <c r="I25" s="21">
        <v>5600</v>
      </c>
      <c r="J25" s="29">
        <f>Table44[[#This Row],[RATE HOUR /DAY]]*Table44[[#This Row],[actual days/machine hours]]</f>
        <v>0</v>
      </c>
      <c r="K25" s="21">
        <f>Table44[[#This Row],[RATE HOUR /DAY]]*Table44[[#This Row],[Days/machine hours consider for costing]]</f>
        <v>0</v>
      </c>
      <c r="L25" s="22" t="s">
        <v>0</v>
      </c>
      <c r="M25" s="35"/>
      <c r="N25" s="28"/>
    </row>
    <row r="26" spans="1:14" ht="15" customHeight="1" x14ac:dyDescent="0.25">
      <c r="A26" s="44">
        <v>22</v>
      </c>
      <c r="B26" s="54" t="s">
        <v>62</v>
      </c>
      <c r="C26" s="67" t="s">
        <v>63</v>
      </c>
      <c r="D26" s="68">
        <v>77.8</v>
      </c>
      <c r="E26" s="68">
        <v>77.8</v>
      </c>
      <c r="F26" s="69"/>
      <c r="G26" s="69">
        <v>640</v>
      </c>
      <c r="H26" s="20">
        <f>Table44[[#This Row],[Fuel]]/Table44[[#This Row],[actual days/machine hours]]</f>
        <v>8.2262210796915163</v>
      </c>
      <c r="I26" s="70">
        <v>3600</v>
      </c>
      <c r="J26" s="29">
        <f>Table44[[#This Row],[RATE HOUR /DAY]]*Table44[[#This Row],[actual days/machine hours]]</f>
        <v>280080</v>
      </c>
      <c r="K26" s="21">
        <f>Table44[[#This Row],[RATE HOUR /DAY]]*Table44[[#This Row],[Days/machine hours consider for costing]]</f>
        <v>280080</v>
      </c>
      <c r="L26" s="22" t="s">
        <v>0</v>
      </c>
      <c r="M26" s="67"/>
      <c r="N26" s="67"/>
    </row>
    <row r="27" spans="1:14" ht="15" customHeight="1" x14ac:dyDescent="0.25">
      <c r="A27" s="44">
        <v>23</v>
      </c>
      <c r="B27" s="54" t="s">
        <v>70</v>
      </c>
      <c r="C27" s="67" t="s">
        <v>63</v>
      </c>
      <c r="D27" s="68"/>
      <c r="E27" s="68"/>
      <c r="F27" s="69"/>
      <c r="G27" s="69"/>
      <c r="H27" s="20" t="e">
        <f>Table44[[#This Row],[Fuel]]/Table44[[#This Row],[actual days/machine hours]]</f>
        <v>#DIV/0!</v>
      </c>
      <c r="I27" s="70">
        <v>3600</v>
      </c>
      <c r="J27" s="29">
        <f>Table44[[#This Row],[RATE HOUR /DAY]]*Table44[[#This Row],[actual days/machine hours]]</f>
        <v>0</v>
      </c>
      <c r="K27" s="21">
        <f>Table44[[#This Row],[RATE HOUR /DAY]]*Table44[[#This Row],[Days/machine hours consider for costing]]</f>
        <v>0</v>
      </c>
      <c r="L27" s="71"/>
      <c r="M27" s="67"/>
      <c r="N27" s="67"/>
    </row>
    <row r="28" spans="1:14" ht="15.75" x14ac:dyDescent="0.25">
      <c r="A28" s="44">
        <v>24</v>
      </c>
      <c r="B28" s="54" t="s">
        <v>66</v>
      </c>
      <c r="C28" s="19" t="s">
        <v>61</v>
      </c>
      <c r="D28" s="20"/>
      <c r="E28" s="20"/>
      <c r="F28" s="58"/>
      <c r="G28" s="58"/>
      <c r="H28" s="20" t="e">
        <f>Table44[[#This Row],[Fuel]]/Table44[[#This Row],[actual days/machine hours]]</f>
        <v>#DIV/0!</v>
      </c>
      <c r="I28" s="21">
        <v>18000</v>
      </c>
      <c r="J28" s="29">
        <f>Table44[[#This Row],[RATE HOUR /DAY]]*Table44[[#This Row],[actual days/machine hours]]</f>
        <v>0</v>
      </c>
      <c r="K28" s="21">
        <f>Table44[[#This Row],[RATE HOUR /DAY]]*Table44[[#This Row],[Days/machine hours consider for costing]]</f>
        <v>0</v>
      </c>
      <c r="L28" s="22" t="s">
        <v>0</v>
      </c>
      <c r="M28" s="19"/>
      <c r="N28" s="19"/>
    </row>
    <row r="29" spans="1:14" ht="15.75" x14ac:dyDescent="0.25">
      <c r="A29" s="44">
        <v>25</v>
      </c>
      <c r="B29" s="18" t="s">
        <v>60</v>
      </c>
      <c r="C29" s="67" t="s">
        <v>64</v>
      </c>
      <c r="D29" s="68"/>
      <c r="E29" s="68"/>
      <c r="F29" s="69"/>
      <c r="G29" s="69"/>
      <c r="H29" s="20" t="e">
        <f>Table44[[#This Row],[Fuel]]/Table44[[#This Row],[actual days/machine hours]]</f>
        <v>#DIV/0!</v>
      </c>
      <c r="I29" s="70"/>
      <c r="J29" s="70"/>
      <c r="K29" s="70"/>
      <c r="L29" s="22" t="s">
        <v>0</v>
      </c>
      <c r="M29" s="67"/>
      <c r="N29" s="67"/>
    </row>
    <row r="30" spans="1:14" ht="15.75" x14ac:dyDescent="0.25">
      <c r="A30" s="44">
        <v>26</v>
      </c>
      <c r="B30" s="18" t="s">
        <v>67</v>
      </c>
      <c r="C30" s="24" t="s">
        <v>68</v>
      </c>
      <c r="D30" s="20"/>
      <c r="E30" s="20"/>
      <c r="F30" s="58"/>
      <c r="G30" s="58"/>
      <c r="H30" s="20" t="e">
        <f>Table44[[#This Row],[Fuel]]/Table44[[#This Row],[actual days/machine hours]]</f>
        <v>#DIV/0!</v>
      </c>
      <c r="I30" s="21">
        <v>3200</v>
      </c>
      <c r="J30" s="29">
        <f>Table44[[#This Row],[RATE HOUR /DAY]]*Table44[[#This Row],[actual days/machine hours]]</f>
        <v>0</v>
      </c>
      <c r="K30" s="21">
        <f>Table44[[#This Row],[RATE HOUR /DAY]]*Table44[[#This Row],[Days/machine hours consider for costing]]</f>
        <v>0</v>
      </c>
      <c r="L30" s="22"/>
      <c r="M30" s="19"/>
      <c r="N30" s="19"/>
    </row>
    <row r="31" spans="1:14" ht="15.75" x14ac:dyDescent="0.25">
      <c r="A31" s="44">
        <v>27</v>
      </c>
      <c r="B31" s="18" t="s">
        <v>33</v>
      </c>
      <c r="C31" s="24" t="s">
        <v>17</v>
      </c>
      <c r="D31" s="34">
        <v>83</v>
      </c>
      <c r="E31" s="34">
        <v>83</v>
      </c>
      <c r="F31" s="33"/>
      <c r="G31" s="33">
        <v>406</v>
      </c>
      <c r="H31" s="20">
        <f>Table44[[#This Row],[Fuel]]/Table44[[#This Row],[actual days/machine hours]]</f>
        <v>4.8915662650602414</v>
      </c>
      <c r="I31" s="21">
        <v>1680</v>
      </c>
      <c r="J31" s="29">
        <f>Table44[[#This Row],[RATE HOUR /DAY]]*Table44[[#This Row],[actual days/machine hours]]</f>
        <v>139440</v>
      </c>
      <c r="K31" s="21">
        <f>Table44[[#This Row],[RATE HOUR /DAY]]*Table44[[#This Row],[Days/machine hours consider for costing]]</f>
        <v>139440</v>
      </c>
      <c r="L31" s="22" t="s">
        <v>0</v>
      </c>
      <c r="M31" s="28"/>
      <c r="N31" s="28"/>
    </row>
    <row r="32" spans="1:14" ht="15.75" x14ac:dyDescent="0.25">
      <c r="A32" s="44">
        <v>28</v>
      </c>
      <c r="B32" s="18" t="s">
        <v>34</v>
      </c>
      <c r="C32" s="19" t="s">
        <v>1</v>
      </c>
      <c r="D32" s="20"/>
      <c r="E32" s="20"/>
      <c r="F32" s="23"/>
      <c r="G32" s="23"/>
      <c r="H32" s="20" t="e">
        <f>Table44[[#This Row],[Fuel]]/Table44[[#This Row],[actual days/machine hours]]</f>
        <v>#DIV/0!</v>
      </c>
      <c r="I32" s="21">
        <v>2000</v>
      </c>
      <c r="J32" s="29">
        <f>Table44[[#This Row],[RATE HOUR /DAY]]*Table44[[#This Row],[actual days/machine hours]]</f>
        <v>0</v>
      </c>
      <c r="K32" s="21">
        <f>Table44[[#This Row],[RATE HOUR /DAY]]*Table44[[#This Row],[Days/machine hours consider for costing]]</f>
        <v>0</v>
      </c>
      <c r="L32" s="22" t="s">
        <v>0</v>
      </c>
      <c r="M32" s="35"/>
      <c r="N32" s="28"/>
    </row>
    <row r="33" spans="1:14" ht="15.75" x14ac:dyDescent="0.25">
      <c r="A33" s="44">
        <v>29</v>
      </c>
      <c r="B33" s="18" t="s">
        <v>27</v>
      </c>
      <c r="C33" s="28" t="s">
        <v>1</v>
      </c>
      <c r="D33" s="34"/>
      <c r="E33" s="34"/>
      <c r="F33" s="33"/>
      <c r="G33" s="33"/>
      <c r="H33" s="20" t="e">
        <f>Table44[[#This Row],[Fuel]]/Table44[[#This Row],[actual days/machine hours]]</f>
        <v>#DIV/0!</v>
      </c>
      <c r="I33" s="21">
        <v>2000</v>
      </c>
      <c r="J33" s="29">
        <f>Table44[[#This Row],[RATE HOUR /DAY]]*Table44[[#This Row],[actual days/machine hours]]</f>
        <v>0</v>
      </c>
      <c r="K33" s="21">
        <f>Table44[[#This Row],[RATE HOUR /DAY]]*Table44[[#This Row],[Days/machine hours consider for costing]]</f>
        <v>0</v>
      </c>
      <c r="L33" s="22" t="s">
        <v>0</v>
      </c>
      <c r="M33" s="28"/>
      <c r="N33" s="28"/>
    </row>
    <row r="34" spans="1:14" ht="15.75" x14ac:dyDescent="0.25">
      <c r="A34" s="44">
        <v>30</v>
      </c>
      <c r="B34" s="18" t="s">
        <v>78</v>
      </c>
      <c r="C34" s="28" t="s">
        <v>14</v>
      </c>
      <c r="D34" s="73"/>
      <c r="E34" s="73"/>
      <c r="F34" s="74"/>
      <c r="G34" s="74"/>
      <c r="H34" s="20" t="e">
        <f>Table44[[#This Row],[Fuel]]/Table44[[#This Row],[actual days/machine hours]]</f>
        <v>#DIV/0!</v>
      </c>
      <c r="I34" s="29">
        <v>1680</v>
      </c>
      <c r="J34" s="29">
        <f>Table44[[#This Row],[RATE HOUR /DAY]]*Table44[[#This Row],[actual days/machine hours]]</f>
        <v>0</v>
      </c>
      <c r="K34" s="21">
        <f>Table44[[#This Row],[RATE HOUR /DAY]]*Table44[[#This Row],[Days/machine hours consider for costing]]</f>
        <v>0</v>
      </c>
      <c r="L34" s="76"/>
      <c r="M34" s="72"/>
      <c r="N34" s="72"/>
    </row>
    <row r="35" spans="1:14" ht="15.75" x14ac:dyDescent="0.25">
      <c r="A35" s="44">
        <v>31</v>
      </c>
      <c r="B35" s="18" t="s">
        <v>35</v>
      </c>
      <c r="C35" s="28" t="s">
        <v>14</v>
      </c>
      <c r="D35" s="34">
        <v>141</v>
      </c>
      <c r="E35" s="34">
        <v>141</v>
      </c>
      <c r="F35" s="33"/>
      <c r="G35" s="33">
        <v>600</v>
      </c>
      <c r="H35" s="20">
        <f>Table44[[#This Row],[Fuel]]/Table44[[#This Row],[actual days/machine hours]]</f>
        <v>4.2553191489361701</v>
      </c>
      <c r="I35" s="29">
        <v>1680</v>
      </c>
      <c r="J35" s="29">
        <f>Table44[[#This Row],[RATE HOUR /DAY]]*Table44[[#This Row],[actual days/machine hours]]</f>
        <v>236880</v>
      </c>
      <c r="K35" s="21">
        <f>Table44[[#This Row],[RATE HOUR /DAY]]*Table44[[#This Row],[Days/machine hours consider for costing]]</f>
        <v>236880</v>
      </c>
      <c r="L35" s="22" t="s">
        <v>0</v>
      </c>
      <c r="M35" s="28"/>
      <c r="N35" s="28"/>
    </row>
    <row r="36" spans="1:14" x14ac:dyDescent="0.25">
      <c r="C36" s="3"/>
      <c r="D36" s="4"/>
      <c r="E36" s="4"/>
      <c r="M36" s="36"/>
      <c r="N36" s="31"/>
    </row>
    <row r="37" spans="1:14" ht="16.5" thickBot="1" x14ac:dyDescent="0.3">
      <c r="A37" s="5"/>
      <c r="B37" s="5"/>
      <c r="C37" s="6"/>
      <c r="D37" s="7"/>
      <c r="E37" s="7"/>
      <c r="F37" s="5"/>
      <c r="G37" s="8"/>
      <c r="H37" s="9"/>
      <c r="I37" s="10"/>
      <c r="J37" s="43">
        <f>SUM(J4:J36)</f>
        <v>1673870</v>
      </c>
      <c r="K37" s="25">
        <f>SUM(K4:K36)</f>
        <v>1673870</v>
      </c>
      <c r="L37" s="5"/>
    </row>
    <row r="38" spans="1:14" ht="15.75" thickTop="1" x14ac:dyDescent="0.25"/>
  </sheetData>
  <mergeCells count="2">
    <mergeCell ref="A1:M1"/>
    <mergeCell ref="A2:M2"/>
  </mergeCells>
  <phoneticPr fontId="9" type="noConversion"/>
  <hyperlinks>
    <hyperlink ref="B23" location="'PH-6744'!A1" display="PH-6744"/>
    <hyperlink ref="B25" location="'PD-6917'!A1" display="PD-6917"/>
    <hyperlink ref="B24" location="'325-3448'!A1" display="325-3448"/>
    <hyperlink ref="B9" location="'LM-5721'!A1" display="LM-5721"/>
    <hyperlink ref="B10" location="'LM-5721'!A1" display="LM-5721"/>
    <hyperlink ref="B20" location="'PH-6744'!A1" display="PH-6744"/>
    <hyperlink ref="B17" location="'HEX-41'!A1" display="HEX-41"/>
    <hyperlink ref="B31" location="'VR-62'!A1" display="VR-62"/>
    <hyperlink ref="B4" location="'LD-09'!A1" display="LD-09"/>
    <hyperlink ref="B28" location="'PD-6917'!A1" display="PD-6917"/>
    <hyperlink ref="B26" location="'PD-6917'!A1" display="PD-6917"/>
    <hyperlink ref="B29" location="'VR-62'!A1" display="VR-62"/>
    <hyperlink ref="B22" location="'PH-6744'!A1" display="PH-6744"/>
    <hyperlink ref="B30" location="'VR-62'!A1" display="VR-62"/>
    <hyperlink ref="B27" location="'PD-6917'!A1" display="PD-6917"/>
    <hyperlink ref="B21" location="'PH-6744'!A1" display="PH-6744"/>
    <hyperlink ref="B5" location="'LD-09'!A1" display="LD-09"/>
    <hyperlink ref="C5" location="'LD-09'!A1" display="LD-09"/>
    <hyperlink ref="B6" location="'LD-09'!A1" display="LD-09"/>
    <hyperlink ref="C6" location="'LD-09'!A1" display="LD-09"/>
  </hyperlinks>
  <pageMargins left="0.7" right="0.7" top="0.75" bottom="0.75" header="0.3" footer="0.3"/>
  <pageSetup paperSize="9" scale="41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Data!$B$3:$B$5</xm:f>
          </x14:formula1>
          <xm:sqref>M3:M1048576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90" zoomScaleNormal="90" workbookViewId="0">
      <pane ySplit="3" topLeftCell="A4" activePane="bottomLeft" state="frozen"/>
      <selection pane="bottomLeft" activeCell="E9" sqref="E9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10" width="25" style="1" customWidth="1"/>
    <col min="11" max="11" width="21.5703125" style="1" customWidth="1"/>
    <col min="12" max="12" width="10.5703125" bestFit="1" customWidth="1"/>
    <col min="13" max="13" width="34.42578125" customWidth="1"/>
  </cols>
  <sheetData>
    <row r="1" spans="1:13" ht="18.75" x14ac:dyDescent="0.3">
      <c r="A1" s="38"/>
      <c r="B1" s="77" t="s">
        <v>83</v>
      </c>
      <c r="C1" s="77"/>
      <c r="D1" s="77"/>
      <c r="E1" s="77"/>
      <c r="F1" s="77"/>
      <c r="G1" s="77"/>
      <c r="H1" s="77"/>
      <c r="I1" s="77"/>
      <c r="J1" s="37"/>
      <c r="K1" s="39"/>
    </row>
    <row r="2" spans="1:13" x14ac:dyDescent="0.25">
      <c r="A2" s="38"/>
      <c r="B2" s="38"/>
      <c r="C2" s="38"/>
      <c r="D2" s="40"/>
      <c r="E2" s="40"/>
      <c r="F2" s="38"/>
      <c r="G2" s="38"/>
      <c r="H2" s="41"/>
      <c r="I2" s="39"/>
      <c r="J2" s="39"/>
      <c r="K2" s="39"/>
    </row>
    <row r="3" spans="1:13" ht="27.6" customHeight="1" x14ac:dyDescent="0.25">
      <c r="A3" s="11" t="s">
        <v>13</v>
      </c>
      <c r="B3" s="12" t="s">
        <v>12</v>
      </c>
      <c r="C3" s="12" t="s">
        <v>11</v>
      </c>
      <c r="D3" s="30" t="s">
        <v>15</v>
      </c>
      <c r="E3" s="30" t="s">
        <v>16</v>
      </c>
      <c r="F3" s="13" t="s">
        <v>36</v>
      </c>
      <c r="G3" s="12" t="s">
        <v>10</v>
      </c>
      <c r="H3" s="14" t="s">
        <v>9</v>
      </c>
      <c r="I3" s="15" t="s">
        <v>8</v>
      </c>
      <c r="J3" s="15" t="s">
        <v>49</v>
      </c>
      <c r="K3" s="46" t="s">
        <v>48</v>
      </c>
      <c r="L3" s="17" t="s">
        <v>7</v>
      </c>
      <c r="M3" s="32" t="s">
        <v>18</v>
      </c>
    </row>
    <row r="4" spans="1:13" ht="15.75" x14ac:dyDescent="0.25">
      <c r="A4" s="27">
        <v>1</v>
      </c>
      <c r="B4" s="18" t="s">
        <v>51</v>
      </c>
      <c r="C4" s="19" t="s">
        <v>38</v>
      </c>
      <c r="D4" s="34"/>
      <c r="E4" s="34"/>
      <c r="F4" s="33"/>
      <c r="G4" s="33"/>
      <c r="H4" s="20" t="e">
        <f>Table443[[#This Row],[Distance]]/Table443[[#This Row],[Fuel]]</f>
        <v>#DIV/0!</v>
      </c>
      <c r="I4" s="21">
        <v>8000</v>
      </c>
      <c r="J4" s="45">
        <f>Table443[[#This Row],[RATE HOUR /DAY]]*Table443[[#This Row],[actual days/machine hours]]</f>
        <v>0</v>
      </c>
      <c r="K4" s="26">
        <f>Table443[[#This Row],[RATE HOUR /DAY]]*Table443[[#This Row],[Days/machine hours consider for costing]]</f>
        <v>0</v>
      </c>
      <c r="L4" s="22" t="s">
        <v>0</v>
      </c>
      <c r="M4" s="28"/>
    </row>
    <row r="5" spans="1:13" ht="15.75" x14ac:dyDescent="0.25">
      <c r="A5" s="51">
        <v>2</v>
      </c>
      <c r="B5" s="18" t="s">
        <v>55</v>
      </c>
      <c r="C5" s="19" t="s">
        <v>38</v>
      </c>
      <c r="D5" s="48"/>
      <c r="E5" s="48"/>
      <c r="F5" s="50"/>
      <c r="G5" s="50"/>
      <c r="H5" s="48"/>
      <c r="I5" s="52">
        <v>8000</v>
      </c>
      <c r="J5" s="53">
        <f>Table443[[#This Row],[RATE HOUR /DAY]]*Table443[[#This Row],[actual days/machine hours]]</f>
        <v>0</v>
      </c>
      <c r="K5" s="52">
        <f>Table443[[#This Row],[RATE HOUR /DAY]]*Table443[[#This Row],[Days/machine hours consider for costing]]</f>
        <v>0</v>
      </c>
      <c r="L5" s="49"/>
      <c r="M5" s="47"/>
    </row>
    <row r="6" spans="1:13" ht="15.75" x14ac:dyDescent="0.25">
      <c r="A6" s="27">
        <v>3</v>
      </c>
      <c r="B6" s="18" t="s">
        <v>37</v>
      </c>
      <c r="C6" s="19" t="s">
        <v>38</v>
      </c>
      <c r="D6" s="48">
        <v>21</v>
      </c>
      <c r="E6" s="48">
        <v>21</v>
      </c>
      <c r="F6" s="50"/>
      <c r="G6" s="50">
        <v>735</v>
      </c>
      <c r="H6" s="48"/>
      <c r="I6" s="21">
        <v>8000</v>
      </c>
      <c r="J6" s="45">
        <f>Table443[[#This Row],[RATE HOUR /DAY]]*Table443[[#This Row],[actual days/machine hours]]</f>
        <v>168000</v>
      </c>
      <c r="K6" s="52">
        <f>Table443[[#This Row],[RATE HOUR /DAY]]*Table443[[#This Row],[Days/machine hours consider for costing]]</f>
        <v>168000</v>
      </c>
      <c r="L6" s="49"/>
      <c r="M6" s="47"/>
    </row>
    <row r="7" spans="1:13" ht="15.75" x14ac:dyDescent="0.25">
      <c r="A7" s="51">
        <v>4</v>
      </c>
      <c r="B7" s="18" t="s">
        <v>41</v>
      </c>
      <c r="C7" s="19" t="s">
        <v>38</v>
      </c>
      <c r="D7" s="20"/>
      <c r="E7" s="20"/>
      <c r="F7" s="23"/>
      <c r="G7" s="23"/>
      <c r="H7" s="20" t="e">
        <f>Table443[[#This Row],[Distance]]/Table443[[#This Row],[Fuel]]</f>
        <v>#DIV/0!</v>
      </c>
      <c r="I7" s="21">
        <v>8000</v>
      </c>
      <c r="J7" s="45">
        <f>Table443[[#This Row],[RATE HOUR /DAY]]*Table443[[#This Row],[actual days/machine hours]]</f>
        <v>0</v>
      </c>
      <c r="K7" s="21">
        <f>Table443[[#This Row],[RATE HOUR /DAY]]*Table443[[#This Row],[Days/machine hours consider for costing]]</f>
        <v>0</v>
      </c>
      <c r="L7" s="22" t="s">
        <v>0</v>
      </c>
      <c r="M7" s="19"/>
    </row>
    <row r="8" spans="1:13" s="66" customFormat="1" ht="15.75" x14ac:dyDescent="0.25">
      <c r="A8" s="60">
        <v>5</v>
      </c>
      <c r="B8" s="54" t="s">
        <v>39</v>
      </c>
      <c r="C8" s="56" t="s">
        <v>40</v>
      </c>
      <c r="D8" s="55">
        <v>90</v>
      </c>
      <c r="E8" s="55">
        <v>90</v>
      </c>
      <c r="F8" s="61"/>
      <c r="G8" s="61">
        <v>816</v>
      </c>
      <c r="H8" s="57">
        <f>Table443[[#This Row],[Fuel]]/Table443[[#This Row],[actual days/machine hours]]</f>
        <v>9.0666666666666664</v>
      </c>
      <c r="I8" s="62">
        <v>2100</v>
      </c>
      <c r="J8" s="63">
        <f>Table443[[#This Row],[RATE HOUR /DAY]]*Table443[[#This Row],[actual days/machine hours]]</f>
        <v>189000</v>
      </c>
      <c r="K8" s="64">
        <f>Table443[[#This Row],[RATE HOUR /DAY]]*Table443[[#This Row],[Days/machine hours consider for costing]]</f>
        <v>189000</v>
      </c>
      <c r="L8" s="65" t="s">
        <v>0</v>
      </c>
      <c r="M8" s="56" t="s">
        <v>57</v>
      </c>
    </row>
    <row r="9" spans="1:13" ht="15.75" x14ac:dyDescent="0.25">
      <c r="A9" s="51">
        <v>6</v>
      </c>
      <c r="B9" s="18" t="s">
        <v>81</v>
      </c>
      <c r="C9" s="19" t="s">
        <v>38</v>
      </c>
      <c r="D9" s="34">
        <v>20</v>
      </c>
      <c r="E9" s="34">
        <v>20</v>
      </c>
      <c r="F9" s="33"/>
      <c r="G9" s="33">
        <v>745</v>
      </c>
      <c r="H9" s="20">
        <f t="shared" ref="H9:H12" si="0">F9/G9</f>
        <v>0</v>
      </c>
      <c r="I9" s="21">
        <v>8000</v>
      </c>
      <c r="J9" s="45">
        <f>Table443[[#This Row],[RATE HOUR /DAY]]*Table443[[#This Row],[actual days/machine hours]]</f>
        <v>160000</v>
      </c>
      <c r="K9" s="26">
        <f>Table443[[#This Row],[RATE HOUR /DAY]]*Table443[[#This Row],[Days/machine hours consider for costing]]</f>
        <v>160000</v>
      </c>
      <c r="L9" s="22" t="s">
        <v>0</v>
      </c>
      <c r="M9" s="28"/>
    </row>
    <row r="10" spans="1:13" ht="15.75" x14ac:dyDescent="0.25">
      <c r="A10" s="27">
        <v>7</v>
      </c>
      <c r="B10" s="18" t="s">
        <v>42</v>
      </c>
      <c r="C10" s="19" t="s">
        <v>38</v>
      </c>
      <c r="D10" s="34">
        <v>25</v>
      </c>
      <c r="E10" s="34">
        <v>25</v>
      </c>
      <c r="F10" s="33">
        <v>821</v>
      </c>
      <c r="G10" s="33">
        <v>1140</v>
      </c>
      <c r="H10" s="20">
        <f t="shared" si="0"/>
        <v>0.72017543859649125</v>
      </c>
      <c r="I10" s="21">
        <v>8000</v>
      </c>
      <c r="J10" s="45">
        <f>Table443[[#This Row],[RATE HOUR /DAY]]*Table443[[#This Row],[actual days/machine hours]]</f>
        <v>200000</v>
      </c>
      <c r="K10" s="26">
        <f>Table443[[#This Row],[RATE HOUR /DAY]]*Table443[[#This Row],[Days/machine hours consider for costing]]</f>
        <v>200000</v>
      </c>
      <c r="L10" s="22" t="s">
        <v>0</v>
      </c>
      <c r="M10" s="28"/>
    </row>
    <row r="11" spans="1:13" ht="15.75" x14ac:dyDescent="0.25">
      <c r="A11" s="51">
        <v>8</v>
      </c>
      <c r="B11" s="18" t="s">
        <v>43</v>
      </c>
      <c r="C11" s="19" t="s">
        <v>58</v>
      </c>
      <c r="D11" s="34"/>
      <c r="E11" s="34"/>
      <c r="F11" s="33"/>
      <c r="G11" s="33"/>
      <c r="H11" s="20" t="e">
        <f>Table443[[#This Row],[Fuel]]/Table443[[#This Row],[actual days/machine hours]]</f>
        <v>#DIV/0!</v>
      </c>
      <c r="I11" s="21">
        <v>3600</v>
      </c>
      <c r="J11" s="45">
        <f>Table443[[#This Row],[RATE HOUR /DAY]]*Table443[[#This Row],[actual days/machine hours]]</f>
        <v>0</v>
      </c>
      <c r="K11" s="26">
        <f>Table443[[#This Row],[RATE HOUR /DAY]]*Table443[[#This Row],[Days/machine hours consider for costing]]</f>
        <v>0</v>
      </c>
      <c r="L11" s="22" t="s">
        <v>0</v>
      </c>
      <c r="M11" s="28" t="s">
        <v>44</v>
      </c>
    </row>
    <row r="12" spans="1:13" ht="15.75" x14ac:dyDescent="0.25">
      <c r="A12" s="27">
        <v>9</v>
      </c>
      <c r="B12" s="18" t="s">
        <v>45</v>
      </c>
      <c r="C12" s="19" t="s">
        <v>38</v>
      </c>
      <c r="D12" s="34">
        <v>24</v>
      </c>
      <c r="E12" s="34">
        <v>24</v>
      </c>
      <c r="F12" s="33"/>
      <c r="G12" s="33">
        <v>1510</v>
      </c>
      <c r="H12" s="20">
        <f t="shared" si="0"/>
        <v>0</v>
      </c>
      <c r="I12" s="21">
        <v>8000</v>
      </c>
      <c r="J12" s="45">
        <f>Table443[[#This Row],[RATE HOUR /DAY]]*Table443[[#This Row],[actual days/machine hours]]</f>
        <v>192000</v>
      </c>
      <c r="K12" s="26">
        <f>Table443[[#This Row],[RATE HOUR /DAY]]*Table443[[#This Row],[Days/machine hours consider for costing]]</f>
        <v>192000</v>
      </c>
      <c r="L12" s="22" t="s">
        <v>0</v>
      </c>
      <c r="M12" s="28"/>
    </row>
    <row r="13" spans="1:13" x14ac:dyDescent="0.25">
      <c r="C13" s="3"/>
      <c r="D13" s="4"/>
      <c r="E13" s="4"/>
      <c r="M13" s="31"/>
    </row>
    <row r="14" spans="1:13" ht="16.5" thickBot="1" x14ac:dyDescent="0.3">
      <c r="A14" s="5"/>
      <c r="B14" s="5"/>
      <c r="C14" s="6"/>
      <c r="D14" s="7"/>
      <c r="E14" s="7"/>
      <c r="F14" s="5"/>
      <c r="G14" s="8"/>
      <c r="H14" s="9"/>
      <c r="I14" s="10"/>
      <c r="J14" s="43">
        <f>SUM(J4:J13)</f>
        <v>909000</v>
      </c>
      <c r="K14" s="25">
        <f>SUM(K4:K13)</f>
        <v>909000</v>
      </c>
      <c r="L14" s="5"/>
    </row>
    <row r="15" spans="1:13" ht="15.75" thickTop="1" x14ac:dyDescent="0.25"/>
    <row r="16" spans="1:13" x14ac:dyDescent="0.25">
      <c r="F16" s="59"/>
      <c r="G16" s="59"/>
    </row>
    <row r="17" spans="6:7" x14ac:dyDescent="0.25">
      <c r="F17" s="59"/>
      <c r="G17" s="59"/>
    </row>
    <row r="18" spans="6:7" x14ac:dyDescent="0.25">
      <c r="F18" s="59"/>
      <c r="G18" s="59"/>
    </row>
    <row r="19" spans="6:7" x14ac:dyDescent="0.25">
      <c r="F19" s="59"/>
      <c r="G19" s="59"/>
    </row>
    <row r="20" spans="6:7" x14ac:dyDescent="0.25">
      <c r="F20" s="59"/>
      <c r="G20" s="59"/>
    </row>
    <row r="21" spans="6:7" x14ac:dyDescent="0.25">
      <c r="F21" s="59"/>
      <c r="G21" s="59"/>
    </row>
  </sheetData>
  <mergeCells count="1">
    <mergeCell ref="B1:I1"/>
  </mergeCells>
  <phoneticPr fontId="9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workbookViewId="0">
      <selection activeCell="I13" sqref="I13"/>
    </sheetView>
  </sheetViews>
  <sheetFormatPr defaultRowHeight="15" x14ac:dyDescent="0.25"/>
  <sheetData>
    <row r="3" spans="2:2" x14ac:dyDescent="0.25">
      <c r="B3" t="s">
        <v>24</v>
      </c>
    </row>
    <row r="4" spans="2:2" x14ac:dyDescent="0.25">
      <c r="B4" t="s">
        <v>26</v>
      </c>
    </row>
    <row r="5" spans="2:2" x14ac:dyDescent="0.25">
      <c r="B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Machinery </vt:lpstr>
      <vt:lpstr>Plant expenses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Dilan Michael</cp:lastModifiedBy>
  <cp:lastPrinted>2024-12-23T07:48:40Z</cp:lastPrinted>
  <dcterms:created xsi:type="dcterms:W3CDTF">2023-12-20T11:25:26Z</dcterms:created>
  <dcterms:modified xsi:type="dcterms:W3CDTF">2026-05-25T10:17:34Z</dcterms:modified>
</cp:coreProperties>
</file>